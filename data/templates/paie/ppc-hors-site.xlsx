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onma\AppData\Local\Microsoft\Windows\INetCache\Content.Outlook\1UU6RNC0\"/>
    </mc:Choice>
  </mc:AlternateContent>
  <xr:revisionPtr revIDLastSave="0" documentId="13_ncr:1_{5ADB59C3-3DD1-4311-8A84-1B1117F70984}" xr6:coauthVersionLast="47" xr6:coauthVersionMax="47" xr10:uidLastSave="{00000000-0000-0000-0000-000000000000}"/>
  <bookViews>
    <workbookView xWindow="-120" yWindow="-120" windowWidth="20730" windowHeight="11040" firstSheet="2" activeTab="2" xr2:uid="{86BFC699-D0C5-4693-BD4E-015B1EA327CD}"/>
  </bookViews>
  <sheets>
    <sheet name="Sheet1" sheetId="1" state="hidden" r:id="rId1"/>
    <sheet name="Sheet1 (2)" sheetId="2" state="hidden" r:id="rId2"/>
    <sheet name="Hors-Site" sheetId="4" r:id="rId3"/>
    <sheet name="Moteur IPR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R7" i="4" l="1"/>
  <c r="AR35" i="4"/>
  <c r="AR34" i="4"/>
  <c r="AR33" i="4"/>
  <c r="AR32" i="4"/>
  <c r="AR31" i="4"/>
  <c r="AR30" i="4"/>
  <c r="AR29" i="4"/>
  <c r="AR28" i="4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K6" i="4"/>
  <c r="BD6" i="4"/>
  <c r="BC6" i="4"/>
  <c r="BB6" i="4"/>
  <c r="BA6" i="4"/>
  <c r="AZ6" i="4"/>
  <c r="Y6" i="4"/>
  <c r="W6" i="4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BE6" i="4" l="1"/>
  <c r="AA6" i="4" s="1"/>
  <c r="H127" i="3" l="1"/>
  <c r="I127" i="3" s="1"/>
  <c r="H128" i="3"/>
  <c r="I128" i="3" s="1"/>
  <c r="H129" i="3"/>
  <c r="I129" i="3" s="1"/>
  <c r="H130" i="3"/>
  <c r="I130" i="3" s="1"/>
  <c r="H131" i="3"/>
  <c r="I131" i="3" s="1"/>
  <c r="H132" i="3"/>
  <c r="I132" i="3" s="1"/>
  <c r="H133" i="3"/>
  <c r="I133" i="3" s="1"/>
  <c r="H134" i="3"/>
  <c r="I134" i="3" s="1"/>
  <c r="H135" i="3"/>
  <c r="I135" i="3" s="1"/>
  <c r="H136" i="3"/>
  <c r="I136" i="3" s="1"/>
  <c r="H137" i="3"/>
  <c r="I137" i="3" s="1"/>
  <c r="H138" i="3"/>
  <c r="I138" i="3" s="1"/>
  <c r="H139" i="3"/>
  <c r="I139" i="3" s="1"/>
  <c r="H140" i="3"/>
  <c r="I140" i="3" s="1"/>
  <c r="H141" i="3"/>
  <c r="I141" i="3" s="1"/>
  <c r="H142" i="3"/>
  <c r="I142" i="3" s="1"/>
  <c r="H143" i="3"/>
  <c r="I143" i="3" s="1"/>
  <c r="H144" i="3"/>
  <c r="I144" i="3" s="1"/>
  <c r="H145" i="3"/>
  <c r="I145" i="3" s="1"/>
  <c r="H146" i="3"/>
  <c r="I146" i="3" s="1"/>
  <c r="H147" i="3"/>
  <c r="I147" i="3" s="1"/>
  <c r="H148" i="3"/>
  <c r="I148" i="3" s="1"/>
  <c r="H149" i="3"/>
  <c r="I149" i="3" s="1"/>
  <c r="H150" i="3"/>
  <c r="I150" i="3" s="1"/>
  <c r="H151" i="3"/>
  <c r="I151" i="3" s="1"/>
  <c r="H152" i="3"/>
  <c r="I152" i="3" s="1"/>
  <c r="H153" i="3"/>
  <c r="I153" i="3" s="1"/>
  <c r="H154" i="3"/>
  <c r="I154" i="3" s="1"/>
  <c r="H155" i="3"/>
  <c r="I155" i="3" s="1"/>
  <c r="K155" i="3" l="1"/>
  <c r="J155" i="3"/>
  <c r="L155" i="3" s="1"/>
  <c r="M155" i="3" s="1"/>
  <c r="K154" i="3"/>
  <c r="J154" i="3"/>
  <c r="L154" i="3" s="1"/>
  <c r="M154" i="3" s="1"/>
  <c r="K153" i="3"/>
  <c r="J153" i="3"/>
  <c r="L153" i="3" s="1"/>
  <c r="M153" i="3" s="1"/>
  <c r="K152" i="3"/>
  <c r="J152" i="3"/>
  <c r="L152" i="3" s="1"/>
  <c r="M152" i="3" s="1"/>
  <c r="K151" i="3"/>
  <c r="J151" i="3"/>
  <c r="L151" i="3" s="1"/>
  <c r="M151" i="3" s="1"/>
  <c r="K150" i="3"/>
  <c r="J150" i="3"/>
  <c r="L150" i="3" s="1"/>
  <c r="M150" i="3" s="1"/>
  <c r="K149" i="3"/>
  <c r="J149" i="3"/>
  <c r="L149" i="3" s="1"/>
  <c r="M149" i="3" s="1"/>
  <c r="K148" i="3"/>
  <c r="J148" i="3"/>
  <c r="L148" i="3" s="1"/>
  <c r="M148" i="3" s="1"/>
  <c r="K147" i="3"/>
  <c r="J147" i="3"/>
  <c r="L147" i="3" s="1"/>
  <c r="M147" i="3" s="1"/>
  <c r="K146" i="3"/>
  <c r="J146" i="3"/>
  <c r="L146" i="3" s="1"/>
  <c r="M146" i="3" s="1"/>
  <c r="K145" i="3"/>
  <c r="J145" i="3"/>
  <c r="L145" i="3" s="1"/>
  <c r="M145" i="3" s="1"/>
  <c r="K144" i="3"/>
  <c r="J144" i="3"/>
  <c r="L144" i="3" s="1"/>
  <c r="M144" i="3" s="1"/>
  <c r="K143" i="3"/>
  <c r="J143" i="3"/>
  <c r="L143" i="3" s="1"/>
  <c r="M143" i="3" s="1"/>
  <c r="K142" i="3"/>
  <c r="J142" i="3"/>
  <c r="L142" i="3" s="1"/>
  <c r="M142" i="3" s="1"/>
  <c r="K141" i="3"/>
  <c r="J141" i="3"/>
  <c r="L141" i="3" s="1"/>
  <c r="M141" i="3" s="1"/>
  <c r="K140" i="3"/>
  <c r="J140" i="3"/>
  <c r="L140" i="3" s="1"/>
  <c r="M140" i="3" s="1"/>
  <c r="K139" i="3"/>
  <c r="J139" i="3"/>
  <c r="L139" i="3" s="1"/>
  <c r="M139" i="3" s="1"/>
  <c r="K138" i="3"/>
  <c r="J138" i="3"/>
  <c r="L138" i="3" s="1"/>
  <c r="M138" i="3" s="1"/>
  <c r="K137" i="3"/>
  <c r="J137" i="3"/>
  <c r="L137" i="3" s="1"/>
  <c r="M137" i="3" s="1"/>
  <c r="K136" i="3"/>
  <c r="J136" i="3"/>
  <c r="L136" i="3" s="1"/>
  <c r="M136" i="3" s="1"/>
  <c r="K135" i="3"/>
  <c r="J135" i="3"/>
  <c r="L135" i="3" s="1"/>
  <c r="M135" i="3" s="1"/>
  <c r="K134" i="3"/>
  <c r="J134" i="3"/>
  <c r="L134" i="3" s="1"/>
  <c r="M134" i="3" s="1"/>
  <c r="K133" i="3"/>
  <c r="J133" i="3"/>
  <c r="L133" i="3" s="1"/>
  <c r="M133" i="3" s="1"/>
  <c r="K132" i="3"/>
  <c r="J132" i="3"/>
  <c r="L132" i="3" s="1"/>
  <c r="M132" i="3" s="1"/>
  <c r="K131" i="3"/>
  <c r="J131" i="3"/>
  <c r="L131" i="3" s="1"/>
  <c r="M131" i="3" s="1"/>
  <c r="K130" i="3"/>
  <c r="J130" i="3"/>
  <c r="L130" i="3" s="1"/>
  <c r="M130" i="3" s="1"/>
  <c r="K129" i="3"/>
  <c r="J129" i="3"/>
  <c r="L129" i="3" s="1"/>
  <c r="M129" i="3" s="1"/>
  <c r="K128" i="3"/>
  <c r="J128" i="3"/>
  <c r="L128" i="3" s="1"/>
  <c r="M128" i="3" s="1"/>
  <c r="K127" i="3"/>
  <c r="J127" i="3"/>
  <c r="L127" i="3" s="1"/>
  <c r="M127" i="3" s="1"/>
  <c r="H79" i="3"/>
  <c r="I79" i="3" s="1"/>
  <c r="J79" i="3" l="1"/>
  <c r="K79" i="3"/>
  <c r="N127" i="3"/>
  <c r="O127" i="3" s="1"/>
  <c r="P127" i="3" s="1"/>
  <c r="N128" i="3"/>
  <c r="O128" i="3" s="1"/>
  <c r="P128" i="3" s="1"/>
  <c r="N129" i="3"/>
  <c r="O129" i="3" s="1"/>
  <c r="P129" i="3" s="1"/>
  <c r="N130" i="3"/>
  <c r="O130" i="3" s="1"/>
  <c r="P130" i="3" s="1"/>
  <c r="N131" i="3"/>
  <c r="O131" i="3" s="1"/>
  <c r="P131" i="3" s="1"/>
  <c r="N132" i="3"/>
  <c r="O132" i="3" s="1"/>
  <c r="P132" i="3" s="1"/>
  <c r="N133" i="3"/>
  <c r="O133" i="3" s="1"/>
  <c r="P133" i="3" s="1"/>
  <c r="N134" i="3"/>
  <c r="O134" i="3" s="1"/>
  <c r="P134" i="3" s="1"/>
  <c r="N135" i="3"/>
  <c r="O135" i="3" s="1"/>
  <c r="P135" i="3" s="1"/>
  <c r="N136" i="3"/>
  <c r="O136" i="3" s="1"/>
  <c r="P136" i="3" s="1"/>
  <c r="N137" i="3"/>
  <c r="O137" i="3" s="1"/>
  <c r="P137" i="3" s="1"/>
  <c r="N138" i="3"/>
  <c r="O138" i="3" s="1"/>
  <c r="P138" i="3" s="1"/>
  <c r="N139" i="3"/>
  <c r="O139" i="3" s="1"/>
  <c r="P139" i="3" s="1"/>
  <c r="N140" i="3"/>
  <c r="O140" i="3" s="1"/>
  <c r="P140" i="3" s="1"/>
  <c r="N141" i="3"/>
  <c r="O141" i="3" s="1"/>
  <c r="P141" i="3" s="1"/>
  <c r="N142" i="3"/>
  <c r="O142" i="3" s="1"/>
  <c r="P142" i="3" s="1"/>
  <c r="N143" i="3"/>
  <c r="O143" i="3" s="1"/>
  <c r="P143" i="3" s="1"/>
  <c r="N144" i="3"/>
  <c r="O144" i="3" s="1"/>
  <c r="P144" i="3" s="1"/>
  <c r="N145" i="3"/>
  <c r="O145" i="3" s="1"/>
  <c r="P145" i="3" s="1"/>
  <c r="N146" i="3"/>
  <c r="O146" i="3" s="1"/>
  <c r="P146" i="3" s="1"/>
  <c r="N147" i="3"/>
  <c r="O147" i="3" s="1"/>
  <c r="P147" i="3" s="1"/>
  <c r="N148" i="3"/>
  <c r="O148" i="3" s="1"/>
  <c r="P148" i="3" s="1"/>
  <c r="N149" i="3"/>
  <c r="O149" i="3" s="1"/>
  <c r="P149" i="3" s="1"/>
  <c r="N150" i="3"/>
  <c r="O150" i="3" s="1"/>
  <c r="P150" i="3" s="1"/>
  <c r="N151" i="3"/>
  <c r="O151" i="3" s="1"/>
  <c r="P151" i="3" s="1"/>
  <c r="N152" i="3"/>
  <c r="O152" i="3" s="1"/>
  <c r="P152" i="3" s="1"/>
  <c r="N153" i="3"/>
  <c r="O153" i="3" s="1"/>
  <c r="P153" i="3" s="1"/>
  <c r="N154" i="3"/>
  <c r="O154" i="3" s="1"/>
  <c r="P154" i="3" s="1"/>
  <c r="N155" i="3"/>
  <c r="O155" i="3" s="1"/>
  <c r="P155" i="3" s="1"/>
  <c r="H86" i="3"/>
  <c r="I86" i="3" s="1"/>
  <c r="H19" i="3"/>
  <c r="I19" i="3" s="1"/>
  <c r="H125" i="3"/>
  <c r="I125" i="3" s="1"/>
  <c r="H104" i="3"/>
  <c r="I104" i="3" s="1"/>
  <c r="H22" i="3" l="1"/>
  <c r="I22" i="3" s="1"/>
  <c r="K22" i="3" s="1"/>
  <c r="H15" i="3"/>
  <c r="I15" i="3" s="1"/>
  <c r="J15" i="3" s="1"/>
  <c r="H102" i="3"/>
  <c r="I102" i="3" s="1"/>
  <c r="K102" i="3" s="1"/>
  <c r="H36" i="3"/>
  <c r="I36" i="3" s="1"/>
  <c r="H94" i="3"/>
  <c r="I94" i="3" s="1"/>
  <c r="K94" i="3" s="1"/>
  <c r="H68" i="3"/>
  <c r="I68" i="3" s="1"/>
  <c r="J68" i="3" s="1"/>
  <c r="J22" i="3"/>
  <c r="K68" i="3"/>
  <c r="J19" i="3"/>
  <c r="K19" i="3"/>
  <c r="J104" i="3"/>
  <c r="K104" i="3"/>
  <c r="J125" i="3"/>
  <c r="K125" i="3"/>
  <c r="J86" i="3"/>
  <c r="K86" i="3"/>
  <c r="L79" i="3"/>
  <c r="M79" i="3" s="1"/>
  <c r="H28" i="3"/>
  <c r="I28" i="3" s="1"/>
  <c r="H11" i="3"/>
  <c r="I11" i="3" s="1"/>
  <c r="H98" i="3"/>
  <c r="I98" i="3" s="1"/>
  <c r="H92" i="3"/>
  <c r="I92" i="3" s="1"/>
  <c r="H84" i="3"/>
  <c r="I84" i="3" s="1"/>
  <c r="H48" i="3"/>
  <c r="I48" i="3" s="1"/>
  <c r="H44" i="3"/>
  <c r="I44" i="3" s="1"/>
  <c r="H30" i="3"/>
  <c r="I30" i="3" s="1"/>
  <c r="H96" i="3"/>
  <c r="I96" i="3" s="1"/>
  <c r="H88" i="3"/>
  <c r="I88" i="3" s="1"/>
  <c r="H126" i="3"/>
  <c r="I126" i="3" s="1"/>
  <c r="H121" i="3"/>
  <c r="I121" i="3" s="1"/>
  <c r="H34" i="3"/>
  <c r="I34" i="3" s="1"/>
  <c r="H32" i="3"/>
  <c r="I32" i="3" s="1"/>
  <c r="H26" i="3"/>
  <c r="I26" i="3" s="1"/>
  <c r="H24" i="3"/>
  <c r="I24" i="3" s="1"/>
  <c r="H63" i="3"/>
  <c r="I63" i="3" s="1"/>
  <c r="H59" i="3"/>
  <c r="I59" i="3" s="1"/>
  <c r="H55" i="3"/>
  <c r="I55" i="3" s="1"/>
  <c r="H51" i="3"/>
  <c r="I51" i="3" s="1"/>
  <c r="H82" i="3"/>
  <c r="I82" i="3" s="1"/>
  <c r="H80" i="3"/>
  <c r="I80" i="3" s="1"/>
  <c r="H76" i="3"/>
  <c r="I76" i="3" s="1"/>
  <c r="H72" i="3"/>
  <c r="I72" i="3" s="1"/>
  <c r="H61" i="3"/>
  <c r="I61" i="3" s="1"/>
  <c r="H57" i="3"/>
  <c r="I57" i="3" s="1"/>
  <c r="H53" i="3"/>
  <c r="I53" i="3" s="1"/>
  <c r="H46" i="3"/>
  <c r="I46" i="3" s="1"/>
  <c r="H100" i="3"/>
  <c r="I100" i="3" s="1"/>
  <c r="H90" i="3"/>
  <c r="I90" i="3" s="1"/>
  <c r="H119" i="3"/>
  <c r="I119" i="3" s="1"/>
  <c r="H111" i="3"/>
  <c r="I111" i="3" s="1"/>
  <c r="H122" i="3"/>
  <c r="I122" i="3" s="1"/>
  <c r="H117" i="3"/>
  <c r="I117" i="3" s="1"/>
  <c r="H109" i="3"/>
  <c r="I109" i="3" s="1"/>
  <c r="H115" i="3"/>
  <c r="I115" i="3" s="1"/>
  <c r="H107" i="3"/>
  <c r="I107" i="3" s="1"/>
  <c r="H124" i="3"/>
  <c r="I124" i="3" s="1"/>
  <c r="H120" i="3"/>
  <c r="I120" i="3" s="1"/>
  <c r="H113" i="3"/>
  <c r="I113" i="3" s="1"/>
  <c r="H74" i="3"/>
  <c r="I74" i="3" s="1"/>
  <c r="H78" i="3"/>
  <c r="I78" i="3" s="1"/>
  <c r="H105" i="3"/>
  <c r="I105" i="3" s="1"/>
  <c r="H118" i="3"/>
  <c r="I118" i="3" s="1"/>
  <c r="H116" i="3"/>
  <c r="I116" i="3" s="1"/>
  <c r="H114" i="3"/>
  <c r="I114" i="3" s="1"/>
  <c r="H112" i="3"/>
  <c r="I112" i="3" s="1"/>
  <c r="H110" i="3"/>
  <c r="I110" i="3" s="1"/>
  <c r="H108" i="3"/>
  <c r="I108" i="3" s="1"/>
  <c r="H106" i="3"/>
  <c r="I106" i="3" s="1"/>
  <c r="H87" i="3"/>
  <c r="I87" i="3" s="1"/>
  <c r="H75" i="3"/>
  <c r="I75" i="3" s="1"/>
  <c r="H71" i="3"/>
  <c r="I71" i="3" s="1"/>
  <c r="H66" i="3"/>
  <c r="I66" i="3" s="1"/>
  <c r="H85" i="3"/>
  <c r="I85" i="3" s="1"/>
  <c r="H83" i="3"/>
  <c r="I83" i="3" s="1"/>
  <c r="H81" i="3"/>
  <c r="I81" i="3" s="1"/>
  <c r="H77" i="3"/>
  <c r="I77" i="3" s="1"/>
  <c r="H73" i="3"/>
  <c r="I73" i="3" s="1"/>
  <c r="H69" i="3"/>
  <c r="I69" i="3" s="1"/>
  <c r="H67" i="3"/>
  <c r="I67" i="3" s="1"/>
  <c r="H21" i="3"/>
  <c r="I21" i="3" s="1"/>
  <c r="H64" i="3"/>
  <c r="I64" i="3" s="1"/>
  <c r="H60" i="3"/>
  <c r="I60" i="3" s="1"/>
  <c r="H56" i="3"/>
  <c r="I56" i="3" s="1"/>
  <c r="H52" i="3"/>
  <c r="I52" i="3" s="1"/>
  <c r="H47" i="3"/>
  <c r="I47" i="3" s="1"/>
  <c r="H43" i="3"/>
  <c r="I43" i="3" s="1"/>
  <c r="H39" i="3"/>
  <c r="I39" i="3" s="1"/>
  <c r="H35" i="3"/>
  <c r="I35" i="3" s="1"/>
  <c r="H17" i="3"/>
  <c r="I17" i="3" s="1"/>
  <c r="H65" i="3"/>
  <c r="I65" i="3" s="1"/>
  <c r="H62" i="3"/>
  <c r="I62" i="3" s="1"/>
  <c r="H58" i="3"/>
  <c r="I58" i="3" s="1"/>
  <c r="H54" i="3"/>
  <c r="I54" i="3" s="1"/>
  <c r="H50" i="3"/>
  <c r="I50" i="3" s="1"/>
  <c r="H33" i="3"/>
  <c r="I33" i="3" s="1"/>
  <c r="H31" i="3"/>
  <c r="I31" i="3" s="1"/>
  <c r="H29" i="3"/>
  <c r="I29" i="3" s="1"/>
  <c r="H27" i="3"/>
  <c r="I27" i="3" s="1"/>
  <c r="H25" i="3"/>
  <c r="I25" i="3" s="1"/>
  <c r="H13" i="3"/>
  <c r="I13" i="3" s="1"/>
  <c r="H49" i="3"/>
  <c r="I49" i="3" s="1"/>
  <c r="H45" i="3"/>
  <c r="I45" i="3" s="1"/>
  <c r="H41" i="3"/>
  <c r="I41" i="3" s="1"/>
  <c r="H40" i="3"/>
  <c r="I40" i="3" s="1"/>
  <c r="H37" i="3"/>
  <c r="I37" i="3" s="1"/>
  <c r="H20" i="3"/>
  <c r="I20" i="3" s="1"/>
  <c r="H16" i="3"/>
  <c r="I16" i="3" s="1"/>
  <c r="H12" i="3"/>
  <c r="I12" i="3" s="1"/>
  <c r="H18" i="3"/>
  <c r="I18" i="3" s="1"/>
  <c r="H14" i="3"/>
  <c r="I14" i="3" s="1"/>
  <c r="H23" i="3"/>
  <c r="I23" i="3" s="1"/>
  <c r="H10" i="3"/>
  <c r="I10" i="3" s="1"/>
  <c r="H9" i="3"/>
  <c r="I9" i="3" s="1"/>
  <c r="H8" i="3"/>
  <c r="I8" i="3" s="1"/>
  <c r="K15" i="3" l="1"/>
  <c r="L15" i="3" s="1"/>
  <c r="M15" i="3" s="1"/>
  <c r="N15" i="3" s="1"/>
  <c r="O15" i="3" s="1"/>
  <c r="P15" i="3" s="1"/>
  <c r="H123" i="3"/>
  <c r="I123" i="3" s="1"/>
  <c r="J94" i="3"/>
  <c r="L94" i="3" s="1"/>
  <c r="M94" i="3" s="1"/>
  <c r="N94" i="3" s="1"/>
  <c r="O94" i="3" s="1"/>
  <c r="P94" i="3" s="1"/>
  <c r="J102" i="3"/>
  <c r="L68" i="3"/>
  <c r="M68" i="3" s="1"/>
  <c r="N68" i="3" s="1"/>
  <c r="O68" i="3" s="1"/>
  <c r="P68" i="3" s="1"/>
  <c r="L104" i="3"/>
  <c r="M104" i="3" s="1"/>
  <c r="N104" i="3" s="1"/>
  <c r="O104" i="3" s="1"/>
  <c r="P104" i="3" s="1"/>
  <c r="L19" i="3"/>
  <c r="M19" i="3" s="1"/>
  <c r="N19" i="3" s="1"/>
  <c r="O19" i="3" s="1"/>
  <c r="P19" i="3" s="1"/>
  <c r="L102" i="3"/>
  <c r="M102" i="3" s="1"/>
  <c r="N102" i="3" s="1"/>
  <c r="O102" i="3" s="1"/>
  <c r="P102" i="3" s="1"/>
  <c r="L22" i="3"/>
  <c r="M22" i="3" s="1"/>
  <c r="N22" i="3" s="1"/>
  <c r="O22" i="3" s="1"/>
  <c r="P22" i="3" s="1"/>
  <c r="J23" i="3"/>
  <c r="K23" i="3"/>
  <c r="K36" i="3"/>
  <c r="J36" i="3"/>
  <c r="K40" i="3"/>
  <c r="J40" i="3"/>
  <c r="K45" i="3"/>
  <c r="J45" i="3"/>
  <c r="K49" i="3"/>
  <c r="J49" i="3"/>
  <c r="J27" i="3"/>
  <c r="K27" i="3"/>
  <c r="K31" i="3"/>
  <c r="J31" i="3"/>
  <c r="K50" i="3"/>
  <c r="J50" i="3"/>
  <c r="K54" i="3"/>
  <c r="J54" i="3"/>
  <c r="K58" i="3"/>
  <c r="J58" i="3"/>
  <c r="J62" i="3"/>
  <c r="K62" i="3"/>
  <c r="J17" i="3"/>
  <c r="K17" i="3"/>
  <c r="K39" i="3"/>
  <c r="J39" i="3"/>
  <c r="K46" i="3"/>
  <c r="J46" i="3"/>
  <c r="K52" i="3"/>
  <c r="J52" i="3"/>
  <c r="J60" i="3"/>
  <c r="K60" i="3"/>
  <c r="J67" i="3"/>
  <c r="K67" i="3"/>
  <c r="J69" i="3"/>
  <c r="K69" i="3"/>
  <c r="J73" i="3"/>
  <c r="K73" i="3"/>
  <c r="J77" i="3"/>
  <c r="K77" i="3"/>
  <c r="J81" i="3"/>
  <c r="K81" i="3"/>
  <c r="J87" i="3"/>
  <c r="K87" i="3"/>
  <c r="J106" i="3"/>
  <c r="K106" i="3"/>
  <c r="J108" i="3"/>
  <c r="K108" i="3"/>
  <c r="J110" i="3"/>
  <c r="K110" i="3"/>
  <c r="J112" i="3"/>
  <c r="K112" i="3"/>
  <c r="J114" i="3"/>
  <c r="K114" i="3"/>
  <c r="J116" i="3"/>
  <c r="K116" i="3"/>
  <c r="J118" i="3"/>
  <c r="K118" i="3"/>
  <c r="J105" i="3"/>
  <c r="K105" i="3"/>
  <c r="J78" i="3"/>
  <c r="K78" i="3"/>
  <c r="J113" i="3"/>
  <c r="K113" i="3"/>
  <c r="J120" i="3"/>
  <c r="K120" i="3"/>
  <c r="J124" i="3"/>
  <c r="K124" i="3"/>
  <c r="J107" i="3"/>
  <c r="K107" i="3"/>
  <c r="J117" i="3"/>
  <c r="K117" i="3"/>
  <c r="J122" i="3"/>
  <c r="K122" i="3"/>
  <c r="J111" i="3"/>
  <c r="K111" i="3"/>
  <c r="J90" i="3"/>
  <c r="K90" i="3"/>
  <c r="J100" i="3"/>
  <c r="K100" i="3"/>
  <c r="J72" i="3"/>
  <c r="K72" i="3"/>
  <c r="J82" i="3"/>
  <c r="K82" i="3"/>
  <c r="K51" i="3"/>
  <c r="J51" i="3"/>
  <c r="K59" i="3"/>
  <c r="J59" i="3"/>
  <c r="J24" i="3"/>
  <c r="K24" i="3"/>
  <c r="K32" i="3"/>
  <c r="J32" i="3"/>
  <c r="J96" i="3"/>
  <c r="K96" i="3"/>
  <c r="K44" i="3"/>
  <c r="J44" i="3"/>
  <c r="J98" i="3"/>
  <c r="K98" i="3"/>
  <c r="J11" i="3"/>
  <c r="K11" i="3"/>
  <c r="N79" i="3"/>
  <c r="O79" i="3" s="1"/>
  <c r="P79" i="3" s="1"/>
  <c r="L86" i="3"/>
  <c r="M86" i="3" s="1"/>
  <c r="L125" i="3"/>
  <c r="M125" i="3" s="1"/>
  <c r="N125" i="3" s="1"/>
  <c r="O125" i="3" s="1"/>
  <c r="P125" i="3" s="1"/>
  <c r="J14" i="3"/>
  <c r="K14" i="3"/>
  <c r="J18" i="3"/>
  <c r="K18" i="3"/>
  <c r="J12" i="3"/>
  <c r="K12" i="3"/>
  <c r="J16" i="3"/>
  <c r="K16" i="3"/>
  <c r="J20" i="3"/>
  <c r="K20" i="3"/>
  <c r="K37" i="3"/>
  <c r="J37" i="3"/>
  <c r="K41" i="3"/>
  <c r="J41" i="3"/>
  <c r="K48" i="3"/>
  <c r="J48" i="3"/>
  <c r="J13" i="3"/>
  <c r="K13" i="3"/>
  <c r="J25" i="3"/>
  <c r="K25" i="3"/>
  <c r="K29" i="3"/>
  <c r="J29" i="3"/>
  <c r="K33" i="3"/>
  <c r="J33" i="3"/>
  <c r="K57" i="3"/>
  <c r="J57" i="3"/>
  <c r="J74" i="3"/>
  <c r="K74" i="3"/>
  <c r="J65" i="3"/>
  <c r="K65" i="3"/>
  <c r="K35" i="3"/>
  <c r="J35" i="3"/>
  <c r="K43" i="3"/>
  <c r="J43" i="3"/>
  <c r="K47" i="3"/>
  <c r="J47" i="3"/>
  <c r="K56" i="3"/>
  <c r="J56" i="3"/>
  <c r="J64" i="3"/>
  <c r="K64" i="3"/>
  <c r="J21" i="3"/>
  <c r="K21" i="3"/>
  <c r="J83" i="3"/>
  <c r="K83" i="3"/>
  <c r="J85" i="3"/>
  <c r="K85" i="3"/>
  <c r="J66" i="3"/>
  <c r="K66" i="3"/>
  <c r="J71" i="3"/>
  <c r="K71" i="3"/>
  <c r="J75" i="3"/>
  <c r="K75" i="3"/>
  <c r="J115" i="3"/>
  <c r="K115" i="3"/>
  <c r="J109" i="3"/>
  <c r="K109" i="3"/>
  <c r="J119" i="3"/>
  <c r="K119" i="3"/>
  <c r="J92" i="3"/>
  <c r="K92" i="3"/>
  <c r="K53" i="3"/>
  <c r="J53" i="3"/>
  <c r="J61" i="3"/>
  <c r="K61" i="3"/>
  <c r="J76" i="3"/>
  <c r="K76" i="3"/>
  <c r="J123" i="3"/>
  <c r="K123" i="3"/>
  <c r="J80" i="3"/>
  <c r="K80" i="3"/>
  <c r="K55" i="3"/>
  <c r="J55" i="3"/>
  <c r="J63" i="3"/>
  <c r="K63" i="3"/>
  <c r="J26" i="3"/>
  <c r="K26" i="3"/>
  <c r="K34" i="3"/>
  <c r="J34" i="3"/>
  <c r="J121" i="3"/>
  <c r="K121" i="3"/>
  <c r="J126" i="3"/>
  <c r="K126" i="3"/>
  <c r="J88" i="3"/>
  <c r="K88" i="3"/>
  <c r="K30" i="3"/>
  <c r="J30" i="3"/>
  <c r="J84" i="3"/>
  <c r="K84" i="3"/>
  <c r="K28" i="3"/>
  <c r="J28" i="3"/>
  <c r="K10" i="3"/>
  <c r="J10" i="3"/>
  <c r="K9" i="3"/>
  <c r="J9" i="3"/>
  <c r="J8" i="3"/>
  <c r="K8" i="3"/>
  <c r="H38" i="3"/>
  <c r="I38" i="3" s="1"/>
  <c r="H42" i="3"/>
  <c r="I42" i="3" s="1"/>
  <c r="H70" i="3"/>
  <c r="I70" i="3" s="1"/>
  <c r="H89" i="3"/>
  <c r="I89" i="3" s="1"/>
  <c r="H91" i="3"/>
  <c r="I91" i="3" s="1"/>
  <c r="H93" i="3"/>
  <c r="I93" i="3" s="1"/>
  <c r="H95" i="3"/>
  <c r="I95" i="3" s="1"/>
  <c r="H97" i="3"/>
  <c r="I97" i="3" s="1"/>
  <c r="H99" i="3"/>
  <c r="I99" i="3" s="1"/>
  <c r="H101" i="3"/>
  <c r="I101" i="3" s="1"/>
  <c r="H103" i="3"/>
  <c r="I103" i="3" s="1"/>
  <c r="L9" i="3" l="1"/>
  <c r="M9" i="3" s="1"/>
  <c r="N9" i="3" s="1"/>
  <c r="O9" i="3" s="1"/>
  <c r="P9" i="3" s="1"/>
  <c r="L84" i="3"/>
  <c r="M84" i="3" s="1"/>
  <c r="N84" i="3" s="1"/>
  <c r="O84" i="3" s="1"/>
  <c r="P84" i="3" s="1"/>
  <c r="L88" i="3"/>
  <c r="M88" i="3" s="1"/>
  <c r="N88" i="3" s="1"/>
  <c r="O88" i="3" s="1"/>
  <c r="P88" i="3" s="1"/>
  <c r="L126" i="3"/>
  <c r="M126" i="3" s="1"/>
  <c r="N126" i="3" s="1"/>
  <c r="O126" i="3" s="1"/>
  <c r="P126" i="3" s="1"/>
  <c r="L121" i="3"/>
  <c r="M121" i="3" s="1"/>
  <c r="N121" i="3" s="1"/>
  <c r="O121" i="3" s="1"/>
  <c r="P121" i="3" s="1"/>
  <c r="L26" i="3"/>
  <c r="M26" i="3" s="1"/>
  <c r="N26" i="3" s="1"/>
  <c r="O26" i="3" s="1"/>
  <c r="P26" i="3" s="1"/>
  <c r="L63" i="3"/>
  <c r="M63" i="3" s="1"/>
  <c r="N63" i="3" s="1"/>
  <c r="O63" i="3" s="1"/>
  <c r="P63" i="3" s="1"/>
  <c r="L80" i="3"/>
  <c r="M80" i="3" s="1"/>
  <c r="N80" i="3" s="1"/>
  <c r="O80" i="3" s="1"/>
  <c r="P80" i="3" s="1"/>
  <c r="L123" i="3"/>
  <c r="M123" i="3" s="1"/>
  <c r="N123" i="3" s="1"/>
  <c r="O123" i="3" s="1"/>
  <c r="P123" i="3" s="1"/>
  <c r="L76" i="3"/>
  <c r="M76" i="3" s="1"/>
  <c r="N76" i="3" s="1"/>
  <c r="O76" i="3" s="1"/>
  <c r="P76" i="3" s="1"/>
  <c r="L61" i="3"/>
  <c r="M61" i="3" s="1"/>
  <c r="N61" i="3" s="1"/>
  <c r="O61" i="3" s="1"/>
  <c r="P61" i="3" s="1"/>
  <c r="L92" i="3"/>
  <c r="M92" i="3" s="1"/>
  <c r="N92" i="3" s="1"/>
  <c r="O92" i="3" s="1"/>
  <c r="P92" i="3" s="1"/>
  <c r="L119" i="3"/>
  <c r="M119" i="3" s="1"/>
  <c r="N119" i="3" s="1"/>
  <c r="O119" i="3" s="1"/>
  <c r="P119" i="3" s="1"/>
  <c r="L109" i="3"/>
  <c r="M109" i="3" s="1"/>
  <c r="N109" i="3" s="1"/>
  <c r="O109" i="3" s="1"/>
  <c r="P109" i="3" s="1"/>
  <c r="L115" i="3"/>
  <c r="M115" i="3" s="1"/>
  <c r="N115" i="3" s="1"/>
  <c r="O115" i="3" s="1"/>
  <c r="P115" i="3" s="1"/>
  <c r="L75" i="3"/>
  <c r="M75" i="3" s="1"/>
  <c r="N75" i="3" s="1"/>
  <c r="O75" i="3" s="1"/>
  <c r="P75" i="3" s="1"/>
  <c r="L71" i="3"/>
  <c r="M71" i="3" s="1"/>
  <c r="N71" i="3" s="1"/>
  <c r="O71" i="3" s="1"/>
  <c r="P71" i="3" s="1"/>
  <c r="L66" i="3"/>
  <c r="M66" i="3" s="1"/>
  <c r="L85" i="3"/>
  <c r="M85" i="3" s="1"/>
  <c r="N85" i="3" s="1"/>
  <c r="O85" i="3" s="1"/>
  <c r="P85" i="3" s="1"/>
  <c r="L83" i="3"/>
  <c r="M83" i="3" s="1"/>
  <c r="N83" i="3" s="1"/>
  <c r="O83" i="3" s="1"/>
  <c r="P83" i="3" s="1"/>
  <c r="L21" i="3"/>
  <c r="M21" i="3" s="1"/>
  <c r="N21" i="3" s="1"/>
  <c r="O21" i="3" s="1"/>
  <c r="P21" i="3" s="1"/>
  <c r="L64" i="3"/>
  <c r="M64" i="3" s="1"/>
  <c r="L65" i="3"/>
  <c r="M65" i="3" s="1"/>
  <c r="N65" i="3" s="1"/>
  <c r="O65" i="3" s="1"/>
  <c r="P65" i="3" s="1"/>
  <c r="L74" i="3"/>
  <c r="M74" i="3" s="1"/>
  <c r="N74" i="3" s="1"/>
  <c r="O74" i="3" s="1"/>
  <c r="P74" i="3" s="1"/>
  <c r="L25" i="3"/>
  <c r="M25" i="3" s="1"/>
  <c r="N25" i="3" s="1"/>
  <c r="O25" i="3" s="1"/>
  <c r="P25" i="3" s="1"/>
  <c r="L13" i="3"/>
  <c r="M13" i="3" s="1"/>
  <c r="N13" i="3" s="1"/>
  <c r="O13" i="3" s="1"/>
  <c r="P13" i="3" s="1"/>
  <c r="L20" i="3"/>
  <c r="M20" i="3" s="1"/>
  <c r="N20" i="3" s="1"/>
  <c r="O20" i="3" s="1"/>
  <c r="P20" i="3" s="1"/>
  <c r="L16" i="3"/>
  <c r="M16" i="3" s="1"/>
  <c r="N16" i="3" s="1"/>
  <c r="O16" i="3" s="1"/>
  <c r="P16" i="3" s="1"/>
  <c r="L12" i="3"/>
  <c r="M12" i="3" s="1"/>
  <c r="N12" i="3" s="1"/>
  <c r="O12" i="3" s="1"/>
  <c r="P12" i="3" s="1"/>
  <c r="L18" i="3"/>
  <c r="M18" i="3" s="1"/>
  <c r="N18" i="3" s="1"/>
  <c r="O18" i="3" s="1"/>
  <c r="P18" i="3" s="1"/>
  <c r="L14" i="3"/>
  <c r="M14" i="3" s="1"/>
  <c r="N14" i="3" s="1"/>
  <c r="O14" i="3" s="1"/>
  <c r="P14" i="3" s="1"/>
  <c r="L78" i="3"/>
  <c r="M78" i="3" s="1"/>
  <c r="N78" i="3" s="1"/>
  <c r="O78" i="3" s="1"/>
  <c r="P78" i="3" s="1"/>
  <c r="L105" i="3"/>
  <c r="M105" i="3" s="1"/>
  <c r="N105" i="3" s="1"/>
  <c r="O105" i="3" s="1"/>
  <c r="P105" i="3" s="1"/>
  <c r="L118" i="3"/>
  <c r="M118" i="3" s="1"/>
  <c r="L116" i="3"/>
  <c r="M116" i="3" s="1"/>
  <c r="N116" i="3" s="1"/>
  <c r="O116" i="3" s="1"/>
  <c r="P116" i="3" s="1"/>
  <c r="L114" i="3"/>
  <c r="M114" i="3" s="1"/>
  <c r="L112" i="3"/>
  <c r="M112" i="3" s="1"/>
  <c r="N112" i="3" s="1"/>
  <c r="O112" i="3" s="1"/>
  <c r="P112" i="3" s="1"/>
  <c r="L110" i="3"/>
  <c r="M110" i="3" s="1"/>
  <c r="L108" i="3"/>
  <c r="M108" i="3" s="1"/>
  <c r="N108" i="3" s="1"/>
  <c r="O108" i="3" s="1"/>
  <c r="P108" i="3" s="1"/>
  <c r="L106" i="3"/>
  <c r="M106" i="3" s="1"/>
  <c r="L87" i="3"/>
  <c r="M87" i="3" s="1"/>
  <c r="N87" i="3" s="1"/>
  <c r="O87" i="3" s="1"/>
  <c r="P87" i="3" s="1"/>
  <c r="L81" i="3"/>
  <c r="M81" i="3" s="1"/>
  <c r="N81" i="3" s="1"/>
  <c r="O81" i="3" s="1"/>
  <c r="P81" i="3" s="1"/>
  <c r="L77" i="3"/>
  <c r="M77" i="3" s="1"/>
  <c r="N77" i="3" s="1"/>
  <c r="O77" i="3" s="1"/>
  <c r="P77" i="3" s="1"/>
  <c r="L73" i="3"/>
  <c r="M73" i="3" s="1"/>
  <c r="N73" i="3" s="1"/>
  <c r="O73" i="3" s="1"/>
  <c r="P73" i="3" s="1"/>
  <c r="L69" i="3"/>
  <c r="M69" i="3" s="1"/>
  <c r="N69" i="3" s="1"/>
  <c r="O69" i="3" s="1"/>
  <c r="P69" i="3" s="1"/>
  <c r="L67" i="3"/>
  <c r="M67" i="3" s="1"/>
  <c r="N67" i="3" s="1"/>
  <c r="O67" i="3" s="1"/>
  <c r="P67" i="3" s="1"/>
  <c r="L60" i="3"/>
  <c r="M60" i="3" s="1"/>
  <c r="N60" i="3" s="1"/>
  <c r="O60" i="3" s="1"/>
  <c r="P60" i="3" s="1"/>
  <c r="L17" i="3"/>
  <c r="M17" i="3" s="1"/>
  <c r="N17" i="3" s="1"/>
  <c r="O17" i="3" s="1"/>
  <c r="P17" i="3" s="1"/>
  <c r="L62" i="3"/>
  <c r="M62" i="3" s="1"/>
  <c r="N62" i="3" s="1"/>
  <c r="O62" i="3" s="1"/>
  <c r="P62" i="3" s="1"/>
  <c r="L27" i="3"/>
  <c r="M27" i="3" s="1"/>
  <c r="N27" i="3" s="1"/>
  <c r="O27" i="3" s="1"/>
  <c r="P27" i="3" s="1"/>
  <c r="L23" i="3"/>
  <c r="M23" i="3" s="1"/>
  <c r="N23" i="3" s="1"/>
  <c r="O23" i="3" s="1"/>
  <c r="P23" i="3" s="1"/>
  <c r="L44" i="3"/>
  <c r="M44" i="3" s="1"/>
  <c r="N44" i="3" s="1"/>
  <c r="O44" i="3" s="1"/>
  <c r="P44" i="3" s="1"/>
  <c r="L32" i="3"/>
  <c r="M32" i="3" s="1"/>
  <c r="N32" i="3" s="1"/>
  <c r="O32" i="3" s="1"/>
  <c r="P32" i="3" s="1"/>
  <c r="L59" i="3"/>
  <c r="M59" i="3" s="1"/>
  <c r="N59" i="3" s="1"/>
  <c r="O59" i="3" s="1"/>
  <c r="P59" i="3" s="1"/>
  <c r="L51" i="3"/>
  <c r="M51" i="3" s="1"/>
  <c r="N51" i="3" s="1"/>
  <c r="O51" i="3" s="1"/>
  <c r="P51" i="3" s="1"/>
  <c r="J103" i="3"/>
  <c r="K103" i="3"/>
  <c r="J101" i="3"/>
  <c r="K101" i="3"/>
  <c r="J99" i="3"/>
  <c r="K99" i="3"/>
  <c r="J97" i="3"/>
  <c r="K97" i="3"/>
  <c r="J95" i="3"/>
  <c r="K95" i="3"/>
  <c r="J91" i="3"/>
  <c r="K91" i="3"/>
  <c r="J89" i="3"/>
  <c r="K89" i="3"/>
  <c r="K42" i="3"/>
  <c r="J42" i="3"/>
  <c r="J70" i="3"/>
  <c r="K70" i="3"/>
  <c r="K38" i="3"/>
  <c r="J38" i="3"/>
  <c r="L28" i="3"/>
  <c r="M28" i="3" s="1"/>
  <c r="L30" i="3"/>
  <c r="M30" i="3" s="1"/>
  <c r="L34" i="3"/>
  <c r="M34" i="3" s="1"/>
  <c r="L55" i="3"/>
  <c r="M55" i="3" s="1"/>
  <c r="L53" i="3"/>
  <c r="M53" i="3" s="1"/>
  <c r="L56" i="3"/>
  <c r="M56" i="3" s="1"/>
  <c r="L47" i="3"/>
  <c r="M47" i="3" s="1"/>
  <c r="L43" i="3"/>
  <c r="M43" i="3" s="1"/>
  <c r="L35" i="3"/>
  <c r="M35" i="3" s="1"/>
  <c r="L57" i="3"/>
  <c r="M57" i="3" s="1"/>
  <c r="L33" i="3"/>
  <c r="M33" i="3" s="1"/>
  <c r="L29" i="3"/>
  <c r="M29" i="3" s="1"/>
  <c r="L48" i="3"/>
  <c r="M48" i="3" s="1"/>
  <c r="L41" i="3"/>
  <c r="M41" i="3" s="1"/>
  <c r="L37" i="3"/>
  <c r="M37" i="3" s="1"/>
  <c r="L11" i="3"/>
  <c r="M11" i="3" s="1"/>
  <c r="N11" i="3" s="1"/>
  <c r="O11" i="3" s="1"/>
  <c r="P11" i="3" s="1"/>
  <c r="L98" i="3"/>
  <c r="M98" i="3" s="1"/>
  <c r="L96" i="3"/>
  <c r="M96" i="3" s="1"/>
  <c r="L24" i="3"/>
  <c r="M24" i="3" s="1"/>
  <c r="N24" i="3" s="1"/>
  <c r="O24" i="3" s="1"/>
  <c r="P24" i="3" s="1"/>
  <c r="L82" i="3"/>
  <c r="M82" i="3" s="1"/>
  <c r="L72" i="3"/>
  <c r="M72" i="3" s="1"/>
  <c r="L100" i="3"/>
  <c r="M100" i="3" s="1"/>
  <c r="L90" i="3"/>
  <c r="M90" i="3" s="1"/>
  <c r="L111" i="3"/>
  <c r="M111" i="3" s="1"/>
  <c r="L122" i="3"/>
  <c r="M122" i="3" s="1"/>
  <c r="L117" i="3"/>
  <c r="M117" i="3" s="1"/>
  <c r="L107" i="3"/>
  <c r="M107" i="3" s="1"/>
  <c r="L124" i="3"/>
  <c r="M124" i="3" s="1"/>
  <c r="N124" i="3" s="1"/>
  <c r="O124" i="3" s="1"/>
  <c r="P124" i="3" s="1"/>
  <c r="L120" i="3"/>
  <c r="M120" i="3" s="1"/>
  <c r="L113" i="3"/>
  <c r="M113" i="3" s="1"/>
  <c r="L52" i="3"/>
  <c r="M52" i="3" s="1"/>
  <c r="L46" i="3"/>
  <c r="M46" i="3" s="1"/>
  <c r="L39" i="3"/>
  <c r="M39" i="3" s="1"/>
  <c r="L58" i="3"/>
  <c r="M58" i="3" s="1"/>
  <c r="L54" i="3"/>
  <c r="M54" i="3" s="1"/>
  <c r="L50" i="3"/>
  <c r="M50" i="3" s="1"/>
  <c r="L31" i="3"/>
  <c r="M31" i="3" s="1"/>
  <c r="L49" i="3"/>
  <c r="M49" i="3" s="1"/>
  <c r="L45" i="3"/>
  <c r="M45" i="3" s="1"/>
  <c r="L40" i="3"/>
  <c r="M40" i="3" s="1"/>
  <c r="L36" i="3"/>
  <c r="M36" i="3" s="1"/>
  <c r="J93" i="3"/>
  <c r="K93" i="3"/>
  <c r="N86" i="3"/>
  <c r="O86" i="3" s="1"/>
  <c r="P86" i="3" s="1"/>
  <c r="L10" i="3"/>
  <c r="M10" i="3" s="1"/>
  <c r="N10" i="3" s="1"/>
  <c r="O10" i="3" s="1"/>
  <c r="P10" i="3" s="1"/>
  <c r="L8" i="3"/>
  <c r="M8" i="3" s="1"/>
  <c r="N8" i="3" s="1"/>
  <c r="O8" i="3" s="1"/>
  <c r="P8" i="3" s="1"/>
  <c r="L89" i="3" l="1"/>
  <c r="M89" i="3" s="1"/>
  <c r="L91" i="3"/>
  <c r="M91" i="3" s="1"/>
  <c r="N91" i="3" s="1"/>
  <c r="O91" i="3" s="1"/>
  <c r="P91" i="3" s="1"/>
  <c r="N106" i="3"/>
  <c r="O106" i="3" s="1"/>
  <c r="P106" i="3" s="1"/>
  <c r="N110" i="3"/>
  <c r="O110" i="3" s="1"/>
  <c r="P110" i="3" s="1"/>
  <c r="N114" i="3"/>
  <c r="O114" i="3" s="1"/>
  <c r="P114" i="3" s="1"/>
  <c r="N118" i="3"/>
  <c r="O118" i="3" s="1"/>
  <c r="P118" i="3" s="1"/>
  <c r="N64" i="3"/>
  <c r="O64" i="3" s="1"/>
  <c r="P64" i="3" s="1"/>
  <c r="N66" i="3"/>
  <c r="O66" i="3" s="1"/>
  <c r="P66" i="3" s="1"/>
  <c r="L95" i="3"/>
  <c r="M95" i="3" s="1"/>
  <c r="N95" i="3" s="1"/>
  <c r="O95" i="3" s="1"/>
  <c r="P95" i="3" s="1"/>
  <c r="L97" i="3"/>
  <c r="M97" i="3" s="1"/>
  <c r="L99" i="3"/>
  <c r="M99" i="3" s="1"/>
  <c r="N99" i="3" s="1"/>
  <c r="O99" i="3" s="1"/>
  <c r="P99" i="3" s="1"/>
  <c r="L101" i="3"/>
  <c r="M101" i="3" s="1"/>
  <c r="N101" i="3" s="1"/>
  <c r="O101" i="3" s="1"/>
  <c r="P101" i="3" s="1"/>
  <c r="L70" i="3"/>
  <c r="M70" i="3" s="1"/>
  <c r="N70" i="3" s="1"/>
  <c r="L93" i="3"/>
  <c r="M93" i="3" s="1"/>
  <c r="N40" i="3"/>
  <c r="O40" i="3" s="1"/>
  <c r="P40" i="3" s="1"/>
  <c r="N49" i="3"/>
  <c r="O49" i="3" s="1"/>
  <c r="P49" i="3" s="1"/>
  <c r="N50" i="3"/>
  <c r="O50" i="3" s="1"/>
  <c r="P50" i="3" s="1"/>
  <c r="N58" i="3"/>
  <c r="O58" i="3" s="1"/>
  <c r="P58" i="3" s="1"/>
  <c r="N46" i="3"/>
  <c r="O46" i="3" s="1"/>
  <c r="P46" i="3" s="1"/>
  <c r="N113" i="3"/>
  <c r="O113" i="3" s="1"/>
  <c r="P113" i="3" s="1"/>
  <c r="N117" i="3"/>
  <c r="O117" i="3" s="1"/>
  <c r="P117" i="3" s="1"/>
  <c r="N111" i="3"/>
  <c r="O111" i="3" s="1"/>
  <c r="P111" i="3" s="1"/>
  <c r="N100" i="3"/>
  <c r="O100" i="3" s="1"/>
  <c r="P100" i="3" s="1"/>
  <c r="N82" i="3"/>
  <c r="O82" i="3" s="1"/>
  <c r="P82" i="3" s="1"/>
  <c r="N96" i="3"/>
  <c r="O96" i="3" s="1"/>
  <c r="P96" i="3" s="1"/>
  <c r="N41" i="3"/>
  <c r="O41" i="3" s="1"/>
  <c r="P41" i="3" s="1"/>
  <c r="N29" i="3"/>
  <c r="O29" i="3" s="1"/>
  <c r="P29" i="3" s="1"/>
  <c r="N57" i="3"/>
  <c r="O57" i="3" s="1"/>
  <c r="P57" i="3" s="1"/>
  <c r="N43" i="3"/>
  <c r="O43" i="3" s="1"/>
  <c r="P43" i="3" s="1"/>
  <c r="N56" i="3"/>
  <c r="O56" i="3" s="1"/>
  <c r="P56" i="3" s="1"/>
  <c r="N55" i="3"/>
  <c r="O55" i="3" s="1"/>
  <c r="P55" i="3" s="1"/>
  <c r="N30" i="3"/>
  <c r="O30" i="3" s="1"/>
  <c r="P30" i="3" s="1"/>
  <c r="L38" i="3"/>
  <c r="M38" i="3" s="1"/>
  <c r="L42" i="3"/>
  <c r="M42" i="3" s="1"/>
  <c r="N36" i="3"/>
  <c r="O36" i="3" s="1"/>
  <c r="P36" i="3" s="1"/>
  <c r="N45" i="3"/>
  <c r="O45" i="3" s="1"/>
  <c r="P45" i="3" s="1"/>
  <c r="N31" i="3"/>
  <c r="O31" i="3" s="1"/>
  <c r="P31" i="3" s="1"/>
  <c r="N54" i="3"/>
  <c r="O54" i="3" s="1"/>
  <c r="P54" i="3" s="1"/>
  <c r="N39" i="3"/>
  <c r="O39" i="3" s="1"/>
  <c r="P39" i="3" s="1"/>
  <c r="N52" i="3"/>
  <c r="O52" i="3" s="1"/>
  <c r="P52" i="3" s="1"/>
  <c r="N120" i="3"/>
  <c r="O120" i="3" s="1"/>
  <c r="P120" i="3" s="1"/>
  <c r="N107" i="3"/>
  <c r="O107" i="3" s="1"/>
  <c r="P107" i="3" s="1"/>
  <c r="N122" i="3"/>
  <c r="O122" i="3" s="1"/>
  <c r="P122" i="3" s="1"/>
  <c r="N90" i="3"/>
  <c r="O90" i="3" s="1"/>
  <c r="P90" i="3" s="1"/>
  <c r="N72" i="3"/>
  <c r="O72" i="3" s="1"/>
  <c r="P72" i="3" s="1"/>
  <c r="N98" i="3"/>
  <c r="O98" i="3" s="1"/>
  <c r="P98" i="3" s="1"/>
  <c r="N37" i="3"/>
  <c r="O37" i="3" s="1"/>
  <c r="P37" i="3" s="1"/>
  <c r="N48" i="3"/>
  <c r="O48" i="3" s="1"/>
  <c r="P48" i="3" s="1"/>
  <c r="N33" i="3"/>
  <c r="O33" i="3" s="1"/>
  <c r="P33" i="3" s="1"/>
  <c r="N35" i="3"/>
  <c r="O35" i="3" s="1"/>
  <c r="P35" i="3" s="1"/>
  <c r="N47" i="3"/>
  <c r="O47" i="3" s="1"/>
  <c r="P47" i="3" s="1"/>
  <c r="N53" i="3"/>
  <c r="O53" i="3" s="1"/>
  <c r="P53" i="3" s="1"/>
  <c r="N34" i="3"/>
  <c r="O34" i="3" s="1"/>
  <c r="P34" i="3" s="1"/>
  <c r="N28" i="3"/>
  <c r="O28" i="3" s="1"/>
  <c r="P28" i="3" s="1"/>
  <c r="N89" i="3"/>
  <c r="O89" i="3" s="1"/>
  <c r="P89" i="3" s="1"/>
  <c r="N97" i="3"/>
  <c r="O97" i="3" s="1"/>
  <c r="P97" i="3" s="1"/>
  <c r="L103" i="3"/>
  <c r="M103" i="3" s="1"/>
  <c r="O70" i="3" l="1"/>
  <c r="P70" i="3" s="1"/>
  <c r="N93" i="3"/>
  <c r="O93" i="3" s="1"/>
  <c r="P93" i="3" s="1"/>
  <c r="N42" i="3"/>
  <c r="O42" i="3" s="1"/>
  <c r="P42" i="3" s="1"/>
  <c r="N103" i="3"/>
  <c r="O103" i="3" s="1"/>
  <c r="P103" i="3" s="1"/>
  <c r="N38" i="3"/>
  <c r="O38" i="3" s="1"/>
  <c r="P38" i="3" s="1"/>
  <c r="P6" i="4"/>
  <c r="M6" i="4"/>
  <c r="Z6" i="4" l="1"/>
  <c r="S6" i="4"/>
  <c r="T6" i="4" s="1"/>
  <c r="Q6" i="4"/>
  <c r="N6" i="4"/>
  <c r="U6" i="4" l="1"/>
  <c r="AB6" i="4"/>
  <c r="X8" i="2"/>
  <c r="Z8" i="2" s="1"/>
  <c r="U8" i="2"/>
  <c r="V8" i="2" s="1"/>
  <c r="S8" i="2"/>
  <c r="P8" i="2"/>
  <c r="M8" i="2"/>
  <c r="AB8" i="2" l="1"/>
  <c r="AD8" i="2" s="1"/>
  <c r="W8" i="2"/>
  <c r="AK6" i="4"/>
  <c r="AJ6" i="4"/>
  <c r="AI6" i="4"/>
  <c r="AD6" i="4"/>
  <c r="AC6" i="4" l="1"/>
  <c r="H7" i="3"/>
  <c r="I7" i="3" s="1"/>
  <c r="AL6" i="4"/>
  <c r="K7" i="3" l="1"/>
  <c r="J7" i="3"/>
  <c r="H6" i="3"/>
  <c r="I6" i="3" s="1"/>
  <c r="J6" i="3" s="1"/>
  <c r="L7" i="3" l="1"/>
  <c r="M7" i="3" s="1"/>
  <c r="N7" i="3" s="1"/>
  <c r="O7" i="3" s="1"/>
  <c r="P7" i="3" s="1"/>
  <c r="K6" i="3"/>
  <c r="L6" i="3" s="1"/>
  <c r="M6" i="3" l="1"/>
  <c r="N6" i="3" s="1"/>
  <c r="O6" i="3" s="1"/>
  <c r="P6" i="3" s="1"/>
  <c r="AE6" i="4" l="1"/>
  <c r="AF6" i="4" s="1"/>
  <c r="AH6" i="4" s="1"/>
  <c r="AM6" i="4" l="1"/>
  <c r="AQ6" i="4" l="1"/>
  <c r="AR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X8" authorId="0" shapeId="0" xr:uid="{E3D35FCB-B6C4-4C25-ABC4-FD29FB14536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Nbr jr x course</t>
        </r>
      </text>
    </comment>
  </commentList>
</comments>
</file>

<file path=xl/sharedStrings.xml><?xml version="1.0" encoding="utf-8"?>
<sst xmlns="http://schemas.openxmlformats.org/spreadsheetml/2006/main" count="373" uniqueCount="188">
  <si>
    <t>JOURS FERIES</t>
  </si>
  <si>
    <t>JOURS CONGES</t>
  </si>
  <si>
    <t>Brut Impos</t>
  </si>
  <si>
    <t>Sal Impos</t>
  </si>
  <si>
    <t>Net à Payer</t>
  </si>
  <si>
    <t>Gross Salary</t>
  </si>
  <si>
    <t>CLASSE</t>
  </si>
  <si>
    <t>JOURS MALADIES</t>
  </si>
  <si>
    <t>INDEMNITES</t>
  </si>
  <si>
    <t>M.B</t>
  </si>
  <si>
    <t>TVA</t>
  </si>
  <si>
    <t>MATR</t>
  </si>
  <si>
    <t>NOMS</t>
  </si>
  <si>
    <t>FONCTIONS</t>
  </si>
  <si>
    <t>NUMERO CNSS</t>
  </si>
  <si>
    <t>NUMERO DE COMPTE</t>
  </si>
  <si>
    <t>BANQUE</t>
  </si>
  <si>
    <t>Jrs</t>
  </si>
  <si>
    <t>Tx/Jr</t>
  </si>
  <si>
    <t>Base</t>
  </si>
  <si>
    <t>Logm</t>
  </si>
  <si>
    <t>Trs / Jrs</t>
  </si>
  <si>
    <t>Tot Trs</t>
  </si>
  <si>
    <t>Cnss/O</t>
  </si>
  <si>
    <t>Ipr</t>
  </si>
  <si>
    <t>Total</t>
  </si>
  <si>
    <t>Cnss/P</t>
  </si>
  <si>
    <t>Inpp</t>
  </si>
  <si>
    <t>Onem</t>
  </si>
  <si>
    <t>Overtime 130% (Hrs)</t>
  </si>
  <si>
    <t>Overtime 160% (Hrs)</t>
  </si>
  <si>
    <t>Overtime 200% (Hrs)</t>
  </si>
  <si>
    <t>Overtime 10% (Hrs)</t>
  </si>
  <si>
    <t>Overtime 25% (Hrs)</t>
  </si>
  <si>
    <t>Overtime 130% US$</t>
  </si>
  <si>
    <t>Overtime 160% US$</t>
  </si>
  <si>
    <t>Overtime 200% US$</t>
  </si>
  <si>
    <t>Overtime 10% US$</t>
  </si>
  <si>
    <t>Overtime 25% US$</t>
  </si>
  <si>
    <t>Total overtime</t>
  </si>
  <si>
    <t>Classification</t>
  </si>
  <si>
    <t>PAIE PPC AOUT 2026</t>
  </si>
  <si>
    <t>BASE</t>
  </si>
  <si>
    <t>JOURS PRESTES</t>
  </si>
  <si>
    <t>MONT HEURES SUPP</t>
  </si>
  <si>
    <t>DEDUCTIONS EMPLOYEE</t>
  </si>
  <si>
    <t>DEDUCTION PATRONALE</t>
  </si>
  <si>
    <t>Provision PPE</t>
  </si>
  <si>
    <t>Prov. S. Méd.</t>
  </si>
  <si>
    <t>Total Gén</t>
  </si>
  <si>
    <t>Trs Dimanche&amp; Feries</t>
  </si>
  <si>
    <t>AVANCES</t>
  </si>
  <si>
    <t>Sundays</t>
  </si>
  <si>
    <t>Pointage</t>
  </si>
  <si>
    <t>base/pointage</t>
  </si>
  <si>
    <t>sal base bareme</t>
  </si>
  <si>
    <t>base mensuel</t>
  </si>
  <si>
    <t>Jrsxtx</t>
  </si>
  <si>
    <t>0.667*tx</t>
  </si>
  <si>
    <t>30%base pres, fer, cong,mal</t>
  </si>
  <si>
    <t>Nbr jr x course</t>
  </si>
  <si>
    <t>Awxtras</t>
  </si>
  <si>
    <t>x+y</t>
  </si>
  <si>
    <t>BH</t>
  </si>
  <si>
    <t>Bases+HS</t>
  </si>
  <si>
    <t>BIx5%</t>
  </si>
  <si>
    <t>AB-AD</t>
  </si>
  <si>
    <t>Tranches</t>
  </si>
  <si>
    <t>AD+AE</t>
  </si>
  <si>
    <t>BI,Log, inden-avance-deduct</t>
  </si>
  <si>
    <t>13%BI</t>
  </si>
  <si>
    <t>2%BI</t>
  </si>
  <si>
    <t>0.5%BI</t>
  </si>
  <si>
    <t>AI+AJ+AK</t>
  </si>
  <si>
    <t>Forfait</t>
  </si>
  <si>
    <t>forfait</t>
  </si>
  <si>
    <t>%AN</t>
  </si>
  <si>
    <t>AD+AE+AG+AH+AL</t>
  </si>
  <si>
    <t>16%AN</t>
  </si>
  <si>
    <t>AN+AO+AP+AQ+AR</t>
  </si>
  <si>
    <t>(Txj/8)*av*ba</t>
  </si>
  <si>
    <t>taux</t>
  </si>
  <si>
    <t>valeur inf</t>
  </si>
  <si>
    <t>valeur sup</t>
  </si>
  <si>
    <t>cumul</t>
  </si>
  <si>
    <t>nbre pers</t>
  </si>
  <si>
    <t>USD</t>
  </si>
  <si>
    <t>CDF</t>
  </si>
  <si>
    <t>BI</t>
  </si>
  <si>
    <t>Taux</t>
  </si>
  <si>
    <t>Tranche</t>
  </si>
  <si>
    <t>Cumul IPR</t>
  </si>
  <si>
    <t>Rabais</t>
  </si>
  <si>
    <t>IPR NET</t>
  </si>
  <si>
    <t>IPR USD</t>
  </si>
  <si>
    <t>Base2</t>
  </si>
  <si>
    <t>Jrs3</t>
  </si>
  <si>
    <t>Tx/Jr4</t>
  </si>
  <si>
    <t>Base5</t>
  </si>
  <si>
    <t>Jrs6</t>
  </si>
  <si>
    <t>Tx/Jr7</t>
  </si>
  <si>
    <t>Base8</t>
  </si>
  <si>
    <t>Jrs9</t>
  </si>
  <si>
    <t>Tx/Jr10</t>
  </si>
  <si>
    <t>Base11</t>
  </si>
  <si>
    <t>Total12</t>
  </si>
  <si>
    <t>Dépendant</t>
  </si>
  <si>
    <t>DRIVER</t>
  </si>
  <si>
    <t>RAWBANK</t>
  </si>
  <si>
    <t>cout/Trs</t>
  </si>
  <si>
    <t>Jrs/feries&amp;Dimanche</t>
  </si>
  <si>
    <t>BOB KITENGE</t>
  </si>
  <si>
    <t xml:space="preserve">Warehouse operator </t>
  </si>
  <si>
    <t>WAREHOUSE CLERCK</t>
  </si>
  <si>
    <t>CONSOLATE PONGO</t>
  </si>
  <si>
    <t>Warehouse clerk</t>
  </si>
  <si>
    <t>FLEUR KADIMA</t>
  </si>
  <si>
    <t>RECEPTIONNISTE</t>
  </si>
  <si>
    <t xml:space="preserve">MBAKI MVUANDULU FRANCOIS </t>
  </si>
  <si>
    <t>BAMPEMBE BAFUMBA HUGUE</t>
  </si>
  <si>
    <t xml:space="preserve">WAREHOUSE OPERATOR </t>
  </si>
  <si>
    <t>NKOSO  BAONDJO Stanis</t>
  </si>
  <si>
    <t>Sales consultant</t>
  </si>
  <si>
    <t>KIDALA DIANDUKILA WILLIAMS</t>
  </si>
  <si>
    <t>NGINDU KABUYA FRANCK</t>
  </si>
  <si>
    <t>WAREHOUSE OFFICER</t>
  </si>
  <si>
    <t>NKUMA MVIOKI NOE</t>
  </si>
  <si>
    <t>NDAY MUDIBU FREDDY</t>
  </si>
  <si>
    <t>CHAUFFEUR</t>
  </si>
  <si>
    <t>SENGA BANZA FOSTINE</t>
  </si>
  <si>
    <t>AIDE MENAGERE</t>
  </si>
  <si>
    <t>BALOY KIMPINDE MARGUERITTE</t>
  </si>
  <si>
    <t>CUISINIERE</t>
  </si>
  <si>
    <t>MUNYEMU WA TUMBWEMBWE GRACE</t>
  </si>
  <si>
    <t>CHARGEE DES COMPTES CLIENTS.</t>
  </si>
  <si>
    <t>TSHIBANGU KABONGO TEDDY</t>
  </si>
  <si>
    <t>IT SUPPORT</t>
  </si>
  <si>
    <t>KIKUNGA WA KIKINGA Claude</t>
  </si>
  <si>
    <t>0986891544</t>
  </si>
  <si>
    <t>Airtel Money</t>
  </si>
  <si>
    <t>300100001564030</t>
  </si>
  <si>
    <t>E-BCDC</t>
  </si>
  <si>
    <t>0976977095</t>
  </si>
  <si>
    <t>0977660115</t>
  </si>
  <si>
    <t>077200289171154</t>
  </si>
  <si>
    <t>899100253931922</t>
  </si>
  <si>
    <t>060121495120024</t>
  </si>
  <si>
    <t>05162-01097622001-17</t>
  </si>
  <si>
    <t>05181-01084984001-21</t>
  </si>
  <si>
    <t>700100247958330</t>
  </si>
  <si>
    <t>733200096969385</t>
  </si>
  <si>
    <t>05141-00977656001-08</t>
  </si>
  <si>
    <t>05162-01091888001-37</t>
  </si>
  <si>
    <t>544200178512476</t>
  </si>
  <si>
    <t>500100081327606</t>
  </si>
  <si>
    <t>700100047832101</t>
  </si>
  <si>
    <t>Josué BAKAFUKA</t>
  </si>
  <si>
    <t>LUBUDI</t>
  </si>
  <si>
    <t>KINSHASA</t>
  </si>
  <si>
    <t>BENA DIBELE</t>
  </si>
  <si>
    <t>GAMIZELO MATALATALA CAMILLE</t>
  </si>
  <si>
    <t>IDIOFA</t>
  </si>
  <si>
    <t>BUMBA</t>
  </si>
  <si>
    <t>KANANGA</t>
  </si>
  <si>
    <t>MOANDA</t>
  </si>
  <si>
    <t>KIMPESE</t>
  </si>
  <si>
    <t>MALOMAMO YEMA Jean Marie</t>
  </si>
  <si>
    <t>Chauffeur Chariot elevateur</t>
  </si>
  <si>
    <t>KISANGANI</t>
  </si>
  <si>
    <t>SONGBELE Jacques</t>
  </si>
  <si>
    <t>Warehouse</t>
  </si>
  <si>
    <t>MBANDAKA</t>
  </si>
  <si>
    <t>MAKOBO FUANINUA Christian</t>
  </si>
  <si>
    <t>Spooter</t>
  </si>
  <si>
    <t>LUMUNA KILWINA SERGE</t>
  </si>
  <si>
    <t>MUTELA MBAU Christian</t>
  </si>
  <si>
    <t>NUMBI IMANGO Théophil</t>
  </si>
  <si>
    <t>USENI KITOKO Cesar</t>
  </si>
  <si>
    <t>KALENGA MBAYO Chancelle</t>
  </si>
  <si>
    <t>Agent d'entretien</t>
  </si>
  <si>
    <t>NGUVU MUNYANGI ROBERT</t>
  </si>
  <si>
    <t xml:space="preserve">chauffeur </t>
  </si>
  <si>
    <t>KYUNGU ILUNGA</t>
  </si>
  <si>
    <t>BASHONGA MOHINDO ALINE</t>
  </si>
  <si>
    <t>Receptionniste</t>
  </si>
  <si>
    <t>SOMBO NGUTU ALBERT</t>
  </si>
  <si>
    <t>MALO MALO YEMA JEAN H</t>
  </si>
  <si>
    <t xml:space="preserve">CONDUCTEUR ELEVATEUR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</si>
</sst>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rial"/>
      <family val="2"/>
    </font>
    <font>
      <b/>
      <sz val="11"/>
      <color rgb="FFFF0000"/>
      <name val="Arial"/>
      <family val="2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26">
    <xf numFmtId="0" fontId="0" fillId="0" borderId="0" xfId="0"/>
    <xf numFmtId="0" fontId="2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7" fillId="0" borderId="17" xfId="0" applyFont="1" applyBorder="1"/>
    <xf numFmtId="0" fontId="7" fillId="0" borderId="18" xfId="0" applyFont="1" applyBorder="1"/>
    <xf numFmtId="0" fontId="7" fillId="0" borderId="7" xfId="0" applyFont="1" applyBorder="1"/>
    <xf numFmtId="0" fontId="7" fillId="0" borderId="14" xfId="0" applyFont="1" applyBorder="1"/>
    <xf numFmtId="0" fontId="7" fillId="0" borderId="7" xfId="0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1" fillId="0" borderId="7" xfId="0" applyFont="1" applyBorder="1"/>
    <xf numFmtId="0" fontId="6" fillId="5" borderId="17" xfId="1" applyFont="1" applyFill="1" applyBorder="1" applyAlignment="1">
      <alignment horizontal="center"/>
    </xf>
    <xf numFmtId="0" fontId="6" fillId="5" borderId="0" xfId="1" applyFont="1" applyFill="1" applyAlignment="1">
      <alignment horizontal="center"/>
    </xf>
    <xf numFmtId="9" fontId="6" fillId="5" borderId="0" xfId="1" applyNumberFormat="1" applyFont="1" applyFill="1" applyAlignment="1">
      <alignment horizontal="center"/>
    </xf>
    <xf numFmtId="9" fontId="6" fillId="5" borderId="18" xfId="1" applyNumberFormat="1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/>
    </xf>
    <xf numFmtId="0" fontId="8" fillId="5" borderId="24" xfId="1" applyFont="1" applyFill="1" applyBorder="1" applyAlignment="1">
      <alignment vertical="center" wrapText="1"/>
    </xf>
    <xf numFmtId="0" fontId="8" fillId="5" borderId="19" xfId="1" applyFont="1" applyFill="1" applyBorder="1" applyAlignment="1">
      <alignment vertical="center" wrapText="1"/>
    </xf>
    <xf numFmtId="0" fontId="8" fillId="5" borderId="20" xfId="1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8" fillId="5" borderId="25" xfId="1" applyFont="1" applyFill="1" applyBorder="1" applyAlignment="1">
      <alignment horizontal="center" vertical="center" wrapText="1"/>
    </xf>
    <xf numFmtId="0" fontId="8" fillId="5" borderId="21" xfId="1" applyFont="1" applyFill="1" applyBorder="1" applyAlignment="1">
      <alignment horizontal="center" vertical="center" wrapText="1"/>
    </xf>
    <xf numFmtId="0" fontId="8" fillId="5" borderId="4" xfId="1" applyFont="1" applyFill="1" applyBorder="1" applyAlignment="1">
      <alignment horizontal="center" vertical="center" wrapText="1"/>
    </xf>
    <xf numFmtId="0" fontId="8" fillId="5" borderId="22" xfId="1" applyFont="1" applyFill="1" applyBorder="1" applyAlignment="1">
      <alignment horizontal="center" vertical="center" wrapText="1"/>
    </xf>
    <xf numFmtId="0" fontId="0" fillId="3" borderId="0" xfId="0" applyFill="1"/>
    <xf numFmtId="0" fontId="9" fillId="3" borderId="0" xfId="0" applyFont="1" applyFill="1"/>
    <xf numFmtId="0" fontId="12" fillId="9" borderId="26" xfId="0" applyFont="1" applyFill="1" applyBorder="1" applyAlignment="1">
      <alignment wrapText="1"/>
    </xf>
    <xf numFmtId="0" fontId="12" fillId="9" borderId="27" xfId="0" applyFont="1" applyFill="1" applyBorder="1" applyAlignment="1">
      <alignment wrapText="1"/>
    </xf>
    <xf numFmtId="9" fontId="12" fillId="9" borderId="28" xfId="0" applyNumberFormat="1" applyFont="1" applyFill="1" applyBorder="1" applyAlignment="1">
      <alignment horizontal="right" wrapText="1"/>
    </xf>
    <xf numFmtId="0" fontId="12" fillId="9" borderId="29" xfId="0" applyFont="1" applyFill="1" applyBorder="1" applyAlignment="1">
      <alignment horizontal="right" wrapText="1"/>
    </xf>
    <xf numFmtId="0" fontId="12" fillId="9" borderId="30" xfId="0" applyFont="1" applyFill="1" applyBorder="1" applyAlignment="1">
      <alignment wrapText="1"/>
    </xf>
    <xf numFmtId="0" fontId="12" fillId="9" borderId="30" xfId="0" applyFont="1" applyFill="1" applyBorder="1" applyAlignment="1">
      <alignment horizontal="right" wrapText="1"/>
    </xf>
    <xf numFmtId="9" fontId="12" fillId="9" borderId="30" xfId="0" applyNumberFormat="1" applyFont="1" applyFill="1" applyBorder="1" applyAlignment="1">
      <alignment horizontal="right" wrapText="1"/>
    </xf>
    <xf numFmtId="0" fontId="3" fillId="6" borderId="8" xfId="0" applyFont="1" applyFill="1" applyBorder="1" applyAlignment="1">
      <alignment vertical="center"/>
    </xf>
    <xf numFmtId="0" fontId="3" fillId="6" borderId="9" xfId="0" applyFont="1" applyFill="1" applyBorder="1" applyAlignment="1">
      <alignment vertical="center"/>
    </xf>
    <xf numFmtId="0" fontId="3" fillId="6" borderId="15" xfId="0" applyFont="1" applyFill="1" applyBorder="1" applyAlignment="1">
      <alignment vertical="center"/>
    </xf>
    <xf numFmtId="0" fontId="3" fillId="6" borderId="16" xfId="0" applyFont="1" applyFill="1" applyBorder="1" applyAlignment="1">
      <alignment vertical="center"/>
    </xf>
    <xf numFmtId="0" fontId="3" fillId="6" borderId="11" xfId="0" applyFont="1" applyFill="1" applyBorder="1" applyAlignment="1">
      <alignment vertical="center"/>
    </xf>
    <xf numFmtId="0" fontId="3" fillId="6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 wrapText="1"/>
    </xf>
    <xf numFmtId="0" fontId="7" fillId="8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vertical="center"/>
    </xf>
    <xf numFmtId="0" fontId="4" fillId="6" borderId="11" xfId="0" applyFont="1" applyFill="1" applyBorder="1" applyAlignment="1">
      <alignment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vertical="center" wrapText="1"/>
    </xf>
    <xf numFmtId="0" fontId="14" fillId="2" borderId="10" xfId="0" applyFont="1" applyFill="1" applyBorder="1" applyAlignment="1">
      <alignment horizontal="center" vertical="center"/>
    </xf>
    <xf numFmtId="4" fontId="0" fillId="0" borderId="0" xfId="0" applyNumberFormat="1" applyAlignment="1">
      <alignment horizontal="right"/>
    </xf>
    <xf numFmtId="0" fontId="13" fillId="4" borderId="1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vertical="center"/>
    </xf>
    <xf numFmtId="0" fontId="14" fillId="8" borderId="11" xfId="0" applyFont="1" applyFill="1" applyBorder="1" applyAlignment="1">
      <alignment vertical="center" wrapText="1"/>
    </xf>
    <xf numFmtId="0" fontId="0" fillId="0" borderId="7" xfId="0" applyFill="1" applyBorder="1"/>
    <xf numFmtId="0" fontId="14" fillId="0" borderId="7" xfId="0" applyFont="1" applyFill="1" applyBorder="1"/>
    <xf numFmtId="2" fontId="14" fillId="0" borderId="7" xfId="0" applyNumberFormat="1" applyFont="1" applyFill="1" applyBorder="1"/>
    <xf numFmtId="4" fontId="14" fillId="0" borderId="7" xfId="0" applyNumberFormat="1" applyFont="1" applyFill="1" applyBorder="1"/>
    <xf numFmtId="4" fontId="0" fillId="0" borderId="7" xfId="0" applyNumberFormat="1" applyFill="1" applyBorder="1"/>
    <xf numFmtId="0" fontId="0" fillId="0" borderId="0" xfId="0" applyFill="1"/>
    <xf numFmtId="2" fontId="0" fillId="0" borderId="0" xfId="0" applyNumberFormat="1" applyFill="1"/>
    <xf numFmtId="0" fontId="0" fillId="0" borderId="7" xfId="0" applyFill="1" applyBorder="1" applyAlignment="1">
      <alignment vertical="center"/>
    </xf>
    <xf numFmtId="0" fontId="0" fillId="0" borderId="7" xfId="0" quotePrefix="1" applyFill="1" applyBorder="1"/>
    <xf numFmtId="0" fontId="12" fillId="0" borderId="7" xfId="0" applyFont="1" applyFill="1" applyBorder="1" applyProtection="1">
      <protection locked="0"/>
    </xf>
    <xf numFmtId="2" fontId="0" fillId="0" borderId="7" xfId="0" applyNumberFormat="1" applyFill="1" applyBorder="1"/>
    <xf numFmtId="4" fontId="12" fillId="0" borderId="7" xfId="0" applyNumberFormat="1" applyFont="1" applyFill="1" applyBorder="1" applyProtection="1">
      <protection hidden="1"/>
    </xf>
    <xf numFmtId="0" fontId="12" fillId="0" borderId="0" xfId="0" applyFont="1" applyFill="1" applyProtection="1">
      <protection locked="0"/>
    </xf>
    <xf numFmtId="0" fontId="14" fillId="0" borderId="0" xfId="0" applyFont="1" applyFill="1"/>
    <xf numFmtId="2" fontId="14" fillId="0" borderId="0" xfId="0" applyNumberFormat="1" applyFont="1" applyFill="1"/>
    <xf numFmtId="4" fontId="13" fillId="7" borderId="7" xfId="0" applyNumberFormat="1" applyFont="1" applyFill="1" applyBorder="1"/>
    <xf numFmtId="4" fontId="0" fillId="0" borderId="0" xfId="0" applyNumberFormat="1" applyFill="1" applyBorder="1"/>
    <xf numFmtId="4" fontId="0" fillId="0" borderId="7" xfId="0" applyNumberFormat="1" applyFont="1" applyFill="1" applyBorder="1"/>
    <xf numFmtId="0" fontId="7" fillId="0" borderId="17" xfId="0" applyFont="1" applyFill="1" applyBorder="1" applyAlignment="1">
      <alignment vertical="center" wrapText="1"/>
    </xf>
    <xf numFmtId="0" fontId="14" fillId="0" borderId="17" xfId="0" applyFont="1" applyFill="1" applyBorder="1" applyAlignment="1">
      <alignment vertical="center" wrapText="1"/>
    </xf>
    <xf numFmtId="4" fontId="0" fillId="0" borderId="0" xfId="0" applyNumberFormat="1" applyFont="1" applyFill="1" applyBorder="1"/>
    <xf numFmtId="0" fontId="7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</cellXfs>
  <cellStyles count="3">
    <cellStyle name="Normal" xfId="0" builtinId="0"/>
    <cellStyle name="Normal 10 2" xfId="2" xr:uid="{FBE85303-D6CA-4768-B9D9-961E63047029}"/>
    <cellStyle name="Normal 2" xfId="1" xr:uid="{61725DCF-3E1B-4620-B0DF-48A70BD6575B}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9057ED-A2AB-48A0-B857-22595508C9F7}" name="Tableau2" displayName="Tableau2" ref="A5:AR6" totalsRowShown="0" headerRowDxfId="142" dataDxfId="141">
  <autoFilter ref="A5:AR6" xr:uid="{BD9057ED-A2AB-48A0-B857-22595508C9F7}"/>
  <tableColumns count="44">
    <tableColumn id="1" xr3:uid="{1E7E23E3-DD06-46F0-90F1-0B169C9D16D0}" name="MATR" dataDxfId="140" totalsRowDxfId="139"/>
    <tableColumn id="2" xr3:uid="{540681A1-FDFF-46DB-9367-273F1E3F8704}" name="NOMS" dataDxfId="138" totalsRowDxfId="137"/>
    <tableColumn id="3" xr3:uid="{35BDD0AD-DF6E-453C-8253-B88E7BAA2E1F}" name="FONCTIONS" dataDxfId="136" totalsRowDxfId="135"/>
    <tableColumn id="4" xr3:uid="{49A8F579-605F-43A2-9E89-DCD232E7A617}" name="NUMERO CNSS" dataDxfId="134" totalsRowDxfId="133"/>
    <tableColumn id="5" xr3:uid="{A0F7A55D-2E29-4AB7-9AF6-36C96645C0C0}" name="NUMERO DE COMPTE" dataDxfId="132" totalsRowDxfId="131"/>
    <tableColumn id="6" xr3:uid="{D6C6CDB5-8565-42D1-AFCB-0FFF1FBA309F}" name="BANQUE" dataDxfId="130" totalsRowDxfId="129"/>
    <tableColumn id="7" xr3:uid="{FB9F61B8-126D-4D29-B1F7-C6850CF9E8D0}" name="Dépendant" dataDxfId="128" totalsRowDxfId="127"/>
    <tableColumn id="8" xr3:uid="{092EA205-EA14-4F13-89DF-F85E71304FE1}" name="BASE" dataDxfId="126" totalsRowDxfId="125"/>
    <tableColumn id="9" xr3:uid="{865A4621-42EA-4C6B-9C07-7978EA63EFF7}" name="Jrs" dataDxfId="124" totalsRowDxfId="123"/>
    <tableColumn id="10" xr3:uid="{8B7A20C9-E3FD-46C5-942F-A6A5A5F3BB60}" name="Tx/Jr" dataDxfId="122" totalsRowDxfId="121"/>
    <tableColumn id="11" xr3:uid="{2164A442-1DA8-4BD7-B8CD-CF4AD3B9EE1C}" name="Base2" dataDxfId="120" totalsRowDxfId="119">
      <calculatedColumnFormula>(J6*I6)*2/3</calculatedColumnFormula>
    </tableColumn>
    <tableColumn id="12" xr3:uid="{D104F2BD-2F46-4C16-A92A-40205227BDEE}" name="Jrs3" dataDxfId="118" totalsRowDxfId="117"/>
    <tableColumn id="13" xr3:uid="{0EF4BE82-DDE6-4A00-AF92-B209C016482B}" name="Tx/Jr4" dataDxfId="116" totalsRowDxfId="115">
      <calculatedColumnFormula>Tableau2[[#This Row],[Tx/Jr]]</calculatedColumnFormula>
    </tableColumn>
    <tableColumn id="14" xr3:uid="{4EF50566-A186-4248-964E-9DE1A879779B}" name="Base5" dataDxfId="114" totalsRowDxfId="113">
      <calculatedColumnFormula>L6*M6</calculatedColumnFormula>
    </tableColumn>
    <tableColumn id="15" xr3:uid="{B66F6F93-65E9-4A3F-AB06-D3AB5C22F8F8}" name="Jrs6" dataDxfId="112" totalsRowDxfId="111"/>
    <tableColumn id="16" xr3:uid="{B28549FA-981B-448C-8BF4-8B9E4690E8C7}" name="Tx/Jr7" dataDxfId="110" totalsRowDxfId="109">
      <calculatedColumnFormula>Tableau2[[#This Row],[Tx/Jr]]</calculatedColumnFormula>
    </tableColumn>
    <tableColumn id="17" xr3:uid="{249C2FD8-5C6C-43EA-9CFD-14EECDB8B7D6}" name="Base8" dataDxfId="108" totalsRowDxfId="107">
      <calculatedColumnFormula>O6*P6</calculatedColumnFormula>
    </tableColumn>
    <tableColumn id="18" xr3:uid="{CA2F1C0A-67A6-46DF-AD62-43B9A1090EEE}" name="Jrs9" dataDxfId="106" totalsRowDxfId="105"/>
    <tableColumn id="19" xr3:uid="{8461F07D-5458-4A82-8702-60191751B9F7}" name="Tx/Jr10" dataDxfId="104" totalsRowDxfId="103">
      <calculatedColumnFormula>0.667*J6</calculatedColumnFormula>
    </tableColumn>
    <tableColumn id="20" xr3:uid="{9B0C9453-A33A-4B9C-BAB5-55F629DE3F0E}" name="Base11" dataDxfId="102" totalsRowDxfId="101">
      <calculatedColumnFormula>R6*S6</calculatedColumnFormula>
    </tableColumn>
    <tableColumn id="21" xr3:uid="{766BB318-7291-4E76-85BD-86EB32DB7D40}" name="Logm" dataDxfId="100" totalsRowDxfId="99">
      <calculatedColumnFormula>0.3*(K6+N6+Q6+T6)</calculatedColumnFormula>
    </tableColumn>
    <tableColumn id="43" xr3:uid="{AC51BA56-0549-4F81-B46F-4CA3138B191E}" name="cout/Trs" dataDxfId="98" totalsRowDxfId="97"/>
    <tableColumn id="22" xr3:uid="{51246108-886F-432C-944C-90F9AE9A14CD}" name="Trs / Jrs" dataDxfId="96" totalsRowDxfId="95">
      <calculatedColumnFormula>I6*V6</calculatedColumnFormula>
    </tableColumn>
    <tableColumn id="44" xr3:uid="{92F4F80F-5325-4865-B10E-CDF06B0CA1BC}" name="Jrs/feries&amp;Dimanche" dataDxfId="94" totalsRowDxfId="93"/>
    <tableColumn id="23" xr3:uid="{882F2092-9B97-4607-BD63-F4A4B37914CE}" name="Trs Dimanche&amp; Feries" dataDxfId="92" totalsRowDxfId="91">
      <calculatedColumnFormula>X6*V6</calculatedColumnFormula>
    </tableColumn>
    <tableColumn id="24" xr3:uid="{FFAE5BD5-CC5A-4E43-A97C-CFEB571314FF}" name="Tot Trs" dataDxfId="90" totalsRowDxfId="89">
      <calculatedColumnFormula>W6+Y6</calculatedColumnFormula>
    </tableColumn>
    <tableColumn id="25" xr3:uid="{3DB1098C-A8C4-4591-B0D8-FF899ACD0F7D}" name="MONT HEURES SUPP" dataDxfId="88" totalsRowDxfId="87">
      <calculatedColumnFormula>BE6</calculatedColumnFormula>
    </tableColumn>
    <tableColumn id="26" xr3:uid="{409E8AC4-1C8F-4BBA-9F64-E63C62D7AFDE}" name="Brut Impos" dataDxfId="86" totalsRowDxfId="85">
      <calculatedColumnFormula>K6+N6+Q6+T6+AA6</calculatedColumnFormula>
    </tableColumn>
    <tableColumn id="27" xr3:uid="{B63B7A3D-754F-4A1D-81CC-BEFAC78E0C25}" name="Sal Impos" dataDxfId="84" totalsRowDxfId="83">
      <calculatedColumnFormula>Tableau2[[#This Row],[Brut Impos]]-Tableau2[[#This Row],[Cnss/O]]</calculatedColumnFormula>
    </tableColumn>
    <tableColumn id="28" xr3:uid="{CC06A17B-C68F-4C4E-B210-FF4E22F8FD8A}" name="Cnss/O" dataDxfId="82" totalsRowDxfId="81">
      <calculatedColumnFormula>AB6*5%</calculatedColumnFormula>
    </tableColumn>
    <tableColumn id="29" xr3:uid="{E3DD3BA6-0D0A-4637-9EA3-1FE96630AE44}" name="Ipr" dataDxfId="80" totalsRowDxfId="79">
      <calculatedColumnFormula>+'Moteur IPR'!P6</calculatedColumnFormula>
    </tableColumn>
    <tableColumn id="30" xr3:uid="{5961292A-6FB1-4478-99BE-1680A7E9D34C}" name="Total" dataDxfId="78" totalsRowDxfId="77">
      <calculatedColumnFormula>+AD6+AE6</calculatedColumnFormula>
    </tableColumn>
    <tableColumn id="31" xr3:uid="{1F07EB27-A978-4754-9FA2-FFD9C234B19F}" name="AVANCES" dataDxfId="76" totalsRowDxfId="75"/>
    <tableColumn id="32" xr3:uid="{1E029AD3-A686-4C81-99EC-6F7839426F54}" name="Net à Payer" dataDxfId="74" totalsRowDxfId="73">
      <calculatedColumnFormula>+AB6+U6+Z6-AG6-AF6</calculatedColumnFormula>
    </tableColumn>
    <tableColumn id="33" xr3:uid="{F8526BFB-F8B9-4707-9A2B-3E21BBA25AEF}" name="Cnss/P" dataDxfId="72" totalsRowDxfId="71">
      <calculatedColumnFormula>+AB6*0.13</calculatedColumnFormula>
    </tableColumn>
    <tableColumn id="34" xr3:uid="{D166AC83-949E-4161-A5CE-3C1CA6102791}" name="Inpp" dataDxfId="70" totalsRowDxfId="69">
      <calculatedColumnFormula>2%*AB6</calculatedColumnFormula>
    </tableColumn>
    <tableColumn id="35" xr3:uid="{895E0D5F-EBC3-4E59-AEEA-8949007E65E3}" name="Onem" dataDxfId="68" totalsRowDxfId="67">
      <calculatedColumnFormula>0.5%*AB6</calculatedColumnFormula>
    </tableColumn>
    <tableColumn id="36" xr3:uid="{820D36DF-B141-47FF-8A35-270AFC439FC2}" name="Total12" dataDxfId="66" totalsRowDxfId="65">
      <calculatedColumnFormula>+AI6+AJ6+AK6</calculatedColumnFormula>
    </tableColumn>
    <tableColumn id="37" xr3:uid="{EFE34BD7-9060-4B3C-A993-060061442B30}" name="Gross Salary" dataDxfId="64" totalsRowDxfId="63">
      <calculatedColumnFormula>+AD6+AE6+AG6+AH6+AL6</calculatedColumnFormula>
    </tableColumn>
    <tableColumn id="38" xr3:uid="{7354C27A-98BF-4AD6-9A0A-3CEE6BEFBE6A}" name="M.B" dataDxfId="62" totalsRowDxfId="61"/>
    <tableColumn id="39" xr3:uid="{69690986-7115-4592-821D-68A194FD4EFE}" name="Provision PPE" dataDxfId="60" totalsRowDxfId="59"/>
    <tableColumn id="40" xr3:uid="{2E4D93B1-9AEB-4776-86CF-5A26991E05EC}" name="Prov. S. Méd." dataDxfId="58" totalsRowDxfId="57"/>
    <tableColumn id="41" xr3:uid="{13069BCD-E023-4770-BC06-B15F7DC9A6D6}" name="TVA" dataDxfId="56" totalsRowDxfId="55">
      <calculatedColumnFormula>0.16*AM6</calculatedColumnFormula>
    </tableColumn>
    <tableColumn id="42" xr3:uid="{5BCF08CB-90FC-479D-A3A2-8E0A67A904F3}" name="Total Gén" dataDxfId="54" totalsRowDxfId="53">
      <calculatedColumnFormula>AM6+AN6+AO6+AP6+AQ6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B4F9D-9346-46A5-BDD2-E2D34CF6C6D1}" name="Tableau1" displayName="Tableau1" ref="G5:P155" totalsRowShown="0" dataDxfId="52">
  <autoFilter ref="G5:P155" xr:uid="{969B4F9D-9346-46A5-BDD2-E2D34CF6C6D1}"/>
  <tableColumns count="10">
    <tableColumn id="1" xr3:uid="{5216C157-F142-4F2A-97D4-5AF19A0834ED}" name="nbre pers" dataDxfId="51">
      <calculatedColumnFormula>'Hors-Site'!G6</calculatedColumnFormula>
    </tableColumn>
    <tableColumn id="2" xr3:uid="{9213EBCD-7843-4B7A-90FF-B64224174BBC}" name="USD" dataDxfId="50">
      <calculatedColumnFormula>'Hors-Site'!AC6</calculatedColumnFormula>
    </tableColumn>
    <tableColumn id="3" xr3:uid="{B3264108-4BAA-4543-AE49-E83A2EF2569A}" name="CDF" dataDxfId="49">
      <calculatedColumnFormula>Tableau1[[#This Row],[USD]]*$J$4</calculatedColumnFormula>
    </tableColumn>
    <tableColumn id="4" xr3:uid="{D05D0463-CFF9-4AD9-9752-CC95A386EED9}" name="BI" dataDxfId="48">
      <calculatedColumnFormula>I6-VLOOKUP($I6,$C$6:$D$9,1)</calculatedColumnFormula>
    </tableColumn>
    <tableColumn id="5" xr3:uid="{7B5128B9-D471-4EE1-AA70-9F715F04F6C1}" name="Taux" dataDxfId="47">
      <calculatedColumnFormula>VLOOKUP($I6,$C$11:$D$14,2)</calculatedColumnFormula>
    </tableColumn>
    <tableColumn id="6" xr3:uid="{89A758CE-4D96-4EE0-AE6B-BAF72204373B}" name="Tranche" dataDxfId="46">
      <calculatedColumnFormula>J6*K6</calculatedColumnFormula>
    </tableColumn>
    <tableColumn id="7" xr3:uid="{CE175933-F20A-41DB-B4C5-4B36B62622C1}" name="Cumul IPR" dataDxfId="45">
      <calculatedColumnFormula>L6+VLOOKUP($I6,$C$15:$E$19,3)</calculatedColumnFormula>
    </tableColumn>
    <tableColumn id="8" xr3:uid="{EBD52B3C-3F0B-4B02-9F35-6F58DEBDB99F}" name="Rabais" dataDxfId="44">
      <calculatedColumnFormula>M6*(G6*2%)</calculatedColumnFormula>
    </tableColumn>
    <tableColumn id="9" xr3:uid="{10B126F6-5B7B-4D6E-A8A2-885D8FAD0CFD}" name="IPR NET" dataDxfId="43">
      <calculatedColumnFormula>M6-N6</calculatedColumnFormula>
    </tableColumn>
    <tableColumn id="10" xr3:uid="{A9A1F873-3504-4262-8C52-6C807B5DAD15}" name="IPR USD" dataDxfId="42">
      <calculatedColumnFormula>O6/$J$4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E87E-EA12-4805-9D94-1AFD056F5A3F}">
  <dimension ref="A3:BF8"/>
  <sheetViews>
    <sheetView topLeftCell="U1" workbookViewId="0">
      <selection activeCell="BC8" sqref="BC8"/>
    </sheetView>
  </sheetViews>
  <sheetFormatPr baseColWidth="10" defaultColWidth="9.140625" defaultRowHeight="15" x14ac:dyDescent="0.25"/>
  <cols>
    <col min="4" max="4" width="11.28515625" customWidth="1"/>
    <col min="9" max="9" width="15.5703125" bestFit="1" customWidth="1"/>
    <col min="11" max="11" width="12.28515625" customWidth="1"/>
    <col min="12" max="12" width="17.42578125" customWidth="1"/>
    <col min="15" max="15" width="13.7109375" bestFit="1" customWidth="1"/>
    <col min="18" max="18" width="13.7109375" bestFit="1" customWidth="1"/>
    <col min="21" max="21" width="8" bestFit="1" customWidth="1"/>
    <col min="23" max="23" width="26" bestFit="1" customWidth="1"/>
    <col min="24" max="24" width="13.7109375" bestFit="1" customWidth="1"/>
    <col min="25" max="25" width="10.85546875" customWidth="1"/>
    <col min="26" max="26" width="12" customWidth="1"/>
    <col min="28" max="28" width="16.7109375" customWidth="1"/>
    <col min="29" max="29" width="12.5703125" customWidth="1"/>
    <col min="30" max="30" width="14.5703125" customWidth="1"/>
    <col min="31" max="31" width="13" customWidth="1"/>
    <col min="32" max="32" width="12.7109375" customWidth="1"/>
    <col min="33" max="33" width="13.140625" customWidth="1"/>
    <col min="34" max="34" width="27.42578125" customWidth="1"/>
  </cols>
  <sheetData>
    <row r="3" spans="1:58" ht="15.75" thickBot="1" x14ac:dyDescent="0.3"/>
    <row r="4" spans="1:58" ht="26.25" x14ac:dyDescent="0.25">
      <c r="A4" s="114" t="s">
        <v>41</v>
      </c>
      <c r="B4" s="115"/>
      <c r="C4" s="116"/>
      <c r="D4" s="1"/>
      <c r="E4" s="1"/>
      <c r="F4" s="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6"/>
      <c r="AV4" s="4"/>
      <c r="AW4" s="4"/>
      <c r="AX4" s="4"/>
      <c r="AY4" s="4"/>
      <c r="AZ4" s="4"/>
      <c r="BA4" s="4"/>
      <c r="BB4" s="4"/>
      <c r="BC4" s="4"/>
      <c r="BD4" s="4"/>
      <c r="BE4" s="4"/>
      <c r="BF4" s="7"/>
    </row>
    <row r="5" spans="1:58" ht="27" thickBot="1" x14ac:dyDescent="0.3">
      <c r="A5" s="117"/>
      <c r="B5" s="118"/>
      <c r="C5" s="119"/>
      <c r="D5" s="1"/>
      <c r="E5" s="1"/>
      <c r="F5" s="1"/>
      <c r="G5" s="8"/>
      <c r="H5" s="9"/>
      <c r="I5" s="8"/>
      <c r="J5" s="4"/>
      <c r="K5" s="8"/>
      <c r="L5" s="10"/>
      <c r="M5" s="8"/>
      <c r="N5" s="8"/>
      <c r="O5" s="10"/>
      <c r="P5" s="8"/>
      <c r="Q5" s="8"/>
      <c r="R5" s="10"/>
      <c r="S5" s="8"/>
      <c r="T5" s="8"/>
      <c r="U5" s="10"/>
      <c r="V5" s="8"/>
      <c r="W5" s="8"/>
      <c r="X5" s="11"/>
      <c r="Y5" s="10"/>
      <c r="Z5" s="8"/>
      <c r="AA5" s="8"/>
      <c r="AB5" s="8"/>
      <c r="AC5" s="8"/>
      <c r="AD5" s="8"/>
      <c r="AE5" s="8"/>
      <c r="AF5" s="8"/>
      <c r="AG5" s="8"/>
      <c r="AH5" s="12"/>
      <c r="AI5" s="8"/>
      <c r="AJ5" s="8"/>
      <c r="AK5" s="8"/>
      <c r="AL5" s="8"/>
      <c r="AM5" s="4"/>
      <c r="AN5" s="8"/>
      <c r="AO5" s="8"/>
      <c r="AP5" s="10"/>
      <c r="AQ5" s="10"/>
      <c r="AR5" s="8"/>
      <c r="AS5" s="8"/>
      <c r="AT5" s="4"/>
      <c r="AU5" s="13"/>
      <c r="AV5" s="14"/>
      <c r="AW5" s="14"/>
      <c r="AX5" s="14"/>
      <c r="AY5" s="14"/>
      <c r="AZ5" s="14"/>
      <c r="BA5" s="15">
        <v>1.3</v>
      </c>
      <c r="BB5" s="15">
        <v>1.6</v>
      </c>
      <c r="BC5" s="15">
        <v>2</v>
      </c>
      <c r="BD5" s="15">
        <v>0.1</v>
      </c>
      <c r="BE5" s="15">
        <v>0.25</v>
      </c>
      <c r="BF5" s="16"/>
    </row>
    <row r="6" spans="1:58" ht="15" customHeight="1" thickBot="1" x14ac:dyDescent="0.3">
      <c r="A6" s="4"/>
      <c r="B6" s="4"/>
      <c r="C6" s="4"/>
      <c r="D6" s="4"/>
      <c r="E6" s="4"/>
      <c r="F6" s="4"/>
      <c r="G6" s="120" t="s">
        <v>6</v>
      </c>
      <c r="H6" s="121"/>
      <c r="I6" s="124" t="s">
        <v>42</v>
      </c>
      <c r="J6" s="4"/>
      <c r="K6" s="113" t="s">
        <v>43</v>
      </c>
      <c r="L6" s="113"/>
      <c r="M6" s="113"/>
      <c r="N6" s="113" t="s">
        <v>0</v>
      </c>
      <c r="O6" s="113"/>
      <c r="P6" s="113"/>
      <c r="Q6" s="113" t="s">
        <v>1</v>
      </c>
      <c r="R6" s="113"/>
      <c r="S6" s="113"/>
      <c r="T6" s="113" t="s">
        <v>7</v>
      </c>
      <c r="U6" s="113"/>
      <c r="V6" s="113"/>
      <c r="W6" s="113" t="s">
        <v>8</v>
      </c>
      <c r="X6" s="113"/>
      <c r="Y6" s="113"/>
      <c r="Z6" s="113"/>
      <c r="AA6" s="99" t="s">
        <v>44</v>
      </c>
      <c r="AB6" s="101" t="s">
        <v>2</v>
      </c>
      <c r="AC6" s="103" t="s">
        <v>3</v>
      </c>
      <c r="AD6" s="105" t="s">
        <v>45</v>
      </c>
      <c r="AE6" s="106"/>
      <c r="AF6" s="107"/>
      <c r="AG6" s="18"/>
      <c r="AH6" s="110" t="s">
        <v>4</v>
      </c>
      <c r="AI6" s="112" t="s">
        <v>46</v>
      </c>
      <c r="AJ6" s="112"/>
      <c r="AK6" s="112"/>
      <c r="AL6" s="112"/>
      <c r="AM6" s="4"/>
      <c r="AN6" s="103" t="s">
        <v>5</v>
      </c>
      <c r="AO6" s="95" t="s">
        <v>9</v>
      </c>
      <c r="AP6" s="103" t="s">
        <v>47</v>
      </c>
      <c r="AQ6" s="109" t="s">
        <v>48</v>
      </c>
      <c r="AR6" s="95" t="s">
        <v>10</v>
      </c>
      <c r="AS6" s="97" t="s">
        <v>49</v>
      </c>
      <c r="AT6" s="4"/>
      <c r="AU6" s="19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1"/>
    </row>
    <row r="7" spans="1:58" ht="45.75" thickBot="1" x14ac:dyDescent="0.3">
      <c r="A7" s="22" t="s">
        <v>11</v>
      </c>
      <c r="B7" s="23" t="s">
        <v>12</v>
      </c>
      <c r="C7" s="23" t="s">
        <v>13</v>
      </c>
      <c r="D7" s="24" t="s">
        <v>14</v>
      </c>
      <c r="E7" s="24" t="s">
        <v>15</v>
      </c>
      <c r="F7" s="24" t="s">
        <v>16</v>
      </c>
      <c r="G7" s="122"/>
      <c r="H7" s="123"/>
      <c r="I7" s="125"/>
      <c r="J7" s="4"/>
      <c r="K7" s="25" t="s">
        <v>17</v>
      </c>
      <c r="L7" s="25" t="s">
        <v>18</v>
      </c>
      <c r="M7" s="25" t="s">
        <v>19</v>
      </c>
      <c r="N7" s="25" t="s">
        <v>17</v>
      </c>
      <c r="O7" s="25" t="s">
        <v>18</v>
      </c>
      <c r="P7" s="25" t="s">
        <v>19</v>
      </c>
      <c r="Q7" s="25" t="s">
        <v>17</v>
      </c>
      <c r="R7" s="25" t="s">
        <v>18</v>
      </c>
      <c r="S7" s="25" t="s">
        <v>19</v>
      </c>
      <c r="T7" s="25" t="s">
        <v>17</v>
      </c>
      <c r="U7" s="25" t="s">
        <v>18</v>
      </c>
      <c r="V7" s="25" t="s">
        <v>19</v>
      </c>
      <c r="W7" s="25" t="s">
        <v>20</v>
      </c>
      <c r="X7" s="25" t="s">
        <v>21</v>
      </c>
      <c r="Y7" s="17" t="s">
        <v>50</v>
      </c>
      <c r="Z7" s="25" t="s">
        <v>22</v>
      </c>
      <c r="AA7" s="100"/>
      <c r="AB7" s="102"/>
      <c r="AC7" s="104"/>
      <c r="AD7" s="2" t="s">
        <v>23</v>
      </c>
      <c r="AE7" s="25" t="s">
        <v>24</v>
      </c>
      <c r="AF7" s="25" t="s">
        <v>25</v>
      </c>
      <c r="AG7" s="26" t="s">
        <v>51</v>
      </c>
      <c r="AH7" s="111"/>
      <c r="AI7" s="27" t="s">
        <v>26</v>
      </c>
      <c r="AJ7" s="26" t="s">
        <v>27</v>
      </c>
      <c r="AK7" s="26" t="s">
        <v>28</v>
      </c>
      <c r="AL7" s="3" t="s">
        <v>25</v>
      </c>
      <c r="AM7" s="4"/>
      <c r="AN7" s="104"/>
      <c r="AO7" s="96"/>
      <c r="AP7" s="108"/>
      <c r="AQ7" s="103"/>
      <c r="AR7" s="96"/>
      <c r="AS7" s="98"/>
      <c r="AT7" s="4"/>
      <c r="AU7" s="28" t="s">
        <v>52</v>
      </c>
      <c r="AV7" s="29" t="s">
        <v>29</v>
      </c>
      <c r="AW7" s="29" t="s">
        <v>30</v>
      </c>
      <c r="AX7" s="29" t="s">
        <v>31</v>
      </c>
      <c r="AY7" s="29" t="s">
        <v>32</v>
      </c>
      <c r="AZ7" s="29" t="s">
        <v>33</v>
      </c>
      <c r="BA7" s="29" t="s">
        <v>34</v>
      </c>
      <c r="BB7" s="29" t="s">
        <v>35</v>
      </c>
      <c r="BC7" s="30" t="s">
        <v>36</v>
      </c>
      <c r="BD7" s="29" t="s">
        <v>37</v>
      </c>
      <c r="BE7" s="30" t="s">
        <v>38</v>
      </c>
      <c r="BF7" s="31" t="s">
        <v>39</v>
      </c>
    </row>
    <row r="8" spans="1:58" x14ac:dyDescent="0.25">
      <c r="G8" t="s">
        <v>40</v>
      </c>
      <c r="I8" t="s">
        <v>55</v>
      </c>
      <c r="K8" t="s">
        <v>53</v>
      </c>
      <c r="L8" t="s">
        <v>54</v>
      </c>
      <c r="M8" t="s">
        <v>56</v>
      </c>
      <c r="O8" t="s">
        <v>54</v>
      </c>
      <c r="P8" t="s">
        <v>57</v>
      </c>
      <c r="R8" t="s">
        <v>54</v>
      </c>
      <c r="S8" t="s">
        <v>57</v>
      </c>
      <c r="U8" t="s">
        <v>58</v>
      </c>
      <c r="V8" t="s">
        <v>57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 t="s">
        <v>64</v>
      </c>
      <c r="AC8" t="s">
        <v>66</v>
      </c>
      <c r="AD8" t="s">
        <v>65</v>
      </c>
      <c r="AE8" t="s">
        <v>67</v>
      </c>
      <c r="AF8" t="s">
        <v>68</v>
      </c>
      <c r="AH8" t="s">
        <v>69</v>
      </c>
      <c r="AI8" t="s">
        <v>70</v>
      </c>
      <c r="AJ8" t="s">
        <v>71</v>
      </c>
      <c r="AK8" t="s">
        <v>72</v>
      </c>
      <c r="AL8" t="s">
        <v>73</v>
      </c>
      <c r="AN8" t="s">
        <v>77</v>
      </c>
      <c r="AO8" t="s">
        <v>76</v>
      </c>
      <c r="AP8" t="s">
        <v>75</v>
      </c>
      <c r="AQ8" t="s">
        <v>74</v>
      </c>
      <c r="AR8" t="s">
        <v>78</v>
      </c>
      <c r="AS8" t="s">
        <v>79</v>
      </c>
      <c r="BA8" s="32" t="s">
        <v>80</v>
      </c>
      <c r="BB8" s="32"/>
      <c r="BC8" s="32"/>
      <c r="BD8" s="32"/>
      <c r="BE8" s="32"/>
      <c r="BF8" s="32"/>
    </row>
  </sheetData>
  <mergeCells count="20">
    <mergeCell ref="N6:P6"/>
    <mergeCell ref="Q6:S6"/>
    <mergeCell ref="T6:V6"/>
    <mergeCell ref="W6:Z6"/>
    <mergeCell ref="A4:C5"/>
    <mergeCell ref="G6:H7"/>
    <mergeCell ref="I6:I7"/>
    <mergeCell ref="K6:M6"/>
    <mergeCell ref="AR6:AR7"/>
    <mergeCell ref="AS6:AS7"/>
    <mergeCell ref="AA6:AA7"/>
    <mergeCell ref="AB6:AB7"/>
    <mergeCell ref="AC6:AC7"/>
    <mergeCell ref="AD6:AF6"/>
    <mergeCell ref="AP6:AP7"/>
    <mergeCell ref="AQ6:AQ7"/>
    <mergeCell ref="AH6:AH7"/>
    <mergeCell ref="AI6:AL6"/>
    <mergeCell ref="AN6:AN7"/>
    <mergeCell ref="AO6:AO7"/>
  </mergeCells>
  <conditionalFormatting sqref="A4:A7">
    <cfRule type="duplicateValues" dxfId="41" priority="2"/>
    <cfRule type="duplicateValues" dxfId="40" priority="3"/>
    <cfRule type="duplicateValues" dxfId="39" priority="4"/>
    <cfRule type="duplicateValues" dxfId="38" priority="5"/>
    <cfRule type="duplicateValues" dxfId="37" priority="6"/>
    <cfRule type="duplicateValues" dxfId="36" priority="9"/>
    <cfRule type="duplicateValues" dxfId="35" priority="10"/>
    <cfRule type="duplicateValues" dxfId="34" priority="11"/>
    <cfRule type="duplicateValues" dxfId="33" priority="12"/>
    <cfRule type="duplicateValues" dxfId="32" priority="13"/>
    <cfRule type="duplicateValues" dxfId="31" priority="14"/>
  </conditionalFormatting>
  <conditionalFormatting sqref="B4:B7">
    <cfRule type="duplicateValues" dxfId="30" priority="1"/>
    <cfRule type="duplicateValues" dxfId="29" priority="7"/>
    <cfRule type="duplicateValues" dxfId="28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36A1-4A3F-4816-A34A-92F29A849DDD}">
  <dimension ref="A3:BF8"/>
  <sheetViews>
    <sheetView topLeftCell="AM1" workbookViewId="0">
      <selection activeCell="AV8" sqref="AV8"/>
    </sheetView>
  </sheetViews>
  <sheetFormatPr baseColWidth="10" defaultColWidth="9.140625" defaultRowHeight="15" x14ac:dyDescent="0.25"/>
  <cols>
    <col min="4" max="4" width="11.28515625" customWidth="1"/>
    <col min="9" max="9" width="15.5703125" bestFit="1" customWidth="1"/>
    <col min="11" max="11" width="12.28515625" customWidth="1"/>
    <col min="12" max="12" width="17.42578125" customWidth="1"/>
    <col min="13" max="13" width="13.28515625" bestFit="1" customWidth="1"/>
    <col min="15" max="15" width="13.7109375" bestFit="1" customWidth="1"/>
    <col min="18" max="18" width="13.7109375" bestFit="1" customWidth="1"/>
    <col min="21" max="21" width="11" customWidth="1"/>
    <col min="23" max="23" width="26" bestFit="1" customWidth="1"/>
    <col min="24" max="24" width="13.7109375" bestFit="1" customWidth="1"/>
    <col min="25" max="25" width="10.85546875" customWidth="1"/>
    <col min="26" max="26" width="12" customWidth="1"/>
    <col min="28" max="28" width="16.7109375" customWidth="1"/>
    <col min="29" max="29" width="12.5703125" customWidth="1"/>
    <col min="30" max="30" width="14.5703125" customWidth="1"/>
    <col min="31" max="31" width="13" customWidth="1"/>
    <col min="32" max="32" width="12.7109375" customWidth="1"/>
    <col min="33" max="33" width="13.140625" customWidth="1"/>
    <col min="34" max="34" width="27.42578125" customWidth="1"/>
    <col min="40" max="40" width="19" customWidth="1"/>
  </cols>
  <sheetData>
    <row r="3" spans="1:58" ht="15.75" thickBot="1" x14ac:dyDescent="0.3"/>
    <row r="4" spans="1:58" ht="26.25" x14ac:dyDescent="0.25">
      <c r="A4" s="114" t="s">
        <v>41</v>
      </c>
      <c r="B4" s="115"/>
      <c r="C4" s="116"/>
      <c r="D4" s="1"/>
      <c r="E4" s="1"/>
      <c r="F4" s="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6"/>
      <c r="AV4" s="4"/>
      <c r="AW4" s="4"/>
      <c r="AX4" s="4"/>
      <c r="AY4" s="4"/>
      <c r="AZ4" s="4"/>
      <c r="BA4" s="4"/>
      <c r="BB4" s="4"/>
      <c r="BC4" s="4"/>
      <c r="BD4" s="4"/>
      <c r="BE4" s="4"/>
      <c r="BF4" s="7"/>
    </row>
    <row r="5" spans="1:58" ht="27" thickBot="1" x14ac:dyDescent="0.3">
      <c r="A5" s="117"/>
      <c r="B5" s="118"/>
      <c r="C5" s="119"/>
      <c r="D5" s="1"/>
      <c r="E5" s="1"/>
      <c r="F5" s="1"/>
      <c r="G5" s="8"/>
      <c r="H5" s="9"/>
      <c r="I5" s="8"/>
      <c r="J5" s="4"/>
      <c r="K5" s="8"/>
      <c r="L5" s="10"/>
      <c r="M5" s="8"/>
      <c r="N5" s="8"/>
      <c r="O5" s="10"/>
      <c r="P5" s="8"/>
      <c r="Q5" s="8"/>
      <c r="R5" s="10"/>
      <c r="S5" s="8"/>
      <c r="T5" s="8"/>
      <c r="U5" s="10"/>
      <c r="V5" s="8"/>
      <c r="W5" s="8"/>
      <c r="X5" s="11"/>
      <c r="Y5" s="10"/>
      <c r="Z5" s="8"/>
      <c r="AA5" s="8"/>
      <c r="AB5" s="8"/>
      <c r="AC5" s="8"/>
      <c r="AD5" s="8"/>
      <c r="AE5" s="8"/>
      <c r="AF5" s="8"/>
      <c r="AG5" s="8"/>
      <c r="AH5" s="12"/>
      <c r="AI5" s="8"/>
      <c r="AJ5" s="8"/>
      <c r="AK5" s="8"/>
      <c r="AL5" s="8"/>
      <c r="AM5" s="4"/>
      <c r="AN5" s="8"/>
      <c r="AO5" s="8"/>
      <c r="AP5" s="10"/>
      <c r="AQ5" s="10"/>
      <c r="AR5" s="8"/>
      <c r="AS5" s="8"/>
      <c r="AT5" s="4"/>
      <c r="AU5" s="13"/>
      <c r="AV5" s="14"/>
      <c r="AW5" s="14"/>
      <c r="AX5" s="14"/>
      <c r="AY5" s="14"/>
      <c r="AZ5" s="14"/>
      <c r="BA5" s="15">
        <v>1.3</v>
      </c>
      <c r="BB5" s="15">
        <v>1.6</v>
      </c>
      <c r="BC5" s="15">
        <v>2</v>
      </c>
      <c r="BD5" s="15">
        <v>0.1</v>
      </c>
      <c r="BE5" s="15">
        <v>0.25</v>
      </c>
      <c r="BF5" s="16"/>
    </row>
    <row r="6" spans="1:58" ht="15" customHeight="1" thickBot="1" x14ac:dyDescent="0.3">
      <c r="A6" s="4"/>
      <c r="B6" s="4"/>
      <c r="C6" s="4"/>
      <c r="D6" s="4"/>
      <c r="E6" s="4"/>
      <c r="F6" s="4"/>
      <c r="G6" s="41" t="s">
        <v>6</v>
      </c>
      <c r="H6" s="42"/>
      <c r="I6" s="45" t="s">
        <v>42</v>
      </c>
      <c r="J6" s="4"/>
      <c r="K6" s="113" t="s">
        <v>43</v>
      </c>
      <c r="L6" s="113"/>
      <c r="M6" s="113"/>
      <c r="N6" s="113" t="s">
        <v>0</v>
      </c>
      <c r="O6" s="113"/>
      <c r="P6" s="113"/>
      <c r="Q6" s="113" t="s">
        <v>1</v>
      </c>
      <c r="R6" s="113"/>
      <c r="S6" s="113"/>
      <c r="T6" s="113" t="s">
        <v>7</v>
      </c>
      <c r="U6" s="113"/>
      <c r="V6" s="113"/>
      <c r="W6" s="113" t="s">
        <v>8</v>
      </c>
      <c r="X6" s="113"/>
      <c r="Y6" s="113"/>
      <c r="Z6" s="113"/>
      <c r="AA6" s="99" t="s">
        <v>44</v>
      </c>
      <c r="AB6" s="101" t="s">
        <v>2</v>
      </c>
      <c r="AC6" s="103" t="s">
        <v>3</v>
      </c>
      <c r="AD6" s="105" t="s">
        <v>45</v>
      </c>
      <c r="AE6" s="106"/>
      <c r="AF6" s="107"/>
      <c r="AG6" s="18"/>
      <c r="AH6" s="110" t="s">
        <v>4</v>
      </c>
      <c r="AI6" s="112" t="s">
        <v>46</v>
      </c>
      <c r="AJ6" s="112"/>
      <c r="AK6" s="112"/>
      <c r="AL6" s="112"/>
      <c r="AM6" s="4"/>
      <c r="AN6" s="103" t="s">
        <v>5</v>
      </c>
      <c r="AO6" s="95" t="s">
        <v>9</v>
      </c>
      <c r="AP6" s="103" t="s">
        <v>47</v>
      </c>
      <c r="AQ6" s="109" t="s">
        <v>48</v>
      </c>
      <c r="AR6" s="95" t="s">
        <v>10</v>
      </c>
      <c r="AS6" s="97" t="s">
        <v>49</v>
      </c>
      <c r="AT6" s="4"/>
      <c r="AU6" s="19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1"/>
    </row>
    <row r="7" spans="1:58" ht="45.75" thickBot="1" x14ac:dyDescent="0.3">
      <c r="A7" s="22" t="s">
        <v>11</v>
      </c>
      <c r="B7" s="23" t="s">
        <v>12</v>
      </c>
      <c r="C7" s="23" t="s">
        <v>13</v>
      </c>
      <c r="D7" s="24" t="s">
        <v>14</v>
      </c>
      <c r="E7" s="24" t="s">
        <v>15</v>
      </c>
      <c r="F7" s="24" t="s">
        <v>16</v>
      </c>
      <c r="G7" s="43"/>
      <c r="H7" s="44"/>
      <c r="I7" s="46"/>
      <c r="J7" s="4"/>
      <c r="K7" s="25" t="s">
        <v>17</v>
      </c>
      <c r="L7" s="25" t="s">
        <v>18</v>
      </c>
      <c r="M7" s="25" t="s">
        <v>19</v>
      </c>
      <c r="N7" s="25" t="s">
        <v>17</v>
      </c>
      <c r="O7" s="25" t="s">
        <v>18</v>
      </c>
      <c r="P7" s="25" t="s">
        <v>19</v>
      </c>
      <c r="Q7" s="25" t="s">
        <v>17</v>
      </c>
      <c r="R7" s="25" t="s">
        <v>18</v>
      </c>
      <c r="S7" s="25" t="s">
        <v>19</v>
      </c>
      <c r="T7" s="25" t="s">
        <v>17</v>
      </c>
      <c r="U7" s="25" t="s">
        <v>18</v>
      </c>
      <c r="V7" s="25" t="s">
        <v>19</v>
      </c>
      <c r="W7" s="25" t="s">
        <v>20</v>
      </c>
      <c r="X7" s="25" t="s">
        <v>21</v>
      </c>
      <c r="Y7" s="17" t="s">
        <v>50</v>
      </c>
      <c r="Z7" s="25" t="s">
        <v>22</v>
      </c>
      <c r="AA7" s="100"/>
      <c r="AB7" s="102"/>
      <c r="AC7" s="104"/>
      <c r="AD7" s="2" t="s">
        <v>23</v>
      </c>
      <c r="AE7" s="25" t="s">
        <v>24</v>
      </c>
      <c r="AF7" s="25" t="s">
        <v>25</v>
      </c>
      <c r="AG7" s="26" t="s">
        <v>51</v>
      </c>
      <c r="AH7" s="111"/>
      <c r="AI7" s="27" t="s">
        <v>26</v>
      </c>
      <c r="AJ7" s="26" t="s">
        <v>27</v>
      </c>
      <c r="AK7" s="26" t="s">
        <v>28</v>
      </c>
      <c r="AL7" s="3" t="s">
        <v>25</v>
      </c>
      <c r="AM7" s="4"/>
      <c r="AN7" s="104"/>
      <c r="AO7" s="96"/>
      <c r="AP7" s="108"/>
      <c r="AQ7" s="103"/>
      <c r="AR7" s="96"/>
      <c r="AS7" s="98"/>
      <c r="AT7" s="4"/>
      <c r="AU7" s="28" t="s">
        <v>52</v>
      </c>
      <c r="AV7" s="29" t="s">
        <v>29</v>
      </c>
      <c r="AW7" s="29" t="s">
        <v>30</v>
      </c>
      <c r="AX7" s="29" t="s">
        <v>31</v>
      </c>
      <c r="AY7" s="29" t="s">
        <v>32</v>
      </c>
      <c r="AZ7" s="29" t="s">
        <v>33</v>
      </c>
      <c r="BA7" s="29" t="s">
        <v>34</v>
      </c>
      <c r="BB7" s="29" t="s">
        <v>35</v>
      </c>
      <c r="BC7" s="30" t="s">
        <v>36</v>
      </c>
      <c r="BD7" s="29" t="s">
        <v>37</v>
      </c>
      <c r="BE7" s="30" t="s">
        <v>38</v>
      </c>
      <c r="BF7" s="31" t="s">
        <v>39</v>
      </c>
    </row>
    <row r="8" spans="1:58" x14ac:dyDescent="0.25">
      <c r="G8" t="s">
        <v>40</v>
      </c>
      <c r="I8" t="s">
        <v>55</v>
      </c>
      <c r="K8" s="32">
        <v>13</v>
      </c>
      <c r="L8" s="32">
        <v>10</v>
      </c>
      <c r="M8">
        <f>L8*K8</f>
        <v>130</v>
      </c>
      <c r="N8" s="32">
        <v>1</v>
      </c>
      <c r="O8" s="32">
        <v>10</v>
      </c>
      <c r="P8">
        <f>N8*O8</f>
        <v>10</v>
      </c>
      <c r="Q8" s="32">
        <v>2</v>
      </c>
      <c r="R8" s="32">
        <v>10</v>
      </c>
      <c r="S8">
        <f>Q8*R8</f>
        <v>20</v>
      </c>
      <c r="T8" s="32">
        <v>3</v>
      </c>
      <c r="U8">
        <f>0.667*L8</f>
        <v>6.67</v>
      </c>
      <c r="V8">
        <f>T8*U8</f>
        <v>20.009999999999998</v>
      </c>
      <c r="W8">
        <f>0.3*(M8+P8+S8+V8)</f>
        <v>54.002999999999993</v>
      </c>
      <c r="X8">
        <f>K8*5400</f>
        <v>70200</v>
      </c>
      <c r="Y8" s="33">
        <v>20000</v>
      </c>
      <c r="Z8">
        <f>X8+Y8</f>
        <v>90200</v>
      </c>
      <c r="AA8" s="32">
        <v>50000</v>
      </c>
      <c r="AB8">
        <f>M8+P8+S8+V8+AA8</f>
        <v>50180.01</v>
      </c>
      <c r="AC8" t="s">
        <v>66</v>
      </c>
      <c r="AD8">
        <f>AB8*5%</f>
        <v>2509.0005000000001</v>
      </c>
      <c r="AE8" t="s">
        <v>67</v>
      </c>
      <c r="AF8" t="s">
        <v>68</v>
      </c>
      <c r="AH8" t="s">
        <v>69</v>
      </c>
      <c r="AI8" t="s">
        <v>70</v>
      </c>
      <c r="AJ8" t="s">
        <v>71</v>
      </c>
      <c r="AK8" t="s">
        <v>72</v>
      </c>
      <c r="AL8" t="s">
        <v>73</v>
      </c>
      <c r="AN8" t="s">
        <v>77</v>
      </c>
      <c r="AO8" t="s">
        <v>76</v>
      </c>
      <c r="AP8" t="s">
        <v>75</v>
      </c>
      <c r="AQ8" t="s">
        <v>74</v>
      </c>
      <c r="AR8" t="s">
        <v>78</v>
      </c>
      <c r="AS8" t="s">
        <v>79</v>
      </c>
      <c r="BA8" s="32" t="s">
        <v>80</v>
      </c>
      <c r="BB8" s="32"/>
      <c r="BC8" s="32"/>
      <c r="BD8" s="32"/>
      <c r="BE8" s="32"/>
      <c r="BF8" s="32"/>
    </row>
  </sheetData>
  <mergeCells count="18">
    <mergeCell ref="AD6:AF6"/>
    <mergeCell ref="A4:C5"/>
    <mergeCell ref="K6:M6"/>
    <mergeCell ref="N6:P6"/>
    <mergeCell ref="Q6:S6"/>
    <mergeCell ref="T6:V6"/>
    <mergeCell ref="W6:Z6"/>
    <mergeCell ref="AA6:AA7"/>
    <mergeCell ref="AB6:AB7"/>
    <mergeCell ref="AC6:AC7"/>
    <mergeCell ref="AR6:AR7"/>
    <mergeCell ref="AS6:AS7"/>
    <mergeCell ref="AH6:AH7"/>
    <mergeCell ref="AI6:AL6"/>
    <mergeCell ref="AN6:AN7"/>
    <mergeCell ref="AO6:AO7"/>
    <mergeCell ref="AP6:AP7"/>
    <mergeCell ref="AQ6:AQ7"/>
  </mergeCells>
  <conditionalFormatting sqref="A4:A7">
    <cfRule type="duplicateValues" dxfId="27" priority="2"/>
    <cfRule type="duplicateValues" dxfId="26" priority="3"/>
    <cfRule type="duplicateValues" dxfId="25" priority="4"/>
    <cfRule type="duplicateValues" dxfId="24" priority="5"/>
    <cfRule type="duplicateValues" dxfId="23" priority="6"/>
    <cfRule type="duplicateValues" dxfId="22" priority="9"/>
    <cfRule type="duplicateValues" dxfId="21" priority="10"/>
    <cfRule type="duplicateValues" dxfId="20" priority="11"/>
    <cfRule type="duplicateValues" dxfId="19" priority="12"/>
    <cfRule type="duplicateValues" dxfId="18" priority="13"/>
    <cfRule type="duplicateValues" dxfId="17" priority="14"/>
  </conditionalFormatting>
  <conditionalFormatting sqref="B4:B7">
    <cfRule type="duplicateValues" dxfId="16" priority="1"/>
    <cfRule type="duplicateValues" dxfId="15" priority="7"/>
    <cfRule type="duplicateValues" dxfId="14" priority="8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C00E-9990-4BCF-B64A-20A5C09DA044}">
  <dimension ref="A1:BI35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Y7" sqref="Y7"/>
    </sheetView>
  </sheetViews>
  <sheetFormatPr baseColWidth="10" defaultRowHeight="15" x14ac:dyDescent="0.25"/>
  <cols>
    <col min="1" max="1" width="13.85546875" bestFit="1" customWidth="1"/>
    <col min="2" max="2" width="33.7109375" bestFit="1" customWidth="1"/>
    <col min="3" max="3" width="30.140625" bestFit="1" customWidth="1"/>
    <col min="4" max="4" width="20.28515625" customWidth="1"/>
    <col min="5" max="5" width="22.42578125" customWidth="1"/>
    <col min="6" max="6" width="11.42578125" customWidth="1"/>
    <col min="25" max="25" width="12.140625" customWidth="1"/>
    <col min="27" max="27" width="18.85546875" customWidth="1"/>
    <col min="29" max="29" width="11.85546875" customWidth="1"/>
    <col min="33" max="33" width="11.7109375" customWidth="1"/>
    <col min="34" max="34" width="13.85546875" customWidth="1"/>
    <col min="35" max="35" width="12" bestFit="1" customWidth="1"/>
    <col min="36" max="36" width="9.5703125" bestFit="1" customWidth="1"/>
    <col min="39" max="39" width="21.85546875" customWidth="1"/>
    <col min="41" max="41" width="15.42578125" customWidth="1"/>
    <col min="42" max="42" width="14.7109375" customWidth="1"/>
    <col min="44" max="45" width="11.7109375" customWidth="1"/>
  </cols>
  <sheetData>
    <row r="1" spans="1:57" x14ac:dyDescent="0.25">
      <c r="AS1" s="79"/>
    </row>
    <row r="2" spans="1:57" x14ac:dyDescent="0.25">
      <c r="AS2" s="79"/>
    </row>
    <row r="3" spans="1:57" ht="15" customHeight="1" thickBot="1" x14ac:dyDescent="0.3">
      <c r="I3" s="113" t="s">
        <v>43</v>
      </c>
      <c r="J3" s="113"/>
      <c r="K3" s="113"/>
      <c r="L3" s="113" t="s">
        <v>0</v>
      </c>
      <c r="M3" s="113"/>
      <c r="N3" s="113"/>
      <c r="O3" s="113" t="s">
        <v>1</v>
      </c>
      <c r="P3" s="113"/>
      <c r="Q3" s="113"/>
      <c r="R3" s="113" t="s">
        <v>7</v>
      </c>
      <c r="S3" s="113"/>
      <c r="T3" s="113"/>
      <c r="U3" s="113" t="s">
        <v>8</v>
      </c>
      <c r="V3" s="113"/>
      <c r="W3" s="113"/>
      <c r="X3" s="113"/>
      <c r="Y3" s="113"/>
      <c r="Z3" s="113"/>
      <c r="AA3" s="47"/>
      <c r="AB3" s="48"/>
      <c r="AC3" s="49"/>
      <c r="AD3" s="105" t="s">
        <v>45</v>
      </c>
      <c r="AE3" s="106"/>
      <c r="AF3" s="107"/>
      <c r="AG3" s="18"/>
      <c r="AH3" s="50"/>
      <c r="AI3" s="112" t="s">
        <v>46</v>
      </c>
      <c r="AJ3" s="112"/>
      <c r="AK3" s="112"/>
      <c r="AL3" s="112"/>
      <c r="AM3" s="49"/>
      <c r="AN3" s="51"/>
      <c r="AO3" s="49"/>
      <c r="AP3" s="52"/>
      <c r="AQ3" s="51"/>
      <c r="AR3" s="53"/>
      <c r="AS3" s="92"/>
      <c r="AT3" s="13"/>
      <c r="AU3" s="14"/>
      <c r="AV3" s="14"/>
      <c r="AW3" s="14"/>
      <c r="AX3" s="14"/>
      <c r="AY3" s="14"/>
      <c r="AZ3" s="15">
        <v>1.3</v>
      </c>
      <c r="BA3" s="15">
        <v>1.6</v>
      </c>
      <c r="BB3" s="15">
        <v>2</v>
      </c>
      <c r="BC3" s="15">
        <v>0.1</v>
      </c>
      <c r="BD3" s="15">
        <v>0.25</v>
      </c>
      <c r="BE3" s="16"/>
    </row>
    <row r="4" spans="1:57" ht="15" customHeight="1" thickBot="1" x14ac:dyDescent="0.3"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47"/>
      <c r="AB4" s="48"/>
      <c r="AC4" s="49"/>
      <c r="AD4" s="54"/>
      <c r="AE4" s="55"/>
      <c r="AF4" s="56"/>
      <c r="AG4" s="57"/>
      <c r="AH4" s="50"/>
      <c r="AI4" s="58"/>
      <c r="AJ4" s="59"/>
      <c r="AK4" s="59"/>
      <c r="AL4" s="59"/>
      <c r="AM4" s="49"/>
      <c r="AN4" s="51"/>
      <c r="AO4" s="49"/>
      <c r="AP4" s="52"/>
      <c r="AQ4" s="51"/>
      <c r="AR4" s="53"/>
      <c r="AS4" s="92"/>
      <c r="AT4" s="19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1"/>
    </row>
    <row r="5" spans="1:57" ht="45" customHeight="1" thickBot="1" x14ac:dyDescent="0.3">
      <c r="A5" s="67" t="s">
        <v>11</v>
      </c>
      <c r="B5" s="68" t="s">
        <v>12</v>
      </c>
      <c r="C5" s="68" t="s">
        <v>13</v>
      </c>
      <c r="D5" s="69" t="s">
        <v>14</v>
      </c>
      <c r="E5" s="69" t="s">
        <v>15</v>
      </c>
      <c r="F5" s="69" t="s">
        <v>16</v>
      </c>
      <c r="G5" s="60" t="s">
        <v>106</v>
      </c>
      <c r="H5" s="61" t="s">
        <v>42</v>
      </c>
      <c r="I5" s="62" t="s">
        <v>17</v>
      </c>
      <c r="J5" s="62" t="s">
        <v>18</v>
      </c>
      <c r="K5" s="62" t="s">
        <v>95</v>
      </c>
      <c r="L5" s="62" t="s">
        <v>96</v>
      </c>
      <c r="M5" s="62" t="s">
        <v>97</v>
      </c>
      <c r="N5" s="62" t="s">
        <v>98</v>
      </c>
      <c r="O5" s="62" t="s">
        <v>99</v>
      </c>
      <c r="P5" s="62" t="s">
        <v>100</v>
      </c>
      <c r="Q5" s="62" t="s">
        <v>101</v>
      </c>
      <c r="R5" s="62" t="s">
        <v>102</v>
      </c>
      <c r="S5" s="62" t="s">
        <v>103</v>
      </c>
      <c r="T5" s="62" t="s">
        <v>104</v>
      </c>
      <c r="U5" s="62" t="s">
        <v>20</v>
      </c>
      <c r="V5" s="62" t="s">
        <v>109</v>
      </c>
      <c r="W5" s="62" t="s">
        <v>21</v>
      </c>
      <c r="X5" s="63" t="s">
        <v>110</v>
      </c>
      <c r="Y5" s="63" t="s">
        <v>50</v>
      </c>
      <c r="Z5" s="62" t="s">
        <v>22</v>
      </c>
      <c r="AA5" s="48" t="s">
        <v>44</v>
      </c>
      <c r="AB5" s="48" t="s">
        <v>2</v>
      </c>
      <c r="AC5" s="64" t="s">
        <v>3</v>
      </c>
      <c r="AD5" s="62" t="s">
        <v>23</v>
      </c>
      <c r="AE5" s="62" t="s">
        <v>24</v>
      </c>
      <c r="AF5" s="62" t="s">
        <v>25</v>
      </c>
      <c r="AG5" s="65" t="s">
        <v>51</v>
      </c>
      <c r="AH5" s="70" t="s">
        <v>4</v>
      </c>
      <c r="AI5" s="71" t="s">
        <v>26</v>
      </c>
      <c r="AJ5" s="65" t="s">
        <v>27</v>
      </c>
      <c r="AK5" s="65" t="s">
        <v>28</v>
      </c>
      <c r="AL5" s="65" t="s">
        <v>105</v>
      </c>
      <c r="AM5" s="64" t="s">
        <v>5</v>
      </c>
      <c r="AN5" s="72" t="s">
        <v>9</v>
      </c>
      <c r="AO5" s="64" t="s">
        <v>47</v>
      </c>
      <c r="AP5" s="64" t="s">
        <v>48</v>
      </c>
      <c r="AQ5" s="72" t="s">
        <v>10</v>
      </c>
      <c r="AR5" s="73" t="s">
        <v>49</v>
      </c>
      <c r="AS5" s="93"/>
      <c r="AT5" s="28" t="s">
        <v>52</v>
      </c>
      <c r="AU5" s="29" t="s">
        <v>29</v>
      </c>
      <c r="AV5" s="29" t="s">
        <v>30</v>
      </c>
      <c r="AW5" s="29" t="s">
        <v>31</v>
      </c>
      <c r="AX5" s="29" t="s">
        <v>32</v>
      </c>
      <c r="AY5" s="29" t="s">
        <v>33</v>
      </c>
      <c r="AZ5" s="29" t="s">
        <v>34</v>
      </c>
      <c r="BA5" s="29" t="s">
        <v>35</v>
      </c>
      <c r="BB5" s="30" t="s">
        <v>36</v>
      </c>
      <c r="BC5" s="29" t="s">
        <v>37</v>
      </c>
      <c r="BD5" s="30" t="s">
        <v>38</v>
      </c>
      <c r="BE5" s="31" t="s">
        <v>39</v>
      </c>
    </row>
    <row r="6" spans="1:57" s="79" customFormat="1" x14ac:dyDescent="0.25">
      <c r="A6" s="74"/>
      <c r="B6" s="74" t="s">
        <v>129</v>
      </c>
      <c r="C6" s="74" t="s">
        <v>130</v>
      </c>
      <c r="D6" s="75"/>
      <c r="E6" s="74" t="s">
        <v>138</v>
      </c>
      <c r="F6" s="74" t="s">
        <v>139</v>
      </c>
      <c r="G6" s="75">
        <v>0</v>
      </c>
      <c r="H6" s="75"/>
      <c r="I6" s="75">
        <v>16</v>
      </c>
      <c r="J6" s="76">
        <v>8.7337324565708112</v>
      </c>
      <c r="K6" s="76">
        <f t="shared" ref="K6" si="0">(J6*I6)</f>
        <v>139.73971930513298</v>
      </c>
      <c r="L6" s="76">
        <v>0</v>
      </c>
      <c r="M6" s="77">
        <f>Tableau2[[#This Row],[Tx/Jr]]</f>
        <v>8.7337324565708112</v>
      </c>
      <c r="N6" s="77">
        <f t="shared" ref="N6" si="1">L6*M6</f>
        <v>0</v>
      </c>
      <c r="O6" s="77">
        <v>0</v>
      </c>
      <c r="P6" s="77">
        <f>Tableau2[[#This Row],[Tx/Jr]]</f>
        <v>8.7337324565708112</v>
      </c>
      <c r="Q6" s="77">
        <f t="shared" ref="Q6" si="2">O6*P6</f>
        <v>0</v>
      </c>
      <c r="R6" s="77">
        <v>0</v>
      </c>
      <c r="S6" s="77">
        <f t="shared" ref="S6" si="3">0.667*J6</f>
        <v>5.8253995485327312</v>
      </c>
      <c r="T6" s="77">
        <f t="shared" ref="T6" si="4">R6*S6</f>
        <v>0</v>
      </c>
      <c r="U6" s="77">
        <f t="shared" ref="U6" si="5">0.3*(K6+N6+Q6+T6)</f>
        <v>41.921915791539895</v>
      </c>
      <c r="V6" s="77">
        <v>0.81</v>
      </c>
      <c r="W6" s="77">
        <f t="shared" ref="W6" si="6">I6*V6</f>
        <v>12.96</v>
      </c>
      <c r="X6" s="77">
        <v>1</v>
      </c>
      <c r="Y6" s="77">
        <f>X6*V6</f>
        <v>0.81</v>
      </c>
      <c r="Z6" s="77">
        <f t="shared" ref="Z6" si="7">W6+Y6</f>
        <v>13.770000000000001</v>
      </c>
      <c r="AA6" s="77">
        <f>BE6</f>
        <v>30.175045637452154</v>
      </c>
      <c r="AB6" s="77">
        <f t="shared" ref="AB6" si="8">K6+N6+Q6+T6+AA6</f>
        <v>169.91476494258512</v>
      </c>
      <c r="AC6" s="77">
        <f>Tableau2[[#This Row],[Brut Impos]]-Tableau2[[#This Row],[Cnss/O]]</f>
        <v>161.41902669545587</v>
      </c>
      <c r="AD6" s="77">
        <f t="shared" ref="AD6" si="9">AB6*5%</f>
        <v>8.4957382471292568</v>
      </c>
      <c r="AE6" s="77">
        <f>+'Moteur IPR'!P6</f>
        <v>15.760680091274901</v>
      </c>
      <c r="AF6" s="77">
        <f t="shared" ref="AF6" si="10">+AD6+AE6</f>
        <v>24.25641833840416</v>
      </c>
      <c r="AG6" s="77">
        <v>0</v>
      </c>
      <c r="AH6" s="89">
        <f t="shared" ref="AH6" si="11">+AB6+U6+Z6-AG6-AF6</f>
        <v>201.35026239572088</v>
      </c>
      <c r="AI6" s="77">
        <f t="shared" ref="AI6" si="12">+AB6*0.13</f>
        <v>22.088919442536067</v>
      </c>
      <c r="AJ6" s="77">
        <f t="shared" ref="AJ6" si="13">2%*AB6</f>
        <v>3.3982952988517026</v>
      </c>
      <c r="AK6" s="77">
        <f t="shared" ref="AK6" si="14">0.5%*AB6</f>
        <v>0.84957382471292564</v>
      </c>
      <c r="AL6" s="77">
        <f t="shared" ref="AL6" si="15">+AI6+AJ6+AK6</f>
        <v>26.336788566100697</v>
      </c>
      <c r="AM6" s="78">
        <f t="shared" ref="AM6" si="16">+AD6+AE6+AG6+AH6+AL6</f>
        <v>251.94346930022573</v>
      </c>
      <c r="AN6" s="78">
        <v>0</v>
      </c>
      <c r="AO6" s="78">
        <v>25</v>
      </c>
      <c r="AP6" s="78">
        <v>45</v>
      </c>
      <c r="AQ6" s="78">
        <f>0.16*AM6</f>
        <v>40.310955088036117</v>
      </c>
      <c r="AR6" s="78">
        <f>AM6+AN6+AO6+AP6+AQ6</f>
        <v>362.25442438826184</v>
      </c>
      <c r="AS6" s="90"/>
      <c r="AU6" s="79">
        <v>6</v>
      </c>
      <c r="AV6" s="79">
        <v>10.9</v>
      </c>
      <c r="AW6" s="79">
        <v>1.2</v>
      </c>
      <c r="AX6" s="79">
        <v>0</v>
      </c>
      <c r="AY6" s="79">
        <v>0</v>
      </c>
      <c r="AZ6" s="80">
        <f>($J6/8)*$AU6*(1+0.3)</f>
        <v>8.51538914515654</v>
      </c>
      <c r="BA6" s="80">
        <f>($J6/8)*$AV6*(1+0.6)</f>
        <v>19.03953675532437</v>
      </c>
      <c r="BB6" s="80">
        <f>($J6/8)*2*$AW6</f>
        <v>2.6201197369712435</v>
      </c>
      <c r="BC6" s="80">
        <f>($J6/8)*$AX6*(1+0.1)</f>
        <v>0</v>
      </c>
      <c r="BD6" s="80">
        <f>($J6/8)*$AY6*(1+0.25)</f>
        <v>0</v>
      </c>
      <c r="BE6" s="80">
        <f>AZ6+BA6+BB6+BC6+BD6</f>
        <v>30.175045637452154</v>
      </c>
    </row>
    <row r="7" spans="1:57" s="79" customFormat="1" x14ac:dyDescent="0.25">
      <c r="A7" s="74"/>
      <c r="B7" s="74" t="s">
        <v>133</v>
      </c>
      <c r="C7" s="74" t="s">
        <v>134</v>
      </c>
      <c r="D7" s="81" t="s">
        <v>158</v>
      </c>
      <c r="E7" s="74" t="s">
        <v>140</v>
      </c>
      <c r="F7" s="74" t="s">
        <v>141</v>
      </c>
      <c r="G7" s="75">
        <v>0</v>
      </c>
      <c r="H7" s="75"/>
      <c r="I7" s="75">
        <v>26</v>
      </c>
      <c r="J7" s="76">
        <v>29.911020180133956</v>
      </c>
      <c r="K7" s="76">
        <v>777.68652468348284</v>
      </c>
      <c r="L7" s="76">
        <v>0</v>
      </c>
      <c r="M7" s="77">
        <v>29.911020180133956</v>
      </c>
      <c r="N7" s="77">
        <v>0</v>
      </c>
      <c r="O7" s="77">
        <v>0</v>
      </c>
      <c r="P7" s="77">
        <v>29.911020180133956</v>
      </c>
      <c r="Q7" s="77">
        <v>0</v>
      </c>
      <c r="R7" s="77">
        <v>0</v>
      </c>
      <c r="S7" s="77">
        <v>19.950650460149351</v>
      </c>
      <c r="T7" s="77">
        <v>0</v>
      </c>
      <c r="U7" s="77">
        <v>233.30595740504484</v>
      </c>
      <c r="V7" s="77">
        <v>5.01</v>
      </c>
      <c r="W7" s="77">
        <v>130.26</v>
      </c>
      <c r="X7" s="77"/>
      <c r="Y7" s="77">
        <v>0</v>
      </c>
      <c r="Z7" s="77">
        <v>130.26</v>
      </c>
      <c r="AA7" s="77">
        <v>0</v>
      </c>
      <c r="AB7" s="77">
        <v>777.68652468348284</v>
      </c>
      <c r="AC7" s="77">
        <v>738.80219844930866</v>
      </c>
      <c r="AD7" s="77">
        <v>38.884326234174146</v>
      </c>
      <c r="AE7" s="77">
        <v>102.36815585435282</v>
      </c>
      <c r="AF7" s="77">
        <v>141.25248208852696</v>
      </c>
      <c r="AG7" s="77">
        <v>0</v>
      </c>
      <c r="AH7" s="89">
        <v>1000.0000000000009</v>
      </c>
      <c r="AI7" s="77">
        <v>101.09924820885277</v>
      </c>
      <c r="AJ7" s="77">
        <v>15.553730493669658</v>
      </c>
      <c r="AK7" s="77">
        <v>3.8884326234174145</v>
      </c>
      <c r="AL7" s="77">
        <v>120.54141132593985</v>
      </c>
      <c r="AM7" s="78">
        <v>1261.7938934144677</v>
      </c>
      <c r="AN7" s="78">
        <v>0</v>
      </c>
      <c r="AO7" s="78">
        <v>25</v>
      </c>
      <c r="AP7" s="78">
        <v>45</v>
      </c>
      <c r="AQ7" s="78">
        <v>201.88702294631483</v>
      </c>
      <c r="AR7" s="91">
        <f>AM7+AN7+AO7+AP7+AQ7</f>
        <v>1533.6809163607825</v>
      </c>
      <c r="AS7" s="94"/>
      <c r="AU7" s="79">
        <v>0</v>
      </c>
      <c r="AV7" s="79">
        <v>0</v>
      </c>
      <c r="AW7" s="79">
        <v>0</v>
      </c>
      <c r="AX7" s="79">
        <v>0</v>
      </c>
      <c r="AY7" s="79">
        <v>0</v>
      </c>
      <c r="AZ7" s="80">
        <v>0</v>
      </c>
      <c r="BA7" s="80">
        <v>0</v>
      </c>
      <c r="BB7" s="80">
        <v>0</v>
      </c>
      <c r="BC7" s="80">
        <v>0</v>
      </c>
      <c r="BD7" s="80">
        <v>0</v>
      </c>
      <c r="BE7" s="80">
        <v>0</v>
      </c>
    </row>
    <row r="8" spans="1:57" s="79" customFormat="1" x14ac:dyDescent="0.25">
      <c r="A8" s="74"/>
      <c r="B8" s="74" t="s">
        <v>127</v>
      </c>
      <c r="C8" s="74" t="s">
        <v>128</v>
      </c>
      <c r="D8" s="75" t="s">
        <v>157</v>
      </c>
      <c r="E8" s="74" t="s">
        <v>142</v>
      </c>
      <c r="F8" s="74" t="s">
        <v>139</v>
      </c>
      <c r="G8" s="75">
        <v>0</v>
      </c>
      <c r="H8" s="75"/>
      <c r="I8" s="75">
        <v>3</v>
      </c>
      <c r="J8" s="76">
        <v>11.646043621703647</v>
      </c>
      <c r="K8" s="76">
        <v>34.938130865110942</v>
      </c>
      <c r="L8" s="76">
        <v>0</v>
      </c>
      <c r="M8" s="77">
        <v>11.646043621703647</v>
      </c>
      <c r="N8" s="77">
        <v>0</v>
      </c>
      <c r="O8" s="77">
        <v>0</v>
      </c>
      <c r="P8" s="77">
        <v>11.646043621703647</v>
      </c>
      <c r="Q8" s="77">
        <v>0</v>
      </c>
      <c r="R8" s="77">
        <v>0</v>
      </c>
      <c r="S8" s="77">
        <v>7.7679110956763333</v>
      </c>
      <c r="T8" s="77">
        <v>0</v>
      </c>
      <c r="U8" s="77">
        <v>10.481439259533282</v>
      </c>
      <c r="V8" s="77">
        <v>1.2</v>
      </c>
      <c r="W8" s="77">
        <v>3.5999999999999996</v>
      </c>
      <c r="X8" s="77"/>
      <c r="Y8" s="77">
        <v>0</v>
      </c>
      <c r="Z8" s="77">
        <v>3.5999999999999996</v>
      </c>
      <c r="AA8" s="77">
        <v>7.2933348180919095</v>
      </c>
      <c r="AB8" s="77">
        <v>42.231465683202849</v>
      </c>
      <c r="AC8" s="77">
        <v>40.119892399042705</v>
      </c>
      <c r="AD8" s="77">
        <v>2.1115732841601424</v>
      </c>
      <c r="AE8" s="77">
        <v>1</v>
      </c>
      <c r="AF8" s="77">
        <v>3.1115732841601424</v>
      </c>
      <c r="AG8" s="77">
        <v>0</v>
      </c>
      <c r="AH8" s="89">
        <v>53.201331658575988</v>
      </c>
      <c r="AI8" s="77">
        <v>5.4900905388163705</v>
      </c>
      <c r="AJ8" s="77">
        <v>0.84462931366405702</v>
      </c>
      <c r="AK8" s="77">
        <v>0.21115732841601426</v>
      </c>
      <c r="AL8" s="77">
        <v>6.5458771808964418</v>
      </c>
      <c r="AM8" s="77">
        <v>62.858782123632572</v>
      </c>
      <c r="AN8" s="78">
        <v>0</v>
      </c>
      <c r="AO8" s="78">
        <v>25</v>
      </c>
      <c r="AP8" s="78">
        <v>45</v>
      </c>
      <c r="AQ8" s="77">
        <v>10.057405139781212</v>
      </c>
      <c r="AR8" s="91">
        <f t="shared" ref="AR8:AR35" si="17">AM8+AN8+AO8+AP8+AQ8</f>
        <v>142.9161872634138</v>
      </c>
      <c r="AS8" s="94"/>
      <c r="AU8" s="79">
        <v>2.5</v>
      </c>
      <c r="AV8" s="79">
        <v>0</v>
      </c>
      <c r="AW8" s="79">
        <v>0</v>
      </c>
      <c r="AX8" s="79">
        <v>1.6</v>
      </c>
      <c r="AY8" s="79">
        <v>0</v>
      </c>
      <c r="AZ8" s="80">
        <v>4.731205221317107</v>
      </c>
      <c r="BA8" s="80">
        <v>0</v>
      </c>
      <c r="BB8" s="80">
        <v>0</v>
      </c>
      <c r="BC8" s="80">
        <v>2.5621295967748026</v>
      </c>
      <c r="BD8" s="80">
        <v>0</v>
      </c>
      <c r="BE8" s="80">
        <v>7.2933348180919095</v>
      </c>
    </row>
    <row r="9" spans="1:57" s="79" customFormat="1" x14ac:dyDescent="0.25">
      <c r="A9" s="74"/>
      <c r="B9" s="74" t="s">
        <v>131</v>
      </c>
      <c r="C9" s="74" t="s">
        <v>132</v>
      </c>
      <c r="D9" s="75" t="s">
        <v>157</v>
      </c>
      <c r="E9" s="74" t="s">
        <v>143</v>
      </c>
      <c r="F9" s="74" t="s">
        <v>139</v>
      </c>
      <c r="G9" s="75">
        <v>0</v>
      </c>
      <c r="H9" s="75"/>
      <c r="I9" s="75">
        <v>16</v>
      </c>
      <c r="J9" s="76">
        <v>8.7337324565708112</v>
      </c>
      <c r="K9" s="76">
        <v>139.73971930513298</v>
      </c>
      <c r="L9" s="76">
        <v>0</v>
      </c>
      <c r="M9" s="77">
        <v>8.7337324565708112</v>
      </c>
      <c r="N9" s="77">
        <v>0</v>
      </c>
      <c r="O9" s="77">
        <v>0</v>
      </c>
      <c r="P9" s="77">
        <v>8.7337324565708112</v>
      </c>
      <c r="Q9" s="77">
        <v>0</v>
      </c>
      <c r="R9" s="77">
        <v>0</v>
      </c>
      <c r="S9" s="77">
        <v>5.8253995485327312</v>
      </c>
      <c r="T9" s="77">
        <v>0</v>
      </c>
      <c r="U9" s="77">
        <v>41.921915791539895</v>
      </c>
      <c r="V9" s="77">
        <v>0.81</v>
      </c>
      <c r="W9" s="77">
        <v>12.96</v>
      </c>
      <c r="X9" s="77">
        <v>1</v>
      </c>
      <c r="Y9" s="77">
        <v>0.81</v>
      </c>
      <c r="Z9" s="77">
        <v>13.770000000000001</v>
      </c>
      <c r="AA9" s="77">
        <v>30.175045637452154</v>
      </c>
      <c r="AB9" s="77">
        <v>169.91476494258512</v>
      </c>
      <c r="AC9" s="77">
        <v>161.41902669545587</v>
      </c>
      <c r="AD9" s="77">
        <v>8.4957382471292568</v>
      </c>
      <c r="AE9" s="77">
        <v>15.760680091274901</v>
      </c>
      <c r="AF9" s="77">
        <v>24.25641833840416</v>
      </c>
      <c r="AG9" s="77">
        <v>0</v>
      </c>
      <c r="AH9" s="89">
        <v>201.35026239572088</v>
      </c>
      <c r="AI9" s="77">
        <v>22.088919442536067</v>
      </c>
      <c r="AJ9" s="77">
        <v>3.3982952988517026</v>
      </c>
      <c r="AK9" s="77">
        <v>0.84957382471292564</v>
      </c>
      <c r="AL9" s="77">
        <v>26.336788566100697</v>
      </c>
      <c r="AM9" s="77">
        <v>251.94346930022573</v>
      </c>
      <c r="AN9" s="78">
        <v>0</v>
      </c>
      <c r="AO9" s="78">
        <v>25</v>
      </c>
      <c r="AP9" s="78">
        <v>45</v>
      </c>
      <c r="AQ9" s="77">
        <v>40.310955088036117</v>
      </c>
      <c r="AR9" s="91">
        <f t="shared" si="17"/>
        <v>362.25442438826184</v>
      </c>
      <c r="AS9" s="94"/>
      <c r="AU9" s="79">
        <v>6</v>
      </c>
      <c r="AV9" s="79">
        <v>10.9</v>
      </c>
      <c r="AW9" s="79">
        <v>1.2</v>
      </c>
      <c r="AX9" s="79">
        <v>0</v>
      </c>
      <c r="AY9" s="79">
        <v>0</v>
      </c>
      <c r="AZ9" s="80">
        <v>8.51538914515654</v>
      </c>
      <c r="BA9" s="80">
        <v>19.03953675532437</v>
      </c>
      <c r="BB9" s="80">
        <v>2.6201197369712435</v>
      </c>
      <c r="BC9" s="80">
        <v>0</v>
      </c>
      <c r="BD9" s="80">
        <v>0</v>
      </c>
      <c r="BE9" s="80">
        <v>30.175045637452154</v>
      </c>
    </row>
    <row r="10" spans="1:57" s="79" customFormat="1" x14ac:dyDescent="0.25">
      <c r="A10" s="74"/>
      <c r="B10" s="74" t="s">
        <v>137</v>
      </c>
      <c r="C10" s="74" t="s">
        <v>107</v>
      </c>
      <c r="D10" s="74" t="s">
        <v>158</v>
      </c>
      <c r="E10" s="74" t="s">
        <v>144</v>
      </c>
      <c r="F10" s="74" t="s">
        <v>141</v>
      </c>
      <c r="G10" s="75">
        <v>0</v>
      </c>
      <c r="H10" s="75"/>
      <c r="I10" s="75">
        <v>15</v>
      </c>
      <c r="J10" s="76">
        <v>12.541337943634536</v>
      </c>
      <c r="K10" s="76">
        <v>188.12006915451803</v>
      </c>
      <c r="L10" s="76">
        <v>0</v>
      </c>
      <c r="M10" s="77">
        <v>12.541337943634536</v>
      </c>
      <c r="N10" s="77">
        <v>0</v>
      </c>
      <c r="O10" s="77">
        <v>0</v>
      </c>
      <c r="P10" s="77">
        <v>12.541337943634536</v>
      </c>
      <c r="Q10" s="77">
        <v>0</v>
      </c>
      <c r="R10" s="77">
        <v>0</v>
      </c>
      <c r="S10" s="77">
        <v>8.3650724084042363</v>
      </c>
      <c r="T10" s="77">
        <v>0</v>
      </c>
      <c r="U10" s="77">
        <v>56.43602074635541</v>
      </c>
      <c r="V10" s="77">
        <v>1.17</v>
      </c>
      <c r="W10" s="77">
        <v>17.549999999999997</v>
      </c>
      <c r="X10" s="77"/>
      <c r="Y10" s="77">
        <v>0</v>
      </c>
      <c r="Z10" s="77">
        <v>17.549999999999997</v>
      </c>
      <c r="AA10" s="77">
        <v>0</v>
      </c>
      <c r="AB10" s="77">
        <v>188.12006915451803</v>
      </c>
      <c r="AC10" s="77">
        <v>178.71406569679215</v>
      </c>
      <c r="AD10" s="77">
        <v>9.4060034577259017</v>
      </c>
      <c r="AE10" s="77">
        <v>18.354935941475343</v>
      </c>
      <c r="AF10" s="77">
        <v>27.760939399201245</v>
      </c>
      <c r="AG10" s="77">
        <v>0</v>
      </c>
      <c r="AH10" s="89">
        <v>234.34515050167218</v>
      </c>
      <c r="AI10" s="77">
        <v>24.455608990087345</v>
      </c>
      <c r="AJ10" s="77">
        <v>3.7624013830903609</v>
      </c>
      <c r="AK10" s="77">
        <v>0.94060034577259022</v>
      </c>
      <c r="AL10" s="77">
        <v>29.158610718950296</v>
      </c>
      <c r="AM10" s="77">
        <v>291.26470061982371</v>
      </c>
      <c r="AN10" s="78">
        <v>0</v>
      </c>
      <c r="AO10" s="78">
        <v>25</v>
      </c>
      <c r="AP10" s="78">
        <v>45</v>
      </c>
      <c r="AQ10" s="77">
        <v>46.602352099171796</v>
      </c>
      <c r="AR10" s="91">
        <f t="shared" si="17"/>
        <v>407.86705271899552</v>
      </c>
      <c r="AS10" s="94"/>
      <c r="AU10" s="79">
        <v>0</v>
      </c>
      <c r="AV10" s="79">
        <v>0</v>
      </c>
      <c r="AW10" s="79">
        <v>0</v>
      </c>
      <c r="AX10" s="79">
        <v>0</v>
      </c>
      <c r="AY10" s="79">
        <v>0</v>
      </c>
      <c r="AZ10" s="80">
        <v>0</v>
      </c>
      <c r="BA10" s="80">
        <v>0</v>
      </c>
      <c r="BB10" s="80">
        <v>0</v>
      </c>
      <c r="BC10" s="80">
        <v>0</v>
      </c>
      <c r="BD10" s="80">
        <v>0</v>
      </c>
      <c r="BE10" s="80">
        <v>0</v>
      </c>
    </row>
    <row r="11" spans="1:57" s="79" customFormat="1" x14ac:dyDescent="0.25">
      <c r="A11" s="74"/>
      <c r="B11" s="74" t="s">
        <v>135</v>
      </c>
      <c r="C11" s="74" t="s">
        <v>136</v>
      </c>
      <c r="D11" s="74" t="s">
        <v>157</v>
      </c>
      <c r="E11" s="74" t="s">
        <v>145</v>
      </c>
      <c r="F11" s="74" t="s">
        <v>141</v>
      </c>
      <c r="G11" s="75">
        <v>0</v>
      </c>
      <c r="H11" s="75"/>
      <c r="I11" s="75">
        <v>15</v>
      </c>
      <c r="J11" s="76">
        <v>23.000098145058395</v>
      </c>
      <c r="K11" s="76">
        <v>345.0014721758759</v>
      </c>
      <c r="L11" s="76">
        <v>0</v>
      </c>
      <c r="M11" s="77">
        <v>23.000098145058395</v>
      </c>
      <c r="N11" s="77">
        <v>0</v>
      </c>
      <c r="O11" s="77">
        <v>0</v>
      </c>
      <c r="P11" s="77">
        <v>23.000098145058395</v>
      </c>
      <c r="Q11" s="77">
        <v>0</v>
      </c>
      <c r="R11" s="77">
        <v>0</v>
      </c>
      <c r="S11" s="77">
        <v>15.341065462753951</v>
      </c>
      <c r="T11" s="77">
        <v>0</v>
      </c>
      <c r="U11" s="77">
        <v>103.50044165276277</v>
      </c>
      <c r="V11" s="77">
        <v>4.01</v>
      </c>
      <c r="W11" s="77">
        <v>60.15</v>
      </c>
      <c r="X11" s="77"/>
      <c r="Y11" s="77">
        <v>0</v>
      </c>
      <c r="Z11" s="77">
        <v>60.15</v>
      </c>
      <c r="AA11" s="77">
        <v>0</v>
      </c>
      <c r="AB11" s="77">
        <v>345.0014721758759</v>
      </c>
      <c r="AC11" s="77">
        <v>327.75139856708211</v>
      </c>
      <c r="AD11" s="77">
        <v>17.250073608793794</v>
      </c>
      <c r="AE11" s="77">
        <v>40.710535872018831</v>
      </c>
      <c r="AF11" s="77">
        <v>57.960609480812622</v>
      </c>
      <c r="AG11" s="77">
        <v>0</v>
      </c>
      <c r="AH11" s="89">
        <v>450.69130434782608</v>
      </c>
      <c r="AI11" s="77">
        <v>44.850191382863869</v>
      </c>
      <c r="AJ11" s="77">
        <v>6.9000294435175178</v>
      </c>
      <c r="AK11" s="77">
        <v>1.7250073608793794</v>
      </c>
      <c r="AL11" s="77">
        <v>53.475228187260768</v>
      </c>
      <c r="AM11" s="77">
        <v>562.12714201589949</v>
      </c>
      <c r="AN11" s="78">
        <v>0</v>
      </c>
      <c r="AO11" s="78">
        <v>25</v>
      </c>
      <c r="AP11" s="78">
        <v>45</v>
      </c>
      <c r="AQ11" s="77">
        <v>89.940342722543917</v>
      </c>
      <c r="AR11" s="91">
        <f t="shared" si="17"/>
        <v>722.06748473844345</v>
      </c>
      <c r="AS11" s="94"/>
      <c r="AU11" s="79">
        <v>0</v>
      </c>
      <c r="AV11" s="79">
        <v>0</v>
      </c>
      <c r="AW11" s="79">
        <v>0</v>
      </c>
      <c r="AX11" s="79">
        <v>0</v>
      </c>
      <c r="AY11" s="79">
        <v>0</v>
      </c>
      <c r="AZ11" s="80">
        <v>0</v>
      </c>
      <c r="BA11" s="80">
        <v>0</v>
      </c>
      <c r="BB11" s="80">
        <v>0</v>
      </c>
      <c r="BC11" s="80">
        <v>0</v>
      </c>
      <c r="BD11" s="80">
        <v>0</v>
      </c>
      <c r="BE11" s="80">
        <v>0</v>
      </c>
    </row>
    <row r="12" spans="1:57" s="79" customFormat="1" x14ac:dyDescent="0.25">
      <c r="A12" s="74"/>
      <c r="B12" s="74" t="s">
        <v>116</v>
      </c>
      <c r="C12" s="74" t="s">
        <v>117</v>
      </c>
      <c r="D12" s="74" t="s">
        <v>158</v>
      </c>
      <c r="E12" s="74" t="s">
        <v>146</v>
      </c>
      <c r="F12" s="74" t="s">
        <v>141</v>
      </c>
      <c r="G12" s="75">
        <v>0</v>
      </c>
      <c r="H12" s="75"/>
      <c r="I12" s="75">
        <v>26</v>
      </c>
      <c r="J12" s="76">
        <v>19.486988230142625</v>
      </c>
      <c r="K12" s="76">
        <v>337.77446265580551</v>
      </c>
      <c r="L12" s="76">
        <v>0</v>
      </c>
      <c r="M12" s="77">
        <v>19.486988230142625</v>
      </c>
      <c r="N12" s="77">
        <v>0</v>
      </c>
      <c r="O12" s="77">
        <v>0</v>
      </c>
      <c r="P12" s="77">
        <v>19.486988230142625</v>
      </c>
      <c r="Q12" s="77">
        <v>0</v>
      </c>
      <c r="R12" s="77">
        <v>0</v>
      </c>
      <c r="S12" s="77">
        <v>12.997821149505132</v>
      </c>
      <c r="T12" s="77">
        <v>0</v>
      </c>
      <c r="U12" s="77">
        <v>101.33233879674165</v>
      </c>
      <c r="V12" s="77">
        <v>1.17</v>
      </c>
      <c r="W12" s="77">
        <v>30.419999999999998</v>
      </c>
      <c r="X12" s="77"/>
      <c r="Y12" s="77">
        <v>0</v>
      </c>
      <c r="Z12" s="77">
        <v>30.419999999999998</v>
      </c>
      <c r="AA12" s="77">
        <v>0</v>
      </c>
      <c r="AB12" s="77">
        <v>337.77446265580551</v>
      </c>
      <c r="AC12" s="77">
        <v>320.88573952301522</v>
      </c>
      <c r="AD12" s="77">
        <v>16.888723132790275</v>
      </c>
      <c r="AE12" s="77">
        <v>39.680687015408807</v>
      </c>
      <c r="AF12" s="77">
        <v>56.569410148199083</v>
      </c>
      <c r="AG12" s="77">
        <v>0</v>
      </c>
      <c r="AH12" s="89">
        <v>412.95739130434811</v>
      </c>
      <c r="AI12" s="77">
        <v>43.910680145254716</v>
      </c>
      <c r="AJ12" s="77">
        <v>6.7554892531161101</v>
      </c>
      <c r="AK12" s="77">
        <v>1.6888723132790275</v>
      </c>
      <c r="AL12" s="77">
        <v>52.355041711649854</v>
      </c>
      <c r="AM12" s="77">
        <v>521.88184316419711</v>
      </c>
      <c r="AN12" s="78">
        <v>0</v>
      </c>
      <c r="AO12" s="78">
        <v>25</v>
      </c>
      <c r="AP12" s="78">
        <v>45</v>
      </c>
      <c r="AQ12" s="77">
        <v>83.501094906271533</v>
      </c>
      <c r="AR12" s="91">
        <f t="shared" si="17"/>
        <v>675.38293807046864</v>
      </c>
      <c r="AS12" s="94"/>
      <c r="AU12" s="79">
        <v>0</v>
      </c>
      <c r="AV12" s="79">
        <v>0</v>
      </c>
      <c r="AW12" s="79">
        <v>0</v>
      </c>
      <c r="AX12" s="79">
        <v>0</v>
      </c>
      <c r="AY12" s="79">
        <v>0</v>
      </c>
      <c r="AZ12" s="80">
        <v>0</v>
      </c>
      <c r="BA12" s="80">
        <v>0</v>
      </c>
      <c r="BB12" s="80">
        <v>0</v>
      </c>
      <c r="BC12" s="80">
        <v>0</v>
      </c>
      <c r="BD12" s="80">
        <v>0</v>
      </c>
      <c r="BE12" s="80">
        <v>0</v>
      </c>
    </row>
    <row r="13" spans="1:57" s="79" customFormat="1" x14ac:dyDescent="0.25">
      <c r="A13" s="74"/>
      <c r="B13" s="74" t="s">
        <v>121</v>
      </c>
      <c r="C13" s="74" t="s">
        <v>122</v>
      </c>
      <c r="D13" s="74" t="s">
        <v>159</v>
      </c>
      <c r="E13" s="74" t="s">
        <v>147</v>
      </c>
      <c r="F13" s="74" t="s">
        <v>108</v>
      </c>
      <c r="G13" s="75">
        <v>0</v>
      </c>
      <c r="H13" s="75"/>
      <c r="I13" s="75">
        <v>13</v>
      </c>
      <c r="J13" s="76">
        <v>24.52258468786097</v>
      </c>
      <c r="K13" s="76">
        <v>318.7936009421926</v>
      </c>
      <c r="L13" s="76">
        <v>0</v>
      </c>
      <c r="M13" s="77">
        <v>24.52258468786097</v>
      </c>
      <c r="N13" s="77">
        <v>0</v>
      </c>
      <c r="O13" s="77">
        <v>0</v>
      </c>
      <c r="P13" s="77">
        <v>24.52258468786097</v>
      </c>
      <c r="Q13" s="77">
        <v>0</v>
      </c>
      <c r="R13" s="77">
        <v>0</v>
      </c>
      <c r="S13" s="77">
        <v>16.35656398680327</v>
      </c>
      <c r="T13" s="77">
        <v>0</v>
      </c>
      <c r="U13" s="77">
        <v>95.638080282657782</v>
      </c>
      <c r="V13" s="77">
        <v>1.17</v>
      </c>
      <c r="W13" s="77">
        <v>15.209999999999999</v>
      </c>
      <c r="X13" s="77"/>
      <c r="Y13" s="77">
        <v>0</v>
      </c>
      <c r="Z13" s="77">
        <v>15.209999999999999</v>
      </c>
      <c r="AA13" s="77">
        <v>0</v>
      </c>
      <c r="AB13" s="77">
        <v>318.7936009421926</v>
      </c>
      <c r="AC13" s="77">
        <v>302.85392089508298</v>
      </c>
      <c r="AD13" s="77">
        <v>15.939680047109631</v>
      </c>
      <c r="AE13" s="77">
        <v>36.975914221218964</v>
      </c>
      <c r="AF13" s="77">
        <v>52.915594268328597</v>
      </c>
      <c r="AG13" s="77">
        <v>0</v>
      </c>
      <c r="AH13" s="89">
        <v>376.72608695652173</v>
      </c>
      <c r="AI13" s="77">
        <v>41.443168122485041</v>
      </c>
      <c r="AJ13" s="77">
        <v>6.375872018843852</v>
      </c>
      <c r="AK13" s="77">
        <v>1.593968004710963</v>
      </c>
      <c r="AL13" s="77">
        <v>49.413008146039857</v>
      </c>
      <c r="AM13" s="77">
        <v>479.05468937089017</v>
      </c>
      <c r="AN13" s="78">
        <v>0</v>
      </c>
      <c r="AO13" s="78">
        <v>25</v>
      </c>
      <c r="AP13" s="78">
        <v>45</v>
      </c>
      <c r="AQ13" s="77">
        <v>76.648750299342424</v>
      </c>
      <c r="AR13" s="91">
        <f t="shared" si="17"/>
        <v>625.70343967023257</v>
      </c>
      <c r="AS13" s="94"/>
      <c r="AU13" s="79">
        <v>0</v>
      </c>
      <c r="AV13" s="79">
        <v>0</v>
      </c>
      <c r="AW13" s="79">
        <v>0</v>
      </c>
      <c r="AX13" s="79">
        <v>0</v>
      </c>
      <c r="AY13" s="79">
        <v>0</v>
      </c>
      <c r="AZ13" s="80">
        <v>0</v>
      </c>
      <c r="BA13" s="80">
        <v>0</v>
      </c>
      <c r="BB13" s="80">
        <v>0</v>
      </c>
      <c r="BC13" s="80">
        <v>0</v>
      </c>
      <c r="BD13" s="80">
        <v>0</v>
      </c>
      <c r="BE13" s="80">
        <v>0</v>
      </c>
    </row>
    <row r="14" spans="1:57" s="79" customFormat="1" x14ac:dyDescent="0.25">
      <c r="A14" s="74"/>
      <c r="B14" s="74" t="s">
        <v>160</v>
      </c>
      <c r="C14" s="74" t="s">
        <v>113</v>
      </c>
      <c r="D14" s="74" t="s">
        <v>161</v>
      </c>
      <c r="E14" s="74"/>
      <c r="F14" s="74"/>
      <c r="G14" s="75">
        <v>0</v>
      </c>
      <c r="H14" s="75"/>
      <c r="I14" s="75">
        <v>15</v>
      </c>
      <c r="J14" s="76">
        <v>24.52258468786097</v>
      </c>
      <c r="K14" s="76">
        <v>367.83877031791457</v>
      </c>
      <c r="L14" s="76">
        <v>0</v>
      </c>
      <c r="M14" s="77">
        <v>24.52258468786097</v>
      </c>
      <c r="N14" s="77">
        <v>0</v>
      </c>
      <c r="O14" s="77">
        <v>0</v>
      </c>
      <c r="P14" s="77">
        <v>24.52258468786097</v>
      </c>
      <c r="Q14" s="77">
        <v>0</v>
      </c>
      <c r="R14" s="77">
        <v>0</v>
      </c>
      <c r="S14" s="77">
        <v>16.35656398680327</v>
      </c>
      <c r="T14" s="77">
        <v>0</v>
      </c>
      <c r="U14" s="77">
        <v>110.35163109537437</v>
      </c>
      <c r="V14" s="77">
        <v>1.17</v>
      </c>
      <c r="W14" s="77">
        <v>17.549999999999997</v>
      </c>
      <c r="X14" s="77"/>
      <c r="Y14" s="77">
        <v>0</v>
      </c>
      <c r="Z14" s="77">
        <v>17.549999999999997</v>
      </c>
      <c r="AA14" s="77">
        <v>0</v>
      </c>
      <c r="AB14" s="77">
        <v>367.83877031791457</v>
      </c>
      <c r="AC14" s="77">
        <v>349.44683180201883</v>
      </c>
      <c r="AD14" s="77">
        <v>18.391938515895728</v>
      </c>
      <c r="AE14" s="77">
        <v>43.96485085725935</v>
      </c>
      <c r="AF14" s="77">
        <v>62.356789373155081</v>
      </c>
      <c r="AG14" s="77">
        <v>0</v>
      </c>
      <c r="AH14" s="89">
        <v>433.38361204013387</v>
      </c>
      <c r="AI14" s="77">
        <v>47.819040141328898</v>
      </c>
      <c r="AJ14" s="77">
        <v>7.3567754063582917</v>
      </c>
      <c r="AK14" s="77">
        <v>1.8391938515895729</v>
      </c>
      <c r="AL14" s="77">
        <v>57.015009399276764</v>
      </c>
      <c r="AM14" s="77">
        <v>552.75541081256574</v>
      </c>
      <c r="AN14" s="78">
        <v>0</v>
      </c>
      <c r="AO14" s="78">
        <v>25</v>
      </c>
      <c r="AP14" s="78">
        <v>45</v>
      </c>
      <c r="AQ14" s="77">
        <v>88.440865730010515</v>
      </c>
      <c r="AR14" s="91">
        <f t="shared" si="17"/>
        <v>711.19627654257624</v>
      </c>
      <c r="AS14" s="94"/>
      <c r="AU14" s="79">
        <v>0</v>
      </c>
      <c r="AV14" s="79">
        <v>0</v>
      </c>
      <c r="AW14" s="79">
        <v>0</v>
      </c>
      <c r="AX14" s="79">
        <v>0</v>
      </c>
      <c r="AY14" s="79">
        <v>0</v>
      </c>
      <c r="AZ14" s="80">
        <v>0</v>
      </c>
      <c r="BA14" s="80">
        <v>0</v>
      </c>
      <c r="BB14" s="80">
        <v>0</v>
      </c>
      <c r="BC14" s="80">
        <v>0</v>
      </c>
      <c r="BD14" s="80">
        <v>0</v>
      </c>
      <c r="BE14" s="80">
        <v>0</v>
      </c>
    </row>
    <row r="15" spans="1:57" s="79" customFormat="1" x14ac:dyDescent="0.25">
      <c r="A15" s="74"/>
      <c r="B15" s="74" t="s">
        <v>118</v>
      </c>
      <c r="C15" s="74" t="s">
        <v>113</v>
      </c>
      <c r="D15" s="74" t="s">
        <v>162</v>
      </c>
      <c r="E15" s="74" t="s">
        <v>148</v>
      </c>
      <c r="F15" s="74" t="s">
        <v>108</v>
      </c>
      <c r="G15" s="75">
        <v>0</v>
      </c>
      <c r="H15" s="75"/>
      <c r="I15" s="75">
        <v>14</v>
      </c>
      <c r="J15" s="76">
        <v>24.52258468786097</v>
      </c>
      <c r="K15" s="76">
        <v>343.31618563005361</v>
      </c>
      <c r="L15" s="76">
        <v>0</v>
      </c>
      <c r="M15" s="77">
        <v>24.52258468786097</v>
      </c>
      <c r="N15" s="77">
        <v>0</v>
      </c>
      <c r="O15" s="77">
        <v>0</v>
      </c>
      <c r="P15" s="77">
        <v>24.52258468786097</v>
      </c>
      <c r="Q15" s="77">
        <v>0</v>
      </c>
      <c r="R15" s="77">
        <v>0</v>
      </c>
      <c r="S15" s="77">
        <v>16.35656398680327</v>
      </c>
      <c r="T15" s="77">
        <v>0</v>
      </c>
      <c r="U15" s="77">
        <v>102.99485568901608</v>
      </c>
      <c r="V15" s="77">
        <v>1.17</v>
      </c>
      <c r="W15" s="77">
        <v>16.38</v>
      </c>
      <c r="X15" s="77"/>
      <c r="Y15" s="77">
        <v>0</v>
      </c>
      <c r="Z15" s="77">
        <v>16.38</v>
      </c>
      <c r="AA15" s="77">
        <v>0</v>
      </c>
      <c r="AB15" s="77">
        <v>343.31618563005361</v>
      </c>
      <c r="AC15" s="77">
        <v>326.15037634855094</v>
      </c>
      <c r="AD15" s="77">
        <v>17.165809281502682</v>
      </c>
      <c r="AE15" s="77">
        <v>40.470382539239168</v>
      </c>
      <c r="AF15" s="77">
        <v>57.63619182074185</v>
      </c>
      <c r="AG15" s="77">
        <v>0</v>
      </c>
      <c r="AH15" s="89">
        <v>405.05484949832783</v>
      </c>
      <c r="AI15" s="77">
        <v>44.631104131906973</v>
      </c>
      <c r="AJ15" s="77">
        <v>6.8663237126010728</v>
      </c>
      <c r="AK15" s="77">
        <v>1.7165809281502682</v>
      </c>
      <c r="AL15" s="77">
        <v>53.214008772658318</v>
      </c>
      <c r="AM15" s="77">
        <v>515.90505009172796</v>
      </c>
      <c r="AN15" s="78">
        <v>0</v>
      </c>
      <c r="AO15" s="78">
        <v>25</v>
      </c>
      <c r="AP15" s="78">
        <v>45</v>
      </c>
      <c r="AQ15" s="77">
        <v>82.544808014676477</v>
      </c>
      <c r="AR15" s="91">
        <f t="shared" si="17"/>
        <v>668.44985810640446</v>
      </c>
      <c r="AS15" s="94"/>
      <c r="AU15" s="79">
        <v>0</v>
      </c>
      <c r="AV15" s="79">
        <v>0</v>
      </c>
      <c r="AW15" s="79">
        <v>0</v>
      </c>
      <c r="AX15" s="79">
        <v>0</v>
      </c>
      <c r="AY15" s="79">
        <v>0</v>
      </c>
      <c r="AZ15" s="80">
        <v>0</v>
      </c>
      <c r="BA15" s="80">
        <v>0</v>
      </c>
      <c r="BB15" s="80">
        <v>0</v>
      </c>
      <c r="BC15" s="80">
        <v>0</v>
      </c>
      <c r="BD15" s="80">
        <v>0</v>
      </c>
      <c r="BE15" s="80">
        <v>0</v>
      </c>
    </row>
    <row r="16" spans="1:57" s="79" customFormat="1" x14ac:dyDescent="0.25">
      <c r="A16" s="74"/>
      <c r="B16" s="74" t="s">
        <v>114</v>
      </c>
      <c r="C16" s="74" t="s">
        <v>115</v>
      </c>
      <c r="D16" s="74" t="s">
        <v>158</v>
      </c>
      <c r="E16" s="82" t="s">
        <v>155</v>
      </c>
      <c r="F16" s="74" t="s">
        <v>141</v>
      </c>
      <c r="G16" s="75">
        <v>0</v>
      </c>
      <c r="H16" s="75"/>
      <c r="I16" s="75">
        <v>15</v>
      </c>
      <c r="J16" s="76">
        <v>35.23939903304624</v>
      </c>
      <c r="K16" s="76">
        <v>528.59098549569364</v>
      </c>
      <c r="L16" s="76">
        <v>0</v>
      </c>
      <c r="M16" s="77">
        <v>35.23939903304624</v>
      </c>
      <c r="N16" s="77">
        <v>0</v>
      </c>
      <c r="O16" s="77">
        <v>0</v>
      </c>
      <c r="P16" s="77">
        <v>35.23939903304624</v>
      </c>
      <c r="Q16" s="77">
        <v>0</v>
      </c>
      <c r="R16" s="77">
        <v>0</v>
      </c>
      <c r="S16" s="77">
        <v>23.504679155041842</v>
      </c>
      <c r="T16" s="77">
        <v>0</v>
      </c>
      <c r="U16" s="77">
        <v>158.57729564870809</v>
      </c>
      <c r="V16" s="77">
        <v>6.5</v>
      </c>
      <c r="W16" s="77">
        <v>97.5</v>
      </c>
      <c r="X16" s="77"/>
      <c r="Y16" s="77">
        <v>0</v>
      </c>
      <c r="Z16" s="77">
        <v>97.5</v>
      </c>
      <c r="AA16" s="77">
        <v>0</v>
      </c>
      <c r="AB16" s="77">
        <v>528.59098549569364</v>
      </c>
      <c r="AC16" s="77">
        <v>502.16143622090897</v>
      </c>
      <c r="AD16" s="77">
        <v>26.429549274784684</v>
      </c>
      <c r="AE16" s="77">
        <v>66.872041520092864</v>
      </c>
      <c r="AF16" s="77">
        <v>93.301590794877541</v>
      </c>
      <c r="AG16" s="77">
        <v>0</v>
      </c>
      <c r="AH16" s="89">
        <v>691.36669034952411</v>
      </c>
      <c r="AI16" s="77">
        <v>68.716828114440176</v>
      </c>
      <c r="AJ16" s="77">
        <v>10.571819709913873</v>
      </c>
      <c r="AK16" s="77">
        <v>2.6429549274784683</v>
      </c>
      <c r="AL16" s="77">
        <v>81.931602751832514</v>
      </c>
      <c r="AM16" s="77">
        <v>866.59988389623413</v>
      </c>
      <c r="AN16" s="78">
        <v>0</v>
      </c>
      <c r="AO16" s="78">
        <v>25</v>
      </c>
      <c r="AP16" s="78">
        <v>45</v>
      </c>
      <c r="AQ16" s="77">
        <v>138.65598142339746</v>
      </c>
      <c r="AR16" s="91">
        <f t="shared" si="17"/>
        <v>1075.2558653196315</v>
      </c>
      <c r="AS16" s="94"/>
      <c r="AU16" s="79">
        <v>0</v>
      </c>
      <c r="AV16" s="79">
        <v>0</v>
      </c>
      <c r="AW16" s="79">
        <v>0</v>
      </c>
      <c r="AX16" s="79">
        <v>0</v>
      </c>
      <c r="AY16" s="79">
        <v>0</v>
      </c>
      <c r="AZ16" s="80">
        <v>0</v>
      </c>
      <c r="BA16" s="80">
        <v>0</v>
      </c>
      <c r="BB16" s="80">
        <v>0</v>
      </c>
      <c r="BC16" s="80">
        <v>0</v>
      </c>
      <c r="BD16" s="80">
        <v>0</v>
      </c>
      <c r="BE16" s="80">
        <v>0</v>
      </c>
    </row>
    <row r="17" spans="1:61" s="79" customFormat="1" x14ac:dyDescent="0.25">
      <c r="A17" s="74"/>
      <c r="B17" s="74" t="s">
        <v>124</v>
      </c>
      <c r="C17" s="74" t="s">
        <v>125</v>
      </c>
      <c r="D17" s="74" t="s">
        <v>163</v>
      </c>
      <c r="E17" s="74" t="s">
        <v>149</v>
      </c>
      <c r="F17" s="74" t="s">
        <v>141</v>
      </c>
      <c r="G17" s="75">
        <v>0</v>
      </c>
      <c r="H17" s="75"/>
      <c r="I17" s="75">
        <v>15</v>
      </c>
      <c r="J17" s="76">
        <v>24.52258468786097</v>
      </c>
      <c r="K17" s="76">
        <v>367.83877031791457</v>
      </c>
      <c r="L17" s="76">
        <v>0</v>
      </c>
      <c r="M17" s="77">
        <v>24.52258468786097</v>
      </c>
      <c r="N17" s="77">
        <v>0</v>
      </c>
      <c r="O17" s="77">
        <v>0</v>
      </c>
      <c r="P17" s="77">
        <v>24.52258468786097</v>
      </c>
      <c r="Q17" s="77">
        <v>0</v>
      </c>
      <c r="R17" s="77">
        <v>0</v>
      </c>
      <c r="S17" s="77">
        <v>16.35656398680327</v>
      </c>
      <c r="T17" s="77">
        <v>0</v>
      </c>
      <c r="U17" s="77">
        <v>110.35163109537437</v>
      </c>
      <c r="V17" s="77">
        <v>1.17</v>
      </c>
      <c r="W17" s="77">
        <v>17.549999999999997</v>
      </c>
      <c r="X17" s="77"/>
      <c r="Y17" s="77">
        <v>0</v>
      </c>
      <c r="Z17" s="77">
        <v>17.549999999999997</v>
      </c>
      <c r="AA17" s="77">
        <v>0</v>
      </c>
      <c r="AB17" s="77">
        <v>367.83877031791457</v>
      </c>
      <c r="AC17" s="77">
        <v>349.44683180201883</v>
      </c>
      <c r="AD17" s="77">
        <v>18.391938515895728</v>
      </c>
      <c r="AE17" s="77">
        <v>43.96485085725935</v>
      </c>
      <c r="AF17" s="77">
        <v>62.356789373155081</v>
      </c>
      <c r="AG17" s="77">
        <v>0</v>
      </c>
      <c r="AH17" s="89">
        <v>433.38361204013387</v>
      </c>
      <c r="AI17" s="77">
        <v>47.819040141328898</v>
      </c>
      <c r="AJ17" s="77">
        <v>7.3567754063582917</v>
      </c>
      <c r="AK17" s="77">
        <v>1.8391938515895729</v>
      </c>
      <c r="AL17" s="77">
        <v>57.015009399276764</v>
      </c>
      <c r="AM17" s="77">
        <v>552.75541081256574</v>
      </c>
      <c r="AN17" s="78">
        <v>0</v>
      </c>
      <c r="AO17" s="78">
        <v>25</v>
      </c>
      <c r="AP17" s="78">
        <v>45</v>
      </c>
      <c r="AQ17" s="77">
        <v>88.440865730010515</v>
      </c>
      <c r="AR17" s="91">
        <f t="shared" si="17"/>
        <v>711.19627654257624</v>
      </c>
      <c r="AS17" s="94"/>
      <c r="AU17" s="79">
        <v>0</v>
      </c>
      <c r="AV17" s="79">
        <v>0</v>
      </c>
      <c r="AW17" s="79">
        <v>0</v>
      </c>
      <c r="AX17" s="79">
        <v>0</v>
      </c>
      <c r="AY17" s="79">
        <v>0</v>
      </c>
      <c r="AZ17" s="80">
        <v>0</v>
      </c>
      <c r="BA17" s="80">
        <v>0</v>
      </c>
      <c r="BB17" s="80">
        <v>0</v>
      </c>
      <c r="BC17" s="80">
        <v>0</v>
      </c>
      <c r="BD17" s="80">
        <v>0</v>
      </c>
      <c r="BE17" s="80">
        <v>0</v>
      </c>
    </row>
    <row r="18" spans="1:61" s="79" customFormat="1" x14ac:dyDescent="0.25">
      <c r="A18" s="74"/>
      <c r="B18" s="74" t="s">
        <v>126</v>
      </c>
      <c r="C18" s="74" t="s">
        <v>125</v>
      </c>
      <c r="D18" s="74" t="s">
        <v>164</v>
      </c>
      <c r="E18" s="74" t="s">
        <v>150</v>
      </c>
      <c r="F18" s="74" t="s">
        <v>141</v>
      </c>
      <c r="G18" s="75">
        <v>0</v>
      </c>
      <c r="H18" s="75"/>
      <c r="I18" s="75">
        <v>15</v>
      </c>
      <c r="J18" s="76">
        <v>24.52258468786097</v>
      </c>
      <c r="K18" s="76">
        <v>367.83877031791457</v>
      </c>
      <c r="L18" s="76">
        <v>0</v>
      </c>
      <c r="M18" s="77">
        <v>24.52258468786097</v>
      </c>
      <c r="N18" s="77">
        <v>0</v>
      </c>
      <c r="O18" s="77">
        <v>0</v>
      </c>
      <c r="P18" s="77">
        <v>24.52258468786097</v>
      </c>
      <c r="Q18" s="77">
        <v>0</v>
      </c>
      <c r="R18" s="77">
        <v>0</v>
      </c>
      <c r="S18" s="77">
        <v>16.35656398680327</v>
      </c>
      <c r="T18" s="77">
        <v>0</v>
      </c>
      <c r="U18" s="77">
        <v>110.35163109537437</v>
      </c>
      <c r="V18" s="77">
        <v>1.17</v>
      </c>
      <c r="W18" s="77">
        <v>17.549999999999997</v>
      </c>
      <c r="X18" s="77"/>
      <c r="Y18" s="77">
        <v>0</v>
      </c>
      <c r="Z18" s="77">
        <v>17.549999999999997</v>
      </c>
      <c r="AA18" s="77">
        <v>0</v>
      </c>
      <c r="AB18" s="77">
        <v>367.83877031791457</v>
      </c>
      <c r="AC18" s="77">
        <v>349.44683180201883</v>
      </c>
      <c r="AD18" s="77">
        <v>18.391938515895728</v>
      </c>
      <c r="AE18" s="77">
        <v>43.96485085725935</v>
      </c>
      <c r="AF18" s="77">
        <v>62.356789373155081</v>
      </c>
      <c r="AG18" s="77">
        <v>0</v>
      </c>
      <c r="AH18" s="89">
        <v>433.38361204013387</v>
      </c>
      <c r="AI18" s="77">
        <v>47.819040141328898</v>
      </c>
      <c r="AJ18" s="77">
        <v>7.3567754063582917</v>
      </c>
      <c r="AK18" s="77">
        <v>1.8391938515895729</v>
      </c>
      <c r="AL18" s="77">
        <v>57.015009399276764</v>
      </c>
      <c r="AM18" s="77">
        <v>552.75541081256574</v>
      </c>
      <c r="AN18" s="78">
        <v>0</v>
      </c>
      <c r="AO18" s="78">
        <v>25</v>
      </c>
      <c r="AP18" s="78">
        <v>45</v>
      </c>
      <c r="AQ18" s="77">
        <v>88.440865730010515</v>
      </c>
      <c r="AR18" s="91">
        <f t="shared" si="17"/>
        <v>711.19627654257624</v>
      </c>
      <c r="AS18" s="94"/>
      <c r="AU18" s="79">
        <v>0</v>
      </c>
      <c r="AV18" s="79">
        <v>0</v>
      </c>
      <c r="AW18" s="79">
        <v>0</v>
      </c>
      <c r="AX18" s="79">
        <v>0</v>
      </c>
      <c r="AY18" s="79">
        <v>0</v>
      </c>
      <c r="AZ18" s="80">
        <v>0</v>
      </c>
      <c r="BA18" s="80">
        <v>0</v>
      </c>
      <c r="BB18" s="80">
        <v>0</v>
      </c>
      <c r="BC18" s="80">
        <v>0</v>
      </c>
      <c r="BD18" s="80">
        <v>0</v>
      </c>
      <c r="BE18" s="80">
        <v>0</v>
      </c>
    </row>
    <row r="19" spans="1:61" s="79" customFormat="1" x14ac:dyDescent="0.25">
      <c r="A19" s="74"/>
      <c r="B19" s="74" t="s">
        <v>111</v>
      </c>
      <c r="C19" s="74" t="s">
        <v>112</v>
      </c>
      <c r="D19" s="74" t="s">
        <v>158</v>
      </c>
      <c r="E19" s="74" t="s">
        <v>151</v>
      </c>
      <c r="F19" s="74" t="s">
        <v>108</v>
      </c>
      <c r="G19" s="75">
        <v>0</v>
      </c>
      <c r="H19" s="75"/>
      <c r="I19" s="75">
        <v>15</v>
      </c>
      <c r="J19" s="76">
        <v>24.52258468786097</v>
      </c>
      <c r="K19" s="76">
        <v>367.83877031791457</v>
      </c>
      <c r="L19" s="76">
        <v>0</v>
      </c>
      <c r="M19" s="77">
        <v>24.52258468786097</v>
      </c>
      <c r="N19" s="77">
        <v>0</v>
      </c>
      <c r="O19" s="77">
        <v>0</v>
      </c>
      <c r="P19" s="77">
        <v>24.52258468786097</v>
      </c>
      <c r="Q19" s="77">
        <v>0</v>
      </c>
      <c r="R19" s="77">
        <v>0</v>
      </c>
      <c r="S19" s="77">
        <v>16.35656398680327</v>
      </c>
      <c r="T19" s="77">
        <v>0</v>
      </c>
      <c r="U19" s="77">
        <v>110.35163109537437</v>
      </c>
      <c r="V19" s="77">
        <v>1.17</v>
      </c>
      <c r="W19" s="77">
        <v>17.549999999999997</v>
      </c>
      <c r="X19" s="77"/>
      <c r="Y19" s="77">
        <v>0</v>
      </c>
      <c r="Z19" s="77">
        <v>17.549999999999997</v>
      </c>
      <c r="AA19" s="77">
        <v>0</v>
      </c>
      <c r="AB19" s="77">
        <v>367.83877031791457</v>
      </c>
      <c r="AC19" s="77">
        <v>349.44683180201883</v>
      </c>
      <c r="AD19" s="77">
        <v>18.391938515895728</v>
      </c>
      <c r="AE19" s="77">
        <v>43.96485085725935</v>
      </c>
      <c r="AF19" s="77">
        <v>62.356789373155081</v>
      </c>
      <c r="AG19" s="77">
        <v>0</v>
      </c>
      <c r="AH19" s="89">
        <v>433.38361204013387</v>
      </c>
      <c r="AI19" s="77">
        <v>47.819040141328898</v>
      </c>
      <c r="AJ19" s="77">
        <v>7.3567754063582917</v>
      </c>
      <c r="AK19" s="77">
        <v>1.8391938515895729</v>
      </c>
      <c r="AL19" s="77">
        <v>57.015009399276764</v>
      </c>
      <c r="AM19" s="77">
        <v>552.75541081256574</v>
      </c>
      <c r="AN19" s="78">
        <v>0</v>
      </c>
      <c r="AO19" s="78">
        <v>25</v>
      </c>
      <c r="AP19" s="78">
        <v>45</v>
      </c>
      <c r="AQ19" s="77">
        <v>88.440865730010515</v>
      </c>
      <c r="AR19" s="91">
        <f t="shared" si="17"/>
        <v>711.19627654257624</v>
      </c>
      <c r="AS19" s="94"/>
      <c r="AU19" s="79">
        <v>0</v>
      </c>
      <c r="AV19" s="79">
        <v>0</v>
      </c>
      <c r="AW19" s="79">
        <v>0</v>
      </c>
      <c r="AX19" s="79">
        <v>0</v>
      </c>
      <c r="AY19" s="79">
        <v>0</v>
      </c>
      <c r="AZ19" s="80">
        <v>0</v>
      </c>
      <c r="BA19" s="80">
        <v>0</v>
      </c>
      <c r="BB19" s="80">
        <v>0</v>
      </c>
      <c r="BC19" s="80">
        <v>0</v>
      </c>
      <c r="BD19" s="80">
        <v>0</v>
      </c>
      <c r="BE19" s="80">
        <v>0</v>
      </c>
    </row>
    <row r="20" spans="1:61" s="79" customFormat="1" x14ac:dyDescent="0.25">
      <c r="A20" s="74"/>
      <c r="B20" s="74" t="s">
        <v>156</v>
      </c>
      <c r="C20" s="74" t="s">
        <v>112</v>
      </c>
      <c r="D20" s="74" t="s">
        <v>158</v>
      </c>
      <c r="E20" s="82" t="s">
        <v>154</v>
      </c>
      <c r="F20" s="74" t="s">
        <v>141</v>
      </c>
      <c r="G20" s="75">
        <v>0</v>
      </c>
      <c r="H20" s="75"/>
      <c r="I20" s="75">
        <v>15</v>
      </c>
      <c r="J20" s="76">
        <v>35.23939903304624</v>
      </c>
      <c r="K20" s="76">
        <v>528.59098549569364</v>
      </c>
      <c r="L20" s="76">
        <v>0</v>
      </c>
      <c r="M20" s="77">
        <v>35.23939903304624</v>
      </c>
      <c r="N20" s="77">
        <v>0</v>
      </c>
      <c r="O20" s="77">
        <v>0</v>
      </c>
      <c r="P20" s="77">
        <v>35.23939903304624</v>
      </c>
      <c r="Q20" s="77">
        <v>0</v>
      </c>
      <c r="R20" s="77">
        <v>0</v>
      </c>
      <c r="S20" s="77">
        <v>23.504679155041842</v>
      </c>
      <c r="T20" s="77">
        <v>0</v>
      </c>
      <c r="U20" s="77">
        <v>158.57729564870809</v>
      </c>
      <c r="V20" s="77">
        <v>6.5</v>
      </c>
      <c r="W20" s="77">
        <v>97.5</v>
      </c>
      <c r="X20" s="77"/>
      <c r="Y20" s="77">
        <v>0</v>
      </c>
      <c r="Z20" s="77">
        <v>97.5</v>
      </c>
      <c r="AA20" s="77">
        <v>0</v>
      </c>
      <c r="AB20" s="77">
        <v>528.59098549569364</v>
      </c>
      <c r="AC20" s="77">
        <v>502.16143622090897</v>
      </c>
      <c r="AD20" s="77">
        <v>26.429549274784684</v>
      </c>
      <c r="AE20" s="77">
        <v>66.872041520092864</v>
      </c>
      <c r="AF20" s="77">
        <v>93.301590794877541</v>
      </c>
      <c r="AG20" s="77">
        <v>0</v>
      </c>
      <c r="AH20" s="89">
        <v>691.36669034952411</v>
      </c>
      <c r="AI20" s="77">
        <v>68.716828114440176</v>
      </c>
      <c r="AJ20" s="77">
        <v>10.571819709913873</v>
      </c>
      <c r="AK20" s="77">
        <v>2.6429549274784683</v>
      </c>
      <c r="AL20" s="77">
        <v>81.931602751832514</v>
      </c>
      <c r="AM20" s="77">
        <v>866.59988389623413</v>
      </c>
      <c r="AN20" s="78">
        <v>0</v>
      </c>
      <c r="AO20" s="78">
        <v>25</v>
      </c>
      <c r="AP20" s="78">
        <v>45</v>
      </c>
      <c r="AQ20" s="77">
        <v>138.65598142339746</v>
      </c>
      <c r="AR20" s="91">
        <f t="shared" si="17"/>
        <v>1075.2558653196315</v>
      </c>
      <c r="AS20" s="94"/>
      <c r="AU20" s="79">
        <v>0</v>
      </c>
      <c r="AV20" s="79">
        <v>0</v>
      </c>
      <c r="AW20" s="79">
        <v>0</v>
      </c>
      <c r="AX20" s="79">
        <v>0</v>
      </c>
      <c r="AY20" s="79">
        <v>0</v>
      </c>
      <c r="AZ20" s="80">
        <v>0</v>
      </c>
      <c r="BA20" s="80">
        <v>0</v>
      </c>
      <c r="BB20" s="80">
        <v>0</v>
      </c>
      <c r="BC20" s="80">
        <v>0</v>
      </c>
      <c r="BD20" s="80">
        <v>0</v>
      </c>
      <c r="BE20" s="80">
        <v>0</v>
      </c>
    </row>
    <row r="21" spans="1:61" s="79" customFormat="1" x14ac:dyDescent="0.25">
      <c r="A21" s="74"/>
      <c r="B21" s="74" t="s">
        <v>119</v>
      </c>
      <c r="C21" s="74" t="s">
        <v>120</v>
      </c>
      <c r="D21" s="74" t="s">
        <v>159</v>
      </c>
      <c r="E21" s="74" t="s">
        <v>152</v>
      </c>
      <c r="F21" s="74" t="s">
        <v>108</v>
      </c>
      <c r="G21" s="75">
        <v>0</v>
      </c>
      <c r="H21" s="75"/>
      <c r="I21" s="75">
        <v>15</v>
      </c>
      <c r="J21" s="76">
        <v>24.52258468786097</v>
      </c>
      <c r="K21" s="76">
        <v>367.83877031791457</v>
      </c>
      <c r="L21" s="76">
        <v>0</v>
      </c>
      <c r="M21" s="77">
        <v>24.52258468786097</v>
      </c>
      <c r="N21" s="77">
        <v>0</v>
      </c>
      <c r="O21" s="77">
        <v>0</v>
      </c>
      <c r="P21" s="77">
        <v>24.52258468786097</v>
      </c>
      <c r="Q21" s="77">
        <v>0</v>
      </c>
      <c r="R21" s="77">
        <v>0</v>
      </c>
      <c r="S21" s="77">
        <v>16.35656398680327</v>
      </c>
      <c r="T21" s="77">
        <v>0</v>
      </c>
      <c r="U21" s="77">
        <v>110.35163109537437</v>
      </c>
      <c r="V21" s="77">
        <v>1.17</v>
      </c>
      <c r="W21" s="77">
        <v>17.549999999999997</v>
      </c>
      <c r="X21" s="77"/>
      <c r="Y21" s="77">
        <v>0</v>
      </c>
      <c r="Z21" s="77">
        <v>17.549999999999997</v>
      </c>
      <c r="AA21" s="77">
        <v>0</v>
      </c>
      <c r="AB21" s="77">
        <v>367.83877031791457</v>
      </c>
      <c r="AC21" s="77">
        <v>349.44683180201883</v>
      </c>
      <c r="AD21" s="77">
        <v>18.391938515895728</v>
      </c>
      <c r="AE21" s="77">
        <v>43.96485085725935</v>
      </c>
      <c r="AF21" s="77">
        <v>62.356789373155081</v>
      </c>
      <c r="AG21" s="77">
        <v>0</v>
      </c>
      <c r="AH21" s="89">
        <v>433.38361204013387</v>
      </c>
      <c r="AI21" s="77">
        <v>47.819040141328898</v>
      </c>
      <c r="AJ21" s="77">
        <v>7.3567754063582917</v>
      </c>
      <c r="AK21" s="77">
        <v>1.8391938515895729</v>
      </c>
      <c r="AL21" s="77">
        <v>57.015009399276764</v>
      </c>
      <c r="AM21" s="77">
        <v>552.75541081256574</v>
      </c>
      <c r="AN21" s="78">
        <v>0</v>
      </c>
      <c r="AO21" s="78">
        <v>25</v>
      </c>
      <c r="AP21" s="78">
        <v>45</v>
      </c>
      <c r="AQ21" s="77">
        <v>88.440865730010515</v>
      </c>
      <c r="AR21" s="91">
        <f t="shared" si="17"/>
        <v>711.19627654257624</v>
      </c>
      <c r="AS21" s="94"/>
      <c r="AU21" s="79">
        <v>0</v>
      </c>
      <c r="AV21" s="79">
        <v>0</v>
      </c>
      <c r="AW21" s="79">
        <v>0</v>
      </c>
      <c r="AX21" s="79">
        <v>0</v>
      </c>
      <c r="AY21" s="79">
        <v>0</v>
      </c>
      <c r="AZ21" s="80">
        <v>0</v>
      </c>
      <c r="BA21" s="80">
        <v>0</v>
      </c>
      <c r="BB21" s="80">
        <v>0</v>
      </c>
      <c r="BC21" s="80">
        <v>0</v>
      </c>
      <c r="BD21" s="80">
        <v>0</v>
      </c>
      <c r="BE21" s="80">
        <v>0</v>
      </c>
    </row>
    <row r="22" spans="1:61" s="79" customFormat="1" x14ac:dyDescent="0.25">
      <c r="A22" s="74"/>
      <c r="B22" s="74" t="s">
        <v>123</v>
      </c>
      <c r="C22" s="74" t="s">
        <v>120</v>
      </c>
      <c r="D22" s="75" t="s">
        <v>165</v>
      </c>
      <c r="E22" s="82" t="s">
        <v>153</v>
      </c>
      <c r="F22" s="74" t="s">
        <v>141</v>
      </c>
      <c r="G22" s="75">
        <v>0</v>
      </c>
      <c r="H22" s="75"/>
      <c r="I22" s="75">
        <v>26</v>
      </c>
      <c r="J22" s="76">
        <v>24.52258468786097</v>
      </c>
      <c r="K22" s="76">
        <v>637.58720188438497</v>
      </c>
      <c r="L22" s="76">
        <v>0</v>
      </c>
      <c r="M22" s="77">
        <v>24.52258468786097</v>
      </c>
      <c r="N22" s="77">
        <v>0</v>
      </c>
      <c r="O22" s="77">
        <v>0</v>
      </c>
      <c r="P22" s="77">
        <v>24.52258468786097</v>
      </c>
      <c r="Q22" s="77">
        <v>0</v>
      </c>
      <c r="R22" s="77">
        <v>0</v>
      </c>
      <c r="S22" s="77">
        <v>16.35656398680327</v>
      </c>
      <c r="T22" s="77">
        <v>0</v>
      </c>
      <c r="U22" s="77">
        <v>191.27616056531556</v>
      </c>
      <c r="V22" s="77">
        <v>1.17</v>
      </c>
      <c r="W22" s="77">
        <v>30.419999999999998</v>
      </c>
      <c r="X22" s="77"/>
      <c r="Y22" s="77">
        <v>0</v>
      </c>
      <c r="Z22" s="77">
        <v>30.419999999999998</v>
      </c>
      <c r="AA22" s="77">
        <v>0</v>
      </c>
      <c r="AB22" s="77">
        <v>637.58720188438519</v>
      </c>
      <c r="AC22" s="77">
        <v>605.70784179016596</v>
      </c>
      <c r="AD22" s="77">
        <v>31.879360094219262</v>
      </c>
      <c r="AE22" s="77">
        <v>82.40400235548141</v>
      </c>
      <c r="AF22" s="77">
        <v>114.28336244970068</v>
      </c>
      <c r="AG22" s="77">
        <v>0</v>
      </c>
      <c r="AH22" s="89">
        <v>745</v>
      </c>
      <c r="AI22" s="77">
        <v>82.886336244970082</v>
      </c>
      <c r="AJ22" s="77">
        <v>12.751744037687704</v>
      </c>
      <c r="AK22" s="77">
        <v>3.187936009421926</v>
      </c>
      <c r="AL22" s="77">
        <v>98.826016292079714</v>
      </c>
      <c r="AM22" s="77">
        <v>958.10937874178035</v>
      </c>
      <c r="AN22" s="78">
        <v>0</v>
      </c>
      <c r="AO22" s="78">
        <v>25</v>
      </c>
      <c r="AP22" s="78">
        <v>45</v>
      </c>
      <c r="AQ22" s="77">
        <v>153.29750059868485</v>
      </c>
      <c r="AR22" s="91">
        <f t="shared" si="17"/>
        <v>1181.4068793404651</v>
      </c>
      <c r="AS22" s="94"/>
      <c r="AU22" s="79">
        <v>0</v>
      </c>
      <c r="AV22" s="79">
        <v>0</v>
      </c>
      <c r="AW22" s="79">
        <v>0</v>
      </c>
      <c r="AX22" s="79">
        <v>0</v>
      </c>
      <c r="AY22" s="79">
        <v>0</v>
      </c>
      <c r="AZ22" s="80">
        <v>0</v>
      </c>
      <c r="BA22" s="80">
        <v>0</v>
      </c>
      <c r="BB22" s="80">
        <v>0</v>
      </c>
      <c r="BC22" s="80">
        <v>0</v>
      </c>
      <c r="BD22" s="80">
        <v>0</v>
      </c>
      <c r="BE22" s="80">
        <v>0</v>
      </c>
    </row>
    <row r="23" spans="1:61" s="86" customFormat="1" x14ac:dyDescent="0.25">
      <c r="A23" s="83"/>
      <c r="B23" s="74" t="s">
        <v>166</v>
      </c>
      <c r="C23" s="74" t="s">
        <v>167</v>
      </c>
      <c r="D23" s="77" t="s">
        <v>168</v>
      </c>
      <c r="E23" s="77"/>
      <c r="F23" s="74"/>
      <c r="G23" s="74"/>
      <c r="H23" s="74"/>
      <c r="I23" s="75">
        <v>26</v>
      </c>
      <c r="J23" s="74">
        <v>15.28</v>
      </c>
      <c r="K23" s="74">
        <v>397.28</v>
      </c>
      <c r="L23" s="84">
        <v>0</v>
      </c>
      <c r="M23" s="74"/>
      <c r="N23" s="77">
        <v>0</v>
      </c>
      <c r="O23" s="84">
        <v>0</v>
      </c>
      <c r="P23" s="84"/>
      <c r="Q23" s="84">
        <v>0</v>
      </c>
      <c r="R23" s="84">
        <v>0</v>
      </c>
      <c r="S23" s="74"/>
      <c r="T23" s="84">
        <v>0</v>
      </c>
      <c r="U23" s="77">
        <v>119.18399999999998</v>
      </c>
      <c r="V23" s="84">
        <v>3.2041904509283814</v>
      </c>
      <c r="W23" s="77">
        <v>83.308951724137913</v>
      </c>
      <c r="X23" s="74"/>
      <c r="Y23" s="85">
        <v>0</v>
      </c>
      <c r="Z23" s="77">
        <v>83.308951724137913</v>
      </c>
      <c r="AA23" s="85">
        <v>0</v>
      </c>
      <c r="AB23" s="77">
        <v>397.28</v>
      </c>
      <c r="AC23" s="77">
        <v>377.416</v>
      </c>
      <c r="AD23" s="77">
        <v>19.864000000000001</v>
      </c>
      <c r="AE23" s="78">
        <v>48.16</v>
      </c>
      <c r="AF23" s="77">
        <v>68.024000000000001</v>
      </c>
      <c r="AG23" s="77">
        <v>0</v>
      </c>
      <c r="AH23" s="89">
        <v>531.7489517241379</v>
      </c>
      <c r="AI23" s="77">
        <v>51.6464</v>
      </c>
      <c r="AJ23" s="77">
        <v>7.9455999999999998</v>
      </c>
      <c r="AK23" s="77">
        <v>1.9863999999999999</v>
      </c>
      <c r="AL23" s="77">
        <v>61.578400000000002</v>
      </c>
      <c r="AM23" s="77">
        <v>661.35135172413788</v>
      </c>
      <c r="AN23" s="78">
        <v>0</v>
      </c>
      <c r="AO23" s="78">
        <v>25</v>
      </c>
      <c r="AP23" s="78">
        <v>45</v>
      </c>
      <c r="AQ23" s="77">
        <v>105.81621627586206</v>
      </c>
      <c r="AR23" s="91">
        <f t="shared" si="17"/>
        <v>837.16756799999996</v>
      </c>
      <c r="AS23" s="94"/>
      <c r="AU23" s="79">
        <v>0</v>
      </c>
      <c r="AV23" s="79">
        <v>0</v>
      </c>
      <c r="AW23" s="79">
        <v>0</v>
      </c>
      <c r="AX23" s="79">
        <v>0</v>
      </c>
      <c r="AY23" s="79">
        <v>0</v>
      </c>
      <c r="AZ23" s="80">
        <v>0</v>
      </c>
      <c r="BA23" s="80">
        <v>0</v>
      </c>
      <c r="BB23" s="80">
        <v>0</v>
      </c>
      <c r="BC23" s="80">
        <v>0</v>
      </c>
      <c r="BD23" s="80">
        <v>0</v>
      </c>
      <c r="BE23" s="80">
        <v>0</v>
      </c>
    </row>
    <row r="24" spans="1:61" s="86" customFormat="1" x14ac:dyDescent="0.25">
      <c r="A24" s="83"/>
      <c r="B24" s="74" t="s">
        <v>169</v>
      </c>
      <c r="C24" s="74" t="s">
        <v>170</v>
      </c>
      <c r="D24" s="74" t="s">
        <v>171</v>
      </c>
      <c r="E24" s="77"/>
      <c r="F24" s="74"/>
      <c r="G24" s="74"/>
      <c r="H24" s="74"/>
      <c r="I24" s="75">
        <v>26</v>
      </c>
      <c r="J24" s="74">
        <v>22.8</v>
      </c>
      <c r="K24" s="74">
        <v>592.79999999999995</v>
      </c>
      <c r="L24" s="84">
        <v>0</v>
      </c>
      <c r="M24" s="74"/>
      <c r="N24" s="77">
        <v>0</v>
      </c>
      <c r="O24" s="84">
        <v>0</v>
      </c>
      <c r="P24" s="84"/>
      <c r="Q24" s="84">
        <v>0</v>
      </c>
      <c r="R24" s="84">
        <v>0</v>
      </c>
      <c r="S24" s="74"/>
      <c r="T24" s="84">
        <v>0</v>
      </c>
      <c r="U24" s="77">
        <v>177.84</v>
      </c>
      <c r="V24" s="84">
        <v>4.7604058355437617</v>
      </c>
      <c r="W24" s="77">
        <v>123.7705517241378</v>
      </c>
      <c r="X24" s="74"/>
      <c r="Y24" s="85">
        <v>0</v>
      </c>
      <c r="Z24" s="77">
        <v>123.7705517241378</v>
      </c>
      <c r="AA24" s="85">
        <v>0</v>
      </c>
      <c r="AB24" s="77">
        <v>592.79999999999995</v>
      </c>
      <c r="AC24" s="77">
        <v>563.16</v>
      </c>
      <c r="AD24" s="77">
        <v>29.64</v>
      </c>
      <c r="AE24" s="78">
        <v>76.02</v>
      </c>
      <c r="AF24" s="77">
        <v>105.66</v>
      </c>
      <c r="AG24" s="77">
        <v>0</v>
      </c>
      <c r="AH24" s="89">
        <v>788.75055172413784</v>
      </c>
      <c r="AI24" s="77">
        <v>77.063999999999993</v>
      </c>
      <c r="AJ24" s="77">
        <v>11.856</v>
      </c>
      <c r="AK24" s="77">
        <v>2.964</v>
      </c>
      <c r="AL24" s="77">
        <v>91.883999999999986</v>
      </c>
      <c r="AM24" s="77">
        <v>986.29455172413782</v>
      </c>
      <c r="AN24" s="78">
        <v>0</v>
      </c>
      <c r="AO24" s="78">
        <v>25</v>
      </c>
      <c r="AP24" s="78">
        <v>45</v>
      </c>
      <c r="AQ24" s="77">
        <v>157.80712827586206</v>
      </c>
      <c r="AR24" s="91">
        <f t="shared" si="17"/>
        <v>1214.1016799999998</v>
      </c>
      <c r="AS24" s="94"/>
      <c r="AU24" s="79">
        <v>0</v>
      </c>
      <c r="AV24" s="79">
        <v>0</v>
      </c>
      <c r="AW24" s="79">
        <v>0</v>
      </c>
      <c r="AX24" s="79">
        <v>0</v>
      </c>
      <c r="AY24" s="79">
        <v>0</v>
      </c>
      <c r="AZ24" s="80">
        <v>0</v>
      </c>
      <c r="BA24" s="80">
        <v>0</v>
      </c>
      <c r="BB24" s="80">
        <v>0</v>
      </c>
      <c r="BC24" s="80">
        <v>0</v>
      </c>
      <c r="BD24" s="80">
        <v>0</v>
      </c>
      <c r="BE24" s="80">
        <v>0</v>
      </c>
    </row>
    <row r="25" spans="1:61" s="86" customFormat="1" x14ac:dyDescent="0.25">
      <c r="A25" s="83"/>
      <c r="B25" s="74" t="s">
        <v>172</v>
      </c>
      <c r="C25" s="74" t="s">
        <v>173</v>
      </c>
      <c r="D25" s="74" t="s">
        <v>157</v>
      </c>
      <c r="E25" s="77"/>
      <c r="F25" s="74"/>
      <c r="G25" s="74"/>
      <c r="H25" s="74"/>
      <c r="I25" s="75">
        <v>26</v>
      </c>
      <c r="J25" s="74">
        <v>3.91</v>
      </c>
      <c r="K25" s="74">
        <v>78.2</v>
      </c>
      <c r="L25" s="84">
        <v>0</v>
      </c>
      <c r="M25" s="74"/>
      <c r="N25" s="77">
        <v>0</v>
      </c>
      <c r="O25" s="84">
        <v>0</v>
      </c>
      <c r="P25" s="84"/>
      <c r="Q25" s="84">
        <v>0</v>
      </c>
      <c r="R25" s="84">
        <v>0</v>
      </c>
      <c r="S25" s="74"/>
      <c r="T25" s="84">
        <v>0</v>
      </c>
      <c r="U25" s="77">
        <v>177.84</v>
      </c>
      <c r="V25" s="84">
        <v>4.7604058355437617</v>
      </c>
      <c r="W25" s="77">
        <v>123.7705517241378</v>
      </c>
      <c r="X25" s="74"/>
      <c r="Y25" s="85">
        <v>0</v>
      </c>
      <c r="Z25" s="77">
        <v>123.7705517241378</v>
      </c>
      <c r="AA25" s="85">
        <v>0</v>
      </c>
      <c r="AB25" s="77">
        <v>78.2</v>
      </c>
      <c r="AC25" s="77">
        <v>74.290000000000006</v>
      </c>
      <c r="AD25" s="77">
        <v>3.91</v>
      </c>
      <c r="AE25" s="78">
        <v>2.69</v>
      </c>
      <c r="AF25" s="77">
        <v>6.6</v>
      </c>
      <c r="AG25" s="77">
        <v>0</v>
      </c>
      <c r="AH25" s="89">
        <v>373.21055172413782</v>
      </c>
      <c r="AI25" s="77">
        <v>10.166</v>
      </c>
      <c r="AJ25" s="77">
        <v>1.5640000000000001</v>
      </c>
      <c r="AK25" s="77">
        <v>0.39100000000000001</v>
      </c>
      <c r="AL25" s="77">
        <v>12.121</v>
      </c>
      <c r="AM25" s="77">
        <v>391.93155172413782</v>
      </c>
      <c r="AN25" s="78">
        <v>0</v>
      </c>
      <c r="AO25" s="78">
        <v>25</v>
      </c>
      <c r="AP25" s="78">
        <v>45</v>
      </c>
      <c r="AQ25" s="77">
        <v>62.709048275862052</v>
      </c>
      <c r="AR25" s="91">
        <f t="shared" si="17"/>
        <v>524.64059999999984</v>
      </c>
      <c r="AS25" s="94"/>
      <c r="AU25" s="79">
        <v>0</v>
      </c>
      <c r="AV25" s="79">
        <v>0</v>
      </c>
      <c r="AW25" s="79">
        <v>0</v>
      </c>
      <c r="AX25" s="79">
        <v>0</v>
      </c>
      <c r="AY25" s="79">
        <v>0</v>
      </c>
      <c r="AZ25" s="80">
        <v>0</v>
      </c>
      <c r="BA25" s="80">
        <v>0</v>
      </c>
      <c r="BB25" s="80">
        <v>0</v>
      </c>
      <c r="BC25" s="80">
        <v>0</v>
      </c>
      <c r="BD25" s="80">
        <v>0</v>
      </c>
      <c r="BE25" s="80">
        <v>0</v>
      </c>
    </row>
    <row r="26" spans="1:61" s="86" customFormat="1" x14ac:dyDescent="0.25">
      <c r="A26" s="83"/>
      <c r="B26" s="74" t="s">
        <v>174</v>
      </c>
      <c r="C26" s="74" t="s">
        <v>173</v>
      </c>
      <c r="D26" s="74" t="s">
        <v>157</v>
      </c>
      <c r="E26" s="77"/>
      <c r="F26" s="74"/>
      <c r="G26" s="74"/>
      <c r="H26" s="74"/>
      <c r="I26" s="75">
        <v>26</v>
      </c>
      <c r="J26" s="74">
        <v>3.91</v>
      </c>
      <c r="K26" s="74">
        <v>101.66</v>
      </c>
      <c r="L26" s="84">
        <v>0</v>
      </c>
      <c r="M26" s="74"/>
      <c r="N26" s="77">
        <v>0</v>
      </c>
      <c r="O26" s="84">
        <v>0</v>
      </c>
      <c r="P26" s="84"/>
      <c r="Q26" s="84">
        <v>0</v>
      </c>
      <c r="R26" s="84">
        <v>0</v>
      </c>
      <c r="S26" s="74"/>
      <c r="T26" s="84">
        <v>0</v>
      </c>
      <c r="U26" s="77">
        <v>30.497999999999998</v>
      </c>
      <c r="V26" s="84">
        <v>0.41185006631299781</v>
      </c>
      <c r="W26" s="77">
        <v>10.708101724137943</v>
      </c>
      <c r="X26" s="74"/>
      <c r="Y26" s="85">
        <v>0</v>
      </c>
      <c r="Z26" s="77">
        <v>10.708101724137943</v>
      </c>
      <c r="AA26" s="85">
        <v>0</v>
      </c>
      <c r="AB26" s="77">
        <v>101.66</v>
      </c>
      <c r="AC26" s="77">
        <v>96.576999999999998</v>
      </c>
      <c r="AD26" s="77">
        <v>5.0830000000000002</v>
      </c>
      <c r="AE26" s="77">
        <v>6.03</v>
      </c>
      <c r="AF26" s="77">
        <v>11.113</v>
      </c>
      <c r="AG26" s="77">
        <v>0</v>
      </c>
      <c r="AH26" s="89">
        <v>131.75310172413793</v>
      </c>
      <c r="AI26" s="77">
        <v>13.2158</v>
      </c>
      <c r="AJ26" s="77">
        <v>2.0331999999999999</v>
      </c>
      <c r="AK26" s="77">
        <v>0.50829999999999997</v>
      </c>
      <c r="AL26" s="77">
        <v>15.757299999999999</v>
      </c>
      <c r="AM26" s="77">
        <v>158.62340172413792</v>
      </c>
      <c r="AN26" s="78">
        <v>0</v>
      </c>
      <c r="AO26" s="78">
        <v>25</v>
      </c>
      <c r="AP26" s="78">
        <v>45</v>
      </c>
      <c r="AQ26" s="77">
        <v>25.379744275862066</v>
      </c>
      <c r="AR26" s="91">
        <f t="shared" si="17"/>
        <v>254.00314599999999</v>
      </c>
      <c r="AS26" s="94"/>
      <c r="AU26" s="79">
        <v>0</v>
      </c>
      <c r="AV26" s="79">
        <v>0</v>
      </c>
      <c r="AW26" s="79">
        <v>0</v>
      </c>
      <c r="AX26" s="79">
        <v>0</v>
      </c>
      <c r="AY26" s="79">
        <v>0</v>
      </c>
      <c r="AZ26" s="80">
        <v>0</v>
      </c>
      <c r="BA26" s="80">
        <v>0</v>
      </c>
      <c r="BB26" s="80">
        <v>0</v>
      </c>
      <c r="BC26" s="80">
        <v>0</v>
      </c>
      <c r="BD26" s="80">
        <v>0</v>
      </c>
      <c r="BE26" s="80">
        <v>0</v>
      </c>
    </row>
    <row r="27" spans="1:61" s="86" customFormat="1" x14ac:dyDescent="0.25">
      <c r="A27" s="83"/>
      <c r="B27" s="74" t="s">
        <v>175</v>
      </c>
      <c r="C27" s="74" t="s">
        <v>173</v>
      </c>
      <c r="D27" s="74" t="s">
        <v>157</v>
      </c>
      <c r="E27" s="77"/>
      <c r="F27" s="74"/>
      <c r="G27" s="74"/>
      <c r="H27" s="74"/>
      <c r="I27" s="75">
        <v>26</v>
      </c>
      <c r="J27" s="74">
        <v>3.91</v>
      </c>
      <c r="K27" s="74">
        <v>101.66</v>
      </c>
      <c r="L27" s="84">
        <v>0</v>
      </c>
      <c r="M27" s="74"/>
      <c r="N27" s="77">
        <v>0</v>
      </c>
      <c r="O27" s="84">
        <v>0</v>
      </c>
      <c r="P27" s="84"/>
      <c r="Q27" s="84">
        <v>0</v>
      </c>
      <c r="R27" s="84">
        <v>0</v>
      </c>
      <c r="S27" s="74"/>
      <c r="T27" s="84">
        <v>0</v>
      </c>
      <c r="U27" s="77">
        <v>30.497999999999998</v>
      </c>
      <c r="V27" s="84">
        <v>0.41185006631299781</v>
      </c>
      <c r="W27" s="77">
        <v>10.708101724137943</v>
      </c>
      <c r="X27" s="74"/>
      <c r="Y27" s="85">
        <v>0</v>
      </c>
      <c r="Z27" s="77">
        <v>10.708101724137943</v>
      </c>
      <c r="AA27" s="85">
        <v>0</v>
      </c>
      <c r="AB27" s="77">
        <v>101.66</v>
      </c>
      <c r="AC27" s="77">
        <v>96.576999999999998</v>
      </c>
      <c r="AD27" s="77">
        <v>5.0830000000000002</v>
      </c>
      <c r="AE27" s="77">
        <v>6.03</v>
      </c>
      <c r="AF27" s="77">
        <v>11.113</v>
      </c>
      <c r="AG27" s="77">
        <v>0</v>
      </c>
      <c r="AH27" s="89">
        <v>131.75310172413793</v>
      </c>
      <c r="AI27" s="77">
        <v>13.2158</v>
      </c>
      <c r="AJ27" s="77">
        <v>2.0331999999999999</v>
      </c>
      <c r="AK27" s="77">
        <v>0.50829999999999997</v>
      </c>
      <c r="AL27" s="77">
        <v>15.757299999999999</v>
      </c>
      <c r="AM27" s="77">
        <v>158.62340172413792</v>
      </c>
      <c r="AN27" s="78">
        <v>0</v>
      </c>
      <c r="AO27" s="78">
        <v>25</v>
      </c>
      <c r="AP27" s="78">
        <v>45</v>
      </c>
      <c r="AQ27" s="77">
        <v>25.379744275862066</v>
      </c>
      <c r="AR27" s="91">
        <f t="shared" si="17"/>
        <v>254.00314599999999</v>
      </c>
      <c r="AS27" s="94"/>
      <c r="AU27" s="79">
        <v>0</v>
      </c>
      <c r="AV27" s="79">
        <v>0</v>
      </c>
      <c r="AW27" s="79">
        <v>0</v>
      </c>
      <c r="AX27" s="79">
        <v>0</v>
      </c>
      <c r="AY27" s="79">
        <v>0</v>
      </c>
      <c r="AZ27" s="80">
        <v>0</v>
      </c>
      <c r="BA27" s="80">
        <v>0</v>
      </c>
      <c r="BB27" s="80">
        <v>0</v>
      </c>
      <c r="BC27" s="80">
        <v>0</v>
      </c>
      <c r="BD27" s="80">
        <v>0</v>
      </c>
      <c r="BE27" s="80">
        <v>0</v>
      </c>
    </row>
    <row r="28" spans="1:61" s="86" customFormat="1" x14ac:dyDescent="0.25">
      <c r="A28" s="83"/>
      <c r="B28" s="74" t="s">
        <v>176</v>
      </c>
      <c r="C28" s="74" t="s">
        <v>173</v>
      </c>
      <c r="D28" s="74" t="s">
        <v>157</v>
      </c>
      <c r="E28" s="77"/>
      <c r="F28" s="74"/>
      <c r="G28" s="74"/>
      <c r="H28" s="74"/>
      <c r="I28" s="75">
        <v>26</v>
      </c>
      <c r="J28" s="74">
        <v>3.91</v>
      </c>
      <c r="K28" s="74">
        <v>101.66</v>
      </c>
      <c r="L28" s="84">
        <v>0</v>
      </c>
      <c r="M28" s="74"/>
      <c r="N28" s="77">
        <v>0</v>
      </c>
      <c r="O28" s="84">
        <v>0</v>
      </c>
      <c r="P28" s="84"/>
      <c r="Q28" s="84">
        <v>0</v>
      </c>
      <c r="R28" s="84">
        <v>0</v>
      </c>
      <c r="S28" s="74"/>
      <c r="T28" s="84">
        <v>0</v>
      </c>
      <c r="U28" s="77">
        <v>30.497999999999998</v>
      </c>
      <c r="V28" s="84">
        <v>0.41185006631299781</v>
      </c>
      <c r="W28" s="77">
        <v>10.708101724137943</v>
      </c>
      <c r="X28" s="74"/>
      <c r="Y28" s="85">
        <v>0</v>
      </c>
      <c r="Z28" s="77">
        <v>10.708101724137943</v>
      </c>
      <c r="AA28" s="85">
        <v>0</v>
      </c>
      <c r="AB28" s="77">
        <v>101.66</v>
      </c>
      <c r="AC28" s="77">
        <v>96.576999999999998</v>
      </c>
      <c r="AD28" s="77">
        <v>5.0830000000000002</v>
      </c>
      <c r="AE28" s="77">
        <v>6.03</v>
      </c>
      <c r="AF28" s="77">
        <v>11.113</v>
      </c>
      <c r="AG28" s="77">
        <v>0</v>
      </c>
      <c r="AH28" s="89">
        <v>131.75310172413793</v>
      </c>
      <c r="AI28" s="77">
        <v>13.2158</v>
      </c>
      <c r="AJ28" s="77">
        <v>2.0331999999999999</v>
      </c>
      <c r="AK28" s="77">
        <v>0.50829999999999997</v>
      </c>
      <c r="AL28" s="77">
        <v>15.757299999999999</v>
      </c>
      <c r="AM28" s="77">
        <v>158.62340172413792</v>
      </c>
      <c r="AN28" s="78">
        <v>0</v>
      </c>
      <c r="AO28" s="78">
        <v>25</v>
      </c>
      <c r="AP28" s="78">
        <v>45</v>
      </c>
      <c r="AQ28" s="77">
        <v>25.379744275862066</v>
      </c>
      <c r="AR28" s="91">
        <f t="shared" si="17"/>
        <v>254.00314599999999</v>
      </c>
      <c r="AS28" s="94"/>
      <c r="AU28" s="79">
        <v>0</v>
      </c>
      <c r="AV28" s="79">
        <v>0</v>
      </c>
      <c r="AW28" s="79">
        <v>0</v>
      </c>
      <c r="AX28" s="79">
        <v>0</v>
      </c>
      <c r="AY28" s="79">
        <v>0</v>
      </c>
      <c r="AZ28" s="80">
        <v>0</v>
      </c>
      <c r="BA28" s="80">
        <v>0</v>
      </c>
      <c r="BB28" s="80">
        <v>0</v>
      </c>
      <c r="BC28" s="80">
        <v>0</v>
      </c>
      <c r="BD28" s="80">
        <v>0</v>
      </c>
      <c r="BE28" s="80">
        <v>0</v>
      </c>
    </row>
    <row r="29" spans="1:61" s="86" customFormat="1" x14ac:dyDescent="0.25">
      <c r="A29" s="83"/>
      <c r="B29" s="74" t="s">
        <v>177</v>
      </c>
      <c r="C29" s="74" t="s">
        <v>170</v>
      </c>
      <c r="D29" s="74" t="s">
        <v>158</v>
      </c>
      <c r="E29" s="77"/>
      <c r="F29" s="74"/>
      <c r="G29" s="74"/>
      <c r="H29" s="74"/>
      <c r="I29" s="75">
        <v>26</v>
      </c>
      <c r="J29" s="74">
        <v>22.8</v>
      </c>
      <c r="K29" s="74">
        <v>592.79999999999995</v>
      </c>
      <c r="L29" s="84">
        <v>0</v>
      </c>
      <c r="M29" s="74"/>
      <c r="N29" s="77">
        <v>0</v>
      </c>
      <c r="O29" s="84">
        <v>0</v>
      </c>
      <c r="P29" s="84"/>
      <c r="Q29" s="84">
        <v>0</v>
      </c>
      <c r="R29" s="84">
        <v>0</v>
      </c>
      <c r="S29" s="74"/>
      <c r="T29" s="84">
        <v>0</v>
      </c>
      <c r="U29" s="77">
        <v>177.84</v>
      </c>
      <c r="V29" s="84">
        <v>4.7603846153846154</v>
      </c>
      <c r="W29" s="77">
        <v>123.77</v>
      </c>
      <c r="X29" s="74"/>
      <c r="Y29" s="85">
        <v>0</v>
      </c>
      <c r="Z29" s="77">
        <v>123.77</v>
      </c>
      <c r="AA29" s="85">
        <v>0</v>
      </c>
      <c r="AB29" s="77">
        <v>592.79999999999995</v>
      </c>
      <c r="AC29" s="77">
        <v>563.16</v>
      </c>
      <c r="AD29" s="77">
        <v>29.64</v>
      </c>
      <c r="AE29" s="77">
        <v>76.02</v>
      </c>
      <c r="AF29" s="77">
        <v>105.66</v>
      </c>
      <c r="AG29" s="77">
        <v>0</v>
      </c>
      <c r="AH29" s="89">
        <v>788.75</v>
      </c>
      <c r="AI29" s="77">
        <v>77.063999999999993</v>
      </c>
      <c r="AJ29" s="77">
        <v>11.856</v>
      </c>
      <c r="AK29" s="77">
        <v>2.964</v>
      </c>
      <c r="AL29" s="77">
        <v>91.883999999999986</v>
      </c>
      <c r="AM29" s="77">
        <v>986.29399999999998</v>
      </c>
      <c r="AN29" s="78">
        <v>0</v>
      </c>
      <c r="AO29" s="78">
        <v>25</v>
      </c>
      <c r="AP29" s="78">
        <v>45</v>
      </c>
      <c r="AQ29" s="77">
        <v>157.80704</v>
      </c>
      <c r="AR29" s="91">
        <f t="shared" si="17"/>
        <v>1214.1010399999998</v>
      </c>
      <c r="AS29" s="94"/>
      <c r="AU29" s="79">
        <v>0</v>
      </c>
      <c r="AV29" s="79">
        <v>0</v>
      </c>
      <c r="AW29" s="79">
        <v>0</v>
      </c>
      <c r="AX29" s="79">
        <v>0</v>
      </c>
      <c r="AY29" s="79">
        <v>0</v>
      </c>
      <c r="AZ29" s="80">
        <v>0</v>
      </c>
      <c r="BA29" s="80">
        <v>0</v>
      </c>
      <c r="BB29" s="80">
        <v>0</v>
      </c>
      <c r="BC29" s="80">
        <v>0</v>
      </c>
      <c r="BD29" s="80">
        <v>0</v>
      </c>
      <c r="BE29" s="80">
        <v>0</v>
      </c>
    </row>
    <row r="30" spans="1:61" s="86" customFormat="1" x14ac:dyDescent="0.25">
      <c r="A30" s="83"/>
      <c r="B30" s="74" t="s">
        <v>178</v>
      </c>
      <c r="C30" s="74" t="s">
        <v>179</v>
      </c>
      <c r="D30" s="74" t="s">
        <v>157</v>
      </c>
      <c r="E30" s="77"/>
      <c r="F30" s="74"/>
      <c r="G30" s="74"/>
      <c r="H30" s="74"/>
      <c r="I30" s="75">
        <v>26</v>
      </c>
      <c r="J30" s="74">
        <v>8.8000000000000007</v>
      </c>
      <c r="K30" s="76">
        <v>228.8</v>
      </c>
      <c r="L30" s="84">
        <v>0</v>
      </c>
      <c r="M30" s="74"/>
      <c r="N30" s="77">
        <v>0</v>
      </c>
      <c r="O30" s="84">
        <v>0</v>
      </c>
      <c r="P30" s="84"/>
      <c r="Q30" s="84">
        <v>0</v>
      </c>
      <c r="R30" s="84">
        <v>0</v>
      </c>
      <c r="S30" s="74"/>
      <c r="T30" s="84">
        <v>0</v>
      </c>
      <c r="U30" s="77">
        <v>68.64</v>
      </c>
      <c r="V30" s="84">
        <v>0.80386737400530506</v>
      </c>
      <c r="W30" s="77">
        <v>20.90055172413793</v>
      </c>
      <c r="X30" s="74"/>
      <c r="Y30" s="85">
        <v>0</v>
      </c>
      <c r="Z30" s="77">
        <v>20.90055172413793</v>
      </c>
      <c r="AA30" s="85">
        <v>0</v>
      </c>
      <c r="AB30" s="77">
        <v>228.8</v>
      </c>
      <c r="AC30" s="77">
        <v>217.36</v>
      </c>
      <c r="AD30" s="77">
        <v>11.440000000000001</v>
      </c>
      <c r="AE30" s="78">
        <v>24.15</v>
      </c>
      <c r="AF30" s="77">
        <v>35.590000000000003</v>
      </c>
      <c r="AG30" s="77">
        <v>0</v>
      </c>
      <c r="AH30" s="89">
        <v>282.75055172413795</v>
      </c>
      <c r="AI30" s="77">
        <v>29.744000000000003</v>
      </c>
      <c r="AJ30" s="77">
        <v>4.5760000000000005</v>
      </c>
      <c r="AK30" s="77">
        <v>1.1440000000000001</v>
      </c>
      <c r="AL30" s="77">
        <v>35.464000000000006</v>
      </c>
      <c r="AM30" s="77">
        <v>353.80455172413798</v>
      </c>
      <c r="AN30" s="78">
        <v>0</v>
      </c>
      <c r="AO30" s="78">
        <v>25</v>
      </c>
      <c r="AP30" s="78">
        <v>45</v>
      </c>
      <c r="AQ30" s="77">
        <v>56.608728275862077</v>
      </c>
      <c r="AR30" s="91">
        <f t="shared" si="17"/>
        <v>480.41328000000004</v>
      </c>
      <c r="AS30" s="94"/>
      <c r="AU30" s="79">
        <v>0</v>
      </c>
      <c r="AV30" s="79">
        <v>0</v>
      </c>
      <c r="AW30" s="79">
        <v>0</v>
      </c>
      <c r="AX30" s="79">
        <v>0</v>
      </c>
      <c r="AY30" s="79">
        <v>0</v>
      </c>
      <c r="AZ30" s="80">
        <v>0</v>
      </c>
      <c r="BA30" s="80">
        <v>0</v>
      </c>
      <c r="BB30" s="80">
        <v>0</v>
      </c>
      <c r="BC30" s="80">
        <v>0</v>
      </c>
      <c r="BD30" s="80">
        <v>0</v>
      </c>
      <c r="BE30" s="80">
        <v>0</v>
      </c>
    </row>
    <row r="31" spans="1:61" s="86" customFormat="1" x14ac:dyDescent="0.25">
      <c r="A31" s="83"/>
      <c r="B31" s="74" t="s">
        <v>180</v>
      </c>
      <c r="C31" s="74" t="s">
        <v>181</v>
      </c>
      <c r="D31" s="74" t="s">
        <v>157</v>
      </c>
      <c r="E31" s="77"/>
      <c r="F31" s="74"/>
      <c r="G31" s="74"/>
      <c r="H31" s="74"/>
      <c r="I31" s="75">
        <v>26</v>
      </c>
      <c r="J31" s="74">
        <v>11.71</v>
      </c>
      <c r="K31" s="76">
        <v>304.46000000000004</v>
      </c>
      <c r="L31" s="84">
        <v>0</v>
      </c>
      <c r="M31" s="74"/>
      <c r="N31" s="77">
        <v>0</v>
      </c>
      <c r="O31" s="84">
        <v>0</v>
      </c>
      <c r="P31" s="84"/>
      <c r="Q31" s="84">
        <v>0</v>
      </c>
      <c r="R31" s="84">
        <v>0</v>
      </c>
      <c r="S31" s="74"/>
      <c r="T31" s="84">
        <v>0</v>
      </c>
      <c r="U31" s="77">
        <v>91.34</v>
      </c>
      <c r="V31" s="74">
        <v>1.22</v>
      </c>
      <c r="W31" s="77">
        <v>31.64</v>
      </c>
      <c r="X31" s="74">
        <v>2</v>
      </c>
      <c r="Y31" s="85">
        <v>0</v>
      </c>
      <c r="Z31" s="77">
        <v>34.08</v>
      </c>
      <c r="AA31" s="77">
        <v>42.682950000000005</v>
      </c>
      <c r="AB31" s="77">
        <v>347.14295000000004</v>
      </c>
      <c r="AC31" s="77">
        <v>329.78580250000005</v>
      </c>
      <c r="AD31" s="77">
        <v>17.357147500000004</v>
      </c>
      <c r="AE31" s="78">
        <v>36.68</v>
      </c>
      <c r="AF31" s="77">
        <v>67.347437499999998</v>
      </c>
      <c r="AG31" s="77">
        <v>0</v>
      </c>
      <c r="AH31" s="89">
        <v>405.21551250000005</v>
      </c>
      <c r="AI31" s="77">
        <v>45.128583500000005</v>
      </c>
      <c r="AJ31" s="77">
        <v>6.9428590000000012</v>
      </c>
      <c r="AK31" s="77">
        <v>1.7357147500000003</v>
      </c>
      <c r="AL31" s="77">
        <v>53.807157250000003</v>
      </c>
      <c r="AM31" s="77">
        <v>513.05981725000004</v>
      </c>
      <c r="AN31" s="78">
        <v>0</v>
      </c>
      <c r="AO31" s="78">
        <v>25</v>
      </c>
      <c r="AP31" s="78">
        <v>45</v>
      </c>
      <c r="AQ31" s="77">
        <v>82.089570760000001</v>
      </c>
      <c r="AR31" s="91">
        <f t="shared" si="17"/>
        <v>665.14938801000005</v>
      </c>
      <c r="AS31" s="94"/>
      <c r="AT31" s="79"/>
      <c r="AU31" s="79">
        <v>6</v>
      </c>
      <c r="AV31" s="79">
        <v>1.6</v>
      </c>
      <c r="AW31" s="79">
        <v>7.75</v>
      </c>
      <c r="AX31" s="79">
        <v>3</v>
      </c>
      <c r="AY31" s="79">
        <v>0</v>
      </c>
      <c r="AZ31" s="80">
        <v>11.417250000000001</v>
      </c>
      <c r="BA31" s="80">
        <v>3.7472000000000003</v>
      </c>
      <c r="BB31" s="80">
        <v>22.688125000000003</v>
      </c>
      <c r="BC31" s="80">
        <v>4.830375000000001</v>
      </c>
      <c r="BD31" s="80">
        <v>0</v>
      </c>
      <c r="BE31" s="80">
        <v>42.682950000000005</v>
      </c>
      <c r="BF31" s="79"/>
      <c r="BG31" s="79"/>
      <c r="BH31" s="79"/>
      <c r="BI31" s="79"/>
    </row>
    <row r="32" spans="1:61" s="86" customFormat="1" x14ac:dyDescent="0.25">
      <c r="A32" s="83"/>
      <c r="B32" s="74" t="s">
        <v>182</v>
      </c>
      <c r="C32" s="74" t="s">
        <v>181</v>
      </c>
      <c r="D32" s="74" t="s">
        <v>157</v>
      </c>
      <c r="E32" s="77"/>
      <c r="F32" s="74"/>
      <c r="G32" s="74"/>
      <c r="H32" s="74"/>
      <c r="I32" s="75">
        <v>6</v>
      </c>
      <c r="J32" s="74">
        <v>11.71</v>
      </c>
      <c r="K32" s="76">
        <v>70.260000000000005</v>
      </c>
      <c r="L32" s="84">
        <v>0</v>
      </c>
      <c r="M32" s="74"/>
      <c r="N32" s="77">
        <v>0</v>
      </c>
      <c r="O32" s="84">
        <v>0</v>
      </c>
      <c r="P32" s="84"/>
      <c r="Q32" s="84">
        <v>0</v>
      </c>
      <c r="R32" s="84">
        <v>0</v>
      </c>
      <c r="S32" s="74"/>
      <c r="T32" s="84">
        <v>0</v>
      </c>
      <c r="U32" s="77">
        <v>91.34</v>
      </c>
      <c r="V32" s="84">
        <v>5.2733333333333334</v>
      </c>
      <c r="W32" s="77">
        <v>31.64</v>
      </c>
      <c r="X32" s="74"/>
      <c r="Y32" s="85">
        <v>0</v>
      </c>
      <c r="Z32" s="77">
        <v>31.64</v>
      </c>
      <c r="AA32" s="77">
        <v>0</v>
      </c>
      <c r="AB32" s="77">
        <v>70.260000000000005</v>
      </c>
      <c r="AC32" s="77">
        <v>66.75</v>
      </c>
      <c r="AD32" s="77">
        <v>3.5130000000000003</v>
      </c>
      <c r="AE32" s="78">
        <v>2</v>
      </c>
      <c r="AF32" s="77">
        <v>5.5129999999999999</v>
      </c>
      <c r="AG32" s="77">
        <v>0</v>
      </c>
      <c r="AH32" s="89">
        <v>187.727</v>
      </c>
      <c r="AI32" s="77">
        <v>9.1338000000000008</v>
      </c>
      <c r="AJ32" s="77">
        <v>1.4052000000000002</v>
      </c>
      <c r="AK32" s="77">
        <v>0.35130000000000006</v>
      </c>
      <c r="AL32" s="77">
        <v>10.890300000000002</v>
      </c>
      <c r="AM32" s="77">
        <v>204.13030000000001</v>
      </c>
      <c r="AN32" s="78">
        <v>0</v>
      </c>
      <c r="AO32" s="78">
        <v>25</v>
      </c>
      <c r="AP32" s="78">
        <v>45</v>
      </c>
      <c r="AQ32" s="77">
        <v>32.660848000000001</v>
      </c>
      <c r="AR32" s="91">
        <f t="shared" si="17"/>
        <v>306.79114800000002</v>
      </c>
      <c r="AS32" s="94"/>
      <c r="AU32" s="79">
        <v>0</v>
      </c>
      <c r="AV32" s="79">
        <v>0</v>
      </c>
      <c r="AW32" s="79">
        <v>0</v>
      </c>
      <c r="AX32" s="79">
        <v>0</v>
      </c>
      <c r="AY32" s="79">
        <v>0</v>
      </c>
      <c r="AZ32" s="80">
        <v>0</v>
      </c>
      <c r="BA32" s="80">
        <v>0</v>
      </c>
      <c r="BB32" s="80">
        <v>0</v>
      </c>
      <c r="BC32" s="80">
        <v>0</v>
      </c>
      <c r="BD32" s="80">
        <v>0</v>
      </c>
      <c r="BE32" s="80">
        <v>0</v>
      </c>
    </row>
    <row r="33" spans="1:57" s="86" customFormat="1" x14ac:dyDescent="0.25">
      <c r="A33" s="83"/>
      <c r="B33" s="74" t="s">
        <v>183</v>
      </c>
      <c r="C33" s="74" t="s">
        <v>184</v>
      </c>
      <c r="D33" s="74" t="s">
        <v>158</v>
      </c>
      <c r="E33" s="77"/>
      <c r="F33" s="74"/>
      <c r="G33" s="74"/>
      <c r="H33" s="74"/>
      <c r="I33" s="75">
        <v>26</v>
      </c>
      <c r="J33" s="74">
        <v>14.39</v>
      </c>
      <c r="K33" s="76">
        <v>374.14</v>
      </c>
      <c r="L33" s="84">
        <v>0</v>
      </c>
      <c r="M33" s="74"/>
      <c r="N33" s="77">
        <v>0</v>
      </c>
      <c r="O33" s="84">
        <v>0</v>
      </c>
      <c r="P33" s="84"/>
      <c r="Q33" s="84">
        <v>0</v>
      </c>
      <c r="R33" s="84">
        <v>0</v>
      </c>
      <c r="S33" s="74"/>
      <c r="T33" s="84">
        <v>0</v>
      </c>
      <c r="U33" s="77">
        <v>8.58</v>
      </c>
      <c r="V33" s="84">
        <v>2.6599999999999997</v>
      </c>
      <c r="W33" s="77">
        <v>69.16</v>
      </c>
      <c r="X33" s="74"/>
      <c r="Y33" s="85">
        <v>0</v>
      </c>
      <c r="Z33" s="77">
        <v>69.16</v>
      </c>
      <c r="AA33" s="85">
        <v>0</v>
      </c>
      <c r="AB33" s="77">
        <v>374.14</v>
      </c>
      <c r="AC33" s="77">
        <v>355.43299999999999</v>
      </c>
      <c r="AD33" s="77">
        <v>18.707000000000001</v>
      </c>
      <c r="AE33" s="78">
        <v>44.86</v>
      </c>
      <c r="AF33" s="77">
        <v>63.567</v>
      </c>
      <c r="AG33" s="77">
        <v>0</v>
      </c>
      <c r="AH33" s="89">
        <v>388.31299999999999</v>
      </c>
      <c r="AI33" s="77">
        <v>48.638199999999998</v>
      </c>
      <c r="AJ33" s="77">
        <v>7.4828000000000001</v>
      </c>
      <c r="AK33" s="77">
        <v>1.8707</v>
      </c>
      <c r="AL33" s="77">
        <v>57.991699999999994</v>
      </c>
      <c r="AM33" s="77">
        <v>509.87169999999998</v>
      </c>
      <c r="AN33" s="78">
        <v>0</v>
      </c>
      <c r="AO33" s="78">
        <v>25</v>
      </c>
      <c r="AP33" s="78">
        <v>45</v>
      </c>
      <c r="AQ33" s="77">
        <v>81.579471999999996</v>
      </c>
      <c r="AR33" s="91">
        <f t="shared" si="17"/>
        <v>661.45117199999993</v>
      </c>
      <c r="AS33" s="94"/>
      <c r="AU33" s="79">
        <v>0</v>
      </c>
      <c r="AV33" s="79">
        <v>0</v>
      </c>
      <c r="AW33" s="79">
        <v>0</v>
      </c>
      <c r="AX33" s="79">
        <v>0</v>
      </c>
      <c r="AY33" s="79">
        <v>0</v>
      </c>
      <c r="AZ33" s="80">
        <v>0</v>
      </c>
      <c r="BA33" s="80">
        <v>0</v>
      </c>
      <c r="BB33" s="80">
        <v>0</v>
      </c>
      <c r="BC33" s="80">
        <v>0</v>
      </c>
      <c r="BD33" s="80">
        <v>0</v>
      </c>
      <c r="BE33" s="80">
        <v>0</v>
      </c>
    </row>
    <row r="34" spans="1:57" s="86" customFormat="1" x14ac:dyDescent="0.25">
      <c r="A34" s="83"/>
      <c r="B34" s="74" t="s">
        <v>185</v>
      </c>
      <c r="C34" s="74" t="s">
        <v>181</v>
      </c>
      <c r="D34" s="74" t="s">
        <v>168</v>
      </c>
      <c r="E34" s="77"/>
      <c r="F34" s="74"/>
      <c r="G34" s="74"/>
      <c r="H34" s="74"/>
      <c r="I34" s="75">
        <v>3</v>
      </c>
      <c r="J34" s="74">
        <v>14.39</v>
      </c>
      <c r="K34" s="76">
        <v>43.17</v>
      </c>
      <c r="L34" s="84">
        <v>0</v>
      </c>
      <c r="M34" s="74"/>
      <c r="N34" s="77">
        <v>0</v>
      </c>
      <c r="O34" s="84">
        <v>0</v>
      </c>
      <c r="P34" s="84"/>
      <c r="Q34" s="84">
        <v>0</v>
      </c>
      <c r="R34" s="84">
        <v>0</v>
      </c>
      <c r="S34" s="74"/>
      <c r="T34" s="84">
        <v>0</v>
      </c>
      <c r="U34" s="74">
        <v>8.58</v>
      </c>
      <c r="V34" s="84">
        <v>23.053333333333331</v>
      </c>
      <c r="W34" s="77">
        <v>69.16</v>
      </c>
      <c r="X34" s="74"/>
      <c r="Y34" s="85">
        <v>0</v>
      </c>
      <c r="Z34" s="77">
        <v>69.16</v>
      </c>
      <c r="AA34" s="85">
        <v>0</v>
      </c>
      <c r="AB34" s="77">
        <v>43.17</v>
      </c>
      <c r="AC34" s="77">
        <v>41.011499999999998</v>
      </c>
      <c r="AD34" s="77">
        <v>2.1585000000000001</v>
      </c>
      <c r="AE34" s="78">
        <v>1.23</v>
      </c>
      <c r="AF34" s="77">
        <v>3.3885000000000001</v>
      </c>
      <c r="AG34" s="77">
        <v>0</v>
      </c>
      <c r="AH34" s="89">
        <v>117.5215</v>
      </c>
      <c r="AI34" s="77">
        <v>5.6121000000000008</v>
      </c>
      <c r="AJ34" s="77">
        <v>0.86340000000000006</v>
      </c>
      <c r="AK34" s="77">
        <v>0.21585000000000001</v>
      </c>
      <c r="AL34" s="77">
        <v>6.6913500000000008</v>
      </c>
      <c r="AM34" s="77">
        <v>127.60135</v>
      </c>
      <c r="AN34" s="78">
        <v>0</v>
      </c>
      <c r="AO34" s="78">
        <v>25</v>
      </c>
      <c r="AP34" s="78">
        <v>45</v>
      </c>
      <c r="AQ34" s="77">
        <v>20.416215999999999</v>
      </c>
      <c r="AR34" s="91">
        <f t="shared" si="17"/>
        <v>218.01756599999999</v>
      </c>
      <c r="AS34" s="94"/>
      <c r="AU34" s="79">
        <v>0</v>
      </c>
      <c r="AV34" s="79">
        <v>0</v>
      </c>
      <c r="AW34" s="79">
        <v>0</v>
      </c>
      <c r="AX34" s="79">
        <v>0</v>
      </c>
      <c r="AY34" s="79">
        <v>0</v>
      </c>
      <c r="AZ34" s="80">
        <v>0</v>
      </c>
      <c r="BA34" s="80">
        <v>0</v>
      </c>
      <c r="BB34" s="80">
        <v>0</v>
      </c>
      <c r="BC34" s="80">
        <v>0</v>
      </c>
      <c r="BD34" s="80">
        <v>0</v>
      </c>
      <c r="BE34" s="80">
        <v>0</v>
      </c>
    </row>
    <row r="35" spans="1:57" s="87" customFormat="1" x14ac:dyDescent="0.25">
      <c r="A35" s="83"/>
      <c r="B35" s="75" t="s">
        <v>186</v>
      </c>
      <c r="C35" s="75" t="s">
        <v>187</v>
      </c>
      <c r="D35" s="75" t="s">
        <v>168</v>
      </c>
      <c r="E35" s="75"/>
      <c r="F35" s="75"/>
      <c r="G35" s="75"/>
      <c r="H35" s="75"/>
      <c r="I35" s="75">
        <v>26</v>
      </c>
      <c r="J35" s="76">
        <v>15.28</v>
      </c>
      <c r="K35" s="76">
        <v>397.28</v>
      </c>
      <c r="L35" s="76">
        <v>0</v>
      </c>
      <c r="M35" s="77"/>
      <c r="N35" s="77">
        <v>0</v>
      </c>
      <c r="O35" s="77">
        <v>0</v>
      </c>
      <c r="P35" s="77"/>
      <c r="Q35" s="77">
        <v>0</v>
      </c>
      <c r="R35" s="77">
        <v>0</v>
      </c>
      <c r="S35" s="77"/>
      <c r="T35" s="77">
        <v>0</v>
      </c>
      <c r="U35" s="77">
        <v>119.18399999999998</v>
      </c>
      <c r="V35" s="84">
        <v>3.2042307692307692</v>
      </c>
      <c r="W35" s="77">
        <v>83.31</v>
      </c>
      <c r="X35" s="77"/>
      <c r="Y35" s="77">
        <v>0</v>
      </c>
      <c r="Z35" s="77">
        <v>83.31</v>
      </c>
      <c r="AA35" s="77">
        <v>8.4039999999999999</v>
      </c>
      <c r="AB35" s="77">
        <v>405.68399999999997</v>
      </c>
      <c r="AC35" s="77">
        <v>385.39979999999997</v>
      </c>
      <c r="AD35" s="77">
        <v>20.284199999999998</v>
      </c>
      <c r="AE35" s="77">
        <v>49.35</v>
      </c>
      <c r="AF35" s="77">
        <v>69.634199999999993</v>
      </c>
      <c r="AG35" s="77">
        <v>0</v>
      </c>
      <c r="AH35" s="89">
        <v>538.54379999999992</v>
      </c>
      <c r="AI35" s="77">
        <v>52.73892</v>
      </c>
      <c r="AJ35" s="77">
        <v>8.1136799999999987</v>
      </c>
      <c r="AK35" s="77">
        <v>2.0284199999999997</v>
      </c>
      <c r="AL35" s="77">
        <v>62.881019999999992</v>
      </c>
      <c r="AM35" s="77">
        <v>671.05901999999992</v>
      </c>
      <c r="AN35" s="77">
        <v>0</v>
      </c>
      <c r="AO35" s="77">
        <v>25</v>
      </c>
      <c r="AP35" s="78">
        <v>45</v>
      </c>
      <c r="AQ35" s="77">
        <v>107.36944319999999</v>
      </c>
      <c r="AR35" s="91">
        <f t="shared" si="17"/>
        <v>848.4284631999999</v>
      </c>
      <c r="AS35" s="94"/>
      <c r="AU35" s="87">
        <v>0</v>
      </c>
      <c r="AV35" s="87">
        <v>0</v>
      </c>
      <c r="AW35" s="87">
        <v>0</v>
      </c>
      <c r="AX35" s="87">
        <v>4</v>
      </c>
      <c r="AY35" s="87">
        <v>0</v>
      </c>
      <c r="AZ35" s="88">
        <v>0</v>
      </c>
      <c r="BA35" s="88">
        <v>0</v>
      </c>
      <c r="BB35" s="88">
        <v>0</v>
      </c>
      <c r="BC35" s="88">
        <v>8.4039999999999999</v>
      </c>
      <c r="BD35" s="88">
        <v>0</v>
      </c>
      <c r="BE35" s="88">
        <v>8.4039999999999999</v>
      </c>
    </row>
  </sheetData>
  <mergeCells count="7">
    <mergeCell ref="AD3:AF3"/>
    <mergeCell ref="AI3:AL3"/>
    <mergeCell ref="I3:K3"/>
    <mergeCell ref="L3:N3"/>
    <mergeCell ref="O3:Q3"/>
    <mergeCell ref="R3:T3"/>
    <mergeCell ref="U3:Z3"/>
  </mergeCells>
  <conditionalFormatting sqref="A5">
    <cfRule type="duplicateValues" dxfId="13" priority="43"/>
    <cfRule type="duplicateValues" dxfId="12" priority="44"/>
    <cfRule type="duplicateValues" dxfId="11" priority="45"/>
    <cfRule type="duplicateValues" dxfId="10" priority="46"/>
    <cfRule type="duplicateValues" dxfId="9" priority="47"/>
    <cfRule type="duplicateValues" dxfId="8" priority="50"/>
    <cfRule type="duplicateValues" dxfId="7" priority="51"/>
    <cfRule type="duplicateValues" dxfId="6" priority="52"/>
    <cfRule type="duplicateValues" dxfId="5" priority="53"/>
    <cfRule type="duplicateValues" dxfId="4" priority="54"/>
    <cfRule type="duplicateValues" dxfId="3" priority="55"/>
  </conditionalFormatting>
  <conditionalFormatting sqref="B5">
    <cfRule type="duplicateValues" dxfId="2" priority="42"/>
    <cfRule type="duplicateValues" dxfId="1" priority="48"/>
    <cfRule type="duplicateValues" dxfId="0" priority="49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D9B2-EB3D-47BB-A7F7-73B9BC44BA3A}">
  <dimension ref="B4:P155"/>
  <sheetViews>
    <sheetView topLeftCell="C1" workbookViewId="0">
      <selection activeCell="H6" sqref="H6"/>
    </sheetView>
  </sheetViews>
  <sheetFormatPr baseColWidth="10" defaultRowHeight="15" x14ac:dyDescent="0.25"/>
  <cols>
    <col min="7" max="7" width="11.7109375" customWidth="1"/>
    <col min="8" max="8" width="11.5703125" bestFit="1" customWidth="1"/>
    <col min="9" max="10" width="12.42578125" bestFit="1" customWidth="1"/>
    <col min="13" max="13" width="12.5703125" customWidth="1"/>
    <col min="15" max="15" width="12.42578125" bestFit="1" customWidth="1"/>
  </cols>
  <sheetData>
    <row r="4" spans="2:16" ht="15.75" thickBot="1" x14ac:dyDescent="0.3">
      <c r="I4" t="s">
        <v>81</v>
      </c>
      <c r="J4">
        <v>2300</v>
      </c>
    </row>
    <row r="5" spans="2:16" ht="15.75" thickBot="1" x14ac:dyDescent="0.3">
      <c r="B5" s="34" t="s">
        <v>81</v>
      </c>
      <c r="C5" s="35" t="s">
        <v>82</v>
      </c>
      <c r="D5" s="35" t="s">
        <v>83</v>
      </c>
      <c r="E5" s="3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</row>
    <row r="6" spans="2:16" ht="15.75" thickBot="1" x14ac:dyDescent="0.3">
      <c r="B6" s="36">
        <v>0</v>
      </c>
      <c r="C6" s="37">
        <v>0</v>
      </c>
      <c r="D6" s="37">
        <v>162000</v>
      </c>
      <c r="E6" s="37">
        <v>4860</v>
      </c>
      <c r="G6" s="66">
        <f>'Hors-Site'!G6</f>
        <v>0</v>
      </c>
      <c r="H6" s="66">
        <f>'Hors-Site'!AC6</f>
        <v>161.41902669545587</v>
      </c>
      <c r="I6" s="66">
        <f>Tableau1[[#This Row],[USD]]*$J$4</f>
        <v>371263.7613995485</v>
      </c>
      <c r="J6" s="66">
        <f t="shared" ref="J6:J69" si="0">I6-VLOOKUP($I6,$C$6:$D$9,1)</f>
        <v>209263.7613995485</v>
      </c>
      <c r="K6" s="66">
        <f t="shared" ref="K6:K69" si="1">VLOOKUP($I6,$C$11:$D$14,2)</f>
        <v>0.15</v>
      </c>
      <c r="L6" s="66">
        <f t="shared" ref="L6" si="2">J6*K6</f>
        <v>31389.564209932272</v>
      </c>
      <c r="M6" s="66">
        <f t="shared" ref="M6:M69" si="3">L6+VLOOKUP($I6,$C$15:$E$19,3)</f>
        <v>36249.564209932272</v>
      </c>
      <c r="N6" s="66">
        <f t="shared" ref="N6" si="4">M6*(G6*2%)</f>
        <v>0</v>
      </c>
      <c r="O6" s="66">
        <f t="shared" ref="O6" si="5">M6-N6</f>
        <v>36249.564209932272</v>
      </c>
      <c r="P6" s="66">
        <f t="shared" ref="P6:P69" si="6">O6/$J$4</f>
        <v>15.760680091274901</v>
      </c>
    </row>
    <row r="7" spans="2:16" ht="15.75" thickBot="1" x14ac:dyDescent="0.3">
      <c r="B7" s="36">
        <v>0.15</v>
      </c>
      <c r="C7" s="37">
        <v>162000</v>
      </c>
      <c r="D7" s="37">
        <v>1800000</v>
      </c>
      <c r="E7" s="37">
        <v>245700</v>
      </c>
      <c r="G7" s="66" t="e">
        <f>'Hors-Site'!#REF!</f>
        <v>#REF!</v>
      </c>
      <c r="H7" s="66" t="e">
        <f>'Hors-Site'!#REF!</f>
        <v>#REF!</v>
      </c>
      <c r="I7" s="66" t="e">
        <f>Tableau1[[#This Row],[USD]]*$J$4</f>
        <v>#REF!</v>
      </c>
      <c r="J7" s="66" t="e">
        <f t="shared" si="0"/>
        <v>#REF!</v>
      </c>
      <c r="K7" s="66" t="e">
        <f t="shared" si="1"/>
        <v>#REF!</v>
      </c>
      <c r="L7" s="66" t="e">
        <f t="shared" ref="L7:L70" si="7">J7*K7</f>
        <v>#REF!</v>
      </c>
      <c r="M7" s="66" t="e">
        <f t="shared" si="3"/>
        <v>#REF!</v>
      </c>
      <c r="N7" s="66" t="e">
        <f t="shared" ref="N7:N70" si="8">M7*(G7*2%)</f>
        <v>#REF!</v>
      </c>
      <c r="O7" s="66" t="e">
        <f t="shared" ref="O7:O70" si="9">M7-N7</f>
        <v>#REF!</v>
      </c>
      <c r="P7" s="66" t="e">
        <f t="shared" si="6"/>
        <v>#REF!</v>
      </c>
    </row>
    <row r="8" spans="2:16" ht="15.75" thickBot="1" x14ac:dyDescent="0.3">
      <c r="B8" s="36">
        <v>0.3</v>
      </c>
      <c r="C8" s="37">
        <v>1800000</v>
      </c>
      <c r="D8" s="37">
        <v>3600000</v>
      </c>
      <c r="E8" s="37">
        <v>540000</v>
      </c>
      <c r="G8" s="66" t="e">
        <f>'Hors-Site'!#REF!</f>
        <v>#REF!</v>
      </c>
      <c r="H8" s="66" t="e">
        <f>'Hors-Site'!#REF!</f>
        <v>#REF!</v>
      </c>
      <c r="I8" s="66" t="e">
        <f>Tableau1[[#This Row],[USD]]*$J$4</f>
        <v>#REF!</v>
      </c>
      <c r="J8" s="66" t="e">
        <f t="shared" si="0"/>
        <v>#REF!</v>
      </c>
      <c r="K8" s="66" t="e">
        <f t="shared" si="1"/>
        <v>#REF!</v>
      </c>
      <c r="L8" s="66" t="e">
        <f t="shared" si="7"/>
        <v>#REF!</v>
      </c>
      <c r="M8" s="66" t="e">
        <f t="shared" si="3"/>
        <v>#REF!</v>
      </c>
      <c r="N8" s="66" t="e">
        <f t="shared" si="8"/>
        <v>#REF!</v>
      </c>
      <c r="O8" s="66" t="e">
        <f t="shared" si="9"/>
        <v>#REF!</v>
      </c>
      <c r="P8" s="66" t="e">
        <f t="shared" si="6"/>
        <v>#REF!</v>
      </c>
    </row>
    <row r="9" spans="2:16" ht="15.75" thickBot="1" x14ac:dyDescent="0.3">
      <c r="B9" s="36">
        <v>0.4</v>
      </c>
      <c r="C9" s="37">
        <v>3600000</v>
      </c>
      <c r="D9" s="37">
        <v>0</v>
      </c>
      <c r="E9" s="37">
        <v>0</v>
      </c>
      <c r="G9" s="66" t="e">
        <f>'Hors-Site'!#REF!</f>
        <v>#REF!</v>
      </c>
      <c r="H9" s="66" t="e">
        <f>'Hors-Site'!#REF!</f>
        <v>#REF!</v>
      </c>
      <c r="I9" s="66" t="e">
        <f>Tableau1[[#This Row],[USD]]*$J$4</f>
        <v>#REF!</v>
      </c>
      <c r="J9" s="66" t="e">
        <f t="shared" si="0"/>
        <v>#REF!</v>
      </c>
      <c r="K9" s="66" t="e">
        <f t="shared" si="1"/>
        <v>#REF!</v>
      </c>
      <c r="L9" s="66" t="e">
        <f t="shared" si="7"/>
        <v>#REF!</v>
      </c>
      <c r="M9" s="66" t="e">
        <f t="shared" si="3"/>
        <v>#REF!</v>
      </c>
      <c r="N9" s="66" t="e">
        <f t="shared" si="8"/>
        <v>#REF!</v>
      </c>
      <c r="O9" s="66" t="e">
        <f t="shared" si="9"/>
        <v>#REF!</v>
      </c>
      <c r="P9" s="66" t="e">
        <f t="shared" si="6"/>
        <v>#REF!</v>
      </c>
    </row>
    <row r="10" spans="2:16" ht="15.75" thickBot="1" x14ac:dyDescent="0.3">
      <c r="B10" s="38"/>
      <c r="C10" s="38"/>
      <c r="D10" s="38"/>
      <c r="E10" s="38"/>
      <c r="G10" s="66" t="e">
        <f>'Hors-Site'!#REF!</f>
        <v>#REF!</v>
      </c>
      <c r="H10" s="66" t="e">
        <f>'Hors-Site'!#REF!</f>
        <v>#REF!</v>
      </c>
      <c r="I10" s="66" t="e">
        <f>Tableau1[[#This Row],[USD]]*$J$4</f>
        <v>#REF!</v>
      </c>
      <c r="J10" s="66" t="e">
        <f t="shared" si="0"/>
        <v>#REF!</v>
      </c>
      <c r="K10" s="66" t="e">
        <f t="shared" si="1"/>
        <v>#REF!</v>
      </c>
      <c r="L10" s="66" t="e">
        <f t="shared" si="7"/>
        <v>#REF!</v>
      </c>
      <c r="M10" s="66" t="e">
        <f t="shared" si="3"/>
        <v>#REF!</v>
      </c>
      <c r="N10" s="66" t="e">
        <f t="shared" si="8"/>
        <v>#REF!</v>
      </c>
      <c r="O10" s="66" t="e">
        <f t="shared" si="9"/>
        <v>#REF!</v>
      </c>
      <c r="P10" s="66" t="e">
        <f t="shared" si="6"/>
        <v>#REF!</v>
      </c>
    </row>
    <row r="11" spans="2:16" ht="15.75" thickBot="1" x14ac:dyDescent="0.3">
      <c r="B11" s="38"/>
      <c r="C11" s="39">
        <v>0</v>
      </c>
      <c r="D11" s="40">
        <v>0</v>
      </c>
      <c r="E11" s="38"/>
      <c r="G11" s="66" t="e">
        <f>'Hors-Site'!#REF!</f>
        <v>#REF!</v>
      </c>
      <c r="H11" s="66" t="e">
        <f>'Hors-Site'!#REF!</f>
        <v>#REF!</v>
      </c>
      <c r="I11" s="66" t="e">
        <f>Tableau1[[#This Row],[USD]]*$J$4</f>
        <v>#REF!</v>
      </c>
      <c r="J11" s="66" t="e">
        <f t="shared" si="0"/>
        <v>#REF!</v>
      </c>
      <c r="K11" s="66" t="e">
        <f t="shared" si="1"/>
        <v>#REF!</v>
      </c>
      <c r="L11" s="66" t="e">
        <f t="shared" si="7"/>
        <v>#REF!</v>
      </c>
      <c r="M11" s="66" t="e">
        <f t="shared" si="3"/>
        <v>#REF!</v>
      </c>
      <c r="N11" s="66" t="e">
        <f t="shared" si="8"/>
        <v>#REF!</v>
      </c>
      <c r="O11" s="66" t="e">
        <f t="shared" si="9"/>
        <v>#REF!</v>
      </c>
      <c r="P11" s="66" t="e">
        <f t="shared" si="6"/>
        <v>#REF!</v>
      </c>
    </row>
    <row r="12" spans="2:16" ht="15.75" thickBot="1" x14ac:dyDescent="0.3">
      <c r="B12" s="38"/>
      <c r="C12" s="39">
        <v>162001</v>
      </c>
      <c r="D12" s="40">
        <v>0.15</v>
      </c>
      <c r="E12" s="38"/>
      <c r="G12" s="66" t="e">
        <f>'Hors-Site'!#REF!</f>
        <v>#REF!</v>
      </c>
      <c r="H12" s="66" t="e">
        <f>'Hors-Site'!#REF!</f>
        <v>#REF!</v>
      </c>
      <c r="I12" s="66" t="e">
        <f>Tableau1[[#This Row],[USD]]*$J$4</f>
        <v>#REF!</v>
      </c>
      <c r="J12" s="66" t="e">
        <f t="shared" si="0"/>
        <v>#REF!</v>
      </c>
      <c r="K12" s="66" t="e">
        <f t="shared" si="1"/>
        <v>#REF!</v>
      </c>
      <c r="L12" s="66" t="e">
        <f t="shared" si="7"/>
        <v>#REF!</v>
      </c>
      <c r="M12" s="66" t="e">
        <f t="shared" si="3"/>
        <v>#REF!</v>
      </c>
      <c r="N12" s="66" t="e">
        <f t="shared" si="8"/>
        <v>#REF!</v>
      </c>
      <c r="O12" s="66" t="e">
        <f t="shared" si="9"/>
        <v>#REF!</v>
      </c>
      <c r="P12" s="66" t="e">
        <f t="shared" si="6"/>
        <v>#REF!</v>
      </c>
    </row>
    <row r="13" spans="2:16" ht="15.75" thickBot="1" x14ac:dyDescent="0.3">
      <c r="B13" s="38"/>
      <c r="C13" s="39">
        <v>1800001</v>
      </c>
      <c r="D13" s="40">
        <v>0.3</v>
      </c>
      <c r="E13" s="38"/>
      <c r="G13" s="66" t="e">
        <f>'Hors-Site'!#REF!</f>
        <v>#REF!</v>
      </c>
      <c r="H13" s="66" t="e">
        <f>'Hors-Site'!#REF!</f>
        <v>#REF!</v>
      </c>
      <c r="I13" s="66" t="e">
        <f>Tableau1[[#This Row],[USD]]*$J$4</f>
        <v>#REF!</v>
      </c>
      <c r="J13" s="66" t="e">
        <f t="shared" si="0"/>
        <v>#REF!</v>
      </c>
      <c r="K13" s="66" t="e">
        <f t="shared" si="1"/>
        <v>#REF!</v>
      </c>
      <c r="L13" s="66" t="e">
        <f t="shared" si="7"/>
        <v>#REF!</v>
      </c>
      <c r="M13" s="66" t="e">
        <f t="shared" si="3"/>
        <v>#REF!</v>
      </c>
      <c r="N13" s="66" t="e">
        <f t="shared" si="8"/>
        <v>#REF!</v>
      </c>
      <c r="O13" s="66" t="e">
        <f t="shared" si="9"/>
        <v>#REF!</v>
      </c>
      <c r="P13" s="66" t="e">
        <f t="shared" si="6"/>
        <v>#REF!</v>
      </c>
    </row>
    <row r="14" spans="2:16" ht="15.75" thickBot="1" x14ac:dyDescent="0.3">
      <c r="B14" s="38"/>
      <c r="C14" s="39">
        <v>3600001</v>
      </c>
      <c r="D14" s="40">
        <v>0.4</v>
      </c>
      <c r="E14" s="38"/>
      <c r="G14" s="66" t="e">
        <f>'Hors-Site'!#REF!</f>
        <v>#REF!</v>
      </c>
      <c r="H14" s="66" t="e">
        <f>'Hors-Site'!#REF!</f>
        <v>#REF!</v>
      </c>
      <c r="I14" s="66" t="e">
        <f>Tableau1[[#This Row],[USD]]*$J$4</f>
        <v>#REF!</v>
      </c>
      <c r="J14" s="66" t="e">
        <f t="shared" si="0"/>
        <v>#REF!</v>
      </c>
      <c r="K14" s="66" t="e">
        <f t="shared" si="1"/>
        <v>#REF!</v>
      </c>
      <c r="L14" s="66" t="e">
        <f t="shared" si="7"/>
        <v>#REF!</v>
      </c>
      <c r="M14" s="66" t="e">
        <f t="shared" si="3"/>
        <v>#REF!</v>
      </c>
      <c r="N14" s="66" t="e">
        <f t="shared" si="8"/>
        <v>#REF!</v>
      </c>
      <c r="O14" s="66" t="e">
        <f t="shared" si="9"/>
        <v>#REF!</v>
      </c>
      <c r="P14" s="66" t="e">
        <f t="shared" si="6"/>
        <v>#REF!</v>
      </c>
    </row>
    <row r="15" spans="2:16" ht="15.75" thickBot="1" x14ac:dyDescent="0.3">
      <c r="B15" s="38"/>
      <c r="C15" s="38"/>
      <c r="D15" s="38"/>
      <c r="G15" s="66" t="e">
        <f>'Hors-Site'!#REF!</f>
        <v>#REF!</v>
      </c>
      <c r="H15" s="66" t="e">
        <f>'Hors-Site'!#REF!</f>
        <v>#REF!</v>
      </c>
      <c r="I15" s="66" t="e">
        <f>Tableau1[[#This Row],[USD]]*$J$4</f>
        <v>#REF!</v>
      </c>
      <c r="J15" s="66" t="e">
        <f t="shared" si="0"/>
        <v>#REF!</v>
      </c>
      <c r="K15" s="66" t="e">
        <f t="shared" si="1"/>
        <v>#REF!</v>
      </c>
      <c r="L15" s="66" t="e">
        <f t="shared" si="7"/>
        <v>#REF!</v>
      </c>
      <c r="M15" s="66" t="e">
        <f t="shared" si="3"/>
        <v>#REF!</v>
      </c>
      <c r="N15" s="66" t="e">
        <f t="shared" si="8"/>
        <v>#REF!</v>
      </c>
      <c r="O15" s="66" t="e">
        <f t="shared" si="9"/>
        <v>#REF!</v>
      </c>
      <c r="P15" s="66" t="e">
        <f t="shared" si="6"/>
        <v>#REF!</v>
      </c>
    </row>
    <row r="16" spans="2:16" ht="15.75" thickBot="1" x14ac:dyDescent="0.3">
      <c r="B16" s="38"/>
      <c r="C16" s="39">
        <v>0</v>
      </c>
      <c r="D16" s="39">
        <v>4860</v>
      </c>
      <c r="E16" s="39">
        <v>2300</v>
      </c>
      <c r="G16" s="66" t="e">
        <f>'Hors-Site'!#REF!</f>
        <v>#REF!</v>
      </c>
      <c r="H16" s="66" t="e">
        <f>'Hors-Site'!#REF!</f>
        <v>#REF!</v>
      </c>
      <c r="I16" s="66" t="e">
        <f>Tableau1[[#This Row],[USD]]*$J$4</f>
        <v>#REF!</v>
      </c>
      <c r="J16" s="66" t="e">
        <f t="shared" si="0"/>
        <v>#REF!</v>
      </c>
      <c r="K16" s="66" t="e">
        <f t="shared" si="1"/>
        <v>#REF!</v>
      </c>
      <c r="L16" s="66" t="e">
        <f t="shared" si="7"/>
        <v>#REF!</v>
      </c>
      <c r="M16" s="66" t="e">
        <f t="shared" si="3"/>
        <v>#REF!</v>
      </c>
      <c r="N16" s="66" t="e">
        <f t="shared" si="8"/>
        <v>#REF!</v>
      </c>
      <c r="O16" s="66" t="e">
        <f t="shared" si="9"/>
        <v>#REF!</v>
      </c>
      <c r="P16" s="66" t="e">
        <f t="shared" si="6"/>
        <v>#REF!</v>
      </c>
    </row>
    <row r="17" spans="2:16" ht="15.75" thickBot="1" x14ac:dyDescent="0.3">
      <c r="B17" s="38"/>
      <c r="C17" s="39">
        <v>162001</v>
      </c>
      <c r="D17" s="39">
        <v>245700</v>
      </c>
      <c r="E17" s="38">
        <v>4860</v>
      </c>
      <c r="G17" s="66" t="e">
        <f>'Hors-Site'!#REF!</f>
        <v>#REF!</v>
      </c>
      <c r="H17" s="66" t="e">
        <f>'Hors-Site'!#REF!</f>
        <v>#REF!</v>
      </c>
      <c r="I17" s="66" t="e">
        <f>Tableau1[[#This Row],[USD]]*$J$4</f>
        <v>#REF!</v>
      </c>
      <c r="J17" s="66" t="e">
        <f t="shared" si="0"/>
        <v>#REF!</v>
      </c>
      <c r="K17" s="66" t="e">
        <f t="shared" si="1"/>
        <v>#REF!</v>
      </c>
      <c r="L17" s="66" t="e">
        <f t="shared" si="7"/>
        <v>#REF!</v>
      </c>
      <c r="M17" s="66" t="e">
        <f t="shared" si="3"/>
        <v>#REF!</v>
      </c>
      <c r="N17" s="66" t="e">
        <f t="shared" si="8"/>
        <v>#REF!</v>
      </c>
      <c r="O17" s="66" t="e">
        <f t="shared" si="9"/>
        <v>#REF!</v>
      </c>
      <c r="P17" s="66" t="e">
        <f t="shared" si="6"/>
        <v>#REF!</v>
      </c>
    </row>
    <row r="18" spans="2:16" ht="15.75" thickBot="1" x14ac:dyDescent="0.3">
      <c r="B18" s="38"/>
      <c r="C18" s="39">
        <v>1800001</v>
      </c>
      <c r="D18" s="39">
        <v>540000</v>
      </c>
      <c r="E18" s="38">
        <v>250560</v>
      </c>
      <c r="G18" s="66" t="e">
        <f>'Hors-Site'!#REF!</f>
        <v>#REF!</v>
      </c>
      <c r="H18" s="66" t="e">
        <f>'Hors-Site'!#REF!</f>
        <v>#REF!</v>
      </c>
      <c r="I18" s="66" t="e">
        <f>Tableau1[[#This Row],[USD]]*$J$4</f>
        <v>#REF!</v>
      </c>
      <c r="J18" s="66" t="e">
        <f t="shared" si="0"/>
        <v>#REF!</v>
      </c>
      <c r="K18" s="66" t="e">
        <f t="shared" si="1"/>
        <v>#REF!</v>
      </c>
      <c r="L18" s="66" t="e">
        <f t="shared" si="7"/>
        <v>#REF!</v>
      </c>
      <c r="M18" s="66" t="e">
        <f t="shared" si="3"/>
        <v>#REF!</v>
      </c>
      <c r="N18" s="66" t="e">
        <f t="shared" si="8"/>
        <v>#REF!</v>
      </c>
      <c r="O18" s="66" t="e">
        <f t="shared" si="9"/>
        <v>#REF!</v>
      </c>
      <c r="P18" s="66" t="e">
        <f t="shared" si="6"/>
        <v>#REF!</v>
      </c>
    </row>
    <row r="19" spans="2:16" ht="15.75" thickBot="1" x14ac:dyDescent="0.3">
      <c r="B19" s="38"/>
      <c r="C19" s="39">
        <v>3600001</v>
      </c>
      <c r="D19" s="39">
        <v>0</v>
      </c>
      <c r="E19" s="38">
        <v>790560</v>
      </c>
      <c r="G19" s="66" t="e">
        <f>'Hors-Site'!#REF!</f>
        <v>#REF!</v>
      </c>
      <c r="H19" s="66" t="e">
        <f>'Hors-Site'!#REF!</f>
        <v>#REF!</v>
      </c>
      <c r="I19" s="66" t="e">
        <f>Tableau1[[#This Row],[USD]]*$J$4</f>
        <v>#REF!</v>
      </c>
      <c r="J19" s="66" t="e">
        <f t="shared" si="0"/>
        <v>#REF!</v>
      </c>
      <c r="K19" s="66" t="e">
        <f t="shared" si="1"/>
        <v>#REF!</v>
      </c>
      <c r="L19" s="66" t="e">
        <f t="shared" si="7"/>
        <v>#REF!</v>
      </c>
      <c r="M19" s="66" t="e">
        <f t="shared" si="3"/>
        <v>#REF!</v>
      </c>
      <c r="N19" s="66" t="e">
        <f t="shared" si="8"/>
        <v>#REF!</v>
      </c>
      <c r="O19" s="66" t="e">
        <f t="shared" si="9"/>
        <v>#REF!</v>
      </c>
      <c r="P19" s="66" t="e">
        <f t="shared" si="6"/>
        <v>#REF!</v>
      </c>
    </row>
    <row r="20" spans="2:16" x14ac:dyDescent="0.25">
      <c r="G20" s="66" t="e">
        <f>'Hors-Site'!#REF!</f>
        <v>#REF!</v>
      </c>
      <c r="H20" s="66" t="e">
        <f>'Hors-Site'!#REF!</f>
        <v>#REF!</v>
      </c>
      <c r="I20" s="66" t="e">
        <f>Tableau1[[#This Row],[USD]]*$J$4</f>
        <v>#REF!</v>
      </c>
      <c r="J20" s="66" t="e">
        <f t="shared" si="0"/>
        <v>#REF!</v>
      </c>
      <c r="K20" s="66" t="e">
        <f t="shared" si="1"/>
        <v>#REF!</v>
      </c>
      <c r="L20" s="66" t="e">
        <f t="shared" si="7"/>
        <v>#REF!</v>
      </c>
      <c r="M20" s="66" t="e">
        <f t="shared" si="3"/>
        <v>#REF!</v>
      </c>
      <c r="N20" s="66" t="e">
        <f t="shared" si="8"/>
        <v>#REF!</v>
      </c>
      <c r="O20" s="66" t="e">
        <f t="shared" si="9"/>
        <v>#REF!</v>
      </c>
      <c r="P20" s="66" t="e">
        <f t="shared" si="6"/>
        <v>#REF!</v>
      </c>
    </row>
    <row r="21" spans="2:16" x14ac:dyDescent="0.25">
      <c r="G21" s="66" t="e">
        <f>'Hors-Site'!#REF!</f>
        <v>#REF!</v>
      </c>
      <c r="H21" s="66" t="e">
        <f>'Hors-Site'!#REF!</f>
        <v>#REF!</v>
      </c>
      <c r="I21" s="66" t="e">
        <f>Tableau1[[#This Row],[USD]]*$J$4</f>
        <v>#REF!</v>
      </c>
      <c r="J21" s="66" t="e">
        <f t="shared" si="0"/>
        <v>#REF!</v>
      </c>
      <c r="K21" s="66" t="e">
        <f t="shared" si="1"/>
        <v>#REF!</v>
      </c>
      <c r="L21" s="66" t="e">
        <f t="shared" si="7"/>
        <v>#REF!</v>
      </c>
      <c r="M21" s="66" t="e">
        <f t="shared" si="3"/>
        <v>#REF!</v>
      </c>
      <c r="N21" s="66" t="e">
        <f t="shared" si="8"/>
        <v>#REF!</v>
      </c>
      <c r="O21" s="66" t="e">
        <f t="shared" si="9"/>
        <v>#REF!</v>
      </c>
      <c r="P21" s="66" t="e">
        <f t="shared" si="6"/>
        <v>#REF!</v>
      </c>
    </row>
    <row r="22" spans="2:16" x14ac:dyDescent="0.25">
      <c r="G22" s="66" t="e">
        <f>'Hors-Site'!#REF!</f>
        <v>#REF!</v>
      </c>
      <c r="H22" s="66" t="e">
        <f>'Hors-Site'!#REF!</f>
        <v>#REF!</v>
      </c>
      <c r="I22" s="66" t="e">
        <f>Tableau1[[#This Row],[USD]]*$J$4</f>
        <v>#REF!</v>
      </c>
      <c r="J22" s="66" t="e">
        <f t="shared" si="0"/>
        <v>#REF!</v>
      </c>
      <c r="K22" s="66" t="e">
        <f t="shared" si="1"/>
        <v>#REF!</v>
      </c>
      <c r="L22" s="66" t="e">
        <f t="shared" si="7"/>
        <v>#REF!</v>
      </c>
      <c r="M22" s="66" t="e">
        <f t="shared" si="3"/>
        <v>#REF!</v>
      </c>
      <c r="N22" s="66" t="e">
        <f t="shared" si="8"/>
        <v>#REF!</v>
      </c>
      <c r="O22" s="66" t="e">
        <f t="shared" si="9"/>
        <v>#REF!</v>
      </c>
      <c r="P22" s="66" t="e">
        <f t="shared" si="6"/>
        <v>#REF!</v>
      </c>
    </row>
    <row r="23" spans="2:16" x14ac:dyDescent="0.25">
      <c r="G23" s="66" t="e">
        <f>'Hors-Site'!#REF!</f>
        <v>#REF!</v>
      </c>
      <c r="H23" s="66" t="e">
        <f>'Hors-Site'!#REF!</f>
        <v>#REF!</v>
      </c>
      <c r="I23" s="66" t="e">
        <f>Tableau1[[#This Row],[USD]]*$J$4</f>
        <v>#REF!</v>
      </c>
      <c r="J23" s="66" t="e">
        <f t="shared" si="0"/>
        <v>#REF!</v>
      </c>
      <c r="K23" s="66" t="e">
        <f t="shared" si="1"/>
        <v>#REF!</v>
      </c>
      <c r="L23" s="66" t="e">
        <f t="shared" si="7"/>
        <v>#REF!</v>
      </c>
      <c r="M23" s="66" t="e">
        <f t="shared" si="3"/>
        <v>#REF!</v>
      </c>
      <c r="N23" s="66" t="e">
        <f t="shared" si="8"/>
        <v>#REF!</v>
      </c>
      <c r="O23" s="66" t="e">
        <f t="shared" si="9"/>
        <v>#REF!</v>
      </c>
      <c r="P23" s="66" t="e">
        <f t="shared" si="6"/>
        <v>#REF!</v>
      </c>
    </row>
    <row r="24" spans="2:16" x14ac:dyDescent="0.25">
      <c r="G24" s="66" t="e">
        <f>'Hors-Site'!#REF!</f>
        <v>#REF!</v>
      </c>
      <c r="H24" s="66" t="e">
        <f>'Hors-Site'!#REF!</f>
        <v>#REF!</v>
      </c>
      <c r="I24" s="66" t="e">
        <f>Tableau1[[#This Row],[USD]]*$J$4</f>
        <v>#REF!</v>
      </c>
      <c r="J24" s="66" t="e">
        <f t="shared" si="0"/>
        <v>#REF!</v>
      </c>
      <c r="K24" s="66" t="e">
        <f t="shared" si="1"/>
        <v>#REF!</v>
      </c>
      <c r="L24" s="66" t="e">
        <f t="shared" si="7"/>
        <v>#REF!</v>
      </c>
      <c r="M24" s="66" t="e">
        <f t="shared" si="3"/>
        <v>#REF!</v>
      </c>
      <c r="N24" s="66" t="e">
        <f t="shared" si="8"/>
        <v>#REF!</v>
      </c>
      <c r="O24" s="66" t="e">
        <f t="shared" si="9"/>
        <v>#REF!</v>
      </c>
      <c r="P24" s="66" t="e">
        <f t="shared" si="6"/>
        <v>#REF!</v>
      </c>
    </row>
    <row r="25" spans="2:16" x14ac:dyDescent="0.25">
      <c r="G25" s="66" t="e">
        <f>'Hors-Site'!#REF!</f>
        <v>#REF!</v>
      </c>
      <c r="H25" s="66" t="e">
        <f>'Hors-Site'!#REF!</f>
        <v>#REF!</v>
      </c>
      <c r="I25" s="66" t="e">
        <f>Tableau1[[#This Row],[USD]]*$J$4</f>
        <v>#REF!</v>
      </c>
      <c r="J25" s="66" t="e">
        <f t="shared" si="0"/>
        <v>#REF!</v>
      </c>
      <c r="K25" s="66" t="e">
        <f t="shared" si="1"/>
        <v>#REF!</v>
      </c>
      <c r="L25" s="66" t="e">
        <f t="shared" si="7"/>
        <v>#REF!</v>
      </c>
      <c r="M25" s="66" t="e">
        <f t="shared" si="3"/>
        <v>#REF!</v>
      </c>
      <c r="N25" s="66" t="e">
        <f t="shared" si="8"/>
        <v>#REF!</v>
      </c>
      <c r="O25" s="66" t="e">
        <f t="shared" si="9"/>
        <v>#REF!</v>
      </c>
      <c r="P25" s="66" t="e">
        <f t="shared" si="6"/>
        <v>#REF!</v>
      </c>
    </row>
    <row r="26" spans="2:16" x14ac:dyDescent="0.25">
      <c r="G26" s="66" t="e">
        <f>'Hors-Site'!#REF!</f>
        <v>#REF!</v>
      </c>
      <c r="H26" s="66" t="e">
        <f>'Hors-Site'!#REF!</f>
        <v>#REF!</v>
      </c>
      <c r="I26" s="66" t="e">
        <f>Tableau1[[#This Row],[USD]]*$J$4</f>
        <v>#REF!</v>
      </c>
      <c r="J26" s="66" t="e">
        <f t="shared" si="0"/>
        <v>#REF!</v>
      </c>
      <c r="K26" s="66" t="e">
        <f t="shared" si="1"/>
        <v>#REF!</v>
      </c>
      <c r="L26" s="66" t="e">
        <f t="shared" si="7"/>
        <v>#REF!</v>
      </c>
      <c r="M26" s="66" t="e">
        <f t="shared" si="3"/>
        <v>#REF!</v>
      </c>
      <c r="N26" s="66" t="e">
        <f t="shared" si="8"/>
        <v>#REF!</v>
      </c>
      <c r="O26" s="66" t="e">
        <f t="shared" si="9"/>
        <v>#REF!</v>
      </c>
      <c r="P26" s="66" t="e">
        <f t="shared" si="6"/>
        <v>#REF!</v>
      </c>
    </row>
    <row r="27" spans="2:16" x14ac:dyDescent="0.25">
      <c r="G27" s="66" t="e">
        <f>'Hors-Site'!#REF!</f>
        <v>#REF!</v>
      </c>
      <c r="H27" s="66" t="e">
        <f>'Hors-Site'!#REF!</f>
        <v>#REF!</v>
      </c>
      <c r="I27" s="66" t="e">
        <f>Tableau1[[#This Row],[USD]]*$J$4</f>
        <v>#REF!</v>
      </c>
      <c r="J27" s="66" t="e">
        <f t="shared" si="0"/>
        <v>#REF!</v>
      </c>
      <c r="K27" s="66" t="e">
        <f t="shared" si="1"/>
        <v>#REF!</v>
      </c>
      <c r="L27" s="66" t="e">
        <f t="shared" si="7"/>
        <v>#REF!</v>
      </c>
      <c r="M27" s="66" t="e">
        <f t="shared" si="3"/>
        <v>#REF!</v>
      </c>
      <c r="N27" s="66" t="e">
        <f t="shared" si="8"/>
        <v>#REF!</v>
      </c>
      <c r="O27" s="66" t="e">
        <f t="shared" si="9"/>
        <v>#REF!</v>
      </c>
      <c r="P27" s="66" t="e">
        <f t="shared" si="6"/>
        <v>#REF!</v>
      </c>
    </row>
    <row r="28" spans="2:16" x14ac:dyDescent="0.25">
      <c r="G28" s="66" t="e">
        <f>'Hors-Site'!#REF!</f>
        <v>#REF!</v>
      </c>
      <c r="H28" s="66" t="e">
        <f>'Hors-Site'!#REF!</f>
        <v>#REF!</v>
      </c>
      <c r="I28" s="66" t="e">
        <f>Tableau1[[#This Row],[USD]]*$J$4</f>
        <v>#REF!</v>
      </c>
      <c r="J28" s="66" t="e">
        <f t="shared" si="0"/>
        <v>#REF!</v>
      </c>
      <c r="K28" s="66" t="e">
        <f t="shared" si="1"/>
        <v>#REF!</v>
      </c>
      <c r="L28" s="66" t="e">
        <f t="shared" si="7"/>
        <v>#REF!</v>
      </c>
      <c r="M28" s="66" t="e">
        <f t="shared" si="3"/>
        <v>#REF!</v>
      </c>
      <c r="N28" s="66" t="e">
        <f t="shared" si="8"/>
        <v>#REF!</v>
      </c>
      <c r="O28" s="66" t="e">
        <f t="shared" si="9"/>
        <v>#REF!</v>
      </c>
      <c r="P28" s="66" t="e">
        <f t="shared" si="6"/>
        <v>#REF!</v>
      </c>
    </row>
    <row r="29" spans="2:16" x14ac:dyDescent="0.25">
      <c r="G29" s="66" t="e">
        <f>'Hors-Site'!#REF!</f>
        <v>#REF!</v>
      </c>
      <c r="H29" s="66" t="e">
        <f>'Hors-Site'!#REF!</f>
        <v>#REF!</v>
      </c>
      <c r="I29" s="66" t="e">
        <f>Tableau1[[#This Row],[USD]]*$J$4</f>
        <v>#REF!</v>
      </c>
      <c r="J29" s="66" t="e">
        <f t="shared" si="0"/>
        <v>#REF!</v>
      </c>
      <c r="K29" s="66" t="e">
        <f t="shared" si="1"/>
        <v>#REF!</v>
      </c>
      <c r="L29" s="66" t="e">
        <f t="shared" si="7"/>
        <v>#REF!</v>
      </c>
      <c r="M29" s="66" t="e">
        <f t="shared" si="3"/>
        <v>#REF!</v>
      </c>
      <c r="N29" s="66" t="e">
        <f t="shared" si="8"/>
        <v>#REF!</v>
      </c>
      <c r="O29" s="66" t="e">
        <f t="shared" si="9"/>
        <v>#REF!</v>
      </c>
      <c r="P29" s="66" t="e">
        <f t="shared" si="6"/>
        <v>#REF!</v>
      </c>
    </row>
    <row r="30" spans="2:16" x14ac:dyDescent="0.25">
      <c r="G30" s="66" t="e">
        <f>'Hors-Site'!#REF!</f>
        <v>#REF!</v>
      </c>
      <c r="H30" s="66" t="e">
        <f>'Hors-Site'!#REF!</f>
        <v>#REF!</v>
      </c>
      <c r="I30" s="66" t="e">
        <f>Tableau1[[#This Row],[USD]]*$J$4</f>
        <v>#REF!</v>
      </c>
      <c r="J30" s="66" t="e">
        <f t="shared" si="0"/>
        <v>#REF!</v>
      </c>
      <c r="K30" s="66" t="e">
        <f t="shared" si="1"/>
        <v>#REF!</v>
      </c>
      <c r="L30" s="66" t="e">
        <f t="shared" si="7"/>
        <v>#REF!</v>
      </c>
      <c r="M30" s="66" t="e">
        <f t="shared" si="3"/>
        <v>#REF!</v>
      </c>
      <c r="N30" s="66" t="e">
        <f t="shared" si="8"/>
        <v>#REF!</v>
      </c>
      <c r="O30" s="66" t="e">
        <f t="shared" si="9"/>
        <v>#REF!</v>
      </c>
      <c r="P30" s="66" t="e">
        <f t="shared" si="6"/>
        <v>#REF!</v>
      </c>
    </row>
    <row r="31" spans="2:16" x14ac:dyDescent="0.25">
      <c r="G31" s="66" t="e">
        <f>'Hors-Site'!#REF!</f>
        <v>#REF!</v>
      </c>
      <c r="H31" s="66" t="e">
        <f>'Hors-Site'!#REF!</f>
        <v>#REF!</v>
      </c>
      <c r="I31" s="66" t="e">
        <f>Tableau1[[#This Row],[USD]]*$J$4</f>
        <v>#REF!</v>
      </c>
      <c r="J31" s="66" t="e">
        <f t="shared" si="0"/>
        <v>#REF!</v>
      </c>
      <c r="K31" s="66" t="e">
        <f t="shared" si="1"/>
        <v>#REF!</v>
      </c>
      <c r="L31" s="66" t="e">
        <f t="shared" si="7"/>
        <v>#REF!</v>
      </c>
      <c r="M31" s="66" t="e">
        <f t="shared" si="3"/>
        <v>#REF!</v>
      </c>
      <c r="N31" s="66" t="e">
        <f t="shared" si="8"/>
        <v>#REF!</v>
      </c>
      <c r="O31" s="66" t="e">
        <f t="shared" si="9"/>
        <v>#REF!</v>
      </c>
      <c r="P31" s="66" t="e">
        <f t="shared" si="6"/>
        <v>#REF!</v>
      </c>
    </row>
    <row r="32" spans="2:16" x14ac:dyDescent="0.25">
      <c r="G32" s="66" t="e">
        <f>'Hors-Site'!#REF!</f>
        <v>#REF!</v>
      </c>
      <c r="H32" s="66" t="e">
        <f>'Hors-Site'!#REF!</f>
        <v>#REF!</v>
      </c>
      <c r="I32" s="66" t="e">
        <f>Tableau1[[#This Row],[USD]]*$J$4</f>
        <v>#REF!</v>
      </c>
      <c r="J32" s="66" t="e">
        <f t="shared" si="0"/>
        <v>#REF!</v>
      </c>
      <c r="K32" s="66" t="e">
        <f t="shared" si="1"/>
        <v>#REF!</v>
      </c>
      <c r="L32" s="66" t="e">
        <f t="shared" si="7"/>
        <v>#REF!</v>
      </c>
      <c r="M32" s="66" t="e">
        <f t="shared" si="3"/>
        <v>#REF!</v>
      </c>
      <c r="N32" s="66" t="e">
        <f t="shared" si="8"/>
        <v>#REF!</v>
      </c>
      <c r="O32" s="66" t="e">
        <f t="shared" si="9"/>
        <v>#REF!</v>
      </c>
      <c r="P32" s="66" t="e">
        <f t="shared" si="6"/>
        <v>#REF!</v>
      </c>
    </row>
    <row r="33" spans="7:16" x14ac:dyDescent="0.25">
      <c r="G33" s="66" t="e">
        <f>'Hors-Site'!#REF!</f>
        <v>#REF!</v>
      </c>
      <c r="H33" s="66" t="e">
        <f>'Hors-Site'!#REF!</f>
        <v>#REF!</v>
      </c>
      <c r="I33" s="66" t="e">
        <f>Tableau1[[#This Row],[USD]]*$J$4</f>
        <v>#REF!</v>
      </c>
      <c r="J33" s="66" t="e">
        <f t="shared" si="0"/>
        <v>#REF!</v>
      </c>
      <c r="K33" s="66" t="e">
        <f t="shared" si="1"/>
        <v>#REF!</v>
      </c>
      <c r="L33" s="66" t="e">
        <f t="shared" si="7"/>
        <v>#REF!</v>
      </c>
      <c r="M33" s="66" t="e">
        <f t="shared" si="3"/>
        <v>#REF!</v>
      </c>
      <c r="N33" s="66" t="e">
        <f t="shared" si="8"/>
        <v>#REF!</v>
      </c>
      <c r="O33" s="66" t="e">
        <f t="shared" si="9"/>
        <v>#REF!</v>
      </c>
      <c r="P33" s="66" t="e">
        <f t="shared" si="6"/>
        <v>#REF!</v>
      </c>
    </row>
    <row r="34" spans="7:16" x14ac:dyDescent="0.25">
      <c r="G34" s="66" t="e">
        <f>'Hors-Site'!#REF!</f>
        <v>#REF!</v>
      </c>
      <c r="H34" s="66" t="e">
        <f>'Hors-Site'!#REF!</f>
        <v>#REF!</v>
      </c>
      <c r="I34" s="66" t="e">
        <f>Tableau1[[#This Row],[USD]]*$J$4</f>
        <v>#REF!</v>
      </c>
      <c r="J34" s="66" t="e">
        <f t="shared" si="0"/>
        <v>#REF!</v>
      </c>
      <c r="K34" s="66" t="e">
        <f t="shared" si="1"/>
        <v>#REF!</v>
      </c>
      <c r="L34" s="66" t="e">
        <f t="shared" si="7"/>
        <v>#REF!</v>
      </c>
      <c r="M34" s="66" t="e">
        <f t="shared" si="3"/>
        <v>#REF!</v>
      </c>
      <c r="N34" s="66" t="e">
        <f t="shared" si="8"/>
        <v>#REF!</v>
      </c>
      <c r="O34" s="66" t="e">
        <f t="shared" si="9"/>
        <v>#REF!</v>
      </c>
      <c r="P34" s="66" t="e">
        <f t="shared" si="6"/>
        <v>#REF!</v>
      </c>
    </row>
    <row r="35" spans="7:16" x14ac:dyDescent="0.25">
      <c r="G35" s="66" t="e">
        <f>'Hors-Site'!#REF!</f>
        <v>#REF!</v>
      </c>
      <c r="H35" s="66" t="e">
        <f>'Hors-Site'!#REF!</f>
        <v>#REF!</v>
      </c>
      <c r="I35" s="66" t="e">
        <f>Tableau1[[#This Row],[USD]]*$J$4</f>
        <v>#REF!</v>
      </c>
      <c r="J35" s="66" t="e">
        <f t="shared" si="0"/>
        <v>#REF!</v>
      </c>
      <c r="K35" s="66" t="e">
        <f t="shared" si="1"/>
        <v>#REF!</v>
      </c>
      <c r="L35" s="66" t="e">
        <f t="shared" si="7"/>
        <v>#REF!</v>
      </c>
      <c r="M35" s="66" t="e">
        <f t="shared" si="3"/>
        <v>#REF!</v>
      </c>
      <c r="N35" s="66" t="e">
        <f t="shared" si="8"/>
        <v>#REF!</v>
      </c>
      <c r="O35" s="66" t="e">
        <f t="shared" si="9"/>
        <v>#REF!</v>
      </c>
      <c r="P35" s="66" t="e">
        <f t="shared" si="6"/>
        <v>#REF!</v>
      </c>
    </row>
    <row r="36" spans="7:16" x14ac:dyDescent="0.25">
      <c r="G36" s="66" t="e">
        <f>'Hors-Site'!#REF!</f>
        <v>#REF!</v>
      </c>
      <c r="H36" s="66" t="e">
        <f>'Hors-Site'!#REF!</f>
        <v>#REF!</v>
      </c>
      <c r="I36" s="66" t="e">
        <f>Tableau1[[#This Row],[USD]]*$J$4</f>
        <v>#REF!</v>
      </c>
      <c r="J36" s="66" t="e">
        <f t="shared" si="0"/>
        <v>#REF!</v>
      </c>
      <c r="K36" s="66" t="e">
        <f t="shared" si="1"/>
        <v>#REF!</v>
      </c>
      <c r="L36" s="66" t="e">
        <f t="shared" si="7"/>
        <v>#REF!</v>
      </c>
      <c r="M36" s="66" t="e">
        <f t="shared" si="3"/>
        <v>#REF!</v>
      </c>
      <c r="N36" s="66" t="e">
        <f t="shared" si="8"/>
        <v>#REF!</v>
      </c>
      <c r="O36" s="66" t="e">
        <f t="shared" si="9"/>
        <v>#REF!</v>
      </c>
      <c r="P36" s="66" t="e">
        <f t="shared" si="6"/>
        <v>#REF!</v>
      </c>
    </row>
    <row r="37" spans="7:16" x14ac:dyDescent="0.25">
      <c r="G37" s="66" t="e">
        <f>'Hors-Site'!#REF!</f>
        <v>#REF!</v>
      </c>
      <c r="H37" s="66" t="e">
        <f>'Hors-Site'!#REF!</f>
        <v>#REF!</v>
      </c>
      <c r="I37" s="66" t="e">
        <f>Tableau1[[#This Row],[USD]]*$J$4</f>
        <v>#REF!</v>
      </c>
      <c r="J37" s="66" t="e">
        <f t="shared" si="0"/>
        <v>#REF!</v>
      </c>
      <c r="K37" s="66" t="e">
        <f t="shared" si="1"/>
        <v>#REF!</v>
      </c>
      <c r="L37" s="66" t="e">
        <f t="shared" si="7"/>
        <v>#REF!</v>
      </c>
      <c r="M37" s="66" t="e">
        <f t="shared" si="3"/>
        <v>#REF!</v>
      </c>
      <c r="N37" s="66" t="e">
        <f t="shared" si="8"/>
        <v>#REF!</v>
      </c>
      <c r="O37" s="66" t="e">
        <f t="shared" si="9"/>
        <v>#REF!</v>
      </c>
      <c r="P37" s="66" t="e">
        <f t="shared" si="6"/>
        <v>#REF!</v>
      </c>
    </row>
    <row r="38" spans="7:16" x14ac:dyDescent="0.25">
      <c r="G38" s="66" t="e">
        <f>'Hors-Site'!#REF!</f>
        <v>#REF!</v>
      </c>
      <c r="H38" s="66" t="e">
        <f>'Hors-Site'!#REF!</f>
        <v>#REF!</v>
      </c>
      <c r="I38" s="66" t="e">
        <f>Tableau1[[#This Row],[USD]]*$J$4</f>
        <v>#REF!</v>
      </c>
      <c r="J38" s="66" t="e">
        <f t="shared" si="0"/>
        <v>#REF!</v>
      </c>
      <c r="K38" s="66" t="e">
        <f t="shared" si="1"/>
        <v>#REF!</v>
      </c>
      <c r="L38" s="66" t="e">
        <f t="shared" si="7"/>
        <v>#REF!</v>
      </c>
      <c r="M38" s="66" t="e">
        <f t="shared" si="3"/>
        <v>#REF!</v>
      </c>
      <c r="N38" s="66" t="e">
        <f t="shared" si="8"/>
        <v>#REF!</v>
      </c>
      <c r="O38" s="66" t="e">
        <f t="shared" si="9"/>
        <v>#REF!</v>
      </c>
      <c r="P38" s="66" t="e">
        <f t="shared" si="6"/>
        <v>#REF!</v>
      </c>
    </row>
    <row r="39" spans="7:16" x14ac:dyDescent="0.25">
      <c r="G39" s="66" t="e">
        <f>'Hors-Site'!#REF!</f>
        <v>#REF!</v>
      </c>
      <c r="H39" s="66" t="e">
        <f>'Hors-Site'!#REF!</f>
        <v>#REF!</v>
      </c>
      <c r="I39" s="66" t="e">
        <f>Tableau1[[#This Row],[USD]]*$J$4</f>
        <v>#REF!</v>
      </c>
      <c r="J39" s="66" t="e">
        <f t="shared" si="0"/>
        <v>#REF!</v>
      </c>
      <c r="K39" s="66" t="e">
        <f t="shared" si="1"/>
        <v>#REF!</v>
      </c>
      <c r="L39" s="66" t="e">
        <f t="shared" si="7"/>
        <v>#REF!</v>
      </c>
      <c r="M39" s="66" t="e">
        <f t="shared" si="3"/>
        <v>#REF!</v>
      </c>
      <c r="N39" s="66" t="e">
        <f t="shared" si="8"/>
        <v>#REF!</v>
      </c>
      <c r="O39" s="66" t="e">
        <f t="shared" si="9"/>
        <v>#REF!</v>
      </c>
      <c r="P39" s="66" t="e">
        <f t="shared" si="6"/>
        <v>#REF!</v>
      </c>
    </row>
    <row r="40" spans="7:16" x14ac:dyDescent="0.25">
      <c r="G40" s="66" t="e">
        <f>'Hors-Site'!#REF!</f>
        <v>#REF!</v>
      </c>
      <c r="H40" s="66" t="e">
        <f>'Hors-Site'!#REF!</f>
        <v>#REF!</v>
      </c>
      <c r="I40" s="66" t="e">
        <f>Tableau1[[#This Row],[USD]]*$J$4</f>
        <v>#REF!</v>
      </c>
      <c r="J40" s="66" t="e">
        <f t="shared" si="0"/>
        <v>#REF!</v>
      </c>
      <c r="K40" s="66" t="e">
        <f t="shared" si="1"/>
        <v>#REF!</v>
      </c>
      <c r="L40" s="66" t="e">
        <f t="shared" si="7"/>
        <v>#REF!</v>
      </c>
      <c r="M40" s="66" t="e">
        <f t="shared" si="3"/>
        <v>#REF!</v>
      </c>
      <c r="N40" s="66" t="e">
        <f t="shared" si="8"/>
        <v>#REF!</v>
      </c>
      <c r="O40" s="66" t="e">
        <f t="shared" si="9"/>
        <v>#REF!</v>
      </c>
      <c r="P40" s="66" t="e">
        <f t="shared" si="6"/>
        <v>#REF!</v>
      </c>
    </row>
    <row r="41" spans="7:16" x14ac:dyDescent="0.25">
      <c r="G41" s="66" t="e">
        <f>'Hors-Site'!#REF!</f>
        <v>#REF!</v>
      </c>
      <c r="H41" s="66" t="e">
        <f>'Hors-Site'!#REF!</f>
        <v>#REF!</v>
      </c>
      <c r="I41" s="66" t="e">
        <f>Tableau1[[#This Row],[USD]]*$J$4</f>
        <v>#REF!</v>
      </c>
      <c r="J41" s="66" t="e">
        <f t="shared" si="0"/>
        <v>#REF!</v>
      </c>
      <c r="K41" s="66" t="e">
        <f t="shared" si="1"/>
        <v>#REF!</v>
      </c>
      <c r="L41" s="66" t="e">
        <f t="shared" si="7"/>
        <v>#REF!</v>
      </c>
      <c r="M41" s="66" t="e">
        <f t="shared" si="3"/>
        <v>#REF!</v>
      </c>
      <c r="N41" s="66" t="e">
        <f t="shared" si="8"/>
        <v>#REF!</v>
      </c>
      <c r="O41" s="66" t="e">
        <f t="shared" si="9"/>
        <v>#REF!</v>
      </c>
      <c r="P41" s="66" t="e">
        <f t="shared" si="6"/>
        <v>#REF!</v>
      </c>
    </row>
    <row r="42" spans="7:16" x14ac:dyDescent="0.25">
      <c r="G42" s="66" t="e">
        <f>'Hors-Site'!#REF!</f>
        <v>#REF!</v>
      </c>
      <c r="H42" s="66" t="e">
        <f>'Hors-Site'!#REF!</f>
        <v>#REF!</v>
      </c>
      <c r="I42" s="66" t="e">
        <f>Tableau1[[#This Row],[USD]]*$J$4</f>
        <v>#REF!</v>
      </c>
      <c r="J42" s="66" t="e">
        <f t="shared" si="0"/>
        <v>#REF!</v>
      </c>
      <c r="K42" s="66" t="e">
        <f t="shared" si="1"/>
        <v>#REF!</v>
      </c>
      <c r="L42" s="66" t="e">
        <f t="shared" si="7"/>
        <v>#REF!</v>
      </c>
      <c r="M42" s="66" t="e">
        <f t="shared" si="3"/>
        <v>#REF!</v>
      </c>
      <c r="N42" s="66" t="e">
        <f t="shared" si="8"/>
        <v>#REF!</v>
      </c>
      <c r="O42" s="66" t="e">
        <f t="shared" si="9"/>
        <v>#REF!</v>
      </c>
      <c r="P42" s="66" t="e">
        <f t="shared" si="6"/>
        <v>#REF!</v>
      </c>
    </row>
    <row r="43" spans="7:16" x14ac:dyDescent="0.25">
      <c r="G43" s="66" t="e">
        <f>'Hors-Site'!#REF!</f>
        <v>#REF!</v>
      </c>
      <c r="H43" s="66" t="e">
        <f>'Hors-Site'!#REF!</f>
        <v>#REF!</v>
      </c>
      <c r="I43" s="66" t="e">
        <f>Tableau1[[#This Row],[USD]]*$J$4</f>
        <v>#REF!</v>
      </c>
      <c r="J43" s="66" t="e">
        <f t="shared" si="0"/>
        <v>#REF!</v>
      </c>
      <c r="K43" s="66" t="e">
        <f t="shared" si="1"/>
        <v>#REF!</v>
      </c>
      <c r="L43" s="66" t="e">
        <f t="shared" si="7"/>
        <v>#REF!</v>
      </c>
      <c r="M43" s="66" t="e">
        <f t="shared" si="3"/>
        <v>#REF!</v>
      </c>
      <c r="N43" s="66" t="e">
        <f t="shared" si="8"/>
        <v>#REF!</v>
      </c>
      <c r="O43" s="66" t="e">
        <f t="shared" si="9"/>
        <v>#REF!</v>
      </c>
      <c r="P43" s="66" t="e">
        <f t="shared" si="6"/>
        <v>#REF!</v>
      </c>
    </row>
    <row r="44" spans="7:16" x14ac:dyDescent="0.25">
      <c r="G44" s="66" t="e">
        <f>'Hors-Site'!#REF!</f>
        <v>#REF!</v>
      </c>
      <c r="H44" s="66" t="e">
        <f>'Hors-Site'!#REF!</f>
        <v>#REF!</v>
      </c>
      <c r="I44" s="66" t="e">
        <f>Tableau1[[#This Row],[USD]]*$J$4</f>
        <v>#REF!</v>
      </c>
      <c r="J44" s="66" t="e">
        <f t="shared" si="0"/>
        <v>#REF!</v>
      </c>
      <c r="K44" s="66" t="e">
        <f t="shared" si="1"/>
        <v>#REF!</v>
      </c>
      <c r="L44" s="66" t="e">
        <f t="shared" si="7"/>
        <v>#REF!</v>
      </c>
      <c r="M44" s="66" t="e">
        <f t="shared" si="3"/>
        <v>#REF!</v>
      </c>
      <c r="N44" s="66" t="e">
        <f t="shared" si="8"/>
        <v>#REF!</v>
      </c>
      <c r="O44" s="66" t="e">
        <f t="shared" si="9"/>
        <v>#REF!</v>
      </c>
      <c r="P44" s="66" t="e">
        <f t="shared" si="6"/>
        <v>#REF!</v>
      </c>
    </row>
    <row r="45" spans="7:16" x14ac:dyDescent="0.25">
      <c r="G45" s="66" t="e">
        <f>'Hors-Site'!#REF!</f>
        <v>#REF!</v>
      </c>
      <c r="H45" s="66" t="e">
        <f>'Hors-Site'!#REF!</f>
        <v>#REF!</v>
      </c>
      <c r="I45" s="66" t="e">
        <f>Tableau1[[#This Row],[USD]]*$J$4</f>
        <v>#REF!</v>
      </c>
      <c r="J45" s="66" t="e">
        <f t="shared" si="0"/>
        <v>#REF!</v>
      </c>
      <c r="K45" s="66" t="e">
        <f t="shared" si="1"/>
        <v>#REF!</v>
      </c>
      <c r="L45" s="66" t="e">
        <f t="shared" si="7"/>
        <v>#REF!</v>
      </c>
      <c r="M45" s="66" t="e">
        <f t="shared" si="3"/>
        <v>#REF!</v>
      </c>
      <c r="N45" s="66" t="e">
        <f t="shared" si="8"/>
        <v>#REF!</v>
      </c>
      <c r="O45" s="66" t="e">
        <f t="shared" si="9"/>
        <v>#REF!</v>
      </c>
      <c r="P45" s="66" t="e">
        <f t="shared" si="6"/>
        <v>#REF!</v>
      </c>
    </row>
    <row r="46" spans="7:16" x14ac:dyDescent="0.25">
      <c r="G46" s="66" t="e">
        <f>'Hors-Site'!#REF!</f>
        <v>#REF!</v>
      </c>
      <c r="H46" s="66" t="e">
        <f>'Hors-Site'!#REF!</f>
        <v>#REF!</v>
      </c>
      <c r="I46" s="66" t="e">
        <f>Tableau1[[#This Row],[USD]]*$J$4</f>
        <v>#REF!</v>
      </c>
      <c r="J46" s="66" t="e">
        <f t="shared" si="0"/>
        <v>#REF!</v>
      </c>
      <c r="K46" s="66" t="e">
        <f t="shared" si="1"/>
        <v>#REF!</v>
      </c>
      <c r="L46" s="66" t="e">
        <f t="shared" si="7"/>
        <v>#REF!</v>
      </c>
      <c r="M46" s="66" t="e">
        <f t="shared" si="3"/>
        <v>#REF!</v>
      </c>
      <c r="N46" s="66" t="e">
        <f t="shared" si="8"/>
        <v>#REF!</v>
      </c>
      <c r="O46" s="66" t="e">
        <f t="shared" si="9"/>
        <v>#REF!</v>
      </c>
      <c r="P46" s="66" t="e">
        <f t="shared" si="6"/>
        <v>#REF!</v>
      </c>
    </row>
    <row r="47" spans="7:16" x14ac:dyDescent="0.25">
      <c r="G47" s="66" t="e">
        <f>'Hors-Site'!#REF!</f>
        <v>#REF!</v>
      </c>
      <c r="H47" s="66" t="e">
        <f>'Hors-Site'!#REF!</f>
        <v>#REF!</v>
      </c>
      <c r="I47" s="66" t="e">
        <f>Tableau1[[#This Row],[USD]]*$J$4</f>
        <v>#REF!</v>
      </c>
      <c r="J47" s="66" t="e">
        <f t="shared" si="0"/>
        <v>#REF!</v>
      </c>
      <c r="K47" s="66" t="e">
        <f t="shared" si="1"/>
        <v>#REF!</v>
      </c>
      <c r="L47" s="66" t="e">
        <f t="shared" si="7"/>
        <v>#REF!</v>
      </c>
      <c r="M47" s="66" t="e">
        <f t="shared" si="3"/>
        <v>#REF!</v>
      </c>
      <c r="N47" s="66" t="e">
        <f t="shared" si="8"/>
        <v>#REF!</v>
      </c>
      <c r="O47" s="66" t="e">
        <f t="shared" si="9"/>
        <v>#REF!</v>
      </c>
      <c r="P47" s="66" t="e">
        <f t="shared" si="6"/>
        <v>#REF!</v>
      </c>
    </row>
    <row r="48" spans="7:16" x14ac:dyDescent="0.25">
      <c r="G48" s="66" t="e">
        <f>'Hors-Site'!#REF!</f>
        <v>#REF!</v>
      </c>
      <c r="H48" s="66" t="e">
        <f>'Hors-Site'!#REF!</f>
        <v>#REF!</v>
      </c>
      <c r="I48" s="66" t="e">
        <f>Tableau1[[#This Row],[USD]]*$J$4</f>
        <v>#REF!</v>
      </c>
      <c r="J48" s="66" t="e">
        <f t="shared" si="0"/>
        <v>#REF!</v>
      </c>
      <c r="K48" s="66" t="e">
        <f t="shared" si="1"/>
        <v>#REF!</v>
      </c>
      <c r="L48" s="66" t="e">
        <f t="shared" si="7"/>
        <v>#REF!</v>
      </c>
      <c r="M48" s="66" t="e">
        <f t="shared" si="3"/>
        <v>#REF!</v>
      </c>
      <c r="N48" s="66" t="e">
        <f t="shared" si="8"/>
        <v>#REF!</v>
      </c>
      <c r="O48" s="66" t="e">
        <f t="shared" si="9"/>
        <v>#REF!</v>
      </c>
      <c r="P48" s="66" t="e">
        <f t="shared" si="6"/>
        <v>#REF!</v>
      </c>
    </row>
    <row r="49" spans="7:16" x14ac:dyDescent="0.25">
      <c r="G49" s="66" t="e">
        <f>'Hors-Site'!#REF!</f>
        <v>#REF!</v>
      </c>
      <c r="H49" s="66" t="e">
        <f>'Hors-Site'!#REF!</f>
        <v>#REF!</v>
      </c>
      <c r="I49" s="66" t="e">
        <f>Tableau1[[#This Row],[USD]]*$J$4</f>
        <v>#REF!</v>
      </c>
      <c r="J49" s="66" t="e">
        <f t="shared" si="0"/>
        <v>#REF!</v>
      </c>
      <c r="K49" s="66" t="e">
        <f t="shared" si="1"/>
        <v>#REF!</v>
      </c>
      <c r="L49" s="66" t="e">
        <f t="shared" si="7"/>
        <v>#REF!</v>
      </c>
      <c r="M49" s="66" t="e">
        <f t="shared" si="3"/>
        <v>#REF!</v>
      </c>
      <c r="N49" s="66" t="e">
        <f t="shared" si="8"/>
        <v>#REF!</v>
      </c>
      <c r="O49" s="66" t="e">
        <f t="shared" si="9"/>
        <v>#REF!</v>
      </c>
      <c r="P49" s="66" t="e">
        <f t="shared" si="6"/>
        <v>#REF!</v>
      </c>
    </row>
    <row r="50" spans="7:16" x14ac:dyDescent="0.25">
      <c r="G50" s="66" t="e">
        <f>'Hors-Site'!#REF!</f>
        <v>#REF!</v>
      </c>
      <c r="H50" s="66" t="e">
        <f>'Hors-Site'!#REF!</f>
        <v>#REF!</v>
      </c>
      <c r="I50" s="66" t="e">
        <f>Tableau1[[#This Row],[USD]]*$J$4</f>
        <v>#REF!</v>
      </c>
      <c r="J50" s="66" t="e">
        <f t="shared" si="0"/>
        <v>#REF!</v>
      </c>
      <c r="K50" s="66" t="e">
        <f t="shared" si="1"/>
        <v>#REF!</v>
      </c>
      <c r="L50" s="66" t="e">
        <f t="shared" si="7"/>
        <v>#REF!</v>
      </c>
      <c r="M50" s="66" t="e">
        <f t="shared" si="3"/>
        <v>#REF!</v>
      </c>
      <c r="N50" s="66" t="e">
        <f t="shared" si="8"/>
        <v>#REF!</v>
      </c>
      <c r="O50" s="66" t="e">
        <f t="shared" si="9"/>
        <v>#REF!</v>
      </c>
      <c r="P50" s="66" t="e">
        <f t="shared" si="6"/>
        <v>#REF!</v>
      </c>
    </row>
    <row r="51" spans="7:16" x14ac:dyDescent="0.25">
      <c r="G51" s="66" t="e">
        <f>'Hors-Site'!#REF!</f>
        <v>#REF!</v>
      </c>
      <c r="H51" s="66" t="e">
        <f>'Hors-Site'!#REF!</f>
        <v>#REF!</v>
      </c>
      <c r="I51" s="66" t="e">
        <f>Tableau1[[#This Row],[USD]]*$J$4</f>
        <v>#REF!</v>
      </c>
      <c r="J51" s="66" t="e">
        <f t="shared" si="0"/>
        <v>#REF!</v>
      </c>
      <c r="K51" s="66" t="e">
        <f t="shared" si="1"/>
        <v>#REF!</v>
      </c>
      <c r="L51" s="66" t="e">
        <f t="shared" si="7"/>
        <v>#REF!</v>
      </c>
      <c r="M51" s="66" t="e">
        <f t="shared" si="3"/>
        <v>#REF!</v>
      </c>
      <c r="N51" s="66" t="e">
        <f t="shared" si="8"/>
        <v>#REF!</v>
      </c>
      <c r="O51" s="66" t="e">
        <f t="shared" si="9"/>
        <v>#REF!</v>
      </c>
      <c r="P51" s="66" t="e">
        <f t="shared" si="6"/>
        <v>#REF!</v>
      </c>
    </row>
    <row r="52" spans="7:16" x14ac:dyDescent="0.25">
      <c r="G52" s="66" t="e">
        <f>'Hors-Site'!#REF!</f>
        <v>#REF!</v>
      </c>
      <c r="H52" s="66" t="e">
        <f>'Hors-Site'!#REF!</f>
        <v>#REF!</v>
      </c>
      <c r="I52" s="66" t="e">
        <f>Tableau1[[#This Row],[USD]]*$J$4</f>
        <v>#REF!</v>
      </c>
      <c r="J52" s="66" t="e">
        <f t="shared" si="0"/>
        <v>#REF!</v>
      </c>
      <c r="K52" s="66" t="e">
        <f t="shared" si="1"/>
        <v>#REF!</v>
      </c>
      <c r="L52" s="66" t="e">
        <f t="shared" si="7"/>
        <v>#REF!</v>
      </c>
      <c r="M52" s="66" t="e">
        <f t="shared" si="3"/>
        <v>#REF!</v>
      </c>
      <c r="N52" s="66" t="e">
        <f t="shared" si="8"/>
        <v>#REF!</v>
      </c>
      <c r="O52" s="66" t="e">
        <f t="shared" si="9"/>
        <v>#REF!</v>
      </c>
      <c r="P52" s="66" t="e">
        <f t="shared" si="6"/>
        <v>#REF!</v>
      </c>
    </row>
    <row r="53" spans="7:16" x14ac:dyDescent="0.25">
      <c r="G53" s="66" t="e">
        <f>'Hors-Site'!#REF!</f>
        <v>#REF!</v>
      </c>
      <c r="H53" s="66" t="e">
        <f>'Hors-Site'!#REF!</f>
        <v>#REF!</v>
      </c>
      <c r="I53" s="66" t="e">
        <f>Tableau1[[#This Row],[USD]]*$J$4</f>
        <v>#REF!</v>
      </c>
      <c r="J53" s="66" t="e">
        <f t="shared" si="0"/>
        <v>#REF!</v>
      </c>
      <c r="K53" s="66" t="e">
        <f t="shared" si="1"/>
        <v>#REF!</v>
      </c>
      <c r="L53" s="66" t="e">
        <f t="shared" si="7"/>
        <v>#REF!</v>
      </c>
      <c r="M53" s="66" t="e">
        <f t="shared" si="3"/>
        <v>#REF!</v>
      </c>
      <c r="N53" s="66" t="e">
        <f t="shared" si="8"/>
        <v>#REF!</v>
      </c>
      <c r="O53" s="66" t="e">
        <f t="shared" si="9"/>
        <v>#REF!</v>
      </c>
      <c r="P53" s="66" t="e">
        <f t="shared" si="6"/>
        <v>#REF!</v>
      </c>
    </row>
    <row r="54" spans="7:16" x14ac:dyDescent="0.25">
      <c r="G54" s="66" t="e">
        <f>'Hors-Site'!#REF!</f>
        <v>#REF!</v>
      </c>
      <c r="H54" s="66" t="e">
        <f>'Hors-Site'!#REF!</f>
        <v>#REF!</v>
      </c>
      <c r="I54" s="66" t="e">
        <f>Tableau1[[#This Row],[USD]]*$J$4</f>
        <v>#REF!</v>
      </c>
      <c r="J54" s="66" t="e">
        <f t="shared" si="0"/>
        <v>#REF!</v>
      </c>
      <c r="K54" s="66" t="e">
        <f t="shared" si="1"/>
        <v>#REF!</v>
      </c>
      <c r="L54" s="66" t="e">
        <f t="shared" si="7"/>
        <v>#REF!</v>
      </c>
      <c r="M54" s="66" t="e">
        <f t="shared" si="3"/>
        <v>#REF!</v>
      </c>
      <c r="N54" s="66" t="e">
        <f t="shared" si="8"/>
        <v>#REF!</v>
      </c>
      <c r="O54" s="66" t="e">
        <f t="shared" si="9"/>
        <v>#REF!</v>
      </c>
      <c r="P54" s="66" t="e">
        <f t="shared" si="6"/>
        <v>#REF!</v>
      </c>
    </row>
    <row r="55" spans="7:16" x14ac:dyDescent="0.25">
      <c r="G55" s="66" t="e">
        <f>'Hors-Site'!#REF!</f>
        <v>#REF!</v>
      </c>
      <c r="H55" s="66" t="e">
        <f>'Hors-Site'!#REF!</f>
        <v>#REF!</v>
      </c>
      <c r="I55" s="66" t="e">
        <f>Tableau1[[#This Row],[USD]]*$J$4</f>
        <v>#REF!</v>
      </c>
      <c r="J55" s="66" t="e">
        <f t="shared" si="0"/>
        <v>#REF!</v>
      </c>
      <c r="K55" s="66" t="e">
        <f t="shared" si="1"/>
        <v>#REF!</v>
      </c>
      <c r="L55" s="66" t="e">
        <f t="shared" si="7"/>
        <v>#REF!</v>
      </c>
      <c r="M55" s="66" t="e">
        <f t="shared" si="3"/>
        <v>#REF!</v>
      </c>
      <c r="N55" s="66" t="e">
        <f t="shared" si="8"/>
        <v>#REF!</v>
      </c>
      <c r="O55" s="66" t="e">
        <f t="shared" si="9"/>
        <v>#REF!</v>
      </c>
      <c r="P55" s="66" t="e">
        <f t="shared" si="6"/>
        <v>#REF!</v>
      </c>
    </row>
    <row r="56" spans="7:16" x14ac:dyDescent="0.25">
      <c r="G56" s="66" t="e">
        <f>'Hors-Site'!#REF!</f>
        <v>#REF!</v>
      </c>
      <c r="H56" s="66" t="e">
        <f>'Hors-Site'!#REF!</f>
        <v>#REF!</v>
      </c>
      <c r="I56" s="66" t="e">
        <f>Tableau1[[#This Row],[USD]]*$J$4</f>
        <v>#REF!</v>
      </c>
      <c r="J56" s="66" t="e">
        <f t="shared" si="0"/>
        <v>#REF!</v>
      </c>
      <c r="K56" s="66" t="e">
        <f t="shared" si="1"/>
        <v>#REF!</v>
      </c>
      <c r="L56" s="66" t="e">
        <f t="shared" si="7"/>
        <v>#REF!</v>
      </c>
      <c r="M56" s="66" t="e">
        <f t="shared" si="3"/>
        <v>#REF!</v>
      </c>
      <c r="N56" s="66" t="e">
        <f t="shared" si="8"/>
        <v>#REF!</v>
      </c>
      <c r="O56" s="66" t="e">
        <f t="shared" si="9"/>
        <v>#REF!</v>
      </c>
      <c r="P56" s="66" t="e">
        <f t="shared" si="6"/>
        <v>#REF!</v>
      </c>
    </row>
    <row r="57" spans="7:16" x14ac:dyDescent="0.25">
      <c r="G57" s="66" t="e">
        <f>'Hors-Site'!#REF!</f>
        <v>#REF!</v>
      </c>
      <c r="H57" s="66" t="e">
        <f>'Hors-Site'!#REF!</f>
        <v>#REF!</v>
      </c>
      <c r="I57" s="66" t="e">
        <f>Tableau1[[#This Row],[USD]]*$J$4</f>
        <v>#REF!</v>
      </c>
      <c r="J57" s="66" t="e">
        <f t="shared" si="0"/>
        <v>#REF!</v>
      </c>
      <c r="K57" s="66" t="e">
        <f t="shared" si="1"/>
        <v>#REF!</v>
      </c>
      <c r="L57" s="66" t="e">
        <f t="shared" si="7"/>
        <v>#REF!</v>
      </c>
      <c r="M57" s="66" t="e">
        <f t="shared" si="3"/>
        <v>#REF!</v>
      </c>
      <c r="N57" s="66" t="e">
        <f t="shared" si="8"/>
        <v>#REF!</v>
      </c>
      <c r="O57" s="66" t="e">
        <f t="shared" si="9"/>
        <v>#REF!</v>
      </c>
      <c r="P57" s="66" t="e">
        <f t="shared" si="6"/>
        <v>#REF!</v>
      </c>
    </row>
    <row r="58" spans="7:16" x14ac:dyDescent="0.25">
      <c r="G58" s="66" t="e">
        <f>'Hors-Site'!#REF!</f>
        <v>#REF!</v>
      </c>
      <c r="H58" s="66" t="e">
        <f>'Hors-Site'!#REF!</f>
        <v>#REF!</v>
      </c>
      <c r="I58" s="66" t="e">
        <f>Tableau1[[#This Row],[USD]]*$J$4</f>
        <v>#REF!</v>
      </c>
      <c r="J58" s="66" t="e">
        <f t="shared" si="0"/>
        <v>#REF!</v>
      </c>
      <c r="K58" s="66" t="e">
        <f t="shared" si="1"/>
        <v>#REF!</v>
      </c>
      <c r="L58" s="66" t="e">
        <f t="shared" si="7"/>
        <v>#REF!</v>
      </c>
      <c r="M58" s="66" t="e">
        <f t="shared" si="3"/>
        <v>#REF!</v>
      </c>
      <c r="N58" s="66" t="e">
        <f t="shared" si="8"/>
        <v>#REF!</v>
      </c>
      <c r="O58" s="66" t="e">
        <f t="shared" si="9"/>
        <v>#REF!</v>
      </c>
      <c r="P58" s="66" t="e">
        <f t="shared" si="6"/>
        <v>#REF!</v>
      </c>
    </row>
    <row r="59" spans="7:16" x14ac:dyDescent="0.25">
      <c r="G59" s="66" t="e">
        <f>'Hors-Site'!#REF!</f>
        <v>#REF!</v>
      </c>
      <c r="H59" s="66" t="e">
        <f>'Hors-Site'!#REF!</f>
        <v>#REF!</v>
      </c>
      <c r="I59" s="66" t="e">
        <f>Tableau1[[#This Row],[USD]]*$J$4</f>
        <v>#REF!</v>
      </c>
      <c r="J59" s="66" t="e">
        <f t="shared" si="0"/>
        <v>#REF!</v>
      </c>
      <c r="K59" s="66" t="e">
        <f t="shared" si="1"/>
        <v>#REF!</v>
      </c>
      <c r="L59" s="66" t="e">
        <f t="shared" si="7"/>
        <v>#REF!</v>
      </c>
      <c r="M59" s="66" t="e">
        <f t="shared" si="3"/>
        <v>#REF!</v>
      </c>
      <c r="N59" s="66" t="e">
        <f t="shared" si="8"/>
        <v>#REF!</v>
      </c>
      <c r="O59" s="66" t="e">
        <f t="shared" si="9"/>
        <v>#REF!</v>
      </c>
      <c r="P59" s="66" t="e">
        <f t="shared" si="6"/>
        <v>#REF!</v>
      </c>
    </row>
    <row r="60" spans="7:16" x14ac:dyDescent="0.25">
      <c r="G60" s="66" t="e">
        <f>'Hors-Site'!#REF!</f>
        <v>#REF!</v>
      </c>
      <c r="H60" s="66" t="e">
        <f>'Hors-Site'!#REF!</f>
        <v>#REF!</v>
      </c>
      <c r="I60" s="66" t="e">
        <f>Tableau1[[#This Row],[USD]]*$J$4</f>
        <v>#REF!</v>
      </c>
      <c r="J60" s="66" t="e">
        <f t="shared" si="0"/>
        <v>#REF!</v>
      </c>
      <c r="K60" s="66" t="e">
        <f t="shared" si="1"/>
        <v>#REF!</v>
      </c>
      <c r="L60" s="66" t="e">
        <f t="shared" si="7"/>
        <v>#REF!</v>
      </c>
      <c r="M60" s="66" t="e">
        <f t="shared" si="3"/>
        <v>#REF!</v>
      </c>
      <c r="N60" s="66" t="e">
        <f t="shared" si="8"/>
        <v>#REF!</v>
      </c>
      <c r="O60" s="66" t="e">
        <f t="shared" si="9"/>
        <v>#REF!</v>
      </c>
      <c r="P60" s="66" t="e">
        <f t="shared" si="6"/>
        <v>#REF!</v>
      </c>
    </row>
    <row r="61" spans="7:16" x14ac:dyDescent="0.25">
      <c r="G61" s="66" t="e">
        <f>'Hors-Site'!#REF!</f>
        <v>#REF!</v>
      </c>
      <c r="H61" s="66" t="e">
        <f>'Hors-Site'!#REF!</f>
        <v>#REF!</v>
      </c>
      <c r="I61" s="66" t="e">
        <f>Tableau1[[#This Row],[USD]]*$J$4</f>
        <v>#REF!</v>
      </c>
      <c r="J61" s="66" t="e">
        <f t="shared" si="0"/>
        <v>#REF!</v>
      </c>
      <c r="K61" s="66" t="e">
        <f t="shared" si="1"/>
        <v>#REF!</v>
      </c>
      <c r="L61" s="66" t="e">
        <f t="shared" si="7"/>
        <v>#REF!</v>
      </c>
      <c r="M61" s="66" t="e">
        <f t="shared" si="3"/>
        <v>#REF!</v>
      </c>
      <c r="N61" s="66" t="e">
        <f t="shared" si="8"/>
        <v>#REF!</v>
      </c>
      <c r="O61" s="66" t="e">
        <f t="shared" si="9"/>
        <v>#REF!</v>
      </c>
      <c r="P61" s="66" t="e">
        <f t="shared" si="6"/>
        <v>#REF!</v>
      </c>
    </row>
    <row r="62" spans="7:16" x14ac:dyDescent="0.25">
      <c r="G62" s="66" t="e">
        <f>'Hors-Site'!#REF!</f>
        <v>#REF!</v>
      </c>
      <c r="H62" s="66" t="e">
        <f>'Hors-Site'!#REF!</f>
        <v>#REF!</v>
      </c>
      <c r="I62" s="66" t="e">
        <f>Tableau1[[#This Row],[USD]]*$J$4</f>
        <v>#REF!</v>
      </c>
      <c r="J62" s="66" t="e">
        <f t="shared" si="0"/>
        <v>#REF!</v>
      </c>
      <c r="K62" s="66" t="e">
        <f t="shared" si="1"/>
        <v>#REF!</v>
      </c>
      <c r="L62" s="66" t="e">
        <f t="shared" si="7"/>
        <v>#REF!</v>
      </c>
      <c r="M62" s="66" t="e">
        <f t="shared" si="3"/>
        <v>#REF!</v>
      </c>
      <c r="N62" s="66" t="e">
        <f t="shared" si="8"/>
        <v>#REF!</v>
      </c>
      <c r="O62" s="66" t="e">
        <f t="shared" si="9"/>
        <v>#REF!</v>
      </c>
      <c r="P62" s="66" t="e">
        <f t="shared" si="6"/>
        <v>#REF!</v>
      </c>
    </row>
    <row r="63" spans="7:16" x14ac:dyDescent="0.25">
      <c r="G63" s="66" t="e">
        <f>'Hors-Site'!#REF!</f>
        <v>#REF!</v>
      </c>
      <c r="H63" s="66" t="e">
        <f>'Hors-Site'!#REF!</f>
        <v>#REF!</v>
      </c>
      <c r="I63" s="66" t="e">
        <f>Tableau1[[#This Row],[USD]]*$J$4</f>
        <v>#REF!</v>
      </c>
      <c r="J63" s="66" t="e">
        <f t="shared" si="0"/>
        <v>#REF!</v>
      </c>
      <c r="K63" s="66" t="e">
        <f t="shared" si="1"/>
        <v>#REF!</v>
      </c>
      <c r="L63" s="66" t="e">
        <f t="shared" si="7"/>
        <v>#REF!</v>
      </c>
      <c r="M63" s="66" t="e">
        <f t="shared" si="3"/>
        <v>#REF!</v>
      </c>
      <c r="N63" s="66" t="e">
        <f t="shared" si="8"/>
        <v>#REF!</v>
      </c>
      <c r="O63" s="66" t="e">
        <f t="shared" si="9"/>
        <v>#REF!</v>
      </c>
      <c r="P63" s="66" t="e">
        <f t="shared" si="6"/>
        <v>#REF!</v>
      </c>
    </row>
    <row r="64" spans="7:16" x14ac:dyDescent="0.25">
      <c r="G64" s="66" t="e">
        <f>'Hors-Site'!#REF!</f>
        <v>#REF!</v>
      </c>
      <c r="H64" s="66" t="e">
        <f>'Hors-Site'!#REF!</f>
        <v>#REF!</v>
      </c>
      <c r="I64" s="66" t="e">
        <f>Tableau1[[#This Row],[USD]]*$J$4</f>
        <v>#REF!</v>
      </c>
      <c r="J64" s="66" t="e">
        <f t="shared" si="0"/>
        <v>#REF!</v>
      </c>
      <c r="K64" s="66" t="e">
        <f t="shared" si="1"/>
        <v>#REF!</v>
      </c>
      <c r="L64" s="66" t="e">
        <f t="shared" si="7"/>
        <v>#REF!</v>
      </c>
      <c r="M64" s="66" t="e">
        <f t="shared" si="3"/>
        <v>#REF!</v>
      </c>
      <c r="N64" s="66" t="e">
        <f t="shared" si="8"/>
        <v>#REF!</v>
      </c>
      <c r="O64" s="66" t="e">
        <f t="shared" si="9"/>
        <v>#REF!</v>
      </c>
      <c r="P64" s="66" t="e">
        <f t="shared" si="6"/>
        <v>#REF!</v>
      </c>
    </row>
    <row r="65" spans="7:16" x14ac:dyDescent="0.25">
      <c r="G65" s="66" t="e">
        <f>'Hors-Site'!#REF!</f>
        <v>#REF!</v>
      </c>
      <c r="H65" s="66" t="e">
        <f>'Hors-Site'!#REF!</f>
        <v>#REF!</v>
      </c>
      <c r="I65" s="66" t="e">
        <f>Tableau1[[#This Row],[USD]]*$J$4</f>
        <v>#REF!</v>
      </c>
      <c r="J65" s="66" t="e">
        <f t="shared" si="0"/>
        <v>#REF!</v>
      </c>
      <c r="K65" s="66" t="e">
        <f t="shared" si="1"/>
        <v>#REF!</v>
      </c>
      <c r="L65" s="66" t="e">
        <f t="shared" si="7"/>
        <v>#REF!</v>
      </c>
      <c r="M65" s="66" t="e">
        <f t="shared" si="3"/>
        <v>#REF!</v>
      </c>
      <c r="N65" s="66" t="e">
        <f t="shared" si="8"/>
        <v>#REF!</v>
      </c>
      <c r="O65" s="66" t="e">
        <f t="shared" si="9"/>
        <v>#REF!</v>
      </c>
      <c r="P65" s="66" t="e">
        <f t="shared" si="6"/>
        <v>#REF!</v>
      </c>
    </row>
    <row r="66" spans="7:16" x14ac:dyDescent="0.25">
      <c r="G66" s="66" t="e">
        <f>'Hors-Site'!#REF!</f>
        <v>#REF!</v>
      </c>
      <c r="H66" s="66" t="e">
        <f>'Hors-Site'!#REF!</f>
        <v>#REF!</v>
      </c>
      <c r="I66" s="66" t="e">
        <f>Tableau1[[#This Row],[USD]]*$J$4</f>
        <v>#REF!</v>
      </c>
      <c r="J66" s="66" t="e">
        <f t="shared" si="0"/>
        <v>#REF!</v>
      </c>
      <c r="K66" s="66" t="e">
        <f t="shared" si="1"/>
        <v>#REF!</v>
      </c>
      <c r="L66" s="66" t="e">
        <f t="shared" si="7"/>
        <v>#REF!</v>
      </c>
      <c r="M66" s="66" t="e">
        <f t="shared" si="3"/>
        <v>#REF!</v>
      </c>
      <c r="N66" s="66" t="e">
        <f t="shared" si="8"/>
        <v>#REF!</v>
      </c>
      <c r="O66" s="66" t="e">
        <f t="shared" si="9"/>
        <v>#REF!</v>
      </c>
      <c r="P66" s="66" t="e">
        <f t="shared" si="6"/>
        <v>#REF!</v>
      </c>
    </row>
    <row r="67" spans="7:16" x14ac:dyDescent="0.25">
      <c r="G67" s="66" t="e">
        <f>'Hors-Site'!#REF!</f>
        <v>#REF!</v>
      </c>
      <c r="H67" s="66" t="e">
        <f>'Hors-Site'!#REF!</f>
        <v>#REF!</v>
      </c>
      <c r="I67" s="66" t="e">
        <f>Tableau1[[#This Row],[USD]]*$J$4</f>
        <v>#REF!</v>
      </c>
      <c r="J67" s="66" t="e">
        <f t="shared" si="0"/>
        <v>#REF!</v>
      </c>
      <c r="K67" s="66" t="e">
        <f t="shared" si="1"/>
        <v>#REF!</v>
      </c>
      <c r="L67" s="66" t="e">
        <f t="shared" si="7"/>
        <v>#REF!</v>
      </c>
      <c r="M67" s="66" t="e">
        <f t="shared" si="3"/>
        <v>#REF!</v>
      </c>
      <c r="N67" s="66" t="e">
        <f t="shared" si="8"/>
        <v>#REF!</v>
      </c>
      <c r="O67" s="66" t="e">
        <f t="shared" si="9"/>
        <v>#REF!</v>
      </c>
      <c r="P67" s="66" t="e">
        <f t="shared" si="6"/>
        <v>#REF!</v>
      </c>
    </row>
    <row r="68" spans="7:16" x14ac:dyDescent="0.25">
      <c r="G68" s="66" t="e">
        <f>'Hors-Site'!#REF!</f>
        <v>#REF!</v>
      </c>
      <c r="H68" s="66" t="e">
        <f>'Hors-Site'!#REF!</f>
        <v>#REF!</v>
      </c>
      <c r="I68" s="66" t="e">
        <f>Tableau1[[#This Row],[USD]]*$J$4</f>
        <v>#REF!</v>
      </c>
      <c r="J68" s="66" t="e">
        <f t="shared" si="0"/>
        <v>#REF!</v>
      </c>
      <c r="K68" s="66" t="e">
        <f t="shared" si="1"/>
        <v>#REF!</v>
      </c>
      <c r="L68" s="66" t="e">
        <f t="shared" si="7"/>
        <v>#REF!</v>
      </c>
      <c r="M68" s="66" t="e">
        <f t="shared" si="3"/>
        <v>#REF!</v>
      </c>
      <c r="N68" s="66" t="e">
        <f t="shared" si="8"/>
        <v>#REF!</v>
      </c>
      <c r="O68" s="66" t="e">
        <f t="shared" si="9"/>
        <v>#REF!</v>
      </c>
      <c r="P68" s="66" t="e">
        <f t="shared" si="6"/>
        <v>#REF!</v>
      </c>
    </row>
    <row r="69" spans="7:16" x14ac:dyDescent="0.25">
      <c r="G69" s="66" t="e">
        <f>'Hors-Site'!#REF!</f>
        <v>#REF!</v>
      </c>
      <c r="H69" s="66" t="e">
        <f>'Hors-Site'!#REF!</f>
        <v>#REF!</v>
      </c>
      <c r="I69" s="66" t="e">
        <f>Tableau1[[#This Row],[USD]]*$J$4</f>
        <v>#REF!</v>
      </c>
      <c r="J69" s="66" t="e">
        <f t="shared" si="0"/>
        <v>#REF!</v>
      </c>
      <c r="K69" s="66" t="e">
        <f t="shared" si="1"/>
        <v>#REF!</v>
      </c>
      <c r="L69" s="66" t="e">
        <f t="shared" si="7"/>
        <v>#REF!</v>
      </c>
      <c r="M69" s="66" t="e">
        <f t="shared" si="3"/>
        <v>#REF!</v>
      </c>
      <c r="N69" s="66" t="e">
        <f t="shared" si="8"/>
        <v>#REF!</v>
      </c>
      <c r="O69" s="66" t="e">
        <f t="shared" si="9"/>
        <v>#REF!</v>
      </c>
      <c r="P69" s="66" t="e">
        <f t="shared" si="6"/>
        <v>#REF!</v>
      </c>
    </row>
    <row r="70" spans="7:16" x14ac:dyDescent="0.25">
      <c r="G70" s="66" t="e">
        <f>'Hors-Site'!#REF!</f>
        <v>#REF!</v>
      </c>
      <c r="H70" s="66" t="e">
        <f>'Hors-Site'!#REF!</f>
        <v>#REF!</v>
      </c>
      <c r="I70" s="66" t="e">
        <f>Tableau1[[#This Row],[USD]]*$J$4</f>
        <v>#REF!</v>
      </c>
      <c r="J70" s="66" t="e">
        <f t="shared" ref="J70:J133" si="10">I70-VLOOKUP($I70,$C$6:$D$9,1)</f>
        <v>#REF!</v>
      </c>
      <c r="K70" s="66" t="e">
        <f t="shared" ref="K70:K133" si="11">VLOOKUP($I70,$C$11:$D$14,2)</f>
        <v>#REF!</v>
      </c>
      <c r="L70" s="66" t="e">
        <f t="shared" si="7"/>
        <v>#REF!</v>
      </c>
      <c r="M70" s="66" t="e">
        <f t="shared" ref="M70:M133" si="12">L70+VLOOKUP($I70,$C$15:$E$19,3)</f>
        <v>#REF!</v>
      </c>
      <c r="N70" s="66" t="e">
        <f t="shared" si="8"/>
        <v>#REF!</v>
      </c>
      <c r="O70" s="66" t="e">
        <f t="shared" si="9"/>
        <v>#REF!</v>
      </c>
      <c r="P70" s="66" t="e">
        <f t="shared" ref="P70:P133" si="13">O70/$J$4</f>
        <v>#REF!</v>
      </c>
    </row>
    <row r="71" spans="7:16" x14ac:dyDescent="0.25">
      <c r="G71" s="66" t="e">
        <f>'Hors-Site'!#REF!</f>
        <v>#REF!</v>
      </c>
      <c r="H71" s="66" t="e">
        <f>'Hors-Site'!#REF!</f>
        <v>#REF!</v>
      </c>
      <c r="I71" s="66" t="e">
        <f>Tableau1[[#This Row],[USD]]*$J$4</f>
        <v>#REF!</v>
      </c>
      <c r="J71" s="66" t="e">
        <f t="shared" si="10"/>
        <v>#REF!</v>
      </c>
      <c r="K71" s="66" t="e">
        <f t="shared" si="11"/>
        <v>#REF!</v>
      </c>
      <c r="L71" s="66" t="e">
        <f t="shared" ref="L71:L134" si="14">J71*K71</f>
        <v>#REF!</v>
      </c>
      <c r="M71" s="66" t="e">
        <f t="shared" si="12"/>
        <v>#REF!</v>
      </c>
      <c r="N71" s="66" t="e">
        <f t="shared" ref="N71:N134" si="15">M71*(G71*2%)</f>
        <v>#REF!</v>
      </c>
      <c r="O71" s="66" t="e">
        <f t="shared" ref="O71:O134" si="16">M71-N71</f>
        <v>#REF!</v>
      </c>
      <c r="P71" s="66" t="e">
        <f t="shared" si="13"/>
        <v>#REF!</v>
      </c>
    </row>
    <row r="72" spans="7:16" x14ac:dyDescent="0.25">
      <c r="G72" s="66" t="e">
        <f>'Hors-Site'!#REF!</f>
        <v>#REF!</v>
      </c>
      <c r="H72" s="66" t="e">
        <f>'Hors-Site'!#REF!</f>
        <v>#REF!</v>
      </c>
      <c r="I72" s="66" t="e">
        <f>Tableau1[[#This Row],[USD]]*$J$4</f>
        <v>#REF!</v>
      </c>
      <c r="J72" s="66" t="e">
        <f t="shared" si="10"/>
        <v>#REF!</v>
      </c>
      <c r="K72" s="66" t="e">
        <f t="shared" si="11"/>
        <v>#REF!</v>
      </c>
      <c r="L72" s="66" t="e">
        <f t="shared" si="14"/>
        <v>#REF!</v>
      </c>
      <c r="M72" s="66" t="e">
        <f t="shared" si="12"/>
        <v>#REF!</v>
      </c>
      <c r="N72" s="66" t="e">
        <f t="shared" si="15"/>
        <v>#REF!</v>
      </c>
      <c r="O72" s="66" t="e">
        <f t="shared" si="16"/>
        <v>#REF!</v>
      </c>
      <c r="P72" s="66" t="e">
        <f t="shared" si="13"/>
        <v>#REF!</v>
      </c>
    </row>
    <row r="73" spans="7:16" x14ac:dyDescent="0.25">
      <c r="G73" s="66" t="e">
        <f>'Hors-Site'!#REF!</f>
        <v>#REF!</v>
      </c>
      <c r="H73" s="66" t="e">
        <f>'Hors-Site'!#REF!</f>
        <v>#REF!</v>
      </c>
      <c r="I73" s="66" t="e">
        <f>Tableau1[[#This Row],[USD]]*$J$4</f>
        <v>#REF!</v>
      </c>
      <c r="J73" s="66" t="e">
        <f t="shared" si="10"/>
        <v>#REF!</v>
      </c>
      <c r="K73" s="66" t="e">
        <f t="shared" si="11"/>
        <v>#REF!</v>
      </c>
      <c r="L73" s="66" t="e">
        <f t="shared" si="14"/>
        <v>#REF!</v>
      </c>
      <c r="M73" s="66" t="e">
        <f t="shared" si="12"/>
        <v>#REF!</v>
      </c>
      <c r="N73" s="66" t="e">
        <f t="shared" si="15"/>
        <v>#REF!</v>
      </c>
      <c r="O73" s="66" t="e">
        <f t="shared" si="16"/>
        <v>#REF!</v>
      </c>
      <c r="P73" s="66" t="e">
        <f t="shared" si="13"/>
        <v>#REF!</v>
      </c>
    </row>
    <row r="74" spans="7:16" x14ac:dyDescent="0.25">
      <c r="G74" s="66" t="e">
        <f>'Hors-Site'!#REF!</f>
        <v>#REF!</v>
      </c>
      <c r="H74" s="66" t="e">
        <f>'Hors-Site'!#REF!</f>
        <v>#REF!</v>
      </c>
      <c r="I74" s="66" t="e">
        <f>Tableau1[[#This Row],[USD]]*$J$4</f>
        <v>#REF!</v>
      </c>
      <c r="J74" s="66" t="e">
        <f t="shared" si="10"/>
        <v>#REF!</v>
      </c>
      <c r="K74" s="66" t="e">
        <f t="shared" si="11"/>
        <v>#REF!</v>
      </c>
      <c r="L74" s="66" t="e">
        <f t="shared" si="14"/>
        <v>#REF!</v>
      </c>
      <c r="M74" s="66" t="e">
        <f t="shared" si="12"/>
        <v>#REF!</v>
      </c>
      <c r="N74" s="66" t="e">
        <f t="shared" si="15"/>
        <v>#REF!</v>
      </c>
      <c r="O74" s="66" t="e">
        <f t="shared" si="16"/>
        <v>#REF!</v>
      </c>
      <c r="P74" s="66" t="e">
        <f t="shared" si="13"/>
        <v>#REF!</v>
      </c>
    </row>
    <row r="75" spans="7:16" x14ac:dyDescent="0.25">
      <c r="G75" s="66" t="e">
        <f>'Hors-Site'!#REF!</f>
        <v>#REF!</v>
      </c>
      <c r="H75" s="66" t="e">
        <f>'Hors-Site'!#REF!</f>
        <v>#REF!</v>
      </c>
      <c r="I75" s="66" t="e">
        <f>Tableau1[[#This Row],[USD]]*$J$4</f>
        <v>#REF!</v>
      </c>
      <c r="J75" s="66" t="e">
        <f t="shared" si="10"/>
        <v>#REF!</v>
      </c>
      <c r="K75" s="66" t="e">
        <f t="shared" si="11"/>
        <v>#REF!</v>
      </c>
      <c r="L75" s="66" t="e">
        <f t="shared" si="14"/>
        <v>#REF!</v>
      </c>
      <c r="M75" s="66" t="e">
        <f t="shared" si="12"/>
        <v>#REF!</v>
      </c>
      <c r="N75" s="66" t="e">
        <f t="shared" si="15"/>
        <v>#REF!</v>
      </c>
      <c r="O75" s="66" t="e">
        <f t="shared" si="16"/>
        <v>#REF!</v>
      </c>
      <c r="P75" s="66" t="e">
        <f t="shared" si="13"/>
        <v>#REF!</v>
      </c>
    </row>
    <row r="76" spans="7:16" x14ac:dyDescent="0.25">
      <c r="G76" s="66" t="e">
        <f>'Hors-Site'!#REF!</f>
        <v>#REF!</v>
      </c>
      <c r="H76" s="66" t="e">
        <f>'Hors-Site'!#REF!</f>
        <v>#REF!</v>
      </c>
      <c r="I76" s="66" t="e">
        <f>Tableau1[[#This Row],[USD]]*$J$4</f>
        <v>#REF!</v>
      </c>
      <c r="J76" s="66" t="e">
        <f t="shared" si="10"/>
        <v>#REF!</v>
      </c>
      <c r="K76" s="66" t="e">
        <f t="shared" si="11"/>
        <v>#REF!</v>
      </c>
      <c r="L76" s="66" t="e">
        <f t="shared" si="14"/>
        <v>#REF!</v>
      </c>
      <c r="M76" s="66" t="e">
        <f t="shared" si="12"/>
        <v>#REF!</v>
      </c>
      <c r="N76" s="66" t="e">
        <f t="shared" si="15"/>
        <v>#REF!</v>
      </c>
      <c r="O76" s="66" t="e">
        <f t="shared" si="16"/>
        <v>#REF!</v>
      </c>
      <c r="P76" s="66" t="e">
        <f t="shared" si="13"/>
        <v>#REF!</v>
      </c>
    </row>
    <row r="77" spans="7:16" x14ac:dyDescent="0.25">
      <c r="G77" s="66" t="e">
        <f>'Hors-Site'!#REF!</f>
        <v>#REF!</v>
      </c>
      <c r="H77" s="66" t="e">
        <f>'Hors-Site'!#REF!</f>
        <v>#REF!</v>
      </c>
      <c r="I77" s="66" t="e">
        <f>Tableau1[[#This Row],[USD]]*$J$4</f>
        <v>#REF!</v>
      </c>
      <c r="J77" s="66" t="e">
        <f t="shared" si="10"/>
        <v>#REF!</v>
      </c>
      <c r="K77" s="66" t="e">
        <f t="shared" si="11"/>
        <v>#REF!</v>
      </c>
      <c r="L77" s="66" t="e">
        <f t="shared" si="14"/>
        <v>#REF!</v>
      </c>
      <c r="M77" s="66" t="e">
        <f t="shared" si="12"/>
        <v>#REF!</v>
      </c>
      <c r="N77" s="66" t="e">
        <f t="shared" si="15"/>
        <v>#REF!</v>
      </c>
      <c r="O77" s="66" t="e">
        <f t="shared" si="16"/>
        <v>#REF!</v>
      </c>
      <c r="P77" s="66" t="e">
        <f t="shared" si="13"/>
        <v>#REF!</v>
      </c>
    </row>
    <row r="78" spans="7:16" x14ac:dyDescent="0.25">
      <c r="G78" s="66" t="e">
        <f>'Hors-Site'!#REF!</f>
        <v>#REF!</v>
      </c>
      <c r="H78" s="66" t="e">
        <f>'Hors-Site'!#REF!</f>
        <v>#REF!</v>
      </c>
      <c r="I78" s="66" t="e">
        <f>Tableau1[[#This Row],[USD]]*$J$4</f>
        <v>#REF!</v>
      </c>
      <c r="J78" s="66" t="e">
        <f t="shared" si="10"/>
        <v>#REF!</v>
      </c>
      <c r="K78" s="66" t="e">
        <f t="shared" si="11"/>
        <v>#REF!</v>
      </c>
      <c r="L78" s="66" t="e">
        <f t="shared" si="14"/>
        <v>#REF!</v>
      </c>
      <c r="M78" s="66" t="e">
        <f t="shared" si="12"/>
        <v>#REF!</v>
      </c>
      <c r="N78" s="66" t="e">
        <f t="shared" si="15"/>
        <v>#REF!</v>
      </c>
      <c r="O78" s="66" t="e">
        <f t="shared" si="16"/>
        <v>#REF!</v>
      </c>
      <c r="P78" s="66" t="e">
        <f t="shared" si="13"/>
        <v>#REF!</v>
      </c>
    </row>
    <row r="79" spans="7:16" x14ac:dyDescent="0.25">
      <c r="G79" s="66" t="e">
        <f>'Hors-Site'!#REF!</f>
        <v>#REF!</v>
      </c>
      <c r="H79" s="66" t="e">
        <f>'Hors-Site'!#REF!</f>
        <v>#REF!</v>
      </c>
      <c r="I79" s="66" t="e">
        <f>Tableau1[[#This Row],[USD]]*$J$4</f>
        <v>#REF!</v>
      </c>
      <c r="J79" s="66" t="e">
        <f t="shared" si="10"/>
        <v>#REF!</v>
      </c>
      <c r="K79" s="66" t="e">
        <f t="shared" si="11"/>
        <v>#REF!</v>
      </c>
      <c r="L79" s="66" t="e">
        <f t="shared" si="14"/>
        <v>#REF!</v>
      </c>
      <c r="M79" s="66" t="e">
        <f t="shared" si="12"/>
        <v>#REF!</v>
      </c>
      <c r="N79" s="66" t="e">
        <f t="shared" si="15"/>
        <v>#REF!</v>
      </c>
      <c r="O79" s="66" t="e">
        <f t="shared" si="16"/>
        <v>#REF!</v>
      </c>
      <c r="P79" s="66" t="e">
        <f t="shared" si="13"/>
        <v>#REF!</v>
      </c>
    </row>
    <row r="80" spans="7:16" x14ac:dyDescent="0.25">
      <c r="G80" s="66" t="e">
        <f>'Hors-Site'!#REF!</f>
        <v>#REF!</v>
      </c>
      <c r="H80" s="66" t="e">
        <f>'Hors-Site'!#REF!</f>
        <v>#REF!</v>
      </c>
      <c r="I80" s="66" t="e">
        <f>Tableau1[[#This Row],[USD]]*$J$4</f>
        <v>#REF!</v>
      </c>
      <c r="J80" s="66" t="e">
        <f t="shared" si="10"/>
        <v>#REF!</v>
      </c>
      <c r="K80" s="66" t="e">
        <f t="shared" si="11"/>
        <v>#REF!</v>
      </c>
      <c r="L80" s="66" t="e">
        <f t="shared" si="14"/>
        <v>#REF!</v>
      </c>
      <c r="M80" s="66" t="e">
        <f t="shared" si="12"/>
        <v>#REF!</v>
      </c>
      <c r="N80" s="66" t="e">
        <f t="shared" si="15"/>
        <v>#REF!</v>
      </c>
      <c r="O80" s="66" t="e">
        <f t="shared" si="16"/>
        <v>#REF!</v>
      </c>
      <c r="P80" s="66" t="e">
        <f t="shared" si="13"/>
        <v>#REF!</v>
      </c>
    </row>
    <row r="81" spans="7:16" x14ac:dyDescent="0.25">
      <c r="G81" s="66" t="e">
        <f>'Hors-Site'!#REF!</f>
        <v>#REF!</v>
      </c>
      <c r="H81" s="66" t="e">
        <f>'Hors-Site'!#REF!</f>
        <v>#REF!</v>
      </c>
      <c r="I81" s="66" t="e">
        <f>Tableau1[[#This Row],[USD]]*$J$4</f>
        <v>#REF!</v>
      </c>
      <c r="J81" s="66" t="e">
        <f t="shared" si="10"/>
        <v>#REF!</v>
      </c>
      <c r="K81" s="66" t="e">
        <f t="shared" si="11"/>
        <v>#REF!</v>
      </c>
      <c r="L81" s="66" t="e">
        <f t="shared" si="14"/>
        <v>#REF!</v>
      </c>
      <c r="M81" s="66" t="e">
        <f t="shared" si="12"/>
        <v>#REF!</v>
      </c>
      <c r="N81" s="66" t="e">
        <f t="shared" si="15"/>
        <v>#REF!</v>
      </c>
      <c r="O81" s="66" t="e">
        <f t="shared" si="16"/>
        <v>#REF!</v>
      </c>
      <c r="P81" s="66" t="e">
        <f t="shared" si="13"/>
        <v>#REF!</v>
      </c>
    </row>
    <row r="82" spans="7:16" x14ac:dyDescent="0.25">
      <c r="G82" s="66" t="e">
        <f>'Hors-Site'!#REF!</f>
        <v>#REF!</v>
      </c>
      <c r="H82" s="66" t="e">
        <f>'Hors-Site'!#REF!</f>
        <v>#REF!</v>
      </c>
      <c r="I82" s="66" t="e">
        <f>Tableau1[[#This Row],[USD]]*$J$4</f>
        <v>#REF!</v>
      </c>
      <c r="J82" s="66" t="e">
        <f t="shared" si="10"/>
        <v>#REF!</v>
      </c>
      <c r="K82" s="66" t="e">
        <f t="shared" si="11"/>
        <v>#REF!</v>
      </c>
      <c r="L82" s="66" t="e">
        <f t="shared" si="14"/>
        <v>#REF!</v>
      </c>
      <c r="M82" s="66" t="e">
        <f t="shared" si="12"/>
        <v>#REF!</v>
      </c>
      <c r="N82" s="66" t="e">
        <f t="shared" si="15"/>
        <v>#REF!</v>
      </c>
      <c r="O82" s="66" t="e">
        <f t="shared" si="16"/>
        <v>#REF!</v>
      </c>
      <c r="P82" s="66" t="e">
        <f t="shared" si="13"/>
        <v>#REF!</v>
      </c>
    </row>
    <row r="83" spans="7:16" x14ac:dyDescent="0.25">
      <c r="G83" s="66" t="e">
        <f>'Hors-Site'!#REF!</f>
        <v>#REF!</v>
      </c>
      <c r="H83" s="66" t="e">
        <f>'Hors-Site'!#REF!</f>
        <v>#REF!</v>
      </c>
      <c r="I83" s="66" t="e">
        <f>Tableau1[[#This Row],[USD]]*$J$4</f>
        <v>#REF!</v>
      </c>
      <c r="J83" s="66" t="e">
        <f t="shared" si="10"/>
        <v>#REF!</v>
      </c>
      <c r="K83" s="66" t="e">
        <f t="shared" si="11"/>
        <v>#REF!</v>
      </c>
      <c r="L83" s="66" t="e">
        <f t="shared" si="14"/>
        <v>#REF!</v>
      </c>
      <c r="M83" s="66" t="e">
        <f t="shared" si="12"/>
        <v>#REF!</v>
      </c>
      <c r="N83" s="66" t="e">
        <f t="shared" si="15"/>
        <v>#REF!</v>
      </c>
      <c r="O83" s="66" t="e">
        <f t="shared" si="16"/>
        <v>#REF!</v>
      </c>
      <c r="P83" s="66" t="e">
        <f t="shared" si="13"/>
        <v>#REF!</v>
      </c>
    </row>
    <row r="84" spans="7:16" x14ac:dyDescent="0.25">
      <c r="G84" s="66" t="e">
        <f>'Hors-Site'!#REF!</f>
        <v>#REF!</v>
      </c>
      <c r="H84" s="66" t="e">
        <f>'Hors-Site'!#REF!</f>
        <v>#REF!</v>
      </c>
      <c r="I84" s="66" t="e">
        <f>Tableau1[[#This Row],[USD]]*$J$4</f>
        <v>#REF!</v>
      </c>
      <c r="J84" s="66" t="e">
        <f t="shared" si="10"/>
        <v>#REF!</v>
      </c>
      <c r="K84" s="66" t="e">
        <f t="shared" si="11"/>
        <v>#REF!</v>
      </c>
      <c r="L84" s="66" t="e">
        <f t="shared" si="14"/>
        <v>#REF!</v>
      </c>
      <c r="M84" s="66" t="e">
        <f t="shared" si="12"/>
        <v>#REF!</v>
      </c>
      <c r="N84" s="66" t="e">
        <f t="shared" si="15"/>
        <v>#REF!</v>
      </c>
      <c r="O84" s="66" t="e">
        <f t="shared" si="16"/>
        <v>#REF!</v>
      </c>
      <c r="P84" s="66" t="e">
        <f t="shared" si="13"/>
        <v>#REF!</v>
      </c>
    </row>
    <row r="85" spans="7:16" x14ac:dyDescent="0.25">
      <c r="G85" s="66" t="e">
        <f>'Hors-Site'!#REF!</f>
        <v>#REF!</v>
      </c>
      <c r="H85" s="66" t="e">
        <f>'Hors-Site'!#REF!</f>
        <v>#REF!</v>
      </c>
      <c r="I85" s="66" t="e">
        <f>Tableau1[[#This Row],[USD]]*$J$4</f>
        <v>#REF!</v>
      </c>
      <c r="J85" s="66" t="e">
        <f t="shared" si="10"/>
        <v>#REF!</v>
      </c>
      <c r="K85" s="66" t="e">
        <f t="shared" si="11"/>
        <v>#REF!</v>
      </c>
      <c r="L85" s="66" t="e">
        <f t="shared" si="14"/>
        <v>#REF!</v>
      </c>
      <c r="M85" s="66" t="e">
        <f t="shared" si="12"/>
        <v>#REF!</v>
      </c>
      <c r="N85" s="66" t="e">
        <f t="shared" si="15"/>
        <v>#REF!</v>
      </c>
      <c r="O85" s="66" t="e">
        <f t="shared" si="16"/>
        <v>#REF!</v>
      </c>
      <c r="P85" s="66" t="e">
        <f t="shared" si="13"/>
        <v>#REF!</v>
      </c>
    </row>
    <row r="86" spans="7:16" x14ac:dyDescent="0.25">
      <c r="G86" s="66" t="e">
        <f>'Hors-Site'!#REF!</f>
        <v>#REF!</v>
      </c>
      <c r="H86" s="66" t="e">
        <f>'Hors-Site'!#REF!</f>
        <v>#REF!</v>
      </c>
      <c r="I86" s="66" t="e">
        <f>Tableau1[[#This Row],[USD]]*$J$4</f>
        <v>#REF!</v>
      </c>
      <c r="J86" s="66" t="e">
        <f t="shared" si="10"/>
        <v>#REF!</v>
      </c>
      <c r="K86" s="66" t="e">
        <f t="shared" si="11"/>
        <v>#REF!</v>
      </c>
      <c r="L86" s="66" t="e">
        <f t="shared" si="14"/>
        <v>#REF!</v>
      </c>
      <c r="M86" s="66" t="e">
        <f t="shared" si="12"/>
        <v>#REF!</v>
      </c>
      <c r="N86" s="66" t="e">
        <f t="shared" si="15"/>
        <v>#REF!</v>
      </c>
      <c r="O86" s="66" t="e">
        <f t="shared" si="16"/>
        <v>#REF!</v>
      </c>
      <c r="P86" s="66" t="e">
        <f t="shared" si="13"/>
        <v>#REF!</v>
      </c>
    </row>
    <row r="87" spans="7:16" x14ac:dyDescent="0.25">
      <c r="G87" s="66" t="e">
        <f>'Hors-Site'!#REF!</f>
        <v>#REF!</v>
      </c>
      <c r="H87" s="66" t="e">
        <f>'Hors-Site'!#REF!</f>
        <v>#REF!</v>
      </c>
      <c r="I87" s="66" t="e">
        <f>Tableau1[[#This Row],[USD]]*$J$4</f>
        <v>#REF!</v>
      </c>
      <c r="J87" s="66" t="e">
        <f t="shared" si="10"/>
        <v>#REF!</v>
      </c>
      <c r="K87" s="66" t="e">
        <f t="shared" si="11"/>
        <v>#REF!</v>
      </c>
      <c r="L87" s="66" t="e">
        <f t="shared" si="14"/>
        <v>#REF!</v>
      </c>
      <c r="M87" s="66" t="e">
        <f t="shared" si="12"/>
        <v>#REF!</v>
      </c>
      <c r="N87" s="66" t="e">
        <f t="shared" si="15"/>
        <v>#REF!</v>
      </c>
      <c r="O87" s="66" t="e">
        <f t="shared" si="16"/>
        <v>#REF!</v>
      </c>
      <c r="P87" s="66" t="e">
        <f t="shared" si="13"/>
        <v>#REF!</v>
      </c>
    </row>
    <row r="88" spans="7:16" x14ac:dyDescent="0.25">
      <c r="G88" s="66" t="e">
        <f>'Hors-Site'!#REF!</f>
        <v>#REF!</v>
      </c>
      <c r="H88" s="66" t="e">
        <f>'Hors-Site'!#REF!</f>
        <v>#REF!</v>
      </c>
      <c r="I88" s="66" t="e">
        <f>Tableau1[[#This Row],[USD]]*$J$4</f>
        <v>#REF!</v>
      </c>
      <c r="J88" s="66" t="e">
        <f t="shared" si="10"/>
        <v>#REF!</v>
      </c>
      <c r="K88" s="66" t="e">
        <f t="shared" si="11"/>
        <v>#REF!</v>
      </c>
      <c r="L88" s="66" t="e">
        <f t="shared" si="14"/>
        <v>#REF!</v>
      </c>
      <c r="M88" s="66" t="e">
        <f t="shared" si="12"/>
        <v>#REF!</v>
      </c>
      <c r="N88" s="66" t="e">
        <f t="shared" si="15"/>
        <v>#REF!</v>
      </c>
      <c r="O88" s="66" t="e">
        <f t="shared" si="16"/>
        <v>#REF!</v>
      </c>
      <c r="P88" s="66" t="e">
        <f t="shared" si="13"/>
        <v>#REF!</v>
      </c>
    </row>
    <row r="89" spans="7:16" x14ac:dyDescent="0.25">
      <c r="G89" s="66" t="e">
        <f>'Hors-Site'!#REF!</f>
        <v>#REF!</v>
      </c>
      <c r="H89" s="66" t="e">
        <f>'Hors-Site'!#REF!</f>
        <v>#REF!</v>
      </c>
      <c r="I89" s="66" t="e">
        <f>Tableau1[[#This Row],[USD]]*$J$4</f>
        <v>#REF!</v>
      </c>
      <c r="J89" s="66" t="e">
        <f t="shared" si="10"/>
        <v>#REF!</v>
      </c>
      <c r="K89" s="66" t="e">
        <f t="shared" si="11"/>
        <v>#REF!</v>
      </c>
      <c r="L89" s="66" t="e">
        <f t="shared" si="14"/>
        <v>#REF!</v>
      </c>
      <c r="M89" s="66" t="e">
        <f t="shared" si="12"/>
        <v>#REF!</v>
      </c>
      <c r="N89" s="66" t="e">
        <f t="shared" si="15"/>
        <v>#REF!</v>
      </c>
      <c r="O89" s="66" t="e">
        <f t="shared" si="16"/>
        <v>#REF!</v>
      </c>
      <c r="P89" s="66" t="e">
        <f t="shared" si="13"/>
        <v>#REF!</v>
      </c>
    </row>
    <row r="90" spans="7:16" x14ac:dyDescent="0.25">
      <c r="G90" s="66" t="e">
        <f>'Hors-Site'!#REF!</f>
        <v>#REF!</v>
      </c>
      <c r="H90" s="66" t="e">
        <f>'Hors-Site'!#REF!</f>
        <v>#REF!</v>
      </c>
      <c r="I90" s="66" t="e">
        <f>Tableau1[[#This Row],[USD]]*$J$4</f>
        <v>#REF!</v>
      </c>
      <c r="J90" s="66" t="e">
        <f t="shared" si="10"/>
        <v>#REF!</v>
      </c>
      <c r="K90" s="66" t="e">
        <f t="shared" si="11"/>
        <v>#REF!</v>
      </c>
      <c r="L90" s="66" t="e">
        <f t="shared" si="14"/>
        <v>#REF!</v>
      </c>
      <c r="M90" s="66" t="e">
        <f t="shared" si="12"/>
        <v>#REF!</v>
      </c>
      <c r="N90" s="66" t="e">
        <f t="shared" si="15"/>
        <v>#REF!</v>
      </c>
      <c r="O90" s="66" t="e">
        <f t="shared" si="16"/>
        <v>#REF!</v>
      </c>
      <c r="P90" s="66" t="e">
        <f t="shared" si="13"/>
        <v>#REF!</v>
      </c>
    </row>
    <row r="91" spans="7:16" x14ac:dyDescent="0.25">
      <c r="G91" s="66" t="e">
        <f>'Hors-Site'!#REF!</f>
        <v>#REF!</v>
      </c>
      <c r="H91" s="66" t="e">
        <f>'Hors-Site'!#REF!</f>
        <v>#REF!</v>
      </c>
      <c r="I91" s="66" t="e">
        <f>Tableau1[[#This Row],[USD]]*$J$4</f>
        <v>#REF!</v>
      </c>
      <c r="J91" s="66" t="e">
        <f t="shared" si="10"/>
        <v>#REF!</v>
      </c>
      <c r="K91" s="66" t="e">
        <f t="shared" si="11"/>
        <v>#REF!</v>
      </c>
      <c r="L91" s="66" t="e">
        <f t="shared" si="14"/>
        <v>#REF!</v>
      </c>
      <c r="M91" s="66" t="e">
        <f t="shared" si="12"/>
        <v>#REF!</v>
      </c>
      <c r="N91" s="66" t="e">
        <f t="shared" si="15"/>
        <v>#REF!</v>
      </c>
      <c r="O91" s="66" t="e">
        <f t="shared" si="16"/>
        <v>#REF!</v>
      </c>
      <c r="P91" s="66" t="e">
        <f t="shared" si="13"/>
        <v>#REF!</v>
      </c>
    </row>
    <row r="92" spans="7:16" x14ac:dyDescent="0.25">
      <c r="G92" s="66" t="e">
        <f>'Hors-Site'!#REF!</f>
        <v>#REF!</v>
      </c>
      <c r="H92" s="66" t="e">
        <f>'Hors-Site'!#REF!</f>
        <v>#REF!</v>
      </c>
      <c r="I92" s="66" t="e">
        <f>Tableau1[[#This Row],[USD]]*$J$4</f>
        <v>#REF!</v>
      </c>
      <c r="J92" s="66" t="e">
        <f t="shared" si="10"/>
        <v>#REF!</v>
      </c>
      <c r="K92" s="66" t="e">
        <f t="shared" si="11"/>
        <v>#REF!</v>
      </c>
      <c r="L92" s="66" t="e">
        <f t="shared" si="14"/>
        <v>#REF!</v>
      </c>
      <c r="M92" s="66" t="e">
        <f t="shared" si="12"/>
        <v>#REF!</v>
      </c>
      <c r="N92" s="66" t="e">
        <f t="shared" si="15"/>
        <v>#REF!</v>
      </c>
      <c r="O92" s="66" t="e">
        <f t="shared" si="16"/>
        <v>#REF!</v>
      </c>
      <c r="P92" s="66" t="e">
        <f t="shared" si="13"/>
        <v>#REF!</v>
      </c>
    </row>
    <row r="93" spans="7:16" x14ac:dyDescent="0.25">
      <c r="G93" s="66" t="e">
        <f>'Hors-Site'!#REF!</f>
        <v>#REF!</v>
      </c>
      <c r="H93" s="66" t="e">
        <f>'Hors-Site'!#REF!</f>
        <v>#REF!</v>
      </c>
      <c r="I93" s="66" t="e">
        <f>Tableau1[[#This Row],[USD]]*$J$4</f>
        <v>#REF!</v>
      </c>
      <c r="J93" s="66" t="e">
        <f t="shared" si="10"/>
        <v>#REF!</v>
      </c>
      <c r="K93" s="66" t="e">
        <f t="shared" si="11"/>
        <v>#REF!</v>
      </c>
      <c r="L93" s="66" t="e">
        <f t="shared" si="14"/>
        <v>#REF!</v>
      </c>
      <c r="M93" s="66" t="e">
        <f t="shared" si="12"/>
        <v>#REF!</v>
      </c>
      <c r="N93" s="66" t="e">
        <f t="shared" si="15"/>
        <v>#REF!</v>
      </c>
      <c r="O93" s="66" t="e">
        <f t="shared" si="16"/>
        <v>#REF!</v>
      </c>
      <c r="P93" s="66" t="e">
        <f t="shared" si="13"/>
        <v>#REF!</v>
      </c>
    </row>
    <row r="94" spans="7:16" x14ac:dyDescent="0.25">
      <c r="G94" s="66" t="e">
        <f>'Hors-Site'!#REF!</f>
        <v>#REF!</v>
      </c>
      <c r="H94" s="66" t="e">
        <f>'Hors-Site'!#REF!</f>
        <v>#REF!</v>
      </c>
      <c r="I94" s="66" t="e">
        <f>Tableau1[[#This Row],[USD]]*$J$4</f>
        <v>#REF!</v>
      </c>
      <c r="J94" s="66" t="e">
        <f t="shared" si="10"/>
        <v>#REF!</v>
      </c>
      <c r="K94" s="66" t="e">
        <f t="shared" si="11"/>
        <v>#REF!</v>
      </c>
      <c r="L94" s="66" t="e">
        <f t="shared" si="14"/>
        <v>#REF!</v>
      </c>
      <c r="M94" s="66" t="e">
        <f t="shared" si="12"/>
        <v>#REF!</v>
      </c>
      <c r="N94" s="66" t="e">
        <f t="shared" si="15"/>
        <v>#REF!</v>
      </c>
      <c r="O94" s="66" t="e">
        <f t="shared" si="16"/>
        <v>#REF!</v>
      </c>
      <c r="P94" s="66" t="e">
        <f t="shared" si="13"/>
        <v>#REF!</v>
      </c>
    </row>
    <row r="95" spans="7:16" x14ac:dyDescent="0.25">
      <c r="G95" s="66" t="e">
        <f>'Hors-Site'!#REF!</f>
        <v>#REF!</v>
      </c>
      <c r="H95" s="66" t="e">
        <f>'Hors-Site'!#REF!</f>
        <v>#REF!</v>
      </c>
      <c r="I95" s="66" t="e">
        <f>Tableau1[[#This Row],[USD]]*$J$4</f>
        <v>#REF!</v>
      </c>
      <c r="J95" s="66" t="e">
        <f t="shared" si="10"/>
        <v>#REF!</v>
      </c>
      <c r="K95" s="66" t="e">
        <f t="shared" si="11"/>
        <v>#REF!</v>
      </c>
      <c r="L95" s="66" t="e">
        <f t="shared" si="14"/>
        <v>#REF!</v>
      </c>
      <c r="M95" s="66" t="e">
        <f t="shared" si="12"/>
        <v>#REF!</v>
      </c>
      <c r="N95" s="66" t="e">
        <f t="shared" si="15"/>
        <v>#REF!</v>
      </c>
      <c r="O95" s="66" t="e">
        <f t="shared" si="16"/>
        <v>#REF!</v>
      </c>
      <c r="P95" s="66" t="e">
        <f t="shared" si="13"/>
        <v>#REF!</v>
      </c>
    </row>
    <row r="96" spans="7:16" x14ac:dyDescent="0.25">
      <c r="G96" s="66" t="e">
        <f>'Hors-Site'!#REF!</f>
        <v>#REF!</v>
      </c>
      <c r="H96" s="66" t="e">
        <f>'Hors-Site'!#REF!</f>
        <v>#REF!</v>
      </c>
      <c r="I96" s="66" t="e">
        <f>Tableau1[[#This Row],[USD]]*$J$4</f>
        <v>#REF!</v>
      </c>
      <c r="J96" s="66" t="e">
        <f t="shared" si="10"/>
        <v>#REF!</v>
      </c>
      <c r="K96" s="66" t="e">
        <f t="shared" si="11"/>
        <v>#REF!</v>
      </c>
      <c r="L96" s="66" t="e">
        <f t="shared" si="14"/>
        <v>#REF!</v>
      </c>
      <c r="M96" s="66" t="e">
        <f t="shared" si="12"/>
        <v>#REF!</v>
      </c>
      <c r="N96" s="66" t="e">
        <f t="shared" si="15"/>
        <v>#REF!</v>
      </c>
      <c r="O96" s="66" t="e">
        <f t="shared" si="16"/>
        <v>#REF!</v>
      </c>
      <c r="P96" s="66" t="e">
        <f t="shared" si="13"/>
        <v>#REF!</v>
      </c>
    </row>
    <row r="97" spans="7:16" x14ac:dyDescent="0.25">
      <c r="G97" s="66" t="e">
        <f>'Hors-Site'!#REF!</f>
        <v>#REF!</v>
      </c>
      <c r="H97" s="66" t="e">
        <f>'Hors-Site'!#REF!</f>
        <v>#REF!</v>
      </c>
      <c r="I97" s="66" t="e">
        <f>Tableau1[[#This Row],[USD]]*$J$4</f>
        <v>#REF!</v>
      </c>
      <c r="J97" s="66" t="e">
        <f t="shared" si="10"/>
        <v>#REF!</v>
      </c>
      <c r="K97" s="66" t="e">
        <f t="shared" si="11"/>
        <v>#REF!</v>
      </c>
      <c r="L97" s="66" t="e">
        <f t="shared" si="14"/>
        <v>#REF!</v>
      </c>
      <c r="M97" s="66" t="e">
        <f t="shared" si="12"/>
        <v>#REF!</v>
      </c>
      <c r="N97" s="66" t="e">
        <f t="shared" si="15"/>
        <v>#REF!</v>
      </c>
      <c r="O97" s="66" t="e">
        <f t="shared" si="16"/>
        <v>#REF!</v>
      </c>
      <c r="P97" s="66" t="e">
        <f t="shared" si="13"/>
        <v>#REF!</v>
      </c>
    </row>
    <row r="98" spans="7:16" x14ac:dyDescent="0.25">
      <c r="G98" s="66" t="e">
        <f>'Hors-Site'!#REF!</f>
        <v>#REF!</v>
      </c>
      <c r="H98" s="66" t="e">
        <f>'Hors-Site'!#REF!</f>
        <v>#REF!</v>
      </c>
      <c r="I98" s="66" t="e">
        <f>Tableau1[[#This Row],[USD]]*$J$4</f>
        <v>#REF!</v>
      </c>
      <c r="J98" s="66" t="e">
        <f t="shared" si="10"/>
        <v>#REF!</v>
      </c>
      <c r="K98" s="66" t="e">
        <f t="shared" si="11"/>
        <v>#REF!</v>
      </c>
      <c r="L98" s="66" t="e">
        <f t="shared" si="14"/>
        <v>#REF!</v>
      </c>
      <c r="M98" s="66" t="e">
        <f t="shared" si="12"/>
        <v>#REF!</v>
      </c>
      <c r="N98" s="66" t="e">
        <f t="shared" si="15"/>
        <v>#REF!</v>
      </c>
      <c r="O98" s="66" t="e">
        <f t="shared" si="16"/>
        <v>#REF!</v>
      </c>
      <c r="P98" s="66" t="e">
        <f t="shared" si="13"/>
        <v>#REF!</v>
      </c>
    </row>
    <row r="99" spans="7:16" x14ac:dyDescent="0.25">
      <c r="G99" s="66" t="e">
        <f>'Hors-Site'!#REF!</f>
        <v>#REF!</v>
      </c>
      <c r="H99" s="66" t="e">
        <f>'Hors-Site'!#REF!</f>
        <v>#REF!</v>
      </c>
      <c r="I99" s="66" t="e">
        <f>Tableau1[[#This Row],[USD]]*$J$4</f>
        <v>#REF!</v>
      </c>
      <c r="J99" s="66" t="e">
        <f t="shared" si="10"/>
        <v>#REF!</v>
      </c>
      <c r="K99" s="66" t="e">
        <f t="shared" si="11"/>
        <v>#REF!</v>
      </c>
      <c r="L99" s="66" t="e">
        <f t="shared" si="14"/>
        <v>#REF!</v>
      </c>
      <c r="M99" s="66" t="e">
        <f t="shared" si="12"/>
        <v>#REF!</v>
      </c>
      <c r="N99" s="66" t="e">
        <f t="shared" si="15"/>
        <v>#REF!</v>
      </c>
      <c r="O99" s="66" t="e">
        <f t="shared" si="16"/>
        <v>#REF!</v>
      </c>
      <c r="P99" s="66" t="e">
        <f t="shared" si="13"/>
        <v>#REF!</v>
      </c>
    </row>
    <row r="100" spans="7:16" x14ac:dyDescent="0.25">
      <c r="G100" s="66" t="e">
        <f>'Hors-Site'!#REF!</f>
        <v>#REF!</v>
      </c>
      <c r="H100" s="66" t="e">
        <f>'Hors-Site'!#REF!</f>
        <v>#REF!</v>
      </c>
      <c r="I100" s="66" t="e">
        <f>Tableau1[[#This Row],[USD]]*$J$4</f>
        <v>#REF!</v>
      </c>
      <c r="J100" s="66" t="e">
        <f t="shared" si="10"/>
        <v>#REF!</v>
      </c>
      <c r="K100" s="66" t="e">
        <f t="shared" si="11"/>
        <v>#REF!</v>
      </c>
      <c r="L100" s="66" t="e">
        <f t="shared" si="14"/>
        <v>#REF!</v>
      </c>
      <c r="M100" s="66" t="e">
        <f t="shared" si="12"/>
        <v>#REF!</v>
      </c>
      <c r="N100" s="66" t="e">
        <f t="shared" si="15"/>
        <v>#REF!</v>
      </c>
      <c r="O100" s="66" t="e">
        <f t="shared" si="16"/>
        <v>#REF!</v>
      </c>
      <c r="P100" s="66" t="e">
        <f t="shared" si="13"/>
        <v>#REF!</v>
      </c>
    </row>
    <row r="101" spans="7:16" x14ac:dyDescent="0.25">
      <c r="G101" s="66" t="e">
        <f>'Hors-Site'!#REF!</f>
        <v>#REF!</v>
      </c>
      <c r="H101" s="66" t="e">
        <f>'Hors-Site'!#REF!</f>
        <v>#REF!</v>
      </c>
      <c r="I101" s="66" t="e">
        <f>Tableau1[[#This Row],[USD]]*$J$4</f>
        <v>#REF!</v>
      </c>
      <c r="J101" s="66" t="e">
        <f t="shared" si="10"/>
        <v>#REF!</v>
      </c>
      <c r="K101" s="66" t="e">
        <f t="shared" si="11"/>
        <v>#REF!</v>
      </c>
      <c r="L101" s="66" t="e">
        <f t="shared" si="14"/>
        <v>#REF!</v>
      </c>
      <c r="M101" s="66" t="e">
        <f t="shared" si="12"/>
        <v>#REF!</v>
      </c>
      <c r="N101" s="66" t="e">
        <f t="shared" si="15"/>
        <v>#REF!</v>
      </c>
      <c r="O101" s="66" t="e">
        <f t="shared" si="16"/>
        <v>#REF!</v>
      </c>
      <c r="P101" s="66" t="e">
        <f t="shared" si="13"/>
        <v>#REF!</v>
      </c>
    </row>
    <row r="102" spans="7:16" x14ac:dyDescent="0.25">
      <c r="G102" s="66" t="e">
        <f>'Hors-Site'!#REF!</f>
        <v>#REF!</v>
      </c>
      <c r="H102" s="66" t="e">
        <f>'Hors-Site'!#REF!</f>
        <v>#REF!</v>
      </c>
      <c r="I102" s="66" t="e">
        <f>Tableau1[[#This Row],[USD]]*$J$4</f>
        <v>#REF!</v>
      </c>
      <c r="J102" s="66" t="e">
        <f t="shared" si="10"/>
        <v>#REF!</v>
      </c>
      <c r="K102" s="66" t="e">
        <f t="shared" si="11"/>
        <v>#REF!</v>
      </c>
      <c r="L102" s="66" t="e">
        <f t="shared" si="14"/>
        <v>#REF!</v>
      </c>
      <c r="M102" s="66" t="e">
        <f t="shared" si="12"/>
        <v>#REF!</v>
      </c>
      <c r="N102" s="66" t="e">
        <f t="shared" si="15"/>
        <v>#REF!</v>
      </c>
      <c r="O102" s="66" t="e">
        <f t="shared" si="16"/>
        <v>#REF!</v>
      </c>
      <c r="P102" s="66" t="e">
        <f t="shared" si="13"/>
        <v>#REF!</v>
      </c>
    </row>
    <row r="103" spans="7:16" x14ac:dyDescent="0.25">
      <c r="G103" s="66" t="e">
        <f>'Hors-Site'!#REF!</f>
        <v>#REF!</v>
      </c>
      <c r="H103" s="66" t="e">
        <f>'Hors-Site'!#REF!</f>
        <v>#REF!</v>
      </c>
      <c r="I103" s="66" t="e">
        <f>Tableau1[[#This Row],[USD]]*$J$4</f>
        <v>#REF!</v>
      </c>
      <c r="J103" s="66" t="e">
        <f t="shared" si="10"/>
        <v>#REF!</v>
      </c>
      <c r="K103" s="66" t="e">
        <f t="shared" si="11"/>
        <v>#REF!</v>
      </c>
      <c r="L103" s="66" t="e">
        <f t="shared" si="14"/>
        <v>#REF!</v>
      </c>
      <c r="M103" s="66" t="e">
        <f t="shared" si="12"/>
        <v>#REF!</v>
      </c>
      <c r="N103" s="66" t="e">
        <f t="shared" si="15"/>
        <v>#REF!</v>
      </c>
      <c r="O103" s="66" t="e">
        <f t="shared" si="16"/>
        <v>#REF!</v>
      </c>
      <c r="P103" s="66" t="e">
        <f t="shared" si="13"/>
        <v>#REF!</v>
      </c>
    </row>
    <row r="104" spans="7:16" x14ac:dyDescent="0.25">
      <c r="G104" s="66" t="e">
        <f>'Hors-Site'!#REF!</f>
        <v>#REF!</v>
      </c>
      <c r="H104" s="66" t="e">
        <f>'Hors-Site'!#REF!</f>
        <v>#REF!</v>
      </c>
      <c r="I104" s="66" t="e">
        <f>Tableau1[[#This Row],[USD]]*$J$4</f>
        <v>#REF!</v>
      </c>
      <c r="J104" s="66" t="e">
        <f t="shared" si="10"/>
        <v>#REF!</v>
      </c>
      <c r="K104" s="66" t="e">
        <f t="shared" si="11"/>
        <v>#REF!</v>
      </c>
      <c r="L104" s="66" t="e">
        <f t="shared" si="14"/>
        <v>#REF!</v>
      </c>
      <c r="M104" s="66" t="e">
        <f t="shared" si="12"/>
        <v>#REF!</v>
      </c>
      <c r="N104" s="66" t="e">
        <f t="shared" si="15"/>
        <v>#REF!</v>
      </c>
      <c r="O104" s="66" t="e">
        <f t="shared" si="16"/>
        <v>#REF!</v>
      </c>
      <c r="P104" s="66" t="e">
        <f t="shared" si="13"/>
        <v>#REF!</v>
      </c>
    </row>
    <row r="105" spans="7:16" x14ac:dyDescent="0.25">
      <c r="G105" s="66" t="e">
        <f>'Hors-Site'!#REF!</f>
        <v>#REF!</v>
      </c>
      <c r="H105" s="66" t="e">
        <f>'Hors-Site'!#REF!</f>
        <v>#REF!</v>
      </c>
      <c r="I105" s="66" t="e">
        <f>Tableau1[[#This Row],[USD]]*$J$4</f>
        <v>#REF!</v>
      </c>
      <c r="J105" s="66" t="e">
        <f t="shared" si="10"/>
        <v>#REF!</v>
      </c>
      <c r="K105" s="66" t="e">
        <f t="shared" si="11"/>
        <v>#REF!</v>
      </c>
      <c r="L105" s="66" t="e">
        <f t="shared" si="14"/>
        <v>#REF!</v>
      </c>
      <c r="M105" s="66" t="e">
        <f t="shared" si="12"/>
        <v>#REF!</v>
      </c>
      <c r="N105" s="66" t="e">
        <f t="shared" si="15"/>
        <v>#REF!</v>
      </c>
      <c r="O105" s="66" t="e">
        <f t="shared" si="16"/>
        <v>#REF!</v>
      </c>
      <c r="P105" s="66" t="e">
        <f t="shared" si="13"/>
        <v>#REF!</v>
      </c>
    </row>
    <row r="106" spans="7:16" x14ac:dyDescent="0.25">
      <c r="G106" s="66" t="e">
        <f>'Hors-Site'!#REF!</f>
        <v>#REF!</v>
      </c>
      <c r="H106" s="66" t="e">
        <f>'Hors-Site'!#REF!</f>
        <v>#REF!</v>
      </c>
      <c r="I106" s="66" t="e">
        <f>Tableau1[[#This Row],[USD]]*$J$4</f>
        <v>#REF!</v>
      </c>
      <c r="J106" s="66" t="e">
        <f t="shared" si="10"/>
        <v>#REF!</v>
      </c>
      <c r="K106" s="66" t="e">
        <f t="shared" si="11"/>
        <v>#REF!</v>
      </c>
      <c r="L106" s="66" t="e">
        <f t="shared" si="14"/>
        <v>#REF!</v>
      </c>
      <c r="M106" s="66" t="e">
        <f t="shared" si="12"/>
        <v>#REF!</v>
      </c>
      <c r="N106" s="66" t="e">
        <f t="shared" si="15"/>
        <v>#REF!</v>
      </c>
      <c r="O106" s="66" t="e">
        <f t="shared" si="16"/>
        <v>#REF!</v>
      </c>
      <c r="P106" s="66" t="e">
        <f t="shared" si="13"/>
        <v>#REF!</v>
      </c>
    </row>
    <row r="107" spans="7:16" x14ac:dyDescent="0.25">
      <c r="G107" s="66" t="e">
        <f>'Hors-Site'!#REF!</f>
        <v>#REF!</v>
      </c>
      <c r="H107" s="66" t="e">
        <f>'Hors-Site'!#REF!</f>
        <v>#REF!</v>
      </c>
      <c r="I107" s="66" t="e">
        <f>Tableau1[[#This Row],[USD]]*$J$4</f>
        <v>#REF!</v>
      </c>
      <c r="J107" s="66" t="e">
        <f t="shared" si="10"/>
        <v>#REF!</v>
      </c>
      <c r="K107" s="66" t="e">
        <f t="shared" si="11"/>
        <v>#REF!</v>
      </c>
      <c r="L107" s="66" t="e">
        <f t="shared" si="14"/>
        <v>#REF!</v>
      </c>
      <c r="M107" s="66" t="e">
        <f t="shared" si="12"/>
        <v>#REF!</v>
      </c>
      <c r="N107" s="66" t="e">
        <f t="shared" si="15"/>
        <v>#REF!</v>
      </c>
      <c r="O107" s="66" t="e">
        <f t="shared" si="16"/>
        <v>#REF!</v>
      </c>
      <c r="P107" s="66" t="e">
        <f t="shared" si="13"/>
        <v>#REF!</v>
      </c>
    </row>
    <row r="108" spans="7:16" x14ac:dyDescent="0.25">
      <c r="G108" s="66" t="e">
        <f>'Hors-Site'!#REF!</f>
        <v>#REF!</v>
      </c>
      <c r="H108" s="66" t="e">
        <f>'Hors-Site'!#REF!</f>
        <v>#REF!</v>
      </c>
      <c r="I108" s="66" t="e">
        <f>Tableau1[[#This Row],[USD]]*$J$4</f>
        <v>#REF!</v>
      </c>
      <c r="J108" s="66" t="e">
        <f t="shared" si="10"/>
        <v>#REF!</v>
      </c>
      <c r="K108" s="66" t="e">
        <f t="shared" si="11"/>
        <v>#REF!</v>
      </c>
      <c r="L108" s="66" t="e">
        <f t="shared" si="14"/>
        <v>#REF!</v>
      </c>
      <c r="M108" s="66" t="e">
        <f t="shared" si="12"/>
        <v>#REF!</v>
      </c>
      <c r="N108" s="66" t="e">
        <f t="shared" si="15"/>
        <v>#REF!</v>
      </c>
      <c r="O108" s="66" t="e">
        <f t="shared" si="16"/>
        <v>#REF!</v>
      </c>
      <c r="P108" s="66" t="e">
        <f t="shared" si="13"/>
        <v>#REF!</v>
      </c>
    </row>
    <row r="109" spans="7:16" x14ac:dyDescent="0.25">
      <c r="G109" s="66" t="e">
        <f>'Hors-Site'!#REF!</f>
        <v>#REF!</v>
      </c>
      <c r="H109" s="66" t="e">
        <f>'Hors-Site'!#REF!</f>
        <v>#REF!</v>
      </c>
      <c r="I109" s="66" t="e">
        <f>Tableau1[[#This Row],[USD]]*$J$4</f>
        <v>#REF!</v>
      </c>
      <c r="J109" s="66" t="e">
        <f t="shared" si="10"/>
        <v>#REF!</v>
      </c>
      <c r="K109" s="66" t="e">
        <f t="shared" si="11"/>
        <v>#REF!</v>
      </c>
      <c r="L109" s="66" t="e">
        <f t="shared" si="14"/>
        <v>#REF!</v>
      </c>
      <c r="M109" s="66" t="e">
        <f t="shared" si="12"/>
        <v>#REF!</v>
      </c>
      <c r="N109" s="66" t="e">
        <f t="shared" si="15"/>
        <v>#REF!</v>
      </c>
      <c r="O109" s="66" t="e">
        <f t="shared" si="16"/>
        <v>#REF!</v>
      </c>
      <c r="P109" s="66" t="e">
        <f t="shared" si="13"/>
        <v>#REF!</v>
      </c>
    </row>
    <row r="110" spans="7:16" x14ac:dyDescent="0.25">
      <c r="G110" s="66" t="e">
        <f>'Hors-Site'!#REF!</f>
        <v>#REF!</v>
      </c>
      <c r="H110" s="66" t="e">
        <f>'Hors-Site'!#REF!</f>
        <v>#REF!</v>
      </c>
      <c r="I110" s="66" t="e">
        <f>Tableau1[[#This Row],[USD]]*$J$4</f>
        <v>#REF!</v>
      </c>
      <c r="J110" s="66" t="e">
        <f t="shared" si="10"/>
        <v>#REF!</v>
      </c>
      <c r="K110" s="66" t="e">
        <f t="shared" si="11"/>
        <v>#REF!</v>
      </c>
      <c r="L110" s="66" t="e">
        <f t="shared" si="14"/>
        <v>#REF!</v>
      </c>
      <c r="M110" s="66" t="e">
        <f t="shared" si="12"/>
        <v>#REF!</v>
      </c>
      <c r="N110" s="66" t="e">
        <f t="shared" si="15"/>
        <v>#REF!</v>
      </c>
      <c r="O110" s="66" t="e">
        <f t="shared" si="16"/>
        <v>#REF!</v>
      </c>
      <c r="P110" s="66" t="e">
        <f t="shared" si="13"/>
        <v>#REF!</v>
      </c>
    </row>
    <row r="111" spans="7:16" x14ac:dyDescent="0.25">
      <c r="G111" s="66" t="e">
        <f>'Hors-Site'!#REF!</f>
        <v>#REF!</v>
      </c>
      <c r="H111" s="66" t="e">
        <f>'Hors-Site'!#REF!</f>
        <v>#REF!</v>
      </c>
      <c r="I111" s="66" t="e">
        <f>Tableau1[[#This Row],[USD]]*$J$4</f>
        <v>#REF!</v>
      </c>
      <c r="J111" s="66" t="e">
        <f t="shared" si="10"/>
        <v>#REF!</v>
      </c>
      <c r="K111" s="66" t="e">
        <f t="shared" si="11"/>
        <v>#REF!</v>
      </c>
      <c r="L111" s="66" t="e">
        <f t="shared" si="14"/>
        <v>#REF!</v>
      </c>
      <c r="M111" s="66" t="e">
        <f t="shared" si="12"/>
        <v>#REF!</v>
      </c>
      <c r="N111" s="66" t="e">
        <f t="shared" si="15"/>
        <v>#REF!</v>
      </c>
      <c r="O111" s="66" t="e">
        <f t="shared" si="16"/>
        <v>#REF!</v>
      </c>
      <c r="P111" s="66" t="e">
        <f t="shared" si="13"/>
        <v>#REF!</v>
      </c>
    </row>
    <row r="112" spans="7:16" x14ac:dyDescent="0.25">
      <c r="G112" s="66" t="e">
        <f>'Hors-Site'!#REF!</f>
        <v>#REF!</v>
      </c>
      <c r="H112" s="66" t="e">
        <f>'Hors-Site'!#REF!</f>
        <v>#REF!</v>
      </c>
      <c r="I112" s="66" t="e">
        <f>Tableau1[[#This Row],[USD]]*$J$4</f>
        <v>#REF!</v>
      </c>
      <c r="J112" s="66" t="e">
        <f t="shared" si="10"/>
        <v>#REF!</v>
      </c>
      <c r="K112" s="66" t="e">
        <f t="shared" si="11"/>
        <v>#REF!</v>
      </c>
      <c r="L112" s="66" t="e">
        <f t="shared" si="14"/>
        <v>#REF!</v>
      </c>
      <c r="M112" s="66" t="e">
        <f t="shared" si="12"/>
        <v>#REF!</v>
      </c>
      <c r="N112" s="66" t="e">
        <f t="shared" si="15"/>
        <v>#REF!</v>
      </c>
      <c r="O112" s="66" t="e">
        <f t="shared" si="16"/>
        <v>#REF!</v>
      </c>
      <c r="P112" s="66" t="e">
        <f t="shared" si="13"/>
        <v>#REF!</v>
      </c>
    </row>
    <row r="113" spans="7:16" x14ac:dyDescent="0.25">
      <c r="G113" s="66" t="e">
        <f>'Hors-Site'!#REF!</f>
        <v>#REF!</v>
      </c>
      <c r="H113" s="66" t="e">
        <f>'Hors-Site'!#REF!</f>
        <v>#REF!</v>
      </c>
      <c r="I113" s="66" t="e">
        <f>Tableau1[[#This Row],[USD]]*$J$4</f>
        <v>#REF!</v>
      </c>
      <c r="J113" s="66" t="e">
        <f t="shared" si="10"/>
        <v>#REF!</v>
      </c>
      <c r="K113" s="66" t="e">
        <f t="shared" si="11"/>
        <v>#REF!</v>
      </c>
      <c r="L113" s="66" t="e">
        <f t="shared" si="14"/>
        <v>#REF!</v>
      </c>
      <c r="M113" s="66" t="e">
        <f t="shared" si="12"/>
        <v>#REF!</v>
      </c>
      <c r="N113" s="66" t="e">
        <f t="shared" si="15"/>
        <v>#REF!</v>
      </c>
      <c r="O113" s="66" t="e">
        <f t="shared" si="16"/>
        <v>#REF!</v>
      </c>
      <c r="P113" s="66" t="e">
        <f t="shared" si="13"/>
        <v>#REF!</v>
      </c>
    </row>
    <row r="114" spans="7:16" x14ac:dyDescent="0.25">
      <c r="G114" s="66" t="e">
        <f>'Hors-Site'!#REF!</f>
        <v>#REF!</v>
      </c>
      <c r="H114" s="66" t="e">
        <f>'Hors-Site'!#REF!</f>
        <v>#REF!</v>
      </c>
      <c r="I114" s="66" t="e">
        <f>Tableau1[[#This Row],[USD]]*$J$4</f>
        <v>#REF!</v>
      </c>
      <c r="J114" s="66" t="e">
        <f t="shared" si="10"/>
        <v>#REF!</v>
      </c>
      <c r="K114" s="66" t="e">
        <f t="shared" si="11"/>
        <v>#REF!</v>
      </c>
      <c r="L114" s="66" t="e">
        <f t="shared" si="14"/>
        <v>#REF!</v>
      </c>
      <c r="M114" s="66" t="e">
        <f t="shared" si="12"/>
        <v>#REF!</v>
      </c>
      <c r="N114" s="66" t="e">
        <f t="shared" si="15"/>
        <v>#REF!</v>
      </c>
      <c r="O114" s="66" t="e">
        <f t="shared" si="16"/>
        <v>#REF!</v>
      </c>
      <c r="P114" s="66" t="e">
        <f t="shared" si="13"/>
        <v>#REF!</v>
      </c>
    </row>
    <row r="115" spans="7:16" x14ac:dyDescent="0.25">
      <c r="G115" s="66" t="e">
        <f>'Hors-Site'!#REF!</f>
        <v>#REF!</v>
      </c>
      <c r="H115" s="66" t="e">
        <f>'Hors-Site'!#REF!</f>
        <v>#REF!</v>
      </c>
      <c r="I115" s="66" t="e">
        <f>Tableau1[[#This Row],[USD]]*$J$4</f>
        <v>#REF!</v>
      </c>
      <c r="J115" s="66" t="e">
        <f t="shared" si="10"/>
        <v>#REF!</v>
      </c>
      <c r="K115" s="66" t="e">
        <f t="shared" si="11"/>
        <v>#REF!</v>
      </c>
      <c r="L115" s="66" t="e">
        <f t="shared" si="14"/>
        <v>#REF!</v>
      </c>
      <c r="M115" s="66" t="e">
        <f t="shared" si="12"/>
        <v>#REF!</v>
      </c>
      <c r="N115" s="66" t="e">
        <f t="shared" si="15"/>
        <v>#REF!</v>
      </c>
      <c r="O115" s="66" t="e">
        <f t="shared" si="16"/>
        <v>#REF!</v>
      </c>
      <c r="P115" s="66" t="e">
        <f t="shared" si="13"/>
        <v>#REF!</v>
      </c>
    </row>
    <row r="116" spans="7:16" x14ac:dyDescent="0.25">
      <c r="G116" s="66" t="e">
        <f>'Hors-Site'!#REF!</f>
        <v>#REF!</v>
      </c>
      <c r="H116" s="66" t="e">
        <f>'Hors-Site'!#REF!</f>
        <v>#REF!</v>
      </c>
      <c r="I116" s="66" t="e">
        <f>Tableau1[[#This Row],[USD]]*$J$4</f>
        <v>#REF!</v>
      </c>
      <c r="J116" s="66" t="e">
        <f t="shared" si="10"/>
        <v>#REF!</v>
      </c>
      <c r="K116" s="66" t="e">
        <f t="shared" si="11"/>
        <v>#REF!</v>
      </c>
      <c r="L116" s="66" t="e">
        <f t="shared" si="14"/>
        <v>#REF!</v>
      </c>
      <c r="M116" s="66" t="e">
        <f t="shared" si="12"/>
        <v>#REF!</v>
      </c>
      <c r="N116" s="66" t="e">
        <f t="shared" si="15"/>
        <v>#REF!</v>
      </c>
      <c r="O116" s="66" t="e">
        <f t="shared" si="16"/>
        <v>#REF!</v>
      </c>
      <c r="P116" s="66" t="e">
        <f t="shared" si="13"/>
        <v>#REF!</v>
      </c>
    </row>
    <row r="117" spans="7:16" x14ac:dyDescent="0.25">
      <c r="G117" s="66" t="e">
        <f>'Hors-Site'!#REF!</f>
        <v>#REF!</v>
      </c>
      <c r="H117" s="66" t="e">
        <f>'Hors-Site'!#REF!</f>
        <v>#REF!</v>
      </c>
      <c r="I117" s="66" t="e">
        <f>Tableau1[[#This Row],[USD]]*$J$4</f>
        <v>#REF!</v>
      </c>
      <c r="J117" s="66" t="e">
        <f t="shared" si="10"/>
        <v>#REF!</v>
      </c>
      <c r="K117" s="66" t="e">
        <f t="shared" si="11"/>
        <v>#REF!</v>
      </c>
      <c r="L117" s="66" t="e">
        <f t="shared" si="14"/>
        <v>#REF!</v>
      </c>
      <c r="M117" s="66" t="e">
        <f t="shared" si="12"/>
        <v>#REF!</v>
      </c>
      <c r="N117" s="66" t="e">
        <f t="shared" si="15"/>
        <v>#REF!</v>
      </c>
      <c r="O117" s="66" t="e">
        <f t="shared" si="16"/>
        <v>#REF!</v>
      </c>
      <c r="P117" s="66" t="e">
        <f t="shared" si="13"/>
        <v>#REF!</v>
      </c>
    </row>
    <row r="118" spans="7:16" x14ac:dyDescent="0.25">
      <c r="G118" s="66" t="e">
        <f>'Hors-Site'!#REF!</f>
        <v>#REF!</v>
      </c>
      <c r="H118" s="66" t="e">
        <f>'Hors-Site'!#REF!</f>
        <v>#REF!</v>
      </c>
      <c r="I118" s="66" t="e">
        <f>Tableau1[[#This Row],[USD]]*$J$4</f>
        <v>#REF!</v>
      </c>
      <c r="J118" s="66" t="e">
        <f t="shared" si="10"/>
        <v>#REF!</v>
      </c>
      <c r="K118" s="66" t="e">
        <f t="shared" si="11"/>
        <v>#REF!</v>
      </c>
      <c r="L118" s="66" t="e">
        <f t="shared" si="14"/>
        <v>#REF!</v>
      </c>
      <c r="M118" s="66" t="e">
        <f t="shared" si="12"/>
        <v>#REF!</v>
      </c>
      <c r="N118" s="66" t="e">
        <f t="shared" si="15"/>
        <v>#REF!</v>
      </c>
      <c r="O118" s="66" t="e">
        <f t="shared" si="16"/>
        <v>#REF!</v>
      </c>
      <c r="P118" s="66" t="e">
        <f t="shared" si="13"/>
        <v>#REF!</v>
      </c>
    </row>
    <row r="119" spans="7:16" x14ac:dyDescent="0.25">
      <c r="G119" s="66" t="e">
        <f>'Hors-Site'!#REF!</f>
        <v>#REF!</v>
      </c>
      <c r="H119" s="66" t="e">
        <f>'Hors-Site'!#REF!</f>
        <v>#REF!</v>
      </c>
      <c r="I119" s="66" t="e">
        <f>Tableau1[[#This Row],[USD]]*$J$4</f>
        <v>#REF!</v>
      </c>
      <c r="J119" s="66" t="e">
        <f t="shared" si="10"/>
        <v>#REF!</v>
      </c>
      <c r="K119" s="66" t="e">
        <f t="shared" si="11"/>
        <v>#REF!</v>
      </c>
      <c r="L119" s="66" t="e">
        <f t="shared" si="14"/>
        <v>#REF!</v>
      </c>
      <c r="M119" s="66" t="e">
        <f t="shared" si="12"/>
        <v>#REF!</v>
      </c>
      <c r="N119" s="66" t="e">
        <f t="shared" si="15"/>
        <v>#REF!</v>
      </c>
      <c r="O119" s="66" t="e">
        <f t="shared" si="16"/>
        <v>#REF!</v>
      </c>
      <c r="P119" s="66" t="e">
        <f t="shared" si="13"/>
        <v>#REF!</v>
      </c>
    </row>
    <row r="120" spans="7:16" x14ac:dyDescent="0.25">
      <c r="G120" s="66" t="e">
        <f>'Hors-Site'!#REF!</f>
        <v>#REF!</v>
      </c>
      <c r="H120" s="66" t="e">
        <f>'Hors-Site'!#REF!</f>
        <v>#REF!</v>
      </c>
      <c r="I120" s="66" t="e">
        <f>Tableau1[[#This Row],[USD]]*$J$4</f>
        <v>#REF!</v>
      </c>
      <c r="J120" s="66" t="e">
        <f t="shared" si="10"/>
        <v>#REF!</v>
      </c>
      <c r="K120" s="66" t="e">
        <f t="shared" si="11"/>
        <v>#REF!</v>
      </c>
      <c r="L120" s="66" t="e">
        <f t="shared" si="14"/>
        <v>#REF!</v>
      </c>
      <c r="M120" s="66" t="e">
        <f t="shared" si="12"/>
        <v>#REF!</v>
      </c>
      <c r="N120" s="66" t="e">
        <f t="shared" si="15"/>
        <v>#REF!</v>
      </c>
      <c r="O120" s="66" t="e">
        <f t="shared" si="16"/>
        <v>#REF!</v>
      </c>
      <c r="P120" s="66" t="e">
        <f t="shared" si="13"/>
        <v>#REF!</v>
      </c>
    </row>
    <row r="121" spans="7:16" x14ac:dyDescent="0.25">
      <c r="G121" s="66" t="e">
        <f>'Hors-Site'!#REF!</f>
        <v>#REF!</v>
      </c>
      <c r="H121" s="66" t="e">
        <f>'Hors-Site'!#REF!</f>
        <v>#REF!</v>
      </c>
      <c r="I121" s="66" t="e">
        <f>Tableau1[[#This Row],[USD]]*$J$4</f>
        <v>#REF!</v>
      </c>
      <c r="J121" s="66" t="e">
        <f t="shared" si="10"/>
        <v>#REF!</v>
      </c>
      <c r="K121" s="66" t="e">
        <f t="shared" si="11"/>
        <v>#REF!</v>
      </c>
      <c r="L121" s="66" t="e">
        <f t="shared" si="14"/>
        <v>#REF!</v>
      </c>
      <c r="M121" s="66" t="e">
        <f t="shared" si="12"/>
        <v>#REF!</v>
      </c>
      <c r="N121" s="66" t="e">
        <f t="shared" si="15"/>
        <v>#REF!</v>
      </c>
      <c r="O121" s="66" t="e">
        <f t="shared" si="16"/>
        <v>#REF!</v>
      </c>
      <c r="P121" s="66" t="e">
        <f t="shared" si="13"/>
        <v>#REF!</v>
      </c>
    </row>
    <row r="122" spans="7:16" x14ac:dyDescent="0.25">
      <c r="G122" s="66" t="e">
        <f>'Hors-Site'!#REF!</f>
        <v>#REF!</v>
      </c>
      <c r="H122" s="66" t="e">
        <f>'Hors-Site'!#REF!</f>
        <v>#REF!</v>
      </c>
      <c r="I122" s="66" t="e">
        <f>Tableau1[[#This Row],[USD]]*$J$4</f>
        <v>#REF!</v>
      </c>
      <c r="J122" s="66" t="e">
        <f t="shared" si="10"/>
        <v>#REF!</v>
      </c>
      <c r="K122" s="66" t="e">
        <f t="shared" si="11"/>
        <v>#REF!</v>
      </c>
      <c r="L122" s="66" t="e">
        <f t="shared" si="14"/>
        <v>#REF!</v>
      </c>
      <c r="M122" s="66" t="e">
        <f t="shared" si="12"/>
        <v>#REF!</v>
      </c>
      <c r="N122" s="66" t="e">
        <f t="shared" si="15"/>
        <v>#REF!</v>
      </c>
      <c r="O122" s="66" t="e">
        <f t="shared" si="16"/>
        <v>#REF!</v>
      </c>
      <c r="P122" s="66" t="e">
        <f t="shared" si="13"/>
        <v>#REF!</v>
      </c>
    </row>
    <row r="123" spans="7:16" x14ac:dyDescent="0.25">
      <c r="G123" s="66" t="e">
        <f>'Hors-Site'!#REF!</f>
        <v>#REF!</v>
      </c>
      <c r="H123" s="66" t="e">
        <f>'Hors-Site'!#REF!</f>
        <v>#REF!</v>
      </c>
      <c r="I123" s="66" t="e">
        <f>Tableau1[[#This Row],[USD]]*$J$4</f>
        <v>#REF!</v>
      </c>
      <c r="J123" s="66" t="e">
        <f t="shared" si="10"/>
        <v>#REF!</v>
      </c>
      <c r="K123" s="66" t="e">
        <f t="shared" si="11"/>
        <v>#REF!</v>
      </c>
      <c r="L123" s="66" t="e">
        <f t="shared" si="14"/>
        <v>#REF!</v>
      </c>
      <c r="M123" s="66" t="e">
        <f t="shared" si="12"/>
        <v>#REF!</v>
      </c>
      <c r="N123" s="66" t="e">
        <f t="shared" si="15"/>
        <v>#REF!</v>
      </c>
      <c r="O123" s="66" t="e">
        <f t="shared" si="16"/>
        <v>#REF!</v>
      </c>
      <c r="P123" s="66" t="e">
        <f t="shared" si="13"/>
        <v>#REF!</v>
      </c>
    </row>
    <row r="124" spans="7:16" x14ac:dyDescent="0.25">
      <c r="G124" s="66" t="e">
        <f>'Hors-Site'!#REF!</f>
        <v>#REF!</v>
      </c>
      <c r="H124" s="66" t="e">
        <f>'Hors-Site'!#REF!</f>
        <v>#REF!</v>
      </c>
      <c r="I124" s="66" t="e">
        <f>Tableau1[[#This Row],[USD]]*$J$4</f>
        <v>#REF!</v>
      </c>
      <c r="J124" s="66" t="e">
        <f t="shared" si="10"/>
        <v>#REF!</v>
      </c>
      <c r="K124" s="66" t="e">
        <f t="shared" si="11"/>
        <v>#REF!</v>
      </c>
      <c r="L124" s="66" t="e">
        <f t="shared" si="14"/>
        <v>#REF!</v>
      </c>
      <c r="M124" s="66" t="e">
        <f t="shared" si="12"/>
        <v>#REF!</v>
      </c>
      <c r="N124" s="66" t="e">
        <f t="shared" si="15"/>
        <v>#REF!</v>
      </c>
      <c r="O124" s="66" t="e">
        <f t="shared" si="16"/>
        <v>#REF!</v>
      </c>
      <c r="P124" s="66" t="e">
        <f t="shared" si="13"/>
        <v>#REF!</v>
      </c>
    </row>
    <row r="125" spans="7:16" x14ac:dyDescent="0.25">
      <c r="G125" s="66" t="e">
        <f>'Hors-Site'!#REF!</f>
        <v>#REF!</v>
      </c>
      <c r="H125" s="66" t="e">
        <f>'Hors-Site'!#REF!</f>
        <v>#REF!</v>
      </c>
      <c r="I125" s="66" t="e">
        <f>Tableau1[[#This Row],[USD]]*$J$4</f>
        <v>#REF!</v>
      </c>
      <c r="J125" s="66" t="e">
        <f t="shared" si="10"/>
        <v>#REF!</v>
      </c>
      <c r="K125" s="66" t="e">
        <f t="shared" si="11"/>
        <v>#REF!</v>
      </c>
      <c r="L125" s="66" t="e">
        <f t="shared" si="14"/>
        <v>#REF!</v>
      </c>
      <c r="M125" s="66" t="e">
        <f t="shared" si="12"/>
        <v>#REF!</v>
      </c>
      <c r="N125" s="66" t="e">
        <f t="shared" si="15"/>
        <v>#REF!</v>
      </c>
      <c r="O125" s="66" t="e">
        <f t="shared" si="16"/>
        <v>#REF!</v>
      </c>
      <c r="P125" s="66" t="e">
        <f t="shared" si="13"/>
        <v>#REF!</v>
      </c>
    </row>
    <row r="126" spans="7:16" x14ac:dyDescent="0.25">
      <c r="G126" s="66" t="e">
        <f>'Hors-Site'!#REF!</f>
        <v>#REF!</v>
      </c>
      <c r="H126" s="66" t="e">
        <f>'Hors-Site'!#REF!</f>
        <v>#REF!</v>
      </c>
      <c r="I126" s="66" t="e">
        <f>Tableau1[[#This Row],[USD]]*$J$4</f>
        <v>#REF!</v>
      </c>
      <c r="J126" s="66" t="e">
        <f t="shared" si="10"/>
        <v>#REF!</v>
      </c>
      <c r="K126" s="66" t="e">
        <f t="shared" si="11"/>
        <v>#REF!</v>
      </c>
      <c r="L126" s="66" t="e">
        <f t="shared" si="14"/>
        <v>#REF!</v>
      </c>
      <c r="M126" s="66" t="e">
        <f t="shared" si="12"/>
        <v>#REF!</v>
      </c>
      <c r="N126" s="66" t="e">
        <f t="shared" si="15"/>
        <v>#REF!</v>
      </c>
      <c r="O126" s="66" t="e">
        <f t="shared" si="16"/>
        <v>#REF!</v>
      </c>
      <c r="P126" s="66" t="e">
        <f t="shared" si="13"/>
        <v>#REF!</v>
      </c>
    </row>
    <row r="127" spans="7:16" x14ac:dyDescent="0.25">
      <c r="G127" s="66" t="e">
        <f>'Hors-Site'!#REF!</f>
        <v>#REF!</v>
      </c>
      <c r="H127" s="66" t="e">
        <f>'Hors-Site'!#REF!</f>
        <v>#REF!</v>
      </c>
      <c r="I127" s="66" t="e">
        <f>Tableau1[[#This Row],[USD]]*$J$4</f>
        <v>#REF!</v>
      </c>
      <c r="J127" s="66" t="e">
        <f t="shared" si="10"/>
        <v>#REF!</v>
      </c>
      <c r="K127" s="66" t="e">
        <f t="shared" si="11"/>
        <v>#REF!</v>
      </c>
      <c r="L127" s="66" t="e">
        <f t="shared" si="14"/>
        <v>#REF!</v>
      </c>
      <c r="M127" s="66" t="e">
        <f t="shared" si="12"/>
        <v>#REF!</v>
      </c>
      <c r="N127" s="66" t="e">
        <f t="shared" si="15"/>
        <v>#REF!</v>
      </c>
      <c r="O127" s="66" t="e">
        <f t="shared" si="16"/>
        <v>#REF!</v>
      </c>
      <c r="P127" s="66" t="e">
        <f t="shared" si="13"/>
        <v>#REF!</v>
      </c>
    </row>
    <row r="128" spans="7:16" x14ac:dyDescent="0.25">
      <c r="G128" s="66" t="e">
        <f>'Hors-Site'!#REF!</f>
        <v>#REF!</v>
      </c>
      <c r="H128" s="66" t="e">
        <f>'Hors-Site'!#REF!</f>
        <v>#REF!</v>
      </c>
      <c r="I128" s="66" t="e">
        <f>Tableau1[[#This Row],[USD]]*$J$4</f>
        <v>#REF!</v>
      </c>
      <c r="J128" s="66" t="e">
        <f t="shared" si="10"/>
        <v>#REF!</v>
      </c>
      <c r="K128" s="66" t="e">
        <f t="shared" si="11"/>
        <v>#REF!</v>
      </c>
      <c r="L128" s="66" t="e">
        <f t="shared" si="14"/>
        <v>#REF!</v>
      </c>
      <c r="M128" s="66" t="e">
        <f t="shared" si="12"/>
        <v>#REF!</v>
      </c>
      <c r="N128" s="66" t="e">
        <f t="shared" si="15"/>
        <v>#REF!</v>
      </c>
      <c r="O128" s="66" t="e">
        <f t="shared" si="16"/>
        <v>#REF!</v>
      </c>
      <c r="P128" s="66" t="e">
        <f t="shared" si="13"/>
        <v>#REF!</v>
      </c>
    </row>
    <row r="129" spans="7:16" x14ac:dyDescent="0.25">
      <c r="G129" s="66" t="e">
        <f>'Hors-Site'!#REF!</f>
        <v>#REF!</v>
      </c>
      <c r="H129" s="66" t="e">
        <f>'Hors-Site'!#REF!</f>
        <v>#REF!</v>
      </c>
      <c r="I129" s="66" t="e">
        <f>Tableau1[[#This Row],[USD]]*$J$4</f>
        <v>#REF!</v>
      </c>
      <c r="J129" s="66" t="e">
        <f t="shared" si="10"/>
        <v>#REF!</v>
      </c>
      <c r="K129" s="66" t="e">
        <f t="shared" si="11"/>
        <v>#REF!</v>
      </c>
      <c r="L129" s="66" t="e">
        <f t="shared" si="14"/>
        <v>#REF!</v>
      </c>
      <c r="M129" s="66" t="e">
        <f t="shared" si="12"/>
        <v>#REF!</v>
      </c>
      <c r="N129" s="66" t="e">
        <f t="shared" si="15"/>
        <v>#REF!</v>
      </c>
      <c r="O129" s="66" t="e">
        <f t="shared" si="16"/>
        <v>#REF!</v>
      </c>
      <c r="P129" s="66" t="e">
        <f t="shared" si="13"/>
        <v>#REF!</v>
      </c>
    </row>
    <row r="130" spans="7:16" x14ac:dyDescent="0.25">
      <c r="G130" s="66" t="e">
        <f>'Hors-Site'!#REF!</f>
        <v>#REF!</v>
      </c>
      <c r="H130" s="66" t="e">
        <f>'Hors-Site'!#REF!</f>
        <v>#REF!</v>
      </c>
      <c r="I130" s="66" t="e">
        <f>Tableau1[[#This Row],[USD]]*$J$4</f>
        <v>#REF!</v>
      </c>
      <c r="J130" s="66" t="e">
        <f t="shared" si="10"/>
        <v>#REF!</v>
      </c>
      <c r="K130" s="66" t="e">
        <f t="shared" si="11"/>
        <v>#REF!</v>
      </c>
      <c r="L130" s="66" t="e">
        <f t="shared" si="14"/>
        <v>#REF!</v>
      </c>
      <c r="M130" s="66" t="e">
        <f t="shared" si="12"/>
        <v>#REF!</v>
      </c>
      <c r="N130" s="66" t="e">
        <f t="shared" si="15"/>
        <v>#REF!</v>
      </c>
      <c r="O130" s="66" t="e">
        <f t="shared" si="16"/>
        <v>#REF!</v>
      </c>
      <c r="P130" s="66" t="e">
        <f t="shared" si="13"/>
        <v>#REF!</v>
      </c>
    </row>
    <row r="131" spans="7:16" x14ac:dyDescent="0.25">
      <c r="G131" s="66" t="e">
        <f>'Hors-Site'!#REF!</f>
        <v>#REF!</v>
      </c>
      <c r="H131" s="66" t="e">
        <f>'Hors-Site'!#REF!</f>
        <v>#REF!</v>
      </c>
      <c r="I131" s="66" t="e">
        <f>Tableau1[[#This Row],[USD]]*$J$4</f>
        <v>#REF!</v>
      </c>
      <c r="J131" s="66" t="e">
        <f t="shared" si="10"/>
        <v>#REF!</v>
      </c>
      <c r="K131" s="66" t="e">
        <f t="shared" si="11"/>
        <v>#REF!</v>
      </c>
      <c r="L131" s="66" t="e">
        <f t="shared" si="14"/>
        <v>#REF!</v>
      </c>
      <c r="M131" s="66" t="e">
        <f t="shared" si="12"/>
        <v>#REF!</v>
      </c>
      <c r="N131" s="66" t="e">
        <f t="shared" si="15"/>
        <v>#REF!</v>
      </c>
      <c r="O131" s="66" t="e">
        <f t="shared" si="16"/>
        <v>#REF!</v>
      </c>
      <c r="P131" s="66" t="e">
        <f t="shared" si="13"/>
        <v>#REF!</v>
      </c>
    </row>
    <row r="132" spans="7:16" x14ac:dyDescent="0.25">
      <c r="G132" s="66" t="e">
        <f>'Hors-Site'!#REF!</f>
        <v>#REF!</v>
      </c>
      <c r="H132" s="66" t="e">
        <f>'Hors-Site'!#REF!</f>
        <v>#REF!</v>
      </c>
      <c r="I132" s="66" t="e">
        <f>Tableau1[[#This Row],[USD]]*$J$4</f>
        <v>#REF!</v>
      </c>
      <c r="J132" s="66" t="e">
        <f t="shared" si="10"/>
        <v>#REF!</v>
      </c>
      <c r="K132" s="66" t="e">
        <f t="shared" si="11"/>
        <v>#REF!</v>
      </c>
      <c r="L132" s="66" t="e">
        <f t="shared" si="14"/>
        <v>#REF!</v>
      </c>
      <c r="M132" s="66" t="e">
        <f t="shared" si="12"/>
        <v>#REF!</v>
      </c>
      <c r="N132" s="66" t="e">
        <f t="shared" si="15"/>
        <v>#REF!</v>
      </c>
      <c r="O132" s="66" t="e">
        <f t="shared" si="16"/>
        <v>#REF!</v>
      </c>
      <c r="P132" s="66" t="e">
        <f t="shared" si="13"/>
        <v>#REF!</v>
      </c>
    </row>
    <row r="133" spans="7:16" x14ac:dyDescent="0.25">
      <c r="G133" s="66" t="e">
        <f>'Hors-Site'!#REF!</f>
        <v>#REF!</v>
      </c>
      <c r="H133" s="66" t="e">
        <f>'Hors-Site'!#REF!</f>
        <v>#REF!</v>
      </c>
      <c r="I133" s="66" t="e">
        <f>Tableau1[[#This Row],[USD]]*$J$4</f>
        <v>#REF!</v>
      </c>
      <c r="J133" s="66" t="e">
        <f t="shared" si="10"/>
        <v>#REF!</v>
      </c>
      <c r="K133" s="66" t="e">
        <f t="shared" si="11"/>
        <v>#REF!</v>
      </c>
      <c r="L133" s="66" t="e">
        <f t="shared" si="14"/>
        <v>#REF!</v>
      </c>
      <c r="M133" s="66" t="e">
        <f t="shared" si="12"/>
        <v>#REF!</v>
      </c>
      <c r="N133" s="66" t="e">
        <f t="shared" si="15"/>
        <v>#REF!</v>
      </c>
      <c r="O133" s="66" t="e">
        <f t="shared" si="16"/>
        <v>#REF!</v>
      </c>
      <c r="P133" s="66" t="e">
        <f t="shared" si="13"/>
        <v>#REF!</v>
      </c>
    </row>
    <row r="134" spans="7:16" x14ac:dyDescent="0.25">
      <c r="G134" s="66" t="e">
        <f>'Hors-Site'!#REF!</f>
        <v>#REF!</v>
      </c>
      <c r="H134" s="66" t="e">
        <f>'Hors-Site'!#REF!</f>
        <v>#REF!</v>
      </c>
      <c r="I134" s="66" t="e">
        <f>Tableau1[[#This Row],[USD]]*$J$4</f>
        <v>#REF!</v>
      </c>
      <c r="J134" s="66" t="e">
        <f t="shared" ref="J134:J155" si="17">I134-VLOOKUP($I134,$C$6:$D$9,1)</f>
        <v>#REF!</v>
      </c>
      <c r="K134" s="66" t="e">
        <f t="shared" ref="K134:K155" si="18">VLOOKUP($I134,$C$11:$D$14,2)</f>
        <v>#REF!</v>
      </c>
      <c r="L134" s="66" t="e">
        <f t="shared" si="14"/>
        <v>#REF!</v>
      </c>
      <c r="M134" s="66" t="e">
        <f t="shared" ref="M134:M155" si="19">L134+VLOOKUP($I134,$C$15:$E$19,3)</f>
        <v>#REF!</v>
      </c>
      <c r="N134" s="66" t="e">
        <f t="shared" si="15"/>
        <v>#REF!</v>
      </c>
      <c r="O134" s="66" t="e">
        <f t="shared" si="16"/>
        <v>#REF!</v>
      </c>
      <c r="P134" s="66" t="e">
        <f t="shared" ref="P134:P155" si="20">O134/$J$4</f>
        <v>#REF!</v>
      </c>
    </row>
    <row r="135" spans="7:16" x14ac:dyDescent="0.25">
      <c r="G135" s="66" t="e">
        <f>'Hors-Site'!#REF!</f>
        <v>#REF!</v>
      </c>
      <c r="H135" s="66" t="e">
        <f>'Hors-Site'!#REF!</f>
        <v>#REF!</v>
      </c>
      <c r="I135" s="66" t="e">
        <f>Tableau1[[#This Row],[USD]]*$J$4</f>
        <v>#REF!</v>
      </c>
      <c r="J135" s="66" t="e">
        <f t="shared" si="17"/>
        <v>#REF!</v>
      </c>
      <c r="K135" s="66" t="e">
        <f t="shared" si="18"/>
        <v>#REF!</v>
      </c>
      <c r="L135" s="66" t="e">
        <f t="shared" ref="L135:L155" si="21">J135*K135</f>
        <v>#REF!</v>
      </c>
      <c r="M135" s="66" t="e">
        <f t="shared" si="19"/>
        <v>#REF!</v>
      </c>
      <c r="N135" s="66" t="e">
        <f t="shared" ref="N135:N155" si="22">M135*(G135*2%)</f>
        <v>#REF!</v>
      </c>
      <c r="O135" s="66" t="e">
        <f t="shared" ref="O135:O155" si="23">M135-N135</f>
        <v>#REF!</v>
      </c>
      <c r="P135" s="66" t="e">
        <f t="shared" si="20"/>
        <v>#REF!</v>
      </c>
    </row>
    <row r="136" spans="7:16" x14ac:dyDescent="0.25">
      <c r="G136" s="66" t="e">
        <f>'Hors-Site'!#REF!</f>
        <v>#REF!</v>
      </c>
      <c r="H136" s="66" t="e">
        <f>'Hors-Site'!#REF!</f>
        <v>#REF!</v>
      </c>
      <c r="I136" s="66" t="e">
        <f>Tableau1[[#This Row],[USD]]*$J$4</f>
        <v>#REF!</v>
      </c>
      <c r="J136" s="66" t="e">
        <f t="shared" si="17"/>
        <v>#REF!</v>
      </c>
      <c r="K136" s="66" t="e">
        <f t="shared" si="18"/>
        <v>#REF!</v>
      </c>
      <c r="L136" s="66" t="e">
        <f t="shared" si="21"/>
        <v>#REF!</v>
      </c>
      <c r="M136" s="66" t="e">
        <f t="shared" si="19"/>
        <v>#REF!</v>
      </c>
      <c r="N136" s="66" t="e">
        <f t="shared" si="22"/>
        <v>#REF!</v>
      </c>
      <c r="O136" s="66" t="e">
        <f t="shared" si="23"/>
        <v>#REF!</v>
      </c>
      <c r="P136" s="66" t="e">
        <f t="shared" si="20"/>
        <v>#REF!</v>
      </c>
    </row>
    <row r="137" spans="7:16" x14ac:dyDescent="0.25">
      <c r="G137" s="66" t="e">
        <f>'Hors-Site'!#REF!</f>
        <v>#REF!</v>
      </c>
      <c r="H137" s="66" t="e">
        <f>'Hors-Site'!#REF!</f>
        <v>#REF!</v>
      </c>
      <c r="I137" s="66" t="e">
        <f>Tableau1[[#This Row],[USD]]*$J$4</f>
        <v>#REF!</v>
      </c>
      <c r="J137" s="66" t="e">
        <f t="shared" si="17"/>
        <v>#REF!</v>
      </c>
      <c r="K137" s="66" t="e">
        <f t="shared" si="18"/>
        <v>#REF!</v>
      </c>
      <c r="L137" s="66" t="e">
        <f t="shared" si="21"/>
        <v>#REF!</v>
      </c>
      <c r="M137" s="66" t="e">
        <f t="shared" si="19"/>
        <v>#REF!</v>
      </c>
      <c r="N137" s="66" t="e">
        <f t="shared" si="22"/>
        <v>#REF!</v>
      </c>
      <c r="O137" s="66" t="e">
        <f t="shared" si="23"/>
        <v>#REF!</v>
      </c>
      <c r="P137" s="66" t="e">
        <f t="shared" si="20"/>
        <v>#REF!</v>
      </c>
    </row>
    <row r="138" spans="7:16" x14ac:dyDescent="0.25">
      <c r="G138" s="66" t="e">
        <f>'Hors-Site'!#REF!</f>
        <v>#REF!</v>
      </c>
      <c r="H138" s="66" t="e">
        <f>'Hors-Site'!#REF!</f>
        <v>#REF!</v>
      </c>
      <c r="I138" s="66" t="e">
        <f>Tableau1[[#This Row],[USD]]*$J$4</f>
        <v>#REF!</v>
      </c>
      <c r="J138" s="66" t="e">
        <f t="shared" si="17"/>
        <v>#REF!</v>
      </c>
      <c r="K138" s="66" t="e">
        <f t="shared" si="18"/>
        <v>#REF!</v>
      </c>
      <c r="L138" s="66" t="e">
        <f t="shared" si="21"/>
        <v>#REF!</v>
      </c>
      <c r="M138" s="66" t="e">
        <f t="shared" si="19"/>
        <v>#REF!</v>
      </c>
      <c r="N138" s="66" t="e">
        <f t="shared" si="22"/>
        <v>#REF!</v>
      </c>
      <c r="O138" s="66" t="e">
        <f t="shared" si="23"/>
        <v>#REF!</v>
      </c>
      <c r="P138" s="66" t="e">
        <f t="shared" si="20"/>
        <v>#REF!</v>
      </c>
    </row>
    <row r="139" spans="7:16" x14ac:dyDescent="0.25">
      <c r="G139" s="66" t="e">
        <f>'Hors-Site'!#REF!</f>
        <v>#REF!</v>
      </c>
      <c r="H139" s="66" t="e">
        <f>'Hors-Site'!#REF!</f>
        <v>#REF!</v>
      </c>
      <c r="I139" s="66" t="e">
        <f>Tableau1[[#This Row],[USD]]*$J$4</f>
        <v>#REF!</v>
      </c>
      <c r="J139" s="66" t="e">
        <f t="shared" si="17"/>
        <v>#REF!</v>
      </c>
      <c r="K139" s="66" t="e">
        <f t="shared" si="18"/>
        <v>#REF!</v>
      </c>
      <c r="L139" s="66" t="e">
        <f t="shared" si="21"/>
        <v>#REF!</v>
      </c>
      <c r="M139" s="66" t="e">
        <f t="shared" si="19"/>
        <v>#REF!</v>
      </c>
      <c r="N139" s="66" t="e">
        <f t="shared" si="22"/>
        <v>#REF!</v>
      </c>
      <c r="O139" s="66" t="e">
        <f t="shared" si="23"/>
        <v>#REF!</v>
      </c>
      <c r="P139" s="66" t="e">
        <f t="shared" si="20"/>
        <v>#REF!</v>
      </c>
    </row>
    <row r="140" spans="7:16" x14ac:dyDescent="0.25">
      <c r="G140" s="66" t="e">
        <f>'Hors-Site'!#REF!</f>
        <v>#REF!</v>
      </c>
      <c r="H140" s="66" t="e">
        <f>'Hors-Site'!#REF!</f>
        <v>#REF!</v>
      </c>
      <c r="I140" s="66" t="e">
        <f>Tableau1[[#This Row],[USD]]*$J$4</f>
        <v>#REF!</v>
      </c>
      <c r="J140" s="66" t="e">
        <f t="shared" si="17"/>
        <v>#REF!</v>
      </c>
      <c r="K140" s="66" t="e">
        <f t="shared" si="18"/>
        <v>#REF!</v>
      </c>
      <c r="L140" s="66" t="e">
        <f t="shared" si="21"/>
        <v>#REF!</v>
      </c>
      <c r="M140" s="66" t="e">
        <f t="shared" si="19"/>
        <v>#REF!</v>
      </c>
      <c r="N140" s="66" t="e">
        <f t="shared" si="22"/>
        <v>#REF!</v>
      </c>
      <c r="O140" s="66" t="e">
        <f t="shared" si="23"/>
        <v>#REF!</v>
      </c>
      <c r="P140" s="66" t="e">
        <f t="shared" si="20"/>
        <v>#REF!</v>
      </c>
    </row>
    <row r="141" spans="7:16" x14ac:dyDescent="0.25">
      <c r="G141" s="66">
        <f>'Hors-Site'!G7</f>
        <v>0</v>
      </c>
      <c r="H141" s="66">
        <f>'Hors-Site'!AC7</f>
        <v>738.80219844930866</v>
      </c>
      <c r="I141" s="66">
        <f>Tableau1[[#This Row],[USD]]*$J$4</f>
        <v>1699245.0564334099</v>
      </c>
      <c r="J141" s="66">
        <f t="shared" si="17"/>
        <v>1537245.0564334099</v>
      </c>
      <c r="K141" s="66">
        <f t="shared" si="18"/>
        <v>0.15</v>
      </c>
      <c r="L141" s="66">
        <f t="shared" si="21"/>
        <v>230586.75846501149</v>
      </c>
      <c r="M141" s="66">
        <f t="shared" si="19"/>
        <v>235446.75846501149</v>
      </c>
      <c r="N141" s="66">
        <f t="shared" si="22"/>
        <v>0</v>
      </c>
      <c r="O141" s="66">
        <f t="shared" si="23"/>
        <v>235446.75846501149</v>
      </c>
      <c r="P141" s="66">
        <f t="shared" si="20"/>
        <v>102.36815585435282</v>
      </c>
    </row>
    <row r="142" spans="7:16" x14ac:dyDescent="0.25">
      <c r="G142" s="66">
        <f>'Hors-Site'!G8</f>
        <v>0</v>
      </c>
      <c r="H142" s="66">
        <f>'Hors-Site'!AC8</f>
        <v>40.119892399042705</v>
      </c>
      <c r="I142" s="66">
        <f>Tableau1[[#This Row],[USD]]*$J$4</f>
        <v>92275.752517798217</v>
      </c>
      <c r="J142" s="66">
        <f t="shared" si="17"/>
        <v>92275.752517798217</v>
      </c>
      <c r="K142" s="66">
        <f t="shared" si="18"/>
        <v>0</v>
      </c>
      <c r="L142" s="66">
        <f t="shared" si="21"/>
        <v>0</v>
      </c>
      <c r="M142" s="66">
        <f t="shared" si="19"/>
        <v>2300</v>
      </c>
      <c r="N142" s="66">
        <f t="shared" si="22"/>
        <v>0</v>
      </c>
      <c r="O142" s="66">
        <f t="shared" si="23"/>
        <v>2300</v>
      </c>
      <c r="P142" s="66">
        <f t="shared" si="20"/>
        <v>1</v>
      </c>
    </row>
    <row r="143" spans="7:16" x14ac:dyDescent="0.25">
      <c r="G143" s="66">
        <f>'Hors-Site'!G9</f>
        <v>0</v>
      </c>
      <c r="H143" s="66">
        <f>'Hors-Site'!AC9</f>
        <v>161.41902669545587</v>
      </c>
      <c r="I143" s="66">
        <f>Tableau1[[#This Row],[USD]]*$J$4</f>
        <v>371263.7613995485</v>
      </c>
      <c r="J143" s="66">
        <f t="shared" si="17"/>
        <v>209263.7613995485</v>
      </c>
      <c r="K143" s="66">
        <f t="shared" si="18"/>
        <v>0.15</v>
      </c>
      <c r="L143" s="66">
        <f t="shared" si="21"/>
        <v>31389.564209932272</v>
      </c>
      <c r="M143" s="66">
        <f t="shared" si="19"/>
        <v>36249.564209932272</v>
      </c>
      <c r="N143" s="66">
        <f t="shared" si="22"/>
        <v>0</v>
      </c>
      <c r="O143" s="66">
        <f t="shared" si="23"/>
        <v>36249.564209932272</v>
      </c>
      <c r="P143" s="66">
        <f t="shared" si="20"/>
        <v>15.760680091274901</v>
      </c>
    </row>
    <row r="144" spans="7:16" x14ac:dyDescent="0.25">
      <c r="G144" s="66">
        <f>'Hors-Site'!G10</f>
        <v>0</v>
      </c>
      <c r="H144" s="66">
        <f>'Hors-Site'!AC10</f>
        <v>178.71406569679215</v>
      </c>
      <c r="I144" s="66">
        <f>Tableau1[[#This Row],[USD]]*$J$4</f>
        <v>411042.35110262193</v>
      </c>
      <c r="J144" s="66">
        <f t="shared" si="17"/>
        <v>249042.35110262193</v>
      </c>
      <c r="K144" s="66">
        <f t="shared" si="18"/>
        <v>0.15</v>
      </c>
      <c r="L144" s="66">
        <f t="shared" si="21"/>
        <v>37356.352665393286</v>
      </c>
      <c r="M144" s="66">
        <f t="shared" si="19"/>
        <v>42216.352665393286</v>
      </c>
      <c r="N144" s="66">
        <f t="shared" si="22"/>
        <v>0</v>
      </c>
      <c r="O144" s="66">
        <f t="shared" si="23"/>
        <v>42216.352665393286</v>
      </c>
      <c r="P144" s="66">
        <f t="shared" si="20"/>
        <v>18.354935941475343</v>
      </c>
    </row>
    <row r="145" spans="7:16" x14ac:dyDescent="0.25">
      <c r="G145" s="66">
        <f>'Hors-Site'!G11</f>
        <v>0</v>
      </c>
      <c r="H145" s="66">
        <f>'Hors-Site'!AC11</f>
        <v>327.75139856708211</v>
      </c>
      <c r="I145" s="66">
        <f>Tableau1[[#This Row],[USD]]*$J$4</f>
        <v>753828.21670428885</v>
      </c>
      <c r="J145" s="66">
        <f t="shared" si="17"/>
        <v>591828.21670428885</v>
      </c>
      <c r="K145" s="66">
        <f t="shared" si="18"/>
        <v>0.15</v>
      </c>
      <c r="L145" s="66">
        <f t="shared" si="21"/>
        <v>88774.232505643318</v>
      </c>
      <c r="M145" s="66">
        <f t="shared" si="19"/>
        <v>93634.232505643318</v>
      </c>
      <c r="N145" s="66">
        <f t="shared" si="22"/>
        <v>0</v>
      </c>
      <c r="O145" s="66">
        <f t="shared" si="23"/>
        <v>93634.232505643318</v>
      </c>
      <c r="P145" s="66">
        <f t="shared" si="20"/>
        <v>40.710535872018831</v>
      </c>
    </row>
    <row r="146" spans="7:16" x14ac:dyDescent="0.25">
      <c r="G146" s="66">
        <f>'Hors-Site'!G12</f>
        <v>0</v>
      </c>
      <c r="H146" s="66">
        <f>'Hors-Site'!AC12</f>
        <v>320.88573952301522</v>
      </c>
      <c r="I146" s="66">
        <f>Tableau1[[#This Row],[USD]]*$J$4</f>
        <v>738037.200902935</v>
      </c>
      <c r="J146" s="66">
        <f t="shared" si="17"/>
        <v>576037.200902935</v>
      </c>
      <c r="K146" s="66">
        <f t="shared" si="18"/>
        <v>0.15</v>
      </c>
      <c r="L146" s="66">
        <f t="shared" si="21"/>
        <v>86405.58013544025</v>
      </c>
      <c r="M146" s="66">
        <f t="shared" si="19"/>
        <v>91265.58013544025</v>
      </c>
      <c r="N146" s="66">
        <f t="shared" si="22"/>
        <v>0</v>
      </c>
      <c r="O146" s="66">
        <f t="shared" si="23"/>
        <v>91265.58013544025</v>
      </c>
      <c r="P146" s="66">
        <f t="shared" si="20"/>
        <v>39.680687015408807</v>
      </c>
    </row>
    <row r="147" spans="7:16" x14ac:dyDescent="0.25">
      <c r="G147" s="66">
        <f>'Hors-Site'!G13</f>
        <v>0</v>
      </c>
      <c r="H147" s="66">
        <f>'Hors-Site'!AC13</f>
        <v>302.85392089508298</v>
      </c>
      <c r="I147" s="66">
        <f>Tableau1[[#This Row],[USD]]*$J$4</f>
        <v>696564.01805869082</v>
      </c>
      <c r="J147" s="66">
        <f t="shared" si="17"/>
        <v>534564.01805869082</v>
      </c>
      <c r="K147" s="66">
        <f t="shared" si="18"/>
        <v>0.15</v>
      </c>
      <c r="L147" s="66">
        <f t="shared" si="21"/>
        <v>80184.602708803621</v>
      </c>
      <c r="M147" s="66">
        <f t="shared" si="19"/>
        <v>85044.602708803621</v>
      </c>
      <c r="N147" s="66">
        <f t="shared" si="22"/>
        <v>0</v>
      </c>
      <c r="O147" s="66">
        <f t="shared" si="23"/>
        <v>85044.602708803621</v>
      </c>
      <c r="P147" s="66">
        <f t="shared" si="20"/>
        <v>36.975914221218964</v>
      </c>
    </row>
    <row r="148" spans="7:16" x14ac:dyDescent="0.25">
      <c r="G148" s="66">
        <f>'Hors-Site'!G14</f>
        <v>0</v>
      </c>
      <c r="H148" s="66">
        <f>'Hors-Site'!AC14</f>
        <v>349.44683180201883</v>
      </c>
      <c r="I148" s="66">
        <f>Tableau1[[#This Row],[USD]]*$J$4</f>
        <v>803727.71314464335</v>
      </c>
      <c r="J148" s="66">
        <f t="shared" si="17"/>
        <v>641727.71314464335</v>
      </c>
      <c r="K148" s="66">
        <f t="shared" si="18"/>
        <v>0.15</v>
      </c>
      <c r="L148" s="66">
        <f t="shared" si="21"/>
        <v>96259.156971696502</v>
      </c>
      <c r="M148" s="66">
        <f t="shared" si="19"/>
        <v>101119.1569716965</v>
      </c>
      <c r="N148" s="66">
        <f t="shared" si="22"/>
        <v>0</v>
      </c>
      <c r="O148" s="66">
        <f t="shared" si="23"/>
        <v>101119.1569716965</v>
      </c>
      <c r="P148" s="66">
        <f t="shared" si="20"/>
        <v>43.96485085725935</v>
      </c>
    </row>
    <row r="149" spans="7:16" x14ac:dyDescent="0.25">
      <c r="G149" s="66">
        <f>'Hors-Site'!G15</f>
        <v>0</v>
      </c>
      <c r="H149" s="66">
        <f>'Hors-Site'!AC15</f>
        <v>326.15037634855094</v>
      </c>
      <c r="I149" s="66">
        <f>Tableau1[[#This Row],[USD]]*$J$4</f>
        <v>750145.8656016672</v>
      </c>
      <c r="J149" s="66">
        <f t="shared" si="17"/>
        <v>588145.8656016672</v>
      </c>
      <c r="K149" s="66">
        <f t="shared" si="18"/>
        <v>0.15</v>
      </c>
      <c r="L149" s="66">
        <f t="shared" si="21"/>
        <v>88221.879840250083</v>
      </c>
      <c r="M149" s="66">
        <f t="shared" si="19"/>
        <v>93081.879840250083</v>
      </c>
      <c r="N149" s="66">
        <f t="shared" si="22"/>
        <v>0</v>
      </c>
      <c r="O149" s="66">
        <f t="shared" si="23"/>
        <v>93081.879840250083</v>
      </c>
      <c r="P149" s="66">
        <f t="shared" si="20"/>
        <v>40.470382539239168</v>
      </c>
    </row>
    <row r="150" spans="7:16" x14ac:dyDescent="0.25">
      <c r="G150" s="66">
        <f>'Hors-Site'!G16</f>
        <v>0</v>
      </c>
      <c r="H150" s="66">
        <f>'Hors-Site'!AC16</f>
        <v>502.16143622090897</v>
      </c>
      <c r="I150" s="66">
        <f>Tableau1[[#This Row],[USD]]*$J$4</f>
        <v>1154971.3033080907</v>
      </c>
      <c r="J150" s="66">
        <f t="shared" si="17"/>
        <v>992971.30330809066</v>
      </c>
      <c r="K150" s="66">
        <f t="shared" si="18"/>
        <v>0.15</v>
      </c>
      <c r="L150" s="66">
        <f t="shared" si="21"/>
        <v>148945.69549621359</v>
      </c>
      <c r="M150" s="66">
        <f t="shared" si="19"/>
        <v>153805.69549621359</v>
      </c>
      <c r="N150" s="66">
        <f t="shared" si="22"/>
        <v>0</v>
      </c>
      <c r="O150" s="66">
        <f t="shared" si="23"/>
        <v>153805.69549621359</v>
      </c>
      <c r="P150" s="66">
        <f t="shared" si="20"/>
        <v>66.872041520092864</v>
      </c>
    </row>
    <row r="151" spans="7:16" x14ac:dyDescent="0.25">
      <c r="G151" s="66">
        <f>'Hors-Site'!G17</f>
        <v>0</v>
      </c>
      <c r="H151" s="66">
        <f>'Hors-Site'!AC17</f>
        <v>349.44683180201883</v>
      </c>
      <c r="I151" s="66">
        <f>Tableau1[[#This Row],[USD]]*$J$4</f>
        <v>803727.71314464335</v>
      </c>
      <c r="J151" s="66">
        <f t="shared" si="17"/>
        <v>641727.71314464335</v>
      </c>
      <c r="K151" s="66">
        <f t="shared" si="18"/>
        <v>0.15</v>
      </c>
      <c r="L151" s="66">
        <f t="shared" si="21"/>
        <v>96259.156971696502</v>
      </c>
      <c r="M151" s="66">
        <f t="shared" si="19"/>
        <v>101119.1569716965</v>
      </c>
      <c r="N151" s="66">
        <f t="shared" si="22"/>
        <v>0</v>
      </c>
      <c r="O151" s="66">
        <f t="shared" si="23"/>
        <v>101119.1569716965</v>
      </c>
      <c r="P151" s="66">
        <f t="shared" si="20"/>
        <v>43.96485085725935</v>
      </c>
    </row>
    <row r="152" spans="7:16" x14ac:dyDescent="0.25">
      <c r="G152" s="66">
        <f>'Hors-Site'!G18</f>
        <v>0</v>
      </c>
      <c r="H152" s="66">
        <f>'Hors-Site'!AC18</f>
        <v>349.44683180201883</v>
      </c>
      <c r="I152" s="66">
        <f>Tableau1[[#This Row],[USD]]*$J$4</f>
        <v>803727.71314464335</v>
      </c>
      <c r="J152" s="66">
        <f t="shared" si="17"/>
        <v>641727.71314464335</v>
      </c>
      <c r="K152" s="66">
        <f t="shared" si="18"/>
        <v>0.15</v>
      </c>
      <c r="L152" s="66">
        <f t="shared" si="21"/>
        <v>96259.156971696502</v>
      </c>
      <c r="M152" s="66">
        <f t="shared" si="19"/>
        <v>101119.1569716965</v>
      </c>
      <c r="N152" s="66">
        <f t="shared" si="22"/>
        <v>0</v>
      </c>
      <c r="O152" s="66">
        <f t="shared" si="23"/>
        <v>101119.1569716965</v>
      </c>
      <c r="P152" s="66">
        <f t="shared" si="20"/>
        <v>43.96485085725935</v>
      </c>
    </row>
    <row r="153" spans="7:16" x14ac:dyDescent="0.25">
      <c r="G153" s="66">
        <f>'Hors-Site'!G19</f>
        <v>0</v>
      </c>
      <c r="H153" s="66">
        <f>'Hors-Site'!AC19</f>
        <v>349.44683180201883</v>
      </c>
      <c r="I153" s="66">
        <f>Tableau1[[#This Row],[USD]]*$J$4</f>
        <v>803727.71314464335</v>
      </c>
      <c r="J153" s="66">
        <f t="shared" si="17"/>
        <v>641727.71314464335</v>
      </c>
      <c r="K153" s="66">
        <f t="shared" si="18"/>
        <v>0.15</v>
      </c>
      <c r="L153" s="66">
        <f t="shared" si="21"/>
        <v>96259.156971696502</v>
      </c>
      <c r="M153" s="66">
        <f t="shared" si="19"/>
        <v>101119.1569716965</v>
      </c>
      <c r="N153" s="66">
        <f t="shared" si="22"/>
        <v>0</v>
      </c>
      <c r="O153" s="66">
        <f t="shared" si="23"/>
        <v>101119.1569716965</v>
      </c>
      <c r="P153" s="66">
        <f t="shared" si="20"/>
        <v>43.96485085725935</v>
      </c>
    </row>
    <row r="154" spans="7:16" x14ac:dyDescent="0.25">
      <c r="G154" s="66">
        <f>'Hors-Site'!G20</f>
        <v>0</v>
      </c>
      <c r="H154" s="66">
        <f>'Hors-Site'!AC20</f>
        <v>502.16143622090897</v>
      </c>
      <c r="I154" s="66">
        <f>Tableau1[[#This Row],[USD]]*$J$4</f>
        <v>1154971.3033080907</v>
      </c>
      <c r="J154" s="66">
        <f t="shared" si="17"/>
        <v>992971.30330809066</v>
      </c>
      <c r="K154" s="66">
        <f t="shared" si="18"/>
        <v>0.15</v>
      </c>
      <c r="L154" s="66">
        <f t="shared" si="21"/>
        <v>148945.69549621359</v>
      </c>
      <c r="M154" s="66">
        <f t="shared" si="19"/>
        <v>153805.69549621359</v>
      </c>
      <c r="N154" s="66">
        <f t="shared" si="22"/>
        <v>0</v>
      </c>
      <c r="O154" s="66">
        <f t="shared" si="23"/>
        <v>153805.69549621359</v>
      </c>
      <c r="P154" s="66">
        <f t="shared" si="20"/>
        <v>66.872041520092864</v>
      </c>
    </row>
    <row r="155" spans="7:16" x14ac:dyDescent="0.25">
      <c r="G155" s="66">
        <f>'Hors-Site'!G21</f>
        <v>0</v>
      </c>
      <c r="H155" s="66">
        <f>'Hors-Site'!AC21</f>
        <v>349.44683180201883</v>
      </c>
      <c r="I155" s="66">
        <f>Tableau1[[#This Row],[USD]]*$J$4</f>
        <v>803727.71314464335</v>
      </c>
      <c r="J155" s="66">
        <f t="shared" si="17"/>
        <v>641727.71314464335</v>
      </c>
      <c r="K155" s="66">
        <f t="shared" si="18"/>
        <v>0.15</v>
      </c>
      <c r="L155" s="66">
        <f t="shared" si="21"/>
        <v>96259.156971696502</v>
      </c>
      <c r="M155" s="66">
        <f t="shared" si="19"/>
        <v>101119.1569716965</v>
      </c>
      <c r="N155" s="66">
        <f t="shared" si="22"/>
        <v>0</v>
      </c>
      <c r="O155" s="66">
        <f t="shared" si="23"/>
        <v>101119.1569716965</v>
      </c>
      <c r="P155" s="66">
        <f t="shared" si="20"/>
        <v>43.96485085725935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Sheet1 (2)</vt:lpstr>
      <vt:lpstr>Hors-Site</vt:lpstr>
      <vt:lpstr>Moteur IPR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Muakasa</dc:creator>
  <cp:lastModifiedBy>Tony Marques</cp:lastModifiedBy>
  <dcterms:created xsi:type="dcterms:W3CDTF">2026-09-17T12:30:11Z</dcterms:created>
  <dcterms:modified xsi:type="dcterms:W3CDTF">2026-09-22T17:18:39Z</dcterms:modified>
</cp:coreProperties>
</file>