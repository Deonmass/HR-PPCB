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onma\Desktop\"/>
    </mc:Choice>
  </mc:AlternateContent>
  <xr:revisionPtr revIDLastSave="0" documentId="8_{BC7F68B9-2574-4B54-A2FA-EEC08F300A32}" xr6:coauthVersionLast="47" xr6:coauthVersionMax="47" xr10:uidLastSave="{00000000-0000-0000-0000-000000000000}"/>
  <bookViews>
    <workbookView xWindow="-120" yWindow="-120" windowWidth="20730" windowHeight="11040" firstSheet="2" activeTab="2" xr2:uid="{86BFC699-D0C5-4693-BD4E-015B1EA327CD}"/>
  </bookViews>
  <sheets>
    <sheet name="Sheet1" sheetId="1" state="hidden" r:id="rId1"/>
    <sheet name="Sheet1 (2)" sheetId="2" state="hidden" r:id="rId2"/>
    <sheet name="PPC Usine-Zamba" sheetId="4" r:id="rId3"/>
    <sheet name="Moteur IPR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D6" i="4" l="1"/>
  <c r="BC6" i="4"/>
  <c r="BB6" i="4"/>
  <c r="BA6" i="4"/>
  <c r="AZ6" i="4"/>
  <c r="G127" i="3"/>
  <c r="G128" i="3"/>
  <c r="G129" i="3"/>
  <c r="H129" i="3"/>
  <c r="I129" i="3" s="1"/>
  <c r="K129" i="3" s="1"/>
  <c r="G130" i="3"/>
  <c r="H130" i="3"/>
  <c r="I130" i="3" s="1"/>
  <c r="K130" i="3" s="1"/>
  <c r="G131" i="3"/>
  <c r="H131" i="3"/>
  <c r="I131" i="3" s="1"/>
  <c r="K131" i="3" s="1"/>
  <c r="G132" i="3"/>
  <c r="H132" i="3"/>
  <c r="I132" i="3" s="1"/>
  <c r="K132" i="3" s="1"/>
  <c r="G133" i="3"/>
  <c r="H133" i="3"/>
  <c r="I133" i="3" s="1"/>
  <c r="K133" i="3" s="1"/>
  <c r="G134" i="3"/>
  <c r="H134" i="3"/>
  <c r="I134" i="3" s="1"/>
  <c r="K134" i="3" s="1"/>
  <c r="G135" i="3"/>
  <c r="H135" i="3"/>
  <c r="I135" i="3" s="1"/>
  <c r="K135" i="3" s="1"/>
  <c r="G136" i="3"/>
  <c r="H136" i="3"/>
  <c r="I136" i="3" s="1"/>
  <c r="K136" i="3" s="1"/>
  <c r="G137" i="3"/>
  <c r="H137" i="3"/>
  <c r="I137" i="3" s="1"/>
  <c r="K137" i="3" s="1"/>
  <c r="G138" i="3"/>
  <c r="H138" i="3"/>
  <c r="I138" i="3" s="1"/>
  <c r="K138" i="3" s="1"/>
  <c r="G139" i="3"/>
  <c r="H139" i="3"/>
  <c r="I139" i="3" s="1"/>
  <c r="K139" i="3" s="1"/>
  <c r="G140" i="3"/>
  <c r="H140" i="3"/>
  <c r="I140" i="3" s="1"/>
  <c r="K140" i="3" s="1"/>
  <c r="G141" i="3"/>
  <c r="H141" i="3"/>
  <c r="I141" i="3" s="1"/>
  <c r="K141" i="3" s="1"/>
  <c r="G142" i="3"/>
  <c r="H142" i="3"/>
  <c r="I142" i="3" s="1"/>
  <c r="K142" i="3" s="1"/>
  <c r="G143" i="3"/>
  <c r="H143" i="3"/>
  <c r="I143" i="3" s="1"/>
  <c r="K143" i="3" s="1"/>
  <c r="G144" i="3"/>
  <c r="H144" i="3"/>
  <c r="I144" i="3" s="1"/>
  <c r="K144" i="3" s="1"/>
  <c r="G145" i="3"/>
  <c r="H145" i="3"/>
  <c r="I145" i="3" s="1"/>
  <c r="K145" i="3" s="1"/>
  <c r="G146" i="3"/>
  <c r="H146" i="3"/>
  <c r="I146" i="3" s="1"/>
  <c r="K146" i="3" s="1"/>
  <c r="G147" i="3"/>
  <c r="H147" i="3"/>
  <c r="I147" i="3" s="1"/>
  <c r="K147" i="3" s="1"/>
  <c r="G148" i="3"/>
  <c r="H148" i="3"/>
  <c r="I148" i="3" s="1"/>
  <c r="J148" i="3" s="1"/>
  <c r="G149" i="3"/>
  <c r="H149" i="3"/>
  <c r="I149" i="3" s="1"/>
  <c r="G150" i="3"/>
  <c r="H150" i="3"/>
  <c r="I150" i="3" s="1"/>
  <c r="G151" i="3"/>
  <c r="H151" i="3"/>
  <c r="I151" i="3" s="1"/>
  <c r="G152" i="3"/>
  <c r="H152" i="3"/>
  <c r="I152" i="3" s="1"/>
  <c r="G153" i="3"/>
  <c r="H153" i="3"/>
  <c r="I153" i="3" s="1"/>
  <c r="G154" i="3"/>
  <c r="H154" i="3"/>
  <c r="I154" i="3" s="1"/>
  <c r="G155" i="3"/>
  <c r="H155" i="3"/>
  <c r="I155" i="3" s="1"/>
  <c r="Y6" i="4"/>
  <c r="W6" i="4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K148" i="3" l="1"/>
  <c r="L148" i="3" s="1"/>
  <c r="M148" i="3" s="1"/>
  <c r="BE6" i="4"/>
  <c r="AA6" i="4" s="1"/>
  <c r="J155" i="3"/>
  <c r="K155" i="3"/>
  <c r="J154" i="3"/>
  <c r="K154" i="3"/>
  <c r="J153" i="3"/>
  <c r="K153" i="3"/>
  <c r="J152" i="3"/>
  <c r="K152" i="3"/>
  <c r="J151" i="3"/>
  <c r="K151" i="3"/>
  <c r="J150" i="3"/>
  <c r="K150" i="3"/>
  <c r="J149" i="3"/>
  <c r="K149" i="3"/>
  <c r="J147" i="3"/>
  <c r="L147" i="3" s="1"/>
  <c r="M147" i="3" s="1"/>
  <c r="J146" i="3"/>
  <c r="L146" i="3" s="1"/>
  <c r="M146" i="3" s="1"/>
  <c r="J145" i="3"/>
  <c r="L145" i="3" s="1"/>
  <c r="M145" i="3" s="1"/>
  <c r="J144" i="3"/>
  <c r="L144" i="3" s="1"/>
  <c r="M144" i="3" s="1"/>
  <c r="J143" i="3"/>
  <c r="L143" i="3" s="1"/>
  <c r="M143" i="3" s="1"/>
  <c r="J142" i="3"/>
  <c r="L142" i="3" s="1"/>
  <c r="M142" i="3" s="1"/>
  <c r="J141" i="3"/>
  <c r="L141" i="3" s="1"/>
  <c r="M141" i="3" s="1"/>
  <c r="J140" i="3"/>
  <c r="L140" i="3" s="1"/>
  <c r="M140" i="3" s="1"/>
  <c r="J139" i="3"/>
  <c r="L139" i="3" s="1"/>
  <c r="M139" i="3" s="1"/>
  <c r="J138" i="3"/>
  <c r="L138" i="3" s="1"/>
  <c r="M138" i="3" s="1"/>
  <c r="J137" i="3"/>
  <c r="L137" i="3" s="1"/>
  <c r="M137" i="3" s="1"/>
  <c r="J136" i="3"/>
  <c r="L136" i="3" s="1"/>
  <c r="M136" i="3" s="1"/>
  <c r="J135" i="3"/>
  <c r="L135" i="3" s="1"/>
  <c r="M135" i="3" s="1"/>
  <c r="J134" i="3"/>
  <c r="L134" i="3" s="1"/>
  <c r="M134" i="3" s="1"/>
  <c r="J133" i="3"/>
  <c r="L133" i="3" s="1"/>
  <c r="M133" i="3" s="1"/>
  <c r="J132" i="3"/>
  <c r="L132" i="3" s="1"/>
  <c r="M132" i="3" s="1"/>
  <c r="J131" i="3"/>
  <c r="L131" i="3" s="1"/>
  <c r="M131" i="3" s="1"/>
  <c r="J130" i="3"/>
  <c r="L130" i="3" s="1"/>
  <c r="M130" i="3" s="1"/>
  <c r="J129" i="3"/>
  <c r="L129" i="3" s="1"/>
  <c r="M129" i="3" s="1"/>
  <c r="N148" i="3" l="1"/>
  <c r="O148" i="3" s="1"/>
  <c r="P148" i="3" s="1"/>
  <c r="L149" i="3"/>
  <c r="M149" i="3" s="1"/>
  <c r="L150" i="3"/>
  <c r="M150" i="3" s="1"/>
  <c r="L151" i="3"/>
  <c r="M151" i="3" s="1"/>
  <c r="L152" i="3"/>
  <c r="M152" i="3" s="1"/>
  <c r="L153" i="3"/>
  <c r="M153" i="3" s="1"/>
  <c r="L154" i="3"/>
  <c r="M154" i="3" s="1"/>
  <c r="L155" i="3"/>
  <c r="M155" i="3" s="1"/>
  <c r="N155" i="3" s="1"/>
  <c r="O155" i="3" s="1"/>
  <c r="P155" i="3" s="1"/>
  <c r="H128" i="3"/>
  <c r="I128" i="3" s="1"/>
  <c r="N130" i="3"/>
  <c r="O130" i="3" s="1"/>
  <c r="P130" i="3" s="1"/>
  <c r="N132" i="3"/>
  <c r="O132" i="3" s="1"/>
  <c r="P132" i="3" s="1"/>
  <c r="N134" i="3"/>
  <c r="O134" i="3" s="1"/>
  <c r="P134" i="3" s="1"/>
  <c r="N136" i="3"/>
  <c r="O136" i="3" s="1"/>
  <c r="P136" i="3" s="1"/>
  <c r="N138" i="3"/>
  <c r="O138" i="3" s="1"/>
  <c r="P138" i="3" s="1"/>
  <c r="N140" i="3"/>
  <c r="O140" i="3" s="1"/>
  <c r="P140" i="3" s="1"/>
  <c r="N142" i="3"/>
  <c r="O142" i="3" s="1"/>
  <c r="P142" i="3" s="1"/>
  <c r="N144" i="3"/>
  <c r="O144" i="3" s="1"/>
  <c r="P144" i="3" s="1"/>
  <c r="N146" i="3"/>
  <c r="O146" i="3" s="1"/>
  <c r="P146" i="3" s="1"/>
  <c r="N129" i="3"/>
  <c r="O129" i="3" s="1"/>
  <c r="P129" i="3" s="1"/>
  <c r="N131" i="3"/>
  <c r="O131" i="3" s="1"/>
  <c r="P131" i="3" s="1"/>
  <c r="N133" i="3"/>
  <c r="O133" i="3" s="1"/>
  <c r="P133" i="3" s="1"/>
  <c r="N135" i="3"/>
  <c r="O135" i="3" s="1"/>
  <c r="P135" i="3" s="1"/>
  <c r="N137" i="3"/>
  <c r="O137" i="3" s="1"/>
  <c r="P137" i="3" s="1"/>
  <c r="N139" i="3"/>
  <c r="O139" i="3" s="1"/>
  <c r="P139" i="3" s="1"/>
  <c r="N141" i="3"/>
  <c r="O141" i="3" s="1"/>
  <c r="P141" i="3" s="1"/>
  <c r="N143" i="3"/>
  <c r="O143" i="3" s="1"/>
  <c r="P143" i="3" s="1"/>
  <c r="N145" i="3"/>
  <c r="O145" i="3" s="1"/>
  <c r="P145" i="3" s="1"/>
  <c r="N147" i="3"/>
  <c r="O147" i="3" s="1"/>
  <c r="P147" i="3" s="1"/>
  <c r="H127" i="3"/>
  <c r="I127" i="3" s="1"/>
  <c r="K127" i="3" l="1"/>
  <c r="J127" i="3"/>
  <c r="N154" i="3"/>
  <c r="O154" i="3" s="1"/>
  <c r="P154" i="3" s="1"/>
  <c r="N152" i="3"/>
  <c r="O152" i="3" s="1"/>
  <c r="P152" i="3" s="1"/>
  <c r="N150" i="3"/>
  <c r="O150" i="3" s="1"/>
  <c r="P150" i="3" s="1"/>
  <c r="N153" i="3"/>
  <c r="O153" i="3" s="1"/>
  <c r="P153" i="3" s="1"/>
  <c r="N151" i="3"/>
  <c r="O151" i="3" s="1"/>
  <c r="P151" i="3" s="1"/>
  <c r="N149" i="3"/>
  <c r="O149" i="3" s="1"/>
  <c r="P149" i="3" s="1"/>
  <c r="K128" i="3"/>
  <c r="J128" i="3"/>
  <c r="L127" i="3" l="1"/>
  <c r="M127" i="3" s="1"/>
  <c r="N127" i="3" s="1"/>
  <c r="O127" i="3" s="1"/>
  <c r="P127" i="3" s="1"/>
  <c r="H79" i="3"/>
  <c r="I79" i="3" s="1"/>
  <c r="J79" i="3" s="1"/>
  <c r="L128" i="3"/>
  <c r="M128" i="3" s="1"/>
  <c r="N128" i="3" s="1"/>
  <c r="O128" i="3" s="1"/>
  <c r="P128" i="3" s="1"/>
  <c r="H86" i="3"/>
  <c r="I86" i="3" s="1"/>
  <c r="H19" i="3"/>
  <c r="I19" i="3" s="1"/>
  <c r="H125" i="3" l="1"/>
  <c r="I125" i="3" s="1"/>
  <c r="K125" i="3" s="1"/>
  <c r="K79" i="3"/>
  <c r="L79" i="3" s="1"/>
  <c r="M79" i="3" s="1"/>
  <c r="H23" i="3"/>
  <c r="I23" i="3" s="1"/>
  <c r="H104" i="3"/>
  <c r="I104" i="3" s="1"/>
  <c r="J104" i="3" s="1"/>
  <c r="H90" i="3"/>
  <c r="I90" i="3" s="1"/>
  <c r="H40" i="3"/>
  <c r="I40" i="3" s="1"/>
  <c r="H22" i="3"/>
  <c r="I22" i="3" s="1"/>
  <c r="K22" i="3" s="1"/>
  <c r="H15" i="3"/>
  <c r="I15" i="3" s="1"/>
  <c r="J15" i="3" s="1"/>
  <c r="H102" i="3"/>
  <c r="I102" i="3" s="1"/>
  <c r="K102" i="3" s="1"/>
  <c r="H36" i="3"/>
  <c r="I36" i="3" s="1"/>
  <c r="H94" i="3"/>
  <c r="I94" i="3" s="1"/>
  <c r="K94" i="3" s="1"/>
  <c r="H68" i="3"/>
  <c r="I68" i="3" s="1"/>
  <c r="J68" i="3" s="1"/>
  <c r="J19" i="3"/>
  <c r="K19" i="3"/>
  <c r="H100" i="3"/>
  <c r="I100" i="3" s="1"/>
  <c r="J86" i="3"/>
  <c r="K86" i="3"/>
  <c r="H28" i="3"/>
  <c r="I28" i="3" s="1"/>
  <c r="H11" i="3"/>
  <c r="I11" i="3" s="1"/>
  <c r="H98" i="3"/>
  <c r="I98" i="3" s="1"/>
  <c r="H92" i="3"/>
  <c r="I92" i="3" s="1"/>
  <c r="H84" i="3"/>
  <c r="I84" i="3" s="1"/>
  <c r="H48" i="3"/>
  <c r="I48" i="3" s="1"/>
  <c r="H44" i="3"/>
  <c r="I44" i="3" s="1"/>
  <c r="H30" i="3"/>
  <c r="I30" i="3" s="1"/>
  <c r="H96" i="3"/>
  <c r="I96" i="3" s="1"/>
  <c r="H88" i="3"/>
  <c r="I88" i="3" s="1"/>
  <c r="H126" i="3"/>
  <c r="I126" i="3" s="1"/>
  <c r="H121" i="3"/>
  <c r="I121" i="3" s="1"/>
  <c r="H34" i="3"/>
  <c r="I34" i="3" s="1"/>
  <c r="H32" i="3"/>
  <c r="I32" i="3" s="1"/>
  <c r="H26" i="3"/>
  <c r="I26" i="3" s="1"/>
  <c r="H24" i="3"/>
  <c r="I24" i="3" s="1"/>
  <c r="H63" i="3"/>
  <c r="I63" i="3" s="1"/>
  <c r="H59" i="3"/>
  <c r="I59" i="3" s="1"/>
  <c r="H55" i="3"/>
  <c r="I55" i="3" s="1"/>
  <c r="H51" i="3"/>
  <c r="I51" i="3" s="1"/>
  <c r="H82" i="3"/>
  <c r="I82" i="3" s="1"/>
  <c r="H80" i="3"/>
  <c r="I80" i="3" s="1"/>
  <c r="H76" i="3"/>
  <c r="I76" i="3" s="1"/>
  <c r="H72" i="3"/>
  <c r="I72" i="3" s="1"/>
  <c r="H61" i="3"/>
  <c r="I61" i="3" s="1"/>
  <c r="H57" i="3"/>
  <c r="I57" i="3" s="1"/>
  <c r="H53" i="3"/>
  <c r="I53" i="3" s="1"/>
  <c r="H46" i="3"/>
  <c r="I46" i="3" s="1"/>
  <c r="H119" i="3"/>
  <c r="I119" i="3" s="1"/>
  <c r="H111" i="3"/>
  <c r="I111" i="3" s="1"/>
  <c r="H122" i="3"/>
  <c r="I122" i="3" s="1"/>
  <c r="H117" i="3"/>
  <c r="I117" i="3" s="1"/>
  <c r="H109" i="3"/>
  <c r="I109" i="3" s="1"/>
  <c r="H115" i="3"/>
  <c r="I115" i="3" s="1"/>
  <c r="H107" i="3"/>
  <c r="I107" i="3" s="1"/>
  <c r="H124" i="3"/>
  <c r="I124" i="3" s="1"/>
  <c r="H120" i="3"/>
  <c r="I120" i="3" s="1"/>
  <c r="H113" i="3"/>
  <c r="I113" i="3" s="1"/>
  <c r="H74" i="3"/>
  <c r="I74" i="3" s="1"/>
  <c r="H78" i="3"/>
  <c r="I78" i="3" s="1"/>
  <c r="H105" i="3"/>
  <c r="I105" i="3" s="1"/>
  <c r="H118" i="3"/>
  <c r="I118" i="3" s="1"/>
  <c r="H116" i="3"/>
  <c r="I116" i="3" s="1"/>
  <c r="H114" i="3"/>
  <c r="I114" i="3" s="1"/>
  <c r="H112" i="3"/>
  <c r="I112" i="3" s="1"/>
  <c r="H110" i="3"/>
  <c r="I110" i="3" s="1"/>
  <c r="H108" i="3"/>
  <c r="I108" i="3" s="1"/>
  <c r="H106" i="3"/>
  <c r="I106" i="3" s="1"/>
  <c r="H87" i="3"/>
  <c r="I87" i="3" s="1"/>
  <c r="H75" i="3"/>
  <c r="I75" i="3" s="1"/>
  <c r="H71" i="3"/>
  <c r="I71" i="3" s="1"/>
  <c r="H66" i="3"/>
  <c r="I66" i="3" s="1"/>
  <c r="H85" i="3"/>
  <c r="I85" i="3" s="1"/>
  <c r="H83" i="3"/>
  <c r="I83" i="3" s="1"/>
  <c r="H81" i="3"/>
  <c r="I81" i="3" s="1"/>
  <c r="H77" i="3"/>
  <c r="I77" i="3" s="1"/>
  <c r="H73" i="3"/>
  <c r="I73" i="3" s="1"/>
  <c r="H69" i="3"/>
  <c r="I69" i="3" s="1"/>
  <c r="H67" i="3"/>
  <c r="I67" i="3" s="1"/>
  <c r="H21" i="3"/>
  <c r="I21" i="3" s="1"/>
  <c r="H64" i="3"/>
  <c r="I64" i="3" s="1"/>
  <c r="H60" i="3"/>
  <c r="I60" i="3" s="1"/>
  <c r="H56" i="3"/>
  <c r="I56" i="3" s="1"/>
  <c r="H52" i="3"/>
  <c r="I52" i="3" s="1"/>
  <c r="H47" i="3"/>
  <c r="I47" i="3" s="1"/>
  <c r="H43" i="3"/>
  <c r="I43" i="3" s="1"/>
  <c r="H39" i="3"/>
  <c r="I39" i="3" s="1"/>
  <c r="H35" i="3"/>
  <c r="I35" i="3" s="1"/>
  <c r="H17" i="3"/>
  <c r="I17" i="3" s="1"/>
  <c r="H65" i="3"/>
  <c r="I65" i="3" s="1"/>
  <c r="H62" i="3"/>
  <c r="I62" i="3" s="1"/>
  <c r="H58" i="3"/>
  <c r="I58" i="3" s="1"/>
  <c r="H54" i="3"/>
  <c r="I54" i="3" s="1"/>
  <c r="H50" i="3"/>
  <c r="I50" i="3" s="1"/>
  <c r="H33" i="3"/>
  <c r="I33" i="3" s="1"/>
  <c r="H31" i="3"/>
  <c r="I31" i="3" s="1"/>
  <c r="H29" i="3"/>
  <c r="I29" i="3" s="1"/>
  <c r="H27" i="3"/>
  <c r="I27" i="3" s="1"/>
  <c r="H25" i="3"/>
  <c r="I25" i="3" s="1"/>
  <c r="H13" i="3"/>
  <c r="I13" i="3" s="1"/>
  <c r="H49" i="3"/>
  <c r="I49" i="3" s="1"/>
  <c r="H45" i="3"/>
  <c r="I45" i="3" s="1"/>
  <c r="H41" i="3"/>
  <c r="I41" i="3" s="1"/>
  <c r="H37" i="3"/>
  <c r="I37" i="3" s="1"/>
  <c r="H20" i="3"/>
  <c r="I20" i="3" s="1"/>
  <c r="H16" i="3"/>
  <c r="I16" i="3" s="1"/>
  <c r="H12" i="3"/>
  <c r="I12" i="3" s="1"/>
  <c r="H18" i="3"/>
  <c r="I18" i="3" s="1"/>
  <c r="H14" i="3"/>
  <c r="I14" i="3" s="1"/>
  <c r="H10" i="3"/>
  <c r="I10" i="3" s="1"/>
  <c r="H9" i="3"/>
  <c r="I9" i="3" s="1"/>
  <c r="H8" i="3"/>
  <c r="I8" i="3" s="1"/>
  <c r="J125" i="3" l="1"/>
  <c r="L125" i="3" s="1"/>
  <c r="M125" i="3" s="1"/>
  <c r="N125" i="3" s="1"/>
  <c r="O125" i="3" s="1"/>
  <c r="P125" i="3" s="1"/>
  <c r="K104" i="3"/>
  <c r="L104" i="3" s="1"/>
  <c r="M104" i="3" s="1"/>
  <c r="N104" i="3" s="1"/>
  <c r="O104" i="3" s="1"/>
  <c r="P104" i="3" s="1"/>
  <c r="K68" i="3"/>
  <c r="L68" i="3" s="1"/>
  <c r="M68" i="3" s="1"/>
  <c r="N68" i="3" s="1"/>
  <c r="O68" i="3" s="1"/>
  <c r="P68" i="3" s="1"/>
  <c r="J22" i="3"/>
  <c r="L22" i="3" s="1"/>
  <c r="M22" i="3" s="1"/>
  <c r="N22" i="3" s="1"/>
  <c r="O22" i="3" s="1"/>
  <c r="P22" i="3" s="1"/>
  <c r="K15" i="3"/>
  <c r="L15" i="3" s="1"/>
  <c r="M15" i="3" s="1"/>
  <c r="N15" i="3" s="1"/>
  <c r="O15" i="3" s="1"/>
  <c r="P15" i="3" s="1"/>
  <c r="H123" i="3"/>
  <c r="I123" i="3" s="1"/>
  <c r="J123" i="3" s="1"/>
  <c r="J94" i="3"/>
  <c r="L94" i="3" s="1"/>
  <c r="M94" i="3" s="1"/>
  <c r="N94" i="3" s="1"/>
  <c r="O94" i="3" s="1"/>
  <c r="P94" i="3" s="1"/>
  <c r="J102" i="3"/>
  <c r="L102" i="3" s="1"/>
  <c r="M102" i="3" s="1"/>
  <c r="N102" i="3" s="1"/>
  <c r="O102" i="3" s="1"/>
  <c r="P102" i="3" s="1"/>
  <c r="L19" i="3"/>
  <c r="M19" i="3" s="1"/>
  <c r="N19" i="3" s="1"/>
  <c r="O19" i="3" s="1"/>
  <c r="P19" i="3" s="1"/>
  <c r="J23" i="3"/>
  <c r="K23" i="3"/>
  <c r="K36" i="3"/>
  <c r="J36" i="3"/>
  <c r="K40" i="3"/>
  <c r="J40" i="3"/>
  <c r="K45" i="3"/>
  <c r="J45" i="3"/>
  <c r="K49" i="3"/>
  <c r="J49" i="3"/>
  <c r="J27" i="3"/>
  <c r="K27" i="3"/>
  <c r="K31" i="3"/>
  <c r="J31" i="3"/>
  <c r="K50" i="3"/>
  <c r="J50" i="3"/>
  <c r="K54" i="3"/>
  <c r="J54" i="3"/>
  <c r="K58" i="3"/>
  <c r="J58" i="3"/>
  <c r="J62" i="3"/>
  <c r="K62" i="3"/>
  <c r="J17" i="3"/>
  <c r="K17" i="3"/>
  <c r="K39" i="3"/>
  <c r="J39" i="3"/>
  <c r="K46" i="3"/>
  <c r="J46" i="3"/>
  <c r="K52" i="3"/>
  <c r="J52" i="3"/>
  <c r="J60" i="3"/>
  <c r="K60" i="3"/>
  <c r="J67" i="3"/>
  <c r="K67" i="3"/>
  <c r="J69" i="3"/>
  <c r="K69" i="3"/>
  <c r="J73" i="3"/>
  <c r="K73" i="3"/>
  <c r="J77" i="3"/>
  <c r="K77" i="3"/>
  <c r="J81" i="3"/>
  <c r="K81" i="3"/>
  <c r="J87" i="3"/>
  <c r="K87" i="3"/>
  <c r="J106" i="3"/>
  <c r="K106" i="3"/>
  <c r="J108" i="3"/>
  <c r="K108" i="3"/>
  <c r="J110" i="3"/>
  <c r="K110" i="3"/>
  <c r="J112" i="3"/>
  <c r="K112" i="3"/>
  <c r="J114" i="3"/>
  <c r="K114" i="3"/>
  <c r="J116" i="3"/>
  <c r="K116" i="3"/>
  <c r="J118" i="3"/>
  <c r="K118" i="3"/>
  <c r="J105" i="3"/>
  <c r="K105" i="3"/>
  <c r="J78" i="3"/>
  <c r="K78" i="3"/>
  <c r="J113" i="3"/>
  <c r="K113" i="3"/>
  <c r="J120" i="3"/>
  <c r="K120" i="3"/>
  <c r="J124" i="3"/>
  <c r="K124" i="3"/>
  <c r="J107" i="3"/>
  <c r="K107" i="3"/>
  <c r="J117" i="3"/>
  <c r="K117" i="3"/>
  <c r="J122" i="3"/>
  <c r="K122" i="3"/>
  <c r="J111" i="3"/>
  <c r="K111" i="3"/>
  <c r="J90" i="3"/>
  <c r="K90" i="3"/>
  <c r="J100" i="3"/>
  <c r="K100" i="3"/>
  <c r="J72" i="3"/>
  <c r="K72" i="3"/>
  <c r="J82" i="3"/>
  <c r="K82" i="3"/>
  <c r="K51" i="3"/>
  <c r="J51" i="3"/>
  <c r="K59" i="3"/>
  <c r="J59" i="3"/>
  <c r="J24" i="3"/>
  <c r="K24" i="3"/>
  <c r="K32" i="3"/>
  <c r="J32" i="3"/>
  <c r="J96" i="3"/>
  <c r="K96" i="3"/>
  <c r="K44" i="3"/>
  <c r="J44" i="3"/>
  <c r="J98" i="3"/>
  <c r="K98" i="3"/>
  <c r="J11" i="3"/>
  <c r="K11" i="3"/>
  <c r="N79" i="3"/>
  <c r="O79" i="3" s="1"/>
  <c r="P79" i="3" s="1"/>
  <c r="L86" i="3"/>
  <c r="M86" i="3" s="1"/>
  <c r="J14" i="3"/>
  <c r="K14" i="3"/>
  <c r="J18" i="3"/>
  <c r="K18" i="3"/>
  <c r="J12" i="3"/>
  <c r="K12" i="3"/>
  <c r="J16" i="3"/>
  <c r="K16" i="3"/>
  <c r="J20" i="3"/>
  <c r="K20" i="3"/>
  <c r="K37" i="3"/>
  <c r="J37" i="3"/>
  <c r="K41" i="3"/>
  <c r="J41" i="3"/>
  <c r="K48" i="3"/>
  <c r="J48" i="3"/>
  <c r="J13" i="3"/>
  <c r="K13" i="3"/>
  <c r="J25" i="3"/>
  <c r="K25" i="3"/>
  <c r="K29" i="3"/>
  <c r="J29" i="3"/>
  <c r="K33" i="3"/>
  <c r="J33" i="3"/>
  <c r="K57" i="3"/>
  <c r="J57" i="3"/>
  <c r="J74" i="3"/>
  <c r="K74" i="3"/>
  <c r="J65" i="3"/>
  <c r="K65" i="3"/>
  <c r="K35" i="3"/>
  <c r="J35" i="3"/>
  <c r="K43" i="3"/>
  <c r="J43" i="3"/>
  <c r="K47" i="3"/>
  <c r="J47" i="3"/>
  <c r="K56" i="3"/>
  <c r="J56" i="3"/>
  <c r="J64" i="3"/>
  <c r="K64" i="3"/>
  <c r="J21" i="3"/>
  <c r="K21" i="3"/>
  <c r="J83" i="3"/>
  <c r="K83" i="3"/>
  <c r="J85" i="3"/>
  <c r="K85" i="3"/>
  <c r="J66" i="3"/>
  <c r="K66" i="3"/>
  <c r="J71" i="3"/>
  <c r="K71" i="3"/>
  <c r="J75" i="3"/>
  <c r="K75" i="3"/>
  <c r="J115" i="3"/>
  <c r="K115" i="3"/>
  <c r="J109" i="3"/>
  <c r="K109" i="3"/>
  <c r="J119" i="3"/>
  <c r="K119" i="3"/>
  <c r="J92" i="3"/>
  <c r="K92" i="3"/>
  <c r="K53" i="3"/>
  <c r="J53" i="3"/>
  <c r="J61" i="3"/>
  <c r="K61" i="3"/>
  <c r="J76" i="3"/>
  <c r="K76" i="3"/>
  <c r="J80" i="3"/>
  <c r="K80" i="3"/>
  <c r="K55" i="3"/>
  <c r="J55" i="3"/>
  <c r="J63" i="3"/>
  <c r="K63" i="3"/>
  <c r="J26" i="3"/>
  <c r="K26" i="3"/>
  <c r="K34" i="3"/>
  <c r="J34" i="3"/>
  <c r="J121" i="3"/>
  <c r="K121" i="3"/>
  <c r="J126" i="3"/>
  <c r="K126" i="3"/>
  <c r="J88" i="3"/>
  <c r="K88" i="3"/>
  <c r="K30" i="3"/>
  <c r="J30" i="3"/>
  <c r="J84" i="3"/>
  <c r="K84" i="3"/>
  <c r="K28" i="3"/>
  <c r="J28" i="3"/>
  <c r="K10" i="3"/>
  <c r="J10" i="3"/>
  <c r="K9" i="3"/>
  <c r="J9" i="3"/>
  <c r="J8" i="3"/>
  <c r="K8" i="3"/>
  <c r="H38" i="3"/>
  <c r="I38" i="3" s="1"/>
  <c r="H42" i="3"/>
  <c r="I42" i="3" s="1"/>
  <c r="H70" i="3"/>
  <c r="I70" i="3" s="1"/>
  <c r="H89" i="3"/>
  <c r="I89" i="3" s="1"/>
  <c r="H91" i="3"/>
  <c r="I91" i="3" s="1"/>
  <c r="H93" i="3"/>
  <c r="I93" i="3" s="1"/>
  <c r="H95" i="3"/>
  <c r="I95" i="3" s="1"/>
  <c r="H97" i="3"/>
  <c r="I97" i="3" s="1"/>
  <c r="H99" i="3"/>
  <c r="I99" i="3" s="1"/>
  <c r="H101" i="3"/>
  <c r="I101" i="3" s="1"/>
  <c r="H103" i="3"/>
  <c r="I103" i="3" s="1"/>
  <c r="K123" i="3" l="1"/>
  <c r="L123" i="3" s="1"/>
  <c r="M123" i="3" s="1"/>
  <c r="N123" i="3" s="1"/>
  <c r="O123" i="3" s="1"/>
  <c r="P123" i="3" s="1"/>
  <c r="L9" i="3"/>
  <c r="M9" i="3" s="1"/>
  <c r="N9" i="3" s="1"/>
  <c r="O9" i="3" s="1"/>
  <c r="P9" i="3" s="1"/>
  <c r="L84" i="3"/>
  <c r="M84" i="3" s="1"/>
  <c r="N84" i="3" s="1"/>
  <c r="O84" i="3" s="1"/>
  <c r="P84" i="3" s="1"/>
  <c r="L88" i="3"/>
  <c r="M88" i="3" s="1"/>
  <c r="N88" i="3" s="1"/>
  <c r="O88" i="3" s="1"/>
  <c r="P88" i="3" s="1"/>
  <c r="L126" i="3"/>
  <c r="M126" i="3" s="1"/>
  <c r="N126" i="3" s="1"/>
  <c r="O126" i="3" s="1"/>
  <c r="P126" i="3" s="1"/>
  <c r="L121" i="3"/>
  <c r="M121" i="3" s="1"/>
  <c r="N121" i="3" s="1"/>
  <c r="O121" i="3" s="1"/>
  <c r="P121" i="3" s="1"/>
  <c r="L26" i="3"/>
  <c r="M26" i="3" s="1"/>
  <c r="N26" i="3" s="1"/>
  <c r="O26" i="3" s="1"/>
  <c r="P26" i="3" s="1"/>
  <c r="L63" i="3"/>
  <c r="M63" i="3" s="1"/>
  <c r="N63" i="3" s="1"/>
  <c r="O63" i="3" s="1"/>
  <c r="P63" i="3" s="1"/>
  <c r="L80" i="3"/>
  <c r="M80" i="3" s="1"/>
  <c r="N80" i="3" s="1"/>
  <c r="O80" i="3" s="1"/>
  <c r="P80" i="3" s="1"/>
  <c r="L76" i="3"/>
  <c r="M76" i="3" s="1"/>
  <c r="N76" i="3" s="1"/>
  <c r="O76" i="3" s="1"/>
  <c r="P76" i="3" s="1"/>
  <c r="L61" i="3"/>
  <c r="M61" i="3" s="1"/>
  <c r="N61" i="3" s="1"/>
  <c r="O61" i="3" s="1"/>
  <c r="P61" i="3" s="1"/>
  <c r="L92" i="3"/>
  <c r="M92" i="3" s="1"/>
  <c r="N92" i="3" s="1"/>
  <c r="O92" i="3" s="1"/>
  <c r="P92" i="3" s="1"/>
  <c r="L119" i="3"/>
  <c r="M119" i="3" s="1"/>
  <c r="N119" i="3" s="1"/>
  <c r="O119" i="3" s="1"/>
  <c r="P119" i="3" s="1"/>
  <c r="L109" i="3"/>
  <c r="M109" i="3" s="1"/>
  <c r="N109" i="3" s="1"/>
  <c r="O109" i="3" s="1"/>
  <c r="P109" i="3" s="1"/>
  <c r="L115" i="3"/>
  <c r="M115" i="3" s="1"/>
  <c r="N115" i="3" s="1"/>
  <c r="O115" i="3" s="1"/>
  <c r="P115" i="3" s="1"/>
  <c r="L75" i="3"/>
  <c r="M75" i="3" s="1"/>
  <c r="N75" i="3" s="1"/>
  <c r="O75" i="3" s="1"/>
  <c r="P75" i="3" s="1"/>
  <c r="L71" i="3"/>
  <c r="M71" i="3" s="1"/>
  <c r="N71" i="3" s="1"/>
  <c r="O71" i="3" s="1"/>
  <c r="P71" i="3" s="1"/>
  <c r="L66" i="3"/>
  <c r="M66" i="3" s="1"/>
  <c r="L85" i="3"/>
  <c r="M85" i="3" s="1"/>
  <c r="N85" i="3" s="1"/>
  <c r="O85" i="3" s="1"/>
  <c r="P85" i="3" s="1"/>
  <c r="L83" i="3"/>
  <c r="M83" i="3" s="1"/>
  <c r="N83" i="3" s="1"/>
  <c r="O83" i="3" s="1"/>
  <c r="P83" i="3" s="1"/>
  <c r="L21" i="3"/>
  <c r="M21" i="3" s="1"/>
  <c r="N21" i="3" s="1"/>
  <c r="O21" i="3" s="1"/>
  <c r="P21" i="3" s="1"/>
  <c r="L64" i="3"/>
  <c r="M64" i="3" s="1"/>
  <c r="L65" i="3"/>
  <c r="M65" i="3" s="1"/>
  <c r="N65" i="3" s="1"/>
  <c r="O65" i="3" s="1"/>
  <c r="P65" i="3" s="1"/>
  <c r="L74" i="3"/>
  <c r="M74" i="3" s="1"/>
  <c r="N74" i="3" s="1"/>
  <c r="O74" i="3" s="1"/>
  <c r="P74" i="3" s="1"/>
  <c r="L25" i="3"/>
  <c r="M25" i="3" s="1"/>
  <c r="N25" i="3" s="1"/>
  <c r="O25" i="3" s="1"/>
  <c r="P25" i="3" s="1"/>
  <c r="L13" i="3"/>
  <c r="M13" i="3" s="1"/>
  <c r="N13" i="3" s="1"/>
  <c r="O13" i="3" s="1"/>
  <c r="P13" i="3" s="1"/>
  <c r="L20" i="3"/>
  <c r="M20" i="3" s="1"/>
  <c r="N20" i="3" s="1"/>
  <c r="O20" i="3" s="1"/>
  <c r="P20" i="3" s="1"/>
  <c r="L16" i="3"/>
  <c r="M16" i="3" s="1"/>
  <c r="N16" i="3" s="1"/>
  <c r="O16" i="3" s="1"/>
  <c r="P16" i="3" s="1"/>
  <c r="L12" i="3"/>
  <c r="M12" i="3" s="1"/>
  <c r="N12" i="3" s="1"/>
  <c r="O12" i="3" s="1"/>
  <c r="P12" i="3" s="1"/>
  <c r="L18" i="3"/>
  <c r="M18" i="3" s="1"/>
  <c r="N18" i="3" s="1"/>
  <c r="O18" i="3" s="1"/>
  <c r="P18" i="3" s="1"/>
  <c r="L14" i="3"/>
  <c r="M14" i="3" s="1"/>
  <c r="N14" i="3" s="1"/>
  <c r="O14" i="3" s="1"/>
  <c r="P14" i="3" s="1"/>
  <c r="L78" i="3"/>
  <c r="M78" i="3" s="1"/>
  <c r="N78" i="3" s="1"/>
  <c r="O78" i="3" s="1"/>
  <c r="P78" i="3" s="1"/>
  <c r="L105" i="3"/>
  <c r="M105" i="3" s="1"/>
  <c r="N105" i="3" s="1"/>
  <c r="O105" i="3" s="1"/>
  <c r="P105" i="3" s="1"/>
  <c r="L118" i="3"/>
  <c r="M118" i="3" s="1"/>
  <c r="L116" i="3"/>
  <c r="M116" i="3" s="1"/>
  <c r="N116" i="3" s="1"/>
  <c r="O116" i="3" s="1"/>
  <c r="P116" i="3" s="1"/>
  <c r="L114" i="3"/>
  <c r="M114" i="3" s="1"/>
  <c r="L112" i="3"/>
  <c r="M112" i="3" s="1"/>
  <c r="N112" i="3" s="1"/>
  <c r="O112" i="3" s="1"/>
  <c r="P112" i="3" s="1"/>
  <c r="L110" i="3"/>
  <c r="M110" i="3" s="1"/>
  <c r="L108" i="3"/>
  <c r="M108" i="3" s="1"/>
  <c r="N108" i="3" s="1"/>
  <c r="O108" i="3" s="1"/>
  <c r="P108" i="3" s="1"/>
  <c r="L106" i="3"/>
  <c r="M106" i="3" s="1"/>
  <c r="L87" i="3"/>
  <c r="M87" i="3" s="1"/>
  <c r="N87" i="3" s="1"/>
  <c r="O87" i="3" s="1"/>
  <c r="P87" i="3" s="1"/>
  <c r="L81" i="3"/>
  <c r="M81" i="3" s="1"/>
  <c r="N81" i="3" s="1"/>
  <c r="O81" i="3" s="1"/>
  <c r="P81" i="3" s="1"/>
  <c r="L77" i="3"/>
  <c r="M77" i="3" s="1"/>
  <c r="N77" i="3" s="1"/>
  <c r="O77" i="3" s="1"/>
  <c r="P77" i="3" s="1"/>
  <c r="L73" i="3"/>
  <c r="M73" i="3" s="1"/>
  <c r="N73" i="3" s="1"/>
  <c r="O73" i="3" s="1"/>
  <c r="P73" i="3" s="1"/>
  <c r="L69" i="3"/>
  <c r="M69" i="3" s="1"/>
  <c r="N69" i="3" s="1"/>
  <c r="O69" i="3" s="1"/>
  <c r="P69" i="3" s="1"/>
  <c r="L67" i="3"/>
  <c r="M67" i="3" s="1"/>
  <c r="N67" i="3" s="1"/>
  <c r="O67" i="3" s="1"/>
  <c r="P67" i="3" s="1"/>
  <c r="L60" i="3"/>
  <c r="M60" i="3" s="1"/>
  <c r="N60" i="3" s="1"/>
  <c r="O60" i="3" s="1"/>
  <c r="P60" i="3" s="1"/>
  <c r="L17" i="3"/>
  <c r="M17" i="3" s="1"/>
  <c r="N17" i="3" s="1"/>
  <c r="O17" i="3" s="1"/>
  <c r="P17" i="3" s="1"/>
  <c r="L62" i="3"/>
  <c r="M62" i="3" s="1"/>
  <c r="N62" i="3" s="1"/>
  <c r="O62" i="3" s="1"/>
  <c r="P62" i="3" s="1"/>
  <c r="L27" i="3"/>
  <c r="M27" i="3" s="1"/>
  <c r="N27" i="3" s="1"/>
  <c r="O27" i="3" s="1"/>
  <c r="P27" i="3" s="1"/>
  <c r="L23" i="3"/>
  <c r="M23" i="3" s="1"/>
  <c r="N23" i="3" s="1"/>
  <c r="O23" i="3" s="1"/>
  <c r="P23" i="3" s="1"/>
  <c r="L44" i="3"/>
  <c r="M44" i="3" s="1"/>
  <c r="N44" i="3" s="1"/>
  <c r="O44" i="3" s="1"/>
  <c r="P44" i="3" s="1"/>
  <c r="L32" i="3"/>
  <c r="M32" i="3" s="1"/>
  <c r="N32" i="3" s="1"/>
  <c r="O32" i="3" s="1"/>
  <c r="P32" i="3" s="1"/>
  <c r="L59" i="3"/>
  <c r="M59" i="3" s="1"/>
  <c r="N59" i="3" s="1"/>
  <c r="O59" i="3" s="1"/>
  <c r="P59" i="3" s="1"/>
  <c r="L51" i="3"/>
  <c r="M51" i="3" s="1"/>
  <c r="N51" i="3" s="1"/>
  <c r="O51" i="3" s="1"/>
  <c r="P51" i="3" s="1"/>
  <c r="J103" i="3"/>
  <c r="K103" i="3"/>
  <c r="J101" i="3"/>
  <c r="K101" i="3"/>
  <c r="J99" i="3"/>
  <c r="K99" i="3"/>
  <c r="J97" i="3"/>
  <c r="K97" i="3"/>
  <c r="J95" i="3"/>
  <c r="K95" i="3"/>
  <c r="J91" i="3"/>
  <c r="K91" i="3"/>
  <c r="J89" i="3"/>
  <c r="K89" i="3"/>
  <c r="K42" i="3"/>
  <c r="J42" i="3"/>
  <c r="J70" i="3"/>
  <c r="K70" i="3"/>
  <c r="K38" i="3"/>
  <c r="J38" i="3"/>
  <c r="L28" i="3"/>
  <c r="M28" i="3" s="1"/>
  <c r="L30" i="3"/>
  <c r="M30" i="3" s="1"/>
  <c r="L34" i="3"/>
  <c r="M34" i="3" s="1"/>
  <c r="L55" i="3"/>
  <c r="M55" i="3" s="1"/>
  <c r="L53" i="3"/>
  <c r="M53" i="3" s="1"/>
  <c r="L56" i="3"/>
  <c r="M56" i="3" s="1"/>
  <c r="L47" i="3"/>
  <c r="M47" i="3" s="1"/>
  <c r="L43" i="3"/>
  <c r="M43" i="3" s="1"/>
  <c r="L35" i="3"/>
  <c r="M35" i="3" s="1"/>
  <c r="L57" i="3"/>
  <c r="M57" i="3" s="1"/>
  <c r="L33" i="3"/>
  <c r="M33" i="3" s="1"/>
  <c r="L29" i="3"/>
  <c r="M29" i="3" s="1"/>
  <c r="L48" i="3"/>
  <c r="M48" i="3" s="1"/>
  <c r="L41" i="3"/>
  <c r="M41" i="3" s="1"/>
  <c r="L37" i="3"/>
  <c r="M37" i="3" s="1"/>
  <c r="L11" i="3"/>
  <c r="M11" i="3" s="1"/>
  <c r="N11" i="3" s="1"/>
  <c r="O11" i="3" s="1"/>
  <c r="P11" i="3" s="1"/>
  <c r="L98" i="3"/>
  <c r="M98" i="3" s="1"/>
  <c r="L96" i="3"/>
  <c r="M96" i="3" s="1"/>
  <c r="L24" i="3"/>
  <c r="M24" i="3" s="1"/>
  <c r="N24" i="3" s="1"/>
  <c r="O24" i="3" s="1"/>
  <c r="P24" i="3" s="1"/>
  <c r="L82" i="3"/>
  <c r="M82" i="3" s="1"/>
  <c r="L72" i="3"/>
  <c r="M72" i="3" s="1"/>
  <c r="L100" i="3"/>
  <c r="M100" i="3" s="1"/>
  <c r="L90" i="3"/>
  <c r="M90" i="3" s="1"/>
  <c r="L111" i="3"/>
  <c r="M111" i="3" s="1"/>
  <c r="L122" i="3"/>
  <c r="M122" i="3" s="1"/>
  <c r="L117" i="3"/>
  <c r="M117" i="3" s="1"/>
  <c r="L107" i="3"/>
  <c r="M107" i="3" s="1"/>
  <c r="L124" i="3"/>
  <c r="M124" i="3" s="1"/>
  <c r="N124" i="3" s="1"/>
  <c r="O124" i="3" s="1"/>
  <c r="P124" i="3" s="1"/>
  <c r="L120" i="3"/>
  <c r="M120" i="3" s="1"/>
  <c r="L113" i="3"/>
  <c r="M113" i="3" s="1"/>
  <c r="L52" i="3"/>
  <c r="M52" i="3" s="1"/>
  <c r="L46" i="3"/>
  <c r="M46" i="3" s="1"/>
  <c r="L39" i="3"/>
  <c r="M39" i="3" s="1"/>
  <c r="L58" i="3"/>
  <c r="M58" i="3" s="1"/>
  <c r="L54" i="3"/>
  <c r="M54" i="3" s="1"/>
  <c r="L50" i="3"/>
  <c r="M50" i="3" s="1"/>
  <c r="L31" i="3"/>
  <c r="M31" i="3" s="1"/>
  <c r="L49" i="3"/>
  <c r="M49" i="3" s="1"/>
  <c r="L45" i="3"/>
  <c r="M45" i="3" s="1"/>
  <c r="L40" i="3"/>
  <c r="M40" i="3" s="1"/>
  <c r="L36" i="3"/>
  <c r="M36" i="3" s="1"/>
  <c r="J93" i="3"/>
  <c r="K93" i="3"/>
  <c r="N86" i="3"/>
  <c r="O86" i="3" s="1"/>
  <c r="P86" i="3" s="1"/>
  <c r="L10" i="3"/>
  <c r="M10" i="3" s="1"/>
  <c r="N10" i="3" s="1"/>
  <c r="O10" i="3" s="1"/>
  <c r="P10" i="3" s="1"/>
  <c r="L8" i="3"/>
  <c r="M8" i="3" s="1"/>
  <c r="N8" i="3" s="1"/>
  <c r="O8" i="3" s="1"/>
  <c r="P8" i="3" s="1"/>
  <c r="L89" i="3" l="1"/>
  <c r="M89" i="3" s="1"/>
  <c r="N89" i="3" s="1"/>
  <c r="O89" i="3" s="1"/>
  <c r="P89" i="3" s="1"/>
  <c r="L91" i="3"/>
  <c r="M91" i="3" s="1"/>
  <c r="N91" i="3" s="1"/>
  <c r="O91" i="3" s="1"/>
  <c r="P91" i="3" s="1"/>
  <c r="N106" i="3"/>
  <c r="O106" i="3" s="1"/>
  <c r="P106" i="3" s="1"/>
  <c r="N110" i="3"/>
  <c r="O110" i="3" s="1"/>
  <c r="P110" i="3" s="1"/>
  <c r="N114" i="3"/>
  <c r="O114" i="3" s="1"/>
  <c r="P114" i="3" s="1"/>
  <c r="N118" i="3"/>
  <c r="O118" i="3" s="1"/>
  <c r="P118" i="3" s="1"/>
  <c r="N64" i="3"/>
  <c r="O64" i="3" s="1"/>
  <c r="P64" i="3" s="1"/>
  <c r="N66" i="3"/>
  <c r="O66" i="3" s="1"/>
  <c r="P66" i="3" s="1"/>
  <c r="L95" i="3"/>
  <c r="M95" i="3" s="1"/>
  <c r="N95" i="3" s="1"/>
  <c r="O95" i="3" s="1"/>
  <c r="P95" i="3" s="1"/>
  <c r="L97" i="3"/>
  <c r="M97" i="3" s="1"/>
  <c r="N97" i="3" s="1"/>
  <c r="O97" i="3" s="1"/>
  <c r="P97" i="3" s="1"/>
  <c r="L99" i="3"/>
  <c r="M99" i="3" s="1"/>
  <c r="N99" i="3" s="1"/>
  <c r="O99" i="3" s="1"/>
  <c r="P99" i="3" s="1"/>
  <c r="L101" i="3"/>
  <c r="M101" i="3" s="1"/>
  <c r="N101" i="3" s="1"/>
  <c r="O101" i="3" s="1"/>
  <c r="P101" i="3" s="1"/>
  <c r="L70" i="3"/>
  <c r="M70" i="3" s="1"/>
  <c r="N70" i="3" s="1"/>
  <c r="L93" i="3"/>
  <c r="M93" i="3" s="1"/>
  <c r="N40" i="3"/>
  <c r="O40" i="3" s="1"/>
  <c r="P40" i="3" s="1"/>
  <c r="N49" i="3"/>
  <c r="O49" i="3" s="1"/>
  <c r="P49" i="3" s="1"/>
  <c r="N50" i="3"/>
  <c r="O50" i="3" s="1"/>
  <c r="P50" i="3" s="1"/>
  <c r="N58" i="3"/>
  <c r="O58" i="3" s="1"/>
  <c r="P58" i="3" s="1"/>
  <c r="N46" i="3"/>
  <c r="O46" i="3" s="1"/>
  <c r="P46" i="3" s="1"/>
  <c r="N113" i="3"/>
  <c r="O113" i="3" s="1"/>
  <c r="P113" i="3" s="1"/>
  <c r="N117" i="3"/>
  <c r="O117" i="3" s="1"/>
  <c r="P117" i="3" s="1"/>
  <c r="N111" i="3"/>
  <c r="O111" i="3" s="1"/>
  <c r="P111" i="3" s="1"/>
  <c r="N100" i="3"/>
  <c r="O100" i="3" s="1"/>
  <c r="P100" i="3" s="1"/>
  <c r="N82" i="3"/>
  <c r="O82" i="3" s="1"/>
  <c r="P82" i="3" s="1"/>
  <c r="N96" i="3"/>
  <c r="O96" i="3" s="1"/>
  <c r="P96" i="3" s="1"/>
  <c r="N41" i="3"/>
  <c r="O41" i="3" s="1"/>
  <c r="P41" i="3" s="1"/>
  <c r="N29" i="3"/>
  <c r="O29" i="3" s="1"/>
  <c r="P29" i="3" s="1"/>
  <c r="N57" i="3"/>
  <c r="O57" i="3" s="1"/>
  <c r="P57" i="3" s="1"/>
  <c r="N43" i="3"/>
  <c r="O43" i="3" s="1"/>
  <c r="P43" i="3" s="1"/>
  <c r="N56" i="3"/>
  <c r="O56" i="3" s="1"/>
  <c r="P56" i="3" s="1"/>
  <c r="N55" i="3"/>
  <c r="O55" i="3" s="1"/>
  <c r="P55" i="3" s="1"/>
  <c r="N30" i="3"/>
  <c r="O30" i="3" s="1"/>
  <c r="P30" i="3" s="1"/>
  <c r="L38" i="3"/>
  <c r="M38" i="3" s="1"/>
  <c r="L42" i="3"/>
  <c r="M42" i="3" s="1"/>
  <c r="N36" i="3"/>
  <c r="O36" i="3" s="1"/>
  <c r="P36" i="3" s="1"/>
  <c r="N45" i="3"/>
  <c r="O45" i="3" s="1"/>
  <c r="P45" i="3" s="1"/>
  <c r="N31" i="3"/>
  <c r="O31" i="3" s="1"/>
  <c r="P31" i="3" s="1"/>
  <c r="N54" i="3"/>
  <c r="O54" i="3" s="1"/>
  <c r="P54" i="3" s="1"/>
  <c r="N39" i="3"/>
  <c r="O39" i="3" s="1"/>
  <c r="P39" i="3" s="1"/>
  <c r="N52" i="3"/>
  <c r="O52" i="3" s="1"/>
  <c r="P52" i="3" s="1"/>
  <c r="N120" i="3"/>
  <c r="O120" i="3" s="1"/>
  <c r="P120" i="3" s="1"/>
  <c r="N107" i="3"/>
  <c r="O107" i="3" s="1"/>
  <c r="P107" i="3" s="1"/>
  <c r="N122" i="3"/>
  <c r="O122" i="3" s="1"/>
  <c r="P122" i="3" s="1"/>
  <c r="N90" i="3"/>
  <c r="O90" i="3" s="1"/>
  <c r="P90" i="3" s="1"/>
  <c r="N72" i="3"/>
  <c r="O72" i="3" s="1"/>
  <c r="P72" i="3" s="1"/>
  <c r="N98" i="3"/>
  <c r="O98" i="3" s="1"/>
  <c r="P98" i="3" s="1"/>
  <c r="N37" i="3"/>
  <c r="O37" i="3" s="1"/>
  <c r="P37" i="3" s="1"/>
  <c r="N48" i="3"/>
  <c r="O48" i="3" s="1"/>
  <c r="P48" i="3" s="1"/>
  <c r="N33" i="3"/>
  <c r="O33" i="3" s="1"/>
  <c r="P33" i="3" s="1"/>
  <c r="N35" i="3"/>
  <c r="O35" i="3" s="1"/>
  <c r="P35" i="3" s="1"/>
  <c r="N47" i="3"/>
  <c r="O47" i="3" s="1"/>
  <c r="P47" i="3" s="1"/>
  <c r="N53" i="3"/>
  <c r="O53" i="3" s="1"/>
  <c r="P53" i="3" s="1"/>
  <c r="N34" i="3"/>
  <c r="O34" i="3" s="1"/>
  <c r="P34" i="3" s="1"/>
  <c r="N28" i="3"/>
  <c r="O28" i="3" s="1"/>
  <c r="P28" i="3" s="1"/>
  <c r="L103" i="3"/>
  <c r="M103" i="3" s="1"/>
  <c r="O70" i="3" l="1"/>
  <c r="P70" i="3" s="1"/>
  <c r="N93" i="3"/>
  <c r="O93" i="3" s="1"/>
  <c r="P93" i="3" s="1"/>
  <c r="N42" i="3"/>
  <c r="O42" i="3" s="1"/>
  <c r="P42" i="3" s="1"/>
  <c r="N103" i="3"/>
  <c r="O103" i="3" s="1"/>
  <c r="P103" i="3" s="1"/>
  <c r="N38" i="3"/>
  <c r="O38" i="3" s="1"/>
  <c r="P38" i="3" s="1"/>
  <c r="P6" i="4"/>
  <c r="M6" i="4"/>
  <c r="Z6" i="4" l="1"/>
  <c r="S6" i="4"/>
  <c r="T6" i="4" s="1"/>
  <c r="Q6" i="4"/>
  <c r="N6" i="4"/>
  <c r="K6" i="4"/>
  <c r="U6" i="4" l="1"/>
  <c r="AB6" i="4"/>
  <c r="X8" i="2"/>
  <c r="Z8" i="2" s="1"/>
  <c r="U8" i="2"/>
  <c r="V8" i="2" s="1"/>
  <c r="S8" i="2"/>
  <c r="P8" i="2"/>
  <c r="M8" i="2"/>
  <c r="W8" i="2" l="1"/>
  <c r="AB8" i="2"/>
  <c r="AD8" i="2" s="1"/>
  <c r="AK6" i="4"/>
  <c r="AJ6" i="4"/>
  <c r="AI6" i="4"/>
  <c r="AD6" i="4"/>
  <c r="AC6" i="4" l="1"/>
  <c r="H7" i="3"/>
  <c r="I7" i="3" s="1"/>
  <c r="AL6" i="4"/>
  <c r="K7" i="3" l="1"/>
  <c r="J7" i="3"/>
  <c r="H6" i="3"/>
  <c r="I6" i="3" s="1"/>
  <c r="J6" i="3" s="1"/>
  <c r="L7" i="3" l="1"/>
  <c r="M7" i="3" s="1"/>
  <c r="N7" i="3" s="1"/>
  <c r="O7" i="3" s="1"/>
  <c r="P7" i="3" s="1"/>
  <c r="K6" i="3"/>
  <c r="L6" i="3" s="1"/>
  <c r="M6" i="3" l="1"/>
  <c r="N6" i="3" s="1"/>
  <c r="O6" i="3" s="1"/>
  <c r="P6" i="3" s="1"/>
  <c r="AE6" i="4" l="1"/>
  <c r="AF6" i="4" s="1"/>
  <c r="AH6" i="4" s="1"/>
  <c r="AM6" i="4" l="1"/>
  <c r="AQ6" i="4" l="1"/>
  <c r="AR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X8" authorId="0" shapeId="0" xr:uid="{E3D35FCB-B6C4-4C25-ABC4-FD29FB14536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Nbr jr x course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38" authorId="0" shapeId="0" xr:uid="{885A2CB9-02D4-4723-AB92-3237856F69D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RAWBANK</t>
        </r>
      </text>
    </comment>
    <comment ref="E39" authorId="0" shapeId="0" xr:uid="{EDA5A671-F64F-458F-B961-1312E4E5A46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RAWBANK</t>
        </r>
      </text>
    </comment>
    <comment ref="E42" authorId="0" shapeId="0" xr:uid="{66BD2CF4-CE69-4720-B2C4-2272E1E6314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RAWBANK</t>
        </r>
      </text>
    </comment>
    <comment ref="E55" authorId="0" shapeId="0" xr:uid="{F9F91207-9B72-46BD-B3B3-F98744DC9196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RAWBANK</t>
        </r>
      </text>
    </comment>
    <comment ref="E58" authorId="0" shapeId="0" xr:uid="{C684F92D-4FFE-4305-8344-E2E4C262E1E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RAWBANK</t>
        </r>
      </text>
    </comment>
    <comment ref="E65" authorId="0" shapeId="0" xr:uid="{51575E9F-2B1F-46C7-B08D-A8DA3054655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RAWBANK</t>
        </r>
      </text>
    </comment>
    <comment ref="E122" authorId="0" shapeId="0" xr:uid="{FF7D0E39-3A07-40AE-9F5A-D66758A6A33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RAWBANK</t>
        </r>
      </text>
    </comment>
  </commentList>
</comments>
</file>

<file path=xl/sharedStrings.xml><?xml version="1.0" encoding="utf-8"?>
<sst xmlns="http://schemas.openxmlformats.org/spreadsheetml/2006/main" count="742" uniqueCount="405">
  <si>
    <t>JOURS FERIES</t>
  </si>
  <si>
    <t>JOURS CONGES</t>
  </si>
  <si>
    <t>Brut Impos</t>
  </si>
  <si>
    <t>Sal Impos</t>
  </si>
  <si>
    <t>Net à Payer</t>
  </si>
  <si>
    <t>Gross Salary</t>
  </si>
  <si>
    <t>CLASSE</t>
  </si>
  <si>
    <t>JOURS MALADIES</t>
  </si>
  <si>
    <t>INDEMNITES</t>
  </si>
  <si>
    <t>M.B</t>
  </si>
  <si>
    <t>TVA</t>
  </si>
  <si>
    <t>MATR</t>
  </si>
  <si>
    <t>NOMS</t>
  </si>
  <si>
    <t>FONCTIONS</t>
  </si>
  <si>
    <t>NUMERO CNSS</t>
  </si>
  <si>
    <t>NUMERO DE COMPTE</t>
  </si>
  <si>
    <t>BANQUE</t>
  </si>
  <si>
    <t>Jrs</t>
  </si>
  <si>
    <t>Tx/Jr</t>
  </si>
  <si>
    <t>Base</t>
  </si>
  <si>
    <t>Logm</t>
  </si>
  <si>
    <t>Trs / Jrs</t>
  </si>
  <si>
    <t>Tot Trs</t>
  </si>
  <si>
    <t>Cnss/O</t>
  </si>
  <si>
    <t>Ipr</t>
  </si>
  <si>
    <t>Total</t>
  </si>
  <si>
    <t>Cnss/P</t>
  </si>
  <si>
    <t>Inpp</t>
  </si>
  <si>
    <t>Onem</t>
  </si>
  <si>
    <t>Overtime 130% (Hrs)</t>
  </si>
  <si>
    <t>Overtime 160% (Hrs)</t>
  </si>
  <si>
    <t>Overtime 200% (Hrs)</t>
  </si>
  <si>
    <t>Overtime 10% (Hrs)</t>
  </si>
  <si>
    <t>Overtime 25% (Hrs)</t>
  </si>
  <si>
    <t>Overtime 130% US$</t>
  </si>
  <si>
    <t>Overtime 160% US$</t>
  </si>
  <si>
    <t>Overtime 200% US$</t>
  </si>
  <si>
    <t>Overtime 10% US$</t>
  </si>
  <si>
    <t>Overtime 25% US$</t>
  </si>
  <si>
    <t>Total overtime</t>
  </si>
  <si>
    <t>Classification</t>
  </si>
  <si>
    <t>PAIE PPC AOUT 2026</t>
  </si>
  <si>
    <t>BASE</t>
  </si>
  <si>
    <t>JOURS PRESTES</t>
  </si>
  <si>
    <t>MONT HEURES SUPP</t>
  </si>
  <si>
    <t>DEDUCTIONS EMPLOYEE</t>
  </si>
  <si>
    <t>DEDUCTION PATRONALE</t>
  </si>
  <si>
    <t>Provision PPE</t>
  </si>
  <si>
    <t>Prov. S. Méd.</t>
  </si>
  <si>
    <t>Total Gén</t>
  </si>
  <si>
    <t>Trs Dimanche&amp; Feries</t>
  </si>
  <si>
    <t>AVANCES</t>
  </si>
  <si>
    <t>Sundays</t>
  </si>
  <si>
    <t>Pointage</t>
  </si>
  <si>
    <t>base/pointage</t>
  </si>
  <si>
    <t>sal base bareme</t>
  </si>
  <si>
    <t>base mensuel</t>
  </si>
  <si>
    <t>Jrsxtx</t>
  </si>
  <si>
    <t>0.667*tx</t>
  </si>
  <si>
    <t>30%base pres, fer, cong,mal</t>
  </si>
  <si>
    <t>Nbr jr x course</t>
  </si>
  <si>
    <t>Awxtras</t>
  </si>
  <si>
    <t>x+y</t>
  </si>
  <si>
    <t>BH</t>
  </si>
  <si>
    <t>Bases+HS</t>
  </si>
  <si>
    <t>BIx5%</t>
  </si>
  <si>
    <t>AB-AD</t>
  </si>
  <si>
    <t>Tranches</t>
  </si>
  <si>
    <t>AD+AE</t>
  </si>
  <si>
    <t>BI,Log, inden-avance-deduct</t>
  </si>
  <si>
    <t>13%BI</t>
  </si>
  <si>
    <t>2%BI</t>
  </si>
  <si>
    <t>0.5%BI</t>
  </si>
  <si>
    <t>AI+AJ+AK</t>
  </si>
  <si>
    <t>Forfait</t>
  </si>
  <si>
    <t>forfait</t>
  </si>
  <si>
    <t>%AN</t>
  </si>
  <si>
    <t>AD+AE+AG+AH+AL</t>
  </si>
  <si>
    <t>16%AN</t>
  </si>
  <si>
    <t>AN+AO+AP+AQ+AR</t>
  </si>
  <si>
    <t>(Txj/8)*av*ba</t>
  </si>
  <si>
    <t>taux</t>
  </si>
  <si>
    <t>valeur inf</t>
  </si>
  <si>
    <t>valeur sup</t>
  </si>
  <si>
    <t>cumul</t>
  </si>
  <si>
    <t>nbre pers</t>
  </si>
  <si>
    <t>USD</t>
  </si>
  <si>
    <t>CDF</t>
  </si>
  <si>
    <t>BI</t>
  </si>
  <si>
    <t>Taux</t>
  </si>
  <si>
    <t>Tranche</t>
  </si>
  <si>
    <t>Cumul IPR</t>
  </si>
  <si>
    <t>Rabais</t>
  </si>
  <si>
    <t>IPR NET</t>
  </si>
  <si>
    <t>IPR USD</t>
  </si>
  <si>
    <t>Base2</t>
  </si>
  <si>
    <t>Jrs3</t>
  </si>
  <si>
    <t>Tx/Jr4</t>
  </si>
  <si>
    <t>Base5</t>
  </si>
  <si>
    <t>Jrs6</t>
  </si>
  <si>
    <t>Tx/Jr7</t>
  </si>
  <si>
    <t>Base8</t>
  </si>
  <si>
    <t>Jrs9</t>
  </si>
  <si>
    <t>Tx/Jr10</t>
  </si>
  <si>
    <t>Base11</t>
  </si>
  <si>
    <t>Total12</t>
  </si>
  <si>
    <t>Dépendant</t>
  </si>
  <si>
    <t>TULOMBA NSIMBA BIENVENU</t>
  </si>
  <si>
    <t>NKULUKI MBOBA BODRI</t>
  </si>
  <si>
    <t>SUNGA MAVITA ARNAL</t>
  </si>
  <si>
    <t>LUSAKU TUMBA HERBI</t>
  </si>
  <si>
    <t>BAGS STORE CONTROLLER</t>
  </si>
  <si>
    <t>MAKOSI LUNZAYILADIO JOHN</t>
  </si>
  <si>
    <t>BOILER MAKER</t>
  </si>
  <si>
    <t>NTEDIKA NTEDIKA Edgard</t>
  </si>
  <si>
    <t>BUILDER</t>
  </si>
  <si>
    <t>MBELOLO KIESE Philemon</t>
  </si>
  <si>
    <t>CARPENTER</t>
  </si>
  <si>
    <t>WETE MANDIANGU PAUL</t>
  </si>
  <si>
    <t>CLEANER</t>
  </si>
  <si>
    <t>BANZA MUSUAMBA Cyntiche</t>
  </si>
  <si>
    <t>BALOKI NYAMBU GLORIA</t>
  </si>
  <si>
    <t>CRUSHER OPERATOR</t>
  </si>
  <si>
    <t>NKAYILU MPANGU PATRICK</t>
  </si>
  <si>
    <t>NGABU MAKANZU Gabriel</t>
  </si>
  <si>
    <t>BONGENDE BOFALE ALAIN</t>
  </si>
  <si>
    <t>BAVEDILA LENDA RIGOBERT</t>
  </si>
  <si>
    <t>DRILLER OPERATOR</t>
  </si>
  <si>
    <t>NSEMBOLO NSEMBOLO BLAISE</t>
  </si>
  <si>
    <t>DRIVER</t>
  </si>
  <si>
    <t>TENDA DIWASILUA BINGI</t>
  </si>
  <si>
    <t>MAKENGELE KISAMBU HENOCK</t>
  </si>
  <si>
    <t>MUTSHI MUNA JEAN PIERRE</t>
  </si>
  <si>
    <t>DIKI NGANGU</t>
  </si>
  <si>
    <t>SENDA BAKOMISA</t>
  </si>
  <si>
    <t>DIAWAKANA NKUMANI SEBASTIEN</t>
  </si>
  <si>
    <t xml:space="preserve">260000143824754 </t>
  </si>
  <si>
    <t>NDANDU YAZOLA RODRIGUE</t>
  </si>
  <si>
    <t>ELECTRICIAN</t>
  </si>
  <si>
    <t>BATUKUEMI MATONDO Dieu</t>
  </si>
  <si>
    <t>MISAMU NGOLO ROUSSEL</t>
  </si>
  <si>
    <t>MANSATILA LUTETE JUNIOR</t>
  </si>
  <si>
    <t>WATUZOLA WENAYETO Osée</t>
  </si>
  <si>
    <t>MBILA MBAKULU DAVID</t>
  </si>
  <si>
    <t>NDUBU LUNTELADIO JOEL</t>
  </si>
  <si>
    <t>MUKANDA KASHABALA FRANCIS</t>
  </si>
  <si>
    <t>NSUMBU NLANDU FAVARO</t>
  </si>
  <si>
    <t>LUZOLO LUAMFUMU Chadrack</t>
  </si>
  <si>
    <t>AGAMAKA MONENE DELORD</t>
  </si>
  <si>
    <t>05126-01175328001-38</t>
  </si>
  <si>
    <t>05126-00163104701-63</t>
  </si>
  <si>
    <t>MUZIAMA KAHOTA MIRIAM</t>
  </si>
  <si>
    <t>ELECTRICIENNE</t>
  </si>
  <si>
    <t>MWANAFIOTI AYAY Bénédicte</t>
  </si>
  <si>
    <t>ENVIRONMENTAL SUPPORT</t>
  </si>
  <si>
    <t>05126-01148329001-01</t>
  </si>
  <si>
    <t>MATONDO NZUZI ROGER</t>
  </si>
  <si>
    <t>FITTER</t>
  </si>
  <si>
    <t>KINKELA WANZAMBI JAEBET</t>
  </si>
  <si>
    <t>NSIYASOBUA MPILA Emmanuel</t>
  </si>
  <si>
    <t>MANDIANGU NDONGALA DIEU</t>
  </si>
  <si>
    <t>DIAKIKADILA MPOFI ANDRE</t>
  </si>
  <si>
    <t>NSEKA MAKUMBU</t>
  </si>
  <si>
    <t>FITTER AND DRIVER CRANE OPERATOR</t>
  </si>
  <si>
    <t>MAZELE NKOSI AUGUSTIN</t>
  </si>
  <si>
    <t>FITTER MECHANICAL FABRICATION</t>
  </si>
  <si>
    <t>BILONGO LUKOMBO Gaston</t>
  </si>
  <si>
    <t>HANDY MAN MECHANICAL</t>
  </si>
  <si>
    <t>LUZOLO MVIBUDULU Trésor</t>
  </si>
  <si>
    <t>BETADI BUTUASILUA ESPOIR</t>
  </si>
  <si>
    <t>HANDYMAN</t>
  </si>
  <si>
    <t>KISOKA NDONGALA GUYLAIN</t>
  </si>
  <si>
    <t>NDUMBA MAYUNDA Aristote</t>
  </si>
  <si>
    <t>LUTETE MALU DAVOLY</t>
  </si>
  <si>
    <t>MBALA LUZUAKI Barthy</t>
  </si>
  <si>
    <t xml:space="preserve">05126-01194181001-89  </t>
  </si>
  <si>
    <t>NZOLANTIMA TEKADIOMONA</t>
  </si>
  <si>
    <t>HANDYMAN FITTER</t>
  </si>
  <si>
    <t>LUBENZO LUKAU BERTH</t>
  </si>
  <si>
    <t>HR SUPPORT</t>
  </si>
  <si>
    <t xml:space="preserve">05126-00759367001-57 </t>
  </si>
  <si>
    <t>BITALA MAYASI FABRICE</t>
  </si>
  <si>
    <t>ISSUER</t>
  </si>
  <si>
    <t xml:space="preserve">260000146116476 </t>
  </si>
  <si>
    <t>MATONDO KONDE ABIMELEK</t>
  </si>
  <si>
    <t>LAB TESTER</t>
  </si>
  <si>
    <t>BAVUIDI NSIAMUNU BODRI</t>
  </si>
  <si>
    <t>544100123045456</t>
  </si>
  <si>
    <t>MBIKI MUYINDA HYPPOLITE</t>
  </si>
  <si>
    <t>LAVANDIER</t>
  </si>
  <si>
    <t>BOYENGE SAVUVU</t>
  </si>
  <si>
    <t>LIMESTONE CRUSHING PATROLLING</t>
  </si>
  <si>
    <t>NGINDU FUKA LIEVIN</t>
  </si>
  <si>
    <t>BABEKI DIAKIESE Chris</t>
  </si>
  <si>
    <t>05126-01148956001-25</t>
  </si>
  <si>
    <t>NTALA MBOTE CHIRAC</t>
  </si>
  <si>
    <t>LUBRICATOR SUPERVISOR</t>
  </si>
  <si>
    <t>KANGUFU MABENGI DIEU</t>
  </si>
  <si>
    <t>LUBRIFICATOR HANDYMAN</t>
  </si>
  <si>
    <t>MAMPUYA LUTOMASANSA Hugor</t>
  </si>
  <si>
    <t>MECHANICAL</t>
  </si>
  <si>
    <t xml:space="preserve">05126-01180964001-11 </t>
  </si>
  <si>
    <t>SANDABA NZAYILADIO BODRICK</t>
  </si>
  <si>
    <t>MECHANICAL LUBRIFICATOR</t>
  </si>
  <si>
    <t>DIBANTESA DIENAYAME SERGE</t>
  </si>
  <si>
    <t>PACKER OPERATOR</t>
  </si>
  <si>
    <t>NLEMVO LUKEMBESA MITTERRAND</t>
  </si>
  <si>
    <t>NKUNKU NDOMBASI TRESOR</t>
  </si>
  <si>
    <t>MVUMBU MVUMBU BARBEAU</t>
  </si>
  <si>
    <t>MANZAMBI SIMON JUSMI</t>
  </si>
  <si>
    <t>MAVAKALA NKEMBI KASONGO</t>
  </si>
  <si>
    <t>NZUANGU NZUANGU MARDOCHEE</t>
  </si>
  <si>
    <t>DIANANI KAYOKA Junior</t>
  </si>
  <si>
    <t>BASINSA LUSUNGAMA EDSON</t>
  </si>
  <si>
    <t>KALENGA MUTUKU Joél</t>
  </si>
  <si>
    <t>LITOKE MANGUBU BENJAMIN</t>
  </si>
  <si>
    <t>NSAYOLO MPETI ROCK</t>
  </si>
  <si>
    <t>BOKOLAMA MBANGA ERICK</t>
  </si>
  <si>
    <t>MUVOVA ELOLO GUYLAIN</t>
  </si>
  <si>
    <t>MAMBOTE DIANSOLA FABRICE</t>
  </si>
  <si>
    <t>MAVAKALA LAY JEREMIE</t>
  </si>
  <si>
    <t xml:space="preserve">05126-01054041001-70 </t>
  </si>
  <si>
    <t>05126-00178481401-59</t>
  </si>
  <si>
    <t>05126-00178483301-82</t>
  </si>
  <si>
    <t>MPAKA KANKU JONATHAN</t>
  </si>
  <si>
    <t>MBUTA KAMAYA YENS</t>
  </si>
  <si>
    <t>NKAZIANGANI MAKABI ROMS</t>
  </si>
  <si>
    <t>PARKING FIELD MARSHALL</t>
  </si>
  <si>
    <t>BILONGO MAFUILA JEAN PIERRE</t>
  </si>
  <si>
    <t>PARKING QUEUE SYSTEM CLERK</t>
  </si>
  <si>
    <t>NGOMA NANGA DIEU MERCI</t>
  </si>
  <si>
    <t>MOKANGA AYELO KELLY</t>
  </si>
  <si>
    <t>BETI EMMANUEL JOB</t>
  </si>
  <si>
    <t>PATROLLER</t>
  </si>
  <si>
    <t>MWIMBA NAWEJ CHRISTIAN</t>
  </si>
  <si>
    <t>YANZALA DIAKUMENE</t>
  </si>
  <si>
    <t>KAMENA NGIAYANU GUYLAIN</t>
  </si>
  <si>
    <t>BAKUSU METUSALA Richard</t>
  </si>
  <si>
    <t>PLUMBER</t>
  </si>
  <si>
    <t>PIRWOTH UCIRCAN JEAN DE DIEU</t>
  </si>
  <si>
    <t>PROCESS TECHNICIAN</t>
  </si>
  <si>
    <t>05126-00490623001-67</t>
  </si>
  <si>
    <t>NKIAWETE MBAKI Gregoire</t>
  </si>
  <si>
    <t>REBAR WORKER</t>
  </si>
  <si>
    <t>TENDA MAVANGA JEAN PAUL</t>
  </si>
  <si>
    <t>SAFETY WATCHER</t>
  </si>
  <si>
    <t>KUYIKAMA DOLA MICHAEL</t>
  </si>
  <si>
    <t>MAKANZU MANKELA Jonathan</t>
  </si>
  <si>
    <t>SAMPLER</t>
  </si>
  <si>
    <t>NTUKU NDOLUMINGU</t>
  </si>
  <si>
    <t>MABIALA MPEKO Dieu le veut</t>
  </si>
  <si>
    <t>VUMA SUENGE</t>
  </si>
  <si>
    <t>LUMBA NGIMBI ARISTOTE</t>
  </si>
  <si>
    <t>TOOLROOM ATTENDANT</t>
  </si>
  <si>
    <t>MAVINGA NKUAMBA RUBEN</t>
  </si>
  <si>
    <t>WAREHOUSE CLERK</t>
  </si>
  <si>
    <t>LUKALA KIESE KIALA GUYLAIN</t>
  </si>
  <si>
    <t>544100061256553</t>
  </si>
  <si>
    <t>KINAMAMBOTEKO VITA</t>
  </si>
  <si>
    <t>WEIGH BRIDGE OPERATOR</t>
  </si>
  <si>
    <t>DINZEYI PELENDA MALACHIE</t>
  </si>
  <si>
    <t>KIABUNDUA WALA SIMON</t>
  </si>
  <si>
    <t>MBALA LUTOMI MICHAEL</t>
  </si>
  <si>
    <t>MWIPATAYI MWANZA DONATIEN</t>
  </si>
  <si>
    <t>LUBEKO MABIALA SHEKINAH</t>
  </si>
  <si>
    <t>KWINGI NSIMBA Plamedi</t>
  </si>
  <si>
    <t>NEHIBUGO ZOZO SERAPHIN</t>
  </si>
  <si>
    <t>MFITU MANDOZI Emmanuel</t>
  </si>
  <si>
    <t>KALALA NTABIRA DAVID</t>
  </si>
  <si>
    <t>LILUMO INONGA Emmanuel</t>
  </si>
  <si>
    <t>NDUNDA TSOLUKA LADIE</t>
  </si>
  <si>
    <t>MAWILU NDONGA TICHIC</t>
  </si>
  <si>
    <t>KAPITA KAPITA JOSEPH</t>
  </si>
  <si>
    <t>MIATEZUA MIYAMINI LOIS</t>
  </si>
  <si>
    <t>099100079078535</t>
  </si>
  <si>
    <t>05126-01206204001-54</t>
  </si>
  <si>
    <t>EBCDC</t>
  </si>
  <si>
    <t>RAWBANK</t>
  </si>
  <si>
    <t>CHRS_PPC0118</t>
  </si>
  <si>
    <t>CHRS_PPC0096</t>
  </si>
  <si>
    <t>CHRS_PPC0115</t>
  </si>
  <si>
    <t>CHRS_PPC0042</t>
  </si>
  <si>
    <t>CHRS_PPC0050</t>
  </si>
  <si>
    <t>CHRS_PPC0105</t>
  </si>
  <si>
    <t>CHRS_PPC0067</t>
  </si>
  <si>
    <t>CHRS_PPC0005</t>
  </si>
  <si>
    <t>CHRS_PPC0016</t>
  </si>
  <si>
    <t>CHRS_PPC0054</t>
  </si>
  <si>
    <t>CHRS_PPC0004</t>
  </si>
  <si>
    <t>CHRS_PPC0090</t>
  </si>
  <si>
    <t>CHRS_PPC0093</t>
  </si>
  <si>
    <t>CHRS_PPC0008</t>
  </si>
  <si>
    <t>CHRS_PPC0017</t>
  </si>
  <si>
    <t>CHRS_PPC0101</t>
  </si>
  <si>
    <t>CHRS_PPC0116</t>
  </si>
  <si>
    <t>CHRS_PPC0049</t>
  </si>
  <si>
    <t>CHRS_PPC0078</t>
  </si>
  <si>
    <t>CHRS_PPC0023</t>
  </si>
  <si>
    <t>CHRS_PPC0021</t>
  </si>
  <si>
    <t>CHRS_PPC0114</t>
  </si>
  <si>
    <t>CHRS_PPC0001</t>
  </si>
  <si>
    <t>CHRS_PPC0007</t>
  </si>
  <si>
    <t>CHRS_PPC0045</t>
  </si>
  <si>
    <t>CHRS_PPC0055</t>
  </si>
  <si>
    <t>CHRS_PPC0085</t>
  </si>
  <si>
    <t>CHRS_PPC0086</t>
  </si>
  <si>
    <t>CHRS_PPC0103</t>
  </si>
  <si>
    <t>CHRS_PPC0120</t>
  </si>
  <si>
    <t>CHRS_PPC0080</t>
  </si>
  <si>
    <t>CHRS_PPC0077</t>
  </si>
  <si>
    <t>CHRS_PPC0073</t>
  </si>
  <si>
    <t>CHRS_PPC0069</t>
  </si>
  <si>
    <t>CHRS_PPC0082</t>
  </si>
  <si>
    <t>CHRS_PPC0059</t>
  </si>
  <si>
    <t>CHRS_PPC0032</t>
  </si>
  <si>
    <t>CHRS_PPC0076</t>
  </si>
  <si>
    <t>CHRS_PPC0053</t>
  </si>
  <si>
    <t>CHRS_PPC0019</t>
  </si>
  <si>
    <t>CHRS_PPC0100</t>
  </si>
  <si>
    <t>CHRS_PPC0064</t>
  </si>
  <si>
    <t>CHRS_PPC0012</t>
  </si>
  <si>
    <t>CHRS_PPC0046</t>
  </si>
  <si>
    <t>CHRS_PPC0010</t>
  </si>
  <si>
    <t>CHRS_PPC0033</t>
  </si>
  <si>
    <t>CHRS_PPC0087</t>
  </si>
  <si>
    <t>CHRS_PPC0044</t>
  </si>
  <si>
    <t>CHRS_PPC0066</t>
  </si>
  <si>
    <t>CHRS_PPC0107</t>
  </si>
  <si>
    <t>CHRS_PPC0039</t>
  </si>
  <si>
    <t>CHRS_PPC0014</t>
  </si>
  <si>
    <t>CHRS_PPC0009</t>
  </si>
  <si>
    <t>CHRS_PPC0058</t>
  </si>
  <si>
    <t>CHRS_PPC0068</t>
  </si>
  <si>
    <t>CHRS_PPC0018</t>
  </si>
  <si>
    <t>CHRS_PPC0043</t>
  </si>
  <si>
    <t>CHRS_PPC0091</t>
  </si>
  <si>
    <t>CHRS_PPC0002</t>
  </si>
  <si>
    <t>CHRS_PPC0104</t>
  </si>
  <si>
    <t>CHRS_PPC0028</t>
  </si>
  <si>
    <t>CHRS_PPC0052</t>
  </si>
  <si>
    <t>CHRS_PPC0113</t>
  </si>
  <si>
    <t>CHRS_PPC0022</t>
  </si>
  <si>
    <t>CHRS_PPC0098</t>
  </si>
  <si>
    <t>CHRS_PPC0097</t>
  </si>
  <si>
    <t>CHRS_PPC0081</t>
  </si>
  <si>
    <t>CHRS_PPC0056</t>
  </si>
  <si>
    <t>CHRS_PPC0061</t>
  </si>
  <si>
    <t>CHRS_PPC0108</t>
  </si>
  <si>
    <t>CHRS_PPC0020</t>
  </si>
  <si>
    <t>CHRS_PPC0006</t>
  </si>
  <si>
    <t>CHRS_PPC0026</t>
  </si>
  <si>
    <t>CHRS_PPC0037</t>
  </si>
  <si>
    <t>CHRS_PPC0099</t>
  </si>
  <si>
    <t>CHRS_PPC0015</t>
  </si>
  <si>
    <t>CHRS_PPC0079</t>
  </si>
  <si>
    <t>CHRS_PPC0051</t>
  </si>
  <si>
    <t>CHRS_PPC0060</t>
  </si>
  <si>
    <t>CHRS_PPC0070</t>
  </si>
  <si>
    <t>CHRS_PPC0094</t>
  </si>
  <si>
    <t>CHRS_PPC0075</t>
  </si>
  <si>
    <t>CHRS_PPC0013</t>
  </si>
  <si>
    <t>CHRS_PPC0092</t>
  </si>
  <si>
    <t>CHRS_PPC0074</t>
  </si>
  <si>
    <t>CHRS_PPC0011</t>
  </si>
  <si>
    <t>CHRS_PPC0083</t>
  </si>
  <si>
    <t>CHRS_PPC0121</t>
  </si>
  <si>
    <t>CHRS_PPC0027</t>
  </si>
  <si>
    <t>CHRS_PPC0003</t>
  </si>
  <si>
    <t>CHRS_PPC0111</t>
  </si>
  <si>
    <t>CHRS_PPC0095</t>
  </si>
  <si>
    <t>CHRS_PPC0117</t>
  </si>
  <si>
    <t>CHRS_PPC0034</t>
  </si>
  <si>
    <t>CHRS_PPC0048</t>
  </si>
  <si>
    <t>CHRS_PPC0106</t>
  </si>
  <si>
    <t>CHRS_PPC0119</t>
  </si>
  <si>
    <t>CHRS_PPC0047</t>
  </si>
  <si>
    <t>CHRS_PPC0041</t>
  </si>
  <si>
    <t>CHRS_PPC0062</t>
  </si>
  <si>
    <t>CHRS_PPC0040</t>
  </si>
  <si>
    <t>CHRS_PPC0031</t>
  </si>
  <si>
    <t>CHRS_PPC0024</t>
  </si>
  <si>
    <t>CHRS_PPC0030</t>
  </si>
  <si>
    <t>CHRS_PPC0065</t>
  </si>
  <si>
    <t>CHRS_PPC0084</t>
  </si>
  <si>
    <t>CHRS_PPC0038</t>
  </si>
  <si>
    <t>CHRS_PPC0035</t>
  </si>
  <si>
    <t>CHRS_PPC0089</t>
  </si>
  <si>
    <t>CHRS_PPC0071</t>
  </si>
  <si>
    <t>CHRS_PPC0025</t>
  </si>
  <si>
    <t>CHRS_PPC0029</t>
  </si>
  <si>
    <t>CHRS_PPC0036</t>
  </si>
  <si>
    <t>CHRS_PPC0063</t>
  </si>
  <si>
    <t>CHRS_PPC0072</t>
  </si>
  <si>
    <t>CHRS_PPC0088</t>
  </si>
  <si>
    <t>cout/Trs</t>
  </si>
  <si>
    <t>Jrs/feries&amp;Dimanche</t>
  </si>
  <si>
    <t>NDAYA VANGU Syntiche</t>
  </si>
  <si>
    <t>NSOLANI KASA Exaucé</t>
  </si>
  <si>
    <t>NSITAKODILA DIBASANA</t>
  </si>
  <si>
    <t>NSOMPETI SULUTANI-IBBAH JOSEPH</t>
  </si>
  <si>
    <t>NZINGA SOPHIA SYNTICHE</t>
  </si>
  <si>
    <t>MABIALA BANIONGA CHANCARD</t>
  </si>
  <si>
    <t>LUSAVUVU KIANGEBENI</t>
  </si>
  <si>
    <t>BOLA MANZA HELDER</t>
  </si>
  <si>
    <t>KILUVENGI MUKE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</si>
</sst>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rial"/>
      <family val="2"/>
    </font>
    <font>
      <b/>
      <sz val="11"/>
      <color rgb="FFFF0000"/>
      <name val="Arial"/>
      <family val="2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16">
    <xf numFmtId="0" fontId="0" fillId="0" borderId="0" xfId="0"/>
    <xf numFmtId="0" fontId="2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7" fillId="0" borderId="0" xfId="0" applyFont="1"/>
    <xf numFmtId="0" fontId="1" fillId="0" borderId="0" xfId="0" applyFont="1"/>
    <xf numFmtId="0" fontId="7" fillId="0" borderId="17" xfId="0" applyFont="1" applyBorder="1"/>
    <xf numFmtId="0" fontId="7" fillId="0" borderId="18" xfId="0" applyFont="1" applyBorder="1"/>
    <xf numFmtId="0" fontId="7" fillId="0" borderId="7" xfId="0" applyFont="1" applyBorder="1"/>
    <xf numFmtId="0" fontId="7" fillId="0" borderId="14" xfId="0" applyFont="1" applyBorder="1"/>
    <xf numFmtId="0" fontId="7" fillId="0" borderId="7" xfId="0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1" fillId="0" borderId="7" xfId="0" applyFont="1" applyBorder="1"/>
    <xf numFmtId="0" fontId="6" fillId="5" borderId="17" xfId="1" applyFont="1" applyFill="1" applyBorder="1" applyAlignment="1">
      <alignment horizontal="center"/>
    </xf>
    <xf numFmtId="0" fontId="6" fillId="5" borderId="0" xfId="1" applyFont="1" applyFill="1" applyAlignment="1">
      <alignment horizontal="center"/>
    </xf>
    <xf numFmtId="9" fontId="6" fillId="5" borderId="0" xfId="1" applyNumberFormat="1" applyFont="1" applyFill="1" applyAlignment="1">
      <alignment horizontal="center"/>
    </xf>
    <xf numFmtId="9" fontId="6" fillId="5" borderId="18" xfId="1" applyNumberFormat="1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/>
    </xf>
    <xf numFmtId="0" fontId="8" fillId="5" borderId="24" xfId="1" applyFont="1" applyFill="1" applyBorder="1" applyAlignment="1">
      <alignment vertical="center" wrapText="1"/>
    </xf>
    <xf numFmtId="0" fontId="8" fillId="5" borderId="19" xfId="1" applyFont="1" applyFill="1" applyBorder="1" applyAlignment="1">
      <alignment vertical="center" wrapText="1"/>
    </xf>
    <xf numFmtId="0" fontId="8" fillId="5" borderId="20" xfId="1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8" fillId="5" borderId="25" xfId="1" applyFont="1" applyFill="1" applyBorder="1" applyAlignment="1">
      <alignment horizontal="center" vertical="center" wrapText="1"/>
    </xf>
    <xf numFmtId="0" fontId="8" fillId="5" borderId="21" xfId="1" applyFont="1" applyFill="1" applyBorder="1" applyAlignment="1">
      <alignment horizontal="center" vertical="center" wrapText="1"/>
    </xf>
    <xf numFmtId="0" fontId="8" fillId="5" borderId="4" xfId="1" applyFont="1" applyFill="1" applyBorder="1" applyAlignment="1">
      <alignment horizontal="center" vertical="center" wrapText="1"/>
    </xf>
    <xf numFmtId="0" fontId="8" fillId="5" borderId="22" xfId="1" applyFont="1" applyFill="1" applyBorder="1" applyAlignment="1">
      <alignment horizontal="center" vertical="center" wrapText="1"/>
    </xf>
    <xf numFmtId="0" fontId="0" fillId="3" borderId="0" xfId="0" applyFill="1"/>
    <xf numFmtId="0" fontId="9" fillId="3" borderId="0" xfId="0" applyFont="1" applyFill="1"/>
    <xf numFmtId="0" fontId="12" fillId="9" borderId="26" xfId="0" applyFont="1" applyFill="1" applyBorder="1" applyAlignment="1">
      <alignment wrapText="1"/>
    </xf>
    <xf numFmtId="0" fontId="12" fillId="9" borderId="27" xfId="0" applyFont="1" applyFill="1" applyBorder="1" applyAlignment="1">
      <alignment wrapText="1"/>
    </xf>
    <xf numFmtId="9" fontId="12" fillId="9" borderId="28" xfId="0" applyNumberFormat="1" applyFont="1" applyFill="1" applyBorder="1" applyAlignment="1">
      <alignment horizontal="right" wrapText="1"/>
    </xf>
    <xf numFmtId="0" fontId="12" fillId="9" borderId="29" xfId="0" applyFont="1" applyFill="1" applyBorder="1" applyAlignment="1">
      <alignment horizontal="right" wrapText="1"/>
    </xf>
    <xf numFmtId="0" fontId="12" fillId="9" borderId="30" xfId="0" applyFont="1" applyFill="1" applyBorder="1" applyAlignment="1">
      <alignment wrapText="1"/>
    </xf>
    <xf numFmtId="0" fontId="12" fillId="9" borderId="30" xfId="0" applyFont="1" applyFill="1" applyBorder="1" applyAlignment="1">
      <alignment horizontal="right" wrapText="1"/>
    </xf>
    <xf numFmtId="9" fontId="12" fillId="9" borderId="30" xfId="0" applyNumberFormat="1" applyFont="1" applyFill="1" applyBorder="1" applyAlignment="1">
      <alignment horizontal="right" wrapText="1"/>
    </xf>
    <xf numFmtId="0" fontId="3" fillId="6" borderId="8" xfId="0" applyFont="1" applyFill="1" applyBorder="1" applyAlignment="1">
      <alignment vertical="center"/>
    </xf>
    <xf numFmtId="0" fontId="3" fillId="6" borderId="9" xfId="0" applyFont="1" applyFill="1" applyBorder="1" applyAlignment="1">
      <alignment vertical="center"/>
    </xf>
    <xf numFmtId="0" fontId="3" fillId="6" borderId="15" xfId="0" applyFont="1" applyFill="1" applyBorder="1" applyAlignment="1">
      <alignment vertical="center"/>
    </xf>
    <xf numFmtId="0" fontId="3" fillId="6" borderId="16" xfId="0" applyFont="1" applyFill="1" applyBorder="1" applyAlignment="1">
      <alignment vertical="center"/>
    </xf>
    <xf numFmtId="0" fontId="3" fillId="6" borderId="11" xfId="0" applyFont="1" applyFill="1" applyBorder="1" applyAlignment="1">
      <alignment vertical="center"/>
    </xf>
    <xf numFmtId="0" fontId="3" fillId="6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 wrapText="1"/>
    </xf>
    <xf numFmtId="0" fontId="7" fillId="8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vertical="center"/>
    </xf>
    <xf numFmtId="0" fontId="4" fillId="6" borderId="11" xfId="0" applyFont="1" applyFill="1" applyBorder="1" applyAlignment="1">
      <alignment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vertical="center" wrapText="1"/>
    </xf>
    <xf numFmtId="0" fontId="14" fillId="2" borderId="10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vertical="center"/>
    </xf>
    <xf numFmtId="0" fontId="14" fillId="2" borderId="7" xfId="0" applyFont="1" applyFill="1" applyBorder="1" applyAlignment="1">
      <alignment vertical="center" wrapText="1"/>
    </xf>
    <xf numFmtId="0" fontId="14" fillId="8" borderId="7" xfId="0" applyFont="1" applyFill="1" applyBorder="1" applyAlignment="1">
      <alignment vertical="center" wrapText="1"/>
    </xf>
    <xf numFmtId="0" fontId="14" fillId="0" borderId="0" xfId="0" applyFont="1"/>
    <xf numFmtId="4" fontId="0" fillId="0" borderId="0" xfId="0" applyNumberFormat="1" applyAlignment="1">
      <alignment horizontal="right"/>
    </xf>
    <xf numFmtId="4" fontId="14" fillId="0" borderId="0" xfId="0" applyNumberFormat="1" applyFont="1"/>
    <xf numFmtId="0" fontId="7" fillId="2" borderId="7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3" fontId="15" fillId="0" borderId="7" xfId="2" applyNumberFormat="1" applyFont="1" applyFill="1" applyBorder="1" applyAlignment="1">
      <alignment horizontal="left"/>
    </xf>
    <xf numFmtId="0" fontId="15" fillId="0" borderId="7" xfId="2" applyFont="1" applyFill="1" applyBorder="1" applyAlignment="1">
      <alignment horizontal="left"/>
    </xf>
    <xf numFmtId="0" fontId="14" fillId="0" borderId="0" xfId="0" applyFont="1" applyFill="1"/>
    <xf numFmtId="2" fontId="14" fillId="0" borderId="0" xfId="0" applyNumberFormat="1" applyFont="1" applyFill="1"/>
    <xf numFmtId="4" fontId="14" fillId="0" borderId="0" xfId="0" applyNumberFormat="1" applyFont="1" applyFill="1"/>
    <xf numFmtId="0" fontId="15" fillId="0" borderId="0" xfId="2" applyFont="1" applyFill="1" applyBorder="1" applyAlignment="1">
      <alignment horizontal="left"/>
    </xf>
    <xf numFmtId="1" fontId="15" fillId="0" borderId="12" xfId="2" applyNumberFormat="1" applyFont="1" applyFill="1" applyBorder="1" applyAlignment="1">
      <alignment horizontal="left"/>
    </xf>
    <xf numFmtId="1" fontId="15" fillId="0" borderId="0" xfId="2" applyNumberFormat="1" applyFont="1" applyFill="1" applyBorder="1" applyAlignment="1">
      <alignment horizontal="left"/>
    </xf>
  </cellXfs>
  <cellStyles count="3">
    <cellStyle name="Normal" xfId="0" builtinId="0"/>
    <cellStyle name="Normal 10 2" xfId="2" xr:uid="{FBE85303-D6CA-4768-B9D9-961E63047029}"/>
    <cellStyle name="Normal 2" xfId="1" xr:uid="{61725DCF-3E1B-4620-B0DF-48A70BD6575B}"/>
  </cellStyles>
  <dxfs count="1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9057ED-A2AB-48A0-B857-22595508C9F7}" name="Tableau2" displayName="Tableau2" ref="A5:AR129" totalsRowCount="1" headerRowDxfId="181" dataDxfId="44">
  <autoFilter ref="A5:AR128" xr:uid="{BD9057ED-A2AB-48A0-B857-22595508C9F7}"/>
  <tableColumns count="44">
    <tableColumn id="1" xr3:uid="{1E7E23E3-DD06-46F0-90F1-0B169C9D16D0}" name="MATR" dataDxfId="88" totalsRowDxfId="43"/>
    <tableColumn id="2" xr3:uid="{540681A1-FDFF-46DB-9367-273F1E3F8704}" name="NOMS" dataDxfId="87" totalsRowDxfId="42"/>
    <tableColumn id="3" xr3:uid="{35BDD0AD-DF6E-453C-8253-B88E7BAA2E1F}" name="FONCTIONS" dataDxfId="86" totalsRowDxfId="41"/>
    <tableColumn id="4" xr3:uid="{49A8F579-605F-43A2-9E89-DCD232E7A617}" name="NUMERO CNSS" dataDxfId="85" totalsRowDxfId="40"/>
    <tableColumn id="5" xr3:uid="{A0F7A55D-2E29-4AB7-9AF6-36C96645C0C0}" name="NUMERO DE COMPTE" dataDxfId="84" totalsRowDxfId="39"/>
    <tableColumn id="6" xr3:uid="{D6C6CDB5-8565-42D1-AFCB-0FFF1FBA309F}" name="BANQUE" dataDxfId="83" totalsRowDxfId="38"/>
    <tableColumn id="7" xr3:uid="{FB9F61B8-126D-4D29-B1F7-C6850CF9E8D0}" name="Dépendant" dataDxfId="82" totalsRowDxfId="37"/>
    <tableColumn id="8" xr3:uid="{092EA205-EA14-4F13-89DF-F85E71304FE1}" name="BASE" dataDxfId="81" totalsRowDxfId="36"/>
    <tableColumn id="9" xr3:uid="{865A4621-42EA-4C6B-9C07-7978EA63EFF7}" name="Jrs" dataDxfId="80" totalsRowDxfId="35"/>
    <tableColumn id="10" xr3:uid="{8B7A20C9-E3FD-46C5-942F-A6A5A5F3BB60}" name="Tx/Jr" dataDxfId="79" totalsRowDxfId="34"/>
    <tableColumn id="11" xr3:uid="{2164A442-1DA8-4BD7-B8CD-CF4AD3B9EE1C}" name="Base2" dataDxfId="78" totalsRowDxfId="33">
      <calculatedColumnFormula>J6*I6</calculatedColumnFormula>
    </tableColumn>
    <tableColumn id="12" xr3:uid="{D104F2BD-2F46-4C16-A92A-40205227BDEE}" name="Jrs3" dataDxfId="77" totalsRowDxfId="32"/>
    <tableColumn id="13" xr3:uid="{0EF4BE82-DDE6-4A00-AF92-B209C016482B}" name="Tx/Jr4" dataDxfId="76" totalsRowDxfId="31">
      <calculatedColumnFormula>Tableau2[[#This Row],[Tx/Jr]]</calculatedColumnFormula>
    </tableColumn>
    <tableColumn id="14" xr3:uid="{4EF50566-A186-4248-964E-9DE1A879779B}" name="Base5" dataDxfId="75" totalsRowDxfId="30">
      <calculatedColumnFormula>L6*M6</calculatedColumnFormula>
    </tableColumn>
    <tableColumn id="15" xr3:uid="{B66F6F93-65E9-4A3F-AB06-D3AB5C22F8F8}" name="Jrs6" dataDxfId="74" totalsRowDxfId="29"/>
    <tableColumn id="16" xr3:uid="{B28549FA-981B-448C-8BF4-8B9E4690E8C7}" name="Tx/Jr7" dataDxfId="73" totalsRowDxfId="28">
      <calculatedColumnFormula>Tableau2[[#This Row],[Tx/Jr]]</calculatedColumnFormula>
    </tableColumn>
    <tableColumn id="17" xr3:uid="{249C2FD8-5C6C-43EA-9CFD-14EECDB8B7D6}" name="Base8" dataDxfId="72" totalsRowDxfId="27">
      <calculatedColumnFormula>O6*P6</calculatedColumnFormula>
    </tableColumn>
    <tableColumn id="18" xr3:uid="{CA2F1C0A-67A6-46DF-AD62-43B9A1090EEE}" name="Jrs9" dataDxfId="71" totalsRowDxfId="26"/>
    <tableColumn id="19" xr3:uid="{8461F07D-5458-4A82-8702-60191751B9F7}" name="Tx/Jr10" dataDxfId="70" totalsRowDxfId="25">
      <calculatedColumnFormula>0.667*J6</calculatedColumnFormula>
    </tableColumn>
    <tableColumn id="20" xr3:uid="{9B0C9453-A33A-4B9C-BAB5-55F629DE3F0E}" name="Base11" dataDxfId="69" totalsRowDxfId="24">
      <calculatedColumnFormula>R6*S6</calculatedColumnFormula>
    </tableColumn>
    <tableColumn id="21" xr3:uid="{766BB318-7291-4E76-85BD-86EB32DB7D40}" name="Logm" dataDxfId="68" totalsRowDxfId="23">
      <calculatedColumnFormula>0.3*(K6+N6+Q6+T6)</calculatedColumnFormula>
    </tableColumn>
    <tableColumn id="43" xr3:uid="{AC51BA56-0549-4F81-B46F-4CA3138B191E}" name="cout/Trs" dataDxfId="67" totalsRowDxfId="22"/>
    <tableColumn id="22" xr3:uid="{51246108-886F-432C-944C-90F9AE9A14CD}" name="Trs / Jrs" dataDxfId="66" totalsRowDxfId="21">
      <calculatedColumnFormula>I6*V6</calculatedColumnFormula>
    </tableColumn>
    <tableColumn id="44" xr3:uid="{92F4F80F-5325-4865-B10E-CDF06B0CA1BC}" name="Jrs/feries&amp;Dimanche" dataDxfId="65" totalsRowDxfId="20"/>
    <tableColumn id="23" xr3:uid="{882F2092-9B97-4607-BD63-F4A4B37914CE}" name="Trs Dimanche&amp; Feries" dataDxfId="64" totalsRowDxfId="19">
      <calculatedColumnFormula>X6*V6</calculatedColumnFormula>
    </tableColumn>
    <tableColumn id="24" xr3:uid="{FFAE5BD5-CC5A-4E43-A97C-CFEB571314FF}" name="Tot Trs" dataDxfId="63" totalsRowDxfId="18">
      <calculatedColumnFormula>W6+Y6</calculatedColumnFormula>
    </tableColumn>
    <tableColumn id="25" xr3:uid="{3DB1098C-A8C4-4591-B0D8-FF899ACD0F7D}" name="MONT HEURES SUPP" dataDxfId="62" totalsRowDxfId="17">
      <calculatedColumnFormula>BE6</calculatedColumnFormula>
    </tableColumn>
    <tableColumn id="26" xr3:uid="{409E8AC4-1C8F-4BBA-9F64-E63C62D7AFDE}" name="Brut Impos" dataDxfId="61" totalsRowDxfId="16">
      <calculatedColumnFormula>K6+N6+Q6+T6+AA6</calculatedColumnFormula>
    </tableColumn>
    <tableColumn id="27" xr3:uid="{B63B7A3D-754F-4A1D-81CC-BEFAC78E0C25}" name="Sal Impos" dataDxfId="60" totalsRowDxfId="15">
      <calculatedColumnFormula>Tableau2[[#This Row],[Brut Impos]]-Tableau2[[#This Row],[Cnss/O]]</calculatedColumnFormula>
    </tableColumn>
    <tableColumn id="28" xr3:uid="{CC06A17B-C68F-4C4E-B210-FF4E22F8FD8A}" name="Cnss/O" dataDxfId="59" totalsRowDxfId="14">
      <calculatedColumnFormula>AB6*5%</calculatedColumnFormula>
    </tableColumn>
    <tableColumn id="29" xr3:uid="{E3DD3BA6-0D0A-4637-9EA3-1FE96630AE44}" name="Ipr" dataDxfId="58" totalsRowDxfId="13">
      <calculatedColumnFormula>+'Moteur IPR'!P6</calculatedColumnFormula>
    </tableColumn>
    <tableColumn id="30" xr3:uid="{5961292A-6FB1-4478-99BE-1680A7E9D34C}" name="Total" dataDxfId="57" totalsRowDxfId="12">
      <calculatedColumnFormula>+AD6+AE6</calculatedColumnFormula>
    </tableColumn>
    <tableColumn id="31" xr3:uid="{1F07EB27-A978-4754-9FA2-FFD9C234B19F}" name="AVANCES" dataDxfId="56" totalsRowDxfId="11"/>
    <tableColumn id="32" xr3:uid="{1E029AD3-A686-4C81-99EC-6F7839426F54}" name="Net à Payer" dataDxfId="55" totalsRowDxfId="10">
      <calculatedColumnFormula>+AB6+U6+Z6-AG6-AF6</calculatedColumnFormula>
    </tableColumn>
    <tableColumn id="33" xr3:uid="{F8526BFB-F8B9-4707-9A2B-3E21BBA25AEF}" name="Cnss/P" dataDxfId="54" totalsRowDxfId="9">
      <calculatedColumnFormula>+AB6*0.13</calculatedColumnFormula>
    </tableColumn>
    <tableColumn id="34" xr3:uid="{D166AC83-949E-4161-A5CE-3C1CA6102791}" name="Inpp" dataDxfId="53" totalsRowDxfId="8">
      <calculatedColumnFormula>2%*AB6</calculatedColumnFormula>
    </tableColumn>
    <tableColumn id="35" xr3:uid="{895E0D5F-EBC3-4E59-AEEA-8949007E65E3}" name="Onem" dataDxfId="52" totalsRowDxfId="7">
      <calculatedColumnFormula>0.5%*AB6</calculatedColumnFormula>
    </tableColumn>
    <tableColumn id="36" xr3:uid="{820D36DF-B141-47FF-8A35-270AFC439FC2}" name="Total12" dataDxfId="51" totalsRowDxfId="6">
      <calculatedColumnFormula>+AI6+AJ6+AK6</calculatedColumnFormula>
    </tableColumn>
    <tableColumn id="37" xr3:uid="{EFE34BD7-9060-4B3C-A993-060061442B30}" name="Gross Salary" dataDxfId="50" totalsRowDxfId="5">
      <calculatedColumnFormula>+AD6+AE6+AG6+AH6+AL6</calculatedColumnFormula>
    </tableColumn>
    <tableColumn id="38" xr3:uid="{7354C27A-98BF-4AD6-9A0A-3CEE6BEFBE6A}" name="M.B" dataDxfId="49" totalsRowDxfId="4"/>
    <tableColumn id="39" xr3:uid="{69690986-7115-4592-821D-68A194FD4EFE}" name="Provision PPE" dataDxfId="48" totalsRowDxfId="3"/>
    <tableColumn id="40" xr3:uid="{2E4D93B1-9AEB-4776-86CF-5A26991E05EC}" name="Prov. S. Méd." dataDxfId="47" totalsRowDxfId="2"/>
    <tableColumn id="41" xr3:uid="{13069BCD-E023-4770-BC06-B15F7DC9A6D6}" name="TVA" dataDxfId="46" totalsRowDxfId="1">
      <calculatedColumnFormula>0.16*AM6</calculatedColumnFormula>
    </tableColumn>
    <tableColumn id="42" xr3:uid="{5BCF08CB-90FC-479D-A3A2-8E0A67A904F3}" name="Total Gén" dataDxfId="45" totalsRowDxfId="0">
      <calculatedColumnFormula>AM6+AN6+AO6+AP6+AQ6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B4F9D-9346-46A5-BDD2-E2D34CF6C6D1}" name="Tableau1" displayName="Tableau1" ref="G5:P155" totalsRowShown="0" dataDxfId="180">
  <autoFilter ref="G5:P155" xr:uid="{969B4F9D-9346-46A5-BDD2-E2D34CF6C6D1}"/>
  <tableColumns count="10">
    <tableColumn id="1" xr3:uid="{5216C157-F142-4F2A-97D4-5AF19A0834ED}" name="nbre pers" dataDxfId="179">
      <calculatedColumnFormula>'PPC Usine-Zamba'!G6</calculatedColumnFormula>
    </tableColumn>
    <tableColumn id="2" xr3:uid="{9213EBCD-7843-4B7A-90FF-B64224174BBC}" name="USD" dataDxfId="178">
      <calculatedColumnFormula>'PPC Usine-Zamba'!AC6</calculatedColumnFormula>
    </tableColumn>
    <tableColumn id="3" xr3:uid="{B3264108-4BAA-4543-AE49-E83A2EF2569A}" name="CDF" dataDxfId="177">
      <calculatedColumnFormula>Tableau1[[#This Row],[USD]]*$J$4</calculatedColumnFormula>
    </tableColumn>
    <tableColumn id="4" xr3:uid="{D05D0463-CFF9-4AD9-9752-CC95A386EED9}" name="BI" dataDxfId="176">
      <calculatedColumnFormula>I6-VLOOKUP($I6,$C$6:$D$9,1)</calculatedColumnFormula>
    </tableColumn>
    <tableColumn id="5" xr3:uid="{7B5128B9-D471-4EE1-AA70-9F715F04F6C1}" name="Taux" dataDxfId="175">
      <calculatedColumnFormula>VLOOKUP($I6,$C$11:$D$14,2)</calculatedColumnFormula>
    </tableColumn>
    <tableColumn id="6" xr3:uid="{89A758CE-4D96-4EE0-AE6B-BAF72204373B}" name="Tranche" dataDxfId="174">
      <calculatedColumnFormula>J6*K6</calculatedColumnFormula>
    </tableColumn>
    <tableColumn id="7" xr3:uid="{CE175933-F20A-41DB-B4C5-4B36B62622C1}" name="Cumul IPR" dataDxfId="173">
      <calculatedColumnFormula>L6+VLOOKUP($I6,$C$15:$E$19,3)</calculatedColumnFormula>
    </tableColumn>
    <tableColumn id="8" xr3:uid="{EBD52B3C-3F0B-4B02-9F35-6F58DEBDB99F}" name="Rabais" dataDxfId="172">
      <calculatedColumnFormula>M6*(G6*2%)</calculatedColumnFormula>
    </tableColumn>
    <tableColumn id="9" xr3:uid="{10B126F6-5B7B-4D6E-A8A2-885D8FAD0CFD}" name="IPR NET" dataDxfId="171">
      <calculatedColumnFormula>M6-N6</calculatedColumnFormula>
    </tableColumn>
    <tableColumn id="10" xr3:uid="{A9A1F873-3504-4262-8C52-6C807B5DAD15}" name="IPR USD" dataDxfId="170">
      <calculatedColumnFormula>O6/$J$4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E87E-EA12-4805-9D94-1AFD056F5A3F}">
  <dimension ref="A3:BF8"/>
  <sheetViews>
    <sheetView topLeftCell="U1" workbookViewId="0">
      <selection activeCell="BC8" sqref="BC8"/>
    </sheetView>
  </sheetViews>
  <sheetFormatPr baseColWidth="10" defaultColWidth="9.140625" defaultRowHeight="15" x14ac:dyDescent="0.25"/>
  <cols>
    <col min="4" max="4" width="11.28515625" customWidth="1"/>
    <col min="9" max="9" width="15.5703125" bestFit="1" customWidth="1"/>
    <col min="11" max="11" width="12.28515625" customWidth="1"/>
    <col min="12" max="12" width="17.42578125" customWidth="1"/>
    <col min="15" max="15" width="13.7109375" bestFit="1" customWidth="1"/>
    <col min="18" max="18" width="13.7109375" bestFit="1" customWidth="1"/>
    <col min="21" max="21" width="8" bestFit="1" customWidth="1"/>
    <col min="23" max="23" width="26" bestFit="1" customWidth="1"/>
    <col min="24" max="24" width="13.7109375" bestFit="1" customWidth="1"/>
    <col min="25" max="25" width="10.85546875" customWidth="1"/>
    <col min="26" max="26" width="12" customWidth="1"/>
    <col min="28" max="28" width="16.7109375" customWidth="1"/>
    <col min="29" max="29" width="12.5703125" customWidth="1"/>
    <col min="30" max="30" width="14.5703125" customWidth="1"/>
    <col min="31" max="31" width="13" customWidth="1"/>
    <col min="32" max="32" width="12.7109375" customWidth="1"/>
    <col min="33" max="33" width="13.140625" customWidth="1"/>
    <col min="34" max="34" width="27.42578125" customWidth="1"/>
  </cols>
  <sheetData>
    <row r="3" spans="1:58" ht="15.75" thickBot="1" x14ac:dyDescent="0.3"/>
    <row r="4" spans="1:58" ht="26.25" x14ac:dyDescent="0.25">
      <c r="A4" s="96" t="s">
        <v>41</v>
      </c>
      <c r="B4" s="97"/>
      <c r="C4" s="98"/>
      <c r="D4" s="1"/>
      <c r="E4" s="1"/>
      <c r="F4" s="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6"/>
      <c r="AV4" s="4"/>
      <c r="AW4" s="4"/>
      <c r="AX4" s="4"/>
      <c r="AY4" s="4"/>
      <c r="AZ4" s="4"/>
      <c r="BA4" s="4"/>
      <c r="BB4" s="4"/>
      <c r="BC4" s="4"/>
      <c r="BD4" s="4"/>
      <c r="BE4" s="4"/>
      <c r="BF4" s="7"/>
    </row>
    <row r="5" spans="1:58" ht="27" thickBot="1" x14ac:dyDescent="0.3">
      <c r="A5" s="99"/>
      <c r="B5" s="100"/>
      <c r="C5" s="101"/>
      <c r="D5" s="1"/>
      <c r="E5" s="1"/>
      <c r="F5" s="1"/>
      <c r="G5" s="8"/>
      <c r="H5" s="9"/>
      <c r="I5" s="8"/>
      <c r="J5" s="4"/>
      <c r="K5" s="8"/>
      <c r="L5" s="10"/>
      <c r="M5" s="8"/>
      <c r="N5" s="8"/>
      <c r="O5" s="10"/>
      <c r="P5" s="8"/>
      <c r="Q5" s="8"/>
      <c r="R5" s="10"/>
      <c r="S5" s="8"/>
      <c r="T5" s="8"/>
      <c r="U5" s="10"/>
      <c r="V5" s="8"/>
      <c r="W5" s="8"/>
      <c r="X5" s="11"/>
      <c r="Y5" s="10"/>
      <c r="Z5" s="8"/>
      <c r="AA5" s="8"/>
      <c r="AB5" s="8"/>
      <c r="AC5" s="8"/>
      <c r="AD5" s="8"/>
      <c r="AE5" s="8"/>
      <c r="AF5" s="8"/>
      <c r="AG5" s="8"/>
      <c r="AH5" s="12"/>
      <c r="AI5" s="8"/>
      <c r="AJ5" s="8"/>
      <c r="AK5" s="8"/>
      <c r="AL5" s="8"/>
      <c r="AM5" s="4"/>
      <c r="AN5" s="8"/>
      <c r="AO5" s="8"/>
      <c r="AP5" s="10"/>
      <c r="AQ5" s="10"/>
      <c r="AR5" s="8"/>
      <c r="AS5" s="8"/>
      <c r="AT5" s="4"/>
      <c r="AU5" s="13"/>
      <c r="AV5" s="14"/>
      <c r="AW5" s="14"/>
      <c r="AX5" s="14"/>
      <c r="AY5" s="14"/>
      <c r="AZ5" s="14"/>
      <c r="BA5" s="15">
        <v>1.3</v>
      </c>
      <c r="BB5" s="15">
        <v>1.6</v>
      </c>
      <c r="BC5" s="15">
        <v>2</v>
      </c>
      <c r="BD5" s="15">
        <v>0.1</v>
      </c>
      <c r="BE5" s="15">
        <v>0.25</v>
      </c>
      <c r="BF5" s="16"/>
    </row>
    <row r="6" spans="1:58" ht="15" customHeight="1" thickBot="1" x14ac:dyDescent="0.3">
      <c r="A6" s="4"/>
      <c r="B6" s="4"/>
      <c r="C6" s="4"/>
      <c r="D6" s="4"/>
      <c r="E6" s="4"/>
      <c r="F6" s="4"/>
      <c r="G6" s="102" t="s">
        <v>6</v>
      </c>
      <c r="H6" s="103"/>
      <c r="I6" s="106" t="s">
        <v>42</v>
      </c>
      <c r="J6" s="4"/>
      <c r="K6" s="95" t="s">
        <v>43</v>
      </c>
      <c r="L6" s="95"/>
      <c r="M6" s="95"/>
      <c r="N6" s="95" t="s">
        <v>0</v>
      </c>
      <c r="O6" s="95"/>
      <c r="P6" s="95"/>
      <c r="Q6" s="95" t="s">
        <v>1</v>
      </c>
      <c r="R6" s="95"/>
      <c r="S6" s="95"/>
      <c r="T6" s="95" t="s">
        <v>7</v>
      </c>
      <c r="U6" s="95"/>
      <c r="V6" s="95"/>
      <c r="W6" s="95" t="s">
        <v>8</v>
      </c>
      <c r="X6" s="95"/>
      <c r="Y6" s="95"/>
      <c r="Z6" s="95"/>
      <c r="AA6" s="81" t="s">
        <v>44</v>
      </c>
      <c r="AB6" s="83" t="s">
        <v>2</v>
      </c>
      <c r="AC6" s="85" t="s">
        <v>3</v>
      </c>
      <c r="AD6" s="87" t="s">
        <v>45</v>
      </c>
      <c r="AE6" s="88"/>
      <c r="AF6" s="89"/>
      <c r="AG6" s="18"/>
      <c r="AH6" s="92" t="s">
        <v>4</v>
      </c>
      <c r="AI6" s="94" t="s">
        <v>46</v>
      </c>
      <c r="AJ6" s="94"/>
      <c r="AK6" s="94"/>
      <c r="AL6" s="94"/>
      <c r="AM6" s="4"/>
      <c r="AN6" s="85" t="s">
        <v>5</v>
      </c>
      <c r="AO6" s="77" t="s">
        <v>9</v>
      </c>
      <c r="AP6" s="85" t="s">
        <v>47</v>
      </c>
      <c r="AQ6" s="91" t="s">
        <v>48</v>
      </c>
      <c r="AR6" s="77" t="s">
        <v>10</v>
      </c>
      <c r="AS6" s="79" t="s">
        <v>49</v>
      </c>
      <c r="AT6" s="4"/>
      <c r="AU6" s="19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1"/>
    </row>
    <row r="7" spans="1:58" ht="45.75" thickBot="1" x14ac:dyDescent="0.3">
      <c r="A7" s="22" t="s">
        <v>11</v>
      </c>
      <c r="B7" s="23" t="s">
        <v>12</v>
      </c>
      <c r="C7" s="23" t="s">
        <v>13</v>
      </c>
      <c r="D7" s="24" t="s">
        <v>14</v>
      </c>
      <c r="E7" s="24" t="s">
        <v>15</v>
      </c>
      <c r="F7" s="24" t="s">
        <v>16</v>
      </c>
      <c r="G7" s="104"/>
      <c r="H7" s="105"/>
      <c r="I7" s="107"/>
      <c r="J7" s="4"/>
      <c r="K7" s="25" t="s">
        <v>17</v>
      </c>
      <c r="L7" s="25" t="s">
        <v>18</v>
      </c>
      <c r="M7" s="25" t="s">
        <v>19</v>
      </c>
      <c r="N7" s="25" t="s">
        <v>17</v>
      </c>
      <c r="O7" s="25" t="s">
        <v>18</v>
      </c>
      <c r="P7" s="25" t="s">
        <v>19</v>
      </c>
      <c r="Q7" s="25" t="s">
        <v>17</v>
      </c>
      <c r="R7" s="25" t="s">
        <v>18</v>
      </c>
      <c r="S7" s="25" t="s">
        <v>19</v>
      </c>
      <c r="T7" s="25" t="s">
        <v>17</v>
      </c>
      <c r="U7" s="25" t="s">
        <v>18</v>
      </c>
      <c r="V7" s="25" t="s">
        <v>19</v>
      </c>
      <c r="W7" s="25" t="s">
        <v>20</v>
      </c>
      <c r="X7" s="25" t="s">
        <v>21</v>
      </c>
      <c r="Y7" s="17" t="s">
        <v>50</v>
      </c>
      <c r="Z7" s="25" t="s">
        <v>22</v>
      </c>
      <c r="AA7" s="82"/>
      <c r="AB7" s="84"/>
      <c r="AC7" s="86"/>
      <c r="AD7" s="2" t="s">
        <v>23</v>
      </c>
      <c r="AE7" s="25" t="s">
        <v>24</v>
      </c>
      <c r="AF7" s="25" t="s">
        <v>25</v>
      </c>
      <c r="AG7" s="26" t="s">
        <v>51</v>
      </c>
      <c r="AH7" s="93"/>
      <c r="AI7" s="27" t="s">
        <v>26</v>
      </c>
      <c r="AJ7" s="26" t="s">
        <v>27</v>
      </c>
      <c r="AK7" s="26" t="s">
        <v>28</v>
      </c>
      <c r="AL7" s="3" t="s">
        <v>25</v>
      </c>
      <c r="AM7" s="4"/>
      <c r="AN7" s="86"/>
      <c r="AO7" s="78"/>
      <c r="AP7" s="90"/>
      <c r="AQ7" s="85"/>
      <c r="AR7" s="78"/>
      <c r="AS7" s="80"/>
      <c r="AT7" s="4"/>
      <c r="AU7" s="28" t="s">
        <v>52</v>
      </c>
      <c r="AV7" s="29" t="s">
        <v>29</v>
      </c>
      <c r="AW7" s="29" t="s">
        <v>30</v>
      </c>
      <c r="AX7" s="29" t="s">
        <v>31</v>
      </c>
      <c r="AY7" s="29" t="s">
        <v>32</v>
      </c>
      <c r="AZ7" s="29" t="s">
        <v>33</v>
      </c>
      <c r="BA7" s="29" t="s">
        <v>34</v>
      </c>
      <c r="BB7" s="29" t="s">
        <v>35</v>
      </c>
      <c r="BC7" s="30" t="s">
        <v>36</v>
      </c>
      <c r="BD7" s="29" t="s">
        <v>37</v>
      </c>
      <c r="BE7" s="30" t="s">
        <v>38</v>
      </c>
      <c r="BF7" s="31" t="s">
        <v>39</v>
      </c>
    </row>
    <row r="8" spans="1:58" x14ac:dyDescent="0.25">
      <c r="G8" t="s">
        <v>40</v>
      </c>
      <c r="I8" t="s">
        <v>55</v>
      </c>
      <c r="K8" t="s">
        <v>53</v>
      </c>
      <c r="L8" t="s">
        <v>54</v>
      </c>
      <c r="M8" t="s">
        <v>56</v>
      </c>
      <c r="O8" t="s">
        <v>54</v>
      </c>
      <c r="P8" t="s">
        <v>57</v>
      </c>
      <c r="R8" t="s">
        <v>54</v>
      </c>
      <c r="S8" t="s">
        <v>57</v>
      </c>
      <c r="U8" t="s">
        <v>58</v>
      </c>
      <c r="V8" t="s">
        <v>57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 t="s">
        <v>64</v>
      </c>
      <c r="AC8" t="s">
        <v>66</v>
      </c>
      <c r="AD8" t="s">
        <v>65</v>
      </c>
      <c r="AE8" t="s">
        <v>67</v>
      </c>
      <c r="AF8" t="s">
        <v>68</v>
      </c>
      <c r="AH8" t="s">
        <v>69</v>
      </c>
      <c r="AI8" t="s">
        <v>70</v>
      </c>
      <c r="AJ8" t="s">
        <v>71</v>
      </c>
      <c r="AK8" t="s">
        <v>72</v>
      </c>
      <c r="AL8" t="s">
        <v>73</v>
      </c>
      <c r="AN8" t="s">
        <v>77</v>
      </c>
      <c r="AO8" t="s">
        <v>76</v>
      </c>
      <c r="AP8" t="s">
        <v>75</v>
      </c>
      <c r="AQ8" t="s">
        <v>74</v>
      </c>
      <c r="AR8" t="s">
        <v>78</v>
      </c>
      <c r="AS8" t="s">
        <v>79</v>
      </c>
      <c r="BA8" s="32" t="s">
        <v>80</v>
      </c>
      <c r="BB8" s="32"/>
      <c r="BC8" s="32"/>
      <c r="BD8" s="32"/>
      <c r="BE8" s="32"/>
      <c r="BF8" s="32"/>
    </row>
  </sheetData>
  <mergeCells count="20">
    <mergeCell ref="N6:P6"/>
    <mergeCell ref="Q6:S6"/>
    <mergeCell ref="T6:V6"/>
    <mergeCell ref="W6:Z6"/>
    <mergeCell ref="A4:C5"/>
    <mergeCell ref="G6:H7"/>
    <mergeCell ref="I6:I7"/>
    <mergeCell ref="K6:M6"/>
    <mergeCell ref="AR6:AR7"/>
    <mergeCell ref="AS6:AS7"/>
    <mergeCell ref="AA6:AA7"/>
    <mergeCell ref="AB6:AB7"/>
    <mergeCell ref="AC6:AC7"/>
    <mergeCell ref="AD6:AF6"/>
    <mergeCell ref="AP6:AP7"/>
    <mergeCell ref="AQ6:AQ7"/>
    <mergeCell ref="AH6:AH7"/>
    <mergeCell ref="AI6:AL6"/>
    <mergeCell ref="AN6:AN7"/>
    <mergeCell ref="AO6:AO7"/>
  </mergeCells>
  <conditionalFormatting sqref="A4:A7">
    <cfRule type="duplicateValues" dxfId="169" priority="2"/>
    <cfRule type="duplicateValues" dxfId="168" priority="3"/>
    <cfRule type="duplicateValues" dxfId="167" priority="4"/>
    <cfRule type="duplicateValues" dxfId="166" priority="5"/>
    <cfRule type="duplicateValues" dxfId="165" priority="6"/>
    <cfRule type="duplicateValues" dxfId="164" priority="9"/>
    <cfRule type="duplicateValues" dxfId="163" priority="10"/>
    <cfRule type="duplicateValues" dxfId="162" priority="11"/>
    <cfRule type="duplicateValues" dxfId="161" priority="12"/>
    <cfRule type="duplicateValues" dxfId="160" priority="13"/>
    <cfRule type="duplicateValues" dxfId="159" priority="14"/>
  </conditionalFormatting>
  <conditionalFormatting sqref="B4:B7">
    <cfRule type="duplicateValues" dxfId="158" priority="1"/>
    <cfRule type="duplicateValues" dxfId="157" priority="7"/>
    <cfRule type="duplicateValues" dxfId="156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36A1-4A3F-4816-A34A-92F29A849DDD}">
  <dimension ref="A3:BF8"/>
  <sheetViews>
    <sheetView topLeftCell="AM1" workbookViewId="0">
      <selection activeCell="AV8" sqref="AV8"/>
    </sheetView>
  </sheetViews>
  <sheetFormatPr baseColWidth="10" defaultColWidth="9.140625" defaultRowHeight="15" x14ac:dyDescent="0.25"/>
  <cols>
    <col min="4" max="4" width="11.28515625" customWidth="1"/>
    <col min="9" max="9" width="15.5703125" bestFit="1" customWidth="1"/>
    <col min="11" max="11" width="12.28515625" customWidth="1"/>
    <col min="12" max="12" width="17.42578125" customWidth="1"/>
    <col min="13" max="13" width="13.28515625" bestFit="1" customWidth="1"/>
    <col min="15" max="15" width="13.7109375" bestFit="1" customWidth="1"/>
    <col min="18" max="18" width="13.7109375" bestFit="1" customWidth="1"/>
    <col min="21" max="21" width="11" customWidth="1"/>
    <col min="23" max="23" width="26" bestFit="1" customWidth="1"/>
    <col min="24" max="24" width="13.7109375" bestFit="1" customWidth="1"/>
    <col min="25" max="25" width="10.85546875" customWidth="1"/>
    <col min="26" max="26" width="12" customWidth="1"/>
    <col min="28" max="28" width="16.7109375" customWidth="1"/>
    <col min="29" max="29" width="12.5703125" customWidth="1"/>
    <col min="30" max="30" width="14.5703125" customWidth="1"/>
    <col min="31" max="31" width="13" customWidth="1"/>
    <col min="32" max="32" width="12.7109375" customWidth="1"/>
    <col min="33" max="33" width="13.140625" customWidth="1"/>
    <col min="34" max="34" width="27.42578125" customWidth="1"/>
    <col min="40" max="40" width="19" customWidth="1"/>
  </cols>
  <sheetData>
    <row r="3" spans="1:58" ht="15.75" thickBot="1" x14ac:dyDescent="0.3"/>
    <row r="4" spans="1:58" ht="26.25" x14ac:dyDescent="0.25">
      <c r="A4" s="96" t="s">
        <v>41</v>
      </c>
      <c r="B4" s="97"/>
      <c r="C4" s="98"/>
      <c r="D4" s="1"/>
      <c r="E4" s="1"/>
      <c r="F4" s="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6"/>
      <c r="AV4" s="4"/>
      <c r="AW4" s="4"/>
      <c r="AX4" s="4"/>
      <c r="AY4" s="4"/>
      <c r="AZ4" s="4"/>
      <c r="BA4" s="4"/>
      <c r="BB4" s="4"/>
      <c r="BC4" s="4"/>
      <c r="BD4" s="4"/>
      <c r="BE4" s="4"/>
      <c r="BF4" s="7"/>
    </row>
    <row r="5" spans="1:58" ht="27" thickBot="1" x14ac:dyDescent="0.3">
      <c r="A5" s="99"/>
      <c r="B5" s="100"/>
      <c r="C5" s="101"/>
      <c r="D5" s="1"/>
      <c r="E5" s="1"/>
      <c r="F5" s="1"/>
      <c r="G5" s="8"/>
      <c r="H5" s="9"/>
      <c r="I5" s="8"/>
      <c r="J5" s="4"/>
      <c r="K5" s="8"/>
      <c r="L5" s="10"/>
      <c r="M5" s="8"/>
      <c r="N5" s="8"/>
      <c r="O5" s="10"/>
      <c r="P5" s="8"/>
      <c r="Q5" s="8"/>
      <c r="R5" s="10"/>
      <c r="S5" s="8"/>
      <c r="T5" s="8"/>
      <c r="U5" s="10"/>
      <c r="V5" s="8"/>
      <c r="W5" s="8"/>
      <c r="X5" s="11"/>
      <c r="Y5" s="10"/>
      <c r="Z5" s="8"/>
      <c r="AA5" s="8"/>
      <c r="AB5" s="8"/>
      <c r="AC5" s="8"/>
      <c r="AD5" s="8"/>
      <c r="AE5" s="8"/>
      <c r="AF5" s="8"/>
      <c r="AG5" s="8"/>
      <c r="AH5" s="12"/>
      <c r="AI5" s="8"/>
      <c r="AJ5" s="8"/>
      <c r="AK5" s="8"/>
      <c r="AL5" s="8"/>
      <c r="AM5" s="4"/>
      <c r="AN5" s="8"/>
      <c r="AO5" s="8"/>
      <c r="AP5" s="10"/>
      <c r="AQ5" s="10"/>
      <c r="AR5" s="8"/>
      <c r="AS5" s="8"/>
      <c r="AT5" s="4"/>
      <c r="AU5" s="13"/>
      <c r="AV5" s="14"/>
      <c r="AW5" s="14"/>
      <c r="AX5" s="14"/>
      <c r="AY5" s="14"/>
      <c r="AZ5" s="14"/>
      <c r="BA5" s="15">
        <v>1.3</v>
      </c>
      <c r="BB5" s="15">
        <v>1.6</v>
      </c>
      <c r="BC5" s="15">
        <v>2</v>
      </c>
      <c r="BD5" s="15">
        <v>0.1</v>
      </c>
      <c r="BE5" s="15">
        <v>0.25</v>
      </c>
      <c r="BF5" s="16"/>
    </row>
    <row r="6" spans="1:58" ht="15" customHeight="1" thickBot="1" x14ac:dyDescent="0.3">
      <c r="A6" s="4"/>
      <c r="B6" s="4"/>
      <c r="C6" s="4"/>
      <c r="D6" s="4"/>
      <c r="E6" s="4"/>
      <c r="F6" s="4"/>
      <c r="G6" s="41" t="s">
        <v>6</v>
      </c>
      <c r="H6" s="42"/>
      <c r="I6" s="45" t="s">
        <v>42</v>
      </c>
      <c r="J6" s="4"/>
      <c r="K6" s="95" t="s">
        <v>43</v>
      </c>
      <c r="L6" s="95"/>
      <c r="M6" s="95"/>
      <c r="N6" s="95" t="s">
        <v>0</v>
      </c>
      <c r="O6" s="95"/>
      <c r="P6" s="95"/>
      <c r="Q6" s="95" t="s">
        <v>1</v>
      </c>
      <c r="R6" s="95"/>
      <c r="S6" s="95"/>
      <c r="T6" s="95" t="s">
        <v>7</v>
      </c>
      <c r="U6" s="95"/>
      <c r="V6" s="95"/>
      <c r="W6" s="95" t="s">
        <v>8</v>
      </c>
      <c r="X6" s="95"/>
      <c r="Y6" s="95"/>
      <c r="Z6" s="95"/>
      <c r="AA6" s="81" t="s">
        <v>44</v>
      </c>
      <c r="AB6" s="83" t="s">
        <v>2</v>
      </c>
      <c r="AC6" s="85" t="s">
        <v>3</v>
      </c>
      <c r="AD6" s="87" t="s">
        <v>45</v>
      </c>
      <c r="AE6" s="88"/>
      <c r="AF6" s="89"/>
      <c r="AG6" s="18"/>
      <c r="AH6" s="92" t="s">
        <v>4</v>
      </c>
      <c r="AI6" s="94" t="s">
        <v>46</v>
      </c>
      <c r="AJ6" s="94"/>
      <c r="AK6" s="94"/>
      <c r="AL6" s="94"/>
      <c r="AM6" s="4"/>
      <c r="AN6" s="85" t="s">
        <v>5</v>
      </c>
      <c r="AO6" s="77" t="s">
        <v>9</v>
      </c>
      <c r="AP6" s="85" t="s">
        <v>47</v>
      </c>
      <c r="AQ6" s="91" t="s">
        <v>48</v>
      </c>
      <c r="AR6" s="77" t="s">
        <v>10</v>
      </c>
      <c r="AS6" s="79" t="s">
        <v>49</v>
      </c>
      <c r="AT6" s="4"/>
      <c r="AU6" s="19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1"/>
    </row>
    <row r="7" spans="1:58" ht="45.75" thickBot="1" x14ac:dyDescent="0.3">
      <c r="A7" s="22" t="s">
        <v>11</v>
      </c>
      <c r="B7" s="23" t="s">
        <v>12</v>
      </c>
      <c r="C7" s="23" t="s">
        <v>13</v>
      </c>
      <c r="D7" s="24" t="s">
        <v>14</v>
      </c>
      <c r="E7" s="24" t="s">
        <v>15</v>
      </c>
      <c r="F7" s="24" t="s">
        <v>16</v>
      </c>
      <c r="G7" s="43"/>
      <c r="H7" s="44"/>
      <c r="I7" s="46"/>
      <c r="J7" s="4"/>
      <c r="K7" s="25" t="s">
        <v>17</v>
      </c>
      <c r="L7" s="25" t="s">
        <v>18</v>
      </c>
      <c r="M7" s="25" t="s">
        <v>19</v>
      </c>
      <c r="N7" s="25" t="s">
        <v>17</v>
      </c>
      <c r="O7" s="25" t="s">
        <v>18</v>
      </c>
      <c r="P7" s="25" t="s">
        <v>19</v>
      </c>
      <c r="Q7" s="25" t="s">
        <v>17</v>
      </c>
      <c r="R7" s="25" t="s">
        <v>18</v>
      </c>
      <c r="S7" s="25" t="s">
        <v>19</v>
      </c>
      <c r="T7" s="25" t="s">
        <v>17</v>
      </c>
      <c r="U7" s="25" t="s">
        <v>18</v>
      </c>
      <c r="V7" s="25" t="s">
        <v>19</v>
      </c>
      <c r="W7" s="25" t="s">
        <v>20</v>
      </c>
      <c r="X7" s="25" t="s">
        <v>21</v>
      </c>
      <c r="Y7" s="17" t="s">
        <v>50</v>
      </c>
      <c r="Z7" s="25" t="s">
        <v>22</v>
      </c>
      <c r="AA7" s="82"/>
      <c r="AB7" s="84"/>
      <c r="AC7" s="86"/>
      <c r="AD7" s="2" t="s">
        <v>23</v>
      </c>
      <c r="AE7" s="25" t="s">
        <v>24</v>
      </c>
      <c r="AF7" s="25" t="s">
        <v>25</v>
      </c>
      <c r="AG7" s="26" t="s">
        <v>51</v>
      </c>
      <c r="AH7" s="93"/>
      <c r="AI7" s="27" t="s">
        <v>26</v>
      </c>
      <c r="AJ7" s="26" t="s">
        <v>27</v>
      </c>
      <c r="AK7" s="26" t="s">
        <v>28</v>
      </c>
      <c r="AL7" s="3" t="s">
        <v>25</v>
      </c>
      <c r="AM7" s="4"/>
      <c r="AN7" s="86"/>
      <c r="AO7" s="78"/>
      <c r="AP7" s="90"/>
      <c r="AQ7" s="85"/>
      <c r="AR7" s="78"/>
      <c r="AS7" s="80"/>
      <c r="AT7" s="4"/>
      <c r="AU7" s="28" t="s">
        <v>52</v>
      </c>
      <c r="AV7" s="29" t="s">
        <v>29</v>
      </c>
      <c r="AW7" s="29" t="s">
        <v>30</v>
      </c>
      <c r="AX7" s="29" t="s">
        <v>31</v>
      </c>
      <c r="AY7" s="29" t="s">
        <v>32</v>
      </c>
      <c r="AZ7" s="29" t="s">
        <v>33</v>
      </c>
      <c r="BA7" s="29" t="s">
        <v>34</v>
      </c>
      <c r="BB7" s="29" t="s">
        <v>35</v>
      </c>
      <c r="BC7" s="30" t="s">
        <v>36</v>
      </c>
      <c r="BD7" s="29" t="s">
        <v>37</v>
      </c>
      <c r="BE7" s="30" t="s">
        <v>38</v>
      </c>
      <c r="BF7" s="31" t="s">
        <v>39</v>
      </c>
    </row>
    <row r="8" spans="1:58" x14ac:dyDescent="0.25">
      <c r="G8" t="s">
        <v>40</v>
      </c>
      <c r="I8" t="s">
        <v>55</v>
      </c>
      <c r="K8" s="32">
        <v>13</v>
      </c>
      <c r="L8" s="32">
        <v>10</v>
      </c>
      <c r="M8">
        <f>L8*K8</f>
        <v>130</v>
      </c>
      <c r="N8" s="32">
        <v>1</v>
      </c>
      <c r="O8" s="32">
        <v>10</v>
      </c>
      <c r="P8">
        <f>N8*O8</f>
        <v>10</v>
      </c>
      <c r="Q8" s="32">
        <v>2</v>
      </c>
      <c r="R8" s="32">
        <v>10</v>
      </c>
      <c r="S8">
        <f>Q8*R8</f>
        <v>20</v>
      </c>
      <c r="T8" s="32">
        <v>3</v>
      </c>
      <c r="U8">
        <f>0.667*L8</f>
        <v>6.67</v>
      </c>
      <c r="V8">
        <f>T8*U8</f>
        <v>20.009999999999998</v>
      </c>
      <c r="W8">
        <f>0.3*(M8+P8+S8+V8)</f>
        <v>54.002999999999993</v>
      </c>
      <c r="X8">
        <f>K8*5400</f>
        <v>70200</v>
      </c>
      <c r="Y8" s="33">
        <v>20000</v>
      </c>
      <c r="Z8">
        <f>X8+Y8</f>
        <v>90200</v>
      </c>
      <c r="AA8" s="32">
        <v>50000</v>
      </c>
      <c r="AB8">
        <f>M8+P8+S8+V8+AA8</f>
        <v>50180.01</v>
      </c>
      <c r="AC8" t="s">
        <v>66</v>
      </c>
      <c r="AD8">
        <f>AB8*5%</f>
        <v>2509.0005000000001</v>
      </c>
      <c r="AE8" t="s">
        <v>67</v>
      </c>
      <c r="AF8" t="s">
        <v>68</v>
      </c>
      <c r="AH8" t="s">
        <v>69</v>
      </c>
      <c r="AI8" t="s">
        <v>70</v>
      </c>
      <c r="AJ8" t="s">
        <v>71</v>
      </c>
      <c r="AK8" t="s">
        <v>72</v>
      </c>
      <c r="AL8" t="s">
        <v>73</v>
      </c>
      <c r="AN8" t="s">
        <v>77</v>
      </c>
      <c r="AO8" t="s">
        <v>76</v>
      </c>
      <c r="AP8" t="s">
        <v>75</v>
      </c>
      <c r="AQ8" t="s">
        <v>74</v>
      </c>
      <c r="AR8" t="s">
        <v>78</v>
      </c>
      <c r="AS8" t="s">
        <v>79</v>
      </c>
      <c r="BA8" s="32" t="s">
        <v>80</v>
      </c>
      <c r="BB8" s="32"/>
      <c r="BC8" s="32"/>
      <c r="BD8" s="32"/>
      <c r="BE8" s="32"/>
      <c r="BF8" s="32"/>
    </row>
  </sheetData>
  <mergeCells count="18">
    <mergeCell ref="AD6:AF6"/>
    <mergeCell ref="A4:C5"/>
    <mergeCell ref="K6:M6"/>
    <mergeCell ref="N6:P6"/>
    <mergeCell ref="Q6:S6"/>
    <mergeCell ref="T6:V6"/>
    <mergeCell ref="W6:Z6"/>
    <mergeCell ref="AA6:AA7"/>
    <mergeCell ref="AB6:AB7"/>
    <mergeCell ref="AC6:AC7"/>
    <mergeCell ref="AR6:AR7"/>
    <mergeCell ref="AS6:AS7"/>
    <mergeCell ref="AH6:AH7"/>
    <mergeCell ref="AI6:AL6"/>
    <mergeCell ref="AN6:AN7"/>
    <mergeCell ref="AO6:AO7"/>
    <mergeCell ref="AP6:AP7"/>
    <mergeCell ref="AQ6:AQ7"/>
  </mergeCells>
  <conditionalFormatting sqref="A4:A7">
    <cfRule type="duplicateValues" dxfId="155" priority="2"/>
    <cfRule type="duplicateValues" dxfId="154" priority="3"/>
    <cfRule type="duplicateValues" dxfId="153" priority="4"/>
    <cfRule type="duplicateValues" dxfId="152" priority="5"/>
    <cfRule type="duplicateValues" dxfId="151" priority="6"/>
    <cfRule type="duplicateValues" dxfId="150" priority="9"/>
    <cfRule type="duplicateValues" dxfId="149" priority="10"/>
    <cfRule type="duplicateValues" dxfId="148" priority="11"/>
    <cfRule type="duplicateValues" dxfId="147" priority="12"/>
    <cfRule type="duplicateValues" dxfId="146" priority="13"/>
    <cfRule type="duplicateValues" dxfId="145" priority="14"/>
  </conditionalFormatting>
  <conditionalFormatting sqref="B4:B7">
    <cfRule type="duplicateValues" dxfId="144" priority="1"/>
    <cfRule type="duplicateValues" dxfId="143" priority="7"/>
    <cfRule type="duplicateValues" dxfId="142" priority="8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C00E-9990-4BCF-B64A-20A5C09DA044}">
  <dimension ref="A3:BE129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H130" sqref="AH130"/>
    </sheetView>
  </sheetViews>
  <sheetFormatPr baseColWidth="10" defaultRowHeight="15" x14ac:dyDescent="0.25"/>
  <cols>
    <col min="1" max="1" width="13.85546875" bestFit="1" customWidth="1"/>
    <col min="2" max="2" width="27.85546875" bestFit="1" customWidth="1"/>
    <col min="3" max="3" width="30.140625" bestFit="1" customWidth="1"/>
    <col min="4" max="4" width="20.28515625" customWidth="1"/>
    <col min="5" max="5" width="22.42578125" customWidth="1"/>
    <col min="6" max="6" width="11.42578125" customWidth="1"/>
    <col min="25" max="25" width="12.140625" customWidth="1"/>
    <col min="27" max="27" width="18.85546875" customWidth="1"/>
    <col min="29" max="29" width="11.85546875" customWidth="1"/>
    <col min="33" max="33" width="11.7109375" customWidth="1"/>
    <col min="34" max="34" width="13.85546875" customWidth="1"/>
    <col min="35" max="35" width="12" bestFit="1" customWidth="1"/>
    <col min="36" max="36" width="9.5703125" bestFit="1" customWidth="1"/>
    <col min="39" max="39" width="21.85546875" customWidth="1"/>
    <col min="41" max="41" width="15.42578125" customWidth="1"/>
    <col min="42" max="42" width="14.7109375" customWidth="1"/>
    <col min="44" max="44" width="11.7109375" customWidth="1"/>
  </cols>
  <sheetData>
    <row r="3" spans="1:57" ht="15" customHeight="1" thickBot="1" x14ac:dyDescent="0.3">
      <c r="I3" s="95" t="s">
        <v>43</v>
      </c>
      <c r="J3" s="95"/>
      <c r="K3" s="95"/>
      <c r="L3" s="95" t="s">
        <v>0</v>
      </c>
      <c r="M3" s="95"/>
      <c r="N3" s="95"/>
      <c r="O3" s="95" t="s">
        <v>1</v>
      </c>
      <c r="P3" s="95"/>
      <c r="Q3" s="95"/>
      <c r="R3" s="95" t="s">
        <v>7</v>
      </c>
      <c r="S3" s="95"/>
      <c r="T3" s="95"/>
      <c r="U3" s="95" t="s">
        <v>8</v>
      </c>
      <c r="V3" s="95"/>
      <c r="W3" s="95"/>
      <c r="X3" s="95"/>
      <c r="Y3" s="95"/>
      <c r="Z3" s="95"/>
      <c r="AA3" s="47"/>
      <c r="AB3" s="48"/>
      <c r="AC3" s="49"/>
      <c r="AD3" s="87" t="s">
        <v>45</v>
      </c>
      <c r="AE3" s="88"/>
      <c r="AF3" s="89"/>
      <c r="AG3" s="18"/>
      <c r="AH3" s="50"/>
      <c r="AI3" s="94" t="s">
        <v>46</v>
      </c>
      <c r="AJ3" s="94"/>
      <c r="AK3" s="94"/>
      <c r="AL3" s="94"/>
      <c r="AM3" s="49"/>
      <c r="AN3" s="51"/>
      <c r="AO3" s="49"/>
      <c r="AP3" s="52"/>
      <c r="AQ3" s="51"/>
      <c r="AR3" s="53"/>
      <c r="AT3" s="13"/>
      <c r="AU3" s="14"/>
      <c r="AV3" s="14"/>
      <c r="AW3" s="14"/>
      <c r="AX3" s="14"/>
      <c r="AY3" s="14"/>
      <c r="AZ3" s="15">
        <v>1.3</v>
      </c>
      <c r="BA3" s="15">
        <v>1.6</v>
      </c>
      <c r="BB3" s="15">
        <v>2</v>
      </c>
      <c r="BC3" s="15">
        <v>0.1</v>
      </c>
      <c r="BD3" s="15">
        <v>0.25</v>
      </c>
      <c r="BE3" s="16"/>
    </row>
    <row r="4" spans="1:57" ht="15" customHeight="1" thickBot="1" x14ac:dyDescent="0.3"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47"/>
      <c r="AB4" s="48"/>
      <c r="AC4" s="49"/>
      <c r="AD4" s="54"/>
      <c r="AE4" s="55"/>
      <c r="AF4" s="56"/>
      <c r="AG4" s="57"/>
      <c r="AH4" s="50"/>
      <c r="AI4" s="58"/>
      <c r="AJ4" s="59"/>
      <c r="AK4" s="59"/>
      <c r="AL4" s="59"/>
      <c r="AM4" s="49"/>
      <c r="AN4" s="51"/>
      <c r="AO4" s="49"/>
      <c r="AP4" s="52"/>
      <c r="AQ4" s="51"/>
      <c r="AR4" s="53"/>
      <c r="AT4" s="19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1"/>
    </row>
    <row r="5" spans="1:57" ht="45" customHeight="1" thickBot="1" x14ac:dyDescent="0.3">
      <c r="A5" s="60" t="s">
        <v>11</v>
      </c>
      <c r="B5" s="61" t="s">
        <v>12</v>
      </c>
      <c r="C5" s="61" t="s">
        <v>13</v>
      </c>
      <c r="D5" s="62" t="s">
        <v>14</v>
      </c>
      <c r="E5" s="62" t="s">
        <v>15</v>
      </c>
      <c r="F5" s="62" t="s">
        <v>16</v>
      </c>
      <c r="G5" s="63" t="s">
        <v>106</v>
      </c>
      <c r="H5" s="64" t="s">
        <v>42</v>
      </c>
      <c r="I5" s="65" t="s">
        <v>17</v>
      </c>
      <c r="J5" s="65" t="s">
        <v>18</v>
      </c>
      <c r="K5" s="65" t="s">
        <v>95</v>
      </c>
      <c r="L5" s="65" t="s">
        <v>96</v>
      </c>
      <c r="M5" s="65" t="s">
        <v>97</v>
      </c>
      <c r="N5" s="65" t="s">
        <v>98</v>
      </c>
      <c r="O5" s="65" t="s">
        <v>99</v>
      </c>
      <c r="P5" s="65" t="s">
        <v>100</v>
      </c>
      <c r="Q5" s="65" t="s">
        <v>101</v>
      </c>
      <c r="R5" s="65" t="s">
        <v>102</v>
      </c>
      <c r="S5" s="65" t="s">
        <v>103</v>
      </c>
      <c r="T5" s="65" t="s">
        <v>104</v>
      </c>
      <c r="U5" s="65" t="s">
        <v>20</v>
      </c>
      <c r="V5" s="65" t="s">
        <v>394</v>
      </c>
      <c r="W5" s="65" t="s">
        <v>21</v>
      </c>
      <c r="X5" s="66" t="s">
        <v>395</v>
      </c>
      <c r="Y5" s="66" t="s">
        <v>50</v>
      </c>
      <c r="Z5" s="65" t="s">
        <v>22</v>
      </c>
      <c r="AA5" s="48" t="s">
        <v>44</v>
      </c>
      <c r="AB5" s="48" t="s">
        <v>2</v>
      </c>
      <c r="AC5" s="67" t="s">
        <v>3</v>
      </c>
      <c r="AD5" s="65" t="s">
        <v>23</v>
      </c>
      <c r="AE5" s="65" t="s">
        <v>24</v>
      </c>
      <c r="AF5" s="65" t="s">
        <v>25</v>
      </c>
      <c r="AG5" s="68" t="s">
        <v>51</v>
      </c>
      <c r="AH5" s="69" t="s">
        <v>4</v>
      </c>
      <c r="AI5" s="70" t="s">
        <v>26</v>
      </c>
      <c r="AJ5" s="68" t="s">
        <v>27</v>
      </c>
      <c r="AK5" s="68" t="s">
        <v>28</v>
      </c>
      <c r="AL5" s="68" t="s">
        <v>105</v>
      </c>
      <c r="AM5" s="67" t="s">
        <v>5</v>
      </c>
      <c r="AN5" s="71" t="s">
        <v>9</v>
      </c>
      <c r="AO5" s="67" t="s">
        <v>47</v>
      </c>
      <c r="AP5" s="72" t="s">
        <v>48</v>
      </c>
      <c r="AQ5" s="71" t="s">
        <v>10</v>
      </c>
      <c r="AR5" s="73" t="s">
        <v>49</v>
      </c>
      <c r="AT5" s="28" t="s">
        <v>52</v>
      </c>
      <c r="AU5" s="29" t="s">
        <v>29</v>
      </c>
      <c r="AV5" s="29" t="s">
        <v>30</v>
      </c>
      <c r="AW5" s="29" t="s">
        <v>31</v>
      </c>
      <c r="AX5" s="29" t="s">
        <v>32</v>
      </c>
      <c r="AY5" s="29" t="s">
        <v>33</v>
      </c>
      <c r="AZ5" s="29" t="s">
        <v>34</v>
      </c>
      <c r="BA5" s="29" t="s">
        <v>35</v>
      </c>
      <c r="BB5" s="30" t="s">
        <v>36</v>
      </c>
      <c r="BC5" s="29" t="s">
        <v>37</v>
      </c>
      <c r="BD5" s="30" t="s">
        <v>38</v>
      </c>
      <c r="BE5" s="31" t="s">
        <v>39</v>
      </c>
    </row>
    <row r="6" spans="1:57" s="110" customFormat="1" x14ac:dyDescent="0.25">
      <c r="A6" s="110" t="s">
        <v>278</v>
      </c>
      <c r="B6" s="108" t="s">
        <v>107</v>
      </c>
      <c r="C6" s="109" t="s">
        <v>111</v>
      </c>
      <c r="E6" s="114">
        <v>544200035353086</v>
      </c>
      <c r="F6" s="110" t="s">
        <v>276</v>
      </c>
      <c r="G6" s="110">
        <v>5</v>
      </c>
      <c r="I6" s="110">
        <v>13</v>
      </c>
      <c r="J6" s="111">
        <v>13.201174720852805</v>
      </c>
      <c r="K6" s="111">
        <f t="shared" ref="K6:K37" si="0">J6*I6</f>
        <v>171.61527137108646</v>
      </c>
      <c r="L6" s="110">
        <v>0</v>
      </c>
      <c r="M6" s="112">
        <f>Tableau2[[#This Row],[Tx/Jr]]</f>
        <v>13.201174720852805</v>
      </c>
      <c r="N6" s="112">
        <f t="shared" ref="N6:N37" si="1">L6*M6</f>
        <v>0</v>
      </c>
      <c r="O6" s="112">
        <v>0</v>
      </c>
      <c r="P6" s="112">
        <f>Tableau2[[#This Row],[Tx/Jr]]</f>
        <v>13.201174720852805</v>
      </c>
      <c r="Q6" s="112">
        <f t="shared" ref="Q6:Q37" si="2">O6*P6</f>
        <v>0</v>
      </c>
      <c r="R6" s="112">
        <v>0</v>
      </c>
      <c r="S6" s="112">
        <f t="shared" ref="S6:S37" si="3">0.667*J6</f>
        <v>8.8051835388088211</v>
      </c>
      <c r="T6" s="112">
        <f t="shared" ref="T6:T37" si="4">R6*S6</f>
        <v>0</v>
      </c>
      <c r="U6" s="112">
        <f t="shared" ref="U6:U37" si="5">0.3*(K6+N6+Q6+T6)</f>
        <v>51.484581411325941</v>
      </c>
      <c r="V6" s="112">
        <v>1.17</v>
      </c>
      <c r="W6" s="112">
        <f>I6*V6</f>
        <v>15.209999999999999</v>
      </c>
      <c r="X6" s="112">
        <v>0</v>
      </c>
      <c r="Y6" s="112">
        <f>X6*V6</f>
        <v>0</v>
      </c>
      <c r="Z6" s="112">
        <f t="shared" ref="Z6:Z37" si="6">W6+Y6</f>
        <v>15.209999999999999</v>
      </c>
      <c r="AA6" s="112">
        <f>BE6</f>
        <v>111.71494107521687</v>
      </c>
      <c r="AB6" s="112">
        <f t="shared" ref="AB6:AB37" si="7">K6+N6+Q6+T6+AA6</f>
        <v>283.33021244630334</v>
      </c>
      <c r="AC6" s="112">
        <f>Tableau2[[#This Row],[Brut Impos]]-Tableau2[[#This Row],[Cnss/O]]</f>
        <v>269.16370182398816</v>
      </c>
      <c r="AD6" s="112">
        <f t="shared" ref="AD6:AD37" si="8">AB6*5%</f>
        <v>14.166510622315167</v>
      </c>
      <c r="AE6" s="112">
        <f>+'Moteur IPR'!P6</f>
        <v>28.730143224499276</v>
      </c>
      <c r="AF6" s="112">
        <f t="shared" ref="AF6:AF7" si="9">+AD6+AE6</f>
        <v>42.896653846814445</v>
      </c>
      <c r="AG6" s="112">
        <v>0</v>
      </c>
      <c r="AH6" s="112">
        <f t="shared" ref="AH6:AH37" si="10">+AB6+U6+Z6-AG6-AF6</f>
        <v>307.12814001081483</v>
      </c>
      <c r="AI6" s="112">
        <f t="shared" ref="AI6:AI7" si="11">+AB6*0.13</f>
        <v>36.832927618019433</v>
      </c>
      <c r="AJ6" s="112">
        <f t="shared" ref="AJ6:AJ7" si="12">2%*AB6</f>
        <v>5.6666042489260668</v>
      </c>
      <c r="AK6" s="112">
        <f t="shared" ref="AK6:AK7" si="13">0.5%*AB6</f>
        <v>1.4166510622315167</v>
      </c>
      <c r="AL6" s="112">
        <f t="shared" ref="AL6:AL7" si="14">+AI6+AJ6+AK6</f>
        <v>43.916182929177019</v>
      </c>
      <c r="AM6" s="112">
        <f t="shared" ref="AM6:AM37" si="15">+AD6+AE6+AG6+AH6+AL6</f>
        <v>393.94097678680629</v>
      </c>
      <c r="AN6" s="112">
        <v>0</v>
      </c>
      <c r="AO6" s="112">
        <v>25</v>
      </c>
      <c r="AP6" s="112">
        <v>70</v>
      </c>
      <c r="AQ6" s="112">
        <f>0.16*AM6</f>
        <v>63.030556285889006</v>
      </c>
      <c r="AR6" s="112">
        <f>AM6+AN6+AO6+AP6+AQ6</f>
        <v>551.97153307269525</v>
      </c>
      <c r="AU6" s="110">
        <v>3</v>
      </c>
      <c r="AV6" s="110">
        <v>0</v>
      </c>
      <c r="AW6" s="110">
        <v>0</v>
      </c>
      <c r="AX6" s="110">
        <v>8</v>
      </c>
      <c r="AY6" s="110">
        <v>44</v>
      </c>
      <c r="AZ6" s="111">
        <f t="shared" ref="AZ6:AZ68" si="16">($J6/8)*$AU6*(1+0.3)</f>
        <v>6.4355726764157426</v>
      </c>
      <c r="BA6" s="111">
        <f t="shared" ref="BA6:BA68" si="17">($J6/8)*$AV6*(1+0.6)</f>
        <v>0</v>
      </c>
      <c r="BB6" s="111">
        <f t="shared" ref="BB6:BB68" si="18">($J6/8)*2*$AW6</f>
        <v>0</v>
      </c>
      <c r="BC6" s="111">
        <f>($J6/8)*$AX6*(1+0.1)</f>
        <v>14.521292192938086</v>
      </c>
      <c r="BD6" s="111">
        <f>($J6/8)*$AY6*(1+0.25)</f>
        <v>90.758076205863034</v>
      </c>
      <c r="BE6" s="111">
        <f t="shared" ref="BE6" si="19">AZ6+BA6+BB6+BC6+BD6</f>
        <v>111.71494107521687</v>
      </c>
    </row>
    <row r="7" spans="1:57" s="110" customFormat="1" x14ac:dyDescent="0.25">
      <c r="A7" s="110" t="s">
        <v>279</v>
      </c>
      <c r="B7" s="108" t="s">
        <v>108</v>
      </c>
      <c r="C7" s="109" t="s">
        <v>111</v>
      </c>
      <c r="E7" s="114">
        <v>260000143861032</v>
      </c>
      <c r="F7" s="110" t="s">
        <v>276</v>
      </c>
      <c r="G7" s="110">
        <v>3</v>
      </c>
      <c r="I7" s="110">
        <v>13</v>
      </c>
      <c r="J7" s="111">
        <v>13.201174720852805</v>
      </c>
      <c r="K7" s="111">
        <v>171.61527137108646</v>
      </c>
      <c r="L7" s="110">
        <v>0</v>
      </c>
      <c r="M7" s="112">
        <v>13.201174720852805</v>
      </c>
      <c r="N7" s="112">
        <v>0</v>
      </c>
      <c r="O7" s="112">
        <v>0</v>
      </c>
      <c r="P7" s="112">
        <v>13.201174720852805</v>
      </c>
      <c r="Q7" s="112">
        <v>0</v>
      </c>
      <c r="R7" s="112">
        <v>0</v>
      </c>
      <c r="S7" s="112">
        <v>8.8051835388088211</v>
      </c>
      <c r="T7" s="112">
        <v>0</v>
      </c>
      <c r="U7" s="112">
        <v>51.484581411325941</v>
      </c>
      <c r="V7" s="112">
        <v>1.17</v>
      </c>
      <c r="W7" s="112">
        <v>15.209999999999999</v>
      </c>
      <c r="X7" s="112">
        <v>0</v>
      </c>
      <c r="Y7" s="112">
        <v>0</v>
      </c>
      <c r="Z7" s="112">
        <v>15.209999999999999</v>
      </c>
      <c r="AA7" s="112">
        <v>94.470906596102878</v>
      </c>
      <c r="AB7" s="112">
        <v>266.08617796718931</v>
      </c>
      <c r="AC7" s="112">
        <v>252.78186906882985</v>
      </c>
      <c r="AD7" s="112">
        <v>13.304308898359466</v>
      </c>
      <c r="AE7" s="112">
        <v>27.697200060444139</v>
      </c>
      <c r="AF7" s="112">
        <v>41.001508958803605</v>
      </c>
      <c r="AG7" s="112">
        <v>0</v>
      </c>
      <c r="AH7" s="112">
        <v>291.77925041971167</v>
      </c>
      <c r="AI7" s="112">
        <v>34.591203135734609</v>
      </c>
      <c r="AJ7" s="112">
        <v>5.3217235593437868</v>
      </c>
      <c r="AK7" s="112">
        <v>1.3304308898359467</v>
      </c>
      <c r="AL7" s="112">
        <v>41.243357584914342</v>
      </c>
      <c r="AM7" s="112">
        <v>374.02411696342961</v>
      </c>
      <c r="AN7" s="112">
        <v>0</v>
      </c>
      <c r="AO7" s="112">
        <v>25</v>
      </c>
      <c r="AP7" s="112">
        <v>70</v>
      </c>
      <c r="AQ7" s="112">
        <v>59.843858714148737</v>
      </c>
      <c r="AR7" s="112">
        <v>528.86797567757833</v>
      </c>
      <c r="AU7" s="110">
        <v>0</v>
      </c>
      <c r="AV7" s="110">
        <v>0</v>
      </c>
      <c r="AW7" s="110">
        <v>0</v>
      </c>
      <c r="AX7" s="110">
        <v>10</v>
      </c>
      <c r="AY7" s="110">
        <v>37</v>
      </c>
      <c r="AZ7" s="111">
        <v>0</v>
      </c>
      <c r="BA7" s="111">
        <v>0</v>
      </c>
      <c r="BB7" s="111">
        <v>0</v>
      </c>
      <c r="BC7" s="111">
        <v>18.151615241172607</v>
      </c>
      <c r="BD7" s="111">
        <v>76.319291354930272</v>
      </c>
      <c r="BE7" s="111">
        <v>94.470906596102878</v>
      </c>
    </row>
    <row r="8" spans="1:57" s="110" customFormat="1" x14ac:dyDescent="0.25">
      <c r="A8" s="110" t="s">
        <v>280</v>
      </c>
      <c r="B8" s="108" t="s">
        <v>109</v>
      </c>
      <c r="C8" s="109" t="s">
        <v>111</v>
      </c>
      <c r="E8" s="114">
        <v>544200035354250</v>
      </c>
      <c r="F8" s="110" t="s">
        <v>276</v>
      </c>
      <c r="G8" s="110">
        <v>3</v>
      </c>
      <c r="I8" s="110">
        <v>13</v>
      </c>
      <c r="J8" s="111">
        <v>12.541337943634536</v>
      </c>
      <c r="K8" s="111">
        <v>163.03739326724897</v>
      </c>
      <c r="L8" s="110">
        <v>0</v>
      </c>
      <c r="M8" s="112">
        <v>12.541337943634536</v>
      </c>
      <c r="N8" s="112">
        <v>0</v>
      </c>
      <c r="O8" s="112">
        <v>0</v>
      </c>
      <c r="P8" s="112">
        <v>12.541337943634536</v>
      </c>
      <c r="Q8" s="112">
        <v>0</v>
      </c>
      <c r="R8" s="112">
        <v>0</v>
      </c>
      <c r="S8" s="112">
        <v>8.3650724084042363</v>
      </c>
      <c r="T8" s="112">
        <v>0</v>
      </c>
      <c r="U8" s="112">
        <v>48.91121798017469</v>
      </c>
      <c r="V8" s="112">
        <v>1.17</v>
      </c>
      <c r="W8" s="112">
        <v>15.209999999999999</v>
      </c>
      <c r="X8" s="112">
        <v>0</v>
      </c>
      <c r="Y8" s="112">
        <v>0</v>
      </c>
      <c r="Z8" s="112">
        <v>15.209999999999999</v>
      </c>
      <c r="AA8" s="112">
        <v>84.340497670942256</v>
      </c>
      <c r="AB8" s="112">
        <v>247.37789093819123</v>
      </c>
      <c r="AC8" s="112">
        <v>235.00899639128167</v>
      </c>
      <c r="AD8" s="112">
        <v>12.368894546909562</v>
      </c>
      <c r="AE8" s="112">
        <v>25.19122501290984</v>
      </c>
      <c r="AF8" s="112">
        <v>37.560119559819398</v>
      </c>
      <c r="AG8" s="112">
        <v>0</v>
      </c>
      <c r="AH8" s="112">
        <v>273.93898935854651</v>
      </c>
      <c r="AI8" s="112">
        <v>32.159125821964864</v>
      </c>
      <c r="AJ8" s="112">
        <v>4.9475578187638245</v>
      </c>
      <c r="AK8" s="112">
        <v>1.2368894546909561</v>
      </c>
      <c r="AL8" s="112">
        <v>38.343573095419643</v>
      </c>
      <c r="AM8" s="112">
        <v>349.84268201378552</v>
      </c>
      <c r="AN8" s="112">
        <v>0</v>
      </c>
      <c r="AO8" s="112">
        <v>25</v>
      </c>
      <c r="AP8" s="112">
        <v>70</v>
      </c>
      <c r="AQ8" s="112">
        <v>55.974829122205684</v>
      </c>
      <c r="AR8" s="112">
        <v>500.8175111359912</v>
      </c>
      <c r="AU8" s="110">
        <v>0</v>
      </c>
      <c r="AV8" s="110">
        <v>0</v>
      </c>
      <c r="AW8" s="110">
        <v>0</v>
      </c>
      <c r="AX8" s="110">
        <v>8</v>
      </c>
      <c r="AY8" s="110">
        <v>36</v>
      </c>
      <c r="AZ8" s="111">
        <v>0</v>
      </c>
      <c r="BA8" s="111">
        <v>0</v>
      </c>
      <c r="BB8" s="111">
        <v>0</v>
      </c>
      <c r="BC8" s="111">
        <v>13.795471737997991</v>
      </c>
      <c r="BD8" s="111">
        <v>70.54502593294427</v>
      </c>
      <c r="BE8" s="111">
        <v>84.340497670942256</v>
      </c>
    </row>
    <row r="9" spans="1:57" s="110" customFormat="1" x14ac:dyDescent="0.25">
      <c r="A9" s="110" t="s">
        <v>281</v>
      </c>
      <c r="B9" s="108" t="s">
        <v>110</v>
      </c>
      <c r="C9" s="109" t="s">
        <v>111</v>
      </c>
      <c r="E9" s="114">
        <v>544200035354347</v>
      </c>
      <c r="F9" s="110" t="s">
        <v>276</v>
      </c>
      <c r="G9" s="110">
        <v>3</v>
      </c>
      <c r="I9" s="110">
        <v>13</v>
      </c>
      <c r="J9" s="111">
        <v>12.541337943634536</v>
      </c>
      <c r="K9" s="111">
        <v>163.03739326724897</v>
      </c>
      <c r="L9" s="110">
        <v>0</v>
      </c>
      <c r="M9" s="112">
        <v>12.541337943634536</v>
      </c>
      <c r="N9" s="112">
        <v>0</v>
      </c>
      <c r="O9" s="112">
        <v>0</v>
      </c>
      <c r="P9" s="112">
        <v>12.541337943634536</v>
      </c>
      <c r="Q9" s="112">
        <v>0</v>
      </c>
      <c r="R9" s="112">
        <v>0</v>
      </c>
      <c r="S9" s="112">
        <v>8.3650724084042363</v>
      </c>
      <c r="T9" s="112">
        <v>0</v>
      </c>
      <c r="U9" s="112">
        <v>48.91121798017469</v>
      </c>
      <c r="V9" s="112">
        <v>1.17</v>
      </c>
      <c r="W9" s="112">
        <v>15.209999999999999</v>
      </c>
      <c r="X9" s="112">
        <v>0</v>
      </c>
      <c r="Y9" s="112">
        <v>0</v>
      </c>
      <c r="Z9" s="112">
        <v>15.209999999999999</v>
      </c>
      <c r="AA9" s="112">
        <v>122.66996176117532</v>
      </c>
      <c r="AB9" s="112">
        <v>285.70735502842427</v>
      </c>
      <c r="AC9" s="112">
        <v>271.42198727700304</v>
      </c>
      <c r="AD9" s="112">
        <v>14.285367751421214</v>
      </c>
      <c r="AE9" s="112">
        <v>30.325456727796553</v>
      </c>
      <c r="AF9" s="112">
        <v>44.610824479217769</v>
      </c>
      <c r="AG9" s="112">
        <v>0</v>
      </c>
      <c r="AH9" s="112">
        <v>305.2177485293812</v>
      </c>
      <c r="AI9" s="112">
        <v>37.141956153695155</v>
      </c>
      <c r="AJ9" s="112">
        <v>5.7141471005684856</v>
      </c>
      <c r="AK9" s="112">
        <v>1.4285367751421214</v>
      </c>
      <c r="AL9" s="112">
        <v>44.284640029405764</v>
      </c>
      <c r="AM9" s="112">
        <v>394.11321303800469</v>
      </c>
      <c r="AN9" s="112">
        <v>0</v>
      </c>
      <c r="AO9" s="112">
        <v>25</v>
      </c>
      <c r="AP9" s="112">
        <v>70</v>
      </c>
      <c r="AQ9" s="112">
        <v>63.058114086080749</v>
      </c>
      <c r="AR9" s="112">
        <v>552.17132712408545</v>
      </c>
      <c r="AU9" s="110">
        <v>6</v>
      </c>
      <c r="AV9" s="110">
        <v>2</v>
      </c>
      <c r="AW9" s="110">
        <v>0</v>
      </c>
      <c r="AX9" s="110">
        <v>10</v>
      </c>
      <c r="AY9" s="110">
        <v>45</v>
      </c>
      <c r="AZ9" s="111">
        <v>12.227804495043673</v>
      </c>
      <c r="BA9" s="111">
        <v>5.0165351774538145</v>
      </c>
      <c r="BB9" s="111">
        <v>0</v>
      </c>
      <c r="BC9" s="111">
        <v>17.244339672497489</v>
      </c>
      <c r="BD9" s="111">
        <v>88.181282416180338</v>
      </c>
      <c r="BE9" s="111">
        <v>122.66996176117532</v>
      </c>
    </row>
    <row r="10" spans="1:57" s="110" customFormat="1" x14ac:dyDescent="0.25">
      <c r="B10" s="108" t="s">
        <v>398</v>
      </c>
      <c r="C10" s="109" t="s">
        <v>113</v>
      </c>
      <c r="E10" s="114"/>
      <c r="I10" s="110">
        <v>11</v>
      </c>
      <c r="J10" s="111">
        <v>12.541337943634536</v>
      </c>
      <c r="K10" s="111">
        <v>137.95471737997991</v>
      </c>
      <c r="L10" s="110">
        <v>0</v>
      </c>
      <c r="M10" s="112">
        <v>12.541337943634536</v>
      </c>
      <c r="N10" s="112">
        <v>0</v>
      </c>
      <c r="O10" s="112">
        <v>0</v>
      </c>
      <c r="P10" s="112">
        <v>12.541337943634536</v>
      </c>
      <c r="Q10" s="112">
        <v>0</v>
      </c>
      <c r="R10" s="112">
        <v>0</v>
      </c>
      <c r="S10" s="112">
        <v>8.3650724084042363</v>
      </c>
      <c r="T10" s="112">
        <v>0</v>
      </c>
      <c r="U10" s="112">
        <v>41.38641521399397</v>
      </c>
      <c r="V10" s="112">
        <v>1.17</v>
      </c>
      <c r="W10" s="112">
        <v>12.87</v>
      </c>
      <c r="X10" s="112">
        <v>6</v>
      </c>
      <c r="Y10" s="112">
        <v>7.02</v>
      </c>
      <c r="Z10" s="112">
        <v>19.89</v>
      </c>
      <c r="AA10" s="112">
        <v>147.04718738911492</v>
      </c>
      <c r="AB10" s="112">
        <v>285.00190476909484</v>
      </c>
      <c r="AC10" s="112">
        <v>270.75180953064012</v>
      </c>
      <c r="AD10" s="112">
        <v>14.250095238454742</v>
      </c>
      <c r="AE10" s="112">
        <v>30.325456727796553</v>
      </c>
      <c r="AF10" s="112">
        <v>44.575551966251297</v>
      </c>
      <c r="AG10" s="112">
        <v>0</v>
      </c>
      <c r="AH10" s="112">
        <v>301.70276801683752</v>
      </c>
      <c r="AI10" s="112">
        <v>37.050247619982329</v>
      </c>
      <c r="AJ10" s="112">
        <v>5.7000380953818972</v>
      </c>
      <c r="AK10" s="112">
        <v>1.4250095238454743</v>
      </c>
      <c r="AL10" s="112">
        <v>44.175295239209703</v>
      </c>
      <c r="AM10" s="112">
        <v>390.45361522229848</v>
      </c>
      <c r="AN10" s="112">
        <v>0</v>
      </c>
      <c r="AO10" s="112">
        <v>25</v>
      </c>
      <c r="AP10" s="112">
        <v>70</v>
      </c>
      <c r="AQ10" s="112">
        <v>62.472578435567762</v>
      </c>
      <c r="AR10" s="112">
        <v>547.92619365786629</v>
      </c>
      <c r="AT10" s="110">
        <v>6</v>
      </c>
      <c r="AU10" s="110">
        <v>6</v>
      </c>
      <c r="AV10" s="110">
        <v>0</v>
      </c>
      <c r="AW10" s="110">
        <v>43</v>
      </c>
      <c r="AX10" s="110">
        <v>0</v>
      </c>
      <c r="AY10" s="110">
        <v>0</v>
      </c>
      <c r="AZ10" s="111">
        <v>12.227804495043673</v>
      </c>
      <c r="BA10" s="111">
        <v>0</v>
      </c>
      <c r="BB10" s="111">
        <v>134.81938289407125</v>
      </c>
      <c r="BC10" s="111">
        <v>0</v>
      </c>
      <c r="BD10" s="111">
        <v>0</v>
      </c>
      <c r="BE10" s="111">
        <v>147.04718738911492</v>
      </c>
    </row>
    <row r="11" spans="1:57" s="110" customFormat="1" x14ac:dyDescent="0.25">
      <c r="A11" s="110" t="s">
        <v>282</v>
      </c>
      <c r="B11" s="108" t="s">
        <v>112</v>
      </c>
      <c r="C11" s="109" t="s">
        <v>113</v>
      </c>
      <c r="E11" s="114">
        <v>544200132484230</v>
      </c>
      <c r="F11" s="110" t="s">
        <v>276</v>
      </c>
      <c r="G11" s="110">
        <v>3</v>
      </c>
      <c r="I11" s="110">
        <v>11</v>
      </c>
      <c r="J11" s="111">
        <v>12.541337943634536</v>
      </c>
      <c r="K11" s="111">
        <v>137.95471737997991</v>
      </c>
      <c r="L11" s="110">
        <v>0</v>
      </c>
      <c r="M11" s="112">
        <v>12.541337943634536</v>
      </c>
      <c r="N11" s="112">
        <v>0</v>
      </c>
      <c r="O11" s="112">
        <v>0</v>
      </c>
      <c r="P11" s="112">
        <v>12.541337943634536</v>
      </c>
      <c r="Q11" s="112">
        <v>0</v>
      </c>
      <c r="R11" s="112">
        <v>0</v>
      </c>
      <c r="S11" s="112">
        <v>8.3650724084042363</v>
      </c>
      <c r="T11" s="112">
        <v>0</v>
      </c>
      <c r="U11" s="112">
        <v>41.38641521399397</v>
      </c>
      <c r="V11" s="112">
        <v>1.17</v>
      </c>
      <c r="W11" s="112">
        <v>12.87</v>
      </c>
      <c r="X11" s="112">
        <v>3</v>
      </c>
      <c r="Y11" s="112">
        <v>3.51</v>
      </c>
      <c r="Z11" s="112">
        <v>16.38</v>
      </c>
      <c r="AA11" s="112">
        <v>139.89862476124324</v>
      </c>
      <c r="AB11" s="112">
        <v>277.85334214122315</v>
      </c>
      <c r="AC11" s="112">
        <v>263.96067503416202</v>
      </c>
      <c r="AD11" s="112">
        <v>13.892667107061158</v>
      </c>
      <c r="AE11" s="112">
        <v>29.273411701555975</v>
      </c>
      <c r="AF11" s="112">
        <v>43.166078808617129</v>
      </c>
      <c r="AG11" s="112">
        <v>0</v>
      </c>
      <c r="AH11" s="112">
        <v>292.45367854660003</v>
      </c>
      <c r="AI11" s="112">
        <v>36.120934478359011</v>
      </c>
      <c r="AJ11" s="112">
        <v>5.5570668428244634</v>
      </c>
      <c r="AK11" s="112">
        <v>1.3892667107061158</v>
      </c>
      <c r="AL11" s="112">
        <v>43.06726803188959</v>
      </c>
      <c r="AM11" s="112">
        <v>378.68702538710676</v>
      </c>
      <c r="AN11" s="112">
        <v>0</v>
      </c>
      <c r="AO11" s="112">
        <v>25</v>
      </c>
      <c r="AP11" s="112">
        <v>70</v>
      </c>
      <c r="AQ11" s="112">
        <v>60.589924061937083</v>
      </c>
      <c r="AR11" s="112">
        <v>534.27694944904385</v>
      </c>
      <c r="AU11" s="110">
        <v>15.5</v>
      </c>
      <c r="AV11" s="110">
        <v>7</v>
      </c>
      <c r="AW11" s="110">
        <v>28.67</v>
      </c>
      <c r="AX11" s="110">
        <v>0.5</v>
      </c>
      <c r="AY11" s="110">
        <v>0</v>
      </c>
      <c r="AZ11" s="111">
        <v>31.58849494552949</v>
      </c>
      <c r="BA11" s="111">
        <v>17.557873121088353</v>
      </c>
      <c r="BB11" s="111">
        <v>89.89003971100054</v>
      </c>
      <c r="BC11" s="111">
        <v>0.86221698362487442</v>
      </c>
      <c r="BD11" s="111">
        <v>0</v>
      </c>
      <c r="BE11" s="111">
        <v>139.89862476124324</v>
      </c>
    </row>
    <row r="12" spans="1:57" s="110" customFormat="1" x14ac:dyDescent="0.25">
      <c r="A12" s="110" t="s">
        <v>283</v>
      </c>
      <c r="B12" s="108" t="s">
        <v>114</v>
      </c>
      <c r="C12" s="109" t="s">
        <v>115</v>
      </c>
      <c r="E12" s="114">
        <v>544200184545197</v>
      </c>
      <c r="F12" s="110" t="s">
        <v>276</v>
      </c>
      <c r="G12" s="110">
        <v>5</v>
      </c>
      <c r="I12" s="110">
        <v>11</v>
      </c>
      <c r="J12" s="111">
        <v>9.0685128003804998</v>
      </c>
      <c r="K12" s="111">
        <v>99.753640804185494</v>
      </c>
      <c r="L12" s="110">
        <v>0</v>
      </c>
      <c r="M12" s="112">
        <v>9.0685128003804998</v>
      </c>
      <c r="N12" s="112">
        <v>0</v>
      </c>
      <c r="O12" s="112">
        <v>0</v>
      </c>
      <c r="P12" s="112">
        <v>9.0685128003804998</v>
      </c>
      <c r="Q12" s="112">
        <v>0</v>
      </c>
      <c r="R12" s="112">
        <v>0</v>
      </c>
      <c r="S12" s="112">
        <v>6.0486980378537938</v>
      </c>
      <c r="T12" s="112">
        <v>0</v>
      </c>
      <c r="U12" s="112">
        <v>29.926092241255645</v>
      </c>
      <c r="V12" s="112">
        <v>1.17</v>
      </c>
      <c r="W12" s="112">
        <v>12.87</v>
      </c>
      <c r="X12" s="112">
        <v>0</v>
      </c>
      <c r="Y12" s="112">
        <v>0</v>
      </c>
      <c r="Z12" s="112">
        <v>12.87</v>
      </c>
      <c r="AA12" s="112">
        <v>23.521455075986921</v>
      </c>
      <c r="AB12" s="112">
        <v>123.27509588017242</v>
      </c>
      <c r="AC12" s="112">
        <v>117.11134108616379</v>
      </c>
      <c r="AD12" s="112">
        <v>6.1637547940086215</v>
      </c>
      <c r="AE12" s="112">
        <v>8.2030745248929797</v>
      </c>
      <c r="AF12" s="112">
        <v>14.366829318901601</v>
      </c>
      <c r="AG12" s="112">
        <v>0</v>
      </c>
      <c r="AH12" s="112">
        <v>151.70435880252646</v>
      </c>
      <c r="AI12" s="112">
        <v>16.025762464422414</v>
      </c>
      <c r="AJ12" s="112">
        <v>2.4655019176034485</v>
      </c>
      <c r="AK12" s="112">
        <v>0.61637547940086213</v>
      </c>
      <c r="AL12" s="112">
        <v>19.107639861426723</v>
      </c>
      <c r="AM12" s="112">
        <v>185.17882798285478</v>
      </c>
      <c r="AN12" s="112">
        <v>0</v>
      </c>
      <c r="AO12" s="112">
        <v>25</v>
      </c>
      <c r="AP12" s="112">
        <v>70</v>
      </c>
      <c r="AQ12" s="112">
        <v>29.628612477256766</v>
      </c>
      <c r="AR12" s="112">
        <v>309.80744046011154</v>
      </c>
      <c r="AU12" s="110">
        <v>13.5</v>
      </c>
      <c r="AV12" s="110">
        <v>2</v>
      </c>
      <c r="AW12" s="110">
        <v>0</v>
      </c>
      <c r="AX12" s="110">
        <v>0</v>
      </c>
      <c r="AY12" s="110">
        <v>0</v>
      </c>
      <c r="AZ12" s="111">
        <v>19.894049955834721</v>
      </c>
      <c r="BA12" s="111">
        <v>3.6274051201522002</v>
      </c>
      <c r="BB12" s="111">
        <v>0</v>
      </c>
      <c r="BC12" s="111">
        <v>0</v>
      </c>
      <c r="BD12" s="111">
        <v>0</v>
      </c>
      <c r="BE12" s="111">
        <v>23.521455075986921</v>
      </c>
    </row>
    <row r="13" spans="1:57" s="110" customFormat="1" x14ac:dyDescent="0.25">
      <c r="A13" s="110" t="s">
        <v>284</v>
      </c>
      <c r="B13" s="108" t="s">
        <v>116</v>
      </c>
      <c r="C13" s="109" t="s">
        <v>117</v>
      </c>
      <c r="E13" s="114">
        <v>544200184583221</v>
      </c>
      <c r="F13" s="110" t="s">
        <v>276</v>
      </c>
      <c r="G13" s="110">
        <v>4</v>
      </c>
      <c r="I13" s="110">
        <v>11</v>
      </c>
      <c r="J13" s="111">
        <v>12.541337943634536</v>
      </c>
      <c r="K13" s="111">
        <v>137.95471737997991</v>
      </c>
      <c r="L13" s="110">
        <v>0</v>
      </c>
      <c r="M13" s="112">
        <v>12.541337943634536</v>
      </c>
      <c r="N13" s="112">
        <v>0</v>
      </c>
      <c r="O13" s="112">
        <v>0</v>
      </c>
      <c r="P13" s="112">
        <v>12.541337943634536</v>
      </c>
      <c r="Q13" s="112">
        <v>0</v>
      </c>
      <c r="R13" s="112">
        <v>0</v>
      </c>
      <c r="S13" s="112">
        <v>8.3650724084042363</v>
      </c>
      <c r="T13" s="112">
        <v>0</v>
      </c>
      <c r="U13" s="112">
        <v>41.38641521399397</v>
      </c>
      <c r="V13" s="112">
        <v>1.17</v>
      </c>
      <c r="W13" s="112">
        <v>12.87</v>
      </c>
      <c r="X13" s="112">
        <v>0</v>
      </c>
      <c r="Y13" s="112">
        <v>0</v>
      </c>
      <c r="Z13" s="112">
        <v>12.87</v>
      </c>
      <c r="AA13" s="112">
        <v>32.529095291302077</v>
      </c>
      <c r="AB13" s="112">
        <v>170.48381267128198</v>
      </c>
      <c r="AC13" s="112">
        <v>161.95962203771788</v>
      </c>
      <c r="AD13" s="112">
        <v>8.5241906335640998</v>
      </c>
      <c r="AE13" s="112">
        <v>14.574427841205065</v>
      </c>
      <c r="AF13" s="112">
        <v>23.098618474769165</v>
      </c>
      <c r="AG13" s="112">
        <v>0</v>
      </c>
      <c r="AH13" s="112">
        <v>201.64160941050679</v>
      </c>
      <c r="AI13" s="112">
        <v>22.162895647266659</v>
      </c>
      <c r="AJ13" s="112">
        <v>3.4096762534256397</v>
      </c>
      <c r="AK13" s="112">
        <v>0.85241906335640993</v>
      </c>
      <c r="AL13" s="112">
        <v>26.42499096404871</v>
      </c>
      <c r="AM13" s="112">
        <v>251.16521884932465</v>
      </c>
      <c r="AN13" s="112">
        <v>0</v>
      </c>
      <c r="AO13" s="112">
        <v>25</v>
      </c>
      <c r="AP13" s="112">
        <v>70</v>
      </c>
      <c r="AQ13" s="112">
        <v>40.186435015891945</v>
      </c>
      <c r="AR13" s="112">
        <v>386.35165386521663</v>
      </c>
      <c r="AU13" s="110">
        <v>13.5</v>
      </c>
      <c r="AV13" s="110">
        <v>2</v>
      </c>
      <c r="AW13" s="110">
        <v>0</v>
      </c>
      <c r="AX13" s="110">
        <v>0</v>
      </c>
      <c r="AY13" s="110">
        <v>0</v>
      </c>
      <c r="AZ13" s="111">
        <v>27.512560113848263</v>
      </c>
      <c r="BA13" s="111">
        <v>5.0165351774538145</v>
      </c>
      <c r="BB13" s="111">
        <v>0</v>
      </c>
      <c r="BC13" s="111">
        <v>0</v>
      </c>
      <c r="BD13" s="111">
        <v>0</v>
      </c>
      <c r="BE13" s="111">
        <v>32.529095291302077</v>
      </c>
    </row>
    <row r="14" spans="1:57" s="110" customFormat="1" x14ac:dyDescent="0.25">
      <c r="A14" s="110" t="s">
        <v>287</v>
      </c>
      <c r="B14" s="108" t="s">
        <v>118</v>
      </c>
      <c r="C14" s="109" t="s">
        <v>119</v>
      </c>
      <c r="E14" s="114">
        <v>544200031884948</v>
      </c>
      <c r="F14" s="110" t="s">
        <v>276</v>
      </c>
      <c r="G14" s="110">
        <v>1</v>
      </c>
      <c r="I14" s="110">
        <v>11</v>
      </c>
      <c r="J14" s="111">
        <v>7.9502631042527021</v>
      </c>
      <c r="K14" s="111">
        <v>87.452894146779727</v>
      </c>
      <c r="L14" s="110">
        <v>0</v>
      </c>
      <c r="M14" s="112">
        <v>7.9502631042527021</v>
      </c>
      <c r="N14" s="112">
        <v>0</v>
      </c>
      <c r="O14" s="112">
        <v>0</v>
      </c>
      <c r="P14" s="112">
        <v>7.9502631042527021</v>
      </c>
      <c r="Q14" s="112">
        <v>0</v>
      </c>
      <c r="R14" s="112">
        <v>0</v>
      </c>
      <c r="S14" s="112">
        <v>5.3028254905365522</v>
      </c>
      <c r="T14" s="112">
        <v>0</v>
      </c>
      <c r="U14" s="112">
        <v>26.235868244033917</v>
      </c>
      <c r="V14" s="112">
        <v>1.17</v>
      </c>
      <c r="W14" s="112">
        <v>12.87</v>
      </c>
      <c r="X14" s="112">
        <v>3</v>
      </c>
      <c r="Y14" s="112">
        <v>3.51</v>
      </c>
      <c r="Z14" s="112">
        <v>16.38</v>
      </c>
      <c r="AA14" s="112">
        <v>65.887805476494265</v>
      </c>
      <c r="AB14" s="112">
        <v>153.34069962327399</v>
      </c>
      <c r="AC14" s="112">
        <v>145.67366464211028</v>
      </c>
      <c r="AD14" s="112">
        <v>7.6670349811636997</v>
      </c>
      <c r="AE14" s="112">
        <v>13.130898267607602</v>
      </c>
      <c r="AF14" s="112">
        <v>20.797933248771301</v>
      </c>
      <c r="AG14" s="112">
        <v>0</v>
      </c>
      <c r="AH14" s="112">
        <v>175.15863461853661</v>
      </c>
      <c r="AI14" s="112">
        <v>19.93429095102562</v>
      </c>
      <c r="AJ14" s="112">
        <v>3.0668139924654798</v>
      </c>
      <c r="AK14" s="112">
        <v>0.76670349811636995</v>
      </c>
      <c r="AL14" s="112">
        <v>23.767808441607471</v>
      </c>
      <c r="AM14" s="112">
        <v>219.7243763089154</v>
      </c>
      <c r="AN14" s="112">
        <v>0</v>
      </c>
      <c r="AO14" s="112">
        <v>25</v>
      </c>
      <c r="AP14" s="112">
        <v>70</v>
      </c>
      <c r="AQ14" s="112">
        <v>35.155900209426463</v>
      </c>
      <c r="AR14" s="112">
        <v>349.88027651834187</v>
      </c>
      <c r="AU14" s="110">
        <v>11</v>
      </c>
      <c r="AV14" s="110">
        <v>0</v>
      </c>
      <c r="AW14" s="110">
        <v>26</v>
      </c>
      <c r="AX14" s="110">
        <v>0</v>
      </c>
      <c r="AY14" s="110">
        <v>0</v>
      </c>
      <c r="AZ14" s="111">
        <v>14.211095298851706</v>
      </c>
      <c r="BA14" s="111">
        <v>0</v>
      </c>
      <c r="BB14" s="111">
        <v>51.676710177642562</v>
      </c>
      <c r="BC14" s="111">
        <v>0</v>
      </c>
      <c r="BD14" s="111">
        <v>0</v>
      </c>
      <c r="BE14" s="111">
        <v>65.887805476494265</v>
      </c>
    </row>
    <row r="15" spans="1:57" s="110" customFormat="1" x14ac:dyDescent="0.25">
      <c r="A15" s="110" t="s">
        <v>286</v>
      </c>
      <c r="B15" s="108" t="s">
        <v>403</v>
      </c>
      <c r="C15" s="109" t="s">
        <v>119</v>
      </c>
      <c r="E15" s="114">
        <v>544200031835866</v>
      </c>
      <c r="F15" s="110" t="s">
        <v>276</v>
      </c>
      <c r="G15" s="110">
        <v>1</v>
      </c>
      <c r="I15" s="110">
        <v>11</v>
      </c>
      <c r="J15" s="111">
        <v>7.9502631042527021</v>
      </c>
      <c r="K15" s="111">
        <v>87.452894146779727</v>
      </c>
      <c r="L15" s="110">
        <v>0</v>
      </c>
      <c r="M15" s="112">
        <v>7.9502631042527021</v>
      </c>
      <c r="N15" s="112">
        <v>0</v>
      </c>
      <c r="O15" s="112">
        <v>0</v>
      </c>
      <c r="P15" s="112">
        <v>7.9502631042527021</v>
      </c>
      <c r="Q15" s="112">
        <v>0</v>
      </c>
      <c r="R15" s="112">
        <v>0</v>
      </c>
      <c r="S15" s="112">
        <v>5.3028254905365522</v>
      </c>
      <c r="T15" s="112">
        <v>0</v>
      </c>
      <c r="U15" s="112">
        <v>26.235868244033917</v>
      </c>
      <c r="V15" s="112">
        <v>1.17</v>
      </c>
      <c r="W15" s="112">
        <v>12.87</v>
      </c>
      <c r="X15" s="112">
        <v>4</v>
      </c>
      <c r="Y15" s="112">
        <v>4.68</v>
      </c>
      <c r="Z15" s="112">
        <v>17.549999999999997</v>
      </c>
      <c r="AA15" s="112">
        <v>83.77589746106284</v>
      </c>
      <c r="AB15" s="112">
        <v>171.22879160784257</v>
      </c>
      <c r="AC15" s="112">
        <v>162.66735202745045</v>
      </c>
      <c r="AD15" s="112">
        <v>8.561439580392129</v>
      </c>
      <c r="AE15" s="112">
        <v>15.62897031325261</v>
      </c>
      <c r="AF15" s="112">
        <v>24.190409893644741</v>
      </c>
      <c r="AG15" s="112">
        <v>0</v>
      </c>
      <c r="AH15" s="112">
        <v>190.82424995823175</v>
      </c>
      <c r="AI15" s="112">
        <v>22.259742909019533</v>
      </c>
      <c r="AJ15" s="112">
        <v>3.4245758321568514</v>
      </c>
      <c r="AK15" s="112">
        <v>0.85614395803921284</v>
      </c>
      <c r="AL15" s="112">
        <v>26.540462699215595</v>
      </c>
      <c r="AM15" s="112">
        <v>241.5551225510921</v>
      </c>
      <c r="AN15" s="112">
        <v>0</v>
      </c>
      <c r="AO15" s="112">
        <v>25</v>
      </c>
      <c r="AP15" s="112">
        <v>70</v>
      </c>
      <c r="AQ15" s="112">
        <v>38.648819608174733</v>
      </c>
      <c r="AR15" s="112">
        <v>375.20394215926683</v>
      </c>
      <c r="AU15" s="110">
        <v>11</v>
      </c>
      <c r="AV15" s="110">
        <v>0</v>
      </c>
      <c r="AW15" s="110">
        <v>35</v>
      </c>
      <c r="AX15" s="110">
        <v>0</v>
      </c>
      <c r="AY15" s="110">
        <v>0</v>
      </c>
      <c r="AZ15" s="111">
        <v>14.211095298851706</v>
      </c>
      <c r="BA15" s="111">
        <v>0</v>
      </c>
      <c r="BB15" s="111">
        <v>69.564802162211137</v>
      </c>
      <c r="BC15" s="111">
        <v>0</v>
      </c>
      <c r="BD15" s="111">
        <v>0</v>
      </c>
      <c r="BE15" s="111">
        <v>83.77589746106284</v>
      </c>
    </row>
    <row r="16" spans="1:57" s="110" customFormat="1" x14ac:dyDescent="0.25">
      <c r="A16" s="110" t="s">
        <v>285</v>
      </c>
      <c r="B16" s="108" t="s">
        <v>120</v>
      </c>
      <c r="C16" s="109" t="s">
        <v>119</v>
      </c>
      <c r="G16" s="110">
        <v>0</v>
      </c>
      <c r="I16" s="110">
        <v>11</v>
      </c>
      <c r="J16" s="111">
        <v>7.9502631042527021</v>
      </c>
      <c r="K16" s="111">
        <v>87.452894146779727</v>
      </c>
      <c r="L16" s="110">
        <v>0</v>
      </c>
      <c r="M16" s="112">
        <v>7.9502631042527021</v>
      </c>
      <c r="N16" s="112">
        <v>0</v>
      </c>
      <c r="O16" s="112">
        <v>0</v>
      </c>
      <c r="P16" s="112">
        <v>7.9502631042527021</v>
      </c>
      <c r="Q16" s="112">
        <v>0</v>
      </c>
      <c r="R16" s="112">
        <v>0</v>
      </c>
      <c r="S16" s="112">
        <v>5.3028254905365522</v>
      </c>
      <c r="T16" s="112">
        <v>0</v>
      </c>
      <c r="U16" s="112">
        <v>26.235868244033917</v>
      </c>
      <c r="V16" s="112">
        <v>1.17</v>
      </c>
      <c r="W16" s="112">
        <v>12.87</v>
      </c>
      <c r="X16" s="112">
        <v>6</v>
      </c>
      <c r="Y16" s="112">
        <v>7.02</v>
      </c>
      <c r="Z16" s="112">
        <v>19.89</v>
      </c>
      <c r="AA16" s="112">
        <v>132.17312410820116</v>
      </c>
      <c r="AB16" s="112">
        <v>219.62601825498089</v>
      </c>
      <c r="AC16" s="112">
        <v>208.64471734223184</v>
      </c>
      <c r="AD16" s="112">
        <v>10.981300912749045</v>
      </c>
      <c r="AE16" s="112">
        <v>22.844533688291296</v>
      </c>
      <c r="AF16" s="112">
        <v>33.825834601040341</v>
      </c>
      <c r="AG16" s="112">
        <v>0</v>
      </c>
      <c r="AH16" s="112">
        <v>231.92605189797445</v>
      </c>
      <c r="AI16" s="112">
        <v>28.551382373147518</v>
      </c>
      <c r="AJ16" s="112">
        <v>4.3925203650996183</v>
      </c>
      <c r="AK16" s="112">
        <v>1.0981300912749046</v>
      </c>
      <c r="AL16" s="112">
        <v>34.042032829522043</v>
      </c>
      <c r="AM16" s="112">
        <v>299.79391932853684</v>
      </c>
      <c r="AN16" s="112">
        <v>0</v>
      </c>
      <c r="AO16" s="112">
        <v>25</v>
      </c>
      <c r="AP16" s="112">
        <v>70</v>
      </c>
      <c r="AQ16" s="112">
        <v>47.9670270925659</v>
      </c>
      <c r="AR16" s="112">
        <v>442.76094642110274</v>
      </c>
      <c r="AU16" s="110">
        <v>14</v>
      </c>
      <c r="AV16" s="110">
        <v>8</v>
      </c>
      <c r="AW16" s="110">
        <v>51</v>
      </c>
      <c r="AX16" s="110">
        <v>0</v>
      </c>
      <c r="AY16" s="110">
        <v>0</v>
      </c>
      <c r="AZ16" s="111">
        <v>18.0868485621749</v>
      </c>
      <c r="BA16" s="111">
        <v>12.720420966804324</v>
      </c>
      <c r="BB16" s="111">
        <v>101.36585457922195</v>
      </c>
      <c r="BC16" s="111">
        <v>0</v>
      </c>
      <c r="BD16" s="111">
        <v>0</v>
      </c>
      <c r="BE16" s="111">
        <v>132.17312410820116</v>
      </c>
    </row>
    <row r="17" spans="1:57" s="110" customFormat="1" x14ac:dyDescent="0.25">
      <c r="A17" s="110" t="s">
        <v>288</v>
      </c>
      <c r="B17" s="108" t="s">
        <v>121</v>
      </c>
      <c r="C17" s="109" t="s">
        <v>122</v>
      </c>
      <c r="E17" s="114">
        <v>544200031507812</v>
      </c>
      <c r="F17" s="110" t="s">
        <v>276</v>
      </c>
      <c r="G17" s="110">
        <v>4</v>
      </c>
      <c r="I17" s="110">
        <v>12</v>
      </c>
      <c r="J17" s="111">
        <v>13.201174720852805</v>
      </c>
      <c r="K17" s="111">
        <v>158.41409665023366</v>
      </c>
      <c r="L17" s="110">
        <v>0</v>
      </c>
      <c r="M17" s="112">
        <v>13.201174720852805</v>
      </c>
      <c r="N17" s="112">
        <v>0</v>
      </c>
      <c r="O17" s="112">
        <v>0</v>
      </c>
      <c r="P17" s="112">
        <v>13.201174720852805</v>
      </c>
      <c r="Q17" s="112">
        <v>0</v>
      </c>
      <c r="R17" s="112">
        <v>0</v>
      </c>
      <c r="S17" s="112">
        <v>8.8051835388088211</v>
      </c>
      <c r="T17" s="112">
        <v>0</v>
      </c>
      <c r="U17" s="112">
        <v>47.524228995070096</v>
      </c>
      <c r="V17" s="112">
        <v>1.17</v>
      </c>
      <c r="W17" s="112">
        <v>14.04</v>
      </c>
      <c r="X17" s="112">
        <v>0</v>
      </c>
      <c r="Y17" s="112">
        <v>0</v>
      </c>
      <c r="Z17" s="112">
        <v>14.04</v>
      </c>
      <c r="AA17" s="112">
        <v>101.6490453505666</v>
      </c>
      <c r="AB17" s="112">
        <v>260.06314200080027</v>
      </c>
      <c r="AC17" s="112">
        <v>247.05998490076024</v>
      </c>
      <c r="AD17" s="112">
        <v>13.003157100040013</v>
      </c>
      <c r="AE17" s="112">
        <v>26.318277916304918</v>
      </c>
      <c r="AF17" s="112">
        <v>39.321435016344935</v>
      </c>
      <c r="AG17" s="112">
        <v>0</v>
      </c>
      <c r="AH17" s="112">
        <v>282.30593597952543</v>
      </c>
      <c r="AI17" s="112">
        <v>33.808208460104034</v>
      </c>
      <c r="AJ17" s="112">
        <v>5.2012628400160059</v>
      </c>
      <c r="AK17" s="112">
        <v>1.3003157100040015</v>
      </c>
      <c r="AL17" s="112">
        <v>40.30978701012404</v>
      </c>
      <c r="AM17" s="112">
        <v>361.93715800599443</v>
      </c>
      <c r="AN17" s="112">
        <v>0</v>
      </c>
      <c r="AO17" s="112">
        <v>25</v>
      </c>
      <c r="AP17" s="112">
        <v>70</v>
      </c>
      <c r="AQ17" s="112">
        <v>57.909945280959107</v>
      </c>
      <c r="AR17" s="112">
        <v>514.8471032869536</v>
      </c>
      <c r="AU17" s="110">
        <v>6</v>
      </c>
      <c r="AV17" s="110">
        <v>0</v>
      </c>
      <c r="AW17" s="110">
        <v>0</v>
      </c>
      <c r="AX17" s="110">
        <v>8</v>
      </c>
      <c r="AY17" s="110">
        <v>36</v>
      </c>
      <c r="AZ17" s="111">
        <v>12.871145352831485</v>
      </c>
      <c r="BA17" s="111">
        <v>0</v>
      </c>
      <c r="BB17" s="111">
        <v>0</v>
      </c>
      <c r="BC17" s="111">
        <v>14.521292192938086</v>
      </c>
      <c r="BD17" s="111">
        <v>74.256607804797028</v>
      </c>
      <c r="BE17" s="111">
        <v>101.6490453505666</v>
      </c>
    </row>
    <row r="18" spans="1:57" s="110" customFormat="1" x14ac:dyDescent="0.25">
      <c r="A18" s="110" t="s">
        <v>290</v>
      </c>
      <c r="B18" s="108" t="s">
        <v>123</v>
      </c>
      <c r="C18" s="109" t="s">
        <v>122</v>
      </c>
      <c r="E18" s="114">
        <v>544200178241749</v>
      </c>
      <c r="F18" s="110" t="s">
        <v>276</v>
      </c>
      <c r="G18" s="110">
        <v>0</v>
      </c>
      <c r="I18" s="110">
        <v>13</v>
      </c>
      <c r="J18" s="111">
        <v>12.541337943634536</v>
      </c>
      <c r="K18" s="111">
        <v>163.03739326724897</v>
      </c>
      <c r="L18" s="110">
        <v>0</v>
      </c>
      <c r="M18" s="112">
        <v>12.541337943634536</v>
      </c>
      <c r="N18" s="112">
        <v>0</v>
      </c>
      <c r="O18" s="112">
        <v>0</v>
      </c>
      <c r="P18" s="112">
        <v>12.541337943634536</v>
      </c>
      <c r="Q18" s="112">
        <v>0</v>
      </c>
      <c r="R18" s="112">
        <v>0</v>
      </c>
      <c r="S18" s="112">
        <v>8.3650724084042363</v>
      </c>
      <c r="T18" s="112">
        <v>0</v>
      </c>
      <c r="U18" s="112">
        <v>48.91121798017469</v>
      </c>
      <c r="V18" s="112">
        <v>1.17</v>
      </c>
      <c r="W18" s="112">
        <v>15.209999999999999</v>
      </c>
      <c r="X18" s="112">
        <v>0</v>
      </c>
      <c r="Y18" s="112">
        <v>0</v>
      </c>
      <c r="Z18" s="112">
        <v>15.209999999999999</v>
      </c>
      <c r="AA18" s="112">
        <v>89.748949659134652</v>
      </c>
      <c r="AB18" s="112">
        <v>252.78634292638361</v>
      </c>
      <c r="AC18" s="112">
        <v>240.14702578006444</v>
      </c>
      <c r="AD18" s="112">
        <v>12.639317146319181</v>
      </c>
      <c r="AE18" s="112">
        <v>27.569879953966186</v>
      </c>
      <c r="AF18" s="112">
        <v>40.209197100285365</v>
      </c>
      <c r="AG18" s="112">
        <v>0</v>
      </c>
      <c r="AH18" s="112">
        <v>276.69836380627294</v>
      </c>
      <c r="AI18" s="112">
        <v>32.862224580429867</v>
      </c>
      <c r="AJ18" s="112">
        <v>5.055726858527672</v>
      </c>
      <c r="AK18" s="112">
        <v>1.263931714631918</v>
      </c>
      <c r="AL18" s="112">
        <v>39.181883153589453</v>
      </c>
      <c r="AM18" s="112">
        <v>356.08944406014774</v>
      </c>
      <c r="AN18" s="112">
        <v>0</v>
      </c>
      <c r="AO18" s="112">
        <v>25</v>
      </c>
      <c r="AP18" s="112">
        <v>70</v>
      </c>
      <c r="AQ18" s="112">
        <v>56.974311049623637</v>
      </c>
      <c r="AR18" s="112">
        <v>508.06375510977136</v>
      </c>
      <c r="AU18" s="110">
        <v>0</v>
      </c>
      <c r="AV18" s="110">
        <v>0</v>
      </c>
      <c r="AW18" s="110">
        <v>0</v>
      </c>
      <c r="AX18" s="110">
        <v>10</v>
      </c>
      <c r="AY18" s="110">
        <v>37</v>
      </c>
      <c r="AZ18" s="111">
        <v>0</v>
      </c>
      <c r="BA18" s="111">
        <v>0</v>
      </c>
      <c r="BB18" s="111">
        <v>0</v>
      </c>
      <c r="BC18" s="111">
        <v>17.244339672497489</v>
      </c>
      <c r="BD18" s="111">
        <v>72.504609986637163</v>
      </c>
      <c r="BE18" s="111">
        <v>89.748949659134652</v>
      </c>
    </row>
    <row r="19" spans="1:57" s="110" customFormat="1" x14ac:dyDescent="0.25">
      <c r="A19" s="110" t="s">
        <v>289</v>
      </c>
      <c r="B19" s="108" t="s">
        <v>124</v>
      </c>
      <c r="C19" s="109" t="s">
        <v>122</v>
      </c>
      <c r="E19" s="114">
        <v>544100187466260</v>
      </c>
      <c r="F19" s="110" t="s">
        <v>276</v>
      </c>
      <c r="G19" s="110">
        <v>0</v>
      </c>
      <c r="I19" s="110">
        <v>13</v>
      </c>
      <c r="J19" s="111">
        <v>4.5538401141502565</v>
      </c>
      <c r="K19" s="111">
        <v>59.199921483953332</v>
      </c>
      <c r="L19" s="110">
        <v>0</v>
      </c>
      <c r="M19" s="112">
        <v>4.5538401141502565</v>
      </c>
      <c r="N19" s="112">
        <v>0</v>
      </c>
      <c r="O19" s="112">
        <v>0</v>
      </c>
      <c r="P19" s="112">
        <v>4.5538401141502565</v>
      </c>
      <c r="Q19" s="112">
        <v>0</v>
      </c>
      <c r="R19" s="112">
        <v>0</v>
      </c>
      <c r="S19" s="112">
        <v>3.0374113561382212</v>
      </c>
      <c r="T19" s="112">
        <v>0</v>
      </c>
      <c r="U19" s="112">
        <v>17.759976445185998</v>
      </c>
      <c r="V19" s="112">
        <v>1.17</v>
      </c>
      <c r="W19" s="112">
        <v>15.209999999999999</v>
      </c>
      <c r="X19" s="112">
        <v>0</v>
      </c>
      <c r="Y19" s="112">
        <v>0</v>
      </c>
      <c r="Z19" s="112">
        <v>15.209999999999999</v>
      </c>
      <c r="AA19" s="112">
        <v>30.624574767660473</v>
      </c>
      <c r="AB19" s="112">
        <v>89.824496251613809</v>
      </c>
      <c r="AC19" s="112">
        <v>85.333271439033112</v>
      </c>
      <c r="AD19" s="112">
        <v>4.4912248125806906</v>
      </c>
      <c r="AE19" s="112">
        <v>4.3478168028114892</v>
      </c>
      <c r="AF19" s="112">
        <v>8.8390416153921798</v>
      </c>
      <c r="AG19" s="112">
        <v>0</v>
      </c>
      <c r="AH19" s="112">
        <v>113.95543108140762</v>
      </c>
      <c r="AI19" s="112">
        <v>11.677184512709795</v>
      </c>
      <c r="AJ19" s="112">
        <v>1.7964899250322761</v>
      </c>
      <c r="AK19" s="112">
        <v>0.44912248125806903</v>
      </c>
      <c r="AL19" s="112">
        <v>13.92279691900014</v>
      </c>
      <c r="AM19" s="112">
        <v>136.71726961579995</v>
      </c>
      <c r="AN19" s="112">
        <v>0</v>
      </c>
      <c r="AO19" s="112">
        <v>25</v>
      </c>
      <c r="AP19" s="112">
        <v>70</v>
      </c>
      <c r="AQ19" s="112">
        <v>21.874763138527992</v>
      </c>
      <c r="AR19" s="112">
        <v>253.59203275432793</v>
      </c>
      <c r="AU19" s="110">
        <v>0</v>
      </c>
      <c r="AV19" s="110">
        <v>0</v>
      </c>
      <c r="AW19" s="110">
        <v>0</v>
      </c>
      <c r="AX19" s="110">
        <v>8</v>
      </c>
      <c r="AY19" s="110">
        <v>36</v>
      </c>
      <c r="AZ19" s="111">
        <v>0</v>
      </c>
      <c r="BA19" s="111">
        <v>0</v>
      </c>
      <c r="BB19" s="111">
        <v>0</v>
      </c>
      <c r="BC19" s="111">
        <v>5.0092241255652823</v>
      </c>
      <c r="BD19" s="111">
        <v>25.615350642095191</v>
      </c>
      <c r="BE19" s="111">
        <v>30.624574767660473</v>
      </c>
    </row>
    <row r="20" spans="1:57" s="110" customFormat="1" x14ac:dyDescent="0.25">
      <c r="A20" s="110" t="s">
        <v>292</v>
      </c>
      <c r="B20" s="108" t="s">
        <v>125</v>
      </c>
      <c r="C20" s="109" t="s">
        <v>127</v>
      </c>
      <c r="G20" s="110">
        <v>0</v>
      </c>
      <c r="I20" s="110">
        <v>13</v>
      </c>
      <c r="J20" s="111">
        <v>21.223400801769632</v>
      </c>
      <c r="K20" s="111">
        <v>275.90421042300522</v>
      </c>
      <c r="L20" s="110">
        <v>0</v>
      </c>
      <c r="M20" s="112">
        <v>21.223400801769632</v>
      </c>
      <c r="N20" s="112">
        <v>0</v>
      </c>
      <c r="O20" s="112">
        <v>0</v>
      </c>
      <c r="P20" s="112">
        <v>21.223400801769632</v>
      </c>
      <c r="Q20" s="112">
        <v>0</v>
      </c>
      <c r="R20" s="112">
        <v>0</v>
      </c>
      <c r="S20" s="112">
        <v>14.156008334780346</v>
      </c>
      <c r="T20" s="112">
        <v>0</v>
      </c>
      <c r="U20" s="112">
        <v>82.771263126901559</v>
      </c>
      <c r="V20" s="112">
        <v>1.17</v>
      </c>
      <c r="W20" s="112">
        <v>15.209999999999999</v>
      </c>
      <c r="X20" s="112">
        <v>0</v>
      </c>
      <c r="Y20" s="112">
        <v>0</v>
      </c>
      <c r="Z20" s="112">
        <v>15.209999999999999</v>
      </c>
      <c r="AA20" s="112">
        <v>53.854379534490441</v>
      </c>
      <c r="AB20" s="112">
        <v>329.75858995749564</v>
      </c>
      <c r="AC20" s="112">
        <v>313.27066045962084</v>
      </c>
      <c r="AD20" s="112">
        <v>16.487929497874784</v>
      </c>
      <c r="AE20" s="112">
        <v>38.538425155899645</v>
      </c>
      <c r="AF20" s="112">
        <v>55.026354653774433</v>
      </c>
      <c r="AG20" s="112">
        <v>0</v>
      </c>
      <c r="AH20" s="112">
        <v>372.71349843062274</v>
      </c>
      <c r="AI20" s="112">
        <v>42.868616694474433</v>
      </c>
      <c r="AJ20" s="112">
        <v>6.595171799149913</v>
      </c>
      <c r="AK20" s="112">
        <v>1.6487929497874783</v>
      </c>
      <c r="AL20" s="112">
        <v>51.112581443411827</v>
      </c>
      <c r="AM20" s="112">
        <v>478.85243452780901</v>
      </c>
      <c r="AN20" s="112">
        <v>0</v>
      </c>
      <c r="AO20" s="112">
        <v>25</v>
      </c>
      <c r="AP20" s="112">
        <v>70</v>
      </c>
      <c r="AQ20" s="112">
        <v>76.616389524449446</v>
      </c>
      <c r="AR20" s="112">
        <v>650.46882405225847</v>
      </c>
      <c r="AU20" s="110">
        <v>5</v>
      </c>
      <c r="AV20" s="110">
        <v>0</v>
      </c>
      <c r="AW20" s="110">
        <v>0</v>
      </c>
      <c r="AX20" s="110">
        <v>8</v>
      </c>
      <c r="AY20" s="110">
        <v>4</v>
      </c>
      <c r="AZ20" s="111">
        <v>17.244013151437827</v>
      </c>
      <c r="BA20" s="111">
        <v>0</v>
      </c>
      <c r="BB20" s="111">
        <v>0</v>
      </c>
      <c r="BC20" s="111">
        <v>23.345740881946597</v>
      </c>
      <c r="BD20" s="111">
        <v>13.264625501106019</v>
      </c>
      <c r="BE20" s="111">
        <v>53.854379534490441</v>
      </c>
    </row>
    <row r="21" spans="1:57" s="110" customFormat="1" x14ac:dyDescent="0.25">
      <c r="A21" s="110" t="s">
        <v>291</v>
      </c>
      <c r="B21" s="108" t="s">
        <v>126</v>
      </c>
      <c r="C21" s="109" t="s">
        <v>127</v>
      </c>
      <c r="G21" s="110">
        <v>0</v>
      </c>
      <c r="I21" s="110">
        <v>14</v>
      </c>
      <c r="J21" s="111">
        <v>21.223400801769632</v>
      </c>
      <c r="K21" s="111">
        <v>297.12761122477485</v>
      </c>
      <c r="L21" s="110">
        <v>0</v>
      </c>
      <c r="M21" s="112">
        <v>21.223400801769632</v>
      </c>
      <c r="N21" s="112">
        <v>0</v>
      </c>
      <c r="O21" s="112">
        <v>0</v>
      </c>
      <c r="P21" s="112">
        <v>21.223400801769632</v>
      </c>
      <c r="Q21" s="112">
        <v>0</v>
      </c>
      <c r="R21" s="112">
        <v>0</v>
      </c>
      <c r="S21" s="112">
        <v>14.156008334780346</v>
      </c>
      <c r="T21" s="112">
        <v>0</v>
      </c>
      <c r="U21" s="112">
        <v>89.13828336743245</v>
      </c>
      <c r="V21" s="112">
        <v>1.17</v>
      </c>
      <c r="W21" s="112">
        <v>16.38</v>
      </c>
      <c r="X21" s="112">
        <v>0</v>
      </c>
      <c r="Y21" s="112">
        <v>0</v>
      </c>
      <c r="Z21" s="112">
        <v>16.38</v>
      </c>
      <c r="AA21" s="112">
        <v>100.94380006341683</v>
      </c>
      <c r="AB21" s="112">
        <v>398.07141128819171</v>
      </c>
      <c r="AC21" s="112">
        <v>378.16784072378215</v>
      </c>
      <c r="AD21" s="112">
        <v>19.903570564409588</v>
      </c>
      <c r="AE21" s="112">
        <v>48.273002195523844</v>
      </c>
      <c r="AF21" s="112">
        <v>68.176572759933435</v>
      </c>
      <c r="AG21" s="112">
        <v>0</v>
      </c>
      <c r="AH21" s="112">
        <v>435.41312189569072</v>
      </c>
      <c r="AI21" s="112">
        <v>51.749283467464927</v>
      </c>
      <c r="AJ21" s="112">
        <v>7.961428225763834</v>
      </c>
      <c r="AK21" s="112">
        <v>1.9903570564409585</v>
      </c>
      <c r="AL21" s="112">
        <v>61.701068749669716</v>
      </c>
      <c r="AM21" s="112">
        <v>565.29076340529389</v>
      </c>
      <c r="AN21" s="112">
        <v>0</v>
      </c>
      <c r="AO21" s="112">
        <v>25</v>
      </c>
      <c r="AP21" s="112">
        <v>70</v>
      </c>
      <c r="AQ21" s="112">
        <v>90.446522144847023</v>
      </c>
      <c r="AR21" s="112">
        <v>750.73728555014088</v>
      </c>
      <c r="AU21" s="110">
        <v>16</v>
      </c>
      <c r="AV21" s="110">
        <v>0</v>
      </c>
      <c r="AW21" s="110">
        <v>0</v>
      </c>
      <c r="AX21" s="110">
        <v>10</v>
      </c>
      <c r="AY21" s="110">
        <v>5</v>
      </c>
      <c r="AZ21" s="111">
        <v>55.180842084601046</v>
      </c>
      <c r="BA21" s="111">
        <v>0</v>
      </c>
      <c r="BB21" s="111">
        <v>0</v>
      </c>
      <c r="BC21" s="111">
        <v>29.182176102433246</v>
      </c>
      <c r="BD21" s="111">
        <v>16.580781876382524</v>
      </c>
      <c r="BE21" s="111">
        <v>100.94380006341683</v>
      </c>
    </row>
    <row r="22" spans="1:57" s="110" customFormat="1" x14ac:dyDescent="0.25">
      <c r="A22" s="110" t="s">
        <v>293</v>
      </c>
      <c r="B22" s="108" t="s">
        <v>128</v>
      </c>
      <c r="C22" s="109" t="s">
        <v>129</v>
      </c>
      <c r="E22" s="114">
        <v>260000145560375</v>
      </c>
      <c r="F22" s="110" t="s">
        <v>276</v>
      </c>
      <c r="G22" s="110">
        <v>2</v>
      </c>
      <c r="I22" s="110">
        <v>11</v>
      </c>
      <c r="J22" s="111">
        <v>14.763946035317124</v>
      </c>
      <c r="K22" s="111">
        <v>162.40340638848838</v>
      </c>
      <c r="L22" s="110">
        <v>0</v>
      </c>
      <c r="M22" s="112">
        <v>14.763946035317124</v>
      </c>
      <c r="N22" s="112">
        <v>0</v>
      </c>
      <c r="O22" s="112">
        <v>0</v>
      </c>
      <c r="P22" s="112">
        <v>14.763946035317124</v>
      </c>
      <c r="Q22" s="112">
        <v>0</v>
      </c>
      <c r="R22" s="112">
        <v>0</v>
      </c>
      <c r="S22" s="112">
        <v>9.8475520055565227</v>
      </c>
      <c r="T22" s="112">
        <v>0</v>
      </c>
      <c r="U22" s="112">
        <v>48.721021916546512</v>
      </c>
      <c r="V22" s="112">
        <v>1.17</v>
      </c>
      <c r="W22" s="112">
        <v>12.87</v>
      </c>
      <c r="X22" s="112">
        <v>0</v>
      </c>
      <c r="Y22" s="112">
        <v>0</v>
      </c>
      <c r="Z22" s="112">
        <v>12.87</v>
      </c>
      <c r="AA22" s="112">
        <v>332.46560978279751</v>
      </c>
      <c r="AB22" s="112">
        <v>494.86901617128592</v>
      </c>
      <c r="AC22" s="112">
        <v>470.1255653627216</v>
      </c>
      <c r="AD22" s="112">
        <v>24.743450808564297</v>
      </c>
      <c r="AE22" s="112">
        <v>59.583994455710169</v>
      </c>
      <c r="AF22" s="112">
        <v>84.327445264274473</v>
      </c>
      <c r="AG22" s="112">
        <v>0</v>
      </c>
      <c r="AH22" s="112">
        <v>472.13259282355796</v>
      </c>
      <c r="AI22" s="112">
        <v>64.332972102267178</v>
      </c>
      <c r="AJ22" s="112">
        <v>9.8973803234257183</v>
      </c>
      <c r="AK22" s="112">
        <v>2.4743450808564296</v>
      </c>
      <c r="AL22" s="112">
        <v>76.704697506549323</v>
      </c>
      <c r="AM22" s="112">
        <v>633.1647355943818</v>
      </c>
      <c r="AN22" s="112">
        <v>0</v>
      </c>
      <c r="AO22" s="112">
        <v>25</v>
      </c>
      <c r="AP22" s="112">
        <v>70</v>
      </c>
      <c r="AQ22" s="112">
        <v>101.30635769510108</v>
      </c>
      <c r="AR22" s="112">
        <v>829.47109328948284</v>
      </c>
      <c r="AU22" s="110">
        <v>16</v>
      </c>
      <c r="AV22" s="110">
        <v>20</v>
      </c>
      <c r="AW22" s="110">
        <v>28</v>
      </c>
      <c r="AX22" s="110">
        <v>16</v>
      </c>
      <c r="AY22" s="110">
        <v>43</v>
      </c>
      <c r="AZ22" s="111">
        <v>38.386259691824527</v>
      </c>
      <c r="BA22" s="111">
        <v>59.055784141268504</v>
      </c>
      <c r="BB22" s="111">
        <v>103.34762224721987</v>
      </c>
      <c r="BC22" s="111">
        <v>32.480681277697677</v>
      </c>
      <c r="BD22" s="111">
        <v>99.195262424786932</v>
      </c>
      <c r="BE22" s="111">
        <v>332.46560978279751</v>
      </c>
    </row>
    <row r="23" spans="1:57" s="110" customFormat="1" x14ac:dyDescent="0.25">
      <c r="A23" s="110" t="s">
        <v>294</v>
      </c>
      <c r="B23" s="108" t="s">
        <v>130</v>
      </c>
      <c r="C23" s="109" t="s">
        <v>129</v>
      </c>
      <c r="E23" s="114" t="s">
        <v>136</v>
      </c>
      <c r="F23" s="110" t="s">
        <v>276</v>
      </c>
      <c r="G23" s="110">
        <v>5</v>
      </c>
      <c r="I23" s="110">
        <v>12</v>
      </c>
      <c r="J23" s="111">
        <v>12.541337943634536</v>
      </c>
      <c r="K23" s="111">
        <v>150.49605532361443</v>
      </c>
      <c r="L23" s="110">
        <v>0</v>
      </c>
      <c r="M23" s="112">
        <v>12.541337943634536</v>
      </c>
      <c r="N23" s="112">
        <v>0</v>
      </c>
      <c r="O23" s="112">
        <v>0</v>
      </c>
      <c r="P23" s="112">
        <v>12.541337943634536</v>
      </c>
      <c r="Q23" s="112">
        <v>0</v>
      </c>
      <c r="R23" s="112">
        <v>0</v>
      </c>
      <c r="S23" s="112">
        <v>8.3650724084042363</v>
      </c>
      <c r="T23" s="112">
        <v>0</v>
      </c>
      <c r="U23" s="112">
        <v>45.148816597084327</v>
      </c>
      <c r="V23" s="112">
        <v>1.17</v>
      </c>
      <c r="W23" s="112">
        <v>14.04</v>
      </c>
      <c r="X23" s="112">
        <v>5</v>
      </c>
      <c r="Y23" s="112">
        <v>5.85</v>
      </c>
      <c r="Z23" s="112">
        <v>19.89</v>
      </c>
      <c r="AA23" s="112">
        <v>188.19845251666578</v>
      </c>
      <c r="AB23" s="112">
        <v>338.69450784028021</v>
      </c>
      <c r="AC23" s="112">
        <v>321.75978244826621</v>
      </c>
      <c r="AD23" s="112">
        <v>16.934725392014013</v>
      </c>
      <c r="AE23" s="112">
        <v>35.830614108776807</v>
      </c>
      <c r="AF23" s="112">
        <v>52.765339500790816</v>
      </c>
      <c r="AG23" s="112">
        <v>0</v>
      </c>
      <c r="AH23" s="112">
        <v>350.96798493657366</v>
      </c>
      <c r="AI23" s="112">
        <v>44.030286019236428</v>
      </c>
      <c r="AJ23" s="112">
        <v>6.7738901568056047</v>
      </c>
      <c r="AK23" s="112">
        <v>1.6934725392014012</v>
      </c>
      <c r="AL23" s="112">
        <v>52.497648715243436</v>
      </c>
      <c r="AM23" s="112">
        <v>456.23097315260787</v>
      </c>
      <c r="AN23" s="112">
        <v>0</v>
      </c>
      <c r="AO23" s="112">
        <v>25</v>
      </c>
      <c r="AP23" s="112">
        <v>70</v>
      </c>
      <c r="AQ23" s="112">
        <v>72.99695570441726</v>
      </c>
      <c r="AR23" s="112">
        <v>624.22792885702518</v>
      </c>
      <c r="AU23" s="110">
        <v>11</v>
      </c>
      <c r="AV23" s="110">
        <v>0</v>
      </c>
      <c r="AW23" s="110">
        <v>46</v>
      </c>
      <c r="AX23" s="110">
        <v>0</v>
      </c>
      <c r="AY23" s="110">
        <v>11</v>
      </c>
      <c r="AZ23" s="111">
        <v>22.417641574246737</v>
      </c>
      <c r="BA23" s="111">
        <v>0</v>
      </c>
      <c r="BB23" s="111">
        <v>144.22538635179717</v>
      </c>
      <c r="BC23" s="111">
        <v>0</v>
      </c>
      <c r="BD23" s="111">
        <v>21.555424590621861</v>
      </c>
      <c r="BE23" s="111">
        <v>188.19845251666578</v>
      </c>
    </row>
    <row r="24" spans="1:57" s="110" customFormat="1" x14ac:dyDescent="0.25">
      <c r="B24" s="108" t="s">
        <v>401</v>
      </c>
      <c r="C24" s="109" t="s">
        <v>129</v>
      </c>
      <c r="E24" s="114"/>
      <c r="G24" s="110">
        <v>0</v>
      </c>
      <c r="I24" s="110">
        <v>11</v>
      </c>
      <c r="J24" s="111">
        <v>12.541337943634536</v>
      </c>
      <c r="K24" s="111">
        <v>137.95471737997991</v>
      </c>
      <c r="L24" s="110">
        <v>0</v>
      </c>
      <c r="M24" s="112">
        <v>12.541337943634536</v>
      </c>
      <c r="N24" s="112">
        <v>0</v>
      </c>
      <c r="O24" s="112">
        <v>0</v>
      </c>
      <c r="P24" s="112">
        <v>12.541337943634536</v>
      </c>
      <c r="Q24" s="112">
        <v>0</v>
      </c>
      <c r="R24" s="112">
        <v>0</v>
      </c>
      <c r="S24" s="112">
        <v>8.3650724084042363</v>
      </c>
      <c r="T24" s="112">
        <v>0</v>
      </c>
      <c r="U24" s="112">
        <v>41.38641521399397</v>
      </c>
      <c r="V24" s="112">
        <v>1.17</v>
      </c>
      <c r="W24" s="112">
        <v>12.87</v>
      </c>
      <c r="X24" s="112">
        <v>0</v>
      </c>
      <c r="Y24" s="112">
        <v>0</v>
      </c>
      <c r="Z24" s="112">
        <v>12.87</v>
      </c>
      <c r="AA24" s="112">
        <v>110.28068754010735</v>
      </c>
      <c r="AB24" s="112">
        <v>248.23540492008726</v>
      </c>
      <c r="AC24" s="112">
        <v>235.82363467408291</v>
      </c>
      <c r="AD24" s="112">
        <v>12.411770246004364</v>
      </c>
      <c r="AE24" s="112">
        <v>35.830614108776807</v>
      </c>
      <c r="AF24" s="112">
        <v>48.242384354781173</v>
      </c>
      <c r="AG24" s="112">
        <v>0</v>
      </c>
      <c r="AH24" s="112">
        <v>254.24943577930009</v>
      </c>
      <c r="AI24" s="112">
        <v>32.270602639611347</v>
      </c>
      <c r="AJ24" s="112">
        <v>4.9647080984017453</v>
      </c>
      <c r="AK24" s="112">
        <v>1.2411770246004363</v>
      </c>
      <c r="AL24" s="112">
        <v>38.47648776261353</v>
      </c>
      <c r="AM24" s="112">
        <v>340.9683078966948</v>
      </c>
      <c r="AN24" s="112">
        <v>0</v>
      </c>
      <c r="AO24" s="112">
        <v>25</v>
      </c>
      <c r="AP24" s="112">
        <v>70</v>
      </c>
      <c r="AQ24" s="112">
        <v>54.554929263471166</v>
      </c>
      <c r="AR24" s="112">
        <v>490.52323716016599</v>
      </c>
      <c r="AU24" s="110">
        <v>9.5</v>
      </c>
      <c r="AV24" s="110">
        <v>25.67</v>
      </c>
      <c r="AW24" s="110">
        <v>0</v>
      </c>
      <c r="AX24" s="110">
        <v>8</v>
      </c>
      <c r="AY24" s="110">
        <v>6.5</v>
      </c>
      <c r="AZ24" s="111">
        <v>19.360690450485816</v>
      </c>
      <c r="BA24" s="111">
        <v>64.387229002619719</v>
      </c>
      <c r="BB24" s="111">
        <v>0</v>
      </c>
      <c r="BC24" s="111">
        <v>13.795471737997991</v>
      </c>
      <c r="BD24" s="111">
        <v>12.737296349003826</v>
      </c>
      <c r="BE24" s="111">
        <v>110.28068754010735</v>
      </c>
    </row>
    <row r="25" spans="1:57" s="110" customFormat="1" x14ac:dyDescent="0.25">
      <c r="A25" s="110" t="s">
        <v>295</v>
      </c>
      <c r="B25" s="108" t="s">
        <v>131</v>
      </c>
      <c r="C25" s="109" t="s">
        <v>129</v>
      </c>
      <c r="E25" s="114">
        <v>544200099112253</v>
      </c>
      <c r="F25" s="110" t="s">
        <v>276</v>
      </c>
      <c r="G25" s="110">
        <v>0</v>
      </c>
      <c r="I25" s="110">
        <v>12</v>
      </c>
      <c r="J25" s="111">
        <v>12.541337943634536</v>
      </c>
      <c r="K25" s="111">
        <v>150.49605532361443</v>
      </c>
      <c r="L25" s="110">
        <v>0</v>
      </c>
      <c r="M25" s="112">
        <v>12.541337943634536</v>
      </c>
      <c r="N25" s="112">
        <v>0</v>
      </c>
      <c r="O25" s="112">
        <v>0</v>
      </c>
      <c r="P25" s="112">
        <v>12.541337943634536</v>
      </c>
      <c r="Q25" s="112">
        <v>0</v>
      </c>
      <c r="R25" s="112">
        <v>0</v>
      </c>
      <c r="S25" s="112">
        <v>8.3650724084042363</v>
      </c>
      <c r="T25" s="112">
        <v>0</v>
      </c>
      <c r="U25" s="112">
        <v>45.148816597084327</v>
      </c>
      <c r="V25" s="112">
        <v>1.17</v>
      </c>
      <c r="W25" s="112">
        <v>14.04</v>
      </c>
      <c r="X25" s="112">
        <v>5</v>
      </c>
      <c r="Y25" s="112">
        <v>5.85</v>
      </c>
      <c r="Z25" s="112">
        <v>19.89</v>
      </c>
      <c r="AA25" s="112">
        <v>273.55793389552832</v>
      </c>
      <c r="AB25" s="112">
        <v>424.05398921914275</v>
      </c>
      <c r="AC25" s="112">
        <v>402.8512897581856</v>
      </c>
      <c r="AD25" s="112">
        <v>21.202699460957138</v>
      </c>
      <c r="AE25" s="112">
        <v>51.975519550684368</v>
      </c>
      <c r="AF25" s="112">
        <v>73.178219011641502</v>
      </c>
      <c r="AG25" s="112">
        <v>0</v>
      </c>
      <c r="AH25" s="112">
        <v>415.91458680458555</v>
      </c>
      <c r="AI25" s="112">
        <v>55.127018598488561</v>
      </c>
      <c r="AJ25" s="112">
        <v>8.4810797843828549</v>
      </c>
      <c r="AK25" s="112">
        <v>2.1202699460957137</v>
      </c>
      <c r="AL25" s="112">
        <v>65.728368328967136</v>
      </c>
      <c r="AM25" s="112">
        <v>554.82117414519416</v>
      </c>
      <c r="AN25" s="112">
        <v>0</v>
      </c>
      <c r="AO25" s="112">
        <v>25</v>
      </c>
      <c r="AP25" s="112">
        <v>70</v>
      </c>
      <c r="AQ25" s="112">
        <v>88.77138786323107</v>
      </c>
      <c r="AR25" s="112">
        <v>738.59256200842526</v>
      </c>
      <c r="AU25" s="110">
        <v>19</v>
      </c>
      <c r="AV25" s="110">
        <v>23</v>
      </c>
      <c r="AW25" s="110">
        <v>56.5</v>
      </c>
      <c r="AX25" s="110">
        <v>0</v>
      </c>
      <c r="AY25" s="110">
        <v>0</v>
      </c>
      <c r="AZ25" s="111">
        <v>38.721380900971631</v>
      </c>
      <c r="BA25" s="111">
        <v>57.690154540718872</v>
      </c>
      <c r="BB25" s="111">
        <v>177.14639845383783</v>
      </c>
      <c r="BC25" s="111">
        <v>0</v>
      </c>
      <c r="BD25" s="111">
        <v>0</v>
      </c>
      <c r="BE25" s="111">
        <v>273.55793389552832</v>
      </c>
    </row>
    <row r="26" spans="1:57" s="110" customFormat="1" x14ac:dyDescent="0.25">
      <c r="A26" s="110" t="s">
        <v>296</v>
      </c>
      <c r="B26" s="108" t="s">
        <v>132</v>
      </c>
      <c r="C26" s="109" t="s">
        <v>129</v>
      </c>
      <c r="E26" s="114">
        <v>522100130128429</v>
      </c>
      <c r="F26" s="110" t="s">
        <v>276</v>
      </c>
      <c r="G26" s="110">
        <v>5</v>
      </c>
      <c r="J26" s="111">
        <v>12.541337943634536</v>
      </c>
      <c r="K26" s="111">
        <v>0</v>
      </c>
      <c r="L26" s="110">
        <v>0</v>
      </c>
      <c r="M26" s="112">
        <v>12.541337943634536</v>
      </c>
      <c r="N26" s="112">
        <v>0</v>
      </c>
      <c r="O26" s="112">
        <v>0</v>
      </c>
      <c r="P26" s="112">
        <v>12.541337943634536</v>
      </c>
      <c r="Q26" s="112">
        <v>0</v>
      </c>
      <c r="R26" s="112">
        <v>0</v>
      </c>
      <c r="S26" s="112">
        <v>8.3650724084042363</v>
      </c>
      <c r="T26" s="112">
        <v>0</v>
      </c>
      <c r="U26" s="112">
        <v>0</v>
      </c>
      <c r="V26" s="112">
        <v>1.17</v>
      </c>
      <c r="W26" s="112">
        <v>0</v>
      </c>
      <c r="X26" s="112">
        <v>0</v>
      </c>
      <c r="Y26" s="112">
        <v>0</v>
      </c>
      <c r="Z26" s="112">
        <v>0</v>
      </c>
      <c r="AA26" s="112">
        <v>0</v>
      </c>
      <c r="AB26" s="112">
        <v>0</v>
      </c>
      <c r="AC26" s="112">
        <v>0</v>
      </c>
      <c r="AD26" s="112">
        <v>0</v>
      </c>
      <c r="AE26" s="112">
        <v>0.9</v>
      </c>
      <c r="AF26" s="112">
        <v>0.9</v>
      </c>
      <c r="AG26" s="112">
        <v>0</v>
      </c>
      <c r="AH26" s="112">
        <v>-0.9</v>
      </c>
      <c r="AI26" s="112">
        <v>0</v>
      </c>
      <c r="AJ26" s="112">
        <v>0</v>
      </c>
      <c r="AK26" s="112">
        <v>0</v>
      </c>
      <c r="AL26" s="112">
        <v>0</v>
      </c>
      <c r="AM26" s="112">
        <v>0</v>
      </c>
      <c r="AN26" s="112">
        <v>0</v>
      </c>
      <c r="AO26" s="112">
        <v>25</v>
      </c>
      <c r="AP26" s="112">
        <v>70</v>
      </c>
      <c r="AQ26" s="112">
        <v>0</v>
      </c>
      <c r="AR26" s="112">
        <v>95</v>
      </c>
      <c r="AU26" s="110">
        <v>0</v>
      </c>
      <c r="AV26" s="110">
        <v>0</v>
      </c>
      <c r="AW26" s="110">
        <v>0</v>
      </c>
      <c r="AX26" s="110">
        <v>0</v>
      </c>
      <c r="AY26" s="110">
        <v>0</v>
      </c>
      <c r="AZ26" s="111">
        <v>0</v>
      </c>
      <c r="BA26" s="111">
        <v>0</v>
      </c>
      <c r="BB26" s="111">
        <v>0</v>
      </c>
      <c r="BC26" s="111">
        <v>0</v>
      </c>
      <c r="BD26" s="111">
        <v>0</v>
      </c>
      <c r="BE26" s="111">
        <v>0</v>
      </c>
    </row>
    <row r="27" spans="1:57" s="110" customFormat="1" x14ac:dyDescent="0.25">
      <c r="A27" s="110" t="s">
        <v>297</v>
      </c>
      <c r="B27" s="108" t="s">
        <v>133</v>
      </c>
      <c r="C27" s="109" t="s">
        <v>129</v>
      </c>
      <c r="E27" s="114">
        <v>544100230516897</v>
      </c>
      <c r="F27" s="110" t="s">
        <v>276</v>
      </c>
      <c r="G27" s="110">
        <v>0</v>
      </c>
      <c r="I27" s="110">
        <v>14</v>
      </c>
      <c r="J27" s="111">
        <v>12.541337943634536</v>
      </c>
      <c r="K27" s="111">
        <v>175.57873121088352</v>
      </c>
      <c r="L27" s="110">
        <v>0</v>
      </c>
      <c r="M27" s="112">
        <v>12.541337943634536</v>
      </c>
      <c r="N27" s="112">
        <v>0</v>
      </c>
      <c r="O27" s="112">
        <v>0</v>
      </c>
      <c r="P27" s="112">
        <v>12.541337943634536</v>
      </c>
      <c r="Q27" s="112">
        <v>0</v>
      </c>
      <c r="R27" s="112">
        <v>0</v>
      </c>
      <c r="S27" s="112">
        <v>8.3650724084042363</v>
      </c>
      <c r="T27" s="112">
        <v>0</v>
      </c>
      <c r="U27" s="112">
        <v>52.673619363265054</v>
      </c>
      <c r="V27" s="112">
        <v>1.17</v>
      </c>
      <c r="W27" s="112">
        <v>16.38</v>
      </c>
      <c r="X27" s="112">
        <v>0</v>
      </c>
      <c r="Y27" s="112">
        <v>0</v>
      </c>
      <c r="Z27" s="112">
        <v>16.38</v>
      </c>
      <c r="AA27" s="112">
        <v>239.06925455053334</v>
      </c>
      <c r="AB27" s="112">
        <v>414.64798576141686</v>
      </c>
      <c r="AC27" s="112">
        <v>393.91558647334602</v>
      </c>
      <c r="AD27" s="112">
        <v>20.732399288070845</v>
      </c>
      <c r="AE27" s="112">
        <v>50.63516405795842</v>
      </c>
      <c r="AF27" s="112">
        <v>71.367563346029272</v>
      </c>
      <c r="AG27" s="112">
        <v>0</v>
      </c>
      <c r="AH27" s="112">
        <v>412.33404177865265</v>
      </c>
      <c r="AI27" s="112">
        <v>53.904238148984192</v>
      </c>
      <c r="AJ27" s="112">
        <v>8.2929597152283367</v>
      </c>
      <c r="AK27" s="112">
        <v>2.0732399288070842</v>
      </c>
      <c r="AL27" s="112">
        <v>64.27043779301961</v>
      </c>
      <c r="AM27" s="112">
        <v>547.97204291770151</v>
      </c>
      <c r="AN27" s="112">
        <v>0</v>
      </c>
      <c r="AO27" s="112">
        <v>25</v>
      </c>
      <c r="AP27" s="112">
        <v>70</v>
      </c>
      <c r="AQ27" s="112">
        <v>87.675526866832243</v>
      </c>
      <c r="AR27" s="112">
        <v>730.64756978453374</v>
      </c>
      <c r="AU27" s="110">
        <v>24</v>
      </c>
      <c r="AV27" s="110">
        <v>27.5</v>
      </c>
      <c r="AW27" s="110">
        <v>0</v>
      </c>
      <c r="AX27" s="110">
        <v>18</v>
      </c>
      <c r="AY27" s="110">
        <v>46</v>
      </c>
      <c r="AZ27" s="111">
        <v>48.91121798017469</v>
      </c>
      <c r="BA27" s="111">
        <v>68.977358689989941</v>
      </c>
      <c r="BB27" s="111">
        <v>0</v>
      </c>
      <c r="BC27" s="111">
        <v>31.039811410495478</v>
      </c>
      <c r="BD27" s="111">
        <v>90.140866469873231</v>
      </c>
      <c r="BE27" s="111">
        <v>239.06925455053334</v>
      </c>
    </row>
    <row r="28" spans="1:57" s="110" customFormat="1" x14ac:dyDescent="0.25">
      <c r="A28" s="110" t="s">
        <v>299</v>
      </c>
      <c r="B28" s="108" t="s">
        <v>134</v>
      </c>
      <c r="C28" s="109" t="s">
        <v>129</v>
      </c>
      <c r="E28" s="114">
        <v>544100264766336</v>
      </c>
      <c r="F28" s="110" t="s">
        <v>276</v>
      </c>
      <c r="G28" s="110">
        <v>0</v>
      </c>
      <c r="I28" s="110">
        <v>13</v>
      </c>
      <c r="J28" s="111">
        <v>12.541337943634536</v>
      </c>
      <c r="K28" s="111">
        <v>163.03739326724897</v>
      </c>
      <c r="L28" s="110">
        <v>0</v>
      </c>
      <c r="M28" s="112">
        <v>12.541337943634536</v>
      </c>
      <c r="N28" s="112">
        <v>0</v>
      </c>
      <c r="O28" s="112">
        <v>0</v>
      </c>
      <c r="P28" s="112">
        <v>12.541337943634536</v>
      </c>
      <c r="Q28" s="112">
        <v>0</v>
      </c>
      <c r="R28" s="112">
        <v>0</v>
      </c>
      <c r="S28" s="112">
        <v>8.3650724084042363</v>
      </c>
      <c r="T28" s="112">
        <v>0</v>
      </c>
      <c r="U28" s="112">
        <v>48.91121798017469</v>
      </c>
      <c r="V28" s="112">
        <v>1.17</v>
      </c>
      <c r="W28" s="112">
        <v>15.209999999999999</v>
      </c>
      <c r="X28" s="112">
        <v>0</v>
      </c>
      <c r="Y28" s="112">
        <v>0</v>
      </c>
      <c r="Z28" s="112">
        <v>15.209999999999999</v>
      </c>
      <c r="AA28" s="112">
        <v>154.49360679314793</v>
      </c>
      <c r="AB28" s="112">
        <v>317.53100006039688</v>
      </c>
      <c r="AC28" s="112">
        <v>301.65445005737706</v>
      </c>
      <c r="AD28" s="112">
        <v>15.876550003019844</v>
      </c>
      <c r="AE28" s="112">
        <v>36.795993595563083</v>
      </c>
      <c r="AF28" s="112">
        <v>52.672543598582926</v>
      </c>
      <c r="AG28" s="112">
        <v>0</v>
      </c>
      <c r="AH28" s="112">
        <v>328.97967444198861</v>
      </c>
      <c r="AI28" s="112">
        <v>41.279030007851595</v>
      </c>
      <c r="AJ28" s="112">
        <v>6.3506200012079379</v>
      </c>
      <c r="AK28" s="112">
        <v>1.5876550003019845</v>
      </c>
      <c r="AL28" s="112">
        <v>49.217305009361517</v>
      </c>
      <c r="AM28" s="112">
        <v>430.86952304993304</v>
      </c>
      <c r="AN28" s="112">
        <v>0</v>
      </c>
      <c r="AO28" s="112">
        <v>25</v>
      </c>
      <c r="AP28" s="112">
        <v>70</v>
      </c>
      <c r="AQ28" s="112">
        <v>68.939123687989294</v>
      </c>
      <c r="AR28" s="112">
        <v>594.80864673792234</v>
      </c>
      <c r="AU28" s="110">
        <v>19</v>
      </c>
      <c r="AV28" s="110">
        <v>9</v>
      </c>
      <c r="AW28" s="110">
        <v>0</v>
      </c>
      <c r="AX28" s="110">
        <v>12</v>
      </c>
      <c r="AY28" s="110">
        <v>37</v>
      </c>
      <c r="AZ28" s="111">
        <v>38.721380900971631</v>
      </c>
      <c r="BA28" s="111">
        <v>22.574408298542167</v>
      </c>
      <c r="BB28" s="111">
        <v>0</v>
      </c>
      <c r="BC28" s="111">
        <v>20.693207606996985</v>
      </c>
      <c r="BD28" s="111">
        <v>72.504609986637163</v>
      </c>
      <c r="BE28" s="111">
        <v>154.49360679314793</v>
      </c>
    </row>
    <row r="29" spans="1:57" s="110" customFormat="1" x14ac:dyDescent="0.25">
      <c r="A29" s="110" t="s">
        <v>298</v>
      </c>
      <c r="B29" s="108" t="s">
        <v>135</v>
      </c>
      <c r="C29" s="109" t="s">
        <v>129</v>
      </c>
      <c r="G29" s="110">
        <v>0</v>
      </c>
      <c r="I29" s="110">
        <v>14</v>
      </c>
      <c r="J29" s="111">
        <v>12.541337943634536</v>
      </c>
      <c r="K29" s="111">
        <v>175.57873121088352</v>
      </c>
      <c r="L29" s="110">
        <v>0</v>
      </c>
      <c r="M29" s="112">
        <v>12.541337943634536</v>
      </c>
      <c r="N29" s="112">
        <v>0</v>
      </c>
      <c r="O29" s="112">
        <v>0</v>
      </c>
      <c r="P29" s="112">
        <v>12.541337943634536</v>
      </c>
      <c r="Q29" s="112">
        <v>0</v>
      </c>
      <c r="R29" s="112">
        <v>0</v>
      </c>
      <c r="S29" s="112">
        <v>8.3650724084042363</v>
      </c>
      <c r="T29" s="112">
        <v>0</v>
      </c>
      <c r="U29" s="112">
        <v>52.673619363265054</v>
      </c>
      <c r="V29" s="112">
        <v>1.17</v>
      </c>
      <c r="W29" s="112">
        <v>16.38</v>
      </c>
      <c r="X29" s="112">
        <v>0</v>
      </c>
      <c r="Y29" s="112">
        <v>0</v>
      </c>
      <c r="Z29" s="112">
        <v>16.38</v>
      </c>
      <c r="AA29" s="112">
        <v>200.81817382244802</v>
      </c>
      <c r="AB29" s="112">
        <v>376.39690503333156</v>
      </c>
      <c r="AC29" s="112">
        <v>357.57705978166496</v>
      </c>
      <c r="AD29" s="112">
        <v>18.819845251666578</v>
      </c>
      <c r="AE29" s="112">
        <v>45.184385054206267</v>
      </c>
      <c r="AF29" s="112">
        <v>64.004230305872852</v>
      </c>
      <c r="AG29" s="112">
        <v>0</v>
      </c>
      <c r="AH29" s="112">
        <v>381.44629409072377</v>
      </c>
      <c r="AI29" s="112">
        <v>48.931597654333103</v>
      </c>
      <c r="AJ29" s="112">
        <v>7.5279381006666313</v>
      </c>
      <c r="AK29" s="112">
        <v>1.8819845251666578</v>
      </c>
      <c r="AL29" s="112">
        <v>58.341520280166392</v>
      </c>
      <c r="AM29" s="112">
        <v>503.792044676763</v>
      </c>
      <c r="AN29" s="112">
        <v>0</v>
      </c>
      <c r="AO29" s="112">
        <v>25</v>
      </c>
      <c r="AP29" s="112">
        <v>70</v>
      </c>
      <c r="AQ29" s="112">
        <v>80.606727148282076</v>
      </c>
      <c r="AR29" s="112">
        <v>679.39877182504506</v>
      </c>
      <c r="AU29" s="110">
        <v>12</v>
      </c>
      <c r="AV29" s="110">
        <v>22</v>
      </c>
      <c r="AW29" s="110">
        <v>0</v>
      </c>
      <c r="AX29" s="110">
        <v>18</v>
      </c>
      <c r="AY29" s="110">
        <v>46</v>
      </c>
      <c r="AZ29" s="111">
        <v>24.455608990087345</v>
      </c>
      <c r="BA29" s="111">
        <v>55.18188695199197</v>
      </c>
      <c r="BB29" s="111">
        <v>0</v>
      </c>
      <c r="BC29" s="111">
        <v>31.039811410495478</v>
      </c>
      <c r="BD29" s="111">
        <v>90.140866469873231</v>
      </c>
      <c r="BE29" s="111">
        <v>200.81817382244802</v>
      </c>
    </row>
    <row r="30" spans="1:57" s="110" customFormat="1" x14ac:dyDescent="0.25">
      <c r="A30" s="110" t="s">
        <v>304</v>
      </c>
      <c r="B30" s="108" t="s">
        <v>137</v>
      </c>
      <c r="C30" s="109" t="s">
        <v>138</v>
      </c>
      <c r="E30" s="114">
        <v>544200130200365</v>
      </c>
      <c r="F30" s="110" t="s">
        <v>276</v>
      </c>
      <c r="G30" s="110">
        <v>0</v>
      </c>
      <c r="I30" s="110">
        <v>13</v>
      </c>
      <c r="J30" s="111">
        <v>24.59204119072605</v>
      </c>
      <c r="K30" s="111">
        <v>319.69653547943864</v>
      </c>
      <c r="L30" s="110">
        <v>0</v>
      </c>
      <c r="M30" s="112">
        <v>24.59204119072605</v>
      </c>
      <c r="N30" s="112">
        <v>0</v>
      </c>
      <c r="O30" s="112">
        <v>0</v>
      </c>
      <c r="P30" s="112">
        <v>24.59204119072605</v>
      </c>
      <c r="Q30" s="112">
        <v>0</v>
      </c>
      <c r="R30" s="112">
        <v>0</v>
      </c>
      <c r="S30" s="112">
        <v>16.402891474214275</v>
      </c>
      <c r="T30" s="112">
        <v>0</v>
      </c>
      <c r="U30" s="112">
        <v>95.908960643831591</v>
      </c>
      <c r="V30" s="112">
        <v>1.17</v>
      </c>
      <c r="W30" s="112">
        <v>15.209999999999999</v>
      </c>
      <c r="X30" s="112">
        <v>0</v>
      </c>
      <c r="Y30" s="112">
        <v>0</v>
      </c>
      <c r="Z30" s="112">
        <v>15.209999999999999</v>
      </c>
      <c r="AA30" s="112">
        <v>175.9867947711333</v>
      </c>
      <c r="AB30" s="112">
        <v>495.68333025057194</v>
      </c>
      <c r="AC30" s="112">
        <v>470.89916373804334</v>
      </c>
      <c r="AD30" s="112">
        <v>24.7841665125286</v>
      </c>
      <c r="AE30" s="112">
        <v>62.182700647663026</v>
      </c>
      <c r="AF30" s="112">
        <v>86.966867160191626</v>
      </c>
      <c r="AG30" s="112">
        <v>0</v>
      </c>
      <c r="AH30" s="112">
        <v>519.83542373421187</v>
      </c>
      <c r="AI30" s="112">
        <v>64.438832932574357</v>
      </c>
      <c r="AJ30" s="112">
        <v>9.9136666050114393</v>
      </c>
      <c r="AK30" s="112">
        <v>2.4784166512528598</v>
      </c>
      <c r="AL30" s="112">
        <v>76.830916188838657</v>
      </c>
      <c r="AM30" s="112">
        <v>683.63320708324216</v>
      </c>
      <c r="AN30" s="112">
        <v>0</v>
      </c>
      <c r="AO30" s="112">
        <v>25</v>
      </c>
      <c r="AP30" s="112">
        <v>70</v>
      </c>
      <c r="AQ30" s="112">
        <v>109.38131313331874</v>
      </c>
      <c r="AR30" s="112">
        <v>888.01452021656087</v>
      </c>
      <c r="AU30" s="110">
        <v>0</v>
      </c>
      <c r="AV30" s="110">
        <v>0</v>
      </c>
      <c r="AW30" s="110">
        <v>0</v>
      </c>
      <c r="AX30" s="110">
        <v>10</v>
      </c>
      <c r="AY30" s="110">
        <v>37</v>
      </c>
      <c r="AZ30" s="111">
        <v>0</v>
      </c>
      <c r="BA30" s="111">
        <v>0</v>
      </c>
      <c r="BB30" s="111">
        <v>0</v>
      </c>
      <c r="BC30" s="111">
        <v>33.814056637248321</v>
      </c>
      <c r="BD30" s="111">
        <v>142.17273813388499</v>
      </c>
      <c r="BE30" s="111">
        <v>175.9867947711333</v>
      </c>
    </row>
    <row r="31" spans="1:57" s="110" customFormat="1" x14ac:dyDescent="0.25">
      <c r="A31" s="110" t="s">
        <v>301</v>
      </c>
      <c r="B31" s="108" t="s">
        <v>139</v>
      </c>
      <c r="C31" s="109" t="s">
        <v>138</v>
      </c>
      <c r="E31" s="114">
        <v>544200170434316</v>
      </c>
      <c r="F31" s="110" t="s">
        <v>276</v>
      </c>
      <c r="G31" s="110">
        <v>4</v>
      </c>
      <c r="I31" s="110">
        <v>13</v>
      </c>
      <c r="J31" s="111">
        <v>12.541337943634536</v>
      </c>
      <c r="K31" s="111">
        <v>163.03739326724897</v>
      </c>
      <c r="L31" s="110">
        <v>0</v>
      </c>
      <c r="M31" s="112">
        <v>12.541337943634536</v>
      </c>
      <c r="N31" s="112">
        <v>0</v>
      </c>
      <c r="O31" s="112">
        <v>0</v>
      </c>
      <c r="P31" s="112">
        <v>12.541337943634536</v>
      </c>
      <c r="Q31" s="112">
        <v>0</v>
      </c>
      <c r="R31" s="112">
        <v>0</v>
      </c>
      <c r="S31" s="112">
        <v>8.3650724084042363</v>
      </c>
      <c r="T31" s="112">
        <v>0</v>
      </c>
      <c r="U31" s="112">
        <v>48.91121798017469</v>
      </c>
      <c r="V31" s="112">
        <v>1.17</v>
      </c>
      <c r="W31" s="112">
        <v>15.209999999999999</v>
      </c>
      <c r="X31" s="112">
        <v>0</v>
      </c>
      <c r="Y31" s="112">
        <v>0</v>
      </c>
      <c r="Z31" s="112">
        <v>15.209999999999999</v>
      </c>
      <c r="AA31" s="112">
        <v>84.340497670942256</v>
      </c>
      <c r="AB31" s="112">
        <v>247.37789093819123</v>
      </c>
      <c r="AC31" s="112">
        <v>235.00899639128167</v>
      </c>
      <c r="AD31" s="112">
        <v>12.368894546909562</v>
      </c>
      <c r="AE31" s="112">
        <v>24.655241501996869</v>
      </c>
      <c r="AF31" s="112">
        <v>37.024136048906428</v>
      </c>
      <c r="AG31" s="112">
        <v>0</v>
      </c>
      <c r="AH31" s="112">
        <v>274.47497286945946</v>
      </c>
      <c r="AI31" s="112">
        <v>32.159125821964864</v>
      </c>
      <c r="AJ31" s="112">
        <v>4.9475578187638245</v>
      </c>
      <c r="AK31" s="112">
        <v>1.2368894546909561</v>
      </c>
      <c r="AL31" s="112">
        <v>38.343573095419643</v>
      </c>
      <c r="AM31" s="112">
        <v>349.84268201378552</v>
      </c>
      <c r="AN31" s="112">
        <v>0</v>
      </c>
      <c r="AO31" s="112">
        <v>25</v>
      </c>
      <c r="AP31" s="112">
        <v>70</v>
      </c>
      <c r="AQ31" s="112">
        <v>55.974829122205684</v>
      </c>
      <c r="AR31" s="112">
        <v>500.8175111359912</v>
      </c>
      <c r="AU31" s="110">
        <v>0</v>
      </c>
      <c r="AV31" s="110">
        <v>0</v>
      </c>
      <c r="AW31" s="110">
        <v>0</v>
      </c>
      <c r="AX31" s="110">
        <v>8</v>
      </c>
      <c r="AY31" s="110">
        <v>36</v>
      </c>
      <c r="AZ31" s="111">
        <v>0</v>
      </c>
      <c r="BA31" s="111">
        <v>0</v>
      </c>
      <c r="BB31" s="111">
        <v>0</v>
      </c>
      <c r="BC31" s="111">
        <v>13.795471737997991</v>
      </c>
      <c r="BD31" s="111">
        <v>70.54502593294427</v>
      </c>
      <c r="BE31" s="111">
        <v>84.340497670942256</v>
      </c>
    </row>
    <row r="32" spans="1:57" s="110" customFormat="1" x14ac:dyDescent="0.25">
      <c r="A32" s="110" t="s">
        <v>310</v>
      </c>
      <c r="B32" s="108" t="s">
        <v>140</v>
      </c>
      <c r="C32" s="109" t="s">
        <v>138</v>
      </c>
      <c r="E32" s="114">
        <v>544200098683707</v>
      </c>
      <c r="F32" s="110" t="s">
        <v>276</v>
      </c>
      <c r="G32" s="110">
        <v>0</v>
      </c>
      <c r="I32" s="110">
        <v>11</v>
      </c>
      <c r="J32" s="111">
        <v>12.541337943634536</v>
      </c>
      <c r="K32" s="111">
        <v>137.95471737997991</v>
      </c>
      <c r="L32" s="110">
        <v>0</v>
      </c>
      <c r="M32" s="112">
        <v>12.541337943634536</v>
      </c>
      <c r="N32" s="112">
        <v>0</v>
      </c>
      <c r="O32" s="112">
        <v>0</v>
      </c>
      <c r="P32" s="112">
        <v>12.541337943634536</v>
      </c>
      <c r="Q32" s="112">
        <v>0</v>
      </c>
      <c r="R32" s="112">
        <v>0</v>
      </c>
      <c r="S32" s="112">
        <v>8.3650724084042363</v>
      </c>
      <c r="T32" s="112">
        <v>0</v>
      </c>
      <c r="U32" s="112">
        <v>41.38641521399397</v>
      </c>
      <c r="V32" s="112">
        <v>1.17</v>
      </c>
      <c r="W32" s="112">
        <v>12.87</v>
      </c>
      <c r="X32" s="112">
        <v>2</v>
      </c>
      <c r="Y32" s="112">
        <v>2.34</v>
      </c>
      <c r="Z32" s="112">
        <v>15.209999999999999</v>
      </c>
      <c r="AA32" s="112">
        <v>134.50584944548041</v>
      </c>
      <c r="AB32" s="112">
        <v>272.46056682546032</v>
      </c>
      <c r="AC32" s="112">
        <v>258.83753848418729</v>
      </c>
      <c r="AD32" s="112">
        <v>13.623028341273017</v>
      </c>
      <c r="AE32" s="112">
        <v>30.373456859584611</v>
      </c>
      <c r="AF32" s="112">
        <v>43.996485200857627</v>
      </c>
      <c r="AG32" s="112">
        <v>0</v>
      </c>
      <c r="AH32" s="112">
        <v>285.06049683859663</v>
      </c>
      <c r="AI32" s="112">
        <v>35.419873687309845</v>
      </c>
      <c r="AJ32" s="112">
        <v>5.4492113365092063</v>
      </c>
      <c r="AK32" s="112">
        <v>1.3623028341273016</v>
      </c>
      <c r="AL32" s="112">
        <v>42.231387857946352</v>
      </c>
      <c r="AM32" s="112">
        <v>371.28836989740063</v>
      </c>
      <c r="AN32" s="112">
        <v>0</v>
      </c>
      <c r="AO32" s="112">
        <v>25</v>
      </c>
      <c r="AP32" s="112">
        <v>70</v>
      </c>
      <c r="AQ32" s="112">
        <v>59.406139183584102</v>
      </c>
      <c r="AR32" s="112">
        <v>525.69450908098474</v>
      </c>
      <c r="AU32" s="110">
        <v>0</v>
      </c>
      <c r="AV32" s="110">
        <v>0</v>
      </c>
      <c r="AW32" s="110">
        <v>16</v>
      </c>
      <c r="AX32" s="110">
        <v>8</v>
      </c>
      <c r="AY32" s="110">
        <v>36</v>
      </c>
      <c r="AZ32" s="111">
        <v>0</v>
      </c>
      <c r="BA32" s="111">
        <v>0</v>
      </c>
      <c r="BB32" s="111">
        <v>50.165351774538145</v>
      </c>
      <c r="BC32" s="111">
        <v>13.795471737997991</v>
      </c>
      <c r="BD32" s="111">
        <v>70.54502593294427</v>
      </c>
      <c r="BE32" s="111">
        <v>134.50584944548041</v>
      </c>
    </row>
    <row r="33" spans="1:57" s="110" customFormat="1" x14ac:dyDescent="0.25">
      <c r="A33" s="110" t="s">
        <v>303</v>
      </c>
      <c r="B33" s="108" t="s">
        <v>141</v>
      </c>
      <c r="C33" s="109" t="s">
        <v>138</v>
      </c>
      <c r="E33" s="114">
        <v>544200219560354</v>
      </c>
      <c r="F33" s="110" t="s">
        <v>276</v>
      </c>
      <c r="G33" s="110">
        <v>1</v>
      </c>
      <c r="I33" s="110">
        <v>13</v>
      </c>
      <c r="J33" s="111">
        <v>12.541337943634536</v>
      </c>
      <c r="K33" s="111">
        <v>163.03739326724897</v>
      </c>
      <c r="L33" s="110">
        <v>0</v>
      </c>
      <c r="M33" s="112">
        <v>12.541337943634536</v>
      </c>
      <c r="N33" s="112">
        <v>0</v>
      </c>
      <c r="O33" s="112">
        <v>0</v>
      </c>
      <c r="P33" s="112">
        <v>12.541337943634536</v>
      </c>
      <c r="Q33" s="112">
        <v>0</v>
      </c>
      <c r="R33" s="112">
        <v>0</v>
      </c>
      <c r="S33" s="112">
        <v>8.3650724084042363</v>
      </c>
      <c r="T33" s="112">
        <v>0</v>
      </c>
      <c r="U33" s="112">
        <v>48.91121798017469</v>
      </c>
      <c r="V33" s="112">
        <v>1.17</v>
      </c>
      <c r="W33" s="112">
        <v>15.209999999999999</v>
      </c>
      <c r="X33" s="112">
        <v>0</v>
      </c>
      <c r="Y33" s="112">
        <v>0</v>
      </c>
      <c r="Z33" s="112">
        <v>15.209999999999999</v>
      </c>
      <c r="AA33" s="112">
        <v>100.01717010048543</v>
      </c>
      <c r="AB33" s="112">
        <v>263.05456336773443</v>
      </c>
      <c r="AC33" s="112">
        <v>249.90183519934772</v>
      </c>
      <c r="AD33" s="112">
        <v>13.152728168386723</v>
      </c>
      <c r="AE33" s="112">
        <v>28.452439339521508</v>
      </c>
      <c r="AF33" s="112">
        <v>41.605167507908234</v>
      </c>
      <c r="AG33" s="112">
        <v>0</v>
      </c>
      <c r="AH33" s="112">
        <v>285.57061384000087</v>
      </c>
      <c r="AI33" s="112">
        <v>34.197093237805475</v>
      </c>
      <c r="AJ33" s="112">
        <v>5.261091267354689</v>
      </c>
      <c r="AK33" s="112">
        <v>1.3152728168386723</v>
      </c>
      <c r="AL33" s="112">
        <v>40.773457321998833</v>
      </c>
      <c r="AM33" s="112">
        <v>367.94923866990791</v>
      </c>
      <c r="AN33" s="112">
        <v>0</v>
      </c>
      <c r="AO33" s="112">
        <v>25</v>
      </c>
      <c r="AP33" s="112">
        <v>70</v>
      </c>
      <c r="AQ33" s="112">
        <v>58.871878187185267</v>
      </c>
      <c r="AR33" s="112">
        <v>521.82111685709322</v>
      </c>
      <c r="AU33" s="110">
        <v>0</v>
      </c>
      <c r="AV33" s="110">
        <v>0</v>
      </c>
      <c r="AW33" s="110">
        <v>0</v>
      </c>
      <c r="AX33" s="110">
        <v>8</v>
      </c>
      <c r="AY33" s="110">
        <v>44</v>
      </c>
      <c r="AZ33" s="111">
        <v>0</v>
      </c>
      <c r="BA33" s="111">
        <v>0</v>
      </c>
      <c r="BB33" s="111">
        <v>0</v>
      </c>
      <c r="BC33" s="111">
        <v>13.795471737997991</v>
      </c>
      <c r="BD33" s="111">
        <v>86.221698362487444</v>
      </c>
      <c r="BE33" s="111">
        <v>100.01717010048543</v>
      </c>
    </row>
    <row r="34" spans="1:57" s="110" customFormat="1" x14ac:dyDescent="0.25">
      <c r="A34" s="110" t="s">
        <v>307</v>
      </c>
      <c r="B34" s="108" t="s">
        <v>142</v>
      </c>
      <c r="C34" s="109" t="s">
        <v>138</v>
      </c>
      <c r="E34" s="114">
        <v>544100227055064</v>
      </c>
      <c r="F34" s="110" t="s">
        <v>276</v>
      </c>
      <c r="G34" s="110">
        <v>1</v>
      </c>
      <c r="I34" s="110">
        <v>12</v>
      </c>
      <c r="J34" s="111">
        <v>12.541337943634536</v>
      </c>
      <c r="K34" s="111">
        <v>150.49605532361443</v>
      </c>
      <c r="L34" s="110">
        <v>0</v>
      </c>
      <c r="M34" s="112">
        <v>12.541337943634536</v>
      </c>
      <c r="N34" s="112">
        <v>0</v>
      </c>
      <c r="O34" s="112">
        <v>0</v>
      </c>
      <c r="P34" s="112">
        <v>12.541337943634536</v>
      </c>
      <c r="Q34" s="112">
        <v>0</v>
      </c>
      <c r="R34" s="112">
        <v>0</v>
      </c>
      <c r="S34" s="112">
        <v>8.3650724084042363</v>
      </c>
      <c r="T34" s="112">
        <v>0</v>
      </c>
      <c r="U34" s="112">
        <v>45.148816597084327</v>
      </c>
      <c r="V34" s="112">
        <v>1.17</v>
      </c>
      <c r="W34" s="112">
        <v>14.04</v>
      </c>
      <c r="X34" s="112">
        <v>0</v>
      </c>
      <c r="Y34" s="112">
        <v>0</v>
      </c>
      <c r="Z34" s="112">
        <v>14.04</v>
      </c>
      <c r="AA34" s="112">
        <v>84.340497670942256</v>
      </c>
      <c r="AB34" s="112">
        <v>234.83655299455668</v>
      </c>
      <c r="AC34" s="112">
        <v>223.09472534482884</v>
      </c>
      <c r="AD34" s="112">
        <v>11.741827649727835</v>
      </c>
      <c r="AE34" s="112">
        <v>24.511794190907228</v>
      </c>
      <c r="AF34" s="112">
        <v>36.253621840635063</v>
      </c>
      <c r="AG34" s="112">
        <v>0</v>
      </c>
      <c r="AH34" s="112">
        <v>257.77174775100599</v>
      </c>
      <c r="AI34" s="112">
        <v>30.528751889292369</v>
      </c>
      <c r="AJ34" s="112">
        <v>4.6967310598911336</v>
      </c>
      <c r="AK34" s="112">
        <v>1.1741827649727834</v>
      </c>
      <c r="AL34" s="112">
        <v>36.399665714156285</v>
      </c>
      <c r="AM34" s="112">
        <v>330.42503530579734</v>
      </c>
      <c r="AN34" s="112">
        <v>0</v>
      </c>
      <c r="AO34" s="112">
        <v>25</v>
      </c>
      <c r="AP34" s="112">
        <v>70</v>
      </c>
      <c r="AQ34" s="112">
        <v>52.868005648927578</v>
      </c>
      <c r="AR34" s="112">
        <v>478.29304095472492</v>
      </c>
      <c r="AU34" s="110">
        <v>0</v>
      </c>
      <c r="AV34" s="110">
        <v>0</v>
      </c>
      <c r="AW34" s="110">
        <v>0</v>
      </c>
      <c r="AX34" s="110">
        <v>8</v>
      </c>
      <c r="AY34" s="110">
        <v>36</v>
      </c>
      <c r="AZ34" s="111">
        <v>0</v>
      </c>
      <c r="BA34" s="111">
        <v>0</v>
      </c>
      <c r="BB34" s="111">
        <v>0</v>
      </c>
      <c r="BC34" s="111">
        <v>13.795471737997991</v>
      </c>
      <c r="BD34" s="111">
        <v>70.54502593294427</v>
      </c>
      <c r="BE34" s="111">
        <v>84.340497670942256</v>
      </c>
    </row>
    <row r="35" spans="1:57" s="110" customFormat="1" x14ac:dyDescent="0.25">
      <c r="A35" s="110" t="s">
        <v>311</v>
      </c>
      <c r="B35" s="108" t="s">
        <v>143</v>
      </c>
      <c r="C35" s="109" t="s">
        <v>138</v>
      </c>
      <c r="E35" s="114">
        <v>544200219476061</v>
      </c>
      <c r="F35" s="110" t="s">
        <v>276</v>
      </c>
      <c r="G35" s="110">
        <v>1</v>
      </c>
      <c r="I35" s="110">
        <v>11</v>
      </c>
      <c r="J35" s="111">
        <v>12.541337943634536</v>
      </c>
      <c r="K35" s="111">
        <v>137.95471737997991</v>
      </c>
      <c r="L35" s="110">
        <v>0</v>
      </c>
      <c r="M35" s="112">
        <v>12.541337943634536</v>
      </c>
      <c r="N35" s="112">
        <v>0</v>
      </c>
      <c r="O35" s="112">
        <v>0</v>
      </c>
      <c r="P35" s="112">
        <v>12.541337943634536</v>
      </c>
      <c r="Q35" s="112">
        <v>0</v>
      </c>
      <c r="R35" s="112">
        <v>0</v>
      </c>
      <c r="S35" s="112">
        <v>8.3650724084042363</v>
      </c>
      <c r="T35" s="112">
        <v>0</v>
      </c>
      <c r="U35" s="112">
        <v>41.38641521399397</v>
      </c>
      <c r="V35" s="112">
        <v>1.17</v>
      </c>
      <c r="W35" s="112">
        <v>12.87</v>
      </c>
      <c r="X35" s="112">
        <v>1</v>
      </c>
      <c r="Y35" s="112">
        <v>1.17</v>
      </c>
      <c r="Z35" s="112">
        <v>14.04</v>
      </c>
      <c r="AA35" s="112">
        <v>109.42317355821133</v>
      </c>
      <c r="AB35" s="112">
        <v>247.37789093819123</v>
      </c>
      <c r="AC35" s="112">
        <v>235.00899639128167</v>
      </c>
      <c r="AD35" s="112">
        <v>12.368894546909562</v>
      </c>
      <c r="AE35" s="112">
        <v>26.263192034735791</v>
      </c>
      <c r="AF35" s="112">
        <v>38.632086581645353</v>
      </c>
      <c r="AG35" s="112">
        <v>0</v>
      </c>
      <c r="AH35" s="112">
        <v>264.17221957053988</v>
      </c>
      <c r="AI35" s="112">
        <v>32.159125821964864</v>
      </c>
      <c r="AJ35" s="112">
        <v>4.9475578187638245</v>
      </c>
      <c r="AK35" s="112">
        <v>1.2368894546909561</v>
      </c>
      <c r="AL35" s="112">
        <v>38.343573095419643</v>
      </c>
      <c r="AM35" s="112">
        <v>341.14787924760486</v>
      </c>
      <c r="AN35" s="112">
        <v>0</v>
      </c>
      <c r="AO35" s="112">
        <v>25</v>
      </c>
      <c r="AP35" s="112">
        <v>70</v>
      </c>
      <c r="AQ35" s="112">
        <v>54.583660679616777</v>
      </c>
      <c r="AR35" s="112">
        <v>490.73153992722166</v>
      </c>
      <c r="AU35" s="110">
        <v>0</v>
      </c>
      <c r="AV35" s="110">
        <v>0</v>
      </c>
      <c r="AW35" s="110">
        <v>8</v>
      </c>
      <c r="AX35" s="110">
        <v>8</v>
      </c>
      <c r="AY35" s="110">
        <v>36</v>
      </c>
      <c r="AZ35" s="111">
        <v>0</v>
      </c>
      <c r="BA35" s="111">
        <v>0</v>
      </c>
      <c r="BB35" s="111">
        <v>25.082675887269072</v>
      </c>
      <c r="BC35" s="111">
        <v>13.795471737997991</v>
      </c>
      <c r="BD35" s="111">
        <v>70.54502593294427</v>
      </c>
      <c r="BE35" s="111">
        <v>109.42317355821133</v>
      </c>
    </row>
    <row r="36" spans="1:57" s="110" customFormat="1" x14ac:dyDescent="0.25">
      <c r="A36" s="110" t="s">
        <v>305</v>
      </c>
      <c r="B36" s="108" t="s">
        <v>144</v>
      </c>
      <c r="C36" s="109" t="s">
        <v>138</v>
      </c>
      <c r="E36" s="114">
        <v>544100218325549</v>
      </c>
      <c r="F36" s="110" t="s">
        <v>276</v>
      </c>
      <c r="G36" s="110">
        <v>1</v>
      </c>
      <c r="I36" s="110">
        <v>11</v>
      </c>
      <c r="J36" s="111">
        <v>12.541337943634536</v>
      </c>
      <c r="K36" s="111">
        <v>137.95471737997991</v>
      </c>
      <c r="L36" s="110">
        <v>0</v>
      </c>
      <c r="M36" s="112">
        <v>12.541337943634536</v>
      </c>
      <c r="N36" s="112">
        <v>0</v>
      </c>
      <c r="O36" s="112">
        <v>0</v>
      </c>
      <c r="P36" s="112">
        <v>12.541337943634536</v>
      </c>
      <c r="Q36" s="112">
        <v>0</v>
      </c>
      <c r="R36" s="112">
        <v>0</v>
      </c>
      <c r="S36" s="112">
        <v>8.3650724084042363</v>
      </c>
      <c r="T36" s="112">
        <v>0</v>
      </c>
      <c r="U36" s="112">
        <v>41.38641521399397</v>
      </c>
      <c r="V36" s="112">
        <v>1.17</v>
      </c>
      <c r="W36" s="112">
        <v>12.87</v>
      </c>
      <c r="X36" s="112">
        <v>2</v>
      </c>
      <c r="Y36" s="112">
        <v>2.34</v>
      </c>
      <c r="Z36" s="112">
        <v>15.209999999999999</v>
      </c>
      <c r="AA36" s="112">
        <v>88.965116037657481</v>
      </c>
      <c r="AB36" s="112">
        <v>226.91983341763739</v>
      </c>
      <c r="AC36" s="112">
        <v>215.57384174675553</v>
      </c>
      <c r="AD36" s="112">
        <v>11.345991670881871</v>
      </c>
      <c r="AE36" s="112">
        <v>23.406224301990456</v>
      </c>
      <c r="AF36" s="112">
        <v>34.752215972872328</v>
      </c>
      <c r="AG36" s="112">
        <v>0</v>
      </c>
      <c r="AH36" s="112">
        <v>248.76403265875902</v>
      </c>
      <c r="AI36" s="112">
        <v>29.499578344292861</v>
      </c>
      <c r="AJ36" s="112">
        <v>4.5383966683527479</v>
      </c>
      <c r="AK36" s="112">
        <v>1.134599167088187</v>
      </c>
      <c r="AL36" s="112">
        <v>35.1725741797338</v>
      </c>
      <c r="AM36" s="112">
        <v>318.68882281136518</v>
      </c>
      <c r="AN36" s="112">
        <v>0</v>
      </c>
      <c r="AO36" s="112">
        <v>25</v>
      </c>
      <c r="AP36" s="112">
        <v>70</v>
      </c>
      <c r="AQ36" s="112">
        <v>50.990211649818434</v>
      </c>
      <c r="AR36" s="112">
        <v>464.67903446118362</v>
      </c>
      <c r="AU36" s="110">
        <v>13.5</v>
      </c>
      <c r="AV36" s="110">
        <v>4.5</v>
      </c>
      <c r="AW36" s="110">
        <v>16</v>
      </c>
      <c r="AX36" s="110">
        <v>0</v>
      </c>
      <c r="AY36" s="110">
        <v>0</v>
      </c>
      <c r="AZ36" s="111">
        <v>27.512560113848263</v>
      </c>
      <c r="BA36" s="111">
        <v>11.287204149271084</v>
      </c>
      <c r="BB36" s="111">
        <v>50.165351774538145</v>
      </c>
      <c r="BC36" s="111">
        <v>0</v>
      </c>
      <c r="BD36" s="111">
        <v>0</v>
      </c>
      <c r="BE36" s="111">
        <v>88.965116037657481</v>
      </c>
    </row>
    <row r="37" spans="1:57" s="110" customFormat="1" x14ac:dyDescent="0.25">
      <c r="A37" s="110" t="s">
        <v>309</v>
      </c>
      <c r="B37" s="108" t="s">
        <v>145</v>
      </c>
      <c r="C37" s="109" t="s">
        <v>138</v>
      </c>
      <c r="E37" s="114">
        <v>544200222145889</v>
      </c>
      <c r="F37" s="110" t="s">
        <v>276</v>
      </c>
      <c r="G37" s="110">
        <v>0</v>
      </c>
      <c r="I37" s="110">
        <v>11</v>
      </c>
      <c r="J37" s="111">
        <v>12.541337943634536</v>
      </c>
      <c r="K37" s="111">
        <v>137.95471737997991</v>
      </c>
      <c r="L37" s="110">
        <v>0</v>
      </c>
      <c r="M37" s="112">
        <v>12.541337943634536</v>
      </c>
      <c r="N37" s="112">
        <v>0</v>
      </c>
      <c r="O37" s="112">
        <v>0</v>
      </c>
      <c r="P37" s="112">
        <v>12.541337943634536</v>
      </c>
      <c r="Q37" s="112">
        <v>0</v>
      </c>
      <c r="R37" s="112">
        <v>0</v>
      </c>
      <c r="S37" s="112">
        <v>8.3650724084042363</v>
      </c>
      <c r="T37" s="112">
        <v>0</v>
      </c>
      <c r="U37" s="112">
        <v>41.38641521399397</v>
      </c>
      <c r="V37" s="112">
        <v>1.17</v>
      </c>
      <c r="W37" s="112">
        <v>12.87</v>
      </c>
      <c r="X37" s="112">
        <v>2</v>
      </c>
      <c r="Y37" s="112">
        <v>2.34</v>
      </c>
      <c r="Z37" s="112">
        <v>15.209999999999999</v>
      </c>
      <c r="AA37" s="112">
        <v>118.82917701593723</v>
      </c>
      <c r="AB37" s="112">
        <v>256.78389439591717</v>
      </c>
      <c r="AC37" s="112">
        <v>243.9446996761213</v>
      </c>
      <c r="AD37" s="112">
        <v>12.839194719795859</v>
      </c>
      <c r="AE37" s="112">
        <v>28.139531038374717</v>
      </c>
      <c r="AF37" s="112">
        <v>40.978725758170576</v>
      </c>
      <c r="AG37" s="112">
        <v>0</v>
      </c>
      <c r="AH37" s="112">
        <v>272.40158385174055</v>
      </c>
      <c r="AI37" s="112">
        <v>33.381906271469234</v>
      </c>
      <c r="AJ37" s="112">
        <v>5.1356778879183436</v>
      </c>
      <c r="AK37" s="112">
        <v>1.2839194719795859</v>
      </c>
      <c r="AL37" s="112">
        <v>39.801503631367162</v>
      </c>
      <c r="AM37" s="112">
        <v>353.18181324127829</v>
      </c>
      <c r="AN37" s="112">
        <v>0</v>
      </c>
      <c r="AO37" s="112">
        <v>25</v>
      </c>
      <c r="AP37" s="112">
        <v>70</v>
      </c>
      <c r="AQ37" s="112">
        <v>56.509090118604526</v>
      </c>
      <c r="AR37" s="112">
        <v>504.69090335988284</v>
      </c>
      <c r="AU37" s="110">
        <v>0</v>
      </c>
      <c r="AV37" s="110">
        <v>0</v>
      </c>
      <c r="AW37" s="110">
        <v>16</v>
      </c>
      <c r="AX37" s="110">
        <v>8</v>
      </c>
      <c r="AY37" s="110">
        <v>28</v>
      </c>
      <c r="AZ37" s="111">
        <v>0</v>
      </c>
      <c r="BA37" s="111">
        <v>0</v>
      </c>
      <c r="BB37" s="111">
        <v>50.165351774538145</v>
      </c>
      <c r="BC37" s="111">
        <v>13.795471737997991</v>
      </c>
      <c r="BD37" s="111">
        <v>54.868353503401096</v>
      </c>
      <c r="BE37" s="111">
        <v>118.82917701593723</v>
      </c>
    </row>
    <row r="38" spans="1:57" s="110" customFormat="1" x14ac:dyDescent="0.25">
      <c r="A38" s="110" t="s">
        <v>306</v>
      </c>
      <c r="B38" s="108" t="s">
        <v>146</v>
      </c>
      <c r="C38" s="109" t="s">
        <v>138</v>
      </c>
      <c r="E38" s="114" t="s">
        <v>149</v>
      </c>
      <c r="F38" s="110" t="s">
        <v>277</v>
      </c>
      <c r="G38" s="110">
        <v>3</v>
      </c>
      <c r="I38" s="110">
        <v>13</v>
      </c>
      <c r="J38" s="111">
        <v>12.541337943634536</v>
      </c>
      <c r="K38" s="111">
        <v>163.03739326724897</v>
      </c>
      <c r="L38" s="110">
        <v>0</v>
      </c>
      <c r="M38" s="112">
        <v>12.541337943634536</v>
      </c>
      <c r="N38" s="112">
        <v>0</v>
      </c>
      <c r="O38" s="112">
        <v>0</v>
      </c>
      <c r="P38" s="112">
        <v>12.541337943634536</v>
      </c>
      <c r="Q38" s="112">
        <v>0</v>
      </c>
      <c r="R38" s="112">
        <v>0</v>
      </c>
      <c r="S38" s="112">
        <v>8.3650724084042363</v>
      </c>
      <c r="T38" s="112">
        <v>0</v>
      </c>
      <c r="U38" s="112">
        <v>48.91121798017469</v>
      </c>
      <c r="V38" s="112">
        <v>1.17</v>
      </c>
      <c r="W38" s="112">
        <v>15.209999999999999</v>
      </c>
      <c r="X38" s="112">
        <v>0</v>
      </c>
      <c r="Y38" s="112">
        <v>0</v>
      </c>
      <c r="Z38" s="112">
        <v>15.209999999999999</v>
      </c>
      <c r="AA38" s="112">
        <v>84.340497670942256</v>
      </c>
      <c r="AB38" s="112">
        <v>247.37789093819123</v>
      </c>
      <c r="AC38" s="112">
        <v>235.00899639128167</v>
      </c>
      <c r="AD38" s="112">
        <v>12.368894546909562</v>
      </c>
      <c r="AE38" s="112">
        <v>25.19122501290984</v>
      </c>
      <c r="AF38" s="112">
        <v>37.560119559819398</v>
      </c>
      <c r="AG38" s="112">
        <v>0</v>
      </c>
      <c r="AH38" s="112">
        <v>273.93898935854651</v>
      </c>
      <c r="AI38" s="112">
        <v>32.159125821964864</v>
      </c>
      <c r="AJ38" s="112">
        <v>4.9475578187638245</v>
      </c>
      <c r="AK38" s="112">
        <v>1.2368894546909561</v>
      </c>
      <c r="AL38" s="112">
        <v>38.343573095419643</v>
      </c>
      <c r="AM38" s="112">
        <v>349.84268201378552</v>
      </c>
      <c r="AN38" s="112">
        <v>0</v>
      </c>
      <c r="AO38" s="112">
        <v>25</v>
      </c>
      <c r="AP38" s="112">
        <v>70</v>
      </c>
      <c r="AQ38" s="112">
        <v>55.974829122205684</v>
      </c>
      <c r="AR38" s="112">
        <v>500.8175111359912</v>
      </c>
      <c r="AU38" s="110">
        <v>0</v>
      </c>
      <c r="AV38" s="110">
        <v>0</v>
      </c>
      <c r="AW38" s="110">
        <v>0</v>
      </c>
      <c r="AX38" s="110">
        <v>8</v>
      </c>
      <c r="AY38" s="110">
        <v>36</v>
      </c>
      <c r="AZ38" s="111">
        <v>0</v>
      </c>
      <c r="BA38" s="111">
        <v>0</v>
      </c>
      <c r="BB38" s="111">
        <v>0</v>
      </c>
      <c r="BC38" s="111">
        <v>13.795471737997991</v>
      </c>
      <c r="BD38" s="111">
        <v>70.54502593294427</v>
      </c>
      <c r="BE38" s="111">
        <v>84.340497670942256</v>
      </c>
    </row>
    <row r="39" spans="1:57" s="110" customFormat="1" x14ac:dyDescent="0.25">
      <c r="A39" s="110" t="s">
        <v>302</v>
      </c>
      <c r="B39" s="108" t="s">
        <v>147</v>
      </c>
      <c r="C39" s="109" t="s">
        <v>138</v>
      </c>
      <c r="E39" s="114" t="s">
        <v>150</v>
      </c>
      <c r="F39" s="110" t="s">
        <v>277</v>
      </c>
      <c r="G39" s="110">
        <v>0</v>
      </c>
      <c r="I39" s="110">
        <v>13</v>
      </c>
      <c r="J39" s="111">
        <v>12.541337943634536</v>
      </c>
      <c r="K39" s="111">
        <v>163.03739326724897</v>
      </c>
      <c r="L39" s="110">
        <v>0</v>
      </c>
      <c r="M39" s="112">
        <v>12.541337943634536</v>
      </c>
      <c r="N39" s="112">
        <v>0</v>
      </c>
      <c r="O39" s="112">
        <v>0</v>
      </c>
      <c r="P39" s="112">
        <v>12.541337943634536</v>
      </c>
      <c r="Q39" s="112">
        <v>0</v>
      </c>
      <c r="R39" s="112">
        <v>0</v>
      </c>
      <c r="S39" s="112">
        <v>8.3650724084042363</v>
      </c>
      <c r="T39" s="112">
        <v>0</v>
      </c>
      <c r="U39" s="112">
        <v>48.91121798017469</v>
      </c>
      <c r="V39" s="112">
        <v>1.17</v>
      </c>
      <c r="W39" s="112">
        <v>15.209999999999999</v>
      </c>
      <c r="X39" s="112">
        <v>0</v>
      </c>
      <c r="Y39" s="112">
        <v>0</v>
      </c>
      <c r="Z39" s="112">
        <v>15.209999999999999</v>
      </c>
      <c r="AA39" s="112">
        <v>95.862851906656488</v>
      </c>
      <c r="AB39" s="112">
        <v>258.90024517390543</v>
      </c>
      <c r="AC39" s="112">
        <v>245.95523291521016</v>
      </c>
      <c r="AD39" s="112">
        <v>12.945012258695272</v>
      </c>
      <c r="AE39" s="112">
        <v>28.441111024238047</v>
      </c>
      <c r="AF39" s="112">
        <v>41.386123282933319</v>
      </c>
      <c r="AG39" s="112">
        <v>0</v>
      </c>
      <c r="AH39" s="112">
        <v>281.63533987114675</v>
      </c>
      <c r="AI39" s="112">
        <v>33.65703187260771</v>
      </c>
      <c r="AJ39" s="112">
        <v>5.1780049034781088</v>
      </c>
      <c r="AK39" s="112">
        <v>1.2945012258695272</v>
      </c>
      <c r="AL39" s="112">
        <v>40.129538001955346</v>
      </c>
      <c r="AM39" s="112">
        <v>363.15100115603542</v>
      </c>
      <c r="AN39" s="112">
        <v>0</v>
      </c>
      <c r="AO39" s="112">
        <v>25</v>
      </c>
      <c r="AP39" s="112">
        <v>70</v>
      </c>
      <c r="AQ39" s="112">
        <v>58.104160184965671</v>
      </c>
      <c r="AR39" s="112">
        <v>516.2551613410011</v>
      </c>
      <c r="AU39" s="110">
        <v>3</v>
      </c>
      <c r="AV39" s="110">
        <v>0</v>
      </c>
      <c r="AW39" s="110">
        <v>0</v>
      </c>
      <c r="AX39" s="110">
        <v>10</v>
      </c>
      <c r="AY39" s="110">
        <v>37</v>
      </c>
      <c r="AZ39" s="111">
        <v>6.1139022475218363</v>
      </c>
      <c r="BA39" s="111">
        <v>0</v>
      </c>
      <c r="BB39" s="111">
        <v>0</v>
      </c>
      <c r="BC39" s="111">
        <v>17.244339672497489</v>
      </c>
      <c r="BD39" s="111">
        <v>72.504609986637163</v>
      </c>
      <c r="BE39" s="111">
        <v>95.862851906656488</v>
      </c>
    </row>
    <row r="40" spans="1:57" s="110" customFormat="1" x14ac:dyDescent="0.25">
      <c r="A40" s="110" t="s">
        <v>300</v>
      </c>
      <c r="B40" s="108" t="s">
        <v>148</v>
      </c>
      <c r="C40" s="109" t="s">
        <v>138</v>
      </c>
      <c r="E40" s="114">
        <v>544100263667229</v>
      </c>
      <c r="F40" s="110" t="s">
        <v>276</v>
      </c>
      <c r="G40" s="110">
        <v>0</v>
      </c>
      <c r="I40" s="110">
        <v>13</v>
      </c>
      <c r="J40" s="111">
        <v>12.541337943634536</v>
      </c>
      <c r="K40" s="111">
        <v>163.03739326724897</v>
      </c>
      <c r="L40" s="110">
        <v>0</v>
      </c>
      <c r="M40" s="112">
        <v>12.541337943634536</v>
      </c>
      <c r="N40" s="112">
        <v>0</v>
      </c>
      <c r="O40" s="112">
        <v>0</v>
      </c>
      <c r="P40" s="112">
        <v>12.541337943634536</v>
      </c>
      <c r="Q40" s="112">
        <v>0</v>
      </c>
      <c r="R40" s="112">
        <v>0</v>
      </c>
      <c r="S40" s="112">
        <v>8.3650724084042363</v>
      </c>
      <c r="T40" s="112">
        <v>0</v>
      </c>
      <c r="U40" s="112">
        <v>48.91121798017469</v>
      </c>
      <c r="V40" s="112">
        <v>1.17</v>
      </c>
      <c r="W40" s="112">
        <v>15.209999999999999</v>
      </c>
      <c r="X40" s="112">
        <v>0</v>
      </c>
      <c r="Y40" s="112">
        <v>0</v>
      </c>
      <c r="Z40" s="112">
        <v>15.209999999999999</v>
      </c>
      <c r="AA40" s="112">
        <v>84.340497670942256</v>
      </c>
      <c r="AB40" s="112">
        <v>247.37789093819123</v>
      </c>
      <c r="AC40" s="112">
        <v>235.00899639128167</v>
      </c>
      <c r="AD40" s="112">
        <v>12.368894546909562</v>
      </c>
      <c r="AE40" s="112">
        <v>26.799175545648769</v>
      </c>
      <c r="AF40" s="112">
        <v>39.168070092558331</v>
      </c>
      <c r="AG40" s="112">
        <v>0</v>
      </c>
      <c r="AH40" s="112">
        <v>272.33103882580758</v>
      </c>
      <c r="AI40" s="112">
        <v>32.159125821964864</v>
      </c>
      <c r="AJ40" s="112">
        <v>4.9475578187638245</v>
      </c>
      <c r="AK40" s="112">
        <v>1.2368894546909561</v>
      </c>
      <c r="AL40" s="112">
        <v>38.343573095419643</v>
      </c>
      <c r="AM40" s="112">
        <v>349.84268201378552</v>
      </c>
      <c r="AN40" s="112">
        <v>0</v>
      </c>
      <c r="AO40" s="112">
        <v>25</v>
      </c>
      <c r="AP40" s="112">
        <v>70</v>
      </c>
      <c r="AQ40" s="112">
        <v>55.974829122205684</v>
      </c>
      <c r="AR40" s="112">
        <v>500.8175111359912</v>
      </c>
      <c r="AU40" s="110">
        <v>0</v>
      </c>
      <c r="AV40" s="110">
        <v>0</v>
      </c>
      <c r="AW40" s="110">
        <v>0</v>
      </c>
      <c r="AX40" s="110">
        <v>8</v>
      </c>
      <c r="AY40" s="110">
        <v>36</v>
      </c>
      <c r="AZ40" s="111">
        <v>0</v>
      </c>
      <c r="BA40" s="111">
        <v>0</v>
      </c>
      <c r="BB40" s="111">
        <v>0</v>
      </c>
      <c r="BC40" s="111">
        <v>13.795471737997991</v>
      </c>
      <c r="BD40" s="111">
        <v>70.54502593294427</v>
      </c>
      <c r="BE40" s="111">
        <v>84.340497670942256</v>
      </c>
    </row>
    <row r="41" spans="1:57" s="110" customFormat="1" x14ac:dyDescent="0.25">
      <c r="A41" s="110" t="s">
        <v>308</v>
      </c>
      <c r="B41" s="108" t="s">
        <v>151</v>
      </c>
      <c r="C41" s="109" t="s">
        <v>152</v>
      </c>
      <c r="E41" s="114">
        <v>544100218318177</v>
      </c>
      <c r="F41" s="110" t="s">
        <v>276</v>
      </c>
      <c r="G41" s="110">
        <v>0</v>
      </c>
      <c r="I41" s="110">
        <v>11</v>
      </c>
      <c r="J41" s="111">
        <v>12.541337943634536</v>
      </c>
      <c r="K41" s="111">
        <v>137.95471737997991</v>
      </c>
      <c r="L41" s="110">
        <v>0</v>
      </c>
      <c r="M41" s="112">
        <v>12.541337943634536</v>
      </c>
      <c r="N41" s="112">
        <v>0</v>
      </c>
      <c r="O41" s="112">
        <v>0</v>
      </c>
      <c r="P41" s="112">
        <v>12.541337943634536</v>
      </c>
      <c r="Q41" s="112">
        <v>0</v>
      </c>
      <c r="R41" s="112">
        <v>0</v>
      </c>
      <c r="S41" s="112">
        <v>8.3650724084042363</v>
      </c>
      <c r="T41" s="112">
        <v>0</v>
      </c>
      <c r="U41" s="112">
        <v>41.38641521399397</v>
      </c>
      <c r="V41" s="112">
        <v>1.17</v>
      </c>
      <c r="W41" s="112">
        <v>12.87</v>
      </c>
      <c r="X41" s="112">
        <v>1</v>
      </c>
      <c r="Y41" s="112">
        <v>1.17</v>
      </c>
      <c r="Z41" s="112">
        <v>14.04</v>
      </c>
      <c r="AA41" s="112">
        <v>69.369275500728534</v>
      </c>
      <c r="AB41" s="112">
        <v>207.32399288070843</v>
      </c>
      <c r="AC41" s="112">
        <v>196.95779323667301</v>
      </c>
      <c r="AD41" s="112">
        <v>10.366199644035422</v>
      </c>
      <c r="AE41" s="112">
        <v>21.091495072457469</v>
      </c>
      <c r="AF41" s="112">
        <v>31.457694716492892</v>
      </c>
      <c r="AG41" s="112">
        <v>0</v>
      </c>
      <c r="AH41" s="112">
        <v>231.29271337820956</v>
      </c>
      <c r="AI41" s="112">
        <v>26.952119074492096</v>
      </c>
      <c r="AJ41" s="112">
        <v>4.1464798576141684</v>
      </c>
      <c r="AK41" s="112">
        <v>1.0366199644035421</v>
      </c>
      <c r="AL41" s="112">
        <v>32.135218896509805</v>
      </c>
      <c r="AM41" s="112">
        <v>294.88562699121223</v>
      </c>
      <c r="AN41" s="112">
        <v>0</v>
      </c>
      <c r="AO41" s="112">
        <v>25</v>
      </c>
      <c r="AP41" s="112">
        <v>70</v>
      </c>
      <c r="AQ41" s="112">
        <v>47.181700318593961</v>
      </c>
      <c r="AR41" s="112">
        <v>437.06732730980622</v>
      </c>
      <c r="AU41" s="110">
        <v>12</v>
      </c>
      <c r="AV41" s="110">
        <v>7</v>
      </c>
      <c r="AW41" s="110">
        <v>7</v>
      </c>
      <c r="AX41" s="110">
        <v>2</v>
      </c>
      <c r="AY41" s="110">
        <v>1</v>
      </c>
      <c r="AZ41" s="111">
        <v>24.455608990087345</v>
      </c>
      <c r="BA41" s="111">
        <v>17.557873121088353</v>
      </c>
      <c r="BB41" s="111">
        <v>21.94734140136044</v>
      </c>
      <c r="BC41" s="111">
        <v>3.4488679344994977</v>
      </c>
      <c r="BD41" s="111">
        <v>1.9595840536928963</v>
      </c>
      <c r="BE41" s="111">
        <v>69.369275500728534</v>
      </c>
    </row>
    <row r="42" spans="1:57" s="110" customFormat="1" x14ac:dyDescent="0.25">
      <c r="A42" s="110" t="s">
        <v>312</v>
      </c>
      <c r="B42" s="108" t="s">
        <v>153</v>
      </c>
      <c r="C42" s="109" t="s">
        <v>154</v>
      </c>
      <c r="E42" s="114" t="s">
        <v>155</v>
      </c>
      <c r="F42" s="110" t="s">
        <v>277</v>
      </c>
      <c r="G42" s="110">
        <v>0</v>
      </c>
      <c r="I42" s="110">
        <v>11</v>
      </c>
      <c r="J42" s="111">
        <v>24.105845670670476</v>
      </c>
      <c r="K42" s="111">
        <v>265.16430237737524</v>
      </c>
      <c r="L42" s="110">
        <v>0</v>
      </c>
      <c r="M42" s="112">
        <v>24.105845670670476</v>
      </c>
      <c r="N42" s="112">
        <v>0</v>
      </c>
      <c r="O42" s="112">
        <v>0</v>
      </c>
      <c r="P42" s="112">
        <v>24.105845670670476</v>
      </c>
      <c r="Q42" s="112">
        <v>0</v>
      </c>
      <c r="R42" s="112">
        <v>0</v>
      </c>
      <c r="S42" s="112">
        <v>16.078599062337208</v>
      </c>
      <c r="T42" s="112">
        <v>0</v>
      </c>
      <c r="U42" s="112">
        <v>79.549290713212571</v>
      </c>
      <c r="V42" s="112">
        <v>1.17</v>
      </c>
      <c r="W42" s="112">
        <v>12.87</v>
      </c>
      <c r="X42" s="112">
        <v>0</v>
      </c>
      <c r="Y42" s="112">
        <v>0</v>
      </c>
      <c r="Z42" s="112">
        <v>12.87</v>
      </c>
      <c r="AA42" s="112">
        <v>29.378999411129644</v>
      </c>
      <c r="AB42" s="112">
        <v>294.54330178850489</v>
      </c>
      <c r="AC42" s="112">
        <v>279.81613669907966</v>
      </c>
      <c r="AD42" s="112">
        <v>14.727165089425245</v>
      </c>
      <c r="AE42" s="112">
        <v>33.52024659181847</v>
      </c>
      <c r="AF42" s="112">
        <v>48.247411681243719</v>
      </c>
      <c r="AG42" s="112">
        <v>0</v>
      </c>
      <c r="AH42" s="112">
        <v>338.71518082047379</v>
      </c>
      <c r="AI42" s="112">
        <v>38.290629232505637</v>
      </c>
      <c r="AJ42" s="112">
        <v>5.8908660357700979</v>
      </c>
      <c r="AK42" s="112">
        <v>1.4727165089425245</v>
      </c>
      <c r="AL42" s="112">
        <v>45.654211777218258</v>
      </c>
      <c r="AM42" s="112">
        <v>432.61680427893577</v>
      </c>
      <c r="AN42" s="112">
        <v>0</v>
      </c>
      <c r="AO42" s="112">
        <v>25</v>
      </c>
      <c r="AP42" s="112">
        <v>70</v>
      </c>
      <c r="AQ42" s="112">
        <v>69.218688684629726</v>
      </c>
      <c r="AR42" s="112">
        <v>596.83549296356546</v>
      </c>
      <c r="AU42" s="110">
        <v>7.5</v>
      </c>
      <c r="AV42" s="110">
        <v>0</v>
      </c>
      <c r="AW42" s="110">
        <v>0</v>
      </c>
      <c r="AX42" s="110">
        <v>0</v>
      </c>
      <c r="AY42" s="110">
        <v>0</v>
      </c>
      <c r="AZ42" s="111">
        <v>29.378999411129644</v>
      </c>
      <c r="BA42" s="111">
        <v>0</v>
      </c>
      <c r="BB42" s="111">
        <v>0</v>
      </c>
      <c r="BC42" s="111">
        <v>0</v>
      </c>
      <c r="BD42" s="111">
        <v>0</v>
      </c>
      <c r="BE42" s="111">
        <v>29.378999411129644</v>
      </c>
    </row>
    <row r="43" spans="1:57" s="110" customFormat="1" x14ac:dyDescent="0.25">
      <c r="A43" s="110" t="s">
        <v>313</v>
      </c>
      <c r="B43" s="108" t="s">
        <v>156</v>
      </c>
      <c r="C43" s="109" t="s">
        <v>157</v>
      </c>
      <c r="E43" s="114">
        <v>844200063076788</v>
      </c>
      <c r="F43" s="110" t="s">
        <v>276</v>
      </c>
      <c r="G43" s="110">
        <v>4</v>
      </c>
      <c r="I43" s="110">
        <v>11</v>
      </c>
      <c r="J43" s="111">
        <v>16.014163086888576</v>
      </c>
      <c r="K43" s="111">
        <v>176.15579395577433</v>
      </c>
      <c r="L43" s="110">
        <v>0</v>
      </c>
      <c r="M43" s="112">
        <v>16.014163086888576</v>
      </c>
      <c r="N43" s="112">
        <v>0</v>
      </c>
      <c r="O43" s="112">
        <v>0</v>
      </c>
      <c r="P43" s="112">
        <v>16.014163086888576</v>
      </c>
      <c r="Q43" s="112">
        <v>0</v>
      </c>
      <c r="R43" s="112">
        <v>0</v>
      </c>
      <c r="S43" s="112">
        <v>10.681446778954681</v>
      </c>
      <c r="T43" s="112">
        <v>0</v>
      </c>
      <c r="U43" s="112">
        <v>52.846738186732296</v>
      </c>
      <c r="V43" s="112">
        <v>1.17</v>
      </c>
      <c r="W43" s="112">
        <v>12.87</v>
      </c>
      <c r="X43" s="112">
        <v>0</v>
      </c>
      <c r="Y43" s="112">
        <v>0</v>
      </c>
      <c r="Z43" s="112">
        <v>12.87</v>
      </c>
      <c r="AA43" s="112">
        <v>68.560635715741711</v>
      </c>
      <c r="AB43" s="112">
        <v>244.71642967151604</v>
      </c>
      <c r="AC43" s="112">
        <v>232.48060818794025</v>
      </c>
      <c r="AD43" s="112">
        <v>12.235821483575803</v>
      </c>
      <c r="AE43" s="112">
        <v>24.306323929935754</v>
      </c>
      <c r="AF43" s="112">
        <v>36.542145413511555</v>
      </c>
      <c r="AG43" s="112">
        <v>0</v>
      </c>
      <c r="AH43" s="112">
        <v>273.89102244473679</v>
      </c>
      <c r="AI43" s="112">
        <v>31.813135857297087</v>
      </c>
      <c r="AJ43" s="112">
        <v>4.8943285934303207</v>
      </c>
      <c r="AK43" s="112">
        <v>1.2235821483575802</v>
      </c>
      <c r="AL43" s="112">
        <v>37.931046599084986</v>
      </c>
      <c r="AM43" s="112">
        <v>348.36421445733333</v>
      </c>
      <c r="AN43" s="112">
        <v>0</v>
      </c>
      <c r="AO43" s="112">
        <v>25</v>
      </c>
      <c r="AP43" s="112">
        <v>70</v>
      </c>
      <c r="AQ43" s="112">
        <v>55.738274313173335</v>
      </c>
      <c r="AR43" s="112">
        <v>499.10248877050668</v>
      </c>
      <c r="AU43" s="110">
        <v>3</v>
      </c>
      <c r="AV43" s="110">
        <v>0</v>
      </c>
      <c r="AW43" s="110">
        <v>0</v>
      </c>
      <c r="AX43" s="110">
        <v>6</v>
      </c>
      <c r="AY43" s="110">
        <v>19</v>
      </c>
      <c r="AZ43" s="111">
        <v>7.8069045048581822</v>
      </c>
      <c r="BA43" s="111">
        <v>0</v>
      </c>
      <c r="BB43" s="111">
        <v>0</v>
      </c>
      <c r="BC43" s="111">
        <v>13.211684546683077</v>
      </c>
      <c r="BD43" s="111">
        <v>47.542046664200456</v>
      </c>
      <c r="BE43" s="111">
        <v>68.560635715741711</v>
      </c>
    </row>
    <row r="44" spans="1:57" s="110" customFormat="1" x14ac:dyDescent="0.25">
      <c r="A44" s="110" t="s">
        <v>314</v>
      </c>
      <c r="B44" s="108" t="s">
        <v>158</v>
      </c>
      <c r="C44" s="109" t="s">
        <v>157</v>
      </c>
      <c r="E44" s="114">
        <v>544200035523224</v>
      </c>
      <c r="F44" s="110" t="s">
        <v>276</v>
      </c>
      <c r="G44" s="110">
        <v>2</v>
      </c>
      <c r="I44" s="110">
        <v>13</v>
      </c>
      <c r="J44" s="111">
        <v>16.014163086888576</v>
      </c>
      <c r="K44" s="111">
        <v>208.1841201295515</v>
      </c>
      <c r="L44" s="110">
        <v>0</v>
      </c>
      <c r="M44" s="112">
        <v>16.014163086888576</v>
      </c>
      <c r="N44" s="112">
        <v>0</v>
      </c>
      <c r="O44" s="112">
        <v>0</v>
      </c>
      <c r="P44" s="112">
        <v>16.014163086888576</v>
      </c>
      <c r="Q44" s="112">
        <v>0</v>
      </c>
      <c r="R44" s="112">
        <v>0</v>
      </c>
      <c r="S44" s="112">
        <v>10.681446778954681</v>
      </c>
      <c r="T44" s="112">
        <v>0</v>
      </c>
      <c r="U44" s="112">
        <v>62.455236038865451</v>
      </c>
      <c r="V44" s="112">
        <v>1.17</v>
      </c>
      <c r="W44" s="112">
        <v>15.209999999999999</v>
      </c>
      <c r="X44" s="112">
        <v>2</v>
      </c>
      <c r="Y44" s="112">
        <v>2.34</v>
      </c>
      <c r="Z44" s="112">
        <v>17.549999999999997</v>
      </c>
      <c r="AA44" s="112">
        <v>207.0831464173279</v>
      </c>
      <c r="AB44" s="112">
        <v>415.2672665468794</v>
      </c>
      <c r="AC44" s="112">
        <v>394.5039032195354</v>
      </c>
      <c r="AD44" s="112">
        <v>20.763363327343971</v>
      </c>
      <c r="AE44" s="112">
        <v>48.694475107091357</v>
      </c>
      <c r="AF44" s="112">
        <v>69.457838434435331</v>
      </c>
      <c r="AG44" s="112">
        <v>0</v>
      </c>
      <c r="AH44" s="112">
        <v>425.81466415130956</v>
      </c>
      <c r="AI44" s="112">
        <v>53.984744651094324</v>
      </c>
      <c r="AJ44" s="112">
        <v>8.3053453309375875</v>
      </c>
      <c r="AK44" s="112">
        <v>2.0763363327343969</v>
      </c>
      <c r="AL44" s="112">
        <v>64.366426314766315</v>
      </c>
      <c r="AM44" s="112">
        <v>559.63892890051113</v>
      </c>
      <c r="AN44" s="112">
        <v>0</v>
      </c>
      <c r="AO44" s="112">
        <v>25</v>
      </c>
      <c r="AP44" s="112">
        <v>70</v>
      </c>
      <c r="AQ44" s="112">
        <v>89.542228624081787</v>
      </c>
      <c r="AR44" s="112">
        <v>744.18115752459289</v>
      </c>
      <c r="AU44" s="110">
        <v>8</v>
      </c>
      <c r="AV44" s="110">
        <v>0</v>
      </c>
      <c r="AW44" s="110">
        <v>19</v>
      </c>
      <c r="AX44" s="110">
        <v>8</v>
      </c>
      <c r="AY44" s="110">
        <v>37</v>
      </c>
      <c r="AZ44" s="111">
        <v>20.81841201295515</v>
      </c>
      <c r="BA44" s="111">
        <v>0</v>
      </c>
      <c r="BB44" s="111">
        <v>76.067274662720735</v>
      </c>
      <c r="BC44" s="111">
        <v>17.615579395577434</v>
      </c>
      <c r="BD44" s="111">
        <v>92.581880346074584</v>
      </c>
      <c r="BE44" s="111">
        <v>207.0831464173279</v>
      </c>
    </row>
    <row r="45" spans="1:57" s="110" customFormat="1" x14ac:dyDescent="0.25">
      <c r="A45" s="110" t="s">
        <v>315</v>
      </c>
      <c r="B45" s="108" t="s">
        <v>159</v>
      </c>
      <c r="C45" s="109" t="s">
        <v>157</v>
      </c>
      <c r="E45" s="114">
        <v>544200132778722</v>
      </c>
      <c r="F45" s="110" t="s">
        <v>276</v>
      </c>
      <c r="G45" s="110">
        <v>5</v>
      </c>
      <c r="I45" s="110">
        <v>12</v>
      </c>
      <c r="J45" s="111">
        <v>12.541337943634536</v>
      </c>
      <c r="K45" s="111">
        <v>150.49605532361443</v>
      </c>
      <c r="L45" s="110">
        <v>0</v>
      </c>
      <c r="M45" s="112">
        <v>12.541337943634536</v>
      </c>
      <c r="N45" s="112">
        <v>0</v>
      </c>
      <c r="O45" s="112">
        <v>0</v>
      </c>
      <c r="P45" s="112">
        <v>12.541337943634536</v>
      </c>
      <c r="Q45" s="112">
        <v>0</v>
      </c>
      <c r="R45" s="112">
        <v>0</v>
      </c>
      <c r="S45" s="112">
        <v>8.3650724084042363</v>
      </c>
      <c r="T45" s="112">
        <v>0</v>
      </c>
      <c r="U45" s="112">
        <v>45.148816597084327</v>
      </c>
      <c r="V45" s="112">
        <v>1.17</v>
      </c>
      <c r="W45" s="112">
        <v>14.04</v>
      </c>
      <c r="X45" s="112">
        <v>0</v>
      </c>
      <c r="Y45" s="112">
        <v>0</v>
      </c>
      <c r="Z45" s="112">
        <v>14.04</v>
      </c>
      <c r="AA45" s="112">
        <v>152.69078946375049</v>
      </c>
      <c r="AB45" s="112">
        <v>303.18684478736492</v>
      </c>
      <c r="AC45" s="112">
        <v>288.02750254799668</v>
      </c>
      <c r="AD45" s="112">
        <v>15.159342239368247</v>
      </c>
      <c r="AE45" s="112">
        <v>31.276756322240416</v>
      </c>
      <c r="AF45" s="112">
        <v>46.436098561608659</v>
      </c>
      <c r="AG45" s="112">
        <v>0</v>
      </c>
      <c r="AH45" s="112">
        <v>315.93956282284057</v>
      </c>
      <c r="AI45" s="112">
        <v>39.414289822357439</v>
      </c>
      <c r="AJ45" s="112">
        <v>6.0637368957472981</v>
      </c>
      <c r="AK45" s="112">
        <v>1.5159342239368245</v>
      </c>
      <c r="AL45" s="112">
        <v>46.993960942041561</v>
      </c>
      <c r="AM45" s="112">
        <v>409.3696223264908</v>
      </c>
      <c r="AN45" s="112">
        <v>0</v>
      </c>
      <c r="AO45" s="112">
        <v>25</v>
      </c>
      <c r="AP45" s="112">
        <v>70</v>
      </c>
      <c r="AQ45" s="112">
        <v>65.499139572238533</v>
      </c>
      <c r="AR45" s="112">
        <v>569.8687618987293</v>
      </c>
      <c r="AU45" s="110">
        <v>12.5</v>
      </c>
      <c r="AV45" s="110">
        <v>25.5</v>
      </c>
      <c r="AW45" s="110">
        <v>0</v>
      </c>
      <c r="AX45" s="110">
        <v>6</v>
      </c>
      <c r="AY45" s="110">
        <v>27</v>
      </c>
      <c r="AZ45" s="111">
        <v>25.474592698007655</v>
      </c>
      <c r="BA45" s="111">
        <v>63.960823512536138</v>
      </c>
      <c r="BB45" s="111">
        <v>0</v>
      </c>
      <c r="BC45" s="111">
        <v>10.346603803498493</v>
      </c>
      <c r="BD45" s="111">
        <v>52.908769449708196</v>
      </c>
      <c r="BE45" s="111">
        <v>152.69078946375049</v>
      </c>
    </row>
    <row r="46" spans="1:57" s="110" customFormat="1" x14ac:dyDescent="0.25">
      <c r="A46" s="110" t="s">
        <v>316</v>
      </c>
      <c r="B46" s="108" t="s">
        <v>160</v>
      </c>
      <c r="C46" s="109" t="s">
        <v>157</v>
      </c>
      <c r="E46" s="114">
        <v>544100255587420</v>
      </c>
      <c r="F46" s="110" t="s">
        <v>276</v>
      </c>
      <c r="G46" s="110">
        <v>0</v>
      </c>
      <c r="I46" s="110">
        <v>13</v>
      </c>
      <c r="J46" s="111">
        <v>16.014163086888576</v>
      </c>
      <c r="K46" s="111">
        <v>208.1841201295515</v>
      </c>
      <c r="L46" s="110">
        <v>0</v>
      </c>
      <c r="M46" s="112">
        <v>16.014163086888576</v>
      </c>
      <c r="N46" s="112">
        <v>0</v>
      </c>
      <c r="O46" s="112">
        <v>0</v>
      </c>
      <c r="P46" s="112">
        <v>16.014163086888576</v>
      </c>
      <c r="Q46" s="112">
        <v>0</v>
      </c>
      <c r="R46" s="112">
        <v>0</v>
      </c>
      <c r="S46" s="112">
        <v>10.681446778954681</v>
      </c>
      <c r="T46" s="112">
        <v>0</v>
      </c>
      <c r="U46" s="112">
        <v>62.455236038865451</v>
      </c>
      <c r="V46" s="112">
        <v>1.17</v>
      </c>
      <c r="W46" s="112">
        <v>15.209999999999999</v>
      </c>
      <c r="X46" s="112">
        <v>0</v>
      </c>
      <c r="Y46" s="112">
        <v>0</v>
      </c>
      <c r="Z46" s="112">
        <v>15.209999999999999</v>
      </c>
      <c r="AA46" s="112">
        <v>131.31613731248632</v>
      </c>
      <c r="AB46" s="112">
        <v>339.50025744203782</v>
      </c>
      <c r="AC46" s="112">
        <v>322.52524456993592</v>
      </c>
      <c r="AD46" s="112">
        <v>16.975012872101892</v>
      </c>
      <c r="AE46" s="112">
        <v>39.926612772446909</v>
      </c>
      <c r="AF46" s="112">
        <v>56.901625644548801</v>
      </c>
      <c r="AG46" s="112">
        <v>0</v>
      </c>
      <c r="AH46" s="112">
        <v>360.26386783635445</v>
      </c>
      <c r="AI46" s="112">
        <v>44.135033467464915</v>
      </c>
      <c r="AJ46" s="112">
        <v>6.7900051488407565</v>
      </c>
      <c r="AK46" s="112">
        <v>1.6975012872101891</v>
      </c>
      <c r="AL46" s="112">
        <v>52.622539903515857</v>
      </c>
      <c r="AM46" s="112">
        <v>469.78803338441912</v>
      </c>
      <c r="AN46" s="112">
        <v>0</v>
      </c>
      <c r="AO46" s="112">
        <v>25</v>
      </c>
      <c r="AP46" s="112">
        <v>70</v>
      </c>
      <c r="AQ46" s="112">
        <v>75.166085341507056</v>
      </c>
      <c r="AR46" s="112">
        <v>639.95411872592615</v>
      </c>
      <c r="AU46" s="110">
        <v>6</v>
      </c>
      <c r="AV46" s="110">
        <v>2.5</v>
      </c>
      <c r="AW46" s="110">
        <v>0</v>
      </c>
      <c r="AX46" s="110">
        <v>8</v>
      </c>
      <c r="AY46" s="110">
        <v>36</v>
      </c>
      <c r="AZ46" s="111">
        <v>15.613809009716364</v>
      </c>
      <c r="BA46" s="111">
        <v>8.0070815434442881</v>
      </c>
      <c r="BB46" s="111">
        <v>0</v>
      </c>
      <c r="BC46" s="111">
        <v>17.615579395577434</v>
      </c>
      <c r="BD46" s="111">
        <v>90.079667363748243</v>
      </c>
      <c r="BE46" s="111">
        <v>131.31613731248632</v>
      </c>
    </row>
    <row r="47" spans="1:57" s="110" customFormat="1" x14ac:dyDescent="0.25">
      <c r="A47" s="110" t="s">
        <v>317</v>
      </c>
      <c r="B47" s="108" t="s">
        <v>161</v>
      </c>
      <c r="C47" s="109" t="s">
        <v>157</v>
      </c>
      <c r="E47" s="114">
        <v>544100225559809</v>
      </c>
      <c r="F47" s="110" t="s">
        <v>276</v>
      </c>
      <c r="G47" s="110">
        <v>2</v>
      </c>
      <c r="I47" s="110">
        <v>13</v>
      </c>
      <c r="J47" s="111">
        <v>16.014163086888576</v>
      </c>
      <c r="K47" s="111">
        <v>208.1841201295515</v>
      </c>
      <c r="L47" s="110">
        <v>0</v>
      </c>
      <c r="M47" s="112">
        <v>16.014163086888576</v>
      </c>
      <c r="N47" s="112">
        <v>0</v>
      </c>
      <c r="O47" s="112">
        <v>0</v>
      </c>
      <c r="P47" s="112">
        <v>16.014163086888576</v>
      </c>
      <c r="Q47" s="112">
        <v>0</v>
      </c>
      <c r="R47" s="112">
        <v>0</v>
      </c>
      <c r="S47" s="112">
        <v>10.681446778954681</v>
      </c>
      <c r="T47" s="112">
        <v>0</v>
      </c>
      <c r="U47" s="112">
        <v>62.455236038865451</v>
      </c>
      <c r="V47" s="112">
        <v>1.17</v>
      </c>
      <c r="W47" s="112">
        <v>15.209999999999999</v>
      </c>
      <c r="X47" s="112">
        <v>0</v>
      </c>
      <c r="Y47" s="112">
        <v>0</v>
      </c>
      <c r="Z47" s="112">
        <v>15.209999999999999</v>
      </c>
      <c r="AA47" s="112">
        <v>131.31613731248632</v>
      </c>
      <c r="AB47" s="112">
        <v>339.50025744203782</v>
      </c>
      <c r="AC47" s="112">
        <v>322.52524456993592</v>
      </c>
      <c r="AD47" s="112">
        <v>16.975012872101892</v>
      </c>
      <c r="AE47" s="112">
        <v>38.329548261549029</v>
      </c>
      <c r="AF47" s="112">
        <v>55.304561133650921</v>
      </c>
      <c r="AG47" s="112">
        <v>0</v>
      </c>
      <c r="AH47" s="112">
        <v>361.86093234725234</v>
      </c>
      <c r="AI47" s="112">
        <v>44.135033467464915</v>
      </c>
      <c r="AJ47" s="112">
        <v>6.7900051488407565</v>
      </c>
      <c r="AK47" s="112">
        <v>1.6975012872101891</v>
      </c>
      <c r="AL47" s="112">
        <v>52.622539903515857</v>
      </c>
      <c r="AM47" s="112">
        <v>469.78803338441912</v>
      </c>
      <c r="AN47" s="112">
        <v>0</v>
      </c>
      <c r="AO47" s="112">
        <v>25</v>
      </c>
      <c r="AP47" s="112">
        <v>70</v>
      </c>
      <c r="AQ47" s="112">
        <v>75.166085341507056</v>
      </c>
      <c r="AR47" s="112">
        <v>639.95411872592615</v>
      </c>
      <c r="AU47" s="110">
        <v>6</v>
      </c>
      <c r="AV47" s="110">
        <v>2.5</v>
      </c>
      <c r="AW47" s="110">
        <v>0</v>
      </c>
      <c r="AX47" s="110">
        <v>8</v>
      </c>
      <c r="AY47" s="110">
        <v>36</v>
      </c>
      <c r="AZ47" s="111">
        <v>15.613809009716364</v>
      </c>
      <c r="BA47" s="111">
        <v>8.0070815434442881</v>
      </c>
      <c r="BB47" s="111">
        <v>0</v>
      </c>
      <c r="BC47" s="111">
        <v>17.615579395577434</v>
      </c>
      <c r="BD47" s="111">
        <v>90.079667363748243</v>
      </c>
      <c r="BE47" s="111">
        <v>131.31613731248632</v>
      </c>
    </row>
    <row r="48" spans="1:57" s="110" customFormat="1" x14ac:dyDescent="0.25">
      <c r="A48" s="110" t="s">
        <v>318</v>
      </c>
      <c r="B48" s="108" t="s">
        <v>162</v>
      </c>
      <c r="C48" s="109" t="s">
        <v>163</v>
      </c>
      <c r="G48" s="110">
        <v>0</v>
      </c>
      <c r="I48" s="110">
        <v>11</v>
      </c>
      <c r="J48" s="111">
        <v>16.014163086888576</v>
      </c>
      <c r="K48" s="111">
        <v>176.15579395577433</v>
      </c>
      <c r="L48" s="110">
        <v>0</v>
      </c>
      <c r="M48" s="112">
        <v>16.014163086888576</v>
      </c>
      <c r="N48" s="112">
        <v>0</v>
      </c>
      <c r="O48" s="112">
        <v>0</v>
      </c>
      <c r="P48" s="112">
        <v>16.014163086888576</v>
      </c>
      <c r="Q48" s="112">
        <v>0</v>
      </c>
      <c r="R48" s="112">
        <v>0</v>
      </c>
      <c r="S48" s="112">
        <v>10.681446778954681</v>
      </c>
      <c r="T48" s="112">
        <v>0</v>
      </c>
      <c r="U48" s="112">
        <v>52.846738186732296</v>
      </c>
      <c r="V48" s="112">
        <v>1.17</v>
      </c>
      <c r="W48" s="112">
        <v>12.87</v>
      </c>
      <c r="X48" s="112">
        <v>6</v>
      </c>
      <c r="Y48" s="112">
        <v>7.02</v>
      </c>
      <c r="Z48" s="112">
        <v>19.89</v>
      </c>
      <c r="AA48" s="112">
        <v>306.57113459462317</v>
      </c>
      <c r="AB48" s="112">
        <v>482.72692855039747</v>
      </c>
      <c r="AC48" s="112">
        <v>458.59058212287761</v>
      </c>
      <c r="AD48" s="112">
        <v>24.136346427519875</v>
      </c>
      <c r="AE48" s="112">
        <v>60.336413405388164</v>
      </c>
      <c r="AF48" s="112">
        <v>84.472759832908039</v>
      </c>
      <c r="AG48" s="112">
        <v>0</v>
      </c>
      <c r="AH48" s="112">
        <v>470.99090690422173</v>
      </c>
      <c r="AI48" s="112">
        <v>62.754500711551671</v>
      </c>
      <c r="AJ48" s="112">
        <v>9.654538571007949</v>
      </c>
      <c r="AK48" s="112">
        <v>2.4136346427519872</v>
      </c>
      <c r="AL48" s="112">
        <v>74.822673925311605</v>
      </c>
      <c r="AM48" s="112">
        <v>630.28634066244138</v>
      </c>
      <c r="AN48" s="112">
        <v>0</v>
      </c>
      <c r="AO48" s="112">
        <v>25</v>
      </c>
      <c r="AP48" s="112">
        <v>70</v>
      </c>
      <c r="AQ48" s="112">
        <v>100.84581450599062</v>
      </c>
      <c r="AR48" s="112">
        <v>826.13215516843195</v>
      </c>
      <c r="AU48" s="110">
        <v>13.5</v>
      </c>
      <c r="AV48" s="110">
        <v>8.5</v>
      </c>
      <c r="AW48" s="110">
        <v>61</v>
      </c>
      <c r="AX48" s="110">
        <v>0</v>
      </c>
      <c r="AY48" s="110">
        <v>0</v>
      </c>
      <c r="AZ48" s="111">
        <v>35.131070271861816</v>
      </c>
      <c r="BA48" s="111">
        <v>27.224077247710582</v>
      </c>
      <c r="BB48" s="111">
        <v>244.21598707505078</v>
      </c>
      <c r="BC48" s="111">
        <v>0</v>
      </c>
      <c r="BD48" s="111">
        <v>0</v>
      </c>
      <c r="BE48" s="111">
        <v>306.57113459462317</v>
      </c>
    </row>
    <row r="49" spans="1:57" s="110" customFormat="1" x14ac:dyDescent="0.25">
      <c r="A49" s="110" t="s">
        <v>319</v>
      </c>
      <c r="B49" s="108" t="s">
        <v>164</v>
      </c>
      <c r="C49" s="109" t="s">
        <v>165</v>
      </c>
      <c r="E49" s="114">
        <v>544200187097655</v>
      </c>
      <c r="F49" s="110" t="s">
        <v>276</v>
      </c>
      <c r="G49" s="110">
        <v>2</v>
      </c>
      <c r="I49" s="110">
        <v>11</v>
      </c>
      <c r="J49" s="111">
        <v>12.541337943634536</v>
      </c>
      <c r="K49" s="111">
        <v>137.95471737997991</v>
      </c>
      <c r="L49" s="110">
        <v>0</v>
      </c>
      <c r="M49" s="112">
        <v>12.541337943634536</v>
      </c>
      <c r="N49" s="112">
        <v>0</v>
      </c>
      <c r="O49" s="112">
        <v>0</v>
      </c>
      <c r="P49" s="112">
        <v>12.541337943634536</v>
      </c>
      <c r="Q49" s="112">
        <v>0</v>
      </c>
      <c r="R49" s="112">
        <v>0</v>
      </c>
      <c r="S49" s="112">
        <v>8.3650724084042363</v>
      </c>
      <c r="T49" s="112">
        <v>0</v>
      </c>
      <c r="U49" s="112">
        <v>41.38641521399397</v>
      </c>
      <c r="V49" s="112">
        <v>1.17</v>
      </c>
      <c r="W49" s="112">
        <v>12.87</v>
      </c>
      <c r="X49" s="112">
        <v>6</v>
      </c>
      <c r="Y49" s="112">
        <v>7.02</v>
      </c>
      <c r="Z49" s="112">
        <v>19.89</v>
      </c>
      <c r="AA49" s="112">
        <v>193.92043795344904</v>
      </c>
      <c r="AB49" s="112">
        <v>331.87515533342895</v>
      </c>
      <c r="AC49" s="112">
        <v>315.28139756675751</v>
      </c>
      <c r="AD49" s="112">
        <v>16.593757766671448</v>
      </c>
      <c r="AE49" s="112">
        <v>37.286434293091332</v>
      </c>
      <c r="AF49" s="112">
        <v>53.880192059762777</v>
      </c>
      <c r="AG49" s="112">
        <v>0</v>
      </c>
      <c r="AH49" s="112">
        <v>339.27137848766017</v>
      </c>
      <c r="AI49" s="112">
        <v>43.143770193345766</v>
      </c>
      <c r="AJ49" s="112">
        <v>6.6375031066685795</v>
      </c>
      <c r="AK49" s="112">
        <v>1.6593757766671449</v>
      </c>
      <c r="AL49" s="112">
        <v>51.440649076681495</v>
      </c>
      <c r="AM49" s="112">
        <v>444.59221962410442</v>
      </c>
      <c r="AN49" s="112">
        <v>0</v>
      </c>
      <c r="AO49" s="112">
        <v>25</v>
      </c>
      <c r="AP49" s="112">
        <v>70</v>
      </c>
      <c r="AQ49" s="112">
        <v>71.134755139856708</v>
      </c>
      <c r="AR49" s="112">
        <v>610.72697476396115</v>
      </c>
      <c r="AU49" s="110">
        <v>13</v>
      </c>
      <c r="AV49" s="110">
        <v>3</v>
      </c>
      <c r="AW49" s="110">
        <v>51</v>
      </c>
      <c r="AX49" s="110">
        <v>0</v>
      </c>
      <c r="AY49" s="110">
        <v>0</v>
      </c>
      <c r="AZ49" s="111">
        <v>26.493576405927961</v>
      </c>
      <c r="BA49" s="111">
        <v>7.5248027661807217</v>
      </c>
      <c r="BB49" s="111">
        <v>159.90205878134034</v>
      </c>
      <c r="BC49" s="111">
        <v>0</v>
      </c>
      <c r="BD49" s="111">
        <v>0</v>
      </c>
      <c r="BE49" s="111">
        <v>193.92043795344904</v>
      </c>
    </row>
    <row r="50" spans="1:57" s="110" customFormat="1" x14ac:dyDescent="0.25">
      <c r="A50" s="110" t="s">
        <v>320</v>
      </c>
      <c r="B50" s="108" t="s">
        <v>166</v>
      </c>
      <c r="C50" s="109" t="s">
        <v>167</v>
      </c>
      <c r="E50" s="114">
        <v>544200132829647</v>
      </c>
      <c r="F50" s="110" t="s">
        <v>276</v>
      </c>
      <c r="G50" s="110">
        <v>4</v>
      </c>
      <c r="I50" s="110">
        <v>12</v>
      </c>
      <c r="J50" s="111">
        <v>7.3321002287534762</v>
      </c>
      <c r="K50" s="111">
        <v>87.985202745041718</v>
      </c>
      <c r="L50" s="110">
        <v>0</v>
      </c>
      <c r="M50" s="112">
        <v>7.3321002287534762</v>
      </c>
      <c r="N50" s="112">
        <v>0</v>
      </c>
      <c r="O50" s="112">
        <v>0</v>
      </c>
      <c r="P50" s="112">
        <v>7.3321002287534762</v>
      </c>
      <c r="Q50" s="112">
        <v>0</v>
      </c>
      <c r="R50" s="112">
        <v>0</v>
      </c>
      <c r="S50" s="112">
        <v>4.8905108525785685</v>
      </c>
      <c r="T50" s="112">
        <v>0</v>
      </c>
      <c r="U50" s="112">
        <v>26.395560823512515</v>
      </c>
      <c r="V50" s="112">
        <v>1.17</v>
      </c>
      <c r="W50" s="112">
        <v>14.04</v>
      </c>
      <c r="X50" s="112">
        <v>0</v>
      </c>
      <c r="Y50" s="112">
        <v>0</v>
      </c>
      <c r="Z50" s="112">
        <v>14.04</v>
      </c>
      <c r="AA50" s="112">
        <v>45.963103308998356</v>
      </c>
      <c r="AB50" s="112">
        <v>133.94830605404007</v>
      </c>
      <c r="AC50" s="112">
        <v>127.25089075133808</v>
      </c>
      <c r="AD50" s="112">
        <v>6.6974153027020042</v>
      </c>
      <c r="AE50" s="112">
        <v>9.7846229236846529</v>
      </c>
      <c r="AF50" s="112">
        <v>16.482038226386656</v>
      </c>
      <c r="AG50" s="112">
        <v>0</v>
      </c>
      <c r="AH50" s="112">
        <v>157.90182865116591</v>
      </c>
      <c r="AI50" s="112">
        <v>17.413279787025211</v>
      </c>
      <c r="AJ50" s="112">
        <v>2.6789661210808013</v>
      </c>
      <c r="AK50" s="112">
        <v>0.66974153027020034</v>
      </c>
      <c r="AL50" s="112">
        <v>20.761987438376213</v>
      </c>
      <c r="AM50" s="112">
        <v>195.1458543159288</v>
      </c>
      <c r="AN50" s="112">
        <v>0</v>
      </c>
      <c r="AO50" s="112">
        <v>25</v>
      </c>
      <c r="AP50" s="112">
        <v>70</v>
      </c>
      <c r="AQ50" s="112">
        <v>31.22333669054861</v>
      </c>
      <c r="AR50" s="112">
        <v>321.36919100647737</v>
      </c>
      <c r="AU50" s="110">
        <v>15.5</v>
      </c>
      <c r="AV50" s="110">
        <v>5</v>
      </c>
      <c r="AW50" s="110">
        <v>11</v>
      </c>
      <c r="AX50" s="110">
        <v>0</v>
      </c>
      <c r="AY50" s="110">
        <v>0</v>
      </c>
      <c r="AZ50" s="111">
        <v>18.467727451172816</v>
      </c>
      <c r="BA50" s="111">
        <v>7.3321002287534771</v>
      </c>
      <c r="BB50" s="111">
        <v>20.163275629072061</v>
      </c>
      <c r="BC50" s="111">
        <v>0</v>
      </c>
      <c r="BD50" s="111">
        <v>0</v>
      </c>
      <c r="BE50" s="111">
        <v>45.963103308998356</v>
      </c>
    </row>
    <row r="51" spans="1:57" s="110" customFormat="1" x14ac:dyDescent="0.25">
      <c r="A51" s="110" t="s">
        <v>321</v>
      </c>
      <c r="B51" s="108" t="s">
        <v>168</v>
      </c>
      <c r="C51" s="109" t="s">
        <v>167</v>
      </c>
      <c r="E51" s="114">
        <v>544200137675573</v>
      </c>
      <c r="F51" s="110" t="s">
        <v>276</v>
      </c>
      <c r="G51" s="110">
        <v>4</v>
      </c>
      <c r="I51" s="110">
        <v>12</v>
      </c>
      <c r="J51" s="111">
        <v>7.3321002287534762</v>
      </c>
      <c r="K51" s="111">
        <v>87.985202745041718</v>
      </c>
      <c r="L51" s="110">
        <v>0</v>
      </c>
      <c r="M51" s="112">
        <v>7.3321002287534762</v>
      </c>
      <c r="N51" s="112">
        <v>0</v>
      </c>
      <c r="O51" s="112">
        <v>0</v>
      </c>
      <c r="P51" s="112">
        <v>7.3321002287534762</v>
      </c>
      <c r="Q51" s="112">
        <v>0</v>
      </c>
      <c r="R51" s="112">
        <v>0</v>
      </c>
      <c r="S51" s="112">
        <v>4.8905108525785685</v>
      </c>
      <c r="T51" s="112">
        <v>0</v>
      </c>
      <c r="U51" s="112">
        <v>26.395560823512515</v>
      </c>
      <c r="V51" s="112">
        <v>1.17</v>
      </c>
      <c r="W51" s="112">
        <v>14.04</v>
      </c>
      <c r="X51" s="112">
        <v>0</v>
      </c>
      <c r="Y51" s="112">
        <v>0</v>
      </c>
      <c r="Z51" s="112">
        <v>14.04</v>
      </c>
      <c r="AA51" s="112">
        <v>49.308374038367127</v>
      </c>
      <c r="AB51" s="112">
        <v>137.29357678340884</v>
      </c>
      <c r="AC51" s="112">
        <v>130.4288979442384</v>
      </c>
      <c r="AD51" s="112">
        <v>6.8646788391704421</v>
      </c>
      <c r="AE51" s="112">
        <v>10.223187916304898</v>
      </c>
      <c r="AF51" s="112">
        <v>17.087866755475339</v>
      </c>
      <c r="AG51" s="112">
        <v>0</v>
      </c>
      <c r="AH51" s="112">
        <v>160.641270851446</v>
      </c>
      <c r="AI51" s="112">
        <v>17.848164981843148</v>
      </c>
      <c r="AJ51" s="112">
        <v>2.7458715356681767</v>
      </c>
      <c r="AK51" s="112">
        <v>0.68646788391704416</v>
      </c>
      <c r="AL51" s="112">
        <v>21.280504401428367</v>
      </c>
      <c r="AM51" s="112">
        <v>199.00964200834972</v>
      </c>
      <c r="AN51" s="112">
        <v>0</v>
      </c>
      <c r="AO51" s="112">
        <v>25</v>
      </c>
      <c r="AP51" s="112">
        <v>70</v>
      </c>
      <c r="AQ51" s="112">
        <v>31.841542721335955</v>
      </c>
      <c r="AR51" s="112">
        <v>325.85118472968566</v>
      </c>
      <c r="AU51" s="110">
        <v>0</v>
      </c>
      <c r="AV51" s="110">
        <v>0</v>
      </c>
      <c r="AW51" s="110">
        <v>0</v>
      </c>
      <c r="AX51" s="110">
        <v>8</v>
      </c>
      <c r="AY51" s="110">
        <v>36</v>
      </c>
      <c r="AZ51" s="111">
        <v>0</v>
      </c>
      <c r="BA51" s="111">
        <v>0</v>
      </c>
      <c r="BB51" s="111">
        <v>0</v>
      </c>
      <c r="BC51" s="111">
        <v>8.0653102516288246</v>
      </c>
      <c r="BD51" s="111">
        <v>41.243063786738304</v>
      </c>
      <c r="BE51" s="111">
        <v>49.308374038367127</v>
      </c>
    </row>
    <row r="52" spans="1:57" s="110" customFormat="1" x14ac:dyDescent="0.25">
      <c r="A52" s="110" t="s">
        <v>322</v>
      </c>
      <c r="B52" s="108" t="s">
        <v>169</v>
      </c>
      <c r="C52" s="109" t="s">
        <v>170</v>
      </c>
      <c r="E52" s="114">
        <v>844200062812366</v>
      </c>
      <c r="F52" s="110" t="s">
        <v>276</v>
      </c>
      <c r="G52" s="110">
        <v>0</v>
      </c>
      <c r="I52" s="110">
        <v>13</v>
      </c>
      <c r="J52" s="111">
        <v>7.3321002287534762</v>
      </c>
      <c r="K52" s="111">
        <v>95.317302973795194</v>
      </c>
      <c r="L52" s="110">
        <v>0</v>
      </c>
      <c r="M52" s="112">
        <v>7.3321002287534762</v>
      </c>
      <c r="N52" s="112">
        <v>0</v>
      </c>
      <c r="O52" s="112">
        <v>0</v>
      </c>
      <c r="P52" s="112">
        <v>7.3321002287534762</v>
      </c>
      <c r="Q52" s="112">
        <v>0</v>
      </c>
      <c r="R52" s="112">
        <v>0</v>
      </c>
      <c r="S52" s="112">
        <v>4.8905108525785685</v>
      </c>
      <c r="T52" s="112">
        <v>0</v>
      </c>
      <c r="U52" s="112">
        <v>28.595190892138557</v>
      </c>
      <c r="V52" s="112">
        <v>1.17</v>
      </c>
      <c r="W52" s="112">
        <v>15.209999999999999</v>
      </c>
      <c r="X52" s="112">
        <v>0</v>
      </c>
      <c r="Y52" s="112">
        <v>0</v>
      </c>
      <c r="Z52" s="112">
        <v>15.209999999999999</v>
      </c>
      <c r="AA52" s="112">
        <v>49.308374038367127</v>
      </c>
      <c r="AB52" s="112">
        <v>144.62567701216233</v>
      </c>
      <c r="AC52" s="112">
        <v>137.39439316155421</v>
      </c>
      <c r="AD52" s="112">
        <v>7.2312838506081167</v>
      </c>
      <c r="AE52" s="112">
        <v>12.156985061189651</v>
      </c>
      <c r="AF52" s="112">
        <v>19.388268911797766</v>
      </c>
      <c r="AG52" s="112">
        <v>0</v>
      </c>
      <c r="AH52" s="112">
        <v>169.04259899250314</v>
      </c>
      <c r="AI52" s="112">
        <v>18.801338011581102</v>
      </c>
      <c r="AJ52" s="112">
        <v>2.8925135402432467</v>
      </c>
      <c r="AK52" s="112">
        <v>0.72312838506081167</v>
      </c>
      <c r="AL52" s="112">
        <v>22.416979936885159</v>
      </c>
      <c r="AM52" s="112">
        <v>210.84784784118605</v>
      </c>
      <c r="AN52" s="112">
        <v>0</v>
      </c>
      <c r="AO52" s="112">
        <v>25</v>
      </c>
      <c r="AP52" s="112">
        <v>70</v>
      </c>
      <c r="AQ52" s="112">
        <v>33.73565565458977</v>
      </c>
      <c r="AR52" s="112">
        <v>339.58350349577586</v>
      </c>
      <c r="AU52" s="110">
        <v>0</v>
      </c>
      <c r="AV52" s="110">
        <v>0</v>
      </c>
      <c r="AW52" s="110">
        <v>0</v>
      </c>
      <c r="AX52" s="110">
        <v>8</v>
      </c>
      <c r="AY52" s="110">
        <v>36</v>
      </c>
      <c r="AZ52" s="111">
        <v>0</v>
      </c>
      <c r="BA52" s="111">
        <v>0</v>
      </c>
      <c r="BB52" s="111">
        <v>0</v>
      </c>
      <c r="BC52" s="111">
        <v>8.0653102516288246</v>
      </c>
      <c r="BD52" s="111">
        <v>41.243063786738304</v>
      </c>
      <c r="BE52" s="111">
        <v>49.308374038367127</v>
      </c>
    </row>
    <row r="53" spans="1:57" s="110" customFormat="1" x14ac:dyDescent="0.25">
      <c r="A53" s="110" t="s">
        <v>323</v>
      </c>
      <c r="B53" s="108" t="s">
        <v>171</v>
      </c>
      <c r="C53" s="109" t="s">
        <v>170</v>
      </c>
      <c r="E53" s="114">
        <v>844200062656875</v>
      </c>
      <c r="F53" s="110" t="s">
        <v>276</v>
      </c>
      <c r="G53" s="110">
        <v>0</v>
      </c>
      <c r="I53" s="110">
        <v>11</v>
      </c>
      <c r="J53" s="111">
        <v>7.3321002287534762</v>
      </c>
      <c r="K53" s="111">
        <v>80.653102516288243</v>
      </c>
      <c r="L53" s="110">
        <v>0</v>
      </c>
      <c r="M53" s="112">
        <v>7.3321002287534762</v>
      </c>
      <c r="N53" s="112">
        <v>0</v>
      </c>
      <c r="O53" s="112">
        <v>0</v>
      </c>
      <c r="P53" s="112">
        <v>7.3321002287534762</v>
      </c>
      <c r="Q53" s="112">
        <v>0</v>
      </c>
      <c r="R53" s="112">
        <v>0</v>
      </c>
      <c r="S53" s="112">
        <v>4.8905108525785685</v>
      </c>
      <c r="T53" s="112">
        <v>0</v>
      </c>
      <c r="U53" s="112">
        <v>24.195930754886472</v>
      </c>
      <c r="V53" s="112">
        <v>1.17</v>
      </c>
      <c r="W53" s="112">
        <v>12.87</v>
      </c>
      <c r="X53" s="112">
        <v>1</v>
      </c>
      <c r="Y53" s="112">
        <v>1.17</v>
      </c>
      <c r="Z53" s="112">
        <v>14.04</v>
      </c>
      <c r="AA53" s="112">
        <v>18.284424945453981</v>
      </c>
      <c r="AB53" s="112">
        <v>98.937527461742221</v>
      </c>
      <c r="AC53" s="112">
        <v>93.990651088655113</v>
      </c>
      <c r="AD53" s="112">
        <v>4.946876373087111</v>
      </c>
      <c r="AE53" s="112">
        <v>5.6464237502547876</v>
      </c>
      <c r="AF53" s="112">
        <v>10.593300123341898</v>
      </c>
      <c r="AG53" s="112">
        <v>0</v>
      </c>
      <c r="AH53" s="112">
        <v>126.5801580932868</v>
      </c>
      <c r="AI53" s="112">
        <v>12.861878570026489</v>
      </c>
      <c r="AJ53" s="112">
        <v>1.9787505492348445</v>
      </c>
      <c r="AK53" s="112">
        <v>0.49468763730871113</v>
      </c>
      <c r="AL53" s="112">
        <v>15.335316756570045</v>
      </c>
      <c r="AM53" s="112">
        <v>152.50877497319874</v>
      </c>
      <c r="AN53" s="112">
        <v>0</v>
      </c>
      <c r="AO53" s="112">
        <v>25</v>
      </c>
      <c r="AP53" s="112">
        <v>70</v>
      </c>
      <c r="AQ53" s="112">
        <v>24.401403995711799</v>
      </c>
      <c r="AR53" s="112">
        <v>271.91017896891054</v>
      </c>
      <c r="AU53" s="110">
        <v>13.5</v>
      </c>
      <c r="AV53" s="110">
        <v>1.5</v>
      </c>
      <c r="AW53" s="110">
        <v>0</v>
      </c>
      <c r="AX53" s="110">
        <v>0</v>
      </c>
      <c r="AY53" s="110">
        <v>0</v>
      </c>
      <c r="AZ53" s="111">
        <v>16.084794876827939</v>
      </c>
      <c r="BA53" s="111">
        <v>2.199630068626043</v>
      </c>
      <c r="BB53" s="111">
        <v>0</v>
      </c>
      <c r="BC53" s="111">
        <v>0</v>
      </c>
      <c r="BD53" s="111">
        <v>0</v>
      </c>
      <c r="BE53" s="111">
        <v>18.284424945453981</v>
      </c>
    </row>
    <row r="54" spans="1:57" s="110" customFormat="1" x14ac:dyDescent="0.25">
      <c r="A54" s="110" t="s">
        <v>324</v>
      </c>
      <c r="B54" s="108" t="s">
        <v>172</v>
      </c>
      <c r="C54" s="109" t="s">
        <v>170</v>
      </c>
      <c r="E54" s="114">
        <v>544100233711689</v>
      </c>
      <c r="F54" s="110" t="s">
        <v>276</v>
      </c>
      <c r="G54" s="110">
        <v>0</v>
      </c>
      <c r="I54" s="110">
        <v>11</v>
      </c>
      <c r="J54" s="111">
        <v>7.3321002287534762</v>
      </c>
      <c r="K54" s="111">
        <v>80.653102516288243</v>
      </c>
      <c r="L54" s="110">
        <v>0</v>
      </c>
      <c r="M54" s="112">
        <v>7.3321002287534762</v>
      </c>
      <c r="N54" s="112">
        <v>0</v>
      </c>
      <c r="O54" s="112">
        <v>0</v>
      </c>
      <c r="P54" s="112">
        <v>7.3321002287534762</v>
      </c>
      <c r="Q54" s="112">
        <v>0</v>
      </c>
      <c r="R54" s="112">
        <v>0</v>
      </c>
      <c r="S54" s="112">
        <v>4.8905108525785685</v>
      </c>
      <c r="T54" s="112">
        <v>0</v>
      </c>
      <c r="U54" s="112">
        <v>24.195930754886472</v>
      </c>
      <c r="V54" s="112">
        <v>1.17</v>
      </c>
      <c r="W54" s="112">
        <v>12.87</v>
      </c>
      <c r="X54" s="112">
        <v>1</v>
      </c>
      <c r="Y54" s="112">
        <v>1.17</v>
      </c>
      <c r="Z54" s="112">
        <v>14.04</v>
      </c>
      <c r="AA54" s="112">
        <v>65.115007362766747</v>
      </c>
      <c r="AB54" s="112">
        <v>145.76810987905498</v>
      </c>
      <c r="AC54" s="112">
        <v>138.47970438510222</v>
      </c>
      <c r="AD54" s="112">
        <v>7.2884054939527489</v>
      </c>
      <c r="AE54" s="112">
        <v>12.319781744721855</v>
      </c>
      <c r="AF54" s="112">
        <v>19.608187238674603</v>
      </c>
      <c r="AG54" s="112">
        <v>0</v>
      </c>
      <c r="AH54" s="112">
        <v>164.39585339526684</v>
      </c>
      <c r="AI54" s="112">
        <v>18.949854284277148</v>
      </c>
      <c r="AJ54" s="112">
        <v>2.9153621975810995</v>
      </c>
      <c r="AK54" s="112">
        <v>0.72884054939527487</v>
      </c>
      <c r="AL54" s="112">
        <v>22.594057031253524</v>
      </c>
      <c r="AM54" s="112">
        <v>206.59809766519496</v>
      </c>
      <c r="AN54" s="112">
        <v>0</v>
      </c>
      <c r="AO54" s="112">
        <v>25</v>
      </c>
      <c r="AP54" s="112">
        <v>70</v>
      </c>
      <c r="AQ54" s="112">
        <v>33.055695626431195</v>
      </c>
      <c r="AR54" s="112">
        <v>334.65379329162613</v>
      </c>
      <c r="AU54" s="110">
        <v>15.17</v>
      </c>
      <c r="AV54" s="110">
        <v>15.5</v>
      </c>
      <c r="AW54" s="110">
        <v>11.5</v>
      </c>
      <c r="AX54" s="110">
        <v>2.83</v>
      </c>
      <c r="AY54" s="110">
        <v>0.33</v>
      </c>
      <c r="AZ54" s="111">
        <v>18.074543576405915</v>
      </c>
      <c r="BA54" s="111">
        <v>22.729510709135777</v>
      </c>
      <c r="BB54" s="111">
        <v>21.079788157666243</v>
      </c>
      <c r="BC54" s="111">
        <v>2.8531035015136967</v>
      </c>
      <c r="BD54" s="111">
        <v>0.37806141804510113</v>
      </c>
      <c r="BE54" s="111">
        <v>65.115007362766747</v>
      </c>
    </row>
    <row r="55" spans="1:57" s="110" customFormat="1" x14ac:dyDescent="0.25">
      <c r="A55" s="110" t="s">
        <v>325</v>
      </c>
      <c r="B55" s="108" t="s">
        <v>173</v>
      </c>
      <c r="C55" s="109" t="s">
        <v>170</v>
      </c>
      <c r="E55" s="114" t="s">
        <v>175</v>
      </c>
      <c r="F55" s="110" t="s">
        <v>277</v>
      </c>
      <c r="G55" s="110">
        <v>0</v>
      </c>
      <c r="I55" s="110">
        <v>13</v>
      </c>
      <c r="J55" s="111">
        <v>7.3321002287534762</v>
      </c>
      <c r="K55" s="111">
        <v>95.317302973795194</v>
      </c>
      <c r="L55" s="110">
        <v>0</v>
      </c>
      <c r="M55" s="112">
        <v>7.3321002287534762</v>
      </c>
      <c r="N55" s="112">
        <v>0</v>
      </c>
      <c r="O55" s="112">
        <v>0</v>
      </c>
      <c r="P55" s="112">
        <v>7.3321002287534762</v>
      </c>
      <c r="Q55" s="112">
        <v>0</v>
      </c>
      <c r="R55" s="112">
        <v>0</v>
      </c>
      <c r="S55" s="112">
        <v>4.8905108525785685</v>
      </c>
      <c r="T55" s="112">
        <v>0</v>
      </c>
      <c r="U55" s="112">
        <v>28.595190892138557</v>
      </c>
      <c r="V55" s="112">
        <v>1.17</v>
      </c>
      <c r="W55" s="112">
        <v>15.209999999999999</v>
      </c>
      <c r="X55" s="112">
        <v>0</v>
      </c>
      <c r="Y55" s="112">
        <v>0</v>
      </c>
      <c r="Z55" s="112">
        <v>15.209999999999999</v>
      </c>
      <c r="AA55" s="112">
        <v>67.088717093094317</v>
      </c>
      <c r="AB55" s="112">
        <v>162.40602006688951</v>
      </c>
      <c r="AC55" s="112">
        <v>154.28571906354503</v>
      </c>
      <c r="AD55" s="112">
        <v>8.1203010033444762</v>
      </c>
      <c r="AE55" s="112">
        <v>14.690683946488276</v>
      </c>
      <c r="AF55" s="112">
        <v>22.810984949832751</v>
      </c>
      <c r="AG55" s="112">
        <v>0</v>
      </c>
      <c r="AH55" s="112">
        <v>183.40022600919534</v>
      </c>
      <c r="AI55" s="112">
        <v>21.112782608695635</v>
      </c>
      <c r="AJ55" s="112">
        <v>3.2481204013377902</v>
      </c>
      <c r="AK55" s="112">
        <v>0.81203010033444756</v>
      </c>
      <c r="AL55" s="112">
        <v>25.172933110367872</v>
      </c>
      <c r="AM55" s="112">
        <v>231.38414406939594</v>
      </c>
      <c r="AN55" s="112">
        <v>0</v>
      </c>
      <c r="AO55" s="112">
        <v>25</v>
      </c>
      <c r="AP55" s="112">
        <v>70</v>
      </c>
      <c r="AQ55" s="112">
        <v>37.021463051103353</v>
      </c>
      <c r="AR55" s="112">
        <v>363.40560712049927</v>
      </c>
      <c r="AU55" s="110">
        <v>6</v>
      </c>
      <c r="AV55" s="110">
        <v>1</v>
      </c>
      <c r="AW55" s="110">
        <v>0</v>
      </c>
      <c r="AX55" s="110">
        <v>8</v>
      </c>
      <c r="AY55" s="110">
        <v>44</v>
      </c>
      <c r="AZ55" s="111">
        <v>7.1487977230346402</v>
      </c>
      <c r="BA55" s="111">
        <v>1.4664200457506953</v>
      </c>
      <c r="BB55" s="111">
        <v>0</v>
      </c>
      <c r="BC55" s="111">
        <v>8.0653102516288246</v>
      </c>
      <c r="BD55" s="111">
        <v>50.408189072680152</v>
      </c>
      <c r="BE55" s="111">
        <v>67.088717093094317</v>
      </c>
    </row>
    <row r="56" spans="1:57" s="110" customFormat="1" x14ac:dyDescent="0.25">
      <c r="A56" s="110" t="s">
        <v>326</v>
      </c>
      <c r="B56" s="108" t="s">
        <v>174</v>
      </c>
      <c r="C56" s="109" t="s">
        <v>170</v>
      </c>
      <c r="E56" s="114">
        <v>544100195730369</v>
      </c>
      <c r="F56" s="110" t="s">
        <v>276</v>
      </c>
      <c r="G56" s="110">
        <v>0</v>
      </c>
      <c r="I56" s="110">
        <v>13</v>
      </c>
      <c r="J56" s="111">
        <v>7.3321002287534762</v>
      </c>
      <c r="K56" s="111">
        <v>95.317302973795194</v>
      </c>
      <c r="L56" s="110">
        <v>0</v>
      </c>
      <c r="M56" s="112">
        <v>7.3321002287534762</v>
      </c>
      <c r="N56" s="112">
        <v>0</v>
      </c>
      <c r="O56" s="112">
        <v>0</v>
      </c>
      <c r="P56" s="112">
        <v>7.3321002287534762</v>
      </c>
      <c r="Q56" s="112">
        <v>0</v>
      </c>
      <c r="R56" s="112">
        <v>0</v>
      </c>
      <c r="S56" s="112">
        <v>4.8905108525785685</v>
      </c>
      <c r="T56" s="112">
        <v>0</v>
      </c>
      <c r="U56" s="112">
        <v>28.595190892138557</v>
      </c>
      <c r="V56" s="112">
        <v>1.17</v>
      </c>
      <c r="W56" s="112">
        <v>15.209999999999999</v>
      </c>
      <c r="X56" s="112">
        <v>0</v>
      </c>
      <c r="Y56" s="112">
        <v>0</v>
      </c>
      <c r="Z56" s="112">
        <v>15.209999999999999</v>
      </c>
      <c r="AA56" s="112">
        <v>49.308374038367127</v>
      </c>
      <c r="AB56" s="112">
        <v>144.62567701216233</v>
      </c>
      <c r="AC56" s="112">
        <v>137.39439316155421</v>
      </c>
      <c r="AD56" s="112">
        <v>7.2312838506081167</v>
      </c>
      <c r="AE56" s="112">
        <v>12.156985061189651</v>
      </c>
      <c r="AF56" s="112">
        <v>19.388268911797766</v>
      </c>
      <c r="AG56" s="112">
        <v>0</v>
      </c>
      <c r="AH56" s="112">
        <v>169.04259899250314</v>
      </c>
      <c r="AI56" s="112">
        <v>18.801338011581102</v>
      </c>
      <c r="AJ56" s="112">
        <v>2.8925135402432467</v>
      </c>
      <c r="AK56" s="112">
        <v>0.72312838506081167</v>
      </c>
      <c r="AL56" s="112">
        <v>22.416979936885159</v>
      </c>
      <c r="AM56" s="112">
        <v>210.84784784118605</v>
      </c>
      <c r="AN56" s="112">
        <v>0</v>
      </c>
      <c r="AO56" s="112">
        <v>25</v>
      </c>
      <c r="AP56" s="112">
        <v>70</v>
      </c>
      <c r="AQ56" s="112">
        <v>33.73565565458977</v>
      </c>
      <c r="AR56" s="112">
        <v>339.58350349577586</v>
      </c>
      <c r="AU56" s="110">
        <v>0</v>
      </c>
      <c r="AV56" s="110">
        <v>0</v>
      </c>
      <c r="AW56" s="110">
        <v>0</v>
      </c>
      <c r="AX56" s="110">
        <v>8</v>
      </c>
      <c r="AY56" s="110">
        <v>36</v>
      </c>
      <c r="AZ56" s="111">
        <v>0</v>
      </c>
      <c r="BA56" s="111">
        <v>0</v>
      </c>
      <c r="BB56" s="111">
        <v>0</v>
      </c>
      <c r="BC56" s="111">
        <v>8.0653102516288246</v>
      </c>
      <c r="BD56" s="111">
        <v>41.243063786738304</v>
      </c>
      <c r="BE56" s="111">
        <v>49.308374038367127</v>
      </c>
    </row>
    <row r="57" spans="1:57" s="110" customFormat="1" x14ac:dyDescent="0.25">
      <c r="A57" s="110" t="s">
        <v>327</v>
      </c>
      <c r="B57" s="108" t="s">
        <v>176</v>
      </c>
      <c r="C57" s="109" t="s">
        <v>177</v>
      </c>
      <c r="E57" s="114">
        <v>544200039117171</v>
      </c>
      <c r="F57" s="110" t="s">
        <v>276</v>
      </c>
      <c r="G57" s="110">
        <v>4</v>
      </c>
      <c r="I57" s="110">
        <v>11</v>
      </c>
      <c r="J57" s="111">
        <v>12.541337943634536</v>
      </c>
      <c r="K57" s="111">
        <v>137.95471737997991</v>
      </c>
      <c r="L57" s="110">
        <v>0</v>
      </c>
      <c r="M57" s="112">
        <v>12.541337943634536</v>
      </c>
      <c r="N57" s="112">
        <v>0</v>
      </c>
      <c r="O57" s="112">
        <v>0</v>
      </c>
      <c r="P57" s="112">
        <v>12.541337943634536</v>
      </c>
      <c r="Q57" s="112">
        <v>0</v>
      </c>
      <c r="R57" s="112">
        <v>0</v>
      </c>
      <c r="S57" s="112">
        <v>8.3650724084042363</v>
      </c>
      <c r="T57" s="112">
        <v>0</v>
      </c>
      <c r="U57" s="112">
        <v>41.38641521399397</v>
      </c>
      <c r="V57" s="112">
        <v>1.17</v>
      </c>
      <c r="W57" s="112">
        <v>12.87</v>
      </c>
      <c r="X57" s="112">
        <v>3</v>
      </c>
      <c r="Y57" s="112">
        <v>3.51</v>
      </c>
      <c r="Z57" s="112">
        <v>16.38</v>
      </c>
      <c r="AA57" s="112">
        <v>117.1831264108352</v>
      </c>
      <c r="AB57" s="112">
        <v>255.13784379081511</v>
      </c>
      <c r="AC57" s="112">
        <v>242.38095160127435</v>
      </c>
      <c r="AD57" s="112">
        <v>12.756892189540757</v>
      </c>
      <c r="AE57" s="112">
        <v>25.672571320975859</v>
      </c>
      <c r="AF57" s="112">
        <v>38.429463510516612</v>
      </c>
      <c r="AG57" s="112">
        <v>0</v>
      </c>
      <c r="AH57" s="112">
        <v>274.47479549429249</v>
      </c>
      <c r="AI57" s="112">
        <v>33.167919692805967</v>
      </c>
      <c r="AJ57" s="112">
        <v>5.1027568758163024</v>
      </c>
      <c r="AK57" s="112">
        <v>1.2756892189540756</v>
      </c>
      <c r="AL57" s="112">
        <v>39.546365787576349</v>
      </c>
      <c r="AM57" s="112">
        <v>352.45062479238544</v>
      </c>
      <c r="AN57" s="112">
        <v>0</v>
      </c>
      <c r="AO57" s="112">
        <v>25</v>
      </c>
      <c r="AP57" s="112">
        <v>70</v>
      </c>
      <c r="AQ57" s="112">
        <v>56.392099966781672</v>
      </c>
      <c r="AR57" s="112">
        <v>503.84272475916714</v>
      </c>
      <c r="AU57" s="110">
        <v>13.5</v>
      </c>
      <c r="AV57" s="110">
        <v>2</v>
      </c>
      <c r="AW57" s="110">
        <v>27</v>
      </c>
      <c r="AX57" s="110">
        <v>0</v>
      </c>
      <c r="AY57" s="110">
        <v>0</v>
      </c>
      <c r="AZ57" s="111">
        <v>27.512560113848263</v>
      </c>
      <c r="BA57" s="111">
        <v>5.0165351774538145</v>
      </c>
      <c r="BB57" s="111">
        <v>84.654031119533116</v>
      </c>
      <c r="BC57" s="111">
        <v>0</v>
      </c>
      <c r="BD57" s="111">
        <v>0</v>
      </c>
      <c r="BE57" s="111">
        <v>117.1831264108352</v>
      </c>
    </row>
    <row r="58" spans="1:57" s="110" customFormat="1" x14ac:dyDescent="0.25">
      <c r="A58" s="110" t="s">
        <v>328</v>
      </c>
      <c r="B58" s="108" t="s">
        <v>178</v>
      </c>
      <c r="C58" s="109" t="s">
        <v>179</v>
      </c>
      <c r="E58" s="114" t="s">
        <v>180</v>
      </c>
      <c r="F58" s="110" t="s">
        <v>277</v>
      </c>
      <c r="G58" s="110">
        <v>0</v>
      </c>
      <c r="I58" s="110">
        <v>11</v>
      </c>
      <c r="J58" s="111">
        <v>12.541337943634536</v>
      </c>
      <c r="K58" s="111">
        <v>137.95471737997991</v>
      </c>
      <c r="L58" s="110">
        <v>0</v>
      </c>
      <c r="M58" s="112">
        <v>12.541337943634536</v>
      </c>
      <c r="N58" s="112">
        <v>0</v>
      </c>
      <c r="O58" s="112">
        <v>0</v>
      </c>
      <c r="P58" s="112">
        <v>12.541337943634536</v>
      </c>
      <c r="Q58" s="112">
        <v>0</v>
      </c>
      <c r="R58" s="112">
        <v>0</v>
      </c>
      <c r="S58" s="112">
        <v>8.3650724084042363</v>
      </c>
      <c r="T58" s="112">
        <v>0</v>
      </c>
      <c r="U58" s="112">
        <v>41.38641521399397</v>
      </c>
      <c r="V58" s="112">
        <v>1.17</v>
      </c>
      <c r="W58" s="112">
        <v>12.87</v>
      </c>
      <c r="X58" s="112">
        <v>0</v>
      </c>
      <c r="Y58" s="112">
        <v>0</v>
      </c>
      <c r="Z58" s="112">
        <v>12.87</v>
      </c>
      <c r="AA58" s="112">
        <v>36.48745507976173</v>
      </c>
      <c r="AB58" s="112">
        <v>174.44217245974164</v>
      </c>
      <c r="AC58" s="112">
        <v>165.72006383675455</v>
      </c>
      <c r="AD58" s="112">
        <v>8.7221086229870828</v>
      </c>
      <c r="AE58" s="112">
        <v>16.405835662469702</v>
      </c>
      <c r="AF58" s="112">
        <v>25.127944285456785</v>
      </c>
      <c r="AG58" s="112">
        <v>0</v>
      </c>
      <c r="AH58" s="112">
        <v>203.57064338827885</v>
      </c>
      <c r="AI58" s="112">
        <v>22.677482419766413</v>
      </c>
      <c r="AJ58" s="112">
        <v>3.488843449194833</v>
      </c>
      <c r="AK58" s="112">
        <v>0.87221086229870826</v>
      </c>
      <c r="AL58" s="112">
        <v>27.038536731259953</v>
      </c>
      <c r="AM58" s="112">
        <v>255.7371244049956</v>
      </c>
      <c r="AN58" s="112">
        <v>0</v>
      </c>
      <c r="AO58" s="112">
        <v>25</v>
      </c>
      <c r="AP58" s="112">
        <v>70</v>
      </c>
      <c r="AQ58" s="112">
        <v>40.917939904799297</v>
      </c>
      <c r="AR58" s="112">
        <v>391.65506430979491</v>
      </c>
      <c r="AU58" s="110">
        <v>7.5</v>
      </c>
      <c r="AV58" s="110">
        <v>6</v>
      </c>
      <c r="AW58" s="110">
        <v>0</v>
      </c>
      <c r="AX58" s="110">
        <v>3</v>
      </c>
      <c r="AY58" s="110">
        <v>0.5</v>
      </c>
      <c r="AZ58" s="111">
        <v>15.28475561880459</v>
      </c>
      <c r="BA58" s="111">
        <v>15.049605532361443</v>
      </c>
      <c r="BB58" s="111">
        <v>0</v>
      </c>
      <c r="BC58" s="111">
        <v>5.1733019017492463</v>
      </c>
      <c r="BD58" s="111">
        <v>0.97979202684644817</v>
      </c>
      <c r="BE58" s="111">
        <v>36.48745507976173</v>
      </c>
    </row>
    <row r="59" spans="1:57" s="110" customFormat="1" x14ac:dyDescent="0.25">
      <c r="A59" s="110" t="s">
        <v>329</v>
      </c>
      <c r="B59" s="108" t="s">
        <v>181</v>
      </c>
      <c r="C59" s="109" t="s">
        <v>182</v>
      </c>
      <c r="E59" s="114" t="s">
        <v>183</v>
      </c>
      <c r="F59" s="110" t="s">
        <v>276</v>
      </c>
      <c r="G59" s="110">
        <v>4</v>
      </c>
      <c r="I59" s="110">
        <v>11</v>
      </c>
      <c r="J59" s="111">
        <v>19.486988230142625</v>
      </c>
      <c r="K59" s="111">
        <v>214.35687053156889</v>
      </c>
      <c r="L59" s="110">
        <v>0</v>
      </c>
      <c r="M59" s="112">
        <v>19.486988230142625</v>
      </c>
      <c r="N59" s="112">
        <v>0</v>
      </c>
      <c r="O59" s="112">
        <v>0</v>
      </c>
      <c r="P59" s="112">
        <v>19.486988230142625</v>
      </c>
      <c r="Q59" s="112">
        <v>0</v>
      </c>
      <c r="R59" s="112">
        <v>0</v>
      </c>
      <c r="S59" s="112">
        <v>12.997821149505132</v>
      </c>
      <c r="T59" s="112">
        <v>0</v>
      </c>
      <c r="U59" s="112">
        <v>64.307061159470663</v>
      </c>
      <c r="V59" s="112">
        <v>1.17</v>
      </c>
      <c r="W59" s="112">
        <v>12.87</v>
      </c>
      <c r="X59" s="112">
        <v>0</v>
      </c>
      <c r="Y59" s="112">
        <v>0</v>
      </c>
      <c r="Z59" s="112">
        <v>12.87</v>
      </c>
      <c r="AA59" s="112">
        <v>42.749580429875387</v>
      </c>
      <c r="AB59" s="112">
        <v>257.1064509614443</v>
      </c>
      <c r="AC59" s="112">
        <v>244.25112841337207</v>
      </c>
      <c r="AD59" s="112">
        <v>12.855322548072216</v>
      </c>
      <c r="AE59" s="112">
        <v>25.930655721045344</v>
      </c>
      <c r="AF59" s="112">
        <v>38.785978269117564</v>
      </c>
      <c r="AG59" s="112">
        <v>0</v>
      </c>
      <c r="AH59" s="112">
        <v>295.49753385179741</v>
      </c>
      <c r="AI59" s="112">
        <v>33.423838624987759</v>
      </c>
      <c r="AJ59" s="112">
        <v>5.1421290192288858</v>
      </c>
      <c r="AK59" s="112">
        <v>1.2855322548072214</v>
      </c>
      <c r="AL59" s="112">
        <v>39.851499899023864</v>
      </c>
      <c r="AM59" s="112">
        <v>374.13501201993881</v>
      </c>
      <c r="AN59" s="112">
        <v>0</v>
      </c>
      <c r="AO59" s="112">
        <v>25</v>
      </c>
      <c r="AP59" s="112">
        <v>70</v>
      </c>
      <c r="AQ59" s="112">
        <v>59.861601923190214</v>
      </c>
      <c r="AR59" s="112">
        <v>528.99661394312898</v>
      </c>
      <c r="AU59" s="110">
        <v>13.5</v>
      </c>
      <c r="AV59" s="110">
        <v>0</v>
      </c>
      <c r="AW59" s="110">
        <v>0</v>
      </c>
      <c r="AX59" s="110">
        <v>0</v>
      </c>
      <c r="AY59" s="110">
        <v>0</v>
      </c>
      <c r="AZ59" s="111">
        <v>42.749580429875387</v>
      </c>
      <c r="BA59" s="111">
        <v>0</v>
      </c>
      <c r="BB59" s="111">
        <v>0</v>
      </c>
      <c r="BC59" s="111">
        <v>0</v>
      </c>
      <c r="BD59" s="111">
        <v>0</v>
      </c>
      <c r="BE59" s="111">
        <v>42.749580429875387</v>
      </c>
    </row>
    <row r="60" spans="1:57" s="110" customFormat="1" x14ac:dyDescent="0.25">
      <c r="A60" s="110" t="s">
        <v>331</v>
      </c>
      <c r="B60" s="108" t="s">
        <v>184</v>
      </c>
      <c r="C60" s="109" t="s">
        <v>185</v>
      </c>
      <c r="E60" s="114" t="s">
        <v>187</v>
      </c>
      <c r="F60" s="110" t="s">
        <v>276</v>
      </c>
      <c r="G60" s="110">
        <v>4</v>
      </c>
      <c r="I60" s="110">
        <v>11</v>
      </c>
      <c r="J60" s="111">
        <v>9.0685128003804998</v>
      </c>
      <c r="K60" s="111">
        <v>99.753640804185494</v>
      </c>
      <c r="L60" s="110">
        <v>0</v>
      </c>
      <c r="M60" s="112">
        <v>9.0685128003804998</v>
      </c>
      <c r="N60" s="112">
        <v>0</v>
      </c>
      <c r="O60" s="112">
        <v>0</v>
      </c>
      <c r="P60" s="112">
        <v>9.0685128003804998</v>
      </c>
      <c r="Q60" s="112">
        <v>0</v>
      </c>
      <c r="R60" s="112">
        <v>0</v>
      </c>
      <c r="S60" s="112">
        <v>6.0486980378537938</v>
      </c>
      <c r="T60" s="112">
        <v>0</v>
      </c>
      <c r="U60" s="112">
        <v>29.926092241255645</v>
      </c>
      <c r="V60" s="112">
        <v>1.17</v>
      </c>
      <c r="W60" s="112">
        <v>12.87</v>
      </c>
      <c r="X60" s="112">
        <v>1</v>
      </c>
      <c r="Y60" s="112">
        <v>1.17</v>
      </c>
      <c r="Z60" s="112">
        <v>14.04</v>
      </c>
      <c r="AA60" s="112">
        <v>13.60276920057075</v>
      </c>
      <c r="AB60" s="112">
        <v>113.35641000475624</v>
      </c>
      <c r="AC60" s="112">
        <v>107.68858950451843</v>
      </c>
      <c r="AD60" s="112">
        <v>5.6678205002378128</v>
      </c>
      <c r="AE60" s="112">
        <v>7.0850253516235417</v>
      </c>
      <c r="AF60" s="112">
        <v>12.752845851861355</v>
      </c>
      <c r="AG60" s="112">
        <v>0</v>
      </c>
      <c r="AH60" s="112">
        <v>144.56965639415051</v>
      </c>
      <c r="AI60" s="112">
        <v>14.736333300618313</v>
      </c>
      <c r="AJ60" s="112">
        <v>2.2671282000951249</v>
      </c>
      <c r="AK60" s="112">
        <v>0.56678205002378124</v>
      </c>
      <c r="AL60" s="112">
        <v>17.570243550737221</v>
      </c>
      <c r="AM60" s="112">
        <v>174.8927457967491</v>
      </c>
      <c r="AN60" s="112">
        <v>0</v>
      </c>
      <c r="AO60" s="112">
        <v>25</v>
      </c>
      <c r="AP60" s="112">
        <v>70</v>
      </c>
      <c r="AQ60" s="112">
        <v>27.982839327479855</v>
      </c>
      <c r="AR60" s="112">
        <v>297.87558512422891</v>
      </c>
      <c r="AU60" s="110">
        <v>0</v>
      </c>
      <c r="AV60" s="110">
        <v>0</v>
      </c>
      <c r="AW60" s="110">
        <v>6</v>
      </c>
      <c r="AX60" s="110">
        <v>0</v>
      </c>
      <c r="AY60" s="110">
        <v>0</v>
      </c>
      <c r="AZ60" s="111">
        <v>0</v>
      </c>
      <c r="BA60" s="111">
        <v>0</v>
      </c>
      <c r="BB60" s="111">
        <v>13.60276920057075</v>
      </c>
      <c r="BC60" s="111">
        <v>0</v>
      </c>
      <c r="BD60" s="111">
        <v>0</v>
      </c>
      <c r="BE60" s="111">
        <v>13.60276920057075</v>
      </c>
    </row>
    <row r="61" spans="1:57" s="110" customFormat="1" x14ac:dyDescent="0.25">
      <c r="A61" s="110" t="s">
        <v>330</v>
      </c>
      <c r="B61" s="108" t="s">
        <v>186</v>
      </c>
      <c r="C61" s="109" t="s">
        <v>185</v>
      </c>
      <c r="E61" s="114">
        <v>544100123060297</v>
      </c>
      <c r="F61" s="110" t="s">
        <v>276</v>
      </c>
      <c r="G61" s="110">
        <v>4</v>
      </c>
      <c r="I61" s="110">
        <v>11</v>
      </c>
      <c r="J61" s="111">
        <v>9.0685128003804998</v>
      </c>
      <c r="K61" s="111">
        <v>99.753640804185494</v>
      </c>
      <c r="L61" s="110">
        <v>0</v>
      </c>
      <c r="M61" s="112">
        <v>9.0685128003804998</v>
      </c>
      <c r="N61" s="112">
        <v>0</v>
      </c>
      <c r="O61" s="112">
        <v>0</v>
      </c>
      <c r="P61" s="112">
        <v>9.0685128003804998</v>
      </c>
      <c r="Q61" s="112">
        <v>0</v>
      </c>
      <c r="R61" s="112">
        <v>0</v>
      </c>
      <c r="S61" s="112">
        <v>6.0486980378537938</v>
      </c>
      <c r="T61" s="112">
        <v>0</v>
      </c>
      <c r="U61" s="112">
        <v>29.926092241255645</v>
      </c>
      <c r="V61" s="112">
        <v>1.17</v>
      </c>
      <c r="W61" s="112">
        <v>12.87</v>
      </c>
      <c r="X61" s="112">
        <v>3</v>
      </c>
      <c r="Y61" s="112">
        <v>3.51</v>
      </c>
      <c r="Z61" s="112">
        <v>16.38</v>
      </c>
      <c r="AA61" s="112">
        <v>83.515335071004159</v>
      </c>
      <c r="AB61" s="112">
        <v>183.26897587518965</v>
      </c>
      <c r="AC61" s="112">
        <v>174.10552708143018</v>
      </c>
      <c r="AD61" s="112">
        <v>9.1634487937594837</v>
      </c>
      <c r="AE61" s="112">
        <v>16.250562737237363</v>
      </c>
      <c r="AF61" s="112">
        <v>25.414011530996845</v>
      </c>
      <c r="AG61" s="112">
        <v>0</v>
      </c>
      <c r="AH61" s="112">
        <v>204.16105658544845</v>
      </c>
      <c r="AI61" s="112">
        <v>23.824966863774655</v>
      </c>
      <c r="AJ61" s="112">
        <v>3.6653795175037933</v>
      </c>
      <c r="AK61" s="112">
        <v>0.91634487937594833</v>
      </c>
      <c r="AL61" s="112">
        <v>28.406691260654398</v>
      </c>
      <c r="AM61" s="112">
        <v>257.98175937709971</v>
      </c>
      <c r="AN61" s="112">
        <v>0</v>
      </c>
      <c r="AO61" s="112">
        <v>25</v>
      </c>
      <c r="AP61" s="112">
        <v>70</v>
      </c>
      <c r="AQ61" s="112">
        <v>41.277081500335953</v>
      </c>
      <c r="AR61" s="112">
        <v>394.25884087743566</v>
      </c>
      <c r="AU61" s="110">
        <v>0</v>
      </c>
      <c r="AV61" s="110">
        <v>0</v>
      </c>
      <c r="AW61" s="110">
        <v>24</v>
      </c>
      <c r="AX61" s="110">
        <v>8</v>
      </c>
      <c r="AY61" s="110">
        <v>13.5</v>
      </c>
      <c r="AZ61" s="111">
        <v>0</v>
      </c>
      <c r="BA61" s="111">
        <v>0</v>
      </c>
      <c r="BB61" s="111">
        <v>54.411076802282999</v>
      </c>
      <c r="BC61" s="111">
        <v>9.9753640804185508</v>
      </c>
      <c r="BD61" s="111">
        <v>19.128894188302617</v>
      </c>
      <c r="BE61" s="111">
        <v>83.515335071004159</v>
      </c>
    </row>
    <row r="62" spans="1:57" s="110" customFormat="1" x14ac:dyDescent="0.25">
      <c r="A62" s="110" t="s">
        <v>332</v>
      </c>
      <c r="B62" s="108" t="s">
        <v>188</v>
      </c>
      <c r="C62" s="109" t="s">
        <v>189</v>
      </c>
      <c r="E62" s="114">
        <v>544200031886888</v>
      </c>
      <c r="F62" s="110" t="s">
        <v>276</v>
      </c>
      <c r="G62" s="110">
        <v>3</v>
      </c>
      <c r="I62" s="110">
        <v>11</v>
      </c>
      <c r="J62" s="111">
        <v>7.9502631042527021</v>
      </c>
      <c r="K62" s="111">
        <v>87.452894146779727</v>
      </c>
      <c r="L62" s="110">
        <v>0</v>
      </c>
      <c r="M62" s="112">
        <v>7.9502631042527021</v>
      </c>
      <c r="N62" s="112">
        <v>0</v>
      </c>
      <c r="O62" s="112">
        <v>0</v>
      </c>
      <c r="P62" s="112">
        <v>7.9502631042527021</v>
      </c>
      <c r="Q62" s="112">
        <v>0</v>
      </c>
      <c r="R62" s="112">
        <v>0</v>
      </c>
      <c r="S62" s="112">
        <v>5.3028254905365522</v>
      </c>
      <c r="T62" s="112">
        <v>0</v>
      </c>
      <c r="U62" s="112">
        <v>26.235868244033917</v>
      </c>
      <c r="V62" s="112">
        <v>1.17</v>
      </c>
      <c r="W62" s="112">
        <v>12.87</v>
      </c>
      <c r="X62" s="112">
        <v>6</v>
      </c>
      <c r="Y62" s="112">
        <v>7.02</v>
      </c>
      <c r="Z62" s="112">
        <v>19.89</v>
      </c>
      <c r="AA62" s="112">
        <v>166.84620907162326</v>
      </c>
      <c r="AB62" s="112">
        <v>254.29910321840299</v>
      </c>
      <c r="AC62" s="112">
        <v>241.58414805748285</v>
      </c>
      <c r="AD62" s="112">
        <v>12.71495516092015</v>
      </c>
      <c r="AE62" s="112">
        <v>26.118321397844216</v>
      </c>
      <c r="AF62" s="112">
        <v>38.833276558764368</v>
      </c>
      <c r="AG62" s="112">
        <v>0</v>
      </c>
      <c r="AH62" s="112">
        <v>261.59169490367253</v>
      </c>
      <c r="AI62" s="112">
        <v>33.058883418392391</v>
      </c>
      <c r="AJ62" s="112">
        <v>5.0859820643680598</v>
      </c>
      <c r="AK62" s="112">
        <v>1.2714955160920149</v>
      </c>
      <c r="AL62" s="112">
        <v>39.416360998852468</v>
      </c>
      <c r="AM62" s="112">
        <v>339.84133246128943</v>
      </c>
      <c r="AN62" s="112">
        <v>0</v>
      </c>
      <c r="AO62" s="112">
        <v>25</v>
      </c>
      <c r="AP62" s="112">
        <v>70</v>
      </c>
      <c r="AQ62" s="112">
        <v>54.374613193806312</v>
      </c>
      <c r="AR62" s="112">
        <v>489.21594565509577</v>
      </c>
      <c r="AU62" s="110">
        <v>12.5</v>
      </c>
      <c r="AV62" s="110">
        <v>8</v>
      </c>
      <c r="AW62" s="110">
        <v>69.42</v>
      </c>
      <c r="AX62" s="110">
        <v>0</v>
      </c>
      <c r="AY62" s="110">
        <v>0</v>
      </c>
      <c r="AZ62" s="111">
        <v>16.148971930513301</v>
      </c>
      <c r="BA62" s="111">
        <v>12.720420966804324</v>
      </c>
      <c r="BB62" s="111">
        <v>137.97681617430564</v>
      </c>
      <c r="BC62" s="111">
        <v>0</v>
      </c>
      <c r="BD62" s="111">
        <v>0</v>
      </c>
      <c r="BE62" s="111">
        <v>166.84620907162326</v>
      </c>
    </row>
    <row r="63" spans="1:57" s="110" customFormat="1" x14ac:dyDescent="0.25">
      <c r="A63" s="110" t="s">
        <v>333</v>
      </c>
      <c r="B63" s="108" t="s">
        <v>190</v>
      </c>
      <c r="C63" s="109" t="s">
        <v>191</v>
      </c>
      <c r="E63" s="114">
        <v>544200185847325</v>
      </c>
      <c r="F63" s="110" t="s">
        <v>276</v>
      </c>
      <c r="G63" s="110">
        <v>0</v>
      </c>
      <c r="I63" s="110">
        <v>13</v>
      </c>
      <c r="J63" s="111">
        <v>4.5538401141502565</v>
      </c>
      <c r="K63" s="111">
        <v>59.199921483953332</v>
      </c>
      <c r="L63" s="110">
        <v>0</v>
      </c>
      <c r="M63" s="112">
        <v>4.5538401141502565</v>
      </c>
      <c r="N63" s="112">
        <v>0</v>
      </c>
      <c r="O63" s="112">
        <v>0</v>
      </c>
      <c r="P63" s="112">
        <v>4.5538401141502565</v>
      </c>
      <c r="Q63" s="112">
        <v>0</v>
      </c>
      <c r="R63" s="112">
        <v>0</v>
      </c>
      <c r="S63" s="112">
        <v>3.0374113561382212</v>
      </c>
      <c r="T63" s="112">
        <v>0</v>
      </c>
      <c r="U63" s="112">
        <v>17.759976445185998</v>
      </c>
      <c r="V63" s="112">
        <v>1.17</v>
      </c>
      <c r="W63" s="112">
        <v>15.209999999999999</v>
      </c>
      <c r="X63" s="112">
        <v>0</v>
      </c>
      <c r="Y63" s="112">
        <v>0</v>
      </c>
      <c r="Z63" s="112">
        <v>15.209999999999999</v>
      </c>
      <c r="AA63" s="112">
        <v>32.588418316887768</v>
      </c>
      <c r="AB63" s="112">
        <v>91.788339800841101</v>
      </c>
      <c r="AC63" s="112">
        <v>87.198922810799047</v>
      </c>
      <c r="AD63" s="112">
        <v>4.5894169900420554</v>
      </c>
      <c r="AE63" s="112">
        <v>4.6276645085763795</v>
      </c>
      <c r="AF63" s="112">
        <v>9.217081498618434</v>
      </c>
      <c r="AG63" s="112">
        <v>0</v>
      </c>
      <c r="AH63" s="112">
        <v>115.54123474740865</v>
      </c>
      <c r="AI63" s="112">
        <v>11.932484174109344</v>
      </c>
      <c r="AJ63" s="112">
        <v>1.835766796016822</v>
      </c>
      <c r="AK63" s="112">
        <v>0.45894169900420551</v>
      </c>
      <c r="AL63" s="112">
        <v>14.227192669130371</v>
      </c>
      <c r="AM63" s="112">
        <v>138.98550891515745</v>
      </c>
      <c r="AN63" s="112">
        <v>0</v>
      </c>
      <c r="AO63" s="112">
        <v>25</v>
      </c>
      <c r="AP63" s="112">
        <v>70</v>
      </c>
      <c r="AQ63" s="112">
        <v>22.237681426425194</v>
      </c>
      <c r="AR63" s="112">
        <v>256.22319034158267</v>
      </c>
      <c r="AU63" s="110">
        <v>0</v>
      </c>
      <c r="AV63" s="110">
        <v>0</v>
      </c>
      <c r="AW63" s="110">
        <v>0</v>
      </c>
      <c r="AX63" s="110">
        <v>10</v>
      </c>
      <c r="AY63" s="110">
        <v>37</v>
      </c>
      <c r="AZ63" s="111">
        <v>0</v>
      </c>
      <c r="BA63" s="111">
        <v>0</v>
      </c>
      <c r="BB63" s="111">
        <v>0</v>
      </c>
      <c r="BC63" s="111">
        <v>6.2615301569566029</v>
      </c>
      <c r="BD63" s="111">
        <v>26.326888159931169</v>
      </c>
      <c r="BE63" s="111">
        <v>32.588418316887768</v>
      </c>
    </row>
    <row r="64" spans="1:57" s="110" customFormat="1" x14ac:dyDescent="0.25">
      <c r="A64" s="110" t="s">
        <v>334</v>
      </c>
      <c r="B64" s="108" t="s">
        <v>402</v>
      </c>
      <c r="C64" s="109" t="s">
        <v>191</v>
      </c>
      <c r="E64" s="114">
        <v>544200185982543</v>
      </c>
      <c r="F64" s="110" t="s">
        <v>276</v>
      </c>
      <c r="G64" s="110">
        <v>1</v>
      </c>
      <c r="I64" s="110">
        <v>13</v>
      </c>
      <c r="J64" s="111">
        <v>4.5538401141502565</v>
      </c>
      <c r="K64" s="111">
        <v>59.199921483953332</v>
      </c>
      <c r="L64" s="110">
        <v>0</v>
      </c>
      <c r="M64" s="112">
        <v>4.5538401141502565</v>
      </c>
      <c r="N64" s="112">
        <v>0</v>
      </c>
      <c r="O64" s="112">
        <v>0</v>
      </c>
      <c r="P64" s="112">
        <v>4.5538401141502565</v>
      </c>
      <c r="Q64" s="112">
        <v>0</v>
      </c>
      <c r="R64" s="112">
        <v>0</v>
      </c>
      <c r="S64" s="112">
        <v>3.0374113561382212</v>
      </c>
      <c r="T64" s="112">
        <v>0</v>
      </c>
      <c r="U64" s="112">
        <v>17.759976445185998</v>
      </c>
      <c r="V64" s="112">
        <v>1.17</v>
      </c>
      <c r="W64" s="112">
        <v>15.209999999999999</v>
      </c>
      <c r="X64" s="112">
        <v>0</v>
      </c>
      <c r="Y64" s="112">
        <v>0</v>
      </c>
      <c r="Z64" s="112">
        <v>15.209999999999999</v>
      </c>
      <c r="AA64" s="112">
        <v>30.624574767660473</v>
      </c>
      <c r="AB64" s="112">
        <v>89.824496251613809</v>
      </c>
      <c r="AC64" s="112">
        <v>85.333271439033112</v>
      </c>
      <c r="AD64" s="112">
        <v>4.4912248125806906</v>
      </c>
      <c r="AE64" s="112">
        <v>4.2608604667552594</v>
      </c>
      <c r="AF64" s="112">
        <v>8.7520852793359509</v>
      </c>
      <c r="AG64" s="112">
        <v>0</v>
      </c>
      <c r="AH64" s="112">
        <v>114.04238741746386</v>
      </c>
      <c r="AI64" s="112">
        <v>11.677184512709795</v>
      </c>
      <c r="AJ64" s="112">
        <v>1.7964899250322761</v>
      </c>
      <c r="AK64" s="112">
        <v>0.44912248125806903</v>
      </c>
      <c r="AL64" s="112">
        <v>13.92279691900014</v>
      </c>
      <c r="AM64" s="112">
        <v>136.71726961579995</v>
      </c>
      <c r="AN64" s="112">
        <v>0</v>
      </c>
      <c r="AO64" s="112">
        <v>25</v>
      </c>
      <c r="AP64" s="112">
        <v>70</v>
      </c>
      <c r="AQ64" s="112">
        <v>21.874763138527992</v>
      </c>
      <c r="AR64" s="112">
        <v>253.59203275432793</v>
      </c>
      <c r="AU64" s="110">
        <v>0</v>
      </c>
      <c r="AV64" s="110">
        <v>0</v>
      </c>
      <c r="AW64" s="110">
        <v>0</v>
      </c>
      <c r="AX64" s="110">
        <v>8</v>
      </c>
      <c r="AY64" s="110">
        <v>36</v>
      </c>
      <c r="AZ64" s="111">
        <v>0</v>
      </c>
      <c r="BA64" s="111">
        <v>0</v>
      </c>
      <c r="BB64" s="111">
        <v>0</v>
      </c>
      <c r="BC64" s="111">
        <v>5.0092241255652823</v>
      </c>
      <c r="BD64" s="111">
        <v>25.615350642095191</v>
      </c>
      <c r="BE64" s="111">
        <v>30.624574767660473</v>
      </c>
    </row>
    <row r="65" spans="1:57" s="110" customFormat="1" x14ac:dyDescent="0.25">
      <c r="A65" s="110" t="s">
        <v>335</v>
      </c>
      <c r="B65" s="108" t="s">
        <v>192</v>
      </c>
      <c r="C65" s="109" t="s">
        <v>191</v>
      </c>
      <c r="E65" s="114" t="s">
        <v>194</v>
      </c>
      <c r="F65" s="110" t="s">
        <v>277</v>
      </c>
      <c r="G65" s="110">
        <v>1</v>
      </c>
      <c r="I65" s="110">
        <v>12</v>
      </c>
      <c r="J65" s="111">
        <v>4.5538401141502565</v>
      </c>
      <c r="K65" s="111">
        <v>54.646081369803078</v>
      </c>
      <c r="L65" s="110">
        <v>0</v>
      </c>
      <c r="M65" s="112">
        <v>4.5538401141502565</v>
      </c>
      <c r="N65" s="112">
        <v>0</v>
      </c>
      <c r="O65" s="112">
        <v>0</v>
      </c>
      <c r="P65" s="112">
        <v>4.5538401141502565</v>
      </c>
      <c r="Q65" s="112">
        <v>0</v>
      </c>
      <c r="R65" s="112">
        <v>0</v>
      </c>
      <c r="S65" s="112">
        <v>3.0374113561382212</v>
      </c>
      <c r="T65" s="112">
        <v>0</v>
      </c>
      <c r="U65" s="112">
        <v>16.393824410940923</v>
      </c>
      <c r="V65" s="112">
        <v>1.17</v>
      </c>
      <c r="W65" s="112">
        <v>14.04</v>
      </c>
      <c r="X65" s="112">
        <v>0</v>
      </c>
      <c r="Y65" s="112">
        <v>0</v>
      </c>
      <c r="Z65" s="112">
        <v>14.04</v>
      </c>
      <c r="AA65" s="112">
        <v>30.624574767660473</v>
      </c>
      <c r="AB65" s="112">
        <v>85.270656137463547</v>
      </c>
      <c r="AC65" s="112">
        <v>81.007123330590375</v>
      </c>
      <c r="AD65" s="112">
        <v>4.2635328068731777</v>
      </c>
      <c r="AE65" s="112">
        <v>3.6249166948141758</v>
      </c>
      <c r="AF65" s="112">
        <v>7.8884495016873535</v>
      </c>
      <c r="AG65" s="112">
        <v>0</v>
      </c>
      <c r="AH65" s="112">
        <v>107.81603104671711</v>
      </c>
      <c r="AI65" s="112">
        <v>11.085185297870261</v>
      </c>
      <c r="AJ65" s="112">
        <v>1.705413122749271</v>
      </c>
      <c r="AK65" s="112">
        <v>0.42635328068731776</v>
      </c>
      <c r="AL65" s="112">
        <v>13.216951701306849</v>
      </c>
      <c r="AM65" s="112">
        <v>128.9214322497113</v>
      </c>
      <c r="AN65" s="112">
        <v>0</v>
      </c>
      <c r="AO65" s="112">
        <v>25</v>
      </c>
      <c r="AP65" s="112">
        <v>70</v>
      </c>
      <c r="AQ65" s="112">
        <v>20.62742915995381</v>
      </c>
      <c r="AR65" s="112">
        <v>244.54886140966511</v>
      </c>
      <c r="AU65" s="110">
        <v>0</v>
      </c>
      <c r="AV65" s="110">
        <v>0</v>
      </c>
      <c r="AW65" s="110">
        <v>0</v>
      </c>
      <c r="AX65" s="110">
        <v>8</v>
      </c>
      <c r="AY65" s="110">
        <v>36</v>
      </c>
      <c r="AZ65" s="111">
        <v>0</v>
      </c>
      <c r="BA65" s="111">
        <v>0</v>
      </c>
      <c r="BB65" s="111">
        <v>0</v>
      </c>
      <c r="BC65" s="111">
        <v>5.0092241255652823</v>
      </c>
      <c r="BD65" s="111">
        <v>25.615350642095191</v>
      </c>
      <c r="BE65" s="111">
        <v>30.624574767660473</v>
      </c>
    </row>
    <row r="66" spans="1:57" s="110" customFormat="1" x14ac:dyDescent="0.25">
      <c r="A66" s="110" t="s">
        <v>336</v>
      </c>
      <c r="B66" s="108" t="s">
        <v>193</v>
      </c>
      <c r="C66" s="109" t="s">
        <v>191</v>
      </c>
      <c r="E66" s="114">
        <v>544200183230750</v>
      </c>
      <c r="F66" s="110" t="s">
        <v>276</v>
      </c>
      <c r="G66" s="110">
        <v>0</v>
      </c>
      <c r="I66" s="110">
        <v>13</v>
      </c>
      <c r="J66" s="111">
        <v>4.5538401141502565</v>
      </c>
      <c r="K66" s="111">
        <v>59.199921483953332</v>
      </c>
      <c r="L66" s="110">
        <v>0</v>
      </c>
      <c r="M66" s="112">
        <v>4.5538401141502565</v>
      </c>
      <c r="N66" s="112">
        <v>0</v>
      </c>
      <c r="O66" s="112">
        <v>0</v>
      </c>
      <c r="P66" s="112">
        <v>4.5538401141502565</v>
      </c>
      <c r="Q66" s="112">
        <v>0</v>
      </c>
      <c r="R66" s="112">
        <v>0</v>
      </c>
      <c r="S66" s="112">
        <v>3.0374113561382212</v>
      </c>
      <c r="T66" s="112">
        <v>0</v>
      </c>
      <c r="U66" s="112">
        <v>17.759976445185998</v>
      </c>
      <c r="V66" s="112">
        <v>1.17</v>
      </c>
      <c r="W66" s="112">
        <v>15.209999999999999</v>
      </c>
      <c r="X66" s="112">
        <v>0</v>
      </c>
      <c r="Y66" s="112">
        <v>0</v>
      </c>
      <c r="Z66" s="112">
        <v>15.209999999999999</v>
      </c>
      <c r="AA66" s="112">
        <v>36.316874910348297</v>
      </c>
      <c r="AB66" s="112">
        <v>95.516796394301622</v>
      </c>
      <c r="AC66" s="112">
        <v>90.740956574586534</v>
      </c>
      <c r="AD66" s="112">
        <v>4.7758398197150811</v>
      </c>
      <c r="AE66" s="112">
        <v>5.1589695731445007</v>
      </c>
      <c r="AF66" s="112">
        <v>9.9348093928595809</v>
      </c>
      <c r="AG66" s="112">
        <v>0</v>
      </c>
      <c r="AH66" s="112">
        <v>118.55196344662805</v>
      </c>
      <c r="AI66" s="112">
        <v>12.41718353125921</v>
      </c>
      <c r="AJ66" s="112">
        <v>1.9103359278860326</v>
      </c>
      <c r="AK66" s="112">
        <v>0.47758398197150814</v>
      </c>
      <c r="AL66" s="112">
        <v>14.805103441116751</v>
      </c>
      <c r="AM66" s="112">
        <v>143.29187628060438</v>
      </c>
      <c r="AN66" s="112">
        <v>0</v>
      </c>
      <c r="AO66" s="112">
        <v>25</v>
      </c>
      <c r="AP66" s="112">
        <v>70</v>
      </c>
      <c r="AQ66" s="112">
        <v>22.926700204896701</v>
      </c>
      <c r="AR66" s="112">
        <v>261.2185764855011</v>
      </c>
      <c r="AU66" s="110">
        <v>0</v>
      </c>
      <c r="AV66" s="110">
        <v>0</v>
      </c>
      <c r="AW66" s="110">
        <v>0</v>
      </c>
      <c r="AX66" s="110">
        <v>8</v>
      </c>
      <c r="AY66" s="110">
        <v>44</v>
      </c>
      <c r="AZ66" s="111">
        <v>0</v>
      </c>
      <c r="BA66" s="111">
        <v>0</v>
      </c>
      <c r="BB66" s="111">
        <v>0</v>
      </c>
      <c r="BC66" s="111">
        <v>5.0092241255652823</v>
      </c>
      <c r="BD66" s="111">
        <v>31.307650784783014</v>
      </c>
      <c r="BE66" s="111">
        <v>36.316874910348297</v>
      </c>
    </row>
    <row r="67" spans="1:57" s="110" customFormat="1" x14ac:dyDescent="0.25">
      <c r="A67" s="110" t="s">
        <v>337</v>
      </c>
      <c r="B67" s="108" t="s">
        <v>195</v>
      </c>
      <c r="C67" s="109" t="s">
        <v>196</v>
      </c>
      <c r="E67" s="114">
        <v>544100184539673</v>
      </c>
      <c r="F67" s="110" t="s">
        <v>276</v>
      </c>
      <c r="G67" s="110">
        <v>1</v>
      </c>
      <c r="I67" s="110">
        <v>11</v>
      </c>
      <c r="J67" s="111">
        <v>12.541337943634536</v>
      </c>
      <c r="K67" s="111">
        <v>137.95471737997991</v>
      </c>
      <c r="L67" s="110">
        <v>0</v>
      </c>
      <c r="M67" s="112">
        <v>12.541337943634536</v>
      </c>
      <c r="N67" s="112">
        <v>0</v>
      </c>
      <c r="O67" s="112">
        <v>0</v>
      </c>
      <c r="P67" s="112">
        <v>12.541337943634536</v>
      </c>
      <c r="Q67" s="112">
        <v>0</v>
      </c>
      <c r="R67" s="112">
        <v>0</v>
      </c>
      <c r="S67" s="112">
        <v>8.3650724084042363</v>
      </c>
      <c r="T67" s="112">
        <v>0</v>
      </c>
      <c r="U67" s="112">
        <v>41.38641521399397</v>
      </c>
      <c r="V67" s="112">
        <v>1.17</v>
      </c>
      <c r="W67" s="112">
        <v>12.87</v>
      </c>
      <c r="X67" s="112">
        <v>1</v>
      </c>
      <c r="Y67" s="112">
        <v>1.17</v>
      </c>
      <c r="Z67" s="112">
        <v>14.04</v>
      </c>
      <c r="AA67" s="112">
        <v>26.650343130223391</v>
      </c>
      <c r="AB67" s="112">
        <v>164.60506051020332</v>
      </c>
      <c r="AC67" s="112">
        <v>156.37480748469315</v>
      </c>
      <c r="AD67" s="112">
        <v>8.2302530255101658</v>
      </c>
      <c r="AE67" s="112">
        <v>14.703966265467285</v>
      </c>
      <c r="AF67" s="112">
        <v>22.934219290977452</v>
      </c>
      <c r="AG67" s="112">
        <v>0</v>
      </c>
      <c r="AH67" s="112">
        <v>197.09725643321985</v>
      </c>
      <c r="AI67" s="112">
        <v>21.398657866326431</v>
      </c>
      <c r="AJ67" s="112">
        <v>3.2921012102040663</v>
      </c>
      <c r="AK67" s="112">
        <v>0.82302530255101658</v>
      </c>
      <c r="AL67" s="112">
        <v>25.513784379081514</v>
      </c>
      <c r="AM67" s="112">
        <v>245.54526010327885</v>
      </c>
      <c r="AN67" s="112">
        <v>0</v>
      </c>
      <c r="AO67" s="112">
        <v>25</v>
      </c>
      <c r="AP67" s="112">
        <v>70</v>
      </c>
      <c r="AQ67" s="112">
        <v>39.287241616524618</v>
      </c>
      <c r="AR67" s="112">
        <v>379.83250171980347</v>
      </c>
      <c r="AU67" s="110">
        <v>0</v>
      </c>
      <c r="AV67" s="110">
        <v>0</v>
      </c>
      <c r="AW67" s="110">
        <v>8.5</v>
      </c>
      <c r="AX67" s="110">
        <v>0</v>
      </c>
      <c r="AY67" s="110">
        <v>0</v>
      </c>
      <c r="AZ67" s="111">
        <v>0</v>
      </c>
      <c r="BA67" s="111">
        <v>0</v>
      </c>
      <c r="BB67" s="111">
        <v>26.650343130223391</v>
      </c>
      <c r="BC67" s="111">
        <v>0</v>
      </c>
      <c r="BD67" s="111">
        <v>0</v>
      </c>
      <c r="BE67" s="111">
        <v>26.650343130223391</v>
      </c>
    </row>
    <row r="68" spans="1:57" s="110" customFormat="1" x14ac:dyDescent="0.25">
      <c r="A68" s="110" t="s">
        <v>338</v>
      </c>
      <c r="B68" s="108" t="s">
        <v>197</v>
      </c>
      <c r="C68" s="109" t="s">
        <v>198</v>
      </c>
      <c r="E68" s="114">
        <v>844200061551560</v>
      </c>
      <c r="F68" s="110" t="s">
        <v>276</v>
      </c>
      <c r="G68" s="110">
        <v>3</v>
      </c>
      <c r="I68" s="110">
        <v>11</v>
      </c>
      <c r="J68" s="111">
        <v>7.3321002287534824</v>
      </c>
      <c r="K68" s="111">
        <v>80.6531025162883</v>
      </c>
      <c r="L68" s="110">
        <v>0</v>
      </c>
      <c r="M68" s="112">
        <v>7.3321002287534824</v>
      </c>
      <c r="N68" s="112">
        <v>0</v>
      </c>
      <c r="O68" s="112">
        <v>0</v>
      </c>
      <c r="P68" s="112">
        <v>7.3321002287534824</v>
      </c>
      <c r="Q68" s="112">
        <v>0</v>
      </c>
      <c r="R68" s="112">
        <v>0</v>
      </c>
      <c r="S68" s="112">
        <v>4.890510852578573</v>
      </c>
      <c r="T68" s="112">
        <v>0</v>
      </c>
      <c r="U68" s="112">
        <v>24.19593075488649</v>
      </c>
      <c r="V68" s="112">
        <v>1.17</v>
      </c>
      <c r="W68" s="112">
        <v>12.87</v>
      </c>
      <c r="X68" s="112">
        <v>1</v>
      </c>
      <c r="Y68" s="112">
        <v>1.17</v>
      </c>
      <c r="Z68" s="112">
        <v>14.04</v>
      </c>
      <c r="AA68" s="112">
        <v>28.915970277146549</v>
      </c>
      <c r="AB68" s="112">
        <v>109.56907279343486</v>
      </c>
      <c r="AC68" s="112">
        <v>104.09061915376311</v>
      </c>
      <c r="AD68" s="112">
        <v>5.4784536396717431</v>
      </c>
      <c r="AE68" s="112">
        <v>6.7317338224197281</v>
      </c>
      <c r="AF68" s="112">
        <v>12.210187462091472</v>
      </c>
      <c r="AG68" s="112">
        <v>0</v>
      </c>
      <c r="AH68" s="112">
        <v>135.59481608622986</v>
      </c>
      <c r="AI68" s="112">
        <v>14.243979463146532</v>
      </c>
      <c r="AJ68" s="112">
        <v>2.1913814558686973</v>
      </c>
      <c r="AK68" s="112">
        <v>0.54784536396717431</v>
      </c>
      <c r="AL68" s="112">
        <v>16.983206282982405</v>
      </c>
      <c r="AM68" s="112">
        <v>164.78820983130373</v>
      </c>
      <c r="AN68" s="112">
        <v>0</v>
      </c>
      <c r="AO68" s="112">
        <v>25</v>
      </c>
      <c r="AP68" s="112">
        <v>70</v>
      </c>
      <c r="AQ68" s="112">
        <v>26.366113573008597</v>
      </c>
      <c r="AR68" s="112">
        <v>286.15432340431232</v>
      </c>
      <c r="AU68" s="110">
        <v>13.5</v>
      </c>
      <c r="AV68" s="110">
        <v>0</v>
      </c>
      <c r="AW68" s="110">
        <v>7</v>
      </c>
      <c r="AX68" s="110">
        <v>0</v>
      </c>
      <c r="AY68" s="110">
        <v>0</v>
      </c>
      <c r="AZ68" s="111">
        <v>16.084794876827953</v>
      </c>
      <c r="BA68" s="111">
        <v>0</v>
      </c>
      <c r="BB68" s="111">
        <v>12.831175400318594</v>
      </c>
      <c r="BC68" s="111">
        <v>0</v>
      </c>
      <c r="BD68" s="111">
        <v>0</v>
      </c>
      <c r="BE68" s="111">
        <v>28.915970277146549</v>
      </c>
    </row>
    <row r="69" spans="1:57" s="110" customFormat="1" x14ac:dyDescent="0.25">
      <c r="A69" s="110" t="s">
        <v>339</v>
      </c>
      <c r="B69" s="108" t="s">
        <v>199</v>
      </c>
      <c r="C69" s="109" t="s">
        <v>200</v>
      </c>
      <c r="E69" s="114" t="s">
        <v>201</v>
      </c>
      <c r="F69" s="110" t="s">
        <v>277</v>
      </c>
      <c r="G69" s="110">
        <v>2</v>
      </c>
      <c r="I69" s="110">
        <v>10</v>
      </c>
      <c r="J69" s="111">
        <v>12.541337943634536</v>
      </c>
      <c r="K69" s="111">
        <v>125.41337943634537</v>
      </c>
      <c r="L69" s="110">
        <v>0</v>
      </c>
      <c r="M69" s="112">
        <v>12.541337943634536</v>
      </c>
      <c r="N69" s="112">
        <v>0</v>
      </c>
      <c r="O69" s="112">
        <v>0</v>
      </c>
      <c r="P69" s="112">
        <v>12.541337943634536</v>
      </c>
      <c r="Q69" s="112">
        <v>0</v>
      </c>
      <c r="R69" s="112">
        <v>0</v>
      </c>
      <c r="S69" s="112">
        <v>8.3650724084042363</v>
      </c>
      <c r="T69" s="112">
        <v>0</v>
      </c>
      <c r="U69" s="112">
        <v>37.624013830903607</v>
      </c>
      <c r="V69" s="112">
        <v>1.17</v>
      </c>
      <c r="W69" s="112">
        <v>11.7</v>
      </c>
      <c r="X69" s="112">
        <v>5</v>
      </c>
      <c r="Y69" s="112">
        <v>5.85</v>
      </c>
      <c r="Z69" s="112">
        <v>17.549999999999997</v>
      </c>
      <c r="AA69" s="112">
        <v>186.47401854941603</v>
      </c>
      <c r="AB69" s="112">
        <v>311.88739798576137</v>
      </c>
      <c r="AC69" s="112">
        <v>296.29302808647333</v>
      </c>
      <c r="AD69" s="112">
        <v>15.594369899288068</v>
      </c>
      <c r="AE69" s="112">
        <v>34.552109087930418</v>
      </c>
      <c r="AF69" s="112">
        <v>50.146478987218487</v>
      </c>
      <c r="AG69" s="112">
        <v>0</v>
      </c>
      <c r="AH69" s="112">
        <v>316.91493282944651</v>
      </c>
      <c r="AI69" s="112">
        <v>40.545361738148976</v>
      </c>
      <c r="AJ69" s="112">
        <v>6.2377479597152279</v>
      </c>
      <c r="AK69" s="112">
        <v>1.559436989928807</v>
      </c>
      <c r="AL69" s="112">
        <v>48.342546687793011</v>
      </c>
      <c r="AM69" s="112">
        <v>415.40395850445799</v>
      </c>
      <c r="AN69" s="112">
        <v>0</v>
      </c>
      <c r="AO69" s="112">
        <v>25</v>
      </c>
      <c r="AP69" s="112">
        <v>70</v>
      </c>
      <c r="AQ69" s="112">
        <v>66.464633360713279</v>
      </c>
      <c r="AR69" s="112">
        <v>576.86859186517131</v>
      </c>
      <c r="AU69" s="110">
        <v>13.5</v>
      </c>
      <c r="AV69" s="110">
        <v>1.5</v>
      </c>
      <c r="AW69" s="110">
        <v>49.5</v>
      </c>
      <c r="AX69" s="110">
        <v>0</v>
      </c>
      <c r="AY69" s="110">
        <v>0</v>
      </c>
      <c r="AZ69" s="111">
        <v>27.512560113848263</v>
      </c>
      <c r="BA69" s="111">
        <v>3.7624013830903609</v>
      </c>
      <c r="BB69" s="111">
        <v>155.1990570524774</v>
      </c>
      <c r="BC69" s="111">
        <v>0</v>
      </c>
      <c r="BD69" s="111">
        <v>0</v>
      </c>
      <c r="BE69" s="111">
        <v>186.47401854941603</v>
      </c>
    </row>
    <row r="70" spans="1:57" s="110" customFormat="1" x14ac:dyDescent="0.25">
      <c r="A70" s="110" t="s">
        <v>340</v>
      </c>
      <c r="B70" s="108" t="s">
        <v>202</v>
      </c>
      <c r="C70" s="109" t="s">
        <v>203</v>
      </c>
      <c r="E70" s="114">
        <v>544200130372443</v>
      </c>
      <c r="F70" s="110" t="s">
        <v>276</v>
      </c>
      <c r="G70" s="110">
        <v>1</v>
      </c>
      <c r="I70" s="110">
        <v>10</v>
      </c>
      <c r="J70" s="111">
        <v>12.541337943634536</v>
      </c>
      <c r="K70" s="111">
        <v>125.41337943634537</v>
      </c>
      <c r="L70" s="110">
        <v>0</v>
      </c>
      <c r="M70" s="112">
        <v>12.541337943634536</v>
      </c>
      <c r="N70" s="112">
        <v>0</v>
      </c>
      <c r="O70" s="112">
        <v>0</v>
      </c>
      <c r="P70" s="112">
        <v>12.541337943634536</v>
      </c>
      <c r="Q70" s="112">
        <v>0</v>
      </c>
      <c r="R70" s="112">
        <v>0</v>
      </c>
      <c r="S70" s="112">
        <v>8.3650724084042363</v>
      </c>
      <c r="T70" s="112">
        <v>0</v>
      </c>
      <c r="U70" s="112">
        <v>37.624013830903607</v>
      </c>
      <c r="V70" s="112">
        <v>1.17</v>
      </c>
      <c r="W70" s="112">
        <v>11.7</v>
      </c>
      <c r="X70" s="112">
        <v>1</v>
      </c>
      <c r="Y70" s="112">
        <v>1.17</v>
      </c>
      <c r="Z70" s="112">
        <v>12.87</v>
      </c>
      <c r="AA70" s="112">
        <v>52.673619363265054</v>
      </c>
      <c r="AB70" s="112">
        <v>178.08699879961043</v>
      </c>
      <c r="AC70" s="112">
        <v>169.18264885962989</v>
      </c>
      <c r="AD70" s="112">
        <v>8.9043499399805217</v>
      </c>
      <c r="AE70" s="112">
        <v>16.586718947582984</v>
      </c>
      <c r="AF70" s="112">
        <v>25.491068887563507</v>
      </c>
      <c r="AG70" s="112">
        <v>0</v>
      </c>
      <c r="AH70" s="112">
        <v>203.08994374295054</v>
      </c>
      <c r="AI70" s="112">
        <v>23.151309843949356</v>
      </c>
      <c r="AJ70" s="112">
        <v>3.5617399759922086</v>
      </c>
      <c r="AK70" s="112">
        <v>0.89043499399805215</v>
      </c>
      <c r="AL70" s="112">
        <v>27.603484813939616</v>
      </c>
      <c r="AM70" s="112">
        <v>256.18449744445365</v>
      </c>
      <c r="AN70" s="112">
        <v>0</v>
      </c>
      <c r="AO70" s="112">
        <v>25</v>
      </c>
      <c r="AP70" s="112">
        <v>70</v>
      </c>
      <c r="AQ70" s="112">
        <v>40.989519591112582</v>
      </c>
      <c r="AR70" s="112">
        <v>392.17401703556624</v>
      </c>
      <c r="AU70" s="110">
        <v>12</v>
      </c>
      <c r="AV70" s="110">
        <v>2.5</v>
      </c>
      <c r="AW70" s="110">
        <v>7</v>
      </c>
      <c r="AX70" s="110">
        <v>0</v>
      </c>
      <c r="AY70" s="110">
        <v>0</v>
      </c>
      <c r="AZ70" s="111">
        <v>24.455608990087345</v>
      </c>
      <c r="BA70" s="111">
        <v>6.270668971817269</v>
      </c>
      <c r="BB70" s="111">
        <v>21.94734140136044</v>
      </c>
      <c r="BC70" s="111">
        <v>0</v>
      </c>
      <c r="BD70" s="111">
        <v>0</v>
      </c>
      <c r="BE70" s="111">
        <v>52.673619363265054</v>
      </c>
    </row>
    <row r="71" spans="1:57" s="110" customFormat="1" x14ac:dyDescent="0.25">
      <c r="A71" s="110" t="s">
        <v>341</v>
      </c>
      <c r="B71" s="108" t="s">
        <v>204</v>
      </c>
      <c r="C71" s="109" t="s">
        <v>205</v>
      </c>
      <c r="E71" s="114">
        <v>544200035352989</v>
      </c>
      <c r="F71" s="110" t="s">
        <v>276</v>
      </c>
      <c r="G71" s="110">
        <v>1</v>
      </c>
      <c r="I71" s="110">
        <v>13</v>
      </c>
      <c r="J71" s="111">
        <v>13.201174720852805</v>
      </c>
      <c r="K71" s="111">
        <v>171.61527137108646</v>
      </c>
      <c r="L71" s="110">
        <v>0</v>
      </c>
      <c r="M71" s="112">
        <v>13.201174720852805</v>
      </c>
      <c r="N71" s="112">
        <v>0</v>
      </c>
      <c r="O71" s="112">
        <v>0</v>
      </c>
      <c r="P71" s="112">
        <v>13.201174720852805</v>
      </c>
      <c r="Q71" s="112">
        <v>0</v>
      </c>
      <c r="R71" s="112">
        <v>0</v>
      </c>
      <c r="S71" s="112">
        <v>8.8051835388088211</v>
      </c>
      <c r="T71" s="112">
        <v>0</v>
      </c>
      <c r="U71" s="112">
        <v>51.484581411325941</v>
      </c>
      <c r="V71" s="112">
        <v>1.17</v>
      </c>
      <c r="W71" s="112">
        <v>15.209999999999999</v>
      </c>
      <c r="X71" s="112">
        <v>0</v>
      </c>
      <c r="Y71" s="112">
        <v>0</v>
      </c>
      <c r="Z71" s="112">
        <v>15.209999999999999</v>
      </c>
      <c r="AA71" s="112">
        <v>94.470906596102878</v>
      </c>
      <c r="AB71" s="112">
        <v>266.08617796718931</v>
      </c>
      <c r="AC71" s="112">
        <v>252.78186906882985</v>
      </c>
      <c r="AD71" s="112">
        <v>13.304308898359466</v>
      </c>
      <c r="AE71" s="112">
        <v>28.87580431833538</v>
      </c>
      <c r="AF71" s="112">
        <v>42.180113216694849</v>
      </c>
      <c r="AG71" s="112">
        <v>0</v>
      </c>
      <c r="AH71" s="112">
        <v>290.60064616182041</v>
      </c>
      <c r="AI71" s="112">
        <v>34.591203135734609</v>
      </c>
      <c r="AJ71" s="112">
        <v>5.3217235593437868</v>
      </c>
      <c r="AK71" s="112">
        <v>1.3304308898359467</v>
      </c>
      <c r="AL71" s="112">
        <v>41.243357584914342</v>
      </c>
      <c r="AM71" s="112">
        <v>374.02411696342961</v>
      </c>
      <c r="AN71" s="112">
        <v>0</v>
      </c>
      <c r="AO71" s="112">
        <v>25</v>
      </c>
      <c r="AP71" s="112">
        <v>70</v>
      </c>
      <c r="AQ71" s="112">
        <v>59.843858714148737</v>
      </c>
      <c r="AR71" s="112">
        <v>528.86797567757833</v>
      </c>
      <c r="AU71" s="110">
        <v>0</v>
      </c>
      <c r="AV71" s="110">
        <v>0</v>
      </c>
      <c r="AW71" s="110">
        <v>0</v>
      </c>
      <c r="AX71" s="110">
        <v>10</v>
      </c>
      <c r="AY71" s="110">
        <v>37</v>
      </c>
      <c r="AZ71" s="111">
        <v>0</v>
      </c>
      <c r="BA71" s="111">
        <v>0</v>
      </c>
      <c r="BB71" s="111">
        <v>0</v>
      </c>
      <c r="BC71" s="111">
        <v>18.151615241172607</v>
      </c>
      <c r="BD71" s="111">
        <v>76.319291354930272</v>
      </c>
      <c r="BE71" s="111">
        <v>94.470906596102878</v>
      </c>
    </row>
    <row r="72" spans="1:57" s="110" customFormat="1" x14ac:dyDescent="0.25">
      <c r="A72" s="110" t="s">
        <v>342</v>
      </c>
      <c r="B72" s="108" t="s">
        <v>206</v>
      </c>
      <c r="C72" s="109" t="s">
        <v>205</v>
      </c>
      <c r="E72" s="114">
        <v>544200035354056</v>
      </c>
      <c r="F72" s="110" t="s">
        <v>276</v>
      </c>
      <c r="G72" s="110">
        <v>2</v>
      </c>
      <c r="I72" s="110">
        <v>13</v>
      </c>
      <c r="J72" s="111">
        <v>13.201174720852805</v>
      </c>
      <c r="K72" s="111">
        <v>171.61527137108646</v>
      </c>
      <c r="L72" s="110">
        <v>0</v>
      </c>
      <c r="M72" s="112">
        <v>13.201174720852805</v>
      </c>
      <c r="N72" s="112">
        <v>0</v>
      </c>
      <c r="O72" s="112">
        <v>0</v>
      </c>
      <c r="P72" s="112">
        <v>13.201174720852805</v>
      </c>
      <c r="Q72" s="112">
        <v>0</v>
      </c>
      <c r="R72" s="112">
        <v>0</v>
      </c>
      <c r="S72" s="112">
        <v>8.8051835388088211</v>
      </c>
      <c r="T72" s="112">
        <v>0</v>
      </c>
      <c r="U72" s="112">
        <v>51.484581411325941</v>
      </c>
      <c r="V72" s="112">
        <v>1.17</v>
      </c>
      <c r="W72" s="112">
        <v>15.209999999999999</v>
      </c>
      <c r="X72" s="112">
        <v>0</v>
      </c>
      <c r="Y72" s="112">
        <v>0</v>
      </c>
      <c r="Z72" s="112">
        <v>15.209999999999999</v>
      </c>
      <c r="AA72" s="112">
        <v>88.777899997735119</v>
      </c>
      <c r="AB72" s="112">
        <v>260.39317136882158</v>
      </c>
      <c r="AC72" s="112">
        <v>247.3735128003805</v>
      </c>
      <c r="AD72" s="112">
        <v>13.019658568441081</v>
      </c>
      <c r="AE72" s="112">
        <v>27.507698886733046</v>
      </c>
      <c r="AF72" s="112">
        <v>40.527357455174126</v>
      </c>
      <c r="AG72" s="112">
        <v>0</v>
      </c>
      <c r="AH72" s="112">
        <v>286.5603953249734</v>
      </c>
      <c r="AI72" s="112">
        <v>33.851112277946804</v>
      </c>
      <c r="AJ72" s="112">
        <v>5.2078634273764317</v>
      </c>
      <c r="AK72" s="112">
        <v>1.3019658568441079</v>
      </c>
      <c r="AL72" s="112">
        <v>40.360941562167341</v>
      </c>
      <c r="AM72" s="112">
        <v>367.44869434231487</v>
      </c>
      <c r="AN72" s="112">
        <v>0</v>
      </c>
      <c r="AO72" s="112">
        <v>25</v>
      </c>
      <c r="AP72" s="112">
        <v>70</v>
      </c>
      <c r="AQ72" s="112">
        <v>58.791791094770382</v>
      </c>
      <c r="AR72" s="112">
        <v>521.24048543708523</v>
      </c>
      <c r="AU72" s="110">
        <v>0</v>
      </c>
      <c r="AV72" s="110">
        <v>0</v>
      </c>
      <c r="AW72" s="110">
        <v>0</v>
      </c>
      <c r="AX72" s="110">
        <v>8</v>
      </c>
      <c r="AY72" s="110">
        <v>36</v>
      </c>
      <c r="AZ72" s="111">
        <v>0</v>
      </c>
      <c r="BA72" s="111">
        <v>0</v>
      </c>
      <c r="BB72" s="111">
        <v>0</v>
      </c>
      <c r="BC72" s="111">
        <v>14.521292192938086</v>
      </c>
      <c r="BD72" s="111">
        <v>74.256607804797028</v>
      </c>
      <c r="BE72" s="111">
        <v>88.777899997735119</v>
      </c>
    </row>
    <row r="73" spans="1:57" s="110" customFormat="1" x14ac:dyDescent="0.25">
      <c r="A73" s="110" t="s">
        <v>343</v>
      </c>
      <c r="B73" s="108" t="s">
        <v>207</v>
      </c>
      <c r="C73" s="109" t="s">
        <v>205</v>
      </c>
      <c r="E73" s="114">
        <v>260000143698751</v>
      </c>
      <c r="F73" s="110" t="s">
        <v>276</v>
      </c>
      <c r="G73" s="110">
        <v>4</v>
      </c>
      <c r="I73" s="110">
        <v>13</v>
      </c>
      <c r="J73" s="111">
        <v>13.201174720852805</v>
      </c>
      <c r="K73" s="111">
        <v>171.61527137108646</v>
      </c>
      <c r="L73" s="110">
        <v>0</v>
      </c>
      <c r="M73" s="112">
        <v>13.201174720852805</v>
      </c>
      <c r="N73" s="112">
        <v>0</v>
      </c>
      <c r="O73" s="112">
        <v>0</v>
      </c>
      <c r="P73" s="112">
        <v>13.201174720852805</v>
      </c>
      <c r="Q73" s="112">
        <v>0</v>
      </c>
      <c r="R73" s="112">
        <v>0</v>
      </c>
      <c r="S73" s="112">
        <v>8.8051835388088211</v>
      </c>
      <c r="T73" s="112">
        <v>0</v>
      </c>
      <c r="U73" s="112">
        <v>51.484581411325941</v>
      </c>
      <c r="V73" s="112">
        <v>1.17</v>
      </c>
      <c r="W73" s="112">
        <v>15.209999999999999</v>
      </c>
      <c r="X73" s="112">
        <v>0</v>
      </c>
      <c r="Y73" s="112">
        <v>0</v>
      </c>
      <c r="Z73" s="112">
        <v>15.209999999999999</v>
      </c>
      <c r="AA73" s="112">
        <v>105.27936839880113</v>
      </c>
      <c r="AB73" s="112">
        <v>276.89463976988759</v>
      </c>
      <c r="AC73" s="112">
        <v>263.04990778139319</v>
      </c>
      <c r="AD73" s="112">
        <v>13.844731988494381</v>
      </c>
      <c r="AE73" s="112">
        <v>28.524887273832253</v>
      </c>
      <c r="AF73" s="112">
        <v>42.369619262326637</v>
      </c>
      <c r="AG73" s="112">
        <v>0</v>
      </c>
      <c r="AH73" s="112">
        <v>301.21960191888689</v>
      </c>
      <c r="AI73" s="112">
        <v>35.99630317008539</v>
      </c>
      <c r="AJ73" s="112">
        <v>5.5378927953977515</v>
      </c>
      <c r="AK73" s="112">
        <v>1.3844731988494379</v>
      </c>
      <c r="AL73" s="112">
        <v>42.918669164332577</v>
      </c>
      <c r="AM73" s="112">
        <v>386.50789034554612</v>
      </c>
      <c r="AN73" s="112">
        <v>0</v>
      </c>
      <c r="AO73" s="112">
        <v>25</v>
      </c>
      <c r="AP73" s="112">
        <v>70</v>
      </c>
      <c r="AQ73" s="112">
        <v>61.841262455287378</v>
      </c>
      <c r="AR73" s="112">
        <v>543.34915280083351</v>
      </c>
      <c r="AU73" s="110">
        <v>0</v>
      </c>
      <c r="AV73" s="110">
        <v>0</v>
      </c>
      <c r="AW73" s="110">
        <v>0</v>
      </c>
      <c r="AX73" s="110">
        <v>8</v>
      </c>
      <c r="AY73" s="110">
        <v>44</v>
      </c>
      <c r="AZ73" s="111">
        <v>0</v>
      </c>
      <c r="BA73" s="111">
        <v>0</v>
      </c>
      <c r="BB73" s="111">
        <v>0</v>
      </c>
      <c r="BC73" s="111">
        <v>14.521292192938086</v>
      </c>
      <c r="BD73" s="111">
        <v>90.758076205863034</v>
      </c>
      <c r="BE73" s="111">
        <v>105.27936839880113</v>
      </c>
    </row>
    <row r="74" spans="1:57" s="110" customFormat="1" x14ac:dyDescent="0.25">
      <c r="A74" s="110" t="s">
        <v>344</v>
      </c>
      <c r="B74" s="108" t="s">
        <v>208</v>
      </c>
      <c r="C74" s="109" t="s">
        <v>205</v>
      </c>
      <c r="E74" s="114">
        <v>260000143675374</v>
      </c>
      <c r="F74" s="110" t="s">
        <v>276</v>
      </c>
      <c r="G74" s="110">
        <v>3</v>
      </c>
      <c r="I74" s="110">
        <v>12</v>
      </c>
      <c r="J74" s="111">
        <v>13.201174720852805</v>
      </c>
      <c r="K74" s="111">
        <v>158.41409665023366</v>
      </c>
      <c r="L74" s="110">
        <v>0</v>
      </c>
      <c r="M74" s="112">
        <v>13.201174720852805</v>
      </c>
      <c r="N74" s="112">
        <v>0</v>
      </c>
      <c r="O74" s="112">
        <v>0</v>
      </c>
      <c r="P74" s="112">
        <v>13.201174720852805</v>
      </c>
      <c r="Q74" s="112">
        <v>0</v>
      </c>
      <c r="R74" s="112">
        <v>0</v>
      </c>
      <c r="S74" s="112">
        <v>8.8051835388088211</v>
      </c>
      <c r="T74" s="112">
        <v>0</v>
      </c>
      <c r="U74" s="112">
        <v>47.524228995070096</v>
      </c>
      <c r="V74" s="112">
        <v>1.17</v>
      </c>
      <c r="W74" s="112">
        <v>14.04</v>
      </c>
      <c r="X74" s="112">
        <v>0</v>
      </c>
      <c r="Y74" s="112">
        <v>0</v>
      </c>
      <c r="Z74" s="112">
        <v>14.04</v>
      </c>
      <c r="AA74" s="112">
        <v>88.777899997735119</v>
      </c>
      <c r="AB74" s="112">
        <v>247.19199664796878</v>
      </c>
      <c r="AC74" s="112">
        <v>234.83239681557035</v>
      </c>
      <c r="AD74" s="112">
        <v>12.359599832398439</v>
      </c>
      <c r="AE74" s="112">
        <v>25.166324472734548</v>
      </c>
      <c r="AF74" s="112">
        <v>37.525924305132989</v>
      </c>
      <c r="AG74" s="112">
        <v>0</v>
      </c>
      <c r="AH74" s="112">
        <v>271.23030133790587</v>
      </c>
      <c r="AI74" s="112">
        <v>32.134959564235942</v>
      </c>
      <c r="AJ74" s="112">
        <v>4.9438399329593761</v>
      </c>
      <c r="AK74" s="112">
        <v>1.235959983239844</v>
      </c>
      <c r="AL74" s="112">
        <v>38.314759480435164</v>
      </c>
      <c r="AM74" s="112">
        <v>347.07098512347403</v>
      </c>
      <c r="AN74" s="112">
        <v>0</v>
      </c>
      <c r="AO74" s="112">
        <v>25</v>
      </c>
      <c r="AP74" s="112">
        <v>70</v>
      </c>
      <c r="AQ74" s="112">
        <v>55.531357619755845</v>
      </c>
      <c r="AR74" s="112">
        <v>497.60234274322988</v>
      </c>
      <c r="AU74" s="110">
        <v>0</v>
      </c>
      <c r="AV74" s="110">
        <v>0</v>
      </c>
      <c r="AW74" s="110">
        <v>0</v>
      </c>
      <c r="AX74" s="110">
        <v>8</v>
      </c>
      <c r="AY74" s="110">
        <v>36</v>
      </c>
      <c r="AZ74" s="111">
        <v>0</v>
      </c>
      <c r="BA74" s="111">
        <v>0</v>
      </c>
      <c r="BB74" s="111">
        <v>0</v>
      </c>
      <c r="BC74" s="111">
        <v>14.521292192938086</v>
      </c>
      <c r="BD74" s="111">
        <v>74.256607804797028</v>
      </c>
      <c r="BE74" s="111">
        <v>88.777899997735119</v>
      </c>
    </row>
    <row r="75" spans="1:57" s="110" customFormat="1" x14ac:dyDescent="0.25">
      <c r="A75" s="110" t="s">
        <v>345</v>
      </c>
      <c r="B75" s="108" t="s">
        <v>209</v>
      </c>
      <c r="C75" s="109" t="s">
        <v>205</v>
      </c>
      <c r="E75" s="114">
        <v>544200098770425</v>
      </c>
      <c r="F75" s="110" t="s">
        <v>276</v>
      </c>
      <c r="G75" s="110">
        <v>4</v>
      </c>
      <c r="I75" s="110">
        <v>13</v>
      </c>
      <c r="J75" s="111">
        <v>12.541337943634536</v>
      </c>
      <c r="K75" s="111">
        <v>163.03739326724897</v>
      </c>
      <c r="L75" s="110">
        <v>0</v>
      </c>
      <c r="M75" s="112">
        <v>12.541337943634536</v>
      </c>
      <c r="N75" s="112">
        <v>0</v>
      </c>
      <c r="O75" s="112">
        <v>0</v>
      </c>
      <c r="P75" s="112">
        <v>12.541337943634536</v>
      </c>
      <c r="Q75" s="112">
        <v>0</v>
      </c>
      <c r="R75" s="112">
        <v>0</v>
      </c>
      <c r="S75" s="112">
        <v>8.3650724084042363</v>
      </c>
      <c r="T75" s="112">
        <v>0</v>
      </c>
      <c r="U75" s="112">
        <v>48.91121798017469</v>
      </c>
      <c r="V75" s="112">
        <v>1.17</v>
      </c>
      <c r="W75" s="112">
        <v>15.209999999999999</v>
      </c>
      <c r="X75" s="112">
        <v>0</v>
      </c>
      <c r="Y75" s="112">
        <v>0</v>
      </c>
      <c r="Z75" s="112">
        <v>15.209999999999999</v>
      </c>
      <c r="AA75" s="112">
        <v>84.340497670942256</v>
      </c>
      <c r="AB75" s="112">
        <v>247.37789093819123</v>
      </c>
      <c r="AC75" s="112">
        <v>235.00899639128167</v>
      </c>
      <c r="AD75" s="112">
        <v>12.368894546909562</v>
      </c>
      <c r="AE75" s="112">
        <v>24.655241501996869</v>
      </c>
      <c r="AF75" s="112">
        <v>37.024136048906428</v>
      </c>
      <c r="AG75" s="112">
        <v>0</v>
      </c>
      <c r="AH75" s="112">
        <v>274.47497286945946</v>
      </c>
      <c r="AI75" s="112">
        <v>32.159125821964864</v>
      </c>
      <c r="AJ75" s="112">
        <v>4.9475578187638245</v>
      </c>
      <c r="AK75" s="112">
        <v>1.2368894546909561</v>
      </c>
      <c r="AL75" s="112">
        <v>38.343573095419643</v>
      </c>
      <c r="AM75" s="112">
        <v>349.84268201378552</v>
      </c>
      <c r="AN75" s="112">
        <v>0</v>
      </c>
      <c r="AO75" s="112">
        <v>25</v>
      </c>
      <c r="AP75" s="112">
        <v>70</v>
      </c>
      <c r="AQ75" s="112">
        <v>55.974829122205684</v>
      </c>
      <c r="AR75" s="112">
        <v>500.8175111359912</v>
      </c>
      <c r="AU75" s="110">
        <v>0</v>
      </c>
      <c r="AV75" s="110">
        <v>0</v>
      </c>
      <c r="AW75" s="110">
        <v>0</v>
      </c>
      <c r="AX75" s="110">
        <v>8</v>
      </c>
      <c r="AY75" s="110">
        <v>36</v>
      </c>
      <c r="AZ75" s="111">
        <v>0</v>
      </c>
      <c r="BA75" s="111">
        <v>0</v>
      </c>
      <c r="BB75" s="111">
        <v>0</v>
      </c>
      <c r="BC75" s="111">
        <v>13.795471737997991</v>
      </c>
      <c r="BD75" s="111">
        <v>70.54502593294427</v>
      </c>
      <c r="BE75" s="111">
        <v>84.340497670942256</v>
      </c>
    </row>
    <row r="76" spans="1:57" s="110" customFormat="1" x14ac:dyDescent="0.25">
      <c r="A76" s="110" t="s">
        <v>346</v>
      </c>
      <c r="B76" s="108" t="s">
        <v>210</v>
      </c>
      <c r="C76" s="109" t="s">
        <v>205</v>
      </c>
      <c r="E76" s="114" t="s">
        <v>221</v>
      </c>
      <c r="F76" s="110" t="s">
        <v>277</v>
      </c>
      <c r="G76" s="110">
        <v>0</v>
      </c>
      <c r="I76" s="110">
        <v>12</v>
      </c>
      <c r="J76" s="111">
        <v>12.541337943634536</v>
      </c>
      <c r="K76" s="111">
        <v>150.49605532361443</v>
      </c>
      <c r="L76" s="110">
        <v>0</v>
      </c>
      <c r="M76" s="112">
        <v>12.541337943634536</v>
      </c>
      <c r="N76" s="112">
        <v>0</v>
      </c>
      <c r="O76" s="112">
        <v>0</v>
      </c>
      <c r="P76" s="112">
        <v>12.541337943634536</v>
      </c>
      <c r="Q76" s="112">
        <v>0</v>
      </c>
      <c r="R76" s="112">
        <v>0</v>
      </c>
      <c r="S76" s="112">
        <v>8.3650724084042363</v>
      </c>
      <c r="T76" s="112">
        <v>0</v>
      </c>
      <c r="U76" s="112">
        <v>45.148816597084327</v>
      </c>
      <c r="V76" s="112">
        <v>1.17</v>
      </c>
      <c r="W76" s="112">
        <v>14.04</v>
      </c>
      <c r="X76" s="112">
        <v>0</v>
      </c>
      <c r="Y76" s="112">
        <v>0</v>
      </c>
      <c r="Z76" s="112">
        <v>14.04</v>
      </c>
      <c r="AA76" s="112">
        <v>84.340497670942256</v>
      </c>
      <c r="AB76" s="112">
        <v>234.83655299455668</v>
      </c>
      <c r="AC76" s="112">
        <v>223.09472534482884</v>
      </c>
      <c r="AD76" s="112">
        <v>11.741827649727835</v>
      </c>
      <c r="AE76" s="112">
        <v>25.012034888680844</v>
      </c>
      <c r="AF76" s="112">
        <v>36.753862538408683</v>
      </c>
      <c r="AG76" s="112">
        <v>0</v>
      </c>
      <c r="AH76" s="112">
        <v>257.27150705323237</v>
      </c>
      <c r="AI76" s="112">
        <v>30.528751889292369</v>
      </c>
      <c r="AJ76" s="112">
        <v>4.6967310598911336</v>
      </c>
      <c r="AK76" s="112">
        <v>1.1741827649727834</v>
      </c>
      <c r="AL76" s="112">
        <v>36.399665714156285</v>
      </c>
      <c r="AM76" s="112">
        <v>330.42503530579734</v>
      </c>
      <c r="AN76" s="112">
        <v>0</v>
      </c>
      <c r="AO76" s="112">
        <v>25</v>
      </c>
      <c r="AP76" s="112">
        <v>70</v>
      </c>
      <c r="AQ76" s="112">
        <v>52.868005648927578</v>
      </c>
      <c r="AR76" s="112">
        <v>478.29304095472492</v>
      </c>
      <c r="AU76" s="110">
        <v>0</v>
      </c>
      <c r="AV76" s="110">
        <v>0</v>
      </c>
      <c r="AW76" s="110">
        <v>0</v>
      </c>
      <c r="AX76" s="110">
        <v>8</v>
      </c>
      <c r="AY76" s="110">
        <v>36</v>
      </c>
      <c r="AZ76" s="111">
        <v>0</v>
      </c>
      <c r="BA76" s="111">
        <v>0</v>
      </c>
      <c r="BB76" s="111">
        <v>0</v>
      </c>
      <c r="BC76" s="111">
        <v>13.795471737997991</v>
      </c>
      <c r="BD76" s="111">
        <v>70.54502593294427</v>
      </c>
      <c r="BE76" s="111">
        <v>84.340497670942256</v>
      </c>
    </row>
    <row r="77" spans="1:57" s="110" customFormat="1" x14ac:dyDescent="0.25">
      <c r="A77" s="110" t="s">
        <v>347</v>
      </c>
      <c r="B77" s="108" t="s">
        <v>211</v>
      </c>
      <c r="C77" s="109" t="s">
        <v>205</v>
      </c>
      <c r="E77" s="114">
        <v>544200213264181</v>
      </c>
      <c r="F77" s="110" t="s">
        <v>276</v>
      </c>
      <c r="G77" s="110">
        <v>0</v>
      </c>
      <c r="I77" s="110">
        <v>13</v>
      </c>
      <c r="J77" s="111">
        <v>12.541337943634536</v>
      </c>
      <c r="K77" s="111">
        <v>163.03739326724897</v>
      </c>
      <c r="L77" s="110">
        <v>0</v>
      </c>
      <c r="M77" s="112">
        <v>12.541337943634536</v>
      </c>
      <c r="N77" s="112">
        <v>0</v>
      </c>
      <c r="O77" s="112">
        <v>0</v>
      </c>
      <c r="P77" s="112">
        <v>12.541337943634536</v>
      </c>
      <c r="Q77" s="112">
        <v>0</v>
      </c>
      <c r="R77" s="112">
        <v>0</v>
      </c>
      <c r="S77" s="112">
        <v>8.3650724084042363</v>
      </c>
      <c r="T77" s="112">
        <v>0</v>
      </c>
      <c r="U77" s="112">
        <v>48.91121798017469</v>
      </c>
      <c r="V77" s="112">
        <v>1.17</v>
      </c>
      <c r="W77" s="112">
        <v>15.209999999999999</v>
      </c>
      <c r="X77" s="112">
        <v>0</v>
      </c>
      <c r="Y77" s="112">
        <v>0</v>
      </c>
      <c r="Z77" s="112">
        <v>15.209999999999999</v>
      </c>
      <c r="AA77" s="112">
        <v>100.01717010048543</v>
      </c>
      <c r="AB77" s="112">
        <v>263.05456336773443</v>
      </c>
      <c r="AC77" s="112">
        <v>249.90183519934772</v>
      </c>
      <c r="AD77" s="112">
        <v>13.152728168386723</v>
      </c>
      <c r="AE77" s="112">
        <v>29.033101366858681</v>
      </c>
      <c r="AF77" s="112">
        <v>42.185829535245404</v>
      </c>
      <c r="AG77" s="112">
        <v>0</v>
      </c>
      <c r="AH77" s="112">
        <v>284.98995181266366</v>
      </c>
      <c r="AI77" s="112">
        <v>34.197093237805475</v>
      </c>
      <c r="AJ77" s="112">
        <v>5.261091267354689</v>
      </c>
      <c r="AK77" s="112">
        <v>1.3152728168386723</v>
      </c>
      <c r="AL77" s="112">
        <v>40.773457321998833</v>
      </c>
      <c r="AM77" s="112">
        <v>367.94923866990786</v>
      </c>
      <c r="AN77" s="112">
        <v>0</v>
      </c>
      <c r="AO77" s="112">
        <v>25</v>
      </c>
      <c r="AP77" s="112">
        <v>70</v>
      </c>
      <c r="AQ77" s="112">
        <v>58.87187818718526</v>
      </c>
      <c r="AR77" s="112">
        <v>521.8211168570931</v>
      </c>
      <c r="AU77" s="110">
        <v>0</v>
      </c>
      <c r="AV77" s="110">
        <v>0</v>
      </c>
      <c r="AW77" s="110">
        <v>0</v>
      </c>
      <c r="AX77" s="110">
        <v>8</v>
      </c>
      <c r="AY77" s="110">
        <v>44</v>
      </c>
      <c r="AZ77" s="111">
        <v>0</v>
      </c>
      <c r="BA77" s="111">
        <v>0</v>
      </c>
      <c r="BB77" s="111">
        <v>0</v>
      </c>
      <c r="BC77" s="111">
        <v>13.795471737997991</v>
      </c>
      <c r="BD77" s="111">
        <v>86.221698362487444</v>
      </c>
      <c r="BE77" s="111">
        <v>100.01717010048543</v>
      </c>
    </row>
    <row r="78" spans="1:57" s="110" customFormat="1" x14ac:dyDescent="0.25">
      <c r="A78" s="110" t="s">
        <v>348</v>
      </c>
      <c r="B78" s="108" t="s">
        <v>212</v>
      </c>
      <c r="C78" s="109" t="s">
        <v>205</v>
      </c>
      <c r="E78" s="114">
        <v>544200133117931</v>
      </c>
      <c r="F78" s="110" t="s">
        <v>276</v>
      </c>
      <c r="G78" s="110">
        <v>0</v>
      </c>
      <c r="I78" s="110">
        <v>10</v>
      </c>
      <c r="J78" s="111">
        <v>12.541337943634536</v>
      </c>
      <c r="K78" s="111">
        <v>125.41337943634537</v>
      </c>
      <c r="L78" s="110">
        <v>0</v>
      </c>
      <c r="M78" s="112">
        <v>12.541337943634536</v>
      </c>
      <c r="N78" s="112">
        <v>0</v>
      </c>
      <c r="O78" s="112">
        <v>0</v>
      </c>
      <c r="P78" s="112">
        <v>12.541337943634536</v>
      </c>
      <c r="Q78" s="112">
        <v>0</v>
      </c>
      <c r="R78" s="112">
        <v>0</v>
      </c>
      <c r="S78" s="112">
        <v>8.3650724084042363</v>
      </c>
      <c r="T78" s="112">
        <v>0</v>
      </c>
      <c r="U78" s="112">
        <v>37.624013830903607</v>
      </c>
      <c r="V78" s="112">
        <v>1.17</v>
      </c>
      <c r="W78" s="112">
        <v>11.7</v>
      </c>
      <c r="X78" s="112">
        <v>0</v>
      </c>
      <c r="Y78" s="112">
        <v>0</v>
      </c>
      <c r="Z78" s="112">
        <v>11.7</v>
      </c>
      <c r="AA78" s="112">
        <v>52.987152811855921</v>
      </c>
      <c r="AB78" s="112">
        <v>178.40053224820127</v>
      </c>
      <c r="AC78" s="112">
        <v>169.48050563579122</v>
      </c>
      <c r="AD78" s="112">
        <v>8.920026612410064</v>
      </c>
      <c r="AE78" s="112">
        <v>16.969901932325204</v>
      </c>
      <c r="AF78" s="112">
        <v>25.88992854473527</v>
      </c>
      <c r="AG78" s="112">
        <v>0</v>
      </c>
      <c r="AH78" s="112">
        <v>201.83461753436961</v>
      </c>
      <c r="AI78" s="112">
        <v>23.192069192266167</v>
      </c>
      <c r="AJ78" s="112">
        <v>3.5680106449640254</v>
      </c>
      <c r="AK78" s="112">
        <v>0.89200266124100636</v>
      </c>
      <c r="AL78" s="112">
        <v>27.652082498471199</v>
      </c>
      <c r="AM78" s="112">
        <v>255.37662857757607</v>
      </c>
      <c r="AN78" s="112">
        <v>0</v>
      </c>
      <c r="AO78" s="112">
        <v>25</v>
      </c>
      <c r="AP78" s="112">
        <v>70</v>
      </c>
      <c r="AQ78" s="112">
        <v>40.860260572412173</v>
      </c>
      <c r="AR78" s="112">
        <v>391.23688914998826</v>
      </c>
      <c r="AU78" s="110">
        <v>0</v>
      </c>
      <c r="AV78" s="110">
        <v>0</v>
      </c>
      <c r="AW78" s="110">
        <v>0</v>
      </c>
      <c r="AX78" s="110">
        <v>8</v>
      </c>
      <c r="AY78" s="110">
        <v>20</v>
      </c>
      <c r="AZ78" s="111">
        <v>0</v>
      </c>
      <c r="BA78" s="111">
        <v>0</v>
      </c>
      <c r="BB78" s="111">
        <v>0</v>
      </c>
      <c r="BC78" s="111">
        <v>13.795471737997991</v>
      </c>
      <c r="BD78" s="111">
        <v>39.191681073857929</v>
      </c>
      <c r="BE78" s="111">
        <v>52.987152811855921</v>
      </c>
    </row>
    <row r="79" spans="1:57" s="110" customFormat="1" x14ac:dyDescent="0.25">
      <c r="A79" s="110" t="s">
        <v>349</v>
      </c>
      <c r="B79" s="108" t="s">
        <v>213</v>
      </c>
      <c r="C79" s="109" t="s">
        <v>205</v>
      </c>
      <c r="E79" s="114">
        <v>544100020595414</v>
      </c>
      <c r="F79" s="110" t="s">
        <v>276</v>
      </c>
      <c r="G79" s="110">
        <v>3</v>
      </c>
      <c r="I79" s="110">
        <v>13</v>
      </c>
      <c r="J79" s="111">
        <v>12.541337943634536</v>
      </c>
      <c r="K79" s="111">
        <v>163.03739326724897</v>
      </c>
      <c r="L79" s="110">
        <v>0</v>
      </c>
      <c r="M79" s="112">
        <v>12.541337943634536</v>
      </c>
      <c r="N79" s="112">
        <v>0</v>
      </c>
      <c r="O79" s="112">
        <v>0</v>
      </c>
      <c r="P79" s="112">
        <v>12.541337943634536</v>
      </c>
      <c r="Q79" s="112">
        <v>0</v>
      </c>
      <c r="R79" s="112">
        <v>0</v>
      </c>
      <c r="S79" s="112">
        <v>8.3650724084042363</v>
      </c>
      <c r="T79" s="112">
        <v>0</v>
      </c>
      <c r="U79" s="112">
        <v>48.91121798017469</v>
      </c>
      <c r="V79" s="112">
        <v>1.17</v>
      </c>
      <c r="W79" s="112">
        <v>15.209999999999999</v>
      </c>
      <c r="X79" s="112">
        <v>0</v>
      </c>
      <c r="Y79" s="112">
        <v>0</v>
      </c>
      <c r="Z79" s="112">
        <v>15.209999999999999</v>
      </c>
      <c r="AA79" s="112">
        <v>89.748949659134652</v>
      </c>
      <c r="AB79" s="112">
        <v>252.78634292638361</v>
      </c>
      <c r="AC79" s="112">
        <v>240.14702578006444</v>
      </c>
      <c r="AD79" s="112">
        <v>12.639317146319181</v>
      </c>
      <c r="AE79" s="112">
        <v>25.915687156728218</v>
      </c>
      <c r="AF79" s="112">
        <v>38.555004303047397</v>
      </c>
      <c r="AG79" s="112">
        <v>0</v>
      </c>
      <c r="AH79" s="112">
        <v>278.35255660351089</v>
      </c>
      <c r="AI79" s="112">
        <v>32.862224580429867</v>
      </c>
      <c r="AJ79" s="112">
        <v>5.055726858527672</v>
      </c>
      <c r="AK79" s="112">
        <v>1.263931714631918</v>
      </c>
      <c r="AL79" s="112">
        <v>39.181883153589453</v>
      </c>
      <c r="AM79" s="112">
        <v>356.08944406014774</v>
      </c>
      <c r="AN79" s="112">
        <v>0</v>
      </c>
      <c r="AO79" s="112">
        <v>25</v>
      </c>
      <c r="AP79" s="112">
        <v>70</v>
      </c>
      <c r="AQ79" s="112">
        <v>56.974311049623637</v>
      </c>
      <c r="AR79" s="112">
        <v>508.06375510977136</v>
      </c>
      <c r="AU79" s="110">
        <v>0</v>
      </c>
      <c r="AV79" s="110">
        <v>0</v>
      </c>
      <c r="AW79" s="110">
        <v>0</v>
      </c>
      <c r="AX79" s="110">
        <v>10</v>
      </c>
      <c r="AY79" s="110">
        <v>37</v>
      </c>
      <c r="AZ79" s="111">
        <v>0</v>
      </c>
      <c r="BA79" s="111">
        <v>0</v>
      </c>
      <c r="BB79" s="111">
        <v>0</v>
      </c>
      <c r="BC79" s="111">
        <v>17.244339672497489</v>
      </c>
      <c r="BD79" s="111">
        <v>72.504609986637163</v>
      </c>
      <c r="BE79" s="111">
        <v>89.748949659134652</v>
      </c>
    </row>
    <row r="80" spans="1:57" s="110" customFormat="1" x14ac:dyDescent="0.25">
      <c r="A80" s="110" t="s">
        <v>350</v>
      </c>
      <c r="B80" s="108" t="s">
        <v>214</v>
      </c>
      <c r="C80" s="109" t="s">
        <v>205</v>
      </c>
      <c r="E80" s="114">
        <v>544200132372389</v>
      </c>
      <c r="F80" s="110" t="s">
        <v>276</v>
      </c>
      <c r="G80" s="110">
        <v>3</v>
      </c>
      <c r="I80" s="110">
        <v>13</v>
      </c>
      <c r="J80" s="111">
        <v>12.541337943634536</v>
      </c>
      <c r="K80" s="111">
        <v>163.03739326724897</v>
      </c>
      <c r="L80" s="110">
        <v>0</v>
      </c>
      <c r="M80" s="112">
        <v>12.541337943634536</v>
      </c>
      <c r="N80" s="112">
        <v>0</v>
      </c>
      <c r="O80" s="112">
        <v>0</v>
      </c>
      <c r="P80" s="112">
        <v>12.541337943634536</v>
      </c>
      <c r="Q80" s="112">
        <v>0</v>
      </c>
      <c r="R80" s="112">
        <v>0</v>
      </c>
      <c r="S80" s="112">
        <v>8.3650724084042363</v>
      </c>
      <c r="T80" s="112">
        <v>0</v>
      </c>
      <c r="U80" s="112">
        <v>48.91121798017469</v>
      </c>
      <c r="V80" s="112">
        <v>1.17</v>
      </c>
      <c r="W80" s="112">
        <v>15.209999999999999</v>
      </c>
      <c r="X80" s="112">
        <v>0</v>
      </c>
      <c r="Y80" s="112">
        <v>0</v>
      </c>
      <c r="Z80" s="112">
        <v>15.209999999999999</v>
      </c>
      <c r="AA80" s="112">
        <v>84.340497670942256</v>
      </c>
      <c r="AB80" s="112">
        <v>247.37789093819123</v>
      </c>
      <c r="AC80" s="112">
        <v>235.00899639128167</v>
      </c>
      <c r="AD80" s="112">
        <v>12.368894546909562</v>
      </c>
      <c r="AE80" s="112">
        <v>25.19122501290984</v>
      </c>
      <c r="AF80" s="112">
        <v>37.560119559819398</v>
      </c>
      <c r="AG80" s="112">
        <v>0</v>
      </c>
      <c r="AH80" s="112">
        <v>273.93898935854651</v>
      </c>
      <c r="AI80" s="112">
        <v>32.159125821964864</v>
      </c>
      <c r="AJ80" s="112">
        <v>4.9475578187638245</v>
      </c>
      <c r="AK80" s="112">
        <v>1.2368894546909561</v>
      </c>
      <c r="AL80" s="112">
        <v>38.343573095419643</v>
      </c>
      <c r="AM80" s="112">
        <v>349.84268201378552</v>
      </c>
      <c r="AN80" s="112">
        <v>0</v>
      </c>
      <c r="AO80" s="112">
        <v>25</v>
      </c>
      <c r="AP80" s="112">
        <v>70</v>
      </c>
      <c r="AQ80" s="112">
        <v>55.974829122205684</v>
      </c>
      <c r="AR80" s="112">
        <v>500.8175111359912</v>
      </c>
      <c r="AU80" s="110">
        <v>0</v>
      </c>
      <c r="AV80" s="110">
        <v>0</v>
      </c>
      <c r="AW80" s="110">
        <v>0</v>
      </c>
      <c r="AX80" s="110">
        <v>8</v>
      </c>
      <c r="AY80" s="110">
        <v>36</v>
      </c>
      <c r="AZ80" s="111">
        <v>0</v>
      </c>
      <c r="BA80" s="111">
        <v>0</v>
      </c>
      <c r="BB80" s="111">
        <v>0</v>
      </c>
      <c r="BC80" s="111">
        <v>13.795471737997991</v>
      </c>
      <c r="BD80" s="111">
        <v>70.54502593294427</v>
      </c>
      <c r="BE80" s="111">
        <v>84.340497670942256</v>
      </c>
    </row>
    <row r="81" spans="1:57" s="110" customFormat="1" x14ac:dyDescent="0.25">
      <c r="A81" s="110" t="s">
        <v>351</v>
      </c>
      <c r="B81" s="108" t="s">
        <v>215</v>
      </c>
      <c r="C81" s="109" t="s">
        <v>205</v>
      </c>
      <c r="E81" s="114">
        <v>544200135243201</v>
      </c>
      <c r="F81" s="110" t="s">
        <v>276</v>
      </c>
      <c r="G81" s="110">
        <v>0</v>
      </c>
      <c r="I81" s="110">
        <v>12</v>
      </c>
      <c r="J81" s="111">
        <v>12.541337943634536</v>
      </c>
      <c r="K81" s="111">
        <v>150.49605532361443</v>
      </c>
      <c r="L81" s="110">
        <v>0</v>
      </c>
      <c r="M81" s="112">
        <v>12.541337943634536</v>
      </c>
      <c r="N81" s="112">
        <v>0</v>
      </c>
      <c r="O81" s="112">
        <v>0</v>
      </c>
      <c r="P81" s="112">
        <v>12.541337943634536</v>
      </c>
      <c r="Q81" s="112">
        <v>0</v>
      </c>
      <c r="R81" s="112">
        <v>0</v>
      </c>
      <c r="S81" s="112">
        <v>8.3650724084042363</v>
      </c>
      <c r="T81" s="112">
        <v>0</v>
      </c>
      <c r="U81" s="112">
        <v>45.148816597084327</v>
      </c>
      <c r="V81" s="112">
        <v>1.17</v>
      </c>
      <c r="W81" s="112">
        <v>14.04</v>
      </c>
      <c r="X81" s="112">
        <v>0</v>
      </c>
      <c r="Y81" s="112">
        <v>0</v>
      </c>
      <c r="Z81" s="112">
        <v>14.04</v>
      </c>
      <c r="AA81" s="112">
        <v>84.340497670942256</v>
      </c>
      <c r="AB81" s="112">
        <v>234.83655299455668</v>
      </c>
      <c r="AC81" s="112">
        <v>223.09472534482884</v>
      </c>
      <c r="AD81" s="112">
        <v>11.741827649727835</v>
      </c>
      <c r="AE81" s="112">
        <v>25.012034888680844</v>
      </c>
      <c r="AF81" s="112">
        <v>36.753862538408683</v>
      </c>
      <c r="AG81" s="112">
        <v>0</v>
      </c>
      <c r="AH81" s="112">
        <v>257.27150705323237</v>
      </c>
      <c r="AI81" s="112">
        <v>30.528751889292369</v>
      </c>
      <c r="AJ81" s="112">
        <v>4.6967310598911336</v>
      </c>
      <c r="AK81" s="112">
        <v>1.1741827649727834</v>
      </c>
      <c r="AL81" s="112">
        <v>36.399665714156285</v>
      </c>
      <c r="AM81" s="112">
        <v>330.42503530579734</v>
      </c>
      <c r="AN81" s="112">
        <v>0</v>
      </c>
      <c r="AO81" s="112">
        <v>25</v>
      </c>
      <c r="AP81" s="112">
        <v>70</v>
      </c>
      <c r="AQ81" s="112">
        <v>52.868005648927578</v>
      </c>
      <c r="AR81" s="112">
        <v>478.29304095472492</v>
      </c>
      <c r="AU81" s="110">
        <v>0</v>
      </c>
      <c r="AV81" s="110">
        <v>0</v>
      </c>
      <c r="AW81" s="110">
        <v>0</v>
      </c>
      <c r="AX81" s="110">
        <v>8</v>
      </c>
      <c r="AY81" s="110">
        <v>36</v>
      </c>
      <c r="AZ81" s="111">
        <v>0</v>
      </c>
      <c r="BA81" s="111">
        <v>0</v>
      </c>
      <c r="BB81" s="111">
        <v>0</v>
      </c>
      <c r="BC81" s="111">
        <v>13.795471737997991</v>
      </c>
      <c r="BD81" s="111">
        <v>70.54502593294427</v>
      </c>
      <c r="BE81" s="111">
        <v>84.340497670942256</v>
      </c>
    </row>
    <row r="82" spans="1:57" s="110" customFormat="1" x14ac:dyDescent="0.25">
      <c r="A82" s="110" t="s">
        <v>352</v>
      </c>
      <c r="B82" s="108" t="s">
        <v>216</v>
      </c>
      <c r="C82" s="109" t="s">
        <v>205</v>
      </c>
      <c r="E82" s="114">
        <v>260000129076680</v>
      </c>
      <c r="F82" s="110" t="s">
        <v>276</v>
      </c>
      <c r="G82" s="110">
        <v>1</v>
      </c>
      <c r="J82" s="111">
        <v>14.277750515261552</v>
      </c>
      <c r="K82" s="111">
        <v>0</v>
      </c>
      <c r="L82" s="110">
        <v>0</v>
      </c>
      <c r="M82" s="112">
        <v>14.277750515261552</v>
      </c>
      <c r="N82" s="112">
        <v>0</v>
      </c>
      <c r="O82" s="112">
        <v>0</v>
      </c>
      <c r="P82" s="112">
        <v>14.277750515261552</v>
      </c>
      <c r="Q82" s="112">
        <v>0</v>
      </c>
      <c r="R82" s="112">
        <v>0</v>
      </c>
      <c r="S82" s="112">
        <v>9.5232595936794553</v>
      </c>
      <c r="T82" s="112">
        <v>0</v>
      </c>
      <c r="U82" s="112">
        <v>0</v>
      </c>
      <c r="V82" s="112">
        <v>1.17</v>
      </c>
      <c r="W82" s="112">
        <v>0</v>
      </c>
      <c r="X82" s="112">
        <v>0</v>
      </c>
      <c r="Y82" s="112">
        <v>0</v>
      </c>
      <c r="Z82" s="112">
        <v>0</v>
      </c>
      <c r="AA82" s="112">
        <v>0</v>
      </c>
      <c r="AB82" s="112">
        <v>0</v>
      </c>
      <c r="AC82" s="112">
        <v>0</v>
      </c>
      <c r="AD82" s="112">
        <v>0</v>
      </c>
      <c r="AE82" s="112">
        <v>0.98</v>
      </c>
      <c r="AF82" s="112">
        <v>0.98</v>
      </c>
      <c r="AG82" s="112">
        <v>0</v>
      </c>
      <c r="AH82" s="112">
        <v>-0.98</v>
      </c>
      <c r="AI82" s="112">
        <v>0</v>
      </c>
      <c r="AJ82" s="112">
        <v>0</v>
      </c>
      <c r="AK82" s="112">
        <v>0</v>
      </c>
      <c r="AL82" s="112">
        <v>0</v>
      </c>
      <c r="AM82" s="112">
        <v>0</v>
      </c>
      <c r="AN82" s="112">
        <v>0</v>
      </c>
      <c r="AO82" s="112">
        <v>25</v>
      </c>
      <c r="AP82" s="112">
        <v>70</v>
      </c>
      <c r="AQ82" s="112">
        <v>0</v>
      </c>
      <c r="AR82" s="112">
        <v>95</v>
      </c>
      <c r="AU82" s="110">
        <v>0</v>
      </c>
      <c r="AV82" s="110">
        <v>0</v>
      </c>
      <c r="AW82" s="110">
        <v>0</v>
      </c>
      <c r="AX82" s="110">
        <v>0</v>
      </c>
      <c r="AY82" s="110">
        <v>0</v>
      </c>
      <c r="AZ82" s="111">
        <v>0</v>
      </c>
      <c r="BA82" s="111">
        <v>0</v>
      </c>
      <c r="BB82" s="111">
        <v>0</v>
      </c>
      <c r="BC82" s="111">
        <v>0</v>
      </c>
      <c r="BD82" s="111">
        <v>0</v>
      </c>
      <c r="BE82" s="111">
        <v>0</v>
      </c>
    </row>
    <row r="83" spans="1:57" s="110" customFormat="1" x14ac:dyDescent="0.25">
      <c r="A83" s="110" t="s">
        <v>353</v>
      </c>
      <c r="B83" s="108" t="s">
        <v>217</v>
      </c>
      <c r="C83" s="109" t="s">
        <v>205</v>
      </c>
      <c r="E83" s="114">
        <v>260000143698557</v>
      </c>
      <c r="F83" s="110" t="s">
        <v>276</v>
      </c>
      <c r="G83" s="110">
        <v>2</v>
      </c>
      <c r="I83" s="110">
        <v>13</v>
      </c>
      <c r="J83" s="111">
        <v>14.277750515261552</v>
      </c>
      <c r="K83" s="111">
        <v>185.61075669840017</v>
      </c>
      <c r="L83" s="110">
        <v>0</v>
      </c>
      <c r="M83" s="112">
        <v>14.277750515261552</v>
      </c>
      <c r="N83" s="112">
        <v>0</v>
      </c>
      <c r="O83" s="112">
        <v>0</v>
      </c>
      <c r="P83" s="112">
        <v>14.277750515261552</v>
      </c>
      <c r="Q83" s="112">
        <v>0</v>
      </c>
      <c r="R83" s="112">
        <v>0</v>
      </c>
      <c r="S83" s="112">
        <v>9.5232595936794553</v>
      </c>
      <c r="T83" s="112">
        <v>0</v>
      </c>
      <c r="U83" s="112">
        <v>55.683227009520046</v>
      </c>
      <c r="V83" s="112">
        <v>1.17</v>
      </c>
      <c r="W83" s="112">
        <v>15.209999999999999</v>
      </c>
      <c r="X83" s="112">
        <v>0</v>
      </c>
      <c r="Y83" s="112">
        <v>0</v>
      </c>
      <c r="Z83" s="112">
        <v>15.209999999999999</v>
      </c>
      <c r="AA83" s="112">
        <v>113.86506035921089</v>
      </c>
      <c r="AB83" s="112">
        <v>299.47581705761104</v>
      </c>
      <c r="AC83" s="112">
        <v>284.5020262047305</v>
      </c>
      <c r="AD83" s="112">
        <v>14.973790852880553</v>
      </c>
      <c r="AE83" s="112">
        <v>32.854204816959445</v>
      </c>
      <c r="AF83" s="112">
        <v>47.82799566984</v>
      </c>
      <c r="AG83" s="112">
        <v>0</v>
      </c>
      <c r="AH83" s="112">
        <v>322.54104839729109</v>
      </c>
      <c r="AI83" s="112">
        <v>38.93185621748944</v>
      </c>
      <c r="AJ83" s="112">
        <v>5.9895163411522212</v>
      </c>
      <c r="AK83" s="112">
        <v>1.4973790852880553</v>
      </c>
      <c r="AL83" s="112">
        <v>46.418751643929717</v>
      </c>
      <c r="AM83" s="112">
        <v>416.78779571106082</v>
      </c>
      <c r="AN83" s="112">
        <v>0</v>
      </c>
      <c r="AO83" s="112">
        <v>25</v>
      </c>
      <c r="AP83" s="112">
        <v>70</v>
      </c>
      <c r="AQ83" s="112">
        <v>66.686047313769734</v>
      </c>
      <c r="AR83" s="112">
        <v>578.47384302483056</v>
      </c>
      <c r="AU83" s="110">
        <v>0</v>
      </c>
      <c r="AV83" s="110">
        <v>0</v>
      </c>
      <c r="AW83" s="110">
        <v>0</v>
      </c>
      <c r="AX83" s="110">
        <v>8</v>
      </c>
      <c r="AY83" s="110">
        <v>44</v>
      </c>
      <c r="AZ83" s="111">
        <v>0</v>
      </c>
      <c r="BA83" s="111">
        <v>0</v>
      </c>
      <c r="BB83" s="111">
        <v>0</v>
      </c>
      <c r="BC83" s="111">
        <v>15.705525566787708</v>
      </c>
      <c r="BD83" s="111">
        <v>98.159534792423173</v>
      </c>
      <c r="BE83" s="111">
        <v>113.86506035921089</v>
      </c>
    </row>
    <row r="84" spans="1:57" s="110" customFormat="1" x14ac:dyDescent="0.25">
      <c r="A84" s="110" t="s">
        <v>354</v>
      </c>
      <c r="B84" s="108" t="s">
        <v>218</v>
      </c>
      <c r="C84" s="109" t="s">
        <v>205</v>
      </c>
      <c r="E84" s="114">
        <v>260000129076971</v>
      </c>
      <c r="F84" s="110" t="s">
        <v>276</v>
      </c>
      <c r="G84" s="110">
        <v>1</v>
      </c>
      <c r="I84" s="110">
        <v>13</v>
      </c>
      <c r="J84" s="111">
        <v>14.277750515261552</v>
      </c>
      <c r="K84" s="111">
        <v>185.61075669840017</v>
      </c>
      <c r="L84" s="110">
        <v>0</v>
      </c>
      <c r="M84" s="112">
        <v>14.277750515261552</v>
      </c>
      <c r="N84" s="112">
        <v>0</v>
      </c>
      <c r="O84" s="112">
        <v>0</v>
      </c>
      <c r="P84" s="112">
        <v>14.277750515261552</v>
      </c>
      <c r="Q84" s="112">
        <v>0</v>
      </c>
      <c r="R84" s="112">
        <v>0</v>
      </c>
      <c r="S84" s="112">
        <v>9.5232595936794553</v>
      </c>
      <c r="T84" s="112">
        <v>0</v>
      </c>
      <c r="U84" s="112">
        <v>55.683227009520046</v>
      </c>
      <c r="V84" s="112">
        <v>1.17</v>
      </c>
      <c r="W84" s="112">
        <v>15.209999999999999</v>
      </c>
      <c r="X84" s="112">
        <v>0</v>
      </c>
      <c r="Y84" s="112">
        <v>0</v>
      </c>
      <c r="Z84" s="112">
        <v>15.209999999999999</v>
      </c>
      <c r="AA84" s="112">
        <v>102.17515212484048</v>
      </c>
      <c r="AB84" s="112">
        <v>287.78590882324067</v>
      </c>
      <c r="AC84" s="112">
        <v>273.39661338207861</v>
      </c>
      <c r="AD84" s="112">
        <v>14.389295441162034</v>
      </c>
      <c r="AE84" s="112">
        <v>31.906171732382948</v>
      </c>
      <c r="AF84" s="112">
        <v>46.295467173544978</v>
      </c>
      <c r="AG84" s="112">
        <v>0</v>
      </c>
      <c r="AH84" s="112">
        <v>312.38366865921574</v>
      </c>
      <c r="AI84" s="112">
        <v>37.412168147021291</v>
      </c>
      <c r="AJ84" s="112">
        <v>5.7557181764648133</v>
      </c>
      <c r="AK84" s="112">
        <v>1.4389295441162033</v>
      </c>
      <c r="AL84" s="112">
        <v>44.606815867602307</v>
      </c>
      <c r="AM84" s="112">
        <v>403.28595170036306</v>
      </c>
      <c r="AN84" s="112">
        <v>0</v>
      </c>
      <c r="AO84" s="112">
        <v>25</v>
      </c>
      <c r="AP84" s="112">
        <v>70</v>
      </c>
      <c r="AQ84" s="112">
        <v>64.525752272058085</v>
      </c>
      <c r="AR84" s="112">
        <v>562.81170397242113</v>
      </c>
      <c r="AU84" s="110">
        <v>0</v>
      </c>
      <c r="AV84" s="110">
        <v>0</v>
      </c>
      <c r="AW84" s="110">
        <v>0</v>
      </c>
      <c r="AX84" s="110">
        <v>10</v>
      </c>
      <c r="AY84" s="110">
        <v>37</v>
      </c>
      <c r="AZ84" s="111">
        <v>0</v>
      </c>
      <c r="BA84" s="111">
        <v>0</v>
      </c>
      <c r="BB84" s="111">
        <v>0</v>
      </c>
      <c r="BC84" s="111">
        <v>19.631906958484635</v>
      </c>
      <c r="BD84" s="111">
        <v>82.543245166355845</v>
      </c>
      <c r="BE84" s="111">
        <v>102.17515212484048</v>
      </c>
    </row>
    <row r="85" spans="1:57" s="110" customFormat="1" x14ac:dyDescent="0.25">
      <c r="A85" s="110" t="s">
        <v>355</v>
      </c>
      <c r="B85" s="108" t="s">
        <v>219</v>
      </c>
      <c r="C85" s="109" t="s">
        <v>205</v>
      </c>
      <c r="E85" s="114" t="s">
        <v>222</v>
      </c>
      <c r="F85" s="110" t="s">
        <v>277</v>
      </c>
      <c r="G85" s="110">
        <v>3</v>
      </c>
      <c r="I85" s="110">
        <v>13</v>
      </c>
      <c r="J85" s="111">
        <v>14.277750515261552</v>
      </c>
      <c r="K85" s="111">
        <v>185.61075669840017</v>
      </c>
      <c r="L85" s="110">
        <v>0</v>
      </c>
      <c r="M85" s="112">
        <v>14.277750515261552</v>
      </c>
      <c r="N85" s="112">
        <v>0</v>
      </c>
      <c r="O85" s="112">
        <v>0</v>
      </c>
      <c r="P85" s="112">
        <v>14.277750515261552</v>
      </c>
      <c r="Q85" s="112">
        <v>0</v>
      </c>
      <c r="R85" s="112">
        <v>0</v>
      </c>
      <c r="S85" s="112">
        <v>9.5232595936794553</v>
      </c>
      <c r="T85" s="112">
        <v>0</v>
      </c>
      <c r="U85" s="112">
        <v>55.683227009520046</v>
      </c>
      <c r="V85" s="112">
        <v>1.17</v>
      </c>
      <c r="W85" s="112">
        <v>15.209999999999999</v>
      </c>
      <c r="X85" s="112">
        <v>0</v>
      </c>
      <c r="Y85" s="112">
        <v>0</v>
      </c>
      <c r="Z85" s="112">
        <v>15.209999999999999</v>
      </c>
      <c r="AA85" s="112">
        <v>96.017872215133934</v>
      </c>
      <c r="AB85" s="112">
        <v>281.6286289135341</v>
      </c>
      <c r="AC85" s="112">
        <v>267.54719746785742</v>
      </c>
      <c r="AD85" s="112">
        <v>14.081431445676706</v>
      </c>
      <c r="AE85" s="112">
        <v>29.77911136470702</v>
      </c>
      <c r="AF85" s="112">
        <v>43.860542810383727</v>
      </c>
      <c r="AG85" s="112">
        <v>0</v>
      </c>
      <c r="AH85" s="112">
        <v>308.66131311267043</v>
      </c>
      <c r="AI85" s="112">
        <v>36.611721758759437</v>
      </c>
      <c r="AJ85" s="112">
        <v>5.6325725782706817</v>
      </c>
      <c r="AK85" s="112">
        <v>1.4081431445676704</v>
      </c>
      <c r="AL85" s="112">
        <v>43.652437481597786</v>
      </c>
      <c r="AM85" s="112">
        <v>396.17429340465196</v>
      </c>
      <c r="AN85" s="112">
        <v>0</v>
      </c>
      <c r="AO85" s="112">
        <v>25</v>
      </c>
      <c r="AP85" s="112">
        <v>70</v>
      </c>
      <c r="AQ85" s="112">
        <v>63.387886944744317</v>
      </c>
      <c r="AR85" s="112">
        <v>554.56218034939627</v>
      </c>
      <c r="AU85" s="110">
        <v>0</v>
      </c>
      <c r="AV85" s="110">
        <v>0</v>
      </c>
      <c r="AW85" s="110">
        <v>0</v>
      </c>
      <c r="AX85" s="110">
        <v>8</v>
      </c>
      <c r="AY85" s="110">
        <v>36</v>
      </c>
      <c r="AZ85" s="111">
        <v>0</v>
      </c>
      <c r="BA85" s="111">
        <v>0</v>
      </c>
      <c r="BB85" s="111">
        <v>0</v>
      </c>
      <c r="BC85" s="111">
        <v>15.705525566787708</v>
      </c>
      <c r="BD85" s="111">
        <v>80.312346648346221</v>
      </c>
      <c r="BE85" s="111">
        <v>96.017872215133934</v>
      </c>
    </row>
    <row r="86" spans="1:57" s="110" customFormat="1" x14ac:dyDescent="0.25">
      <c r="A86" s="110" t="s">
        <v>356</v>
      </c>
      <c r="B86" s="108" t="s">
        <v>220</v>
      </c>
      <c r="C86" s="109" t="s">
        <v>205</v>
      </c>
      <c r="E86" s="114" t="s">
        <v>223</v>
      </c>
      <c r="F86" s="110" t="s">
        <v>277</v>
      </c>
      <c r="G86" s="110">
        <v>3</v>
      </c>
      <c r="I86" s="110">
        <v>13</v>
      </c>
      <c r="J86" s="111">
        <v>14.277750515261552</v>
      </c>
      <c r="K86" s="111">
        <v>185.61075669840017</v>
      </c>
      <c r="L86" s="110">
        <v>0</v>
      </c>
      <c r="M86" s="112">
        <v>14.277750515261552</v>
      </c>
      <c r="N86" s="112">
        <v>0</v>
      </c>
      <c r="O86" s="112">
        <v>0</v>
      </c>
      <c r="P86" s="112">
        <v>14.277750515261552</v>
      </c>
      <c r="Q86" s="112">
        <v>0</v>
      </c>
      <c r="R86" s="112">
        <v>0</v>
      </c>
      <c r="S86" s="112">
        <v>9.5232595936794553</v>
      </c>
      <c r="T86" s="112">
        <v>0</v>
      </c>
      <c r="U86" s="112">
        <v>55.683227009520046</v>
      </c>
      <c r="V86" s="112">
        <v>1.17</v>
      </c>
      <c r="W86" s="112">
        <v>15.209999999999999</v>
      </c>
      <c r="X86" s="112">
        <v>0</v>
      </c>
      <c r="Y86" s="112">
        <v>0</v>
      </c>
      <c r="Z86" s="112">
        <v>15.209999999999999</v>
      </c>
      <c r="AA86" s="112">
        <v>113.86506035921089</v>
      </c>
      <c r="AB86" s="112">
        <v>299.47581705761104</v>
      </c>
      <c r="AC86" s="112">
        <v>284.5020262047305</v>
      </c>
      <c r="AD86" s="112">
        <v>14.973790852880553</v>
      </c>
      <c r="AE86" s="112">
        <v>32.169742216606124</v>
      </c>
      <c r="AF86" s="112">
        <v>47.143533069486679</v>
      </c>
      <c r="AG86" s="112">
        <v>0</v>
      </c>
      <c r="AH86" s="112">
        <v>323.22551099764439</v>
      </c>
      <c r="AI86" s="112">
        <v>38.93185621748944</v>
      </c>
      <c r="AJ86" s="112">
        <v>5.9895163411522212</v>
      </c>
      <c r="AK86" s="112">
        <v>1.4973790852880553</v>
      </c>
      <c r="AL86" s="112">
        <v>46.418751643929717</v>
      </c>
      <c r="AM86" s="112">
        <v>416.78779571106082</v>
      </c>
      <c r="AN86" s="112">
        <v>0</v>
      </c>
      <c r="AO86" s="112">
        <v>25</v>
      </c>
      <c r="AP86" s="112">
        <v>70</v>
      </c>
      <c r="AQ86" s="112">
        <v>66.686047313769734</v>
      </c>
      <c r="AR86" s="112">
        <v>578.47384302483056</v>
      </c>
      <c r="AU86" s="110">
        <v>0</v>
      </c>
      <c r="AV86" s="110">
        <v>0</v>
      </c>
      <c r="AW86" s="110">
        <v>0</v>
      </c>
      <c r="AX86" s="110">
        <v>8</v>
      </c>
      <c r="AY86" s="110">
        <v>44</v>
      </c>
      <c r="AZ86" s="111">
        <v>0</v>
      </c>
      <c r="BA86" s="111">
        <v>0</v>
      </c>
      <c r="BB86" s="111">
        <v>0</v>
      </c>
      <c r="BC86" s="111">
        <v>15.705525566787708</v>
      </c>
      <c r="BD86" s="111">
        <v>98.159534792423173</v>
      </c>
      <c r="BE86" s="111">
        <v>113.86506035921089</v>
      </c>
    </row>
    <row r="87" spans="1:57" s="110" customFormat="1" x14ac:dyDescent="0.25">
      <c r="A87" s="110" t="s">
        <v>359</v>
      </c>
      <c r="B87" s="108" t="s">
        <v>224</v>
      </c>
      <c r="C87" s="109" t="s">
        <v>229</v>
      </c>
      <c r="E87" s="114">
        <v>544100074775734</v>
      </c>
      <c r="F87" s="110" t="s">
        <v>276</v>
      </c>
      <c r="G87" s="110">
        <v>0</v>
      </c>
      <c r="I87" s="110">
        <v>13</v>
      </c>
      <c r="J87" s="111">
        <v>7.6793827430788859</v>
      </c>
      <c r="K87" s="111">
        <v>99.83197566002552</v>
      </c>
      <c r="L87" s="110">
        <v>0</v>
      </c>
      <c r="M87" s="112">
        <v>7.6793827430788859</v>
      </c>
      <c r="N87" s="112">
        <v>0</v>
      </c>
      <c r="O87" s="112">
        <v>0</v>
      </c>
      <c r="P87" s="112">
        <v>7.6793827430788859</v>
      </c>
      <c r="Q87" s="112">
        <v>0</v>
      </c>
      <c r="R87" s="112">
        <v>0</v>
      </c>
      <c r="S87" s="112">
        <v>5.1221482896336168</v>
      </c>
      <c r="T87" s="112">
        <v>0</v>
      </c>
      <c r="U87" s="112">
        <v>29.949592698007656</v>
      </c>
      <c r="V87" s="112">
        <v>1.17</v>
      </c>
      <c r="W87" s="112">
        <v>15.209999999999999</v>
      </c>
      <c r="X87" s="112">
        <v>0</v>
      </c>
      <c r="Y87" s="112">
        <v>0</v>
      </c>
      <c r="Z87" s="112">
        <v>15.209999999999999</v>
      </c>
      <c r="AA87" s="112">
        <v>79.913576670164659</v>
      </c>
      <c r="AB87" s="112">
        <v>179.74555233019018</v>
      </c>
      <c r="AC87" s="112">
        <v>170.75827471368066</v>
      </c>
      <c r="AD87" s="112">
        <v>8.987277616509509</v>
      </c>
      <c r="AE87" s="112">
        <v>17.161567294008616</v>
      </c>
      <c r="AF87" s="112">
        <v>26.148844910518125</v>
      </c>
      <c r="AG87" s="112">
        <v>0</v>
      </c>
      <c r="AH87" s="112">
        <v>198.7563001176797</v>
      </c>
      <c r="AI87" s="112">
        <v>23.366921802924725</v>
      </c>
      <c r="AJ87" s="112">
        <v>3.5949110466038037</v>
      </c>
      <c r="AK87" s="112">
        <v>0.89872776165095092</v>
      </c>
      <c r="AL87" s="112">
        <v>27.86056061117948</v>
      </c>
      <c r="AM87" s="112">
        <v>252.7657056393773</v>
      </c>
      <c r="AN87" s="112">
        <v>0</v>
      </c>
      <c r="AO87" s="112">
        <v>25</v>
      </c>
      <c r="AP87" s="112">
        <v>70</v>
      </c>
      <c r="AQ87" s="112">
        <v>40.442512902300372</v>
      </c>
      <c r="AR87" s="112">
        <v>388.2082185416777</v>
      </c>
      <c r="AU87" s="110">
        <v>6</v>
      </c>
      <c r="AV87" s="110">
        <v>10</v>
      </c>
      <c r="AW87" s="110">
        <v>0</v>
      </c>
      <c r="AX87" s="110">
        <v>12</v>
      </c>
      <c r="AY87" s="110">
        <v>37</v>
      </c>
      <c r="AZ87" s="111">
        <v>7.487398174501914</v>
      </c>
      <c r="BA87" s="111">
        <v>15.358765486157774</v>
      </c>
      <c r="BB87" s="111">
        <v>0</v>
      </c>
      <c r="BC87" s="111">
        <v>12.670981526080162</v>
      </c>
      <c r="BD87" s="111">
        <v>44.396431483424806</v>
      </c>
      <c r="BE87" s="111">
        <v>79.913576670164659</v>
      </c>
    </row>
    <row r="88" spans="1:57" s="110" customFormat="1" x14ac:dyDescent="0.25">
      <c r="A88" s="110" t="s">
        <v>357</v>
      </c>
      <c r="B88" s="108" t="s">
        <v>225</v>
      </c>
      <c r="C88" s="109" t="s">
        <v>229</v>
      </c>
      <c r="E88" s="114">
        <v>544200192199661</v>
      </c>
      <c r="F88" s="110" t="s">
        <v>276</v>
      </c>
      <c r="G88" s="110">
        <v>0</v>
      </c>
      <c r="I88" s="110">
        <v>12</v>
      </c>
      <c r="J88" s="111">
        <v>7.6793827430788859</v>
      </c>
      <c r="K88" s="111">
        <v>92.152592916946631</v>
      </c>
      <c r="L88" s="110">
        <v>0</v>
      </c>
      <c r="M88" s="112">
        <v>7.6793827430788859</v>
      </c>
      <c r="N88" s="112">
        <v>0</v>
      </c>
      <c r="O88" s="112">
        <v>0</v>
      </c>
      <c r="P88" s="112">
        <v>7.6793827430788859</v>
      </c>
      <c r="Q88" s="112">
        <v>0</v>
      </c>
      <c r="R88" s="112">
        <v>0</v>
      </c>
      <c r="S88" s="112">
        <v>5.1221482896336168</v>
      </c>
      <c r="T88" s="112">
        <v>0</v>
      </c>
      <c r="U88" s="112">
        <v>27.64577787508399</v>
      </c>
      <c r="V88" s="112">
        <v>1.17</v>
      </c>
      <c r="W88" s="112">
        <v>14.04</v>
      </c>
      <c r="X88" s="112">
        <v>0</v>
      </c>
      <c r="Y88" s="112">
        <v>0</v>
      </c>
      <c r="Z88" s="112">
        <v>14.04</v>
      </c>
      <c r="AA88" s="112">
        <v>51.643848947205512</v>
      </c>
      <c r="AB88" s="112">
        <v>143.79644186415214</v>
      </c>
      <c r="AC88" s="112">
        <v>136.60661977094455</v>
      </c>
      <c r="AD88" s="112">
        <v>7.1898220932076073</v>
      </c>
      <c r="AE88" s="112">
        <v>12.038819052598203</v>
      </c>
      <c r="AF88" s="112">
        <v>19.22864114580581</v>
      </c>
      <c r="AG88" s="112">
        <v>0</v>
      </c>
      <c r="AH88" s="112">
        <v>166.25357859343029</v>
      </c>
      <c r="AI88" s="112">
        <v>18.693537442339778</v>
      </c>
      <c r="AJ88" s="112">
        <v>2.8759288372830429</v>
      </c>
      <c r="AK88" s="112">
        <v>0.71898220932076073</v>
      </c>
      <c r="AL88" s="112">
        <v>22.288448488943583</v>
      </c>
      <c r="AM88" s="112">
        <v>207.77066822817966</v>
      </c>
      <c r="AN88" s="112">
        <v>0</v>
      </c>
      <c r="AO88" s="112">
        <v>25</v>
      </c>
      <c r="AP88" s="112">
        <v>70</v>
      </c>
      <c r="AQ88" s="112">
        <v>33.243306916508743</v>
      </c>
      <c r="AR88" s="112">
        <v>336.0139751446884</v>
      </c>
      <c r="AU88" s="110">
        <v>0</v>
      </c>
      <c r="AV88" s="110">
        <v>0</v>
      </c>
      <c r="AW88" s="110">
        <v>0</v>
      </c>
      <c r="AX88" s="110">
        <v>8</v>
      </c>
      <c r="AY88" s="110">
        <v>36</v>
      </c>
      <c r="AZ88" s="111">
        <v>0</v>
      </c>
      <c r="BA88" s="111">
        <v>0</v>
      </c>
      <c r="BB88" s="111">
        <v>0</v>
      </c>
      <c r="BC88" s="111">
        <v>8.4473210173867752</v>
      </c>
      <c r="BD88" s="111">
        <v>43.196527929818735</v>
      </c>
      <c r="BE88" s="111">
        <v>51.643848947205512</v>
      </c>
    </row>
    <row r="89" spans="1:57" s="110" customFormat="1" x14ac:dyDescent="0.25">
      <c r="A89" s="110" t="s">
        <v>358</v>
      </c>
      <c r="B89" s="108" t="s">
        <v>226</v>
      </c>
      <c r="C89" s="109" t="s">
        <v>227</v>
      </c>
      <c r="E89" s="114">
        <v>544200178974584</v>
      </c>
      <c r="F89" s="110" t="s">
        <v>276</v>
      </c>
      <c r="G89" s="110">
        <v>0</v>
      </c>
      <c r="I89" s="110">
        <v>13</v>
      </c>
      <c r="J89" s="111">
        <v>4.5538401141502565</v>
      </c>
      <c r="K89" s="111">
        <v>59.199921483953332</v>
      </c>
      <c r="L89" s="110">
        <v>0</v>
      </c>
      <c r="M89" s="112">
        <v>4.5538401141502565</v>
      </c>
      <c r="N89" s="112">
        <v>0</v>
      </c>
      <c r="O89" s="112">
        <v>0</v>
      </c>
      <c r="P89" s="112">
        <v>4.5538401141502565</v>
      </c>
      <c r="Q89" s="112">
        <v>0</v>
      </c>
      <c r="R89" s="112">
        <v>0</v>
      </c>
      <c r="S89" s="112">
        <v>3.0374113561382212</v>
      </c>
      <c r="T89" s="112">
        <v>0</v>
      </c>
      <c r="U89" s="112">
        <v>17.759976445185998</v>
      </c>
      <c r="V89" s="112">
        <v>1.17</v>
      </c>
      <c r="W89" s="112">
        <v>15.209999999999999</v>
      </c>
      <c r="X89" s="112">
        <v>0</v>
      </c>
      <c r="Y89" s="112">
        <v>0</v>
      </c>
      <c r="Z89" s="112">
        <v>15.209999999999999</v>
      </c>
      <c r="AA89" s="112">
        <v>30.624574767660473</v>
      </c>
      <c r="AB89" s="112">
        <v>89.824496251613809</v>
      </c>
      <c r="AC89" s="112">
        <v>85.333271439033112</v>
      </c>
      <c r="AD89" s="112">
        <v>4.4912248125806906</v>
      </c>
      <c r="AE89" s="112">
        <v>4.3478168028114892</v>
      </c>
      <c r="AF89" s="112">
        <v>8.8390416153921798</v>
      </c>
      <c r="AG89" s="112">
        <v>0</v>
      </c>
      <c r="AH89" s="112">
        <v>113.95543108140762</v>
      </c>
      <c r="AI89" s="112">
        <v>11.677184512709795</v>
      </c>
      <c r="AJ89" s="112">
        <v>1.7964899250322761</v>
      </c>
      <c r="AK89" s="112">
        <v>0.44912248125806903</v>
      </c>
      <c r="AL89" s="112">
        <v>13.92279691900014</v>
      </c>
      <c r="AM89" s="112">
        <v>136.71726961579995</v>
      </c>
      <c r="AN89" s="112">
        <v>0</v>
      </c>
      <c r="AO89" s="112">
        <v>25</v>
      </c>
      <c r="AP89" s="112">
        <v>70</v>
      </c>
      <c r="AQ89" s="112">
        <v>21.874763138527992</v>
      </c>
      <c r="AR89" s="112">
        <v>253.59203275432793</v>
      </c>
      <c r="AU89" s="110">
        <v>0</v>
      </c>
      <c r="AV89" s="110">
        <v>0</v>
      </c>
      <c r="AW89" s="110">
        <v>0</v>
      </c>
      <c r="AX89" s="110">
        <v>8</v>
      </c>
      <c r="AY89" s="110">
        <v>36</v>
      </c>
      <c r="AZ89" s="111">
        <v>0</v>
      </c>
      <c r="BA89" s="111">
        <v>0</v>
      </c>
      <c r="BB89" s="111">
        <v>0</v>
      </c>
      <c r="BC89" s="111">
        <v>5.0092241255652823</v>
      </c>
      <c r="BD89" s="111">
        <v>25.615350642095191</v>
      </c>
      <c r="BE89" s="111">
        <v>30.624574767660473</v>
      </c>
    </row>
    <row r="90" spans="1:57" s="110" customFormat="1" x14ac:dyDescent="0.25">
      <c r="A90" s="110" t="s">
        <v>360</v>
      </c>
      <c r="B90" s="108" t="s">
        <v>228</v>
      </c>
      <c r="C90" s="109" t="s">
        <v>229</v>
      </c>
      <c r="E90" s="114">
        <v>544200141634434</v>
      </c>
      <c r="F90" s="110" t="s">
        <v>276</v>
      </c>
      <c r="G90" s="110">
        <v>0</v>
      </c>
      <c r="I90" s="110">
        <v>13</v>
      </c>
      <c r="J90" s="111">
        <v>7.6793827430788859</v>
      </c>
      <c r="K90" s="111">
        <v>99.83197566002552</v>
      </c>
      <c r="L90" s="110">
        <v>0</v>
      </c>
      <c r="M90" s="112">
        <v>7.6793827430788859</v>
      </c>
      <c r="N90" s="112">
        <v>0</v>
      </c>
      <c r="O90" s="112">
        <v>0</v>
      </c>
      <c r="P90" s="112">
        <v>7.6793827430788859</v>
      </c>
      <c r="Q90" s="112">
        <v>0</v>
      </c>
      <c r="R90" s="112">
        <v>0</v>
      </c>
      <c r="S90" s="112">
        <v>5.1221482896336168</v>
      </c>
      <c r="T90" s="112">
        <v>0</v>
      </c>
      <c r="U90" s="112">
        <v>29.949592698007656</v>
      </c>
      <c r="V90" s="112">
        <v>1.17</v>
      </c>
      <c r="W90" s="112">
        <v>15.209999999999999</v>
      </c>
      <c r="X90" s="112">
        <v>0</v>
      </c>
      <c r="Y90" s="112">
        <v>0</v>
      </c>
      <c r="Z90" s="112">
        <v>15.209999999999999</v>
      </c>
      <c r="AA90" s="112">
        <v>61.243077376054117</v>
      </c>
      <c r="AB90" s="112">
        <v>161.07505303607962</v>
      </c>
      <c r="AC90" s="112">
        <v>153.02130038427563</v>
      </c>
      <c r="AD90" s="112">
        <v>8.0537526518039808</v>
      </c>
      <c r="AE90" s="112">
        <v>14.501021144597866</v>
      </c>
      <c r="AF90" s="112">
        <v>22.554773796401847</v>
      </c>
      <c r="AG90" s="112">
        <v>0</v>
      </c>
      <c r="AH90" s="112">
        <v>183.67987193768545</v>
      </c>
      <c r="AI90" s="112">
        <v>20.939756894690351</v>
      </c>
      <c r="AJ90" s="112">
        <v>3.2215010607215926</v>
      </c>
      <c r="AK90" s="112">
        <v>0.80537526518039815</v>
      </c>
      <c r="AL90" s="112">
        <v>24.966633220592342</v>
      </c>
      <c r="AM90" s="112">
        <v>231.20127895467962</v>
      </c>
      <c r="AN90" s="112">
        <v>0</v>
      </c>
      <c r="AO90" s="112">
        <v>25</v>
      </c>
      <c r="AP90" s="112">
        <v>70</v>
      </c>
      <c r="AQ90" s="112">
        <v>36.992204632748738</v>
      </c>
      <c r="AR90" s="112">
        <v>363.19348358742837</v>
      </c>
      <c r="AU90" s="110">
        <v>0</v>
      </c>
      <c r="AV90" s="110">
        <v>0</v>
      </c>
      <c r="AW90" s="110">
        <v>0</v>
      </c>
      <c r="AX90" s="110">
        <v>8</v>
      </c>
      <c r="AY90" s="110">
        <v>44</v>
      </c>
      <c r="AZ90" s="111">
        <v>0</v>
      </c>
      <c r="BA90" s="111">
        <v>0</v>
      </c>
      <c r="BB90" s="111">
        <v>0</v>
      </c>
      <c r="BC90" s="111">
        <v>8.4473210173867752</v>
      </c>
      <c r="BD90" s="111">
        <v>52.79575635866734</v>
      </c>
      <c r="BE90" s="111">
        <v>61.243077376054117</v>
      </c>
    </row>
    <row r="91" spans="1:57" s="110" customFormat="1" x14ac:dyDescent="0.25">
      <c r="A91" s="110" t="s">
        <v>361</v>
      </c>
      <c r="B91" s="108" t="s">
        <v>230</v>
      </c>
      <c r="C91" s="109" t="s">
        <v>229</v>
      </c>
      <c r="E91" s="114">
        <v>544200192143886</v>
      </c>
      <c r="F91" s="110" t="s">
        <v>276</v>
      </c>
      <c r="G91" s="110">
        <v>0</v>
      </c>
      <c r="I91" s="110">
        <v>13</v>
      </c>
      <c r="J91" s="111">
        <v>7.6793827430788859</v>
      </c>
      <c r="K91" s="111">
        <v>99.83197566002552</v>
      </c>
      <c r="L91" s="110">
        <v>0</v>
      </c>
      <c r="M91" s="112">
        <v>7.6793827430788859</v>
      </c>
      <c r="N91" s="112">
        <v>0</v>
      </c>
      <c r="O91" s="112">
        <v>0</v>
      </c>
      <c r="P91" s="112">
        <v>7.6793827430788859</v>
      </c>
      <c r="Q91" s="112">
        <v>0</v>
      </c>
      <c r="R91" s="112">
        <v>0</v>
      </c>
      <c r="S91" s="112">
        <v>5.1221482896336168</v>
      </c>
      <c r="T91" s="112">
        <v>0</v>
      </c>
      <c r="U91" s="112">
        <v>29.949592698007656</v>
      </c>
      <c r="V91" s="112">
        <v>1.17</v>
      </c>
      <c r="W91" s="112">
        <v>15.209999999999999</v>
      </c>
      <c r="X91" s="112">
        <v>0</v>
      </c>
      <c r="Y91" s="112">
        <v>0</v>
      </c>
      <c r="Z91" s="112">
        <v>15.209999999999999</v>
      </c>
      <c r="AA91" s="112">
        <v>51.643848947205512</v>
      </c>
      <c r="AB91" s="112">
        <v>151.47582460723103</v>
      </c>
      <c r="AC91" s="112">
        <v>143.90203337686947</v>
      </c>
      <c r="AD91" s="112">
        <v>7.573791230361552</v>
      </c>
      <c r="AE91" s="112">
        <v>13.13313109348694</v>
      </c>
      <c r="AF91" s="112">
        <v>20.706922323848492</v>
      </c>
      <c r="AG91" s="112">
        <v>0</v>
      </c>
      <c r="AH91" s="112">
        <v>175.9284949813902</v>
      </c>
      <c r="AI91" s="112">
        <v>19.691857198940035</v>
      </c>
      <c r="AJ91" s="112">
        <v>3.0295164921446207</v>
      </c>
      <c r="AK91" s="112">
        <v>0.75737912303615518</v>
      </c>
      <c r="AL91" s="112">
        <v>23.47875281412081</v>
      </c>
      <c r="AM91" s="112">
        <v>220.1141701193595</v>
      </c>
      <c r="AN91" s="112">
        <v>0</v>
      </c>
      <c r="AO91" s="112">
        <v>25</v>
      </c>
      <c r="AP91" s="112">
        <v>70</v>
      </c>
      <c r="AQ91" s="112">
        <v>35.21826721909752</v>
      </c>
      <c r="AR91" s="112">
        <v>350.33243733845705</v>
      </c>
      <c r="AU91" s="110">
        <v>0</v>
      </c>
      <c r="AV91" s="110">
        <v>0</v>
      </c>
      <c r="AW91" s="110">
        <v>0</v>
      </c>
      <c r="AX91" s="110">
        <v>8</v>
      </c>
      <c r="AY91" s="110">
        <v>36</v>
      </c>
      <c r="AZ91" s="111">
        <v>0</v>
      </c>
      <c r="BA91" s="111">
        <v>0</v>
      </c>
      <c r="BB91" s="111">
        <v>0</v>
      </c>
      <c r="BC91" s="111">
        <v>8.4473210173867752</v>
      </c>
      <c r="BD91" s="111">
        <v>43.196527929818735</v>
      </c>
      <c r="BE91" s="111">
        <v>51.643848947205512</v>
      </c>
    </row>
    <row r="92" spans="1:57" s="110" customFormat="1" x14ac:dyDescent="0.25">
      <c r="A92" s="110" t="s">
        <v>362</v>
      </c>
      <c r="B92" s="108" t="s">
        <v>231</v>
      </c>
      <c r="C92" s="109" t="s">
        <v>227</v>
      </c>
      <c r="E92" s="114">
        <v>544100200467558</v>
      </c>
      <c r="F92" s="110" t="s">
        <v>276</v>
      </c>
      <c r="G92" s="110">
        <v>0</v>
      </c>
      <c r="I92" s="110">
        <v>11</v>
      </c>
      <c r="J92" s="111">
        <v>4.5538401141502565</v>
      </c>
      <c r="K92" s="111">
        <v>50.092241255652823</v>
      </c>
      <c r="L92" s="110">
        <v>0</v>
      </c>
      <c r="M92" s="112">
        <v>4.5538401141502565</v>
      </c>
      <c r="N92" s="112">
        <v>0</v>
      </c>
      <c r="O92" s="112">
        <v>0</v>
      </c>
      <c r="P92" s="112">
        <v>4.5538401141502565</v>
      </c>
      <c r="Q92" s="112">
        <v>0</v>
      </c>
      <c r="R92" s="112">
        <v>0</v>
      </c>
      <c r="S92" s="112">
        <v>3.0374113561382212</v>
      </c>
      <c r="T92" s="112">
        <v>0</v>
      </c>
      <c r="U92" s="112">
        <v>15.027672376695847</v>
      </c>
      <c r="V92" s="112">
        <v>1.17</v>
      </c>
      <c r="W92" s="112">
        <v>12.87</v>
      </c>
      <c r="X92" s="112">
        <v>0</v>
      </c>
      <c r="Y92" s="112">
        <v>0</v>
      </c>
      <c r="Z92" s="112">
        <v>12.87</v>
      </c>
      <c r="AA92" s="112">
        <v>30.880728274081424</v>
      </c>
      <c r="AB92" s="112">
        <v>80.972969529734243</v>
      </c>
      <c r="AC92" s="112">
        <v>76.924321053247525</v>
      </c>
      <c r="AD92" s="112">
        <v>4.0486484764867123</v>
      </c>
      <c r="AE92" s="112">
        <v>3.0864742449436502</v>
      </c>
      <c r="AF92" s="112">
        <v>7.1351227214303625</v>
      </c>
      <c r="AG92" s="112">
        <v>0</v>
      </c>
      <c r="AH92" s="112">
        <v>101.73551918499973</v>
      </c>
      <c r="AI92" s="112">
        <v>10.526486038865452</v>
      </c>
      <c r="AJ92" s="112">
        <v>1.6194593905946848</v>
      </c>
      <c r="AK92" s="112">
        <v>0.4048648476486712</v>
      </c>
      <c r="AL92" s="112">
        <v>12.550810277108807</v>
      </c>
      <c r="AM92" s="112">
        <v>121.4214521835389</v>
      </c>
      <c r="AN92" s="112">
        <v>0</v>
      </c>
      <c r="AO92" s="112">
        <v>25</v>
      </c>
      <c r="AP92" s="112">
        <v>70</v>
      </c>
      <c r="AQ92" s="112">
        <v>19.427432349366224</v>
      </c>
      <c r="AR92" s="112">
        <v>235.84888453290515</v>
      </c>
      <c r="AU92" s="110">
        <v>3</v>
      </c>
      <c r="AV92" s="110">
        <v>0</v>
      </c>
      <c r="AW92" s="110">
        <v>0</v>
      </c>
      <c r="AX92" s="110">
        <v>6</v>
      </c>
      <c r="AY92" s="110">
        <v>35</v>
      </c>
      <c r="AZ92" s="111">
        <v>2.2199970556482502</v>
      </c>
      <c r="BA92" s="111">
        <v>0</v>
      </c>
      <c r="BB92" s="111">
        <v>0</v>
      </c>
      <c r="BC92" s="111">
        <v>3.7569180941739617</v>
      </c>
      <c r="BD92" s="111">
        <v>24.903813124259212</v>
      </c>
      <c r="BE92" s="111">
        <v>30.880728274081424</v>
      </c>
    </row>
    <row r="93" spans="1:57" s="110" customFormat="1" x14ac:dyDescent="0.25">
      <c r="A93" s="110" t="s">
        <v>363</v>
      </c>
      <c r="B93" s="108" t="s">
        <v>232</v>
      </c>
      <c r="C93" s="109" t="s">
        <v>233</v>
      </c>
      <c r="E93" s="114">
        <v>544200132436991</v>
      </c>
      <c r="F93" s="110" t="s">
        <v>276</v>
      </c>
      <c r="G93" s="110">
        <v>0</v>
      </c>
      <c r="I93" s="110">
        <v>10</v>
      </c>
      <c r="J93" s="111">
        <v>7.2279154744558589</v>
      </c>
      <c r="K93" s="111">
        <v>72.279154744558582</v>
      </c>
      <c r="L93" s="110">
        <v>0</v>
      </c>
      <c r="M93" s="112">
        <v>7.2279154744558589</v>
      </c>
      <c r="N93" s="112">
        <v>0</v>
      </c>
      <c r="O93" s="112">
        <v>0</v>
      </c>
      <c r="P93" s="112">
        <v>7.2279154744558589</v>
      </c>
      <c r="Q93" s="112">
        <v>0</v>
      </c>
      <c r="R93" s="112">
        <v>0</v>
      </c>
      <c r="S93" s="112">
        <v>4.8210196214620584</v>
      </c>
      <c r="T93" s="112">
        <v>0</v>
      </c>
      <c r="U93" s="112">
        <v>21.683746423367573</v>
      </c>
      <c r="V93" s="112">
        <v>1.17</v>
      </c>
      <c r="W93" s="112">
        <v>11.7</v>
      </c>
      <c r="X93" s="112">
        <v>3</v>
      </c>
      <c r="Y93" s="112">
        <v>3.51</v>
      </c>
      <c r="Z93" s="112">
        <v>15.209999999999999</v>
      </c>
      <c r="AA93" s="112">
        <v>89.852024241829398</v>
      </c>
      <c r="AB93" s="112">
        <v>162.13117898638797</v>
      </c>
      <c r="AC93" s="112">
        <v>154.02462003706856</v>
      </c>
      <c r="AD93" s="112">
        <v>8.1065589493193979</v>
      </c>
      <c r="AE93" s="112">
        <v>14.651519092516804</v>
      </c>
      <c r="AF93" s="112">
        <v>22.7580780418362</v>
      </c>
      <c r="AG93" s="112">
        <v>0</v>
      </c>
      <c r="AH93" s="112">
        <v>176.26684736791935</v>
      </c>
      <c r="AI93" s="112">
        <v>21.077053268230436</v>
      </c>
      <c r="AJ93" s="112">
        <v>3.2426235797277592</v>
      </c>
      <c r="AK93" s="112">
        <v>0.81065589493193979</v>
      </c>
      <c r="AL93" s="112">
        <v>25.130332742890136</v>
      </c>
      <c r="AM93" s="112">
        <v>224.1552581526457</v>
      </c>
      <c r="AN93" s="112">
        <v>0</v>
      </c>
      <c r="AO93" s="112">
        <v>25</v>
      </c>
      <c r="AP93" s="112">
        <v>70</v>
      </c>
      <c r="AQ93" s="112">
        <v>35.864841304423315</v>
      </c>
      <c r="AR93" s="112">
        <v>355.02009945706902</v>
      </c>
      <c r="AU93" s="110">
        <v>7</v>
      </c>
      <c r="AV93" s="110">
        <v>0</v>
      </c>
      <c r="AW93" s="110">
        <v>25</v>
      </c>
      <c r="AX93" s="110">
        <v>6</v>
      </c>
      <c r="AY93" s="110">
        <v>27</v>
      </c>
      <c r="AZ93" s="111">
        <v>8.2217538521935403</v>
      </c>
      <c r="BA93" s="111">
        <v>0</v>
      </c>
      <c r="BB93" s="111">
        <v>45.174471715349121</v>
      </c>
      <c r="BC93" s="111">
        <v>5.9630302664260837</v>
      </c>
      <c r="BD93" s="111">
        <v>30.492768407860655</v>
      </c>
      <c r="BE93" s="111">
        <v>89.852024241829398</v>
      </c>
    </row>
    <row r="94" spans="1:57" s="110" customFormat="1" x14ac:dyDescent="0.25">
      <c r="A94" s="110" t="s">
        <v>364</v>
      </c>
      <c r="B94" s="108" t="s">
        <v>234</v>
      </c>
      <c r="C94" s="109" t="s">
        <v>233</v>
      </c>
      <c r="E94" s="114">
        <v>544200131313246</v>
      </c>
      <c r="F94" s="110" t="s">
        <v>276</v>
      </c>
      <c r="G94" s="110">
        <v>3</v>
      </c>
      <c r="I94" s="110">
        <v>12</v>
      </c>
      <c r="J94" s="111">
        <v>7.2279154744558589</v>
      </c>
      <c r="K94" s="111">
        <v>86.734985693470307</v>
      </c>
      <c r="L94" s="110">
        <v>0</v>
      </c>
      <c r="M94" s="112">
        <v>7.2279154744558589</v>
      </c>
      <c r="N94" s="112">
        <v>0</v>
      </c>
      <c r="O94" s="112">
        <v>0</v>
      </c>
      <c r="P94" s="112">
        <v>7.2279154744558589</v>
      </c>
      <c r="Q94" s="112">
        <v>0</v>
      </c>
      <c r="R94" s="112">
        <v>0</v>
      </c>
      <c r="S94" s="112">
        <v>4.8210196214620584</v>
      </c>
      <c r="T94" s="112">
        <v>0</v>
      </c>
      <c r="U94" s="112">
        <v>26.020495708041093</v>
      </c>
      <c r="V94" s="112">
        <v>1.17</v>
      </c>
      <c r="W94" s="112">
        <v>14.04</v>
      </c>
      <c r="X94" s="112">
        <v>0</v>
      </c>
      <c r="Y94" s="112">
        <v>0</v>
      </c>
      <c r="Z94" s="112">
        <v>14.04</v>
      </c>
      <c r="AA94" s="112">
        <v>55.654949153310113</v>
      </c>
      <c r="AB94" s="112">
        <v>142.38993484678042</v>
      </c>
      <c r="AC94" s="112">
        <v>135.27043810444141</v>
      </c>
      <c r="AD94" s="112">
        <v>7.1194967423390212</v>
      </c>
      <c r="AE94" s="112">
        <v>11.128088294465368</v>
      </c>
      <c r="AF94" s="112">
        <v>18.247585036804388</v>
      </c>
      <c r="AG94" s="112">
        <v>0</v>
      </c>
      <c r="AH94" s="112">
        <v>164.20284551801711</v>
      </c>
      <c r="AI94" s="112">
        <v>18.510691530081456</v>
      </c>
      <c r="AJ94" s="112">
        <v>2.8477986969356084</v>
      </c>
      <c r="AK94" s="112">
        <v>0.7119496742339021</v>
      </c>
      <c r="AL94" s="112">
        <v>22.070439901250968</v>
      </c>
      <c r="AM94" s="112">
        <v>204.52087045607249</v>
      </c>
      <c r="AN94" s="112">
        <v>0</v>
      </c>
      <c r="AO94" s="112">
        <v>25</v>
      </c>
      <c r="AP94" s="112">
        <v>70</v>
      </c>
      <c r="AQ94" s="112">
        <v>32.7233392729716</v>
      </c>
      <c r="AR94" s="112">
        <v>332.24420972904409</v>
      </c>
      <c r="AU94" s="110">
        <v>6</v>
      </c>
      <c r="AV94" s="110">
        <v>0</v>
      </c>
      <c r="AW94" s="110">
        <v>0</v>
      </c>
      <c r="AX94" s="110">
        <v>8</v>
      </c>
      <c r="AY94" s="110">
        <v>36</v>
      </c>
      <c r="AZ94" s="111">
        <v>7.0472175875944627</v>
      </c>
      <c r="BA94" s="111">
        <v>0</v>
      </c>
      <c r="BB94" s="111">
        <v>0</v>
      </c>
      <c r="BC94" s="111">
        <v>7.9507070219014455</v>
      </c>
      <c r="BD94" s="111">
        <v>40.657024543814202</v>
      </c>
      <c r="BE94" s="111">
        <v>55.654949153310113</v>
      </c>
    </row>
    <row r="95" spans="1:57" s="110" customFormat="1" x14ac:dyDescent="0.25">
      <c r="A95" s="110" t="s">
        <v>365</v>
      </c>
      <c r="B95" s="108" t="s">
        <v>235</v>
      </c>
      <c r="C95" s="109" t="s">
        <v>233</v>
      </c>
      <c r="E95" s="114">
        <v>544200131442159</v>
      </c>
      <c r="F95" s="110" t="s">
        <v>276</v>
      </c>
      <c r="G95" s="110">
        <v>5</v>
      </c>
      <c r="I95" s="110">
        <v>10</v>
      </c>
      <c r="J95" s="111">
        <v>7.2279154744558589</v>
      </c>
      <c r="K95" s="111">
        <v>72.279154744558582</v>
      </c>
      <c r="L95" s="110">
        <v>0</v>
      </c>
      <c r="M95" s="112">
        <v>7.2279154744558589</v>
      </c>
      <c r="N95" s="112">
        <v>0</v>
      </c>
      <c r="O95" s="112">
        <v>0</v>
      </c>
      <c r="P95" s="112">
        <v>7.2279154744558589</v>
      </c>
      <c r="Q95" s="112">
        <v>0</v>
      </c>
      <c r="R95" s="112">
        <v>0</v>
      </c>
      <c r="S95" s="112">
        <v>4.8210196214620584</v>
      </c>
      <c r="T95" s="112">
        <v>0</v>
      </c>
      <c r="U95" s="112">
        <v>21.683746423367573</v>
      </c>
      <c r="V95" s="112">
        <v>1.17</v>
      </c>
      <c r="W95" s="112">
        <v>11.7</v>
      </c>
      <c r="X95" s="112">
        <v>3</v>
      </c>
      <c r="Y95" s="112">
        <v>3.51</v>
      </c>
      <c r="Z95" s="112">
        <v>15.209999999999999</v>
      </c>
      <c r="AA95" s="112">
        <v>91.026560506428481</v>
      </c>
      <c r="AB95" s="112">
        <v>163.30571525098708</v>
      </c>
      <c r="AC95" s="112">
        <v>155.14042948843772</v>
      </c>
      <c r="AD95" s="112">
        <v>8.1652857625493542</v>
      </c>
      <c r="AE95" s="112">
        <v>13.337001459199962</v>
      </c>
      <c r="AF95" s="112">
        <v>21.502287221749317</v>
      </c>
      <c r="AG95" s="112">
        <v>0</v>
      </c>
      <c r="AH95" s="112">
        <v>178.69717445260534</v>
      </c>
      <c r="AI95" s="112">
        <v>21.22974298262832</v>
      </c>
      <c r="AJ95" s="112">
        <v>3.2661143050197414</v>
      </c>
      <c r="AK95" s="112">
        <v>0.81652857625493536</v>
      </c>
      <c r="AL95" s="112">
        <v>25.312385863902996</v>
      </c>
      <c r="AM95" s="112">
        <v>225.51184753825765</v>
      </c>
      <c r="AN95" s="112">
        <v>0</v>
      </c>
      <c r="AO95" s="112">
        <v>25</v>
      </c>
      <c r="AP95" s="112">
        <v>70</v>
      </c>
      <c r="AQ95" s="112">
        <v>36.081895606121229</v>
      </c>
      <c r="AR95" s="112">
        <v>356.59374314437889</v>
      </c>
      <c r="AU95" s="110">
        <v>8</v>
      </c>
      <c r="AV95" s="110">
        <v>0</v>
      </c>
      <c r="AW95" s="110">
        <v>25</v>
      </c>
      <c r="AX95" s="110">
        <v>6</v>
      </c>
      <c r="AY95" s="110">
        <v>27</v>
      </c>
      <c r="AZ95" s="111">
        <v>9.3962901167926169</v>
      </c>
      <c r="BA95" s="111">
        <v>0</v>
      </c>
      <c r="BB95" s="111">
        <v>45.174471715349121</v>
      </c>
      <c r="BC95" s="111">
        <v>5.9630302664260837</v>
      </c>
      <c r="BD95" s="111">
        <v>30.492768407860655</v>
      </c>
      <c r="BE95" s="111">
        <v>91.026560506428481</v>
      </c>
    </row>
    <row r="96" spans="1:57" s="110" customFormat="1" x14ac:dyDescent="0.25">
      <c r="A96" s="110" t="s">
        <v>366</v>
      </c>
      <c r="B96" s="108" t="s">
        <v>236</v>
      </c>
      <c r="C96" s="109" t="s">
        <v>233</v>
      </c>
      <c r="E96" s="114">
        <v>544100131266885</v>
      </c>
      <c r="F96" s="110" t="s">
        <v>276</v>
      </c>
      <c r="G96" s="110">
        <v>4</v>
      </c>
      <c r="I96" s="110">
        <v>13</v>
      </c>
      <c r="J96" s="111">
        <v>7.2279154744558589</v>
      </c>
      <c r="K96" s="111">
        <v>93.962901167926162</v>
      </c>
      <c r="L96" s="110">
        <v>0</v>
      </c>
      <c r="M96" s="112">
        <v>7.2279154744558589</v>
      </c>
      <c r="N96" s="112">
        <v>0</v>
      </c>
      <c r="O96" s="112">
        <v>0</v>
      </c>
      <c r="P96" s="112">
        <v>7.2279154744558589</v>
      </c>
      <c r="Q96" s="112">
        <v>0</v>
      </c>
      <c r="R96" s="112">
        <v>0</v>
      </c>
      <c r="S96" s="112">
        <v>4.8210196214620584</v>
      </c>
      <c r="T96" s="112">
        <v>0</v>
      </c>
      <c r="U96" s="112">
        <v>28.188870350377847</v>
      </c>
      <c r="V96" s="112">
        <v>1.17</v>
      </c>
      <c r="W96" s="112">
        <v>15.209999999999999</v>
      </c>
      <c r="X96" s="112">
        <v>0</v>
      </c>
      <c r="Y96" s="112">
        <v>0</v>
      </c>
      <c r="Z96" s="112">
        <v>15.209999999999999</v>
      </c>
      <c r="AA96" s="112">
        <v>53.30587662411196</v>
      </c>
      <c r="AB96" s="112">
        <v>147.26877779203812</v>
      </c>
      <c r="AC96" s="112">
        <v>139.90533890243623</v>
      </c>
      <c r="AD96" s="112">
        <v>7.3634388896019063</v>
      </c>
      <c r="AE96" s="112">
        <v>11.530936768536199</v>
      </c>
      <c r="AF96" s="112">
        <v>18.894375658138106</v>
      </c>
      <c r="AG96" s="112">
        <v>0</v>
      </c>
      <c r="AH96" s="112">
        <v>171.77327248427787</v>
      </c>
      <c r="AI96" s="112">
        <v>19.144941112964958</v>
      </c>
      <c r="AJ96" s="112">
        <v>2.9453755558407626</v>
      </c>
      <c r="AK96" s="112">
        <v>0.73634388896019065</v>
      </c>
      <c r="AL96" s="112">
        <v>22.826660557765912</v>
      </c>
      <c r="AM96" s="112">
        <v>213.49430870018188</v>
      </c>
      <c r="AN96" s="112">
        <v>0</v>
      </c>
      <c r="AO96" s="112">
        <v>25</v>
      </c>
      <c r="AP96" s="112">
        <v>70</v>
      </c>
      <c r="AQ96" s="112">
        <v>34.159089392029102</v>
      </c>
      <c r="AR96" s="112">
        <v>342.65339809221098</v>
      </c>
      <c r="AU96" s="110">
        <v>4</v>
      </c>
      <c r="AV96" s="110">
        <v>0</v>
      </c>
      <c r="AW96" s="110">
        <v>0</v>
      </c>
      <c r="AX96" s="110">
        <v>8</v>
      </c>
      <c r="AY96" s="110">
        <v>36</v>
      </c>
      <c r="AZ96" s="111">
        <v>4.6981450583963085</v>
      </c>
      <c r="BA96" s="111">
        <v>0</v>
      </c>
      <c r="BB96" s="111">
        <v>0</v>
      </c>
      <c r="BC96" s="111">
        <v>7.9507070219014455</v>
      </c>
      <c r="BD96" s="111">
        <v>40.657024543814202</v>
      </c>
      <c r="BE96" s="111">
        <v>53.30587662411196</v>
      </c>
    </row>
    <row r="97" spans="1:57" s="110" customFormat="1" x14ac:dyDescent="0.25">
      <c r="A97" s="110" t="s">
        <v>367</v>
      </c>
      <c r="B97" s="108" t="s">
        <v>237</v>
      </c>
      <c r="C97" s="109" t="s">
        <v>238</v>
      </c>
      <c r="E97" s="114">
        <v>544200184863939</v>
      </c>
      <c r="F97" s="110" t="s">
        <v>276</v>
      </c>
      <c r="G97" s="110">
        <v>0</v>
      </c>
      <c r="I97" s="110">
        <v>10</v>
      </c>
      <c r="J97" s="111">
        <v>12.541337943634536</v>
      </c>
      <c r="K97" s="111">
        <v>125.41337943634537</v>
      </c>
      <c r="L97" s="110">
        <v>0</v>
      </c>
      <c r="M97" s="112">
        <v>12.541337943634536</v>
      </c>
      <c r="N97" s="112">
        <v>0</v>
      </c>
      <c r="O97" s="112">
        <v>0</v>
      </c>
      <c r="P97" s="112">
        <v>12.541337943634536</v>
      </c>
      <c r="Q97" s="112">
        <v>0</v>
      </c>
      <c r="R97" s="112">
        <v>0</v>
      </c>
      <c r="S97" s="112">
        <v>8.3650724084042363</v>
      </c>
      <c r="T97" s="112">
        <v>0</v>
      </c>
      <c r="U97" s="112">
        <v>37.624013830903607</v>
      </c>
      <c r="V97" s="112">
        <v>1.17</v>
      </c>
      <c r="W97" s="112">
        <v>11.7</v>
      </c>
      <c r="X97" s="112">
        <v>0</v>
      </c>
      <c r="Y97" s="112">
        <v>0</v>
      </c>
      <c r="Z97" s="112">
        <v>11.7</v>
      </c>
      <c r="AA97" s="112">
        <v>24.455608990087345</v>
      </c>
      <c r="AB97" s="112">
        <v>149.86898842643271</v>
      </c>
      <c r="AC97" s="112">
        <v>142.37553900511108</v>
      </c>
      <c r="AD97" s="112">
        <v>7.4934494213216354</v>
      </c>
      <c r="AE97" s="112">
        <v>12.904156937723183</v>
      </c>
      <c r="AF97" s="112">
        <v>20.397606359044818</v>
      </c>
      <c r="AG97" s="112">
        <v>0</v>
      </c>
      <c r="AH97" s="112">
        <v>178.79539589829147</v>
      </c>
      <c r="AI97" s="112">
        <v>19.482968495436253</v>
      </c>
      <c r="AJ97" s="112">
        <v>2.9973797685286541</v>
      </c>
      <c r="AK97" s="112">
        <v>0.74934494213216352</v>
      </c>
      <c r="AL97" s="112">
        <v>23.229693206097071</v>
      </c>
      <c r="AM97" s="112">
        <v>222.42269546343337</v>
      </c>
      <c r="AN97" s="112">
        <v>0</v>
      </c>
      <c r="AO97" s="112">
        <v>25</v>
      </c>
      <c r="AP97" s="112">
        <v>70</v>
      </c>
      <c r="AQ97" s="112">
        <v>35.587631274149338</v>
      </c>
      <c r="AR97" s="112">
        <v>353.01032673758266</v>
      </c>
      <c r="AU97" s="110">
        <v>12</v>
      </c>
      <c r="AV97" s="110">
        <v>0</v>
      </c>
      <c r="AW97" s="110">
        <v>0</v>
      </c>
      <c r="AX97" s="110">
        <v>0</v>
      </c>
      <c r="AY97" s="110">
        <v>0</v>
      </c>
      <c r="AZ97" s="111">
        <v>24.455608990087345</v>
      </c>
      <c r="BA97" s="111">
        <v>0</v>
      </c>
      <c r="BB97" s="111">
        <v>0</v>
      </c>
      <c r="BC97" s="111">
        <v>0</v>
      </c>
      <c r="BD97" s="111">
        <v>0</v>
      </c>
      <c r="BE97" s="111">
        <v>24.455608990087345</v>
      </c>
    </row>
    <row r="98" spans="1:57" s="110" customFormat="1" x14ac:dyDescent="0.25">
      <c r="A98" s="110" t="s">
        <v>368</v>
      </c>
      <c r="B98" s="108" t="s">
        <v>239</v>
      </c>
      <c r="C98" s="109" t="s">
        <v>240</v>
      </c>
      <c r="E98" s="114" t="s">
        <v>241</v>
      </c>
      <c r="F98" s="110" t="s">
        <v>277</v>
      </c>
      <c r="G98" s="110">
        <v>0</v>
      </c>
      <c r="I98" s="110">
        <v>10</v>
      </c>
      <c r="J98" s="111">
        <v>12.541337943634536</v>
      </c>
      <c r="K98" s="111">
        <v>125.41337943634537</v>
      </c>
      <c r="L98" s="110">
        <v>0</v>
      </c>
      <c r="M98" s="112">
        <v>12.541337943634536</v>
      </c>
      <c r="N98" s="112">
        <v>0</v>
      </c>
      <c r="O98" s="112">
        <v>0</v>
      </c>
      <c r="P98" s="112">
        <v>12.541337943634536</v>
      </c>
      <c r="Q98" s="112">
        <v>0</v>
      </c>
      <c r="R98" s="112">
        <v>0</v>
      </c>
      <c r="S98" s="112">
        <v>8.3650724084042363</v>
      </c>
      <c r="T98" s="112">
        <v>0</v>
      </c>
      <c r="U98" s="112">
        <v>37.624013830903607</v>
      </c>
      <c r="V98" s="112">
        <v>1.17</v>
      </c>
      <c r="W98" s="112">
        <v>11.7</v>
      </c>
      <c r="X98" s="112">
        <v>0</v>
      </c>
      <c r="Y98" s="112">
        <v>0</v>
      </c>
      <c r="Z98" s="112">
        <v>11.7</v>
      </c>
      <c r="AA98" s="112">
        <v>24.455608990087345</v>
      </c>
      <c r="AB98" s="112">
        <v>149.86898842643271</v>
      </c>
      <c r="AC98" s="112">
        <v>142.37553900511108</v>
      </c>
      <c r="AD98" s="112">
        <v>7.4934494213216354</v>
      </c>
      <c r="AE98" s="112">
        <v>12.904156937723183</v>
      </c>
      <c r="AF98" s="112">
        <v>20.397606359044818</v>
      </c>
      <c r="AG98" s="112">
        <v>0</v>
      </c>
      <c r="AH98" s="112">
        <v>178.79539589829147</v>
      </c>
      <c r="AI98" s="112">
        <v>19.482968495436253</v>
      </c>
      <c r="AJ98" s="112">
        <v>2.9973797685286541</v>
      </c>
      <c r="AK98" s="112">
        <v>0.74934494213216352</v>
      </c>
      <c r="AL98" s="112">
        <v>23.229693206097071</v>
      </c>
      <c r="AM98" s="112">
        <v>222.42269546343337</v>
      </c>
      <c r="AN98" s="112">
        <v>0</v>
      </c>
      <c r="AO98" s="112">
        <v>25</v>
      </c>
      <c r="AP98" s="112">
        <v>70</v>
      </c>
      <c r="AQ98" s="112">
        <v>35.587631274149338</v>
      </c>
      <c r="AR98" s="112">
        <v>353.01032673758266</v>
      </c>
      <c r="AU98" s="110">
        <v>12</v>
      </c>
      <c r="AV98" s="110">
        <v>0</v>
      </c>
      <c r="AW98" s="110">
        <v>0</v>
      </c>
      <c r="AX98" s="110">
        <v>0</v>
      </c>
      <c r="AY98" s="110">
        <v>0</v>
      </c>
      <c r="AZ98" s="111">
        <v>24.455608990087345</v>
      </c>
      <c r="BA98" s="111">
        <v>0</v>
      </c>
      <c r="BB98" s="111">
        <v>0</v>
      </c>
      <c r="BC98" s="111">
        <v>0</v>
      </c>
      <c r="BD98" s="111">
        <v>0</v>
      </c>
      <c r="BE98" s="111">
        <v>24.455608990087345</v>
      </c>
    </row>
    <row r="99" spans="1:57" s="110" customFormat="1" x14ac:dyDescent="0.25">
      <c r="A99" s="110" t="s">
        <v>369</v>
      </c>
      <c r="B99" s="108" t="s">
        <v>242</v>
      </c>
      <c r="C99" s="109" t="s">
        <v>243</v>
      </c>
      <c r="E99" s="114">
        <v>544200184858604</v>
      </c>
      <c r="F99" s="110" t="s">
        <v>276</v>
      </c>
      <c r="G99" s="110">
        <v>1</v>
      </c>
      <c r="I99" s="110">
        <v>11</v>
      </c>
      <c r="J99" s="111">
        <v>12.541337943634536</v>
      </c>
      <c r="K99" s="111">
        <v>137.95471737997991</v>
      </c>
      <c r="L99" s="110">
        <v>0</v>
      </c>
      <c r="M99" s="112">
        <v>12.541337943634536</v>
      </c>
      <c r="N99" s="112">
        <v>0</v>
      </c>
      <c r="O99" s="112">
        <v>0</v>
      </c>
      <c r="P99" s="112">
        <v>12.541337943634536</v>
      </c>
      <c r="Q99" s="112">
        <v>0</v>
      </c>
      <c r="R99" s="112">
        <v>0</v>
      </c>
      <c r="S99" s="112">
        <v>8.3650724084042363</v>
      </c>
      <c r="T99" s="112">
        <v>0</v>
      </c>
      <c r="U99" s="112">
        <v>41.38641521399397</v>
      </c>
      <c r="V99" s="112">
        <v>1.17</v>
      </c>
      <c r="W99" s="112">
        <v>12.87</v>
      </c>
      <c r="X99" s="112">
        <v>0</v>
      </c>
      <c r="Y99" s="112">
        <v>0</v>
      </c>
      <c r="Z99" s="112">
        <v>12.87</v>
      </c>
      <c r="AA99" s="112">
        <v>35.037362880028986</v>
      </c>
      <c r="AB99" s="112">
        <v>172.99208026000889</v>
      </c>
      <c r="AC99" s="112">
        <v>164.34247624700845</v>
      </c>
      <c r="AD99" s="112">
        <v>8.6496040130004452</v>
      </c>
      <c r="AE99" s="112">
        <v>15.875213573527635</v>
      </c>
      <c r="AF99" s="112">
        <v>24.52481758652808</v>
      </c>
      <c r="AG99" s="112">
        <v>0</v>
      </c>
      <c r="AH99" s="112">
        <v>202.72367788747479</v>
      </c>
      <c r="AI99" s="112">
        <v>22.488970433801157</v>
      </c>
      <c r="AJ99" s="112">
        <v>3.4598416052001779</v>
      </c>
      <c r="AK99" s="112">
        <v>0.86496040130004448</v>
      </c>
      <c r="AL99" s="112">
        <v>26.813772440301381</v>
      </c>
      <c r="AM99" s="112">
        <v>254.06226791430427</v>
      </c>
      <c r="AN99" s="112">
        <v>0</v>
      </c>
      <c r="AO99" s="112">
        <v>25</v>
      </c>
      <c r="AP99" s="112">
        <v>70</v>
      </c>
      <c r="AQ99" s="112">
        <v>40.649962866288682</v>
      </c>
      <c r="AR99" s="112">
        <v>389.7122307805929</v>
      </c>
      <c r="AU99" s="110">
        <v>13.5</v>
      </c>
      <c r="AV99" s="110">
        <v>3</v>
      </c>
      <c r="AW99" s="110">
        <v>0</v>
      </c>
      <c r="AX99" s="110">
        <v>0</v>
      </c>
      <c r="AY99" s="110">
        <v>0</v>
      </c>
      <c r="AZ99" s="111">
        <v>27.512560113848263</v>
      </c>
      <c r="BA99" s="111">
        <v>7.5248027661807217</v>
      </c>
      <c r="BB99" s="111">
        <v>0</v>
      </c>
      <c r="BC99" s="111">
        <v>0</v>
      </c>
      <c r="BD99" s="111">
        <v>0</v>
      </c>
      <c r="BE99" s="111">
        <v>35.037362880028986</v>
      </c>
    </row>
    <row r="100" spans="1:57" s="110" customFormat="1" x14ac:dyDescent="0.25">
      <c r="A100" s="110" t="s">
        <v>370</v>
      </c>
      <c r="B100" s="108" t="s">
        <v>244</v>
      </c>
      <c r="C100" s="109" t="s">
        <v>245</v>
      </c>
      <c r="E100" s="114">
        <v>544200098874312</v>
      </c>
      <c r="F100" s="110" t="s">
        <v>276</v>
      </c>
      <c r="G100" s="110">
        <v>5</v>
      </c>
      <c r="I100" s="110">
        <v>11</v>
      </c>
      <c r="J100" s="111">
        <v>16.014163086888576</v>
      </c>
      <c r="K100" s="111">
        <v>176.15579395577433</v>
      </c>
      <c r="L100" s="110">
        <v>0</v>
      </c>
      <c r="M100" s="112">
        <v>16.014163086888576</v>
      </c>
      <c r="N100" s="112">
        <v>0</v>
      </c>
      <c r="O100" s="112">
        <v>0</v>
      </c>
      <c r="P100" s="112">
        <v>16.014163086888576</v>
      </c>
      <c r="Q100" s="112">
        <v>0</v>
      </c>
      <c r="R100" s="112">
        <v>0</v>
      </c>
      <c r="S100" s="112">
        <v>10.681446778954681</v>
      </c>
      <c r="T100" s="112">
        <v>0</v>
      </c>
      <c r="U100" s="112">
        <v>52.846738186732296</v>
      </c>
      <c r="V100" s="112">
        <v>1.17</v>
      </c>
      <c r="W100" s="112">
        <v>12.87</v>
      </c>
      <c r="X100" s="112">
        <v>0</v>
      </c>
      <c r="Y100" s="112">
        <v>0</v>
      </c>
      <c r="Z100" s="112">
        <v>12.87</v>
      </c>
      <c r="AA100" s="112">
        <v>0</v>
      </c>
      <c r="AB100" s="112">
        <v>176.15579395577433</v>
      </c>
      <c r="AC100" s="112">
        <v>167.34800425798562</v>
      </c>
      <c r="AD100" s="112">
        <v>8.8077896977887171</v>
      </c>
      <c r="AE100" s="112">
        <v>14.985024053088928</v>
      </c>
      <c r="AF100" s="112">
        <v>23.792813750877645</v>
      </c>
      <c r="AG100" s="112">
        <v>0</v>
      </c>
      <c r="AH100" s="112">
        <v>218.07971839162897</v>
      </c>
      <c r="AI100" s="112">
        <v>22.900253214250665</v>
      </c>
      <c r="AJ100" s="112">
        <v>3.5231158791154868</v>
      </c>
      <c r="AK100" s="112">
        <v>0.88077896977887171</v>
      </c>
      <c r="AL100" s="112">
        <v>27.304148063145021</v>
      </c>
      <c r="AM100" s="112">
        <v>269.17668020565168</v>
      </c>
      <c r="AN100" s="112">
        <v>0</v>
      </c>
      <c r="AO100" s="112">
        <v>25</v>
      </c>
      <c r="AP100" s="112">
        <v>70</v>
      </c>
      <c r="AQ100" s="112">
        <v>43.068268832904266</v>
      </c>
      <c r="AR100" s="112">
        <v>407.24494903855594</v>
      </c>
      <c r="AU100" s="110">
        <v>0</v>
      </c>
      <c r="AV100" s="110">
        <v>0</v>
      </c>
      <c r="AW100" s="110">
        <v>0</v>
      </c>
      <c r="AX100" s="110">
        <v>0</v>
      </c>
      <c r="AY100" s="110">
        <v>0</v>
      </c>
      <c r="AZ100" s="111">
        <v>0</v>
      </c>
      <c r="BA100" s="111">
        <v>0</v>
      </c>
      <c r="BB100" s="111">
        <v>0</v>
      </c>
      <c r="BC100" s="111">
        <v>0</v>
      </c>
      <c r="BD100" s="111">
        <v>0</v>
      </c>
      <c r="BE100" s="111">
        <v>0</v>
      </c>
    </row>
    <row r="101" spans="1:57" s="110" customFormat="1" x14ac:dyDescent="0.25">
      <c r="A101" s="110" t="s">
        <v>371</v>
      </c>
      <c r="B101" s="108" t="s">
        <v>246</v>
      </c>
      <c r="C101" s="109" t="s">
        <v>245</v>
      </c>
      <c r="E101" s="114">
        <v>544200179745831</v>
      </c>
      <c r="F101" s="110" t="s">
        <v>276</v>
      </c>
      <c r="G101" s="110">
        <v>1</v>
      </c>
      <c r="I101" s="110">
        <v>11</v>
      </c>
      <c r="J101" s="111">
        <v>16.014163086888576</v>
      </c>
      <c r="K101" s="111">
        <v>176.15579395577433</v>
      </c>
      <c r="L101" s="110">
        <v>0</v>
      </c>
      <c r="M101" s="112">
        <v>16.014163086888576</v>
      </c>
      <c r="N101" s="112">
        <v>0</v>
      </c>
      <c r="O101" s="112">
        <v>0</v>
      </c>
      <c r="P101" s="112">
        <v>16.014163086888576</v>
      </c>
      <c r="Q101" s="112">
        <v>0</v>
      </c>
      <c r="R101" s="112">
        <v>0</v>
      </c>
      <c r="S101" s="112">
        <v>10.681446778954681</v>
      </c>
      <c r="T101" s="112">
        <v>0</v>
      </c>
      <c r="U101" s="112">
        <v>52.846738186732296</v>
      </c>
      <c r="V101" s="112">
        <v>1.17</v>
      </c>
      <c r="W101" s="112">
        <v>12.87</v>
      </c>
      <c r="X101" s="112">
        <v>0</v>
      </c>
      <c r="Y101" s="112">
        <v>0</v>
      </c>
      <c r="Z101" s="112">
        <v>12.87</v>
      </c>
      <c r="AA101" s="112">
        <v>0</v>
      </c>
      <c r="AB101" s="112">
        <v>176.15579395577433</v>
      </c>
      <c r="AC101" s="112">
        <v>167.34800425798562</v>
      </c>
      <c r="AD101" s="112">
        <v>8.8077896977887171</v>
      </c>
      <c r="AE101" s="112">
        <v>16.317026191141277</v>
      </c>
      <c r="AF101" s="112">
        <v>25.124815888929994</v>
      </c>
      <c r="AG101" s="112">
        <v>0</v>
      </c>
      <c r="AH101" s="112">
        <v>216.74771625357664</v>
      </c>
      <c r="AI101" s="112">
        <v>22.900253214250665</v>
      </c>
      <c r="AJ101" s="112">
        <v>3.5231158791154868</v>
      </c>
      <c r="AK101" s="112">
        <v>0.88077896977887171</v>
      </c>
      <c r="AL101" s="112">
        <v>27.304148063145021</v>
      </c>
      <c r="AM101" s="112">
        <v>269.17668020565168</v>
      </c>
      <c r="AN101" s="112">
        <v>0</v>
      </c>
      <c r="AO101" s="112">
        <v>25</v>
      </c>
      <c r="AP101" s="112">
        <v>70</v>
      </c>
      <c r="AQ101" s="112">
        <v>43.068268832904266</v>
      </c>
      <c r="AR101" s="112">
        <v>407.24494903855594</v>
      </c>
      <c r="AU101" s="110">
        <v>0</v>
      </c>
      <c r="AV101" s="110">
        <v>0</v>
      </c>
      <c r="AW101" s="110">
        <v>0</v>
      </c>
      <c r="AX101" s="110">
        <v>0</v>
      </c>
      <c r="AY101" s="110">
        <v>0</v>
      </c>
      <c r="AZ101" s="111">
        <v>0</v>
      </c>
      <c r="BA101" s="111">
        <v>0</v>
      </c>
      <c r="BB101" s="111">
        <v>0</v>
      </c>
      <c r="BC101" s="111">
        <v>0</v>
      </c>
      <c r="BD101" s="111">
        <v>0</v>
      </c>
      <c r="BE101" s="111">
        <v>0</v>
      </c>
    </row>
    <row r="102" spans="1:57" s="110" customFormat="1" x14ac:dyDescent="0.25">
      <c r="A102" s="110" t="s">
        <v>372</v>
      </c>
      <c r="B102" s="108" t="s">
        <v>247</v>
      </c>
      <c r="C102" s="109" t="s">
        <v>248</v>
      </c>
      <c r="E102" s="114">
        <v>844100053313355</v>
      </c>
      <c r="F102" s="110" t="s">
        <v>276</v>
      </c>
      <c r="G102" s="110">
        <v>0</v>
      </c>
      <c r="I102" s="110">
        <v>13</v>
      </c>
      <c r="J102" s="111">
        <v>4.5538401141502565</v>
      </c>
      <c r="K102" s="111">
        <v>59.199921483953332</v>
      </c>
      <c r="L102" s="110">
        <v>0</v>
      </c>
      <c r="M102" s="112">
        <v>4.5538401141502565</v>
      </c>
      <c r="N102" s="112">
        <v>0</v>
      </c>
      <c r="O102" s="112">
        <v>0</v>
      </c>
      <c r="P102" s="112">
        <v>4.5538401141502565</v>
      </c>
      <c r="Q102" s="112">
        <v>0</v>
      </c>
      <c r="R102" s="112">
        <v>0</v>
      </c>
      <c r="S102" s="112">
        <v>3.0374113561382212</v>
      </c>
      <c r="T102" s="112">
        <v>0</v>
      </c>
      <c r="U102" s="112">
        <v>17.759976445185998</v>
      </c>
      <c r="V102" s="112">
        <v>1.17</v>
      </c>
      <c r="W102" s="112">
        <v>15.209999999999999</v>
      </c>
      <c r="X102" s="112">
        <v>0</v>
      </c>
      <c r="Y102" s="112">
        <v>0</v>
      </c>
      <c r="Z102" s="112">
        <v>15.209999999999999</v>
      </c>
      <c r="AA102" s="112">
        <v>30.624574767660473</v>
      </c>
      <c r="AB102" s="112">
        <v>89.824496251613809</v>
      </c>
      <c r="AC102" s="112">
        <v>85.333271439033112</v>
      </c>
      <c r="AD102" s="112">
        <v>4.4912248125806906</v>
      </c>
      <c r="AE102" s="112">
        <v>4.3478168028114892</v>
      </c>
      <c r="AF102" s="112">
        <v>8.8390416153921798</v>
      </c>
      <c r="AG102" s="112">
        <v>0</v>
      </c>
      <c r="AH102" s="112">
        <v>113.95543108140762</v>
      </c>
      <c r="AI102" s="112">
        <v>11.677184512709795</v>
      </c>
      <c r="AJ102" s="112">
        <v>1.7964899250322761</v>
      </c>
      <c r="AK102" s="112">
        <v>0.44912248125806903</v>
      </c>
      <c r="AL102" s="112">
        <v>13.92279691900014</v>
      </c>
      <c r="AM102" s="112">
        <v>136.71726961579995</v>
      </c>
      <c r="AN102" s="112">
        <v>0</v>
      </c>
      <c r="AO102" s="112">
        <v>25</v>
      </c>
      <c r="AP102" s="112">
        <v>70</v>
      </c>
      <c r="AQ102" s="112">
        <v>21.874763138527992</v>
      </c>
      <c r="AR102" s="112">
        <v>253.59203275432793</v>
      </c>
      <c r="AU102" s="110">
        <v>0</v>
      </c>
      <c r="AV102" s="110">
        <v>0</v>
      </c>
      <c r="AW102" s="110">
        <v>0</v>
      </c>
      <c r="AX102" s="110">
        <v>8</v>
      </c>
      <c r="AY102" s="110">
        <v>36</v>
      </c>
      <c r="AZ102" s="111">
        <v>0</v>
      </c>
      <c r="BA102" s="111">
        <v>0</v>
      </c>
      <c r="BB102" s="111">
        <v>0</v>
      </c>
      <c r="BC102" s="111">
        <v>5.0092241255652823</v>
      </c>
      <c r="BD102" s="111">
        <v>25.615350642095191</v>
      </c>
      <c r="BE102" s="111">
        <v>30.624574767660473</v>
      </c>
    </row>
    <row r="103" spans="1:57" s="110" customFormat="1" x14ac:dyDescent="0.25">
      <c r="B103" s="108" t="s">
        <v>400</v>
      </c>
      <c r="C103" s="109" t="s">
        <v>248</v>
      </c>
      <c r="E103" s="114"/>
      <c r="G103" s="110">
        <v>0</v>
      </c>
      <c r="I103" s="110">
        <v>11</v>
      </c>
      <c r="J103" s="111">
        <v>4.5538401141502565</v>
      </c>
      <c r="K103" s="111">
        <v>50.092241255652823</v>
      </c>
      <c r="L103" s="110">
        <v>0</v>
      </c>
      <c r="M103" s="112">
        <v>4.5538401141502565</v>
      </c>
      <c r="N103" s="112">
        <v>0</v>
      </c>
      <c r="O103" s="112">
        <v>0</v>
      </c>
      <c r="P103" s="112">
        <v>4.5538401141502565</v>
      </c>
      <c r="Q103" s="112">
        <v>0</v>
      </c>
      <c r="R103" s="112">
        <v>0</v>
      </c>
      <c r="S103" s="112">
        <v>3.0374113561382212</v>
      </c>
      <c r="T103" s="112">
        <v>0</v>
      </c>
      <c r="U103" s="112">
        <v>15.027672376695847</v>
      </c>
      <c r="V103" s="112">
        <v>1.17</v>
      </c>
      <c r="W103" s="112">
        <v>12.87</v>
      </c>
      <c r="X103" s="112">
        <v>1</v>
      </c>
      <c r="Y103" s="112">
        <v>1.17</v>
      </c>
      <c r="Z103" s="112">
        <v>14.04</v>
      </c>
      <c r="AA103" s="112">
        <v>3.4153800856126924</v>
      </c>
      <c r="AB103" s="112">
        <v>53.507621341265512</v>
      </c>
      <c r="AC103" s="112">
        <v>50.832240274202235</v>
      </c>
      <c r="AD103" s="112">
        <v>2.6753810670632756</v>
      </c>
      <c r="AE103" s="112">
        <v>16.317026191141277</v>
      </c>
      <c r="AF103" s="112">
        <v>18.992407258204551</v>
      </c>
      <c r="AG103" s="112">
        <v>0</v>
      </c>
      <c r="AH103" s="112">
        <v>63.582886459756807</v>
      </c>
      <c r="AI103" s="112">
        <v>6.9559907743645164</v>
      </c>
      <c r="AJ103" s="112">
        <v>1.0701524268253102</v>
      </c>
      <c r="AK103" s="112">
        <v>0.26753810670632755</v>
      </c>
      <c r="AL103" s="112">
        <v>8.2936813078961542</v>
      </c>
      <c r="AM103" s="112">
        <v>90.868975025857509</v>
      </c>
      <c r="AN103" s="112">
        <v>0</v>
      </c>
      <c r="AO103" s="112">
        <v>25</v>
      </c>
      <c r="AP103" s="112">
        <v>70</v>
      </c>
      <c r="AQ103" s="112">
        <v>14.539036004137202</v>
      </c>
      <c r="AR103" s="112">
        <v>200.40801102999473</v>
      </c>
      <c r="AU103" s="110">
        <v>0</v>
      </c>
      <c r="AV103" s="110">
        <v>0</v>
      </c>
      <c r="AW103" s="110">
        <v>3</v>
      </c>
      <c r="AX103" s="110">
        <v>0</v>
      </c>
      <c r="AY103" s="110">
        <v>0</v>
      </c>
      <c r="AZ103" s="111">
        <v>0</v>
      </c>
      <c r="BA103" s="111">
        <v>0</v>
      </c>
      <c r="BB103" s="111">
        <v>3.4153800856126924</v>
      </c>
      <c r="BC103" s="111">
        <v>0</v>
      </c>
      <c r="BD103" s="111">
        <v>0</v>
      </c>
      <c r="BE103" s="111">
        <v>3.4153800856126924</v>
      </c>
    </row>
    <row r="104" spans="1:57" s="110" customFormat="1" x14ac:dyDescent="0.25">
      <c r="B104" s="108" t="s">
        <v>399</v>
      </c>
      <c r="C104" s="109" t="s">
        <v>248</v>
      </c>
      <c r="E104" s="114"/>
      <c r="G104" s="110">
        <v>0</v>
      </c>
      <c r="I104" s="110">
        <v>6</v>
      </c>
      <c r="J104" s="111">
        <v>4.5538401141502565</v>
      </c>
      <c r="K104" s="111">
        <v>27.323040684901539</v>
      </c>
      <c r="L104" s="110">
        <v>0</v>
      </c>
      <c r="M104" s="112">
        <v>4.5538401141502565</v>
      </c>
      <c r="N104" s="112">
        <v>0</v>
      </c>
      <c r="O104" s="112">
        <v>0</v>
      </c>
      <c r="P104" s="112">
        <v>4.5538401141502565</v>
      </c>
      <c r="Q104" s="112">
        <v>0</v>
      </c>
      <c r="R104" s="112">
        <v>0</v>
      </c>
      <c r="S104" s="112">
        <v>3.0374113561382212</v>
      </c>
      <c r="T104" s="112">
        <v>0</v>
      </c>
      <c r="U104" s="112">
        <v>8.1969122054704613</v>
      </c>
      <c r="V104" s="112">
        <v>1.17</v>
      </c>
      <c r="W104" s="112">
        <v>7.02</v>
      </c>
      <c r="X104" s="112">
        <v>2</v>
      </c>
      <c r="Y104" s="112">
        <v>2.34</v>
      </c>
      <c r="Z104" s="112">
        <v>9.36</v>
      </c>
      <c r="AA104" s="112">
        <v>21.260741032939009</v>
      </c>
      <c r="AB104" s="112">
        <v>48.583781717840552</v>
      </c>
      <c r="AC104" s="112">
        <v>46.154592631948525</v>
      </c>
      <c r="AD104" s="112">
        <v>2.4291890858920278</v>
      </c>
      <c r="AE104" s="112">
        <v>4.3478168028114892</v>
      </c>
      <c r="AF104" s="112">
        <v>6.7770058887035169</v>
      </c>
      <c r="AG104" s="112">
        <v>0</v>
      </c>
      <c r="AH104" s="112">
        <v>59.363688034607492</v>
      </c>
      <c r="AI104" s="112">
        <v>6.3158916233192723</v>
      </c>
      <c r="AJ104" s="112">
        <v>0.97167563435681104</v>
      </c>
      <c r="AK104" s="112">
        <v>0.24291890858920276</v>
      </c>
      <c r="AL104" s="112">
        <v>7.5304861662652858</v>
      </c>
      <c r="AM104" s="112">
        <v>73.671180089576296</v>
      </c>
      <c r="AN104" s="112">
        <v>0</v>
      </c>
      <c r="AO104" s="112">
        <v>25</v>
      </c>
      <c r="AP104" s="112">
        <v>70</v>
      </c>
      <c r="AQ104" s="112">
        <v>11.787388814332207</v>
      </c>
      <c r="AR104" s="112">
        <v>180.45856890390851</v>
      </c>
      <c r="AU104" s="110">
        <v>3</v>
      </c>
      <c r="AV104" s="110">
        <v>0</v>
      </c>
      <c r="AW104" s="110">
        <v>15</v>
      </c>
      <c r="AX104" s="110">
        <v>2</v>
      </c>
      <c r="AY104" s="110">
        <v>1</v>
      </c>
      <c r="AZ104" s="111">
        <v>2.2199970556482502</v>
      </c>
      <c r="BA104" s="111">
        <v>0</v>
      </c>
      <c r="BB104" s="111">
        <v>17.07690042806346</v>
      </c>
      <c r="BC104" s="111">
        <v>1.2523060313913206</v>
      </c>
      <c r="BD104" s="111">
        <v>0.71153751783597752</v>
      </c>
      <c r="BE104" s="111">
        <v>21.260741032939009</v>
      </c>
    </row>
    <row r="105" spans="1:57" s="110" customFormat="1" x14ac:dyDescent="0.25">
      <c r="A105" s="110" t="s">
        <v>373</v>
      </c>
      <c r="B105" s="108" t="s">
        <v>249</v>
      </c>
      <c r="C105" s="109" t="s">
        <v>248</v>
      </c>
      <c r="E105" s="114">
        <v>544200133835634</v>
      </c>
      <c r="F105" s="110" t="s">
        <v>276</v>
      </c>
      <c r="G105" s="110">
        <v>0</v>
      </c>
      <c r="I105" s="110">
        <v>13</v>
      </c>
      <c r="J105" s="111">
        <v>4.5538401141502565</v>
      </c>
      <c r="K105" s="111">
        <v>59.199921483953332</v>
      </c>
      <c r="L105" s="110">
        <v>0</v>
      </c>
      <c r="M105" s="112">
        <v>4.5538401141502565</v>
      </c>
      <c r="N105" s="112">
        <v>0</v>
      </c>
      <c r="O105" s="112">
        <v>0</v>
      </c>
      <c r="P105" s="112">
        <v>4.5538401141502565</v>
      </c>
      <c r="Q105" s="112">
        <v>0</v>
      </c>
      <c r="R105" s="112">
        <v>0</v>
      </c>
      <c r="S105" s="112">
        <v>3.0374113561382212</v>
      </c>
      <c r="T105" s="112">
        <v>0</v>
      </c>
      <c r="U105" s="112">
        <v>17.759976445185998</v>
      </c>
      <c r="V105" s="112">
        <v>1.17</v>
      </c>
      <c r="W105" s="112">
        <v>15.209999999999999</v>
      </c>
      <c r="X105" s="112">
        <v>0</v>
      </c>
      <c r="Y105" s="112">
        <v>0</v>
      </c>
      <c r="Z105" s="112">
        <v>15.209999999999999</v>
      </c>
      <c r="AA105" s="112">
        <v>36.316874910348297</v>
      </c>
      <c r="AB105" s="112">
        <v>95.516796394301622</v>
      </c>
      <c r="AC105" s="112">
        <v>90.740956574586534</v>
      </c>
      <c r="AD105" s="112">
        <v>4.7758398197150811</v>
      </c>
      <c r="AE105" s="112">
        <v>5.1589695731445007</v>
      </c>
      <c r="AF105" s="112">
        <v>9.9348093928595809</v>
      </c>
      <c r="AG105" s="112">
        <v>0</v>
      </c>
      <c r="AH105" s="112">
        <v>118.55196344662805</v>
      </c>
      <c r="AI105" s="112">
        <v>12.41718353125921</v>
      </c>
      <c r="AJ105" s="112">
        <v>1.9103359278860326</v>
      </c>
      <c r="AK105" s="112">
        <v>0.47758398197150814</v>
      </c>
      <c r="AL105" s="112">
        <v>14.805103441116751</v>
      </c>
      <c r="AM105" s="112">
        <v>143.29187628060438</v>
      </c>
      <c r="AN105" s="112">
        <v>0</v>
      </c>
      <c r="AO105" s="112">
        <v>25</v>
      </c>
      <c r="AP105" s="112">
        <v>70</v>
      </c>
      <c r="AQ105" s="112">
        <v>22.926700204896701</v>
      </c>
      <c r="AR105" s="112">
        <v>261.2185764855011</v>
      </c>
      <c r="AU105" s="110">
        <v>0</v>
      </c>
      <c r="AV105" s="110">
        <v>0</v>
      </c>
      <c r="AW105" s="110">
        <v>0</v>
      </c>
      <c r="AX105" s="110">
        <v>8</v>
      </c>
      <c r="AY105" s="110">
        <v>44</v>
      </c>
      <c r="AZ105" s="111">
        <v>0</v>
      </c>
      <c r="BA105" s="111">
        <v>0</v>
      </c>
      <c r="BB105" s="111">
        <v>0</v>
      </c>
      <c r="BC105" s="111">
        <v>5.0092241255652823</v>
      </c>
      <c r="BD105" s="111">
        <v>31.307650784783014</v>
      </c>
      <c r="BE105" s="111">
        <v>36.316874910348297</v>
      </c>
    </row>
    <row r="106" spans="1:57" s="110" customFormat="1" x14ac:dyDescent="0.25">
      <c r="A106" s="110" t="s">
        <v>375</v>
      </c>
      <c r="B106" s="108" t="s">
        <v>250</v>
      </c>
      <c r="C106" s="109" t="s">
        <v>248</v>
      </c>
      <c r="E106" s="114">
        <v>544200137032560</v>
      </c>
      <c r="F106" s="110" t="s">
        <v>276</v>
      </c>
      <c r="G106" s="110">
        <v>0</v>
      </c>
      <c r="I106" s="110">
        <v>9</v>
      </c>
      <c r="J106" s="111">
        <v>4.5538401141502565</v>
      </c>
      <c r="K106" s="111">
        <v>40.984561027352306</v>
      </c>
      <c r="L106" s="110">
        <v>0</v>
      </c>
      <c r="M106" s="112">
        <v>4.5538401141502565</v>
      </c>
      <c r="N106" s="112">
        <v>0</v>
      </c>
      <c r="O106" s="112">
        <v>0</v>
      </c>
      <c r="P106" s="112">
        <v>4.5538401141502565</v>
      </c>
      <c r="Q106" s="112">
        <v>0</v>
      </c>
      <c r="R106" s="112">
        <v>0</v>
      </c>
      <c r="S106" s="112">
        <v>3.0374113561382212</v>
      </c>
      <c r="T106" s="112">
        <v>0</v>
      </c>
      <c r="U106" s="112">
        <v>12.295368308205692</v>
      </c>
      <c r="V106" s="112">
        <v>1.17</v>
      </c>
      <c r="W106" s="112">
        <v>10.53</v>
      </c>
      <c r="X106" s="112">
        <v>0</v>
      </c>
      <c r="Y106" s="112">
        <v>0</v>
      </c>
      <c r="Z106" s="112">
        <v>10.53</v>
      </c>
      <c r="AA106" s="112">
        <v>12.38075281034601</v>
      </c>
      <c r="AB106" s="112">
        <v>53.365313837698316</v>
      </c>
      <c r="AC106" s="112">
        <v>50.697048145813397</v>
      </c>
      <c r="AD106" s="112">
        <v>2.6682656918849159</v>
      </c>
      <c r="AE106" s="112">
        <v>1</v>
      </c>
      <c r="AF106" s="112">
        <v>3.6682656918849159</v>
      </c>
      <c r="AG106" s="112">
        <v>0</v>
      </c>
      <c r="AH106" s="112">
        <v>72.522416454019094</v>
      </c>
      <c r="AI106" s="112">
        <v>6.9374907989007815</v>
      </c>
      <c r="AJ106" s="112">
        <v>1.0673062767539663</v>
      </c>
      <c r="AK106" s="112">
        <v>0.26682656918849157</v>
      </c>
      <c r="AL106" s="112">
        <v>8.2716236448432401</v>
      </c>
      <c r="AM106" s="112">
        <v>84.462305790747251</v>
      </c>
      <c r="AN106" s="112">
        <v>0</v>
      </c>
      <c r="AO106" s="112">
        <v>25</v>
      </c>
      <c r="AP106" s="112">
        <v>70</v>
      </c>
      <c r="AQ106" s="112">
        <v>13.51396892651956</v>
      </c>
      <c r="AR106" s="112">
        <v>192.97627471726682</v>
      </c>
      <c r="AU106" s="110">
        <v>3</v>
      </c>
      <c r="AV106" s="110">
        <v>0</v>
      </c>
      <c r="AW106" s="110">
        <v>0</v>
      </c>
      <c r="AX106" s="110">
        <v>6</v>
      </c>
      <c r="AY106" s="110">
        <v>9</v>
      </c>
      <c r="AZ106" s="111">
        <v>2.2199970556482502</v>
      </c>
      <c r="BA106" s="111">
        <v>0</v>
      </c>
      <c r="BB106" s="111">
        <v>0</v>
      </c>
      <c r="BC106" s="111">
        <v>3.7569180941739617</v>
      </c>
      <c r="BD106" s="111">
        <v>6.4038376605237977</v>
      </c>
      <c r="BE106" s="111">
        <v>12.38075281034601</v>
      </c>
    </row>
    <row r="107" spans="1:57" s="110" customFormat="1" x14ac:dyDescent="0.25">
      <c r="A107" s="110" t="s">
        <v>374</v>
      </c>
      <c r="B107" s="108" t="s">
        <v>251</v>
      </c>
      <c r="C107" s="109" t="s">
        <v>248</v>
      </c>
      <c r="E107" s="114">
        <v>544200133819047</v>
      </c>
      <c r="F107" s="110" t="s">
        <v>276</v>
      </c>
      <c r="G107" s="110">
        <v>3</v>
      </c>
      <c r="I107" s="110">
        <v>13</v>
      </c>
      <c r="J107" s="111">
        <v>4.5538401141502565</v>
      </c>
      <c r="K107" s="111">
        <v>59.199921483953332</v>
      </c>
      <c r="L107" s="110">
        <v>0</v>
      </c>
      <c r="M107" s="112">
        <v>4.5538401141502565</v>
      </c>
      <c r="N107" s="112">
        <v>0</v>
      </c>
      <c r="O107" s="112">
        <v>0</v>
      </c>
      <c r="P107" s="112">
        <v>4.5538401141502565</v>
      </c>
      <c r="Q107" s="112">
        <v>0</v>
      </c>
      <c r="R107" s="112">
        <v>0</v>
      </c>
      <c r="S107" s="112">
        <v>3.0374113561382212</v>
      </c>
      <c r="T107" s="112">
        <v>0</v>
      </c>
      <c r="U107" s="112">
        <v>17.759976445185998</v>
      </c>
      <c r="V107" s="112">
        <v>1.17</v>
      </c>
      <c r="W107" s="112">
        <v>15.209999999999999</v>
      </c>
      <c r="X107" s="112">
        <v>0</v>
      </c>
      <c r="Y107" s="112">
        <v>0</v>
      </c>
      <c r="Z107" s="112">
        <v>15.209999999999999</v>
      </c>
      <c r="AA107" s="112">
        <v>32.588418316887768</v>
      </c>
      <c r="AB107" s="112">
        <v>91.788339800841101</v>
      </c>
      <c r="AC107" s="112">
        <v>87.198922810799047</v>
      </c>
      <c r="AD107" s="112">
        <v>4.5894169900420554</v>
      </c>
      <c r="AE107" s="112">
        <v>4.3500046380617965</v>
      </c>
      <c r="AF107" s="112">
        <v>8.939421628103851</v>
      </c>
      <c r="AG107" s="112">
        <v>0</v>
      </c>
      <c r="AH107" s="112">
        <v>115.81889461792323</v>
      </c>
      <c r="AI107" s="112">
        <v>11.932484174109344</v>
      </c>
      <c r="AJ107" s="112">
        <v>1.835766796016822</v>
      </c>
      <c r="AK107" s="112">
        <v>0.45894169900420551</v>
      </c>
      <c r="AL107" s="112">
        <v>14.227192669130371</v>
      </c>
      <c r="AM107" s="112">
        <v>138.98550891515745</v>
      </c>
      <c r="AN107" s="112">
        <v>0</v>
      </c>
      <c r="AO107" s="112">
        <v>25</v>
      </c>
      <c r="AP107" s="112">
        <v>70</v>
      </c>
      <c r="AQ107" s="112">
        <v>22.237681426425194</v>
      </c>
      <c r="AR107" s="112">
        <v>256.22319034158267</v>
      </c>
      <c r="AU107" s="110">
        <v>0</v>
      </c>
      <c r="AV107" s="110">
        <v>0</v>
      </c>
      <c r="AX107" s="110">
        <v>10</v>
      </c>
      <c r="AY107" s="110">
        <v>37</v>
      </c>
      <c r="AZ107" s="111">
        <v>0</v>
      </c>
      <c r="BA107" s="111">
        <v>0</v>
      </c>
      <c r="BB107" s="111">
        <v>0</v>
      </c>
      <c r="BC107" s="111">
        <v>6.2615301569566029</v>
      </c>
      <c r="BD107" s="111">
        <v>26.326888159931169</v>
      </c>
      <c r="BE107" s="111">
        <v>32.588418316887768</v>
      </c>
    </row>
    <row r="108" spans="1:57" s="110" customFormat="1" x14ac:dyDescent="0.25">
      <c r="B108" s="108" t="s">
        <v>404</v>
      </c>
      <c r="C108" s="109" t="s">
        <v>248</v>
      </c>
      <c r="E108" s="114"/>
      <c r="G108" s="110">
        <v>0</v>
      </c>
      <c r="I108" s="110">
        <v>10</v>
      </c>
      <c r="J108" s="111">
        <v>4.5538401141502565</v>
      </c>
      <c r="K108" s="111">
        <v>45.538401141502561</v>
      </c>
      <c r="L108" s="110">
        <v>0</v>
      </c>
      <c r="M108" s="112">
        <v>4.5538401141502565</v>
      </c>
      <c r="N108" s="112">
        <v>0</v>
      </c>
      <c r="O108" s="112">
        <v>0</v>
      </c>
      <c r="P108" s="112">
        <v>4.5538401141502565</v>
      </c>
      <c r="Q108" s="112">
        <v>0</v>
      </c>
      <c r="R108" s="112">
        <v>0</v>
      </c>
      <c r="S108" s="112">
        <v>3.0374113561382212</v>
      </c>
      <c r="T108" s="112">
        <v>0</v>
      </c>
      <c r="U108" s="112">
        <v>13.661520342450768</v>
      </c>
      <c r="V108" s="112">
        <v>1.17</v>
      </c>
      <c r="W108" s="112">
        <v>11.7</v>
      </c>
      <c r="X108" s="112">
        <v>0</v>
      </c>
      <c r="Y108" s="112">
        <v>0</v>
      </c>
      <c r="Z108" s="112">
        <v>11.7</v>
      </c>
      <c r="AA108" s="112">
        <v>19.239974482284833</v>
      </c>
      <c r="AB108" s="112">
        <v>64.778375623787397</v>
      </c>
      <c r="AC108" s="112">
        <v>61.539456842598028</v>
      </c>
      <c r="AD108" s="112">
        <v>3.23891878118937</v>
      </c>
      <c r="AE108" s="112">
        <v>15.417323486584323</v>
      </c>
      <c r="AF108" s="112">
        <v>18.656242267773692</v>
      </c>
      <c r="AG108" s="112">
        <v>0</v>
      </c>
      <c r="AH108" s="112">
        <v>71.483653698464479</v>
      </c>
      <c r="AI108" s="112">
        <v>8.4211888310923619</v>
      </c>
      <c r="AJ108" s="112">
        <v>1.295567512475748</v>
      </c>
      <c r="AK108" s="112">
        <v>0.32389187811893699</v>
      </c>
      <c r="AL108" s="112">
        <v>10.040648221687047</v>
      </c>
      <c r="AM108" s="112">
        <v>100.18054418792522</v>
      </c>
      <c r="AN108" s="112">
        <v>0</v>
      </c>
      <c r="AO108" s="112">
        <v>25</v>
      </c>
      <c r="AP108" s="112">
        <v>70</v>
      </c>
      <c r="AQ108" s="112">
        <v>16.028887070068034</v>
      </c>
      <c r="AR108" s="112">
        <v>211.20943125799326</v>
      </c>
      <c r="AU108" s="110">
        <v>0</v>
      </c>
      <c r="AV108" s="110">
        <v>0</v>
      </c>
      <c r="AW108" s="110">
        <v>0</v>
      </c>
      <c r="AX108" s="110">
        <v>8</v>
      </c>
      <c r="AY108" s="110">
        <v>20</v>
      </c>
      <c r="AZ108" s="111">
        <v>0</v>
      </c>
      <c r="BA108" s="111">
        <v>0</v>
      </c>
      <c r="BB108" s="111">
        <v>0</v>
      </c>
      <c r="BC108" s="111">
        <v>5.0092241255652823</v>
      </c>
      <c r="BD108" s="111">
        <v>14.23075035671955</v>
      </c>
      <c r="BE108" s="111">
        <v>19.239974482284833</v>
      </c>
    </row>
    <row r="109" spans="1:57" s="110" customFormat="1" x14ac:dyDescent="0.25">
      <c r="A109" s="110" t="s">
        <v>376</v>
      </c>
      <c r="B109" s="108" t="s">
        <v>252</v>
      </c>
      <c r="C109" s="109" t="s">
        <v>253</v>
      </c>
      <c r="E109" s="114">
        <v>544200132980676</v>
      </c>
      <c r="F109" s="110" t="s">
        <v>276</v>
      </c>
      <c r="G109" s="110">
        <v>0</v>
      </c>
      <c r="I109" s="110">
        <v>11</v>
      </c>
      <c r="J109" s="111">
        <v>12.541337943634536</v>
      </c>
      <c r="K109" s="111">
        <v>137.95471737997991</v>
      </c>
      <c r="L109" s="110">
        <v>0</v>
      </c>
      <c r="M109" s="112">
        <v>12.541337943634536</v>
      </c>
      <c r="N109" s="112">
        <v>0</v>
      </c>
      <c r="O109" s="112">
        <v>0</v>
      </c>
      <c r="P109" s="112">
        <v>12.541337943634536</v>
      </c>
      <c r="Q109" s="112">
        <v>0</v>
      </c>
      <c r="R109" s="112">
        <v>0</v>
      </c>
      <c r="S109" s="112">
        <v>8.3650724084042363</v>
      </c>
      <c r="T109" s="112">
        <v>0</v>
      </c>
      <c r="U109" s="112">
        <v>41.38641521399397</v>
      </c>
      <c r="V109" s="112">
        <v>1.17</v>
      </c>
      <c r="W109" s="112">
        <v>12.87</v>
      </c>
      <c r="X109" s="112">
        <v>1</v>
      </c>
      <c r="Y109" s="112">
        <v>1.17</v>
      </c>
      <c r="Z109" s="112">
        <v>14.04</v>
      </c>
      <c r="AA109" s="112">
        <v>29.550527529688878</v>
      </c>
      <c r="AB109" s="112">
        <v>167.50524490966879</v>
      </c>
      <c r="AC109" s="112">
        <v>159.12998266418535</v>
      </c>
      <c r="AD109" s="112">
        <v>8.3752622454834391</v>
      </c>
      <c r="AE109" s="112">
        <v>15.417323486584323</v>
      </c>
      <c r="AF109" s="112">
        <v>23.792585732067764</v>
      </c>
      <c r="AG109" s="112">
        <v>0</v>
      </c>
      <c r="AH109" s="112">
        <v>199.13907439159499</v>
      </c>
      <c r="AI109" s="112">
        <v>21.775681838256943</v>
      </c>
      <c r="AJ109" s="112">
        <v>3.3501048981933756</v>
      </c>
      <c r="AK109" s="112">
        <v>0.83752622454834391</v>
      </c>
      <c r="AL109" s="112">
        <v>25.963312960998664</v>
      </c>
      <c r="AM109" s="112">
        <v>248.89497308466144</v>
      </c>
      <c r="AN109" s="112">
        <v>0</v>
      </c>
      <c r="AO109" s="112">
        <v>25</v>
      </c>
      <c r="AP109" s="112">
        <v>70</v>
      </c>
      <c r="AQ109" s="112">
        <v>39.823195693545834</v>
      </c>
      <c r="AR109" s="112">
        <v>383.71816877820726</v>
      </c>
      <c r="AT109" s="110">
        <v>1</v>
      </c>
      <c r="AU109" s="110">
        <v>4.5</v>
      </c>
      <c r="AV109" s="110">
        <v>0</v>
      </c>
      <c r="AW109" s="110">
        <v>6.5</v>
      </c>
      <c r="AX109" s="110">
        <v>0</v>
      </c>
      <c r="AY109" s="110">
        <v>0</v>
      </c>
      <c r="AZ109" s="111">
        <v>9.1708533712827549</v>
      </c>
      <c r="BA109" s="111">
        <v>0</v>
      </c>
      <c r="BB109" s="111">
        <v>20.379674158406122</v>
      </c>
      <c r="BC109" s="111">
        <v>0</v>
      </c>
      <c r="BD109" s="111">
        <v>0</v>
      </c>
      <c r="BE109" s="111">
        <v>29.550527529688878</v>
      </c>
    </row>
    <row r="110" spans="1:57" s="110" customFormat="1" x14ac:dyDescent="0.25">
      <c r="A110" s="110" t="s">
        <v>377</v>
      </c>
      <c r="B110" s="108" t="s">
        <v>254</v>
      </c>
      <c r="C110" s="109" t="s">
        <v>255</v>
      </c>
      <c r="E110" s="114" t="s">
        <v>257</v>
      </c>
      <c r="F110" s="110" t="s">
        <v>276</v>
      </c>
      <c r="G110" s="110">
        <v>0</v>
      </c>
      <c r="I110" s="110">
        <v>11</v>
      </c>
      <c r="J110" s="111">
        <v>11.499490400658328</v>
      </c>
      <c r="K110" s="111">
        <v>126.4943944072416</v>
      </c>
      <c r="L110" s="110">
        <v>0</v>
      </c>
      <c r="M110" s="112">
        <v>11.499490400658328</v>
      </c>
      <c r="N110" s="112">
        <v>0</v>
      </c>
      <c r="O110" s="112">
        <v>0</v>
      </c>
      <c r="P110" s="112">
        <v>11.499490400658328</v>
      </c>
      <c r="Q110" s="112">
        <v>0</v>
      </c>
      <c r="R110" s="112">
        <v>0</v>
      </c>
      <c r="S110" s="112">
        <v>7.6701600972391049</v>
      </c>
      <c r="T110" s="112">
        <v>0</v>
      </c>
      <c r="U110" s="112">
        <v>37.948318322172476</v>
      </c>
      <c r="V110" s="112">
        <v>1.17</v>
      </c>
      <c r="W110" s="112">
        <v>12.87</v>
      </c>
      <c r="X110" s="112">
        <v>0</v>
      </c>
      <c r="Y110" s="112">
        <v>0</v>
      </c>
      <c r="Z110" s="112">
        <v>12.87</v>
      </c>
      <c r="AA110" s="112">
        <v>11.212003140641869</v>
      </c>
      <c r="AB110" s="112">
        <v>137.70639754788345</v>
      </c>
      <c r="AC110" s="112">
        <v>130.82107767048927</v>
      </c>
      <c r="AD110" s="112">
        <v>6.8853198773941733</v>
      </c>
      <c r="AE110" s="112">
        <v>11.170987737529911</v>
      </c>
      <c r="AF110" s="112">
        <v>18.056307614924084</v>
      </c>
      <c r="AG110" s="112">
        <v>0</v>
      </c>
      <c r="AH110" s="112">
        <v>170.46840825513183</v>
      </c>
      <c r="AI110" s="112">
        <v>17.901831681224849</v>
      </c>
      <c r="AJ110" s="112">
        <v>2.754127950957669</v>
      </c>
      <c r="AK110" s="112">
        <v>0.68853198773941726</v>
      </c>
      <c r="AL110" s="112">
        <v>21.344491619921936</v>
      </c>
      <c r="AM110" s="112">
        <v>209.86920748997787</v>
      </c>
      <c r="AN110" s="112">
        <v>0</v>
      </c>
      <c r="AO110" s="112">
        <v>25</v>
      </c>
      <c r="AP110" s="112">
        <v>70</v>
      </c>
      <c r="AQ110" s="112">
        <v>33.579073198396458</v>
      </c>
      <c r="AR110" s="112">
        <v>338.44828068837433</v>
      </c>
      <c r="AU110" s="110">
        <v>6</v>
      </c>
      <c r="AV110" s="110">
        <v>0</v>
      </c>
      <c r="AW110" s="110">
        <v>0</v>
      </c>
      <c r="AX110" s="110">
        <v>0</v>
      </c>
      <c r="AY110" s="110">
        <v>0</v>
      </c>
      <c r="AZ110" s="111">
        <v>11.212003140641869</v>
      </c>
      <c r="BA110" s="111">
        <v>0</v>
      </c>
      <c r="BB110" s="111">
        <v>0</v>
      </c>
      <c r="BC110" s="111">
        <v>0</v>
      </c>
      <c r="BD110" s="111">
        <v>0</v>
      </c>
      <c r="BE110" s="111">
        <v>11.212003140641869</v>
      </c>
    </row>
    <row r="111" spans="1:57" s="110" customFormat="1" x14ac:dyDescent="0.25">
      <c r="A111" s="110" t="s">
        <v>378</v>
      </c>
      <c r="B111" s="108" t="s">
        <v>256</v>
      </c>
      <c r="C111" s="109" t="s">
        <v>255</v>
      </c>
      <c r="E111" s="114">
        <v>544200086190883</v>
      </c>
      <c r="F111" s="110" t="s">
        <v>276</v>
      </c>
      <c r="G111" s="110">
        <v>4</v>
      </c>
      <c r="I111" s="110">
        <v>11</v>
      </c>
      <c r="J111" s="111">
        <v>14.277750515261559</v>
      </c>
      <c r="K111" s="111">
        <v>157.05525566787713</v>
      </c>
      <c r="L111" s="110">
        <v>0</v>
      </c>
      <c r="M111" s="112">
        <v>14.277750515261559</v>
      </c>
      <c r="N111" s="112">
        <v>0</v>
      </c>
      <c r="O111" s="112">
        <v>0</v>
      </c>
      <c r="P111" s="112">
        <v>14.277750515261559</v>
      </c>
      <c r="Q111" s="112">
        <v>0</v>
      </c>
      <c r="R111" s="112">
        <v>0</v>
      </c>
      <c r="S111" s="112">
        <v>9.5232595936794606</v>
      </c>
      <c r="T111" s="112">
        <v>0</v>
      </c>
      <c r="U111" s="112">
        <v>47.11657670036314</v>
      </c>
      <c r="V111" s="112">
        <v>1.17</v>
      </c>
      <c r="W111" s="112">
        <v>12.87</v>
      </c>
      <c r="X111" s="112">
        <v>0</v>
      </c>
      <c r="Y111" s="112">
        <v>0</v>
      </c>
      <c r="Z111" s="112">
        <v>12.87</v>
      </c>
      <c r="AA111" s="112">
        <v>31.321815192855045</v>
      </c>
      <c r="AB111" s="112">
        <v>188.37707086073218</v>
      </c>
      <c r="AC111" s="112">
        <v>178.95821731769556</v>
      </c>
      <c r="AD111" s="112">
        <v>9.4188535430366098</v>
      </c>
      <c r="AE111" s="112">
        <v>16.920233989841986</v>
      </c>
      <c r="AF111" s="112">
        <v>26.339087532878594</v>
      </c>
      <c r="AG111" s="112">
        <v>0</v>
      </c>
      <c r="AH111" s="112">
        <v>222.02456002821674</v>
      </c>
      <c r="AI111" s="112">
        <v>24.489019211895183</v>
      </c>
      <c r="AJ111" s="112">
        <v>3.7675414172146438</v>
      </c>
      <c r="AK111" s="112">
        <v>0.94188535430366094</v>
      </c>
      <c r="AL111" s="112">
        <v>29.198445983413489</v>
      </c>
      <c r="AM111" s="112">
        <v>277.5620935445088</v>
      </c>
      <c r="AN111" s="112">
        <v>0</v>
      </c>
      <c r="AO111" s="112">
        <v>25</v>
      </c>
      <c r="AP111" s="112">
        <v>70</v>
      </c>
      <c r="AQ111" s="112">
        <v>44.409934967121409</v>
      </c>
      <c r="AR111" s="112">
        <v>416.97202851163019</v>
      </c>
      <c r="AU111" s="110">
        <v>13.5</v>
      </c>
      <c r="AV111" s="110">
        <v>0</v>
      </c>
      <c r="AW111" s="110">
        <v>0</v>
      </c>
      <c r="AX111" s="110">
        <v>0</v>
      </c>
      <c r="AY111" s="110">
        <v>0</v>
      </c>
      <c r="AZ111" s="111">
        <v>31.321815192855045</v>
      </c>
      <c r="BA111" s="111">
        <v>0</v>
      </c>
      <c r="BB111" s="111">
        <v>0</v>
      </c>
      <c r="BC111" s="111">
        <v>0</v>
      </c>
      <c r="BD111" s="111">
        <v>0</v>
      </c>
      <c r="BE111" s="111">
        <v>31.321815192855045</v>
      </c>
    </row>
    <row r="112" spans="1:57" s="110" customFormat="1" x14ac:dyDescent="0.25">
      <c r="A112" s="110" t="s">
        <v>379</v>
      </c>
      <c r="B112" s="108" t="s">
        <v>258</v>
      </c>
      <c r="C112" s="109" t="s">
        <v>259</v>
      </c>
      <c r="E112" s="114">
        <v>544200101869769</v>
      </c>
      <c r="F112" s="110" t="s">
        <v>276</v>
      </c>
      <c r="G112" s="110">
        <v>3</v>
      </c>
      <c r="I112" s="110">
        <v>12</v>
      </c>
      <c r="J112" s="111">
        <v>7.6793827430788859</v>
      </c>
      <c r="K112" s="111">
        <v>92.152592916946631</v>
      </c>
      <c r="L112" s="110">
        <v>0</v>
      </c>
      <c r="M112" s="112">
        <v>7.6793827430788859</v>
      </c>
      <c r="N112" s="112">
        <v>0</v>
      </c>
      <c r="O112" s="112">
        <v>0</v>
      </c>
      <c r="P112" s="112">
        <v>7.6793827430788859</v>
      </c>
      <c r="Q112" s="112">
        <v>0</v>
      </c>
      <c r="R112" s="112">
        <v>0</v>
      </c>
      <c r="S112" s="112">
        <v>5.1221482896336168</v>
      </c>
      <c r="T112" s="112">
        <v>0</v>
      </c>
      <c r="U112" s="112">
        <v>27.64577787508399</v>
      </c>
      <c r="V112" s="112">
        <v>1.17</v>
      </c>
      <c r="W112" s="112">
        <v>14.04</v>
      </c>
      <c r="X112" s="112">
        <v>0</v>
      </c>
      <c r="Y112" s="112">
        <v>0</v>
      </c>
      <c r="Z112" s="112">
        <v>14.04</v>
      </c>
      <c r="AA112" s="112">
        <v>51.643848947205512</v>
      </c>
      <c r="AB112" s="112">
        <v>143.79644186415214</v>
      </c>
      <c r="AC112" s="112">
        <v>136.60661977094455</v>
      </c>
      <c r="AD112" s="112">
        <v>7.1898220932076073</v>
      </c>
      <c r="AE112" s="112">
        <v>11.316489909442311</v>
      </c>
      <c r="AF112" s="112">
        <v>18.506312002649917</v>
      </c>
      <c r="AG112" s="112">
        <v>0</v>
      </c>
      <c r="AH112" s="112">
        <v>166.97590773658621</v>
      </c>
      <c r="AI112" s="112">
        <v>18.693537442339778</v>
      </c>
      <c r="AJ112" s="112">
        <v>2.8759288372830429</v>
      </c>
      <c r="AK112" s="112">
        <v>0.71898220932076073</v>
      </c>
      <c r="AL112" s="112">
        <v>22.288448488943583</v>
      </c>
      <c r="AM112" s="112">
        <v>207.77066822817969</v>
      </c>
      <c r="AN112" s="112">
        <v>0</v>
      </c>
      <c r="AO112" s="112">
        <v>25</v>
      </c>
      <c r="AP112" s="112">
        <v>70</v>
      </c>
      <c r="AQ112" s="112">
        <v>33.24330691650875</v>
      </c>
      <c r="AR112" s="112">
        <v>336.01397514468846</v>
      </c>
      <c r="AU112" s="110">
        <v>0</v>
      </c>
      <c r="AV112" s="110">
        <v>0</v>
      </c>
      <c r="AW112" s="110">
        <v>0</v>
      </c>
      <c r="AX112" s="110">
        <v>8</v>
      </c>
      <c r="AY112" s="110">
        <v>36</v>
      </c>
      <c r="AZ112" s="111">
        <v>0</v>
      </c>
      <c r="BA112" s="111">
        <v>0</v>
      </c>
      <c r="BB112" s="111">
        <v>0</v>
      </c>
      <c r="BC112" s="111">
        <v>8.4473210173867752</v>
      </c>
      <c r="BD112" s="111">
        <v>43.196527929818735</v>
      </c>
      <c r="BE112" s="111">
        <v>51.643848947205512</v>
      </c>
    </row>
    <row r="113" spans="1:57" s="110" customFormat="1" x14ac:dyDescent="0.25">
      <c r="A113" s="110" t="s">
        <v>380</v>
      </c>
      <c r="B113" s="108" t="s">
        <v>260</v>
      </c>
      <c r="C113" s="109" t="s">
        <v>259</v>
      </c>
      <c r="E113" s="114">
        <v>544200102226244</v>
      </c>
      <c r="F113" s="110" t="s">
        <v>276</v>
      </c>
      <c r="G113" s="110">
        <v>3</v>
      </c>
      <c r="I113" s="110">
        <v>13</v>
      </c>
      <c r="J113" s="111">
        <v>12.541337943634536</v>
      </c>
      <c r="K113" s="111">
        <v>163.03739326724897</v>
      </c>
      <c r="L113" s="110">
        <v>0</v>
      </c>
      <c r="M113" s="112">
        <v>12.541337943634536</v>
      </c>
      <c r="N113" s="112">
        <v>0</v>
      </c>
      <c r="O113" s="112">
        <v>0</v>
      </c>
      <c r="P113" s="112">
        <v>12.541337943634536</v>
      </c>
      <c r="Q113" s="112">
        <v>0</v>
      </c>
      <c r="R113" s="112">
        <v>0</v>
      </c>
      <c r="S113" s="112">
        <v>8.3650724084042363</v>
      </c>
      <c r="T113" s="112">
        <v>0</v>
      </c>
      <c r="U113" s="112">
        <v>48.91121798017469</v>
      </c>
      <c r="V113" s="112">
        <v>1.17</v>
      </c>
      <c r="W113" s="112">
        <v>15.209999999999999</v>
      </c>
      <c r="X113" s="112">
        <v>0</v>
      </c>
      <c r="Y113" s="112">
        <v>0</v>
      </c>
      <c r="Z113" s="112">
        <v>15.209999999999999</v>
      </c>
      <c r="AA113" s="112">
        <v>104.09310493216665</v>
      </c>
      <c r="AB113" s="112">
        <v>267.13049819941563</v>
      </c>
      <c r="AC113" s="112">
        <v>253.77397328944485</v>
      </c>
      <c r="AD113" s="112">
        <v>13.356524909970782</v>
      </c>
      <c r="AE113" s="112">
        <v>27.83708675555085</v>
      </c>
      <c r="AF113" s="112">
        <v>41.19361166552163</v>
      </c>
      <c r="AG113" s="112">
        <v>0</v>
      </c>
      <c r="AH113" s="112">
        <v>290.05810451406865</v>
      </c>
      <c r="AI113" s="112">
        <v>34.726964765924031</v>
      </c>
      <c r="AJ113" s="112">
        <v>5.3426099639883127</v>
      </c>
      <c r="AK113" s="112">
        <v>1.3356524909970782</v>
      </c>
      <c r="AL113" s="112">
        <v>41.405227220909424</v>
      </c>
      <c r="AM113" s="112">
        <v>372.6569434004997</v>
      </c>
      <c r="AN113" s="112">
        <v>0</v>
      </c>
      <c r="AO113" s="112">
        <v>25</v>
      </c>
      <c r="AP113" s="112">
        <v>70</v>
      </c>
      <c r="AQ113" s="112">
        <v>59.62511094407995</v>
      </c>
      <c r="AR113" s="112">
        <v>527.28205434457959</v>
      </c>
      <c r="AU113" s="110">
        <v>2</v>
      </c>
      <c r="AV113" s="110">
        <v>0</v>
      </c>
      <c r="AW113" s="110">
        <v>0</v>
      </c>
      <c r="AX113" s="110">
        <v>8</v>
      </c>
      <c r="AY113" s="110">
        <v>44</v>
      </c>
      <c r="AZ113" s="111">
        <v>4.0759348316812245</v>
      </c>
      <c r="BA113" s="111">
        <v>0</v>
      </c>
      <c r="BB113" s="111">
        <v>0</v>
      </c>
      <c r="BC113" s="111">
        <v>13.795471737997991</v>
      </c>
      <c r="BD113" s="111">
        <v>86.221698362487444</v>
      </c>
      <c r="BE113" s="111">
        <v>104.09310493216665</v>
      </c>
    </row>
    <row r="114" spans="1:57" s="110" customFormat="1" x14ac:dyDescent="0.25">
      <c r="A114" s="110" t="s">
        <v>381</v>
      </c>
      <c r="B114" s="108" t="s">
        <v>261</v>
      </c>
      <c r="C114" s="109" t="s">
        <v>259</v>
      </c>
      <c r="E114" s="114">
        <v>544200141605431</v>
      </c>
      <c r="F114" s="110" t="s">
        <v>276</v>
      </c>
      <c r="G114" s="110">
        <v>2</v>
      </c>
      <c r="I114" s="110">
        <v>13</v>
      </c>
      <c r="J114" s="111">
        <v>7.6793827430788859</v>
      </c>
      <c r="K114" s="111">
        <v>99.83197566002552</v>
      </c>
      <c r="L114" s="110">
        <v>0</v>
      </c>
      <c r="M114" s="112">
        <v>7.6793827430788859</v>
      </c>
      <c r="N114" s="112">
        <v>0</v>
      </c>
      <c r="O114" s="112">
        <v>0</v>
      </c>
      <c r="P114" s="112">
        <v>7.6793827430788859</v>
      </c>
      <c r="Q114" s="112">
        <v>0</v>
      </c>
      <c r="R114" s="112">
        <v>0</v>
      </c>
      <c r="S114" s="112">
        <v>5.1221482896336168</v>
      </c>
      <c r="T114" s="112">
        <v>0</v>
      </c>
      <c r="U114" s="112">
        <v>29.949592698007656</v>
      </c>
      <c r="V114" s="112">
        <v>1.17</v>
      </c>
      <c r="W114" s="112">
        <v>15.209999999999999</v>
      </c>
      <c r="X114" s="112">
        <v>0</v>
      </c>
      <c r="Y114" s="112">
        <v>0</v>
      </c>
      <c r="Z114" s="112">
        <v>15.209999999999999</v>
      </c>
      <c r="AA114" s="112">
        <v>71.226274942056676</v>
      </c>
      <c r="AB114" s="112">
        <v>171.05825060208218</v>
      </c>
      <c r="AC114" s="112">
        <v>162.50533807197809</v>
      </c>
      <c r="AD114" s="112">
        <v>8.5529125301041091</v>
      </c>
      <c r="AE114" s="112">
        <v>15.286681725843104</v>
      </c>
      <c r="AF114" s="112">
        <v>23.839594255947212</v>
      </c>
      <c r="AG114" s="112">
        <v>0</v>
      </c>
      <c r="AH114" s="112">
        <v>192.37824904414262</v>
      </c>
      <c r="AI114" s="112">
        <v>22.237572578270683</v>
      </c>
      <c r="AJ114" s="112">
        <v>3.4211650120416439</v>
      </c>
      <c r="AK114" s="112">
        <v>0.85529125301041098</v>
      </c>
      <c r="AL114" s="112">
        <v>26.514028843322738</v>
      </c>
      <c r="AM114" s="112">
        <v>242.73187214341257</v>
      </c>
      <c r="AN114" s="112">
        <v>0</v>
      </c>
      <c r="AO114" s="112">
        <v>25</v>
      </c>
      <c r="AP114" s="112">
        <v>70</v>
      </c>
      <c r="AQ114" s="112">
        <v>38.837099542946014</v>
      </c>
      <c r="AR114" s="112">
        <v>376.56897168635862</v>
      </c>
      <c r="AU114" s="110">
        <v>8</v>
      </c>
      <c r="AV114" s="110">
        <v>0</v>
      </c>
      <c r="AW114" s="110">
        <v>0</v>
      </c>
      <c r="AX114" s="110">
        <v>8</v>
      </c>
      <c r="AY114" s="110">
        <v>44</v>
      </c>
      <c r="AZ114" s="111">
        <v>9.983197566002552</v>
      </c>
      <c r="BA114" s="111">
        <v>0</v>
      </c>
      <c r="BB114" s="111">
        <v>0</v>
      </c>
      <c r="BC114" s="111">
        <v>8.4473210173867752</v>
      </c>
      <c r="BD114" s="111">
        <v>52.79575635866734</v>
      </c>
      <c r="BE114" s="111">
        <v>71.226274942056676</v>
      </c>
    </row>
    <row r="115" spans="1:57" s="110" customFormat="1" x14ac:dyDescent="0.25">
      <c r="A115" s="110" t="s">
        <v>382</v>
      </c>
      <c r="B115" s="108" t="s">
        <v>262</v>
      </c>
      <c r="C115" s="109" t="s">
        <v>259</v>
      </c>
      <c r="E115" s="114">
        <v>544100020702308</v>
      </c>
      <c r="F115" s="110" t="s">
        <v>276</v>
      </c>
      <c r="G115" s="110">
        <v>1</v>
      </c>
      <c r="I115" s="110">
        <v>10</v>
      </c>
      <c r="J115" s="111">
        <v>12.541337943634536</v>
      </c>
      <c r="K115" s="111">
        <v>125.41337943634537</v>
      </c>
      <c r="L115" s="110">
        <v>0</v>
      </c>
      <c r="M115" s="112">
        <v>12.541337943634536</v>
      </c>
      <c r="N115" s="112">
        <v>0</v>
      </c>
      <c r="O115" s="112">
        <v>0</v>
      </c>
      <c r="P115" s="112">
        <v>12.541337943634536</v>
      </c>
      <c r="Q115" s="112">
        <v>0</v>
      </c>
      <c r="R115" s="112">
        <v>0</v>
      </c>
      <c r="S115" s="112">
        <v>8.3650724084042363</v>
      </c>
      <c r="T115" s="112">
        <v>0</v>
      </c>
      <c r="U115" s="112">
        <v>37.624013830903607</v>
      </c>
      <c r="V115" s="112">
        <v>1.17</v>
      </c>
      <c r="W115" s="112">
        <v>11.7</v>
      </c>
      <c r="X115" s="112">
        <v>3</v>
      </c>
      <c r="Y115" s="112">
        <v>3.51</v>
      </c>
      <c r="Z115" s="112">
        <v>15.209999999999999</v>
      </c>
      <c r="AA115" s="112">
        <v>154.18007334455706</v>
      </c>
      <c r="AB115" s="112">
        <v>279.59345278090245</v>
      </c>
      <c r="AC115" s="112">
        <v>265.61378014185732</v>
      </c>
      <c r="AD115" s="112">
        <v>13.979672639045123</v>
      </c>
      <c r="AE115" s="112">
        <v>30.762095246070416</v>
      </c>
      <c r="AF115" s="112">
        <v>44.741767885115536</v>
      </c>
      <c r="AG115" s="112">
        <v>0</v>
      </c>
      <c r="AH115" s="112">
        <v>287.68569872669048</v>
      </c>
      <c r="AI115" s="112">
        <v>36.347148861517319</v>
      </c>
      <c r="AJ115" s="112">
        <v>5.5918690556180488</v>
      </c>
      <c r="AK115" s="112">
        <v>1.3979672639045122</v>
      </c>
      <c r="AL115" s="112">
        <v>43.336985181039879</v>
      </c>
      <c r="AM115" s="112">
        <v>375.76445179284593</v>
      </c>
      <c r="AN115" s="112">
        <v>0</v>
      </c>
      <c r="AO115" s="112">
        <v>25</v>
      </c>
      <c r="AP115" s="112">
        <v>70</v>
      </c>
      <c r="AQ115" s="112">
        <v>60.122312286855347</v>
      </c>
      <c r="AR115" s="112">
        <v>530.88676407970127</v>
      </c>
      <c r="AU115" s="110">
        <v>0</v>
      </c>
      <c r="AV115" s="110">
        <v>0</v>
      </c>
      <c r="AW115" s="110">
        <v>24</v>
      </c>
      <c r="AX115" s="110">
        <v>6</v>
      </c>
      <c r="AY115" s="110">
        <v>35</v>
      </c>
      <c r="AZ115" s="111">
        <v>0</v>
      </c>
      <c r="BA115" s="111">
        <v>0</v>
      </c>
      <c r="BB115" s="111">
        <v>75.248027661807214</v>
      </c>
      <c r="BC115" s="111">
        <v>10.346603803498493</v>
      </c>
      <c r="BD115" s="111">
        <v>68.585441879251363</v>
      </c>
      <c r="BE115" s="111">
        <v>154.18007334455706</v>
      </c>
    </row>
    <row r="116" spans="1:57" s="110" customFormat="1" x14ac:dyDescent="0.25">
      <c r="A116" s="110" t="s">
        <v>383</v>
      </c>
      <c r="B116" s="108" t="s">
        <v>263</v>
      </c>
      <c r="C116" s="109" t="s">
        <v>259</v>
      </c>
      <c r="E116" s="114">
        <v>544100195964139</v>
      </c>
      <c r="F116" s="110" t="s">
        <v>276</v>
      </c>
      <c r="G116" s="110">
        <v>0</v>
      </c>
      <c r="I116" s="110">
        <v>10</v>
      </c>
      <c r="J116" s="111">
        <v>12.541337943634536</v>
      </c>
      <c r="K116" s="111">
        <v>125.41337943634537</v>
      </c>
      <c r="L116" s="110">
        <v>0</v>
      </c>
      <c r="M116" s="112">
        <v>12.541337943634536</v>
      </c>
      <c r="N116" s="112">
        <v>0</v>
      </c>
      <c r="O116" s="112">
        <v>0</v>
      </c>
      <c r="P116" s="112">
        <v>12.541337943634536</v>
      </c>
      <c r="Q116" s="112">
        <v>0</v>
      </c>
      <c r="R116" s="112">
        <v>0</v>
      </c>
      <c r="S116" s="112">
        <v>8.3650724084042363</v>
      </c>
      <c r="T116" s="112">
        <v>0</v>
      </c>
      <c r="U116" s="112">
        <v>37.624013830903607</v>
      </c>
      <c r="V116" s="112">
        <v>1.17</v>
      </c>
      <c r="W116" s="112">
        <v>11.7</v>
      </c>
      <c r="X116" s="112">
        <v>3</v>
      </c>
      <c r="Y116" s="112">
        <v>3.51</v>
      </c>
      <c r="Z116" s="112">
        <v>15.209999999999999</v>
      </c>
      <c r="AA116" s="112">
        <v>154.18007334455706</v>
      </c>
      <c r="AB116" s="112">
        <v>279.59345278090245</v>
      </c>
      <c r="AC116" s="112">
        <v>265.61378014185732</v>
      </c>
      <c r="AD116" s="112">
        <v>13.979672639045123</v>
      </c>
      <c r="AE116" s="112">
        <v>31.389893108235118</v>
      </c>
      <c r="AF116" s="112">
        <v>45.369565747280241</v>
      </c>
      <c r="AG116" s="112">
        <v>0</v>
      </c>
      <c r="AH116" s="112">
        <v>287.05790086452578</v>
      </c>
      <c r="AI116" s="112">
        <v>36.347148861517319</v>
      </c>
      <c r="AJ116" s="112">
        <v>5.5918690556180488</v>
      </c>
      <c r="AK116" s="112">
        <v>1.3979672639045122</v>
      </c>
      <c r="AL116" s="112">
        <v>43.336985181039879</v>
      </c>
      <c r="AM116" s="112">
        <v>375.76445179284593</v>
      </c>
      <c r="AN116" s="112">
        <v>0</v>
      </c>
      <c r="AO116" s="112">
        <v>25</v>
      </c>
      <c r="AP116" s="112">
        <v>70</v>
      </c>
      <c r="AQ116" s="112">
        <v>60.122312286855347</v>
      </c>
      <c r="AR116" s="112">
        <v>530.88676407970127</v>
      </c>
      <c r="AU116" s="110">
        <v>0</v>
      </c>
      <c r="AV116" s="110">
        <v>0</v>
      </c>
      <c r="AW116" s="110">
        <v>24</v>
      </c>
      <c r="AX116" s="110">
        <v>6</v>
      </c>
      <c r="AY116" s="110">
        <v>35</v>
      </c>
      <c r="AZ116" s="111">
        <v>0</v>
      </c>
      <c r="BA116" s="111">
        <v>0</v>
      </c>
      <c r="BB116" s="111">
        <v>75.248027661807214</v>
      </c>
      <c r="BC116" s="111">
        <v>10.346603803498493</v>
      </c>
      <c r="BD116" s="111">
        <v>68.585441879251363</v>
      </c>
      <c r="BE116" s="111">
        <v>154.18007334455706</v>
      </c>
    </row>
    <row r="117" spans="1:57" s="110" customFormat="1" x14ac:dyDescent="0.25">
      <c r="A117" s="110" t="s">
        <v>384</v>
      </c>
      <c r="B117" s="108" t="s">
        <v>264</v>
      </c>
      <c r="C117" s="109" t="s">
        <v>259</v>
      </c>
      <c r="E117" s="114">
        <v>544200160617237</v>
      </c>
      <c r="F117" s="110" t="s">
        <v>276</v>
      </c>
      <c r="G117" s="110">
        <v>0</v>
      </c>
      <c r="I117" s="110">
        <v>13</v>
      </c>
      <c r="J117" s="111">
        <v>12.541337943634536</v>
      </c>
      <c r="K117" s="111">
        <v>163.03739326724897</v>
      </c>
      <c r="L117" s="110">
        <v>0</v>
      </c>
      <c r="M117" s="112">
        <v>12.541337943634536</v>
      </c>
      <c r="N117" s="112">
        <v>0</v>
      </c>
      <c r="O117" s="112">
        <v>0</v>
      </c>
      <c r="P117" s="112">
        <v>12.541337943634536</v>
      </c>
      <c r="Q117" s="112">
        <v>0</v>
      </c>
      <c r="R117" s="112">
        <v>0</v>
      </c>
      <c r="S117" s="112">
        <v>8.3650724084042363</v>
      </c>
      <c r="T117" s="112">
        <v>0</v>
      </c>
      <c r="U117" s="112">
        <v>48.91121798017469</v>
      </c>
      <c r="V117" s="112">
        <v>1.17</v>
      </c>
      <c r="W117" s="112">
        <v>15.209999999999999</v>
      </c>
      <c r="X117" s="112">
        <v>0</v>
      </c>
      <c r="Y117" s="112">
        <v>0</v>
      </c>
      <c r="Z117" s="112">
        <v>15.209999999999999</v>
      </c>
      <c r="AA117" s="112">
        <v>89.748949659134652</v>
      </c>
      <c r="AB117" s="112">
        <v>252.78634292638361</v>
      </c>
      <c r="AC117" s="112">
        <v>240.14702578006444</v>
      </c>
      <c r="AD117" s="112">
        <v>12.639317146319181</v>
      </c>
      <c r="AE117" s="112">
        <v>27.569879953966186</v>
      </c>
      <c r="AF117" s="112">
        <v>40.209197100285365</v>
      </c>
      <c r="AG117" s="112">
        <v>0</v>
      </c>
      <c r="AH117" s="112">
        <v>276.69836380627294</v>
      </c>
      <c r="AI117" s="112">
        <v>32.862224580429867</v>
      </c>
      <c r="AJ117" s="112">
        <v>5.055726858527672</v>
      </c>
      <c r="AK117" s="112">
        <v>1.263931714631918</v>
      </c>
      <c r="AL117" s="112">
        <v>39.181883153589453</v>
      </c>
      <c r="AM117" s="112">
        <v>356.08944406014774</v>
      </c>
      <c r="AN117" s="112">
        <v>0</v>
      </c>
      <c r="AO117" s="112">
        <v>25</v>
      </c>
      <c r="AP117" s="112">
        <v>70</v>
      </c>
      <c r="AQ117" s="112">
        <v>56.974311049623637</v>
      </c>
      <c r="AR117" s="112">
        <v>508.06375510977136</v>
      </c>
      <c r="AU117" s="110">
        <v>0</v>
      </c>
      <c r="AV117" s="110">
        <v>0</v>
      </c>
      <c r="AW117" s="110">
        <v>0</v>
      </c>
      <c r="AX117" s="110">
        <v>10</v>
      </c>
      <c r="AY117" s="110">
        <v>37</v>
      </c>
      <c r="AZ117" s="111">
        <v>0</v>
      </c>
      <c r="BA117" s="111">
        <v>0</v>
      </c>
      <c r="BB117" s="111">
        <v>0</v>
      </c>
      <c r="BC117" s="111">
        <v>17.244339672497489</v>
      </c>
      <c r="BD117" s="111">
        <v>72.504609986637163</v>
      </c>
      <c r="BE117" s="111">
        <v>89.748949659134652</v>
      </c>
    </row>
    <row r="118" spans="1:57" s="110" customFormat="1" x14ac:dyDescent="0.25">
      <c r="A118" s="110" t="s">
        <v>385</v>
      </c>
      <c r="B118" s="108" t="s">
        <v>265</v>
      </c>
      <c r="C118" s="109" t="s">
        <v>259</v>
      </c>
      <c r="E118" s="114">
        <v>144100197775185</v>
      </c>
      <c r="F118" s="110" t="s">
        <v>276</v>
      </c>
      <c r="G118" s="110">
        <v>0</v>
      </c>
      <c r="I118" s="110">
        <v>12</v>
      </c>
      <c r="J118" s="111">
        <v>12.541337943634536</v>
      </c>
      <c r="K118" s="111">
        <v>150.49605532361443</v>
      </c>
      <c r="L118" s="110">
        <v>0</v>
      </c>
      <c r="M118" s="112">
        <v>12.541337943634536</v>
      </c>
      <c r="N118" s="112">
        <v>0</v>
      </c>
      <c r="O118" s="112">
        <v>0</v>
      </c>
      <c r="P118" s="112">
        <v>12.541337943634536</v>
      </c>
      <c r="Q118" s="112">
        <v>0</v>
      </c>
      <c r="R118" s="112">
        <v>0</v>
      </c>
      <c r="S118" s="112">
        <v>8.3650724084042363</v>
      </c>
      <c r="T118" s="112">
        <v>0</v>
      </c>
      <c r="U118" s="112">
        <v>45.148816597084327</v>
      </c>
      <c r="V118" s="112">
        <v>1.17</v>
      </c>
      <c r="W118" s="112">
        <v>14.04</v>
      </c>
      <c r="X118" s="112">
        <v>0</v>
      </c>
      <c r="Y118" s="112">
        <v>0</v>
      </c>
      <c r="Z118" s="112">
        <v>14.04</v>
      </c>
      <c r="AA118" s="112">
        <v>84.340497670942256</v>
      </c>
      <c r="AB118" s="112">
        <v>234.83655299455668</v>
      </c>
      <c r="AC118" s="112">
        <v>223.09472534482884</v>
      </c>
      <c r="AD118" s="112">
        <v>11.741827649727835</v>
      </c>
      <c r="AE118" s="112">
        <v>25.012034888680844</v>
      </c>
      <c r="AF118" s="112">
        <v>36.753862538408683</v>
      </c>
      <c r="AG118" s="112">
        <v>0</v>
      </c>
      <c r="AH118" s="112">
        <v>257.27150705323237</v>
      </c>
      <c r="AI118" s="112">
        <v>30.528751889292369</v>
      </c>
      <c r="AJ118" s="112">
        <v>4.6967310598911336</v>
      </c>
      <c r="AK118" s="112">
        <v>1.1741827649727834</v>
      </c>
      <c r="AL118" s="112">
        <v>36.399665714156285</v>
      </c>
      <c r="AM118" s="112">
        <v>330.42503530579734</v>
      </c>
      <c r="AN118" s="112">
        <v>0</v>
      </c>
      <c r="AO118" s="112">
        <v>25</v>
      </c>
      <c r="AP118" s="112">
        <v>70</v>
      </c>
      <c r="AQ118" s="112">
        <v>52.868005648927578</v>
      </c>
      <c r="AR118" s="112">
        <v>478.29304095472492</v>
      </c>
      <c r="AU118" s="110">
        <v>0</v>
      </c>
      <c r="AV118" s="110">
        <v>0</v>
      </c>
      <c r="AW118" s="110">
        <v>0</v>
      </c>
      <c r="AX118" s="110">
        <v>8</v>
      </c>
      <c r="AY118" s="110">
        <v>36</v>
      </c>
      <c r="AZ118" s="111">
        <v>0</v>
      </c>
      <c r="BA118" s="111">
        <v>0</v>
      </c>
      <c r="BB118" s="111">
        <v>0</v>
      </c>
      <c r="BC118" s="111">
        <v>13.795471737997991</v>
      </c>
      <c r="BD118" s="111">
        <v>70.54502593294427</v>
      </c>
      <c r="BE118" s="111">
        <v>84.340497670942256</v>
      </c>
    </row>
    <row r="119" spans="1:57" s="110" customFormat="1" x14ac:dyDescent="0.25">
      <c r="A119" s="110" t="s">
        <v>386</v>
      </c>
      <c r="B119" s="108" t="s">
        <v>266</v>
      </c>
      <c r="C119" s="109" t="s">
        <v>259</v>
      </c>
      <c r="E119" s="114" t="s">
        <v>274</v>
      </c>
      <c r="F119" s="110" t="s">
        <v>276</v>
      </c>
      <c r="G119" s="110">
        <v>0</v>
      </c>
      <c r="I119" s="110">
        <v>13</v>
      </c>
      <c r="J119" s="111">
        <v>12.541337943634536</v>
      </c>
      <c r="K119" s="111">
        <v>163.03739326724897</v>
      </c>
      <c r="L119" s="110">
        <v>0</v>
      </c>
      <c r="M119" s="112">
        <v>12.541337943634536</v>
      </c>
      <c r="N119" s="112">
        <v>0</v>
      </c>
      <c r="O119" s="112">
        <v>0</v>
      </c>
      <c r="P119" s="112">
        <v>12.541337943634536</v>
      </c>
      <c r="Q119" s="112">
        <v>0</v>
      </c>
      <c r="R119" s="112">
        <v>0</v>
      </c>
      <c r="S119" s="112">
        <v>8.3650724084042363</v>
      </c>
      <c r="T119" s="112">
        <v>0</v>
      </c>
      <c r="U119" s="112">
        <v>48.91121798017469</v>
      </c>
      <c r="V119" s="112">
        <v>1.17</v>
      </c>
      <c r="W119" s="112">
        <v>15.209999999999999</v>
      </c>
      <c r="X119" s="112">
        <v>0</v>
      </c>
      <c r="Y119" s="112">
        <v>0</v>
      </c>
      <c r="Z119" s="112">
        <v>15.209999999999999</v>
      </c>
      <c r="AA119" s="112">
        <v>100.01717010048543</v>
      </c>
      <c r="AB119" s="112">
        <v>263.05456336773443</v>
      </c>
      <c r="AC119" s="112">
        <v>249.90183519934772</v>
      </c>
      <c r="AD119" s="112">
        <v>13.152728168386723</v>
      </c>
      <c r="AE119" s="112">
        <v>29.033101366858681</v>
      </c>
      <c r="AF119" s="112">
        <v>42.185829535245404</v>
      </c>
      <c r="AG119" s="112">
        <v>0</v>
      </c>
      <c r="AH119" s="112">
        <v>284.98995181266366</v>
      </c>
      <c r="AI119" s="112">
        <v>34.197093237805475</v>
      </c>
      <c r="AJ119" s="112">
        <v>5.261091267354689</v>
      </c>
      <c r="AK119" s="112">
        <v>1.3152728168386723</v>
      </c>
      <c r="AL119" s="112">
        <v>40.773457321998833</v>
      </c>
      <c r="AM119" s="112">
        <v>367.94923866990786</v>
      </c>
      <c r="AN119" s="112">
        <v>0</v>
      </c>
      <c r="AO119" s="112">
        <v>25</v>
      </c>
      <c r="AP119" s="112">
        <v>70</v>
      </c>
      <c r="AQ119" s="112">
        <v>58.87187818718526</v>
      </c>
      <c r="AR119" s="112">
        <v>521.8211168570931</v>
      </c>
      <c r="AU119" s="110">
        <v>0</v>
      </c>
      <c r="AV119" s="110">
        <v>0</v>
      </c>
      <c r="AW119" s="110">
        <v>0</v>
      </c>
      <c r="AX119" s="110">
        <v>8</v>
      </c>
      <c r="AY119" s="110">
        <v>44</v>
      </c>
      <c r="AZ119" s="111">
        <v>0</v>
      </c>
      <c r="BA119" s="111">
        <v>0</v>
      </c>
      <c r="BB119" s="111">
        <v>0</v>
      </c>
      <c r="BC119" s="111">
        <v>13.795471737997991</v>
      </c>
      <c r="BD119" s="111">
        <v>86.221698362487444</v>
      </c>
      <c r="BE119" s="111">
        <v>100.01717010048543</v>
      </c>
    </row>
    <row r="120" spans="1:57" s="110" customFormat="1" x14ac:dyDescent="0.25">
      <c r="A120" s="110" t="s">
        <v>387</v>
      </c>
      <c r="B120" s="108" t="s">
        <v>267</v>
      </c>
      <c r="C120" s="109" t="s">
        <v>259</v>
      </c>
      <c r="E120" s="114">
        <v>544100204417592</v>
      </c>
      <c r="F120" s="110" t="s">
        <v>276</v>
      </c>
      <c r="G120" s="110">
        <v>0</v>
      </c>
      <c r="I120" s="110">
        <v>13</v>
      </c>
      <c r="J120" s="111">
        <v>12.541337943634536</v>
      </c>
      <c r="K120" s="111">
        <v>163.03739326724897</v>
      </c>
      <c r="L120" s="110">
        <v>0</v>
      </c>
      <c r="M120" s="112">
        <v>12.541337943634536</v>
      </c>
      <c r="N120" s="112">
        <v>0</v>
      </c>
      <c r="O120" s="112">
        <v>0</v>
      </c>
      <c r="P120" s="112">
        <v>12.541337943634536</v>
      </c>
      <c r="Q120" s="112">
        <v>0</v>
      </c>
      <c r="R120" s="112">
        <v>0</v>
      </c>
      <c r="S120" s="112">
        <v>8.3650724084042363</v>
      </c>
      <c r="T120" s="112">
        <v>0</v>
      </c>
      <c r="U120" s="112">
        <v>48.91121798017469</v>
      </c>
      <c r="V120" s="112">
        <v>1.17</v>
      </c>
      <c r="W120" s="112">
        <v>15.209999999999999</v>
      </c>
      <c r="X120" s="112">
        <v>0</v>
      </c>
      <c r="Y120" s="112">
        <v>0</v>
      </c>
      <c r="Z120" s="112">
        <v>15.209999999999999</v>
      </c>
      <c r="AA120" s="112">
        <v>89.748949659134652</v>
      </c>
      <c r="AB120" s="112">
        <v>252.78634292638361</v>
      </c>
      <c r="AC120" s="112">
        <v>240.14702578006444</v>
      </c>
      <c r="AD120" s="112">
        <v>12.639317146319181</v>
      </c>
      <c r="AE120" s="112">
        <v>27.569879953966186</v>
      </c>
      <c r="AF120" s="112">
        <v>40.209197100285365</v>
      </c>
      <c r="AG120" s="112">
        <v>0</v>
      </c>
      <c r="AH120" s="112">
        <v>276.69836380627294</v>
      </c>
      <c r="AI120" s="112">
        <v>32.862224580429867</v>
      </c>
      <c r="AJ120" s="112">
        <v>5.055726858527672</v>
      </c>
      <c r="AK120" s="112">
        <v>1.263931714631918</v>
      </c>
      <c r="AL120" s="112">
        <v>39.181883153589453</v>
      </c>
      <c r="AM120" s="112">
        <v>356.08944406014774</v>
      </c>
      <c r="AN120" s="112">
        <v>0</v>
      </c>
      <c r="AO120" s="112">
        <v>25</v>
      </c>
      <c r="AP120" s="112">
        <v>70</v>
      </c>
      <c r="AQ120" s="112">
        <v>56.974311049623637</v>
      </c>
      <c r="AR120" s="112">
        <v>508.06375510977136</v>
      </c>
      <c r="AU120" s="110">
        <v>0</v>
      </c>
      <c r="AV120" s="110">
        <v>0</v>
      </c>
      <c r="AW120" s="110">
        <v>0</v>
      </c>
      <c r="AX120" s="110">
        <v>10</v>
      </c>
      <c r="AY120" s="110">
        <v>37</v>
      </c>
      <c r="AZ120" s="111">
        <v>0</v>
      </c>
      <c r="BA120" s="111">
        <v>0</v>
      </c>
      <c r="BB120" s="111">
        <v>0</v>
      </c>
      <c r="BC120" s="111">
        <v>17.244339672497489</v>
      </c>
      <c r="BD120" s="111">
        <v>72.504609986637163</v>
      </c>
      <c r="BE120" s="111">
        <v>89.748949659134652</v>
      </c>
    </row>
    <row r="121" spans="1:57" s="110" customFormat="1" x14ac:dyDescent="0.25">
      <c r="A121" s="110" t="s">
        <v>388</v>
      </c>
      <c r="B121" s="108" t="s">
        <v>268</v>
      </c>
      <c r="C121" s="109" t="s">
        <v>259</v>
      </c>
      <c r="E121" s="114">
        <v>655100097777711</v>
      </c>
      <c r="F121" s="110" t="s">
        <v>276</v>
      </c>
      <c r="G121" s="110">
        <v>0</v>
      </c>
      <c r="I121" s="110">
        <v>13</v>
      </c>
      <c r="J121" s="111">
        <v>12.541337943634536</v>
      </c>
      <c r="K121" s="111">
        <v>163.03739326724897</v>
      </c>
      <c r="L121" s="110">
        <v>0</v>
      </c>
      <c r="M121" s="112">
        <v>12.541337943634536</v>
      </c>
      <c r="N121" s="112">
        <v>0</v>
      </c>
      <c r="O121" s="112">
        <v>0</v>
      </c>
      <c r="P121" s="112">
        <v>12.541337943634536</v>
      </c>
      <c r="Q121" s="112">
        <v>0</v>
      </c>
      <c r="R121" s="112">
        <v>0</v>
      </c>
      <c r="S121" s="112">
        <v>8.3650724084042363</v>
      </c>
      <c r="T121" s="112">
        <v>0</v>
      </c>
      <c r="U121" s="112">
        <v>48.91121798017469</v>
      </c>
      <c r="V121" s="112">
        <v>1.17</v>
      </c>
      <c r="W121" s="112">
        <v>15.209999999999999</v>
      </c>
      <c r="X121" s="112">
        <v>0</v>
      </c>
      <c r="Y121" s="112">
        <v>0</v>
      </c>
      <c r="Z121" s="112">
        <v>15.209999999999999</v>
      </c>
      <c r="AA121" s="112">
        <v>89.748949659134652</v>
      </c>
      <c r="AB121" s="112">
        <v>252.78634292638361</v>
      </c>
      <c r="AC121" s="112">
        <v>240.14702578006444</v>
      </c>
      <c r="AD121" s="112">
        <v>12.639317146319181</v>
      </c>
      <c r="AE121" s="112">
        <v>27.569879953966186</v>
      </c>
      <c r="AF121" s="112">
        <v>40.209197100285365</v>
      </c>
      <c r="AG121" s="112">
        <v>0</v>
      </c>
      <c r="AH121" s="112">
        <v>276.69836380627294</v>
      </c>
      <c r="AI121" s="112">
        <v>32.862224580429867</v>
      </c>
      <c r="AJ121" s="112">
        <v>5.055726858527672</v>
      </c>
      <c r="AK121" s="112">
        <v>1.263931714631918</v>
      </c>
      <c r="AL121" s="112">
        <v>39.181883153589453</v>
      </c>
      <c r="AM121" s="112">
        <v>356.08944406014774</v>
      </c>
      <c r="AN121" s="112">
        <v>0</v>
      </c>
      <c r="AO121" s="112">
        <v>25</v>
      </c>
      <c r="AP121" s="112">
        <v>70</v>
      </c>
      <c r="AQ121" s="112">
        <v>56.974311049623637</v>
      </c>
      <c r="AR121" s="112">
        <v>508.06375510977136</v>
      </c>
      <c r="AU121" s="110">
        <v>0</v>
      </c>
      <c r="AV121" s="110">
        <v>0</v>
      </c>
      <c r="AW121" s="110">
        <v>0</v>
      </c>
      <c r="AX121" s="110">
        <v>10</v>
      </c>
      <c r="AY121" s="110">
        <v>37</v>
      </c>
      <c r="AZ121" s="111">
        <v>0</v>
      </c>
      <c r="BA121" s="111">
        <v>0</v>
      </c>
      <c r="BB121" s="111">
        <v>0</v>
      </c>
      <c r="BC121" s="111">
        <v>17.244339672497489</v>
      </c>
      <c r="BD121" s="111">
        <v>72.504609986637163</v>
      </c>
      <c r="BE121" s="111">
        <v>89.748949659134652</v>
      </c>
    </row>
    <row r="122" spans="1:57" s="110" customFormat="1" x14ac:dyDescent="0.25">
      <c r="A122" s="110" t="s">
        <v>390</v>
      </c>
      <c r="B122" s="108" t="s">
        <v>269</v>
      </c>
      <c r="C122" s="109" t="s">
        <v>259</v>
      </c>
      <c r="E122" s="114" t="s">
        <v>275</v>
      </c>
      <c r="F122" s="110" t="s">
        <v>277</v>
      </c>
      <c r="G122" s="110">
        <v>0</v>
      </c>
      <c r="I122" s="110">
        <v>12</v>
      </c>
      <c r="J122" s="111">
        <v>12.541337943634536</v>
      </c>
      <c r="K122" s="111">
        <v>150.49605532361443</v>
      </c>
      <c r="L122" s="110">
        <v>0</v>
      </c>
      <c r="M122" s="112">
        <v>12.541337943634536</v>
      </c>
      <c r="N122" s="112">
        <v>0</v>
      </c>
      <c r="O122" s="112">
        <v>0</v>
      </c>
      <c r="P122" s="112">
        <v>12.541337943634536</v>
      </c>
      <c r="Q122" s="112">
        <v>0</v>
      </c>
      <c r="R122" s="112">
        <v>0</v>
      </c>
      <c r="S122" s="112">
        <v>8.3650724084042363</v>
      </c>
      <c r="T122" s="112">
        <v>0</v>
      </c>
      <c r="U122" s="112">
        <v>45.148816597084327</v>
      </c>
      <c r="V122" s="112">
        <v>1.17</v>
      </c>
      <c r="W122" s="112">
        <v>14.04</v>
      </c>
      <c r="X122" s="112">
        <v>0</v>
      </c>
      <c r="Y122" s="112">
        <v>0</v>
      </c>
      <c r="Z122" s="112">
        <v>14.04</v>
      </c>
      <c r="AA122" s="112">
        <v>84.340497670942256</v>
      </c>
      <c r="AB122" s="112">
        <v>234.83655299455668</v>
      </c>
      <c r="AC122" s="112">
        <v>223.09472534482884</v>
      </c>
      <c r="AD122" s="112">
        <v>11.741827649727835</v>
      </c>
      <c r="AE122" s="112">
        <v>25.012034888680844</v>
      </c>
      <c r="AF122" s="112">
        <v>36.753862538408683</v>
      </c>
      <c r="AG122" s="112">
        <v>0</v>
      </c>
      <c r="AH122" s="112">
        <v>257.27150705323237</v>
      </c>
      <c r="AI122" s="112">
        <v>30.528751889292369</v>
      </c>
      <c r="AJ122" s="112">
        <v>4.6967310598911336</v>
      </c>
      <c r="AK122" s="112">
        <v>1.1741827649727834</v>
      </c>
      <c r="AL122" s="112">
        <v>36.399665714156285</v>
      </c>
      <c r="AM122" s="112">
        <v>330.42503530579734</v>
      </c>
      <c r="AN122" s="112">
        <v>0</v>
      </c>
      <c r="AO122" s="112">
        <v>25</v>
      </c>
      <c r="AP122" s="112">
        <v>70</v>
      </c>
      <c r="AQ122" s="112">
        <v>52.868005648927578</v>
      </c>
      <c r="AR122" s="112">
        <v>478.29304095472492</v>
      </c>
      <c r="AU122" s="110">
        <v>0</v>
      </c>
      <c r="AV122" s="110">
        <v>0</v>
      </c>
      <c r="AW122" s="110">
        <v>0</v>
      </c>
      <c r="AX122" s="110">
        <v>8</v>
      </c>
      <c r="AY122" s="110">
        <v>36</v>
      </c>
      <c r="AZ122" s="111">
        <v>0</v>
      </c>
      <c r="BA122" s="111">
        <v>0</v>
      </c>
      <c r="BB122" s="111">
        <v>0</v>
      </c>
      <c r="BC122" s="111">
        <v>13.795471737997991</v>
      </c>
      <c r="BD122" s="111">
        <v>70.54502593294427</v>
      </c>
      <c r="BE122" s="111">
        <v>84.340497670942256</v>
      </c>
    </row>
    <row r="123" spans="1:57" s="110" customFormat="1" x14ac:dyDescent="0.25">
      <c r="A123" s="110" t="s">
        <v>393</v>
      </c>
      <c r="B123" s="108" t="s">
        <v>270</v>
      </c>
      <c r="C123" s="109" t="s">
        <v>259</v>
      </c>
      <c r="E123" s="114">
        <v>544100259150424</v>
      </c>
      <c r="F123" s="110" t="s">
        <v>276</v>
      </c>
      <c r="G123" s="110">
        <v>0</v>
      </c>
      <c r="I123" s="110">
        <v>11</v>
      </c>
      <c r="J123" s="111">
        <v>12.541337943634536</v>
      </c>
      <c r="K123" s="111">
        <v>137.95471737997991</v>
      </c>
      <c r="L123" s="110">
        <v>0</v>
      </c>
      <c r="M123" s="112">
        <v>12.541337943634536</v>
      </c>
      <c r="N123" s="112">
        <v>0</v>
      </c>
      <c r="O123" s="112">
        <v>0</v>
      </c>
      <c r="P123" s="112">
        <v>12.541337943634536</v>
      </c>
      <c r="Q123" s="112">
        <v>0</v>
      </c>
      <c r="R123" s="112">
        <v>0</v>
      </c>
      <c r="S123" s="112">
        <v>8.3650724084042363</v>
      </c>
      <c r="T123" s="112">
        <v>0</v>
      </c>
      <c r="U123" s="112">
        <v>41.38641521399397</v>
      </c>
      <c r="V123" s="112">
        <v>1.17</v>
      </c>
      <c r="W123" s="112">
        <v>12.87</v>
      </c>
      <c r="X123" s="112">
        <v>0</v>
      </c>
      <c r="Y123" s="112">
        <v>0</v>
      </c>
      <c r="Z123" s="112">
        <v>12.87</v>
      </c>
      <c r="AA123" s="112">
        <v>119.69139399956211</v>
      </c>
      <c r="AB123" s="112">
        <v>257.64611137954205</v>
      </c>
      <c r="AC123" s="112">
        <v>244.76380581056495</v>
      </c>
      <c r="AD123" s="112">
        <v>12.882305568977102</v>
      </c>
      <c r="AE123" s="112">
        <v>28.262396958541267</v>
      </c>
      <c r="AF123" s="112">
        <v>41.144702527518369</v>
      </c>
      <c r="AG123" s="112">
        <v>0</v>
      </c>
      <c r="AH123" s="112">
        <v>270.75782406601769</v>
      </c>
      <c r="AI123" s="112">
        <v>33.493994479340465</v>
      </c>
      <c r="AJ123" s="112">
        <v>5.1529222275908415</v>
      </c>
      <c r="AK123" s="112">
        <v>1.2882305568977104</v>
      </c>
      <c r="AL123" s="112">
        <v>39.935147263829016</v>
      </c>
      <c r="AM123" s="112">
        <v>351.83767385736508</v>
      </c>
      <c r="AN123" s="112">
        <v>0</v>
      </c>
      <c r="AO123" s="112">
        <v>25</v>
      </c>
      <c r="AP123" s="112">
        <v>70</v>
      </c>
      <c r="AQ123" s="112">
        <v>56.29402781717841</v>
      </c>
      <c r="AR123" s="112">
        <v>503.13170167454348</v>
      </c>
      <c r="AU123" s="110">
        <v>6</v>
      </c>
      <c r="AV123" s="110">
        <v>10</v>
      </c>
      <c r="AW123" s="110">
        <v>0</v>
      </c>
      <c r="AX123" s="110">
        <v>8</v>
      </c>
      <c r="AY123" s="110">
        <v>35</v>
      </c>
      <c r="AZ123" s="111">
        <v>12.227804495043673</v>
      </c>
      <c r="BA123" s="111">
        <v>25.082675887269076</v>
      </c>
      <c r="BB123" s="111">
        <v>0</v>
      </c>
      <c r="BC123" s="111">
        <v>13.795471737997991</v>
      </c>
      <c r="BD123" s="111">
        <v>68.585441879251363</v>
      </c>
      <c r="BE123" s="111">
        <v>119.69139399956211</v>
      </c>
    </row>
    <row r="124" spans="1:57" s="110" customFormat="1" x14ac:dyDescent="0.25">
      <c r="A124" s="110" t="s">
        <v>391</v>
      </c>
      <c r="B124" s="108" t="s">
        <v>271</v>
      </c>
      <c r="C124" s="109" t="s">
        <v>259</v>
      </c>
      <c r="E124" s="114">
        <v>544100262730112</v>
      </c>
      <c r="F124" s="110" t="s">
        <v>276</v>
      </c>
      <c r="G124" s="110">
        <v>0</v>
      </c>
      <c r="I124" s="110">
        <v>13</v>
      </c>
      <c r="J124" s="111">
        <v>12.541337943634536</v>
      </c>
      <c r="K124" s="111">
        <v>163.03739326724897</v>
      </c>
      <c r="L124" s="110">
        <v>0</v>
      </c>
      <c r="M124" s="112">
        <v>12.541337943634536</v>
      </c>
      <c r="N124" s="112">
        <v>0</v>
      </c>
      <c r="O124" s="112">
        <v>0</v>
      </c>
      <c r="P124" s="112">
        <v>12.541337943634536</v>
      </c>
      <c r="Q124" s="112">
        <v>0</v>
      </c>
      <c r="R124" s="112">
        <v>0</v>
      </c>
      <c r="S124" s="112">
        <v>8.3650724084042363</v>
      </c>
      <c r="T124" s="112">
        <v>0</v>
      </c>
      <c r="U124" s="112">
        <v>48.91121798017469</v>
      </c>
      <c r="V124" s="112">
        <v>1.17</v>
      </c>
      <c r="W124" s="112">
        <v>15.209999999999999</v>
      </c>
      <c r="X124" s="112">
        <v>3</v>
      </c>
      <c r="Y124" s="112">
        <v>3.51</v>
      </c>
      <c r="Z124" s="112">
        <v>18.72</v>
      </c>
      <c r="AA124" s="112">
        <v>201.21009063318661</v>
      </c>
      <c r="AB124" s="112">
        <v>364.24748390043555</v>
      </c>
      <c r="AC124" s="112">
        <v>346.03510970541379</v>
      </c>
      <c r="AD124" s="112">
        <v>18.212374195021777</v>
      </c>
      <c r="AE124" s="112">
        <v>43.453092542768587</v>
      </c>
      <c r="AF124" s="112">
        <v>61.665466737790368</v>
      </c>
      <c r="AG124" s="112">
        <v>0</v>
      </c>
      <c r="AH124" s="112">
        <v>370.21323514281988</v>
      </c>
      <c r="AI124" s="112">
        <v>47.352172907056627</v>
      </c>
      <c r="AJ124" s="112">
        <v>7.2849496780087115</v>
      </c>
      <c r="AK124" s="112">
        <v>1.8212374195021779</v>
      </c>
      <c r="AL124" s="112">
        <v>56.458360004567517</v>
      </c>
      <c r="AM124" s="112">
        <v>488.33706188517777</v>
      </c>
      <c r="AN124" s="112">
        <v>0</v>
      </c>
      <c r="AO124" s="112">
        <v>25</v>
      </c>
      <c r="AP124" s="112">
        <v>70</v>
      </c>
      <c r="AQ124" s="112">
        <v>78.133929901628449</v>
      </c>
      <c r="AR124" s="112">
        <v>661.47099178680617</v>
      </c>
      <c r="AU124" s="110">
        <v>0</v>
      </c>
      <c r="AV124" s="110">
        <v>0</v>
      </c>
      <c r="AW124" s="110">
        <v>24</v>
      </c>
      <c r="AX124" s="110">
        <v>6</v>
      </c>
      <c r="AY124" s="110">
        <v>59</v>
      </c>
      <c r="AZ124" s="111">
        <v>0</v>
      </c>
      <c r="BA124" s="111">
        <v>0</v>
      </c>
      <c r="BB124" s="111">
        <v>75.248027661807214</v>
      </c>
      <c r="BC124" s="111">
        <v>10.346603803498493</v>
      </c>
      <c r="BD124" s="111">
        <v>115.61545916788089</v>
      </c>
      <c r="BE124" s="111">
        <v>201.21009063318661</v>
      </c>
    </row>
    <row r="125" spans="1:57" s="110" customFormat="1" x14ac:dyDescent="0.25">
      <c r="A125" s="110" t="s">
        <v>389</v>
      </c>
      <c r="B125" s="108" t="s">
        <v>272</v>
      </c>
      <c r="C125" s="109" t="s">
        <v>259</v>
      </c>
      <c r="E125" s="114">
        <v>544100259054685</v>
      </c>
      <c r="F125" s="110" t="s">
        <v>276</v>
      </c>
      <c r="G125" s="110">
        <v>0</v>
      </c>
      <c r="I125" s="110">
        <v>13</v>
      </c>
      <c r="J125" s="111">
        <v>12.541337943634536</v>
      </c>
      <c r="K125" s="111">
        <v>163.03739326724897</v>
      </c>
      <c r="L125" s="110">
        <v>0</v>
      </c>
      <c r="M125" s="112">
        <v>12.541337943634536</v>
      </c>
      <c r="N125" s="112">
        <v>0</v>
      </c>
      <c r="O125" s="112">
        <v>0</v>
      </c>
      <c r="P125" s="112">
        <v>12.541337943634536</v>
      </c>
      <c r="Q125" s="112">
        <v>0</v>
      </c>
      <c r="R125" s="112">
        <v>0</v>
      </c>
      <c r="S125" s="112">
        <v>8.3650724084042363</v>
      </c>
      <c r="T125" s="112">
        <v>0</v>
      </c>
      <c r="U125" s="112">
        <v>48.91121798017469</v>
      </c>
      <c r="V125" s="112">
        <v>1.17</v>
      </c>
      <c r="W125" s="112">
        <v>15.209999999999999</v>
      </c>
      <c r="X125" s="112">
        <v>0</v>
      </c>
      <c r="Y125" s="112">
        <v>0</v>
      </c>
      <c r="Z125" s="112">
        <v>15.209999999999999</v>
      </c>
      <c r="AA125" s="112">
        <v>100.01717010048543</v>
      </c>
      <c r="AB125" s="112">
        <v>263.05456336773443</v>
      </c>
      <c r="AC125" s="112">
        <v>249.90183519934772</v>
      </c>
      <c r="AD125" s="112">
        <v>13.152728168386723</v>
      </c>
      <c r="AE125" s="112">
        <v>29.033101366858681</v>
      </c>
      <c r="AF125" s="112">
        <v>42.185829535245404</v>
      </c>
      <c r="AG125" s="112">
        <v>0</v>
      </c>
      <c r="AH125" s="112">
        <v>284.98995181266366</v>
      </c>
      <c r="AI125" s="112">
        <v>34.197093237805475</v>
      </c>
      <c r="AJ125" s="112">
        <v>5.261091267354689</v>
      </c>
      <c r="AK125" s="112">
        <v>1.3152728168386723</v>
      </c>
      <c r="AL125" s="112">
        <v>40.773457321998833</v>
      </c>
      <c r="AM125" s="112">
        <v>367.94923866990786</v>
      </c>
      <c r="AN125" s="112">
        <v>0</v>
      </c>
      <c r="AO125" s="112">
        <v>25</v>
      </c>
      <c r="AP125" s="112">
        <v>70</v>
      </c>
      <c r="AQ125" s="112">
        <v>58.87187818718526</v>
      </c>
      <c r="AR125" s="112">
        <v>521.8211168570931</v>
      </c>
      <c r="AU125" s="110">
        <v>0</v>
      </c>
      <c r="AV125" s="110">
        <v>0</v>
      </c>
      <c r="AW125" s="110">
        <v>0</v>
      </c>
      <c r="AX125" s="110">
        <v>8</v>
      </c>
      <c r="AY125" s="110">
        <v>44</v>
      </c>
      <c r="AZ125" s="111">
        <v>0</v>
      </c>
      <c r="BA125" s="111">
        <v>0</v>
      </c>
      <c r="BB125" s="111">
        <v>0</v>
      </c>
      <c r="BC125" s="111">
        <v>13.795471737997991</v>
      </c>
      <c r="BD125" s="111">
        <v>86.221698362487444</v>
      </c>
      <c r="BE125" s="111">
        <v>100.01717010048543</v>
      </c>
    </row>
    <row r="126" spans="1:57" s="110" customFormat="1" x14ac:dyDescent="0.25">
      <c r="A126" s="110" t="s">
        <v>392</v>
      </c>
      <c r="B126" s="108" t="s">
        <v>273</v>
      </c>
      <c r="C126" s="109" t="s">
        <v>259</v>
      </c>
      <c r="E126" s="114">
        <v>122100114556881</v>
      </c>
      <c r="F126" s="110" t="s">
        <v>276</v>
      </c>
      <c r="G126" s="110">
        <v>0</v>
      </c>
      <c r="I126" s="110">
        <v>11</v>
      </c>
      <c r="J126" s="111">
        <v>12.541337943634536</v>
      </c>
      <c r="K126" s="111">
        <v>137.95471737997991</v>
      </c>
      <c r="L126" s="110">
        <v>0</v>
      </c>
      <c r="M126" s="112">
        <v>12.541337943634536</v>
      </c>
      <c r="N126" s="112">
        <v>0</v>
      </c>
      <c r="O126" s="112">
        <v>0</v>
      </c>
      <c r="P126" s="112">
        <v>12.541337943634536</v>
      </c>
      <c r="Q126" s="112">
        <v>0</v>
      </c>
      <c r="R126" s="112">
        <v>0</v>
      </c>
      <c r="S126" s="112">
        <v>8.3650724084042363</v>
      </c>
      <c r="T126" s="112">
        <v>0</v>
      </c>
      <c r="U126" s="112">
        <v>41.38641521399397</v>
      </c>
      <c r="V126" s="112">
        <v>1.17</v>
      </c>
      <c r="W126" s="112">
        <v>12.87</v>
      </c>
      <c r="X126" s="112">
        <v>2</v>
      </c>
      <c r="Y126" s="112">
        <v>2.34</v>
      </c>
      <c r="Z126" s="112">
        <v>15.209999999999999</v>
      </c>
      <c r="AA126" s="112">
        <v>150.8095887722053</v>
      </c>
      <c r="AB126" s="112">
        <v>288.76430615218521</v>
      </c>
      <c r="AC126" s="112">
        <v>274.32609084457596</v>
      </c>
      <c r="AD126" s="112">
        <v>14.438215307609262</v>
      </c>
      <c r="AE126" s="112">
        <v>32.696739713642913</v>
      </c>
      <c r="AF126" s="112">
        <v>47.134955021252175</v>
      </c>
      <c r="AG126" s="112">
        <v>0</v>
      </c>
      <c r="AH126" s="112">
        <v>298.22576634492702</v>
      </c>
      <c r="AI126" s="112">
        <v>37.53935979978408</v>
      </c>
      <c r="AJ126" s="112">
        <v>5.7752861230437045</v>
      </c>
      <c r="AK126" s="112">
        <v>1.4438215307609261</v>
      </c>
      <c r="AL126" s="112">
        <v>44.758467453588715</v>
      </c>
      <c r="AM126" s="112">
        <v>390.11918881976788</v>
      </c>
      <c r="AN126" s="112">
        <v>0</v>
      </c>
      <c r="AO126" s="112">
        <v>25</v>
      </c>
      <c r="AP126" s="112">
        <v>70</v>
      </c>
      <c r="AQ126" s="112">
        <v>62.419070211162861</v>
      </c>
      <c r="AR126" s="112">
        <v>547.5382590309307</v>
      </c>
      <c r="AU126" s="110">
        <v>8</v>
      </c>
      <c r="AV126" s="110">
        <v>0</v>
      </c>
      <c r="AW126" s="110">
        <v>16</v>
      </c>
      <c r="AX126" s="110">
        <v>8</v>
      </c>
      <c r="AY126" s="110">
        <v>36</v>
      </c>
      <c r="AZ126" s="111">
        <v>16.303739326724898</v>
      </c>
      <c r="BA126" s="111">
        <v>0</v>
      </c>
      <c r="BB126" s="111">
        <v>50.165351774538145</v>
      </c>
      <c r="BC126" s="111">
        <v>13.795471737997991</v>
      </c>
      <c r="BD126" s="111">
        <v>70.54502593294427</v>
      </c>
      <c r="BE126" s="111">
        <v>150.8095887722053</v>
      </c>
    </row>
    <row r="127" spans="1:57" s="110" customFormat="1" x14ac:dyDescent="0.25">
      <c r="B127" s="108" t="s">
        <v>396</v>
      </c>
      <c r="C127" s="113" t="s">
        <v>248</v>
      </c>
      <c r="E127" s="115"/>
      <c r="I127" s="110">
        <v>13</v>
      </c>
      <c r="J127" s="111">
        <v>4.5538401141502565</v>
      </c>
      <c r="K127" s="111">
        <v>59.199921483953332</v>
      </c>
      <c r="L127" s="110">
        <v>0</v>
      </c>
      <c r="M127" s="112">
        <v>4.5538401141502565</v>
      </c>
      <c r="N127" s="112">
        <v>0</v>
      </c>
      <c r="O127" s="112">
        <v>0</v>
      </c>
      <c r="P127" s="112">
        <v>4.5538401141502565</v>
      </c>
      <c r="Q127" s="112">
        <v>0</v>
      </c>
      <c r="R127" s="112">
        <v>0</v>
      </c>
      <c r="S127" s="112">
        <v>3.0374113561382212</v>
      </c>
      <c r="T127" s="112">
        <v>0</v>
      </c>
      <c r="U127" s="112">
        <v>17.759976445185998</v>
      </c>
      <c r="V127" s="112">
        <v>1.17</v>
      </c>
      <c r="W127" s="112">
        <v>15.209999999999999</v>
      </c>
      <c r="X127" s="112">
        <v>0</v>
      </c>
      <c r="Y127" s="112">
        <v>0</v>
      </c>
      <c r="Z127" s="112">
        <v>15.209999999999999</v>
      </c>
      <c r="AA127" s="112">
        <v>36.316874910348297</v>
      </c>
      <c r="AB127" s="112">
        <v>95.516796394301622</v>
      </c>
      <c r="AC127" s="112">
        <v>90.740956574586534</v>
      </c>
      <c r="AD127" s="112">
        <v>4.7758398197150811</v>
      </c>
      <c r="AE127" s="112">
        <v>5.1589695731445007</v>
      </c>
      <c r="AF127" s="112">
        <v>9.9348093928595809</v>
      </c>
      <c r="AG127" s="112">
        <v>0</v>
      </c>
      <c r="AH127" s="112">
        <v>118.55196344662805</v>
      </c>
      <c r="AI127" s="112">
        <v>12.41718353125921</v>
      </c>
      <c r="AJ127" s="112">
        <v>1.9103359278860326</v>
      </c>
      <c r="AK127" s="112">
        <v>0.47758398197150814</v>
      </c>
      <c r="AL127" s="112">
        <v>14.805103441116751</v>
      </c>
      <c r="AM127" s="112">
        <v>143.29187628060438</v>
      </c>
      <c r="AN127" s="112">
        <v>0</v>
      </c>
      <c r="AO127" s="112">
        <v>25</v>
      </c>
      <c r="AP127" s="112">
        <v>70</v>
      </c>
      <c r="AQ127" s="112">
        <v>22.926700204896701</v>
      </c>
      <c r="AR127" s="112">
        <v>261.2185764855011</v>
      </c>
      <c r="AU127" s="110">
        <v>0</v>
      </c>
      <c r="AV127" s="110">
        <v>0</v>
      </c>
      <c r="AW127" s="110">
        <v>0</v>
      </c>
      <c r="AX127" s="110">
        <v>8</v>
      </c>
      <c r="AY127" s="110">
        <v>44</v>
      </c>
      <c r="AZ127" s="111">
        <v>0</v>
      </c>
      <c r="BA127" s="111">
        <v>0</v>
      </c>
      <c r="BB127" s="111">
        <v>0</v>
      </c>
      <c r="BC127" s="111">
        <v>5.0092241255652823</v>
      </c>
      <c r="BD127" s="111">
        <v>31.307650784783014</v>
      </c>
      <c r="BE127" s="111">
        <v>36.316874910348297</v>
      </c>
    </row>
    <row r="128" spans="1:57" s="110" customFormat="1" x14ac:dyDescent="0.25">
      <c r="B128" s="108" t="s">
        <v>397</v>
      </c>
      <c r="C128" s="113" t="s">
        <v>248</v>
      </c>
      <c r="E128" s="115"/>
      <c r="I128" s="110">
        <v>13</v>
      </c>
      <c r="J128" s="111">
        <v>4.5538401141502565</v>
      </c>
      <c r="K128" s="111">
        <v>59.199921483953332</v>
      </c>
      <c r="L128" s="110">
        <v>0</v>
      </c>
      <c r="M128" s="112">
        <v>4.5538401141502565</v>
      </c>
      <c r="N128" s="112">
        <v>0</v>
      </c>
      <c r="O128" s="112">
        <v>0</v>
      </c>
      <c r="P128" s="112">
        <v>4.5538401141502565</v>
      </c>
      <c r="Q128" s="112">
        <v>0</v>
      </c>
      <c r="R128" s="112">
        <v>0</v>
      </c>
      <c r="S128" s="112">
        <v>3.0374113561382212</v>
      </c>
      <c r="T128" s="112">
        <v>0</v>
      </c>
      <c r="U128" s="112">
        <v>17.759976445185998</v>
      </c>
      <c r="V128" s="112">
        <v>1.17</v>
      </c>
      <c r="W128" s="112">
        <v>15.209999999999999</v>
      </c>
      <c r="X128" s="112">
        <v>0</v>
      </c>
      <c r="Y128" s="112">
        <v>0</v>
      </c>
      <c r="Z128" s="112">
        <v>15.209999999999999</v>
      </c>
      <c r="AA128" s="112">
        <v>30.624574767660473</v>
      </c>
      <c r="AB128" s="112">
        <v>89.824496251613809</v>
      </c>
      <c r="AC128" s="112">
        <v>85.333271439033112</v>
      </c>
      <c r="AD128" s="112">
        <v>4.4912248125806906</v>
      </c>
      <c r="AE128" s="112">
        <v>4.3478168028114892</v>
      </c>
      <c r="AF128" s="112">
        <v>8.8390416153921798</v>
      </c>
      <c r="AG128" s="112">
        <v>0</v>
      </c>
      <c r="AH128" s="112">
        <v>113.95543108140762</v>
      </c>
      <c r="AI128" s="112">
        <v>11.677184512709795</v>
      </c>
      <c r="AJ128" s="112">
        <v>1.7964899250322761</v>
      </c>
      <c r="AK128" s="112">
        <v>0.44912248125806903</v>
      </c>
      <c r="AL128" s="112">
        <v>13.92279691900014</v>
      </c>
      <c r="AM128" s="112">
        <v>136.71726961579995</v>
      </c>
      <c r="AN128" s="112">
        <v>0</v>
      </c>
      <c r="AO128" s="112">
        <v>25</v>
      </c>
      <c r="AP128" s="112">
        <v>70</v>
      </c>
      <c r="AQ128" s="112">
        <v>21.874763138527992</v>
      </c>
      <c r="AR128" s="112">
        <v>253.59203275432793</v>
      </c>
      <c r="AU128" s="110">
        <v>0</v>
      </c>
      <c r="AV128" s="110">
        <v>0</v>
      </c>
      <c r="AW128" s="110">
        <v>0</v>
      </c>
      <c r="AX128" s="110">
        <v>8</v>
      </c>
      <c r="AY128" s="110">
        <v>36</v>
      </c>
      <c r="AZ128" s="111">
        <v>0</v>
      </c>
      <c r="BA128" s="111">
        <v>0</v>
      </c>
      <c r="BB128" s="111">
        <v>0</v>
      </c>
      <c r="BC128" s="111">
        <v>5.0092241255652823</v>
      </c>
      <c r="BD128" s="111">
        <v>25.615350642095191</v>
      </c>
      <c r="BE128" s="111">
        <v>30.624574767660473</v>
      </c>
    </row>
    <row r="129" spans="1:44" x14ac:dyDescent="0.25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</row>
  </sheetData>
  <mergeCells count="7">
    <mergeCell ref="AD3:AF3"/>
    <mergeCell ref="AI3:AL3"/>
    <mergeCell ref="I3:K3"/>
    <mergeCell ref="L3:N3"/>
    <mergeCell ref="O3:Q3"/>
    <mergeCell ref="R3:T3"/>
    <mergeCell ref="U3:Z3"/>
  </mergeCells>
  <conditionalFormatting sqref="A5">
    <cfRule type="duplicateValues" dxfId="141" priority="54"/>
    <cfRule type="duplicateValues" dxfId="140" priority="53"/>
    <cfRule type="duplicateValues" dxfId="139" priority="52"/>
    <cfRule type="duplicateValues" dxfId="138" priority="51"/>
    <cfRule type="duplicateValues" dxfId="137" priority="50"/>
    <cfRule type="duplicateValues" dxfId="136" priority="49"/>
    <cfRule type="duplicateValues" dxfId="135" priority="46"/>
    <cfRule type="duplicateValues" dxfId="134" priority="45"/>
    <cfRule type="duplicateValues" dxfId="133" priority="44"/>
    <cfRule type="duplicateValues" dxfId="132" priority="43"/>
    <cfRule type="duplicateValues" dxfId="131" priority="42"/>
  </conditionalFormatting>
  <conditionalFormatting sqref="B5">
    <cfRule type="duplicateValues" dxfId="130" priority="48"/>
    <cfRule type="duplicateValues" dxfId="129" priority="47"/>
    <cfRule type="duplicateValues" dxfId="128" priority="41"/>
  </conditionalFormatting>
  <conditionalFormatting sqref="B6:B9">
    <cfRule type="duplicateValues" dxfId="127" priority="40"/>
  </conditionalFormatting>
  <conditionalFormatting sqref="B10:B11">
    <cfRule type="duplicateValues" dxfId="126" priority="39"/>
  </conditionalFormatting>
  <conditionalFormatting sqref="B12">
    <cfRule type="duplicateValues" dxfId="125" priority="38"/>
  </conditionalFormatting>
  <conditionalFormatting sqref="B13">
    <cfRule type="duplicateValues" dxfId="124" priority="37"/>
  </conditionalFormatting>
  <conditionalFormatting sqref="B14:B16">
    <cfRule type="duplicateValues" dxfId="123" priority="36"/>
  </conditionalFormatting>
  <conditionalFormatting sqref="B17:B19">
    <cfRule type="duplicateValues" dxfId="122" priority="35"/>
  </conditionalFormatting>
  <conditionalFormatting sqref="B20:B21">
    <cfRule type="duplicateValues" dxfId="121" priority="34"/>
  </conditionalFormatting>
  <conditionalFormatting sqref="B22:B29">
    <cfRule type="duplicateValues" dxfId="120" priority="57"/>
  </conditionalFormatting>
  <conditionalFormatting sqref="B30:B40">
    <cfRule type="duplicateValues" dxfId="119" priority="32"/>
  </conditionalFormatting>
  <conditionalFormatting sqref="B41">
    <cfRule type="duplicateValues" dxfId="118" priority="31"/>
  </conditionalFormatting>
  <conditionalFormatting sqref="B42">
    <cfRule type="duplicateValues" dxfId="117" priority="30"/>
  </conditionalFormatting>
  <conditionalFormatting sqref="B43:B47">
    <cfRule type="duplicateValues" dxfId="116" priority="29"/>
  </conditionalFormatting>
  <conditionalFormatting sqref="B48">
    <cfRule type="duplicateValues" dxfId="115" priority="28"/>
  </conditionalFormatting>
  <conditionalFormatting sqref="B49">
    <cfRule type="duplicateValues" dxfId="114" priority="27"/>
  </conditionalFormatting>
  <conditionalFormatting sqref="B50:B51">
    <cfRule type="duplicateValues" dxfId="113" priority="26"/>
  </conditionalFormatting>
  <conditionalFormatting sqref="B52:B56">
    <cfRule type="duplicateValues" dxfId="112" priority="25"/>
  </conditionalFormatting>
  <conditionalFormatting sqref="B57">
    <cfRule type="duplicateValues" dxfId="111" priority="24"/>
  </conditionalFormatting>
  <conditionalFormatting sqref="B58">
    <cfRule type="duplicateValues" dxfId="110" priority="23"/>
  </conditionalFormatting>
  <conditionalFormatting sqref="B59">
    <cfRule type="duplicateValues" dxfId="109" priority="22"/>
  </conditionalFormatting>
  <conditionalFormatting sqref="B60:B61">
    <cfRule type="duplicateValues" dxfId="108" priority="20"/>
  </conditionalFormatting>
  <conditionalFormatting sqref="B62">
    <cfRule type="duplicateValues" dxfId="107" priority="19"/>
  </conditionalFormatting>
  <conditionalFormatting sqref="B63:B66">
    <cfRule type="duplicateValues" dxfId="106" priority="18"/>
  </conditionalFormatting>
  <conditionalFormatting sqref="B67">
    <cfRule type="duplicateValues" dxfId="105" priority="17"/>
  </conditionalFormatting>
  <conditionalFormatting sqref="B68">
    <cfRule type="duplicateValues" dxfId="104" priority="16"/>
  </conditionalFormatting>
  <conditionalFormatting sqref="B69">
    <cfRule type="duplicateValues" dxfId="103" priority="15"/>
  </conditionalFormatting>
  <conditionalFormatting sqref="B70">
    <cfRule type="duplicateValues" dxfId="102" priority="14"/>
  </conditionalFormatting>
  <conditionalFormatting sqref="B71:B86">
    <cfRule type="duplicateValues" dxfId="101" priority="13"/>
  </conditionalFormatting>
  <conditionalFormatting sqref="B87:B88">
    <cfRule type="duplicateValues" dxfId="100" priority="12"/>
  </conditionalFormatting>
  <conditionalFormatting sqref="B89">
    <cfRule type="duplicateValues" dxfId="99" priority="11"/>
  </conditionalFormatting>
  <conditionalFormatting sqref="B90:B92">
    <cfRule type="duplicateValues" dxfId="98" priority="10"/>
  </conditionalFormatting>
  <conditionalFormatting sqref="B93:B96">
    <cfRule type="duplicateValues" dxfId="97" priority="9"/>
  </conditionalFormatting>
  <conditionalFormatting sqref="B97">
    <cfRule type="duplicateValues" dxfId="96" priority="8"/>
  </conditionalFormatting>
  <conditionalFormatting sqref="B98">
    <cfRule type="duplicateValues" dxfId="95" priority="7"/>
  </conditionalFormatting>
  <conditionalFormatting sqref="B99">
    <cfRule type="duplicateValues" dxfId="94" priority="6"/>
  </conditionalFormatting>
  <conditionalFormatting sqref="B100:B101">
    <cfRule type="duplicateValues" dxfId="93" priority="5"/>
  </conditionalFormatting>
  <conditionalFormatting sqref="B102:B108">
    <cfRule type="duplicateValues" dxfId="92" priority="58"/>
  </conditionalFormatting>
  <conditionalFormatting sqref="B109">
    <cfRule type="duplicateValues" dxfId="91" priority="3"/>
  </conditionalFormatting>
  <conditionalFormatting sqref="B110:B111">
    <cfRule type="duplicateValues" dxfId="90" priority="2"/>
  </conditionalFormatting>
  <conditionalFormatting sqref="B112:B128">
    <cfRule type="duplicateValues" dxfId="89" priority="56"/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D9B2-EB3D-47BB-A7F7-73B9BC44BA3A}">
  <dimension ref="B4:P155"/>
  <sheetViews>
    <sheetView topLeftCell="K124" workbookViewId="0">
      <selection activeCell="R133" sqref="R133"/>
    </sheetView>
  </sheetViews>
  <sheetFormatPr baseColWidth="10" defaultRowHeight="15" x14ac:dyDescent="0.25"/>
  <cols>
    <col min="7" max="7" width="11.7109375" customWidth="1"/>
    <col min="8" max="8" width="11.5703125" bestFit="1" customWidth="1"/>
    <col min="9" max="10" width="12.42578125" bestFit="1" customWidth="1"/>
    <col min="13" max="13" width="12.5703125" customWidth="1"/>
    <col min="15" max="15" width="12.42578125" bestFit="1" customWidth="1"/>
  </cols>
  <sheetData>
    <row r="4" spans="2:16" ht="15.75" thickBot="1" x14ac:dyDescent="0.3">
      <c r="I4" t="s">
        <v>81</v>
      </c>
      <c r="J4">
        <v>2300</v>
      </c>
    </row>
    <row r="5" spans="2:16" ht="15.75" thickBot="1" x14ac:dyDescent="0.3">
      <c r="B5" s="34" t="s">
        <v>81</v>
      </c>
      <c r="C5" s="35" t="s">
        <v>82</v>
      </c>
      <c r="D5" s="35" t="s">
        <v>83</v>
      </c>
      <c r="E5" s="3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89</v>
      </c>
      <c r="L5" t="s">
        <v>90</v>
      </c>
      <c r="M5" t="s">
        <v>91</v>
      </c>
      <c r="N5" t="s">
        <v>92</v>
      </c>
      <c r="O5" t="s">
        <v>93</v>
      </c>
      <c r="P5" t="s">
        <v>94</v>
      </c>
    </row>
    <row r="6" spans="2:16" ht="15.75" thickBot="1" x14ac:dyDescent="0.3">
      <c r="B6" s="36">
        <v>0</v>
      </c>
      <c r="C6" s="37">
        <v>0</v>
      </c>
      <c r="D6" s="37">
        <v>162000</v>
      </c>
      <c r="E6" s="37">
        <v>4860</v>
      </c>
      <c r="G6" s="75">
        <f>'PPC Usine-Zamba'!G6</f>
        <v>5</v>
      </c>
      <c r="H6" s="75">
        <f>'PPC Usine-Zamba'!AC6</f>
        <v>269.16370182398816</v>
      </c>
      <c r="I6" s="75">
        <f>Tableau1[[#This Row],[USD]]*$J$4</f>
        <v>619076.51419517281</v>
      </c>
      <c r="J6" s="75">
        <f t="shared" ref="J6:J69" si="0">I6-VLOOKUP($I6,$C$6:$D$9,1)</f>
        <v>457076.51419517281</v>
      </c>
      <c r="K6" s="75">
        <f t="shared" ref="K6:K69" si="1">VLOOKUP($I6,$C$11:$D$14,2)</f>
        <v>0.15</v>
      </c>
      <c r="L6" s="75">
        <f t="shared" ref="L6" si="2">J6*K6</f>
        <v>68561.477129275925</v>
      </c>
      <c r="M6" s="75">
        <f t="shared" ref="M6:M69" si="3">L6+VLOOKUP($I6,$C$15:$E$19,3)</f>
        <v>73421.477129275925</v>
      </c>
      <c r="N6" s="75">
        <f t="shared" ref="N6" si="4">M6*(G6*2%)</f>
        <v>7342.1477129275927</v>
      </c>
      <c r="O6" s="75">
        <f t="shared" ref="O6" si="5">M6-N6</f>
        <v>66079.329416348337</v>
      </c>
      <c r="P6" s="75">
        <f t="shared" ref="P6:P69" si="6">O6/$J$4</f>
        <v>28.730143224499276</v>
      </c>
    </row>
    <row r="7" spans="2:16" ht="15.75" thickBot="1" x14ac:dyDescent="0.3">
      <c r="B7" s="36">
        <v>0.15</v>
      </c>
      <c r="C7" s="37">
        <v>162000</v>
      </c>
      <c r="D7" s="37">
        <v>1800000</v>
      </c>
      <c r="E7" s="37">
        <v>245700</v>
      </c>
      <c r="G7" s="75">
        <f>'PPC Usine-Zamba'!G7</f>
        <v>3</v>
      </c>
      <c r="H7" s="75">
        <f>'PPC Usine-Zamba'!AC7</f>
        <v>252.78186906882985</v>
      </c>
      <c r="I7" s="75">
        <f>Tableau1[[#This Row],[USD]]*$J$4</f>
        <v>581398.2988583087</v>
      </c>
      <c r="J7" s="75">
        <f t="shared" si="0"/>
        <v>419398.2988583087</v>
      </c>
      <c r="K7" s="75">
        <f t="shared" si="1"/>
        <v>0.15</v>
      </c>
      <c r="L7" s="75">
        <f t="shared" ref="L7:L70" si="7">J7*K7</f>
        <v>62909.744828746305</v>
      </c>
      <c r="M7" s="75">
        <f t="shared" si="3"/>
        <v>67769.744828746305</v>
      </c>
      <c r="N7" s="75">
        <f t="shared" ref="N7:N70" si="8">M7*(G7*2%)</f>
        <v>4066.1846897247783</v>
      </c>
      <c r="O7" s="75">
        <f t="shared" ref="O7:O70" si="9">M7-N7</f>
        <v>63703.560139021523</v>
      </c>
      <c r="P7" s="75">
        <f t="shared" si="6"/>
        <v>27.697200060444139</v>
      </c>
    </row>
    <row r="8" spans="2:16" ht="15.75" thickBot="1" x14ac:dyDescent="0.3">
      <c r="B8" s="36">
        <v>0.3</v>
      </c>
      <c r="C8" s="37">
        <v>1800000</v>
      </c>
      <c r="D8" s="37">
        <v>3600000</v>
      </c>
      <c r="E8" s="37">
        <v>540000</v>
      </c>
      <c r="G8" s="75">
        <f>'PPC Usine-Zamba'!G8</f>
        <v>3</v>
      </c>
      <c r="H8" s="75">
        <f>'PPC Usine-Zamba'!AC8</f>
        <v>235.00899639128167</v>
      </c>
      <c r="I8" s="75">
        <f>Tableau1[[#This Row],[USD]]*$J$4</f>
        <v>540520.69169994781</v>
      </c>
      <c r="J8" s="75">
        <f t="shared" si="0"/>
        <v>378520.69169994781</v>
      </c>
      <c r="K8" s="75">
        <f t="shared" si="1"/>
        <v>0.15</v>
      </c>
      <c r="L8" s="75">
        <f t="shared" si="7"/>
        <v>56778.103754992168</v>
      </c>
      <c r="M8" s="75">
        <f t="shared" si="3"/>
        <v>61638.103754992168</v>
      </c>
      <c r="N8" s="75">
        <f t="shared" si="8"/>
        <v>3698.2862252995301</v>
      </c>
      <c r="O8" s="75">
        <f t="shared" si="9"/>
        <v>57939.817529692635</v>
      </c>
      <c r="P8" s="75">
        <f t="shared" si="6"/>
        <v>25.19122501290984</v>
      </c>
    </row>
    <row r="9" spans="2:16" ht="15.75" thickBot="1" x14ac:dyDescent="0.3">
      <c r="B9" s="36">
        <v>0.4</v>
      </c>
      <c r="C9" s="37">
        <v>3600000</v>
      </c>
      <c r="D9" s="37">
        <v>0</v>
      </c>
      <c r="E9" s="37">
        <v>0</v>
      </c>
      <c r="G9" s="75">
        <f>'PPC Usine-Zamba'!G9</f>
        <v>3</v>
      </c>
      <c r="H9" s="75">
        <f>'PPC Usine-Zamba'!AC9</f>
        <v>271.42198727700304</v>
      </c>
      <c r="I9" s="75">
        <f>Tableau1[[#This Row],[USD]]*$J$4</f>
        <v>624270.57073710696</v>
      </c>
      <c r="J9" s="75">
        <f t="shared" si="0"/>
        <v>462270.57073710696</v>
      </c>
      <c r="K9" s="75">
        <f t="shared" si="1"/>
        <v>0.15</v>
      </c>
      <c r="L9" s="75">
        <f t="shared" si="7"/>
        <v>69340.585610566035</v>
      </c>
      <c r="M9" s="75">
        <f t="shared" si="3"/>
        <v>74200.585610566035</v>
      </c>
      <c r="N9" s="75">
        <f t="shared" si="8"/>
        <v>4452.0351366339619</v>
      </c>
      <c r="O9" s="75">
        <f t="shared" si="9"/>
        <v>69748.550473932075</v>
      </c>
      <c r="P9" s="75">
        <f t="shared" si="6"/>
        <v>30.325456727796553</v>
      </c>
    </row>
    <row r="10" spans="2:16" ht="15.75" thickBot="1" x14ac:dyDescent="0.3">
      <c r="B10" s="38"/>
      <c r="C10" s="38"/>
      <c r="D10" s="38"/>
      <c r="E10" s="38"/>
      <c r="G10" s="75">
        <f>'PPC Usine-Zamba'!G11</f>
        <v>3</v>
      </c>
      <c r="H10" s="75">
        <f>'PPC Usine-Zamba'!AC11</f>
        <v>263.96067503416202</v>
      </c>
      <c r="I10" s="75">
        <f>Tableau1[[#This Row],[USD]]*$J$4</f>
        <v>607109.55257857265</v>
      </c>
      <c r="J10" s="75">
        <f t="shared" si="0"/>
        <v>445109.55257857265</v>
      </c>
      <c r="K10" s="75">
        <f t="shared" si="1"/>
        <v>0.15</v>
      </c>
      <c r="L10" s="75">
        <f t="shared" si="7"/>
        <v>66766.4328867859</v>
      </c>
      <c r="M10" s="75">
        <f t="shared" si="3"/>
        <v>71626.4328867859</v>
      </c>
      <c r="N10" s="75">
        <f t="shared" si="8"/>
        <v>4297.585973207154</v>
      </c>
      <c r="O10" s="75">
        <f t="shared" si="9"/>
        <v>67328.846913578745</v>
      </c>
      <c r="P10" s="75">
        <f t="shared" si="6"/>
        <v>29.273411701555975</v>
      </c>
    </row>
    <row r="11" spans="2:16" ht="15.75" thickBot="1" x14ac:dyDescent="0.3">
      <c r="B11" s="38"/>
      <c r="C11" s="39">
        <v>0</v>
      </c>
      <c r="D11" s="40">
        <v>0</v>
      </c>
      <c r="E11" s="38"/>
      <c r="G11" s="75">
        <f>'PPC Usine-Zamba'!G12</f>
        <v>5</v>
      </c>
      <c r="H11" s="75">
        <f>'PPC Usine-Zamba'!AC12</f>
        <v>117.11134108616379</v>
      </c>
      <c r="I11" s="75">
        <f>Tableau1[[#This Row],[USD]]*$J$4</f>
        <v>269356.0844981767</v>
      </c>
      <c r="J11" s="75">
        <f t="shared" si="0"/>
        <v>107356.0844981767</v>
      </c>
      <c r="K11" s="75">
        <f t="shared" si="1"/>
        <v>0.15</v>
      </c>
      <c r="L11" s="75">
        <f t="shared" si="7"/>
        <v>16103.412674726504</v>
      </c>
      <c r="M11" s="75">
        <f t="shared" si="3"/>
        <v>20963.412674726504</v>
      </c>
      <c r="N11" s="75">
        <f t="shared" si="8"/>
        <v>2096.3412674726505</v>
      </c>
      <c r="O11" s="75">
        <f t="shared" si="9"/>
        <v>18867.071407253854</v>
      </c>
      <c r="P11" s="75">
        <f t="shared" si="6"/>
        <v>8.2030745248929797</v>
      </c>
    </row>
    <row r="12" spans="2:16" ht="15.75" thickBot="1" x14ac:dyDescent="0.3">
      <c r="B12" s="38"/>
      <c r="C12" s="39">
        <v>162001</v>
      </c>
      <c r="D12" s="40">
        <v>0.15</v>
      </c>
      <c r="E12" s="38"/>
      <c r="G12" s="75">
        <f>'PPC Usine-Zamba'!G13</f>
        <v>4</v>
      </c>
      <c r="H12" s="75">
        <f>'PPC Usine-Zamba'!AC13</f>
        <v>161.95962203771788</v>
      </c>
      <c r="I12" s="75">
        <f>Tableau1[[#This Row],[USD]]*$J$4</f>
        <v>372507.1306867511</v>
      </c>
      <c r="J12" s="75">
        <f t="shared" si="0"/>
        <v>210507.1306867511</v>
      </c>
      <c r="K12" s="75">
        <f t="shared" si="1"/>
        <v>0.15</v>
      </c>
      <c r="L12" s="75">
        <f t="shared" si="7"/>
        <v>31576.069603012664</v>
      </c>
      <c r="M12" s="75">
        <f t="shared" si="3"/>
        <v>36436.069603012664</v>
      </c>
      <c r="N12" s="75">
        <f t="shared" si="8"/>
        <v>2914.8855682410131</v>
      </c>
      <c r="O12" s="75">
        <f t="shared" si="9"/>
        <v>33521.18403477165</v>
      </c>
      <c r="P12" s="75">
        <f t="shared" si="6"/>
        <v>14.574427841205065</v>
      </c>
    </row>
    <row r="13" spans="2:16" ht="15.75" thickBot="1" x14ac:dyDescent="0.3">
      <c r="B13" s="38"/>
      <c r="C13" s="39">
        <v>1800001</v>
      </c>
      <c r="D13" s="40">
        <v>0.3</v>
      </c>
      <c r="E13" s="38"/>
      <c r="G13" s="75">
        <f>'PPC Usine-Zamba'!G14</f>
        <v>1</v>
      </c>
      <c r="H13" s="75">
        <f>'PPC Usine-Zamba'!AC14</f>
        <v>145.67366464211028</v>
      </c>
      <c r="I13" s="75">
        <f>Tableau1[[#This Row],[USD]]*$J$4</f>
        <v>335049.42867685365</v>
      </c>
      <c r="J13" s="75">
        <f t="shared" si="0"/>
        <v>173049.42867685365</v>
      </c>
      <c r="K13" s="75">
        <f t="shared" si="1"/>
        <v>0.15</v>
      </c>
      <c r="L13" s="75">
        <f t="shared" si="7"/>
        <v>25957.414301528046</v>
      </c>
      <c r="M13" s="75">
        <f t="shared" si="3"/>
        <v>30817.414301528046</v>
      </c>
      <c r="N13" s="75">
        <f t="shared" si="8"/>
        <v>616.34828603056098</v>
      </c>
      <c r="O13" s="75">
        <f t="shared" si="9"/>
        <v>30201.066015497487</v>
      </c>
      <c r="P13" s="75">
        <f t="shared" si="6"/>
        <v>13.130898267607602</v>
      </c>
    </row>
    <row r="14" spans="2:16" ht="15.75" thickBot="1" x14ac:dyDescent="0.3">
      <c r="B14" s="38"/>
      <c r="C14" s="39">
        <v>3600001</v>
      </c>
      <c r="D14" s="40">
        <v>0.4</v>
      </c>
      <c r="E14" s="38"/>
      <c r="G14" s="75">
        <f>'PPC Usine-Zamba'!G15</f>
        <v>1</v>
      </c>
      <c r="H14" s="75">
        <f>'PPC Usine-Zamba'!AC15</f>
        <v>162.66735202745045</v>
      </c>
      <c r="I14" s="75">
        <f>Tableau1[[#This Row],[USD]]*$J$4</f>
        <v>374134.90966313606</v>
      </c>
      <c r="J14" s="75">
        <f t="shared" si="0"/>
        <v>212134.90966313606</v>
      </c>
      <c r="K14" s="75">
        <f t="shared" si="1"/>
        <v>0.15</v>
      </c>
      <c r="L14" s="75">
        <f t="shared" si="7"/>
        <v>31820.236449470409</v>
      </c>
      <c r="M14" s="75">
        <f t="shared" si="3"/>
        <v>36680.236449470409</v>
      </c>
      <c r="N14" s="75">
        <f t="shared" si="8"/>
        <v>733.60472898940816</v>
      </c>
      <c r="O14" s="75">
        <f t="shared" si="9"/>
        <v>35946.631720481004</v>
      </c>
      <c r="P14" s="75">
        <f t="shared" si="6"/>
        <v>15.62897031325261</v>
      </c>
    </row>
    <row r="15" spans="2:16" ht="15.75" thickBot="1" x14ac:dyDescent="0.3">
      <c r="B15" s="38"/>
      <c r="C15" s="38"/>
      <c r="D15" s="38"/>
      <c r="G15" s="75">
        <f>'PPC Usine-Zamba'!G16</f>
        <v>0</v>
      </c>
      <c r="H15" s="75">
        <f>'PPC Usine-Zamba'!AC16</f>
        <v>208.64471734223184</v>
      </c>
      <c r="I15" s="75">
        <f>Tableau1[[#This Row],[USD]]*$J$4</f>
        <v>479882.84988713323</v>
      </c>
      <c r="J15" s="75">
        <f t="shared" si="0"/>
        <v>317882.84988713323</v>
      </c>
      <c r="K15" s="75">
        <f t="shared" si="1"/>
        <v>0.15</v>
      </c>
      <c r="L15" s="75">
        <f t="shared" si="7"/>
        <v>47682.42748306998</v>
      </c>
      <c r="M15" s="75">
        <f t="shared" si="3"/>
        <v>52542.42748306998</v>
      </c>
      <c r="N15" s="75">
        <f t="shared" si="8"/>
        <v>0</v>
      </c>
      <c r="O15" s="75">
        <f t="shared" si="9"/>
        <v>52542.42748306998</v>
      </c>
      <c r="P15" s="75">
        <f t="shared" si="6"/>
        <v>22.844533688291296</v>
      </c>
    </row>
    <row r="16" spans="2:16" ht="15.75" thickBot="1" x14ac:dyDescent="0.3">
      <c r="B16" s="38"/>
      <c r="C16" s="39">
        <v>0</v>
      </c>
      <c r="D16" s="39">
        <v>4860</v>
      </c>
      <c r="E16" s="39">
        <v>2300</v>
      </c>
      <c r="G16" s="75">
        <f>'PPC Usine-Zamba'!G17</f>
        <v>4</v>
      </c>
      <c r="H16" s="75">
        <f>'PPC Usine-Zamba'!AC17</f>
        <v>247.05998490076024</v>
      </c>
      <c r="I16" s="75">
        <f>Tableau1[[#This Row],[USD]]*$J$4</f>
        <v>568237.9652717486</v>
      </c>
      <c r="J16" s="75">
        <f t="shared" si="0"/>
        <v>406237.9652717486</v>
      </c>
      <c r="K16" s="75">
        <f t="shared" si="1"/>
        <v>0.15</v>
      </c>
      <c r="L16" s="75">
        <f t="shared" si="7"/>
        <v>60935.694790762289</v>
      </c>
      <c r="M16" s="75">
        <f t="shared" si="3"/>
        <v>65795.694790762296</v>
      </c>
      <c r="N16" s="75">
        <f t="shared" si="8"/>
        <v>5263.6555832609838</v>
      </c>
      <c r="O16" s="75">
        <f t="shared" si="9"/>
        <v>60532.039207501315</v>
      </c>
      <c r="P16" s="75">
        <f t="shared" si="6"/>
        <v>26.318277916304918</v>
      </c>
    </row>
    <row r="17" spans="2:16" ht="15.75" thickBot="1" x14ac:dyDescent="0.3">
      <c r="B17" s="38"/>
      <c r="C17" s="39">
        <v>162001</v>
      </c>
      <c r="D17" s="39">
        <v>245700</v>
      </c>
      <c r="E17" s="38">
        <v>4860</v>
      </c>
      <c r="G17" s="75">
        <f>'PPC Usine-Zamba'!G18</f>
        <v>0</v>
      </c>
      <c r="H17" s="75">
        <f>'PPC Usine-Zamba'!AC18</f>
        <v>240.14702578006444</v>
      </c>
      <c r="I17" s="75">
        <f>Tableau1[[#This Row],[USD]]*$J$4</f>
        <v>552338.15929414821</v>
      </c>
      <c r="J17" s="75">
        <f t="shared" si="0"/>
        <v>390338.15929414821</v>
      </c>
      <c r="K17" s="75">
        <f t="shared" si="1"/>
        <v>0.15</v>
      </c>
      <c r="L17" s="75">
        <f t="shared" si="7"/>
        <v>58550.723894122231</v>
      </c>
      <c r="M17" s="75">
        <f t="shared" si="3"/>
        <v>63410.723894122231</v>
      </c>
      <c r="N17" s="75">
        <f t="shared" si="8"/>
        <v>0</v>
      </c>
      <c r="O17" s="75">
        <f t="shared" si="9"/>
        <v>63410.723894122231</v>
      </c>
      <c r="P17" s="75">
        <f t="shared" si="6"/>
        <v>27.569879953966186</v>
      </c>
    </row>
    <row r="18" spans="2:16" ht="15.75" thickBot="1" x14ac:dyDescent="0.3">
      <c r="B18" s="38"/>
      <c r="C18" s="39">
        <v>1800001</v>
      </c>
      <c r="D18" s="39">
        <v>540000</v>
      </c>
      <c r="E18" s="38">
        <v>250560</v>
      </c>
      <c r="G18" s="75">
        <f>'PPC Usine-Zamba'!G19</f>
        <v>0</v>
      </c>
      <c r="H18" s="75">
        <f>'PPC Usine-Zamba'!AC19</f>
        <v>85.333271439033112</v>
      </c>
      <c r="I18" s="75">
        <f>Tableau1[[#This Row],[USD]]*$J$4</f>
        <v>196266.52430977617</v>
      </c>
      <c r="J18" s="75">
        <f t="shared" si="0"/>
        <v>34266.52430977617</v>
      </c>
      <c r="K18" s="75">
        <f t="shared" si="1"/>
        <v>0.15</v>
      </c>
      <c r="L18" s="75">
        <f t="shared" si="7"/>
        <v>5139.9786464664257</v>
      </c>
      <c r="M18" s="75">
        <f t="shared" si="3"/>
        <v>9999.9786464664248</v>
      </c>
      <c r="N18" s="75">
        <f t="shared" si="8"/>
        <v>0</v>
      </c>
      <c r="O18" s="75">
        <f t="shared" si="9"/>
        <v>9999.9786464664248</v>
      </c>
      <c r="P18" s="75">
        <f t="shared" si="6"/>
        <v>4.3478168028114892</v>
      </c>
    </row>
    <row r="19" spans="2:16" ht="15.75" thickBot="1" x14ac:dyDescent="0.3">
      <c r="B19" s="38"/>
      <c r="C19" s="39">
        <v>3600001</v>
      </c>
      <c r="D19" s="39">
        <v>0</v>
      </c>
      <c r="E19" s="38">
        <v>790560</v>
      </c>
      <c r="G19" s="75">
        <f>'PPC Usine-Zamba'!G20</f>
        <v>0</v>
      </c>
      <c r="H19" s="75">
        <f>'PPC Usine-Zamba'!AC20</f>
        <v>313.27066045962084</v>
      </c>
      <c r="I19" s="75">
        <f>Tableau1[[#This Row],[USD]]*$J$4</f>
        <v>720522.51905712788</v>
      </c>
      <c r="J19" s="75">
        <f t="shared" si="0"/>
        <v>558522.51905712788</v>
      </c>
      <c r="K19" s="75">
        <f t="shared" si="1"/>
        <v>0.15</v>
      </c>
      <c r="L19" s="75">
        <f t="shared" si="7"/>
        <v>83778.377858569176</v>
      </c>
      <c r="M19" s="75">
        <f t="shared" si="3"/>
        <v>88638.377858569176</v>
      </c>
      <c r="N19" s="75">
        <f t="shared" si="8"/>
        <v>0</v>
      </c>
      <c r="O19" s="75">
        <f t="shared" si="9"/>
        <v>88638.377858569176</v>
      </c>
      <c r="P19" s="75">
        <f t="shared" si="6"/>
        <v>38.538425155899645</v>
      </c>
    </row>
    <row r="20" spans="2:16" x14ac:dyDescent="0.25">
      <c r="G20" s="75">
        <f>'PPC Usine-Zamba'!G21</f>
        <v>0</v>
      </c>
      <c r="H20" s="75">
        <f>'PPC Usine-Zamba'!AC21</f>
        <v>378.16784072378215</v>
      </c>
      <c r="I20" s="75">
        <f>Tableau1[[#This Row],[USD]]*$J$4</f>
        <v>869786.03366469895</v>
      </c>
      <c r="J20" s="75">
        <f t="shared" si="0"/>
        <v>707786.03366469895</v>
      </c>
      <c r="K20" s="75">
        <f t="shared" si="1"/>
        <v>0.15</v>
      </c>
      <c r="L20" s="75">
        <f t="shared" si="7"/>
        <v>106167.90504970484</v>
      </c>
      <c r="M20" s="75">
        <f t="shared" si="3"/>
        <v>111027.90504970484</v>
      </c>
      <c r="N20" s="75">
        <f t="shared" si="8"/>
        <v>0</v>
      </c>
      <c r="O20" s="75">
        <f t="shared" si="9"/>
        <v>111027.90504970484</v>
      </c>
      <c r="P20" s="75">
        <f t="shared" si="6"/>
        <v>48.273002195523844</v>
      </c>
    </row>
    <row r="21" spans="2:16" x14ac:dyDescent="0.25">
      <c r="G21" s="75">
        <f>'PPC Usine-Zamba'!G22</f>
        <v>2</v>
      </c>
      <c r="H21" s="75">
        <f>'PPC Usine-Zamba'!AC22</f>
        <v>470.1255653627216</v>
      </c>
      <c r="I21" s="75">
        <f>Tableau1[[#This Row],[USD]]*$J$4</f>
        <v>1081288.8003342596</v>
      </c>
      <c r="J21" s="75">
        <f t="shared" si="0"/>
        <v>919288.80033425963</v>
      </c>
      <c r="K21" s="75">
        <f t="shared" si="1"/>
        <v>0.15</v>
      </c>
      <c r="L21" s="75">
        <f t="shared" si="7"/>
        <v>137893.32005013895</v>
      </c>
      <c r="M21" s="75">
        <f t="shared" si="3"/>
        <v>142753.32005013895</v>
      </c>
      <c r="N21" s="75">
        <f t="shared" si="8"/>
        <v>5710.132802005558</v>
      </c>
      <c r="O21" s="75">
        <f t="shared" si="9"/>
        <v>137043.18724813338</v>
      </c>
      <c r="P21" s="75">
        <f t="shared" si="6"/>
        <v>59.583994455710169</v>
      </c>
    </row>
    <row r="22" spans="2:16" x14ac:dyDescent="0.25">
      <c r="G22" s="75">
        <f>'PPC Usine-Zamba'!G23</f>
        <v>5</v>
      </c>
      <c r="H22" s="75">
        <f>'PPC Usine-Zamba'!AC23</f>
        <v>321.75978244826621</v>
      </c>
      <c r="I22" s="75">
        <f>Tableau1[[#This Row],[USD]]*$J$4</f>
        <v>740047.49963101232</v>
      </c>
      <c r="J22" s="75">
        <f t="shared" si="0"/>
        <v>578047.49963101232</v>
      </c>
      <c r="K22" s="75">
        <f t="shared" si="1"/>
        <v>0.15</v>
      </c>
      <c r="L22" s="75">
        <f t="shared" si="7"/>
        <v>86707.124944651849</v>
      </c>
      <c r="M22" s="75">
        <f t="shared" si="3"/>
        <v>91567.124944651849</v>
      </c>
      <c r="N22" s="75">
        <f t="shared" si="8"/>
        <v>9156.712494465186</v>
      </c>
      <c r="O22" s="75">
        <f t="shared" si="9"/>
        <v>82410.412450186661</v>
      </c>
      <c r="P22" s="75">
        <f t="shared" si="6"/>
        <v>35.830614108776807</v>
      </c>
    </row>
    <row r="23" spans="2:16" x14ac:dyDescent="0.25">
      <c r="G23" s="75">
        <f>'PPC Usine-Zamba'!G25</f>
        <v>0</v>
      </c>
      <c r="H23" s="75">
        <f>'PPC Usine-Zamba'!AC25</f>
        <v>402.8512897581856</v>
      </c>
      <c r="I23" s="75">
        <f>Tableau1[[#This Row],[USD]]*$J$4</f>
        <v>926557.96644382691</v>
      </c>
      <c r="J23" s="75">
        <f t="shared" si="0"/>
        <v>764557.96644382691</v>
      </c>
      <c r="K23" s="75">
        <f t="shared" si="1"/>
        <v>0.15</v>
      </c>
      <c r="L23" s="75">
        <f t="shared" si="7"/>
        <v>114683.69496657404</v>
      </c>
      <c r="M23" s="75">
        <f t="shared" si="3"/>
        <v>119543.69496657404</v>
      </c>
      <c r="N23" s="75">
        <f t="shared" si="8"/>
        <v>0</v>
      </c>
      <c r="O23" s="75">
        <f t="shared" si="9"/>
        <v>119543.69496657404</v>
      </c>
      <c r="P23" s="75">
        <f t="shared" si="6"/>
        <v>51.975519550684368</v>
      </c>
    </row>
    <row r="24" spans="2:16" x14ac:dyDescent="0.25">
      <c r="G24" s="75">
        <f>'PPC Usine-Zamba'!G26</f>
        <v>5</v>
      </c>
      <c r="H24" s="75">
        <f>'PPC Usine-Zamba'!AC26</f>
        <v>0</v>
      </c>
      <c r="I24" s="75">
        <f>Tableau1[[#This Row],[USD]]*$J$4</f>
        <v>0</v>
      </c>
      <c r="J24" s="75">
        <f t="shared" si="0"/>
        <v>0</v>
      </c>
      <c r="K24" s="75">
        <f t="shared" si="1"/>
        <v>0</v>
      </c>
      <c r="L24" s="75">
        <f t="shared" si="7"/>
        <v>0</v>
      </c>
      <c r="M24" s="75">
        <f t="shared" si="3"/>
        <v>2300</v>
      </c>
      <c r="N24" s="75">
        <f t="shared" si="8"/>
        <v>230</v>
      </c>
      <c r="O24" s="75">
        <f t="shared" si="9"/>
        <v>2070</v>
      </c>
      <c r="P24" s="75">
        <f t="shared" si="6"/>
        <v>0.9</v>
      </c>
    </row>
    <row r="25" spans="2:16" x14ac:dyDescent="0.25">
      <c r="G25" s="75" t="e">
        <f>'PPC Usine-Zamba'!#REF!</f>
        <v>#REF!</v>
      </c>
      <c r="H25" s="75" t="e">
        <f>'PPC Usine-Zamba'!#REF!</f>
        <v>#REF!</v>
      </c>
      <c r="I25" s="75" t="e">
        <f>Tableau1[[#This Row],[USD]]*$J$4</f>
        <v>#REF!</v>
      </c>
      <c r="J25" s="75" t="e">
        <f t="shared" si="0"/>
        <v>#REF!</v>
      </c>
      <c r="K25" s="75" t="e">
        <f t="shared" si="1"/>
        <v>#REF!</v>
      </c>
      <c r="L25" s="75" t="e">
        <f t="shared" si="7"/>
        <v>#REF!</v>
      </c>
      <c r="M25" s="75" t="e">
        <f t="shared" si="3"/>
        <v>#REF!</v>
      </c>
      <c r="N25" s="75" t="e">
        <f t="shared" si="8"/>
        <v>#REF!</v>
      </c>
      <c r="O25" s="75" t="e">
        <f t="shared" si="9"/>
        <v>#REF!</v>
      </c>
      <c r="P25" s="75" t="e">
        <f t="shared" si="6"/>
        <v>#REF!</v>
      </c>
    </row>
    <row r="26" spans="2:16" x14ac:dyDescent="0.25">
      <c r="G26" s="75" t="e">
        <f>'PPC Usine-Zamba'!#REF!</f>
        <v>#REF!</v>
      </c>
      <c r="H26" s="75" t="e">
        <f>'PPC Usine-Zamba'!#REF!</f>
        <v>#REF!</v>
      </c>
      <c r="I26" s="75" t="e">
        <f>Tableau1[[#This Row],[USD]]*$J$4</f>
        <v>#REF!</v>
      </c>
      <c r="J26" s="75" t="e">
        <f t="shared" si="0"/>
        <v>#REF!</v>
      </c>
      <c r="K26" s="75" t="e">
        <f t="shared" si="1"/>
        <v>#REF!</v>
      </c>
      <c r="L26" s="75" t="e">
        <f t="shared" si="7"/>
        <v>#REF!</v>
      </c>
      <c r="M26" s="75" t="e">
        <f t="shared" si="3"/>
        <v>#REF!</v>
      </c>
      <c r="N26" s="75" t="e">
        <f t="shared" si="8"/>
        <v>#REF!</v>
      </c>
      <c r="O26" s="75" t="e">
        <f t="shared" si="9"/>
        <v>#REF!</v>
      </c>
      <c r="P26" s="75" t="e">
        <f t="shared" si="6"/>
        <v>#REF!</v>
      </c>
    </row>
    <row r="27" spans="2:16" x14ac:dyDescent="0.25">
      <c r="G27" s="75">
        <f>'PPC Usine-Zamba'!G27</f>
        <v>0</v>
      </c>
      <c r="H27" s="75">
        <f>'PPC Usine-Zamba'!AC27</f>
        <v>393.91558647334602</v>
      </c>
      <c r="I27" s="75">
        <f>Tableau1[[#This Row],[USD]]*$J$4</f>
        <v>906005.84888869582</v>
      </c>
      <c r="J27" s="75">
        <f t="shared" si="0"/>
        <v>744005.84888869582</v>
      </c>
      <c r="K27" s="75">
        <f t="shared" si="1"/>
        <v>0.15</v>
      </c>
      <c r="L27" s="75">
        <f t="shared" si="7"/>
        <v>111600.87733330436</v>
      </c>
      <c r="M27" s="75">
        <f t="shared" si="3"/>
        <v>116460.87733330436</v>
      </c>
      <c r="N27" s="75">
        <f t="shared" si="8"/>
        <v>0</v>
      </c>
      <c r="O27" s="75">
        <f t="shared" si="9"/>
        <v>116460.87733330436</v>
      </c>
      <c r="P27" s="75">
        <f t="shared" si="6"/>
        <v>50.63516405795842</v>
      </c>
    </row>
    <row r="28" spans="2:16" x14ac:dyDescent="0.25">
      <c r="G28" s="75">
        <f>'PPC Usine-Zamba'!G28</f>
        <v>0</v>
      </c>
      <c r="H28" s="75">
        <f>'PPC Usine-Zamba'!AC28</f>
        <v>301.65445005737706</v>
      </c>
      <c r="I28" s="75">
        <f>Tableau1[[#This Row],[USD]]*$J$4</f>
        <v>693805.23513196723</v>
      </c>
      <c r="J28" s="75">
        <f t="shared" si="0"/>
        <v>531805.23513196723</v>
      </c>
      <c r="K28" s="75">
        <f t="shared" si="1"/>
        <v>0.15</v>
      </c>
      <c r="L28" s="75">
        <f t="shared" si="7"/>
        <v>79770.785269795088</v>
      </c>
      <c r="M28" s="75">
        <f t="shared" si="3"/>
        <v>84630.785269795088</v>
      </c>
      <c r="N28" s="75">
        <f t="shared" si="8"/>
        <v>0</v>
      </c>
      <c r="O28" s="75">
        <f t="shared" si="9"/>
        <v>84630.785269795088</v>
      </c>
      <c r="P28" s="75">
        <f t="shared" si="6"/>
        <v>36.795993595563083</v>
      </c>
    </row>
    <row r="29" spans="2:16" x14ac:dyDescent="0.25">
      <c r="G29" s="75">
        <f>'PPC Usine-Zamba'!G29</f>
        <v>0</v>
      </c>
      <c r="H29" s="75">
        <f>'PPC Usine-Zamba'!AC29</f>
        <v>357.57705978166496</v>
      </c>
      <c r="I29" s="75">
        <f>Tableau1[[#This Row],[USD]]*$J$4</f>
        <v>822427.23749782937</v>
      </c>
      <c r="J29" s="75">
        <f t="shared" si="0"/>
        <v>660427.23749782937</v>
      </c>
      <c r="K29" s="75">
        <f t="shared" si="1"/>
        <v>0.15</v>
      </c>
      <c r="L29" s="75">
        <f t="shared" si="7"/>
        <v>99064.085624674408</v>
      </c>
      <c r="M29" s="75">
        <f t="shared" si="3"/>
        <v>103924.08562467441</v>
      </c>
      <c r="N29" s="75">
        <f t="shared" si="8"/>
        <v>0</v>
      </c>
      <c r="O29" s="75">
        <f t="shared" si="9"/>
        <v>103924.08562467441</v>
      </c>
      <c r="P29" s="75">
        <f t="shared" si="6"/>
        <v>45.184385054206267</v>
      </c>
    </row>
    <row r="30" spans="2:16" x14ac:dyDescent="0.25">
      <c r="G30" s="75">
        <f>'PPC Usine-Zamba'!G30</f>
        <v>0</v>
      </c>
      <c r="H30" s="75">
        <f>'PPC Usine-Zamba'!AC30</f>
        <v>470.89916373804334</v>
      </c>
      <c r="I30" s="75">
        <f>Tableau1[[#This Row],[USD]]*$J$4</f>
        <v>1083068.0765974997</v>
      </c>
      <c r="J30" s="75">
        <f t="shared" si="0"/>
        <v>921068.07659749966</v>
      </c>
      <c r="K30" s="75">
        <f t="shared" si="1"/>
        <v>0.15</v>
      </c>
      <c r="L30" s="75">
        <f t="shared" si="7"/>
        <v>138160.21148962495</v>
      </c>
      <c r="M30" s="75">
        <f t="shared" si="3"/>
        <v>143020.21148962495</v>
      </c>
      <c r="N30" s="75">
        <f t="shared" si="8"/>
        <v>0</v>
      </c>
      <c r="O30" s="75">
        <f t="shared" si="9"/>
        <v>143020.21148962495</v>
      </c>
      <c r="P30" s="75">
        <f t="shared" si="6"/>
        <v>62.182700647663026</v>
      </c>
    </row>
    <row r="31" spans="2:16" x14ac:dyDescent="0.25">
      <c r="G31" s="75">
        <f>'PPC Usine-Zamba'!G31</f>
        <v>4</v>
      </c>
      <c r="H31" s="75">
        <f>'PPC Usine-Zamba'!AC31</f>
        <v>235.00899639128167</v>
      </c>
      <c r="I31" s="75">
        <f>Tableau1[[#This Row],[USD]]*$J$4</f>
        <v>540520.69169994781</v>
      </c>
      <c r="J31" s="75">
        <f t="shared" si="0"/>
        <v>378520.69169994781</v>
      </c>
      <c r="K31" s="75">
        <f t="shared" si="1"/>
        <v>0.15</v>
      </c>
      <c r="L31" s="75">
        <f t="shared" si="7"/>
        <v>56778.103754992168</v>
      </c>
      <c r="M31" s="75">
        <f t="shared" si="3"/>
        <v>61638.103754992168</v>
      </c>
      <c r="N31" s="75">
        <f t="shared" si="8"/>
        <v>4931.0483003993731</v>
      </c>
      <c r="O31" s="75">
        <f t="shared" si="9"/>
        <v>56707.055454592795</v>
      </c>
      <c r="P31" s="75">
        <f t="shared" si="6"/>
        <v>24.655241501996869</v>
      </c>
    </row>
    <row r="32" spans="2:16" x14ac:dyDescent="0.25">
      <c r="G32" s="75">
        <f>'PPC Usine-Zamba'!G32</f>
        <v>0</v>
      </c>
      <c r="H32" s="75">
        <f>'PPC Usine-Zamba'!AC32</f>
        <v>258.83753848418729</v>
      </c>
      <c r="I32" s="75">
        <f>Tableau1[[#This Row],[USD]]*$J$4</f>
        <v>595326.33851363079</v>
      </c>
      <c r="J32" s="75">
        <f t="shared" si="0"/>
        <v>433326.33851363079</v>
      </c>
      <c r="K32" s="75">
        <f t="shared" si="1"/>
        <v>0.15</v>
      </c>
      <c r="L32" s="75">
        <f t="shared" si="7"/>
        <v>64998.950777044614</v>
      </c>
      <c r="M32" s="75">
        <f t="shared" si="3"/>
        <v>69858.950777044607</v>
      </c>
      <c r="N32" s="75">
        <f t="shared" si="8"/>
        <v>0</v>
      </c>
      <c r="O32" s="75">
        <f t="shared" si="9"/>
        <v>69858.950777044607</v>
      </c>
      <c r="P32" s="75">
        <f t="shared" si="6"/>
        <v>30.373456859584611</v>
      </c>
    </row>
    <row r="33" spans="7:16" x14ac:dyDescent="0.25">
      <c r="G33" s="75">
        <f>'PPC Usine-Zamba'!G33</f>
        <v>1</v>
      </c>
      <c r="H33" s="75">
        <f>'PPC Usine-Zamba'!AC33</f>
        <v>249.90183519934772</v>
      </c>
      <c r="I33" s="75">
        <f>Tableau1[[#This Row],[USD]]*$J$4</f>
        <v>574774.2209584997</v>
      </c>
      <c r="J33" s="75">
        <f t="shared" si="0"/>
        <v>412774.2209584997</v>
      </c>
      <c r="K33" s="75">
        <f t="shared" si="1"/>
        <v>0.15</v>
      </c>
      <c r="L33" s="75">
        <f t="shared" si="7"/>
        <v>61916.133143774954</v>
      </c>
      <c r="M33" s="75">
        <f t="shared" si="3"/>
        <v>66776.133143774961</v>
      </c>
      <c r="N33" s="75">
        <f t="shared" si="8"/>
        <v>1335.5226628754992</v>
      </c>
      <c r="O33" s="75">
        <f t="shared" si="9"/>
        <v>65440.610480899464</v>
      </c>
      <c r="P33" s="75">
        <f t="shared" si="6"/>
        <v>28.452439339521508</v>
      </c>
    </row>
    <row r="34" spans="7:16" x14ac:dyDescent="0.25">
      <c r="G34" s="75">
        <f>'PPC Usine-Zamba'!G34</f>
        <v>1</v>
      </c>
      <c r="H34" s="75">
        <f>'PPC Usine-Zamba'!AC34</f>
        <v>223.09472534482884</v>
      </c>
      <c r="I34" s="75">
        <f>Tableau1[[#This Row],[USD]]*$J$4</f>
        <v>513117.86829310632</v>
      </c>
      <c r="J34" s="75">
        <f t="shared" si="0"/>
        <v>351117.86829310632</v>
      </c>
      <c r="K34" s="75">
        <f t="shared" si="1"/>
        <v>0.15</v>
      </c>
      <c r="L34" s="75">
        <f t="shared" si="7"/>
        <v>52667.680243965944</v>
      </c>
      <c r="M34" s="75">
        <f t="shared" si="3"/>
        <v>57527.680243965944</v>
      </c>
      <c r="N34" s="75">
        <f t="shared" si="8"/>
        <v>1150.553604879319</v>
      </c>
      <c r="O34" s="75">
        <f t="shared" si="9"/>
        <v>56377.126639086622</v>
      </c>
      <c r="P34" s="75">
        <f t="shared" si="6"/>
        <v>24.511794190907228</v>
      </c>
    </row>
    <row r="35" spans="7:16" x14ac:dyDescent="0.25">
      <c r="G35" s="75">
        <f>'PPC Usine-Zamba'!G35</f>
        <v>1</v>
      </c>
      <c r="H35" s="75">
        <f>'PPC Usine-Zamba'!AC35</f>
        <v>235.00899639128167</v>
      </c>
      <c r="I35" s="75">
        <f>Tableau1[[#This Row],[USD]]*$J$4</f>
        <v>540520.69169994781</v>
      </c>
      <c r="J35" s="75">
        <f t="shared" si="0"/>
        <v>378520.69169994781</v>
      </c>
      <c r="K35" s="75">
        <f t="shared" si="1"/>
        <v>0.15</v>
      </c>
      <c r="L35" s="75">
        <f t="shared" si="7"/>
        <v>56778.103754992168</v>
      </c>
      <c r="M35" s="75">
        <f t="shared" si="3"/>
        <v>61638.103754992168</v>
      </c>
      <c r="N35" s="75">
        <f t="shared" si="8"/>
        <v>1232.7620750998433</v>
      </c>
      <c r="O35" s="75">
        <f t="shared" si="9"/>
        <v>60405.341679892321</v>
      </c>
      <c r="P35" s="75">
        <f t="shared" si="6"/>
        <v>26.263192034735791</v>
      </c>
    </row>
    <row r="36" spans="7:16" x14ac:dyDescent="0.25">
      <c r="G36" s="75">
        <f>'PPC Usine-Zamba'!G36</f>
        <v>1</v>
      </c>
      <c r="H36" s="75">
        <f>'PPC Usine-Zamba'!AC36</f>
        <v>215.57384174675553</v>
      </c>
      <c r="I36" s="75">
        <f>Tableau1[[#This Row],[USD]]*$J$4</f>
        <v>495819.83601753775</v>
      </c>
      <c r="J36" s="75">
        <f t="shared" si="0"/>
        <v>333819.83601753775</v>
      </c>
      <c r="K36" s="75">
        <f t="shared" si="1"/>
        <v>0.15</v>
      </c>
      <c r="L36" s="75">
        <f t="shared" si="7"/>
        <v>50072.975402630662</v>
      </c>
      <c r="M36" s="75">
        <f t="shared" si="3"/>
        <v>54932.975402630662</v>
      </c>
      <c r="N36" s="75">
        <f t="shared" si="8"/>
        <v>1098.6595080526133</v>
      </c>
      <c r="O36" s="75">
        <f t="shared" si="9"/>
        <v>53834.315894578045</v>
      </c>
      <c r="P36" s="75">
        <f t="shared" si="6"/>
        <v>23.406224301990456</v>
      </c>
    </row>
    <row r="37" spans="7:16" x14ac:dyDescent="0.25">
      <c r="G37" s="75">
        <f>'PPC Usine-Zamba'!G37</f>
        <v>0</v>
      </c>
      <c r="H37" s="75">
        <f>'PPC Usine-Zamba'!AC37</f>
        <v>243.9446996761213</v>
      </c>
      <c r="I37" s="75">
        <f>Tableau1[[#This Row],[USD]]*$J$4</f>
        <v>561072.80925507902</v>
      </c>
      <c r="J37" s="75">
        <f t="shared" si="0"/>
        <v>399072.80925507902</v>
      </c>
      <c r="K37" s="75">
        <f t="shared" si="1"/>
        <v>0.15</v>
      </c>
      <c r="L37" s="75">
        <f t="shared" si="7"/>
        <v>59860.92138826185</v>
      </c>
      <c r="M37" s="75">
        <f t="shared" si="3"/>
        <v>64720.92138826185</v>
      </c>
      <c r="N37" s="75">
        <f t="shared" si="8"/>
        <v>0</v>
      </c>
      <c r="O37" s="75">
        <f t="shared" si="9"/>
        <v>64720.92138826185</v>
      </c>
      <c r="P37" s="75">
        <f t="shared" si="6"/>
        <v>28.139531038374717</v>
      </c>
    </row>
    <row r="38" spans="7:16" x14ac:dyDescent="0.25">
      <c r="G38" s="75">
        <f>'PPC Usine-Zamba'!G38</f>
        <v>3</v>
      </c>
      <c r="H38" s="75">
        <f>'PPC Usine-Zamba'!AC38</f>
        <v>235.00899639128167</v>
      </c>
      <c r="I38" s="75">
        <f>Tableau1[[#This Row],[USD]]*$J$4</f>
        <v>540520.69169994781</v>
      </c>
      <c r="J38" s="75">
        <f t="shared" si="0"/>
        <v>378520.69169994781</v>
      </c>
      <c r="K38" s="75">
        <f t="shared" si="1"/>
        <v>0.15</v>
      </c>
      <c r="L38" s="75">
        <f t="shared" si="7"/>
        <v>56778.103754992168</v>
      </c>
      <c r="M38" s="75">
        <f t="shared" si="3"/>
        <v>61638.103754992168</v>
      </c>
      <c r="N38" s="75">
        <f t="shared" si="8"/>
        <v>3698.2862252995301</v>
      </c>
      <c r="O38" s="75">
        <f t="shared" si="9"/>
        <v>57939.817529692635</v>
      </c>
      <c r="P38" s="75">
        <f t="shared" si="6"/>
        <v>25.19122501290984</v>
      </c>
    </row>
    <row r="39" spans="7:16" x14ac:dyDescent="0.25">
      <c r="G39" s="75">
        <f>'PPC Usine-Zamba'!G39</f>
        <v>0</v>
      </c>
      <c r="H39" s="75">
        <f>'PPC Usine-Zamba'!AC39</f>
        <v>245.95523291521016</v>
      </c>
      <c r="I39" s="75">
        <f>Tableau1[[#This Row],[USD]]*$J$4</f>
        <v>565697.0357049834</v>
      </c>
      <c r="J39" s="75">
        <f t="shared" si="0"/>
        <v>403697.0357049834</v>
      </c>
      <c r="K39" s="75">
        <f t="shared" si="1"/>
        <v>0.15</v>
      </c>
      <c r="L39" s="75">
        <f t="shared" si="7"/>
        <v>60554.555355747507</v>
      </c>
      <c r="M39" s="75">
        <f t="shared" si="3"/>
        <v>65414.555355747507</v>
      </c>
      <c r="N39" s="75">
        <f t="shared" si="8"/>
        <v>0</v>
      </c>
      <c r="O39" s="75">
        <f t="shared" si="9"/>
        <v>65414.555355747507</v>
      </c>
      <c r="P39" s="75">
        <f t="shared" si="6"/>
        <v>28.441111024238047</v>
      </c>
    </row>
    <row r="40" spans="7:16" x14ac:dyDescent="0.25">
      <c r="G40" s="75">
        <f>'PPC Usine-Zamba'!G40</f>
        <v>0</v>
      </c>
      <c r="H40" s="75">
        <f>'PPC Usine-Zamba'!AC40</f>
        <v>235.00899639128167</v>
      </c>
      <c r="I40" s="75">
        <f>Tableau1[[#This Row],[USD]]*$J$4</f>
        <v>540520.69169994781</v>
      </c>
      <c r="J40" s="75">
        <f t="shared" si="0"/>
        <v>378520.69169994781</v>
      </c>
      <c r="K40" s="75">
        <f t="shared" si="1"/>
        <v>0.15</v>
      </c>
      <c r="L40" s="75">
        <f t="shared" si="7"/>
        <v>56778.103754992168</v>
      </c>
      <c r="M40" s="75">
        <f t="shared" si="3"/>
        <v>61638.103754992168</v>
      </c>
      <c r="N40" s="75">
        <f t="shared" si="8"/>
        <v>0</v>
      </c>
      <c r="O40" s="75">
        <f t="shared" si="9"/>
        <v>61638.103754992168</v>
      </c>
      <c r="P40" s="75">
        <f t="shared" si="6"/>
        <v>26.799175545648769</v>
      </c>
    </row>
    <row r="41" spans="7:16" x14ac:dyDescent="0.25">
      <c r="G41" s="75">
        <f>'PPC Usine-Zamba'!G41</f>
        <v>0</v>
      </c>
      <c r="H41" s="75">
        <f>'PPC Usine-Zamba'!AC41</f>
        <v>196.95779323667301</v>
      </c>
      <c r="I41" s="75">
        <f>Tableau1[[#This Row],[USD]]*$J$4</f>
        <v>453002.92444434791</v>
      </c>
      <c r="J41" s="75">
        <f t="shared" si="0"/>
        <v>291002.92444434791</v>
      </c>
      <c r="K41" s="75">
        <f t="shared" si="1"/>
        <v>0.15</v>
      </c>
      <c r="L41" s="75">
        <f t="shared" si="7"/>
        <v>43650.438666652182</v>
      </c>
      <c r="M41" s="75">
        <f t="shared" si="3"/>
        <v>48510.438666652182</v>
      </c>
      <c r="N41" s="75">
        <f t="shared" si="8"/>
        <v>0</v>
      </c>
      <c r="O41" s="75">
        <f t="shared" si="9"/>
        <v>48510.438666652182</v>
      </c>
      <c r="P41" s="75">
        <f t="shared" si="6"/>
        <v>21.091495072457469</v>
      </c>
    </row>
    <row r="42" spans="7:16" x14ac:dyDescent="0.25">
      <c r="G42" s="75">
        <f>'PPC Usine-Zamba'!G42</f>
        <v>0</v>
      </c>
      <c r="H42" s="75">
        <f>'PPC Usine-Zamba'!AC42</f>
        <v>279.81613669907966</v>
      </c>
      <c r="I42" s="75">
        <f>Tableau1[[#This Row],[USD]]*$J$4</f>
        <v>643577.11440788326</v>
      </c>
      <c r="J42" s="75">
        <f t="shared" si="0"/>
        <v>481577.11440788326</v>
      </c>
      <c r="K42" s="75">
        <f t="shared" si="1"/>
        <v>0.15</v>
      </c>
      <c r="L42" s="75">
        <f t="shared" si="7"/>
        <v>72236.56716118248</v>
      </c>
      <c r="M42" s="75">
        <f t="shared" si="3"/>
        <v>77096.56716118248</v>
      </c>
      <c r="N42" s="75">
        <f t="shared" si="8"/>
        <v>0</v>
      </c>
      <c r="O42" s="75">
        <f t="shared" si="9"/>
        <v>77096.56716118248</v>
      </c>
      <c r="P42" s="75">
        <f t="shared" si="6"/>
        <v>33.52024659181847</v>
      </c>
    </row>
    <row r="43" spans="7:16" x14ac:dyDescent="0.25">
      <c r="G43" s="75">
        <f>'PPC Usine-Zamba'!G43</f>
        <v>4</v>
      </c>
      <c r="H43" s="75">
        <f>'PPC Usine-Zamba'!AC43</f>
        <v>232.48060818794025</v>
      </c>
      <c r="I43" s="75">
        <f>Tableau1[[#This Row],[USD]]*$J$4</f>
        <v>534705.39883226261</v>
      </c>
      <c r="J43" s="75">
        <f t="shared" si="0"/>
        <v>372705.39883226261</v>
      </c>
      <c r="K43" s="75">
        <f t="shared" si="1"/>
        <v>0.15</v>
      </c>
      <c r="L43" s="75">
        <f t="shared" si="7"/>
        <v>55905.809824839387</v>
      </c>
      <c r="M43" s="75">
        <f t="shared" si="3"/>
        <v>60765.809824839387</v>
      </c>
      <c r="N43" s="75">
        <f t="shared" si="8"/>
        <v>4861.2647859871513</v>
      </c>
      <c r="O43" s="75">
        <f t="shared" si="9"/>
        <v>55904.545038852237</v>
      </c>
      <c r="P43" s="75">
        <f t="shared" si="6"/>
        <v>24.306323929935754</v>
      </c>
    </row>
    <row r="44" spans="7:16" x14ac:dyDescent="0.25">
      <c r="G44" s="75">
        <f>'PPC Usine-Zamba'!G44</f>
        <v>2</v>
      </c>
      <c r="H44" s="75">
        <f>'PPC Usine-Zamba'!AC44</f>
        <v>394.5039032195354</v>
      </c>
      <c r="I44" s="75">
        <f>Tableau1[[#This Row],[USD]]*$J$4</f>
        <v>907358.97740493144</v>
      </c>
      <c r="J44" s="75">
        <f t="shared" si="0"/>
        <v>745358.97740493144</v>
      </c>
      <c r="K44" s="75">
        <f t="shared" si="1"/>
        <v>0.15</v>
      </c>
      <c r="L44" s="75">
        <f t="shared" si="7"/>
        <v>111803.84661073971</v>
      </c>
      <c r="M44" s="75">
        <f t="shared" si="3"/>
        <v>116663.84661073971</v>
      </c>
      <c r="N44" s="75">
        <f t="shared" si="8"/>
        <v>4666.5538644295884</v>
      </c>
      <c r="O44" s="75">
        <f t="shared" si="9"/>
        <v>111997.29274631012</v>
      </c>
      <c r="P44" s="75">
        <f t="shared" si="6"/>
        <v>48.694475107091357</v>
      </c>
    </row>
    <row r="45" spans="7:16" x14ac:dyDescent="0.25">
      <c r="G45" s="75">
        <f>'PPC Usine-Zamba'!G45</f>
        <v>5</v>
      </c>
      <c r="H45" s="75">
        <f>'PPC Usine-Zamba'!AC45</f>
        <v>288.02750254799668</v>
      </c>
      <c r="I45" s="75">
        <f>Tableau1[[#This Row],[USD]]*$J$4</f>
        <v>662463.25586039235</v>
      </c>
      <c r="J45" s="75">
        <f t="shared" si="0"/>
        <v>500463.25586039235</v>
      </c>
      <c r="K45" s="75">
        <f t="shared" si="1"/>
        <v>0.15</v>
      </c>
      <c r="L45" s="75">
        <f t="shared" si="7"/>
        <v>75069.48837905885</v>
      </c>
      <c r="M45" s="75">
        <f t="shared" si="3"/>
        <v>79929.48837905885</v>
      </c>
      <c r="N45" s="75">
        <f t="shared" si="8"/>
        <v>7992.9488379058857</v>
      </c>
      <c r="O45" s="75">
        <f t="shared" si="9"/>
        <v>71936.539541152961</v>
      </c>
      <c r="P45" s="75">
        <f t="shared" si="6"/>
        <v>31.276756322240416</v>
      </c>
    </row>
    <row r="46" spans="7:16" x14ac:dyDescent="0.25">
      <c r="G46" s="75">
        <f>'PPC Usine-Zamba'!G46</f>
        <v>0</v>
      </c>
      <c r="H46" s="75">
        <f>'PPC Usine-Zamba'!AC46</f>
        <v>322.52524456993592</v>
      </c>
      <c r="I46" s="75">
        <f>Tableau1[[#This Row],[USD]]*$J$4</f>
        <v>741808.06251085259</v>
      </c>
      <c r="J46" s="75">
        <f t="shared" si="0"/>
        <v>579808.06251085259</v>
      </c>
      <c r="K46" s="75">
        <f t="shared" si="1"/>
        <v>0.15</v>
      </c>
      <c r="L46" s="75">
        <f t="shared" si="7"/>
        <v>86971.209376627885</v>
      </c>
      <c r="M46" s="75">
        <f t="shared" si="3"/>
        <v>91831.209376627885</v>
      </c>
      <c r="N46" s="75">
        <f t="shared" si="8"/>
        <v>0</v>
      </c>
      <c r="O46" s="75">
        <f t="shared" si="9"/>
        <v>91831.209376627885</v>
      </c>
      <c r="P46" s="75">
        <f t="shared" si="6"/>
        <v>39.926612772446909</v>
      </c>
    </row>
    <row r="47" spans="7:16" x14ac:dyDescent="0.25">
      <c r="G47" s="75">
        <f>'PPC Usine-Zamba'!G47</f>
        <v>2</v>
      </c>
      <c r="H47" s="75">
        <f>'PPC Usine-Zamba'!AC47</f>
        <v>322.52524456993592</v>
      </c>
      <c r="I47" s="75">
        <f>Tableau1[[#This Row],[USD]]*$J$4</f>
        <v>741808.06251085259</v>
      </c>
      <c r="J47" s="75">
        <f t="shared" si="0"/>
        <v>579808.06251085259</v>
      </c>
      <c r="K47" s="75">
        <f t="shared" si="1"/>
        <v>0.15</v>
      </c>
      <c r="L47" s="75">
        <f t="shared" si="7"/>
        <v>86971.209376627885</v>
      </c>
      <c r="M47" s="75">
        <f t="shared" si="3"/>
        <v>91831.209376627885</v>
      </c>
      <c r="N47" s="75">
        <f t="shared" si="8"/>
        <v>3673.2483750651154</v>
      </c>
      <c r="O47" s="75">
        <f t="shared" si="9"/>
        <v>88157.96100156277</v>
      </c>
      <c r="P47" s="75">
        <f t="shared" si="6"/>
        <v>38.329548261549029</v>
      </c>
    </row>
    <row r="48" spans="7:16" x14ac:dyDescent="0.25">
      <c r="G48" s="75">
        <f>'PPC Usine-Zamba'!G48</f>
        <v>0</v>
      </c>
      <c r="H48" s="75">
        <f>'PPC Usine-Zamba'!AC48</f>
        <v>458.59058212287761</v>
      </c>
      <c r="I48" s="75">
        <f>Tableau1[[#This Row],[USD]]*$J$4</f>
        <v>1054758.3388826186</v>
      </c>
      <c r="J48" s="75">
        <f t="shared" si="0"/>
        <v>892758.33888261858</v>
      </c>
      <c r="K48" s="75">
        <f t="shared" si="1"/>
        <v>0.15</v>
      </c>
      <c r="L48" s="75">
        <f t="shared" si="7"/>
        <v>133913.75083239278</v>
      </c>
      <c r="M48" s="75">
        <f t="shared" si="3"/>
        <v>138773.75083239278</v>
      </c>
      <c r="N48" s="75">
        <f t="shared" si="8"/>
        <v>0</v>
      </c>
      <c r="O48" s="75">
        <f t="shared" si="9"/>
        <v>138773.75083239278</v>
      </c>
      <c r="P48" s="75">
        <f t="shared" si="6"/>
        <v>60.336413405388164</v>
      </c>
    </row>
    <row r="49" spans="7:16" x14ac:dyDescent="0.25">
      <c r="G49" s="75">
        <f>'PPC Usine-Zamba'!G49</f>
        <v>2</v>
      </c>
      <c r="H49" s="75">
        <f>'PPC Usine-Zamba'!AC49</f>
        <v>315.28139756675751</v>
      </c>
      <c r="I49" s="75">
        <f>Tableau1[[#This Row],[USD]]*$J$4</f>
        <v>725147.21440354222</v>
      </c>
      <c r="J49" s="75">
        <f t="shared" si="0"/>
        <v>563147.21440354222</v>
      </c>
      <c r="K49" s="75">
        <f t="shared" si="1"/>
        <v>0.15</v>
      </c>
      <c r="L49" s="75">
        <f t="shared" si="7"/>
        <v>84472.082160531325</v>
      </c>
      <c r="M49" s="75">
        <f t="shared" si="3"/>
        <v>89332.082160531325</v>
      </c>
      <c r="N49" s="75">
        <f t="shared" si="8"/>
        <v>3573.2832864212533</v>
      </c>
      <c r="O49" s="75">
        <f t="shared" si="9"/>
        <v>85758.798874110071</v>
      </c>
      <c r="P49" s="75">
        <f t="shared" si="6"/>
        <v>37.286434293091332</v>
      </c>
    </row>
    <row r="50" spans="7:16" x14ac:dyDescent="0.25">
      <c r="G50" s="75">
        <f>'PPC Usine-Zamba'!G50</f>
        <v>4</v>
      </c>
      <c r="H50" s="75">
        <f>'PPC Usine-Zamba'!AC50</f>
        <v>127.25089075133808</v>
      </c>
      <c r="I50" s="75">
        <f>Tableau1[[#This Row],[USD]]*$J$4</f>
        <v>292677.04872807756</v>
      </c>
      <c r="J50" s="75">
        <f t="shared" si="0"/>
        <v>130677.04872807756</v>
      </c>
      <c r="K50" s="75">
        <f t="shared" si="1"/>
        <v>0.15</v>
      </c>
      <c r="L50" s="75">
        <f t="shared" si="7"/>
        <v>19601.557309211632</v>
      </c>
      <c r="M50" s="75">
        <f t="shared" si="3"/>
        <v>24461.557309211632</v>
      </c>
      <c r="N50" s="75">
        <f t="shared" si="8"/>
        <v>1956.9245847369307</v>
      </c>
      <c r="O50" s="75">
        <f t="shared" si="9"/>
        <v>22504.632724474701</v>
      </c>
      <c r="P50" s="75">
        <f t="shared" si="6"/>
        <v>9.7846229236846529</v>
      </c>
    </row>
    <row r="51" spans="7:16" x14ac:dyDescent="0.25">
      <c r="G51" s="75">
        <f>'PPC Usine-Zamba'!G51</f>
        <v>4</v>
      </c>
      <c r="H51" s="75">
        <f>'PPC Usine-Zamba'!AC51</f>
        <v>130.4288979442384</v>
      </c>
      <c r="I51" s="75">
        <f>Tableau1[[#This Row],[USD]]*$J$4</f>
        <v>299986.46527174831</v>
      </c>
      <c r="J51" s="75">
        <f t="shared" si="0"/>
        <v>137986.46527174831</v>
      </c>
      <c r="K51" s="75">
        <f t="shared" si="1"/>
        <v>0.15</v>
      </c>
      <c r="L51" s="75">
        <f t="shared" si="7"/>
        <v>20697.969790762247</v>
      </c>
      <c r="M51" s="75">
        <f t="shared" si="3"/>
        <v>25557.969790762247</v>
      </c>
      <c r="N51" s="75">
        <f t="shared" si="8"/>
        <v>2044.6375832609797</v>
      </c>
      <c r="O51" s="75">
        <f t="shared" si="9"/>
        <v>23513.332207501266</v>
      </c>
      <c r="P51" s="75">
        <f t="shared" si="6"/>
        <v>10.223187916304898</v>
      </c>
    </row>
    <row r="52" spans="7:16" x14ac:dyDescent="0.25">
      <c r="G52" s="75">
        <f>'PPC Usine-Zamba'!G52</f>
        <v>0</v>
      </c>
      <c r="H52" s="75">
        <f>'PPC Usine-Zamba'!AC52</f>
        <v>137.39439316155421</v>
      </c>
      <c r="I52" s="75">
        <f>Tableau1[[#This Row],[USD]]*$J$4</f>
        <v>316007.10427157464</v>
      </c>
      <c r="J52" s="75">
        <f t="shared" si="0"/>
        <v>154007.10427157464</v>
      </c>
      <c r="K52" s="75">
        <f t="shared" si="1"/>
        <v>0.15</v>
      </c>
      <c r="L52" s="75">
        <f t="shared" si="7"/>
        <v>23101.065640736197</v>
      </c>
      <c r="M52" s="75">
        <f t="shared" si="3"/>
        <v>27961.065640736197</v>
      </c>
      <c r="N52" s="75">
        <f t="shared" si="8"/>
        <v>0</v>
      </c>
      <c r="O52" s="75">
        <f t="shared" si="9"/>
        <v>27961.065640736197</v>
      </c>
      <c r="P52" s="75">
        <f t="shared" si="6"/>
        <v>12.156985061189651</v>
      </c>
    </row>
    <row r="53" spans="7:16" x14ac:dyDescent="0.25">
      <c r="G53" s="75">
        <f>'PPC Usine-Zamba'!G53</f>
        <v>0</v>
      </c>
      <c r="H53" s="75">
        <f>'PPC Usine-Zamba'!AC53</f>
        <v>93.990651088655113</v>
      </c>
      <c r="I53" s="75">
        <f>Tableau1[[#This Row],[USD]]*$J$4</f>
        <v>216178.49750390675</v>
      </c>
      <c r="J53" s="75">
        <f t="shared" si="0"/>
        <v>54178.49750390675</v>
      </c>
      <c r="K53" s="75">
        <f t="shared" si="1"/>
        <v>0.15</v>
      </c>
      <c r="L53" s="75">
        <f t="shared" si="7"/>
        <v>8126.774625586012</v>
      </c>
      <c r="M53" s="75">
        <f t="shared" si="3"/>
        <v>12986.774625586011</v>
      </c>
      <c r="N53" s="75">
        <f t="shared" si="8"/>
        <v>0</v>
      </c>
      <c r="O53" s="75">
        <f t="shared" si="9"/>
        <v>12986.774625586011</v>
      </c>
      <c r="P53" s="75">
        <f t="shared" si="6"/>
        <v>5.6464237502547876</v>
      </c>
    </row>
    <row r="54" spans="7:16" x14ac:dyDescent="0.25">
      <c r="G54" s="75">
        <f>'PPC Usine-Zamba'!G54</f>
        <v>0</v>
      </c>
      <c r="H54" s="75">
        <f>'PPC Usine-Zamba'!AC54</f>
        <v>138.47970438510222</v>
      </c>
      <c r="I54" s="75">
        <f>Tableau1[[#This Row],[USD]]*$J$4</f>
        <v>318503.32008573512</v>
      </c>
      <c r="J54" s="75">
        <f t="shared" si="0"/>
        <v>156503.32008573512</v>
      </c>
      <c r="K54" s="75">
        <f t="shared" si="1"/>
        <v>0.15</v>
      </c>
      <c r="L54" s="75">
        <f t="shared" si="7"/>
        <v>23475.498012860266</v>
      </c>
      <c r="M54" s="75">
        <f t="shared" si="3"/>
        <v>28335.498012860266</v>
      </c>
      <c r="N54" s="75">
        <f t="shared" si="8"/>
        <v>0</v>
      </c>
      <c r="O54" s="75">
        <f t="shared" si="9"/>
        <v>28335.498012860266</v>
      </c>
      <c r="P54" s="75">
        <f t="shared" si="6"/>
        <v>12.319781744721855</v>
      </c>
    </row>
    <row r="55" spans="7:16" x14ac:dyDescent="0.25">
      <c r="G55" s="75">
        <f>'PPC Usine-Zamba'!G55</f>
        <v>0</v>
      </c>
      <c r="H55" s="75">
        <f>'PPC Usine-Zamba'!AC55</f>
        <v>154.28571906354503</v>
      </c>
      <c r="I55" s="75">
        <f>Tableau1[[#This Row],[USD]]*$J$4</f>
        <v>354857.15384615358</v>
      </c>
      <c r="J55" s="75">
        <f t="shared" si="0"/>
        <v>192857.15384615358</v>
      </c>
      <c r="K55" s="75">
        <f t="shared" si="1"/>
        <v>0.15</v>
      </c>
      <c r="L55" s="75">
        <f t="shared" si="7"/>
        <v>28928.573076923036</v>
      </c>
      <c r="M55" s="75">
        <f t="shared" si="3"/>
        <v>33788.573076923036</v>
      </c>
      <c r="N55" s="75">
        <f t="shared" si="8"/>
        <v>0</v>
      </c>
      <c r="O55" s="75">
        <f t="shared" si="9"/>
        <v>33788.573076923036</v>
      </c>
      <c r="P55" s="75">
        <f t="shared" si="6"/>
        <v>14.690683946488276</v>
      </c>
    </row>
    <row r="56" spans="7:16" x14ac:dyDescent="0.25">
      <c r="G56" s="75">
        <f>'PPC Usine-Zamba'!G56</f>
        <v>0</v>
      </c>
      <c r="H56" s="75">
        <f>'PPC Usine-Zamba'!AC56</f>
        <v>137.39439316155421</v>
      </c>
      <c r="I56" s="75">
        <f>Tableau1[[#This Row],[USD]]*$J$4</f>
        <v>316007.10427157464</v>
      </c>
      <c r="J56" s="75">
        <f t="shared" si="0"/>
        <v>154007.10427157464</v>
      </c>
      <c r="K56" s="75">
        <f t="shared" si="1"/>
        <v>0.15</v>
      </c>
      <c r="L56" s="75">
        <f t="shared" si="7"/>
        <v>23101.065640736197</v>
      </c>
      <c r="M56" s="75">
        <f t="shared" si="3"/>
        <v>27961.065640736197</v>
      </c>
      <c r="N56" s="75">
        <f t="shared" si="8"/>
        <v>0</v>
      </c>
      <c r="O56" s="75">
        <f t="shared" si="9"/>
        <v>27961.065640736197</v>
      </c>
      <c r="P56" s="75">
        <f t="shared" si="6"/>
        <v>12.156985061189651</v>
      </c>
    </row>
    <row r="57" spans="7:16" x14ac:dyDescent="0.25">
      <c r="G57" s="75">
        <f>'PPC Usine-Zamba'!G57</f>
        <v>4</v>
      </c>
      <c r="H57" s="75">
        <f>'PPC Usine-Zamba'!AC57</f>
        <v>242.38095160127435</v>
      </c>
      <c r="I57" s="75">
        <f>Tableau1[[#This Row],[USD]]*$J$4</f>
        <v>557476.18868293101</v>
      </c>
      <c r="J57" s="75">
        <f t="shared" si="0"/>
        <v>395476.18868293101</v>
      </c>
      <c r="K57" s="75">
        <f t="shared" si="1"/>
        <v>0.15</v>
      </c>
      <c r="L57" s="75">
        <f t="shared" si="7"/>
        <v>59321.42830243965</v>
      </c>
      <c r="M57" s="75">
        <f t="shared" si="3"/>
        <v>64181.42830243965</v>
      </c>
      <c r="N57" s="75">
        <f t="shared" si="8"/>
        <v>5134.5142641951725</v>
      </c>
      <c r="O57" s="75">
        <f t="shared" si="9"/>
        <v>59046.914038244475</v>
      </c>
      <c r="P57" s="75">
        <f t="shared" si="6"/>
        <v>25.672571320975859</v>
      </c>
    </row>
    <row r="58" spans="7:16" x14ac:dyDescent="0.25">
      <c r="G58" s="75">
        <f>'PPC Usine-Zamba'!G58</f>
        <v>0</v>
      </c>
      <c r="H58" s="75">
        <f>'PPC Usine-Zamba'!AC58</f>
        <v>165.72006383675455</v>
      </c>
      <c r="I58" s="75">
        <f>Tableau1[[#This Row],[USD]]*$J$4</f>
        <v>381156.14682453545</v>
      </c>
      <c r="J58" s="75">
        <f t="shared" si="0"/>
        <v>219156.14682453545</v>
      </c>
      <c r="K58" s="75">
        <f t="shared" si="1"/>
        <v>0.15</v>
      </c>
      <c r="L58" s="75">
        <f t="shared" si="7"/>
        <v>32873.422023680316</v>
      </c>
      <c r="M58" s="75">
        <f t="shared" si="3"/>
        <v>37733.422023680316</v>
      </c>
      <c r="N58" s="75">
        <f t="shared" si="8"/>
        <v>0</v>
      </c>
      <c r="O58" s="75">
        <f t="shared" si="9"/>
        <v>37733.422023680316</v>
      </c>
      <c r="P58" s="75">
        <f t="shared" si="6"/>
        <v>16.405835662469702</v>
      </c>
    </row>
    <row r="59" spans="7:16" x14ac:dyDescent="0.25">
      <c r="G59" s="75">
        <f>'PPC Usine-Zamba'!G59</f>
        <v>4</v>
      </c>
      <c r="H59" s="75">
        <f>'PPC Usine-Zamba'!AC59</f>
        <v>244.25112841337207</v>
      </c>
      <c r="I59" s="75">
        <f>Tableau1[[#This Row],[USD]]*$J$4</f>
        <v>561777.59535075573</v>
      </c>
      <c r="J59" s="75">
        <f t="shared" si="0"/>
        <v>399777.59535075573</v>
      </c>
      <c r="K59" s="75">
        <f t="shared" si="1"/>
        <v>0.15</v>
      </c>
      <c r="L59" s="75">
        <f t="shared" si="7"/>
        <v>59966.639302613359</v>
      </c>
      <c r="M59" s="75">
        <f t="shared" si="3"/>
        <v>64826.639302613359</v>
      </c>
      <c r="N59" s="75">
        <f t="shared" si="8"/>
        <v>5186.1311442090691</v>
      </c>
      <c r="O59" s="75">
        <f t="shared" si="9"/>
        <v>59640.508158404293</v>
      </c>
      <c r="P59" s="75">
        <f t="shared" si="6"/>
        <v>25.930655721045344</v>
      </c>
    </row>
    <row r="60" spans="7:16" x14ac:dyDescent="0.25">
      <c r="G60" s="75" t="e">
        <f>'PPC Usine-Zamba'!#REF!</f>
        <v>#REF!</v>
      </c>
      <c r="H60" s="75" t="e">
        <f>'PPC Usine-Zamba'!#REF!</f>
        <v>#REF!</v>
      </c>
      <c r="I60" s="75" t="e">
        <f>Tableau1[[#This Row],[USD]]*$J$4</f>
        <v>#REF!</v>
      </c>
      <c r="J60" s="75" t="e">
        <f t="shared" si="0"/>
        <v>#REF!</v>
      </c>
      <c r="K60" s="75" t="e">
        <f t="shared" si="1"/>
        <v>#REF!</v>
      </c>
      <c r="L60" s="75" t="e">
        <f t="shared" si="7"/>
        <v>#REF!</v>
      </c>
      <c r="M60" s="75" t="e">
        <f t="shared" si="3"/>
        <v>#REF!</v>
      </c>
      <c r="N60" s="75" t="e">
        <f t="shared" si="8"/>
        <v>#REF!</v>
      </c>
      <c r="O60" s="75" t="e">
        <f t="shared" si="9"/>
        <v>#REF!</v>
      </c>
      <c r="P60" s="75" t="e">
        <f t="shared" si="6"/>
        <v>#REF!</v>
      </c>
    </row>
    <row r="61" spans="7:16" x14ac:dyDescent="0.25">
      <c r="G61" s="75">
        <f>'PPC Usine-Zamba'!G60</f>
        <v>4</v>
      </c>
      <c r="H61" s="75">
        <f>'PPC Usine-Zamba'!AC60</f>
        <v>107.68858950451843</v>
      </c>
      <c r="I61" s="75">
        <f>Tableau1[[#This Row],[USD]]*$J$4</f>
        <v>247683.75586039238</v>
      </c>
      <c r="J61" s="75">
        <f t="shared" si="0"/>
        <v>85683.755860392383</v>
      </c>
      <c r="K61" s="75">
        <f t="shared" si="1"/>
        <v>0.15</v>
      </c>
      <c r="L61" s="75">
        <f t="shared" si="7"/>
        <v>12852.563379058856</v>
      </c>
      <c r="M61" s="75">
        <f t="shared" si="3"/>
        <v>17712.563379058854</v>
      </c>
      <c r="N61" s="75">
        <f t="shared" si="8"/>
        <v>1417.0050703247084</v>
      </c>
      <c r="O61" s="75">
        <f t="shared" si="9"/>
        <v>16295.558308734146</v>
      </c>
      <c r="P61" s="75">
        <f t="shared" si="6"/>
        <v>7.0850253516235417</v>
      </c>
    </row>
    <row r="62" spans="7:16" x14ac:dyDescent="0.25">
      <c r="G62" s="75">
        <f>'PPC Usine-Zamba'!G61</f>
        <v>4</v>
      </c>
      <c r="H62" s="75">
        <f>'PPC Usine-Zamba'!AC61</f>
        <v>174.10552708143018</v>
      </c>
      <c r="I62" s="75">
        <f>Tableau1[[#This Row],[USD]]*$J$4</f>
        <v>400442.71228728944</v>
      </c>
      <c r="J62" s="75">
        <f t="shared" si="0"/>
        <v>238442.71228728944</v>
      </c>
      <c r="K62" s="75">
        <f t="shared" si="1"/>
        <v>0.15</v>
      </c>
      <c r="L62" s="75">
        <f t="shared" si="7"/>
        <v>35766.406843093413</v>
      </c>
      <c r="M62" s="75">
        <f t="shared" si="3"/>
        <v>40626.406843093413</v>
      </c>
      <c r="N62" s="75">
        <f t="shared" si="8"/>
        <v>3250.1125474474729</v>
      </c>
      <c r="O62" s="75">
        <f t="shared" si="9"/>
        <v>37376.294295645937</v>
      </c>
      <c r="P62" s="75">
        <f t="shared" si="6"/>
        <v>16.250562737237363</v>
      </c>
    </row>
    <row r="63" spans="7:16" x14ac:dyDescent="0.25">
      <c r="G63" s="75">
        <f>'PPC Usine-Zamba'!G62</f>
        <v>3</v>
      </c>
      <c r="H63" s="75">
        <f>'PPC Usine-Zamba'!AC62</f>
        <v>241.58414805748285</v>
      </c>
      <c r="I63" s="75">
        <f>Tableau1[[#This Row],[USD]]*$J$4</f>
        <v>555643.54053221061</v>
      </c>
      <c r="J63" s="75">
        <f t="shared" si="0"/>
        <v>393643.54053221061</v>
      </c>
      <c r="K63" s="75">
        <f t="shared" si="1"/>
        <v>0.15</v>
      </c>
      <c r="L63" s="75">
        <f t="shared" si="7"/>
        <v>59046.531079831591</v>
      </c>
      <c r="M63" s="75">
        <f t="shared" si="3"/>
        <v>63906.531079831591</v>
      </c>
      <c r="N63" s="75">
        <f t="shared" si="8"/>
        <v>3834.3918647898954</v>
      </c>
      <c r="O63" s="75">
        <f t="shared" si="9"/>
        <v>60072.139215041694</v>
      </c>
      <c r="P63" s="75">
        <f t="shared" si="6"/>
        <v>26.118321397844216</v>
      </c>
    </row>
    <row r="64" spans="7:16" x14ac:dyDescent="0.25">
      <c r="G64" s="75">
        <f>'PPC Usine-Zamba'!G63</f>
        <v>0</v>
      </c>
      <c r="H64" s="75">
        <f>'PPC Usine-Zamba'!AC63</f>
        <v>87.198922810799047</v>
      </c>
      <c r="I64" s="75">
        <f>Tableau1[[#This Row],[USD]]*$J$4</f>
        <v>200557.52246483782</v>
      </c>
      <c r="J64" s="75">
        <f t="shared" si="0"/>
        <v>38557.522464837821</v>
      </c>
      <c r="K64" s="75">
        <f t="shared" si="1"/>
        <v>0.15</v>
      </c>
      <c r="L64" s="75">
        <f t="shared" si="7"/>
        <v>5783.6283697256731</v>
      </c>
      <c r="M64" s="75">
        <f t="shared" si="3"/>
        <v>10643.628369725673</v>
      </c>
      <c r="N64" s="75">
        <f t="shared" si="8"/>
        <v>0</v>
      </c>
      <c r="O64" s="75">
        <f t="shared" si="9"/>
        <v>10643.628369725673</v>
      </c>
      <c r="P64" s="75">
        <f t="shared" si="6"/>
        <v>4.6276645085763795</v>
      </c>
    </row>
    <row r="65" spans="7:16" x14ac:dyDescent="0.25">
      <c r="G65" s="75">
        <f>'PPC Usine-Zamba'!G64</f>
        <v>1</v>
      </c>
      <c r="H65" s="75">
        <f>'PPC Usine-Zamba'!AC64</f>
        <v>85.333271439033112</v>
      </c>
      <c r="I65" s="75">
        <f>Tableau1[[#This Row],[USD]]*$J$4</f>
        <v>196266.52430977617</v>
      </c>
      <c r="J65" s="75">
        <f t="shared" si="0"/>
        <v>34266.52430977617</v>
      </c>
      <c r="K65" s="75">
        <f t="shared" si="1"/>
        <v>0.15</v>
      </c>
      <c r="L65" s="75">
        <f t="shared" si="7"/>
        <v>5139.9786464664257</v>
      </c>
      <c r="M65" s="75">
        <f t="shared" si="3"/>
        <v>9999.9786464664248</v>
      </c>
      <c r="N65" s="75">
        <f t="shared" si="8"/>
        <v>199.99957292932851</v>
      </c>
      <c r="O65" s="75">
        <f t="shared" si="9"/>
        <v>9799.9790735370971</v>
      </c>
      <c r="P65" s="75">
        <f t="shared" si="6"/>
        <v>4.2608604667552594</v>
      </c>
    </row>
    <row r="66" spans="7:16" x14ac:dyDescent="0.25">
      <c r="G66" s="75">
        <f>'PPC Usine-Zamba'!G65</f>
        <v>1</v>
      </c>
      <c r="H66" s="75">
        <f>'PPC Usine-Zamba'!AC65</f>
        <v>81.007123330590375</v>
      </c>
      <c r="I66" s="75">
        <f>Tableau1[[#This Row],[USD]]*$J$4</f>
        <v>186316.38366035785</v>
      </c>
      <c r="J66" s="75">
        <f t="shared" si="0"/>
        <v>24316.383660357853</v>
      </c>
      <c r="K66" s="75">
        <f t="shared" si="1"/>
        <v>0.15</v>
      </c>
      <c r="L66" s="75">
        <f t="shared" si="7"/>
        <v>3647.4575490536777</v>
      </c>
      <c r="M66" s="75">
        <f t="shared" si="3"/>
        <v>8507.4575490536772</v>
      </c>
      <c r="N66" s="75">
        <f t="shared" si="8"/>
        <v>170.14915098107355</v>
      </c>
      <c r="O66" s="75">
        <f t="shared" si="9"/>
        <v>8337.3083980726042</v>
      </c>
      <c r="P66" s="75">
        <f t="shared" si="6"/>
        <v>3.6249166948141758</v>
      </c>
    </row>
    <row r="67" spans="7:16" x14ac:dyDescent="0.25">
      <c r="G67" s="75">
        <f>'PPC Usine-Zamba'!G66</f>
        <v>0</v>
      </c>
      <c r="H67" s="75">
        <f>'PPC Usine-Zamba'!AC66</f>
        <v>90.740956574586534</v>
      </c>
      <c r="I67" s="75">
        <f>Tableau1[[#This Row],[USD]]*$J$4</f>
        <v>208704.20012154902</v>
      </c>
      <c r="J67" s="75">
        <f t="shared" si="0"/>
        <v>46704.200121549016</v>
      </c>
      <c r="K67" s="75">
        <f t="shared" si="1"/>
        <v>0.15</v>
      </c>
      <c r="L67" s="75">
        <f t="shared" si="7"/>
        <v>7005.6300182323521</v>
      </c>
      <c r="M67" s="75">
        <f t="shared" si="3"/>
        <v>11865.630018232352</v>
      </c>
      <c r="N67" s="75">
        <f t="shared" si="8"/>
        <v>0</v>
      </c>
      <c r="O67" s="75">
        <f t="shared" si="9"/>
        <v>11865.630018232352</v>
      </c>
      <c r="P67" s="75">
        <f t="shared" si="6"/>
        <v>5.1589695731445007</v>
      </c>
    </row>
    <row r="68" spans="7:16" x14ac:dyDescent="0.25">
      <c r="G68" s="75">
        <f>'PPC Usine-Zamba'!G67</f>
        <v>1</v>
      </c>
      <c r="H68" s="75">
        <f>'PPC Usine-Zamba'!AC67</f>
        <v>156.37480748469315</v>
      </c>
      <c r="I68" s="75">
        <f>Tableau1[[#This Row],[USD]]*$J$4</f>
        <v>359662.05721479427</v>
      </c>
      <c r="J68" s="75">
        <f t="shared" si="0"/>
        <v>197662.05721479427</v>
      </c>
      <c r="K68" s="75">
        <f t="shared" si="1"/>
        <v>0.15</v>
      </c>
      <c r="L68" s="75">
        <f t="shared" si="7"/>
        <v>29649.308582219139</v>
      </c>
      <c r="M68" s="75">
        <f t="shared" si="3"/>
        <v>34509.308582219135</v>
      </c>
      <c r="N68" s="75">
        <f t="shared" si="8"/>
        <v>690.18617164438274</v>
      </c>
      <c r="O68" s="75">
        <f t="shared" si="9"/>
        <v>33819.122410574753</v>
      </c>
      <c r="P68" s="75">
        <f t="shared" si="6"/>
        <v>14.703966265467285</v>
      </c>
    </row>
    <row r="69" spans="7:16" x14ac:dyDescent="0.25">
      <c r="G69" s="75">
        <f>'PPC Usine-Zamba'!G68</f>
        <v>3</v>
      </c>
      <c r="H69" s="75">
        <f>'PPC Usine-Zamba'!AC68</f>
        <v>104.09061915376311</v>
      </c>
      <c r="I69" s="75">
        <f>Tableau1[[#This Row],[USD]]*$J$4</f>
        <v>239408.42405365515</v>
      </c>
      <c r="J69" s="75">
        <f t="shared" si="0"/>
        <v>77408.424053655152</v>
      </c>
      <c r="K69" s="75">
        <f t="shared" si="1"/>
        <v>0.15</v>
      </c>
      <c r="L69" s="75">
        <f t="shared" si="7"/>
        <v>11611.263608048272</v>
      </c>
      <c r="M69" s="75">
        <f t="shared" si="3"/>
        <v>16471.26360804827</v>
      </c>
      <c r="N69" s="75">
        <f t="shared" si="8"/>
        <v>988.27581648289618</v>
      </c>
      <c r="O69" s="75">
        <f t="shared" si="9"/>
        <v>15482.987791565374</v>
      </c>
      <c r="P69" s="75">
        <f t="shared" si="6"/>
        <v>6.7317338224197281</v>
      </c>
    </row>
    <row r="70" spans="7:16" x14ac:dyDescent="0.25">
      <c r="G70" s="75">
        <f>'PPC Usine-Zamba'!G69</f>
        <v>2</v>
      </c>
      <c r="H70" s="75">
        <f>'PPC Usine-Zamba'!AC69</f>
        <v>296.29302808647333</v>
      </c>
      <c r="I70" s="75">
        <f>Tableau1[[#This Row],[USD]]*$J$4</f>
        <v>681473.96459888865</v>
      </c>
      <c r="J70" s="75">
        <f t="shared" ref="J70:J126" si="10">I70-VLOOKUP($I70,$C$6:$D$9,1)</f>
        <v>519473.96459888865</v>
      </c>
      <c r="K70" s="75">
        <f t="shared" ref="K70:K133" si="11">VLOOKUP($I70,$C$11:$D$14,2)</f>
        <v>0.15</v>
      </c>
      <c r="L70" s="75">
        <f t="shared" si="7"/>
        <v>77921.094689833291</v>
      </c>
      <c r="M70" s="75">
        <f t="shared" ref="M70:M126" si="12">L70+VLOOKUP($I70,$C$15:$E$19,3)</f>
        <v>82781.094689833291</v>
      </c>
      <c r="N70" s="75">
        <f t="shared" si="8"/>
        <v>3311.2437875933319</v>
      </c>
      <c r="O70" s="75">
        <f t="shared" si="9"/>
        <v>79469.850902239967</v>
      </c>
      <c r="P70" s="75">
        <f t="shared" ref="P70:P126" si="13">O70/$J$4</f>
        <v>34.552109087930418</v>
      </c>
    </row>
    <row r="71" spans="7:16" x14ac:dyDescent="0.25">
      <c r="G71" s="75">
        <f>'PPC Usine-Zamba'!G70</f>
        <v>1</v>
      </c>
      <c r="H71" s="75">
        <f>'PPC Usine-Zamba'!AC70</f>
        <v>169.18264885962989</v>
      </c>
      <c r="I71" s="75">
        <f>Tableau1[[#This Row],[USD]]*$J$4</f>
        <v>389120.09237714874</v>
      </c>
      <c r="J71" s="75">
        <f t="shared" si="10"/>
        <v>227120.09237714874</v>
      </c>
      <c r="K71" s="75">
        <f t="shared" si="11"/>
        <v>0.15</v>
      </c>
      <c r="L71" s="75">
        <f t="shared" ref="L71:L126" si="14">J71*K71</f>
        <v>34068.01385657231</v>
      </c>
      <c r="M71" s="75">
        <f t="shared" si="12"/>
        <v>38928.01385657231</v>
      </c>
      <c r="N71" s="75">
        <f t="shared" ref="N71:N126" si="15">M71*(G71*2%)</f>
        <v>778.56027713144624</v>
      </c>
      <c r="O71" s="75">
        <f t="shared" ref="O71:O126" si="16">M71-N71</f>
        <v>38149.453579440866</v>
      </c>
      <c r="P71" s="75">
        <f t="shared" si="13"/>
        <v>16.586718947582984</v>
      </c>
    </row>
    <row r="72" spans="7:16" x14ac:dyDescent="0.25">
      <c r="G72" s="75">
        <f>'PPC Usine-Zamba'!G71</f>
        <v>1</v>
      </c>
      <c r="H72" s="75">
        <f>'PPC Usine-Zamba'!AC71</f>
        <v>252.78186906882985</v>
      </c>
      <c r="I72" s="75">
        <f>Tableau1[[#This Row],[USD]]*$J$4</f>
        <v>581398.2988583087</v>
      </c>
      <c r="J72" s="75">
        <f t="shared" si="10"/>
        <v>419398.2988583087</v>
      </c>
      <c r="K72" s="75">
        <f t="shared" si="11"/>
        <v>0.15</v>
      </c>
      <c r="L72" s="75">
        <f t="shared" si="14"/>
        <v>62909.744828746305</v>
      </c>
      <c r="M72" s="75">
        <f t="shared" si="12"/>
        <v>67769.744828746305</v>
      </c>
      <c r="N72" s="75">
        <f t="shared" si="15"/>
        <v>1355.3948965749262</v>
      </c>
      <c r="O72" s="75">
        <f t="shared" si="16"/>
        <v>66414.349932171375</v>
      </c>
      <c r="P72" s="75">
        <f t="shared" si="13"/>
        <v>28.87580431833538</v>
      </c>
    </row>
    <row r="73" spans="7:16" x14ac:dyDescent="0.25">
      <c r="G73" s="75">
        <f>'PPC Usine-Zamba'!G72</f>
        <v>2</v>
      </c>
      <c r="H73" s="75">
        <f>'PPC Usine-Zamba'!AC72</f>
        <v>247.3735128003805</v>
      </c>
      <c r="I73" s="75">
        <f>Tableau1[[#This Row],[USD]]*$J$4</f>
        <v>568959.0794408751</v>
      </c>
      <c r="J73" s="75">
        <f t="shared" si="10"/>
        <v>406959.0794408751</v>
      </c>
      <c r="K73" s="75">
        <f t="shared" si="11"/>
        <v>0.15</v>
      </c>
      <c r="L73" s="75">
        <f t="shared" si="14"/>
        <v>61043.86191613126</v>
      </c>
      <c r="M73" s="75">
        <f t="shared" si="12"/>
        <v>65903.861916131253</v>
      </c>
      <c r="N73" s="75">
        <f t="shared" si="15"/>
        <v>2636.1544766452503</v>
      </c>
      <c r="O73" s="75">
        <f t="shared" si="16"/>
        <v>63267.707439486003</v>
      </c>
      <c r="P73" s="75">
        <f t="shared" si="13"/>
        <v>27.507698886733046</v>
      </c>
    </row>
    <row r="74" spans="7:16" x14ac:dyDescent="0.25">
      <c r="G74" s="75">
        <f>'PPC Usine-Zamba'!G73</f>
        <v>4</v>
      </c>
      <c r="H74" s="75">
        <f>'PPC Usine-Zamba'!AC73</f>
        <v>263.04990778139319</v>
      </c>
      <c r="I74" s="75">
        <f>Tableau1[[#This Row],[USD]]*$J$4</f>
        <v>605014.78789720428</v>
      </c>
      <c r="J74" s="75">
        <f t="shared" si="10"/>
        <v>443014.78789720428</v>
      </c>
      <c r="K74" s="75">
        <f t="shared" si="11"/>
        <v>0.15</v>
      </c>
      <c r="L74" s="75">
        <f t="shared" si="14"/>
        <v>66452.218184580634</v>
      </c>
      <c r="M74" s="75">
        <f t="shared" si="12"/>
        <v>71312.218184580634</v>
      </c>
      <c r="N74" s="75">
        <f t="shared" si="15"/>
        <v>5704.977454766451</v>
      </c>
      <c r="O74" s="75">
        <f t="shared" si="16"/>
        <v>65607.240729814177</v>
      </c>
      <c r="P74" s="75">
        <f t="shared" si="13"/>
        <v>28.524887273832253</v>
      </c>
    </row>
    <row r="75" spans="7:16" x14ac:dyDescent="0.25">
      <c r="G75" s="75">
        <f>'PPC Usine-Zamba'!G74</f>
        <v>3</v>
      </c>
      <c r="H75" s="75">
        <f>'PPC Usine-Zamba'!AC74</f>
        <v>234.83239681557035</v>
      </c>
      <c r="I75" s="75">
        <f>Tableau1[[#This Row],[USD]]*$J$4</f>
        <v>540114.51267581177</v>
      </c>
      <c r="J75" s="75">
        <f t="shared" si="10"/>
        <v>378114.51267581177</v>
      </c>
      <c r="K75" s="75">
        <f t="shared" si="11"/>
        <v>0.15</v>
      </c>
      <c r="L75" s="75">
        <f t="shared" si="14"/>
        <v>56717.176901371764</v>
      </c>
      <c r="M75" s="75">
        <f t="shared" si="12"/>
        <v>61577.176901371764</v>
      </c>
      <c r="N75" s="75">
        <f t="shared" si="15"/>
        <v>3694.6306140823058</v>
      </c>
      <c r="O75" s="75">
        <f t="shared" si="16"/>
        <v>57882.546287289457</v>
      </c>
      <c r="P75" s="75">
        <f t="shared" si="13"/>
        <v>25.166324472734548</v>
      </c>
    </row>
    <row r="76" spans="7:16" x14ac:dyDescent="0.25">
      <c r="G76" s="75">
        <f>'PPC Usine-Zamba'!G75</f>
        <v>4</v>
      </c>
      <c r="H76" s="75">
        <f>'PPC Usine-Zamba'!AC75</f>
        <v>235.00899639128167</v>
      </c>
      <c r="I76" s="75">
        <f>Tableau1[[#This Row],[USD]]*$J$4</f>
        <v>540520.69169994781</v>
      </c>
      <c r="J76" s="75">
        <f t="shared" si="10"/>
        <v>378520.69169994781</v>
      </c>
      <c r="K76" s="75">
        <f t="shared" si="11"/>
        <v>0.15</v>
      </c>
      <c r="L76" s="75">
        <f t="shared" si="14"/>
        <v>56778.103754992168</v>
      </c>
      <c r="M76" s="75">
        <f t="shared" si="12"/>
        <v>61638.103754992168</v>
      </c>
      <c r="N76" s="75">
        <f t="shared" si="15"/>
        <v>4931.0483003993731</v>
      </c>
      <c r="O76" s="75">
        <f t="shared" si="16"/>
        <v>56707.055454592795</v>
      </c>
      <c r="P76" s="75">
        <f t="shared" si="13"/>
        <v>24.655241501996869</v>
      </c>
    </row>
    <row r="77" spans="7:16" x14ac:dyDescent="0.25">
      <c r="G77" s="75">
        <f>'PPC Usine-Zamba'!G76</f>
        <v>0</v>
      </c>
      <c r="H77" s="75">
        <f>'PPC Usine-Zamba'!AC76</f>
        <v>223.09472534482884</v>
      </c>
      <c r="I77" s="75">
        <f>Tableau1[[#This Row],[USD]]*$J$4</f>
        <v>513117.86829310632</v>
      </c>
      <c r="J77" s="75">
        <f t="shared" si="10"/>
        <v>351117.86829310632</v>
      </c>
      <c r="K77" s="75">
        <f t="shared" si="11"/>
        <v>0.15</v>
      </c>
      <c r="L77" s="75">
        <f t="shared" si="14"/>
        <v>52667.680243965944</v>
      </c>
      <c r="M77" s="75">
        <f t="shared" si="12"/>
        <v>57527.680243965944</v>
      </c>
      <c r="N77" s="75">
        <f t="shared" si="15"/>
        <v>0</v>
      </c>
      <c r="O77" s="75">
        <f t="shared" si="16"/>
        <v>57527.680243965944</v>
      </c>
      <c r="P77" s="75">
        <f t="shared" si="13"/>
        <v>25.012034888680844</v>
      </c>
    </row>
    <row r="78" spans="7:16" x14ac:dyDescent="0.25">
      <c r="G78" s="75">
        <f>'PPC Usine-Zamba'!G77</f>
        <v>0</v>
      </c>
      <c r="H78" s="75">
        <f>'PPC Usine-Zamba'!AC77</f>
        <v>249.90183519934772</v>
      </c>
      <c r="I78" s="75">
        <f>Tableau1[[#This Row],[USD]]*$J$4</f>
        <v>574774.2209584997</v>
      </c>
      <c r="J78" s="75">
        <f t="shared" si="10"/>
        <v>412774.2209584997</v>
      </c>
      <c r="K78" s="75">
        <f t="shared" si="11"/>
        <v>0.15</v>
      </c>
      <c r="L78" s="75">
        <f t="shared" si="14"/>
        <v>61916.133143774954</v>
      </c>
      <c r="M78" s="75">
        <f t="shared" si="12"/>
        <v>66776.133143774961</v>
      </c>
      <c r="N78" s="75">
        <f t="shared" si="15"/>
        <v>0</v>
      </c>
      <c r="O78" s="75">
        <f t="shared" si="16"/>
        <v>66776.133143774961</v>
      </c>
      <c r="P78" s="75">
        <f t="shared" si="13"/>
        <v>29.033101366858681</v>
      </c>
    </row>
    <row r="79" spans="7:16" x14ac:dyDescent="0.25">
      <c r="G79" s="75">
        <f>'PPC Usine-Zamba'!G78</f>
        <v>0</v>
      </c>
      <c r="H79" s="75">
        <f>'PPC Usine-Zamba'!AC78</f>
        <v>169.48050563579122</v>
      </c>
      <c r="I79" s="75">
        <f>Tableau1[[#This Row],[USD]]*$J$4</f>
        <v>389805.1629623198</v>
      </c>
      <c r="J79" s="75">
        <f t="shared" si="10"/>
        <v>227805.1629623198</v>
      </c>
      <c r="K79" s="75">
        <f t="shared" si="11"/>
        <v>0.15</v>
      </c>
      <c r="L79" s="75">
        <f t="shared" si="14"/>
        <v>34170.774444347968</v>
      </c>
      <c r="M79" s="75">
        <f t="shared" si="12"/>
        <v>39030.774444347968</v>
      </c>
      <c r="N79" s="75">
        <f t="shared" si="15"/>
        <v>0</v>
      </c>
      <c r="O79" s="75">
        <f t="shared" si="16"/>
        <v>39030.774444347968</v>
      </c>
      <c r="P79" s="75">
        <f t="shared" si="13"/>
        <v>16.969901932325204</v>
      </c>
    </row>
    <row r="80" spans="7:16" x14ac:dyDescent="0.25">
      <c r="G80" s="75">
        <f>'PPC Usine-Zamba'!G79</f>
        <v>3</v>
      </c>
      <c r="H80" s="75">
        <f>'PPC Usine-Zamba'!AC79</f>
        <v>240.14702578006444</v>
      </c>
      <c r="I80" s="75">
        <f>Tableau1[[#This Row],[USD]]*$J$4</f>
        <v>552338.15929414821</v>
      </c>
      <c r="J80" s="75">
        <f t="shared" si="10"/>
        <v>390338.15929414821</v>
      </c>
      <c r="K80" s="75">
        <f t="shared" si="11"/>
        <v>0.15</v>
      </c>
      <c r="L80" s="75">
        <f t="shared" si="14"/>
        <v>58550.723894122231</v>
      </c>
      <c r="M80" s="75">
        <f t="shared" si="12"/>
        <v>63410.723894122231</v>
      </c>
      <c r="N80" s="75">
        <f t="shared" si="15"/>
        <v>3804.6434336473339</v>
      </c>
      <c r="O80" s="75">
        <f t="shared" si="16"/>
        <v>59606.080460474899</v>
      </c>
      <c r="P80" s="75">
        <f t="shared" si="13"/>
        <v>25.915687156728218</v>
      </c>
    </row>
    <row r="81" spans="7:16" x14ac:dyDescent="0.25">
      <c r="G81" s="75">
        <f>'PPC Usine-Zamba'!G80</f>
        <v>3</v>
      </c>
      <c r="H81" s="75">
        <f>'PPC Usine-Zamba'!AC80</f>
        <v>235.00899639128167</v>
      </c>
      <c r="I81" s="75">
        <f>Tableau1[[#This Row],[USD]]*$J$4</f>
        <v>540520.69169994781</v>
      </c>
      <c r="J81" s="75">
        <f t="shared" si="10"/>
        <v>378520.69169994781</v>
      </c>
      <c r="K81" s="75">
        <f t="shared" si="11"/>
        <v>0.15</v>
      </c>
      <c r="L81" s="75">
        <f t="shared" si="14"/>
        <v>56778.103754992168</v>
      </c>
      <c r="M81" s="75">
        <f t="shared" si="12"/>
        <v>61638.103754992168</v>
      </c>
      <c r="N81" s="75">
        <f t="shared" si="15"/>
        <v>3698.2862252995301</v>
      </c>
      <c r="O81" s="75">
        <f t="shared" si="16"/>
        <v>57939.817529692635</v>
      </c>
      <c r="P81" s="75">
        <f t="shared" si="13"/>
        <v>25.19122501290984</v>
      </c>
    </row>
    <row r="82" spans="7:16" x14ac:dyDescent="0.25">
      <c r="G82" s="75">
        <f>'PPC Usine-Zamba'!G81</f>
        <v>0</v>
      </c>
      <c r="H82" s="75">
        <f>'PPC Usine-Zamba'!AC81</f>
        <v>223.09472534482884</v>
      </c>
      <c r="I82" s="75">
        <f>Tableau1[[#This Row],[USD]]*$J$4</f>
        <v>513117.86829310632</v>
      </c>
      <c r="J82" s="75">
        <f t="shared" si="10"/>
        <v>351117.86829310632</v>
      </c>
      <c r="K82" s="75">
        <f t="shared" si="11"/>
        <v>0.15</v>
      </c>
      <c r="L82" s="75">
        <f t="shared" si="14"/>
        <v>52667.680243965944</v>
      </c>
      <c r="M82" s="75">
        <f t="shared" si="12"/>
        <v>57527.680243965944</v>
      </c>
      <c r="N82" s="75">
        <f t="shared" si="15"/>
        <v>0</v>
      </c>
      <c r="O82" s="75">
        <f t="shared" si="16"/>
        <v>57527.680243965944</v>
      </c>
      <c r="P82" s="75">
        <f t="shared" si="13"/>
        <v>25.012034888680844</v>
      </c>
    </row>
    <row r="83" spans="7:16" x14ac:dyDescent="0.25">
      <c r="G83" s="75">
        <f>'PPC Usine-Zamba'!G82</f>
        <v>1</v>
      </c>
      <c r="H83" s="75">
        <f>'PPC Usine-Zamba'!AC82</f>
        <v>0</v>
      </c>
      <c r="I83" s="75">
        <f>Tableau1[[#This Row],[USD]]*$J$4</f>
        <v>0</v>
      </c>
      <c r="J83" s="75">
        <f t="shared" si="10"/>
        <v>0</v>
      </c>
      <c r="K83" s="75">
        <f t="shared" si="11"/>
        <v>0</v>
      </c>
      <c r="L83" s="75">
        <f t="shared" si="14"/>
        <v>0</v>
      </c>
      <c r="M83" s="75">
        <f t="shared" si="12"/>
        <v>2300</v>
      </c>
      <c r="N83" s="75">
        <f t="shared" si="15"/>
        <v>46</v>
      </c>
      <c r="O83" s="75">
        <f t="shared" si="16"/>
        <v>2254</v>
      </c>
      <c r="P83" s="75">
        <f t="shared" si="13"/>
        <v>0.98</v>
      </c>
    </row>
    <row r="84" spans="7:16" x14ac:dyDescent="0.25">
      <c r="G84" s="75">
        <f>'PPC Usine-Zamba'!G83</f>
        <v>2</v>
      </c>
      <c r="H84" s="75">
        <f>'PPC Usine-Zamba'!AC83</f>
        <v>284.5020262047305</v>
      </c>
      <c r="I84" s="75">
        <f>Tableau1[[#This Row],[USD]]*$J$4</f>
        <v>654354.66027088009</v>
      </c>
      <c r="J84" s="75">
        <f t="shared" si="10"/>
        <v>492354.66027088009</v>
      </c>
      <c r="K84" s="75">
        <f t="shared" si="11"/>
        <v>0.15</v>
      </c>
      <c r="L84" s="75">
        <f t="shared" si="14"/>
        <v>73853.199040632011</v>
      </c>
      <c r="M84" s="75">
        <f t="shared" si="12"/>
        <v>78713.199040632011</v>
      </c>
      <c r="N84" s="75">
        <f t="shared" si="15"/>
        <v>3148.5279616252806</v>
      </c>
      <c r="O84" s="75">
        <f t="shared" si="16"/>
        <v>75564.67107900673</v>
      </c>
      <c r="P84" s="75">
        <f t="shared" si="13"/>
        <v>32.854204816959445</v>
      </c>
    </row>
    <row r="85" spans="7:16" x14ac:dyDescent="0.25">
      <c r="G85" s="75">
        <f>'PPC Usine-Zamba'!G84</f>
        <v>1</v>
      </c>
      <c r="H85" s="75">
        <f>'PPC Usine-Zamba'!AC84</f>
        <v>273.39661338207861</v>
      </c>
      <c r="I85" s="75">
        <f>Tableau1[[#This Row],[USD]]*$J$4</f>
        <v>628812.21077878086</v>
      </c>
      <c r="J85" s="75">
        <f t="shared" si="10"/>
        <v>466812.21077878086</v>
      </c>
      <c r="K85" s="75">
        <f t="shared" si="11"/>
        <v>0.15</v>
      </c>
      <c r="L85" s="75">
        <f t="shared" si="14"/>
        <v>70021.83161681713</v>
      </c>
      <c r="M85" s="75">
        <f t="shared" si="12"/>
        <v>74881.83161681713</v>
      </c>
      <c r="N85" s="75">
        <f t="shared" si="15"/>
        <v>1497.6366323363427</v>
      </c>
      <c r="O85" s="75">
        <f t="shared" si="16"/>
        <v>73384.194984480782</v>
      </c>
      <c r="P85" s="75">
        <f t="shared" si="13"/>
        <v>31.906171732382948</v>
      </c>
    </row>
    <row r="86" spans="7:16" x14ac:dyDescent="0.25">
      <c r="G86" s="75">
        <f>'PPC Usine-Zamba'!G85</f>
        <v>3</v>
      </c>
      <c r="H86" s="75">
        <f>'PPC Usine-Zamba'!AC85</f>
        <v>267.54719746785742</v>
      </c>
      <c r="I86" s="75">
        <f>Tableau1[[#This Row],[USD]]*$J$4</f>
        <v>615358.55417607201</v>
      </c>
      <c r="J86" s="75">
        <f t="shared" si="10"/>
        <v>453358.55417607201</v>
      </c>
      <c r="K86" s="75">
        <f t="shared" si="11"/>
        <v>0.15</v>
      </c>
      <c r="L86" s="75">
        <f t="shared" si="14"/>
        <v>68003.783126410795</v>
      </c>
      <c r="M86" s="75">
        <f t="shared" si="12"/>
        <v>72863.783126410795</v>
      </c>
      <c r="N86" s="75">
        <f t="shared" si="15"/>
        <v>4371.8269875846472</v>
      </c>
      <c r="O86" s="75">
        <f t="shared" si="16"/>
        <v>68491.95613882615</v>
      </c>
      <c r="P86" s="75">
        <f t="shared" si="13"/>
        <v>29.77911136470702</v>
      </c>
    </row>
    <row r="87" spans="7:16" x14ac:dyDescent="0.25">
      <c r="G87" s="75">
        <f>'PPC Usine-Zamba'!G86</f>
        <v>3</v>
      </c>
      <c r="H87" s="75">
        <f>'PPC Usine-Zamba'!AC86</f>
        <v>284.5020262047305</v>
      </c>
      <c r="I87" s="75">
        <f>Tableau1[[#This Row],[USD]]*$J$4</f>
        <v>654354.66027088009</v>
      </c>
      <c r="J87" s="75">
        <f t="shared" si="10"/>
        <v>492354.66027088009</v>
      </c>
      <c r="K87" s="75">
        <f t="shared" si="11"/>
        <v>0.15</v>
      </c>
      <c r="L87" s="75">
        <f t="shared" si="14"/>
        <v>73853.199040632011</v>
      </c>
      <c r="M87" s="75">
        <f t="shared" si="12"/>
        <v>78713.199040632011</v>
      </c>
      <c r="N87" s="75">
        <f t="shared" si="15"/>
        <v>4722.7919424379206</v>
      </c>
      <c r="O87" s="75">
        <f t="shared" si="16"/>
        <v>73990.407098194089</v>
      </c>
      <c r="P87" s="75">
        <f t="shared" si="13"/>
        <v>32.169742216606124</v>
      </c>
    </row>
    <row r="88" spans="7:16" x14ac:dyDescent="0.25">
      <c r="G88" s="75">
        <f>'PPC Usine-Zamba'!G87</f>
        <v>0</v>
      </c>
      <c r="H88" s="75">
        <f>'PPC Usine-Zamba'!AC87</f>
        <v>170.75827471368066</v>
      </c>
      <c r="I88" s="75">
        <f>Tableau1[[#This Row],[USD]]*$J$4</f>
        <v>392744.0318414655</v>
      </c>
      <c r="J88" s="75">
        <f t="shared" si="10"/>
        <v>230744.0318414655</v>
      </c>
      <c r="K88" s="75">
        <f t="shared" si="11"/>
        <v>0.15</v>
      </c>
      <c r="L88" s="75">
        <f t="shared" si="14"/>
        <v>34611.604776219821</v>
      </c>
      <c r="M88" s="75">
        <f t="shared" si="12"/>
        <v>39471.604776219821</v>
      </c>
      <c r="N88" s="75">
        <f t="shared" si="15"/>
        <v>0</v>
      </c>
      <c r="O88" s="75">
        <f t="shared" si="16"/>
        <v>39471.604776219821</v>
      </c>
      <c r="P88" s="75">
        <f t="shared" si="13"/>
        <v>17.161567294008616</v>
      </c>
    </row>
    <row r="89" spans="7:16" x14ac:dyDescent="0.25">
      <c r="G89" s="75">
        <f>'PPC Usine-Zamba'!G88</f>
        <v>0</v>
      </c>
      <c r="H89" s="75">
        <f>'PPC Usine-Zamba'!AC88</f>
        <v>136.60661977094455</v>
      </c>
      <c r="I89" s="75">
        <f>Tableau1[[#This Row],[USD]]*$J$4</f>
        <v>314195.22547317244</v>
      </c>
      <c r="J89" s="75">
        <f t="shared" si="10"/>
        <v>152195.22547317244</v>
      </c>
      <c r="K89" s="75">
        <f t="shared" si="11"/>
        <v>0.15</v>
      </c>
      <c r="L89" s="75">
        <f t="shared" si="14"/>
        <v>22829.283820975867</v>
      </c>
      <c r="M89" s="75">
        <f t="shared" si="12"/>
        <v>27689.283820975867</v>
      </c>
      <c r="N89" s="75">
        <f t="shared" si="15"/>
        <v>0</v>
      </c>
      <c r="O89" s="75">
        <f t="shared" si="16"/>
        <v>27689.283820975867</v>
      </c>
      <c r="P89" s="75">
        <f t="shared" si="13"/>
        <v>12.038819052598203</v>
      </c>
    </row>
    <row r="90" spans="7:16" x14ac:dyDescent="0.25">
      <c r="G90" s="75">
        <f>'PPC Usine-Zamba'!G89</f>
        <v>0</v>
      </c>
      <c r="H90" s="75">
        <f>'PPC Usine-Zamba'!AC89</f>
        <v>85.333271439033112</v>
      </c>
      <c r="I90" s="75">
        <f>Tableau1[[#This Row],[USD]]*$J$4</f>
        <v>196266.52430977617</v>
      </c>
      <c r="J90" s="75">
        <f t="shared" si="10"/>
        <v>34266.52430977617</v>
      </c>
      <c r="K90" s="75">
        <f t="shared" si="11"/>
        <v>0.15</v>
      </c>
      <c r="L90" s="75">
        <f t="shared" si="14"/>
        <v>5139.9786464664257</v>
      </c>
      <c r="M90" s="75">
        <f t="shared" si="12"/>
        <v>9999.9786464664248</v>
      </c>
      <c r="N90" s="75">
        <f t="shared" si="15"/>
        <v>0</v>
      </c>
      <c r="O90" s="75">
        <f t="shared" si="16"/>
        <v>9999.9786464664248</v>
      </c>
      <c r="P90" s="75">
        <f t="shared" si="13"/>
        <v>4.3478168028114892</v>
      </c>
    </row>
    <row r="91" spans="7:16" x14ac:dyDescent="0.25">
      <c r="G91" s="75">
        <f>'PPC Usine-Zamba'!G90</f>
        <v>0</v>
      </c>
      <c r="H91" s="75">
        <f>'PPC Usine-Zamba'!AC90</f>
        <v>153.02130038427563</v>
      </c>
      <c r="I91" s="75">
        <f>Tableau1[[#This Row],[USD]]*$J$4</f>
        <v>351948.99088383396</v>
      </c>
      <c r="J91" s="75">
        <f t="shared" si="10"/>
        <v>189948.99088383396</v>
      </c>
      <c r="K91" s="75">
        <f t="shared" si="11"/>
        <v>0.15</v>
      </c>
      <c r="L91" s="75">
        <f t="shared" si="14"/>
        <v>28492.348632575093</v>
      </c>
      <c r="M91" s="75">
        <f t="shared" si="12"/>
        <v>33352.348632575093</v>
      </c>
      <c r="N91" s="75">
        <f t="shared" si="15"/>
        <v>0</v>
      </c>
      <c r="O91" s="75">
        <f t="shared" si="16"/>
        <v>33352.348632575093</v>
      </c>
      <c r="P91" s="75">
        <f t="shared" si="13"/>
        <v>14.501021144597866</v>
      </c>
    </row>
    <row r="92" spans="7:16" x14ac:dyDescent="0.25">
      <c r="G92" s="75">
        <f>'PPC Usine-Zamba'!G91</f>
        <v>0</v>
      </c>
      <c r="H92" s="75">
        <f>'PPC Usine-Zamba'!AC91</f>
        <v>143.90203337686947</v>
      </c>
      <c r="I92" s="75">
        <f>Tableau1[[#This Row],[USD]]*$J$4</f>
        <v>330974.67676679976</v>
      </c>
      <c r="J92" s="75">
        <f t="shared" si="10"/>
        <v>168974.67676679976</v>
      </c>
      <c r="K92" s="75">
        <f t="shared" si="11"/>
        <v>0.15</v>
      </c>
      <c r="L92" s="75">
        <f t="shared" si="14"/>
        <v>25346.201515019962</v>
      </c>
      <c r="M92" s="75">
        <f t="shared" si="12"/>
        <v>30206.201515019962</v>
      </c>
      <c r="N92" s="75">
        <f t="shared" si="15"/>
        <v>0</v>
      </c>
      <c r="O92" s="75">
        <f t="shared" si="16"/>
        <v>30206.201515019962</v>
      </c>
      <c r="P92" s="75">
        <f t="shared" si="13"/>
        <v>13.13313109348694</v>
      </c>
    </row>
    <row r="93" spans="7:16" x14ac:dyDescent="0.25">
      <c r="G93" s="75">
        <f>'PPC Usine-Zamba'!G92</f>
        <v>0</v>
      </c>
      <c r="H93" s="75">
        <f>'PPC Usine-Zamba'!AC92</f>
        <v>76.924321053247525</v>
      </c>
      <c r="I93" s="75">
        <f>Tableau1[[#This Row],[USD]]*$J$4</f>
        <v>176925.93842246931</v>
      </c>
      <c r="J93" s="75">
        <f t="shared" si="10"/>
        <v>14925.938422469306</v>
      </c>
      <c r="K93" s="75">
        <f t="shared" si="11"/>
        <v>0.15</v>
      </c>
      <c r="L93" s="75">
        <f t="shared" si="14"/>
        <v>2238.8907633703957</v>
      </c>
      <c r="M93" s="75">
        <f t="shared" si="12"/>
        <v>7098.8907633703957</v>
      </c>
      <c r="N93" s="75">
        <f t="shared" si="15"/>
        <v>0</v>
      </c>
      <c r="O93" s="75">
        <f t="shared" si="16"/>
        <v>7098.8907633703957</v>
      </c>
      <c r="P93" s="75">
        <f t="shared" si="13"/>
        <v>3.0864742449436502</v>
      </c>
    </row>
    <row r="94" spans="7:16" x14ac:dyDescent="0.25">
      <c r="G94" s="75">
        <f>'PPC Usine-Zamba'!G93</f>
        <v>0</v>
      </c>
      <c r="H94" s="75">
        <f>'PPC Usine-Zamba'!AC93</f>
        <v>154.02462003706856</v>
      </c>
      <c r="I94" s="75">
        <f>Tableau1[[#This Row],[USD]]*$J$4</f>
        <v>354256.62608525768</v>
      </c>
      <c r="J94" s="75">
        <f t="shared" si="10"/>
        <v>192256.62608525768</v>
      </c>
      <c r="K94" s="75">
        <f t="shared" si="11"/>
        <v>0.15</v>
      </c>
      <c r="L94" s="75">
        <f t="shared" si="14"/>
        <v>28838.49391278865</v>
      </c>
      <c r="M94" s="75">
        <f t="shared" si="12"/>
        <v>33698.493912788646</v>
      </c>
      <c r="N94" s="75">
        <f t="shared" si="15"/>
        <v>0</v>
      </c>
      <c r="O94" s="75">
        <f t="shared" si="16"/>
        <v>33698.493912788646</v>
      </c>
      <c r="P94" s="75">
        <f t="shared" si="13"/>
        <v>14.651519092516804</v>
      </c>
    </row>
    <row r="95" spans="7:16" x14ac:dyDescent="0.25">
      <c r="G95" s="75">
        <f>'PPC Usine-Zamba'!G94</f>
        <v>3</v>
      </c>
      <c r="H95" s="75">
        <f>'PPC Usine-Zamba'!AC94</f>
        <v>135.27043810444141</v>
      </c>
      <c r="I95" s="75">
        <f>Tableau1[[#This Row],[USD]]*$J$4</f>
        <v>311122.00764021522</v>
      </c>
      <c r="J95" s="75">
        <f t="shared" si="10"/>
        <v>149122.00764021522</v>
      </c>
      <c r="K95" s="75">
        <f t="shared" si="11"/>
        <v>0.15</v>
      </c>
      <c r="L95" s="75">
        <f t="shared" si="14"/>
        <v>22368.301146032281</v>
      </c>
      <c r="M95" s="75">
        <f t="shared" si="12"/>
        <v>27228.301146032281</v>
      </c>
      <c r="N95" s="75">
        <f t="shared" si="15"/>
        <v>1633.6980687619368</v>
      </c>
      <c r="O95" s="75">
        <f t="shared" si="16"/>
        <v>25594.603077270345</v>
      </c>
      <c r="P95" s="75">
        <f t="shared" si="13"/>
        <v>11.128088294465368</v>
      </c>
    </row>
    <row r="96" spans="7:16" x14ac:dyDescent="0.25">
      <c r="G96" s="75">
        <f>'PPC Usine-Zamba'!G95</f>
        <v>5</v>
      </c>
      <c r="H96" s="75">
        <f>'PPC Usine-Zamba'!AC95</f>
        <v>155.14042948843772</v>
      </c>
      <c r="I96" s="75">
        <f>Tableau1[[#This Row],[USD]]*$J$4</f>
        <v>356822.98782340676</v>
      </c>
      <c r="J96" s="75">
        <f t="shared" si="10"/>
        <v>194822.98782340676</v>
      </c>
      <c r="K96" s="75">
        <f t="shared" si="11"/>
        <v>0.15</v>
      </c>
      <c r="L96" s="75">
        <f t="shared" si="14"/>
        <v>29223.448173511013</v>
      </c>
      <c r="M96" s="75">
        <f t="shared" si="12"/>
        <v>34083.448173511017</v>
      </c>
      <c r="N96" s="75">
        <f t="shared" si="15"/>
        <v>3408.3448173511019</v>
      </c>
      <c r="O96" s="75">
        <f t="shared" si="16"/>
        <v>30675.103356159914</v>
      </c>
      <c r="P96" s="75">
        <f t="shared" si="13"/>
        <v>13.337001459199962</v>
      </c>
    </row>
    <row r="97" spans="7:16" x14ac:dyDescent="0.25">
      <c r="G97" s="75">
        <f>'PPC Usine-Zamba'!G96</f>
        <v>4</v>
      </c>
      <c r="H97" s="75">
        <f>'PPC Usine-Zamba'!AC96</f>
        <v>139.90533890243623</v>
      </c>
      <c r="I97" s="75">
        <f>Tableau1[[#This Row],[USD]]*$J$4</f>
        <v>321782.27947560331</v>
      </c>
      <c r="J97" s="75">
        <f t="shared" si="10"/>
        <v>159782.27947560331</v>
      </c>
      <c r="K97" s="75">
        <f t="shared" si="11"/>
        <v>0.15</v>
      </c>
      <c r="L97" s="75">
        <f t="shared" si="14"/>
        <v>23967.341921340496</v>
      </c>
      <c r="M97" s="75">
        <f t="shared" si="12"/>
        <v>28827.341921340496</v>
      </c>
      <c r="N97" s="75">
        <f t="shared" si="15"/>
        <v>2306.1873537072397</v>
      </c>
      <c r="O97" s="75">
        <f t="shared" si="16"/>
        <v>26521.154567633257</v>
      </c>
      <c r="P97" s="75">
        <f t="shared" si="13"/>
        <v>11.530936768536199</v>
      </c>
    </row>
    <row r="98" spans="7:16" x14ac:dyDescent="0.25">
      <c r="G98" s="75">
        <f>'PPC Usine-Zamba'!G97</f>
        <v>0</v>
      </c>
      <c r="H98" s="75">
        <f>'PPC Usine-Zamba'!AC97</f>
        <v>142.37553900511108</v>
      </c>
      <c r="I98" s="75">
        <f>Tableau1[[#This Row],[USD]]*$J$4</f>
        <v>327463.73971175548</v>
      </c>
      <c r="J98" s="75">
        <f t="shared" si="10"/>
        <v>165463.73971175548</v>
      </c>
      <c r="K98" s="75">
        <f t="shared" si="11"/>
        <v>0.15</v>
      </c>
      <c r="L98" s="75">
        <f t="shared" si="14"/>
        <v>24819.560956763322</v>
      </c>
      <c r="M98" s="75">
        <f t="shared" si="12"/>
        <v>29679.560956763322</v>
      </c>
      <c r="N98" s="75">
        <f t="shared" si="15"/>
        <v>0</v>
      </c>
      <c r="O98" s="75">
        <f t="shared" si="16"/>
        <v>29679.560956763322</v>
      </c>
      <c r="P98" s="75">
        <f t="shared" si="13"/>
        <v>12.904156937723183</v>
      </c>
    </row>
    <row r="99" spans="7:16" x14ac:dyDescent="0.25">
      <c r="G99" s="75">
        <f>'PPC Usine-Zamba'!G98</f>
        <v>0</v>
      </c>
      <c r="H99" s="75">
        <f>'PPC Usine-Zamba'!AC98</f>
        <v>142.37553900511108</v>
      </c>
      <c r="I99" s="75">
        <f>Tableau1[[#This Row],[USD]]*$J$4</f>
        <v>327463.73971175548</v>
      </c>
      <c r="J99" s="75">
        <f t="shared" si="10"/>
        <v>165463.73971175548</v>
      </c>
      <c r="K99" s="75">
        <f t="shared" si="11"/>
        <v>0.15</v>
      </c>
      <c r="L99" s="75">
        <f t="shared" si="14"/>
        <v>24819.560956763322</v>
      </c>
      <c r="M99" s="75">
        <f t="shared" si="12"/>
        <v>29679.560956763322</v>
      </c>
      <c r="N99" s="75">
        <f t="shared" si="15"/>
        <v>0</v>
      </c>
      <c r="O99" s="75">
        <f t="shared" si="16"/>
        <v>29679.560956763322</v>
      </c>
      <c r="P99" s="75">
        <f t="shared" si="13"/>
        <v>12.904156937723183</v>
      </c>
    </row>
    <row r="100" spans="7:16" x14ac:dyDescent="0.25">
      <c r="G100" s="75">
        <f>'PPC Usine-Zamba'!G99</f>
        <v>1</v>
      </c>
      <c r="H100" s="75">
        <f>'PPC Usine-Zamba'!AC99</f>
        <v>164.34247624700845</v>
      </c>
      <c r="I100" s="75">
        <f>Tableau1[[#This Row],[USD]]*$J$4</f>
        <v>377987.69536811946</v>
      </c>
      <c r="J100" s="75">
        <f t="shared" si="10"/>
        <v>215987.69536811946</v>
      </c>
      <c r="K100" s="75">
        <f t="shared" si="11"/>
        <v>0.15</v>
      </c>
      <c r="L100" s="75">
        <f t="shared" si="14"/>
        <v>32398.154305217919</v>
      </c>
      <c r="M100" s="75">
        <f t="shared" si="12"/>
        <v>37258.154305217919</v>
      </c>
      <c r="N100" s="75">
        <f t="shared" si="15"/>
        <v>745.1630861043584</v>
      </c>
      <c r="O100" s="75">
        <f t="shared" si="16"/>
        <v>36512.991219113559</v>
      </c>
      <c r="P100" s="75">
        <f t="shared" si="13"/>
        <v>15.875213573527635</v>
      </c>
    </row>
    <row r="101" spans="7:16" x14ac:dyDescent="0.25">
      <c r="G101" s="75">
        <f>'PPC Usine-Zamba'!G100</f>
        <v>5</v>
      </c>
      <c r="H101" s="75">
        <f>'PPC Usine-Zamba'!AC100</f>
        <v>167.34800425798562</v>
      </c>
      <c r="I101" s="75">
        <f>Tableau1[[#This Row],[USD]]*$J$4</f>
        <v>384900.40979336691</v>
      </c>
      <c r="J101" s="75">
        <f t="shared" si="10"/>
        <v>222900.40979336691</v>
      </c>
      <c r="K101" s="75">
        <f t="shared" si="11"/>
        <v>0.15</v>
      </c>
      <c r="L101" s="75">
        <f t="shared" si="14"/>
        <v>33435.061469005035</v>
      </c>
      <c r="M101" s="75">
        <f t="shared" si="12"/>
        <v>38295.061469005035</v>
      </c>
      <c r="N101" s="75">
        <f t="shared" si="15"/>
        <v>3829.5061469005036</v>
      </c>
      <c r="O101" s="75">
        <f t="shared" si="16"/>
        <v>34465.555322104534</v>
      </c>
      <c r="P101" s="75">
        <f t="shared" si="13"/>
        <v>14.985024053088928</v>
      </c>
    </row>
    <row r="102" spans="7:16" x14ac:dyDescent="0.25">
      <c r="G102" s="75">
        <f>'PPC Usine-Zamba'!G101</f>
        <v>1</v>
      </c>
      <c r="H102" s="75">
        <f>'PPC Usine-Zamba'!AC101</f>
        <v>167.34800425798562</v>
      </c>
      <c r="I102" s="75">
        <f>Tableau1[[#This Row],[USD]]*$J$4</f>
        <v>384900.40979336691</v>
      </c>
      <c r="J102" s="75">
        <f t="shared" si="10"/>
        <v>222900.40979336691</v>
      </c>
      <c r="K102" s="75">
        <f t="shared" si="11"/>
        <v>0.15</v>
      </c>
      <c r="L102" s="75">
        <f t="shared" si="14"/>
        <v>33435.061469005035</v>
      </c>
      <c r="M102" s="75">
        <f t="shared" si="12"/>
        <v>38295.061469005035</v>
      </c>
      <c r="N102" s="75">
        <f t="shared" si="15"/>
        <v>765.90122938010074</v>
      </c>
      <c r="O102" s="75">
        <f t="shared" si="16"/>
        <v>37529.160239624936</v>
      </c>
      <c r="P102" s="75">
        <f t="shared" si="13"/>
        <v>16.317026191141277</v>
      </c>
    </row>
    <row r="103" spans="7:16" x14ac:dyDescent="0.25">
      <c r="G103" s="75">
        <f>'PPC Usine-Zamba'!G102</f>
        <v>0</v>
      </c>
      <c r="H103" s="75">
        <f>'PPC Usine-Zamba'!AC102</f>
        <v>85.333271439033112</v>
      </c>
      <c r="I103" s="75">
        <f>Tableau1[[#This Row],[USD]]*$J$4</f>
        <v>196266.52430977617</v>
      </c>
      <c r="J103" s="75">
        <f t="shared" si="10"/>
        <v>34266.52430977617</v>
      </c>
      <c r="K103" s="75">
        <f t="shared" si="11"/>
        <v>0.15</v>
      </c>
      <c r="L103" s="75">
        <f t="shared" si="14"/>
        <v>5139.9786464664257</v>
      </c>
      <c r="M103" s="75">
        <f t="shared" si="12"/>
        <v>9999.9786464664248</v>
      </c>
      <c r="N103" s="75">
        <f t="shared" si="15"/>
        <v>0</v>
      </c>
      <c r="O103" s="75">
        <f t="shared" si="16"/>
        <v>9999.9786464664248</v>
      </c>
      <c r="P103" s="75">
        <f t="shared" si="13"/>
        <v>4.3478168028114892</v>
      </c>
    </row>
    <row r="104" spans="7:16" x14ac:dyDescent="0.25">
      <c r="G104" s="75">
        <f>'PPC Usine-Zamba'!G105</f>
        <v>0</v>
      </c>
      <c r="H104" s="75">
        <f>'PPC Usine-Zamba'!AC105</f>
        <v>90.740956574586534</v>
      </c>
      <c r="I104" s="75">
        <f>Tableau1[[#This Row],[USD]]*$J$4</f>
        <v>208704.20012154902</v>
      </c>
      <c r="J104" s="75">
        <f t="shared" si="10"/>
        <v>46704.200121549016</v>
      </c>
      <c r="K104" s="75">
        <f t="shared" si="11"/>
        <v>0.15</v>
      </c>
      <c r="L104" s="75">
        <f t="shared" si="14"/>
        <v>7005.6300182323521</v>
      </c>
      <c r="M104" s="75">
        <f t="shared" si="12"/>
        <v>11865.630018232352</v>
      </c>
      <c r="N104" s="75">
        <f t="shared" si="15"/>
        <v>0</v>
      </c>
      <c r="O104" s="75">
        <f t="shared" si="16"/>
        <v>11865.630018232352</v>
      </c>
      <c r="P104" s="75">
        <f t="shared" si="13"/>
        <v>5.1589695731445007</v>
      </c>
    </row>
    <row r="105" spans="7:16" x14ac:dyDescent="0.25">
      <c r="G105" s="75">
        <f>'PPC Usine-Zamba'!G106</f>
        <v>0</v>
      </c>
      <c r="H105" s="75">
        <f>'PPC Usine-Zamba'!AC106</f>
        <v>50.697048145813397</v>
      </c>
      <c r="I105" s="75">
        <f>Tableau1[[#This Row],[USD]]*$J$4</f>
        <v>116603.21073537081</v>
      </c>
      <c r="J105" s="75">
        <f t="shared" si="10"/>
        <v>116603.21073537081</v>
      </c>
      <c r="K105" s="75">
        <f t="shared" si="11"/>
        <v>0</v>
      </c>
      <c r="L105" s="75">
        <f t="shared" si="14"/>
        <v>0</v>
      </c>
      <c r="M105" s="75">
        <f t="shared" si="12"/>
        <v>2300</v>
      </c>
      <c r="N105" s="75">
        <f t="shared" si="15"/>
        <v>0</v>
      </c>
      <c r="O105" s="75">
        <f t="shared" si="16"/>
        <v>2300</v>
      </c>
      <c r="P105" s="75">
        <f t="shared" si="13"/>
        <v>1</v>
      </c>
    </row>
    <row r="106" spans="7:16" x14ac:dyDescent="0.25">
      <c r="G106" s="75">
        <f>'PPC Usine-Zamba'!G107</f>
        <v>3</v>
      </c>
      <c r="H106" s="75">
        <f>'PPC Usine-Zamba'!AC107</f>
        <v>87.198922810799047</v>
      </c>
      <c r="I106" s="75">
        <f>Tableau1[[#This Row],[USD]]*$J$4</f>
        <v>200557.52246483782</v>
      </c>
      <c r="J106" s="75">
        <f t="shared" si="10"/>
        <v>38557.522464837821</v>
      </c>
      <c r="K106" s="75">
        <f t="shared" si="11"/>
        <v>0.15</v>
      </c>
      <c r="L106" s="75">
        <f t="shared" si="14"/>
        <v>5783.6283697256731</v>
      </c>
      <c r="M106" s="75">
        <f t="shared" si="12"/>
        <v>10643.628369725673</v>
      </c>
      <c r="N106" s="75">
        <f t="shared" si="15"/>
        <v>638.61770218354036</v>
      </c>
      <c r="O106" s="75">
        <f t="shared" si="16"/>
        <v>10005.010667542132</v>
      </c>
      <c r="P106" s="75">
        <f t="shared" si="13"/>
        <v>4.3500046380617965</v>
      </c>
    </row>
    <row r="107" spans="7:16" x14ac:dyDescent="0.25">
      <c r="G107" s="75">
        <f>'PPC Usine-Zamba'!G109</f>
        <v>0</v>
      </c>
      <c r="H107" s="75">
        <f>'PPC Usine-Zamba'!AC109</f>
        <v>159.12998266418535</v>
      </c>
      <c r="I107" s="75">
        <f>Tableau1[[#This Row],[USD]]*$J$4</f>
        <v>365998.96012762631</v>
      </c>
      <c r="J107" s="75">
        <f t="shared" si="10"/>
        <v>203998.96012762631</v>
      </c>
      <c r="K107" s="75">
        <f t="shared" si="11"/>
        <v>0.15</v>
      </c>
      <c r="L107" s="75">
        <f t="shared" si="14"/>
        <v>30599.844019143944</v>
      </c>
      <c r="M107" s="75">
        <f t="shared" si="12"/>
        <v>35459.844019143944</v>
      </c>
      <c r="N107" s="75">
        <f t="shared" si="15"/>
        <v>0</v>
      </c>
      <c r="O107" s="75">
        <f t="shared" si="16"/>
        <v>35459.844019143944</v>
      </c>
      <c r="P107" s="75">
        <f t="shared" si="13"/>
        <v>15.417323486584323</v>
      </c>
    </row>
    <row r="108" spans="7:16" x14ac:dyDescent="0.25">
      <c r="G108" s="75">
        <f>'PPC Usine-Zamba'!G110</f>
        <v>0</v>
      </c>
      <c r="H108" s="75">
        <f>'PPC Usine-Zamba'!AC110</f>
        <v>130.82107767048927</v>
      </c>
      <c r="I108" s="75">
        <f>Tableau1[[#This Row],[USD]]*$J$4</f>
        <v>300888.47864212532</v>
      </c>
      <c r="J108" s="75">
        <f t="shared" si="10"/>
        <v>138888.47864212532</v>
      </c>
      <c r="K108" s="75">
        <f t="shared" si="11"/>
        <v>0.15</v>
      </c>
      <c r="L108" s="75">
        <f t="shared" si="14"/>
        <v>20833.271796318797</v>
      </c>
      <c r="M108" s="75">
        <f t="shared" si="12"/>
        <v>25693.271796318797</v>
      </c>
      <c r="N108" s="75">
        <f t="shared" si="15"/>
        <v>0</v>
      </c>
      <c r="O108" s="75">
        <f t="shared" si="16"/>
        <v>25693.271796318797</v>
      </c>
      <c r="P108" s="75">
        <f t="shared" si="13"/>
        <v>11.170987737529911</v>
      </c>
    </row>
    <row r="109" spans="7:16" x14ac:dyDescent="0.25">
      <c r="G109" s="75">
        <f>'PPC Usine-Zamba'!G111</f>
        <v>4</v>
      </c>
      <c r="H109" s="75">
        <f>'PPC Usine-Zamba'!AC111</f>
        <v>178.95821731769556</v>
      </c>
      <c r="I109" s="75">
        <f>Tableau1[[#This Row],[USD]]*$J$4</f>
        <v>411603.89983069978</v>
      </c>
      <c r="J109" s="75">
        <f t="shared" si="10"/>
        <v>249603.89983069978</v>
      </c>
      <c r="K109" s="75">
        <f t="shared" si="11"/>
        <v>0.15</v>
      </c>
      <c r="L109" s="75">
        <f t="shared" si="14"/>
        <v>37440.584974604964</v>
      </c>
      <c r="M109" s="75">
        <f t="shared" si="12"/>
        <v>42300.584974604964</v>
      </c>
      <c r="N109" s="75">
        <f t="shared" si="15"/>
        <v>3384.0467979683972</v>
      </c>
      <c r="O109" s="75">
        <f t="shared" si="16"/>
        <v>38916.538176636568</v>
      </c>
      <c r="P109" s="75">
        <f t="shared" si="13"/>
        <v>16.920233989841986</v>
      </c>
    </row>
    <row r="110" spans="7:16" x14ac:dyDescent="0.25">
      <c r="G110" s="75">
        <f>'PPC Usine-Zamba'!G112</f>
        <v>3</v>
      </c>
      <c r="H110" s="75">
        <f>'PPC Usine-Zamba'!AC112</f>
        <v>136.60661977094455</v>
      </c>
      <c r="I110" s="75">
        <f>Tableau1[[#This Row],[USD]]*$J$4</f>
        <v>314195.22547317244</v>
      </c>
      <c r="J110" s="75">
        <f t="shared" si="10"/>
        <v>152195.22547317244</v>
      </c>
      <c r="K110" s="75">
        <f t="shared" si="11"/>
        <v>0.15</v>
      </c>
      <c r="L110" s="75">
        <f t="shared" si="14"/>
        <v>22829.283820975867</v>
      </c>
      <c r="M110" s="75">
        <f t="shared" si="12"/>
        <v>27689.283820975867</v>
      </c>
      <c r="N110" s="75">
        <f t="shared" si="15"/>
        <v>1661.3570292585518</v>
      </c>
      <c r="O110" s="75">
        <f t="shared" si="16"/>
        <v>26027.926791717313</v>
      </c>
      <c r="P110" s="75">
        <f t="shared" si="13"/>
        <v>11.316489909442311</v>
      </c>
    </row>
    <row r="111" spans="7:16" x14ac:dyDescent="0.25">
      <c r="G111" s="75">
        <f>'PPC Usine-Zamba'!G113</f>
        <v>3</v>
      </c>
      <c r="H111" s="75">
        <f>'PPC Usine-Zamba'!AC113</f>
        <v>253.77397328944485</v>
      </c>
      <c r="I111" s="75">
        <f>Tableau1[[#This Row],[USD]]*$J$4</f>
        <v>583680.1385657232</v>
      </c>
      <c r="J111" s="75">
        <f t="shared" si="10"/>
        <v>421680.1385657232</v>
      </c>
      <c r="K111" s="75">
        <f t="shared" si="11"/>
        <v>0.15</v>
      </c>
      <c r="L111" s="75">
        <f t="shared" si="14"/>
        <v>63252.020784858476</v>
      </c>
      <c r="M111" s="75">
        <f t="shared" si="12"/>
        <v>68112.020784858469</v>
      </c>
      <c r="N111" s="75">
        <f t="shared" si="15"/>
        <v>4086.7212470915078</v>
      </c>
      <c r="O111" s="75">
        <f t="shared" si="16"/>
        <v>64025.299537766958</v>
      </c>
      <c r="P111" s="75">
        <f t="shared" si="13"/>
        <v>27.83708675555085</v>
      </c>
    </row>
    <row r="112" spans="7:16" x14ac:dyDescent="0.25">
      <c r="G112" s="75">
        <f>'PPC Usine-Zamba'!G114</f>
        <v>2</v>
      </c>
      <c r="H112" s="75">
        <f>'PPC Usine-Zamba'!AC114</f>
        <v>162.50533807197809</v>
      </c>
      <c r="I112" s="75">
        <f>Tableau1[[#This Row],[USD]]*$J$4</f>
        <v>373762.27756554959</v>
      </c>
      <c r="J112" s="75">
        <f t="shared" si="10"/>
        <v>211762.27756554959</v>
      </c>
      <c r="K112" s="75">
        <f t="shared" si="11"/>
        <v>0.15</v>
      </c>
      <c r="L112" s="75">
        <f t="shared" si="14"/>
        <v>31764.341634832439</v>
      </c>
      <c r="M112" s="75">
        <f t="shared" si="12"/>
        <v>36624.341634832439</v>
      </c>
      <c r="N112" s="75">
        <f t="shared" si="15"/>
        <v>1464.9736653932976</v>
      </c>
      <c r="O112" s="75">
        <f t="shared" si="16"/>
        <v>35159.367969439139</v>
      </c>
      <c r="P112" s="75">
        <f t="shared" si="13"/>
        <v>15.286681725843104</v>
      </c>
    </row>
    <row r="113" spans="7:16" x14ac:dyDescent="0.25">
      <c r="G113" s="75" t="e">
        <f>'PPC Usine-Zamba'!#REF!</f>
        <v>#REF!</v>
      </c>
      <c r="H113" s="75" t="e">
        <f>'PPC Usine-Zamba'!#REF!</f>
        <v>#REF!</v>
      </c>
      <c r="I113" s="75" t="e">
        <f>Tableau1[[#This Row],[USD]]*$J$4</f>
        <v>#REF!</v>
      </c>
      <c r="J113" s="75" t="e">
        <f t="shared" si="10"/>
        <v>#REF!</v>
      </c>
      <c r="K113" s="75" t="e">
        <f t="shared" si="11"/>
        <v>#REF!</v>
      </c>
      <c r="L113" s="75" t="e">
        <f t="shared" si="14"/>
        <v>#REF!</v>
      </c>
      <c r="M113" s="75" t="e">
        <f t="shared" si="12"/>
        <v>#REF!</v>
      </c>
      <c r="N113" s="75" t="e">
        <f t="shared" si="15"/>
        <v>#REF!</v>
      </c>
      <c r="O113" s="75" t="e">
        <f t="shared" si="16"/>
        <v>#REF!</v>
      </c>
      <c r="P113" s="75" t="e">
        <f t="shared" si="13"/>
        <v>#REF!</v>
      </c>
    </row>
    <row r="114" spans="7:16" x14ac:dyDescent="0.25">
      <c r="G114" s="75">
        <f>'PPC Usine-Zamba'!G115</f>
        <v>1</v>
      </c>
      <c r="H114" s="75">
        <f>'PPC Usine-Zamba'!AC115</f>
        <v>265.61378014185732</v>
      </c>
      <c r="I114" s="75">
        <f>Tableau1[[#This Row],[USD]]*$J$4</f>
        <v>610911.69432627189</v>
      </c>
      <c r="J114" s="75">
        <f t="shared" si="10"/>
        <v>448911.69432627189</v>
      </c>
      <c r="K114" s="75">
        <f t="shared" si="11"/>
        <v>0.15</v>
      </c>
      <c r="L114" s="75">
        <f t="shared" si="14"/>
        <v>67336.754148940774</v>
      </c>
      <c r="M114" s="75">
        <f t="shared" si="12"/>
        <v>72196.754148940774</v>
      </c>
      <c r="N114" s="75">
        <f t="shared" si="15"/>
        <v>1443.9350829788154</v>
      </c>
      <c r="O114" s="75">
        <f t="shared" si="16"/>
        <v>70752.819065961958</v>
      </c>
      <c r="P114" s="75">
        <f t="shared" si="13"/>
        <v>30.762095246070416</v>
      </c>
    </row>
    <row r="115" spans="7:16" x14ac:dyDescent="0.25">
      <c r="G115" s="75">
        <f>'PPC Usine-Zamba'!G116</f>
        <v>0</v>
      </c>
      <c r="H115" s="75">
        <f>'PPC Usine-Zamba'!AC116</f>
        <v>265.61378014185732</v>
      </c>
      <c r="I115" s="75">
        <f>Tableau1[[#This Row],[USD]]*$J$4</f>
        <v>610911.69432627189</v>
      </c>
      <c r="J115" s="75">
        <f t="shared" si="10"/>
        <v>448911.69432627189</v>
      </c>
      <c r="K115" s="75">
        <f t="shared" si="11"/>
        <v>0.15</v>
      </c>
      <c r="L115" s="75">
        <f t="shared" si="14"/>
        <v>67336.754148940774</v>
      </c>
      <c r="M115" s="75">
        <f t="shared" si="12"/>
        <v>72196.754148940774</v>
      </c>
      <c r="N115" s="75">
        <f t="shared" si="15"/>
        <v>0</v>
      </c>
      <c r="O115" s="75">
        <f t="shared" si="16"/>
        <v>72196.754148940774</v>
      </c>
      <c r="P115" s="75">
        <f t="shared" si="13"/>
        <v>31.389893108235118</v>
      </c>
    </row>
    <row r="116" spans="7:16" x14ac:dyDescent="0.25">
      <c r="G116" s="75">
        <f>'PPC Usine-Zamba'!G117</f>
        <v>0</v>
      </c>
      <c r="H116" s="75">
        <f>'PPC Usine-Zamba'!AC117</f>
        <v>240.14702578006444</v>
      </c>
      <c r="I116" s="75">
        <f>Tableau1[[#This Row],[USD]]*$J$4</f>
        <v>552338.15929414821</v>
      </c>
      <c r="J116" s="75">
        <f t="shared" si="10"/>
        <v>390338.15929414821</v>
      </c>
      <c r="K116" s="75">
        <f t="shared" si="11"/>
        <v>0.15</v>
      </c>
      <c r="L116" s="75">
        <f t="shared" si="14"/>
        <v>58550.723894122231</v>
      </c>
      <c r="M116" s="75">
        <f t="shared" si="12"/>
        <v>63410.723894122231</v>
      </c>
      <c r="N116" s="75">
        <f t="shared" si="15"/>
        <v>0</v>
      </c>
      <c r="O116" s="75">
        <f t="shared" si="16"/>
        <v>63410.723894122231</v>
      </c>
      <c r="P116" s="75">
        <f t="shared" si="13"/>
        <v>27.569879953966186</v>
      </c>
    </row>
    <row r="117" spans="7:16" x14ac:dyDescent="0.25">
      <c r="G117" s="75">
        <f>'PPC Usine-Zamba'!G118</f>
        <v>0</v>
      </c>
      <c r="H117" s="75">
        <f>'PPC Usine-Zamba'!AC118</f>
        <v>223.09472534482884</v>
      </c>
      <c r="I117" s="75">
        <f>Tableau1[[#This Row],[USD]]*$J$4</f>
        <v>513117.86829310632</v>
      </c>
      <c r="J117" s="75">
        <f t="shared" si="10"/>
        <v>351117.86829310632</v>
      </c>
      <c r="K117" s="75">
        <f t="shared" si="11"/>
        <v>0.15</v>
      </c>
      <c r="L117" s="75">
        <f t="shared" si="14"/>
        <v>52667.680243965944</v>
      </c>
      <c r="M117" s="75">
        <f t="shared" si="12"/>
        <v>57527.680243965944</v>
      </c>
      <c r="N117" s="75">
        <f t="shared" si="15"/>
        <v>0</v>
      </c>
      <c r="O117" s="75">
        <f t="shared" si="16"/>
        <v>57527.680243965944</v>
      </c>
      <c r="P117" s="75">
        <f t="shared" si="13"/>
        <v>25.012034888680844</v>
      </c>
    </row>
    <row r="118" spans="7:16" x14ac:dyDescent="0.25">
      <c r="G118" s="75">
        <f>'PPC Usine-Zamba'!G119</f>
        <v>0</v>
      </c>
      <c r="H118" s="75">
        <f>'PPC Usine-Zamba'!AC119</f>
        <v>249.90183519934772</v>
      </c>
      <c r="I118" s="75">
        <f>Tableau1[[#This Row],[USD]]*$J$4</f>
        <v>574774.2209584997</v>
      </c>
      <c r="J118" s="75">
        <f t="shared" si="10"/>
        <v>412774.2209584997</v>
      </c>
      <c r="K118" s="75">
        <f t="shared" si="11"/>
        <v>0.15</v>
      </c>
      <c r="L118" s="75">
        <f t="shared" si="14"/>
        <v>61916.133143774954</v>
      </c>
      <c r="M118" s="75">
        <f t="shared" si="12"/>
        <v>66776.133143774961</v>
      </c>
      <c r="N118" s="75">
        <f t="shared" si="15"/>
        <v>0</v>
      </c>
      <c r="O118" s="75">
        <f t="shared" si="16"/>
        <v>66776.133143774961</v>
      </c>
      <c r="P118" s="75">
        <f t="shared" si="13"/>
        <v>29.033101366858681</v>
      </c>
    </row>
    <row r="119" spans="7:16" x14ac:dyDescent="0.25">
      <c r="G119" s="75">
        <f>'PPC Usine-Zamba'!G120</f>
        <v>0</v>
      </c>
      <c r="H119" s="75">
        <f>'PPC Usine-Zamba'!AC120</f>
        <v>240.14702578006444</v>
      </c>
      <c r="I119" s="75">
        <f>Tableau1[[#This Row],[USD]]*$J$4</f>
        <v>552338.15929414821</v>
      </c>
      <c r="J119" s="75">
        <f t="shared" si="10"/>
        <v>390338.15929414821</v>
      </c>
      <c r="K119" s="75">
        <f t="shared" si="11"/>
        <v>0.15</v>
      </c>
      <c r="L119" s="75">
        <f t="shared" si="14"/>
        <v>58550.723894122231</v>
      </c>
      <c r="M119" s="75">
        <f t="shared" si="12"/>
        <v>63410.723894122231</v>
      </c>
      <c r="N119" s="75">
        <f t="shared" si="15"/>
        <v>0</v>
      </c>
      <c r="O119" s="75">
        <f t="shared" si="16"/>
        <v>63410.723894122231</v>
      </c>
      <c r="P119" s="75">
        <f t="shared" si="13"/>
        <v>27.569879953966186</v>
      </c>
    </row>
    <row r="120" spans="7:16" x14ac:dyDescent="0.25">
      <c r="G120" s="75" t="e">
        <f>'PPC Usine-Zamba'!#REF!</f>
        <v>#REF!</v>
      </c>
      <c r="H120" s="75" t="e">
        <f>'PPC Usine-Zamba'!#REF!</f>
        <v>#REF!</v>
      </c>
      <c r="I120" s="75" t="e">
        <f>Tableau1[[#This Row],[USD]]*$J$4</f>
        <v>#REF!</v>
      </c>
      <c r="J120" s="75" t="e">
        <f t="shared" si="10"/>
        <v>#REF!</v>
      </c>
      <c r="K120" s="75" t="e">
        <f t="shared" si="11"/>
        <v>#REF!</v>
      </c>
      <c r="L120" s="75" t="e">
        <f t="shared" si="14"/>
        <v>#REF!</v>
      </c>
      <c r="M120" s="75" t="e">
        <f t="shared" si="12"/>
        <v>#REF!</v>
      </c>
      <c r="N120" s="75" t="e">
        <f t="shared" si="15"/>
        <v>#REF!</v>
      </c>
      <c r="O120" s="75" t="e">
        <f t="shared" si="16"/>
        <v>#REF!</v>
      </c>
      <c r="P120" s="75" t="e">
        <f t="shared" si="13"/>
        <v>#REF!</v>
      </c>
    </row>
    <row r="121" spans="7:16" x14ac:dyDescent="0.25">
      <c r="G121" s="75">
        <f>'PPC Usine-Zamba'!G121</f>
        <v>0</v>
      </c>
      <c r="H121" s="75">
        <f>'PPC Usine-Zamba'!AC121</f>
        <v>240.14702578006444</v>
      </c>
      <c r="I121" s="75">
        <f>Tableau1[[#This Row],[USD]]*$J$4</f>
        <v>552338.15929414821</v>
      </c>
      <c r="J121" s="75">
        <f t="shared" si="10"/>
        <v>390338.15929414821</v>
      </c>
      <c r="K121" s="75">
        <f t="shared" si="11"/>
        <v>0.15</v>
      </c>
      <c r="L121" s="75">
        <f t="shared" si="14"/>
        <v>58550.723894122231</v>
      </c>
      <c r="M121" s="75">
        <f t="shared" si="12"/>
        <v>63410.723894122231</v>
      </c>
      <c r="N121" s="75">
        <f t="shared" si="15"/>
        <v>0</v>
      </c>
      <c r="O121" s="75">
        <f t="shared" si="16"/>
        <v>63410.723894122231</v>
      </c>
      <c r="P121" s="75">
        <f t="shared" si="13"/>
        <v>27.569879953966186</v>
      </c>
    </row>
    <row r="122" spans="7:16" x14ac:dyDescent="0.25">
      <c r="G122" s="75">
        <f>'PPC Usine-Zamba'!G122</f>
        <v>0</v>
      </c>
      <c r="H122" s="75">
        <f>'PPC Usine-Zamba'!AC122</f>
        <v>223.09472534482884</v>
      </c>
      <c r="I122" s="75">
        <f>Tableau1[[#This Row],[USD]]*$J$4</f>
        <v>513117.86829310632</v>
      </c>
      <c r="J122" s="75">
        <f t="shared" si="10"/>
        <v>351117.86829310632</v>
      </c>
      <c r="K122" s="75">
        <f t="shared" si="11"/>
        <v>0.15</v>
      </c>
      <c r="L122" s="75">
        <f t="shared" si="14"/>
        <v>52667.680243965944</v>
      </c>
      <c r="M122" s="75">
        <f t="shared" si="12"/>
        <v>57527.680243965944</v>
      </c>
      <c r="N122" s="75">
        <f t="shared" si="15"/>
        <v>0</v>
      </c>
      <c r="O122" s="75">
        <f t="shared" si="16"/>
        <v>57527.680243965944</v>
      </c>
      <c r="P122" s="75">
        <f t="shared" si="13"/>
        <v>25.012034888680844</v>
      </c>
    </row>
    <row r="123" spans="7:16" x14ac:dyDescent="0.25">
      <c r="G123" s="75">
        <f>'PPC Usine-Zamba'!G123</f>
        <v>0</v>
      </c>
      <c r="H123" s="75">
        <f>'PPC Usine-Zamba'!AC123</f>
        <v>244.76380581056495</v>
      </c>
      <c r="I123" s="75">
        <f>Tableau1[[#This Row],[USD]]*$J$4</f>
        <v>562956.75336429942</v>
      </c>
      <c r="J123" s="75">
        <f t="shared" si="10"/>
        <v>400956.75336429942</v>
      </c>
      <c r="K123" s="75">
        <f t="shared" si="11"/>
        <v>0.15</v>
      </c>
      <c r="L123" s="75">
        <f t="shared" si="14"/>
        <v>60143.513004644912</v>
      </c>
      <c r="M123" s="75">
        <f t="shared" si="12"/>
        <v>65003.513004644912</v>
      </c>
      <c r="N123" s="75">
        <f t="shared" si="15"/>
        <v>0</v>
      </c>
      <c r="O123" s="75">
        <f t="shared" si="16"/>
        <v>65003.513004644912</v>
      </c>
      <c r="P123" s="75">
        <f t="shared" si="13"/>
        <v>28.262396958541267</v>
      </c>
    </row>
    <row r="124" spans="7:16" x14ac:dyDescent="0.25">
      <c r="G124" s="75">
        <f>'PPC Usine-Zamba'!G124</f>
        <v>0</v>
      </c>
      <c r="H124" s="75">
        <f>'PPC Usine-Zamba'!AC124</f>
        <v>346.03510970541379</v>
      </c>
      <c r="I124" s="75">
        <f>Tableau1[[#This Row],[USD]]*$J$4</f>
        <v>795880.75232245168</v>
      </c>
      <c r="J124" s="75">
        <f t="shared" si="10"/>
        <v>633880.75232245168</v>
      </c>
      <c r="K124" s="75">
        <f t="shared" si="11"/>
        <v>0.15</v>
      </c>
      <c r="L124" s="75">
        <f t="shared" si="14"/>
        <v>95082.112848367746</v>
      </c>
      <c r="M124" s="75">
        <f t="shared" si="12"/>
        <v>99942.112848367746</v>
      </c>
      <c r="N124" s="75">
        <f t="shared" si="15"/>
        <v>0</v>
      </c>
      <c r="O124" s="75">
        <f t="shared" si="16"/>
        <v>99942.112848367746</v>
      </c>
      <c r="P124" s="75">
        <f t="shared" si="13"/>
        <v>43.453092542768587</v>
      </c>
    </row>
    <row r="125" spans="7:16" x14ac:dyDescent="0.25">
      <c r="G125" s="75">
        <f>'PPC Usine-Zamba'!G125</f>
        <v>0</v>
      </c>
      <c r="H125" s="75">
        <f>'PPC Usine-Zamba'!AC125</f>
        <v>249.90183519934772</v>
      </c>
      <c r="I125" s="75">
        <f>Tableau1[[#This Row],[USD]]*$J$4</f>
        <v>574774.2209584997</v>
      </c>
      <c r="J125" s="75">
        <f t="shared" si="10"/>
        <v>412774.2209584997</v>
      </c>
      <c r="K125" s="75">
        <f t="shared" si="11"/>
        <v>0.15</v>
      </c>
      <c r="L125" s="75">
        <f t="shared" si="14"/>
        <v>61916.133143774954</v>
      </c>
      <c r="M125" s="75">
        <f t="shared" si="12"/>
        <v>66776.133143774961</v>
      </c>
      <c r="N125" s="75">
        <f t="shared" si="15"/>
        <v>0</v>
      </c>
      <c r="O125" s="75">
        <f t="shared" si="16"/>
        <v>66776.133143774961</v>
      </c>
      <c r="P125" s="75">
        <f t="shared" si="13"/>
        <v>29.033101366858681</v>
      </c>
    </row>
    <row r="126" spans="7:16" x14ac:dyDescent="0.25">
      <c r="G126" s="75">
        <f>'PPC Usine-Zamba'!G126</f>
        <v>0</v>
      </c>
      <c r="H126" s="75">
        <f>'PPC Usine-Zamba'!AC126</f>
        <v>274.32609084457596</v>
      </c>
      <c r="I126" s="75">
        <f>Tableau1[[#This Row],[USD]]*$J$4</f>
        <v>630950.00894252467</v>
      </c>
      <c r="J126" s="75">
        <f t="shared" si="10"/>
        <v>468950.00894252467</v>
      </c>
      <c r="K126" s="75">
        <f t="shared" si="11"/>
        <v>0.15</v>
      </c>
      <c r="L126" s="75">
        <f t="shared" si="14"/>
        <v>70342.501341378695</v>
      </c>
      <c r="M126" s="75">
        <f t="shared" si="12"/>
        <v>75202.501341378695</v>
      </c>
      <c r="N126" s="75">
        <f t="shared" si="15"/>
        <v>0</v>
      </c>
      <c r="O126" s="75">
        <f t="shared" si="16"/>
        <v>75202.501341378695</v>
      </c>
      <c r="P126" s="75">
        <f t="shared" si="13"/>
        <v>32.696739713642913</v>
      </c>
    </row>
    <row r="127" spans="7:16" x14ac:dyDescent="0.25">
      <c r="G127" s="75">
        <f>'PPC Usine-Zamba'!G127</f>
        <v>0</v>
      </c>
      <c r="H127" s="75">
        <f>'PPC Usine-Zamba'!AC127</f>
        <v>90.740956574586534</v>
      </c>
      <c r="I127" s="75">
        <f>Tableau1[[#This Row],[USD]]*$J$4</f>
        <v>208704.20012154902</v>
      </c>
      <c r="J127" s="75">
        <f t="shared" ref="J127:J155" si="17">I127-VLOOKUP($I127,$C$6:$D$9,1)</f>
        <v>46704.200121549016</v>
      </c>
      <c r="K127" s="75">
        <f t="shared" si="11"/>
        <v>0.15</v>
      </c>
      <c r="L127" s="75">
        <f t="shared" ref="L127:L155" si="18">J127*K127</f>
        <v>7005.6300182323521</v>
      </c>
      <c r="M127" s="75">
        <f t="shared" ref="M127:M155" si="19">L127+VLOOKUP($I127,$C$15:$E$19,3)</f>
        <v>11865.630018232352</v>
      </c>
      <c r="N127" s="75">
        <f t="shared" ref="N127:N155" si="20">M127*(G127*2%)</f>
        <v>0</v>
      </c>
      <c r="O127" s="75">
        <f t="shared" ref="O127:O155" si="21">M127-N127</f>
        <v>11865.630018232352</v>
      </c>
      <c r="P127" s="75">
        <f t="shared" ref="P127:P155" si="22">O127/$J$4</f>
        <v>5.1589695731445007</v>
      </c>
    </row>
    <row r="128" spans="7:16" x14ac:dyDescent="0.25">
      <c r="G128" s="75">
        <f>'PPC Usine-Zamba'!G128</f>
        <v>0</v>
      </c>
      <c r="H128" s="75">
        <f>'PPC Usine-Zamba'!AC128</f>
        <v>85.333271439033112</v>
      </c>
      <c r="I128" s="75">
        <f>Tableau1[[#This Row],[USD]]*$J$4</f>
        <v>196266.52430977617</v>
      </c>
      <c r="J128" s="75">
        <f t="shared" si="17"/>
        <v>34266.52430977617</v>
      </c>
      <c r="K128" s="75">
        <f t="shared" si="11"/>
        <v>0.15</v>
      </c>
      <c r="L128" s="75">
        <f t="shared" si="18"/>
        <v>5139.9786464664257</v>
      </c>
      <c r="M128" s="75">
        <f t="shared" si="19"/>
        <v>9999.9786464664248</v>
      </c>
      <c r="N128" s="75">
        <f t="shared" si="20"/>
        <v>0</v>
      </c>
      <c r="O128" s="75">
        <f t="shared" si="21"/>
        <v>9999.9786464664248</v>
      </c>
      <c r="P128" s="75">
        <f t="shared" si="22"/>
        <v>4.3478168028114892</v>
      </c>
    </row>
    <row r="129" spans="7:16" x14ac:dyDescent="0.25">
      <c r="G129" s="75">
        <f>'PPC Usine-Zamba'!G129</f>
        <v>0</v>
      </c>
      <c r="H129" s="75">
        <f>'PPC Usine-Zamba'!AC129</f>
        <v>0</v>
      </c>
      <c r="I129" s="75">
        <f>Tableau1[[#This Row],[USD]]*$J$4</f>
        <v>0</v>
      </c>
      <c r="J129" s="75">
        <f t="shared" si="17"/>
        <v>0</v>
      </c>
      <c r="K129" s="75">
        <f t="shared" si="11"/>
        <v>0</v>
      </c>
      <c r="L129" s="75">
        <f t="shared" si="18"/>
        <v>0</v>
      </c>
      <c r="M129" s="75">
        <f t="shared" si="19"/>
        <v>2300</v>
      </c>
      <c r="N129" s="75">
        <f t="shared" si="20"/>
        <v>0</v>
      </c>
      <c r="O129" s="75">
        <f t="shared" si="21"/>
        <v>2300</v>
      </c>
      <c r="P129" s="75">
        <f t="shared" si="22"/>
        <v>1</v>
      </c>
    </row>
    <row r="130" spans="7:16" x14ac:dyDescent="0.25">
      <c r="G130" s="75">
        <f>'PPC Usine-Zamba'!G130</f>
        <v>0</v>
      </c>
      <c r="H130" s="75">
        <f>'PPC Usine-Zamba'!AC130</f>
        <v>0</v>
      </c>
      <c r="I130" s="75">
        <f>Tableau1[[#This Row],[USD]]*$J$4</f>
        <v>0</v>
      </c>
      <c r="J130" s="75">
        <f t="shared" si="17"/>
        <v>0</v>
      </c>
      <c r="K130" s="75">
        <f t="shared" si="11"/>
        <v>0</v>
      </c>
      <c r="L130" s="75">
        <f t="shared" si="18"/>
        <v>0</v>
      </c>
      <c r="M130" s="75">
        <f t="shared" si="19"/>
        <v>2300</v>
      </c>
      <c r="N130" s="75">
        <f t="shared" si="20"/>
        <v>0</v>
      </c>
      <c r="O130" s="75">
        <f t="shared" si="21"/>
        <v>2300</v>
      </c>
      <c r="P130" s="75">
        <f t="shared" si="22"/>
        <v>1</v>
      </c>
    </row>
    <row r="131" spans="7:16" x14ac:dyDescent="0.25">
      <c r="G131" s="75">
        <f>'PPC Usine-Zamba'!G131</f>
        <v>0</v>
      </c>
      <c r="H131" s="75">
        <f>'PPC Usine-Zamba'!AC131</f>
        <v>0</v>
      </c>
      <c r="I131" s="75">
        <f>Tableau1[[#This Row],[USD]]*$J$4</f>
        <v>0</v>
      </c>
      <c r="J131" s="75">
        <f t="shared" si="17"/>
        <v>0</v>
      </c>
      <c r="K131" s="75">
        <f t="shared" si="11"/>
        <v>0</v>
      </c>
      <c r="L131" s="75">
        <f t="shared" si="18"/>
        <v>0</v>
      </c>
      <c r="M131" s="75">
        <f t="shared" si="19"/>
        <v>2300</v>
      </c>
      <c r="N131" s="75">
        <f t="shared" si="20"/>
        <v>0</v>
      </c>
      <c r="O131" s="75">
        <f t="shared" si="21"/>
        <v>2300</v>
      </c>
      <c r="P131" s="75">
        <f t="shared" si="22"/>
        <v>1</v>
      </c>
    </row>
    <row r="132" spans="7:16" x14ac:dyDescent="0.25">
      <c r="G132" s="75">
        <f>'PPC Usine-Zamba'!G132</f>
        <v>0</v>
      </c>
      <c r="H132" s="75">
        <f>'PPC Usine-Zamba'!AC132</f>
        <v>0</v>
      </c>
      <c r="I132" s="75">
        <f>Tableau1[[#This Row],[USD]]*$J$4</f>
        <v>0</v>
      </c>
      <c r="J132" s="75">
        <f t="shared" si="17"/>
        <v>0</v>
      </c>
      <c r="K132" s="75">
        <f t="shared" si="11"/>
        <v>0</v>
      </c>
      <c r="L132" s="75">
        <f t="shared" si="18"/>
        <v>0</v>
      </c>
      <c r="M132" s="75">
        <f t="shared" si="19"/>
        <v>2300</v>
      </c>
      <c r="N132" s="75">
        <f t="shared" si="20"/>
        <v>0</v>
      </c>
      <c r="O132" s="75">
        <f t="shared" si="21"/>
        <v>2300</v>
      </c>
      <c r="P132" s="75">
        <f t="shared" si="22"/>
        <v>1</v>
      </c>
    </row>
    <row r="133" spans="7:16" x14ac:dyDescent="0.25">
      <c r="G133" s="75">
        <f>'PPC Usine-Zamba'!G133</f>
        <v>0</v>
      </c>
      <c r="H133" s="75">
        <f>'PPC Usine-Zamba'!AC133</f>
        <v>0</v>
      </c>
      <c r="I133" s="75">
        <f>Tableau1[[#This Row],[USD]]*$J$4</f>
        <v>0</v>
      </c>
      <c r="J133" s="75">
        <f t="shared" si="17"/>
        <v>0</v>
      </c>
      <c r="K133" s="75">
        <f t="shared" si="11"/>
        <v>0</v>
      </c>
      <c r="L133" s="75">
        <f t="shared" si="18"/>
        <v>0</v>
      </c>
      <c r="M133" s="75">
        <f t="shared" si="19"/>
        <v>2300</v>
      </c>
      <c r="N133" s="75">
        <f t="shared" si="20"/>
        <v>0</v>
      </c>
      <c r="O133" s="75">
        <f t="shared" si="21"/>
        <v>2300</v>
      </c>
      <c r="P133" s="75">
        <f t="shared" si="22"/>
        <v>1</v>
      </c>
    </row>
    <row r="134" spans="7:16" x14ac:dyDescent="0.25">
      <c r="G134" s="75">
        <f>'PPC Usine-Zamba'!G134</f>
        <v>0</v>
      </c>
      <c r="H134" s="75">
        <f>'PPC Usine-Zamba'!AC134</f>
        <v>0</v>
      </c>
      <c r="I134" s="75">
        <f>Tableau1[[#This Row],[USD]]*$J$4</f>
        <v>0</v>
      </c>
      <c r="J134" s="75">
        <f t="shared" si="17"/>
        <v>0</v>
      </c>
      <c r="K134" s="75">
        <f t="shared" ref="K134:K155" si="23">VLOOKUP($I134,$C$11:$D$14,2)</f>
        <v>0</v>
      </c>
      <c r="L134" s="75">
        <f t="shared" si="18"/>
        <v>0</v>
      </c>
      <c r="M134" s="75">
        <f t="shared" si="19"/>
        <v>2300</v>
      </c>
      <c r="N134" s="75">
        <f t="shared" si="20"/>
        <v>0</v>
      </c>
      <c r="O134" s="75">
        <f t="shared" si="21"/>
        <v>2300</v>
      </c>
      <c r="P134" s="75">
        <f t="shared" si="22"/>
        <v>1</v>
      </c>
    </row>
    <row r="135" spans="7:16" x14ac:dyDescent="0.25">
      <c r="G135" s="75">
        <f>'PPC Usine-Zamba'!G135</f>
        <v>0</v>
      </c>
      <c r="H135" s="75">
        <f>'PPC Usine-Zamba'!AC135</f>
        <v>0</v>
      </c>
      <c r="I135" s="75">
        <f>Tableau1[[#This Row],[USD]]*$J$4</f>
        <v>0</v>
      </c>
      <c r="J135" s="75">
        <f t="shared" si="17"/>
        <v>0</v>
      </c>
      <c r="K135" s="75">
        <f t="shared" si="23"/>
        <v>0</v>
      </c>
      <c r="L135" s="75">
        <f t="shared" si="18"/>
        <v>0</v>
      </c>
      <c r="M135" s="75">
        <f t="shared" si="19"/>
        <v>2300</v>
      </c>
      <c r="N135" s="75">
        <f t="shared" si="20"/>
        <v>0</v>
      </c>
      <c r="O135" s="75">
        <f t="shared" si="21"/>
        <v>2300</v>
      </c>
      <c r="P135" s="75">
        <f t="shared" si="22"/>
        <v>1</v>
      </c>
    </row>
    <row r="136" spans="7:16" x14ac:dyDescent="0.25">
      <c r="G136" s="75">
        <f>'PPC Usine-Zamba'!G136</f>
        <v>0</v>
      </c>
      <c r="H136" s="75">
        <f>'PPC Usine-Zamba'!AC136</f>
        <v>0</v>
      </c>
      <c r="I136" s="75">
        <f>Tableau1[[#This Row],[USD]]*$J$4</f>
        <v>0</v>
      </c>
      <c r="J136" s="75">
        <f t="shared" si="17"/>
        <v>0</v>
      </c>
      <c r="K136" s="75">
        <f t="shared" si="23"/>
        <v>0</v>
      </c>
      <c r="L136" s="75">
        <f t="shared" si="18"/>
        <v>0</v>
      </c>
      <c r="M136" s="75">
        <f t="shared" si="19"/>
        <v>2300</v>
      </c>
      <c r="N136" s="75">
        <f t="shared" si="20"/>
        <v>0</v>
      </c>
      <c r="O136" s="75">
        <f t="shared" si="21"/>
        <v>2300</v>
      </c>
      <c r="P136" s="75">
        <f t="shared" si="22"/>
        <v>1</v>
      </c>
    </row>
    <row r="137" spans="7:16" x14ac:dyDescent="0.25">
      <c r="G137" s="75">
        <f>'PPC Usine-Zamba'!G137</f>
        <v>0</v>
      </c>
      <c r="H137" s="75">
        <f>'PPC Usine-Zamba'!AC137</f>
        <v>0</v>
      </c>
      <c r="I137" s="75">
        <f>Tableau1[[#This Row],[USD]]*$J$4</f>
        <v>0</v>
      </c>
      <c r="J137" s="75">
        <f t="shared" si="17"/>
        <v>0</v>
      </c>
      <c r="K137" s="75">
        <f t="shared" si="23"/>
        <v>0</v>
      </c>
      <c r="L137" s="75">
        <f t="shared" si="18"/>
        <v>0</v>
      </c>
      <c r="M137" s="75">
        <f t="shared" si="19"/>
        <v>2300</v>
      </c>
      <c r="N137" s="75">
        <f t="shared" si="20"/>
        <v>0</v>
      </c>
      <c r="O137" s="75">
        <f t="shared" si="21"/>
        <v>2300</v>
      </c>
      <c r="P137" s="75">
        <f t="shared" si="22"/>
        <v>1</v>
      </c>
    </row>
    <row r="138" spans="7:16" x14ac:dyDescent="0.25">
      <c r="G138" s="75">
        <f>'PPC Usine-Zamba'!G138</f>
        <v>0</v>
      </c>
      <c r="H138" s="75">
        <f>'PPC Usine-Zamba'!AC138</f>
        <v>0</v>
      </c>
      <c r="I138" s="75">
        <f>Tableau1[[#This Row],[USD]]*$J$4</f>
        <v>0</v>
      </c>
      <c r="J138" s="75">
        <f t="shared" si="17"/>
        <v>0</v>
      </c>
      <c r="K138" s="75">
        <f t="shared" si="23"/>
        <v>0</v>
      </c>
      <c r="L138" s="75">
        <f t="shared" si="18"/>
        <v>0</v>
      </c>
      <c r="M138" s="75">
        <f t="shared" si="19"/>
        <v>2300</v>
      </c>
      <c r="N138" s="75">
        <f t="shared" si="20"/>
        <v>0</v>
      </c>
      <c r="O138" s="75">
        <f t="shared" si="21"/>
        <v>2300</v>
      </c>
      <c r="P138" s="75">
        <f t="shared" si="22"/>
        <v>1</v>
      </c>
    </row>
    <row r="139" spans="7:16" x14ac:dyDescent="0.25">
      <c r="G139" s="75">
        <f>'PPC Usine-Zamba'!G139</f>
        <v>0</v>
      </c>
      <c r="H139" s="75">
        <f>'PPC Usine-Zamba'!AC139</f>
        <v>0</v>
      </c>
      <c r="I139" s="75">
        <f>Tableau1[[#This Row],[USD]]*$J$4</f>
        <v>0</v>
      </c>
      <c r="J139" s="75">
        <f t="shared" si="17"/>
        <v>0</v>
      </c>
      <c r="K139" s="75">
        <f t="shared" si="23"/>
        <v>0</v>
      </c>
      <c r="L139" s="75">
        <f t="shared" si="18"/>
        <v>0</v>
      </c>
      <c r="M139" s="75">
        <f t="shared" si="19"/>
        <v>2300</v>
      </c>
      <c r="N139" s="75">
        <f t="shared" si="20"/>
        <v>0</v>
      </c>
      <c r="O139" s="75">
        <f t="shared" si="21"/>
        <v>2300</v>
      </c>
      <c r="P139" s="75">
        <f t="shared" si="22"/>
        <v>1</v>
      </c>
    </row>
    <row r="140" spans="7:16" x14ac:dyDescent="0.25">
      <c r="G140" s="75">
        <f>'PPC Usine-Zamba'!G140</f>
        <v>0</v>
      </c>
      <c r="H140" s="75">
        <f>'PPC Usine-Zamba'!AC140</f>
        <v>0</v>
      </c>
      <c r="I140" s="75">
        <f>Tableau1[[#This Row],[USD]]*$J$4</f>
        <v>0</v>
      </c>
      <c r="J140" s="75">
        <f t="shared" si="17"/>
        <v>0</v>
      </c>
      <c r="K140" s="75">
        <f t="shared" si="23"/>
        <v>0</v>
      </c>
      <c r="L140" s="75">
        <f t="shared" si="18"/>
        <v>0</v>
      </c>
      <c r="M140" s="75">
        <f t="shared" si="19"/>
        <v>2300</v>
      </c>
      <c r="N140" s="75">
        <f t="shared" si="20"/>
        <v>0</v>
      </c>
      <c r="O140" s="75">
        <f t="shared" si="21"/>
        <v>2300</v>
      </c>
      <c r="P140" s="75">
        <f t="shared" si="22"/>
        <v>1</v>
      </c>
    </row>
    <row r="141" spans="7:16" x14ac:dyDescent="0.25">
      <c r="G141" s="75">
        <f>'PPC Usine-Zamba'!G141</f>
        <v>0</v>
      </c>
      <c r="H141" s="75">
        <f>'PPC Usine-Zamba'!AC141</f>
        <v>0</v>
      </c>
      <c r="I141" s="75">
        <f>Tableau1[[#This Row],[USD]]*$J$4</f>
        <v>0</v>
      </c>
      <c r="J141" s="75">
        <f t="shared" si="17"/>
        <v>0</v>
      </c>
      <c r="K141" s="75">
        <f t="shared" si="23"/>
        <v>0</v>
      </c>
      <c r="L141" s="75">
        <f t="shared" si="18"/>
        <v>0</v>
      </c>
      <c r="M141" s="75">
        <f t="shared" si="19"/>
        <v>2300</v>
      </c>
      <c r="N141" s="75">
        <f t="shared" si="20"/>
        <v>0</v>
      </c>
      <c r="O141" s="75">
        <f t="shared" si="21"/>
        <v>2300</v>
      </c>
      <c r="P141" s="75">
        <f t="shared" si="22"/>
        <v>1</v>
      </c>
    </row>
    <row r="142" spans="7:16" x14ac:dyDescent="0.25">
      <c r="G142" s="75">
        <f>'PPC Usine-Zamba'!G142</f>
        <v>0</v>
      </c>
      <c r="H142" s="75">
        <f>'PPC Usine-Zamba'!AC142</f>
        <v>0</v>
      </c>
      <c r="I142" s="75">
        <f>Tableau1[[#This Row],[USD]]*$J$4</f>
        <v>0</v>
      </c>
      <c r="J142" s="75">
        <f t="shared" si="17"/>
        <v>0</v>
      </c>
      <c r="K142" s="75">
        <f t="shared" si="23"/>
        <v>0</v>
      </c>
      <c r="L142" s="75">
        <f t="shared" si="18"/>
        <v>0</v>
      </c>
      <c r="M142" s="75">
        <f t="shared" si="19"/>
        <v>2300</v>
      </c>
      <c r="N142" s="75">
        <f t="shared" si="20"/>
        <v>0</v>
      </c>
      <c r="O142" s="75">
        <f t="shared" si="21"/>
        <v>2300</v>
      </c>
      <c r="P142" s="75">
        <f t="shared" si="22"/>
        <v>1</v>
      </c>
    </row>
    <row r="143" spans="7:16" x14ac:dyDescent="0.25">
      <c r="G143" s="75">
        <f>'PPC Usine-Zamba'!G143</f>
        <v>0</v>
      </c>
      <c r="H143" s="75">
        <f>'PPC Usine-Zamba'!AC143</f>
        <v>0</v>
      </c>
      <c r="I143" s="75">
        <f>Tableau1[[#This Row],[USD]]*$J$4</f>
        <v>0</v>
      </c>
      <c r="J143" s="75">
        <f t="shared" si="17"/>
        <v>0</v>
      </c>
      <c r="K143" s="75">
        <f t="shared" si="23"/>
        <v>0</v>
      </c>
      <c r="L143" s="75">
        <f t="shared" si="18"/>
        <v>0</v>
      </c>
      <c r="M143" s="75">
        <f t="shared" si="19"/>
        <v>2300</v>
      </c>
      <c r="N143" s="75">
        <f t="shared" si="20"/>
        <v>0</v>
      </c>
      <c r="O143" s="75">
        <f t="shared" si="21"/>
        <v>2300</v>
      </c>
      <c r="P143" s="75">
        <f t="shared" si="22"/>
        <v>1</v>
      </c>
    </row>
    <row r="144" spans="7:16" x14ac:dyDescent="0.25">
      <c r="G144" s="75">
        <f>'PPC Usine-Zamba'!G144</f>
        <v>0</v>
      </c>
      <c r="H144" s="75">
        <f>'PPC Usine-Zamba'!AC144</f>
        <v>0</v>
      </c>
      <c r="I144" s="75">
        <f>Tableau1[[#This Row],[USD]]*$J$4</f>
        <v>0</v>
      </c>
      <c r="J144" s="75">
        <f t="shared" si="17"/>
        <v>0</v>
      </c>
      <c r="K144" s="75">
        <f t="shared" si="23"/>
        <v>0</v>
      </c>
      <c r="L144" s="75">
        <f t="shared" si="18"/>
        <v>0</v>
      </c>
      <c r="M144" s="75">
        <f t="shared" si="19"/>
        <v>2300</v>
      </c>
      <c r="N144" s="75">
        <f t="shared" si="20"/>
        <v>0</v>
      </c>
      <c r="O144" s="75">
        <f t="shared" si="21"/>
        <v>2300</v>
      </c>
      <c r="P144" s="75">
        <f t="shared" si="22"/>
        <v>1</v>
      </c>
    </row>
    <row r="145" spans="7:16" x14ac:dyDescent="0.25">
      <c r="G145" s="75">
        <f>'PPC Usine-Zamba'!G145</f>
        <v>0</v>
      </c>
      <c r="H145" s="75">
        <f>'PPC Usine-Zamba'!AC145</f>
        <v>0</v>
      </c>
      <c r="I145" s="75">
        <f>Tableau1[[#This Row],[USD]]*$J$4</f>
        <v>0</v>
      </c>
      <c r="J145" s="75">
        <f t="shared" si="17"/>
        <v>0</v>
      </c>
      <c r="K145" s="75">
        <f t="shared" si="23"/>
        <v>0</v>
      </c>
      <c r="L145" s="75">
        <f t="shared" si="18"/>
        <v>0</v>
      </c>
      <c r="M145" s="75">
        <f t="shared" si="19"/>
        <v>2300</v>
      </c>
      <c r="N145" s="75">
        <f t="shared" si="20"/>
        <v>0</v>
      </c>
      <c r="O145" s="75">
        <f t="shared" si="21"/>
        <v>2300</v>
      </c>
      <c r="P145" s="75">
        <f t="shared" si="22"/>
        <v>1</v>
      </c>
    </row>
    <row r="146" spans="7:16" x14ac:dyDescent="0.25">
      <c r="G146" s="75">
        <f>'PPC Usine-Zamba'!G146</f>
        <v>0</v>
      </c>
      <c r="H146" s="75">
        <f>'PPC Usine-Zamba'!AC146</f>
        <v>0</v>
      </c>
      <c r="I146" s="75">
        <f>Tableau1[[#This Row],[USD]]*$J$4</f>
        <v>0</v>
      </c>
      <c r="J146" s="75">
        <f t="shared" si="17"/>
        <v>0</v>
      </c>
      <c r="K146" s="75">
        <f t="shared" si="23"/>
        <v>0</v>
      </c>
      <c r="L146" s="75">
        <f t="shared" si="18"/>
        <v>0</v>
      </c>
      <c r="M146" s="75">
        <f t="shared" si="19"/>
        <v>2300</v>
      </c>
      <c r="N146" s="75">
        <f t="shared" si="20"/>
        <v>0</v>
      </c>
      <c r="O146" s="75">
        <f t="shared" si="21"/>
        <v>2300</v>
      </c>
      <c r="P146" s="75">
        <f t="shared" si="22"/>
        <v>1</v>
      </c>
    </row>
    <row r="147" spans="7:16" x14ac:dyDescent="0.25">
      <c r="G147" s="75">
        <f>'PPC Usine-Zamba'!G147</f>
        <v>0</v>
      </c>
      <c r="H147" s="75">
        <f>'PPC Usine-Zamba'!AC147</f>
        <v>0</v>
      </c>
      <c r="I147" s="75">
        <f>Tableau1[[#This Row],[USD]]*$J$4</f>
        <v>0</v>
      </c>
      <c r="J147" s="75">
        <f t="shared" si="17"/>
        <v>0</v>
      </c>
      <c r="K147" s="75">
        <f t="shared" si="23"/>
        <v>0</v>
      </c>
      <c r="L147" s="75">
        <f t="shared" si="18"/>
        <v>0</v>
      </c>
      <c r="M147" s="75">
        <f t="shared" si="19"/>
        <v>2300</v>
      </c>
      <c r="N147" s="75">
        <f t="shared" si="20"/>
        <v>0</v>
      </c>
      <c r="O147" s="75">
        <f t="shared" si="21"/>
        <v>2300</v>
      </c>
      <c r="P147" s="75">
        <f t="shared" si="22"/>
        <v>1</v>
      </c>
    </row>
    <row r="148" spans="7:16" x14ac:dyDescent="0.25">
      <c r="G148" s="75">
        <f>'PPC Usine-Zamba'!G148</f>
        <v>0</v>
      </c>
      <c r="H148" s="75">
        <f>'PPC Usine-Zamba'!AC148</f>
        <v>0</v>
      </c>
      <c r="I148" s="75">
        <f>Tableau1[[#This Row],[USD]]*$J$4</f>
        <v>0</v>
      </c>
      <c r="J148" s="75">
        <f t="shared" si="17"/>
        <v>0</v>
      </c>
      <c r="K148" s="75">
        <f t="shared" si="23"/>
        <v>0</v>
      </c>
      <c r="L148" s="75">
        <f t="shared" si="18"/>
        <v>0</v>
      </c>
      <c r="M148" s="75">
        <f t="shared" si="19"/>
        <v>2300</v>
      </c>
      <c r="N148" s="75">
        <f t="shared" si="20"/>
        <v>0</v>
      </c>
      <c r="O148" s="75">
        <f t="shared" si="21"/>
        <v>2300</v>
      </c>
      <c r="P148" s="75">
        <f t="shared" si="22"/>
        <v>1</v>
      </c>
    </row>
    <row r="149" spans="7:16" x14ac:dyDescent="0.25">
      <c r="G149" s="75">
        <f>'PPC Usine-Zamba'!G149</f>
        <v>0</v>
      </c>
      <c r="H149" s="75">
        <f>'PPC Usine-Zamba'!AC149</f>
        <v>0</v>
      </c>
      <c r="I149" s="75">
        <f>Tableau1[[#This Row],[USD]]*$J$4</f>
        <v>0</v>
      </c>
      <c r="J149" s="75">
        <f t="shared" si="17"/>
        <v>0</v>
      </c>
      <c r="K149" s="75">
        <f t="shared" si="23"/>
        <v>0</v>
      </c>
      <c r="L149" s="75">
        <f t="shared" si="18"/>
        <v>0</v>
      </c>
      <c r="M149" s="75">
        <f t="shared" si="19"/>
        <v>2300</v>
      </c>
      <c r="N149" s="75">
        <f t="shared" si="20"/>
        <v>0</v>
      </c>
      <c r="O149" s="75">
        <f t="shared" si="21"/>
        <v>2300</v>
      </c>
      <c r="P149" s="75">
        <f t="shared" si="22"/>
        <v>1</v>
      </c>
    </row>
    <row r="150" spans="7:16" x14ac:dyDescent="0.25">
      <c r="G150" s="75">
        <f>'PPC Usine-Zamba'!G150</f>
        <v>0</v>
      </c>
      <c r="H150" s="75">
        <f>'PPC Usine-Zamba'!AC150</f>
        <v>0</v>
      </c>
      <c r="I150" s="75">
        <f>Tableau1[[#This Row],[USD]]*$J$4</f>
        <v>0</v>
      </c>
      <c r="J150" s="75">
        <f t="shared" si="17"/>
        <v>0</v>
      </c>
      <c r="K150" s="75">
        <f t="shared" si="23"/>
        <v>0</v>
      </c>
      <c r="L150" s="75">
        <f t="shared" si="18"/>
        <v>0</v>
      </c>
      <c r="M150" s="75">
        <f t="shared" si="19"/>
        <v>2300</v>
      </c>
      <c r="N150" s="75">
        <f t="shared" si="20"/>
        <v>0</v>
      </c>
      <c r="O150" s="75">
        <f t="shared" si="21"/>
        <v>2300</v>
      </c>
      <c r="P150" s="75">
        <f t="shared" si="22"/>
        <v>1</v>
      </c>
    </row>
    <row r="151" spans="7:16" x14ac:dyDescent="0.25">
      <c r="G151" s="75">
        <f>'PPC Usine-Zamba'!G151</f>
        <v>0</v>
      </c>
      <c r="H151" s="75">
        <f>'PPC Usine-Zamba'!AC151</f>
        <v>0</v>
      </c>
      <c r="I151" s="75">
        <f>Tableau1[[#This Row],[USD]]*$J$4</f>
        <v>0</v>
      </c>
      <c r="J151" s="75">
        <f t="shared" si="17"/>
        <v>0</v>
      </c>
      <c r="K151" s="75">
        <f t="shared" si="23"/>
        <v>0</v>
      </c>
      <c r="L151" s="75">
        <f t="shared" si="18"/>
        <v>0</v>
      </c>
      <c r="M151" s="75">
        <f t="shared" si="19"/>
        <v>2300</v>
      </c>
      <c r="N151" s="75">
        <f t="shared" si="20"/>
        <v>0</v>
      </c>
      <c r="O151" s="75">
        <f t="shared" si="21"/>
        <v>2300</v>
      </c>
      <c r="P151" s="75">
        <f t="shared" si="22"/>
        <v>1</v>
      </c>
    </row>
    <row r="152" spans="7:16" x14ac:dyDescent="0.25">
      <c r="G152" s="75">
        <f>'PPC Usine-Zamba'!G152</f>
        <v>0</v>
      </c>
      <c r="H152" s="75">
        <f>'PPC Usine-Zamba'!AC152</f>
        <v>0</v>
      </c>
      <c r="I152" s="75">
        <f>Tableau1[[#This Row],[USD]]*$J$4</f>
        <v>0</v>
      </c>
      <c r="J152" s="75">
        <f t="shared" si="17"/>
        <v>0</v>
      </c>
      <c r="K152" s="75">
        <f t="shared" si="23"/>
        <v>0</v>
      </c>
      <c r="L152" s="75">
        <f t="shared" si="18"/>
        <v>0</v>
      </c>
      <c r="M152" s="75">
        <f t="shared" si="19"/>
        <v>2300</v>
      </c>
      <c r="N152" s="75">
        <f t="shared" si="20"/>
        <v>0</v>
      </c>
      <c r="O152" s="75">
        <f t="shared" si="21"/>
        <v>2300</v>
      </c>
      <c r="P152" s="75">
        <f t="shared" si="22"/>
        <v>1</v>
      </c>
    </row>
    <row r="153" spans="7:16" x14ac:dyDescent="0.25">
      <c r="G153" s="75">
        <f>'PPC Usine-Zamba'!G153</f>
        <v>0</v>
      </c>
      <c r="H153" s="75">
        <f>'PPC Usine-Zamba'!AC153</f>
        <v>0</v>
      </c>
      <c r="I153" s="75">
        <f>Tableau1[[#This Row],[USD]]*$J$4</f>
        <v>0</v>
      </c>
      <c r="J153" s="75">
        <f t="shared" si="17"/>
        <v>0</v>
      </c>
      <c r="K153" s="75">
        <f t="shared" si="23"/>
        <v>0</v>
      </c>
      <c r="L153" s="75">
        <f t="shared" si="18"/>
        <v>0</v>
      </c>
      <c r="M153" s="75">
        <f t="shared" si="19"/>
        <v>2300</v>
      </c>
      <c r="N153" s="75">
        <f t="shared" si="20"/>
        <v>0</v>
      </c>
      <c r="O153" s="75">
        <f t="shared" si="21"/>
        <v>2300</v>
      </c>
      <c r="P153" s="75">
        <f t="shared" si="22"/>
        <v>1</v>
      </c>
    </row>
    <row r="154" spans="7:16" x14ac:dyDescent="0.25">
      <c r="G154" s="75">
        <f>'PPC Usine-Zamba'!G154</f>
        <v>0</v>
      </c>
      <c r="H154" s="75">
        <f>'PPC Usine-Zamba'!AC154</f>
        <v>0</v>
      </c>
      <c r="I154" s="75">
        <f>Tableau1[[#This Row],[USD]]*$J$4</f>
        <v>0</v>
      </c>
      <c r="J154" s="75">
        <f t="shared" si="17"/>
        <v>0</v>
      </c>
      <c r="K154" s="75">
        <f t="shared" si="23"/>
        <v>0</v>
      </c>
      <c r="L154" s="75">
        <f t="shared" si="18"/>
        <v>0</v>
      </c>
      <c r="M154" s="75">
        <f t="shared" si="19"/>
        <v>2300</v>
      </c>
      <c r="N154" s="75">
        <f t="shared" si="20"/>
        <v>0</v>
      </c>
      <c r="O154" s="75">
        <f t="shared" si="21"/>
        <v>2300</v>
      </c>
      <c r="P154" s="75">
        <f t="shared" si="22"/>
        <v>1</v>
      </c>
    </row>
    <row r="155" spans="7:16" x14ac:dyDescent="0.25">
      <c r="G155" s="75">
        <f>'PPC Usine-Zamba'!G155</f>
        <v>0</v>
      </c>
      <c r="H155" s="75">
        <f>'PPC Usine-Zamba'!AC155</f>
        <v>0</v>
      </c>
      <c r="I155" s="75">
        <f>Tableau1[[#This Row],[USD]]*$J$4</f>
        <v>0</v>
      </c>
      <c r="J155" s="75">
        <f t="shared" si="17"/>
        <v>0</v>
      </c>
      <c r="K155" s="75">
        <f t="shared" si="23"/>
        <v>0</v>
      </c>
      <c r="L155" s="75">
        <f t="shared" si="18"/>
        <v>0</v>
      </c>
      <c r="M155" s="75">
        <f t="shared" si="19"/>
        <v>2300</v>
      </c>
      <c r="N155" s="75">
        <f t="shared" si="20"/>
        <v>0</v>
      </c>
      <c r="O155" s="75">
        <f t="shared" si="21"/>
        <v>2300</v>
      </c>
      <c r="P155" s="75">
        <f t="shared" si="22"/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Sheet1 (2)</vt:lpstr>
      <vt:lpstr>PPC Usine-Zamba</vt:lpstr>
      <vt:lpstr>Moteur IPR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Muakasa</dc:creator>
  <cp:lastModifiedBy>Tony Marques</cp:lastModifiedBy>
  <dcterms:created xsi:type="dcterms:W3CDTF">2026-09-17T12:30:11Z</dcterms:created>
  <dcterms:modified xsi:type="dcterms:W3CDTF">2026-09-21T15:11:30Z</dcterms:modified>
</cp:coreProperties>
</file>