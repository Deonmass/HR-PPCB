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pports\July 26\"/>
    </mc:Choice>
  </mc:AlternateContent>
  <xr:revisionPtr revIDLastSave="0" documentId="13_ncr:1_{1AFE5433-9D0F-486F-8CE6-B940A23B5FBD}" xr6:coauthVersionLast="47" xr6:coauthVersionMax="47" xr10:uidLastSave="{00000000-0000-0000-0000-000000000000}"/>
  <bookViews>
    <workbookView xWindow="28680" yWindow="-120" windowWidth="29040" windowHeight="15720" tabRatio="944" activeTab="1" xr2:uid="{3BBFCFA5-0FCA-4D0F-8ED2-1D68D5C6E063}"/>
  </bookViews>
  <sheets>
    <sheet name="Params" sheetId="2" r:id="rId1"/>
    <sheet name="BASE" sheetId="1" r:id="rId2"/>
    <sheet name="Headacount" sheetId="3" r:id="rId3"/>
    <sheet name="IN OUT" sheetId="5" r:id="rId4"/>
    <sheet name="Staff_Cost_KPI" sheetId="6" r:id="rId5"/>
    <sheet name="OVT" sheetId="8" r:id="rId6"/>
    <sheet name="overtime_base" sheetId="4" r:id="rId7"/>
    <sheet name="leavebalances_base" sheetId="9" r:id="rId8"/>
  </sheets>
  <externalReferences>
    <externalReference r:id="rId9"/>
  </externalReferences>
  <definedNames>
    <definedName name="_xlnm._FilterDatabase" localSheetId="1" hidden="1">BASE!$A$1:$R$1</definedName>
    <definedName name="_xlnm._FilterDatabase" localSheetId="7" hidden="1">leavebalances_base!$A$1:$AF$1229</definedName>
    <definedName name="_xlnm._FilterDatabase" localSheetId="6" hidden="1">overtime_base!$A$1:$G$1</definedName>
    <definedName name="AFFILIATION_SYNDICALE_DECEMBRE_2015">#REF!</definedName>
    <definedName name="Day_One">#REF!</definedName>
    <definedName name="FACTURE">#REF!</definedName>
    <definedName name="SYNDICAT">#REF!</definedName>
    <definedName name="SYNDICATII">#REF!</definedName>
    <definedName name="VAR">#REF!</definedName>
  </definedNames>
  <calcPr calcId="191029"/>
  <pivotCaches>
    <pivotCache cacheId="9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4" i="8" l="1"/>
  <c r="T4" i="8"/>
  <c r="U4" i="8"/>
  <c r="V4" i="8"/>
  <c r="W4" i="8"/>
  <c r="S5" i="8"/>
  <c r="T5" i="8"/>
  <c r="U5" i="8"/>
  <c r="V5" i="8"/>
  <c r="W5" i="8"/>
  <c r="S6" i="8"/>
  <c r="T6" i="8"/>
  <c r="U6" i="8"/>
  <c r="V6" i="8"/>
  <c r="W6" i="8"/>
  <c r="S7" i="8"/>
  <c r="T7" i="8"/>
  <c r="U7" i="8"/>
  <c r="V7" i="8"/>
  <c r="W7" i="8"/>
  <c r="S8" i="8"/>
  <c r="T8" i="8"/>
  <c r="U8" i="8"/>
  <c r="V8" i="8"/>
  <c r="W8" i="8"/>
  <c r="S9" i="8"/>
  <c r="T9" i="8"/>
  <c r="U9" i="8"/>
  <c r="V9" i="8"/>
  <c r="W9" i="8"/>
  <c r="S10" i="8"/>
  <c r="T10" i="8"/>
  <c r="U10" i="8"/>
  <c r="V10" i="8"/>
  <c r="W10" i="8"/>
  <c r="S11" i="8"/>
  <c r="T11" i="8"/>
  <c r="U11" i="8"/>
  <c r="V11" i="8"/>
  <c r="W11" i="8"/>
  <c r="S12" i="8"/>
  <c r="T12" i="8"/>
  <c r="U12" i="8"/>
  <c r="V12" i="8"/>
  <c r="W12" i="8"/>
  <c r="S13" i="8"/>
  <c r="T13" i="8"/>
  <c r="U13" i="8"/>
  <c r="V13" i="8"/>
  <c r="W13" i="8"/>
  <c r="S14" i="8"/>
  <c r="T14" i="8"/>
  <c r="U14" i="8"/>
  <c r="V14" i="8"/>
  <c r="W14" i="8"/>
  <c r="S15" i="8"/>
  <c r="T15" i="8"/>
  <c r="U15" i="8"/>
  <c r="V15" i="8"/>
  <c r="W15" i="8"/>
  <c r="S16" i="8"/>
  <c r="T16" i="8"/>
  <c r="U16" i="8"/>
  <c r="V16" i="8"/>
  <c r="W16" i="8"/>
  <c r="S17" i="8"/>
  <c r="T17" i="8"/>
  <c r="U17" i="8"/>
  <c r="V17" i="8"/>
  <c r="W17" i="8"/>
  <c r="S18" i="8"/>
  <c r="T18" i="8"/>
  <c r="U18" i="8"/>
  <c r="V18" i="8"/>
  <c r="W18" i="8"/>
  <c r="S19" i="8"/>
  <c r="T19" i="8"/>
  <c r="U19" i="8"/>
  <c r="V19" i="8"/>
  <c r="W19" i="8"/>
  <c r="S20" i="8"/>
  <c r="T20" i="8"/>
  <c r="U20" i="8"/>
  <c r="V20" i="8"/>
  <c r="W20" i="8"/>
  <c r="S21" i="8"/>
  <c r="T21" i="8"/>
  <c r="U21" i="8"/>
  <c r="V21" i="8"/>
  <c r="W21" i="8"/>
  <c r="S22" i="8"/>
  <c r="T22" i="8"/>
  <c r="U22" i="8"/>
  <c r="V22" i="8"/>
  <c r="W22" i="8"/>
  <c r="S23" i="8"/>
  <c r="T23" i="8"/>
  <c r="U23" i="8"/>
  <c r="V23" i="8"/>
  <c r="W23" i="8"/>
  <c r="S24" i="8"/>
  <c r="T24" i="8"/>
  <c r="U24" i="8"/>
  <c r="V24" i="8"/>
  <c r="W24" i="8"/>
  <c r="S25" i="8"/>
  <c r="T25" i="8"/>
  <c r="U25" i="8"/>
  <c r="V25" i="8"/>
  <c r="W25" i="8"/>
  <c r="S26" i="8"/>
  <c r="T26" i="8"/>
  <c r="U26" i="8"/>
  <c r="V26" i="8"/>
  <c r="W26" i="8"/>
  <c r="S27" i="8"/>
  <c r="T27" i="8"/>
  <c r="U27" i="8"/>
  <c r="V27" i="8"/>
  <c r="W27" i="8"/>
  <c r="S28" i="8"/>
  <c r="T28" i="8"/>
  <c r="U28" i="8"/>
  <c r="V28" i="8"/>
  <c r="W28" i="8"/>
  <c r="S29" i="8"/>
  <c r="T29" i="8"/>
  <c r="U29" i="8"/>
  <c r="V29" i="8"/>
  <c r="W29" i="8"/>
  <c r="S30" i="8"/>
  <c r="T30" i="8"/>
  <c r="U30" i="8"/>
  <c r="V30" i="8"/>
  <c r="W30" i="8"/>
  <c r="S31" i="8"/>
  <c r="T31" i="8"/>
  <c r="U31" i="8"/>
  <c r="V31" i="8"/>
  <c r="W31" i="8"/>
  <c r="S32" i="8"/>
  <c r="T32" i="8"/>
  <c r="U32" i="8"/>
  <c r="V32" i="8"/>
  <c r="W32" i="8"/>
  <c r="S33" i="8"/>
  <c r="T33" i="8"/>
  <c r="U33" i="8"/>
  <c r="V33" i="8"/>
  <c r="W33" i="8"/>
  <c r="S34" i="8"/>
  <c r="T34" i="8"/>
  <c r="U34" i="8"/>
  <c r="V34" i="8"/>
  <c r="W34" i="8"/>
  <c r="S35" i="8"/>
  <c r="T35" i="8"/>
  <c r="U35" i="8"/>
  <c r="V35" i="8"/>
  <c r="W35" i="8"/>
  <c r="S36" i="8"/>
  <c r="T36" i="8"/>
  <c r="U36" i="8"/>
  <c r="V36" i="8"/>
  <c r="W36" i="8"/>
  <c r="S37" i="8"/>
  <c r="T37" i="8"/>
  <c r="U37" i="8"/>
  <c r="V37" i="8"/>
  <c r="W37" i="8"/>
  <c r="S38" i="8"/>
  <c r="T38" i="8"/>
  <c r="U38" i="8"/>
  <c r="V38" i="8"/>
  <c r="W38" i="8"/>
  <c r="S39" i="8"/>
  <c r="T39" i="8"/>
  <c r="U39" i="8"/>
  <c r="V39" i="8"/>
  <c r="W39" i="8"/>
  <c r="S40" i="8"/>
  <c r="T40" i="8"/>
  <c r="U40" i="8"/>
  <c r="V40" i="8"/>
  <c r="W40" i="8"/>
  <c r="S41" i="8"/>
  <c r="T41" i="8"/>
  <c r="U41" i="8"/>
  <c r="V41" i="8"/>
  <c r="W41" i="8"/>
  <c r="S42" i="8"/>
  <c r="T42" i="8"/>
  <c r="U42" i="8"/>
  <c r="V42" i="8"/>
  <c r="W42" i="8"/>
  <c r="S43" i="8"/>
  <c r="T43" i="8"/>
  <c r="U43" i="8"/>
  <c r="V43" i="8"/>
  <c r="W43" i="8"/>
  <c r="S44" i="8"/>
  <c r="T44" i="8"/>
  <c r="U44" i="8"/>
  <c r="V44" i="8"/>
  <c r="W44" i="8"/>
  <c r="S45" i="8"/>
  <c r="T45" i="8"/>
  <c r="U45" i="8"/>
  <c r="V45" i="8"/>
  <c r="W45" i="8"/>
  <c r="S46" i="8"/>
  <c r="T46" i="8"/>
  <c r="U46" i="8"/>
  <c r="V46" i="8"/>
  <c r="W46" i="8"/>
  <c r="S47" i="8"/>
  <c r="T47" i="8"/>
  <c r="U47" i="8"/>
  <c r="V47" i="8"/>
  <c r="W47" i="8"/>
  <c r="S48" i="8"/>
  <c r="T48" i="8"/>
  <c r="U48" i="8"/>
  <c r="V48" i="8"/>
  <c r="W48" i="8"/>
  <c r="S49" i="8"/>
  <c r="T49" i="8"/>
  <c r="U49" i="8"/>
  <c r="V49" i="8"/>
  <c r="W49" i="8"/>
  <c r="S50" i="8"/>
  <c r="T50" i="8"/>
  <c r="U50" i="8"/>
  <c r="V50" i="8"/>
  <c r="W50" i="8"/>
  <c r="S51" i="8"/>
  <c r="T51" i="8"/>
  <c r="U51" i="8"/>
  <c r="V51" i="8"/>
  <c r="W51" i="8"/>
  <c r="S52" i="8"/>
  <c r="T52" i="8"/>
  <c r="U52" i="8"/>
  <c r="V52" i="8"/>
  <c r="W52" i="8"/>
  <c r="S53" i="8"/>
  <c r="T53" i="8"/>
  <c r="U53" i="8"/>
  <c r="V53" i="8"/>
  <c r="W53" i="8"/>
  <c r="S54" i="8"/>
  <c r="T54" i="8"/>
  <c r="U54" i="8"/>
  <c r="V54" i="8"/>
  <c r="W54" i="8"/>
  <c r="U3" i="8"/>
  <c r="T3" i="8"/>
  <c r="V3" i="8"/>
  <c r="S3" i="8"/>
  <c r="W3" i="8"/>
  <c r="R3" i="8" a="1"/>
  <c r="R3" i="8" s="1"/>
  <c r="N43" i="8"/>
  <c r="E43" i="8"/>
  <c r="C43" i="8"/>
  <c r="N39" i="8"/>
  <c r="M39" i="8"/>
  <c r="M43" i="8" s="1"/>
  <c r="L39" i="8"/>
  <c r="L43" i="8" s="1"/>
  <c r="K39" i="8"/>
  <c r="K43" i="8" s="1"/>
  <c r="J39" i="8"/>
  <c r="J43" i="8" s="1"/>
  <c r="I39" i="8"/>
  <c r="I43" i="8" s="1"/>
  <c r="H39" i="8"/>
  <c r="H43" i="8" s="1"/>
  <c r="G39" i="8"/>
  <c r="G43" i="8" s="1"/>
  <c r="D39" i="8"/>
  <c r="D43" i="8" s="1"/>
  <c r="C39" i="8"/>
  <c r="B39" i="8"/>
  <c r="N29" i="8"/>
  <c r="M29" i="8"/>
  <c r="L29" i="8"/>
  <c r="K29" i="8"/>
  <c r="J29" i="8"/>
  <c r="I29" i="8"/>
  <c r="H29" i="8"/>
  <c r="G29" i="8"/>
  <c r="E29" i="8"/>
  <c r="D29" i="8"/>
  <c r="C29" i="8"/>
  <c r="B29" i="8"/>
  <c r="O3" i="1" a="1"/>
  <c r="O3" i="1" s="1"/>
  <c r="P3" i="1" a="1"/>
  <c r="P3" i="1" s="1"/>
  <c r="O4" i="1" a="1"/>
  <c r="O4" i="1" s="1"/>
  <c r="P4" i="1" a="1"/>
  <c r="P4" i="1" s="1"/>
  <c r="O5" i="1" a="1"/>
  <c r="O5" i="1" s="1"/>
  <c r="P5" i="1" a="1"/>
  <c r="P5" i="1"/>
  <c r="O6" i="1" a="1"/>
  <c r="O6" i="1" s="1"/>
  <c r="P6" i="1" a="1"/>
  <c r="P6" i="1" s="1"/>
  <c r="O7" i="1" a="1"/>
  <c r="O7" i="1" s="1"/>
  <c r="P7" i="1" a="1"/>
  <c r="P7" i="1" s="1"/>
  <c r="O8" i="1" a="1"/>
  <c r="O8" i="1" s="1"/>
  <c r="P8" i="1" a="1"/>
  <c r="P8" i="1" s="1"/>
  <c r="O9" i="1" a="1"/>
  <c r="O9" i="1" s="1"/>
  <c r="P9" i="1" a="1"/>
  <c r="P9" i="1" s="1"/>
  <c r="O10" i="1" a="1"/>
  <c r="O10" i="1" s="1"/>
  <c r="P10" i="1" a="1"/>
  <c r="P10" i="1" s="1"/>
  <c r="O11" i="1" a="1"/>
  <c r="O11" i="1" s="1"/>
  <c r="P11" i="1" a="1"/>
  <c r="P11" i="1"/>
  <c r="O12" i="1" a="1"/>
  <c r="O12" i="1" s="1"/>
  <c r="P12" i="1" a="1"/>
  <c r="P12" i="1" s="1"/>
  <c r="O13" i="1" a="1"/>
  <c r="O13" i="1" s="1"/>
  <c r="P13" i="1" a="1"/>
  <c r="P13" i="1" s="1"/>
  <c r="O14" i="1" a="1"/>
  <c r="O14" i="1" s="1"/>
  <c r="P14" i="1" a="1"/>
  <c r="P14" i="1"/>
  <c r="O15" i="1" a="1"/>
  <c r="O15" i="1" s="1"/>
  <c r="P15" i="1" a="1"/>
  <c r="P15" i="1" s="1"/>
  <c r="O16" i="1" a="1"/>
  <c r="O16" i="1" s="1"/>
  <c r="P16" i="1" a="1"/>
  <c r="P16" i="1" s="1"/>
  <c r="O17" i="1" a="1"/>
  <c r="O17" i="1" s="1"/>
  <c r="P17" i="1" a="1"/>
  <c r="P17" i="1" s="1"/>
  <c r="O18" i="1" a="1"/>
  <c r="O18" i="1" s="1"/>
  <c r="P18" i="1" a="1"/>
  <c r="P18" i="1" s="1"/>
  <c r="O19" i="1" a="1"/>
  <c r="O19" i="1" s="1"/>
  <c r="P19" i="1" a="1"/>
  <c r="P19" i="1" s="1"/>
  <c r="O20" i="1" a="1"/>
  <c r="O20" i="1" s="1"/>
  <c r="P20" i="1" a="1"/>
  <c r="P20" i="1"/>
  <c r="O21" i="1" a="1"/>
  <c r="O21" i="1" s="1"/>
  <c r="P21" i="1" a="1"/>
  <c r="P21" i="1" s="1"/>
  <c r="O22" i="1" a="1"/>
  <c r="O22" i="1" s="1"/>
  <c r="P22" i="1" a="1"/>
  <c r="P22" i="1" s="1"/>
  <c r="O23" i="1" a="1"/>
  <c r="O23" i="1" s="1"/>
  <c r="P23" i="1" a="1"/>
  <c r="P23" i="1"/>
  <c r="O24" i="1" a="1"/>
  <c r="O24" i="1" s="1"/>
  <c r="P24" i="1" a="1"/>
  <c r="P24" i="1" s="1"/>
  <c r="O25" i="1" a="1"/>
  <c r="O25" i="1" s="1"/>
  <c r="P25" i="1" a="1"/>
  <c r="P25" i="1" s="1"/>
  <c r="O26" i="1" a="1"/>
  <c r="O26" i="1" s="1"/>
  <c r="P26" i="1" a="1"/>
  <c r="P26" i="1" s="1"/>
  <c r="O27" i="1" a="1"/>
  <c r="O27" i="1" s="1"/>
  <c r="P27" i="1" a="1"/>
  <c r="P27" i="1" s="1"/>
  <c r="O28" i="1" a="1"/>
  <c r="O28" i="1" s="1"/>
  <c r="P28" i="1" a="1"/>
  <c r="P28" i="1" s="1"/>
  <c r="O29" i="1" a="1"/>
  <c r="O29" i="1" s="1"/>
  <c r="P29" i="1" a="1"/>
  <c r="P29" i="1"/>
  <c r="O30" i="1" a="1"/>
  <c r="O30" i="1" s="1"/>
  <c r="P30" i="1" a="1"/>
  <c r="P30" i="1" s="1"/>
  <c r="O31" i="1" a="1"/>
  <c r="O31" i="1" s="1"/>
  <c r="P31" i="1" a="1"/>
  <c r="P31" i="1" s="1"/>
  <c r="O32" i="1" a="1"/>
  <c r="O32" i="1" s="1"/>
  <c r="P32" i="1" a="1"/>
  <c r="P32" i="1"/>
  <c r="O33" i="1" a="1"/>
  <c r="O33" i="1" s="1"/>
  <c r="P33" i="1" a="1"/>
  <c r="P33" i="1" s="1"/>
  <c r="O34" i="1" a="1"/>
  <c r="O34" i="1" s="1"/>
  <c r="P34" i="1" a="1"/>
  <c r="P34" i="1" s="1"/>
  <c r="O35" i="1" a="1"/>
  <c r="O35" i="1" s="1"/>
  <c r="P35" i="1" a="1"/>
  <c r="P35" i="1" s="1"/>
  <c r="O36" i="1" a="1"/>
  <c r="O36" i="1" s="1"/>
  <c r="P36" i="1" a="1"/>
  <c r="P36" i="1" s="1"/>
  <c r="O37" i="1" a="1"/>
  <c r="O37" i="1" s="1"/>
  <c r="P37" i="1" a="1"/>
  <c r="P37" i="1" s="1"/>
  <c r="O38" i="1" a="1"/>
  <c r="O38" i="1" s="1"/>
  <c r="P38" i="1" a="1"/>
  <c r="P38" i="1"/>
  <c r="O39" i="1" a="1"/>
  <c r="O39" i="1" s="1"/>
  <c r="P39" i="1" a="1"/>
  <c r="P39" i="1" s="1"/>
  <c r="O40" i="1" a="1"/>
  <c r="O40" i="1" s="1"/>
  <c r="P40" i="1" a="1"/>
  <c r="P40" i="1" s="1"/>
  <c r="O41" i="1" a="1"/>
  <c r="O41" i="1" s="1"/>
  <c r="P41" i="1" a="1"/>
  <c r="P41" i="1"/>
  <c r="O42" i="1" a="1"/>
  <c r="O42" i="1" s="1"/>
  <c r="P42" i="1" a="1"/>
  <c r="P42" i="1" s="1"/>
  <c r="O43" i="1" a="1"/>
  <c r="O43" i="1" s="1"/>
  <c r="P43" i="1" a="1"/>
  <c r="P43" i="1" s="1"/>
  <c r="O44" i="1" a="1"/>
  <c r="O44" i="1" s="1"/>
  <c r="P44" i="1" a="1"/>
  <c r="P44" i="1" s="1"/>
  <c r="O45" i="1" a="1"/>
  <c r="O45" i="1" s="1"/>
  <c r="P45" i="1" a="1"/>
  <c r="P45" i="1" s="1"/>
  <c r="O46" i="1" a="1"/>
  <c r="O46" i="1" s="1"/>
  <c r="P46" i="1" a="1"/>
  <c r="P46" i="1" s="1"/>
  <c r="O47" i="1" a="1"/>
  <c r="O47" i="1" s="1"/>
  <c r="P47" i="1" a="1"/>
  <c r="P47" i="1"/>
  <c r="O48" i="1" a="1"/>
  <c r="O48" i="1" s="1"/>
  <c r="P48" i="1" a="1"/>
  <c r="P48" i="1" s="1"/>
  <c r="O49" i="1" a="1"/>
  <c r="O49" i="1" s="1"/>
  <c r="P49" i="1" a="1"/>
  <c r="P49" i="1" s="1"/>
  <c r="O50" i="1" a="1"/>
  <c r="O50" i="1" s="1"/>
  <c r="P50" i="1" a="1"/>
  <c r="P50" i="1"/>
  <c r="O51" i="1" a="1"/>
  <c r="O51" i="1" s="1"/>
  <c r="P51" i="1" a="1"/>
  <c r="P51" i="1" s="1"/>
  <c r="O52" i="1" a="1"/>
  <c r="O52" i="1" s="1"/>
  <c r="P52" i="1" a="1"/>
  <c r="P52" i="1" s="1"/>
  <c r="O53" i="1" a="1"/>
  <c r="O53" i="1" s="1"/>
  <c r="P53" i="1" a="1"/>
  <c r="P53" i="1" s="1"/>
  <c r="O54" i="1" a="1"/>
  <c r="O54" i="1" s="1"/>
  <c r="P54" i="1" a="1"/>
  <c r="P54" i="1" s="1"/>
  <c r="O55" i="1" a="1"/>
  <c r="O55" i="1" s="1"/>
  <c r="P55" i="1" a="1"/>
  <c r="P55" i="1" s="1"/>
  <c r="O56" i="1" a="1"/>
  <c r="O56" i="1" s="1"/>
  <c r="P56" i="1" a="1"/>
  <c r="P56" i="1"/>
  <c r="O57" i="1" a="1"/>
  <c r="O57" i="1" s="1"/>
  <c r="P57" i="1" a="1"/>
  <c r="P57" i="1" s="1"/>
  <c r="O58" i="1" a="1"/>
  <c r="O58" i="1" s="1"/>
  <c r="P58" i="1" a="1"/>
  <c r="P58" i="1" s="1"/>
  <c r="O59" i="1" a="1"/>
  <c r="O59" i="1" s="1"/>
  <c r="P59" i="1" a="1"/>
  <c r="P59" i="1"/>
  <c r="O60" i="1" a="1"/>
  <c r="O60" i="1" s="1"/>
  <c r="P60" i="1" a="1"/>
  <c r="P60" i="1" s="1"/>
  <c r="O61" i="1" a="1"/>
  <c r="O61" i="1" s="1"/>
  <c r="P61" i="1" a="1"/>
  <c r="P61" i="1" s="1"/>
  <c r="O62" i="1" a="1"/>
  <c r="O62" i="1" s="1"/>
  <c r="P62" i="1" a="1"/>
  <c r="P62" i="1" s="1"/>
  <c r="O63" i="1" a="1"/>
  <c r="O63" i="1" s="1"/>
  <c r="P63" i="1" a="1"/>
  <c r="P63" i="1" s="1"/>
  <c r="O64" i="1" a="1"/>
  <c r="O64" i="1" s="1"/>
  <c r="P64" i="1" a="1"/>
  <c r="P64" i="1" s="1"/>
  <c r="O65" i="1" a="1"/>
  <c r="O65" i="1" s="1"/>
  <c r="P65" i="1" a="1"/>
  <c r="P65" i="1"/>
  <c r="O66" i="1" a="1"/>
  <c r="O66" i="1" s="1"/>
  <c r="P66" i="1" a="1"/>
  <c r="P66" i="1" s="1"/>
  <c r="O67" i="1" a="1"/>
  <c r="O67" i="1" s="1"/>
  <c r="P67" i="1" a="1"/>
  <c r="P67" i="1" s="1"/>
  <c r="O68" i="1" a="1"/>
  <c r="O68" i="1" s="1"/>
  <c r="P68" i="1" a="1"/>
  <c r="P68" i="1"/>
  <c r="O69" i="1" a="1"/>
  <c r="O69" i="1" s="1"/>
  <c r="P69" i="1" a="1"/>
  <c r="P69" i="1" s="1"/>
  <c r="O70" i="1" a="1"/>
  <c r="O70" i="1" s="1"/>
  <c r="P70" i="1" a="1"/>
  <c r="P70" i="1" s="1"/>
  <c r="O71" i="1" a="1"/>
  <c r="O71" i="1" s="1"/>
  <c r="P71" i="1" a="1"/>
  <c r="P71" i="1" s="1"/>
  <c r="O72" i="1" a="1"/>
  <c r="O72" i="1" s="1"/>
  <c r="P72" i="1" a="1"/>
  <c r="P72" i="1" s="1"/>
  <c r="O73" i="1" a="1"/>
  <c r="O73" i="1" s="1"/>
  <c r="P73" i="1" a="1"/>
  <c r="P73" i="1" s="1"/>
  <c r="O74" i="1" a="1"/>
  <c r="O74" i="1" s="1"/>
  <c r="P74" i="1" a="1"/>
  <c r="P74" i="1"/>
  <c r="O75" i="1" a="1"/>
  <c r="O75" i="1" s="1"/>
  <c r="P75" i="1" a="1"/>
  <c r="P75" i="1" s="1"/>
  <c r="O76" i="1" a="1"/>
  <c r="O76" i="1" s="1"/>
  <c r="P76" i="1" a="1"/>
  <c r="P76" i="1" s="1"/>
  <c r="O77" i="1" a="1"/>
  <c r="O77" i="1" s="1"/>
  <c r="P77" i="1" a="1"/>
  <c r="P77" i="1"/>
  <c r="O78" i="1" a="1"/>
  <c r="O78" i="1" s="1"/>
  <c r="P78" i="1" a="1"/>
  <c r="P78" i="1" s="1"/>
  <c r="O79" i="1" a="1"/>
  <c r="O79" i="1" s="1"/>
  <c r="P79" i="1" a="1"/>
  <c r="P79" i="1" s="1"/>
  <c r="O80" i="1" a="1"/>
  <c r="O80" i="1" s="1"/>
  <c r="P80" i="1" a="1"/>
  <c r="P80" i="1" s="1"/>
  <c r="O81" i="1" a="1"/>
  <c r="O81" i="1" s="1"/>
  <c r="P81" i="1" a="1"/>
  <c r="P81" i="1" s="1"/>
  <c r="O82" i="1" a="1"/>
  <c r="O82" i="1" s="1"/>
  <c r="P82" i="1" a="1"/>
  <c r="P82" i="1" s="1"/>
  <c r="O83" i="1" a="1"/>
  <c r="O83" i="1" s="1"/>
  <c r="P83" i="1" a="1"/>
  <c r="P83" i="1"/>
  <c r="O84" i="1" a="1"/>
  <c r="O84" i="1" s="1"/>
  <c r="P84" i="1" a="1"/>
  <c r="P84" i="1" s="1"/>
  <c r="O85" i="1" a="1"/>
  <c r="O85" i="1" s="1"/>
  <c r="P85" i="1" a="1"/>
  <c r="P85" i="1" s="1"/>
  <c r="O86" i="1" a="1"/>
  <c r="O86" i="1" s="1"/>
  <c r="P86" i="1" a="1"/>
  <c r="P86" i="1"/>
  <c r="O87" i="1" a="1"/>
  <c r="O87" i="1" s="1"/>
  <c r="P87" i="1" a="1"/>
  <c r="P87" i="1" s="1"/>
  <c r="O88" i="1" a="1"/>
  <c r="O88" i="1" s="1"/>
  <c r="P88" i="1" a="1"/>
  <c r="P88" i="1" s="1"/>
  <c r="O89" i="1" a="1"/>
  <c r="O89" i="1" s="1"/>
  <c r="P89" i="1" a="1"/>
  <c r="P89" i="1" s="1"/>
  <c r="O90" i="1" a="1"/>
  <c r="O90" i="1" s="1"/>
  <c r="P90" i="1" a="1"/>
  <c r="P90" i="1" s="1"/>
  <c r="O91" i="1" a="1"/>
  <c r="O91" i="1" s="1"/>
  <c r="P91" i="1" a="1"/>
  <c r="P91" i="1" s="1"/>
  <c r="O92" i="1" a="1"/>
  <c r="O92" i="1" s="1"/>
  <c r="P92" i="1" a="1"/>
  <c r="P92" i="1"/>
  <c r="O93" i="1" a="1"/>
  <c r="O93" i="1" s="1"/>
  <c r="P93" i="1" a="1"/>
  <c r="P93" i="1" s="1"/>
  <c r="O94" i="1" a="1"/>
  <c r="O94" i="1" s="1"/>
  <c r="P94" i="1" a="1"/>
  <c r="P94" i="1" s="1"/>
  <c r="O95" i="1" a="1"/>
  <c r="O95" i="1" s="1"/>
  <c r="P95" i="1" a="1"/>
  <c r="P95" i="1"/>
  <c r="O96" i="1" a="1"/>
  <c r="O96" i="1" s="1"/>
  <c r="P96" i="1" a="1"/>
  <c r="P96" i="1" s="1"/>
  <c r="O97" i="1" a="1"/>
  <c r="O97" i="1" s="1"/>
  <c r="P97" i="1" a="1"/>
  <c r="P97" i="1" s="1"/>
  <c r="O98" i="1" a="1"/>
  <c r="O98" i="1" s="1"/>
  <c r="P98" i="1" a="1"/>
  <c r="P98" i="1" s="1"/>
  <c r="O99" i="1" a="1"/>
  <c r="O99" i="1" s="1"/>
  <c r="P99" i="1" a="1"/>
  <c r="P99" i="1" s="1"/>
  <c r="O100" i="1" a="1"/>
  <c r="O100" i="1" s="1"/>
  <c r="P100" i="1" a="1"/>
  <c r="P100" i="1" s="1"/>
  <c r="O101" i="1" a="1"/>
  <c r="O101" i="1" s="1"/>
  <c r="P101" i="1" a="1"/>
  <c r="P101" i="1"/>
  <c r="O102" i="1" a="1"/>
  <c r="O102" i="1" s="1"/>
  <c r="P102" i="1" a="1"/>
  <c r="P102" i="1" s="1"/>
  <c r="O103" i="1" a="1"/>
  <c r="O103" i="1" s="1"/>
  <c r="P103" i="1" a="1"/>
  <c r="P103" i="1" s="1"/>
  <c r="O104" i="1" a="1"/>
  <c r="O104" i="1" s="1"/>
  <c r="P104" i="1" a="1"/>
  <c r="P104" i="1"/>
  <c r="O105" i="1" a="1"/>
  <c r="O105" i="1" s="1"/>
  <c r="P105" i="1" a="1"/>
  <c r="P105" i="1" s="1"/>
  <c r="O106" i="1" a="1"/>
  <c r="O106" i="1" s="1"/>
  <c r="P106" i="1" a="1"/>
  <c r="P106" i="1" s="1"/>
  <c r="O107" i="1" a="1"/>
  <c r="O107" i="1" s="1"/>
  <c r="P107" i="1" a="1"/>
  <c r="P107" i="1" s="1"/>
  <c r="O108" i="1" a="1"/>
  <c r="O108" i="1" s="1"/>
  <c r="P108" i="1" a="1"/>
  <c r="P108" i="1" s="1"/>
  <c r="O109" i="1" a="1"/>
  <c r="O109" i="1" s="1"/>
  <c r="P109" i="1" a="1"/>
  <c r="P109" i="1" s="1"/>
  <c r="O110" i="1" a="1"/>
  <c r="O110" i="1" s="1"/>
  <c r="P110" i="1" a="1"/>
  <c r="P110" i="1"/>
  <c r="O111" i="1" a="1"/>
  <c r="O111" i="1" s="1"/>
  <c r="P111" i="1" a="1"/>
  <c r="P111" i="1" s="1"/>
  <c r="O112" i="1" a="1"/>
  <c r="O112" i="1" s="1"/>
  <c r="P112" i="1" a="1"/>
  <c r="P112" i="1" s="1"/>
  <c r="O113" i="1" a="1"/>
  <c r="O113" i="1" s="1"/>
  <c r="P113" i="1" a="1"/>
  <c r="P113" i="1"/>
  <c r="O114" i="1" a="1"/>
  <c r="O114" i="1" s="1"/>
  <c r="P114" i="1" a="1"/>
  <c r="P114" i="1" s="1"/>
  <c r="O115" i="1" a="1"/>
  <c r="O115" i="1" s="1"/>
  <c r="P115" i="1" a="1"/>
  <c r="P115" i="1" s="1"/>
  <c r="O116" i="1" a="1"/>
  <c r="O116" i="1" s="1"/>
  <c r="P116" i="1" a="1"/>
  <c r="P116" i="1" s="1"/>
  <c r="O117" i="1" a="1"/>
  <c r="O117" i="1" s="1"/>
  <c r="P117" i="1" a="1"/>
  <c r="P117" i="1" s="1"/>
  <c r="O118" i="1" a="1"/>
  <c r="O118" i="1" s="1"/>
  <c r="P118" i="1" a="1"/>
  <c r="P118" i="1" s="1"/>
  <c r="O119" i="1" a="1"/>
  <c r="O119" i="1" s="1"/>
  <c r="P119" i="1" a="1"/>
  <c r="P119" i="1"/>
  <c r="O120" i="1" a="1"/>
  <c r="O120" i="1" s="1"/>
  <c r="P120" i="1" a="1"/>
  <c r="P120" i="1" s="1"/>
  <c r="O121" i="1" a="1"/>
  <c r="O121" i="1" s="1"/>
  <c r="P121" i="1" a="1"/>
  <c r="P121" i="1" s="1"/>
  <c r="O122" i="1" a="1"/>
  <c r="O122" i="1" s="1"/>
  <c r="P122" i="1" a="1"/>
  <c r="P122" i="1"/>
  <c r="O123" i="1" a="1"/>
  <c r="O123" i="1" s="1"/>
  <c r="P123" i="1" a="1"/>
  <c r="P123" i="1" s="1"/>
  <c r="O124" i="1" a="1"/>
  <c r="O124" i="1" s="1"/>
  <c r="P124" i="1" a="1"/>
  <c r="P124" i="1" s="1"/>
  <c r="O125" i="1" a="1"/>
  <c r="O125" i="1" s="1"/>
  <c r="P125" i="1" a="1"/>
  <c r="P125" i="1" s="1"/>
  <c r="O126" i="1" a="1"/>
  <c r="O126" i="1" s="1"/>
  <c r="P126" i="1" a="1"/>
  <c r="P126" i="1" s="1"/>
  <c r="O127" i="1" a="1"/>
  <c r="O127" i="1" s="1"/>
  <c r="P127" i="1" a="1"/>
  <c r="P127" i="1" s="1"/>
  <c r="O128" i="1" a="1"/>
  <c r="O128" i="1" s="1"/>
  <c r="P128" i="1" a="1"/>
  <c r="P128" i="1"/>
  <c r="O129" i="1" a="1"/>
  <c r="O129" i="1" s="1"/>
  <c r="P129" i="1" a="1"/>
  <c r="P129" i="1" s="1"/>
  <c r="O130" i="1" a="1"/>
  <c r="O130" i="1" s="1"/>
  <c r="P130" i="1" a="1"/>
  <c r="P130" i="1" s="1"/>
  <c r="O131" i="1" a="1"/>
  <c r="O131" i="1" s="1"/>
  <c r="P131" i="1" a="1"/>
  <c r="P131" i="1"/>
  <c r="O132" i="1" a="1"/>
  <c r="O132" i="1" s="1"/>
  <c r="P132" i="1" a="1"/>
  <c r="P132" i="1" s="1"/>
  <c r="O133" i="1" a="1"/>
  <c r="O133" i="1" s="1"/>
  <c r="P133" i="1" a="1"/>
  <c r="P133" i="1" s="1"/>
  <c r="O134" i="1" a="1"/>
  <c r="O134" i="1" s="1"/>
  <c r="P134" i="1" a="1"/>
  <c r="P134" i="1" s="1"/>
  <c r="O135" i="1" a="1"/>
  <c r="O135" i="1" s="1"/>
  <c r="P135" i="1" a="1"/>
  <c r="P135" i="1" s="1"/>
  <c r="O136" i="1" a="1"/>
  <c r="O136" i="1" s="1"/>
  <c r="P136" i="1" a="1"/>
  <c r="P136" i="1" s="1"/>
  <c r="O137" i="1" a="1"/>
  <c r="O137" i="1" s="1"/>
  <c r="P137" i="1" a="1"/>
  <c r="P137" i="1"/>
  <c r="O138" i="1" a="1"/>
  <c r="O138" i="1" s="1"/>
  <c r="P138" i="1" a="1"/>
  <c r="P138" i="1" s="1"/>
  <c r="O139" i="1" a="1"/>
  <c r="O139" i="1" s="1"/>
  <c r="P139" i="1" a="1"/>
  <c r="P139" i="1" s="1"/>
  <c r="O140" i="1" a="1"/>
  <c r="O140" i="1" s="1"/>
  <c r="P140" i="1" a="1"/>
  <c r="P140" i="1"/>
  <c r="O141" i="1" a="1"/>
  <c r="O141" i="1" s="1"/>
  <c r="P141" i="1" a="1"/>
  <c r="P141" i="1" s="1"/>
  <c r="O142" i="1" a="1"/>
  <c r="O142" i="1" s="1"/>
  <c r="P142" i="1" a="1"/>
  <c r="P142" i="1" s="1"/>
  <c r="O143" i="1" a="1"/>
  <c r="O143" i="1" s="1"/>
  <c r="P143" i="1" a="1"/>
  <c r="P143" i="1" s="1"/>
  <c r="O144" i="1" a="1"/>
  <c r="O144" i="1" s="1"/>
  <c r="P144" i="1" a="1"/>
  <c r="P144" i="1" s="1"/>
  <c r="O145" i="1" a="1"/>
  <c r="O145" i="1" s="1"/>
  <c r="P145" i="1" a="1"/>
  <c r="P145" i="1" s="1"/>
  <c r="O146" i="1" a="1"/>
  <c r="O146" i="1" s="1"/>
  <c r="P146" i="1" a="1"/>
  <c r="P146" i="1"/>
  <c r="O147" i="1" a="1"/>
  <c r="O147" i="1" s="1"/>
  <c r="P147" i="1" a="1"/>
  <c r="P147" i="1" s="1"/>
  <c r="O148" i="1" a="1"/>
  <c r="O148" i="1" s="1"/>
  <c r="P148" i="1" a="1"/>
  <c r="P148" i="1" s="1"/>
  <c r="O149" i="1" a="1"/>
  <c r="O149" i="1" s="1"/>
  <c r="P149" i="1" a="1"/>
  <c r="P149" i="1"/>
  <c r="O150" i="1" a="1"/>
  <c r="O150" i="1" s="1"/>
  <c r="P150" i="1" a="1"/>
  <c r="P150" i="1" s="1"/>
  <c r="O151" i="1" a="1"/>
  <c r="O151" i="1" s="1"/>
  <c r="P151" i="1" a="1"/>
  <c r="P151" i="1" s="1"/>
  <c r="O152" i="1" a="1"/>
  <c r="O152" i="1" s="1"/>
  <c r="P152" i="1" a="1"/>
  <c r="P152" i="1" s="1"/>
  <c r="O153" i="1" a="1"/>
  <c r="O153" i="1" s="1"/>
  <c r="P153" i="1" a="1"/>
  <c r="P153" i="1" s="1"/>
  <c r="O154" i="1" a="1"/>
  <c r="O154" i="1" s="1"/>
  <c r="P154" i="1" a="1"/>
  <c r="P154" i="1" s="1"/>
  <c r="O155" i="1" a="1"/>
  <c r="O155" i="1" s="1"/>
  <c r="P155" i="1" a="1"/>
  <c r="P155" i="1"/>
  <c r="O156" i="1" a="1"/>
  <c r="O156" i="1" s="1"/>
  <c r="P156" i="1" a="1"/>
  <c r="P156" i="1" s="1"/>
  <c r="O157" i="1" a="1"/>
  <c r="O157" i="1" s="1"/>
  <c r="P157" i="1" a="1"/>
  <c r="P157" i="1" s="1"/>
  <c r="O158" i="1" a="1"/>
  <c r="O158" i="1" s="1"/>
  <c r="P158" i="1" a="1"/>
  <c r="P158" i="1"/>
  <c r="O159" i="1" a="1"/>
  <c r="O159" i="1" s="1"/>
  <c r="P159" i="1" a="1"/>
  <c r="P159" i="1" s="1"/>
  <c r="O160" i="1" a="1"/>
  <c r="O160" i="1" s="1"/>
  <c r="P160" i="1" a="1"/>
  <c r="P160" i="1" s="1"/>
  <c r="O161" i="1" a="1"/>
  <c r="O161" i="1" s="1"/>
  <c r="P161" i="1" a="1"/>
  <c r="P161" i="1" s="1"/>
  <c r="O162" i="1" a="1"/>
  <c r="O162" i="1" s="1"/>
  <c r="P162" i="1" a="1"/>
  <c r="P162" i="1" s="1"/>
  <c r="O163" i="1" a="1"/>
  <c r="O163" i="1" s="1"/>
  <c r="P163" i="1" a="1"/>
  <c r="P163" i="1" s="1"/>
  <c r="O164" i="1" a="1"/>
  <c r="O164" i="1" s="1"/>
  <c r="P164" i="1" a="1"/>
  <c r="P164" i="1"/>
  <c r="O165" i="1" a="1"/>
  <c r="O165" i="1" s="1"/>
  <c r="P165" i="1" a="1"/>
  <c r="P165" i="1" s="1"/>
  <c r="O166" i="1" a="1"/>
  <c r="O166" i="1" s="1"/>
  <c r="P166" i="1" a="1"/>
  <c r="P166" i="1" s="1"/>
  <c r="O167" i="1" a="1"/>
  <c r="O167" i="1" s="1"/>
  <c r="P167" i="1" a="1"/>
  <c r="P167" i="1"/>
  <c r="O168" i="1" a="1"/>
  <c r="O168" i="1" s="1"/>
  <c r="P168" i="1" a="1"/>
  <c r="P168" i="1" s="1"/>
  <c r="O169" i="1" a="1"/>
  <c r="O169" i="1" s="1"/>
  <c r="P169" i="1" a="1"/>
  <c r="P169" i="1"/>
  <c r="O170" i="1" a="1"/>
  <c r="O170" i="1" s="1"/>
  <c r="P170" i="1" a="1"/>
  <c r="P170" i="1"/>
  <c r="O171" i="1" a="1"/>
  <c r="O171" i="1" s="1"/>
  <c r="P171" i="1" a="1"/>
  <c r="P171" i="1" s="1"/>
  <c r="O172" i="1" a="1"/>
  <c r="O172" i="1" s="1"/>
  <c r="P172" i="1" a="1"/>
  <c r="P172" i="1" s="1"/>
  <c r="O173" i="1" a="1"/>
  <c r="O173" i="1" s="1"/>
  <c r="P173" i="1" a="1"/>
  <c r="P173" i="1" s="1"/>
  <c r="O174" i="1" a="1"/>
  <c r="O174" i="1" s="1"/>
  <c r="P174" i="1" a="1"/>
  <c r="P174" i="1" s="1"/>
  <c r="O175" i="1" a="1"/>
  <c r="O175" i="1" s="1"/>
  <c r="P175" i="1" a="1"/>
  <c r="P175" i="1" s="1"/>
  <c r="O176" i="1" a="1"/>
  <c r="O176" i="1" s="1"/>
  <c r="P176" i="1" a="1"/>
  <c r="P176" i="1" s="1"/>
  <c r="P2" i="1" a="1"/>
  <c r="P2" i="1" s="1"/>
  <c r="O2" i="1" a="1"/>
  <c r="O2" i="1" s="1"/>
  <c r="AD1230" i="9"/>
  <c r="AC1230" i="9"/>
  <c r="AC1228" i="9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2" i="1"/>
  <c r="A3" i="8" a="1"/>
  <c r="A3" i="8" s="1"/>
  <c r="F22" i="8" s="1"/>
  <c r="P22" i="8" s="1"/>
  <c r="D14" i="6"/>
  <c r="D16" i="6"/>
  <c r="C16" i="6"/>
  <c r="B16" i="6"/>
  <c r="B15" i="6"/>
  <c r="C15" i="6"/>
  <c r="D15" i="6"/>
  <c r="C14" i="6"/>
  <c r="B14" i="6"/>
  <c r="F38" i="6"/>
  <c r="F40" i="6"/>
  <c r="F43" i="6"/>
  <c r="G40" i="6"/>
  <c r="H40" i="6" s="1"/>
  <c r="I40" i="6" s="1"/>
  <c r="J40" i="6" s="1"/>
  <c r="K40" i="6" s="1"/>
  <c r="L40" i="6" s="1"/>
  <c r="M40" i="6" s="1"/>
  <c r="E14" i="6"/>
  <c r="F39" i="6"/>
  <c r="F37" i="6"/>
  <c r="F35" i="6"/>
  <c r="F36" i="6" s="1"/>
  <c r="F24" i="6"/>
  <c r="F30" i="6" s="1"/>
  <c r="F22" i="6"/>
  <c r="F28" i="6" s="1"/>
  <c r="F20" i="6"/>
  <c r="B40" i="6"/>
  <c r="C40" i="6" s="1"/>
  <c r="C43" i="6" s="1"/>
  <c r="B38" i="6"/>
  <c r="B42" i="6" s="1"/>
  <c r="B36" i="6"/>
  <c r="C36" i="6" s="1"/>
  <c r="D36" i="6" s="1"/>
  <c r="E35" i="6" s="1"/>
  <c r="C30" i="6"/>
  <c r="D30" i="6"/>
  <c r="B30" i="6"/>
  <c r="C28" i="6"/>
  <c r="D28" i="6"/>
  <c r="B28" i="6"/>
  <c r="B25" i="6"/>
  <c r="B29" i="6" s="1"/>
  <c r="B23" i="6"/>
  <c r="B27" i="6" s="1"/>
  <c r="B21" i="6"/>
  <c r="C21" i="6" s="1"/>
  <c r="D21" i="6" s="1"/>
  <c r="E20" i="6" s="1"/>
  <c r="E4" i="5"/>
  <c r="E5" i="5"/>
  <c r="B16" i="5"/>
  <c r="B15" i="5"/>
  <c r="C8" i="5"/>
  <c r="C6" i="5" s="1"/>
  <c r="C7" i="5"/>
  <c r="B7" i="5"/>
  <c r="B6" i="5"/>
  <c r="N5" i="5"/>
  <c r="N4" i="5"/>
  <c r="G112" i="4"/>
  <c r="G113" i="4" s="1"/>
  <c r="F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O4" i="4"/>
  <c r="D4" i="4"/>
  <c r="D3" i="4"/>
  <c r="O2" i="4"/>
  <c r="O3" i="4" s="1"/>
  <c r="D2" i="4"/>
  <c r="H4" i="3"/>
  <c r="H3" i="3"/>
  <c r="H2" i="3"/>
  <c r="G2" i="3"/>
  <c r="G4" i="3"/>
  <c r="G3" i="3"/>
  <c r="I2" i="3"/>
  <c r="L8" i="1"/>
  <c r="L20" i="1"/>
  <c r="L32" i="1"/>
  <c r="L44" i="1"/>
  <c r="L56" i="1"/>
  <c r="L68" i="1"/>
  <c r="L80" i="1"/>
  <c r="L128" i="1"/>
  <c r="L140" i="1"/>
  <c r="L152" i="1"/>
  <c r="L164" i="1"/>
  <c r="L176" i="1"/>
  <c r="K2" i="1"/>
  <c r="L2" i="1" s="1"/>
  <c r="K3" i="1"/>
  <c r="L3" i="1" s="1"/>
  <c r="K4" i="1"/>
  <c r="L4" i="1" s="1"/>
  <c r="K5" i="1"/>
  <c r="L5" i="1" s="1"/>
  <c r="K6" i="1"/>
  <c r="L6" i="1" s="1"/>
  <c r="K7" i="1"/>
  <c r="L7" i="1" s="1"/>
  <c r="K8" i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I5" i="1"/>
  <c r="I9" i="1"/>
  <c r="I17" i="1"/>
  <c r="I21" i="1"/>
  <c r="I33" i="1"/>
  <c r="I53" i="1"/>
  <c r="I57" i="1"/>
  <c r="I69" i="1"/>
  <c r="I81" i="1"/>
  <c r="I89" i="1"/>
  <c r="I101" i="1"/>
  <c r="I105" i="1"/>
  <c r="I117" i="1"/>
  <c r="I129" i="1"/>
  <c r="I137" i="1"/>
  <c r="I153" i="1"/>
  <c r="I165" i="1"/>
  <c r="I173" i="1"/>
  <c r="H2" i="1"/>
  <c r="I2" i="1" s="1"/>
  <c r="H3" i="1"/>
  <c r="I3" i="1" s="1"/>
  <c r="H4" i="1"/>
  <c r="I4" i="1" s="1"/>
  <c r="H5" i="1"/>
  <c r="H6" i="1"/>
  <c r="I6" i="1" s="1"/>
  <c r="H7" i="1"/>
  <c r="I7" i="1" s="1"/>
  <c r="H8" i="1"/>
  <c r="I8" i="1" s="1"/>
  <c r="H9" i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H18" i="1"/>
  <c r="I18" i="1" s="1"/>
  <c r="H19" i="1"/>
  <c r="I19" i="1" s="1"/>
  <c r="H20" i="1"/>
  <c r="I20" i="1" s="1"/>
  <c r="H21" i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H54" i="1"/>
  <c r="I54" i="1" s="1"/>
  <c r="H55" i="1"/>
  <c r="I55" i="1" s="1"/>
  <c r="H56" i="1"/>
  <c r="I56" i="1" s="1"/>
  <c r="H57" i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H102" i="1"/>
  <c r="I102" i="1" s="1"/>
  <c r="H103" i="1"/>
  <c r="I103" i="1" s="1"/>
  <c r="H104" i="1"/>
  <c r="I104" i="1" s="1"/>
  <c r="H105" i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H174" i="1"/>
  <c r="I174" i="1" s="1"/>
  <c r="H175" i="1"/>
  <c r="I175" i="1" s="1"/>
  <c r="H176" i="1"/>
  <c r="I176" i="1" s="1"/>
  <c r="I3" i="3"/>
  <c r="I4" i="3"/>
  <c r="C2" i="3"/>
  <c r="D2" i="3" s="1"/>
  <c r="C3" i="3"/>
  <c r="D3" i="3" s="1"/>
  <c r="C4" i="3"/>
  <c r="F32" i="8" l="1"/>
  <c r="P32" i="8" s="1"/>
  <c r="O5" i="4"/>
  <c r="C3" i="8"/>
  <c r="F36" i="8" s="1"/>
  <c r="P36" i="8" s="1"/>
  <c r="C9" i="8"/>
  <c r="F34" i="8" s="1"/>
  <c r="P34" i="8" s="1"/>
  <c r="B15" i="8"/>
  <c r="B12" i="8"/>
  <c r="C18" i="8"/>
  <c r="C5" i="8"/>
  <c r="C6" i="8"/>
  <c r="F33" i="8" s="1"/>
  <c r="P33" i="8" s="1"/>
  <c r="B19" i="8"/>
  <c r="B3" i="8"/>
  <c r="F26" i="8" s="1"/>
  <c r="P26" i="8" s="1"/>
  <c r="C13" i="8"/>
  <c r="C10" i="8"/>
  <c r="F38" i="8" s="1"/>
  <c r="P38" i="8" s="1"/>
  <c r="B13" i="8"/>
  <c r="C17" i="8"/>
  <c r="B11" i="8"/>
  <c r="C19" i="8"/>
  <c r="B7" i="8"/>
  <c r="F25" i="8" s="1"/>
  <c r="P25" i="8" s="1"/>
  <c r="C7" i="8"/>
  <c r="F35" i="8" s="1"/>
  <c r="P35" i="8" s="1"/>
  <c r="B16" i="8"/>
  <c r="B4" i="8"/>
  <c r="B10" i="8"/>
  <c r="F28" i="8" s="1"/>
  <c r="P28" i="8" s="1"/>
  <c r="C16" i="8"/>
  <c r="C4" i="8"/>
  <c r="B9" i="8"/>
  <c r="F24" i="8" s="1"/>
  <c r="P24" i="8" s="1"/>
  <c r="C15" i="8"/>
  <c r="B8" i="8"/>
  <c r="C14" i="8"/>
  <c r="F37" i="8" s="1"/>
  <c r="P37" i="8" s="1"/>
  <c r="B18" i="8"/>
  <c r="B6" i="8"/>
  <c r="F23" i="8" s="1"/>
  <c r="P23" i="8" s="1"/>
  <c r="C12" i="8"/>
  <c r="B17" i="8"/>
  <c r="B5" i="8"/>
  <c r="C11" i="8"/>
  <c r="B14" i="8"/>
  <c r="F27" i="8" s="1"/>
  <c r="P27" i="8" s="1"/>
  <c r="C8" i="8"/>
  <c r="E4" i="6"/>
  <c r="G35" i="6"/>
  <c r="G36" i="6" s="1"/>
  <c r="B43" i="6"/>
  <c r="E36" i="6"/>
  <c r="D40" i="6"/>
  <c r="C38" i="6"/>
  <c r="C42" i="6" s="1"/>
  <c r="C23" i="6"/>
  <c r="C27" i="6" s="1"/>
  <c r="E21" i="6"/>
  <c r="F21" i="6" s="1"/>
  <c r="C25" i="6"/>
  <c r="C29" i="6" s="1"/>
  <c r="B17" i="5"/>
  <c r="C16" i="5" s="1"/>
  <c r="N7" i="5"/>
  <c r="D8" i="5"/>
  <c r="D7" i="5"/>
  <c r="G114" i="4"/>
  <c r="O6" i="4"/>
  <c r="O7" i="4" s="1"/>
  <c r="H5" i="3"/>
  <c r="L2" i="3" s="1"/>
  <c r="D4" i="3"/>
  <c r="G5" i="3" s="1"/>
  <c r="K3" i="3" s="1"/>
  <c r="I5" i="3"/>
  <c r="L21" i="3"/>
  <c r="G20" i="6" l="1"/>
  <c r="G21" i="6" s="1"/>
  <c r="P39" i="8"/>
  <c r="O32" i="8" s="1"/>
  <c r="F29" i="8"/>
  <c r="P29" i="8" s="1"/>
  <c r="O22" i="8" s="1"/>
  <c r="F39" i="8"/>
  <c r="F43" i="8" s="1"/>
  <c r="O43" i="8" s="1"/>
  <c r="H35" i="6"/>
  <c r="H36" i="6" s="1"/>
  <c r="D43" i="6"/>
  <c r="E39" i="6"/>
  <c r="N39" i="6" s="1"/>
  <c r="D38" i="6"/>
  <c r="D23" i="6"/>
  <c r="E22" i="6" s="1"/>
  <c r="D25" i="6"/>
  <c r="C13" i="5"/>
  <c r="C14" i="5"/>
  <c r="C12" i="5"/>
  <c r="C17" i="5"/>
  <c r="C15" i="5"/>
  <c r="D6" i="5"/>
  <c r="E8" i="5"/>
  <c r="E7" i="5"/>
  <c r="L3" i="3"/>
  <c r="L5" i="3" s="1"/>
  <c r="K4" i="3"/>
  <c r="L4" i="3"/>
  <c r="K2" i="3"/>
  <c r="H20" i="6" l="1"/>
  <c r="H21" i="6" s="1"/>
  <c r="O27" i="8"/>
  <c r="O24" i="8"/>
  <c r="O23" i="8"/>
  <c r="O26" i="8"/>
  <c r="O35" i="8"/>
  <c r="O34" i="8"/>
  <c r="O37" i="8"/>
  <c r="O33" i="8"/>
  <c r="O36" i="8"/>
  <c r="O38" i="8"/>
  <c r="O28" i="8"/>
  <c r="O25" i="8"/>
  <c r="K5" i="3"/>
  <c r="I35" i="6"/>
  <c r="I36" i="6" s="1"/>
  <c r="E40" i="6"/>
  <c r="E43" i="6" s="1"/>
  <c r="D29" i="6"/>
  <c r="E24" i="6"/>
  <c r="E25" i="6" s="1"/>
  <c r="E29" i="6" s="1"/>
  <c r="D42" i="6"/>
  <c r="E37" i="6"/>
  <c r="N37" i="6" s="1"/>
  <c r="E28" i="6"/>
  <c r="E23" i="6"/>
  <c r="E27" i="6" s="1"/>
  <c r="D27" i="6"/>
  <c r="F8" i="5"/>
  <c r="F7" i="5"/>
  <c r="E6" i="5"/>
  <c r="I20" i="6" l="1"/>
  <c r="E15" i="6"/>
  <c r="E16" i="6"/>
  <c r="F23" i="6"/>
  <c r="E38" i="6"/>
  <c r="E42" i="6" s="1"/>
  <c r="E30" i="6"/>
  <c r="F25" i="6"/>
  <c r="G7" i="5"/>
  <c r="G8" i="5"/>
  <c r="F6" i="5"/>
  <c r="G24" i="6" l="1"/>
  <c r="J35" i="6"/>
  <c r="J36" i="6" s="1"/>
  <c r="F29" i="6"/>
  <c r="F27" i="6"/>
  <c r="G22" i="6"/>
  <c r="I21" i="6"/>
  <c r="F42" i="6"/>
  <c r="G23" i="6"/>
  <c r="G25" i="6"/>
  <c r="H8" i="5"/>
  <c r="H7" i="5"/>
  <c r="G6" i="5"/>
  <c r="G43" i="6" l="1"/>
  <c r="K35" i="6"/>
  <c r="K36" i="6" s="1"/>
  <c r="H24" i="6"/>
  <c r="H30" i="6" s="1"/>
  <c r="G30" i="6"/>
  <c r="G27" i="6"/>
  <c r="H22" i="6"/>
  <c r="H28" i="6" s="1"/>
  <c r="G28" i="6"/>
  <c r="J20" i="6"/>
  <c r="J21" i="6" s="1"/>
  <c r="H23" i="6"/>
  <c r="H43" i="6"/>
  <c r="G38" i="6"/>
  <c r="H38" i="6" s="1"/>
  <c r="H42" i="6" s="1"/>
  <c r="G29" i="6"/>
  <c r="H6" i="5"/>
  <c r="I7" i="5"/>
  <c r="I8" i="5"/>
  <c r="H25" i="6" l="1"/>
  <c r="H29" i="6" s="1"/>
  <c r="G42" i="6"/>
  <c r="I43" i="6"/>
  <c r="L35" i="6"/>
  <c r="L36" i="6" s="1"/>
  <c r="H27" i="6"/>
  <c r="I22" i="6"/>
  <c r="I23" i="6" s="1"/>
  <c r="K20" i="6"/>
  <c r="K21" i="6" s="1"/>
  <c r="I38" i="6"/>
  <c r="I42" i="6" s="1"/>
  <c r="J43" i="6"/>
  <c r="J8" i="5"/>
  <c r="J7" i="5"/>
  <c r="I6" i="5"/>
  <c r="I24" i="6" l="1"/>
  <c r="M35" i="6"/>
  <c r="N35" i="6" s="1"/>
  <c r="I30" i="6"/>
  <c r="I25" i="6"/>
  <c r="J24" i="6" s="1"/>
  <c r="I27" i="6"/>
  <c r="J22" i="6"/>
  <c r="J28" i="6" s="1"/>
  <c r="I28" i="6"/>
  <c r="L20" i="6"/>
  <c r="L21" i="6" s="1"/>
  <c r="K43" i="6"/>
  <c r="J38" i="6"/>
  <c r="J6" i="5"/>
  <c r="K8" i="5"/>
  <c r="K7" i="5"/>
  <c r="J23" i="6" l="1"/>
  <c r="M36" i="6"/>
  <c r="N36" i="6"/>
  <c r="J42" i="6"/>
  <c r="I29" i="6"/>
  <c r="J27" i="6"/>
  <c r="K22" i="6"/>
  <c r="M20" i="6"/>
  <c r="N20" i="6" s="1"/>
  <c r="K23" i="6"/>
  <c r="K38" i="6"/>
  <c r="K42" i="6" s="1"/>
  <c r="L43" i="6"/>
  <c r="L8" i="5"/>
  <c r="L7" i="5"/>
  <c r="K6" i="5"/>
  <c r="J30" i="6" l="1"/>
  <c r="J25" i="6"/>
  <c r="K24" i="6" s="1"/>
  <c r="K27" i="6"/>
  <c r="L22" i="6"/>
  <c r="L28" i="6" s="1"/>
  <c r="K28" i="6"/>
  <c r="M21" i="6"/>
  <c r="N21" i="6" s="1"/>
  <c r="L38" i="6"/>
  <c r="L42" i="6" s="1"/>
  <c r="M8" i="5"/>
  <c r="M7" i="5"/>
  <c r="L6" i="5"/>
  <c r="M43" i="6" l="1"/>
  <c r="N40" i="6"/>
  <c r="J29" i="6"/>
  <c r="K25" i="6"/>
  <c r="L24" i="6" s="1"/>
  <c r="L23" i="6"/>
  <c r="M38" i="6"/>
  <c r="M42" i="6" s="1"/>
  <c r="N43" i="6"/>
  <c r="N8" i="5"/>
  <c r="N6" i="5" s="1"/>
  <c r="M6" i="5"/>
  <c r="N38" i="6" l="1"/>
  <c r="K29" i="6"/>
  <c r="L30" i="6"/>
  <c r="L25" i="6"/>
  <c r="M24" i="6" s="1"/>
  <c r="K30" i="6"/>
  <c r="L27" i="6"/>
  <c r="M22" i="6"/>
  <c r="N42" i="6"/>
  <c r="L29" i="6" l="1"/>
  <c r="M25" i="6"/>
  <c r="N25" i="6" s="1"/>
  <c r="M28" i="6"/>
  <c r="N28" i="6" s="1"/>
  <c r="N22" i="6"/>
  <c r="M23" i="6"/>
  <c r="M27" i="6" l="1"/>
  <c r="N27" i="6" s="1"/>
  <c r="N23" i="6"/>
  <c r="M29" i="6"/>
  <c r="M30" i="6"/>
  <c r="N30" i="6" s="1"/>
  <c r="N24" i="6"/>
  <c r="N29" i="6"/>
  <c r="C10" i="3" l="1" a="1"/>
  <c r="C10" i="3" s="1"/>
  <c r="C15" i="3" a="1"/>
  <c r="C15" i="3" s="1"/>
  <c r="L10" i="3"/>
  <c r="C8" i="3" a="1"/>
  <c r="C8" i="3" s="1"/>
  <c r="C14" i="3" a="1"/>
  <c r="C14" i="3" s="1"/>
  <c r="C9" i="3" a="1"/>
  <c r="C9" i="3" s="1"/>
  <c r="L8" i="3"/>
  <c r="L11" i="3"/>
  <c r="L12" i="3"/>
  <c r="L9" i="3"/>
  <c r="C11" i="3" a="1"/>
  <c r="C11" i="3" s="1"/>
  <c r="C20" i="3" l="1" a="1"/>
  <c r="C20" i="3" s="1"/>
  <c r="C21" i="3" a="1"/>
  <c r="C21" i="3" s="1"/>
  <c r="C23" i="3" a="1"/>
  <c r="C23" i="3" s="1"/>
  <c r="C22" i="3" a="1"/>
  <c r="C22" i="3" s="1"/>
  <c r="C24" i="3" a="1"/>
  <c r="C24" i="3" s="1"/>
  <c r="C13" i="3" a="1"/>
  <c r="C13" i="3" s="1"/>
  <c r="C12" i="3" a="1"/>
  <c r="C12" i="3" s="1"/>
  <c r="C25" i="3" l="1"/>
  <c r="D20" i="3" s="1"/>
  <c r="C16" i="3"/>
  <c r="D24" i="3" l="1"/>
  <c r="D21" i="3"/>
  <c r="D23" i="3"/>
  <c r="D22" i="3"/>
  <c r="D8" i="3"/>
  <c r="D15" i="3"/>
  <c r="D11" i="3"/>
  <c r="D9" i="3"/>
  <c r="D14" i="3"/>
  <c r="D10" i="3"/>
  <c r="D12" i="3"/>
  <c r="D13" i="3"/>
  <c r="D25" i="3" l="1"/>
  <c r="D1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<sst xmlns="http://schemas.openxmlformats.org/spreadsheetml/2006/main" count="19734" uniqueCount="1153">
  <si>
    <t>Emp Number</t>
  </si>
  <si>
    <t>Names</t>
  </si>
  <si>
    <t>Gender</t>
  </si>
  <si>
    <t>Nationality</t>
  </si>
  <si>
    <t>Position</t>
  </si>
  <si>
    <t>Grade</t>
  </si>
  <si>
    <t>Birth</t>
  </si>
  <si>
    <t>Age</t>
  </si>
  <si>
    <t>AGE_CAT</t>
  </si>
  <si>
    <t>Empl_Date</t>
  </si>
  <si>
    <t>Length of Service</t>
  </si>
  <si>
    <t>Length of Service_CAT</t>
  </si>
  <si>
    <t>Departments</t>
  </si>
  <si>
    <t>Location_Site</t>
  </si>
  <si>
    <t>Leave_Balance</t>
  </si>
  <si>
    <t>Leave Allowance_Amount</t>
  </si>
  <si>
    <t>OVT_Hours</t>
  </si>
  <si>
    <t>OVT_Cost</t>
  </si>
  <si>
    <t>70000002</t>
  </si>
  <si>
    <t>Gaël Mbodi</t>
  </si>
  <si>
    <t>Male</t>
  </si>
  <si>
    <t>Congo</t>
  </si>
  <si>
    <t>Site Manager</t>
  </si>
  <si>
    <t>D2</t>
  </si>
  <si>
    <t>Production</t>
  </si>
  <si>
    <t>Lubudi</t>
  </si>
  <si>
    <t>70000008</t>
  </si>
  <si>
    <t>Serge Muakasa</t>
  </si>
  <si>
    <t>Estate Officer</t>
  </si>
  <si>
    <t>C4</t>
  </si>
  <si>
    <t>HR</t>
  </si>
  <si>
    <t>Plant</t>
  </si>
  <si>
    <t>70000009</t>
  </si>
  <si>
    <t>Jean Jacques Zodulua</t>
  </si>
  <si>
    <t>Driver</t>
  </si>
  <si>
    <t>B2</t>
  </si>
  <si>
    <t>Kinshasa_Regions</t>
  </si>
  <si>
    <t>70000011</t>
  </si>
  <si>
    <t>Kimbanzi Feinta</t>
  </si>
  <si>
    <t>Senior Sales Consultant</t>
  </si>
  <si>
    <t>Sales_CEC</t>
  </si>
  <si>
    <t>70000015</t>
  </si>
  <si>
    <t>LUZOLO NSEMBOLO</t>
  </si>
  <si>
    <t>Mechanic</t>
  </si>
  <si>
    <t>C2</t>
  </si>
  <si>
    <t>Engineering</t>
  </si>
  <si>
    <t>70000019</t>
  </si>
  <si>
    <t>Kiesse Banguli</t>
  </si>
  <si>
    <t>Female</t>
  </si>
  <si>
    <t>Payroll and Admin Manager</t>
  </si>
  <si>
    <t>D1</t>
  </si>
  <si>
    <t>70000021</t>
  </si>
  <si>
    <t>Marie Josee Lisangola</t>
  </si>
  <si>
    <t>Facilities Officer</t>
  </si>
  <si>
    <t>70000022</t>
  </si>
  <si>
    <t>Dina Munanga</t>
  </si>
  <si>
    <t>Customer Demand Supply Planner</t>
  </si>
  <si>
    <t>C5</t>
  </si>
  <si>
    <t>70000023</t>
  </si>
  <si>
    <t>Banga Banga Onesime</t>
  </si>
  <si>
    <t>70000024</t>
  </si>
  <si>
    <t>Medard Kitambo</t>
  </si>
  <si>
    <t>70000026</t>
  </si>
  <si>
    <t>Kabangu Mutambayi</t>
  </si>
  <si>
    <t>Shift Supervisor</t>
  </si>
  <si>
    <t>C3</t>
  </si>
  <si>
    <t>70000027</t>
  </si>
  <si>
    <t>KABEYA Tresor-Michel</t>
  </si>
  <si>
    <t>The Democratic Republic of the Congo</t>
  </si>
  <si>
    <t>Production Manager</t>
  </si>
  <si>
    <t>D4</t>
  </si>
  <si>
    <t>70000028</t>
  </si>
  <si>
    <t>Kadimoyo Ilunga</t>
  </si>
  <si>
    <t xml:space="preserve">Production Superintendent </t>
  </si>
  <si>
    <t>70000029</t>
  </si>
  <si>
    <t>Maphasi Vangu</t>
  </si>
  <si>
    <t>Production Shift Supervisor</t>
  </si>
  <si>
    <t>70000030</t>
  </si>
  <si>
    <t>Muba Kayembe</t>
  </si>
  <si>
    <t>Packing Plant Foreman</t>
  </si>
  <si>
    <t>70000032</t>
  </si>
  <si>
    <t>Pero Nemwandjare</t>
  </si>
  <si>
    <t>Congo - Democratic Republic Zaire</t>
  </si>
  <si>
    <t>Junior Process Engineer</t>
  </si>
  <si>
    <t>Optimization</t>
  </si>
  <si>
    <t>70000033</t>
  </si>
  <si>
    <t>Uuchi Umirambe</t>
  </si>
  <si>
    <t>Optimisation Process Engineer</t>
  </si>
  <si>
    <t>70000034</t>
  </si>
  <si>
    <t>Mulolo Kankolongo</t>
  </si>
  <si>
    <t>IT Manager</t>
  </si>
  <si>
    <t>Finance</t>
  </si>
  <si>
    <t>70000038</t>
  </si>
  <si>
    <t>Simon Macharia</t>
  </si>
  <si>
    <t>Kenya</t>
  </si>
  <si>
    <t>Electrical &amp; Instrumentation Engineer</t>
  </si>
  <si>
    <t>70000040</t>
  </si>
  <si>
    <t>Jack Lethy Ilondo</t>
  </si>
  <si>
    <t>Engineering Manager</t>
  </si>
  <si>
    <t>70000043</t>
  </si>
  <si>
    <t>EDDO MAKIVOVI</t>
  </si>
  <si>
    <t>Safety Officer</t>
  </si>
  <si>
    <t>Mining</t>
  </si>
  <si>
    <t>70000045</t>
  </si>
  <si>
    <t>Diane Bilonda</t>
  </si>
  <si>
    <t>Senior Regional Sales Consultant Construction, Ready Mix &amp; Indus</t>
  </si>
  <si>
    <t>70000046</t>
  </si>
  <si>
    <t>PATRICK MUKENDI</t>
  </si>
  <si>
    <t>Mechanical Engineer</t>
  </si>
  <si>
    <t>70000048</t>
  </si>
  <si>
    <t>Helena Kiloso</t>
  </si>
  <si>
    <t>Senior Regional Sales Consultant Retail &amp; Funa</t>
  </si>
  <si>
    <t>70000049</t>
  </si>
  <si>
    <t>Charles Joseph Liwanda Lute</t>
  </si>
  <si>
    <t>Quality Assurance Manager</t>
  </si>
  <si>
    <t>Quality Assurance</t>
  </si>
  <si>
    <t>70000050</t>
  </si>
  <si>
    <t>Elias Tanui</t>
  </si>
  <si>
    <t>Project Manager</t>
  </si>
  <si>
    <t>MD Office</t>
  </si>
  <si>
    <t>70000051</t>
  </si>
  <si>
    <t>Grace Diakiese</t>
  </si>
  <si>
    <t>Sales Consultant Tshangu</t>
  </si>
  <si>
    <t>70000052</t>
  </si>
  <si>
    <t>Simon Bayisa</t>
  </si>
  <si>
    <t>Fitter &amp; Turner</t>
  </si>
  <si>
    <t>70000056</t>
  </si>
  <si>
    <t>Gaylor Nsakala</t>
  </si>
  <si>
    <t xml:space="preserve">Operator Support </t>
  </si>
  <si>
    <t>B4</t>
  </si>
  <si>
    <t>70000057</t>
  </si>
  <si>
    <t>Olivier Lutonadio</t>
  </si>
  <si>
    <t>Packing/Loading Shift Supervisor</t>
  </si>
  <si>
    <t>70000058</t>
  </si>
  <si>
    <t>Reagan Tulengi</t>
  </si>
  <si>
    <t>Fitter &amp; Crane Specialist</t>
  </si>
  <si>
    <t>70000059</t>
  </si>
  <si>
    <t>Rodrigue Luzolawo</t>
  </si>
  <si>
    <t>70000061</t>
  </si>
  <si>
    <t>Joel Nzuzi</t>
  </si>
  <si>
    <t>70000063</t>
  </si>
  <si>
    <t>Jisca Muanda</t>
  </si>
  <si>
    <t>70000064</t>
  </si>
  <si>
    <t>Ramses Kalunga</t>
  </si>
  <si>
    <t>Process Operator</t>
  </si>
  <si>
    <t>C1</t>
  </si>
  <si>
    <t>70000067</t>
  </si>
  <si>
    <t>Leon Mpongo</t>
  </si>
  <si>
    <t>Buyer</t>
  </si>
  <si>
    <t>Procurement</t>
  </si>
  <si>
    <t>70000068</t>
  </si>
  <si>
    <t>Platini Dunga</t>
  </si>
  <si>
    <t>70000069</t>
  </si>
  <si>
    <t>Gervais Bavibidila</t>
  </si>
  <si>
    <t>70000070</t>
  </si>
  <si>
    <t>Eder Bitutu</t>
  </si>
  <si>
    <t>70000072</t>
  </si>
  <si>
    <t>Noel Ndonga</t>
  </si>
  <si>
    <t>70000076</t>
  </si>
  <si>
    <t>Erick Nlandu</t>
  </si>
  <si>
    <t>Lab Analyst</t>
  </si>
  <si>
    <t>B5</t>
  </si>
  <si>
    <t>70000077</t>
  </si>
  <si>
    <t>Cadet Samba</t>
  </si>
  <si>
    <t>Routine Tester</t>
  </si>
  <si>
    <t>B3</t>
  </si>
  <si>
    <t>70000078</t>
  </si>
  <si>
    <t>Nicha Batekisa</t>
  </si>
  <si>
    <t>Customer Relationship Officer</t>
  </si>
  <si>
    <t>70000079</t>
  </si>
  <si>
    <t>Dinandi Mvumbi</t>
  </si>
  <si>
    <t>Boilermaker</t>
  </si>
  <si>
    <t>70000080</t>
  </si>
  <si>
    <t>Nadege Nsilu</t>
  </si>
  <si>
    <t>Physical Lab Tester</t>
  </si>
  <si>
    <t>70000081</t>
  </si>
  <si>
    <t>Bertin Tandu</t>
  </si>
  <si>
    <t>70000082</t>
  </si>
  <si>
    <t>Edgard Finkidi</t>
  </si>
  <si>
    <t>70000083</t>
  </si>
  <si>
    <t>Moise Musako</t>
  </si>
  <si>
    <t>QA Chemist</t>
  </si>
  <si>
    <t>70000084</t>
  </si>
  <si>
    <t>Delvis Mvilambi</t>
  </si>
  <si>
    <t>70000085</t>
  </si>
  <si>
    <t>Boniface Ekwalanga</t>
  </si>
  <si>
    <t>Financial Controller</t>
  </si>
  <si>
    <t>70000087</t>
  </si>
  <si>
    <t>Ziwanuka Kiangebeni</t>
  </si>
  <si>
    <t>Planning Administrator</t>
  </si>
  <si>
    <t>70000088</t>
  </si>
  <si>
    <t>Ovie Tulomba</t>
  </si>
  <si>
    <t xml:space="preserve">Electrician </t>
  </si>
  <si>
    <t>70000091</t>
  </si>
  <si>
    <t>Marcel Ngoyi</t>
  </si>
  <si>
    <t>Electrical Foreman</t>
  </si>
  <si>
    <t>70000093</t>
  </si>
  <si>
    <t>Andre Mbangi</t>
  </si>
  <si>
    <t>Handyman Electrical</t>
  </si>
  <si>
    <t>70000094</t>
  </si>
  <si>
    <t>Ben Paulin Kadima</t>
  </si>
  <si>
    <t>Senior Regional Sales Consultant</t>
  </si>
  <si>
    <t>70000096</t>
  </si>
  <si>
    <t>Osee Lukuayi</t>
  </si>
  <si>
    <t>B1</t>
  </si>
  <si>
    <t>70000099</t>
  </si>
  <si>
    <t>Pamphil Luzayadio</t>
  </si>
  <si>
    <t>Production Mobile Equipment Operator</t>
  </si>
  <si>
    <t>70000100</t>
  </si>
  <si>
    <t>Joseph Lufua</t>
  </si>
  <si>
    <t>Senior Sales Consultant Tshangu</t>
  </si>
  <si>
    <t>70000101</t>
  </si>
  <si>
    <t>Mirtha Luzayadio</t>
  </si>
  <si>
    <t>Invoice Verification Clerk</t>
  </si>
  <si>
    <t>70000104</t>
  </si>
  <si>
    <t>Dieu Ngoma</t>
  </si>
  <si>
    <t>Lead Fitter</t>
  </si>
  <si>
    <t>70000107</t>
  </si>
  <si>
    <t>Karine Mvutu</t>
  </si>
  <si>
    <t>OH Nurse</t>
  </si>
  <si>
    <t>70000109</t>
  </si>
  <si>
    <t>Fred Moleka</t>
  </si>
  <si>
    <t>Mechanical Foreman</t>
  </si>
  <si>
    <t>70000110</t>
  </si>
  <si>
    <t>Glody Ngoma</t>
  </si>
  <si>
    <t>Transport Optimisation Manager</t>
  </si>
  <si>
    <t>70000111</t>
  </si>
  <si>
    <t>Joseph Mananga</t>
  </si>
  <si>
    <t>CEC Officer</t>
  </si>
  <si>
    <t>70000112</t>
  </si>
  <si>
    <t>Joel Adhule</t>
  </si>
  <si>
    <t>Safety Manager</t>
  </si>
  <si>
    <t>SHE</t>
  </si>
  <si>
    <t>70000115</t>
  </si>
  <si>
    <t>Lundi Onosamba</t>
  </si>
  <si>
    <t>70000116</t>
  </si>
  <si>
    <t>Antoine Nzungu</t>
  </si>
  <si>
    <t>70000117</t>
  </si>
  <si>
    <t>Dheins Nseka</t>
  </si>
  <si>
    <t>Senior Regional Sales Consultant Distribution &amp; Wholesale</t>
  </si>
  <si>
    <t>70000118</t>
  </si>
  <si>
    <t>Clementine Kaboto</t>
  </si>
  <si>
    <t>Creditor Controler</t>
  </si>
  <si>
    <t>70000130</t>
  </si>
  <si>
    <t>Honore Luinda</t>
  </si>
  <si>
    <t>70000134</t>
  </si>
  <si>
    <t>Emmanuel Kamungoma</t>
  </si>
  <si>
    <t>70000135</t>
  </si>
  <si>
    <t>Cedric Muzadi</t>
  </si>
  <si>
    <t>Head of Finance and IT</t>
  </si>
  <si>
    <t>E2</t>
  </si>
  <si>
    <t>70000137</t>
  </si>
  <si>
    <t>Emmanuel Lisangola</t>
  </si>
  <si>
    <t>Warehouse  Administrator</t>
  </si>
  <si>
    <t>Logistic</t>
  </si>
  <si>
    <t>70000139</t>
  </si>
  <si>
    <t>Junior Kasongo</t>
  </si>
  <si>
    <t>Senior Sales Consultant IHB Segment</t>
  </si>
  <si>
    <t>70000144</t>
  </si>
  <si>
    <t>Paul Tsasa</t>
  </si>
  <si>
    <t>70000152</t>
  </si>
  <si>
    <t>Francis Phuati</t>
  </si>
  <si>
    <t>Financial Accountant</t>
  </si>
  <si>
    <t>70000155</t>
  </si>
  <si>
    <t>Hornel Kinsomona</t>
  </si>
  <si>
    <t>Customer Relationship Clerk</t>
  </si>
  <si>
    <t>70000157</t>
  </si>
  <si>
    <t>Nalik Alimasi</t>
  </si>
  <si>
    <t>Sales Consultant Mont Amba</t>
  </si>
  <si>
    <t>70000159</t>
  </si>
  <si>
    <t>DENIS DIAMATONDO</t>
  </si>
  <si>
    <t>Shipping Coordinator</t>
  </si>
  <si>
    <t>Transport and Transit</t>
  </si>
  <si>
    <t>70000164</t>
  </si>
  <si>
    <t>SEBASTIEN MALU</t>
  </si>
  <si>
    <t>Customer Service Clerk</t>
  </si>
  <si>
    <t>70000171</t>
  </si>
  <si>
    <t>CHRISTIAN KUABI</t>
  </si>
  <si>
    <t>70000175</t>
  </si>
  <si>
    <t>TRESOR MANEKA</t>
  </si>
  <si>
    <t>Immigration Officer</t>
  </si>
  <si>
    <t>70000176</t>
  </si>
  <si>
    <t>ALI KILENDA</t>
  </si>
  <si>
    <t>70000177</t>
  </si>
  <si>
    <t>BENNY ZAKUANI</t>
  </si>
  <si>
    <t>Talent &amp; Development Manager</t>
  </si>
  <si>
    <t>70000178</t>
  </si>
  <si>
    <t>GERVAIS KABAMBA</t>
  </si>
  <si>
    <t>Marketing Analyst</t>
  </si>
  <si>
    <t>70000179</t>
  </si>
  <si>
    <t>NELLY BIGANIRO</t>
  </si>
  <si>
    <t>Purchasing Manager</t>
  </si>
  <si>
    <t>70000180</t>
  </si>
  <si>
    <t>Achille Mutombo</t>
  </si>
  <si>
    <t>Head of legal</t>
  </si>
  <si>
    <t>D5</t>
  </si>
  <si>
    <t>Legal</t>
  </si>
  <si>
    <t>70000184</t>
  </si>
  <si>
    <t>Hugo Mbale</t>
  </si>
  <si>
    <t>Tax Manager</t>
  </si>
  <si>
    <t>70000185</t>
  </si>
  <si>
    <t>Jean Pierre Mavuangala</t>
  </si>
  <si>
    <t>Logistic Manager</t>
  </si>
  <si>
    <t>70000186</t>
  </si>
  <si>
    <t>Barbara Bintu</t>
  </si>
  <si>
    <t>TMS Clerk</t>
  </si>
  <si>
    <t>70000187</t>
  </si>
  <si>
    <t>Patrick Kodjawa</t>
  </si>
  <si>
    <t>Ports Coordinator</t>
  </si>
  <si>
    <t>70000191</t>
  </si>
  <si>
    <t>Rufin Mpay</t>
  </si>
  <si>
    <t>Maintenance Planner</t>
  </si>
  <si>
    <t>70000200</t>
  </si>
  <si>
    <t>Tanya Ndaya</t>
  </si>
  <si>
    <t>Compliance Officer</t>
  </si>
  <si>
    <t>70000203</t>
  </si>
  <si>
    <t>Edgar Odipo</t>
  </si>
  <si>
    <t>Regional Manager-Grand Katanga</t>
  </si>
  <si>
    <t>70000205</t>
  </si>
  <si>
    <t>Erick Bompeta</t>
  </si>
  <si>
    <t>70000206</t>
  </si>
  <si>
    <t>Joseph Marhegeko</t>
  </si>
  <si>
    <t>Transports &amp; Transit Manager</t>
  </si>
  <si>
    <t>70000210</t>
  </si>
  <si>
    <t>Sosthene Nyomba Kamanda</t>
  </si>
  <si>
    <t>Senior Lab Analyst</t>
  </si>
  <si>
    <t>70000211</t>
  </si>
  <si>
    <t>Joel Toko</t>
  </si>
  <si>
    <t>70000212</t>
  </si>
  <si>
    <t>Albert Vangu</t>
  </si>
  <si>
    <t>70000214</t>
  </si>
  <si>
    <t>Joel Matoko</t>
  </si>
  <si>
    <t>Packaging/Loading Shift Supervisor</t>
  </si>
  <si>
    <t>70000215</t>
  </si>
  <si>
    <t>Alphonse Bindama</t>
  </si>
  <si>
    <t>70000216</t>
  </si>
  <si>
    <t>Patience Mansiamina</t>
  </si>
  <si>
    <t>Fitter</t>
  </si>
  <si>
    <t>70000220</t>
  </si>
  <si>
    <t>Fabrice Ndala</t>
  </si>
  <si>
    <t>70000226</t>
  </si>
  <si>
    <t>Alidor Kankonde</t>
  </si>
  <si>
    <t>Production Clerk</t>
  </si>
  <si>
    <t>70000227</t>
  </si>
  <si>
    <t>Dieu-Merci Ntunga</t>
  </si>
  <si>
    <t>Maintenance Inspector</t>
  </si>
  <si>
    <t>70000229</t>
  </si>
  <si>
    <t>Guylain Wampangulua</t>
  </si>
  <si>
    <t>Electrical Handyman</t>
  </si>
  <si>
    <t>70000232</t>
  </si>
  <si>
    <t>Lucio Da Conceição</t>
  </si>
  <si>
    <t>Electrical Techinician</t>
  </si>
  <si>
    <t>70000235</t>
  </si>
  <si>
    <t>Happy Iyanya</t>
  </si>
  <si>
    <t>Marketing Officer</t>
  </si>
  <si>
    <t>70000236</t>
  </si>
  <si>
    <t>Aime Molopakwa</t>
  </si>
  <si>
    <t>Warehouse Operator</t>
  </si>
  <si>
    <t>70000237</t>
  </si>
  <si>
    <t>Michel Mokanga</t>
  </si>
  <si>
    <t>70000238</t>
  </si>
  <si>
    <t>Tresor Saidi</t>
  </si>
  <si>
    <t>70000239</t>
  </si>
  <si>
    <t>Hervey Sabi</t>
  </si>
  <si>
    <t>Information Management System Coordinator</t>
  </si>
  <si>
    <t>70000240</t>
  </si>
  <si>
    <t>Nelson Mayumbu</t>
  </si>
  <si>
    <t>Finance Plant Controler</t>
  </si>
  <si>
    <t>70000241</t>
  </si>
  <si>
    <t>Jean Biawila</t>
  </si>
  <si>
    <t>Receiver</t>
  </si>
  <si>
    <t>70000242</t>
  </si>
  <si>
    <t>Willy Tshilolo</t>
  </si>
  <si>
    <t>70000243</t>
  </si>
  <si>
    <t>Christian Mukonkole</t>
  </si>
  <si>
    <t>70000244</t>
  </si>
  <si>
    <t>Leon Badibanga</t>
  </si>
  <si>
    <t>70000245</t>
  </si>
  <si>
    <t>Rimels Ntondo</t>
  </si>
  <si>
    <t>70000246</t>
  </si>
  <si>
    <t>Jean-Pierre Bashige</t>
  </si>
  <si>
    <t>Regional Sales Manager Interior</t>
  </si>
  <si>
    <t>70000247</t>
  </si>
  <si>
    <t>Herve Milambu</t>
  </si>
  <si>
    <t>70000250</t>
  </si>
  <si>
    <t>Deborah Kemo</t>
  </si>
  <si>
    <t>Administrator Account Payable</t>
  </si>
  <si>
    <t>70000252</t>
  </si>
  <si>
    <t>Andrew Molonga Lyonga</t>
  </si>
  <si>
    <t>Cameroon</t>
  </si>
  <si>
    <t>Plant Manager</t>
  </si>
  <si>
    <t>E1</t>
  </si>
  <si>
    <t>70000253</t>
  </si>
  <si>
    <t>Olivier Mola</t>
  </si>
  <si>
    <t>Manager Internal Audit</t>
  </si>
  <si>
    <t>Audit</t>
  </si>
  <si>
    <t>70000254</t>
  </si>
  <si>
    <t>Christian Ngudi</t>
  </si>
  <si>
    <t>Supply Chain</t>
  </si>
  <si>
    <t>70000255</t>
  </si>
  <si>
    <t>Jonas LINGOMA</t>
  </si>
  <si>
    <t>Inventory Controller</t>
  </si>
  <si>
    <t>70000256</t>
  </si>
  <si>
    <t>Patrick Kahasha Mbasha</t>
  </si>
  <si>
    <t>Managing Director</t>
  </si>
  <si>
    <t>E4</t>
  </si>
  <si>
    <t>70000259</t>
  </si>
  <si>
    <t>Nathan N'Sinabau</t>
  </si>
  <si>
    <t>LAN Administrator</t>
  </si>
  <si>
    <t>70000261</t>
  </si>
  <si>
    <t>Yannick Kalambay</t>
  </si>
  <si>
    <t>Instrument Control Technician</t>
  </si>
  <si>
    <t>70000262</t>
  </si>
  <si>
    <t>Arnold Ngaba</t>
  </si>
  <si>
    <t>Revenue &amp; Inventory Controller</t>
  </si>
  <si>
    <t>70000264</t>
  </si>
  <si>
    <t>Yannick Kamunga</t>
  </si>
  <si>
    <t>70000265</t>
  </si>
  <si>
    <t>Carine Ewuli</t>
  </si>
  <si>
    <t>Head of Human Resources</t>
  </si>
  <si>
    <t>70000268</t>
  </si>
  <si>
    <t>Angele Bahati</t>
  </si>
  <si>
    <t>Account Receivable Administrator</t>
  </si>
  <si>
    <t>70000269</t>
  </si>
  <si>
    <t>CHARITE TSHIMANGA</t>
  </si>
  <si>
    <t>Junior Talent Management</t>
  </si>
  <si>
    <t>70000270</t>
  </si>
  <si>
    <t>Archipp Mulenda</t>
  </si>
  <si>
    <t>Junior Digitalization</t>
  </si>
  <si>
    <t>70000274</t>
  </si>
  <si>
    <t>Caleb Tshiombe</t>
  </si>
  <si>
    <t>Junior Tax</t>
  </si>
  <si>
    <t>70000275</t>
  </si>
  <si>
    <t>Stephane Kilondo</t>
  </si>
  <si>
    <t>Compliance Agent</t>
  </si>
  <si>
    <t>70000276</t>
  </si>
  <si>
    <t>Emmanuel Mawete</t>
  </si>
  <si>
    <t>70000278</t>
  </si>
  <si>
    <t>Grace Asikandambu</t>
  </si>
  <si>
    <t>Internal Auditor</t>
  </si>
  <si>
    <t>70000279</t>
  </si>
  <si>
    <t>Grassinda Nkembi</t>
  </si>
  <si>
    <t>Legal Counsel</t>
  </si>
  <si>
    <t>70000280</t>
  </si>
  <si>
    <t>Romuald Landu</t>
  </si>
  <si>
    <t>Civil Engineer</t>
  </si>
  <si>
    <t>70000281</t>
  </si>
  <si>
    <t>Louis Marie Eteme Aboudi</t>
  </si>
  <si>
    <t>Reliability Engineer</t>
  </si>
  <si>
    <t>70000283</t>
  </si>
  <si>
    <t>Declairck Nsilulu Ngimbi</t>
  </si>
  <si>
    <t>70000284</t>
  </si>
  <si>
    <t>Oxano Muntanda</t>
  </si>
  <si>
    <t>Instrumentation Technician</t>
  </si>
  <si>
    <t>70000285</t>
  </si>
  <si>
    <t>Elodie Kitumaini</t>
  </si>
  <si>
    <t>TMS Officer</t>
  </si>
  <si>
    <t>70000286</t>
  </si>
  <si>
    <t>Eric Kani</t>
  </si>
  <si>
    <t>Sales Consultant</t>
  </si>
  <si>
    <t>70000287</t>
  </si>
  <si>
    <t>Dorly Nsakala</t>
  </si>
  <si>
    <t>70000288</t>
  </si>
  <si>
    <t>El Nathan Kalala</t>
  </si>
  <si>
    <t xml:space="preserve">Sales Consultant </t>
  </si>
  <si>
    <t>70000290</t>
  </si>
  <si>
    <t>Leonardo Mutombo</t>
  </si>
  <si>
    <t>Environmental Officer</t>
  </si>
  <si>
    <t>70000291</t>
  </si>
  <si>
    <t>Antoine Babala</t>
  </si>
  <si>
    <t>Executive Assistant</t>
  </si>
  <si>
    <t>70000292</t>
  </si>
  <si>
    <t>Stephanie Ndongala</t>
  </si>
  <si>
    <t>MD-Personal Assistant</t>
  </si>
  <si>
    <t>70000293</t>
  </si>
  <si>
    <t>Guylain Kalende</t>
  </si>
  <si>
    <t>Alternative Fuels &amp; Raw Materials Manager</t>
  </si>
  <si>
    <t>70000294</t>
  </si>
  <si>
    <t>Alexandre Mata</t>
  </si>
  <si>
    <t>70000295</t>
  </si>
  <si>
    <t>Pelagie Kinkinia</t>
  </si>
  <si>
    <t>Plant HR Manager</t>
  </si>
  <si>
    <t>70000296</t>
  </si>
  <si>
    <t>Michael Booke</t>
  </si>
  <si>
    <t>Head of Supply Chain</t>
  </si>
  <si>
    <t>70000297</t>
  </si>
  <si>
    <t>Papy Muzila</t>
  </si>
  <si>
    <t>Marketing Manager</t>
  </si>
  <si>
    <t>Sales and Marketing</t>
  </si>
  <si>
    <t>70000299</t>
  </si>
  <si>
    <t>Carine Mirindi</t>
  </si>
  <si>
    <t>HR Officer</t>
  </si>
  <si>
    <t>70000300</t>
  </si>
  <si>
    <t>Jeremie Atatala Anipap</t>
  </si>
  <si>
    <t>Mining Supervisor</t>
  </si>
  <si>
    <t>70000302</t>
  </si>
  <si>
    <t>Paul Mikindo</t>
  </si>
  <si>
    <t>Maintenance Supervisor</t>
  </si>
  <si>
    <t>70000303</t>
  </si>
  <si>
    <t>Jerry Buhendwa</t>
  </si>
  <si>
    <t>Supply Chain Officer</t>
  </si>
  <si>
    <t>70000304</t>
  </si>
  <si>
    <t>Lystha Yumba</t>
  </si>
  <si>
    <t>Production Supervisor</t>
  </si>
  <si>
    <t>70000305</t>
  </si>
  <si>
    <t>Patrick Panda</t>
  </si>
  <si>
    <t>70000306</t>
  </si>
  <si>
    <t>Blanchard Muzo</t>
  </si>
  <si>
    <t>70000307</t>
  </si>
  <si>
    <t>Pascal Ndonda</t>
  </si>
  <si>
    <t>70000308</t>
  </si>
  <si>
    <t>Gedeon Massadi</t>
  </si>
  <si>
    <t>HR Administrator</t>
  </si>
  <si>
    <t>70000309</t>
  </si>
  <si>
    <t>Junior Nlandu</t>
  </si>
  <si>
    <t>Fitter Vulcanizer</t>
  </si>
  <si>
    <t>70000013</t>
  </si>
  <si>
    <t>KUASA KINSIONA</t>
  </si>
  <si>
    <t xml:space="preserve">Drilling Operator </t>
  </si>
  <si>
    <t>70000042</t>
  </si>
  <si>
    <t>TOUBI NZAZI</t>
  </si>
  <si>
    <t>70000097</t>
  </si>
  <si>
    <t>Masudi Nkosi</t>
  </si>
  <si>
    <t>Mining Mobile Equipment Operator</t>
  </si>
  <si>
    <t>70000102</t>
  </si>
  <si>
    <t>Lumanisa Wasolokele</t>
  </si>
  <si>
    <t>70000124</t>
  </si>
  <si>
    <t>Longo Zola</t>
  </si>
  <si>
    <t>70000129</t>
  </si>
  <si>
    <t>RACHIE DIAWAWANA</t>
  </si>
  <si>
    <t xml:space="preserve">Mobile Equipment Operator - Grader </t>
  </si>
  <si>
    <t>70000204</t>
  </si>
  <si>
    <t>Marques Mpungwe</t>
  </si>
  <si>
    <t>Mining Superintendant</t>
  </si>
  <si>
    <t>70000208</t>
  </si>
  <si>
    <t>Cyrille Kone</t>
  </si>
  <si>
    <t>Côte d'Ivoire</t>
  </si>
  <si>
    <t>Finance Manager</t>
  </si>
  <si>
    <t>70000233</t>
  </si>
  <si>
    <t>Hassan Kananga</t>
  </si>
  <si>
    <t xml:space="preserve">Mining Shift Supervisor </t>
  </si>
  <si>
    <t>70000266</t>
  </si>
  <si>
    <t>Giscard Rukomeza</t>
  </si>
  <si>
    <t>Mining Manager</t>
  </si>
  <si>
    <t>Taux du jour</t>
  </si>
  <si>
    <t>Mois du rapport</t>
  </si>
  <si>
    <t>Headcount</t>
  </si>
  <si>
    <t>M</t>
  </si>
  <si>
    <t>F</t>
  </si>
  <si>
    <t>Average Length Of Service</t>
  </si>
  <si>
    <t>Average Age</t>
  </si>
  <si>
    <t>Male Average Age</t>
  </si>
  <si>
    <t>Female Average Age</t>
  </si>
  <si>
    <t>Retirement</t>
  </si>
  <si>
    <t>Pre-retirement</t>
  </si>
  <si>
    <t>&lt;25 ans</t>
  </si>
  <si>
    <t>25 - 29 ans</t>
  </si>
  <si>
    <t xml:space="preserve">30 - 34 ans </t>
  </si>
  <si>
    <t xml:space="preserve">35 - 39 ans </t>
  </si>
  <si>
    <t xml:space="preserve">40 - 44 ans </t>
  </si>
  <si>
    <t xml:space="preserve">45 - 49 ans </t>
  </si>
  <si>
    <t xml:space="preserve">50 - 54 ans </t>
  </si>
  <si>
    <t>&gt;55</t>
  </si>
  <si>
    <t>Total</t>
  </si>
  <si>
    <t>Count</t>
  </si>
  <si>
    <t>Range age</t>
  </si>
  <si>
    <t>%</t>
  </si>
  <si>
    <t>&lt;1 year</t>
  </si>
  <si>
    <t>1 - 3 year(s)</t>
  </si>
  <si>
    <t>4 - 6 years</t>
  </si>
  <si>
    <t>7 - 9 years</t>
  </si>
  <si>
    <t>&gt;= 10 years</t>
  </si>
  <si>
    <t>Length of service</t>
  </si>
  <si>
    <t>Length Of Service</t>
  </si>
  <si>
    <t>Average age</t>
  </si>
  <si>
    <t>Effectifs</t>
  </si>
  <si>
    <t>Gender per location</t>
  </si>
  <si>
    <t>Male %</t>
  </si>
  <si>
    <t>Female %</t>
  </si>
  <si>
    <t>Employee Last Name</t>
  </si>
  <si>
    <t>Init.</t>
  </si>
  <si>
    <t>Employee Number</t>
  </si>
  <si>
    <t>Org. Unit</t>
  </si>
  <si>
    <t>Component</t>
  </si>
  <si>
    <t>Units</t>
  </si>
  <si>
    <t>Component Value</t>
  </si>
  <si>
    <t>Nlandu</t>
  </si>
  <si>
    <t>E</t>
  </si>
  <si>
    <t>Heures supplémentaires x 1.3 du taux de base</t>
  </si>
  <si>
    <t>Row Labels</t>
  </si>
  <si>
    <t>Sum of Units</t>
  </si>
  <si>
    <t>Sum of Component Value</t>
  </si>
  <si>
    <t>Employees with recorded hours</t>
  </si>
  <si>
    <t>Heures supplémentaires x 1.6 du taux de base</t>
  </si>
  <si>
    <t>% sur le nombre des employés</t>
  </si>
  <si>
    <t>Heures supplémentaires x 2.0 du taux de base</t>
  </si>
  <si>
    <t>Total Overtime</t>
  </si>
  <si>
    <t>Samba</t>
  </si>
  <si>
    <t>C</t>
  </si>
  <si>
    <t xml:space="preserve">Average hours </t>
  </si>
  <si>
    <t>Nsilu</t>
  </si>
  <si>
    <t>N</t>
  </si>
  <si>
    <t xml:space="preserve">Total cost </t>
  </si>
  <si>
    <t>Tandu</t>
  </si>
  <si>
    <t>B</t>
  </si>
  <si>
    <t>Average cost per employee</t>
  </si>
  <si>
    <t>Musako</t>
  </si>
  <si>
    <t>Overtime represents</t>
  </si>
  <si>
    <t>Mvilambi</t>
  </si>
  <si>
    <t>DM</t>
  </si>
  <si>
    <t>Kamanda</t>
  </si>
  <si>
    <t>SNK</t>
  </si>
  <si>
    <t>Mawete</t>
  </si>
  <si>
    <t>ME</t>
  </si>
  <si>
    <t>Bavibidila</t>
  </si>
  <si>
    <t>G</t>
  </si>
  <si>
    <t>Bitutu</t>
  </si>
  <si>
    <t>Mutambayi</t>
  </si>
  <si>
    <t>K</t>
  </si>
  <si>
    <t>Muanda</t>
  </si>
  <si>
    <t>J</t>
  </si>
  <si>
    <t>Kalunga</t>
  </si>
  <si>
    <t>R</t>
  </si>
  <si>
    <t>Tshilolo</t>
  </si>
  <si>
    <t>TWM</t>
  </si>
  <si>
    <t>Mukonkole</t>
  </si>
  <si>
    <t>MCK</t>
  </si>
  <si>
    <t>Badibanga</t>
  </si>
  <si>
    <t>BLM</t>
  </si>
  <si>
    <t>Kamunga</t>
  </si>
  <si>
    <t>YK</t>
  </si>
  <si>
    <t>Lutonadio</t>
  </si>
  <si>
    <t>OL</t>
  </si>
  <si>
    <t>Luzolawo</t>
  </si>
  <si>
    <t>Nzuzi</t>
  </si>
  <si>
    <t>Matoko</t>
  </si>
  <si>
    <t>JM</t>
  </si>
  <si>
    <t>Vangu</t>
  </si>
  <si>
    <t>Nsakala</t>
  </si>
  <si>
    <t>Lukuayi</t>
  </si>
  <si>
    <t>O</t>
  </si>
  <si>
    <t>Toko</t>
  </si>
  <si>
    <t>JT</t>
  </si>
  <si>
    <t>AV</t>
  </si>
  <si>
    <t>Kankonde</t>
  </si>
  <si>
    <t>KAL</t>
  </si>
  <si>
    <t>Bayisa</t>
  </si>
  <si>
    <t>S</t>
  </si>
  <si>
    <t>Mvumbi</t>
  </si>
  <si>
    <t>D</t>
  </si>
  <si>
    <t>Grand Total</t>
  </si>
  <si>
    <t>Tulomba</t>
  </si>
  <si>
    <t>Ngoma</t>
  </si>
  <si>
    <t>Onosamba</t>
  </si>
  <si>
    <t>L</t>
  </si>
  <si>
    <t>Nzungu</t>
  </si>
  <si>
    <t>A</t>
  </si>
  <si>
    <t>Bindama</t>
  </si>
  <si>
    <t>AB</t>
  </si>
  <si>
    <t>Mansiamina</t>
  </si>
  <si>
    <t>PM</t>
  </si>
  <si>
    <t>Ntunga</t>
  </si>
  <si>
    <t>NDMP</t>
  </si>
  <si>
    <t>Ngimbi</t>
  </si>
  <si>
    <t>NDN</t>
  </si>
  <si>
    <t>Muntanda</t>
  </si>
  <si>
    <t>MO</t>
  </si>
  <si>
    <t>Muzo</t>
  </si>
  <si>
    <t>MBN</t>
  </si>
  <si>
    <t>NJT</t>
  </si>
  <si>
    <t>KUABI</t>
  </si>
  <si>
    <t>Wampangulua</t>
  </si>
  <si>
    <t>WGB</t>
  </si>
  <si>
    <t>Da Conceição</t>
  </si>
  <si>
    <t>LDC</t>
  </si>
  <si>
    <t>NSEMBOLO</t>
  </si>
  <si>
    <t>Biawila</t>
  </si>
  <si>
    <t>BJR</t>
  </si>
  <si>
    <t>LINGOMA</t>
  </si>
  <si>
    <t>JL</t>
  </si>
  <si>
    <t>MAKIVOVI</t>
  </si>
  <si>
    <t>Nkosi</t>
  </si>
  <si>
    <t>DIAWAWANA</t>
  </si>
  <si>
    <t>Kananga</t>
  </si>
  <si>
    <t>KHN</t>
  </si>
  <si>
    <t>Zola</t>
  </si>
  <si>
    <t>KINSIONA</t>
  </si>
  <si>
    <t>IN FY26</t>
  </si>
  <si>
    <t>Emp Last Name</t>
  </si>
  <si>
    <t>First Name</t>
  </si>
  <si>
    <t>Employment Date</t>
  </si>
  <si>
    <t>OUT FY26</t>
  </si>
  <si>
    <t>Departement</t>
  </si>
  <si>
    <t>Termination Date</t>
  </si>
  <si>
    <t>Termination Reason</t>
  </si>
  <si>
    <t>Serge</t>
  </si>
  <si>
    <t>Turnover and Attrition</t>
  </si>
  <si>
    <t xml:space="preserve"> IN – OUT YTD </t>
  </si>
  <si>
    <t>APR</t>
  </si>
  <si>
    <t>MAY</t>
  </si>
  <si>
    <t>JUN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</si>
  <si>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</si>
  <si>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</si>
  <si>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</si>
  <si>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</si>
  <si>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</si>
  <si>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</si>
  <si>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</si>
  <si>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</si>
  <si>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</si>
  <si>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FY26 YTD</t>
  </si>
  <si>
    <t>IN</t>
  </si>
  <si>
    <t>Out</t>
  </si>
  <si>
    <t>Attrition Rate</t>
  </si>
  <si>
    <t>Turnover</t>
  </si>
  <si>
    <t>Total Headcount</t>
  </si>
  <si>
    <t>FY 2026</t>
  </si>
  <si>
    <t>Number</t>
  </si>
  <si>
    <t>Amicable Separation</t>
  </si>
  <si>
    <t>Dismissal</t>
  </si>
  <si>
    <t>Resignation</t>
  </si>
  <si>
    <t>Contract Expired</t>
  </si>
  <si>
    <t>NDUSHA</t>
  </si>
  <si>
    <t>CLEMENT</t>
  </si>
  <si>
    <t>Process Technician</t>
  </si>
  <si>
    <t>16/07/2026</t>
  </si>
  <si>
    <t>Dismisal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</si>
  <si>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</si>
  <si>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</si>
  <si>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</si>
  <si>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</si>
  <si>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</si>
  <si>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</si>
  <si>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</si>
  <si>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</si>
  <si>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</si>
  <si>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</si>
  <si>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</si>
  <si>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</si>
  <si>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Actual</t>
  </si>
  <si>
    <t>Budget</t>
  </si>
  <si>
    <t>Months</t>
  </si>
  <si>
    <t>FY25 - Actual</t>
  </si>
  <si>
    <t>Staff_Cost</t>
  </si>
  <si>
    <t>Staff_Cumul</t>
  </si>
  <si>
    <t>Volume</t>
  </si>
  <si>
    <t>Volume_Cum</t>
  </si>
  <si>
    <t>Revenue</t>
  </si>
  <si>
    <t>Revenue_Cum</t>
  </si>
  <si>
    <t>T/employee YTD</t>
  </si>
  <si>
    <t>T/employee</t>
  </si>
  <si>
    <t>Revenue/Employee YTD</t>
  </si>
  <si>
    <t>Revenue/Employee</t>
  </si>
  <si>
    <t>Sum</t>
  </si>
  <si>
    <t>Average</t>
  </si>
  <si>
    <t>Running Total</t>
  </si>
  <si>
    <t>Actual YTD</t>
  </si>
  <si>
    <t>Plan Budget YTD</t>
  </si>
  <si>
    <t>Salaries</t>
  </si>
  <si>
    <t>Volumes</t>
  </si>
  <si>
    <t>FY25 - Budget</t>
  </si>
  <si>
    <t>Staff Cost KPI</t>
  </si>
  <si>
    <t>BUDGET</t>
  </si>
  <si>
    <t>ACTUAL</t>
  </si>
  <si>
    <t>HOURS</t>
  </si>
  <si>
    <t>JUL</t>
  </si>
  <si>
    <t>SEP</t>
  </si>
  <si>
    <t>CEC</t>
  </si>
  <si>
    <t>Value</t>
  </si>
  <si>
    <t>OVERTIME</t>
  </si>
  <si>
    <t>Dept</t>
  </si>
  <si>
    <t>Hours</t>
  </si>
  <si>
    <t>Cost</t>
  </si>
  <si>
    <t>Leave</t>
  </si>
  <si>
    <t>Last Name</t>
  </si>
  <si>
    <t>Emp. No.</t>
  </si>
  <si>
    <t xml:space="preserve">Emp Number </t>
  </si>
  <si>
    <t>Birth Date</t>
  </si>
  <si>
    <t>Cost Centre</t>
  </si>
  <si>
    <t>Department</t>
  </si>
  <si>
    <t>Leave Type</t>
  </si>
  <si>
    <t>Leave Description</t>
  </si>
  <si>
    <t>Service Length Description</t>
  </si>
  <si>
    <t>Yrs of Service</t>
  </si>
  <si>
    <t>Start Date</t>
  </si>
  <si>
    <t>Opening Balance</t>
  </si>
  <si>
    <t>Accrual</t>
  </si>
  <si>
    <t>Taken/Adjusted</t>
  </si>
  <si>
    <t>Forfeited</t>
  </si>
  <si>
    <t>Closing Balance</t>
  </si>
  <si>
    <t>Days to expire/carry over</t>
  </si>
  <si>
    <t>Expiry/Carry over month</t>
  </si>
  <si>
    <t>KUASA</t>
  </si>
  <si>
    <t>KQ1010-Drilling &amp; Blasting</t>
  </si>
  <si>
    <t>Annual</t>
  </si>
  <si>
    <t>Annual Leave</t>
  </si>
  <si>
    <t>23 days 3 to 6 years</t>
  </si>
  <si>
    <t/>
  </si>
  <si>
    <t>Sick</t>
  </si>
  <si>
    <t>conge de maladie</t>
  </si>
  <si>
    <t>Special</t>
  </si>
  <si>
    <t>Circumstance Leave</t>
  </si>
  <si>
    <t>Maternity leave</t>
  </si>
  <si>
    <t>Paternity Leave</t>
  </si>
  <si>
    <t>Special Leave</t>
  </si>
  <si>
    <t>Unpaid leave</t>
  </si>
  <si>
    <t>NZAZI</t>
  </si>
  <si>
    <t>TOUBI</t>
  </si>
  <si>
    <t>Masudi</t>
  </si>
  <si>
    <t>KQ1910-Mining General</t>
  </si>
  <si>
    <t>Wasolokele</t>
  </si>
  <si>
    <t>Lumanisa</t>
  </si>
  <si>
    <t>Longo</t>
  </si>
  <si>
    <t>KQ1023-Hauling</t>
  </si>
  <si>
    <t>25 days 12 to 15 years</t>
  </si>
  <si>
    <t>RACHIE</t>
  </si>
  <si>
    <t>22 days 3 to 6 years</t>
  </si>
  <si>
    <t>Mpungwe</t>
  </si>
  <si>
    <t>Marques</t>
  </si>
  <si>
    <t>Conge Annuel</t>
  </si>
  <si>
    <t>21 days 3 to6 Years</t>
  </si>
  <si>
    <t>Sick Leave</t>
  </si>
  <si>
    <t>Kone</t>
  </si>
  <si>
    <t>Cyrille</t>
  </si>
  <si>
    <t>Hassan</t>
  </si>
  <si>
    <t>22 days 12 to 15 years</t>
  </si>
  <si>
    <t>Rukomeza</t>
  </si>
  <si>
    <t>Giscard</t>
  </si>
  <si>
    <t>20 days 0 to1 Years</t>
  </si>
  <si>
    <t>Mbodi</t>
  </si>
  <si>
    <t>Gaël</t>
  </si>
  <si>
    <t>DL5110-Lubudi team</t>
  </si>
  <si>
    <t>Administration</t>
  </si>
  <si>
    <t>conge annuel</t>
  </si>
  <si>
    <t>23 days 9 to 12Years</t>
  </si>
  <si>
    <t>Muakasa</t>
  </si>
  <si>
    <t>KM5631-Village</t>
  </si>
  <si>
    <t>Human Resources</t>
  </si>
  <si>
    <t>25 days 9 to 12 years</t>
  </si>
  <si>
    <t>Conge de Maladie</t>
  </si>
  <si>
    <t>Unpaid Leave</t>
  </si>
  <si>
    <t>Zodulua</t>
  </si>
  <si>
    <t>Jean Jacques</t>
  </si>
  <si>
    <t>KC8710-HR Admin General</t>
  </si>
  <si>
    <t>Corporate Admin</t>
  </si>
  <si>
    <t>Feinta</t>
  </si>
  <si>
    <t>Kimbanzi</t>
  </si>
  <si>
    <t>KC6111-Central Region</t>
  </si>
  <si>
    <t>Sales &amp; Logistics</t>
  </si>
  <si>
    <t>LUZOLO</t>
  </si>
  <si>
    <t xml:space="preserve">KM5317 – Garage </t>
  </si>
  <si>
    <t>Banguli</t>
  </si>
  <si>
    <t>Kiesse</t>
  </si>
  <si>
    <t>24 days 12 to15 Years</t>
  </si>
  <si>
    <t>Lisangola</t>
  </si>
  <si>
    <t>Marie Josee</t>
  </si>
  <si>
    <t>26 days 12 to 15 years</t>
  </si>
  <si>
    <t>Munanga</t>
  </si>
  <si>
    <t>Dina</t>
  </si>
  <si>
    <t>KC6312 – Customer Demand- Supply Management</t>
  </si>
  <si>
    <t>Onesime</t>
  </si>
  <si>
    <t>Banga Banga</t>
  </si>
  <si>
    <t>Kitambo</t>
  </si>
  <si>
    <t>Medard</t>
  </si>
  <si>
    <t>KM5413-HR Admin Plant</t>
  </si>
  <si>
    <t>Kabangu</t>
  </si>
  <si>
    <t>KM4421-Burning</t>
  </si>
  <si>
    <t>Tresor-Michel</t>
  </si>
  <si>
    <t>KABEYA</t>
  </si>
  <si>
    <t>KM5110-Production General</t>
  </si>
  <si>
    <t>Ilunga</t>
  </si>
  <si>
    <t>Kadimoyo</t>
  </si>
  <si>
    <t>Maphasi</t>
  </si>
  <si>
    <t>KM4510-F M General</t>
  </si>
  <si>
    <t>Kayembe</t>
  </si>
  <si>
    <t>Muba</t>
  </si>
  <si>
    <t>KM4610-Bagging General</t>
  </si>
  <si>
    <t>Packaging &amp; Logistics</t>
  </si>
  <si>
    <t>Nemwandjare</t>
  </si>
  <si>
    <t>Pero</t>
  </si>
  <si>
    <t>KM5910 – Optimization</t>
  </si>
  <si>
    <t>Umirambe</t>
  </si>
  <si>
    <t>Uuchi</t>
  </si>
  <si>
    <t>Kankolongo</t>
  </si>
  <si>
    <t>Mulolo</t>
  </si>
  <si>
    <t>KC8414-IT</t>
  </si>
  <si>
    <t>Macharia</t>
  </si>
  <si>
    <t>Simon</t>
  </si>
  <si>
    <t>KM5310-Engineering General</t>
  </si>
  <si>
    <t>Ilondo</t>
  </si>
  <si>
    <t>Jack Lethy</t>
  </si>
  <si>
    <t>EDDO</t>
  </si>
  <si>
    <t>KM5811-Environmental Management</t>
  </si>
  <si>
    <t>Risk &amp; Environment</t>
  </si>
  <si>
    <t>Bilonda</t>
  </si>
  <si>
    <t>Diane</t>
  </si>
  <si>
    <t>MUKENDI</t>
  </si>
  <si>
    <t>PATRICK</t>
  </si>
  <si>
    <t>KM5311-Mechanical W/S</t>
  </si>
  <si>
    <t>Kiloso</t>
  </si>
  <si>
    <t>Helena</t>
  </si>
  <si>
    <t>Liwanda Lute</t>
  </si>
  <si>
    <t>Charles Joseph</t>
  </si>
  <si>
    <t>KM5510-Laboratory</t>
  </si>
  <si>
    <t>Tanui</t>
  </si>
  <si>
    <t>Elias</t>
  </si>
  <si>
    <t>KM8910 Project Management</t>
  </si>
  <si>
    <t>Diakiese</t>
  </si>
  <si>
    <t>Grace</t>
  </si>
  <si>
    <t>Gaylor</t>
  </si>
  <si>
    <t>Olivier</t>
  </si>
  <si>
    <t>Tulengi</t>
  </si>
  <si>
    <t>Reagan</t>
  </si>
  <si>
    <t>Rodrigue</t>
  </si>
  <si>
    <t>Joel</t>
  </si>
  <si>
    <t>Jisca</t>
  </si>
  <si>
    <t>Ramses</t>
  </si>
  <si>
    <t>Mpongo</t>
  </si>
  <si>
    <t>Leon</t>
  </si>
  <si>
    <t>KC8813-Procurement</t>
  </si>
  <si>
    <t>Dunga</t>
  </si>
  <si>
    <t>Platini</t>
  </si>
  <si>
    <t>Gervais</t>
  </si>
  <si>
    <t>KM4321-Raw Milling</t>
  </si>
  <si>
    <t>Eder</t>
  </si>
  <si>
    <t>Ndonga</t>
  </si>
  <si>
    <t>Noel</t>
  </si>
  <si>
    <t>Erick</t>
  </si>
  <si>
    <t>Cadet</t>
  </si>
  <si>
    <t>Batekisa</t>
  </si>
  <si>
    <t>Nicha</t>
  </si>
  <si>
    <t>KC6310 – Customer Excellence Center General</t>
  </si>
  <si>
    <t>Dinandi</t>
  </si>
  <si>
    <t>Nadege</t>
  </si>
  <si>
    <t>Bertin</t>
  </si>
  <si>
    <t>Finkidi</t>
  </si>
  <si>
    <t>Edgard</t>
  </si>
  <si>
    <t>Moise</t>
  </si>
  <si>
    <t>Delvis</t>
  </si>
  <si>
    <t>Ekwalanga</t>
  </si>
  <si>
    <t>Boniface</t>
  </si>
  <si>
    <t>KC8412-HQ Finance Controler</t>
  </si>
  <si>
    <t>Kiangebeni</t>
  </si>
  <si>
    <t>Ziwanuka</t>
  </si>
  <si>
    <t>Ovie</t>
  </si>
  <si>
    <t>Ngoyi</t>
  </si>
  <si>
    <t>Marcel</t>
  </si>
  <si>
    <t>Mbangi</t>
  </si>
  <si>
    <t>Andre</t>
  </si>
  <si>
    <t>Kadima</t>
  </si>
  <si>
    <t>Ben Paulin</t>
  </si>
  <si>
    <t>KC6113-Southern Region</t>
  </si>
  <si>
    <t>Osee</t>
  </si>
  <si>
    <t>Luzayadio</t>
  </si>
  <si>
    <t>Pamphil</t>
  </si>
  <si>
    <t>Lufua</t>
  </si>
  <si>
    <t>Joseph</t>
  </si>
  <si>
    <t>Mirtha</t>
  </si>
  <si>
    <t>KC8411-Finance</t>
  </si>
  <si>
    <t>Dieu</t>
  </si>
  <si>
    <t>Mvutu</t>
  </si>
  <si>
    <t>Karine</t>
  </si>
  <si>
    <t>KM5721-Occupational health</t>
  </si>
  <si>
    <t>Moleka</t>
  </si>
  <si>
    <t>Fred</t>
  </si>
  <si>
    <t>Glody</t>
  </si>
  <si>
    <t>KC8812-Logistics-Outbound</t>
  </si>
  <si>
    <t>Mananga</t>
  </si>
  <si>
    <t>KM5416 – CEC Plant - Cost Centres</t>
  </si>
  <si>
    <t>Adhule</t>
  </si>
  <si>
    <t>KM5711-Risk Management</t>
  </si>
  <si>
    <t>Lundi</t>
  </si>
  <si>
    <t>Antoine</t>
  </si>
  <si>
    <t>Nseka</t>
  </si>
  <si>
    <t>Dheins</t>
  </si>
  <si>
    <t>Kaboto</t>
  </si>
  <si>
    <t>Clementine</t>
  </si>
  <si>
    <t>Luinda</t>
  </si>
  <si>
    <t>Honore</t>
  </si>
  <si>
    <t>22 days 6 to9 Years</t>
  </si>
  <si>
    <t>Kamungoma</t>
  </si>
  <si>
    <t>Emmanuel</t>
  </si>
  <si>
    <t>24 days 6 to 9 years</t>
  </si>
  <si>
    <t>Muzadi</t>
  </si>
  <si>
    <t>Cedric</t>
  </si>
  <si>
    <t>KC8410-Finance &amp; IT General</t>
  </si>
  <si>
    <t>KM5412-Warehouses Plant</t>
  </si>
  <si>
    <t>Kasongo</t>
  </si>
  <si>
    <t>Junior</t>
  </si>
  <si>
    <t>Tsasa</t>
  </si>
  <si>
    <t>Paul</t>
  </si>
  <si>
    <t>Phuati</t>
  </si>
  <si>
    <t>Francis</t>
  </si>
  <si>
    <t>Kinsomona</t>
  </si>
  <si>
    <t>Hornel</t>
  </si>
  <si>
    <t>Alimasi</t>
  </si>
  <si>
    <t>Nalik</t>
  </si>
  <si>
    <t>DIAMATONDO</t>
  </si>
  <si>
    <t>DENIS</t>
  </si>
  <si>
    <t>MALU</t>
  </si>
  <si>
    <t>SEBASTIEN</t>
  </si>
  <si>
    <t>CHRISTIAN</t>
  </si>
  <si>
    <t>MANEKA</t>
  </si>
  <si>
    <t>TRESOR</t>
  </si>
  <si>
    <t>KILENDA</t>
  </si>
  <si>
    <t>ALI</t>
  </si>
  <si>
    <t>ZAKUANI</t>
  </si>
  <si>
    <t>BENNY</t>
  </si>
  <si>
    <t>CPME Manager</t>
  </si>
  <si>
    <t>KC9211-Managing Director</t>
  </si>
  <si>
    <t>KABAMBA</t>
  </si>
  <si>
    <t>GERVAIS</t>
  </si>
  <si>
    <t>KC6210-Marketing General</t>
  </si>
  <si>
    <t>BIGANIRO</t>
  </si>
  <si>
    <t>NELLY</t>
  </si>
  <si>
    <t>Mutombo</t>
  </si>
  <si>
    <t>Achille</t>
  </si>
  <si>
    <t>KC9215-Legal</t>
  </si>
  <si>
    <t>Mbale</t>
  </si>
  <si>
    <t>Hugo</t>
  </si>
  <si>
    <t>KC8413-Tax</t>
  </si>
  <si>
    <t>Mavuangala</t>
  </si>
  <si>
    <t>Jean Pierre</t>
  </si>
  <si>
    <t>Bintu</t>
  </si>
  <si>
    <t>Barbara</t>
  </si>
  <si>
    <t>KC8811-Logistics - Inbound &amp; Depot</t>
  </si>
  <si>
    <t>Kodjawa</t>
  </si>
  <si>
    <t>Patrick</t>
  </si>
  <si>
    <t>Mpay</t>
  </si>
  <si>
    <t>Rufin</t>
  </si>
  <si>
    <t>Ndaya</t>
  </si>
  <si>
    <t>Tanya</t>
  </si>
  <si>
    <t>KC9111-Compliance Office</t>
  </si>
  <si>
    <t>Odipo</t>
  </si>
  <si>
    <t>Edgar</t>
  </si>
  <si>
    <t>DL9411-Lubudi Regional Manager</t>
  </si>
  <si>
    <t>Bompeta</t>
  </si>
  <si>
    <t>Marhegeko</t>
  </si>
  <si>
    <t>Sosthene Nyomba</t>
  </si>
  <si>
    <t>Albert</t>
  </si>
  <si>
    <t>Alphonse</t>
  </si>
  <si>
    <t>Patience</t>
  </si>
  <si>
    <t>Ndala</t>
  </si>
  <si>
    <t>Fabrice</t>
  </si>
  <si>
    <t>Alidor</t>
  </si>
  <si>
    <t>Dieu-Merci</t>
  </si>
  <si>
    <t>Guylain</t>
  </si>
  <si>
    <t>KM5314-Estates &amp; Civil W/S</t>
  </si>
  <si>
    <t>Lucio</t>
  </si>
  <si>
    <t>22 days 0 to 3 years</t>
  </si>
  <si>
    <t>Iyanya</t>
  </si>
  <si>
    <t>Happy</t>
  </si>
  <si>
    <t>Molopakwa</t>
  </si>
  <si>
    <t>Aime</t>
  </si>
  <si>
    <t>Mokanga</t>
  </si>
  <si>
    <t>Michel</t>
  </si>
  <si>
    <t>KC6112-Northern Region</t>
  </si>
  <si>
    <t>Saidi</t>
  </si>
  <si>
    <t>Tresor</t>
  </si>
  <si>
    <t>Sabi</t>
  </si>
  <si>
    <t>Hervey</t>
  </si>
  <si>
    <t>KM8920 IM  Systems</t>
  </si>
  <si>
    <t>Mayumbu</t>
  </si>
  <si>
    <t>Nelson</t>
  </si>
  <si>
    <t>KM5410-Admin General</t>
  </si>
  <si>
    <t>Jean</t>
  </si>
  <si>
    <t>Willy</t>
  </si>
  <si>
    <t>Christian</t>
  </si>
  <si>
    <t>Ntondo</t>
  </si>
  <si>
    <t>Rimels</t>
  </si>
  <si>
    <t>Bashige</t>
  </si>
  <si>
    <t>Jean-Pierre</t>
  </si>
  <si>
    <t>Milambu</t>
  </si>
  <si>
    <t>Herve</t>
  </si>
  <si>
    <t>Kemo</t>
  </si>
  <si>
    <t>Deborah</t>
  </si>
  <si>
    <t>Lyonga</t>
  </si>
  <si>
    <t>Andrew Molonga</t>
  </si>
  <si>
    <t>Mola</t>
  </si>
  <si>
    <t>KC9114-Internal Audit</t>
  </si>
  <si>
    <t>Ngudi</t>
  </si>
  <si>
    <t>Jonas</t>
  </si>
  <si>
    <t>Kahasha Mbasha</t>
  </si>
  <si>
    <t>N'Sinabau</t>
  </si>
  <si>
    <t>Nathan</t>
  </si>
  <si>
    <t>Kalambay</t>
  </si>
  <si>
    <t>Yannick</t>
  </si>
  <si>
    <t>Ngaba</t>
  </si>
  <si>
    <t>Arnold</t>
  </si>
  <si>
    <t>Site Cost Controller</t>
  </si>
  <si>
    <t>Ewuli</t>
  </si>
  <si>
    <t>Carine</t>
  </si>
  <si>
    <t>KC8712-Corporate HR</t>
  </si>
  <si>
    <t>Bahati</t>
  </si>
  <si>
    <t>Angele</t>
  </si>
  <si>
    <t>TSHIMANGA</t>
  </si>
  <si>
    <t>CHARITE</t>
  </si>
  <si>
    <t>Mulenda</t>
  </si>
  <si>
    <t>Archipp</t>
  </si>
  <si>
    <t>Tshiombe</t>
  </si>
  <si>
    <t>Caleb</t>
  </si>
  <si>
    <t>Kilondo</t>
  </si>
  <si>
    <t>Stephane</t>
  </si>
  <si>
    <t>Asikandambu</t>
  </si>
  <si>
    <t>Nkembi</t>
  </si>
  <si>
    <t>Grassinda</t>
  </si>
  <si>
    <t>Landu</t>
  </si>
  <si>
    <t>Romuald</t>
  </si>
  <si>
    <t>Eteme Aboudi</t>
  </si>
  <si>
    <t>Louis Marie</t>
  </si>
  <si>
    <t>Declairck Nsilulu</t>
  </si>
  <si>
    <t>Oxano</t>
  </si>
  <si>
    <t>Kitumaini</t>
  </si>
  <si>
    <t>Elodie</t>
  </si>
  <si>
    <t>Kani</t>
  </si>
  <si>
    <t>Eric</t>
  </si>
  <si>
    <t>Dorly</t>
  </si>
  <si>
    <t>Kalala</t>
  </si>
  <si>
    <t>El Nathan</t>
  </si>
  <si>
    <t>Leonardo</t>
  </si>
  <si>
    <t>Babala</t>
  </si>
  <si>
    <t>KC9214-Performance Manager</t>
  </si>
  <si>
    <t>Ndongala</t>
  </si>
  <si>
    <t>Stephanie</t>
  </si>
  <si>
    <t>KC9212-Assistant to MD</t>
  </si>
  <si>
    <t>Kalende</t>
  </si>
  <si>
    <t>Mata</t>
  </si>
  <si>
    <t>Alexandre</t>
  </si>
  <si>
    <t>Kinkinia</t>
  </si>
  <si>
    <t>Pelagie</t>
  </si>
  <si>
    <t>Booke</t>
  </si>
  <si>
    <t>Michael</t>
  </si>
  <si>
    <t>KC8810-Supply Chain General</t>
  </si>
  <si>
    <t>Muzila</t>
  </si>
  <si>
    <t>Papy</t>
  </si>
  <si>
    <t>Mirindi</t>
  </si>
  <si>
    <t>Atatala Anipap</t>
  </si>
  <si>
    <t>Jeremie</t>
  </si>
  <si>
    <t>Mikindo</t>
  </si>
  <si>
    <t>Buhendwa</t>
  </si>
  <si>
    <t>Jerry</t>
  </si>
  <si>
    <t>Yumba</t>
  </si>
  <si>
    <t>Lystha</t>
  </si>
  <si>
    <t>Panda</t>
  </si>
  <si>
    <t>Blanchard</t>
  </si>
  <si>
    <t>Ndonda</t>
  </si>
  <si>
    <t>Pascal</t>
  </si>
  <si>
    <t>Massadi</t>
  </si>
  <si>
    <t>Gedeon</t>
  </si>
  <si>
    <t>All Units End</t>
  </si>
  <si>
    <t>Employee</t>
  </si>
  <si>
    <t>Name</t>
  </si>
  <si>
    <t xml:space="preserve">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</si>
</sst>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[$-11C09]yyyy/mm/dd"/>
    <numFmt numFmtId="165" formatCode="0.0"/>
    <numFmt numFmtId="166" formatCode="[$-10409]#,##0.00"/>
    <numFmt numFmtId="167" formatCode="[$-10409]dd\ mmm\ yyyy"/>
    <numFmt numFmtId="168" formatCode="[$-11C09]dd/mm/yyyy"/>
    <numFmt numFmtId="169" formatCode="[$-409]d\-mmm\-yy;@"/>
    <numFmt numFmtId="170" formatCode="[$-409]d\-mmm\-yyyy;@"/>
    <numFmt numFmtId="171" formatCode="0.0%"/>
    <numFmt numFmtId="175" formatCode="[$-10409]0.00"/>
    <numFmt numFmtId="176" formatCode="[$-10409]dd/mm/yyyy"/>
    <numFmt numFmtId="177" formatCode="[$-10409]#,##0.00;\-#,##0.00"/>
    <numFmt numFmtId="178" formatCode="[$-10409]mmmm\ yyyy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sz val="11"/>
      <color rgb="FF000000"/>
      <name val="Aptos Narrow"/>
      <family val="2"/>
      <scheme val="minor"/>
    </font>
    <font>
      <sz val="8"/>
      <color rgb="FF000000"/>
      <name val="Arial"/>
      <family val="2"/>
    </font>
    <font>
      <sz val="11"/>
      <name val="Calibri"/>
      <family val="2"/>
    </font>
    <font>
      <b/>
      <sz val="8"/>
      <color rgb="FF000000"/>
      <name val="Arial"/>
      <family val="2"/>
    </font>
    <font>
      <b/>
      <sz val="1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name val="Calibri"/>
      <family val="2"/>
    </font>
    <font>
      <i/>
      <sz val="10"/>
      <color rgb="FF000000"/>
      <name val="Calibri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10"/>
      <color rgb="FF000000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01">
    <xf numFmtId="0" fontId="0" fillId="0" borderId="0" xfId="0"/>
    <xf numFmtId="0" fontId="5" fillId="3" borderId="0" xfId="0" applyFont="1" applyFill="1" applyAlignment="1">
      <alignment horizontal="left" vertical="center" wrapText="1" readingOrder="1"/>
    </xf>
    <xf numFmtId="0" fontId="5" fillId="3" borderId="0" xfId="0" applyFont="1" applyFill="1" applyAlignment="1">
      <alignment horizontal="center" vertical="center" wrapText="1" readingOrder="1"/>
    </xf>
    <xf numFmtId="43" fontId="5" fillId="3" borderId="0" xfId="1" applyFont="1" applyFill="1" applyAlignment="1">
      <alignment horizontal="center" vertical="center" wrapText="1" readingOrder="1"/>
    </xf>
    <xf numFmtId="0" fontId="8" fillId="0" borderId="4" xfId="0" applyFont="1" applyBorder="1" applyAlignment="1">
      <alignment vertical="center" wrapText="1" readingOrder="1"/>
    </xf>
    <xf numFmtId="0" fontId="8" fillId="0" borderId="4" xfId="0" applyFont="1" applyBorder="1" applyAlignment="1">
      <alignment horizontal="left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164" fontId="8" fillId="0" borderId="4" xfId="0" applyNumberFormat="1" applyFont="1" applyBorder="1" applyAlignment="1">
      <alignment horizontal="center" vertical="center" wrapText="1" readingOrder="1"/>
    </xf>
    <xf numFmtId="43" fontId="8" fillId="0" borderId="4" xfId="1" applyFont="1" applyBorder="1" applyAlignment="1">
      <alignment horizontal="left" vertical="center" wrapText="1" readingOrder="1"/>
    </xf>
    <xf numFmtId="43" fontId="9" fillId="0" borderId="4" xfId="1" applyFont="1" applyBorder="1" applyAlignment="1">
      <alignment vertical="center"/>
    </xf>
    <xf numFmtId="14" fontId="9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0" fillId="4" borderId="4" xfId="0" applyFont="1" applyFill="1" applyBorder="1" applyAlignment="1">
      <alignment horizontal="center" vertical="center" wrapText="1" readingOrder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2" fillId="5" borderId="4" xfId="0" applyFont="1" applyFill="1" applyBorder="1" applyAlignment="1">
      <alignment vertical="center" wrapText="1" readingOrder="1"/>
    </xf>
    <xf numFmtId="165" fontId="13" fillId="5" borderId="4" xfId="0" applyNumberFormat="1" applyFont="1" applyFill="1" applyBorder="1" applyAlignment="1">
      <alignment horizontal="right" vertical="center" wrapText="1" readingOrder="1"/>
    </xf>
    <xf numFmtId="0" fontId="9" fillId="0" borderId="4" xfId="0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9" fontId="11" fillId="0" borderId="0" xfId="2" applyFont="1" applyBorder="1" applyAlignment="1">
      <alignment vertical="center"/>
    </xf>
    <xf numFmtId="0" fontId="15" fillId="3" borderId="4" xfId="0" applyFont="1" applyFill="1" applyBorder="1" applyAlignment="1">
      <alignment vertical="center"/>
    </xf>
    <xf numFmtId="0" fontId="9" fillId="0" borderId="0" xfId="0" applyFont="1" applyBorder="1" applyAlignment="1">
      <alignment horizontal="left" vertical="center" wrapText="1"/>
    </xf>
    <xf numFmtId="1" fontId="13" fillId="5" borderId="4" xfId="0" applyNumberFormat="1" applyFont="1" applyFill="1" applyBorder="1" applyAlignment="1">
      <alignment horizontal="right" vertical="center" wrapText="1" readingOrder="1"/>
    </xf>
    <xf numFmtId="1" fontId="16" fillId="3" borderId="0" xfId="0" applyNumberFormat="1" applyFont="1" applyFill="1" applyBorder="1" applyAlignment="1">
      <alignment horizontal="right" vertical="center"/>
    </xf>
    <xf numFmtId="0" fontId="17" fillId="0" borderId="0" xfId="0" applyFont="1" applyBorder="1" applyAlignment="1">
      <alignment horizontal="left" vertical="center" wrapText="1"/>
    </xf>
    <xf numFmtId="43" fontId="11" fillId="0" borderId="0" xfId="1" applyFont="1" applyBorder="1" applyAlignment="1">
      <alignment vertical="center"/>
    </xf>
    <xf numFmtId="0" fontId="17" fillId="0" borderId="0" xfId="0" applyFont="1" applyBorder="1" applyAlignment="1">
      <alignment horizontal="left" vertical="center"/>
    </xf>
    <xf numFmtId="1" fontId="11" fillId="0" borderId="4" xfId="0" applyNumberFormat="1" applyFont="1" applyBorder="1" applyAlignment="1">
      <alignment vertical="center"/>
    </xf>
    <xf numFmtId="9" fontId="11" fillId="0" borderId="4" xfId="2" applyNumberFormat="1" applyFont="1" applyBorder="1" applyAlignment="1">
      <alignment vertical="center"/>
    </xf>
    <xf numFmtId="1" fontId="9" fillId="0" borderId="4" xfId="0" applyNumberFormat="1" applyFont="1" applyBorder="1" applyAlignment="1">
      <alignment horizontal="right" vertical="center"/>
    </xf>
    <xf numFmtId="1" fontId="2" fillId="3" borderId="0" xfId="0" applyNumberFormat="1" applyFont="1" applyFill="1"/>
    <xf numFmtId="9" fontId="9" fillId="0" borderId="4" xfId="2" applyNumberFormat="1" applyFont="1" applyBorder="1" applyAlignment="1">
      <alignment vertical="center"/>
    </xf>
    <xf numFmtId="9" fontId="2" fillId="3" borderId="0" xfId="0" applyNumberFormat="1" applyFont="1" applyFill="1" applyAlignment="1">
      <alignment horizontal="center" vertical="center"/>
    </xf>
    <xf numFmtId="1" fontId="9" fillId="0" borderId="3" xfId="0" applyNumberFormat="1" applyFont="1" applyBorder="1" applyAlignment="1">
      <alignment vertical="center"/>
    </xf>
    <xf numFmtId="1" fontId="15" fillId="3" borderId="0" xfId="0" applyNumberFormat="1" applyFont="1" applyFill="1" applyAlignment="1">
      <alignment vertical="center"/>
    </xf>
    <xf numFmtId="9" fontId="15" fillId="3" borderId="0" xfId="0" applyNumberFormat="1" applyFont="1" applyFill="1" applyAlignment="1">
      <alignment vertical="center"/>
    </xf>
    <xf numFmtId="165" fontId="11" fillId="0" borderId="4" xfId="1" applyNumberFormat="1" applyFont="1" applyBorder="1" applyAlignment="1">
      <alignment vertical="center"/>
    </xf>
    <xf numFmtId="0" fontId="3" fillId="0" borderId="0" xfId="0" applyFont="1"/>
    <xf numFmtId="0" fontId="0" fillId="0" borderId="4" xfId="0" applyBorder="1"/>
    <xf numFmtId="9" fontId="13" fillId="5" borderId="4" xfId="0" applyNumberFormat="1" applyFont="1" applyFill="1" applyBorder="1" applyAlignment="1">
      <alignment horizontal="right" vertical="center" wrapText="1" readingOrder="1"/>
    </xf>
    <xf numFmtId="9" fontId="16" fillId="3" borderId="0" xfId="0" applyNumberFormat="1" applyFont="1" applyFill="1" applyBorder="1" applyAlignment="1">
      <alignment horizontal="right" vertical="center"/>
    </xf>
    <xf numFmtId="0" fontId="6" fillId="2" borderId="5" xfId="3" applyFont="1" applyFill="1" applyBorder="1" applyAlignment="1">
      <alignment vertical="top" wrapText="1" readingOrder="1"/>
    </xf>
    <xf numFmtId="0" fontId="6" fillId="2" borderId="6" xfId="3" applyFont="1" applyFill="1" applyBorder="1" applyAlignment="1">
      <alignment vertical="top" wrapText="1" readingOrder="1"/>
    </xf>
    <xf numFmtId="0" fontId="6" fillId="2" borderId="7" xfId="3" applyFont="1" applyFill="1" applyBorder="1" applyAlignment="1">
      <alignment vertical="top" wrapText="1" readingOrder="1"/>
    </xf>
    <xf numFmtId="0" fontId="6" fillId="2" borderId="6" xfId="3" applyFont="1" applyFill="1" applyBorder="1" applyAlignment="1">
      <alignment horizontal="right" vertical="top" wrapText="1" readingOrder="1"/>
    </xf>
    <xf numFmtId="0" fontId="9" fillId="0" borderId="0" xfId="3" applyFont="1"/>
    <xf numFmtId="0" fontId="11" fillId="0" borderId="0" xfId="3" applyFont="1" applyAlignment="1">
      <alignment horizontal="right"/>
    </xf>
    <xf numFmtId="0" fontId="8" fillId="0" borderId="6" xfId="3" applyFont="1" applyBorder="1" applyAlignment="1">
      <alignment vertical="top" wrapText="1" readingOrder="1"/>
    </xf>
    <xf numFmtId="0" fontId="8" fillId="0" borderId="7" xfId="3" applyFont="1" applyBorder="1" applyAlignment="1">
      <alignment vertical="top" wrapText="1" readingOrder="1"/>
    </xf>
    <xf numFmtId="166" fontId="8" fillId="0" borderId="6" xfId="3" applyNumberFormat="1" applyFont="1" applyBorder="1" applyAlignment="1">
      <alignment horizontal="right" vertical="top" wrapText="1" readingOrder="1"/>
    </xf>
    <xf numFmtId="166" fontId="9" fillId="0" borderId="0" xfId="3" applyNumberFormat="1" applyFont="1"/>
    <xf numFmtId="9" fontId="9" fillId="0" borderId="0" xfId="3" applyNumberFormat="1" applyFont="1"/>
    <xf numFmtId="43" fontId="9" fillId="0" borderId="0" xfId="4" applyFont="1"/>
    <xf numFmtId="166" fontId="11" fillId="0" borderId="0" xfId="3" applyNumberFormat="1" applyFont="1"/>
    <xf numFmtId="0" fontId="11" fillId="0" borderId="0" xfId="0" applyFont="1"/>
    <xf numFmtId="0" fontId="9" fillId="0" borderId="0" xfId="0" applyFont="1"/>
    <xf numFmtId="0" fontId="8" fillId="0" borderId="4" xfId="0" applyFont="1" applyBorder="1" applyAlignment="1">
      <alignment vertical="top" wrapText="1" readingOrder="1"/>
    </xf>
    <xf numFmtId="0" fontId="8" fillId="0" borderId="4" xfId="0" applyFont="1" applyBorder="1" applyAlignment="1">
      <alignment horizontal="left" vertical="top" wrapText="1" readingOrder="1"/>
    </xf>
    <xf numFmtId="168" fontId="8" fillId="0" borderId="4" xfId="0" applyNumberFormat="1" applyFont="1" applyBorder="1" applyAlignment="1">
      <alignment horizontal="left" vertical="top" wrapText="1" readingOrder="1"/>
    </xf>
    <xf numFmtId="169" fontId="8" fillId="0" borderId="4" xfId="0" applyNumberFormat="1" applyFont="1" applyBorder="1" applyAlignment="1">
      <alignment horizontal="left" vertical="top" wrapText="1" readingOrder="1"/>
    </xf>
    <xf numFmtId="170" fontId="9" fillId="0" borderId="0" xfId="0" applyNumberFormat="1" applyFont="1"/>
    <xf numFmtId="0" fontId="5" fillId="7" borderId="4" xfId="0" applyFont="1" applyFill="1" applyBorder="1" applyAlignment="1">
      <alignment horizontal="center" vertical="center" wrapText="1" readingOrder="1"/>
    </xf>
    <xf numFmtId="0" fontId="8" fillId="8" borderId="4" xfId="0" applyFont="1" applyFill="1" applyBorder="1" applyAlignment="1">
      <alignment vertical="top" wrapText="1" readingOrder="1"/>
    </xf>
    <xf numFmtId="0" fontId="8" fillId="8" borderId="0" xfId="0" applyFont="1" applyFill="1" applyAlignment="1">
      <alignment horizontal="left" vertical="top" wrapText="1" readingOrder="1"/>
    </xf>
    <xf numFmtId="167" fontId="8" fillId="8" borderId="4" xfId="0" applyNumberFormat="1" applyFont="1" applyFill="1" applyBorder="1" applyAlignment="1">
      <alignment horizontal="left" vertical="top" wrapText="1" readingOrder="1"/>
    </xf>
    <xf numFmtId="0" fontId="8" fillId="8" borderId="3" xfId="0" applyFont="1" applyFill="1" applyBorder="1" applyAlignment="1">
      <alignment vertical="top" wrapText="1" readingOrder="1"/>
    </xf>
    <xf numFmtId="168" fontId="8" fillId="8" borderId="4" xfId="0" applyNumberFormat="1" applyFont="1" applyFill="1" applyBorder="1" applyAlignment="1">
      <alignment horizontal="left" vertical="top" wrapText="1" readingOrder="1"/>
    </xf>
    <xf numFmtId="169" fontId="8" fillId="8" borderId="4" xfId="0" applyNumberFormat="1" applyFont="1" applyFill="1" applyBorder="1" applyAlignment="1">
      <alignment horizontal="left" vertical="top" wrapText="1" readingOrder="1"/>
    </xf>
    <xf numFmtId="0" fontId="8" fillId="8" borderId="0" xfId="0" applyFont="1" applyFill="1" applyAlignment="1">
      <alignment vertical="top" wrapText="1" readingOrder="1"/>
    </xf>
    <xf numFmtId="0" fontId="8" fillId="8" borderId="1" xfId="0" applyFont="1" applyFill="1" applyBorder="1" applyAlignment="1">
      <alignment vertical="top" wrapText="1" readingOrder="1"/>
    </xf>
    <xf numFmtId="0" fontId="8" fillId="8" borderId="4" xfId="0" applyFont="1" applyFill="1" applyBorder="1" applyAlignment="1">
      <alignment horizontal="left" vertical="top" wrapText="1" readingOrder="1"/>
    </xf>
    <xf numFmtId="0" fontId="0" fillId="8" borderId="4" xfId="0" applyFill="1" applyBorder="1"/>
    <xf numFmtId="0" fontId="5" fillId="6" borderId="4" xfId="0" applyFont="1" applyFill="1" applyBorder="1" applyAlignment="1">
      <alignment vertical="center" wrapText="1" readingOrder="1"/>
    </xf>
    <xf numFmtId="0" fontId="9" fillId="0" borderId="4" xfId="0" applyFont="1" applyBorder="1"/>
    <xf numFmtId="0" fontId="11" fillId="0" borderId="4" xfId="0" applyFont="1" applyBorder="1"/>
    <xf numFmtId="0" fontId="9" fillId="0" borderId="0" xfId="0" applyFont="1" applyAlignment="1">
      <alignment horizontal="left"/>
    </xf>
    <xf numFmtId="9" fontId="9" fillId="0" borderId="0" xfId="2" applyFont="1" applyAlignment="1">
      <alignment horizontal="right"/>
    </xf>
    <xf numFmtId="0" fontId="2" fillId="3" borderId="0" xfId="0" applyFont="1" applyFill="1" applyAlignment="1">
      <alignment horizontal="right"/>
    </xf>
    <xf numFmtId="9" fontId="15" fillId="3" borderId="0" xfId="2" applyFont="1" applyFill="1" applyAlignment="1">
      <alignment horizontal="right"/>
    </xf>
    <xf numFmtId="0" fontId="9" fillId="0" borderId="4" xfId="0" applyFont="1" applyBorder="1" applyAlignment="1">
      <alignment horizontal="center"/>
    </xf>
    <xf numFmtId="10" fontId="9" fillId="0" borderId="4" xfId="2" applyNumberFormat="1" applyFont="1" applyBorder="1" applyAlignment="1">
      <alignment horizontal="center"/>
    </xf>
    <xf numFmtId="171" fontId="9" fillId="0" borderId="4" xfId="2" applyNumberFormat="1" applyFont="1" applyBorder="1" applyAlignment="1">
      <alignment horizontal="center"/>
    </xf>
    <xf numFmtId="0" fontId="15" fillId="3" borderId="4" xfId="0" applyFont="1" applyFill="1" applyBorder="1"/>
    <xf numFmtId="0" fontId="14" fillId="3" borderId="4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10" fontId="15" fillId="3" borderId="4" xfId="2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43" fontId="9" fillId="0" borderId="0" xfId="0" applyNumberFormat="1" applyFont="1"/>
    <xf numFmtId="43" fontId="19" fillId="5" borderId="2" xfId="4" applyFont="1" applyFill="1" applyBorder="1" applyAlignment="1">
      <alignment horizontal="right" vertical="center"/>
    </xf>
    <xf numFmtId="43" fontId="9" fillId="5" borderId="2" xfId="4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3" fillId="0" borderId="1" xfId="0" applyFont="1" applyBorder="1"/>
    <xf numFmtId="0" fontId="3" fillId="0" borderId="0" xfId="0" applyFont="1" applyAlignment="1">
      <alignment horizontal="right"/>
    </xf>
    <xf numFmtId="43" fontId="9" fillId="0" borderId="4" xfId="0" applyNumberFormat="1" applyFont="1" applyBorder="1"/>
    <xf numFmtId="43" fontId="15" fillId="7" borderId="0" xfId="0" applyNumberFormat="1" applyFont="1" applyFill="1"/>
    <xf numFmtId="0" fontId="9" fillId="5" borderId="0" xfId="0" applyFont="1" applyFill="1" applyBorder="1"/>
    <xf numFmtId="43" fontId="11" fillId="0" borderId="2" xfId="1" applyFont="1" applyBorder="1" applyAlignment="1">
      <alignment horizontal="right"/>
    </xf>
    <xf numFmtId="0" fontId="21" fillId="0" borderId="0" xfId="0" applyFont="1"/>
    <xf numFmtId="43" fontId="18" fillId="5" borderId="2" xfId="4" applyFont="1" applyFill="1" applyBorder="1" applyAlignment="1">
      <alignment horizontal="right"/>
    </xf>
    <xf numFmtId="43" fontId="22" fillId="5" borderId="2" xfId="4" applyFont="1" applyFill="1" applyBorder="1" applyAlignment="1">
      <alignment horizontal="right"/>
    </xf>
    <xf numFmtId="0" fontId="1" fillId="0" borderId="0" xfId="0" applyFont="1"/>
    <xf numFmtId="0" fontId="22" fillId="5" borderId="0" xfId="0" applyFont="1" applyFill="1" applyBorder="1"/>
    <xf numFmtId="43" fontId="18" fillId="0" borderId="2" xfId="1" applyFont="1" applyBorder="1" applyAlignment="1">
      <alignment horizontal="right"/>
    </xf>
    <xf numFmtId="43" fontId="11" fillId="5" borderId="2" xfId="4" applyFont="1" applyFill="1" applyBorder="1" applyAlignment="1">
      <alignment horizontal="right"/>
    </xf>
    <xf numFmtId="43" fontId="15" fillId="3" borderId="0" xfId="0" applyNumberFormat="1" applyFont="1" applyFill="1"/>
    <xf numFmtId="0" fontId="11" fillId="5" borderId="11" xfId="0" applyFont="1" applyFill="1" applyBorder="1"/>
    <xf numFmtId="43" fontId="11" fillId="4" borderId="12" xfId="0" applyNumberFormat="1" applyFont="1" applyFill="1" applyBorder="1" applyAlignment="1">
      <alignment horizontal="right"/>
    </xf>
    <xf numFmtId="0" fontId="11" fillId="5" borderId="13" xfId="0" applyFont="1" applyFill="1" applyBorder="1"/>
    <xf numFmtId="43" fontId="11" fillId="4" borderId="15" xfId="0" applyNumberFormat="1" applyFont="1" applyFill="1" applyBorder="1" applyAlignment="1">
      <alignment horizontal="right"/>
    </xf>
    <xf numFmtId="0" fontId="15" fillId="3" borderId="0" xfId="0" applyFont="1" applyFill="1"/>
    <xf numFmtId="0" fontId="15" fillId="3" borderId="8" xfId="0" applyFont="1" applyFill="1" applyBorder="1"/>
    <xf numFmtId="0" fontId="15" fillId="3" borderId="9" xfId="0" applyFont="1" applyFill="1" applyBorder="1" applyAlignment="1">
      <alignment horizontal="right"/>
    </xf>
    <xf numFmtId="43" fontId="15" fillId="3" borderId="10" xfId="4" applyFont="1" applyFill="1" applyBorder="1" applyAlignment="1">
      <alignment horizontal="right"/>
    </xf>
    <xf numFmtId="0" fontId="11" fillId="5" borderId="16" xfId="0" applyFont="1" applyFill="1" applyBorder="1"/>
    <xf numFmtId="0" fontId="11" fillId="0" borderId="11" xfId="0" applyFont="1" applyBorder="1"/>
    <xf numFmtId="43" fontId="19" fillId="5" borderId="14" xfId="1" applyFont="1" applyFill="1" applyBorder="1" applyAlignment="1">
      <alignment horizontal="right" vertical="center"/>
    </xf>
    <xf numFmtId="43" fontId="22" fillId="5" borderId="14" xfId="1" applyFont="1" applyFill="1" applyBorder="1" applyAlignment="1">
      <alignment horizontal="right" vertical="center"/>
    </xf>
    <xf numFmtId="43" fontId="9" fillId="5" borderId="14" xfId="4" applyFont="1" applyFill="1" applyBorder="1" applyAlignment="1">
      <alignment horizontal="right"/>
    </xf>
    <xf numFmtId="43" fontId="22" fillId="5" borderId="14" xfId="4" applyFont="1" applyFill="1" applyBorder="1" applyAlignment="1">
      <alignment horizontal="right"/>
    </xf>
    <xf numFmtId="0" fontId="23" fillId="0" borderId="17" xfId="0" applyFont="1" applyBorder="1" applyAlignment="1">
      <alignment horizontal="center"/>
    </xf>
    <xf numFmtId="0" fontId="2" fillId="10" borderId="0" xfId="0" applyFont="1" applyFill="1"/>
    <xf numFmtId="0" fontId="2" fillId="10" borderId="0" xfId="0" applyFont="1" applyFill="1" applyAlignment="1">
      <alignment horizontal="right"/>
    </xf>
    <xf numFmtId="0" fontId="4" fillId="10" borderId="0" xfId="0" applyFont="1" applyFill="1"/>
    <xf numFmtId="0" fontId="3" fillId="0" borderId="11" xfId="0" applyFont="1" applyBorder="1"/>
    <xf numFmtId="0" fontId="3" fillId="0" borderId="0" xfId="0" applyFont="1" applyBorder="1"/>
    <xf numFmtId="0" fontId="24" fillId="0" borderId="1" xfId="0" applyFont="1" applyBorder="1" applyAlignment="1">
      <alignment vertical="center"/>
    </xf>
    <xf numFmtId="3" fontId="19" fillId="0" borderId="2" xfId="0" applyNumberFormat="1" applyFont="1" applyBorder="1" applyAlignment="1">
      <alignment horizontal="right" vertical="center"/>
    </xf>
    <xf numFmtId="9" fontId="19" fillId="0" borderId="2" xfId="0" applyNumberFormat="1" applyFont="1" applyBorder="1" applyAlignment="1">
      <alignment horizontal="right" vertical="center"/>
    </xf>
    <xf numFmtId="0" fontId="3" fillId="9" borderId="1" xfId="0" applyFont="1" applyFill="1" applyBorder="1"/>
    <xf numFmtId="0" fontId="0" fillId="9" borderId="3" xfId="0" applyFill="1" applyBorder="1"/>
    <xf numFmtId="0" fontId="3" fillId="9" borderId="2" xfId="0" applyFont="1" applyFill="1" applyBorder="1" applyAlignment="1">
      <alignment horizontal="right"/>
    </xf>
    <xf numFmtId="1" fontId="3" fillId="9" borderId="2" xfId="0" applyNumberFormat="1" applyFont="1" applyFill="1" applyBorder="1" applyAlignment="1">
      <alignment horizontal="right"/>
    </xf>
    <xf numFmtId="0" fontId="3" fillId="9" borderId="3" xfId="0" applyFont="1" applyFill="1" applyBorder="1"/>
    <xf numFmtId="0" fontId="20" fillId="0" borderId="0" xfId="0" applyFont="1" applyBorder="1" applyAlignment="1">
      <alignment horizontal="center"/>
    </xf>
    <xf numFmtId="0" fontId="1" fillId="0" borderId="2" xfId="0" applyFont="1" applyBorder="1"/>
    <xf numFmtId="0" fontId="15" fillId="7" borderId="18" xfId="0" applyFont="1" applyFill="1" applyBorder="1"/>
    <xf numFmtId="0" fontId="15" fillId="7" borderId="19" xfId="0" applyFont="1" applyFill="1" applyBorder="1" applyAlignment="1">
      <alignment horizontal="right"/>
    </xf>
    <xf numFmtId="43" fontId="15" fillId="7" borderId="20" xfId="4" applyFont="1" applyFill="1" applyBorder="1" applyAlignment="1">
      <alignment horizontal="right"/>
    </xf>
    <xf numFmtId="43" fontId="9" fillId="0" borderId="4" xfId="4" applyFont="1" applyBorder="1"/>
    <xf numFmtId="9" fontId="11" fillId="0" borderId="4" xfId="5" applyFont="1" applyBorder="1"/>
    <xf numFmtId="9" fontId="9" fillId="0" borderId="4" xfId="5" applyFont="1" applyBorder="1"/>
    <xf numFmtId="9" fontId="9" fillId="0" borderId="0" xfId="5" applyFont="1"/>
    <xf numFmtId="43" fontId="15" fillId="3" borderId="0" xfId="5" applyNumberFormat="1" applyFont="1" applyFill="1"/>
    <xf numFmtId="43" fontId="15" fillId="7" borderId="0" xfId="5" applyNumberFormat="1" applyFont="1" applyFill="1"/>
    <xf numFmtId="43" fontId="0" fillId="0" borderId="0" xfId="1" applyFont="1" applyAlignment="1">
      <alignment horizontal="right"/>
    </xf>
    <xf numFmtId="0" fontId="25" fillId="0" borderId="0" xfId="3" applyFont="1" applyAlignment="1">
      <alignment vertical="top" wrapText="1" readingOrder="1"/>
    </xf>
    <xf numFmtId="0" fontId="9" fillId="0" borderId="0" xfId="3" applyFont="1"/>
    <xf numFmtId="0" fontId="10" fillId="0" borderId="0" xfId="3" applyFont="1" applyAlignment="1">
      <alignment horizontal="left" vertical="top" wrapText="1" readingOrder="1"/>
    </xf>
    <xf numFmtId="0" fontId="10" fillId="0" borderId="0" xfId="3" applyFont="1" applyAlignment="1">
      <alignment horizontal="left" vertical="top" wrapText="1" readingOrder="1"/>
    </xf>
    <xf numFmtId="0" fontId="10" fillId="0" borderId="0" xfId="3" applyFont="1" applyAlignment="1">
      <alignment vertical="top" wrapText="1" readingOrder="1"/>
    </xf>
    <xf numFmtId="0" fontId="25" fillId="0" borderId="0" xfId="3" applyFont="1" applyAlignment="1">
      <alignment horizontal="left" vertical="top" wrapText="1" readingOrder="1"/>
    </xf>
    <xf numFmtId="0" fontId="25" fillId="0" borderId="0" xfId="3" applyFont="1" applyAlignment="1">
      <alignment horizontal="right" vertical="top" wrapText="1" readingOrder="1"/>
    </xf>
    <xf numFmtId="0" fontId="25" fillId="11" borderId="0" xfId="3" applyFont="1" applyFill="1" applyAlignment="1">
      <alignment horizontal="right" vertical="top" wrapText="1" readingOrder="1"/>
    </xf>
    <xf numFmtId="0" fontId="9" fillId="11" borderId="0" xfId="3" applyFont="1" applyFill="1"/>
    <xf numFmtId="0" fontId="26" fillId="0" borderId="0" xfId="3" applyFont="1" applyAlignment="1">
      <alignment vertical="top" wrapText="1" readingOrder="1"/>
    </xf>
    <xf numFmtId="0" fontId="26" fillId="0" borderId="0" xfId="3" applyFont="1" applyAlignment="1">
      <alignment vertical="top" wrapText="1" readingOrder="1"/>
    </xf>
    <xf numFmtId="0" fontId="8" fillId="0" borderId="0" xfId="3" applyFont="1" applyAlignment="1">
      <alignment horizontal="left" vertical="top" wrapText="1" readingOrder="1"/>
    </xf>
    <xf numFmtId="167" fontId="8" fillId="0" borderId="0" xfId="3" applyNumberFormat="1" applyFont="1" applyAlignment="1">
      <alignment horizontal="left" vertical="top" wrapText="1" readingOrder="1"/>
    </xf>
    <xf numFmtId="0" fontId="8" fillId="0" borderId="0" xfId="3" applyFont="1" applyAlignment="1">
      <alignment horizontal="left" vertical="top" wrapText="1" readingOrder="1"/>
    </xf>
    <xf numFmtId="0" fontId="8" fillId="0" borderId="0" xfId="3" applyFont="1" applyAlignment="1">
      <alignment vertical="top" wrapText="1" readingOrder="1"/>
    </xf>
    <xf numFmtId="0" fontId="26" fillId="0" borderId="0" xfId="3" applyFont="1" applyAlignment="1">
      <alignment horizontal="left" vertical="top" wrapText="1" readingOrder="1"/>
    </xf>
    <xf numFmtId="176" fontId="26" fillId="0" borderId="0" xfId="3" applyNumberFormat="1" applyFont="1" applyAlignment="1">
      <alignment vertical="top" wrapText="1" readingOrder="1"/>
    </xf>
    <xf numFmtId="177" fontId="26" fillId="0" borderId="0" xfId="3" applyNumberFormat="1" applyFont="1" applyAlignment="1">
      <alignment horizontal="right" vertical="top" wrapText="1" readingOrder="1"/>
    </xf>
    <xf numFmtId="177" fontId="26" fillId="11" borderId="0" xfId="3" applyNumberFormat="1" applyFont="1" applyFill="1" applyAlignment="1">
      <alignment horizontal="right" vertical="top" wrapText="1" readingOrder="1"/>
    </xf>
    <xf numFmtId="175" fontId="26" fillId="0" borderId="0" xfId="3" applyNumberFormat="1" applyFont="1" applyAlignment="1">
      <alignment horizontal="right" vertical="top" wrapText="1" readingOrder="1"/>
    </xf>
    <xf numFmtId="0" fontId="26" fillId="0" borderId="0" xfId="3" applyFont="1" applyAlignment="1">
      <alignment horizontal="right" vertical="top" wrapText="1" readingOrder="1"/>
    </xf>
    <xf numFmtId="178" fontId="26" fillId="0" borderId="0" xfId="3" applyNumberFormat="1" applyFont="1" applyAlignment="1">
      <alignment horizontal="right" vertical="top" wrapText="1" readingOrder="1"/>
    </xf>
    <xf numFmtId="0" fontId="25" fillId="0" borderId="0" xfId="3" applyFont="1" applyAlignment="1">
      <alignment vertical="top" wrapText="1" readingOrder="1"/>
    </xf>
    <xf numFmtId="177" fontId="25" fillId="11" borderId="0" xfId="3" applyNumberFormat="1" applyFont="1" applyFill="1" applyAlignment="1">
      <alignment vertical="top" wrapText="1" readingOrder="1"/>
    </xf>
    <xf numFmtId="0" fontId="27" fillId="0" borderId="0" xfId="3" applyFont="1" applyAlignment="1">
      <alignment vertical="top" wrapText="1" readingOrder="1"/>
    </xf>
    <xf numFmtId="0" fontId="27" fillId="0" borderId="0" xfId="3" applyFont="1" applyAlignment="1">
      <alignment vertical="top" wrapText="1" readingOrder="1"/>
    </xf>
    <xf numFmtId="0" fontId="25" fillId="0" borderId="0" xfId="3" applyFont="1" applyAlignment="1">
      <alignment horizontal="right" vertical="top" wrapText="1" readingOrder="1"/>
    </xf>
    <xf numFmtId="0" fontId="25" fillId="11" borderId="0" xfId="3" applyFont="1" applyFill="1" applyAlignment="1">
      <alignment horizontal="right" vertical="top" wrapText="1" readingOrder="1"/>
    </xf>
    <xf numFmtId="43" fontId="9" fillId="11" borderId="0" xfId="4" applyFont="1" applyFill="1"/>
    <xf numFmtId="0" fontId="9" fillId="11" borderId="0" xfId="3" applyFont="1" applyFill="1"/>
    <xf numFmtId="2" fontId="0" fillId="0" borderId="0" xfId="0" applyNumberFormat="1"/>
    <xf numFmtId="0" fontId="15" fillId="3" borderId="4" xfId="0" applyFont="1" applyFill="1" applyBorder="1" applyAlignment="1">
      <alignment horizontal="right"/>
    </xf>
    <xf numFmtId="20" fontId="0" fillId="0" borderId="0" xfId="0" applyNumberFormat="1"/>
    <xf numFmtId="0" fontId="15" fillId="7" borderId="4" xfId="0" applyFont="1" applyFill="1" applyBorder="1" applyAlignment="1">
      <alignment horizontal="right"/>
    </xf>
    <xf numFmtId="0" fontId="15" fillId="7" borderId="0" xfId="0" applyFont="1" applyFill="1"/>
    <xf numFmtId="0" fontId="15" fillId="7" borderId="4" xfId="0" applyFont="1" applyFill="1" applyBorder="1" applyAlignment="1">
      <alignment horizontal="left"/>
    </xf>
    <xf numFmtId="0" fontId="15" fillId="3" borderId="4" xfId="0" applyFont="1" applyFill="1" applyBorder="1" applyAlignment="1">
      <alignment horizontal="left"/>
    </xf>
    <xf numFmtId="43" fontId="0" fillId="0" borderId="2" xfId="1" applyFont="1" applyBorder="1" applyAlignment="1">
      <alignment horizontal="right"/>
    </xf>
    <xf numFmtId="43" fontId="0" fillId="0" borderId="3" xfId="1" applyFont="1" applyBorder="1" applyAlignment="1">
      <alignment horizontal="right"/>
    </xf>
    <xf numFmtId="43" fontId="9" fillId="0" borderId="4" xfId="4" applyFont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3" fontId="0" fillId="0" borderId="2" xfId="0" applyNumberFormat="1" applyBorder="1" applyAlignment="1">
      <alignment horizontal="right"/>
    </xf>
    <xf numFmtId="3" fontId="0" fillId="0" borderId="2" xfId="0" applyNumberFormat="1" applyBorder="1"/>
  </cellXfs>
  <cellStyles count="6">
    <cellStyle name="Comma" xfId="1" builtinId="3"/>
    <cellStyle name="Comma 2" xfId="4" xr:uid="{5DF1B8D2-87F0-4DA5-A45D-5BEE33234D8F}"/>
    <cellStyle name="Normal" xfId="0" builtinId="0"/>
    <cellStyle name="Normal 2" xfId="3" xr:uid="{A609F2B2-16AC-4DA4-8789-82B3AE69300F}"/>
    <cellStyle name="Percent" xfId="2" builtinId="5"/>
    <cellStyle name="Percent 2" xfId="5" xr:uid="{E901E67E-9BA3-4BBC-9FE0-96092036DF1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Headacount!$B$8:$B$15</c:f>
              <c:strCache>
                <c:ptCount val="8"/>
                <c:pt idx="0">
                  <c:v>&lt;25 ans</c:v>
                </c:pt>
                <c:pt idx="1">
                  <c:v>25 - 29 ans</c:v>
                </c:pt>
                <c:pt idx="2">
                  <c:v>30 - 34 ans </c:v>
                </c:pt>
                <c:pt idx="3">
                  <c:v>35 - 39 ans </c:v>
                </c:pt>
                <c:pt idx="4">
                  <c:v>40 - 44 ans </c:v>
                </c:pt>
                <c:pt idx="5">
                  <c:v>45 - 49 ans </c:v>
                </c:pt>
                <c:pt idx="6">
                  <c:v>50 - 54 ans </c:v>
                </c:pt>
                <c:pt idx="7">
                  <c:v>&gt;55</c:v>
                </c:pt>
              </c:strCache>
            </c:strRef>
          </c:cat>
          <c:val>
            <c:numRef>
              <c:f>Headacount!$D$8:$D$15</c:f>
              <c:numCache>
                <c:formatCode>0%</c:formatCode>
                <c:ptCount val="8"/>
                <c:pt idx="0">
                  <c:v>5.7142857142857143E-3</c:v>
                </c:pt>
                <c:pt idx="1">
                  <c:v>0.08</c:v>
                </c:pt>
                <c:pt idx="2">
                  <c:v>0.13142857142857142</c:v>
                </c:pt>
                <c:pt idx="3">
                  <c:v>0.31428571428571428</c:v>
                </c:pt>
                <c:pt idx="4">
                  <c:v>0.21714285714285714</c:v>
                </c:pt>
                <c:pt idx="5">
                  <c:v>0.13714285714285715</c:v>
                </c:pt>
                <c:pt idx="6">
                  <c:v>5.1428571428571428E-2</c:v>
                </c:pt>
                <c:pt idx="7">
                  <c:v>6.2857142857142861E-2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4-4260-97D6-980F9BA78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178815"/>
        <c:axId val="668265551"/>
      </c:barChart>
      <c:catAx>
        <c:axId val="152617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8265551"/>
        <c:crosses val="autoZero"/>
        <c:auto val="1"/>
        <c:lblAlgn val="ctr"/>
        <c:lblOffset val="100"/>
        <c:noMultiLvlLbl val="0"/>
      </c:catAx>
      <c:valAx>
        <c:axId val="66826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617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Headacount!$B$20:$B$24</c:f>
              <c:strCache>
                <c:ptCount val="5"/>
                <c:pt idx="0">
                  <c:v>&lt;1 year</c:v>
                </c:pt>
                <c:pt idx="1">
                  <c:v>1 - 3 year(s)</c:v>
                </c:pt>
                <c:pt idx="2">
                  <c:v>4 - 6 years</c:v>
                </c:pt>
                <c:pt idx="3">
                  <c:v>7 - 9 years</c:v>
                </c:pt>
                <c:pt idx="4">
                  <c:v>&gt;= 10 years</c:v>
                </c:pt>
              </c:strCache>
            </c:strRef>
          </c:cat>
          <c:val>
            <c:numRef>
              <c:f>Headacount!$D$20:$D$24</c:f>
              <c:numCache>
                <c:formatCode>0%</c:formatCode>
                <c:ptCount val="5"/>
                <c:pt idx="0">
                  <c:v>0.08</c:v>
                </c:pt>
                <c:pt idx="1">
                  <c:v>0.26285714285714284</c:v>
                </c:pt>
                <c:pt idx="2">
                  <c:v>0.20571428571428571</c:v>
                </c:pt>
                <c:pt idx="3">
                  <c:v>0.29142857142857143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9-4FA3-8137-801007D32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182063"/>
        <c:axId val="668251631"/>
      </c:barChart>
      <c:catAx>
        <c:axId val="152618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8251631"/>
        <c:crosses val="autoZero"/>
        <c:auto val="1"/>
        <c:lblAlgn val="ctr"/>
        <c:lblOffset val="100"/>
        <c:noMultiLvlLbl val="0"/>
      </c:catAx>
      <c:valAx>
        <c:axId val="66825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618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 OUT'!$A$12:$A$16</c:f>
              <c:strCache>
                <c:ptCount val="5"/>
                <c:pt idx="0">
                  <c:v>Amicable Separation</c:v>
                </c:pt>
                <c:pt idx="1">
                  <c:v>Dismissal</c:v>
                </c:pt>
                <c:pt idx="2">
                  <c:v>Resignation</c:v>
                </c:pt>
                <c:pt idx="3">
                  <c:v>Contract Expired</c:v>
                </c:pt>
                <c:pt idx="4">
                  <c:v>Retirement</c:v>
                </c:pt>
              </c:strCache>
            </c:strRef>
          </c:cat>
          <c:val>
            <c:numRef>
              <c:f>'IN OUT'!$B$12:$B$16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5-4725-891B-13BAD6922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423423"/>
        <c:axId val="1430791151"/>
      </c:barChart>
      <c:catAx>
        <c:axId val="156242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0791151"/>
        <c:crosses val="autoZero"/>
        <c:auto val="1"/>
        <c:lblAlgn val="ctr"/>
        <c:lblOffset val="100"/>
        <c:noMultiLvlLbl val="0"/>
      </c:catAx>
      <c:valAx>
        <c:axId val="143079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242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OVT!$A$43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OVT!$C$42:$N$42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OVT!$C$43:$N$43</c:f>
              <c:numCache>
                <c:formatCode>_(* #,##0.00_);_(* \(#,##0.00\);_(* "-"??_);_(@_)</c:formatCode>
                <c:ptCount val="12"/>
                <c:pt idx="0">
                  <c:v>6124.375998276977</c:v>
                </c:pt>
                <c:pt idx="1">
                  <c:v>9971.5977540805197</c:v>
                </c:pt>
                <c:pt idx="2">
                  <c:v>11955.236730644814</c:v>
                </c:pt>
                <c:pt idx="3">
                  <c:v>11833.896395147312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E-48BB-BEB4-696D5AFF4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091583"/>
        <c:axId val="1430787791"/>
      </c:barChart>
      <c:lineChart>
        <c:grouping val="standard"/>
        <c:varyColors val="0"/>
        <c:ser>
          <c:idx val="1"/>
          <c:order val="1"/>
          <c:tx>
            <c:strRef>
              <c:f>OVT!$A$44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OVT!$C$42:$N$42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OVT!$C$44:$N$44</c:f>
              <c:numCache>
                <c:formatCode>_(* #,##0.00_);_(* \(#,##0.00\);_(* "-"??_);_(@_)</c:formatCode>
                <c:ptCount val="12"/>
                <c:pt idx="0">
                  <c:v>19182.830000000002</c:v>
                </c:pt>
                <c:pt idx="1">
                  <c:v>19182.830000000002</c:v>
                </c:pt>
                <c:pt idx="2">
                  <c:v>19182.830000000002</c:v>
                </c:pt>
                <c:pt idx="3">
                  <c:v>19182.830000000002</c:v>
                </c:pt>
                <c:pt idx="4">
                  <c:v>19182.830000000002</c:v>
                </c:pt>
                <c:pt idx="5">
                  <c:v>19182.830000000002</c:v>
                </c:pt>
                <c:pt idx="6">
                  <c:v>19182.830000000002</c:v>
                </c:pt>
                <c:pt idx="7">
                  <c:v>19182.830000000002</c:v>
                </c:pt>
                <c:pt idx="8">
                  <c:v>19182.830000000002</c:v>
                </c:pt>
                <c:pt idx="9">
                  <c:v>19182.830000000002</c:v>
                </c:pt>
                <c:pt idx="10">
                  <c:v>19182.830000000002</c:v>
                </c:pt>
                <c:pt idx="11">
                  <c:v>19182.830000000002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E-48BB-BEB4-696D5AFF4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6091583"/>
        <c:axId val="1430787791"/>
      </c:lineChart>
      <c:catAx>
        <c:axId val="152609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0787791"/>
        <c:crosses val="autoZero"/>
        <c:auto val="1"/>
        <c:lblAlgn val="ctr"/>
        <c:lblOffset val="100"/>
        <c:noMultiLvlLbl val="0"/>
      </c:catAx>
      <c:valAx>
        <c:axId val="143078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609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schemeClr val="tx1"/>
                </a:solidFill>
              </a:rPr>
              <a:t>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OVT!$C$31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OVT!$C$32:$C$38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3807.7021408572041</c:v>
                </c:pt>
                <c:pt idx="2">
                  <c:v>513.25301744561705</c:v>
                </c:pt>
                <c:pt idx="3">
                  <c:v>0</c:v>
                </c:pt>
                <c:pt idx="4">
                  <c:v>620.02703855265997</c:v>
                </c:pt>
                <c:pt idx="5">
                  <c:v>637.95511953478353</c:v>
                </c:pt>
                <c:pt idx="6">
                  <c:v>545.43868188671115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A-4B60-9E39-2D182C3C8C25}"/>
            </c:ext>
          </c:extLst>
        </c:ser>
        <c:ser>
          <c:idx val="1"/>
          <c:order val="1"/>
          <c:tx>
            <c:strRef>
              <c:f>OVT!$D$31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OVT!$D$32:$D$38</c:f>
              <c:numCache>
                <c:formatCode>_(* #,##0.00_);_(* \(#,##0.00\);_(* "-"??_);_(@_)</c:formatCode>
                <c:ptCount val="7"/>
                <c:pt idx="0">
                  <c:v>240.38846137105548</c:v>
                </c:pt>
                <c:pt idx="1">
                  <c:v>5326.2197257888984</c:v>
                </c:pt>
                <c:pt idx="2">
                  <c:v>402.22010446137108</c:v>
                </c:pt>
                <c:pt idx="3">
                  <c:v>45.854250272034818</c:v>
                </c:pt>
                <c:pt idx="4">
                  <c:v>2296.8059499455926</c:v>
                </c:pt>
                <c:pt idx="5">
                  <c:v>1084.9869597388465</c:v>
                </c:pt>
                <c:pt idx="6">
                  <c:v>575.12230250272034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5A-4B60-9E39-2D182C3C8C25}"/>
            </c:ext>
          </c:extLst>
        </c:ser>
        <c:ser>
          <c:idx val="2"/>
          <c:order val="2"/>
          <c:tx>
            <c:strRef>
              <c:f>OVT!$E$31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OVT!$E$32:$E$38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8020.6187319387536</c:v>
                </c:pt>
                <c:pt idx="2">
                  <c:v>586.04396808281217</c:v>
                </c:pt>
                <c:pt idx="3">
                  <c:v>0</c:v>
                </c:pt>
                <c:pt idx="4">
                  <c:v>1749.3283804183741</c:v>
                </c:pt>
                <c:pt idx="5">
                  <c:v>824.61975415139091</c:v>
                </c:pt>
                <c:pt idx="6">
                  <c:v>774.62589605348273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5A-4B60-9E39-2D182C3C8C25}"/>
            </c:ext>
          </c:extLst>
        </c:ser>
        <c:ser>
          <c:idx val="3"/>
          <c:order val="3"/>
          <c:tx>
            <c:strRef>
              <c:f>OVT!$F$31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OVT!$F$32:$F$38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6262.8716637781627</c:v>
                </c:pt>
                <c:pt idx="2">
                  <c:v>430.45051126516461</c:v>
                </c:pt>
                <c:pt idx="3">
                  <c:v>0</c:v>
                </c:pt>
                <c:pt idx="4">
                  <c:v>3481.9247876949744</c:v>
                </c:pt>
                <c:pt idx="5">
                  <c:v>716.59825389948014</c:v>
                </c:pt>
                <c:pt idx="6">
                  <c:v>942.05117850953195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5A-4B60-9E39-2D182C3C8C25}"/>
            </c:ext>
          </c:extLst>
        </c:ser>
        <c:ser>
          <c:idx val="4"/>
          <c:order val="4"/>
          <c:tx>
            <c:strRef>
              <c:f>OVT!$G$31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OVT!$G$32:$G$38</c:f>
              <c:numCache>
                <c:formatCode>_(* #,##0.00_);_(* \(#,##0.00\);_(* "-"??_);_(@_)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285A-4B60-9E39-2D182C3C8C25}"/>
            </c:ext>
          </c:extLst>
        </c:ser>
        <c:ser>
          <c:idx val="5"/>
          <c:order val="5"/>
          <c:tx>
            <c:strRef>
              <c:f>OVT!$H$31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OVT!$H$32:$H$38</c:f>
              <c:numCache>
                <c:formatCode>_(* #,##0.00_);_(* \(#,##0.00\);_(* "-"??_);_(@_)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5-285A-4B60-9E39-2D182C3C8C25}"/>
            </c:ext>
          </c:extLst>
        </c:ser>
        <c:ser>
          <c:idx val="6"/>
          <c:order val="6"/>
          <c:tx>
            <c:strRef>
              <c:f>OVT!$I$31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OVT!$I$32:$I$38</c:f>
              <c:numCache>
                <c:formatCode>_(* #,##0.00_);_(* \(#,##0.00\);_(* "-"??_);_(@_)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6-285A-4B60-9E39-2D182C3C8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62622943"/>
        <c:axId val="1430628431"/>
      </c:barChart>
      <c:lineChart>
        <c:grouping val="standard"/>
        <c:varyColors val="0"/>
        <c:ser>
          <c:idx val="7"/>
          <c:order val="7"/>
          <c:tx>
            <c:strRef>
              <c:f>OVT!$J$31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OVT!$J$32:$J$38</c:f>
              <c:numCache>
                <c:formatCode>_(* #,##0.00_);_(* \(#,##0.00\);_(* "-"??_);_(@_)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5A-4B60-9E39-2D182C3C8C25}"/>
            </c:ext>
          </c:extLst>
        </c:ser>
        <c:ser>
          <c:idx val="8"/>
          <c:order val="8"/>
          <c:tx>
            <c:strRef>
              <c:f>OVT!$K$31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OVT!$K$32:$K$38</c:f>
              <c:numCache>
                <c:formatCode>_(* #,##0.00_);_(* \(#,##0.00\);_(* "-"??_);_(@_)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5A-4B60-9E39-2D182C3C8C25}"/>
            </c:ext>
          </c:extLst>
        </c:ser>
        <c:ser>
          <c:idx val="9"/>
          <c:order val="9"/>
          <c:tx>
            <c:strRef>
              <c:f>OVT!$L$31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OVT!$L$32:$L$38</c:f>
              <c:numCache>
                <c:formatCode>_(* #,##0.00_);_(* \(#,##0.00\);_(* "-"??_);_(@_)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85A-4B60-9E39-2D182C3C8C25}"/>
            </c:ext>
          </c:extLst>
        </c:ser>
        <c:ser>
          <c:idx val="10"/>
          <c:order val="10"/>
          <c:tx>
            <c:strRef>
              <c:f>OVT!$M$31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OVT!$M$32:$M$38</c:f>
              <c:numCache>
                <c:formatCode>_(* #,##0.00_);_(* \(#,##0.00\);_(* "-"??_);_(@_)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5A-4B60-9E39-2D182C3C8C25}"/>
            </c:ext>
          </c:extLst>
        </c:ser>
        <c:ser>
          <c:idx val="11"/>
          <c:order val="11"/>
          <c:tx>
            <c:strRef>
              <c:f>OVT!$N$31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OVT!$N$32:$N$38</c:f>
              <c:numCache>
                <c:formatCode>_(* #,##0.00_);_(* \(#,##0.00\);_(* "-"??_);_(@_)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85A-4B60-9E39-2D182C3C8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622943"/>
        <c:axId val="1430628431"/>
      </c:lineChart>
      <c:lineChart>
        <c:grouping val="standard"/>
        <c:varyColors val="0"/>
        <c:ser>
          <c:idx val="12"/>
          <c:order val="12"/>
          <c:tx>
            <c:strRef>
              <c:f>OVT!$O$31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OVT!$O$32:$O$38</c:f>
              <c:numCache>
                <c:formatCode>0%</c:formatCode>
                <c:ptCount val="7"/>
                <c:pt idx="0">
                  <c:v>6.0270231218246583E-3</c:v>
                </c:pt>
                <c:pt idx="1">
                  <c:v>0.58712171272109215</c:v>
                </c:pt>
                <c:pt idx="2">
                  <c:v>4.8438320778660379E-2</c:v>
                </c:pt>
                <c:pt idx="3">
                  <c:v>1.1496584530190964E-3</c:v>
                </c:pt>
                <c:pt idx="4">
                  <c:v>0.20428893876364143</c:v>
                </c:pt>
                <c:pt idx="5">
                  <c:v>8.1839070841570591E-2</c:v>
                </c:pt>
                <c:pt idx="6">
                  <c:v>7.1135275320191718E-2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5A-4B60-9E39-2D182C3C8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0904847"/>
        <c:axId val="1430669711"/>
      </c:lineChart>
      <c:catAx>
        <c:axId val="156262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0628431"/>
        <c:crosses val="autoZero"/>
        <c:auto val="1"/>
        <c:lblAlgn val="ctr"/>
        <c:lblOffset val="100"/>
        <c:noMultiLvlLbl val="0"/>
      </c:catAx>
      <c:valAx>
        <c:axId val="143062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2622943"/>
        <c:crosses val="autoZero"/>
        <c:crossBetween val="between"/>
      </c:valAx>
      <c:valAx>
        <c:axId val="143066971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0904847"/>
        <c:crosses val="max"/>
        <c:crossBetween val="between"/>
      </c:valAx>
      <c:catAx>
        <c:axId val="1360904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06697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OVT!$C$21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OVT!$C$22:$C$28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356.34</c:v>
                </c:pt>
                <c:pt idx="2">
                  <c:v>64</c:v>
                </c:pt>
                <c:pt idx="3">
                  <c:v>0</c:v>
                </c:pt>
                <c:pt idx="4">
                  <c:v>53.06</c:v>
                </c:pt>
                <c:pt idx="5" formatCode="General">
                  <c:v>57.989999999999995</c:v>
                </c:pt>
                <c:pt idx="6" formatCode="General">
                  <c:v>68.58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3-4D86-A756-B9C1494BD550}"/>
            </c:ext>
          </c:extLst>
        </c:ser>
        <c:ser>
          <c:idx val="1"/>
          <c:order val="1"/>
          <c:tx>
            <c:strRef>
              <c:f>OVT!$D$21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OVT!$D$22:$D$28</c:f>
              <c:numCache>
                <c:formatCode>_(* #,##0.00_);_(* \(#,##0.00\);_(* "-"??_);_(@_)</c:formatCode>
                <c:ptCount val="7"/>
                <c:pt idx="0">
                  <c:v>16</c:v>
                </c:pt>
                <c:pt idx="1">
                  <c:v>538.73000000000013</c:v>
                </c:pt>
                <c:pt idx="2">
                  <c:v>52.3</c:v>
                </c:pt>
                <c:pt idx="3">
                  <c:v>6.3</c:v>
                </c:pt>
                <c:pt idx="4">
                  <c:v>241.41000000000003</c:v>
                </c:pt>
                <c:pt idx="5">
                  <c:v>128.91</c:v>
                </c:pt>
                <c:pt idx="6">
                  <c:v>53.97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C3-4D86-A756-B9C1494BD550}"/>
            </c:ext>
          </c:extLst>
        </c:ser>
        <c:ser>
          <c:idx val="2"/>
          <c:order val="2"/>
          <c:tx>
            <c:strRef>
              <c:f>OVT!$E$21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OVT!$E$22:$E$28</c:f>
              <c:numCache>
                <c:formatCode>General</c:formatCode>
                <c:ptCount val="7"/>
                <c:pt idx="0">
                  <c:v>0</c:v>
                </c:pt>
                <c:pt idx="1">
                  <c:v>784.17999999999984</c:v>
                </c:pt>
                <c:pt idx="2">
                  <c:v>60</c:v>
                </c:pt>
                <c:pt idx="3">
                  <c:v>0</c:v>
                </c:pt>
                <c:pt idx="4">
                  <c:v>163.52000000000001</c:v>
                </c:pt>
                <c:pt idx="5">
                  <c:v>82.24</c:v>
                </c:pt>
                <c:pt idx="6">
                  <c:v>101.13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C3-4D86-A756-B9C1494BD550}"/>
            </c:ext>
          </c:extLst>
        </c:ser>
        <c:ser>
          <c:idx val="3"/>
          <c:order val="3"/>
          <c:tx>
            <c:strRef>
              <c:f>OVT!$F$21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OVT!$F$22:$F$28</c:f>
              <c:numCache>
                <c:formatCode>General</c:formatCode>
                <c:ptCount val="7"/>
                <c:pt idx="0">
                  <c:v>0</c:v>
                </c:pt>
                <c:pt idx="1">
                  <c:v>639.18999999999994</c:v>
                </c:pt>
                <c:pt idx="2">
                  <c:v>57.3</c:v>
                </c:pt>
                <c:pt idx="3">
                  <c:v>0</c:v>
                </c:pt>
                <c:pt idx="4">
                  <c:v>378.92</c:v>
                </c:pt>
                <c:pt idx="5">
                  <c:v>65.569999999999993</c:v>
                </c:pt>
                <c:pt idx="6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C3-4D86-A756-B9C1494BD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86957263"/>
        <c:axId val="1430744591"/>
      </c:barChart>
      <c:lineChart>
        <c:grouping val="standard"/>
        <c:varyColors val="0"/>
        <c:ser>
          <c:idx val="4"/>
          <c:order val="4"/>
          <c:tx>
            <c:strRef>
              <c:f>OVT!$G$21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OVT!$G$22:$G$28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C3-4D86-A756-B9C1494BD550}"/>
            </c:ext>
          </c:extLst>
        </c:ser>
        <c:ser>
          <c:idx val="5"/>
          <c:order val="5"/>
          <c:tx>
            <c:strRef>
              <c:f>OVT!$H$21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OVT!$H$22:$H$28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C3-4D86-A756-B9C1494BD550}"/>
            </c:ext>
          </c:extLst>
        </c:ser>
        <c:ser>
          <c:idx val="6"/>
          <c:order val="6"/>
          <c:tx>
            <c:strRef>
              <c:f>OVT!$I$21</c:f>
              <c:strCache>
                <c:ptCount val="1"/>
                <c:pt idx="0">
                  <c:v>OCT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OVT!$I$22:$I$28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C3-4D86-A756-B9C1494BD550}"/>
            </c:ext>
          </c:extLst>
        </c:ser>
        <c:ser>
          <c:idx val="7"/>
          <c:order val="7"/>
          <c:tx>
            <c:strRef>
              <c:f>OVT!$J$21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OVT!$J$22:$J$28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C3-4D86-A756-B9C1494BD550}"/>
            </c:ext>
          </c:extLst>
        </c:ser>
        <c:ser>
          <c:idx val="8"/>
          <c:order val="8"/>
          <c:tx>
            <c:strRef>
              <c:f>OVT!$K$21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OVT!$K$22:$K$28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C3-4D86-A756-B9C1494BD550}"/>
            </c:ext>
          </c:extLst>
        </c:ser>
        <c:ser>
          <c:idx val="9"/>
          <c:order val="9"/>
          <c:tx>
            <c:strRef>
              <c:f>OVT!$L$21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OVT!$L$22:$L$28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C3-4D86-A756-B9C1494BD550}"/>
            </c:ext>
          </c:extLst>
        </c:ser>
        <c:ser>
          <c:idx val="10"/>
          <c:order val="10"/>
          <c:tx>
            <c:strRef>
              <c:f>OVT!$M$21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OVT!$M$22:$M$28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C3-4D86-A756-B9C1494BD550}"/>
            </c:ext>
          </c:extLst>
        </c:ser>
        <c:ser>
          <c:idx val="11"/>
          <c:order val="11"/>
          <c:tx>
            <c:strRef>
              <c:f>OVT!$N$21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OVT!$N$22:$N$28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C3-4D86-A756-B9C1494BD550}"/>
            </c:ext>
          </c:extLst>
        </c:ser>
        <c:ser>
          <c:idx val="12"/>
          <c:order val="12"/>
          <c:tx>
            <c:strRef>
              <c:f>OVT!$O$21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OVT!$O$22:$O$28</c:f>
              <c:numCache>
                <c:formatCode>0%</c:formatCode>
                <c:ptCount val="7"/>
                <c:pt idx="0">
                  <c:v>3.9209535759096616E-3</c:v>
                </c:pt>
                <c:pt idx="1">
                  <c:v>0.56815597553324981</c:v>
                </c:pt>
                <c:pt idx="2">
                  <c:v>5.7245922208281071E-2</c:v>
                </c:pt>
                <c:pt idx="3">
                  <c:v>1.5438754705144294E-3</c:v>
                </c:pt>
                <c:pt idx="4">
                  <c:v>0.20509282857590971</c:v>
                </c:pt>
                <c:pt idx="5">
                  <c:v>8.2023898212045171E-2</c:v>
                </c:pt>
                <c:pt idx="6">
                  <c:v>8.2016546424090356E-2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C3-4D86-A756-B9C1494BD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957263"/>
        <c:axId val="1430744591"/>
      </c:lineChart>
      <c:catAx>
        <c:axId val="98695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0744591"/>
        <c:crosses val="autoZero"/>
        <c:auto val="1"/>
        <c:lblAlgn val="ctr"/>
        <c:lblOffset val="100"/>
        <c:noMultiLvlLbl val="0"/>
      </c:catAx>
      <c:valAx>
        <c:axId val="143074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695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130175</xdr:colOff>
      <xdr:row>6</xdr:row>
      <xdr:rowOff>0</xdr:rowOff>
    </xdr:from>
    <xdr:to>
      <xdr:col>9</xdr:col>
      <xdr:colOff>0</xdr:colOff>
      <xdr:row>15</xdr:row>
      <xdr:rowOff>168276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CC9F76-FAEC-8263-A2E0-5CC526C84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18</xdr:row>
      <xdr:rowOff>0</xdr:rowOff>
    </xdr:from>
    <xdr:to>
      <xdr:col>8</xdr:col>
      <xdr:colOff>809625</xdr:colOff>
      <xdr:row>25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D1318E-12B6-46E3-BB67-AD14BF630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9</xdr:row>
      <xdr:rowOff>68262</xdr:rowOff>
    </xdr:from>
    <xdr:to>
      <xdr:col>10</xdr:col>
      <xdr:colOff>523875</xdr:colOff>
      <xdr:row>17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FC6F07-02AF-B882-AB70-6F233B97B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</xdr:colOff>
      <xdr:row>44</xdr:row>
      <xdr:rowOff>169209</xdr:rowOff>
    </xdr:from>
    <xdr:to>
      <xdr:col>4</xdr:col>
      <xdr:colOff>910851</xdr:colOff>
      <xdr:row>60</xdr:row>
      <xdr:rowOff>50053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C86522-8C35-B8D6-6D0E-2EE6EEF9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1011706</xdr:colOff>
      <xdr:row>45</xdr:row>
      <xdr:rowOff>28388</xdr:rowOff>
    </xdr:from>
    <xdr:to>
      <xdr:col>10</xdr:col>
      <xdr:colOff>89648</xdr:colOff>
      <xdr:row>60</xdr:row>
      <xdr:rowOff>88526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CDE4AD-C684-494E-AA1D-55074FC1B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112059</xdr:colOff>
      <xdr:row>45</xdr:row>
      <xdr:rowOff>31563</xdr:rowOff>
    </xdr:from>
    <xdr:to>
      <xdr:col>15</xdr:col>
      <xdr:colOff>784412</xdr:colOff>
      <xdr:row>60</xdr:row>
      <xdr:rowOff>85351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409C54-5692-4A27-50C8-FA871E8FE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apports\July%2026\HR_ReportData_FY27_July.xlsb" TargetMode="External"/><Relationship Id="rId1" Type="http://schemas.openxmlformats.org/officeDocument/2006/relationships/externalLinkPath" Target="HR_ReportData_FY27_Jul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Headcount_Kiesse"/>
      <sheetName val="IN_OUT"/>
      <sheetName val="Staff_Cost_KPI_Kiesse"/>
      <sheetName val="Training"/>
      <sheetName val="LeaveProvision_Kiesse"/>
      <sheetName val="Leave_Allowance"/>
      <sheetName val="Sheet3"/>
      <sheetName val="OVT"/>
      <sheetName val="OVT vs LEAVES"/>
      <sheetName val="Sheet7"/>
      <sheetName val="Recruitment "/>
    </sheetNames>
    <sheetDataSet>
      <sheetData sheetId="0"/>
      <sheetData sheetId="1">
        <row r="19">
          <cell r="A19" t="str">
            <v>70000002</v>
          </cell>
          <cell r="B19" t="str">
            <v>Gaël Mbodi</v>
          </cell>
          <cell r="C19" t="str">
            <v>Male</v>
          </cell>
          <cell r="D19" t="str">
            <v>Congo</v>
          </cell>
          <cell r="E19" t="str">
            <v>Site Manager</v>
          </cell>
          <cell r="F19" t="str">
            <v>D2</v>
          </cell>
          <cell r="G19">
            <v>31575</v>
          </cell>
          <cell r="H19">
            <v>40</v>
          </cell>
          <cell r="I19" t="str">
            <v xml:space="preserve">40 - 44 ans </v>
          </cell>
          <cell r="J19">
            <v>41852</v>
          </cell>
          <cell r="K19">
            <v>11</v>
          </cell>
          <cell r="L19" t="str">
            <v>&gt;= 10 years</v>
          </cell>
          <cell r="M19" t="str">
            <v>Production</v>
          </cell>
          <cell r="N19" t="str">
            <v>Lubudi</v>
          </cell>
        </row>
        <row r="20">
          <cell r="A20" t="str">
            <v>70000008</v>
          </cell>
          <cell r="B20" t="str">
            <v>Serge Muakasa</v>
          </cell>
          <cell r="C20" t="str">
            <v>Male</v>
          </cell>
          <cell r="D20" t="str">
            <v>Congo</v>
          </cell>
          <cell r="E20" t="str">
            <v>Estate Officer</v>
          </cell>
          <cell r="F20" t="str">
            <v>C4</v>
          </cell>
          <cell r="G20">
            <v>28524</v>
          </cell>
          <cell r="H20">
            <v>48</v>
          </cell>
          <cell r="I20" t="str">
            <v xml:space="preserve">45 - 49 ans </v>
          </cell>
          <cell r="J20">
            <v>42099</v>
          </cell>
          <cell r="K20">
            <v>11</v>
          </cell>
          <cell r="L20" t="str">
            <v>&gt;= 10 years</v>
          </cell>
          <cell r="M20" t="str">
            <v>HR</v>
          </cell>
          <cell r="N20" t="str">
            <v>Plant</v>
          </cell>
        </row>
        <row r="21">
          <cell r="A21" t="str">
            <v>70000009</v>
          </cell>
          <cell r="B21" t="str">
            <v>Jean Jacques Zodulua</v>
          </cell>
          <cell r="C21" t="str">
            <v>Male</v>
          </cell>
          <cell r="D21" t="str">
            <v>Congo</v>
          </cell>
          <cell r="E21" t="str">
            <v>Driver</v>
          </cell>
          <cell r="F21" t="str">
            <v>B2</v>
          </cell>
          <cell r="G21">
            <v>25429</v>
          </cell>
          <cell r="H21">
            <v>56</v>
          </cell>
          <cell r="I21" t="str">
            <v>&gt;55</v>
          </cell>
          <cell r="J21">
            <v>42135</v>
          </cell>
          <cell r="K21">
            <v>11</v>
          </cell>
          <cell r="L21" t="str">
            <v>&gt;= 10 years</v>
          </cell>
          <cell r="M21" t="str">
            <v>HR</v>
          </cell>
          <cell r="N21" t="str">
            <v>Kinshasa_Regions</v>
          </cell>
        </row>
        <row r="22">
          <cell r="A22" t="str">
            <v>70000011</v>
          </cell>
          <cell r="B22" t="str">
            <v>Kimbanzi Feinta</v>
          </cell>
          <cell r="C22" t="str">
            <v>Male</v>
          </cell>
          <cell r="D22" t="str">
            <v>Congo</v>
          </cell>
          <cell r="E22" t="str">
            <v>Senior Sales Consultant</v>
          </cell>
          <cell r="F22" t="str">
            <v>C4</v>
          </cell>
          <cell r="G22">
            <v>25330</v>
          </cell>
          <cell r="H22">
            <v>57</v>
          </cell>
          <cell r="I22" t="str">
            <v>&gt;55</v>
          </cell>
          <cell r="J22">
            <v>42240</v>
          </cell>
          <cell r="K22">
            <v>10</v>
          </cell>
          <cell r="L22" t="str">
            <v>&gt;= 10 years</v>
          </cell>
          <cell r="M22" t="str">
            <v>Sales_CEC</v>
          </cell>
          <cell r="N22" t="str">
            <v>Kinshasa_Regions</v>
          </cell>
        </row>
        <row r="23">
          <cell r="A23" t="str">
            <v>70000015</v>
          </cell>
          <cell r="B23" t="str">
            <v>LUZOLO NSEMBOLO</v>
          </cell>
          <cell r="C23" t="str">
            <v>Male</v>
          </cell>
          <cell r="D23" t="str">
            <v>Congo</v>
          </cell>
          <cell r="E23" t="str">
            <v>Mechanic</v>
          </cell>
          <cell r="F23" t="str">
            <v>C2</v>
          </cell>
          <cell r="G23">
            <v>32509</v>
          </cell>
          <cell r="H23">
            <v>37</v>
          </cell>
          <cell r="I23" t="str">
            <v xml:space="preserve">35 - 39 ans </v>
          </cell>
          <cell r="J23">
            <v>44866</v>
          </cell>
          <cell r="K23">
            <v>3</v>
          </cell>
          <cell r="L23" t="str">
            <v>1 - 3 year(s)</v>
          </cell>
          <cell r="M23" t="str">
            <v>Engineering</v>
          </cell>
          <cell r="N23" t="str">
            <v>Plant</v>
          </cell>
        </row>
        <row r="24">
          <cell r="A24" t="str">
            <v>70000019</v>
          </cell>
          <cell r="B24" t="str">
            <v>Kiesse Banguli</v>
          </cell>
          <cell r="C24" t="str">
            <v>Female</v>
          </cell>
          <cell r="D24" t="str">
            <v>Congo</v>
          </cell>
          <cell r="E24" t="str">
            <v>Payroll and Admin Manager</v>
          </cell>
          <cell r="F24" t="str">
            <v>D1</v>
          </cell>
          <cell r="G24">
            <v>28799</v>
          </cell>
          <cell r="H24">
            <v>47</v>
          </cell>
          <cell r="I24" t="str">
            <v xml:space="preserve">45 - 49 ans </v>
          </cell>
          <cell r="J24">
            <v>41768</v>
          </cell>
          <cell r="K24">
            <v>12</v>
          </cell>
          <cell r="L24" t="str">
            <v>&gt;= 10 years</v>
          </cell>
          <cell r="M24" t="str">
            <v>HR</v>
          </cell>
          <cell r="N24" t="str">
            <v>Kinshasa_Regions</v>
          </cell>
        </row>
        <row r="25">
          <cell r="A25" t="str">
            <v>70000021</v>
          </cell>
          <cell r="B25" t="str">
            <v>Marie Josee Lisangola</v>
          </cell>
          <cell r="C25" t="str">
            <v>Female</v>
          </cell>
          <cell r="D25" t="str">
            <v>Congo</v>
          </cell>
          <cell r="E25" t="str">
            <v>Facilities Officer</v>
          </cell>
          <cell r="F25" t="str">
            <v>C4</v>
          </cell>
          <cell r="G25">
            <v>29643</v>
          </cell>
          <cell r="H25">
            <v>45</v>
          </cell>
          <cell r="I25" t="str">
            <v xml:space="preserve">45 - 49 ans </v>
          </cell>
          <cell r="J25">
            <v>41771</v>
          </cell>
          <cell r="K25">
            <v>12</v>
          </cell>
          <cell r="L25" t="str">
            <v>&gt;= 10 years</v>
          </cell>
          <cell r="M25" t="str">
            <v>HR</v>
          </cell>
          <cell r="N25" t="str">
            <v>Kinshasa_Regions</v>
          </cell>
        </row>
        <row r="26">
          <cell r="A26" t="str">
            <v>70000022</v>
          </cell>
          <cell r="B26" t="str">
            <v>Dina Munanga</v>
          </cell>
          <cell r="C26" t="str">
            <v>Female</v>
          </cell>
          <cell r="D26" t="str">
            <v>Congo</v>
          </cell>
          <cell r="E26" t="str">
            <v>Customer Demand Supply Planner</v>
          </cell>
          <cell r="F26" t="str">
            <v>C5</v>
          </cell>
          <cell r="G26">
            <v>29181</v>
          </cell>
          <cell r="H26">
            <v>46</v>
          </cell>
          <cell r="I26" t="str">
            <v xml:space="preserve">45 - 49 ans </v>
          </cell>
          <cell r="J26">
            <v>41771</v>
          </cell>
          <cell r="K26">
            <v>12</v>
          </cell>
          <cell r="L26" t="str">
            <v>&gt;= 10 years</v>
          </cell>
          <cell r="M26" t="str">
            <v>Sales_CEC</v>
          </cell>
          <cell r="N26" t="str">
            <v>Kinshasa_Regions</v>
          </cell>
        </row>
        <row r="27">
          <cell r="A27" t="str">
            <v>70000023</v>
          </cell>
          <cell r="B27" t="str">
            <v>Banga Banga Onesime</v>
          </cell>
          <cell r="C27" t="str">
            <v>Male</v>
          </cell>
          <cell r="D27" t="str">
            <v>Congo</v>
          </cell>
          <cell r="E27" t="str">
            <v>Driver</v>
          </cell>
          <cell r="F27" t="str">
            <v>B2</v>
          </cell>
          <cell r="G27">
            <v>25208</v>
          </cell>
          <cell r="H27">
            <v>57</v>
          </cell>
          <cell r="I27" t="str">
            <v>&gt;55</v>
          </cell>
          <cell r="J27">
            <v>41913</v>
          </cell>
          <cell r="K27">
            <v>11</v>
          </cell>
          <cell r="L27" t="str">
            <v>&gt;= 10 years</v>
          </cell>
          <cell r="M27" t="str">
            <v>HR</v>
          </cell>
          <cell r="N27" t="str">
            <v>Kinshasa_Regions</v>
          </cell>
        </row>
        <row r="28">
          <cell r="A28" t="str">
            <v>70000024</v>
          </cell>
          <cell r="B28" t="str">
            <v>Medard Kitambo</v>
          </cell>
          <cell r="C28" t="str">
            <v>Male</v>
          </cell>
          <cell r="D28" t="str">
            <v>Congo</v>
          </cell>
          <cell r="E28" t="str">
            <v>Driver</v>
          </cell>
          <cell r="F28" t="str">
            <v>B2</v>
          </cell>
          <cell r="G28">
            <v>23836</v>
          </cell>
          <cell r="H28">
            <v>61</v>
          </cell>
          <cell r="I28" t="str">
            <v>&gt;55</v>
          </cell>
          <cell r="J28">
            <v>41827</v>
          </cell>
          <cell r="K28">
            <v>12</v>
          </cell>
          <cell r="L28" t="str">
            <v>&gt;= 10 years</v>
          </cell>
          <cell r="M28" t="str">
            <v>HR</v>
          </cell>
          <cell r="N28" t="str">
            <v>Plant</v>
          </cell>
        </row>
        <row r="29">
          <cell r="A29" t="str">
            <v>70000026</v>
          </cell>
          <cell r="B29" t="str">
            <v>Kabangu Mutambayi</v>
          </cell>
          <cell r="C29" t="str">
            <v>Male</v>
          </cell>
          <cell r="D29" t="str">
            <v>Congo</v>
          </cell>
          <cell r="E29" t="str">
            <v>Shift Supervisor</v>
          </cell>
          <cell r="F29" t="str">
            <v>C3</v>
          </cell>
          <cell r="G29">
            <v>32392</v>
          </cell>
          <cell r="H29">
            <v>37</v>
          </cell>
          <cell r="I29" t="str">
            <v xml:space="preserve">35 - 39 ans </v>
          </cell>
          <cell r="J29">
            <v>42317</v>
          </cell>
          <cell r="K29">
            <v>10</v>
          </cell>
          <cell r="L29" t="str">
            <v>&gt;= 10 years</v>
          </cell>
          <cell r="M29" t="str">
            <v>Production</v>
          </cell>
          <cell r="N29" t="str">
            <v>Plant</v>
          </cell>
        </row>
        <row r="30">
          <cell r="A30" t="str">
            <v>70000027</v>
          </cell>
          <cell r="B30" t="str">
            <v>KABEYA Tresor-Michel</v>
          </cell>
          <cell r="C30" t="str">
            <v>Male</v>
          </cell>
          <cell r="D30" t="str">
            <v>The Democratic Republic of the Congo</v>
          </cell>
          <cell r="E30" t="str">
            <v>Production Manager</v>
          </cell>
          <cell r="F30" t="str">
            <v>D4</v>
          </cell>
          <cell r="G30">
            <v>31255</v>
          </cell>
          <cell r="H30">
            <v>41</v>
          </cell>
          <cell r="I30" t="str">
            <v xml:space="preserve">40 - 44 ans </v>
          </cell>
          <cell r="J30">
            <v>42317</v>
          </cell>
          <cell r="K30">
            <v>10</v>
          </cell>
          <cell r="L30" t="str">
            <v>&gt;= 10 years</v>
          </cell>
          <cell r="M30" t="str">
            <v>Production</v>
          </cell>
          <cell r="N30" t="str">
            <v>Plant</v>
          </cell>
        </row>
        <row r="31">
          <cell r="A31" t="str">
            <v>70000028</v>
          </cell>
          <cell r="B31" t="str">
            <v>Kadimoyo Ilunga</v>
          </cell>
          <cell r="C31" t="str">
            <v>Male</v>
          </cell>
          <cell r="D31" t="str">
            <v>Congo</v>
          </cell>
          <cell r="E31" t="str">
            <v xml:space="preserve">Production Superintendent </v>
          </cell>
          <cell r="F31" t="str">
            <v>D1</v>
          </cell>
          <cell r="G31">
            <v>33504</v>
          </cell>
          <cell r="H31">
            <v>34</v>
          </cell>
          <cell r="I31" t="str">
            <v xml:space="preserve">30 - 34 ans </v>
          </cell>
          <cell r="J31">
            <v>42317</v>
          </cell>
          <cell r="K31">
            <v>10</v>
          </cell>
          <cell r="L31" t="str">
            <v>&gt;= 10 years</v>
          </cell>
          <cell r="M31" t="str">
            <v>Production</v>
          </cell>
          <cell r="N31" t="str">
            <v>Plant</v>
          </cell>
        </row>
        <row r="32">
          <cell r="A32" t="str">
            <v>70000029</v>
          </cell>
          <cell r="B32" t="str">
            <v>Maphasi Vangu</v>
          </cell>
          <cell r="C32" t="str">
            <v>Male</v>
          </cell>
          <cell r="D32" t="str">
            <v>The Democratic Republic of the Congo</v>
          </cell>
          <cell r="E32" t="str">
            <v>Production Shift Supervisor</v>
          </cell>
          <cell r="F32" t="str">
            <v>C3</v>
          </cell>
          <cell r="G32">
            <v>30405</v>
          </cell>
          <cell r="H32">
            <v>43</v>
          </cell>
          <cell r="I32" t="str">
            <v xml:space="preserve">40 - 44 ans </v>
          </cell>
          <cell r="J32">
            <v>42317</v>
          </cell>
          <cell r="K32">
            <v>10</v>
          </cell>
          <cell r="L32" t="str">
            <v>&gt;= 10 years</v>
          </cell>
          <cell r="M32" t="str">
            <v>Production</v>
          </cell>
          <cell r="N32" t="str">
            <v>Plant</v>
          </cell>
        </row>
        <row r="33">
          <cell r="A33" t="str">
            <v>70000030</v>
          </cell>
          <cell r="B33" t="str">
            <v>Muba Kayembe</v>
          </cell>
          <cell r="C33" t="str">
            <v>Male</v>
          </cell>
          <cell r="D33" t="str">
            <v>The Democratic Republic of the Congo</v>
          </cell>
          <cell r="E33" t="str">
            <v>Packing Plant Foreman</v>
          </cell>
          <cell r="F33" t="str">
            <v>C4</v>
          </cell>
          <cell r="G33">
            <v>32730</v>
          </cell>
          <cell r="H33">
            <v>36</v>
          </cell>
          <cell r="I33" t="str">
            <v xml:space="preserve">35 - 39 ans </v>
          </cell>
          <cell r="J33">
            <v>42317</v>
          </cell>
          <cell r="K33">
            <v>10</v>
          </cell>
          <cell r="L33" t="str">
            <v>&gt;= 10 years</v>
          </cell>
          <cell r="M33" t="str">
            <v>Production</v>
          </cell>
          <cell r="N33" t="str">
            <v>Plant</v>
          </cell>
        </row>
        <row r="34">
          <cell r="A34" t="str">
            <v>70000032</v>
          </cell>
          <cell r="B34" t="str">
            <v>Pero Nemwandjare</v>
          </cell>
          <cell r="C34" t="str">
            <v>Male</v>
          </cell>
          <cell r="D34" t="str">
            <v>Congo - Democratic Republic Zaire</v>
          </cell>
          <cell r="E34" t="str">
            <v>Junior Process Engineer</v>
          </cell>
          <cell r="F34" t="str">
            <v>C5</v>
          </cell>
          <cell r="G34">
            <v>32748</v>
          </cell>
          <cell r="H34">
            <v>36</v>
          </cell>
          <cell r="I34" t="str">
            <v xml:space="preserve">35 - 39 ans </v>
          </cell>
          <cell r="J34">
            <v>42317</v>
          </cell>
          <cell r="K34">
            <v>10</v>
          </cell>
          <cell r="L34" t="str">
            <v>&gt;= 10 years</v>
          </cell>
          <cell r="M34" t="str">
            <v>Optimization</v>
          </cell>
          <cell r="N34" t="str">
            <v>Plant</v>
          </cell>
        </row>
        <row r="35">
          <cell r="A35" t="str">
            <v>70000033</v>
          </cell>
          <cell r="B35" t="str">
            <v>Uuchi Umirambe</v>
          </cell>
          <cell r="C35" t="str">
            <v>Male</v>
          </cell>
          <cell r="D35" t="str">
            <v>Congo</v>
          </cell>
          <cell r="E35" t="str">
            <v>Optimisation Process Engineer</v>
          </cell>
          <cell r="F35" t="str">
            <v>D1</v>
          </cell>
          <cell r="G35">
            <v>32408</v>
          </cell>
          <cell r="H35">
            <v>37</v>
          </cell>
          <cell r="I35" t="str">
            <v xml:space="preserve">35 - 39 ans </v>
          </cell>
          <cell r="J35">
            <v>42317</v>
          </cell>
          <cell r="K35">
            <v>10</v>
          </cell>
          <cell r="L35" t="str">
            <v>&gt;= 10 years</v>
          </cell>
          <cell r="M35" t="str">
            <v>Optimization</v>
          </cell>
          <cell r="N35" t="str">
            <v>Plant</v>
          </cell>
        </row>
        <row r="36">
          <cell r="A36" t="str">
            <v>70000034</v>
          </cell>
          <cell r="B36" t="str">
            <v>Mulolo Kankolongo</v>
          </cell>
          <cell r="C36" t="str">
            <v>Male</v>
          </cell>
          <cell r="D36" t="str">
            <v>Congo</v>
          </cell>
          <cell r="E36" t="str">
            <v>IT Manager</v>
          </cell>
          <cell r="F36" t="str">
            <v>D2</v>
          </cell>
          <cell r="G36">
            <v>31762</v>
          </cell>
          <cell r="H36">
            <v>39</v>
          </cell>
          <cell r="I36" t="str">
            <v xml:space="preserve">35 - 39 ans </v>
          </cell>
          <cell r="J36">
            <v>42337</v>
          </cell>
          <cell r="K36">
            <v>10</v>
          </cell>
          <cell r="L36" t="str">
            <v>&gt;= 10 years</v>
          </cell>
          <cell r="M36" t="str">
            <v>Finance</v>
          </cell>
          <cell r="N36" t="str">
            <v>Kinshasa_Regions</v>
          </cell>
        </row>
        <row r="37">
          <cell r="A37" t="str">
            <v>70000038</v>
          </cell>
          <cell r="B37" t="str">
            <v>Simon Macharia</v>
          </cell>
          <cell r="C37" t="str">
            <v>Male</v>
          </cell>
          <cell r="D37" t="str">
            <v>Kenya</v>
          </cell>
          <cell r="E37" t="str">
            <v>Electrical &amp; Instrumentation Engineer</v>
          </cell>
          <cell r="F37" t="str">
            <v>D1</v>
          </cell>
          <cell r="G37">
            <v>29048</v>
          </cell>
          <cell r="H37">
            <v>47</v>
          </cell>
          <cell r="I37" t="str">
            <v xml:space="preserve">45 - 49 ans </v>
          </cell>
          <cell r="J37">
            <v>42461</v>
          </cell>
          <cell r="K37">
            <v>10</v>
          </cell>
          <cell r="L37" t="str">
            <v>&gt;= 10 years</v>
          </cell>
          <cell r="M37" t="str">
            <v>Engineering</v>
          </cell>
          <cell r="N37" t="str">
            <v>Plant</v>
          </cell>
        </row>
        <row r="38">
          <cell r="A38" t="str">
            <v>70000040</v>
          </cell>
          <cell r="B38" t="str">
            <v>Jack Lethy Ilondo</v>
          </cell>
          <cell r="C38" t="str">
            <v>Male</v>
          </cell>
          <cell r="D38" t="str">
            <v>Congo</v>
          </cell>
          <cell r="E38" t="str">
            <v>Engineering Manager</v>
          </cell>
          <cell r="F38" t="str">
            <v>D4</v>
          </cell>
          <cell r="G38">
            <v>31855</v>
          </cell>
          <cell r="H38">
            <v>39</v>
          </cell>
          <cell r="I38" t="str">
            <v xml:space="preserve">35 - 39 ans </v>
          </cell>
          <cell r="J38">
            <v>42471</v>
          </cell>
          <cell r="K38">
            <v>10</v>
          </cell>
          <cell r="L38" t="str">
            <v>&gt;= 10 years</v>
          </cell>
          <cell r="M38" t="str">
            <v>Engineering</v>
          </cell>
          <cell r="N38" t="str">
            <v>Plant</v>
          </cell>
        </row>
        <row r="39">
          <cell r="A39" t="str">
            <v>70000043</v>
          </cell>
          <cell r="B39" t="str">
            <v>EDDO MAKIVOVI</v>
          </cell>
          <cell r="C39" t="str">
            <v>Male</v>
          </cell>
          <cell r="D39" t="str">
            <v>Congo</v>
          </cell>
          <cell r="E39" t="str">
            <v>Safety Officer</v>
          </cell>
          <cell r="F39" t="str">
            <v>C2</v>
          </cell>
          <cell r="G39">
            <v>26131</v>
          </cell>
          <cell r="H39">
            <v>55</v>
          </cell>
          <cell r="I39" t="str">
            <v>&gt;55</v>
          </cell>
          <cell r="J39">
            <v>44158</v>
          </cell>
          <cell r="K39">
            <v>5</v>
          </cell>
          <cell r="L39" t="str">
            <v>4 - 6 years</v>
          </cell>
          <cell r="M39" t="str">
            <v>Mining</v>
          </cell>
          <cell r="N39" t="str">
            <v>Plant</v>
          </cell>
        </row>
        <row r="40">
          <cell r="A40" t="str">
            <v>70000045</v>
          </cell>
          <cell r="B40" t="str">
            <v>Diane Bilonda</v>
          </cell>
          <cell r="C40" t="str">
            <v>Female</v>
          </cell>
          <cell r="D40" t="str">
            <v>Congo</v>
          </cell>
          <cell r="E40" t="str">
            <v>Senior Regional Sales Consultant Construction, Ready Mix &amp; Indus</v>
          </cell>
          <cell r="F40" t="str">
            <v>C5</v>
          </cell>
          <cell r="G40">
            <v>32197</v>
          </cell>
          <cell r="H40">
            <v>38</v>
          </cell>
          <cell r="I40" t="str">
            <v xml:space="preserve">35 - 39 ans </v>
          </cell>
          <cell r="J40">
            <v>42506</v>
          </cell>
          <cell r="K40">
            <v>10</v>
          </cell>
          <cell r="L40" t="str">
            <v>&gt;= 10 years</v>
          </cell>
          <cell r="M40" t="str">
            <v>Sales_CEC</v>
          </cell>
          <cell r="N40" t="str">
            <v>Kinshasa_Regions</v>
          </cell>
        </row>
        <row r="41">
          <cell r="A41" t="str">
            <v>70000046</v>
          </cell>
          <cell r="B41" t="str">
            <v>PATRICK MUKENDI</v>
          </cell>
          <cell r="C41" t="str">
            <v>Male</v>
          </cell>
          <cell r="D41" t="str">
            <v>Congo</v>
          </cell>
          <cell r="E41" t="str">
            <v>Mechanical Engineer</v>
          </cell>
          <cell r="F41" t="str">
            <v>D1</v>
          </cell>
          <cell r="G41">
            <v>29323</v>
          </cell>
          <cell r="H41">
            <v>46</v>
          </cell>
          <cell r="I41" t="str">
            <v xml:space="preserve">45 - 49 ans </v>
          </cell>
          <cell r="J41">
            <v>44161</v>
          </cell>
          <cell r="K41">
            <v>5</v>
          </cell>
          <cell r="L41" t="str">
            <v>4 - 6 years</v>
          </cell>
          <cell r="M41" t="str">
            <v>Engineering</v>
          </cell>
          <cell r="N41" t="str">
            <v>Plant</v>
          </cell>
        </row>
        <row r="42">
          <cell r="A42" t="str">
            <v>70000048</v>
          </cell>
          <cell r="B42" t="str">
            <v>Helena Kiloso</v>
          </cell>
          <cell r="C42" t="str">
            <v>Female</v>
          </cell>
          <cell r="D42" t="str">
            <v>Congo</v>
          </cell>
          <cell r="E42" t="str">
            <v>Senior Regional Sales Consultant Retail &amp; Funa</v>
          </cell>
          <cell r="F42" t="str">
            <v>C5</v>
          </cell>
          <cell r="G42">
            <v>32543</v>
          </cell>
          <cell r="H42">
            <v>37</v>
          </cell>
          <cell r="I42" t="str">
            <v xml:space="preserve">35 - 39 ans </v>
          </cell>
          <cell r="J42">
            <v>42522</v>
          </cell>
          <cell r="K42">
            <v>10</v>
          </cell>
          <cell r="L42" t="str">
            <v>&gt;= 10 years</v>
          </cell>
          <cell r="M42" t="str">
            <v>Sales_CEC</v>
          </cell>
          <cell r="N42" t="str">
            <v>Kinshasa_Regions</v>
          </cell>
        </row>
        <row r="43">
          <cell r="A43" t="str">
            <v>70000049</v>
          </cell>
          <cell r="B43" t="str">
            <v>Charles Joseph Liwanda Lute</v>
          </cell>
          <cell r="C43" t="str">
            <v>Male</v>
          </cell>
          <cell r="D43" t="str">
            <v>Congo</v>
          </cell>
          <cell r="E43" t="str">
            <v>Quality Assurance Manager</v>
          </cell>
          <cell r="F43" t="str">
            <v>D2</v>
          </cell>
          <cell r="G43">
            <v>23282</v>
          </cell>
          <cell r="H43">
            <v>62</v>
          </cell>
          <cell r="I43" t="str">
            <v>&gt;55</v>
          </cell>
          <cell r="J43">
            <v>42515</v>
          </cell>
          <cell r="K43">
            <v>10</v>
          </cell>
          <cell r="L43" t="str">
            <v>&gt;= 10 years</v>
          </cell>
          <cell r="M43" t="str">
            <v>Quality Assurance</v>
          </cell>
          <cell r="N43" t="str">
            <v>Plant</v>
          </cell>
        </row>
        <row r="44">
          <cell r="A44" t="str">
            <v>70000050</v>
          </cell>
          <cell r="B44" t="str">
            <v>Elias Tanui</v>
          </cell>
          <cell r="C44" t="str">
            <v>Male</v>
          </cell>
          <cell r="D44" t="str">
            <v>Kenya</v>
          </cell>
          <cell r="E44" t="str">
            <v>Project Manager</v>
          </cell>
          <cell r="F44" t="str">
            <v>D4</v>
          </cell>
          <cell r="G44">
            <v>27123</v>
          </cell>
          <cell r="H44">
            <v>52</v>
          </cell>
          <cell r="I44" t="str">
            <v xml:space="preserve">50 - 54 ans </v>
          </cell>
          <cell r="J44">
            <v>42562</v>
          </cell>
          <cell r="K44">
            <v>10</v>
          </cell>
          <cell r="L44" t="str">
            <v>&gt;= 10 years</v>
          </cell>
          <cell r="M44" t="str">
            <v>MD Office</v>
          </cell>
          <cell r="N44" t="str">
            <v>Plant</v>
          </cell>
        </row>
        <row r="45">
          <cell r="A45" t="str">
            <v>70000051</v>
          </cell>
          <cell r="B45" t="str">
            <v>Grace Diakiese</v>
          </cell>
          <cell r="C45" t="str">
            <v>Female</v>
          </cell>
          <cell r="D45" t="str">
            <v>Congo</v>
          </cell>
          <cell r="E45" t="str">
            <v>Sales Consultant Tshangu</v>
          </cell>
          <cell r="F45" t="str">
            <v>C2</v>
          </cell>
          <cell r="G45">
            <v>34355</v>
          </cell>
          <cell r="H45">
            <v>32</v>
          </cell>
          <cell r="I45" t="str">
            <v xml:space="preserve">30 - 34 ans </v>
          </cell>
          <cell r="J45">
            <v>42569</v>
          </cell>
          <cell r="K45">
            <v>10</v>
          </cell>
          <cell r="L45" t="str">
            <v>&gt;= 10 years</v>
          </cell>
          <cell r="M45" t="str">
            <v>Sales_CEC</v>
          </cell>
          <cell r="N45" t="str">
            <v>Kinshasa_Regions</v>
          </cell>
        </row>
        <row r="46">
          <cell r="A46" t="str">
            <v>70000052</v>
          </cell>
          <cell r="B46" t="str">
            <v>Simon Bayisa</v>
          </cell>
          <cell r="C46" t="str">
            <v>Male</v>
          </cell>
          <cell r="D46" t="str">
            <v>Congo</v>
          </cell>
          <cell r="E46" t="str">
            <v>Fitter &amp; Turner</v>
          </cell>
          <cell r="F46" t="str">
            <v>C2</v>
          </cell>
          <cell r="G46">
            <v>29768</v>
          </cell>
          <cell r="H46">
            <v>45</v>
          </cell>
          <cell r="I46" t="str">
            <v xml:space="preserve">45 - 49 ans </v>
          </cell>
          <cell r="J46">
            <v>42569</v>
          </cell>
          <cell r="K46">
            <v>10</v>
          </cell>
          <cell r="L46" t="str">
            <v>&gt;= 10 years</v>
          </cell>
          <cell r="M46" t="str">
            <v>Engineering</v>
          </cell>
          <cell r="N46" t="str">
            <v>Plant</v>
          </cell>
        </row>
        <row r="47">
          <cell r="A47" t="str">
            <v>70000056</v>
          </cell>
          <cell r="B47" t="str">
            <v>Gaylor Nsakala</v>
          </cell>
          <cell r="C47" t="str">
            <v>Male</v>
          </cell>
          <cell r="D47" t="str">
            <v>Congo</v>
          </cell>
          <cell r="E47" t="str">
            <v xml:space="preserve">Operator Support </v>
          </cell>
          <cell r="F47" t="str">
            <v>B4</v>
          </cell>
          <cell r="G47">
            <v>30206</v>
          </cell>
          <cell r="H47">
            <v>43</v>
          </cell>
          <cell r="I47" t="str">
            <v xml:space="preserve">40 - 44 ans </v>
          </cell>
          <cell r="J47">
            <v>42632</v>
          </cell>
          <cell r="K47">
            <v>9</v>
          </cell>
          <cell r="L47" t="str">
            <v>7 - 9 years</v>
          </cell>
          <cell r="M47" t="str">
            <v>Production</v>
          </cell>
          <cell r="N47" t="str">
            <v>Plant</v>
          </cell>
        </row>
        <row r="48">
          <cell r="A48" t="str">
            <v>70000057</v>
          </cell>
          <cell r="B48" t="str">
            <v>Olivier Lutonadio</v>
          </cell>
          <cell r="C48" t="str">
            <v>Male</v>
          </cell>
          <cell r="D48" t="str">
            <v>Congo - Democratic Republic Zaire</v>
          </cell>
          <cell r="E48" t="str">
            <v>Packing/Loading Shift Supervisor</v>
          </cell>
          <cell r="F48" t="str">
            <v>C2</v>
          </cell>
          <cell r="G48">
            <v>32768</v>
          </cell>
          <cell r="H48">
            <v>36</v>
          </cell>
          <cell r="I48" t="str">
            <v xml:space="preserve">35 - 39 ans </v>
          </cell>
          <cell r="J48">
            <v>42632</v>
          </cell>
          <cell r="K48">
            <v>9</v>
          </cell>
          <cell r="L48" t="str">
            <v>7 - 9 years</v>
          </cell>
          <cell r="M48" t="str">
            <v>Production</v>
          </cell>
          <cell r="N48" t="str">
            <v>Plant</v>
          </cell>
        </row>
        <row r="49">
          <cell r="A49" t="str">
            <v>70000058</v>
          </cell>
          <cell r="B49" t="str">
            <v>Reagan Tulengi</v>
          </cell>
          <cell r="C49" t="str">
            <v>Male</v>
          </cell>
          <cell r="D49" t="str">
            <v>Congo</v>
          </cell>
          <cell r="E49" t="str">
            <v>Fitter &amp; Crane Specialist</v>
          </cell>
          <cell r="F49" t="str">
            <v>C2</v>
          </cell>
          <cell r="G49">
            <v>31705</v>
          </cell>
          <cell r="H49">
            <v>39</v>
          </cell>
          <cell r="I49" t="str">
            <v xml:space="preserve">35 - 39 ans </v>
          </cell>
          <cell r="J49">
            <v>42632</v>
          </cell>
          <cell r="K49">
            <v>9</v>
          </cell>
          <cell r="L49" t="str">
            <v>7 - 9 years</v>
          </cell>
          <cell r="M49" t="str">
            <v>Engineering</v>
          </cell>
          <cell r="N49" t="str">
            <v>Plant</v>
          </cell>
        </row>
        <row r="50">
          <cell r="A50" t="str">
            <v>70000059</v>
          </cell>
          <cell r="B50" t="str">
            <v>Rodrigue Luzolawo</v>
          </cell>
          <cell r="C50" t="str">
            <v>Male</v>
          </cell>
          <cell r="D50" t="str">
            <v>Congo</v>
          </cell>
          <cell r="E50" t="str">
            <v>Packing/Loading Shift Supervisor</v>
          </cell>
          <cell r="F50" t="str">
            <v>C2</v>
          </cell>
          <cell r="G50">
            <v>31885</v>
          </cell>
          <cell r="H50">
            <v>39</v>
          </cell>
          <cell r="I50" t="str">
            <v xml:space="preserve">35 - 39 ans </v>
          </cell>
          <cell r="J50">
            <v>42632</v>
          </cell>
          <cell r="K50">
            <v>9</v>
          </cell>
          <cell r="L50" t="str">
            <v>7 - 9 years</v>
          </cell>
          <cell r="M50" t="str">
            <v>Production</v>
          </cell>
          <cell r="N50" t="str">
            <v>Plant</v>
          </cell>
        </row>
        <row r="51">
          <cell r="A51" t="str">
            <v>70000061</v>
          </cell>
          <cell r="B51" t="str">
            <v>Joel Nzuzi</v>
          </cell>
          <cell r="C51" t="str">
            <v>Male</v>
          </cell>
          <cell r="D51" t="str">
            <v>Congo</v>
          </cell>
          <cell r="E51" t="str">
            <v>Packing/Loading Shift Supervisor</v>
          </cell>
          <cell r="F51" t="str">
            <v>C2</v>
          </cell>
          <cell r="G51">
            <v>25800</v>
          </cell>
          <cell r="H51">
            <v>55</v>
          </cell>
          <cell r="I51" t="str">
            <v>&gt;55</v>
          </cell>
          <cell r="J51">
            <v>42632</v>
          </cell>
          <cell r="K51">
            <v>9</v>
          </cell>
          <cell r="L51" t="str">
            <v>7 - 9 years</v>
          </cell>
          <cell r="M51" t="str">
            <v>Production</v>
          </cell>
          <cell r="N51" t="str">
            <v>Plant</v>
          </cell>
        </row>
        <row r="52">
          <cell r="A52" t="str">
            <v>70000063</v>
          </cell>
          <cell r="B52" t="str">
            <v>Jisca Muanda</v>
          </cell>
          <cell r="C52" t="str">
            <v>Male</v>
          </cell>
          <cell r="D52" t="str">
            <v>Congo</v>
          </cell>
          <cell r="E52" t="str">
            <v>Shift Supervisor</v>
          </cell>
          <cell r="F52" t="str">
            <v>C3</v>
          </cell>
          <cell r="G52">
            <v>30284</v>
          </cell>
          <cell r="H52">
            <v>43</v>
          </cell>
          <cell r="I52" t="str">
            <v xml:space="preserve">40 - 44 ans </v>
          </cell>
          <cell r="J52">
            <v>42632</v>
          </cell>
          <cell r="K52">
            <v>9</v>
          </cell>
          <cell r="L52" t="str">
            <v>7 - 9 years</v>
          </cell>
          <cell r="M52" t="str">
            <v>Production</v>
          </cell>
          <cell r="N52" t="str">
            <v>Plant</v>
          </cell>
        </row>
        <row r="53">
          <cell r="A53" t="str">
            <v>70000064</v>
          </cell>
          <cell r="B53" t="str">
            <v>Ramses Kalunga</v>
          </cell>
          <cell r="C53" t="str">
            <v>Male</v>
          </cell>
          <cell r="D53" t="str">
            <v>Congo</v>
          </cell>
          <cell r="E53" t="str">
            <v>Process Operator</v>
          </cell>
          <cell r="F53" t="str">
            <v>C1</v>
          </cell>
          <cell r="G53">
            <v>31917</v>
          </cell>
          <cell r="H53">
            <v>39</v>
          </cell>
          <cell r="I53" t="str">
            <v xml:space="preserve">35 - 39 ans </v>
          </cell>
          <cell r="J53">
            <v>42632</v>
          </cell>
          <cell r="K53">
            <v>9</v>
          </cell>
          <cell r="L53" t="str">
            <v>7 - 9 years</v>
          </cell>
          <cell r="M53" t="str">
            <v>Production</v>
          </cell>
          <cell r="N53" t="str">
            <v>Plant</v>
          </cell>
        </row>
        <row r="54">
          <cell r="A54" t="str">
            <v>70000067</v>
          </cell>
          <cell r="B54" t="str">
            <v>Leon Mpongo</v>
          </cell>
          <cell r="C54" t="str">
            <v>Male</v>
          </cell>
          <cell r="D54" t="str">
            <v>Congo - Democratic Republic Zaire</v>
          </cell>
          <cell r="E54" t="str">
            <v>Buyer</v>
          </cell>
          <cell r="F54" t="str">
            <v>C3</v>
          </cell>
          <cell r="G54">
            <v>33425</v>
          </cell>
          <cell r="H54">
            <v>35</v>
          </cell>
          <cell r="I54" t="str">
            <v xml:space="preserve">35 - 39 ans </v>
          </cell>
          <cell r="J54">
            <v>42632</v>
          </cell>
          <cell r="K54">
            <v>9</v>
          </cell>
          <cell r="L54" t="str">
            <v>7 - 9 years</v>
          </cell>
          <cell r="M54" t="str">
            <v>Procurement</v>
          </cell>
          <cell r="N54" t="str">
            <v>Plant</v>
          </cell>
        </row>
        <row r="55">
          <cell r="A55" t="str">
            <v>70000068</v>
          </cell>
          <cell r="B55" t="str">
            <v>Platini Dunga</v>
          </cell>
          <cell r="C55" t="str">
            <v>Male</v>
          </cell>
          <cell r="D55" t="str">
            <v>Congo</v>
          </cell>
          <cell r="E55" t="str">
            <v>Process Operator</v>
          </cell>
          <cell r="F55" t="str">
            <v>C1</v>
          </cell>
          <cell r="G55">
            <v>32582</v>
          </cell>
          <cell r="H55">
            <v>37</v>
          </cell>
          <cell r="I55" t="str">
            <v xml:space="preserve">35 - 39 ans </v>
          </cell>
          <cell r="J55">
            <v>42632</v>
          </cell>
          <cell r="K55">
            <v>9</v>
          </cell>
          <cell r="L55" t="str">
            <v>7 - 9 years</v>
          </cell>
          <cell r="M55" t="str">
            <v>Production</v>
          </cell>
          <cell r="N55" t="str">
            <v>Plant</v>
          </cell>
        </row>
        <row r="56">
          <cell r="A56" t="str">
            <v>70000069</v>
          </cell>
          <cell r="B56" t="str">
            <v>Gervais Bavibidila</v>
          </cell>
          <cell r="C56" t="str">
            <v>Male</v>
          </cell>
          <cell r="D56" t="str">
            <v>Congo</v>
          </cell>
          <cell r="E56" t="str">
            <v xml:space="preserve">Operator Support </v>
          </cell>
          <cell r="F56" t="str">
            <v>B2</v>
          </cell>
          <cell r="G56">
            <v>27917</v>
          </cell>
          <cell r="H56">
            <v>50</v>
          </cell>
          <cell r="I56" t="str">
            <v xml:space="preserve">50 - 54 ans </v>
          </cell>
          <cell r="J56">
            <v>42632</v>
          </cell>
          <cell r="K56">
            <v>9</v>
          </cell>
          <cell r="L56" t="str">
            <v>7 - 9 years</v>
          </cell>
          <cell r="M56" t="str">
            <v>Production</v>
          </cell>
          <cell r="N56" t="str">
            <v>Plant</v>
          </cell>
        </row>
        <row r="57">
          <cell r="A57" t="str">
            <v>70000070</v>
          </cell>
          <cell r="B57" t="str">
            <v>Eder Bitutu</v>
          </cell>
          <cell r="C57" t="str">
            <v>Male</v>
          </cell>
          <cell r="D57" t="str">
            <v>Congo</v>
          </cell>
          <cell r="E57" t="str">
            <v xml:space="preserve">Operator Support </v>
          </cell>
          <cell r="F57" t="str">
            <v>B2</v>
          </cell>
          <cell r="G57">
            <v>31105</v>
          </cell>
          <cell r="H57">
            <v>41</v>
          </cell>
          <cell r="I57" t="str">
            <v xml:space="preserve">40 - 44 ans </v>
          </cell>
          <cell r="J57">
            <v>42632</v>
          </cell>
          <cell r="K57">
            <v>9</v>
          </cell>
          <cell r="L57" t="str">
            <v>7 - 9 years</v>
          </cell>
          <cell r="M57" t="str">
            <v>Production</v>
          </cell>
          <cell r="N57" t="str">
            <v>Plant</v>
          </cell>
        </row>
        <row r="58">
          <cell r="A58" t="str">
            <v>70000072</v>
          </cell>
          <cell r="B58" t="str">
            <v>Noel Ndonga</v>
          </cell>
          <cell r="C58" t="str">
            <v>Male</v>
          </cell>
          <cell r="D58" t="str">
            <v>Congo</v>
          </cell>
          <cell r="E58" t="str">
            <v>Process Operator</v>
          </cell>
          <cell r="F58" t="str">
            <v>C1</v>
          </cell>
          <cell r="G58">
            <v>33232</v>
          </cell>
          <cell r="H58">
            <v>35</v>
          </cell>
          <cell r="I58" t="str">
            <v xml:space="preserve">35 - 39 ans </v>
          </cell>
          <cell r="J58">
            <v>42632</v>
          </cell>
          <cell r="K58">
            <v>9</v>
          </cell>
          <cell r="L58" t="str">
            <v>7 - 9 years</v>
          </cell>
          <cell r="M58" t="str">
            <v>Production</v>
          </cell>
          <cell r="N58" t="str">
            <v>Plant</v>
          </cell>
        </row>
        <row r="59">
          <cell r="A59" t="str">
            <v>70000076</v>
          </cell>
          <cell r="B59" t="str">
            <v>Erick Nlandu</v>
          </cell>
          <cell r="C59" t="str">
            <v>Male</v>
          </cell>
          <cell r="D59" t="str">
            <v>Congo</v>
          </cell>
          <cell r="E59" t="str">
            <v>Lab Analyst</v>
          </cell>
          <cell r="F59" t="str">
            <v>B5</v>
          </cell>
          <cell r="G59">
            <v>29763</v>
          </cell>
          <cell r="H59">
            <v>45</v>
          </cell>
          <cell r="I59" t="str">
            <v xml:space="preserve">45 - 49 ans </v>
          </cell>
          <cell r="J59">
            <v>42646</v>
          </cell>
          <cell r="K59">
            <v>9</v>
          </cell>
          <cell r="L59" t="str">
            <v>7 - 9 years</v>
          </cell>
          <cell r="M59" t="str">
            <v>Quality Assurance</v>
          </cell>
          <cell r="N59" t="str">
            <v>Plant</v>
          </cell>
        </row>
        <row r="60">
          <cell r="A60" t="str">
            <v>70000077</v>
          </cell>
          <cell r="B60" t="str">
            <v>Cadet Samba</v>
          </cell>
          <cell r="C60" t="str">
            <v>Male</v>
          </cell>
          <cell r="D60" t="str">
            <v>Congo</v>
          </cell>
          <cell r="E60" t="str">
            <v>Routine Tester</v>
          </cell>
          <cell r="F60" t="str">
            <v>B3</v>
          </cell>
          <cell r="G60">
            <v>33577</v>
          </cell>
          <cell r="H60">
            <v>34</v>
          </cell>
          <cell r="I60" t="str">
            <v xml:space="preserve">30 - 34 ans </v>
          </cell>
          <cell r="J60">
            <v>42646</v>
          </cell>
          <cell r="K60">
            <v>9</v>
          </cell>
          <cell r="L60" t="str">
            <v>7 - 9 years</v>
          </cell>
          <cell r="M60" t="str">
            <v>Quality Assurance</v>
          </cell>
          <cell r="N60" t="str">
            <v>Plant</v>
          </cell>
        </row>
        <row r="61">
          <cell r="A61" t="str">
            <v>70000078</v>
          </cell>
          <cell r="B61" t="str">
            <v>Nicha Batekisa</v>
          </cell>
          <cell r="C61" t="str">
            <v>Female</v>
          </cell>
          <cell r="D61" t="str">
            <v>Congo</v>
          </cell>
          <cell r="E61" t="str">
            <v>Customer Relationship Officer</v>
          </cell>
          <cell r="F61" t="str">
            <v>C2</v>
          </cell>
          <cell r="G61">
            <v>35405</v>
          </cell>
          <cell r="H61">
            <v>29</v>
          </cell>
          <cell r="I61" t="str">
            <v>25 - 29 ans</v>
          </cell>
          <cell r="J61">
            <v>42646</v>
          </cell>
          <cell r="K61">
            <v>9</v>
          </cell>
          <cell r="L61" t="str">
            <v>7 - 9 years</v>
          </cell>
          <cell r="M61" t="str">
            <v>Sales_CEC</v>
          </cell>
          <cell r="N61" t="str">
            <v>Kinshasa_Regions</v>
          </cell>
        </row>
        <row r="62">
          <cell r="A62" t="str">
            <v>70000079</v>
          </cell>
          <cell r="B62" t="str">
            <v>Dinandi Mvumbi</v>
          </cell>
          <cell r="C62" t="str">
            <v>Male</v>
          </cell>
          <cell r="D62" t="str">
            <v>Congo</v>
          </cell>
          <cell r="E62" t="str">
            <v>Boilermaker</v>
          </cell>
          <cell r="F62" t="str">
            <v>C2</v>
          </cell>
          <cell r="G62">
            <v>28178</v>
          </cell>
          <cell r="H62">
            <v>49</v>
          </cell>
          <cell r="I62" t="str">
            <v xml:space="preserve">45 - 49 ans </v>
          </cell>
          <cell r="J62">
            <v>42646</v>
          </cell>
          <cell r="K62">
            <v>9</v>
          </cell>
          <cell r="L62" t="str">
            <v>7 - 9 years</v>
          </cell>
          <cell r="M62" t="str">
            <v>Engineering</v>
          </cell>
          <cell r="N62" t="str">
            <v>Plant</v>
          </cell>
        </row>
        <row r="63">
          <cell r="A63" t="str">
            <v>70000080</v>
          </cell>
          <cell r="B63" t="str">
            <v>Nadege Nsilu</v>
          </cell>
          <cell r="C63" t="str">
            <v>Female</v>
          </cell>
          <cell r="D63" t="str">
            <v>Congo</v>
          </cell>
          <cell r="E63" t="str">
            <v>Physical Lab Tester</v>
          </cell>
          <cell r="F63" t="str">
            <v>B3</v>
          </cell>
          <cell r="G63">
            <v>32347</v>
          </cell>
          <cell r="H63">
            <v>38</v>
          </cell>
          <cell r="I63" t="str">
            <v xml:space="preserve">35 - 39 ans </v>
          </cell>
          <cell r="J63">
            <v>42646</v>
          </cell>
          <cell r="K63">
            <v>9</v>
          </cell>
          <cell r="L63" t="str">
            <v>7 - 9 years</v>
          </cell>
          <cell r="M63" t="str">
            <v>Quality Assurance</v>
          </cell>
          <cell r="N63" t="str">
            <v>Plant</v>
          </cell>
        </row>
        <row r="64">
          <cell r="A64" t="str">
            <v>70000081</v>
          </cell>
          <cell r="B64" t="str">
            <v>Bertin Tandu</v>
          </cell>
          <cell r="C64" t="str">
            <v>Male</v>
          </cell>
          <cell r="D64" t="str">
            <v>Congo</v>
          </cell>
          <cell r="E64" t="str">
            <v>Routine Tester</v>
          </cell>
          <cell r="F64" t="str">
            <v>B3</v>
          </cell>
          <cell r="G64">
            <v>28513</v>
          </cell>
          <cell r="H64">
            <v>48</v>
          </cell>
          <cell r="I64" t="str">
            <v xml:space="preserve">45 - 49 ans </v>
          </cell>
          <cell r="J64">
            <v>42646</v>
          </cell>
          <cell r="K64">
            <v>9</v>
          </cell>
          <cell r="L64" t="str">
            <v>7 - 9 years</v>
          </cell>
          <cell r="M64" t="str">
            <v>Quality Assurance</v>
          </cell>
          <cell r="N64" t="str">
            <v>Plant</v>
          </cell>
        </row>
        <row r="65">
          <cell r="A65" t="str">
            <v>70000082</v>
          </cell>
          <cell r="B65" t="str">
            <v>Edgard Finkidi</v>
          </cell>
          <cell r="C65" t="str">
            <v>Male</v>
          </cell>
          <cell r="D65" t="str">
            <v>Congo</v>
          </cell>
          <cell r="E65" t="str">
            <v>Routine Tester</v>
          </cell>
          <cell r="F65" t="str">
            <v>B3</v>
          </cell>
          <cell r="G65">
            <v>30794</v>
          </cell>
          <cell r="H65">
            <v>42</v>
          </cell>
          <cell r="I65" t="str">
            <v xml:space="preserve">40 - 44 ans </v>
          </cell>
          <cell r="J65">
            <v>42646</v>
          </cell>
          <cell r="K65">
            <v>9</v>
          </cell>
          <cell r="L65" t="str">
            <v>7 - 9 years</v>
          </cell>
          <cell r="M65" t="str">
            <v>Quality Assurance</v>
          </cell>
          <cell r="N65" t="str">
            <v>Plant</v>
          </cell>
        </row>
        <row r="66">
          <cell r="A66" t="str">
            <v>70000083</v>
          </cell>
          <cell r="B66" t="str">
            <v>Moise Musako</v>
          </cell>
          <cell r="C66" t="str">
            <v>Male</v>
          </cell>
          <cell r="D66" t="str">
            <v>Congo</v>
          </cell>
          <cell r="E66" t="str">
            <v>QA Chemist</v>
          </cell>
          <cell r="F66" t="str">
            <v>C3</v>
          </cell>
          <cell r="G66">
            <v>31958</v>
          </cell>
          <cell r="H66">
            <v>39</v>
          </cell>
          <cell r="I66" t="str">
            <v xml:space="preserve">35 - 39 ans </v>
          </cell>
          <cell r="J66">
            <v>42646</v>
          </cell>
          <cell r="K66">
            <v>9</v>
          </cell>
          <cell r="L66" t="str">
            <v>7 - 9 years</v>
          </cell>
          <cell r="M66" t="str">
            <v>Quality Assurance</v>
          </cell>
          <cell r="N66" t="str">
            <v>Plant</v>
          </cell>
        </row>
        <row r="67">
          <cell r="A67" t="str">
            <v>70000084</v>
          </cell>
          <cell r="B67" t="str">
            <v>Delvis Mvilambi</v>
          </cell>
          <cell r="C67" t="str">
            <v>Male</v>
          </cell>
          <cell r="D67" t="str">
            <v>Congo</v>
          </cell>
          <cell r="E67" t="str">
            <v>Routine Tester</v>
          </cell>
          <cell r="F67" t="str">
            <v>B3</v>
          </cell>
          <cell r="G67">
            <v>34125</v>
          </cell>
          <cell r="H67">
            <v>33</v>
          </cell>
          <cell r="I67" t="str">
            <v xml:space="preserve">30 - 34 ans </v>
          </cell>
          <cell r="J67">
            <v>42646</v>
          </cell>
          <cell r="K67">
            <v>9</v>
          </cell>
          <cell r="L67" t="str">
            <v>7 - 9 years</v>
          </cell>
          <cell r="M67" t="str">
            <v>Quality Assurance</v>
          </cell>
          <cell r="N67" t="str">
            <v>Plant</v>
          </cell>
        </row>
        <row r="68">
          <cell r="A68" t="str">
            <v>70000085</v>
          </cell>
          <cell r="B68" t="str">
            <v>Boniface Ekwalanga</v>
          </cell>
          <cell r="C68" t="str">
            <v>Male</v>
          </cell>
          <cell r="D68" t="str">
            <v>Congo</v>
          </cell>
          <cell r="E68" t="str">
            <v>Financial Controller</v>
          </cell>
          <cell r="F68" t="str">
            <v>D4</v>
          </cell>
          <cell r="G68">
            <v>32706</v>
          </cell>
          <cell r="H68">
            <v>37</v>
          </cell>
          <cell r="I68" t="str">
            <v xml:space="preserve">35 - 39 ans </v>
          </cell>
          <cell r="J68">
            <v>42646</v>
          </cell>
          <cell r="K68">
            <v>9</v>
          </cell>
          <cell r="L68" t="str">
            <v>7 - 9 years</v>
          </cell>
          <cell r="M68" t="str">
            <v>Finance</v>
          </cell>
          <cell r="N68" t="str">
            <v>Kinshasa_Regions</v>
          </cell>
        </row>
        <row r="69">
          <cell r="A69" t="str">
            <v>70000087</v>
          </cell>
          <cell r="B69" t="str">
            <v>Ziwanuka Kiangebeni</v>
          </cell>
          <cell r="C69" t="str">
            <v>Female</v>
          </cell>
          <cell r="D69" t="str">
            <v>Congo</v>
          </cell>
          <cell r="E69" t="str">
            <v>Planning Administrator</v>
          </cell>
          <cell r="F69" t="str">
            <v>B4</v>
          </cell>
          <cell r="G69">
            <v>30793</v>
          </cell>
          <cell r="H69">
            <v>42</v>
          </cell>
          <cell r="I69" t="str">
            <v xml:space="preserve">40 - 44 ans </v>
          </cell>
          <cell r="J69">
            <v>42653</v>
          </cell>
          <cell r="K69">
            <v>9</v>
          </cell>
          <cell r="L69" t="str">
            <v>7 - 9 years</v>
          </cell>
          <cell r="M69" t="str">
            <v>Engineering</v>
          </cell>
          <cell r="N69" t="str">
            <v>Plant</v>
          </cell>
        </row>
        <row r="70">
          <cell r="A70" t="str">
            <v>70000088</v>
          </cell>
          <cell r="B70" t="str">
            <v>Ovie Tulomba</v>
          </cell>
          <cell r="C70" t="str">
            <v>Male</v>
          </cell>
          <cell r="D70" t="str">
            <v>The Democratic Republic of the Congo</v>
          </cell>
          <cell r="E70" t="str">
            <v xml:space="preserve">Electrician </v>
          </cell>
          <cell r="F70" t="str">
            <v>C2</v>
          </cell>
          <cell r="G70">
            <v>33297</v>
          </cell>
          <cell r="H70">
            <v>35</v>
          </cell>
          <cell r="I70" t="str">
            <v xml:space="preserve">35 - 39 ans </v>
          </cell>
          <cell r="J70">
            <v>42653</v>
          </cell>
          <cell r="K70">
            <v>9</v>
          </cell>
          <cell r="L70" t="str">
            <v>7 - 9 years</v>
          </cell>
          <cell r="M70" t="str">
            <v>Engineering</v>
          </cell>
          <cell r="N70" t="str">
            <v>Plant</v>
          </cell>
        </row>
        <row r="71">
          <cell r="A71" t="str">
            <v>70000091</v>
          </cell>
          <cell r="B71" t="str">
            <v>Marcel Ngoyi</v>
          </cell>
          <cell r="C71" t="str">
            <v>Male</v>
          </cell>
          <cell r="D71" t="str">
            <v>Congo</v>
          </cell>
          <cell r="E71" t="str">
            <v>Electrical Foreman</v>
          </cell>
          <cell r="F71" t="str">
            <v>C4</v>
          </cell>
          <cell r="G71">
            <v>27307</v>
          </cell>
          <cell r="H71">
            <v>51</v>
          </cell>
          <cell r="I71" t="str">
            <v xml:space="preserve">50 - 54 ans </v>
          </cell>
          <cell r="J71">
            <v>42660</v>
          </cell>
          <cell r="K71">
            <v>9</v>
          </cell>
          <cell r="L71" t="str">
            <v>7 - 9 years</v>
          </cell>
          <cell r="M71" t="str">
            <v>Engineering</v>
          </cell>
          <cell r="N71" t="str">
            <v>Plant</v>
          </cell>
        </row>
        <row r="72">
          <cell r="A72" t="str">
            <v>70000093</v>
          </cell>
          <cell r="B72" t="str">
            <v>Andre Mbangi</v>
          </cell>
          <cell r="C72" t="str">
            <v>Male</v>
          </cell>
          <cell r="D72" t="str">
            <v>Congo</v>
          </cell>
          <cell r="E72" t="str">
            <v>Handyman Electrical</v>
          </cell>
          <cell r="F72" t="str">
            <v>B2</v>
          </cell>
          <cell r="G72">
            <v>25543</v>
          </cell>
          <cell r="H72">
            <v>56</v>
          </cell>
          <cell r="I72" t="str">
            <v>&gt;55</v>
          </cell>
          <cell r="J72">
            <v>42660</v>
          </cell>
          <cell r="K72">
            <v>9</v>
          </cell>
          <cell r="L72" t="str">
            <v>7 - 9 years</v>
          </cell>
          <cell r="M72" t="str">
            <v>Engineering</v>
          </cell>
          <cell r="N72" t="str">
            <v>Plant</v>
          </cell>
        </row>
        <row r="73">
          <cell r="A73" t="str">
            <v>70000094</v>
          </cell>
          <cell r="B73" t="str">
            <v>Ben Paulin Kadima</v>
          </cell>
          <cell r="C73" t="str">
            <v>Male</v>
          </cell>
          <cell r="D73" t="str">
            <v>Congo</v>
          </cell>
          <cell r="E73" t="str">
            <v>Senior Regional Sales Consultant</v>
          </cell>
          <cell r="F73" t="str">
            <v>C5</v>
          </cell>
          <cell r="G73">
            <v>31638</v>
          </cell>
          <cell r="H73">
            <v>39</v>
          </cell>
          <cell r="I73" t="str">
            <v xml:space="preserve">35 - 39 ans </v>
          </cell>
          <cell r="J73">
            <v>42662</v>
          </cell>
          <cell r="K73">
            <v>9</v>
          </cell>
          <cell r="L73" t="str">
            <v>7 - 9 years</v>
          </cell>
          <cell r="M73" t="str">
            <v>Sales_CEC</v>
          </cell>
          <cell r="N73" t="str">
            <v>Kinshasa_Regions</v>
          </cell>
        </row>
        <row r="74">
          <cell r="A74" t="str">
            <v>70000096</v>
          </cell>
          <cell r="B74" t="str">
            <v>Osee Lukuayi</v>
          </cell>
          <cell r="C74" t="str">
            <v>Male</v>
          </cell>
          <cell r="D74" t="str">
            <v>Congo</v>
          </cell>
          <cell r="E74" t="str">
            <v xml:space="preserve">Operator Support </v>
          </cell>
          <cell r="F74" t="str">
            <v>B1</v>
          </cell>
          <cell r="G74">
            <v>34280</v>
          </cell>
          <cell r="H74">
            <v>32</v>
          </cell>
          <cell r="I74" t="str">
            <v xml:space="preserve">30 - 34 ans </v>
          </cell>
          <cell r="J74">
            <v>42679</v>
          </cell>
          <cell r="K74">
            <v>9</v>
          </cell>
          <cell r="L74" t="str">
            <v>7 - 9 years</v>
          </cell>
          <cell r="M74" t="str">
            <v>Production</v>
          </cell>
          <cell r="N74" t="str">
            <v>Plant</v>
          </cell>
        </row>
        <row r="75">
          <cell r="A75" t="str">
            <v>70000099</v>
          </cell>
          <cell r="B75" t="str">
            <v>Pamphil Luzayadio</v>
          </cell>
          <cell r="C75" t="str">
            <v>Male</v>
          </cell>
          <cell r="D75" t="str">
            <v>Congo</v>
          </cell>
          <cell r="E75" t="str">
            <v>Production Mobile Equipment Operator</v>
          </cell>
          <cell r="F75" t="str">
            <v>B1</v>
          </cell>
          <cell r="G75">
            <v>26447</v>
          </cell>
          <cell r="H75">
            <v>54</v>
          </cell>
          <cell r="I75" t="str">
            <v xml:space="preserve">50 - 54 ans </v>
          </cell>
          <cell r="J75">
            <v>42679</v>
          </cell>
          <cell r="K75">
            <v>9</v>
          </cell>
          <cell r="L75" t="str">
            <v>7 - 9 years</v>
          </cell>
          <cell r="M75" t="str">
            <v>Production</v>
          </cell>
          <cell r="N75" t="str">
            <v>Plant</v>
          </cell>
        </row>
        <row r="76">
          <cell r="A76" t="str">
            <v>70000100</v>
          </cell>
          <cell r="B76" t="str">
            <v>Joseph Lufua</v>
          </cell>
          <cell r="C76" t="str">
            <v>Male</v>
          </cell>
          <cell r="D76" t="str">
            <v>Congo</v>
          </cell>
          <cell r="E76" t="str">
            <v>Senior Sales Consultant Tshangu</v>
          </cell>
          <cell r="F76" t="str">
            <v>C4</v>
          </cell>
          <cell r="G76">
            <v>27917</v>
          </cell>
          <cell r="H76">
            <v>50</v>
          </cell>
          <cell r="I76" t="str">
            <v xml:space="preserve">50 - 54 ans </v>
          </cell>
          <cell r="J76">
            <v>42679</v>
          </cell>
          <cell r="K76">
            <v>9</v>
          </cell>
          <cell r="L76" t="str">
            <v>7 - 9 years</v>
          </cell>
          <cell r="M76" t="str">
            <v>Sales_CEC</v>
          </cell>
          <cell r="N76" t="str">
            <v>Kinshasa_Regions</v>
          </cell>
        </row>
        <row r="77">
          <cell r="A77" t="str">
            <v>70000101</v>
          </cell>
          <cell r="B77" t="str">
            <v>Mirtha Luzayadio</v>
          </cell>
          <cell r="C77" t="str">
            <v>Female</v>
          </cell>
          <cell r="D77" t="str">
            <v>Congo</v>
          </cell>
          <cell r="E77" t="str">
            <v>Invoice Verification Clerk</v>
          </cell>
          <cell r="F77" t="str">
            <v>B4</v>
          </cell>
          <cell r="G77">
            <v>30130</v>
          </cell>
          <cell r="H77">
            <v>44</v>
          </cell>
          <cell r="I77" t="str">
            <v xml:space="preserve">40 - 44 ans </v>
          </cell>
          <cell r="J77">
            <v>42679</v>
          </cell>
          <cell r="K77">
            <v>9</v>
          </cell>
          <cell r="L77" t="str">
            <v>7 - 9 years</v>
          </cell>
          <cell r="M77" t="str">
            <v>Finance</v>
          </cell>
          <cell r="N77" t="str">
            <v>Plant</v>
          </cell>
        </row>
        <row r="78">
          <cell r="A78" t="str">
            <v>70000104</v>
          </cell>
          <cell r="B78" t="str">
            <v>Dieu Ngoma</v>
          </cell>
          <cell r="C78" t="str">
            <v>Male</v>
          </cell>
          <cell r="D78" t="str">
            <v>Congo</v>
          </cell>
          <cell r="E78" t="str">
            <v>Lead Fitter</v>
          </cell>
          <cell r="F78" t="str">
            <v>C3</v>
          </cell>
          <cell r="G78">
            <v>32600</v>
          </cell>
          <cell r="H78">
            <v>37</v>
          </cell>
          <cell r="I78" t="str">
            <v xml:space="preserve">35 - 39 ans </v>
          </cell>
          <cell r="J78">
            <v>42679</v>
          </cell>
          <cell r="K78">
            <v>9</v>
          </cell>
          <cell r="L78" t="str">
            <v>7 - 9 years</v>
          </cell>
          <cell r="M78" t="str">
            <v>Engineering</v>
          </cell>
          <cell r="N78" t="str">
            <v>Plant</v>
          </cell>
        </row>
        <row r="79">
          <cell r="A79" t="str">
            <v>70000107</v>
          </cell>
          <cell r="B79" t="str">
            <v>Karine Mvutu</v>
          </cell>
          <cell r="C79" t="str">
            <v>Female</v>
          </cell>
          <cell r="D79" t="str">
            <v>Congo</v>
          </cell>
          <cell r="E79" t="str">
            <v>OH Nurse</v>
          </cell>
          <cell r="F79" t="str">
            <v>C2</v>
          </cell>
          <cell r="G79">
            <v>31105</v>
          </cell>
          <cell r="H79">
            <v>41</v>
          </cell>
          <cell r="I79" t="str">
            <v xml:space="preserve">40 - 44 ans </v>
          </cell>
          <cell r="J79">
            <v>42690</v>
          </cell>
          <cell r="K79">
            <v>9</v>
          </cell>
          <cell r="L79" t="str">
            <v>7 - 9 years</v>
          </cell>
          <cell r="M79" t="str">
            <v>HR</v>
          </cell>
          <cell r="N79" t="str">
            <v>Plant</v>
          </cell>
        </row>
        <row r="80">
          <cell r="A80" t="str">
            <v>70000109</v>
          </cell>
          <cell r="B80" t="str">
            <v>Fred Moleka</v>
          </cell>
          <cell r="C80" t="str">
            <v>Male</v>
          </cell>
          <cell r="D80" t="str">
            <v>Congo - Democratic Republic Zaire</v>
          </cell>
          <cell r="E80" t="str">
            <v>Mechanical Foreman</v>
          </cell>
          <cell r="F80" t="str">
            <v>C4</v>
          </cell>
          <cell r="G80">
            <v>33072</v>
          </cell>
          <cell r="H80">
            <v>36</v>
          </cell>
          <cell r="I80" t="str">
            <v xml:space="preserve">35 - 39 ans </v>
          </cell>
          <cell r="J80">
            <v>42711</v>
          </cell>
          <cell r="K80">
            <v>9</v>
          </cell>
          <cell r="L80" t="str">
            <v>7 - 9 years</v>
          </cell>
          <cell r="M80" t="str">
            <v>Engineering</v>
          </cell>
          <cell r="N80" t="str">
            <v>Plant</v>
          </cell>
        </row>
        <row r="81">
          <cell r="A81" t="str">
            <v>70000110</v>
          </cell>
          <cell r="B81" t="str">
            <v>Glody Ngoma</v>
          </cell>
          <cell r="C81" t="str">
            <v>Male</v>
          </cell>
          <cell r="D81" t="str">
            <v>The Democratic Republic of the Congo</v>
          </cell>
          <cell r="E81" t="str">
            <v>Transport Optimisation Manager</v>
          </cell>
          <cell r="F81" t="str">
            <v>D2</v>
          </cell>
          <cell r="G81">
            <v>32373</v>
          </cell>
          <cell r="H81">
            <v>37</v>
          </cell>
          <cell r="I81" t="str">
            <v xml:space="preserve">35 - 39 ans </v>
          </cell>
          <cell r="J81">
            <v>42711</v>
          </cell>
          <cell r="K81">
            <v>9</v>
          </cell>
          <cell r="L81" t="str">
            <v>7 - 9 years</v>
          </cell>
          <cell r="M81" t="str">
            <v>Sales_CEC</v>
          </cell>
          <cell r="N81" t="str">
            <v>Kinshasa_Regions</v>
          </cell>
        </row>
        <row r="82">
          <cell r="A82" t="str">
            <v>70000111</v>
          </cell>
          <cell r="B82" t="str">
            <v>Joseph Mananga</v>
          </cell>
          <cell r="C82" t="str">
            <v>Male</v>
          </cell>
          <cell r="D82" t="str">
            <v>Congo</v>
          </cell>
          <cell r="E82" t="str">
            <v>CEC Officer</v>
          </cell>
          <cell r="F82" t="str">
            <v>C1</v>
          </cell>
          <cell r="G82">
            <v>28924</v>
          </cell>
          <cell r="H82">
            <v>47</v>
          </cell>
          <cell r="I82" t="str">
            <v xml:space="preserve">45 - 49 ans </v>
          </cell>
          <cell r="J82">
            <v>42711</v>
          </cell>
          <cell r="K82">
            <v>9</v>
          </cell>
          <cell r="L82" t="str">
            <v>7 - 9 years</v>
          </cell>
          <cell r="M82" t="str">
            <v>Sales_CEC</v>
          </cell>
          <cell r="N82" t="str">
            <v>Plant</v>
          </cell>
        </row>
        <row r="83">
          <cell r="A83" t="str">
            <v>70000112</v>
          </cell>
          <cell r="B83" t="str">
            <v>Joel Adhule</v>
          </cell>
          <cell r="C83" t="str">
            <v>Male</v>
          </cell>
          <cell r="D83" t="str">
            <v>Congo</v>
          </cell>
          <cell r="E83" t="str">
            <v>Safety Manager</v>
          </cell>
          <cell r="F83" t="str">
            <v>D2</v>
          </cell>
          <cell r="G83">
            <v>30328</v>
          </cell>
          <cell r="H83">
            <v>43</v>
          </cell>
          <cell r="I83" t="str">
            <v xml:space="preserve">40 - 44 ans </v>
          </cell>
          <cell r="J83">
            <v>42711</v>
          </cell>
          <cell r="K83">
            <v>9</v>
          </cell>
          <cell r="L83" t="str">
            <v>7 - 9 years</v>
          </cell>
          <cell r="M83" t="str">
            <v>SHE</v>
          </cell>
          <cell r="N83" t="str">
            <v>Plant</v>
          </cell>
        </row>
        <row r="84">
          <cell r="A84" t="str">
            <v>70000115</v>
          </cell>
          <cell r="B84" t="str">
            <v>Lundi Onosamba</v>
          </cell>
          <cell r="C84" t="str">
            <v>Male</v>
          </cell>
          <cell r="D84" t="str">
            <v>Congo</v>
          </cell>
          <cell r="E84" t="str">
            <v>Fitter &amp; Turner</v>
          </cell>
          <cell r="F84" t="str">
            <v>C2</v>
          </cell>
          <cell r="G84">
            <v>28210</v>
          </cell>
          <cell r="H84">
            <v>49</v>
          </cell>
          <cell r="I84" t="str">
            <v xml:space="preserve">45 - 49 ans </v>
          </cell>
          <cell r="J84">
            <v>42786</v>
          </cell>
          <cell r="K84">
            <v>9</v>
          </cell>
          <cell r="L84" t="str">
            <v>7 - 9 years</v>
          </cell>
          <cell r="M84" t="str">
            <v>Engineering</v>
          </cell>
          <cell r="N84" t="str">
            <v>Plant</v>
          </cell>
        </row>
        <row r="85">
          <cell r="A85" t="str">
            <v>70000116</v>
          </cell>
          <cell r="B85" t="str">
            <v>Antoine Nzungu</v>
          </cell>
          <cell r="C85" t="str">
            <v>Male</v>
          </cell>
          <cell r="D85" t="str">
            <v>Congo</v>
          </cell>
          <cell r="E85" t="str">
            <v>Boilermaker</v>
          </cell>
          <cell r="F85" t="str">
            <v>C2</v>
          </cell>
          <cell r="G85">
            <v>30546</v>
          </cell>
          <cell r="H85">
            <v>42</v>
          </cell>
          <cell r="I85" t="str">
            <v xml:space="preserve">40 - 44 ans </v>
          </cell>
          <cell r="J85">
            <v>42788</v>
          </cell>
          <cell r="K85">
            <v>9</v>
          </cell>
          <cell r="L85" t="str">
            <v>7 - 9 years</v>
          </cell>
          <cell r="M85" t="str">
            <v>Engineering</v>
          </cell>
          <cell r="N85" t="str">
            <v>Plant</v>
          </cell>
        </row>
        <row r="86">
          <cell r="A86" t="str">
            <v>70000117</v>
          </cell>
          <cell r="B86" t="str">
            <v>Dheins Nseka</v>
          </cell>
          <cell r="C86" t="str">
            <v>Male</v>
          </cell>
          <cell r="D86" t="str">
            <v>The Democratic Republic of the Congo</v>
          </cell>
          <cell r="E86" t="str">
            <v>Senior Regional Sales Consultant Distribution &amp; Wholesale</v>
          </cell>
          <cell r="F86" t="str">
            <v>C5</v>
          </cell>
          <cell r="G86">
            <v>28560</v>
          </cell>
          <cell r="H86">
            <v>48</v>
          </cell>
          <cell r="I86" t="str">
            <v xml:space="preserve">45 - 49 ans </v>
          </cell>
          <cell r="J86">
            <v>42800</v>
          </cell>
          <cell r="K86">
            <v>9</v>
          </cell>
          <cell r="L86" t="str">
            <v>7 - 9 years</v>
          </cell>
          <cell r="M86" t="str">
            <v>Sales_CEC</v>
          </cell>
          <cell r="N86" t="str">
            <v>Kinshasa_Regions</v>
          </cell>
        </row>
        <row r="87">
          <cell r="A87" t="str">
            <v>70000118</v>
          </cell>
          <cell r="B87" t="str">
            <v>Clementine Kaboto</v>
          </cell>
          <cell r="C87" t="str">
            <v>Female</v>
          </cell>
          <cell r="D87" t="str">
            <v>Congo</v>
          </cell>
          <cell r="E87" t="str">
            <v>Creditor Controler</v>
          </cell>
          <cell r="F87" t="str">
            <v>C3</v>
          </cell>
          <cell r="G87">
            <v>30115</v>
          </cell>
          <cell r="H87">
            <v>44</v>
          </cell>
          <cell r="I87" t="str">
            <v xml:space="preserve">40 - 44 ans </v>
          </cell>
          <cell r="J87">
            <v>42858</v>
          </cell>
          <cell r="K87">
            <v>9</v>
          </cell>
          <cell r="L87" t="str">
            <v>7 - 9 years</v>
          </cell>
          <cell r="M87" t="str">
            <v>Finance</v>
          </cell>
          <cell r="N87" t="str">
            <v>Kinshasa_Regions</v>
          </cell>
        </row>
        <row r="88">
          <cell r="A88" t="str">
            <v>70000130</v>
          </cell>
          <cell r="B88" t="str">
            <v>Honore Luinda</v>
          </cell>
          <cell r="C88" t="str">
            <v>Male</v>
          </cell>
          <cell r="D88" t="str">
            <v>Congo</v>
          </cell>
          <cell r="E88" t="str">
            <v>Driver</v>
          </cell>
          <cell r="F88" t="str">
            <v>B2</v>
          </cell>
          <cell r="G88">
            <v>26862</v>
          </cell>
          <cell r="H88">
            <v>53</v>
          </cell>
          <cell r="I88" t="str">
            <v xml:space="preserve">50 - 54 ans </v>
          </cell>
          <cell r="J88">
            <v>43190</v>
          </cell>
          <cell r="K88">
            <v>8</v>
          </cell>
          <cell r="L88" t="str">
            <v>7 - 9 years</v>
          </cell>
          <cell r="M88" t="str">
            <v>HR</v>
          </cell>
          <cell r="N88" t="str">
            <v>Kinshasa_Regions</v>
          </cell>
        </row>
        <row r="89">
          <cell r="A89" t="str">
            <v>70000134</v>
          </cell>
          <cell r="B89" t="str">
            <v>Emmanuel Kamungoma</v>
          </cell>
          <cell r="C89" t="str">
            <v>Male</v>
          </cell>
          <cell r="D89" t="str">
            <v>Congo</v>
          </cell>
          <cell r="E89" t="str">
            <v>Customer Relationship Officer</v>
          </cell>
          <cell r="F89" t="str">
            <v>C2</v>
          </cell>
          <cell r="G89">
            <v>32874</v>
          </cell>
          <cell r="H89">
            <v>36</v>
          </cell>
          <cell r="I89" t="str">
            <v xml:space="preserve">35 - 39 ans </v>
          </cell>
          <cell r="J89">
            <v>43283</v>
          </cell>
          <cell r="K89">
            <v>8</v>
          </cell>
          <cell r="L89" t="str">
            <v>7 - 9 years</v>
          </cell>
          <cell r="M89" t="str">
            <v>Sales_CEC</v>
          </cell>
          <cell r="N89" t="str">
            <v>Kinshasa_Regions</v>
          </cell>
        </row>
        <row r="90">
          <cell r="A90" t="str">
            <v>70000135</v>
          </cell>
          <cell r="B90" t="str">
            <v>Cedric Muzadi</v>
          </cell>
          <cell r="C90" t="str">
            <v>Male</v>
          </cell>
          <cell r="D90" t="str">
            <v>Congo</v>
          </cell>
          <cell r="E90" t="str">
            <v>Head of Finance and IT</v>
          </cell>
          <cell r="F90" t="str">
            <v>E2</v>
          </cell>
          <cell r="G90">
            <v>30077</v>
          </cell>
          <cell r="H90">
            <v>44</v>
          </cell>
          <cell r="I90" t="str">
            <v xml:space="preserve">40 - 44 ans </v>
          </cell>
          <cell r="J90">
            <v>43313</v>
          </cell>
          <cell r="K90">
            <v>7</v>
          </cell>
          <cell r="L90" t="str">
            <v>7 - 9 years</v>
          </cell>
          <cell r="M90" t="str">
            <v>Finance</v>
          </cell>
          <cell r="N90" t="str">
            <v>Kinshasa_Regions</v>
          </cell>
        </row>
        <row r="91">
          <cell r="A91" t="str">
            <v>70000137</v>
          </cell>
          <cell r="B91" t="str">
            <v>Emmanuel Lisangola</v>
          </cell>
          <cell r="C91" t="str">
            <v>Male</v>
          </cell>
          <cell r="D91" t="str">
            <v>Congo</v>
          </cell>
          <cell r="E91" t="str">
            <v>Warehouse  Administrator</v>
          </cell>
          <cell r="F91" t="str">
            <v>C5</v>
          </cell>
          <cell r="G91">
            <v>31303</v>
          </cell>
          <cell r="H91">
            <v>40</v>
          </cell>
          <cell r="I91" t="str">
            <v xml:space="preserve">40 - 44 ans </v>
          </cell>
          <cell r="J91">
            <v>43374</v>
          </cell>
          <cell r="K91">
            <v>7</v>
          </cell>
          <cell r="L91" t="str">
            <v>7 - 9 years</v>
          </cell>
          <cell r="M91" t="str">
            <v>Logistic</v>
          </cell>
          <cell r="N91" t="str">
            <v>Plant</v>
          </cell>
        </row>
        <row r="92">
          <cell r="A92" t="str">
            <v>70000139</v>
          </cell>
          <cell r="B92" t="str">
            <v>Junior Kasongo</v>
          </cell>
          <cell r="C92" t="str">
            <v>Male</v>
          </cell>
          <cell r="D92" t="str">
            <v>Congo</v>
          </cell>
          <cell r="E92" t="str">
            <v>Senior Sales Consultant IHB Segment</v>
          </cell>
          <cell r="F92" t="str">
            <v>C4</v>
          </cell>
          <cell r="G92">
            <v>30898</v>
          </cell>
          <cell r="H92">
            <v>41</v>
          </cell>
          <cell r="I92" t="str">
            <v xml:space="preserve">40 - 44 ans </v>
          </cell>
          <cell r="J92">
            <v>43360</v>
          </cell>
          <cell r="K92">
            <v>7</v>
          </cell>
          <cell r="L92" t="str">
            <v>7 - 9 years</v>
          </cell>
          <cell r="M92" t="str">
            <v>Sales_CEC</v>
          </cell>
          <cell r="N92" t="str">
            <v>Kinshasa_Regions</v>
          </cell>
        </row>
        <row r="93">
          <cell r="A93" t="str">
            <v>70000144</v>
          </cell>
          <cell r="B93" t="str">
            <v>Paul Tsasa</v>
          </cell>
          <cell r="C93" t="str">
            <v>Male</v>
          </cell>
          <cell r="D93" t="str">
            <v>Congo</v>
          </cell>
          <cell r="E93" t="str">
            <v>Senior Regional Sales Consultant</v>
          </cell>
          <cell r="F93" t="str">
            <v>C5</v>
          </cell>
          <cell r="G93">
            <v>32435</v>
          </cell>
          <cell r="H93">
            <v>37</v>
          </cell>
          <cell r="I93" t="str">
            <v xml:space="preserve">35 - 39 ans </v>
          </cell>
          <cell r="J93">
            <v>43570</v>
          </cell>
          <cell r="K93">
            <v>7</v>
          </cell>
          <cell r="L93" t="str">
            <v>7 - 9 years</v>
          </cell>
          <cell r="M93" t="str">
            <v>Sales_CEC</v>
          </cell>
          <cell r="N93" t="str">
            <v>Kinshasa_Regions</v>
          </cell>
        </row>
        <row r="94">
          <cell r="A94" t="str">
            <v>70000152</v>
          </cell>
          <cell r="B94" t="str">
            <v>Francis Phuati</v>
          </cell>
          <cell r="C94" t="str">
            <v>Male</v>
          </cell>
          <cell r="D94" t="str">
            <v>Congo</v>
          </cell>
          <cell r="E94" t="str">
            <v>Financial Accountant</v>
          </cell>
          <cell r="F94" t="str">
            <v>C4</v>
          </cell>
          <cell r="G94">
            <v>33329</v>
          </cell>
          <cell r="H94">
            <v>35</v>
          </cell>
          <cell r="I94" t="str">
            <v xml:space="preserve">35 - 39 ans </v>
          </cell>
          <cell r="J94">
            <v>43647</v>
          </cell>
          <cell r="K94">
            <v>7</v>
          </cell>
          <cell r="L94" t="str">
            <v>7 - 9 years</v>
          </cell>
          <cell r="M94" t="str">
            <v>Finance</v>
          </cell>
          <cell r="N94" t="str">
            <v>Kinshasa_Regions</v>
          </cell>
        </row>
        <row r="95">
          <cell r="A95" t="str">
            <v>70000155</v>
          </cell>
          <cell r="B95" t="str">
            <v>Hornel Kinsomona</v>
          </cell>
          <cell r="C95" t="str">
            <v>Female</v>
          </cell>
          <cell r="D95" t="str">
            <v>Congo</v>
          </cell>
          <cell r="E95" t="str">
            <v>Customer Relationship Clerk</v>
          </cell>
          <cell r="F95" t="str">
            <v>C2</v>
          </cell>
          <cell r="G95">
            <v>34084</v>
          </cell>
          <cell r="H95">
            <v>33</v>
          </cell>
          <cell r="I95" t="str">
            <v xml:space="preserve">30 - 34 ans </v>
          </cell>
          <cell r="J95">
            <v>43711</v>
          </cell>
          <cell r="K95">
            <v>6</v>
          </cell>
          <cell r="L95" t="str">
            <v>4 - 6 years</v>
          </cell>
          <cell r="M95" t="str">
            <v>Sales_CEC</v>
          </cell>
          <cell r="N95" t="str">
            <v>Plant</v>
          </cell>
        </row>
        <row r="96">
          <cell r="A96" t="str">
            <v>70000157</v>
          </cell>
          <cell r="B96" t="str">
            <v>Nalik Alimasi</v>
          </cell>
          <cell r="C96" t="str">
            <v>Male</v>
          </cell>
          <cell r="D96" t="str">
            <v>Congo</v>
          </cell>
          <cell r="E96" t="str">
            <v>Sales Consultant Mont Amba</v>
          </cell>
          <cell r="F96" t="str">
            <v>C2</v>
          </cell>
          <cell r="G96">
            <v>32229</v>
          </cell>
          <cell r="H96">
            <v>38</v>
          </cell>
          <cell r="I96" t="str">
            <v xml:space="preserve">35 - 39 ans </v>
          </cell>
          <cell r="J96">
            <v>43748</v>
          </cell>
          <cell r="K96">
            <v>6</v>
          </cell>
          <cell r="L96" t="str">
            <v>4 - 6 years</v>
          </cell>
          <cell r="M96" t="str">
            <v>Sales_CEC</v>
          </cell>
          <cell r="N96" t="str">
            <v>Kinshasa_Regions</v>
          </cell>
        </row>
        <row r="97">
          <cell r="A97" t="str">
            <v>70000159</v>
          </cell>
          <cell r="B97" t="str">
            <v>DENIS DIAMATONDO</v>
          </cell>
          <cell r="C97" t="str">
            <v>Male</v>
          </cell>
          <cell r="D97" t="str">
            <v>The Democratic Republic of the Congo</v>
          </cell>
          <cell r="E97" t="str">
            <v>Shipping Coordinator</v>
          </cell>
          <cell r="F97" t="str">
            <v>C3</v>
          </cell>
          <cell r="G97">
            <v>27164</v>
          </cell>
          <cell r="H97">
            <v>52</v>
          </cell>
          <cell r="I97" t="str">
            <v xml:space="preserve">50 - 54 ans </v>
          </cell>
          <cell r="J97">
            <v>43831</v>
          </cell>
          <cell r="K97">
            <v>6</v>
          </cell>
          <cell r="L97" t="str">
            <v>4 - 6 years</v>
          </cell>
          <cell r="M97" t="str">
            <v>Transport and Transit</v>
          </cell>
          <cell r="N97" t="str">
            <v>Kinshasa_Regions</v>
          </cell>
        </row>
        <row r="98">
          <cell r="A98" t="str">
            <v>70000164</v>
          </cell>
          <cell r="B98" t="str">
            <v>SEBASTIEN MALU</v>
          </cell>
          <cell r="C98" t="str">
            <v>Male</v>
          </cell>
          <cell r="D98" t="str">
            <v>The Democratic Republic of the Congo</v>
          </cell>
          <cell r="E98" t="str">
            <v>Customer Service Clerk</v>
          </cell>
          <cell r="F98" t="str">
            <v>C2</v>
          </cell>
          <cell r="G98">
            <v>24105</v>
          </cell>
          <cell r="H98">
            <v>60</v>
          </cell>
          <cell r="I98" t="str">
            <v>&gt;55</v>
          </cell>
          <cell r="J98">
            <v>44048</v>
          </cell>
          <cell r="K98">
            <v>5</v>
          </cell>
          <cell r="L98" t="str">
            <v>4 - 6 years</v>
          </cell>
          <cell r="M98" t="str">
            <v>Sales_CEC</v>
          </cell>
          <cell r="N98" t="str">
            <v>Plant</v>
          </cell>
        </row>
        <row r="99">
          <cell r="A99" t="str">
            <v>70000171</v>
          </cell>
          <cell r="B99" t="str">
            <v>CHRISTIAN KUABI</v>
          </cell>
          <cell r="C99" t="str">
            <v>Male</v>
          </cell>
          <cell r="D99" t="str">
            <v>The Democratic Republic of the Congo</v>
          </cell>
          <cell r="E99" t="str">
            <v>Process Operator</v>
          </cell>
          <cell r="F99" t="str">
            <v>C1</v>
          </cell>
          <cell r="G99">
            <v>32111</v>
          </cell>
          <cell r="H99">
            <v>38</v>
          </cell>
          <cell r="I99" t="str">
            <v xml:space="preserve">35 - 39 ans </v>
          </cell>
          <cell r="J99">
            <v>44059</v>
          </cell>
          <cell r="K99">
            <v>5</v>
          </cell>
          <cell r="L99" t="str">
            <v>4 - 6 years</v>
          </cell>
          <cell r="M99" t="str">
            <v>Production</v>
          </cell>
          <cell r="N99" t="str">
            <v>Plant</v>
          </cell>
        </row>
        <row r="100">
          <cell r="A100" t="str">
            <v>70000175</v>
          </cell>
          <cell r="B100" t="str">
            <v>TRESOR MANEKA</v>
          </cell>
          <cell r="C100" t="str">
            <v>Male</v>
          </cell>
          <cell r="D100" t="str">
            <v>The Democratic Republic of the Congo</v>
          </cell>
          <cell r="E100" t="str">
            <v>Immigration Officer</v>
          </cell>
          <cell r="F100" t="str">
            <v>C2</v>
          </cell>
          <cell r="G100">
            <v>28872</v>
          </cell>
          <cell r="H100">
            <v>47</v>
          </cell>
          <cell r="I100" t="str">
            <v xml:space="preserve">45 - 49 ans </v>
          </cell>
          <cell r="J100">
            <v>44105</v>
          </cell>
          <cell r="K100">
            <v>5</v>
          </cell>
          <cell r="L100" t="str">
            <v>4 - 6 years</v>
          </cell>
          <cell r="M100" t="str">
            <v>HR</v>
          </cell>
          <cell r="N100" t="str">
            <v>Kinshasa_Regions</v>
          </cell>
        </row>
        <row r="101">
          <cell r="A101" t="str">
            <v>70000176</v>
          </cell>
          <cell r="B101" t="str">
            <v>ALI KILENDA</v>
          </cell>
          <cell r="C101" t="str">
            <v>Male</v>
          </cell>
          <cell r="D101" t="str">
            <v>The Democratic Republic of the Congo</v>
          </cell>
          <cell r="E101" t="str">
            <v>Driver</v>
          </cell>
          <cell r="F101" t="str">
            <v>B2</v>
          </cell>
          <cell r="G101">
            <v>28062</v>
          </cell>
          <cell r="H101">
            <v>49</v>
          </cell>
          <cell r="I101" t="str">
            <v xml:space="preserve">45 - 49 ans </v>
          </cell>
          <cell r="J101">
            <v>44105</v>
          </cell>
          <cell r="K101">
            <v>5</v>
          </cell>
          <cell r="L101" t="str">
            <v>4 - 6 years</v>
          </cell>
          <cell r="M101" t="str">
            <v>HR</v>
          </cell>
          <cell r="N101" t="str">
            <v>Kinshasa_Regions</v>
          </cell>
        </row>
        <row r="102">
          <cell r="A102" t="str">
            <v>70000177</v>
          </cell>
          <cell r="B102" t="str">
            <v>BENNY ZAKUANI</v>
          </cell>
          <cell r="C102" t="str">
            <v>Male</v>
          </cell>
          <cell r="D102" t="str">
            <v>The Democratic Republic of the Congo</v>
          </cell>
          <cell r="E102" t="str">
            <v>Talent &amp; Development Manager</v>
          </cell>
          <cell r="F102" t="str">
            <v>D2</v>
          </cell>
          <cell r="G102">
            <v>30120</v>
          </cell>
          <cell r="H102">
            <v>44</v>
          </cell>
          <cell r="I102" t="str">
            <v xml:space="preserve">40 - 44 ans </v>
          </cell>
          <cell r="J102">
            <v>44105</v>
          </cell>
          <cell r="K102">
            <v>5</v>
          </cell>
          <cell r="L102" t="str">
            <v>4 - 6 years</v>
          </cell>
          <cell r="M102" t="str">
            <v>HR</v>
          </cell>
          <cell r="N102" t="str">
            <v>Kinshasa_Regions</v>
          </cell>
        </row>
        <row r="103">
          <cell r="A103" t="str">
            <v>70000178</v>
          </cell>
          <cell r="B103" t="str">
            <v>GERVAIS KABAMBA</v>
          </cell>
          <cell r="C103" t="str">
            <v>Male</v>
          </cell>
          <cell r="D103" t="str">
            <v>The Democratic Republic of the Congo</v>
          </cell>
          <cell r="E103" t="str">
            <v>Marketing Analyst</v>
          </cell>
          <cell r="F103" t="str">
            <v>D1</v>
          </cell>
          <cell r="G103">
            <v>31598</v>
          </cell>
          <cell r="H103">
            <v>40</v>
          </cell>
          <cell r="I103" t="str">
            <v xml:space="preserve">40 - 44 ans </v>
          </cell>
          <cell r="J103">
            <v>44102</v>
          </cell>
          <cell r="K103">
            <v>5</v>
          </cell>
          <cell r="L103" t="str">
            <v>4 - 6 years</v>
          </cell>
          <cell r="M103" t="str">
            <v>Sales_CEC</v>
          </cell>
          <cell r="N103" t="str">
            <v>Kinshasa_Regions</v>
          </cell>
        </row>
        <row r="104">
          <cell r="A104" t="str">
            <v>70000179</v>
          </cell>
          <cell r="B104" t="str">
            <v>NELLY BIGANIRO</v>
          </cell>
          <cell r="C104" t="str">
            <v>Female</v>
          </cell>
          <cell r="D104" t="str">
            <v>The Democratic Republic of the Congo</v>
          </cell>
          <cell r="E104" t="str">
            <v>Purchasing Manager</v>
          </cell>
          <cell r="F104" t="str">
            <v>D2</v>
          </cell>
          <cell r="G104">
            <v>31542</v>
          </cell>
          <cell r="H104">
            <v>40</v>
          </cell>
          <cell r="I104" t="str">
            <v xml:space="preserve">40 - 44 ans </v>
          </cell>
          <cell r="J104">
            <v>44123</v>
          </cell>
          <cell r="K104">
            <v>5</v>
          </cell>
          <cell r="L104" t="str">
            <v>4 - 6 years</v>
          </cell>
          <cell r="M104" t="str">
            <v>Procurement</v>
          </cell>
          <cell r="N104" t="str">
            <v>Kinshasa_Regions</v>
          </cell>
        </row>
        <row r="105">
          <cell r="A105" t="str">
            <v>70000180</v>
          </cell>
          <cell r="B105" t="str">
            <v>Achille Mutombo</v>
          </cell>
          <cell r="C105" t="str">
            <v>Male</v>
          </cell>
          <cell r="D105" t="str">
            <v>Congo - Democratic Republic Zaire</v>
          </cell>
          <cell r="E105" t="str">
            <v>Head of legal</v>
          </cell>
          <cell r="F105" t="str">
            <v>D5</v>
          </cell>
          <cell r="G105">
            <v>29501</v>
          </cell>
          <cell r="H105">
            <v>45</v>
          </cell>
          <cell r="I105" t="str">
            <v xml:space="preserve">45 - 49 ans </v>
          </cell>
          <cell r="J105">
            <v>44120</v>
          </cell>
          <cell r="K105">
            <v>5</v>
          </cell>
          <cell r="L105" t="str">
            <v>4 - 6 years</v>
          </cell>
          <cell r="M105" t="str">
            <v>Legal</v>
          </cell>
          <cell r="N105" t="str">
            <v>Kinshasa_Regions</v>
          </cell>
        </row>
        <row r="106">
          <cell r="A106" t="str">
            <v>70000184</v>
          </cell>
          <cell r="B106" t="str">
            <v>Hugo Mbale</v>
          </cell>
          <cell r="C106" t="str">
            <v>Male</v>
          </cell>
          <cell r="D106" t="str">
            <v>Congo - Democratic Republic Zaire</v>
          </cell>
          <cell r="E106" t="str">
            <v>Tax Manager</v>
          </cell>
          <cell r="F106" t="str">
            <v>D2</v>
          </cell>
          <cell r="G106">
            <v>31590</v>
          </cell>
          <cell r="H106">
            <v>40</v>
          </cell>
          <cell r="I106" t="str">
            <v xml:space="preserve">40 - 44 ans </v>
          </cell>
          <cell r="J106">
            <v>44166</v>
          </cell>
          <cell r="K106">
            <v>5</v>
          </cell>
          <cell r="L106" t="str">
            <v>4 - 6 years</v>
          </cell>
          <cell r="M106" t="str">
            <v>Finance</v>
          </cell>
          <cell r="N106" t="str">
            <v>Kinshasa_Regions</v>
          </cell>
        </row>
        <row r="107">
          <cell r="A107" t="str">
            <v>70000185</v>
          </cell>
          <cell r="B107" t="str">
            <v>Jean Pierre Mavuangala</v>
          </cell>
          <cell r="C107" t="str">
            <v>Male</v>
          </cell>
          <cell r="D107" t="str">
            <v>Congo - Democratic Republic Zaire</v>
          </cell>
          <cell r="E107" t="str">
            <v>Logistic Manager</v>
          </cell>
          <cell r="F107" t="str">
            <v>D4</v>
          </cell>
          <cell r="G107">
            <v>27867</v>
          </cell>
          <cell r="H107">
            <v>50</v>
          </cell>
          <cell r="I107" t="str">
            <v xml:space="preserve">50 - 54 ans </v>
          </cell>
          <cell r="J107">
            <v>44172</v>
          </cell>
          <cell r="K107">
            <v>5</v>
          </cell>
          <cell r="L107" t="str">
            <v>4 - 6 years</v>
          </cell>
          <cell r="M107" t="str">
            <v>Logistic</v>
          </cell>
          <cell r="N107" t="str">
            <v>Kinshasa_Regions</v>
          </cell>
        </row>
        <row r="108">
          <cell r="A108" t="str">
            <v>70000186</v>
          </cell>
          <cell r="B108" t="str">
            <v>Barbara Bintu</v>
          </cell>
          <cell r="C108" t="str">
            <v>Female</v>
          </cell>
          <cell r="D108" t="str">
            <v>The Democratic Republic of the Congo</v>
          </cell>
          <cell r="E108" t="str">
            <v>TMS Clerk</v>
          </cell>
          <cell r="F108" t="str">
            <v>B4</v>
          </cell>
          <cell r="G108">
            <v>32273</v>
          </cell>
          <cell r="H108">
            <v>38</v>
          </cell>
          <cell r="I108" t="str">
            <v xml:space="preserve">35 - 39 ans </v>
          </cell>
          <cell r="J108">
            <v>44228</v>
          </cell>
          <cell r="K108">
            <v>5</v>
          </cell>
          <cell r="L108" t="str">
            <v>4 - 6 years</v>
          </cell>
          <cell r="M108" t="str">
            <v>Logistic</v>
          </cell>
          <cell r="N108" t="str">
            <v>Kinshasa_Regions</v>
          </cell>
        </row>
        <row r="109">
          <cell r="A109" t="str">
            <v>70000187</v>
          </cell>
          <cell r="B109" t="str">
            <v>Patrick Kodjawa</v>
          </cell>
          <cell r="C109" t="str">
            <v>Male</v>
          </cell>
          <cell r="D109" t="str">
            <v>The Democratic Republic of the Congo</v>
          </cell>
          <cell r="E109" t="str">
            <v>Ports Coordinator</v>
          </cell>
          <cell r="F109" t="str">
            <v>C4</v>
          </cell>
          <cell r="G109">
            <v>31685</v>
          </cell>
          <cell r="H109">
            <v>39</v>
          </cell>
          <cell r="I109" t="str">
            <v xml:space="preserve">35 - 39 ans </v>
          </cell>
          <cell r="J109">
            <v>44228</v>
          </cell>
          <cell r="K109">
            <v>5</v>
          </cell>
          <cell r="L109" t="str">
            <v>4 - 6 years</v>
          </cell>
          <cell r="M109" t="str">
            <v>Transport and Transit</v>
          </cell>
          <cell r="N109" t="str">
            <v>Kinshasa_Regions</v>
          </cell>
        </row>
        <row r="110">
          <cell r="A110" t="str">
            <v>70000191</v>
          </cell>
          <cell r="B110" t="str">
            <v>Rufin Mpay</v>
          </cell>
          <cell r="C110" t="str">
            <v>Male</v>
          </cell>
          <cell r="D110" t="str">
            <v>The Democratic Republic of the Congo</v>
          </cell>
          <cell r="E110" t="str">
            <v>Maintenance Planner</v>
          </cell>
          <cell r="F110" t="str">
            <v>C4</v>
          </cell>
          <cell r="G110">
            <v>31626</v>
          </cell>
          <cell r="H110">
            <v>39</v>
          </cell>
          <cell r="I110" t="str">
            <v xml:space="preserve">35 - 39 ans </v>
          </cell>
          <cell r="J110">
            <v>44270</v>
          </cell>
          <cell r="K110">
            <v>5</v>
          </cell>
          <cell r="L110" t="str">
            <v>4 - 6 years</v>
          </cell>
          <cell r="M110" t="str">
            <v>Engineering</v>
          </cell>
          <cell r="N110" t="str">
            <v>Plant</v>
          </cell>
        </row>
        <row r="111">
          <cell r="A111" t="str">
            <v>70000200</v>
          </cell>
          <cell r="B111" t="str">
            <v>Tanya Ndaya</v>
          </cell>
          <cell r="C111" t="str">
            <v>Female</v>
          </cell>
          <cell r="D111" t="str">
            <v>The Democratic Republic of the Congo</v>
          </cell>
          <cell r="E111" t="str">
            <v>Compliance Officer</v>
          </cell>
          <cell r="F111" t="str">
            <v>C4</v>
          </cell>
          <cell r="G111">
            <v>32406</v>
          </cell>
          <cell r="H111">
            <v>37</v>
          </cell>
          <cell r="I111" t="str">
            <v xml:space="preserve">35 - 39 ans </v>
          </cell>
          <cell r="J111">
            <v>44298</v>
          </cell>
          <cell r="K111">
            <v>5</v>
          </cell>
          <cell r="L111" t="str">
            <v>4 - 6 years</v>
          </cell>
          <cell r="M111" t="str">
            <v>Legal</v>
          </cell>
          <cell r="N111" t="str">
            <v>Kinshasa_Regions</v>
          </cell>
        </row>
        <row r="112">
          <cell r="A112" t="str">
            <v>70000203</v>
          </cell>
          <cell r="B112" t="str">
            <v>Edgar Odipo</v>
          </cell>
          <cell r="C112" t="str">
            <v>Male</v>
          </cell>
          <cell r="D112" t="str">
            <v>Kenya</v>
          </cell>
          <cell r="E112" t="str">
            <v>Regional Manager-Grand Katanga</v>
          </cell>
          <cell r="F112" t="str">
            <v>D5</v>
          </cell>
          <cell r="G112">
            <v>29891</v>
          </cell>
          <cell r="H112">
            <v>44</v>
          </cell>
          <cell r="I112" t="str">
            <v xml:space="preserve">40 - 44 ans </v>
          </cell>
          <cell r="J112">
            <v>44301</v>
          </cell>
          <cell r="K112">
            <v>5</v>
          </cell>
          <cell r="L112" t="str">
            <v>4 - 6 years</v>
          </cell>
          <cell r="M112" t="str">
            <v>Sales_CEC</v>
          </cell>
          <cell r="N112" t="str">
            <v>Kinshasa_Regions</v>
          </cell>
        </row>
        <row r="113">
          <cell r="A113" t="str">
            <v>70000205</v>
          </cell>
          <cell r="B113" t="str">
            <v>Erick Bompeta</v>
          </cell>
          <cell r="C113" t="str">
            <v>Male</v>
          </cell>
          <cell r="D113" t="str">
            <v>The Democratic Republic of the Congo</v>
          </cell>
          <cell r="E113" t="str">
            <v>CEC Officer</v>
          </cell>
          <cell r="F113" t="str">
            <v>C1</v>
          </cell>
          <cell r="G113">
            <v>33407</v>
          </cell>
          <cell r="H113">
            <v>35</v>
          </cell>
          <cell r="I113" t="str">
            <v xml:space="preserve">35 - 39 ans </v>
          </cell>
          <cell r="J113">
            <v>44348</v>
          </cell>
          <cell r="K113">
            <v>5</v>
          </cell>
          <cell r="L113" t="str">
            <v>4 - 6 years</v>
          </cell>
          <cell r="M113" t="str">
            <v>Sales_CEC</v>
          </cell>
          <cell r="N113" t="str">
            <v>Plant</v>
          </cell>
        </row>
        <row r="114">
          <cell r="A114" t="str">
            <v>70000206</v>
          </cell>
          <cell r="B114" t="str">
            <v>Joseph Marhegeko</v>
          </cell>
          <cell r="C114" t="str">
            <v>Male</v>
          </cell>
          <cell r="D114" t="str">
            <v>The Democratic Republic of the Congo</v>
          </cell>
          <cell r="E114" t="str">
            <v>Transports &amp; Transit Manager</v>
          </cell>
          <cell r="F114" t="str">
            <v>D2</v>
          </cell>
          <cell r="G114">
            <v>29730</v>
          </cell>
          <cell r="H114">
            <v>45</v>
          </cell>
          <cell r="I114" t="str">
            <v xml:space="preserve">45 - 49 ans </v>
          </cell>
          <cell r="J114">
            <v>44368</v>
          </cell>
          <cell r="K114">
            <v>5</v>
          </cell>
          <cell r="L114" t="str">
            <v>4 - 6 years</v>
          </cell>
          <cell r="M114" t="str">
            <v>Transport and Transit</v>
          </cell>
          <cell r="N114" t="str">
            <v>Kinshasa_Regions</v>
          </cell>
        </row>
        <row r="115">
          <cell r="A115" t="str">
            <v>70000210</v>
          </cell>
          <cell r="B115" t="str">
            <v>Sosthene Nyomba Kamanda</v>
          </cell>
          <cell r="C115" t="str">
            <v>Male</v>
          </cell>
          <cell r="D115" t="str">
            <v>The Democratic Republic of the Congo</v>
          </cell>
          <cell r="E115" t="str">
            <v>Senior Lab Analyst</v>
          </cell>
          <cell r="F115" t="str">
            <v>C2</v>
          </cell>
          <cell r="G115">
            <v>33256</v>
          </cell>
          <cell r="H115">
            <v>35</v>
          </cell>
          <cell r="I115" t="str">
            <v xml:space="preserve">35 - 39 ans </v>
          </cell>
          <cell r="J115">
            <v>44409</v>
          </cell>
          <cell r="K115">
            <v>4</v>
          </cell>
          <cell r="L115" t="str">
            <v>4 - 6 years</v>
          </cell>
          <cell r="M115" t="str">
            <v>Quality Assurance</v>
          </cell>
          <cell r="N115" t="str">
            <v>Plant</v>
          </cell>
        </row>
        <row r="116">
          <cell r="A116" t="str">
            <v>70000211</v>
          </cell>
          <cell r="B116" t="str">
            <v>Joel Toko</v>
          </cell>
          <cell r="C116" t="str">
            <v>Male</v>
          </cell>
          <cell r="D116" t="str">
            <v>The Democratic Republic of the Congo</v>
          </cell>
          <cell r="E116" t="str">
            <v>Process Operator</v>
          </cell>
          <cell r="F116" t="str">
            <v>C1</v>
          </cell>
          <cell r="G116">
            <v>33567</v>
          </cell>
          <cell r="H116">
            <v>34</v>
          </cell>
          <cell r="I116" t="str">
            <v xml:space="preserve">30 - 34 ans </v>
          </cell>
          <cell r="J116">
            <v>44409</v>
          </cell>
          <cell r="K116">
            <v>4</v>
          </cell>
          <cell r="L116" t="str">
            <v>4 - 6 years</v>
          </cell>
          <cell r="M116" t="str">
            <v>Production</v>
          </cell>
          <cell r="N116" t="str">
            <v>Plant</v>
          </cell>
        </row>
        <row r="117">
          <cell r="A117" t="str">
            <v>70000212</v>
          </cell>
          <cell r="B117" t="str">
            <v>Albert Vangu</v>
          </cell>
          <cell r="C117" t="str">
            <v>Male</v>
          </cell>
          <cell r="D117" t="str">
            <v>The Democratic Republic of the Congo</v>
          </cell>
          <cell r="E117" t="str">
            <v xml:space="preserve">Operator Support </v>
          </cell>
          <cell r="F117" t="str">
            <v>B2</v>
          </cell>
          <cell r="G117">
            <v>26801</v>
          </cell>
          <cell r="H117">
            <v>53</v>
          </cell>
          <cell r="I117" t="str">
            <v xml:space="preserve">50 - 54 ans </v>
          </cell>
          <cell r="J117">
            <v>44409</v>
          </cell>
          <cell r="K117">
            <v>4</v>
          </cell>
          <cell r="L117" t="str">
            <v>4 - 6 years</v>
          </cell>
          <cell r="M117" t="str">
            <v>Production</v>
          </cell>
          <cell r="N117" t="str">
            <v>Plant</v>
          </cell>
        </row>
        <row r="118">
          <cell r="A118" t="str">
            <v>70000214</v>
          </cell>
          <cell r="B118" t="str">
            <v>Joel Matoko</v>
          </cell>
          <cell r="C118" t="str">
            <v>Male</v>
          </cell>
          <cell r="D118" t="str">
            <v>The Democratic Republic of the Congo</v>
          </cell>
          <cell r="E118" t="str">
            <v>Packaging/Loading Shift Supervisor</v>
          </cell>
          <cell r="F118" t="str">
            <v>C2</v>
          </cell>
          <cell r="G118">
            <v>32519</v>
          </cell>
          <cell r="H118">
            <v>37</v>
          </cell>
          <cell r="I118" t="str">
            <v xml:space="preserve">35 - 39 ans </v>
          </cell>
          <cell r="J118">
            <v>44409</v>
          </cell>
          <cell r="K118">
            <v>4</v>
          </cell>
          <cell r="L118" t="str">
            <v>4 - 6 years</v>
          </cell>
          <cell r="M118" t="str">
            <v>Production</v>
          </cell>
          <cell r="N118" t="str">
            <v>Plant</v>
          </cell>
        </row>
        <row r="119">
          <cell r="A119" t="str">
            <v>70000215</v>
          </cell>
          <cell r="B119" t="str">
            <v>Alphonse Bindama</v>
          </cell>
          <cell r="C119" t="str">
            <v>Male</v>
          </cell>
          <cell r="D119" t="str">
            <v>The Democratic Republic of the Congo</v>
          </cell>
          <cell r="E119" t="str">
            <v>Lead Fitter</v>
          </cell>
          <cell r="F119" t="str">
            <v>C3</v>
          </cell>
          <cell r="G119">
            <v>25275</v>
          </cell>
          <cell r="H119">
            <v>57</v>
          </cell>
          <cell r="I119" t="str">
            <v>&gt;55</v>
          </cell>
          <cell r="J119">
            <v>44396</v>
          </cell>
          <cell r="K119">
            <v>5</v>
          </cell>
          <cell r="L119" t="str">
            <v>4 - 6 years</v>
          </cell>
          <cell r="M119" t="str">
            <v>Engineering</v>
          </cell>
          <cell r="N119" t="str">
            <v>Plant</v>
          </cell>
        </row>
        <row r="120">
          <cell r="A120" t="str">
            <v>70000216</v>
          </cell>
          <cell r="B120" t="str">
            <v>Patience Mansiamina</v>
          </cell>
          <cell r="C120" t="str">
            <v>Male</v>
          </cell>
          <cell r="D120" t="str">
            <v>The Democratic Republic of the Congo</v>
          </cell>
          <cell r="E120" t="str">
            <v>Fitter</v>
          </cell>
          <cell r="F120" t="str">
            <v>C2</v>
          </cell>
          <cell r="G120">
            <v>31273</v>
          </cell>
          <cell r="H120">
            <v>40</v>
          </cell>
          <cell r="I120" t="str">
            <v xml:space="preserve">40 - 44 ans </v>
          </cell>
          <cell r="J120">
            <v>44396</v>
          </cell>
          <cell r="K120">
            <v>5</v>
          </cell>
          <cell r="L120" t="str">
            <v>4 - 6 years</v>
          </cell>
          <cell r="M120" t="str">
            <v>Engineering</v>
          </cell>
          <cell r="N120" t="str">
            <v>Plant</v>
          </cell>
        </row>
        <row r="121">
          <cell r="A121" t="str">
            <v>70000220</v>
          </cell>
          <cell r="B121" t="str">
            <v>Fabrice Ndala</v>
          </cell>
          <cell r="C121" t="str">
            <v>Male</v>
          </cell>
          <cell r="D121" t="str">
            <v>The Democratic Republic of the Congo</v>
          </cell>
          <cell r="E121" t="str">
            <v>Buyer</v>
          </cell>
          <cell r="F121" t="str">
            <v>C3</v>
          </cell>
          <cell r="G121">
            <v>33784</v>
          </cell>
          <cell r="H121">
            <v>34</v>
          </cell>
          <cell r="I121" t="str">
            <v xml:space="preserve">30 - 34 ans </v>
          </cell>
          <cell r="J121">
            <v>44564</v>
          </cell>
          <cell r="K121">
            <v>4</v>
          </cell>
          <cell r="L121" t="str">
            <v>4 - 6 years</v>
          </cell>
          <cell r="M121" t="str">
            <v>Procurement</v>
          </cell>
          <cell r="N121" t="str">
            <v>Kinshasa_Regions</v>
          </cell>
        </row>
        <row r="122">
          <cell r="A122" t="str">
            <v>70000226</v>
          </cell>
          <cell r="B122" t="str">
            <v>Alidor Kankonde</v>
          </cell>
          <cell r="C122" t="str">
            <v>Male</v>
          </cell>
          <cell r="D122" t="str">
            <v>The Democratic Republic of the Congo</v>
          </cell>
          <cell r="E122" t="str">
            <v>Production Clerk</v>
          </cell>
          <cell r="F122" t="str">
            <v>B4</v>
          </cell>
          <cell r="G122">
            <v>34015</v>
          </cell>
          <cell r="H122">
            <v>33</v>
          </cell>
          <cell r="I122" t="str">
            <v xml:space="preserve">30 - 34 ans </v>
          </cell>
          <cell r="J122">
            <v>44652</v>
          </cell>
          <cell r="K122">
            <v>4</v>
          </cell>
          <cell r="L122" t="str">
            <v>4 - 6 years</v>
          </cell>
          <cell r="M122" t="str">
            <v>Production</v>
          </cell>
          <cell r="N122" t="str">
            <v>Plant</v>
          </cell>
        </row>
        <row r="123">
          <cell r="A123" t="str">
            <v>70000227</v>
          </cell>
          <cell r="B123" t="str">
            <v>Dieu-Merci Ntunga</v>
          </cell>
          <cell r="C123" t="str">
            <v>Male</v>
          </cell>
          <cell r="D123" t="str">
            <v>The Democratic Republic of the Congo</v>
          </cell>
          <cell r="E123" t="str">
            <v>Maintenance Inspector</v>
          </cell>
          <cell r="F123" t="str">
            <v>C3</v>
          </cell>
          <cell r="G123">
            <v>32893</v>
          </cell>
          <cell r="H123">
            <v>36</v>
          </cell>
          <cell r="I123" t="str">
            <v xml:space="preserve">35 - 39 ans </v>
          </cell>
          <cell r="J123">
            <v>44652</v>
          </cell>
          <cell r="K123">
            <v>4</v>
          </cell>
          <cell r="L123" t="str">
            <v>4 - 6 years</v>
          </cell>
          <cell r="M123" t="str">
            <v>Engineering</v>
          </cell>
          <cell r="N123" t="str">
            <v>Plant</v>
          </cell>
        </row>
        <row r="124">
          <cell r="A124" t="str">
            <v>70000229</v>
          </cell>
          <cell r="B124" t="str">
            <v>Guylain Wampangulua</v>
          </cell>
          <cell r="C124" t="str">
            <v>Male</v>
          </cell>
          <cell r="D124" t="str">
            <v>The Democratic Republic of the Congo</v>
          </cell>
          <cell r="E124" t="str">
            <v>Electrical Handyman</v>
          </cell>
          <cell r="F124" t="str">
            <v>B2</v>
          </cell>
          <cell r="G124">
            <v>30317</v>
          </cell>
          <cell r="H124">
            <v>43</v>
          </cell>
          <cell r="I124" t="str">
            <v xml:space="preserve">40 - 44 ans </v>
          </cell>
          <cell r="J124">
            <v>44704</v>
          </cell>
          <cell r="K124">
            <v>4</v>
          </cell>
          <cell r="L124" t="str">
            <v>4 - 6 years</v>
          </cell>
          <cell r="M124" t="str">
            <v>Engineering</v>
          </cell>
          <cell r="N124" t="str">
            <v>Plant</v>
          </cell>
        </row>
        <row r="125">
          <cell r="A125" t="str">
            <v>70000232</v>
          </cell>
          <cell r="B125" t="str">
            <v>Lucio Da Conceição</v>
          </cell>
          <cell r="C125" t="str">
            <v>Male</v>
          </cell>
          <cell r="D125" t="str">
            <v>The Democratic Republic of the Congo</v>
          </cell>
          <cell r="E125" t="str">
            <v>Electrical Techinician</v>
          </cell>
          <cell r="F125" t="str">
            <v>C3</v>
          </cell>
          <cell r="G125">
            <v>35114</v>
          </cell>
          <cell r="H125">
            <v>30</v>
          </cell>
          <cell r="I125" t="str">
            <v xml:space="preserve">30 - 34 ans </v>
          </cell>
          <cell r="J125">
            <v>45446</v>
          </cell>
          <cell r="K125">
            <v>2</v>
          </cell>
          <cell r="L125" t="str">
            <v>1 - 3 year(s)</v>
          </cell>
          <cell r="M125" t="str">
            <v>Engineering</v>
          </cell>
          <cell r="N125" t="str">
            <v>Plant</v>
          </cell>
        </row>
        <row r="126">
          <cell r="A126" t="str">
            <v>70000235</v>
          </cell>
          <cell r="B126" t="str">
            <v>Happy Iyanya</v>
          </cell>
          <cell r="C126" t="str">
            <v>Female</v>
          </cell>
          <cell r="D126" t="str">
            <v>The Democratic Republic of the Congo</v>
          </cell>
          <cell r="E126" t="str">
            <v>Marketing Officer</v>
          </cell>
          <cell r="F126" t="str">
            <v>C4</v>
          </cell>
          <cell r="G126">
            <v>35574</v>
          </cell>
          <cell r="H126">
            <v>29</v>
          </cell>
          <cell r="I126" t="str">
            <v>25 - 29 ans</v>
          </cell>
          <cell r="J126">
            <v>44746</v>
          </cell>
          <cell r="K126">
            <v>4</v>
          </cell>
          <cell r="L126" t="str">
            <v>4 - 6 years</v>
          </cell>
          <cell r="M126" t="str">
            <v>Sales_CEC</v>
          </cell>
          <cell r="N126" t="str">
            <v>Kinshasa_Regions</v>
          </cell>
        </row>
        <row r="127">
          <cell r="A127" t="str">
            <v>70000236</v>
          </cell>
          <cell r="B127" t="str">
            <v>Aime Molopakwa</v>
          </cell>
          <cell r="C127" t="str">
            <v>Male</v>
          </cell>
          <cell r="D127" t="str">
            <v>The Democratic Republic of the Congo</v>
          </cell>
          <cell r="E127" t="str">
            <v>Warehouse Operator</v>
          </cell>
          <cell r="F127" t="str">
            <v>C2</v>
          </cell>
          <cell r="G127">
            <v>28626</v>
          </cell>
          <cell r="H127">
            <v>48</v>
          </cell>
          <cell r="I127" t="str">
            <v xml:space="preserve">45 - 49 ans </v>
          </cell>
          <cell r="J127">
            <v>44746</v>
          </cell>
          <cell r="K127">
            <v>4</v>
          </cell>
          <cell r="L127" t="str">
            <v>4 - 6 years</v>
          </cell>
          <cell r="M127" t="str">
            <v>Logistic</v>
          </cell>
          <cell r="N127" t="str">
            <v>Kinshasa_Regions</v>
          </cell>
        </row>
        <row r="128">
          <cell r="A128" t="str">
            <v>70000237</v>
          </cell>
          <cell r="B128" t="str">
            <v>Michel Mokanga</v>
          </cell>
          <cell r="C128" t="str">
            <v>Male</v>
          </cell>
          <cell r="D128" t="str">
            <v>The Democratic Republic of the Congo</v>
          </cell>
          <cell r="E128" t="str">
            <v>Senior Regional Sales Consultant</v>
          </cell>
          <cell r="F128" t="str">
            <v>C5</v>
          </cell>
          <cell r="G128">
            <v>32694</v>
          </cell>
          <cell r="H128">
            <v>37</v>
          </cell>
          <cell r="I128" t="str">
            <v xml:space="preserve">35 - 39 ans </v>
          </cell>
          <cell r="J128">
            <v>44775</v>
          </cell>
          <cell r="K128">
            <v>3</v>
          </cell>
          <cell r="L128" t="str">
            <v>1 - 3 year(s)</v>
          </cell>
          <cell r="M128" t="str">
            <v>Sales_CEC</v>
          </cell>
          <cell r="N128" t="str">
            <v>Kinshasa_Regions</v>
          </cell>
        </row>
        <row r="129">
          <cell r="A129" t="str">
            <v>70000238</v>
          </cell>
          <cell r="B129" t="str">
            <v>Tresor Saidi</v>
          </cell>
          <cell r="C129" t="str">
            <v>Male</v>
          </cell>
          <cell r="D129" t="str">
            <v>Congo</v>
          </cell>
          <cell r="E129" t="str">
            <v>Senior Sales Consultant</v>
          </cell>
          <cell r="F129" t="str">
            <v>C4</v>
          </cell>
          <cell r="G129">
            <v>32373</v>
          </cell>
          <cell r="H129">
            <v>37</v>
          </cell>
          <cell r="I129" t="str">
            <v xml:space="preserve">35 - 39 ans </v>
          </cell>
          <cell r="J129">
            <v>44775</v>
          </cell>
          <cell r="K129">
            <v>3</v>
          </cell>
          <cell r="L129" t="str">
            <v>1 - 3 year(s)</v>
          </cell>
          <cell r="M129" t="str">
            <v>Sales_CEC</v>
          </cell>
          <cell r="N129" t="str">
            <v>Kinshasa_Regions</v>
          </cell>
        </row>
        <row r="130">
          <cell r="A130" t="str">
            <v>70000239</v>
          </cell>
          <cell r="B130" t="str">
            <v>Hervey Sabi</v>
          </cell>
          <cell r="C130" t="str">
            <v>Male</v>
          </cell>
          <cell r="D130" t="str">
            <v>The Democratic Republic of the Congo</v>
          </cell>
          <cell r="E130" t="str">
            <v>Information Management System Coordinator</v>
          </cell>
          <cell r="F130" t="str">
            <v>C2</v>
          </cell>
          <cell r="G130">
            <v>29317</v>
          </cell>
          <cell r="H130">
            <v>46</v>
          </cell>
          <cell r="I130" t="str">
            <v xml:space="preserve">45 - 49 ans </v>
          </cell>
          <cell r="J130">
            <v>44809</v>
          </cell>
          <cell r="K130">
            <v>3</v>
          </cell>
          <cell r="L130" t="str">
            <v>1 - 3 year(s)</v>
          </cell>
          <cell r="M130" t="str">
            <v>SHE</v>
          </cell>
          <cell r="N130" t="str">
            <v>Plant</v>
          </cell>
        </row>
        <row r="131">
          <cell r="A131" t="str">
            <v>70000240</v>
          </cell>
          <cell r="B131" t="str">
            <v>Nelson Mayumbu</v>
          </cell>
          <cell r="C131" t="str">
            <v>Male</v>
          </cell>
          <cell r="D131" t="str">
            <v>The Democratic Republic of the Congo</v>
          </cell>
          <cell r="E131" t="str">
            <v>Finance Plant Controler</v>
          </cell>
          <cell r="F131" t="str">
            <v>D2</v>
          </cell>
          <cell r="G131">
            <v>34545</v>
          </cell>
          <cell r="H131">
            <v>32</v>
          </cell>
          <cell r="I131" t="str">
            <v xml:space="preserve">30 - 34 ans </v>
          </cell>
          <cell r="J131">
            <v>44819</v>
          </cell>
          <cell r="K131">
            <v>3</v>
          </cell>
          <cell r="L131" t="str">
            <v>1 - 3 year(s)</v>
          </cell>
          <cell r="M131" t="str">
            <v>Finance</v>
          </cell>
          <cell r="N131" t="str">
            <v>Plant</v>
          </cell>
        </row>
        <row r="132">
          <cell r="A132" t="str">
            <v>70000241</v>
          </cell>
          <cell r="B132" t="str">
            <v>Jean Biawila</v>
          </cell>
          <cell r="C132" t="str">
            <v>Male</v>
          </cell>
          <cell r="D132" t="str">
            <v>The Democratic Republic of the Congo</v>
          </cell>
          <cell r="E132" t="str">
            <v>Receiver</v>
          </cell>
          <cell r="F132" t="str">
            <v>B3</v>
          </cell>
          <cell r="G132">
            <v>29902</v>
          </cell>
          <cell r="H132">
            <v>44</v>
          </cell>
          <cell r="I132" t="str">
            <v xml:space="preserve">40 - 44 ans </v>
          </cell>
          <cell r="J132">
            <v>44835</v>
          </cell>
          <cell r="K132">
            <v>3</v>
          </cell>
          <cell r="L132" t="str">
            <v>1 - 3 year(s)</v>
          </cell>
          <cell r="M132" t="str">
            <v>Logistic</v>
          </cell>
          <cell r="N132" t="str">
            <v>Plant</v>
          </cell>
        </row>
        <row r="133">
          <cell r="A133" t="str">
            <v>70000242</v>
          </cell>
          <cell r="B133" t="str">
            <v>Willy Tshilolo</v>
          </cell>
          <cell r="C133" t="str">
            <v>Male</v>
          </cell>
          <cell r="D133" t="str">
            <v>The Democratic Republic of the Congo</v>
          </cell>
          <cell r="E133" t="str">
            <v>Process Operator</v>
          </cell>
          <cell r="F133" t="str">
            <v>C1</v>
          </cell>
          <cell r="G133">
            <v>32865</v>
          </cell>
          <cell r="H133">
            <v>36</v>
          </cell>
          <cell r="I133" t="str">
            <v xml:space="preserve">35 - 39 ans </v>
          </cell>
          <cell r="J133">
            <v>44858</v>
          </cell>
          <cell r="K133">
            <v>3</v>
          </cell>
          <cell r="L133" t="str">
            <v>1 - 3 year(s)</v>
          </cell>
          <cell r="M133" t="str">
            <v>Production</v>
          </cell>
          <cell r="N133" t="str">
            <v>Plant</v>
          </cell>
        </row>
        <row r="134">
          <cell r="A134" t="str">
            <v>70000243</v>
          </cell>
          <cell r="B134" t="str">
            <v>Christian Mukonkole</v>
          </cell>
          <cell r="C134" t="str">
            <v>Male</v>
          </cell>
          <cell r="D134" t="str">
            <v>The Democratic Republic of the Congo</v>
          </cell>
          <cell r="E134" t="str">
            <v>Process Operator</v>
          </cell>
          <cell r="F134" t="str">
            <v>C1</v>
          </cell>
          <cell r="G134">
            <v>31767</v>
          </cell>
          <cell r="H134">
            <v>39</v>
          </cell>
          <cell r="I134" t="str">
            <v xml:space="preserve">35 - 39 ans </v>
          </cell>
          <cell r="J134">
            <v>44858</v>
          </cell>
          <cell r="K134">
            <v>3</v>
          </cell>
          <cell r="L134" t="str">
            <v>1 - 3 year(s)</v>
          </cell>
          <cell r="M134" t="str">
            <v>Production</v>
          </cell>
          <cell r="N134" t="str">
            <v>Plant</v>
          </cell>
        </row>
        <row r="135">
          <cell r="A135" t="str">
            <v>70000244</v>
          </cell>
          <cell r="B135" t="str">
            <v>Leon Badibanga</v>
          </cell>
          <cell r="C135" t="str">
            <v>Male</v>
          </cell>
          <cell r="D135" t="str">
            <v>The Democratic Republic of the Congo</v>
          </cell>
          <cell r="E135" t="str">
            <v>Process Operator</v>
          </cell>
          <cell r="F135" t="str">
            <v>C1</v>
          </cell>
          <cell r="G135">
            <v>34103</v>
          </cell>
          <cell r="H135">
            <v>33</v>
          </cell>
          <cell r="I135" t="str">
            <v xml:space="preserve">30 - 34 ans </v>
          </cell>
          <cell r="J135">
            <v>44858</v>
          </cell>
          <cell r="K135">
            <v>3</v>
          </cell>
          <cell r="L135" t="str">
            <v>1 - 3 year(s)</v>
          </cell>
          <cell r="M135" t="str">
            <v>Production</v>
          </cell>
          <cell r="N135" t="str">
            <v>Plant</v>
          </cell>
        </row>
        <row r="136">
          <cell r="A136" t="str">
            <v>70000245</v>
          </cell>
          <cell r="B136" t="str">
            <v>Rimels Ntondo</v>
          </cell>
          <cell r="C136" t="str">
            <v>Female</v>
          </cell>
          <cell r="D136" t="str">
            <v>The Democratic Republic of the Congo</v>
          </cell>
          <cell r="E136" t="str">
            <v>Financial Accountant</v>
          </cell>
          <cell r="F136" t="str">
            <v>C5</v>
          </cell>
          <cell r="G136">
            <v>35522</v>
          </cell>
          <cell r="H136">
            <v>29</v>
          </cell>
          <cell r="I136" t="str">
            <v>25 - 29 ans</v>
          </cell>
          <cell r="J136">
            <v>44865</v>
          </cell>
          <cell r="K136">
            <v>3</v>
          </cell>
          <cell r="L136" t="str">
            <v>1 - 3 year(s)</v>
          </cell>
          <cell r="M136" t="str">
            <v>Finance</v>
          </cell>
          <cell r="N136" t="str">
            <v>Kinshasa_Regions</v>
          </cell>
        </row>
        <row r="137">
          <cell r="A137" t="str">
            <v>70000246</v>
          </cell>
          <cell r="B137" t="str">
            <v>Jean-Pierre Bashige</v>
          </cell>
          <cell r="C137" t="str">
            <v>Male</v>
          </cell>
          <cell r="D137" t="str">
            <v>The Democratic Republic of the Congo</v>
          </cell>
          <cell r="E137" t="str">
            <v>Regional Sales Manager Interior</v>
          </cell>
          <cell r="F137" t="str">
            <v>D2</v>
          </cell>
          <cell r="G137">
            <v>28711</v>
          </cell>
          <cell r="H137">
            <v>47</v>
          </cell>
          <cell r="I137" t="str">
            <v xml:space="preserve">45 - 49 ans </v>
          </cell>
          <cell r="J137">
            <v>44896</v>
          </cell>
          <cell r="K137">
            <v>3</v>
          </cell>
          <cell r="L137" t="str">
            <v>1 - 3 year(s)</v>
          </cell>
          <cell r="M137" t="str">
            <v>Sales_CEC</v>
          </cell>
          <cell r="N137" t="str">
            <v>Kinshasa_Regions</v>
          </cell>
        </row>
        <row r="138">
          <cell r="A138" t="str">
            <v>70000247</v>
          </cell>
          <cell r="B138" t="str">
            <v>Herve Milambu</v>
          </cell>
          <cell r="C138" t="str">
            <v>Male</v>
          </cell>
          <cell r="D138" t="str">
            <v>The Democratic Republic of the Congo</v>
          </cell>
          <cell r="E138" t="str">
            <v>Safety Officer</v>
          </cell>
          <cell r="F138" t="str">
            <v>C2</v>
          </cell>
          <cell r="G138">
            <v>31779</v>
          </cell>
          <cell r="H138">
            <v>39</v>
          </cell>
          <cell r="I138" t="str">
            <v xml:space="preserve">35 - 39 ans </v>
          </cell>
          <cell r="J138">
            <v>44935</v>
          </cell>
          <cell r="K138">
            <v>3</v>
          </cell>
          <cell r="L138" t="str">
            <v>1 - 3 year(s)</v>
          </cell>
          <cell r="M138" t="str">
            <v>SHE</v>
          </cell>
          <cell r="N138" t="str">
            <v>Plant</v>
          </cell>
        </row>
        <row r="139">
          <cell r="A139" t="str">
            <v>70000250</v>
          </cell>
          <cell r="B139" t="str">
            <v>Deborah Kemo</v>
          </cell>
          <cell r="C139" t="str">
            <v>Female</v>
          </cell>
          <cell r="D139" t="str">
            <v>The Democratic Republic of the Congo</v>
          </cell>
          <cell r="E139" t="str">
            <v>Administrator Account Payable</v>
          </cell>
          <cell r="F139" t="str">
            <v>C2</v>
          </cell>
          <cell r="G139">
            <v>35969</v>
          </cell>
          <cell r="H139">
            <v>28</v>
          </cell>
          <cell r="I139" t="str">
            <v>25 - 29 ans</v>
          </cell>
          <cell r="J139">
            <v>45017</v>
          </cell>
          <cell r="K139">
            <v>3</v>
          </cell>
          <cell r="L139" t="str">
            <v>1 - 3 year(s)</v>
          </cell>
          <cell r="M139" t="str">
            <v>Finance</v>
          </cell>
          <cell r="N139" t="str">
            <v>Kinshasa_Regions</v>
          </cell>
        </row>
        <row r="140">
          <cell r="A140" t="str">
            <v>70000252</v>
          </cell>
          <cell r="B140" t="str">
            <v>Andrew Molonga Lyonga</v>
          </cell>
          <cell r="C140" t="str">
            <v>Male</v>
          </cell>
          <cell r="D140" t="str">
            <v>Cameroon</v>
          </cell>
          <cell r="E140" t="str">
            <v>Plant Manager</v>
          </cell>
          <cell r="F140" t="str">
            <v>E1</v>
          </cell>
          <cell r="G140">
            <v>31613</v>
          </cell>
          <cell r="H140">
            <v>40</v>
          </cell>
          <cell r="I140" t="str">
            <v xml:space="preserve">40 - 44 ans </v>
          </cell>
          <cell r="J140">
            <v>45110</v>
          </cell>
          <cell r="K140">
            <v>3</v>
          </cell>
          <cell r="L140" t="str">
            <v>1 - 3 year(s)</v>
          </cell>
          <cell r="M140" t="str">
            <v>MD Office</v>
          </cell>
          <cell r="N140" t="str">
            <v>Plant</v>
          </cell>
        </row>
        <row r="141">
          <cell r="A141" t="str">
            <v>70000253</v>
          </cell>
          <cell r="B141" t="str">
            <v>Olivier Mola</v>
          </cell>
          <cell r="C141" t="str">
            <v>Male</v>
          </cell>
          <cell r="D141" t="str">
            <v>The Democratic Republic of the Congo</v>
          </cell>
          <cell r="E141" t="str">
            <v>Manager Internal Audit</v>
          </cell>
          <cell r="F141" t="str">
            <v>D2</v>
          </cell>
          <cell r="G141">
            <v>33937</v>
          </cell>
          <cell r="H141">
            <v>33</v>
          </cell>
          <cell r="I141" t="str">
            <v xml:space="preserve">30 - 34 ans </v>
          </cell>
          <cell r="J141">
            <v>45139</v>
          </cell>
          <cell r="K141">
            <v>2</v>
          </cell>
          <cell r="L141" t="str">
            <v>1 - 3 year(s)</v>
          </cell>
          <cell r="M141" t="str">
            <v>Audit</v>
          </cell>
          <cell r="N141" t="str">
            <v>Kinshasa_Regions</v>
          </cell>
        </row>
        <row r="142">
          <cell r="A142" t="str">
            <v>70000254</v>
          </cell>
          <cell r="B142" t="str">
            <v>Christian Ngudi</v>
          </cell>
          <cell r="C142" t="str">
            <v>Male</v>
          </cell>
          <cell r="D142" t="str">
            <v>The Democratic Republic of the Congo</v>
          </cell>
          <cell r="E142" t="str">
            <v>Buyer</v>
          </cell>
          <cell r="F142" t="str">
            <v>C3</v>
          </cell>
          <cell r="G142">
            <v>30279</v>
          </cell>
          <cell r="H142">
            <v>43</v>
          </cell>
          <cell r="I142" t="str">
            <v xml:space="preserve">40 - 44 ans </v>
          </cell>
          <cell r="J142">
            <v>45148</v>
          </cell>
          <cell r="K142">
            <v>2</v>
          </cell>
          <cell r="L142" t="str">
            <v>1 - 3 year(s)</v>
          </cell>
          <cell r="M142" t="str">
            <v>Supply Chain</v>
          </cell>
          <cell r="N142" t="str">
            <v>Kinshasa_Regions</v>
          </cell>
        </row>
        <row r="143">
          <cell r="A143" t="str">
            <v>70000255</v>
          </cell>
          <cell r="B143" t="str">
            <v>Jonas LINGOMA</v>
          </cell>
          <cell r="C143" t="str">
            <v>Male</v>
          </cell>
          <cell r="D143" t="str">
            <v>The Democratic Republic of the Congo</v>
          </cell>
          <cell r="E143" t="str">
            <v>Inventory Controller</v>
          </cell>
          <cell r="F143" t="str">
            <v>C3</v>
          </cell>
          <cell r="G143">
            <v>34414</v>
          </cell>
          <cell r="H143">
            <v>32</v>
          </cell>
          <cell r="I143" t="str">
            <v xml:space="preserve">30 - 34 ans </v>
          </cell>
          <cell r="J143">
            <v>45139</v>
          </cell>
          <cell r="K143">
            <v>2</v>
          </cell>
          <cell r="L143" t="str">
            <v>1 - 3 year(s)</v>
          </cell>
          <cell r="M143" t="str">
            <v>Logistic</v>
          </cell>
          <cell r="N143" t="str">
            <v>Plant</v>
          </cell>
        </row>
        <row r="144">
          <cell r="A144" t="str">
            <v>70000256</v>
          </cell>
          <cell r="B144" t="str">
            <v>Patrick Kahasha Mbasha</v>
          </cell>
          <cell r="C144" t="str">
            <v>Male</v>
          </cell>
          <cell r="D144" t="str">
            <v>The Democratic Republic of the Congo</v>
          </cell>
          <cell r="E144" t="str">
            <v>Managing Director</v>
          </cell>
          <cell r="F144" t="str">
            <v>E4</v>
          </cell>
          <cell r="G144">
            <v>30520</v>
          </cell>
          <cell r="H144">
            <v>43</v>
          </cell>
          <cell r="I144" t="str">
            <v xml:space="preserve">40 - 44 ans </v>
          </cell>
          <cell r="J144">
            <v>45170</v>
          </cell>
          <cell r="K144">
            <v>2</v>
          </cell>
          <cell r="L144" t="str">
            <v>1 - 3 year(s)</v>
          </cell>
          <cell r="M144" t="str">
            <v>MD Office</v>
          </cell>
          <cell r="N144" t="str">
            <v>Kinshasa_Regions</v>
          </cell>
        </row>
        <row r="145">
          <cell r="A145" t="str">
            <v>70000259</v>
          </cell>
          <cell r="B145" t="str">
            <v>Nathan N'Sinabau</v>
          </cell>
          <cell r="C145" t="str">
            <v>Male</v>
          </cell>
          <cell r="D145" t="str">
            <v>The Democratic Republic of the Congo</v>
          </cell>
          <cell r="E145" t="str">
            <v>LAN Administrator</v>
          </cell>
          <cell r="F145" t="str">
            <v>C3</v>
          </cell>
          <cell r="G145">
            <v>35066</v>
          </cell>
          <cell r="H145">
            <v>30</v>
          </cell>
          <cell r="I145" t="str">
            <v xml:space="preserve">30 - 34 ans </v>
          </cell>
          <cell r="J145">
            <v>45190</v>
          </cell>
          <cell r="K145">
            <v>2</v>
          </cell>
          <cell r="L145" t="str">
            <v>1 - 3 year(s)</v>
          </cell>
          <cell r="M145" t="str">
            <v>Finance</v>
          </cell>
          <cell r="N145" t="str">
            <v>Plant</v>
          </cell>
        </row>
        <row r="146">
          <cell r="A146" t="str">
            <v>70000261</v>
          </cell>
          <cell r="B146" t="str">
            <v>Yannick Kalambay</v>
          </cell>
          <cell r="C146" t="str">
            <v>Male</v>
          </cell>
          <cell r="D146" t="str">
            <v>The Democratic Republic of the Congo</v>
          </cell>
          <cell r="E146" t="str">
            <v>Instrument Control Technician</v>
          </cell>
          <cell r="F146" t="str">
            <v>C3</v>
          </cell>
          <cell r="G146">
            <v>32041</v>
          </cell>
          <cell r="H146">
            <v>38</v>
          </cell>
          <cell r="I146" t="str">
            <v xml:space="preserve">35 - 39 ans </v>
          </cell>
          <cell r="J146">
            <v>45243</v>
          </cell>
          <cell r="K146">
            <v>2</v>
          </cell>
          <cell r="L146" t="str">
            <v>1 - 3 year(s)</v>
          </cell>
          <cell r="M146" t="str">
            <v>Engineering</v>
          </cell>
          <cell r="N146" t="str">
            <v>Plant</v>
          </cell>
        </row>
        <row r="147">
          <cell r="A147" t="str">
            <v>70000262</v>
          </cell>
          <cell r="B147" t="str">
            <v>Arnold Ngaba</v>
          </cell>
          <cell r="C147" t="str">
            <v>Male</v>
          </cell>
          <cell r="D147" t="str">
            <v>The Democratic Republic of the Congo</v>
          </cell>
          <cell r="E147" t="str">
            <v>Revenue &amp; Inventory Controller</v>
          </cell>
          <cell r="F147" t="str">
            <v>C3</v>
          </cell>
          <cell r="G147">
            <v>32653</v>
          </cell>
          <cell r="H147">
            <v>37</v>
          </cell>
          <cell r="I147" t="str">
            <v xml:space="preserve">35 - 39 ans </v>
          </cell>
          <cell r="J147">
            <v>45306</v>
          </cell>
          <cell r="K147">
            <v>2</v>
          </cell>
          <cell r="L147" t="str">
            <v>1 - 3 year(s)</v>
          </cell>
          <cell r="M147" t="str">
            <v>Finance</v>
          </cell>
          <cell r="N147" t="str">
            <v>Kinshasa_Regions</v>
          </cell>
        </row>
        <row r="148">
          <cell r="A148" t="str">
            <v>70000264</v>
          </cell>
          <cell r="B148" t="str">
            <v>Yannick Kamunga</v>
          </cell>
          <cell r="C148" t="str">
            <v>Male</v>
          </cell>
          <cell r="D148" t="str">
            <v>The Democratic Republic of the Congo</v>
          </cell>
          <cell r="E148" t="str">
            <v>Process Operator</v>
          </cell>
          <cell r="F148" t="str">
            <v>C1</v>
          </cell>
          <cell r="G148">
            <v>35285</v>
          </cell>
          <cell r="H148">
            <v>29</v>
          </cell>
          <cell r="I148" t="str">
            <v>25 - 29 ans</v>
          </cell>
          <cell r="J148">
            <v>45348</v>
          </cell>
          <cell r="K148">
            <v>2</v>
          </cell>
          <cell r="L148" t="str">
            <v>1 - 3 year(s)</v>
          </cell>
          <cell r="M148" t="str">
            <v>Production</v>
          </cell>
          <cell r="N148" t="str">
            <v>Plant</v>
          </cell>
        </row>
        <row r="149">
          <cell r="A149" t="str">
            <v>70000265</v>
          </cell>
          <cell r="B149" t="str">
            <v>Carine Ewuli</v>
          </cell>
          <cell r="C149" t="str">
            <v>Female</v>
          </cell>
          <cell r="D149" t="str">
            <v>The Democratic Republic of the Congo</v>
          </cell>
          <cell r="E149" t="str">
            <v>Head of Human Resources</v>
          </cell>
          <cell r="F149" t="str">
            <v>D5</v>
          </cell>
          <cell r="G149">
            <v>30022</v>
          </cell>
          <cell r="H149">
            <v>44</v>
          </cell>
          <cell r="I149" t="str">
            <v xml:space="preserve">40 - 44 ans </v>
          </cell>
          <cell r="J149">
            <v>45397</v>
          </cell>
          <cell r="K149">
            <v>2</v>
          </cell>
          <cell r="L149" t="str">
            <v>1 - 3 year(s)</v>
          </cell>
          <cell r="M149" t="str">
            <v>HR</v>
          </cell>
          <cell r="N149" t="str">
            <v>Kinshasa_Regions</v>
          </cell>
        </row>
        <row r="150">
          <cell r="A150" t="str">
            <v>70000268</v>
          </cell>
          <cell r="B150" t="str">
            <v>Angele Bahati</v>
          </cell>
          <cell r="C150" t="str">
            <v>Female</v>
          </cell>
          <cell r="D150" t="str">
            <v>The Democratic Republic of the Congo</v>
          </cell>
          <cell r="E150" t="str">
            <v>Account Receivable Administrator</v>
          </cell>
          <cell r="F150" t="str">
            <v>C2</v>
          </cell>
          <cell r="G150">
            <v>36806</v>
          </cell>
          <cell r="H150">
            <v>25</v>
          </cell>
          <cell r="I150" t="str">
            <v>25 - 29 ans</v>
          </cell>
          <cell r="J150">
            <v>45404</v>
          </cell>
          <cell r="K150">
            <v>2</v>
          </cell>
          <cell r="L150" t="str">
            <v>1 - 3 year(s)</v>
          </cell>
          <cell r="M150" t="str">
            <v>Finance</v>
          </cell>
          <cell r="N150" t="str">
            <v>Kinshasa_Regions</v>
          </cell>
        </row>
        <row r="151">
          <cell r="A151" t="str">
            <v>70000269</v>
          </cell>
          <cell r="B151" t="str">
            <v>CHARITE TSHIMANGA</v>
          </cell>
          <cell r="C151" t="str">
            <v>Female</v>
          </cell>
          <cell r="D151" t="str">
            <v>The Democratic Republic of the Congo</v>
          </cell>
          <cell r="E151" t="str">
            <v>Junior Talent Management</v>
          </cell>
          <cell r="F151" t="str">
            <v>C2</v>
          </cell>
          <cell r="G151">
            <v>36150</v>
          </cell>
          <cell r="H151">
            <v>27</v>
          </cell>
          <cell r="I151" t="str">
            <v>25 - 29 ans</v>
          </cell>
          <cell r="J151">
            <v>45446</v>
          </cell>
          <cell r="K151">
            <v>2</v>
          </cell>
          <cell r="L151" t="str">
            <v>1 - 3 year(s)</v>
          </cell>
          <cell r="M151" t="str">
            <v>HR</v>
          </cell>
          <cell r="N151" t="str">
            <v>Kinshasa_Regions</v>
          </cell>
        </row>
        <row r="152">
          <cell r="A152" t="str">
            <v>70000270</v>
          </cell>
          <cell r="B152" t="str">
            <v>Archipp Mulenda</v>
          </cell>
          <cell r="C152" t="str">
            <v>Male</v>
          </cell>
          <cell r="D152" t="str">
            <v>The Democratic Republic of the Congo</v>
          </cell>
          <cell r="E152" t="str">
            <v>Junior Digitalization</v>
          </cell>
          <cell r="F152" t="str">
            <v>C2</v>
          </cell>
          <cell r="G152">
            <v>36498</v>
          </cell>
          <cell r="H152">
            <v>26</v>
          </cell>
          <cell r="I152" t="str">
            <v>25 - 29 ans</v>
          </cell>
          <cell r="J152">
            <v>45446</v>
          </cell>
          <cell r="K152">
            <v>2</v>
          </cell>
          <cell r="L152" t="str">
            <v>1 - 3 year(s)</v>
          </cell>
          <cell r="M152" t="str">
            <v>Finance</v>
          </cell>
          <cell r="N152" t="str">
            <v>Plant</v>
          </cell>
        </row>
        <row r="153">
          <cell r="A153" t="str">
            <v>70000274</v>
          </cell>
          <cell r="B153" t="str">
            <v>Caleb Tshiombe</v>
          </cell>
          <cell r="C153" t="str">
            <v>Male</v>
          </cell>
          <cell r="D153" t="str">
            <v>The Democratic Republic of the Congo</v>
          </cell>
          <cell r="E153" t="str">
            <v>Junior Tax</v>
          </cell>
          <cell r="F153" t="str">
            <v>C2</v>
          </cell>
          <cell r="G153">
            <v>36231</v>
          </cell>
          <cell r="H153">
            <v>27</v>
          </cell>
          <cell r="I153" t="str">
            <v>25 - 29 ans</v>
          </cell>
          <cell r="J153">
            <v>45446</v>
          </cell>
          <cell r="K153">
            <v>2</v>
          </cell>
          <cell r="L153" t="str">
            <v>1 - 3 year(s)</v>
          </cell>
          <cell r="M153" t="str">
            <v>Finance</v>
          </cell>
          <cell r="N153" t="str">
            <v>Kinshasa_Regions</v>
          </cell>
        </row>
        <row r="154">
          <cell r="A154" t="str">
            <v>70000275</v>
          </cell>
          <cell r="B154" t="str">
            <v>Stephane Kilondo</v>
          </cell>
          <cell r="C154" t="str">
            <v>Male</v>
          </cell>
          <cell r="D154" t="str">
            <v>The Democratic Republic of the Congo</v>
          </cell>
          <cell r="E154" t="str">
            <v>Compliance Agent</v>
          </cell>
          <cell r="F154" t="str">
            <v>C3</v>
          </cell>
          <cell r="G154">
            <v>34268</v>
          </cell>
          <cell r="H154">
            <v>32</v>
          </cell>
          <cell r="I154" t="str">
            <v xml:space="preserve">30 - 34 ans </v>
          </cell>
          <cell r="J154">
            <v>45455</v>
          </cell>
          <cell r="K154">
            <v>2</v>
          </cell>
          <cell r="L154" t="str">
            <v>1 - 3 year(s)</v>
          </cell>
          <cell r="M154" t="str">
            <v>Legal</v>
          </cell>
          <cell r="N154" t="str">
            <v>Plant</v>
          </cell>
        </row>
        <row r="155">
          <cell r="A155" t="str">
            <v>70000276</v>
          </cell>
          <cell r="B155" t="str">
            <v>Emmanuel Mawete</v>
          </cell>
          <cell r="C155" t="str">
            <v>Male</v>
          </cell>
          <cell r="D155" t="str">
            <v>The Democratic Republic of the Congo</v>
          </cell>
          <cell r="E155" t="str">
            <v>Lab Analyst</v>
          </cell>
          <cell r="F155" t="str">
            <v>B5</v>
          </cell>
          <cell r="G155">
            <v>35765</v>
          </cell>
          <cell r="H155">
            <v>28</v>
          </cell>
          <cell r="I155" t="str">
            <v>25 - 29 ans</v>
          </cell>
          <cell r="J155">
            <v>45446</v>
          </cell>
          <cell r="K155">
            <v>2</v>
          </cell>
          <cell r="L155" t="str">
            <v>1 - 3 year(s)</v>
          </cell>
          <cell r="M155" t="str">
            <v>Quality Assurance</v>
          </cell>
          <cell r="N155" t="str">
            <v>Plant</v>
          </cell>
        </row>
        <row r="156">
          <cell r="A156" t="str">
            <v>70000278</v>
          </cell>
          <cell r="B156" t="str">
            <v>Grace Asikandambu</v>
          </cell>
          <cell r="C156" t="str">
            <v>Male</v>
          </cell>
          <cell r="D156" t="str">
            <v>The Democratic Republic of the Congo</v>
          </cell>
          <cell r="E156" t="str">
            <v>Internal Auditor</v>
          </cell>
          <cell r="F156" t="str">
            <v>C5</v>
          </cell>
          <cell r="G156">
            <v>34844</v>
          </cell>
          <cell r="H156">
            <v>31</v>
          </cell>
          <cell r="I156" t="str">
            <v xml:space="preserve">30 - 34 ans </v>
          </cell>
          <cell r="J156">
            <v>45530</v>
          </cell>
          <cell r="K156">
            <v>1</v>
          </cell>
          <cell r="L156" t="str">
            <v>1 - 3 year(s)</v>
          </cell>
          <cell r="M156" t="str">
            <v>Audit</v>
          </cell>
          <cell r="N156" t="str">
            <v>Kinshasa_Regions</v>
          </cell>
        </row>
        <row r="157">
          <cell r="A157" t="str">
            <v>70000279</v>
          </cell>
          <cell r="B157" t="str">
            <v>Grassinda Nkembi</v>
          </cell>
          <cell r="C157" t="str">
            <v>Female</v>
          </cell>
          <cell r="D157" t="str">
            <v>The Democratic Republic of the Congo</v>
          </cell>
          <cell r="E157" t="str">
            <v>Legal Counsel</v>
          </cell>
          <cell r="F157" t="str">
            <v>C4</v>
          </cell>
          <cell r="G157">
            <v>34439</v>
          </cell>
          <cell r="H157">
            <v>32</v>
          </cell>
          <cell r="I157" t="str">
            <v xml:space="preserve">30 - 34 ans </v>
          </cell>
          <cell r="J157">
            <v>45544</v>
          </cell>
          <cell r="K157">
            <v>1</v>
          </cell>
          <cell r="L157" t="str">
            <v>1 - 3 year(s)</v>
          </cell>
          <cell r="M157" t="str">
            <v>Legal</v>
          </cell>
          <cell r="N157" t="str">
            <v>Kinshasa_Regions</v>
          </cell>
        </row>
        <row r="158">
          <cell r="A158" t="str">
            <v>70000280</v>
          </cell>
          <cell r="B158" t="str">
            <v>Romuald Landu</v>
          </cell>
          <cell r="C158" t="str">
            <v>Male</v>
          </cell>
          <cell r="D158" t="str">
            <v>The Democratic Republic of the Congo</v>
          </cell>
          <cell r="E158" t="str">
            <v>Civil Engineer</v>
          </cell>
          <cell r="F158" t="str">
            <v>C4</v>
          </cell>
          <cell r="G158">
            <v>34128</v>
          </cell>
          <cell r="H158">
            <v>33</v>
          </cell>
          <cell r="I158" t="str">
            <v xml:space="preserve">30 - 34 ans </v>
          </cell>
          <cell r="J158">
            <v>45586</v>
          </cell>
          <cell r="K158">
            <v>1</v>
          </cell>
          <cell r="L158" t="str">
            <v>1 - 3 year(s)</v>
          </cell>
          <cell r="M158" t="str">
            <v>Engineering</v>
          </cell>
          <cell r="N158" t="str">
            <v>Plant</v>
          </cell>
        </row>
        <row r="159">
          <cell r="A159" t="str">
            <v>70000281</v>
          </cell>
          <cell r="B159" t="str">
            <v>Louis Marie Eteme Aboudi</v>
          </cell>
          <cell r="C159" t="str">
            <v>Male</v>
          </cell>
          <cell r="D159" t="str">
            <v>Cameroon</v>
          </cell>
          <cell r="E159" t="str">
            <v>Reliability Engineer</v>
          </cell>
          <cell r="F159" t="str">
            <v>D1</v>
          </cell>
          <cell r="G159">
            <v>30463</v>
          </cell>
          <cell r="H159">
            <v>43</v>
          </cell>
          <cell r="I159" t="str">
            <v xml:space="preserve">40 - 44 ans </v>
          </cell>
          <cell r="J159">
            <v>45684</v>
          </cell>
          <cell r="K159">
            <v>1</v>
          </cell>
          <cell r="L159" t="str">
            <v>1 - 3 year(s)</v>
          </cell>
          <cell r="M159" t="str">
            <v>Engineering</v>
          </cell>
          <cell r="N159" t="str">
            <v>Plant</v>
          </cell>
        </row>
        <row r="160">
          <cell r="A160" t="str">
            <v>70000283</v>
          </cell>
          <cell r="B160" t="str">
            <v>Declairck Nsilulu Ngimbi</v>
          </cell>
          <cell r="C160" t="str">
            <v>Male</v>
          </cell>
          <cell r="D160" t="str">
            <v>The Democratic Republic of the Congo</v>
          </cell>
          <cell r="E160" t="str">
            <v>Electrical Handyman</v>
          </cell>
          <cell r="F160" t="str">
            <v>B2</v>
          </cell>
          <cell r="G160">
            <v>34339</v>
          </cell>
          <cell r="H160">
            <v>32</v>
          </cell>
          <cell r="I160" t="str">
            <v xml:space="preserve">30 - 34 ans </v>
          </cell>
          <cell r="J160">
            <v>45705</v>
          </cell>
          <cell r="K160">
            <v>1</v>
          </cell>
          <cell r="L160" t="str">
            <v>1 - 3 year(s)</v>
          </cell>
          <cell r="M160" t="str">
            <v>Engineering</v>
          </cell>
          <cell r="N160" t="str">
            <v>Plant</v>
          </cell>
        </row>
        <row r="161">
          <cell r="A161" t="str">
            <v>70000284</v>
          </cell>
          <cell r="B161" t="str">
            <v>Oxano Muntanda</v>
          </cell>
          <cell r="C161" t="str">
            <v>Male</v>
          </cell>
          <cell r="D161" t="str">
            <v>The Democratic Republic of the Congo</v>
          </cell>
          <cell r="E161" t="str">
            <v>Instrumentation Technician</v>
          </cell>
          <cell r="F161" t="str">
            <v>C2</v>
          </cell>
          <cell r="G161">
            <v>37476</v>
          </cell>
          <cell r="H161">
            <v>23</v>
          </cell>
          <cell r="I161" t="str">
            <v>&lt;25 ans</v>
          </cell>
          <cell r="J161">
            <v>45705</v>
          </cell>
          <cell r="K161">
            <v>1</v>
          </cell>
          <cell r="L161" t="str">
            <v>1 - 3 year(s)</v>
          </cell>
          <cell r="M161" t="str">
            <v>Engineering</v>
          </cell>
          <cell r="N161" t="str">
            <v>Plant</v>
          </cell>
        </row>
        <row r="162">
          <cell r="A162" t="str">
            <v>70000285</v>
          </cell>
          <cell r="B162" t="str">
            <v>Elodie Kitumaini</v>
          </cell>
          <cell r="C162" t="str">
            <v>Female</v>
          </cell>
          <cell r="D162" t="str">
            <v>The Democratic Republic of the Congo</v>
          </cell>
          <cell r="E162" t="str">
            <v>TMS Officer</v>
          </cell>
          <cell r="F162" t="str">
            <v>B4</v>
          </cell>
          <cell r="G162">
            <v>36193</v>
          </cell>
          <cell r="H162">
            <v>27</v>
          </cell>
          <cell r="I162" t="str">
            <v>25 - 29 ans</v>
          </cell>
          <cell r="J162">
            <v>45726</v>
          </cell>
          <cell r="K162">
            <v>1</v>
          </cell>
          <cell r="L162" t="str">
            <v>1 - 3 year(s)</v>
          </cell>
          <cell r="M162" t="str">
            <v>Transport and Transit</v>
          </cell>
          <cell r="N162" t="str">
            <v>Kinshasa_Regions</v>
          </cell>
        </row>
        <row r="163">
          <cell r="A163" t="str">
            <v>70000286</v>
          </cell>
          <cell r="B163" t="str">
            <v>Eric Kani</v>
          </cell>
          <cell r="C163" t="str">
            <v>Male</v>
          </cell>
          <cell r="D163" t="str">
            <v>The Democratic Republic of the Congo</v>
          </cell>
          <cell r="E163" t="str">
            <v>Sales Consultant</v>
          </cell>
          <cell r="F163" t="str">
            <v>C2</v>
          </cell>
          <cell r="G163">
            <v>30946</v>
          </cell>
          <cell r="H163">
            <v>41</v>
          </cell>
          <cell r="I163" t="str">
            <v xml:space="preserve">40 - 44 ans </v>
          </cell>
          <cell r="J163">
            <v>45723</v>
          </cell>
          <cell r="K163">
            <v>1</v>
          </cell>
          <cell r="L163" t="str">
            <v>1 - 3 year(s)</v>
          </cell>
          <cell r="M163" t="str">
            <v>Sales_CEC</v>
          </cell>
          <cell r="N163" t="str">
            <v>Kinshasa_Regions</v>
          </cell>
        </row>
        <row r="164">
          <cell r="A164" t="str">
            <v>70000287</v>
          </cell>
          <cell r="B164" t="str">
            <v>Dorly Nsakala</v>
          </cell>
          <cell r="C164" t="str">
            <v>Male</v>
          </cell>
          <cell r="D164" t="str">
            <v>The Democratic Republic of the Congo</v>
          </cell>
          <cell r="E164" t="str">
            <v>Sales Consultant</v>
          </cell>
          <cell r="F164" t="str">
            <v>C2</v>
          </cell>
          <cell r="G164">
            <v>33031</v>
          </cell>
          <cell r="H164">
            <v>36</v>
          </cell>
          <cell r="I164" t="str">
            <v xml:space="preserve">35 - 39 ans </v>
          </cell>
          <cell r="J164">
            <v>45733</v>
          </cell>
          <cell r="K164">
            <v>1</v>
          </cell>
          <cell r="L164" t="str">
            <v>1 - 3 year(s)</v>
          </cell>
          <cell r="M164" t="str">
            <v>Sales_CEC</v>
          </cell>
          <cell r="N164" t="str">
            <v>Kinshasa_Regions</v>
          </cell>
        </row>
        <row r="165">
          <cell r="A165" t="str">
            <v>70000288</v>
          </cell>
          <cell r="B165" t="str">
            <v>El Nathan Kalala</v>
          </cell>
          <cell r="C165" t="str">
            <v>Male</v>
          </cell>
          <cell r="D165" t="str">
            <v>The Democratic Republic of the Congo</v>
          </cell>
          <cell r="E165" t="str">
            <v xml:space="preserve">Sales Consultant </v>
          </cell>
          <cell r="F165" t="str">
            <v>C2</v>
          </cell>
          <cell r="G165">
            <v>33290</v>
          </cell>
          <cell r="H165">
            <v>35</v>
          </cell>
          <cell r="I165" t="str">
            <v xml:space="preserve">35 - 39 ans </v>
          </cell>
          <cell r="J165">
            <v>45733</v>
          </cell>
          <cell r="K165">
            <v>1</v>
          </cell>
          <cell r="L165" t="str">
            <v>1 - 3 year(s)</v>
          </cell>
          <cell r="M165" t="str">
            <v>Sales_CEC</v>
          </cell>
          <cell r="N165" t="str">
            <v>Kinshasa_Regions</v>
          </cell>
        </row>
        <row r="166">
          <cell r="A166" t="str">
            <v>70000290</v>
          </cell>
          <cell r="B166" t="str">
            <v>Leonardo Mutombo</v>
          </cell>
          <cell r="C166" t="str">
            <v>Male</v>
          </cell>
          <cell r="D166" t="str">
            <v>The Democratic Republic of the Congo</v>
          </cell>
          <cell r="E166" t="str">
            <v>Environmental Officer</v>
          </cell>
          <cell r="F166" t="str">
            <v>C4</v>
          </cell>
          <cell r="G166">
            <v>32351</v>
          </cell>
          <cell r="H166">
            <v>38</v>
          </cell>
          <cell r="I166" t="str">
            <v xml:space="preserve">35 - 39 ans </v>
          </cell>
          <cell r="J166">
            <v>45740</v>
          </cell>
          <cell r="K166">
            <v>1</v>
          </cell>
          <cell r="L166" t="str">
            <v>1 - 3 year(s)</v>
          </cell>
          <cell r="M166" t="str">
            <v>SHE</v>
          </cell>
          <cell r="N166" t="str">
            <v>Plant</v>
          </cell>
        </row>
        <row r="167">
          <cell r="A167" t="str">
            <v>70000291</v>
          </cell>
          <cell r="B167" t="str">
            <v>Antoine Babala</v>
          </cell>
          <cell r="C167" t="str">
            <v>Male</v>
          </cell>
          <cell r="D167" t="str">
            <v>The Democratic Republic of the Congo</v>
          </cell>
          <cell r="E167" t="str">
            <v>Executive Assistant</v>
          </cell>
          <cell r="F167" t="str">
            <v>D4</v>
          </cell>
          <cell r="G167">
            <v>30476</v>
          </cell>
          <cell r="H167">
            <v>43</v>
          </cell>
          <cell r="I167" t="str">
            <v xml:space="preserve">40 - 44 ans </v>
          </cell>
          <cell r="J167">
            <v>45723</v>
          </cell>
          <cell r="K167">
            <v>1</v>
          </cell>
          <cell r="L167" t="str">
            <v>1 - 3 year(s)</v>
          </cell>
          <cell r="M167" t="str">
            <v>MD Office</v>
          </cell>
          <cell r="N167" t="str">
            <v>Kinshasa_Regions</v>
          </cell>
        </row>
        <row r="168">
          <cell r="A168" t="str">
            <v>70000292</v>
          </cell>
          <cell r="B168" t="str">
            <v>Stephanie Ndongala</v>
          </cell>
          <cell r="C168" t="str">
            <v>Female</v>
          </cell>
          <cell r="D168" t="str">
            <v>The Democratic Republic of the Congo</v>
          </cell>
          <cell r="E168" t="str">
            <v>MD-Personal Assistant</v>
          </cell>
          <cell r="F168" t="str">
            <v>C2</v>
          </cell>
          <cell r="G168">
            <v>36151</v>
          </cell>
          <cell r="H168">
            <v>27</v>
          </cell>
          <cell r="I168" t="str">
            <v>25 - 29 ans</v>
          </cell>
          <cell r="J168">
            <v>45839</v>
          </cell>
          <cell r="K168">
            <v>1</v>
          </cell>
          <cell r="L168" t="str">
            <v>1 - 3 year(s)</v>
          </cell>
          <cell r="M168" t="str">
            <v>MD Office</v>
          </cell>
          <cell r="N168" t="str">
            <v>Kinshasa_Regions</v>
          </cell>
        </row>
        <row r="169">
          <cell r="A169" t="str">
            <v>70000293</v>
          </cell>
          <cell r="B169" t="str">
            <v>Guylain Kalende</v>
          </cell>
          <cell r="C169" t="str">
            <v>Male</v>
          </cell>
          <cell r="D169" t="str">
            <v>The Democratic Republic of the Congo</v>
          </cell>
          <cell r="E169" t="str">
            <v>Alternative Fuels &amp; Raw Materials Manager</v>
          </cell>
          <cell r="F169" t="str">
            <v>D2</v>
          </cell>
          <cell r="G169">
            <v>30744</v>
          </cell>
          <cell r="H169">
            <v>42</v>
          </cell>
          <cell r="I169" t="str">
            <v xml:space="preserve">40 - 44 ans </v>
          </cell>
          <cell r="J169">
            <v>45847</v>
          </cell>
          <cell r="K169">
            <v>1</v>
          </cell>
          <cell r="L169" t="str">
            <v>1 - 3 year(s)</v>
          </cell>
          <cell r="M169" t="str">
            <v>Supply Chain</v>
          </cell>
          <cell r="N169" t="str">
            <v>Plant</v>
          </cell>
        </row>
        <row r="170">
          <cell r="A170" t="str">
            <v>70000294</v>
          </cell>
          <cell r="B170" t="str">
            <v>Alexandre Mata</v>
          </cell>
          <cell r="C170" t="str">
            <v>Male</v>
          </cell>
          <cell r="D170" t="str">
            <v>The Democratic Republic of the Congo</v>
          </cell>
          <cell r="E170" t="str">
            <v>Lab Analyst</v>
          </cell>
          <cell r="F170" t="str">
            <v>B5</v>
          </cell>
          <cell r="G170">
            <v>32093</v>
          </cell>
          <cell r="H170">
            <v>38</v>
          </cell>
          <cell r="I170" t="str">
            <v xml:space="preserve">35 - 39 ans </v>
          </cell>
          <cell r="J170">
            <v>45901</v>
          </cell>
          <cell r="K170">
            <v>0</v>
          </cell>
          <cell r="L170" t="str">
            <v>&lt;1 year</v>
          </cell>
          <cell r="M170" t="str">
            <v>Quality Assurance</v>
          </cell>
          <cell r="N170" t="str">
            <v>Plant</v>
          </cell>
        </row>
        <row r="171">
          <cell r="A171" t="str">
            <v>70000295</v>
          </cell>
          <cell r="B171" t="str">
            <v>Pelagie Kinkinia</v>
          </cell>
          <cell r="C171" t="str">
            <v>Female</v>
          </cell>
          <cell r="D171" t="str">
            <v>Congo - Democratic Republic Zaire</v>
          </cell>
          <cell r="E171" t="str">
            <v>Plant HR Manager</v>
          </cell>
          <cell r="F171" t="str">
            <v>D2</v>
          </cell>
          <cell r="G171">
            <v>27986</v>
          </cell>
          <cell r="H171">
            <v>49</v>
          </cell>
          <cell r="I171" t="str">
            <v xml:space="preserve">45 - 49 ans </v>
          </cell>
          <cell r="J171">
            <v>45931</v>
          </cell>
          <cell r="K171">
            <v>0</v>
          </cell>
          <cell r="L171" t="str">
            <v>&lt;1 year</v>
          </cell>
          <cell r="M171" t="str">
            <v>HR</v>
          </cell>
          <cell r="N171" t="str">
            <v>Plant</v>
          </cell>
        </row>
        <row r="172">
          <cell r="A172" t="str">
            <v>70000296</v>
          </cell>
          <cell r="B172" t="str">
            <v>Michael Booke</v>
          </cell>
          <cell r="C172" t="str">
            <v>Male</v>
          </cell>
          <cell r="D172" t="str">
            <v>The Democratic Republic of the Congo</v>
          </cell>
          <cell r="E172" t="str">
            <v>Head of Supply Chain</v>
          </cell>
          <cell r="F172" t="str">
            <v>D5</v>
          </cell>
          <cell r="G172">
            <v>34417</v>
          </cell>
          <cell r="H172">
            <v>32</v>
          </cell>
          <cell r="I172" t="str">
            <v xml:space="preserve">30 - 34 ans </v>
          </cell>
          <cell r="J172">
            <v>45971</v>
          </cell>
          <cell r="K172">
            <v>0</v>
          </cell>
          <cell r="L172" t="str">
            <v>&lt;1 year</v>
          </cell>
          <cell r="M172" t="str">
            <v>Supply Chain</v>
          </cell>
          <cell r="N172" t="str">
            <v>Kinshasa_Regions</v>
          </cell>
        </row>
        <row r="173">
          <cell r="A173" t="str">
            <v>70000297</v>
          </cell>
          <cell r="B173" t="str">
            <v>Papy Muzila</v>
          </cell>
          <cell r="C173" t="str">
            <v>Male</v>
          </cell>
          <cell r="D173" t="str">
            <v>The Democratic Republic of the Congo</v>
          </cell>
          <cell r="E173" t="str">
            <v>Marketing Manager</v>
          </cell>
          <cell r="F173" t="str">
            <v>D2</v>
          </cell>
          <cell r="G173">
            <v>28839</v>
          </cell>
          <cell r="H173">
            <v>47</v>
          </cell>
          <cell r="I173" t="str">
            <v xml:space="preserve">45 - 49 ans </v>
          </cell>
          <cell r="J173">
            <v>45964</v>
          </cell>
          <cell r="K173">
            <v>0</v>
          </cell>
          <cell r="L173" t="str">
            <v>&lt;1 year</v>
          </cell>
          <cell r="M173" t="str">
            <v>Sales and Marketing</v>
          </cell>
          <cell r="N173" t="str">
            <v>Kinshasa_Regions</v>
          </cell>
        </row>
        <row r="174">
          <cell r="A174" t="str">
            <v>70000299</v>
          </cell>
          <cell r="B174" t="str">
            <v>Carine Mirindi</v>
          </cell>
          <cell r="C174" t="str">
            <v>Female</v>
          </cell>
          <cell r="D174" t="str">
            <v>The Democratic Republic of the Congo</v>
          </cell>
          <cell r="E174" t="str">
            <v>HR Officer</v>
          </cell>
          <cell r="F174" t="str">
            <v>C3</v>
          </cell>
          <cell r="G174">
            <v>30494</v>
          </cell>
          <cell r="H174">
            <v>43</v>
          </cell>
          <cell r="I174" t="str">
            <v xml:space="preserve">40 - 44 ans </v>
          </cell>
          <cell r="J174">
            <v>45992</v>
          </cell>
          <cell r="K174">
            <v>0</v>
          </cell>
          <cell r="L174" t="str">
            <v>&lt;1 year</v>
          </cell>
          <cell r="M174" t="str">
            <v>HR</v>
          </cell>
          <cell r="N174" t="str">
            <v>Lubudi</v>
          </cell>
        </row>
        <row r="175">
          <cell r="A175" t="str">
            <v>70000300</v>
          </cell>
          <cell r="B175" t="str">
            <v>Jeremie Atatala Anipap</v>
          </cell>
          <cell r="C175" t="str">
            <v>Male</v>
          </cell>
          <cell r="D175" t="str">
            <v>The Democratic Republic of the Congo</v>
          </cell>
          <cell r="E175" t="str">
            <v>Mining Supervisor</v>
          </cell>
          <cell r="F175" t="str">
            <v>C3</v>
          </cell>
          <cell r="G175">
            <v>36210</v>
          </cell>
          <cell r="H175">
            <v>27</v>
          </cell>
          <cell r="I175" t="str">
            <v>25 - 29 ans</v>
          </cell>
          <cell r="J175">
            <v>45992</v>
          </cell>
          <cell r="K175">
            <v>0</v>
          </cell>
          <cell r="L175" t="str">
            <v>&lt;1 year</v>
          </cell>
          <cell r="M175" t="str">
            <v>Mining</v>
          </cell>
          <cell r="N175" t="str">
            <v>Lubudi</v>
          </cell>
        </row>
        <row r="176">
          <cell r="A176" t="str">
            <v>70000302</v>
          </cell>
          <cell r="B176" t="str">
            <v>Paul Mikindo</v>
          </cell>
          <cell r="C176" t="str">
            <v>Male</v>
          </cell>
          <cell r="D176" t="str">
            <v>The Democratic Republic of the Congo</v>
          </cell>
          <cell r="E176" t="str">
            <v>Maintenance Supervisor</v>
          </cell>
          <cell r="F176" t="str">
            <v>C4</v>
          </cell>
          <cell r="G176">
            <v>33260</v>
          </cell>
          <cell r="H176">
            <v>35</v>
          </cell>
          <cell r="I176" t="str">
            <v xml:space="preserve">35 - 39 ans </v>
          </cell>
          <cell r="J176">
            <v>45996</v>
          </cell>
          <cell r="K176">
            <v>0</v>
          </cell>
          <cell r="L176" t="str">
            <v>&lt;1 year</v>
          </cell>
          <cell r="M176" t="str">
            <v>Engineering</v>
          </cell>
          <cell r="N176" t="str">
            <v>Lubudi</v>
          </cell>
        </row>
        <row r="177">
          <cell r="A177" t="str">
            <v>70000303</v>
          </cell>
          <cell r="B177" t="str">
            <v>Jerry Buhendwa</v>
          </cell>
          <cell r="C177" t="str">
            <v>Male</v>
          </cell>
          <cell r="D177" t="str">
            <v>The Democratic Republic of the Congo</v>
          </cell>
          <cell r="E177" t="str">
            <v>Supply Chain Officer</v>
          </cell>
          <cell r="F177" t="str">
            <v>C3</v>
          </cell>
          <cell r="G177">
            <v>33058</v>
          </cell>
          <cell r="H177">
            <v>36</v>
          </cell>
          <cell r="I177" t="str">
            <v xml:space="preserve">35 - 39 ans </v>
          </cell>
          <cell r="J177">
            <v>45992</v>
          </cell>
          <cell r="K177">
            <v>0</v>
          </cell>
          <cell r="L177" t="str">
            <v>&lt;1 year</v>
          </cell>
          <cell r="M177" t="str">
            <v>Supply Chain</v>
          </cell>
          <cell r="N177" t="str">
            <v>Lubudi</v>
          </cell>
        </row>
        <row r="178">
          <cell r="A178" t="str">
            <v>70000304</v>
          </cell>
          <cell r="B178" t="str">
            <v>Lystha Yumba</v>
          </cell>
          <cell r="C178" t="str">
            <v>Male</v>
          </cell>
          <cell r="D178" t="str">
            <v>The Democratic Republic of the Congo</v>
          </cell>
          <cell r="E178" t="str">
            <v>Production Supervisor</v>
          </cell>
          <cell r="F178" t="str">
            <v>C4</v>
          </cell>
          <cell r="G178">
            <v>31097</v>
          </cell>
          <cell r="H178">
            <v>41</v>
          </cell>
          <cell r="I178" t="str">
            <v xml:space="preserve">40 - 44 ans </v>
          </cell>
          <cell r="J178">
            <v>45992</v>
          </cell>
          <cell r="K178">
            <v>0</v>
          </cell>
          <cell r="L178" t="str">
            <v>&lt;1 year</v>
          </cell>
          <cell r="M178" t="str">
            <v>Production</v>
          </cell>
          <cell r="N178" t="str">
            <v>Lubudi</v>
          </cell>
        </row>
        <row r="179">
          <cell r="A179" t="str">
            <v>70000305</v>
          </cell>
          <cell r="B179" t="str">
            <v>Patrick Panda</v>
          </cell>
          <cell r="C179" t="str">
            <v>Male</v>
          </cell>
          <cell r="D179" t="str">
            <v>The Democratic Republic of the Congo</v>
          </cell>
          <cell r="E179" t="str">
            <v xml:space="preserve">Sales Consultant </v>
          </cell>
          <cell r="F179" t="str">
            <v>C2</v>
          </cell>
          <cell r="G179">
            <v>32689</v>
          </cell>
          <cell r="H179">
            <v>37</v>
          </cell>
          <cell r="I179" t="str">
            <v xml:space="preserve">35 - 39 ans </v>
          </cell>
          <cell r="J179">
            <v>45992</v>
          </cell>
          <cell r="K179">
            <v>0</v>
          </cell>
          <cell r="L179" t="str">
            <v>&lt;1 year</v>
          </cell>
          <cell r="M179" t="str">
            <v>Sales and Marketing</v>
          </cell>
          <cell r="N179" t="str">
            <v>Lubudi</v>
          </cell>
        </row>
        <row r="180">
          <cell r="A180" t="str">
            <v>70000306</v>
          </cell>
          <cell r="B180" t="str">
            <v>Blanchard Muzo</v>
          </cell>
          <cell r="C180" t="str">
            <v>Male</v>
          </cell>
          <cell r="D180" t="str">
            <v>The Democratic Republic of the Congo</v>
          </cell>
          <cell r="E180" t="str">
            <v>Instrumentation Technician</v>
          </cell>
          <cell r="F180" t="str">
            <v>C2</v>
          </cell>
          <cell r="G180">
            <v>32347</v>
          </cell>
          <cell r="H180">
            <v>38</v>
          </cell>
          <cell r="I180" t="str">
            <v xml:space="preserve">35 - 39 ans </v>
          </cell>
          <cell r="J180">
            <v>46146</v>
          </cell>
          <cell r="K180">
            <v>0</v>
          </cell>
          <cell r="L180" t="str">
            <v>&lt;1 year</v>
          </cell>
          <cell r="M180" t="str">
            <v>Engineering</v>
          </cell>
          <cell r="N180" t="str">
            <v>Plant</v>
          </cell>
        </row>
        <row r="181">
          <cell r="A181" t="str">
            <v>70000307</v>
          </cell>
          <cell r="B181" t="str">
            <v>Pascal Ndonda</v>
          </cell>
          <cell r="C181" t="str">
            <v>Male</v>
          </cell>
          <cell r="D181" t="str">
            <v>The Democratic Republic of the Congo</v>
          </cell>
          <cell r="E181" t="str">
            <v>Revenue &amp; Inventory Controller</v>
          </cell>
          <cell r="F181" t="str">
            <v>C3</v>
          </cell>
          <cell r="G181">
            <v>36995</v>
          </cell>
          <cell r="H181">
            <v>25</v>
          </cell>
          <cell r="I181" t="str">
            <v>25 - 29 ans</v>
          </cell>
          <cell r="J181">
            <v>46174</v>
          </cell>
          <cell r="K181">
            <v>0</v>
          </cell>
          <cell r="L181" t="str">
            <v>&lt;1 year</v>
          </cell>
          <cell r="M181" t="str">
            <v>Finance</v>
          </cell>
          <cell r="N181" t="str">
            <v>Kinshasa_Regions</v>
          </cell>
        </row>
        <row r="182">
          <cell r="A182" t="str">
            <v>70000308</v>
          </cell>
          <cell r="B182" t="str">
            <v>Gedeon Massadi</v>
          </cell>
          <cell r="C182" t="str">
            <v>Male</v>
          </cell>
          <cell r="D182" t="str">
            <v>The Democratic Republic of the Congo</v>
          </cell>
          <cell r="E182" t="str">
            <v>HR Administrator</v>
          </cell>
          <cell r="F182" t="str">
            <v>C1</v>
          </cell>
          <cell r="G182">
            <v>34369</v>
          </cell>
          <cell r="H182">
            <v>32</v>
          </cell>
          <cell r="I182" t="str">
            <v xml:space="preserve">30 - 34 ans </v>
          </cell>
          <cell r="J182">
            <v>46190</v>
          </cell>
          <cell r="K182">
            <v>0</v>
          </cell>
          <cell r="L182" t="str">
            <v>&lt;1 year</v>
          </cell>
          <cell r="M182" t="str">
            <v>HR</v>
          </cell>
          <cell r="N182" t="str">
            <v>Plant</v>
          </cell>
        </row>
        <row r="183">
          <cell r="A183" t="str">
            <v>70000309</v>
          </cell>
          <cell r="B183" t="str">
            <v>Junior Nlandu</v>
          </cell>
          <cell r="C183" t="str">
            <v>Male</v>
          </cell>
          <cell r="D183" t="str">
            <v>The Democratic Republic of the Congo</v>
          </cell>
          <cell r="E183" t="str">
            <v>Fitter Vulcanizer</v>
          </cell>
          <cell r="F183" t="str">
            <v>C2</v>
          </cell>
          <cell r="G183">
            <v>32622</v>
          </cell>
          <cell r="H183">
            <v>37</v>
          </cell>
          <cell r="I183" t="str">
            <v xml:space="preserve">35 - 39 ans </v>
          </cell>
          <cell r="J183">
            <v>46181</v>
          </cell>
          <cell r="K183">
            <v>0</v>
          </cell>
          <cell r="L183" t="str">
            <v>&lt;1 year</v>
          </cell>
          <cell r="M183" t="str">
            <v>Engineering</v>
          </cell>
          <cell r="N183" t="str">
            <v>Plant</v>
          </cell>
        </row>
        <row r="184">
          <cell r="A184" t="str">
            <v>70000013</v>
          </cell>
          <cell r="B184" t="str">
            <v>KUASA KINSIONA</v>
          </cell>
          <cell r="C184" t="str">
            <v>Male</v>
          </cell>
          <cell r="D184" t="str">
            <v>Congo</v>
          </cell>
          <cell r="E184" t="str">
            <v xml:space="preserve">Drilling Operator </v>
          </cell>
          <cell r="F184" t="str">
            <v>B2</v>
          </cell>
          <cell r="G184">
            <v>30277</v>
          </cell>
          <cell r="H184">
            <v>43</v>
          </cell>
          <cell r="I184" t="str">
            <v xml:space="preserve">40 - 44 ans </v>
          </cell>
          <cell r="J184">
            <v>42240</v>
          </cell>
          <cell r="K184">
            <v>10</v>
          </cell>
          <cell r="L184" t="str">
            <v>&gt;= 10 years</v>
          </cell>
          <cell r="M184" t="str">
            <v>Mining</v>
          </cell>
          <cell r="N184" t="str">
            <v>Plant</v>
          </cell>
        </row>
        <row r="185">
          <cell r="A185" t="str">
            <v>70000042</v>
          </cell>
          <cell r="B185" t="str">
            <v>TOUBI NZAZI</v>
          </cell>
          <cell r="C185" t="str">
            <v>Male</v>
          </cell>
          <cell r="D185" t="str">
            <v>Congo</v>
          </cell>
          <cell r="E185" t="str">
            <v xml:space="preserve">Drilling Operator </v>
          </cell>
          <cell r="F185" t="str">
            <v>B2</v>
          </cell>
          <cell r="G185">
            <v>25820</v>
          </cell>
          <cell r="H185">
            <v>55</v>
          </cell>
          <cell r="I185" t="str">
            <v>&gt;55</v>
          </cell>
          <cell r="J185">
            <v>42499</v>
          </cell>
          <cell r="K185">
            <v>10</v>
          </cell>
          <cell r="L185" t="str">
            <v>&gt;= 10 years</v>
          </cell>
          <cell r="M185" t="str">
            <v>Mining</v>
          </cell>
          <cell r="N185" t="str">
            <v>Plant</v>
          </cell>
        </row>
        <row r="186">
          <cell r="A186" t="str">
            <v>70000097</v>
          </cell>
          <cell r="B186" t="str">
            <v>Masudi Nkosi</v>
          </cell>
          <cell r="C186" t="str">
            <v>Male</v>
          </cell>
          <cell r="D186" t="str">
            <v>Congo</v>
          </cell>
          <cell r="E186" t="str">
            <v>Mining Mobile Equipment Operator</v>
          </cell>
          <cell r="F186" t="str">
            <v>B2</v>
          </cell>
          <cell r="G186">
            <v>32060</v>
          </cell>
          <cell r="H186">
            <v>38</v>
          </cell>
          <cell r="I186" t="str">
            <v xml:space="preserve">35 - 39 ans </v>
          </cell>
          <cell r="J186">
            <v>42679</v>
          </cell>
          <cell r="K186">
            <v>9</v>
          </cell>
          <cell r="L186" t="str">
            <v>7 - 9 years</v>
          </cell>
          <cell r="M186" t="str">
            <v>Mining</v>
          </cell>
          <cell r="N186" t="str">
            <v>Plant</v>
          </cell>
        </row>
        <row r="187">
          <cell r="A187" t="str">
            <v>70000102</v>
          </cell>
          <cell r="B187" t="str">
            <v>Lumanisa Wasolokele</v>
          </cell>
          <cell r="C187" t="str">
            <v>Male</v>
          </cell>
          <cell r="D187" t="str">
            <v>Congo</v>
          </cell>
          <cell r="E187" t="str">
            <v xml:space="preserve">Drilling Operator </v>
          </cell>
          <cell r="F187" t="str">
            <v>B1</v>
          </cell>
          <cell r="G187">
            <v>30322</v>
          </cell>
          <cell r="H187">
            <v>43</v>
          </cell>
          <cell r="I187" t="str">
            <v xml:space="preserve">40 - 44 ans </v>
          </cell>
          <cell r="J187">
            <v>42679</v>
          </cell>
          <cell r="K187">
            <v>9</v>
          </cell>
          <cell r="L187" t="str">
            <v>7 - 9 years</v>
          </cell>
          <cell r="M187" t="str">
            <v>Mining</v>
          </cell>
          <cell r="N187" t="str">
            <v>Plant</v>
          </cell>
        </row>
        <row r="188">
          <cell r="A188" t="str">
            <v>70000124</v>
          </cell>
          <cell r="B188" t="str">
            <v>Longo Zola</v>
          </cell>
          <cell r="C188" t="str">
            <v>Male</v>
          </cell>
          <cell r="D188" t="str">
            <v>Congo</v>
          </cell>
          <cell r="E188" t="str">
            <v>Shift Supervisor</v>
          </cell>
          <cell r="F188" t="str">
            <v>C3</v>
          </cell>
          <cell r="G188">
            <v>28108</v>
          </cell>
          <cell r="H188">
            <v>49</v>
          </cell>
          <cell r="I188" t="str">
            <v xml:space="preserve">45 - 49 ans </v>
          </cell>
          <cell r="J188">
            <v>42240</v>
          </cell>
          <cell r="K188">
            <v>10</v>
          </cell>
          <cell r="L188" t="str">
            <v>&gt;= 10 years</v>
          </cell>
          <cell r="M188" t="str">
            <v>Mining</v>
          </cell>
          <cell r="N188" t="str">
            <v>Plant</v>
          </cell>
        </row>
        <row r="189">
          <cell r="A189" t="str">
            <v>70000129</v>
          </cell>
          <cell r="B189" t="str">
            <v>RACHIE DIAWAWANA</v>
          </cell>
          <cell r="C189" t="str">
            <v>Male</v>
          </cell>
          <cell r="D189" t="str">
            <v>Congo</v>
          </cell>
          <cell r="E189" t="str">
            <v xml:space="preserve">Mobile Equipment Operator - Grader </v>
          </cell>
          <cell r="F189" t="str">
            <v>B3</v>
          </cell>
          <cell r="G189">
            <v>30536</v>
          </cell>
          <cell r="H189">
            <v>42</v>
          </cell>
          <cell r="I189" t="str">
            <v xml:space="preserve">40 - 44 ans </v>
          </cell>
          <cell r="J189">
            <v>43192</v>
          </cell>
          <cell r="K189">
            <v>8</v>
          </cell>
          <cell r="L189" t="str">
            <v>7 - 9 years</v>
          </cell>
          <cell r="M189" t="str">
            <v>Mining</v>
          </cell>
          <cell r="N189" t="str">
            <v>Plant</v>
          </cell>
        </row>
        <row r="190">
          <cell r="A190" t="str">
            <v>70000204</v>
          </cell>
          <cell r="B190" t="str">
            <v>Marques Mpungwe</v>
          </cell>
          <cell r="C190" t="str">
            <v>Male</v>
          </cell>
          <cell r="D190" t="str">
            <v>The Democratic Republic of the Congo</v>
          </cell>
          <cell r="E190" t="str">
            <v>Mining Superintendant</v>
          </cell>
          <cell r="F190" t="str">
            <v>D1</v>
          </cell>
          <cell r="G190">
            <v>28290</v>
          </cell>
          <cell r="H190">
            <v>49</v>
          </cell>
          <cell r="I190" t="str">
            <v xml:space="preserve">45 - 49 ans </v>
          </cell>
          <cell r="J190">
            <v>44319</v>
          </cell>
          <cell r="K190">
            <v>5</v>
          </cell>
          <cell r="L190" t="str">
            <v>4 - 6 years</v>
          </cell>
          <cell r="M190" t="str">
            <v>Mining</v>
          </cell>
          <cell r="N190" t="str">
            <v>Plant</v>
          </cell>
        </row>
        <row r="191">
          <cell r="A191" t="str">
            <v>70000208</v>
          </cell>
          <cell r="B191" t="str">
            <v>Cyrille Kone</v>
          </cell>
          <cell r="C191" t="str">
            <v>Male</v>
          </cell>
          <cell r="D191" t="str">
            <v>Côte d'Ivoire</v>
          </cell>
          <cell r="E191" t="str">
            <v>Finance Manager</v>
          </cell>
          <cell r="F191" t="str">
            <v>D2</v>
          </cell>
          <cell r="G191">
            <v>33139</v>
          </cell>
          <cell r="H191">
            <v>35</v>
          </cell>
          <cell r="I191" t="str">
            <v xml:space="preserve">35 - 39 ans </v>
          </cell>
          <cell r="J191">
            <v>44593</v>
          </cell>
          <cell r="K191">
            <v>4</v>
          </cell>
          <cell r="L191" t="str">
            <v>4 - 6 years</v>
          </cell>
          <cell r="M191" t="str">
            <v>Finance</v>
          </cell>
          <cell r="N191" t="str">
            <v>Kinshasa_Regions</v>
          </cell>
        </row>
        <row r="192">
          <cell r="A192" t="str">
            <v>70000233</v>
          </cell>
          <cell r="B192" t="str">
            <v>Hassan Kananga</v>
          </cell>
          <cell r="C192" t="str">
            <v>Male</v>
          </cell>
          <cell r="D192" t="str">
            <v>The Democratic Republic of the Congo</v>
          </cell>
          <cell r="E192" t="str">
            <v xml:space="preserve">Mining Shift Supervisor </v>
          </cell>
          <cell r="F192" t="str">
            <v>C3</v>
          </cell>
          <cell r="G192">
            <v>34429</v>
          </cell>
          <cell r="H192">
            <v>32</v>
          </cell>
          <cell r="I192" t="str">
            <v xml:space="preserve">30 - 34 ans </v>
          </cell>
          <cell r="J192">
            <v>45446</v>
          </cell>
          <cell r="K192">
            <v>2</v>
          </cell>
          <cell r="L192" t="str">
            <v>1 - 3 year(s)</v>
          </cell>
          <cell r="M192" t="str">
            <v>Mining</v>
          </cell>
          <cell r="N192" t="str">
            <v>Plant</v>
          </cell>
        </row>
        <row r="193">
          <cell r="A193" t="str">
            <v>70000266</v>
          </cell>
          <cell r="B193" t="str">
            <v>Giscard Rukomeza</v>
          </cell>
          <cell r="C193" t="str">
            <v>Male</v>
          </cell>
          <cell r="D193" t="str">
            <v>The Democratic Republic of the Congo</v>
          </cell>
          <cell r="E193" t="str">
            <v>Mining Manager</v>
          </cell>
          <cell r="F193" t="str">
            <v>D2</v>
          </cell>
          <cell r="G193">
            <v>31578</v>
          </cell>
          <cell r="H193">
            <v>40</v>
          </cell>
          <cell r="I193" t="str">
            <v xml:space="preserve">40 - 44 ans </v>
          </cell>
          <cell r="J193">
            <v>45414</v>
          </cell>
          <cell r="K193">
            <v>2</v>
          </cell>
          <cell r="L193" t="str">
            <v>1 - 3 year(s)</v>
          </cell>
          <cell r="M193" t="str">
            <v>Mining</v>
          </cell>
          <cell r="N193" t="str">
            <v>Plant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3">
          <cell r="E3" t="str">
            <v>APR</v>
          </cell>
          <cell r="F3" t="str">
            <v>MAY</v>
          </cell>
          <cell r="G3" t="str">
            <v>JUN</v>
          </cell>
          <cell r="H3" t="str">
            <v>JUL</v>
          </cell>
          <cell r="I3" t="str">
            <v>AUG</v>
          </cell>
          <cell r="J3" t="str">
            <v>SEP</v>
          </cell>
          <cell r="K3" t="str">
            <v>OCT</v>
          </cell>
          <cell r="L3" t="str">
            <v>NOV</v>
          </cell>
          <cell r="M3" t="str">
            <v>DEC</v>
          </cell>
          <cell r="N3" t="str">
            <v>JAN</v>
          </cell>
          <cell r="O3" t="str">
            <v>FEB</v>
          </cell>
          <cell r="P3" t="str">
            <v>MAR</v>
          </cell>
          <cell r="Q3" t="str">
            <v>%</v>
          </cell>
        </row>
        <row r="4">
          <cell r="C4" t="str">
            <v>CEC</v>
          </cell>
          <cell r="E4">
            <v>0</v>
          </cell>
          <cell r="F4">
            <v>16</v>
          </cell>
          <cell r="G4">
            <v>0</v>
          </cell>
          <cell r="H4">
            <v>0</v>
          </cell>
          <cell r="Q4">
            <v>3.9209535759096616E-3</v>
          </cell>
        </row>
        <row r="5">
          <cell r="C5" t="str">
            <v>ENG</v>
          </cell>
          <cell r="E5">
            <v>356.34</v>
          </cell>
          <cell r="F5">
            <v>538.73000000000013</v>
          </cell>
          <cell r="G5">
            <v>784.17999999999984</v>
          </cell>
          <cell r="H5">
            <v>639.19000000000005</v>
          </cell>
          <cell r="Q5">
            <v>0.5681559755332497</v>
          </cell>
        </row>
        <row r="6">
          <cell r="C6" t="str">
            <v>Mining</v>
          </cell>
          <cell r="E6">
            <v>64</v>
          </cell>
          <cell r="F6">
            <v>52.3</v>
          </cell>
          <cell r="G6">
            <v>60</v>
          </cell>
          <cell r="H6">
            <v>57.3</v>
          </cell>
          <cell r="Q6">
            <v>5.7245922208281064E-2</v>
          </cell>
        </row>
        <row r="7">
          <cell r="C7" t="str">
            <v>Opt</v>
          </cell>
          <cell r="E7">
            <v>0</v>
          </cell>
          <cell r="F7">
            <v>6.3</v>
          </cell>
          <cell r="G7">
            <v>0</v>
          </cell>
          <cell r="H7">
            <v>0</v>
          </cell>
          <cell r="Q7">
            <v>1.5438754705144292E-3</v>
          </cell>
        </row>
        <row r="8">
          <cell r="C8" t="str">
            <v>Prod</v>
          </cell>
          <cell r="E8">
            <v>53.06</v>
          </cell>
          <cell r="F8">
            <v>241.41000000000003</v>
          </cell>
          <cell r="G8">
            <v>163.52000000000001</v>
          </cell>
          <cell r="H8">
            <v>378.92</v>
          </cell>
          <cell r="Q8">
            <v>0.20509282857590969</v>
          </cell>
        </row>
        <row r="9">
          <cell r="C9" t="str">
            <v>Log</v>
          </cell>
          <cell r="E9">
            <v>57.989999999999995</v>
          </cell>
          <cell r="F9">
            <v>128.91</v>
          </cell>
          <cell r="G9">
            <v>82.24</v>
          </cell>
          <cell r="H9">
            <v>65.569999999999993</v>
          </cell>
          <cell r="Q9">
            <v>8.2023898212045171E-2</v>
          </cell>
        </row>
        <row r="10">
          <cell r="C10" t="str">
            <v>QA</v>
          </cell>
          <cell r="E10">
            <v>68.58</v>
          </cell>
          <cell r="F10">
            <v>53.97</v>
          </cell>
          <cell r="G10">
            <v>101.13</v>
          </cell>
          <cell r="H10">
            <v>111</v>
          </cell>
          <cell r="Q10">
            <v>8.2016546424090342E-2</v>
          </cell>
        </row>
        <row r="16">
          <cell r="E16" t="str">
            <v>APR</v>
          </cell>
          <cell r="F16" t="str">
            <v>MAY</v>
          </cell>
          <cell r="G16" t="str">
            <v>JUN</v>
          </cell>
          <cell r="H16" t="str">
            <v>JUL</v>
          </cell>
          <cell r="I16" t="str">
            <v>AUG</v>
          </cell>
          <cell r="J16" t="str">
            <v>SEP</v>
          </cell>
          <cell r="K16" t="str">
            <v>OCT</v>
          </cell>
          <cell r="L16" t="str">
            <v>NOV</v>
          </cell>
          <cell r="M16" t="str">
            <v>DEC</v>
          </cell>
          <cell r="N16" t="str">
            <v>JAN</v>
          </cell>
          <cell r="O16" t="str">
            <v>FEB</v>
          </cell>
          <cell r="P16" t="str">
            <v>MAR</v>
          </cell>
          <cell r="Q16" t="str">
            <v>%</v>
          </cell>
        </row>
        <row r="17">
          <cell r="C17" t="str">
            <v>CEC</v>
          </cell>
          <cell r="E17">
            <v>0</v>
          </cell>
          <cell r="F17">
            <v>240.38846137105548</v>
          </cell>
          <cell r="G17">
            <v>0</v>
          </cell>
          <cell r="H17">
            <v>0</v>
          </cell>
          <cell r="Q17">
            <v>6.0270231218246583E-3</v>
          </cell>
        </row>
        <row r="18">
          <cell r="C18" t="str">
            <v>ENG</v>
          </cell>
          <cell r="E18">
            <v>3807.7021408572041</v>
          </cell>
          <cell r="F18">
            <v>5326.2197257888984</v>
          </cell>
          <cell r="G18">
            <v>8020.6187319387536</v>
          </cell>
          <cell r="H18">
            <v>6262.8716637781636</v>
          </cell>
          <cell r="Q18">
            <v>0.58712171272109215</v>
          </cell>
        </row>
        <row r="19">
          <cell r="C19" t="str">
            <v>Mining</v>
          </cell>
          <cell r="E19">
            <v>513.25301744561705</v>
          </cell>
          <cell r="F19">
            <v>402.22010446137108</v>
          </cell>
          <cell r="G19">
            <v>586.04396808281217</v>
          </cell>
          <cell r="H19">
            <v>430.45051126516466</v>
          </cell>
          <cell r="Q19">
            <v>4.8438320778660379E-2</v>
          </cell>
        </row>
        <row r="20">
          <cell r="C20" t="str">
            <v>Opt</v>
          </cell>
          <cell r="E20">
            <v>0</v>
          </cell>
          <cell r="F20">
            <v>45.854250272034818</v>
          </cell>
          <cell r="G20">
            <v>0</v>
          </cell>
          <cell r="H20">
            <v>0</v>
          </cell>
          <cell r="Q20">
            <v>1.1496584530190964E-3</v>
          </cell>
        </row>
        <row r="21">
          <cell r="C21" t="str">
            <v>Prod</v>
          </cell>
          <cell r="E21">
            <v>620.02703855265997</v>
          </cell>
          <cell r="F21">
            <v>2296.8059499455926</v>
          </cell>
          <cell r="G21">
            <v>1749.3283804183741</v>
          </cell>
          <cell r="H21">
            <v>3481.9247876949753</v>
          </cell>
          <cell r="Q21">
            <v>0.20428893876364143</v>
          </cell>
        </row>
        <row r="22">
          <cell r="C22" t="str">
            <v>Log</v>
          </cell>
          <cell r="E22">
            <v>637.95511953478353</v>
          </cell>
          <cell r="F22">
            <v>1084.9869597388465</v>
          </cell>
          <cell r="G22">
            <v>824.61975415139091</v>
          </cell>
          <cell r="H22">
            <v>716.59825389948003</v>
          </cell>
          <cell r="Q22">
            <v>8.1839070841570591E-2</v>
          </cell>
        </row>
        <row r="23">
          <cell r="C23" t="str">
            <v>QA</v>
          </cell>
          <cell r="E23">
            <v>545.43868188671115</v>
          </cell>
          <cell r="F23">
            <v>575.12230250272034</v>
          </cell>
          <cell r="G23">
            <v>774.62589605348273</v>
          </cell>
          <cell r="H23">
            <v>942.05117850953206</v>
          </cell>
          <cell r="Q23">
            <v>7.1135275320191732E-2</v>
          </cell>
        </row>
        <row r="27">
          <cell r="D27" t="str">
            <v>APR</v>
          </cell>
          <cell r="E27" t="str">
            <v>MAY</v>
          </cell>
          <cell r="F27" t="str">
            <v>JUN</v>
          </cell>
          <cell r="G27" t="str">
            <v>JUL</v>
          </cell>
          <cell r="H27" t="str">
            <v>AUG</v>
          </cell>
          <cell r="I27" t="str">
            <v>SEP</v>
          </cell>
          <cell r="J27" t="str">
            <v>OCT</v>
          </cell>
          <cell r="K27" t="str">
            <v>NOV</v>
          </cell>
          <cell r="L27" t="str">
            <v>DEC</v>
          </cell>
          <cell r="M27" t="str">
            <v>JAN</v>
          </cell>
          <cell r="N27" t="str">
            <v>FEB</v>
          </cell>
          <cell r="O27" t="str">
            <v>MAR</v>
          </cell>
        </row>
        <row r="28">
          <cell r="C28" t="str">
            <v>Actual</v>
          </cell>
          <cell r="D28">
            <v>6124.375998276977</v>
          </cell>
          <cell r="E28">
            <v>9971.5977540805197</v>
          </cell>
          <cell r="F28">
            <v>11955.236730644814</v>
          </cell>
          <cell r="G28">
            <v>11833.896395147314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C29" t="str">
            <v>Budget</v>
          </cell>
          <cell r="D29">
            <v>19182.830000000002</v>
          </cell>
          <cell r="E29">
            <v>19182.830000000002</v>
          </cell>
          <cell r="F29">
            <v>19182.830000000002</v>
          </cell>
          <cell r="G29">
            <v>19182.830000000002</v>
          </cell>
          <cell r="H29">
            <v>19182.830000000002</v>
          </cell>
          <cell r="I29">
            <v>19182.830000000002</v>
          </cell>
          <cell r="J29">
            <v>19182.830000000002</v>
          </cell>
          <cell r="K29">
            <v>19182.830000000002</v>
          </cell>
          <cell r="L29">
            <v>19182.830000000002</v>
          </cell>
          <cell r="M29">
            <v>19182.830000000002</v>
          </cell>
          <cell r="N29">
            <v>19182.830000000002</v>
          </cell>
          <cell r="O29">
            <v>19182.830000000002</v>
          </cell>
        </row>
      </sheetData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omponent%20Posted%20Units_July%20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deon Massadi" refreshedDate="46258.811625347225" createdVersion="8" refreshedVersion="8" minRefreshableVersion="3" recordCount="110" xr:uid="{ECE3EB46-420C-4007-AAB7-E8CEA6FC383B}">
  <cacheSource type="worksheet">
    <worksheetSource ref="A1:G111" sheet="ComponentPosted Mco July 26" r:id="rId2"/>
  </cacheSource>
  <cacheFields count="7">
    <cacheField name="Employee Last Name" numFmtId="0">
      <sharedItems count="50">
        <s v="Nlandu"/>
        <s v="Samba"/>
        <s v="Nsilu"/>
        <s v="Tandu"/>
        <s v="Musako"/>
        <s v="Mvilambi"/>
        <s v="Kamanda"/>
        <s v="Mawete"/>
        <s v="Bavibidila"/>
        <s v="Bitutu"/>
        <s v="Mutambayi"/>
        <s v="Muanda"/>
        <s v="Kalunga"/>
        <s v="Tshilolo"/>
        <s v="Mukonkole"/>
        <s v="Badibanga"/>
        <s v="Kamunga"/>
        <s v="Lutonadio"/>
        <s v="Luzolawo"/>
        <s v="Nzuzi"/>
        <s v="Matoko"/>
        <s v="Vangu"/>
        <s v="Nsakala"/>
        <s v="Lukuayi"/>
        <s v="Toko"/>
        <s v="Kankonde"/>
        <s v="Bayisa"/>
        <s v="Mvumbi"/>
        <s v="Tulomba"/>
        <s v="Ngoma"/>
        <s v="Onosamba"/>
        <s v="Nzungu"/>
        <s v="Bindama"/>
        <s v="Mansiamina"/>
        <s v="Ntunga"/>
        <s v="Ngimbi"/>
        <s v="Muntanda"/>
        <s v="Muzo"/>
        <s v="KUABI"/>
        <s v="Wampangulua"/>
        <s v="Da Conceição"/>
        <s v="NSEMBOLO"/>
        <s v="Biawila"/>
        <s v="LINGOMA"/>
        <s v="MAKIVOVI"/>
        <s v="Nkosi"/>
        <s v="DIAWAWANA"/>
        <s v="Kananga"/>
        <s v="Zola"/>
        <s v="KINSIONA"/>
      </sharedItems>
    </cacheField>
    <cacheField name="Init." numFmtId="0">
      <sharedItems/>
    </cacheField>
    <cacheField name="Employee Number" numFmtId="0">
      <sharedItems count="52">
        <s v="70000076"/>
        <s v="70000077"/>
        <s v="70000080"/>
        <s v="70000081"/>
        <s v="70000083"/>
        <s v="70000084"/>
        <s v="70000210"/>
        <s v="70000276"/>
        <s v="70000069"/>
        <s v="70000070"/>
        <s v="70000026"/>
        <s v="70000063"/>
        <s v="70000064"/>
        <s v="70000242"/>
        <s v="70000243"/>
        <s v="70000244"/>
        <s v="70000264"/>
        <s v="70000057"/>
        <s v="70000059"/>
        <s v="70000061"/>
        <s v="70000214"/>
        <s v="70000029"/>
        <s v="70000056"/>
        <s v="70000096"/>
        <s v="70000211"/>
        <s v="70000212"/>
        <s v="70000226"/>
        <s v="70000052"/>
        <s v="70000079"/>
        <s v="70000088"/>
        <s v="70000104"/>
        <s v="70000115"/>
        <s v="70000116"/>
        <s v="70000215"/>
        <s v="70000216"/>
        <s v="70000227"/>
        <s v="70000283"/>
        <s v="70000284"/>
        <s v="70000306"/>
        <s v="70000309"/>
        <s v="70000171"/>
        <s v="70000229"/>
        <s v="70000232"/>
        <s v="70000015"/>
        <s v="70000241"/>
        <s v="70000255"/>
        <s v="70000043"/>
        <s v="70000097"/>
        <s v="70000129"/>
        <s v="70000233"/>
        <s v="70000124"/>
        <s v="70000013"/>
      </sharedItems>
    </cacheField>
    <cacheField name="Org. Unit" numFmtId="0">
      <sharedItems count="5">
        <s v="Quality Assurance"/>
        <s v="Production"/>
        <s v="Engineering"/>
        <s v="Logistic"/>
        <s v="Mining"/>
      </sharedItems>
    </cacheField>
    <cacheField name="Component" numFmtId="0">
      <sharedItems/>
    </cacheField>
    <cacheField name="Units" numFmtId="166">
      <sharedItems containsSemiMixedTypes="0" containsString="0" containsNumber="1" minValue="0.32" maxValue="47.58" count="76">
        <n v="2"/>
        <n v="0.34"/>
        <n v="19.399999999999999"/>
        <n v="3.03"/>
        <n v="18.809999999999999"/>
        <n v="9.0500000000000007"/>
        <n v="10.210000000000001"/>
        <n v="8.57"/>
        <n v="15.43"/>
        <n v="24.16"/>
        <n v="3.17"/>
        <n v="6"/>
        <n v="7.7"/>
        <n v="6.01"/>
        <n v="4"/>
        <n v="15.33"/>
        <n v="22.01"/>
        <n v="6.11"/>
        <n v="15.34"/>
        <n v="25.7"/>
        <n v="2.0299999999999998"/>
        <n v="12.62"/>
        <n v="26.1"/>
        <n v="3.07"/>
        <n v="10.02"/>
        <n v="28.49"/>
        <n v="12"/>
        <n v="8"/>
        <n v="0.66"/>
        <n v="14.08"/>
        <n v="8.39"/>
        <n v="8.06"/>
        <n v="7.09"/>
        <n v="14.17"/>
        <n v="9.26"/>
        <n v="0.57999999999999996"/>
        <n v="32.35"/>
        <n v="24.49"/>
        <n v="10"/>
        <n v="0.32"/>
        <n v="26.59"/>
        <n v="0.85"/>
        <n v="26.58"/>
        <n v="47.58"/>
        <n v="25.31"/>
        <n v="5.87"/>
        <n v="37.409999999999997"/>
        <n v="26.67"/>
        <n v="32.67"/>
        <n v="33.119999999999997"/>
        <n v="2.95"/>
        <n v="1.49"/>
        <n v="30.85"/>
        <n v="31.3"/>
        <n v="15.87"/>
        <n v="4.03"/>
        <n v="13.02"/>
        <n v="21.26"/>
        <n v="7.42"/>
        <n v="18.600000000000001"/>
        <n v="16.3"/>
        <n v="21.3"/>
        <n v="32.36"/>
        <n v="27.37"/>
        <n v="9.19"/>
        <n v="2.2200000000000002"/>
        <n v="42.2"/>
        <n v="5.85"/>
        <n v="0.52"/>
        <n v="22.74"/>
        <n v="1.1499999999999999"/>
        <n v="35.31"/>
        <n v="5"/>
        <n v="9"/>
        <n v="2.2999999999999998"/>
        <n v="17"/>
      </sharedItems>
    </cacheField>
    <cacheField name="Component Value" numFmtId="166">
      <sharedItems containsSemiMixedTypes="0" containsString="0" containsNumber="1" minValue="4851.03" maxValue="1226122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s v="E"/>
    <x v="0"/>
    <x v="0"/>
    <s v="Heures supplémentaires x 1.3 du taux de base"/>
    <x v="0"/>
    <n v="25265.39"/>
  </r>
  <r>
    <x v="0"/>
    <s v="E"/>
    <x v="0"/>
    <x v="0"/>
    <s v="Heures supplémentaires x 1.6 du taux de base"/>
    <x v="1"/>
    <n v="5286.3"/>
  </r>
  <r>
    <x v="0"/>
    <s v="E"/>
    <x v="0"/>
    <x v="0"/>
    <s v="Heures supplémentaires x 2.0 du taux de base"/>
    <x v="2"/>
    <n v="377037.32"/>
  </r>
  <r>
    <x v="1"/>
    <s v="C"/>
    <x v="1"/>
    <x v="0"/>
    <s v="Heures supplémentaires x 2.0 du taux de base"/>
    <x v="3"/>
    <n v="36233.72"/>
  </r>
  <r>
    <x v="2"/>
    <s v="N"/>
    <x v="2"/>
    <x v="0"/>
    <s v="Heures supplémentaires x 2.0 du taux de base"/>
    <x v="4"/>
    <n v="328443.84999999998"/>
  </r>
  <r>
    <x v="3"/>
    <s v="B"/>
    <x v="3"/>
    <x v="0"/>
    <s v="Heures supplémentaires x 2.0 du taux de base"/>
    <x v="5"/>
    <n v="159684.17000000001"/>
  </r>
  <r>
    <x v="4"/>
    <s v="M"/>
    <x v="4"/>
    <x v="0"/>
    <s v="Heures supplémentaires x 2.0 du taux de base"/>
    <x v="6"/>
    <n v="406194.45"/>
  </r>
  <r>
    <x v="5"/>
    <s v="DM"/>
    <x v="5"/>
    <x v="0"/>
    <s v="Heures supplémentaires x 2.0 du taux de base"/>
    <x v="7"/>
    <n v="94177.33"/>
  </r>
  <r>
    <x v="6"/>
    <s v="SNK"/>
    <x v="6"/>
    <x v="0"/>
    <s v="Heures supplémentaires x 2.0 du taux de base"/>
    <x v="8"/>
    <n v="408720.41"/>
  </r>
  <r>
    <x v="7"/>
    <s v="ME"/>
    <x v="7"/>
    <x v="0"/>
    <s v="Heures supplémentaires x 2.0 du taux de base"/>
    <x v="9"/>
    <n v="333211.18"/>
  </r>
  <r>
    <x v="8"/>
    <s v="G"/>
    <x v="8"/>
    <x v="1"/>
    <s v="Heures supplémentaires x 2.0 du taux de base"/>
    <x v="10"/>
    <n v="31391.41"/>
  </r>
  <r>
    <x v="9"/>
    <s v="E"/>
    <x v="9"/>
    <x v="1"/>
    <s v="Heures supplémentaires x 2.0 du taux de base"/>
    <x v="11"/>
    <n v="59635.61"/>
  </r>
  <r>
    <x v="10"/>
    <s v="K"/>
    <x v="10"/>
    <x v="1"/>
    <s v="Heures supplémentaires x 1.3 du taux de base"/>
    <x v="0"/>
    <n v="68858.37"/>
  </r>
  <r>
    <x v="10"/>
    <s v="K"/>
    <x v="10"/>
    <x v="1"/>
    <s v="Heures supplémentaires x 1.6 du taux de base"/>
    <x v="12"/>
    <n v="326282.75"/>
  </r>
  <r>
    <x v="10"/>
    <s v="K"/>
    <x v="10"/>
    <x v="1"/>
    <s v="Heures supplémentaires x 2.0 du taux de base"/>
    <x v="13"/>
    <n v="318337.55"/>
  </r>
  <r>
    <x v="11"/>
    <s v="J"/>
    <x v="11"/>
    <x v="1"/>
    <s v="Heures supplémentaires x 1.3 du taux de base"/>
    <x v="14"/>
    <n v="100408.96000000001"/>
  </r>
  <r>
    <x v="11"/>
    <s v="J"/>
    <x v="11"/>
    <x v="1"/>
    <s v="Heures supplémentaires x 1.6 du taux de base"/>
    <x v="15"/>
    <n v="473621.35"/>
  </r>
  <r>
    <x v="11"/>
    <s v="J"/>
    <x v="11"/>
    <x v="1"/>
    <s v="Heures supplémentaires x 2.0 du taux de base"/>
    <x v="16"/>
    <n v="850000.49"/>
  </r>
  <r>
    <x v="12"/>
    <s v="R"/>
    <x v="12"/>
    <x v="1"/>
    <s v="Heures supplémentaires x 2.0 du taux de base"/>
    <x v="17"/>
    <n v="193922.55"/>
  </r>
  <r>
    <x v="13"/>
    <s v="TWM"/>
    <x v="13"/>
    <x v="1"/>
    <s v="Heures supplémentaires x 1.3 du taux de base"/>
    <x v="11"/>
    <n v="71838.23"/>
  </r>
  <r>
    <x v="13"/>
    <s v="TWM"/>
    <x v="13"/>
    <x v="1"/>
    <s v="Heures supplémentaires x 1.6 du taux de base"/>
    <x v="18"/>
    <n v="226050.97"/>
  </r>
  <r>
    <x v="13"/>
    <s v="TWM"/>
    <x v="13"/>
    <x v="1"/>
    <s v="Heures supplémentaires x 2.0 du taux de base"/>
    <x v="19"/>
    <n v="473395.52"/>
  </r>
  <r>
    <x v="14"/>
    <s v="MCK"/>
    <x v="14"/>
    <x v="1"/>
    <s v="Heures supplémentaires x 1.3 du taux de base"/>
    <x v="20"/>
    <n v="23772.32"/>
  </r>
  <r>
    <x v="14"/>
    <s v="MCK"/>
    <x v="14"/>
    <x v="1"/>
    <s v="Heures supplémentaires x 1.6 du taux de base"/>
    <x v="21"/>
    <n v="181891.14"/>
  </r>
  <r>
    <x v="14"/>
    <s v="MCK"/>
    <x v="14"/>
    <x v="1"/>
    <s v="Heures supplémentaires x 2.0 du taux de base"/>
    <x v="22"/>
    <n v="470221.76"/>
  </r>
  <r>
    <x v="15"/>
    <s v="BLM"/>
    <x v="15"/>
    <x v="1"/>
    <s v="Heures supplémentaires x 2.0 du taux de base"/>
    <x v="23"/>
    <n v="56577.52"/>
  </r>
  <r>
    <x v="16"/>
    <s v="YK"/>
    <x v="16"/>
    <x v="1"/>
    <s v="Heures supplémentaires x 1.3 du taux de base"/>
    <x v="14"/>
    <n v="44173.39"/>
  </r>
  <r>
    <x v="16"/>
    <s v="YK"/>
    <x v="16"/>
    <x v="1"/>
    <s v="Heures supplémentaires x 1.6 du taux de base"/>
    <x v="24"/>
    <n v="136189.96"/>
  </r>
  <r>
    <x v="16"/>
    <s v="YK"/>
    <x v="16"/>
    <x v="1"/>
    <s v="Heures supplémentaires x 2.0 du taux de base"/>
    <x v="25"/>
    <n v="484038.40000000002"/>
  </r>
  <r>
    <x v="17"/>
    <s v="OL"/>
    <x v="17"/>
    <x v="1"/>
    <s v="Heures supplémentaires x 1.3 du taux de base"/>
    <x v="0"/>
    <n v="38004.11"/>
  </r>
  <r>
    <x v="17"/>
    <s v="OL"/>
    <x v="17"/>
    <x v="1"/>
    <s v="Heures supplémentaires x 1.6 du taux de base"/>
    <x v="26"/>
    <n v="280645.7"/>
  </r>
  <r>
    <x v="17"/>
    <s v="OL"/>
    <x v="17"/>
    <x v="1"/>
    <s v="Heures supplémentaires x 2.0 du taux de base"/>
    <x v="14"/>
    <n v="116935.71"/>
  </r>
  <r>
    <x v="18"/>
    <s v="R"/>
    <x v="18"/>
    <x v="1"/>
    <s v="Heures supplémentaires x 1.3 du taux de base"/>
    <x v="0"/>
    <n v="38132.199999999997"/>
  </r>
  <r>
    <x v="18"/>
    <s v="R"/>
    <x v="18"/>
    <x v="1"/>
    <s v="Heures supplémentaires x 1.6 du taux de base"/>
    <x v="26"/>
    <n v="281591.62"/>
  </r>
  <r>
    <x v="18"/>
    <s v="R"/>
    <x v="18"/>
    <x v="1"/>
    <s v="Heures supplémentaires x 2.0 du taux de base"/>
    <x v="27"/>
    <n v="234659.69"/>
  </r>
  <r>
    <x v="19"/>
    <s v="J"/>
    <x v="19"/>
    <x v="1"/>
    <s v="Heures supplémentaires x 1.3 du taux de base"/>
    <x v="0"/>
    <n v="40178.239999999998"/>
  </r>
  <r>
    <x v="19"/>
    <s v="J"/>
    <x v="19"/>
    <x v="1"/>
    <s v="Heures supplémentaires x 1.6 du taux de base"/>
    <x v="26"/>
    <n v="296700.86"/>
  </r>
  <r>
    <x v="19"/>
    <s v="J"/>
    <x v="19"/>
    <x v="1"/>
    <s v="Heures supplémentaires x 2.0 du taux de base"/>
    <x v="27"/>
    <n v="247250.71"/>
  </r>
  <r>
    <x v="20"/>
    <s v="JM"/>
    <x v="20"/>
    <x v="1"/>
    <s v="Heures supplémentaires x 2.0 du taux de base"/>
    <x v="27"/>
    <n v="114392.21"/>
  </r>
  <r>
    <x v="21"/>
    <s v="M"/>
    <x v="21"/>
    <x v="1"/>
    <s v="Heures supplémentaires x 1.3 du taux de base"/>
    <x v="28"/>
    <n v="24025.5"/>
  </r>
  <r>
    <x v="21"/>
    <s v="M"/>
    <x v="21"/>
    <x v="1"/>
    <s v="Heures supplémentaires x 2.0 du taux de base"/>
    <x v="29"/>
    <n v="788529.34"/>
  </r>
  <r>
    <x v="22"/>
    <s v="G"/>
    <x v="22"/>
    <x v="1"/>
    <s v="Heures supplémentaires x 2.0 du taux de base"/>
    <x v="30"/>
    <n v="112006.54"/>
  </r>
  <r>
    <x v="23"/>
    <s v="O"/>
    <x v="23"/>
    <x v="1"/>
    <s v="Heures supplémentaires x 2.0 du taux de base"/>
    <x v="31"/>
    <n v="74971.570000000007"/>
  </r>
  <r>
    <x v="24"/>
    <s v="JT"/>
    <x v="24"/>
    <x v="1"/>
    <s v="Heures supplémentaires x 2.0 du taux de base"/>
    <x v="32"/>
    <n v="122117.41"/>
  </r>
  <r>
    <x v="21"/>
    <s v="AV"/>
    <x v="25"/>
    <x v="1"/>
    <s v="Heures supplémentaires x 1.3 du taux de base"/>
    <x v="14"/>
    <n v="25757.86"/>
  </r>
  <r>
    <x v="21"/>
    <s v="AV"/>
    <x v="25"/>
    <x v="1"/>
    <s v="Heures supplémentaires x 1.6 du taux de base"/>
    <x v="33"/>
    <n v="112304.26"/>
  </r>
  <r>
    <x v="21"/>
    <s v="AV"/>
    <x v="25"/>
    <x v="1"/>
    <s v="Heures supplémentaires x 2.0 du taux de base"/>
    <x v="34"/>
    <n v="91737.600000000006"/>
  </r>
  <r>
    <x v="25"/>
    <s v="KAL"/>
    <x v="26"/>
    <x v="1"/>
    <s v="Heures supplémentaires x 1.3 du taux de base"/>
    <x v="0"/>
    <n v="13591.24"/>
  </r>
  <r>
    <x v="25"/>
    <s v="KAL"/>
    <x v="26"/>
    <x v="1"/>
    <s v="Heures supplémentaires x 1.6 du taux de base"/>
    <x v="35"/>
    <n v="4851.03"/>
  </r>
  <r>
    <x v="25"/>
    <s v="KAL"/>
    <x v="26"/>
    <x v="1"/>
    <s v="Heures supplémentaires x 2.0 du taux de base"/>
    <x v="36"/>
    <n v="338212.66"/>
  </r>
  <r>
    <x v="26"/>
    <s v="S"/>
    <x v="27"/>
    <x v="2"/>
    <s v="Heures supplémentaires x 1.3 du taux de base"/>
    <x v="14"/>
    <n v="73836.960000000006"/>
  </r>
  <r>
    <x v="26"/>
    <s v="S"/>
    <x v="27"/>
    <x v="2"/>
    <s v="Heures supplémentaires x 1.6 du taux de base"/>
    <x v="37"/>
    <n v="556389.88"/>
  </r>
  <r>
    <x v="26"/>
    <s v="S"/>
    <x v="27"/>
    <x v="2"/>
    <s v="Heures supplémentaires x 2.0 du taux de base"/>
    <x v="38"/>
    <n v="283988.3"/>
  </r>
  <r>
    <x v="27"/>
    <s v="D"/>
    <x v="28"/>
    <x v="2"/>
    <s v="Heures supplémentaires x 1.3 du taux de base"/>
    <x v="39"/>
    <n v="5831.12"/>
  </r>
  <r>
    <x v="27"/>
    <s v="D"/>
    <x v="28"/>
    <x v="2"/>
    <s v="Heures supplémentaires x 2.0 du taux de base"/>
    <x v="40"/>
    <n v="745429.66"/>
  </r>
  <r>
    <x v="28"/>
    <s v="O"/>
    <x v="29"/>
    <x v="2"/>
    <s v="Heures supplémentaires x 1.3 du taux de base"/>
    <x v="0"/>
    <n v="38380.019999999997"/>
  </r>
  <r>
    <x v="28"/>
    <s v="O"/>
    <x v="29"/>
    <x v="2"/>
    <s v="Heures supplémentaires x 1.6 du taux de base"/>
    <x v="41"/>
    <n v="20075.7"/>
  </r>
  <r>
    <x v="28"/>
    <s v="O"/>
    <x v="29"/>
    <x v="2"/>
    <s v="Heures supplémentaires x 2.0 du taux de base"/>
    <x v="42"/>
    <n v="784723.8"/>
  </r>
  <r>
    <x v="29"/>
    <s v="D"/>
    <x v="30"/>
    <x v="2"/>
    <s v="Heures supplémentaires x 1.3 du taux de base"/>
    <x v="11"/>
    <n v="125627.33"/>
  </r>
  <r>
    <x v="29"/>
    <s v="D"/>
    <x v="30"/>
    <x v="2"/>
    <s v="Heures supplémentaires x 1.6 du taux de base"/>
    <x v="43"/>
    <n v="1226122.69"/>
  </r>
  <r>
    <x v="29"/>
    <s v="D"/>
    <x v="30"/>
    <x v="2"/>
    <s v="Heures supplémentaires x 2.0 du taux de base"/>
    <x v="44"/>
    <n v="815289.13"/>
  </r>
  <r>
    <x v="30"/>
    <s v="L"/>
    <x v="31"/>
    <x v="2"/>
    <s v="Heures supplémentaires x 1.3 du taux de base"/>
    <x v="45"/>
    <n v="108434.48"/>
  </r>
  <r>
    <x v="30"/>
    <s v="L"/>
    <x v="31"/>
    <x v="2"/>
    <s v="Heures supplémentaires x 1.6 du taux de base"/>
    <x v="46"/>
    <n v="850537.88"/>
  </r>
  <r>
    <x v="30"/>
    <s v="L"/>
    <x v="31"/>
    <x v="2"/>
    <s v="Heures supplémentaires x 2.0 du taux de base"/>
    <x v="47"/>
    <n v="757947.24"/>
  </r>
  <r>
    <x v="31"/>
    <s v="A"/>
    <x v="32"/>
    <x v="2"/>
    <s v="Heures supplémentaires x 1.3 du taux de base"/>
    <x v="14"/>
    <n v="76410.960000000006"/>
  </r>
  <r>
    <x v="31"/>
    <s v="A"/>
    <x v="32"/>
    <x v="2"/>
    <s v="Heures supplémentaires x 1.6 du taux de base"/>
    <x v="48"/>
    <n v="768106.44"/>
  </r>
  <r>
    <x v="31"/>
    <s v="A"/>
    <x v="32"/>
    <x v="2"/>
    <s v="Heures supplémentaires x 2.0 du taux de base"/>
    <x v="49"/>
    <n v="973358.02"/>
  </r>
  <r>
    <x v="32"/>
    <s v="AB"/>
    <x v="33"/>
    <x v="2"/>
    <s v="Heures supplémentaires x 1.3 du taux de base"/>
    <x v="50"/>
    <n v="67177.48"/>
  </r>
  <r>
    <x v="32"/>
    <s v="AB"/>
    <x v="33"/>
    <x v="2"/>
    <s v="Heures supplémentaires x 1.6 du taux de base"/>
    <x v="51"/>
    <n v="41760.39"/>
  </r>
  <r>
    <x v="32"/>
    <s v="AB"/>
    <x v="33"/>
    <x v="2"/>
    <s v="Heures supplémentaires x 2.0 du taux de base"/>
    <x v="52"/>
    <n v="1080795.3999999999"/>
  </r>
  <r>
    <x v="33"/>
    <s v="PM"/>
    <x v="34"/>
    <x v="2"/>
    <s v="Heures supplémentaires x 1.3 du taux de base"/>
    <x v="14"/>
    <n v="83934.46"/>
  </r>
  <r>
    <x v="33"/>
    <s v="PM"/>
    <x v="34"/>
    <x v="2"/>
    <s v="Heures supplémentaires x 1.6 du taux de base"/>
    <x v="53"/>
    <n v="808353.41"/>
  </r>
  <r>
    <x v="33"/>
    <s v="PM"/>
    <x v="34"/>
    <x v="2"/>
    <s v="Heures supplémentaires x 2.0 du taux de base"/>
    <x v="54"/>
    <n v="512323.02"/>
  </r>
  <r>
    <x v="34"/>
    <s v="NDMP"/>
    <x v="35"/>
    <x v="2"/>
    <s v="Heures supplémentaires x 2.0 du taux de base"/>
    <x v="55"/>
    <n v="85353.96"/>
  </r>
  <r>
    <x v="35"/>
    <s v="NDN"/>
    <x v="36"/>
    <x v="2"/>
    <s v="Heures supplémentaires x 1.3 du taux de base"/>
    <x v="14"/>
    <n v="23404.85"/>
  </r>
  <r>
    <x v="35"/>
    <s v="NDN"/>
    <x v="36"/>
    <x v="2"/>
    <s v="Heures supplémentaires x 1.6 du taux de base"/>
    <x v="56"/>
    <n v="93763.43"/>
  </r>
  <r>
    <x v="35"/>
    <s v="NDN"/>
    <x v="36"/>
    <x v="2"/>
    <s v="Heures supplémentaires x 2.0 du taux de base"/>
    <x v="57"/>
    <n v="191379.67"/>
  </r>
  <r>
    <x v="36"/>
    <s v="MO"/>
    <x v="37"/>
    <x v="2"/>
    <s v="Heures supplémentaires x 1.3 du taux de base"/>
    <x v="0"/>
    <n v="33419.839999999997"/>
  </r>
  <r>
    <x v="36"/>
    <s v="MO"/>
    <x v="37"/>
    <x v="2"/>
    <s v="Heures supplémentaires x 1.6 du taux de base"/>
    <x v="58"/>
    <n v="152600.13"/>
  </r>
  <r>
    <x v="37"/>
    <s v="MBN"/>
    <x v="38"/>
    <x v="2"/>
    <s v="Heures supplémentaires x 1.3 du taux de base"/>
    <x v="14"/>
    <n v="42749.35"/>
  </r>
  <r>
    <x v="37"/>
    <s v="MBN"/>
    <x v="38"/>
    <x v="2"/>
    <s v="Heures supplémentaires x 1.6 du taux de base"/>
    <x v="59"/>
    <n v="244657.84"/>
  </r>
  <r>
    <x v="0"/>
    <s v="NJT"/>
    <x v="39"/>
    <x v="2"/>
    <s v="Heures supplémentaires x 1.3 du taux de base"/>
    <x v="27"/>
    <n v="100885.98"/>
  </r>
  <r>
    <x v="0"/>
    <s v="NJT"/>
    <x v="39"/>
    <x v="2"/>
    <s v="Heures supplémentaires x 1.6 du taux de base"/>
    <x v="60"/>
    <n v="252991"/>
  </r>
  <r>
    <x v="0"/>
    <s v="NJT"/>
    <x v="39"/>
    <x v="2"/>
    <s v="Heures supplémentaires x 2.0 du taux de base"/>
    <x v="61"/>
    <n v="413244.51"/>
  </r>
  <r>
    <x v="38"/>
    <s v="K"/>
    <x v="40"/>
    <x v="1"/>
    <s v="Heures supplémentaires x 1.3 du taux de base"/>
    <x v="0"/>
    <n v="36168.67"/>
  </r>
  <r>
    <x v="38"/>
    <s v="K"/>
    <x v="40"/>
    <x v="1"/>
    <s v="Heures supplémentaires x 1.6 du taux de base"/>
    <x v="35"/>
    <n v="12909.43"/>
  </r>
  <r>
    <x v="39"/>
    <s v="WGB"/>
    <x v="41"/>
    <x v="2"/>
    <s v="Heures supplémentaires x 1.3 du taux de base"/>
    <x v="0"/>
    <n v="10347.049999999999"/>
  </r>
  <r>
    <x v="39"/>
    <s v="WGB"/>
    <x v="41"/>
    <x v="2"/>
    <s v="Heures supplémentaires x 1.6 du taux de base"/>
    <x v="62"/>
    <n v="206049.61"/>
  </r>
  <r>
    <x v="39"/>
    <s v="WGB"/>
    <x v="41"/>
    <x v="2"/>
    <s v="Heures supplémentaires x 2.0 du taux de base"/>
    <x v="63"/>
    <n v="217845.25"/>
  </r>
  <r>
    <x v="40"/>
    <s v="LDC"/>
    <x v="42"/>
    <x v="2"/>
    <s v="Heures supplémentaires x 1.3 du taux de base"/>
    <x v="14"/>
    <n v="81825.52"/>
  </r>
  <r>
    <x v="40"/>
    <s v="LDC"/>
    <x v="42"/>
    <x v="2"/>
    <s v="Heures supplémentaires x 1.6 du taux de base"/>
    <x v="64"/>
    <n v="231377.4"/>
  </r>
  <r>
    <x v="40"/>
    <s v="LDC"/>
    <x v="42"/>
    <x v="2"/>
    <s v="Heures supplémentaires x 2.0 du taux de base"/>
    <x v="65"/>
    <n v="69866.41"/>
  </r>
  <r>
    <x v="41"/>
    <s v="L"/>
    <x v="43"/>
    <x v="2"/>
    <s v="Heures supplémentaires x 2.0 du taux de base"/>
    <x v="66"/>
    <n v="1198112.23"/>
  </r>
  <r>
    <x v="42"/>
    <s v="BJR"/>
    <x v="44"/>
    <x v="3"/>
    <s v="Heures supplémentaires x 1.3 du taux de base"/>
    <x v="67"/>
    <n v="79139.960000000006"/>
  </r>
  <r>
    <x v="42"/>
    <s v="BJR"/>
    <x v="44"/>
    <x v="3"/>
    <s v="Heures supplémentaires x 1.6 du taux de base"/>
    <x v="68"/>
    <n v="8658.0499999999993"/>
  </r>
  <r>
    <x v="42"/>
    <s v="BJR"/>
    <x v="44"/>
    <x v="3"/>
    <s v="Heures supplémentaires x 2.0 du taux de base"/>
    <x v="69"/>
    <n v="473278.8"/>
  </r>
  <r>
    <x v="43"/>
    <s v="JL"/>
    <x v="45"/>
    <x v="3"/>
    <s v="Heures supplémentaires x 1.3 du taux de base"/>
    <x v="70"/>
    <n v="22655.26"/>
  </r>
  <r>
    <x v="43"/>
    <s v="JL"/>
    <x v="45"/>
    <x v="3"/>
    <s v="Heures supplémentaires x 2.0 du taux de base"/>
    <x v="71"/>
    <n v="1070176.7"/>
  </r>
  <r>
    <x v="44"/>
    <s v="E"/>
    <x v="46"/>
    <x v="4"/>
    <s v="Heures supplémentaires x 1.3 du taux de base"/>
    <x v="0"/>
    <n v="23540.16"/>
  </r>
  <r>
    <x v="44"/>
    <s v="E"/>
    <x v="46"/>
    <x v="4"/>
    <s v="Heures supplémentaires x 1.6 du taux de base"/>
    <x v="72"/>
    <n v="72431.25"/>
  </r>
  <r>
    <x v="45"/>
    <s v="M"/>
    <x v="47"/>
    <x v="4"/>
    <s v="Heures supplémentaires x 1.3 du taux de base"/>
    <x v="14"/>
    <n v="26091.15"/>
  </r>
  <r>
    <x v="45"/>
    <s v="M"/>
    <x v="47"/>
    <x v="4"/>
    <s v="Heures supplémentaires x 1.6 du taux de base"/>
    <x v="73"/>
    <n v="72252.42"/>
  </r>
  <r>
    <x v="46"/>
    <s v="R"/>
    <x v="48"/>
    <x v="4"/>
    <s v="Heures supplémentaires x 1.3 du taux de base"/>
    <x v="0"/>
    <n v="14251.68"/>
  </r>
  <r>
    <x v="46"/>
    <s v="R"/>
    <x v="48"/>
    <x v="4"/>
    <s v="Heures supplémentaires x 1.6 du taux de base"/>
    <x v="74"/>
    <n v="20171.61"/>
  </r>
  <r>
    <x v="47"/>
    <s v="KHN"/>
    <x v="49"/>
    <x v="4"/>
    <s v="Heures supplémentaires x 1.3 du taux de base"/>
    <x v="0"/>
    <n v="41138.949999999997"/>
  </r>
  <r>
    <x v="47"/>
    <s v="KHN"/>
    <x v="49"/>
    <x v="4"/>
    <s v="Heures supplémentaires x 1.6 du taux de base"/>
    <x v="14"/>
    <n v="101265.11"/>
  </r>
  <r>
    <x v="48"/>
    <s v="L"/>
    <x v="50"/>
    <x v="4"/>
    <s v="Heures supplémentaires x 1.3 du taux de base"/>
    <x v="14"/>
    <n v="91148.74"/>
  </r>
  <r>
    <x v="48"/>
    <s v="L"/>
    <x v="50"/>
    <x v="4"/>
    <s v="Heures supplémentaires x 1.6 du taux de base"/>
    <x v="75"/>
    <n v="476778"/>
  </r>
  <r>
    <x v="49"/>
    <s v="K"/>
    <x v="51"/>
    <x v="4"/>
    <s v="Heures supplémentaires x 1.3 du taux de base"/>
    <x v="0"/>
    <n v="15718.65"/>
  </r>
  <r>
    <x v="49"/>
    <s v="K"/>
    <x v="51"/>
    <x v="4"/>
    <s v="Heures supplémentaires x 1.6 du taux de base"/>
    <x v="14"/>
    <n v="38692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744FB-9719-4AB2-BDEE-E860468178C4}" name="PivotTable3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55" firstHeaderRow="0" firstDataRow="1" firstDataCol="1"/>
  <pivotFields count="7">
    <pivotField showAll="0">
      <items count="51">
        <item x="15"/>
        <item x="8"/>
        <item x="26"/>
        <item x="42"/>
        <item x="32"/>
        <item x="9"/>
        <item x="40"/>
        <item x="46"/>
        <item x="12"/>
        <item x="6"/>
        <item x="16"/>
        <item x="47"/>
        <item x="25"/>
        <item x="49"/>
        <item x="38"/>
        <item x="43"/>
        <item x="23"/>
        <item x="17"/>
        <item x="18"/>
        <item x="44"/>
        <item x="33"/>
        <item x="20"/>
        <item x="7"/>
        <item x="11"/>
        <item x="14"/>
        <item x="36"/>
        <item x="4"/>
        <item x="10"/>
        <item x="37"/>
        <item x="5"/>
        <item x="27"/>
        <item x="35"/>
        <item x="29"/>
        <item x="45"/>
        <item x="0"/>
        <item x="22"/>
        <item x="41"/>
        <item x="2"/>
        <item x="34"/>
        <item x="31"/>
        <item x="19"/>
        <item x="30"/>
        <item x="1"/>
        <item x="3"/>
        <item x="24"/>
        <item x="13"/>
        <item x="28"/>
        <item x="21"/>
        <item x="39"/>
        <item x="48"/>
        <item t="default"/>
      </items>
    </pivotField>
    <pivotField showAll="0"/>
    <pivotField axis="axisRow" showAll="0">
      <items count="53">
        <item x="51"/>
        <item x="43"/>
        <item x="10"/>
        <item x="21"/>
        <item x="46"/>
        <item x="27"/>
        <item x="22"/>
        <item x="17"/>
        <item x="18"/>
        <item x="19"/>
        <item x="11"/>
        <item x="12"/>
        <item x="8"/>
        <item x="9"/>
        <item x="0"/>
        <item x="1"/>
        <item x="28"/>
        <item x="2"/>
        <item x="3"/>
        <item x="4"/>
        <item x="5"/>
        <item x="29"/>
        <item x="23"/>
        <item x="47"/>
        <item x="30"/>
        <item x="31"/>
        <item x="32"/>
        <item x="50"/>
        <item x="48"/>
        <item x="40"/>
        <item x="6"/>
        <item x="24"/>
        <item x="25"/>
        <item x="20"/>
        <item x="33"/>
        <item x="34"/>
        <item x="26"/>
        <item x="35"/>
        <item x="41"/>
        <item x="42"/>
        <item x="49"/>
        <item x="44"/>
        <item x="13"/>
        <item x="14"/>
        <item x="15"/>
        <item x="45"/>
        <item x="16"/>
        <item x="7"/>
        <item x="36"/>
        <item x="37"/>
        <item x="38"/>
        <item x="39"/>
        <item t="default"/>
      </items>
    </pivotField>
    <pivotField showAll="0">
      <items count="6">
        <item x="2"/>
        <item x="3"/>
        <item x="4"/>
        <item x="1"/>
        <item x="0"/>
        <item t="default"/>
      </items>
    </pivotField>
    <pivotField showAll="0"/>
    <pivotField dataField="1" numFmtId="166" showAll="0">
      <items count="77">
        <item x="39"/>
        <item x="1"/>
        <item x="68"/>
        <item x="35"/>
        <item x="28"/>
        <item x="41"/>
        <item x="70"/>
        <item x="51"/>
        <item x="0"/>
        <item x="20"/>
        <item x="65"/>
        <item x="74"/>
        <item x="50"/>
        <item x="3"/>
        <item x="23"/>
        <item x="10"/>
        <item x="14"/>
        <item x="55"/>
        <item x="72"/>
        <item x="67"/>
        <item x="45"/>
        <item x="11"/>
        <item x="13"/>
        <item x="17"/>
        <item x="32"/>
        <item x="58"/>
        <item x="12"/>
        <item x="27"/>
        <item x="31"/>
        <item x="30"/>
        <item x="7"/>
        <item x="73"/>
        <item x="5"/>
        <item x="64"/>
        <item x="34"/>
        <item x="38"/>
        <item x="24"/>
        <item x="6"/>
        <item x="26"/>
        <item x="21"/>
        <item x="56"/>
        <item x="29"/>
        <item x="33"/>
        <item x="15"/>
        <item x="18"/>
        <item x="8"/>
        <item x="54"/>
        <item x="60"/>
        <item x="75"/>
        <item x="59"/>
        <item x="4"/>
        <item x="2"/>
        <item x="57"/>
        <item x="61"/>
        <item x="16"/>
        <item x="69"/>
        <item x="9"/>
        <item x="37"/>
        <item x="44"/>
        <item x="19"/>
        <item x="22"/>
        <item x="42"/>
        <item x="40"/>
        <item x="47"/>
        <item x="63"/>
        <item x="25"/>
        <item x="52"/>
        <item x="53"/>
        <item x="36"/>
        <item x="62"/>
        <item x="48"/>
        <item x="49"/>
        <item x="71"/>
        <item x="46"/>
        <item x="66"/>
        <item x="43"/>
        <item t="default"/>
      </items>
    </pivotField>
    <pivotField dataField="1" numFmtId="166" showAll="0"/>
  </pivotFields>
  <rowFields count="1">
    <field x="2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5" baseField="0" baseItem="0" numFmtId="166"/>
    <dataField name="Sum of Component Value" fld="6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A377-713A-4D78-9CBE-A6A46D03C327}">
  <dimension ref="A2:B3"/>
  <sheetViews>
    <sheetView workbookViewId="0">
      <selection activeCell="B2" sqref="B2"/>
    </sheetView>
  </sheetViews>
  <sheetFormatPr defaultRowHeight="14.5" x14ac:dyDescent="0.35"/>
  <cols>
    <col min="1" max="1" width="16.453125" customWidth="1"/>
    <col min="2" max="2" width="18.54296875" customWidth="1"/>
  </cols>
  <sheetData>
    <row r="2" spans="1:2" x14ac:dyDescent="0.35">
      <c r="A2" t="s">
        <v>544</v>
      </c>
      <c r="B2">
        <v>2308</v>
      </c>
    </row>
    <row r="3" spans="1:2" x14ac:dyDescent="0.35">
      <c r="A3" t="s">
        <v>545</v>
      </c>
      <c r="B3" s="10">
        <v>46234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67F4-7B00-456C-975B-83D6DFD40B90}">
  <dimension ref="A1:R176"/>
  <sheetViews>
    <sheetView showGridLines="0" tabSelected="1" workbookViewId="0">
      <pane ySplit="1" topLeftCell="A151" activePane="bottomLeft" state="frozen"/>
      <selection pane="bottomLeft" activeCell="J154" sqref="J154"/>
    </sheetView>
  </sheetViews>
  <sheetFormatPr defaultRowHeight="14.5" x14ac:dyDescent="0.35"/>
  <cols>
    <col min="1" max="1" width="11.90625" customWidth="1"/>
    <col min="9" max="9" width="14.453125" style="11" customWidth="1"/>
    <col min="12" max="12" width="13.81640625" style="11" customWidth="1"/>
    <col min="13" max="13" width="12.26953125" customWidth="1"/>
    <col min="14" max="14" width="16.08984375" customWidth="1"/>
  </cols>
  <sheetData>
    <row r="1" spans="1:18" ht="31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</row>
    <row r="2" spans="1:18" ht="20" x14ac:dyDescent="0.35">
      <c r="A2" s="4" t="s">
        <v>18</v>
      </c>
      <c r="B2" s="5" t="s">
        <v>19</v>
      </c>
      <c r="C2" s="6" t="s">
        <v>20</v>
      </c>
      <c r="D2" s="6" t="s">
        <v>21</v>
      </c>
      <c r="E2" s="5" t="s">
        <v>22</v>
      </c>
      <c r="F2" s="6" t="s">
        <v>23</v>
      </c>
      <c r="G2" s="7">
        <v>31575</v>
      </c>
      <c r="H2" s="12">
        <f>DATEDIF(G2,Params!$B$3,"Y")</f>
        <v>40</v>
      </c>
      <c r="I2" s="12" t="str">
        <f>IF(H2&lt;25,"&lt;25 ans",IF(H2&lt;=29,"25 - 29 ans",IF(H2&lt;=34,"30 - 34 ans ",IF(H2&lt;=39,"35 - 39 ans ",IF(H2&lt;=44,"40 - 44 ans ",IF(H2&lt;=49,"45 - 49 ans ",IF(H2&lt;=54,"50 - 54 ans ","&gt;55")))))))</f>
        <v xml:space="preserve">40 - 44 ans </v>
      </c>
      <c r="J2" s="7">
        <v>41852</v>
      </c>
      <c r="K2" s="12">
        <f>DATEDIF(J2,Params!$B$3,"Y")</f>
        <v>11</v>
      </c>
      <c r="L2" s="12" t="str">
        <f>IF(K2&lt;1,"&lt;1 year",IF(K2&lt;=3,"1 - 3 year(s)",IF(K2&lt;=6,"4 - 6 years",IF(K2&lt;=9,"7 - 9 years","&gt;= 10 years"))))</f>
        <v>&gt;= 10 years</v>
      </c>
      <c r="M2" s="5" t="s">
        <v>24</v>
      </c>
      <c r="N2" s="8" t="s">
        <v>25</v>
      </c>
      <c r="O2" s="8" cm="1">
        <f t="array" ref="O2">IFERROR(VLOOKUP($A2&amp;"Annual",CHOOSE({1,2},leavebalances_base!$E$3:$E$1230&amp;leavebalances_base!$T$3:$T$1230,leavebalances_base!$AC$3:$AC$1230),2,FALSE),"")</f>
        <v>23.89</v>
      </c>
      <c r="P2" s="8" cm="1">
        <f t="array" ref="P2">IFERROR(VLOOKUP($A2&amp;"Annual",CHOOSE({1,2},leavebalances_base!$E$3:$E$1230&amp;leavebalances_base!$T$3:$T$1230,leavebalances_base!$AD$3:$AD$1230),2,FALSE)/Params!$B$2,"")</f>
        <v>4404.5479831499133</v>
      </c>
      <c r="Q2" s="6">
        <f>IFERROR(VLOOKUP(A2,overtime_base!$J:$L,2,FALSE),0)</f>
        <v>0</v>
      </c>
      <c r="R2" s="6">
        <f>IFERROR(VLOOKUP(A2,overtime_base!$J:$L,3,FALSE)/Params!$B$2,0)</f>
        <v>0</v>
      </c>
    </row>
    <row r="3" spans="1:18" ht="20" x14ac:dyDescent="0.35">
      <c r="A3" s="4" t="s">
        <v>26</v>
      </c>
      <c r="B3" s="5" t="s">
        <v>27</v>
      </c>
      <c r="C3" s="6" t="s">
        <v>20</v>
      </c>
      <c r="D3" s="6" t="s">
        <v>21</v>
      </c>
      <c r="E3" s="5" t="s">
        <v>28</v>
      </c>
      <c r="F3" s="6" t="s">
        <v>29</v>
      </c>
      <c r="G3" s="7">
        <v>28524</v>
      </c>
      <c r="H3" s="12">
        <f>DATEDIF(G3,Params!$B$3,"Y")</f>
        <v>48</v>
      </c>
      <c r="I3" s="12" t="str">
        <f>IF(H3&lt;25,"&lt;25 ans",IF(H3&lt;=29,"25 - 29 ans",IF(H3&lt;=34,"30 - 34 ans ",IF(H3&lt;=39,"35 - 39 ans ",IF(H3&lt;=44,"40 - 44 ans ",IF(H3&lt;=49,"45 - 49 ans ",IF(H3&lt;=54,"50 - 54 ans ","&gt;55")))))))</f>
        <v xml:space="preserve">45 - 49 ans </v>
      </c>
      <c r="J3" s="7">
        <v>42099</v>
      </c>
      <c r="K3" s="12">
        <f>DATEDIF(J3,Params!$B$3,"Y")</f>
        <v>11</v>
      </c>
      <c r="L3" s="12" t="str">
        <f>IF(K3&lt;1,"&lt;1 year",IF(K3&lt;=3,"1 - 3 year(s)",IF(K3&lt;=6,"4 - 6 years",IF(K3&lt;=9,"7 - 9 years","&gt;= 10 years"))))</f>
        <v>&gt;= 10 years</v>
      </c>
      <c r="M3" s="5" t="s">
        <v>30</v>
      </c>
      <c r="N3" s="8" t="s">
        <v>31</v>
      </c>
      <c r="O3" s="8" cm="1">
        <f t="array" ref="O3">IFERROR(VLOOKUP($A3&amp;"Annual",CHOOSE({1,2},leavebalances_base!$E$3:$E$1230&amp;leavebalances_base!$T$3:$T$1230,leavebalances_base!$AC$3:$AC$1230),2,FALSE),"")</f>
        <v>18.903333333323999</v>
      </c>
      <c r="P3" s="8" cm="1">
        <f t="array" ref="P3">IFERROR(VLOOKUP($A3&amp;"Annual",CHOOSE({1,2},leavebalances_base!$E$3:$E$1230&amp;leavebalances_base!$T$3:$T$1230,leavebalances_base!$AD$3:$AD$1230),2,FALSE)/Params!$B$2,"")</f>
        <v>2724.8657373006936</v>
      </c>
      <c r="Q3" s="6">
        <f>IFERROR(VLOOKUP(A3,overtime_base!$J:$L,2,FALSE),0)</f>
        <v>0</v>
      </c>
      <c r="R3" s="6">
        <f>IFERROR(VLOOKUP(A3,overtime_base!$J:$L,3,FALSE)/Params!$B$2,0)</f>
        <v>0</v>
      </c>
    </row>
    <row r="4" spans="1:18" ht="30" x14ac:dyDescent="0.35">
      <c r="A4" s="4" t="s">
        <v>32</v>
      </c>
      <c r="B4" s="5" t="s">
        <v>33</v>
      </c>
      <c r="C4" s="6" t="s">
        <v>20</v>
      </c>
      <c r="D4" s="6" t="s">
        <v>21</v>
      </c>
      <c r="E4" s="5" t="s">
        <v>34</v>
      </c>
      <c r="F4" s="6" t="s">
        <v>35</v>
      </c>
      <c r="G4" s="7">
        <v>25429</v>
      </c>
      <c r="H4" s="12">
        <f>DATEDIF(G4,Params!$B$3,"Y")</f>
        <v>56</v>
      </c>
      <c r="I4" s="12" t="str">
        <f>IF(H4&lt;25,"&lt;25 ans",IF(H4&lt;=29,"25 - 29 ans",IF(H4&lt;=34,"30 - 34 ans ",IF(H4&lt;=39,"35 - 39 ans ",IF(H4&lt;=44,"40 - 44 ans ",IF(H4&lt;=49,"45 - 49 ans ",IF(H4&lt;=54,"50 - 54 ans ","&gt;55")))))))</f>
        <v>&gt;55</v>
      </c>
      <c r="J4" s="7">
        <v>42135</v>
      </c>
      <c r="K4" s="12">
        <f>DATEDIF(J4,Params!$B$3,"Y")</f>
        <v>11</v>
      </c>
      <c r="L4" s="12" t="str">
        <f>IF(K4&lt;1,"&lt;1 year",IF(K4&lt;=3,"1 - 3 year(s)",IF(K4&lt;=6,"4 - 6 years",IF(K4&lt;=9,"7 - 9 years","&gt;= 10 years"))))</f>
        <v>&gt;= 10 years</v>
      </c>
      <c r="M4" s="5" t="s">
        <v>30</v>
      </c>
      <c r="N4" s="8" t="s">
        <v>36</v>
      </c>
      <c r="O4" s="8" cm="1">
        <f t="array" ref="O4">IFERROR(VLOOKUP($A4&amp;"Annual",CHOOSE({1,2},leavebalances_base!$E$3:$E$1230&amp;leavebalances_base!$T$3:$T$1230,leavebalances_base!$AC$3:$AC$1230),2,FALSE),"")</f>
        <v>27.833333333338</v>
      </c>
      <c r="P4" s="8" cm="1">
        <f t="array" ref="P4">IFERROR(VLOOKUP($A4&amp;"Annual",CHOOSE({1,2},leavebalances_base!$E$3:$E$1230&amp;leavebalances_base!$T$3:$T$1230,leavebalances_base!$AD$3:$AD$1230),2,FALSE)/Params!$B$2,"")</f>
        <v>868.75904387348351</v>
      </c>
      <c r="Q4" s="6">
        <f>IFERROR(VLOOKUP(A4,overtime_base!$J:$L,2,FALSE),0)</f>
        <v>0</v>
      </c>
      <c r="R4" s="6">
        <f>IFERROR(VLOOKUP(A4,overtime_base!$J:$L,3,FALSE)/Params!$B$2,0)</f>
        <v>0</v>
      </c>
    </row>
    <row r="5" spans="1:18" ht="30" x14ac:dyDescent="0.35">
      <c r="A5" s="4" t="s">
        <v>37</v>
      </c>
      <c r="B5" s="5" t="s">
        <v>38</v>
      </c>
      <c r="C5" s="6" t="s">
        <v>20</v>
      </c>
      <c r="D5" s="6" t="s">
        <v>21</v>
      </c>
      <c r="E5" s="5" t="s">
        <v>39</v>
      </c>
      <c r="F5" s="6" t="s">
        <v>29</v>
      </c>
      <c r="G5" s="7">
        <v>25330</v>
      </c>
      <c r="H5" s="12">
        <f>DATEDIF(G5,Params!$B$3,"Y")</f>
        <v>57</v>
      </c>
      <c r="I5" s="12" t="str">
        <f>IF(H5&lt;25,"&lt;25 ans",IF(H5&lt;=29,"25 - 29 ans",IF(H5&lt;=34,"30 - 34 ans ",IF(H5&lt;=39,"35 - 39 ans ",IF(H5&lt;=44,"40 - 44 ans ",IF(H5&lt;=49,"45 - 49 ans ",IF(H5&lt;=54,"50 - 54 ans ","&gt;55")))))))</f>
        <v>&gt;55</v>
      </c>
      <c r="J5" s="7">
        <v>42240</v>
      </c>
      <c r="K5" s="12">
        <f>DATEDIF(J5,Params!$B$3,"Y")</f>
        <v>10</v>
      </c>
      <c r="L5" s="12" t="str">
        <f>IF(K5&lt;1,"&lt;1 year",IF(K5&lt;=3,"1 - 3 year(s)",IF(K5&lt;=6,"4 - 6 years",IF(K5&lt;=9,"7 - 9 years","&gt;= 10 years"))))</f>
        <v>&gt;= 10 years</v>
      </c>
      <c r="M5" s="5" t="s">
        <v>40</v>
      </c>
      <c r="N5" s="8" t="s">
        <v>36</v>
      </c>
      <c r="O5" s="8" cm="1">
        <f t="array" ref="O5">IFERROR(VLOOKUP($A5&amp;"Annual",CHOOSE({1,2},leavebalances_base!$E$3:$E$1230&amp;leavebalances_base!$T$3:$T$1230,leavebalances_base!$AC$3:$AC$1230),2,FALSE),"")</f>
        <v>29.416666666665002</v>
      </c>
      <c r="P5" s="8" cm="1">
        <f t="array" ref="P5">IFERROR(VLOOKUP($A5&amp;"Annual",CHOOSE({1,2},leavebalances_base!$E$3:$E$1230&amp;leavebalances_base!$T$3:$T$1230,leavebalances_base!$AD$3:$AD$1230),2,FALSE)/Params!$B$2,"")</f>
        <v>2939.8698714818024</v>
      </c>
      <c r="Q5" s="6">
        <f>IFERROR(VLOOKUP(A5,overtime_base!$J:$L,2,FALSE),0)</f>
        <v>0</v>
      </c>
      <c r="R5" s="6">
        <f>IFERROR(VLOOKUP(A5,overtime_base!$J:$L,3,FALSE)/Params!$B$2,0)</f>
        <v>0</v>
      </c>
    </row>
    <row r="6" spans="1:18" ht="30" x14ac:dyDescent="0.35">
      <c r="A6" s="4" t="s">
        <v>41</v>
      </c>
      <c r="B6" s="5" t="s">
        <v>42</v>
      </c>
      <c r="C6" s="6" t="s">
        <v>20</v>
      </c>
      <c r="D6" s="6" t="s">
        <v>21</v>
      </c>
      <c r="E6" s="5" t="s">
        <v>43</v>
      </c>
      <c r="F6" s="6" t="s">
        <v>44</v>
      </c>
      <c r="G6" s="7">
        <v>32509</v>
      </c>
      <c r="H6" s="12">
        <f>DATEDIF(G6,Params!$B$3,"Y")</f>
        <v>37</v>
      </c>
      <c r="I6" s="12" t="str">
        <f>IF(H6&lt;25,"&lt;25 ans",IF(H6&lt;=29,"25 - 29 ans",IF(H6&lt;=34,"30 - 34 ans ",IF(H6&lt;=39,"35 - 39 ans ",IF(H6&lt;=44,"40 - 44 ans ",IF(H6&lt;=49,"45 - 49 ans ",IF(H6&lt;=54,"50 - 54 ans ","&gt;55")))))))</f>
        <v xml:space="preserve">35 - 39 ans </v>
      </c>
      <c r="J6" s="7">
        <v>44866</v>
      </c>
      <c r="K6" s="12">
        <f>DATEDIF(J6,Params!$B$3,"Y")</f>
        <v>3</v>
      </c>
      <c r="L6" s="12" t="str">
        <f>IF(K6&lt;1,"&lt;1 year",IF(K6&lt;=3,"1 - 3 year(s)",IF(K6&lt;=6,"4 - 6 years",IF(K6&lt;=9,"7 - 9 years","&gt;= 10 years"))))</f>
        <v>1 - 3 year(s)</v>
      </c>
      <c r="M6" s="5" t="s">
        <v>45</v>
      </c>
      <c r="N6" s="8" t="s">
        <v>31</v>
      </c>
      <c r="O6" s="8" cm="1">
        <f t="array" ref="O6">IFERROR(VLOOKUP($A6&amp;"Annual",CHOOSE({1,2},leavebalances_base!$E$3:$E$1230&amp;leavebalances_base!$T$3:$T$1230,leavebalances_base!$AC$3:$AC$1230),2,FALSE),"")</f>
        <v>20.843333333326001</v>
      </c>
      <c r="P6" s="8" cm="1">
        <f t="array" ref="P6">IFERROR(VLOOKUP($A6&amp;"Annual",CHOOSE({1,2},leavebalances_base!$E$3:$E$1230&amp;leavebalances_base!$T$3:$T$1230,leavebalances_base!$AD$3:$AD$1230),2,FALSE)/Params!$B$2,"")</f>
        <v>1423.8185654289427</v>
      </c>
      <c r="Q6" s="6">
        <f>IFERROR(VLOOKUP(A6,overtime_base!$J:$L,2,FALSE),0)</f>
        <v>42.2</v>
      </c>
      <c r="R6" s="6">
        <f>IFERROR(VLOOKUP(A6,overtime_base!$J:$L,3,FALSE)/Params!$B$2,0)</f>
        <v>519.11275129982664</v>
      </c>
    </row>
    <row r="7" spans="1:18" ht="30" x14ac:dyDescent="0.35">
      <c r="A7" s="4" t="s">
        <v>46</v>
      </c>
      <c r="B7" s="5" t="s">
        <v>47</v>
      </c>
      <c r="C7" s="6" t="s">
        <v>48</v>
      </c>
      <c r="D7" s="6" t="s">
        <v>21</v>
      </c>
      <c r="E7" s="5" t="s">
        <v>49</v>
      </c>
      <c r="F7" s="6" t="s">
        <v>50</v>
      </c>
      <c r="G7" s="7">
        <v>28799</v>
      </c>
      <c r="H7" s="12">
        <f>DATEDIF(G7,Params!$B$3,"Y")</f>
        <v>47</v>
      </c>
      <c r="I7" s="12" t="str">
        <f>IF(H7&lt;25,"&lt;25 ans",IF(H7&lt;=29,"25 - 29 ans",IF(H7&lt;=34,"30 - 34 ans ",IF(H7&lt;=39,"35 - 39 ans ",IF(H7&lt;=44,"40 - 44 ans ",IF(H7&lt;=49,"45 - 49 ans ",IF(H7&lt;=54,"50 - 54 ans ","&gt;55")))))))</f>
        <v xml:space="preserve">45 - 49 ans </v>
      </c>
      <c r="J7" s="7">
        <v>41768</v>
      </c>
      <c r="K7" s="12">
        <f>DATEDIF(J7,Params!$B$3,"Y")</f>
        <v>12</v>
      </c>
      <c r="L7" s="12" t="str">
        <f>IF(K7&lt;1,"&lt;1 year",IF(K7&lt;=3,"1 - 3 year(s)",IF(K7&lt;=6,"4 - 6 years",IF(K7&lt;=9,"7 - 9 years","&gt;= 10 years"))))</f>
        <v>&gt;= 10 years</v>
      </c>
      <c r="M7" s="5" t="s">
        <v>30</v>
      </c>
      <c r="N7" s="8" t="s">
        <v>36</v>
      </c>
      <c r="O7" s="8" cm="1">
        <f t="array" ref="O7">IFERROR(VLOOKUP($A7&amp;"Annual",CHOOSE({1,2},leavebalances_base!$E$3:$E$1230&amp;leavebalances_base!$T$3:$T$1230,leavebalances_base!$AC$3:$AC$1230),2,FALSE),"")</f>
        <v>36</v>
      </c>
      <c r="P7" s="8" cm="1">
        <f t="array" ref="P7">IFERROR(VLOOKUP($A7&amp;"Annual",CHOOSE({1,2},leavebalances_base!$E$3:$E$1230&amp;leavebalances_base!$T$3:$T$1230,leavebalances_base!$AD$3:$AD$1230),2,FALSE)/Params!$B$2,"")</f>
        <v>7176.7110931759098</v>
      </c>
      <c r="Q7" s="6">
        <f>IFERROR(VLOOKUP(A7,overtime_base!$J:$L,2,FALSE),0)</f>
        <v>0</v>
      </c>
      <c r="R7" s="6">
        <f>IFERROR(VLOOKUP(A7,overtime_base!$J:$L,3,FALSE)/Params!$B$2,0)</f>
        <v>0</v>
      </c>
    </row>
    <row r="8" spans="1:18" ht="30" x14ac:dyDescent="0.35">
      <c r="A8" s="4" t="s">
        <v>51</v>
      </c>
      <c r="B8" s="5" t="s">
        <v>52</v>
      </c>
      <c r="C8" s="6" t="s">
        <v>48</v>
      </c>
      <c r="D8" s="6" t="s">
        <v>21</v>
      </c>
      <c r="E8" s="5" t="s">
        <v>53</v>
      </c>
      <c r="F8" s="6" t="s">
        <v>29</v>
      </c>
      <c r="G8" s="7">
        <v>29643</v>
      </c>
      <c r="H8" s="12">
        <f>DATEDIF(G8,Params!$B$3,"Y")</f>
        <v>45</v>
      </c>
      <c r="I8" s="12" t="str">
        <f>IF(H8&lt;25,"&lt;25 ans",IF(H8&lt;=29,"25 - 29 ans",IF(H8&lt;=34,"30 - 34 ans ",IF(H8&lt;=39,"35 - 39 ans ",IF(H8&lt;=44,"40 - 44 ans ",IF(H8&lt;=49,"45 - 49 ans ",IF(H8&lt;=54,"50 - 54 ans ","&gt;55")))))))</f>
        <v xml:space="preserve">45 - 49 ans </v>
      </c>
      <c r="J8" s="7">
        <v>41771</v>
      </c>
      <c r="K8" s="12">
        <f>DATEDIF(J8,Params!$B$3,"Y")</f>
        <v>12</v>
      </c>
      <c r="L8" s="12" t="str">
        <f>IF(K8&lt;1,"&lt;1 year",IF(K8&lt;=3,"1 - 3 year(s)",IF(K8&lt;=6,"4 - 6 years",IF(K8&lt;=9,"7 - 9 years","&gt;= 10 years"))))</f>
        <v>&gt;= 10 years</v>
      </c>
      <c r="M8" s="5" t="s">
        <v>30</v>
      </c>
      <c r="N8" s="8" t="s">
        <v>36</v>
      </c>
      <c r="O8" s="8" cm="1">
        <f t="array" ref="O8">IFERROR(VLOOKUP($A8&amp;"Annual",CHOOSE({1,2},leavebalances_base!$E$3:$E$1230&amp;leavebalances_base!$T$3:$T$1230,leavebalances_base!$AC$3:$AC$1230),2,FALSE),"")</f>
        <v>30.166666666666998</v>
      </c>
      <c r="P8" s="8" cm="1">
        <f t="array" ref="P8">IFERROR(VLOOKUP($A8&amp;"Annual",CHOOSE({1,2},leavebalances_base!$E$3:$E$1230&amp;leavebalances_base!$T$3:$T$1230,leavebalances_base!$AD$3:$AD$1230),2,FALSE)/Params!$B$2,"")</f>
        <v>3472.0591235615252</v>
      </c>
      <c r="Q8" s="6">
        <f>IFERROR(VLOOKUP(A8,overtime_base!$J:$L,2,FALSE),0)</f>
        <v>0</v>
      </c>
      <c r="R8" s="6">
        <f>IFERROR(VLOOKUP(A8,overtime_base!$J:$L,3,FALSE)/Params!$B$2,0)</f>
        <v>0</v>
      </c>
    </row>
    <row r="9" spans="1:18" ht="40" x14ac:dyDescent="0.35">
      <c r="A9" s="4" t="s">
        <v>54</v>
      </c>
      <c r="B9" s="5" t="s">
        <v>55</v>
      </c>
      <c r="C9" s="6" t="s">
        <v>48</v>
      </c>
      <c r="D9" s="6" t="s">
        <v>21</v>
      </c>
      <c r="E9" s="5" t="s">
        <v>56</v>
      </c>
      <c r="F9" s="6" t="s">
        <v>57</v>
      </c>
      <c r="G9" s="7">
        <v>29181</v>
      </c>
      <c r="H9" s="12">
        <f>DATEDIF(G9,Params!$B$3,"Y")</f>
        <v>46</v>
      </c>
      <c r="I9" s="12" t="str">
        <f>IF(H9&lt;25,"&lt;25 ans",IF(H9&lt;=29,"25 - 29 ans",IF(H9&lt;=34,"30 - 34 ans ",IF(H9&lt;=39,"35 - 39 ans ",IF(H9&lt;=44,"40 - 44 ans ",IF(H9&lt;=49,"45 - 49 ans ",IF(H9&lt;=54,"50 - 54 ans ","&gt;55")))))))</f>
        <v xml:space="preserve">45 - 49 ans </v>
      </c>
      <c r="J9" s="7">
        <v>41771</v>
      </c>
      <c r="K9" s="12">
        <f>DATEDIF(J9,Params!$B$3,"Y")</f>
        <v>12</v>
      </c>
      <c r="L9" s="12" t="str">
        <f>IF(K9&lt;1,"&lt;1 year",IF(K9&lt;=3,"1 - 3 year(s)",IF(K9&lt;=6,"4 - 6 years",IF(K9&lt;=9,"7 - 9 years","&gt;= 10 years"))))</f>
        <v>&gt;= 10 years</v>
      </c>
      <c r="M9" s="5" t="s">
        <v>40</v>
      </c>
      <c r="N9" s="8" t="s">
        <v>36</v>
      </c>
      <c r="O9" s="8" cm="1">
        <f t="array" ref="O9">IFERROR(VLOOKUP($A9&amp;"Annual",CHOOSE({1,2},leavebalances_base!$E$3:$E$1230&amp;leavebalances_base!$T$3:$T$1230,leavebalances_base!$AC$3:$AC$1230),2,FALSE),"")</f>
        <v>28.999999999999002</v>
      </c>
      <c r="P9" s="8" cm="1">
        <f t="array" ref="P9">IFERROR(VLOOKUP($A9&amp;"Annual",CHOOSE({1,2},leavebalances_base!$E$3:$E$1230&amp;leavebalances_base!$T$3:$T$1230,leavebalances_base!$AD$3:$AD$1230),2,FALSE)/Params!$B$2,"")</f>
        <v>3918.9485243500867</v>
      </c>
      <c r="Q9" s="6">
        <f>IFERROR(VLOOKUP(A9,overtime_base!$J:$L,2,FALSE),0)</f>
        <v>0</v>
      </c>
      <c r="R9" s="6">
        <f>IFERROR(VLOOKUP(A9,overtime_base!$J:$L,3,FALSE)/Params!$B$2,0)</f>
        <v>0</v>
      </c>
    </row>
    <row r="10" spans="1:18" ht="30" x14ac:dyDescent="0.35">
      <c r="A10" s="4" t="s">
        <v>58</v>
      </c>
      <c r="B10" s="5" t="s">
        <v>59</v>
      </c>
      <c r="C10" s="6" t="s">
        <v>20</v>
      </c>
      <c r="D10" s="6" t="s">
        <v>21</v>
      </c>
      <c r="E10" s="5" t="s">
        <v>34</v>
      </c>
      <c r="F10" s="6" t="s">
        <v>35</v>
      </c>
      <c r="G10" s="7">
        <v>25208</v>
      </c>
      <c r="H10" s="12">
        <f>DATEDIF(G10,Params!$B$3,"Y")</f>
        <v>57</v>
      </c>
      <c r="I10" s="12" t="str">
        <f>IF(H10&lt;25,"&lt;25 ans",IF(H10&lt;=29,"25 - 29 ans",IF(H10&lt;=34,"30 - 34 ans ",IF(H10&lt;=39,"35 - 39 ans ",IF(H10&lt;=44,"40 - 44 ans ",IF(H10&lt;=49,"45 - 49 ans ",IF(H10&lt;=54,"50 - 54 ans ","&gt;55")))))))</f>
        <v>&gt;55</v>
      </c>
      <c r="J10" s="7">
        <v>41913</v>
      </c>
      <c r="K10" s="12">
        <f>DATEDIF(J10,Params!$B$3,"Y")</f>
        <v>11</v>
      </c>
      <c r="L10" s="12" t="str">
        <f>IF(K10&lt;1,"&lt;1 year",IF(K10&lt;=3,"1 - 3 year(s)",IF(K10&lt;=6,"4 - 6 years",IF(K10&lt;=9,"7 - 9 years","&gt;= 10 years"))))</f>
        <v>&gt;= 10 years</v>
      </c>
      <c r="M10" s="5" t="s">
        <v>30</v>
      </c>
      <c r="N10" s="8" t="s">
        <v>36</v>
      </c>
      <c r="O10" s="8" cm="1">
        <f t="array" ref="O10">IFERROR(VLOOKUP($A10&amp;"Annual",CHOOSE({1,2},leavebalances_base!$E$3:$E$1230&amp;leavebalances_base!$T$3:$T$1230,leavebalances_base!$AC$3:$AC$1230),2,FALSE),"")</f>
        <v>17.833333333338</v>
      </c>
      <c r="P10" s="8" cm="1">
        <f t="array" ref="P10">IFERROR(VLOOKUP($A10&amp;"Annual",CHOOSE({1,2},leavebalances_base!$E$3:$E$1230&amp;leavebalances_base!$T$3:$T$1230,leavebalances_base!$AD$3:$AD$1230),2,FALSE)/Params!$B$2,"")</f>
        <v>557.51431289861353</v>
      </c>
      <c r="Q10" s="6">
        <f>IFERROR(VLOOKUP(A10,overtime_base!$J:$L,2,FALSE),0)</f>
        <v>0</v>
      </c>
      <c r="R10" s="6">
        <f>IFERROR(VLOOKUP(A10,overtime_base!$J:$L,3,FALSE)/Params!$B$2,0)</f>
        <v>0</v>
      </c>
    </row>
    <row r="11" spans="1:18" ht="20" x14ac:dyDescent="0.35">
      <c r="A11" s="4" t="s">
        <v>60</v>
      </c>
      <c r="B11" s="5" t="s">
        <v>61</v>
      </c>
      <c r="C11" s="6" t="s">
        <v>20</v>
      </c>
      <c r="D11" s="6" t="s">
        <v>21</v>
      </c>
      <c r="E11" s="5" t="s">
        <v>34</v>
      </c>
      <c r="F11" s="6" t="s">
        <v>35</v>
      </c>
      <c r="G11" s="7">
        <v>23836</v>
      </c>
      <c r="H11" s="12">
        <f>DATEDIF(G11,Params!$B$3,"Y")</f>
        <v>61</v>
      </c>
      <c r="I11" s="12" t="str">
        <f>IF(H11&lt;25,"&lt;25 ans",IF(H11&lt;=29,"25 - 29 ans",IF(H11&lt;=34,"30 - 34 ans ",IF(H11&lt;=39,"35 - 39 ans ",IF(H11&lt;=44,"40 - 44 ans ",IF(H11&lt;=49,"45 - 49 ans ",IF(H11&lt;=54,"50 - 54 ans ","&gt;55")))))))</f>
        <v>&gt;55</v>
      </c>
      <c r="J11" s="7">
        <v>41827</v>
      </c>
      <c r="K11" s="12">
        <f>DATEDIF(J11,Params!$B$3,"Y")</f>
        <v>12</v>
      </c>
      <c r="L11" s="12" t="str">
        <f>IF(K11&lt;1,"&lt;1 year",IF(K11&lt;=3,"1 - 3 year(s)",IF(K11&lt;=6,"4 - 6 years",IF(K11&lt;=9,"7 - 9 years","&gt;= 10 years"))))</f>
        <v>&gt;= 10 years</v>
      </c>
      <c r="M11" s="5" t="s">
        <v>30</v>
      </c>
      <c r="N11" s="8" t="s">
        <v>31</v>
      </c>
      <c r="O11" s="8" cm="1">
        <f t="array" ref="O11">IFERROR(VLOOKUP($A11&amp;"Annual",CHOOSE({1,2},leavebalances_base!$E$3:$E$1230&amp;leavebalances_base!$T$3:$T$1230,leavebalances_base!$AC$3:$AC$1230),2,FALSE),"")</f>
        <v>14.470000000011</v>
      </c>
      <c r="P11" s="8" cm="1">
        <f t="array" ref="P11">IFERROR(VLOOKUP($A11&amp;"Annual",CHOOSE({1,2},leavebalances_base!$E$3:$E$1230&amp;leavebalances_base!$T$3:$T$1230,leavebalances_base!$AD$3:$AD$1230),2,FALSE)/Params!$B$2,"")</f>
        <v>452.49045417244366</v>
      </c>
      <c r="Q11" s="6">
        <f>IFERROR(VLOOKUP(A11,overtime_base!$J:$L,2,FALSE),0)</f>
        <v>0</v>
      </c>
      <c r="R11" s="6">
        <f>IFERROR(VLOOKUP(A11,overtime_base!$J:$L,3,FALSE)/Params!$B$2,0)</f>
        <v>0</v>
      </c>
    </row>
    <row r="12" spans="1:18" ht="20" x14ac:dyDescent="0.35">
      <c r="A12" s="4" t="s">
        <v>62</v>
      </c>
      <c r="B12" s="5" t="s">
        <v>63</v>
      </c>
      <c r="C12" s="6" t="s">
        <v>20</v>
      </c>
      <c r="D12" s="6" t="s">
        <v>21</v>
      </c>
      <c r="E12" s="5" t="s">
        <v>64</v>
      </c>
      <c r="F12" s="6" t="s">
        <v>65</v>
      </c>
      <c r="G12" s="7">
        <v>32392</v>
      </c>
      <c r="H12" s="12">
        <f>DATEDIF(G12,Params!$B$3,"Y")</f>
        <v>37</v>
      </c>
      <c r="I12" s="12" t="str">
        <f>IF(H12&lt;25,"&lt;25 ans",IF(H12&lt;=29,"25 - 29 ans",IF(H12&lt;=34,"30 - 34 ans ",IF(H12&lt;=39,"35 - 39 ans ",IF(H12&lt;=44,"40 - 44 ans ",IF(H12&lt;=49,"45 - 49 ans ",IF(H12&lt;=54,"50 - 54 ans ","&gt;55")))))))</f>
        <v xml:space="preserve">35 - 39 ans </v>
      </c>
      <c r="J12" s="7">
        <v>42317</v>
      </c>
      <c r="K12" s="12">
        <f>DATEDIF(J12,Params!$B$3,"Y")</f>
        <v>10</v>
      </c>
      <c r="L12" s="12" t="str">
        <f>IF(K12&lt;1,"&lt;1 year",IF(K12&lt;=3,"1 - 3 year(s)",IF(K12&lt;=6,"4 - 6 years",IF(K12&lt;=9,"7 - 9 years","&gt;= 10 years"))))</f>
        <v>&gt;= 10 years</v>
      </c>
      <c r="M12" s="5" t="s">
        <v>24</v>
      </c>
      <c r="N12" s="8" t="s">
        <v>31</v>
      </c>
      <c r="O12" s="8" cm="1">
        <f t="array" ref="O12">IFERROR(VLOOKUP($A12&amp;"Annual",CHOOSE({1,2},leavebalances_base!$E$3:$E$1230&amp;leavebalances_base!$T$3:$T$1230,leavebalances_base!$AC$3:$AC$1230),2,FALSE),"")</f>
        <v>28.669999999992999</v>
      </c>
      <c r="P12" s="8" cm="1">
        <f t="array" ref="P12">IFERROR(VLOOKUP($A12&amp;"Annual",CHOOSE({1,2},leavebalances_base!$E$3:$E$1230&amp;leavebalances_base!$T$3:$T$1230,leavebalances_base!$AD$3:$AD$1230),2,FALSE)/Params!$B$2,"")</f>
        <v>3484.065349289428</v>
      </c>
      <c r="Q12" s="6">
        <f>IFERROR(VLOOKUP(A12,overtime_base!$J:$L,2,FALSE),0)</f>
        <v>15.709999999999999</v>
      </c>
      <c r="R12" s="6">
        <f>IFERROR(VLOOKUP(A12,overtime_base!$J:$L,3,FALSE)/Params!$B$2,0)</f>
        <v>309.13287261698434</v>
      </c>
    </row>
    <row r="13" spans="1:18" ht="40" x14ac:dyDescent="0.35">
      <c r="A13" s="4" t="s">
        <v>66</v>
      </c>
      <c r="B13" s="5" t="s">
        <v>67</v>
      </c>
      <c r="C13" s="6" t="s">
        <v>20</v>
      </c>
      <c r="D13" s="6" t="s">
        <v>68</v>
      </c>
      <c r="E13" s="5" t="s">
        <v>69</v>
      </c>
      <c r="F13" s="6" t="s">
        <v>70</v>
      </c>
      <c r="G13" s="7">
        <v>31255</v>
      </c>
      <c r="H13" s="12">
        <f>DATEDIF(G13,Params!$B$3,"Y")</f>
        <v>41</v>
      </c>
      <c r="I13" s="12" t="str">
        <f>IF(H13&lt;25,"&lt;25 ans",IF(H13&lt;=29,"25 - 29 ans",IF(H13&lt;=34,"30 - 34 ans ",IF(H13&lt;=39,"35 - 39 ans ",IF(H13&lt;=44,"40 - 44 ans ",IF(H13&lt;=49,"45 - 49 ans ",IF(H13&lt;=54,"50 - 54 ans ","&gt;55")))))))</f>
        <v xml:space="preserve">40 - 44 ans </v>
      </c>
      <c r="J13" s="7">
        <v>42317</v>
      </c>
      <c r="K13" s="12">
        <f>DATEDIF(J13,Params!$B$3,"Y")</f>
        <v>10</v>
      </c>
      <c r="L13" s="12" t="str">
        <f>IF(K13&lt;1,"&lt;1 year",IF(K13&lt;=3,"1 - 3 year(s)",IF(K13&lt;=6,"4 - 6 years",IF(K13&lt;=9,"7 - 9 years","&gt;= 10 years"))))</f>
        <v>&gt;= 10 years</v>
      </c>
      <c r="M13" s="5" t="s">
        <v>24</v>
      </c>
      <c r="N13" s="8" t="s">
        <v>31</v>
      </c>
      <c r="O13" s="8" cm="1">
        <f t="array" ref="O13">IFERROR(VLOOKUP($A13&amp;"Annual",CHOOSE({1,2},leavebalances_base!$E$3:$E$1230&amp;leavebalances_base!$T$3:$T$1230,leavebalances_base!$AC$3:$AC$1230),2,FALSE),"")</f>
        <v>3.3433333333380002</v>
      </c>
      <c r="P13" s="8" cm="1">
        <f t="array" ref="P13">IFERROR(VLOOKUP($A13&amp;"Annual",CHOOSE({1,2},leavebalances_base!$E$3:$E$1230&amp;leavebalances_base!$T$3:$T$1230,leavebalances_base!$AD$3:$AD$1230),2,FALSE)/Params!$B$2,"")</f>
        <v>1197.7705639341423</v>
      </c>
      <c r="Q13" s="6">
        <f>IFERROR(VLOOKUP(A13,overtime_base!$J:$L,2,FALSE),0)</f>
        <v>0</v>
      </c>
      <c r="R13" s="6">
        <f>IFERROR(VLOOKUP(A13,overtime_base!$J:$L,3,FALSE)/Params!$B$2,0)</f>
        <v>0</v>
      </c>
    </row>
    <row r="14" spans="1:18" ht="30" x14ac:dyDescent="0.35">
      <c r="A14" s="4" t="s">
        <v>71</v>
      </c>
      <c r="B14" s="5" t="s">
        <v>72</v>
      </c>
      <c r="C14" s="6" t="s">
        <v>20</v>
      </c>
      <c r="D14" s="6" t="s">
        <v>21</v>
      </c>
      <c r="E14" s="5" t="s">
        <v>73</v>
      </c>
      <c r="F14" s="6" t="s">
        <v>50</v>
      </c>
      <c r="G14" s="7">
        <v>33504</v>
      </c>
      <c r="H14" s="12">
        <f>DATEDIF(G14,Params!$B$3,"Y")</f>
        <v>34</v>
      </c>
      <c r="I14" s="12" t="str">
        <f>IF(H14&lt;25,"&lt;25 ans",IF(H14&lt;=29,"25 - 29 ans",IF(H14&lt;=34,"30 - 34 ans ",IF(H14&lt;=39,"35 - 39 ans ",IF(H14&lt;=44,"40 - 44 ans ",IF(H14&lt;=49,"45 - 49 ans ",IF(H14&lt;=54,"50 - 54 ans ","&gt;55")))))))</f>
        <v xml:space="preserve">30 - 34 ans </v>
      </c>
      <c r="J14" s="7">
        <v>42317</v>
      </c>
      <c r="K14" s="12">
        <f>DATEDIF(J14,Params!$B$3,"Y")</f>
        <v>10</v>
      </c>
      <c r="L14" s="12" t="str">
        <f>IF(K14&lt;1,"&lt;1 year",IF(K14&lt;=3,"1 - 3 year(s)",IF(K14&lt;=6,"4 - 6 years",IF(K14&lt;=9,"7 - 9 years","&gt;= 10 years"))))</f>
        <v>&gt;= 10 years</v>
      </c>
      <c r="M14" s="5" t="s">
        <v>24</v>
      </c>
      <c r="N14" s="8" t="s">
        <v>31</v>
      </c>
      <c r="O14" s="8" cm="1">
        <f t="array" ref="O14">IFERROR(VLOOKUP($A14&amp;"Annual",CHOOSE({1,2},leavebalances_base!$E$3:$E$1230&amp;leavebalances_base!$T$3:$T$1230,leavebalances_base!$AC$3:$AC$1230),2,FALSE),"")</f>
        <v>11.316666666669001</v>
      </c>
      <c r="P14" s="8" cm="1">
        <f t="array" ref="P14">IFERROR(VLOOKUP($A14&amp;"Annual",CHOOSE({1,2},leavebalances_base!$E$3:$E$1230&amp;leavebalances_base!$T$3:$T$1230,leavebalances_base!$AD$3:$AD$1230),2,FALSE)/Params!$B$2,"")</f>
        <v>2007.4294640034661</v>
      </c>
      <c r="Q14" s="6">
        <f>IFERROR(VLOOKUP(A14,overtime_base!$J:$L,2,FALSE),0)</f>
        <v>0</v>
      </c>
      <c r="R14" s="6">
        <f>IFERROR(VLOOKUP(A14,overtime_base!$J:$L,3,FALSE)/Params!$B$2,0)</f>
        <v>0</v>
      </c>
    </row>
    <row r="15" spans="1:18" ht="40" x14ac:dyDescent="0.35">
      <c r="A15" s="4" t="s">
        <v>74</v>
      </c>
      <c r="B15" s="5" t="s">
        <v>75</v>
      </c>
      <c r="C15" s="6" t="s">
        <v>20</v>
      </c>
      <c r="D15" s="6" t="s">
        <v>68</v>
      </c>
      <c r="E15" s="5" t="s">
        <v>76</v>
      </c>
      <c r="F15" s="6" t="s">
        <v>65</v>
      </c>
      <c r="G15" s="7">
        <v>30405</v>
      </c>
      <c r="H15" s="12">
        <f>DATEDIF(G15,Params!$B$3,"Y")</f>
        <v>43</v>
      </c>
      <c r="I15" s="12" t="str">
        <f>IF(H15&lt;25,"&lt;25 ans",IF(H15&lt;=29,"25 - 29 ans",IF(H15&lt;=34,"30 - 34 ans ",IF(H15&lt;=39,"35 - 39 ans ",IF(H15&lt;=44,"40 - 44 ans ",IF(H15&lt;=49,"45 - 49 ans ",IF(H15&lt;=54,"50 - 54 ans ","&gt;55")))))))</f>
        <v xml:space="preserve">40 - 44 ans </v>
      </c>
      <c r="J15" s="7">
        <v>42317</v>
      </c>
      <c r="K15" s="12">
        <f>DATEDIF(J15,Params!$B$3,"Y")</f>
        <v>10</v>
      </c>
      <c r="L15" s="12" t="str">
        <f>IF(K15&lt;1,"&lt;1 year",IF(K15&lt;=3,"1 - 3 year(s)",IF(K15&lt;=6,"4 - 6 years",IF(K15&lt;=9,"7 - 9 years","&gt;= 10 years"))))</f>
        <v>&gt;= 10 years</v>
      </c>
      <c r="M15" s="5" t="s">
        <v>24</v>
      </c>
      <c r="N15" s="8" t="s">
        <v>31</v>
      </c>
      <c r="O15" s="8" cm="1">
        <f t="array" ref="O15">IFERROR(VLOOKUP($A15&amp;"Annual",CHOOSE({1,2},leavebalances_base!$E$3:$E$1230&amp;leavebalances_base!$T$3:$T$1230,leavebalances_base!$AC$3:$AC$1230),2,FALSE),"")</f>
        <v>20.669999999992999</v>
      </c>
      <c r="P15" s="8" cm="1">
        <f t="array" ref="P15">IFERROR(VLOOKUP($A15&amp;"Annual",CHOOSE({1,2},leavebalances_base!$E$3:$E$1230&amp;leavebalances_base!$T$3:$T$1230,leavebalances_base!$AD$3:$AD$1230),2,FALSE)/Params!$B$2,"")</f>
        <v>2595.3933915641246</v>
      </c>
      <c r="Q15" s="6">
        <f>IFERROR(VLOOKUP(A15,overtime_base!$J:$L,2,FALSE),0)</f>
        <v>14.74</v>
      </c>
      <c r="R15" s="6">
        <f>IFERROR(VLOOKUP(A15,overtime_base!$J:$L,3,FALSE)/Params!$B$2,0)</f>
        <v>352.06015597920276</v>
      </c>
    </row>
    <row r="16" spans="1:18" ht="40" x14ac:dyDescent="0.35">
      <c r="A16" s="4" t="s">
        <v>77</v>
      </c>
      <c r="B16" s="5" t="s">
        <v>78</v>
      </c>
      <c r="C16" s="6" t="s">
        <v>20</v>
      </c>
      <c r="D16" s="6" t="s">
        <v>68</v>
      </c>
      <c r="E16" s="5" t="s">
        <v>79</v>
      </c>
      <c r="F16" s="6" t="s">
        <v>29</v>
      </c>
      <c r="G16" s="7">
        <v>32730</v>
      </c>
      <c r="H16" s="12">
        <f>DATEDIF(G16,Params!$B$3,"Y")</f>
        <v>36</v>
      </c>
      <c r="I16" s="12" t="str">
        <f>IF(H16&lt;25,"&lt;25 ans",IF(H16&lt;=29,"25 - 29 ans",IF(H16&lt;=34,"30 - 34 ans ",IF(H16&lt;=39,"35 - 39 ans ",IF(H16&lt;=44,"40 - 44 ans ",IF(H16&lt;=49,"45 - 49 ans ",IF(H16&lt;=54,"50 - 54 ans ","&gt;55")))))))</f>
        <v xml:space="preserve">35 - 39 ans </v>
      </c>
      <c r="J16" s="7">
        <v>42317</v>
      </c>
      <c r="K16" s="12">
        <f>DATEDIF(J16,Params!$B$3,"Y")</f>
        <v>10</v>
      </c>
      <c r="L16" s="12" t="str">
        <f>IF(K16&lt;1,"&lt;1 year",IF(K16&lt;=3,"1 - 3 year(s)",IF(K16&lt;=6,"4 - 6 years",IF(K16&lt;=9,"7 - 9 years","&gt;= 10 years"))))</f>
        <v>&gt;= 10 years</v>
      </c>
      <c r="M16" s="5" t="s">
        <v>24</v>
      </c>
      <c r="N16" s="8" t="s">
        <v>31</v>
      </c>
      <c r="O16" s="8" cm="1">
        <f t="array" ref="O16">IFERROR(VLOOKUP($A16&amp;"Annual",CHOOSE({1,2},leavebalances_base!$E$3:$E$1230&amp;leavebalances_base!$T$3:$T$1230,leavebalances_base!$AC$3:$AC$1230),2,FALSE),"")</f>
        <v>28.416666666665002</v>
      </c>
      <c r="P16" s="8" cm="1">
        <f t="array" ref="P16">IFERROR(VLOOKUP($A16&amp;"Annual",CHOOSE({1,2},leavebalances_base!$E$3:$E$1230&amp;leavebalances_base!$T$3:$T$1230,leavebalances_base!$AD$3:$AD$1230),2,FALSE)/Params!$B$2,"")</f>
        <v>3949.03394482669</v>
      </c>
      <c r="Q16" s="6">
        <f>IFERROR(VLOOKUP(A16,overtime_base!$J:$L,2,FALSE),0)</f>
        <v>0</v>
      </c>
      <c r="R16" s="6">
        <f>IFERROR(VLOOKUP(A16,overtime_base!$J:$L,3,FALSE)/Params!$B$2,0)</f>
        <v>0</v>
      </c>
    </row>
    <row r="17" spans="1:18" ht="40" x14ac:dyDescent="0.35">
      <c r="A17" s="4" t="s">
        <v>80</v>
      </c>
      <c r="B17" s="5" t="s">
        <v>81</v>
      </c>
      <c r="C17" s="6" t="s">
        <v>20</v>
      </c>
      <c r="D17" s="6" t="s">
        <v>82</v>
      </c>
      <c r="E17" s="5" t="s">
        <v>83</v>
      </c>
      <c r="F17" s="6" t="s">
        <v>57</v>
      </c>
      <c r="G17" s="7">
        <v>32748</v>
      </c>
      <c r="H17" s="12">
        <f>DATEDIF(G17,Params!$B$3,"Y")</f>
        <v>36</v>
      </c>
      <c r="I17" s="12" t="str">
        <f>IF(H17&lt;25,"&lt;25 ans",IF(H17&lt;=29,"25 - 29 ans",IF(H17&lt;=34,"30 - 34 ans ",IF(H17&lt;=39,"35 - 39 ans ",IF(H17&lt;=44,"40 - 44 ans ",IF(H17&lt;=49,"45 - 49 ans ",IF(H17&lt;=54,"50 - 54 ans ","&gt;55")))))))</f>
        <v xml:space="preserve">35 - 39 ans </v>
      </c>
      <c r="J17" s="7">
        <v>42317</v>
      </c>
      <c r="K17" s="12">
        <f>DATEDIF(J17,Params!$B$3,"Y")</f>
        <v>10</v>
      </c>
      <c r="L17" s="12" t="str">
        <f>IF(K17&lt;1,"&lt;1 year",IF(K17&lt;=3,"1 - 3 year(s)",IF(K17&lt;=6,"4 - 6 years",IF(K17&lt;=9,"7 - 9 years","&gt;= 10 years"))))</f>
        <v>&gt;= 10 years</v>
      </c>
      <c r="M17" s="5" t="s">
        <v>84</v>
      </c>
      <c r="N17" s="8" t="s">
        <v>31</v>
      </c>
      <c r="O17" s="8" cm="1">
        <f t="array" ref="O17">IFERROR(VLOOKUP($A17&amp;"Annual",CHOOSE({1,2},leavebalances_base!$E$3:$E$1230&amp;leavebalances_base!$T$3:$T$1230,leavebalances_base!$AC$3:$AC$1230),2,FALSE),"")</f>
        <v>24.670000000001</v>
      </c>
      <c r="P17" s="8" cm="1">
        <f t="array" ref="P17">IFERROR(VLOOKUP($A17&amp;"Annual",CHOOSE({1,2},leavebalances_base!$E$3:$E$1230&amp;leavebalances_base!$T$3:$T$1230,leavebalances_base!$AD$3:$AD$1230),2,FALSE)/Params!$B$2,"")</f>
        <v>3260.608168505199</v>
      </c>
      <c r="Q17" s="6">
        <f>IFERROR(VLOOKUP(A17,overtime_base!$J:$L,2,FALSE),0)</f>
        <v>0</v>
      </c>
      <c r="R17" s="6">
        <f>IFERROR(VLOOKUP(A17,overtime_base!$J:$L,3,FALSE)/Params!$B$2,0)</f>
        <v>0</v>
      </c>
    </row>
    <row r="18" spans="1:18" ht="30" x14ac:dyDescent="0.35">
      <c r="A18" s="4" t="s">
        <v>85</v>
      </c>
      <c r="B18" s="5" t="s">
        <v>86</v>
      </c>
      <c r="C18" s="6" t="s">
        <v>20</v>
      </c>
      <c r="D18" s="6" t="s">
        <v>21</v>
      </c>
      <c r="E18" s="5" t="s">
        <v>87</v>
      </c>
      <c r="F18" s="6" t="s">
        <v>50</v>
      </c>
      <c r="G18" s="7">
        <v>32408</v>
      </c>
      <c r="H18" s="12">
        <f>DATEDIF(G18,Params!$B$3,"Y")</f>
        <v>37</v>
      </c>
      <c r="I18" s="12" t="str">
        <f>IF(H18&lt;25,"&lt;25 ans",IF(H18&lt;=29,"25 - 29 ans",IF(H18&lt;=34,"30 - 34 ans ",IF(H18&lt;=39,"35 - 39 ans ",IF(H18&lt;=44,"40 - 44 ans ",IF(H18&lt;=49,"45 - 49 ans ",IF(H18&lt;=54,"50 - 54 ans ","&gt;55")))))))</f>
        <v xml:space="preserve">35 - 39 ans </v>
      </c>
      <c r="J18" s="7">
        <v>42317</v>
      </c>
      <c r="K18" s="12">
        <f>DATEDIF(J18,Params!$B$3,"Y")</f>
        <v>10</v>
      </c>
      <c r="L18" s="12" t="str">
        <f>IF(K18&lt;1,"&lt;1 year",IF(K18&lt;=3,"1 - 3 year(s)",IF(K18&lt;=6,"4 - 6 years",IF(K18&lt;=9,"7 - 9 years","&gt;= 10 years"))))</f>
        <v>&gt;= 10 years</v>
      </c>
      <c r="M18" s="5" t="s">
        <v>84</v>
      </c>
      <c r="N18" s="8" t="s">
        <v>31</v>
      </c>
      <c r="O18" s="8" cm="1">
        <f t="array" ref="O18">IFERROR(VLOOKUP($A18&amp;"Annual",CHOOSE({1,2},leavebalances_base!$E$3:$E$1230&amp;leavebalances_base!$T$3:$T$1230,leavebalances_base!$AC$3:$AC$1230),2,FALSE),"")</f>
        <v>20.336666666673</v>
      </c>
      <c r="P18" s="8" cm="1">
        <f t="array" ref="P18">IFERROR(VLOOKUP($A18&amp;"Annual",CHOOSE({1,2},leavebalances_base!$E$3:$E$1230&amp;leavebalances_base!$T$3:$T$1230,leavebalances_base!$AD$3:$AD$1230),2,FALSE)/Params!$B$2,"")</f>
        <v>3795.8159542417675</v>
      </c>
      <c r="Q18" s="6">
        <f>IFERROR(VLOOKUP(A18,overtime_base!$J:$L,2,FALSE),0)</f>
        <v>0</v>
      </c>
      <c r="R18" s="6">
        <f>IFERROR(VLOOKUP(A18,overtime_base!$J:$L,3,FALSE)/Params!$B$2,0)</f>
        <v>0</v>
      </c>
    </row>
    <row r="19" spans="1:18" ht="20" x14ac:dyDescent="0.35">
      <c r="A19" s="4" t="s">
        <v>88</v>
      </c>
      <c r="B19" s="5" t="s">
        <v>89</v>
      </c>
      <c r="C19" s="6" t="s">
        <v>20</v>
      </c>
      <c r="D19" s="6" t="s">
        <v>21</v>
      </c>
      <c r="E19" s="5" t="s">
        <v>90</v>
      </c>
      <c r="F19" s="6" t="s">
        <v>23</v>
      </c>
      <c r="G19" s="7">
        <v>31762</v>
      </c>
      <c r="H19" s="12">
        <f>DATEDIF(G19,Params!$B$3,"Y")</f>
        <v>39</v>
      </c>
      <c r="I19" s="12" t="str">
        <f>IF(H19&lt;25,"&lt;25 ans",IF(H19&lt;=29,"25 - 29 ans",IF(H19&lt;=34,"30 - 34 ans ",IF(H19&lt;=39,"35 - 39 ans ",IF(H19&lt;=44,"40 - 44 ans ",IF(H19&lt;=49,"45 - 49 ans ",IF(H19&lt;=54,"50 - 54 ans ","&gt;55")))))))</f>
        <v xml:space="preserve">35 - 39 ans </v>
      </c>
      <c r="J19" s="7">
        <v>42337</v>
      </c>
      <c r="K19" s="12">
        <f>DATEDIF(J19,Params!$B$3,"Y")</f>
        <v>10</v>
      </c>
      <c r="L19" s="12" t="str">
        <f>IF(K19&lt;1,"&lt;1 year",IF(K19&lt;=3,"1 - 3 year(s)",IF(K19&lt;=6,"4 - 6 years",IF(K19&lt;=9,"7 - 9 years","&gt;= 10 years"))))</f>
        <v>&gt;= 10 years</v>
      </c>
      <c r="M19" s="5" t="s">
        <v>91</v>
      </c>
      <c r="N19" s="8" t="s">
        <v>36</v>
      </c>
      <c r="O19" s="8" cm="1">
        <f t="array" ref="O19">IFERROR(VLOOKUP($A19&amp;"Annual",CHOOSE({1,2},leavebalances_base!$E$3:$E$1230&amp;leavebalances_base!$T$3:$T$1230,leavebalances_base!$AC$3:$AC$1230),2,FALSE),"")</f>
        <v>28.75</v>
      </c>
      <c r="P19" s="8" cm="1">
        <f t="array" ref="P19">IFERROR(VLOOKUP($A19&amp;"Annual",CHOOSE({1,2},leavebalances_base!$E$3:$E$1230&amp;leavebalances_base!$T$3:$T$1230,leavebalances_base!$AD$3:$AD$1230),2,FALSE)/Params!$B$2,"")</f>
        <v>6128.7398219714041</v>
      </c>
      <c r="Q19" s="6">
        <f>IFERROR(VLOOKUP(A19,overtime_base!$J:$L,2,FALSE),0)</f>
        <v>0</v>
      </c>
      <c r="R19" s="6">
        <f>IFERROR(VLOOKUP(A19,overtime_base!$J:$L,3,FALSE)/Params!$B$2,0)</f>
        <v>0</v>
      </c>
    </row>
    <row r="20" spans="1:18" ht="40" x14ac:dyDescent="0.35">
      <c r="A20" s="4" t="s">
        <v>92</v>
      </c>
      <c r="B20" s="5" t="s">
        <v>93</v>
      </c>
      <c r="C20" s="6" t="s">
        <v>20</v>
      </c>
      <c r="D20" s="6" t="s">
        <v>94</v>
      </c>
      <c r="E20" s="5" t="s">
        <v>95</v>
      </c>
      <c r="F20" s="6" t="s">
        <v>50</v>
      </c>
      <c r="G20" s="7">
        <v>29048</v>
      </c>
      <c r="H20" s="12">
        <f>DATEDIF(G20,Params!$B$3,"Y")</f>
        <v>47</v>
      </c>
      <c r="I20" s="12" t="str">
        <f>IF(H20&lt;25,"&lt;25 ans",IF(H20&lt;=29,"25 - 29 ans",IF(H20&lt;=34,"30 - 34 ans ",IF(H20&lt;=39,"35 - 39 ans ",IF(H20&lt;=44,"40 - 44 ans ",IF(H20&lt;=49,"45 - 49 ans ",IF(H20&lt;=54,"50 - 54 ans ","&gt;55")))))))</f>
        <v xml:space="preserve">45 - 49 ans </v>
      </c>
      <c r="J20" s="7">
        <v>42461</v>
      </c>
      <c r="K20" s="12">
        <f>DATEDIF(J20,Params!$B$3,"Y")</f>
        <v>10</v>
      </c>
      <c r="L20" s="12" t="str">
        <f>IF(K20&lt;1,"&lt;1 year",IF(K20&lt;=3,"1 - 3 year(s)",IF(K20&lt;=6,"4 - 6 years",IF(K20&lt;=9,"7 - 9 years","&gt;= 10 years"))))</f>
        <v>&gt;= 10 years</v>
      </c>
      <c r="M20" s="5" t="s">
        <v>45</v>
      </c>
      <c r="N20" s="8" t="s">
        <v>31</v>
      </c>
      <c r="O20" s="8" cm="1">
        <f t="array" ref="O20">IFERROR(VLOOKUP($A20&amp;"Annual",CHOOSE({1,2},leavebalances_base!$E$3:$E$1230&amp;leavebalances_base!$T$3:$T$1230,leavebalances_base!$AC$3:$AC$1230),2,FALSE),"")</f>
        <v>2.703333333337</v>
      </c>
      <c r="P20" s="8" cm="1">
        <f t="array" ref="P20">IFERROR(VLOOKUP($A20&amp;"Annual",CHOOSE({1,2},leavebalances_base!$E$3:$E$1230&amp;leavebalances_base!$T$3:$T$1230,leavebalances_base!$AD$3:$AD$1230),2,FALSE)/Params!$B$2,"")</f>
        <v>780.73972332755636</v>
      </c>
      <c r="Q20" s="6">
        <f>IFERROR(VLOOKUP(A20,overtime_base!$J:$L,2,FALSE),0)</f>
        <v>0</v>
      </c>
      <c r="R20" s="6">
        <f>IFERROR(VLOOKUP(A20,overtime_base!$J:$L,3,FALSE)/Params!$B$2,0)</f>
        <v>0</v>
      </c>
    </row>
    <row r="21" spans="1:18" ht="20" x14ac:dyDescent="0.35">
      <c r="A21" s="4" t="s">
        <v>96</v>
      </c>
      <c r="B21" s="5" t="s">
        <v>97</v>
      </c>
      <c r="C21" s="6" t="s">
        <v>20</v>
      </c>
      <c r="D21" s="6" t="s">
        <v>21</v>
      </c>
      <c r="E21" s="5" t="s">
        <v>98</v>
      </c>
      <c r="F21" s="6" t="s">
        <v>70</v>
      </c>
      <c r="G21" s="7">
        <v>31855</v>
      </c>
      <c r="H21" s="12">
        <f>DATEDIF(G21,Params!$B$3,"Y")</f>
        <v>39</v>
      </c>
      <c r="I21" s="12" t="str">
        <f>IF(H21&lt;25,"&lt;25 ans",IF(H21&lt;=29,"25 - 29 ans",IF(H21&lt;=34,"30 - 34 ans ",IF(H21&lt;=39,"35 - 39 ans ",IF(H21&lt;=44,"40 - 44 ans ",IF(H21&lt;=49,"45 - 49 ans ",IF(H21&lt;=54,"50 - 54 ans ","&gt;55")))))))</f>
        <v xml:space="preserve">35 - 39 ans </v>
      </c>
      <c r="J21" s="7">
        <v>42471</v>
      </c>
      <c r="K21" s="12">
        <f>DATEDIF(J21,Params!$B$3,"Y")</f>
        <v>10</v>
      </c>
      <c r="L21" s="12" t="str">
        <f>IF(K21&lt;1,"&lt;1 year",IF(K21&lt;=3,"1 - 3 year(s)",IF(K21&lt;=6,"4 - 6 years",IF(K21&lt;=9,"7 - 9 years","&gt;= 10 years"))))</f>
        <v>&gt;= 10 years</v>
      </c>
      <c r="M21" s="5" t="s">
        <v>45</v>
      </c>
      <c r="N21" s="8" t="s">
        <v>31</v>
      </c>
      <c r="O21" s="8" cm="1">
        <f t="array" ref="O21">IFERROR(VLOOKUP($A21&amp;"Annual",CHOOSE({1,2},leavebalances_base!$E$3:$E$1230&amp;leavebalances_base!$T$3:$T$1230,leavebalances_base!$AC$3:$AC$1230),2,FALSE),"")</f>
        <v>10.333333333336</v>
      </c>
      <c r="P21" s="8" cm="1">
        <f t="array" ref="P21">IFERROR(VLOOKUP($A21&amp;"Annual",CHOOSE({1,2},leavebalances_base!$E$3:$E$1230&amp;leavebalances_base!$T$3:$T$1230,leavebalances_base!$AD$3:$AD$1230),2,FALSE)/Params!$B$2,"")</f>
        <v>2589.7147228682843</v>
      </c>
      <c r="Q21" s="6">
        <f>IFERROR(VLOOKUP(A21,overtime_base!$J:$L,2,FALSE),0)</f>
        <v>0</v>
      </c>
      <c r="R21" s="6">
        <f>IFERROR(VLOOKUP(A21,overtime_base!$J:$L,3,FALSE)/Params!$B$2,0)</f>
        <v>0</v>
      </c>
    </row>
    <row r="22" spans="1:18" ht="20" x14ac:dyDescent="0.35">
      <c r="A22" s="4" t="s">
        <v>99</v>
      </c>
      <c r="B22" s="5" t="s">
        <v>100</v>
      </c>
      <c r="C22" s="6" t="s">
        <v>20</v>
      </c>
      <c r="D22" s="6" t="s">
        <v>21</v>
      </c>
      <c r="E22" s="5" t="s">
        <v>101</v>
      </c>
      <c r="F22" s="6" t="s">
        <v>44</v>
      </c>
      <c r="G22" s="7">
        <v>26131</v>
      </c>
      <c r="H22" s="12">
        <f>DATEDIF(G22,Params!$B$3,"Y")</f>
        <v>55</v>
      </c>
      <c r="I22" s="12" t="str">
        <f>IF(H22&lt;25,"&lt;25 ans",IF(H22&lt;=29,"25 - 29 ans",IF(H22&lt;=34,"30 - 34 ans ",IF(H22&lt;=39,"35 - 39 ans ",IF(H22&lt;=44,"40 - 44 ans ",IF(H22&lt;=49,"45 - 49 ans ",IF(H22&lt;=54,"50 - 54 ans ","&gt;55")))))))</f>
        <v>&gt;55</v>
      </c>
      <c r="J22" s="7">
        <v>44158</v>
      </c>
      <c r="K22" s="12">
        <f>DATEDIF(J22,Params!$B$3,"Y")</f>
        <v>5</v>
      </c>
      <c r="L22" s="12" t="str">
        <f>IF(K22&lt;1,"&lt;1 year",IF(K22&lt;=3,"1 - 3 year(s)",IF(K22&lt;=6,"4 - 6 years",IF(K22&lt;=9,"7 - 9 years","&gt;= 10 years"))))</f>
        <v>4 - 6 years</v>
      </c>
      <c r="M22" s="5" t="s">
        <v>102</v>
      </c>
      <c r="N22" s="8" t="s">
        <v>31</v>
      </c>
      <c r="O22" s="8" cm="1">
        <f t="array" ref="O22">IFERROR(VLOOKUP($A22&amp;"Annual",CHOOSE({1,2},leavebalances_base!$E$3:$E$1230&amp;leavebalances_base!$T$3:$T$1230,leavebalances_base!$AC$3:$AC$1230),2,FALSE),"")</f>
        <v>19.169999999994999</v>
      </c>
      <c r="P22" s="8" cm="1">
        <f t="array" ref="P22">IFERROR(VLOOKUP($A22&amp;"Annual",CHOOSE({1,2},leavebalances_base!$E$3:$E$1230&amp;leavebalances_base!$T$3:$T$1230,leavebalances_base!$AD$3:$AD$1230),2,FALSE)/Params!$B$2,"")</f>
        <v>1042.5828886828424</v>
      </c>
      <c r="Q22" s="6">
        <f>IFERROR(VLOOKUP(A22,overtime_base!$J:$L,2,FALSE),0)</f>
        <v>7</v>
      </c>
      <c r="R22" s="6">
        <f>IFERROR(VLOOKUP(A22,overtime_base!$J:$L,3,FALSE)/Params!$B$2,0)</f>
        <v>41.582066724436743</v>
      </c>
    </row>
    <row r="23" spans="1:18" ht="70" x14ac:dyDescent="0.35">
      <c r="A23" s="4" t="s">
        <v>103</v>
      </c>
      <c r="B23" s="5" t="s">
        <v>104</v>
      </c>
      <c r="C23" s="6" t="s">
        <v>48</v>
      </c>
      <c r="D23" s="6" t="s">
        <v>21</v>
      </c>
      <c r="E23" s="5" t="s">
        <v>105</v>
      </c>
      <c r="F23" s="6" t="s">
        <v>57</v>
      </c>
      <c r="G23" s="7">
        <v>32197</v>
      </c>
      <c r="H23" s="12">
        <f>DATEDIF(G23,Params!$B$3,"Y")</f>
        <v>38</v>
      </c>
      <c r="I23" s="12" t="str">
        <f>IF(H23&lt;25,"&lt;25 ans",IF(H23&lt;=29,"25 - 29 ans",IF(H23&lt;=34,"30 - 34 ans ",IF(H23&lt;=39,"35 - 39 ans ",IF(H23&lt;=44,"40 - 44 ans ",IF(H23&lt;=49,"45 - 49 ans ",IF(H23&lt;=54,"50 - 54 ans ","&gt;55")))))))</f>
        <v xml:space="preserve">35 - 39 ans </v>
      </c>
      <c r="J23" s="7">
        <v>42506</v>
      </c>
      <c r="K23" s="12">
        <f>DATEDIF(J23,Params!$B$3,"Y")</f>
        <v>10</v>
      </c>
      <c r="L23" s="12" t="str">
        <f>IF(K23&lt;1,"&lt;1 year",IF(K23&lt;=3,"1 - 3 year(s)",IF(K23&lt;=6,"4 - 6 years",IF(K23&lt;=9,"7 - 9 years","&gt;= 10 years"))))</f>
        <v>&gt;= 10 years</v>
      </c>
      <c r="M23" s="5" t="s">
        <v>40</v>
      </c>
      <c r="N23" s="8" t="s">
        <v>36</v>
      </c>
      <c r="O23" s="8" cm="1">
        <f t="array" ref="O23">IFERROR(VLOOKUP($A23&amp;"Annual",CHOOSE({1,2},leavebalances_base!$E$3:$E$1230&amp;leavebalances_base!$T$3:$T$1230,leavebalances_base!$AC$3:$AC$1230),2,FALSE),"")</f>
        <v>23.836666666671</v>
      </c>
      <c r="P23" s="8" cm="1">
        <f t="array" ref="P23">IFERROR(VLOOKUP($A23&amp;"Annual",CHOOSE({1,2},leavebalances_base!$E$3:$E$1230&amp;leavebalances_base!$T$3:$T$1230,leavebalances_base!$AD$3:$AD$1230),2,FALSE)/Params!$B$2,"")</f>
        <v>2919.0879365164647</v>
      </c>
      <c r="Q23" s="6">
        <f>IFERROR(VLOOKUP(A23,overtime_base!$J:$L,2,FALSE),0)</f>
        <v>0</v>
      </c>
      <c r="R23" s="6">
        <f>IFERROR(VLOOKUP(A23,overtime_base!$J:$L,3,FALSE)/Params!$B$2,0)</f>
        <v>0</v>
      </c>
    </row>
    <row r="24" spans="1:18" ht="20" x14ac:dyDescent="0.35">
      <c r="A24" s="4" t="s">
        <v>106</v>
      </c>
      <c r="B24" s="5" t="s">
        <v>107</v>
      </c>
      <c r="C24" s="6" t="s">
        <v>20</v>
      </c>
      <c r="D24" s="6" t="s">
        <v>21</v>
      </c>
      <c r="E24" s="5" t="s">
        <v>108</v>
      </c>
      <c r="F24" s="6" t="s">
        <v>50</v>
      </c>
      <c r="G24" s="7">
        <v>29323</v>
      </c>
      <c r="H24" s="12">
        <f>DATEDIF(G24,Params!$B$3,"Y")</f>
        <v>46</v>
      </c>
      <c r="I24" s="12" t="str">
        <f>IF(H24&lt;25,"&lt;25 ans",IF(H24&lt;=29,"25 - 29 ans",IF(H24&lt;=34,"30 - 34 ans ",IF(H24&lt;=39,"35 - 39 ans ",IF(H24&lt;=44,"40 - 44 ans ",IF(H24&lt;=49,"45 - 49 ans ",IF(H24&lt;=54,"50 - 54 ans ","&gt;55")))))))</f>
        <v xml:space="preserve">45 - 49 ans </v>
      </c>
      <c r="J24" s="7">
        <v>44161</v>
      </c>
      <c r="K24" s="12">
        <f>DATEDIF(J24,Params!$B$3,"Y")</f>
        <v>5</v>
      </c>
      <c r="L24" s="12" t="str">
        <f>IF(K24&lt;1,"&lt;1 year",IF(K24&lt;=3,"1 - 3 year(s)",IF(K24&lt;=6,"4 - 6 years",IF(K24&lt;=9,"7 - 9 years","&gt;= 10 years"))))</f>
        <v>4 - 6 years</v>
      </c>
      <c r="M24" s="5" t="s">
        <v>45</v>
      </c>
      <c r="N24" s="8" t="s">
        <v>31</v>
      </c>
      <c r="O24" s="8" cm="1">
        <f t="array" ref="O24">IFERROR(VLOOKUP($A24&amp;"Annual",CHOOSE({1,2},leavebalances_base!$E$3:$E$1230&amp;leavebalances_base!$T$3:$T$1230,leavebalances_base!$AC$3:$AC$1230),2,FALSE),"")</f>
        <v>24.67</v>
      </c>
      <c r="P24" s="8" cm="1">
        <f t="array" ref="P24">IFERROR(VLOOKUP($A24&amp;"Annual",CHOOSE({1,2},leavebalances_base!$E$3:$E$1230&amp;leavebalances_base!$T$3:$T$1230,leavebalances_base!$AD$3:$AD$1230),2,FALSE)/Params!$B$2,"")</f>
        <v>4453.2495375606586</v>
      </c>
      <c r="Q24" s="6">
        <f>IFERROR(VLOOKUP(A24,overtime_base!$J:$L,2,FALSE),0)</f>
        <v>0</v>
      </c>
      <c r="R24" s="6">
        <f>IFERROR(VLOOKUP(A24,overtime_base!$J:$L,3,FALSE)/Params!$B$2,0)</f>
        <v>0</v>
      </c>
    </row>
    <row r="25" spans="1:18" ht="60" x14ac:dyDescent="0.35">
      <c r="A25" s="4" t="s">
        <v>109</v>
      </c>
      <c r="B25" s="5" t="s">
        <v>110</v>
      </c>
      <c r="C25" s="6" t="s">
        <v>48</v>
      </c>
      <c r="D25" s="6" t="s">
        <v>21</v>
      </c>
      <c r="E25" s="5" t="s">
        <v>111</v>
      </c>
      <c r="F25" s="6" t="s">
        <v>57</v>
      </c>
      <c r="G25" s="7">
        <v>32543</v>
      </c>
      <c r="H25" s="12">
        <f>DATEDIF(G25,Params!$B$3,"Y")</f>
        <v>37</v>
      </c>
      <c r="I25" s="12" t="str">
        <f>IF(H25&lt;25,"&lt;25 ans",IF(H25&lt;=29,"25 - 29 ans",IF(H25&lt;=34,"30 - 34 ans ",IF(H25&lt;=39,"35 - 39 ans ",IF(H25&lt;=44,"40 - 44 ans ",IF(H25&lt;=49,"45 - 49 ans ",IF(H25&lt;=54,"50 - 54 ans ","&gt;55")))))))</f>
        <v xml:space="preserve">35 - 39 ans </v>
      </c>
      <c r="J25" s="7">
        <v>42522</v>
      </c>
      <c r="K25" s="12">
        <f>DATEDIF(J25,Params!$B$3,"Y")</f>
        <v>10</v>
      </c>
      <c r="L25" s="12" t="str">
        <f>IF(K25&lt;1,"&lt;1 year",IF(K25&lt;=3,"1 - 3 year(s)",IF(K25&lt;=6,"4 - 6 years",IF(K25&lt;=9,"7 - 9 years","&gt;= 10 years"))))</f>
        <v>&gt;= 10 years</v>
      </c>
      <c r="M25" s="5" t="s">
        <v>40</v>
      </c>
      <c r="N25" s="8" t="s">
        <v>36</v>
      </c>
      <c r="O25" s="8" cm="1">
        <f t="array" ref="O25">IFERROR(VLOOKUP($A25&amp;"Annual",CHOOSE({1,2},leavebalances_base!$E$3:$E$1230&amp;leavebalances_base!$T$3:$T$1230,leavebalances_base!$AC$3:$AC$1230),2,FALSE),"")</f>
        <v>30.663333333337999</v>
      </c>
      <c r="P25" s="8" cm="1">
        <f t="array" ref="P25">IFERROR(VLOOKUP($A25&amp;"Annual",CHOOSE({1,2},leavebalances_base!$E$3:$E$1230&amp;leavebalances_base!$T$3:$T$1230,leavebalances_base!$AD$3:$AD$1230),2,FALSE)/Params!$B$2,"")</f>
        <v>4350.4279334358753</v>
      </c>
      <c r="Q25" s="6">
        <f>IFERROR(VLOOKUP(A25,overtime_base!$J:$L,2,FALSE),0)</f>
        <v>0</v>
      </c>
      <c r="R25" s="6">
        <f>IFERROR(VLOOKUP(A25,overtime_base!$J:$L,3,FALSE)/Params!$B$2,0)</f>
        <v>0</v>
      </c>
    </row>
    <row r="26" spans="1:18" ht="40" x14ac:dyDescent="0.35">
      <c r="A26" s="4" t="s">
        <v>112</v>
      </c>
      <c r="B26" s="5" t="s">
        <v>113</v>
      </c>
      <c r="C26" s="6" t="s">
        <v>20</v>
      </c>
      <c r="D26" s="6" t="s">
        <v>21</v>
      </c>
      <c r="E26" s="5" t="s">
        <v>114</v>
      </c>
      <c r="F26" s="6" t="s">
        <v>23</v>
      </c>
      <c r="G26" s="7">
        <v>23282</v>
      </c>
      <c r="H26" s="12">
        <f>DATEDIF(G26,Params!$B$3,"Y")</f>
        <v>62</v>
      </c>
      <c r="I26" s="12" t="str">
        <f>IF(H26&lt;25,"&lt;25 ans",IF(H26&lt;=29,"25 - 29 ans",IF(H26&lt;=34,"30 - 34 ans ",IF(H26&lt;=39,"35 - 39 ans ",IF(H26&lt;=44,"40 - 44 ans ",IF(H26&lt;=49,"45 - 49 ans ",IF(H26&lt;=54,"50 - 54 ans ","&gt;55")))))))</f>
        <v>&gt;55</v>
      </c>
      <c r="J26" s="7">
        <v>42515</v>
      </c>
      <c r="K26" s="12">
        <f>DATEDIF(J26,Params!$B$3,"Y")</f>
        <v>10</v>
      </c>
      <c r="L26" s="12" t="str">
        <f>IF(K26&lt;1,"&lt;1 year",IF(K26&lt;=3,"1 - 3 year(s)",IF(K26&lt;=6,"4 - 6 years",IF(K26&lt;=9,"7 - 9 years","&gt;= 10 years"))))</f>
        <v>&gt;= 10 years</v>
      </c>
      <c r="M26" s="5" t="s">
        <v>115</v>
      </c>
      <c r="N26" s="8" t="s">
        <v>31</v>
      </c>
      <c r="O26" s="8" cm="1">
        <f t="array" ref="O26">IFERROR(VLOOKUP($A26&amp;"Annual",CHOOSE({1,2},leavebalances_base!$E$3:$E$1230&amp;leavebalances_base!$T$3:$T$1230,leavebalances_base!$AC$3:$AC$1230),2,FALSE),"")</f>
        <v>9.3366666666710003</v>
      </c>
      <c r="P26" s="8" cm="1">
        <f t="array" ref="P26">IFERROR(VLOOKUP($A26&amp;"Annual",CHOOSE({1,2},leavebalances_base!$E$3:$E$1230&amp;leavebalances_base!$T$3:$T$1230,leavebalances_base!$AD$3:$AD$1230),2,FALSE)/Params!$B$2,"")</f>
        <v>1669.7484759662045</v>
      </c>
      <c r="Q26" s="6">
        <f>IFERROR(VLOOKUP(A26,overtime_base!$J:$L,2,FALSE),0)</f>
        <v>0</v>
      </c>
      <c r="R26" s="6">
        <f>IFERROR(VLOOKUP(A26,overtime_base!$J:$L,3,FALSE)/Params!$B$2,0)</f>
        <v>0</v>
      </c>
    </row>
    <row r="27" spans="1:18" ht="20" x14ac:dyDescent="0.35">
      <c r="A27" s="4" t="s">
        <v>116</v>
      </c>
      <c r="B27" s="5" t="s">
        <v>117</v>
      </c>
      <c r="C27" s="6" t="s">
        <v>20</v>
      </c>
      <c r="D27" s="6" t="s">
        <v>94</v>
      </c>
      <c r="E27" s="5" t="s">
        <v>118</v>
      </c>
      <c r="F27" s="6" t="s">
        <v>70</v>
      </c>
      <c r="G27" s="7">
        <v>27123</v>
      </c>
      <c r="H27" s="12">
        <f>DATEDIF(G27,Params!$B$3,"Y")</f>
        <v>52</v>
      </c>
      <c r="I27" s="12" t="str">
        <f>IF(H27&lt;25,"&lt;25 ans",IF(H27&lt;=29,"25 - 29 ans",IF(H27&lt;=34,"30 - 34 ans ",IF(H27&lt;=39,"35 - 39 ans ",IF(H27&lt;=44,"40 - 44 ans ",IF(H27&lt;=49,"45 - 49 ans ",IF(H27&lt;=54,"50 - 54 ans ","&gt;55")))))))</f>
        <v xml:space="preserve">50 - 54 ans </v>
      </c>
      <c r="J27" s="7">
        <v>42562</v>
      </c>
      <c r="K27" s="12">
        <f>DATEDIF(J27,Params!$B$3,"Y")</f>
        <v>10</v>
      </c>
      <c r="L27" s="12" t="str">
        <f>IF(K27&lt;1,"&lt;1 year",IF(K27&lt;=3,"1 - 3 year(s)",IF(K27&lt;=6,"4 - 6 years",IF(K27&lt;=9,"7 - 9 years","&gt;= 10 years"))))</f>
        <v>&gt;= 10 years</v>
      </c>
      <c r="M27" s="5" t="s">
        <v>119</v>
      </c>
      <c r="N27" s="8" t="s">
        <v>31</v>
      </c>
      <c r="O27" s="8" cm="1">
        <f t="array" ref="O27">IFERROR(VLOOKUP($A27&amp;"Annual",CHOOSE({1,2},leavebalances_base!$E$3:$E$1230&amp;leavebalances_base!$T$3:$T$1230,leavebalances_base!$AC$3:$AC$1230),2,FALSE),"")</f>
        <v>3.6700000000089998</v>
      </c>
      <c r="P27" s="8" cm="1">
        <f t="array" ref="P27">IFERROR(VLOOKUP($A27&amp;"Annual",CHOOSE({1,2},leavebalances_base!$E$3:$E$1230&amp;leavebalances_base!$T$3:$T$1230,leavebalances_base!$AD$3:$AD$1230),2,FALSE)/Params!$B$2,"")</f>
        <v>1935.5537091247836</v>
      </c>
      <c r="Q27" s="6">
        <f>IFERROR(VLOOKUP(A27,overtime_base!$J:$L,2,FALSE),0)</f>
        <v>0</v>
      </c>
      <c r="R27" s="6">
        <f>IFERROR(VLOOKUP(A27,overtime_base!$J:$L,3,FALSE)/Params!$B$2,0)</f>
        <v>0</v>
      </c>
    </row>
    <row r="28" spans="1:18" ht="30" x14ac:dyDescent="0.35">
      <c r="A28" s="4" t="s">
        <v>120</v>
      </c>
      <c r="B28" s="5" t="s">
        <v>121</v>
      </c>
      <c r="C28" s="6" t="s">
        <v>48</v>
      </c>
      <c r="D28" s="6" t="s">
        <v>21</v>
      </c>
      <c r="E28" s="5" t="s">
        <v>122</v>
      </c>
      <c r="F28" s="6" t="s">
        <v>44</v>
      </c>
      <c r="G28" s="7">
        <v>34355</v>
      </c>
      <c r="H28" s="12">
        <f>DATEDIF(G28,Params!$B$3,"Y")</f>
        <v>32</v>
      </c>
      <c r="I28" s="12" t="str">
        <f>IF(H28&lt;25,"&lt;25 ans",IF(H28&lt;=29,"25 - 29 ans",IF(H28&lt;=34,"30 - 34 ans ",IF(H28&lt;=39,"35 - 39 ans ",IF(H28&lt;=44,"40 - 44 ans ",IF(H28&lt;=49,"45 - 49 ans ",IF(H28&lt;=54,"50 - 54 ans ","&gt;55")))))))</f>
        <v xml:space="preserve">30 - 34 ans </v>
      </c>
      <c r="J28" s="7">
        <v>42569</v>
      </c>
      <c r="K28" s="12">
        <f>DATEDIF(J28,Params!$B$3,"Y")</f>
        <v>10</v>
      </c>
      <c r="L28" s="12" t="str">
        <f>IF(K28&lt;1,"&lt;1 year",IF(K28&lt;=3,"1 - 3 year(s)",IF(K28&lt;=6,"4 - 6 years",IF(K28&lt;=9,"7 - 9 years","&gt;= 10 years"))))</f>
        <v>&gt;= 10 years</v>
      </c>
      <c r="M28" s="5" t="s">
        <v>40</v>
      </c>
      <c r="N28" s="8" t="s">
        <v>36</v>
      </c>
      <c r="O28" s="8" cm="1">
        <f t="array" ref="O28">IFERROR(VLOOKUP($A28&amp;"Annual",CHOOSE({1,2},leavebalances_base!$E$3:$E$1230&amp;leavebalances_base!$T$3:$T$1230,leavebalances_base!$AC$3:$AC$1230),2,FALSE),"")</f>
        <v>15.833333333329</v>
      </c>
      <c r="P28" s="8" cm="1">
        <f t="array" ref="P28">IFERROR(VLOOKUP($A28&amp;"Annual",CHOOSE({1,2},leavebalances_base!$E$3:$E$1230&amp;leavebalances_base!$T$3:$T$1230,leavebalances_base!$AD$3:$AD$1230),2,FALSE)/Params!$B$2,"")</f>
        <v>1163.1590072703639</v>
      </c>
      <c r="Q28" s="6">
        <f>IFERROR(VLOOKUP(A28,overtime_base!$J:$L,2,FALSE),0)</f>
        <v>0</v>
      </c>
      <c r="R28" s="6">
        <f>IFERROR(VLOOKUP(A28,overtime_base!$J:$L,3,FALSE)/Params!$B$2,0)</f>
        <v>0</v>
      </c>
    </row>
    <row r="29" spans="1:18" ht="20" x14ac:dyDescent="0.35">
      <c r="A29" s="4" t="s">
        <v>123</v>
      </c>
      <c r="B29" s="5" t="s">
        <v>124</v>
      </c>
      <c r="C29" s="6" t="s">
        <v>20</v>
      </c>
      <c r="D29" s="6" t="s">
        <v>21</v>
      </c>
      <c r="E29" s="5" t="s">
        <v>125</v>
      </c>
      <c r="F29" s="6" t="s">
        <v>44</v>
      </c>
      <c r="G29" s="7">
        <v>29768</v>
      </c>
      <c r="H29" s="12">
        <f>DATEDIF(G29,Params!$B$3,"Y")</f>
        <v>45</v>
      </c>
      <c r="I29" s="12" t="str">
        <f>IF(H29&lt;25,"&lt;25 ans",IF(H29&lt;=29,"25 - 29 ans",IF(H29&lt;=34,"30 - 34 ans ",IF(H29&lt;=39,"35 - 39 ans ",IF(H29&lt;=44,"40 - 44 ans ",IF(H29&lt;=49,"45 - 49 ans ",IF(H29&lt;=54,"50 - 54 ans ","&gt;55")))))))</f>
        <v xml:space="preserve">45 - 49 ans </v>
      </c>
      <c r="J29" s="7">
        <v>42569</v>
      </c>
      <c r="K29" s="12">
        <f>DATEDIF(J29,Params!$B$3,"Y")</f>
        <v>10</v>
      </c>
      <c r="L29" s="12" t="str">
        <f>IF(K29&lt;1,"&lt;1 year",IF(K29&lt;=3,"1 - 3 year(s)",IF(K29&lt;=6,"4 - 6 years",IF(K29&lt;=9,"7 - 9 years","&gt;= 10 years"))))</f>
        <v>&gt;= 10 years</v>
      </c>
      <c r="M29" s="5" t="s">
        <v>45</v>
      </c>
      <c r="N29" s="8" t="s">
        <v>31</v>
      </c>
      <c r="O29" s="8" cm="1">
        <f t="array" ref="O29">IFERROR(VLOOKUP($A29&amp;"Annual",CHOOSE({1,2},leavebalances_base!$E$3:$E$1230&amp;leavebalances_base!$T$3:$T$1230,leavebalances_base!$AC$3:$AC$1230),2,FALSE),"")</f>
        <v>7.3333333333289996</v>
      </c>
      <c r="P29" s="8" cm="1">
        <f t="array" ref="P29">IFERROR(VLOOKUP($A29&amp;"Annual",CHOOSE({1,2},leavebalances_base!$E$3:$E$1230&amp;leavebalances_base!$T$3:$T$1230,leavebalances_base!$AD$3:$AD$1230),2,FALSE)/Params!$B$2,"")</f>
        <v>568.34121805892551</v>
      </c>
      <c r="Q29" s="6">
        <f>IFERROR(VLOOKUP(A29,overtime_base!$J:$L,2,FALSE),0)</f>
        <v>38.489999999999995</v>
      </c>
      <c r="R29" s="6">
        <f>IFERROR(VLOOKUP(A29,overtime_base!$J:$L,3,FALSE)/Params!$B$2,0)</f>
        <v>396.10707972270359</v>
      </c>
    </row>
    <row r="30" spans="1:18" ht="20" x14ac:dyDescent="0.35">
      <c r="A30" s="4" t="s">
        <v>126</v>
      </c>
      <c r="B30" s="5" t="s">
        <v>127</v>
      </c>
      <c r="C30" s="6" t="s">
        <v>20</v>
      </c>
      <c r="D30" s="6" t="s">
        <v>21</v>
      </c>
      <c r="E30" s="5" t="s">
        <v>128</v>
      </c>
      <c r="F30" s="6" t="s">
        <v>129</v>
      </c>
      <c r="G30" s="7">
        <v>30206</v>
      </c>
      <c r="H30" s="12">
        <f>DATEDIF(G30,Params!$B$3,"Y")</f>
        <v>43</v>
      </c>
      <c r="I30" s="12" t="str">
        <f>IF(H30&lt;25,"&lt;25 ans",IF(H30&lt;=29,"25 - 29 ans",IF(H30&lt;=34,"30 - 34 ans ",IF(H30&lt;=39,"35 - 39 ans ",IF(H30&lt;=44,"40 - 44 ans ",IF(H30&lt;=49,"45 - 49 ans ",IF(H30&lt;=54,"50 - 54 ans ","&gt;55")))))))</f>
        <v xml:space="preserve">40 - 44 ans </v>
      </c>
      <c r="J30" s="7">
        <v>42632</v>
      </c>
      <c r="K30" s="12">
        <f>DATEDIF(J30,Params!$B$3,"Y")</f>
        <v>9</v>
      </c>
      <c r="L30" s="12" t="str">
        <f>IF(K30&lt;1,"&lt;1 year",IF(K30&lt;=3,"1 - 3 year(s)",IF(K30&lt;=6,"4 - 6 years",IF(K30&lt;=9,"7 - 9 years","&gt;= 10 years"))))</f>
        <v>7 - 9 years</v>
      </c>
      <c r="M30" s="5" t="s">
        <v>24</v>
      </c>
      <c r="N30" s="8" t="s">
        <v>31</v>
      </c>
      <c r="O30" s="8" cm="1">
        <f t="array" ref="O30">IFERROR(VLOOKUP($A30&amp;"Annual",CHOOSE({1,2},leavebalances_base!$E$3:$E$1230&amp;leavebalances_base!$T$3:$T$1230,leavebalances_base!$AC$3:$AC$1230),2,FALSE),"")</f>
        <v>10.329999999994</v>
      </c>
      <c r="P30" s="8" cm="1">
        <f t="array" ref="P30">IFERROR(VLOOKUP($A30&amp;"Annual",CHOOSE({1,2},leavebalances_base!$E$3:$E$1230&amp;leavebalances_base!$T$3:$T$1230,leavebalances_base!$AD$3:$AD$1230),2,FALSE)/Params!$B$2,"")</f>
        <v>416.75831902079722</v>
      </c>
      <c r="Q30" s="6">
        <f>IFERROR(VLOOKUP(A30,overtime_base!$J:$L,2,FALSE),0)</f>
        <v>8.39</v>
      </c>
      <c r="R30" s="6">
        <f>IFERROR(VLOOKUP(A30,overtime_base!$J:$L,3,FALSE)/Params!$B$2,0)</f>
        <v>48.529696707105714</v>
      </c>
    </row>
    <row r="31" spans="1:18" ht="40" x14ac:dyDescent="0.35">
      <c r="A31" s="4" t="s">
        <v>130</v>
      </c>
      <c r="B31" s="5" t="s">
        <v>131</v>
      </c>
      <c r="C31" s="6" t="s">
        <v>20</v>
      </c>
      <c r="D31" s="6" t="s">
        <v>82</v>
      </c>
      <c r="E31" s="5" t="s">
        <v>132</v>
      </c>
      <c r="F31" s="6" t="s">
        <v>44</v>
      </c>
      <c r="G31" s="7">
        <v>32768</v>
      </c>
      <c r="H31" s="12">
        <f>DATEDIF(G31,Params!$B$3,"Y")</f>
        <v>36</v>
      </c>
      <c r="I31" s="12" t="str">
        <f>IF(H31&lt;25,"&lt;25 ans",IF(H31&lt;=29,"25 - 29 ans",IF(H31&lt;=34,"30 - 34 ans ",IF(H31&lt;=39,"35 - 39 ans ",IF(H31&lt;=44,"40 - 44 ans ",IF(H31&lt;=49,"45 - 49 ans ",IF(H31&lt;=54,"50 - 54 ans ","&gt;55")))))))</f>
        <v xml:space="preserve">35 - 39 ans </v>
      </c>
      <c r="J31" s="7">
        <v>42632</v>
      </c>
      <c r="K31" s="12">
        <f>DATEDIF(J31,Params!$B$3,"Y")</f>
        <v>9</v>
      </c>
      <c r="L31" s="12" t="str">
        <f>IF(K31&lt;1,"&lt;1 year",IF(K31&lt;=3,"1 - 3 year(s)",IF(K31&lt;=6,"4 - 6 years",IF(K31&lt;=9,"7 - 9 years","&gt;= 10 years"))))</f>
        <v>7 - 9 years</v>
      </c>
      <c r="M31" s="5" t="s">
        <v>24</v>
      </c>
      <c r="N31" s="8" t="s">
        <v>31</v>
      </c>
      <c r="O31" s="8" cm="1">
        <f t="array" ref="O31">IFERROR(VLOOKUP($A31&amp;"Annual",CHOOSE({1,2},leavebalances_base!$E$3:$E$1230&amp;leavebalances_base!$T$3:$T$1230,leavebalances_base!$AC$3:$AC$1230),2,FALSE),"")</f>
        <v>8.9166666666629997</v>
      </c>
      <c r="P31" s="8" cm="1">
        <f t="array" ref="P31">IFERROR(VLOOKUP($A31&amp;"Annual",CHOOSE({1,2},leavebalances_base!$E$3:$E$1230&amp;leavebalances_base!$T$3:$T$1230,leavebalances_base!$AD$3:$AD$1230),2,FALSE)/Params!$B$2,"")</f>
        <v>609.16075679809353</v>
      </c>
      <c r="Q31" s="6">
        <f>IFERROR(VLOOKUP(A31,overtime_base!$J:$L,2,FALSE),0)</f>
        <v>18</v>
      </c>
      <c r="R31" s="6">
        <f>IFERROR(VLOOKUP(A31,overtime_base!$J:$L,3,FALSE)/Params!$B$2,0)</f>
        <v>188.72856152513</v>
      </c>
    </row>
    <row r="32" spans="1:18" ht="30" x14ac:dyDescent="0.35">
      <c r="A32" s="4" t="s">
        <v>133</v>
      </c>
      <c r="B32" s="5" t="s">
        <v>134</v>
      </c>
      <c r="C32" s="6" t="s">
        <v>20</v>
      </c>
      <c r="D32" s="6" t="s">
        <v>21</v>
      </c>
      <c r="E32" s="5" t="s">
        <v>135</v>
      </c>
      <c r="F32" s="6" t="s">
        <v>44</v>
      </c>
      <c r="G32" s="7">
        <v>31705</v>
      </c>
      <c r="H32" s="12">
        <f>DATEDIF(G32,Params!$B$3,"Y")</f>
        <v>39</v>
      </c>
      <c r="I32" s="12" t="str">
        <f>IF(H32&lt;25,"&lt;25 ans",IF(H32&lt;=29,"25 - 29 ans",IF(H32&lt;=34,"30 - 34 ans ",IF(H32&lt;=39,"35 - 39 ans ",IF(H32&lt;=44,"40 - 44 ans ",IF(H32&lt;=49,"45 - 49 ans ",IF(H32&lt;=54,"50 - 54 ans ","&gt;55")))))))</f>
        <v xml:space="preserve">35 - 39 ans </v>
      </c>
      <c r="J32" s="7">
        <v>42632</v>
      </c>
      <c r="K32" s="12">
        <f>DATEDIF(J32,Params!$B$3,"Y")</f>
        <v>9</v>
      </c>
      <c r="L32" s="12" t="str">
        <f>IF(K32&lt;1,"&lt;1 year",IF(K32&lt;=3,"1 - 3 year(s)",IF(K32&lt;=6,"4 - 6 years",IF(K32&lt;=9,"7 - 9 years","&gt;= 10 years"))))</f>
        <v>7 - 9 years</v>
      </c>
      <c r="M32" s="5" t="s">
        <v>45</v>
      </c>
      <c r="N32" s="8" t="s">
        <v>31</v>
      </c>
      <c r="O32" s="8" cm="1">
        <f t="array" ref="O32">IFERROR(VLOOKUP($A32&amp;"Annual",CHOOSE({1,2},leavebalances_base!$E$3:$E$1230&amp;leavebalances_base!$T$3:$T$1230,leavebalances_base!$AC$3:$AC$1230),2,FALSE),"")</f>
        <v>13.576666666663</v>
      </c>
      <c r="P32" s="8" cm="1">
        <f t="array" ref="P32">IFERROR(VLOOKUP($A32&amp;"Annual",CHOOSE({1,2},leavebalances_base!$E$3:$E$1230&amp;leavebalances_base!$T$3:$T$1230,leavebalances_base!$AD$3:$AD$1230),2,FALSE)/Params!$B$2,"")</f>
        <v>846.73735101386478</v>
      </c>
      <c r="Q32" s="6">
        <f>IFERROR(VLOOKUP(A32,overtime_base!$J:$L,2,FALSE),0)</f>
        <v>0</v>
      </c>
      <c r="R32" s="6">
        <f>IFERROR(VLOOKUP(A32,overtime_base!$J:$L,3,FALSE)/Params!$B$2,0)</f>
        <v>0</v>
      </c>
    </row>
    <row r="33" spans="1:18" ht="30" x14ac:dyDescent="0.35">
      <c r="A33" s="4" t="s">
        <v>136</v>
      </c>
      <c r="B33" s="5" t="s">
        <v>137</v>
      </c>
      <c r="C33" s="6" t="s">
        <v>20</v>
      </c>
      <c r="D33" s="6" t="s">
        <v>21</v>
      </c>
      <c r="E33" s="5" t="s">
        <v>132</v>
      </c>
      <c r="F33" s="6" t="s">
        <v>44</v>
      </c>
      <c r="G33" s="7">
        <v>31885</v>
      </c>
      <c r="H33" s="12">
        <f>DATEDIF(G33,Params!$B$3,"Y")</f>
        <v>39</v>
      </c>
      <c r="I33" s="12" t="str">
        <f>IF(H33&lt;25,"&lt;25 ans",IF(H33&lt;=29,"25 - 29 ans",IF(H33&lt;=34,"30 - 34 ans ",IF(H33&lt;=39,"35 - 39 ans ",IF(H33&lt;=44,"40 - 44 ans ",IF(H33&lt;=49,"45 - 49 ans ",IF(H33&lt;=54,"50 - 54 ans ","&gt;55")))))))</f>
        <v xml:space="preserve">35 - 39 ans </v>
      </c>
      <c r="J33" s="7">
        <v>42632</v>
      </c>
      <c r="K33" s="12">
        <f>DATEDIF(J33,Params!$B$3,"Y")</f>
        <v>9</v>
      </c>
      <c r="L33" s="12" t="str">
        <f>IF(K33&lt;1,"&lt;1 year",IF(K33&lt;=3,"1 - 3 year(s)",IF(K33&lt;=6,"4 - 6 years",IF(K33&lt;=9,"7 - 9 years","&gt;= 10 years"))))</f>
        <v>7 - 9 years</v>
      </c>
      <c r="M33" s="5" t="s">
        <v>24</v>
      </c>
      <c r="N33" s="8" t="s">
        <v>31</v>
      </c>
      <c r="O33" s="8" cm="1">
        <f t="array" ref="O33">IFERROR(VLOOKUP($A33&amp;"Annual",CHOOSE({1,2},leavebalances_base!$E$3:$E$1230&amp;leavebalances_base!$T$3:$T$1230,leavebalances_base!$AC$3:$AC$1230),2,FALSE),"")</f>
        <v>2.9966666666630002</v>
      </c>
      <c r="P33" s="8" cm="1">
        <f t="array" ref="P33">IFERROR(VLOOKUP($A33&amp;"Annual",CHOOSE({1,2},leavebalances_base!$E$3:$E$1230&amp;leavebalances_base!$T$3:$T$1230,leavebalances_base!$AD$3:$AD$1230),2,FALSE)/Params!$B$2,"")</f>
        <v>214.99274087088386</v>
      </c>
      <c r="Q33" s="6">
        <f>IFERROR(VLOOKUP(A33,overtime_base!$J:$L,2,FALSE),0)</f>
        <v>22</v>
      </c>
      <c r="R33" s="6">
        <f>IFERROR(VLOOKUP(A33,overtime_base!$J:$L,3,FALSE)/Params!$B$2,0)</f>
        <v>240.20082755632583</v>
      </c>
    </row>
    <row r="34" spans="1:18" ht="30" x14ac:dyDescent="0.35">
      <c r="A34" s="4" t="s">
        <v>138</v>
      </c>
      <c r="B34" s="5" t="s">
        <v>139</v>
      </c>
      <c r="C34" s="6" t="s">
        <v>20</v>
      </c>
      <c r="D34" s="6" t="s">
        <v>21</v>
      </c>
      <c r="E34" s="5" t="s">
        <v>132</v>
      </c>
      <c r="F34" s="6" t="s">
        <v>44</v>
      </c>
      <c r="G34" s="7">
        <v>25800</v>
      </c>
      <c r="H34" s="12">
        <f>DATEDIF(G34,Params!$B$3,"Y")</f>
        <v>55</v>
      </c>
      <c r="I34" s="12" t="str">
        <f>IF(H34&lt;25,"&lt;25 ans",IF(H34&lt;=29,"25 - 29 ans",IF(H34&lt;=34,"30 - 34 ans ",IF(H34&lt;=39,"35 - 39 ans ",IF(H34&lt;=44,"40 - 44 ans ",IF(H34&lt;=49,"45 - 49 ans ",IF(H34&lt;=54,"50 - 54 ans ","&gt;55")))))))</f>
        <v>&gt;55</v>
      </c>
      <c r="J34" s="7">
        <v>42632</v>
      </c>
      <c r="K34" s="12">
        <f>DATEDIF(J34,Params!$B$3,"Y")</f>
        <v>9</v>
      </c>
      <c r="L34" s="12" t="str">
        <f>IF(K34&lt;1,"&lt;1 year",IF(K34&lt;=3,"1 - 3 year(s)",IF(K34&lt;=6,"4 - 6 years",IF(K34&lt;=9,"7 - 9 years","&gt;= 10 years"))))</f>
        <v>7 - 9 years</v>
      </c>
      <c r="M34" s="5" t="s">
        <v>24</v>
      </c>
      <c r="N34" s="8" t="s">
        <v>31</v>
      </c>
      <c r="O34" s="8" cm="1">
        <f t="array" ref="O34">IFERROR(VLOOKUP($A34&amp;"Annual",CHOOSE({1,2},leavebalances_base!$E$3:$E$1230&amp;leavebalances_base!$T$3:$T$1230,leavebalances_base!$AC$3:$AC$1230),2,FALSE),"")</f>
        <v>22.996666666663</v>
      </c>
      <c r="P34" s="8" cm="1">
        <f t="array" ref="P34">IFERROR(VLOOKUP($A34&amp;"Annual",CHOOSE({1,2},leavebalances_base!$E$3:$E$1230&amp;leavebalances_base!$T$3:$T$1230,leavebalances_base!$AD$3:$AD$1230),2,FALSE)/Params!$B$2,"")</f>
        <v>1668.4114355805893</v>
      </c>
      <c r="Q34" s="6">
        <f>IFERROR(VLOOKUP(A34,overtime_base!$J:$L,2,FALSE),0)</f>
        <v>22</v>
      </c>
      <c r="R34" s="6">
        <f>IFERROR(VLOOKUP(A34,overtime_base!$J:$L,3,FALSE)/Params!$B$2,0)</f>
        <v>253.08917244367416</v>
      </c>
    </row>
    <row r="35" spans="1:18" ht="20" x14ac:dyDescent="0.35">
      <c r="A35" s="4" t="s">
        <v>140</v>
      </c>
      <c r="B35" s="5" t="s">
        <v>141</v>
      </c>
      <c r="C35" s="6" t="s">
        <v>20</v>
      </c>
      <c r="D35" s="6" t="s">
        <v>21</v>
      </c>
      <c r="E35" s="5" t="s">
        <v>64</v>
      </c>
      <c r="F35" s="6" t="s">
        <v>65</v>
      </c>
      <c r="G35" s="7">
        <v>30284</v>
      </c>
      <c r="H35" s="12">
        <f>DATEDIF(G35,Params!$B$3,"Y")</f>
        <v>43</v>
      </c>
      <c r="I35" s="12" t="str">
        <f>IF(H35&lt;25,"&lt;25 ans",IF(H35&lt;=29,"25 - 29 ans",IF(H35&lt;=34,"30 - 34 ans ",IF(H35&lt;=39,"35 - 39 ans ",IF(H35&lt;=44,"40 - 44 ans ",IF(H35&lt;=49,"45 - 49 ans ",IF(H35&lt;=54,"50 - 54 ans ","&gt;55")))))))</f>
        <v xml:space="preserve">40 - 44 ans </v>
      </c>
      <c r="J35" s="7">
        <v>42632</v>
      </c>
      <c r="K35" s="12">
        <f>DATEDIF(J35,Params!$B$3,"Y")</f>
        <v>9</v>
      </c>
      <c r="L35" s="12" t="str">
        <f>IF(K35&lt;1,"&lt;1 year",IF(K35&lt;=3,"1 - 3 year(s)",IF(K35&lt;=6,"4 - 6 years",IF(K35&lt;=9,"7 - 9 years","&gt;= 10 years"))))</f>
        <v>7 - 9 years</v>
      </c>
      <c r="M35" s="5" t="s">
        <v>24</v>
      </c>
      <c r="N35" s="8" t="s">
        <v>31</v>
      </c>
      <c r="O35" s="8" cm="1">
        <f t="array" ref="O35">IFERROR(VLOOKUP($A35&amp;"Annual",CHOOSE({1,2},leavebalances_base!$E$3:$E$1230&amp;leavebalances_base!$T$3:$T$1230,leavebalances_base!$AC$3:$AC$1230),2,FALSE),"")</f>
        <v>16.996666666663</v>
      </c>
      <c r="P35" s="8" cm="1">
        <f t="array" ref="P35">IFERROR(VLOOKUP($A35&amp;"Annual",CHOOSE({1,2},leavebalances_base!$E$3:$E$1230&amp;leavebalances_base!$T$3:$T$1230,leavebalances_base!$AD$3:$AD$1230),2,FALSE)/Params!$B$2,"")</f>
        <v>1538.2047912045061</v>
      </c>
      <c r="Q35" s="6">
        <f>IFERROR(VLOOKUP(A35,overtime_base!$J:$L,2,FALSE),0)</f>
        <v>41.34</v>
      </c>
      <c r="R35" s="6">
        <f>IFERROR(VLOOKUP(A35,overtime_base!$J:$L,3,FALSE)/Params!$B$2,0)</f>
        <v>616.99774696707095</v>
      </c>
    </row>
    <row r="36" spans="1:18" ht="20" x14ac:dyDescent="0.35">
      <c r="A36" s="4" t="s">
        <v>142</v>
      </c>
      <c r="B36" s="5" t="s">
        <v>143</v>
      </c>
      <c r="C36" s="6" t="s">
        <v>20</v>
      </c>
      <c r="D36" s="6" t="s">
        <v>21</v>
      </c>
      <c r="E36" s="5" t="s">
        <v>144</v>
      </c>
      <c r="F36" s="6" t="s">
        <v>145</v>
      </c>
      <c r="G36" s="7">
        <v>31917</v>
      </c>
      <c r="H36" s="12">
        <f>DATEDIF(G36,Params!$B$3,"Y")</f>
        <v>39</v>
      </c>
      <c r="I36" s="12" t="str">
        <f>IF(H36&lt;25,"&lt;25 ans",IF(H36&lt;=29,"25 - 29 ans",IF(H36&lt;=34,"30 - 34 ans ",IF(H36&lt;=39,"35 - 39 ans ",IF(H36&lt;=44,"40 - 44 ans ",IF(H36&lt;=49,"45 - 49 ans ",IF(H36&lt;=54,"50 - 54 ans ","&gt;55")))))))</f>
        <v xml:space="preserve">35 - 39 ans </v>
      </c>
      <c r="J36" s="7">
        <v>42632</v>
      </c>
      <c r="K36" s="12">
        <f>DATEDIF(J36,Params!$B$3,"Y")</f>
        <v>9</v>
      </c>
      <c r="L36" s="12" t="str">
        <f>IF(K36&lt;1,"&lt;1 year",IF(K36&lt;=3,"1 - 3 year(s)",IF(K36&lt;=6,"4 - 6 years",IF(K36&lt;=9,"7 - 9 years","&gt;= 10 years"))))</f>
        <v>7 - 9 years</v>
      </c>
      <c r="M36" s="5" t="s">
        <v>24</v>
      </c>
      <c r="N36" s="8" t="s">
        <v>31</v>
      </c>
      <c r="O36" s="8" cm="1">
        <f t="array" ref="O36">IFERROR(VLOOKUP($A36&amp;"Annual",CHOOSE({1,2},leavebalances_base!$E$3:$E$1230&amp;leavebalances_base!$T$3:$T$1230,leavebalances_base!$AC$3:$AC$1230),2,FALSE),"")</f>
        <v>0.99666666666299997</v>
      </c>
      <c r="P36" s="8" cm="1">
        <f t="array" ref="P36">IFERROR(VLOOKUP($A36&amp;"Annual",CHOOSE({1,2},leavebalances_base!$E$3:$E$1230&amp;leavebalances_base!$T$3:$T$1230,leavebalances_base!$AD$3:$AD$1230),2,FALSE)/Params!$B$2,"")</f>
        <v>72.989943934142119</v>
      </c>
      <c r="Q36" s="6">
        <f>IFERROR(VLOOKUP(A36,overtime_base!$J:$L,2,FALSE),0)</f>
        <v>6.11</v>
      </c>
      <c r="R36" s="6">
        <f>IFERROR(VLOOKUP(A36,overtime_base!$J:$L,3,FALSE)/Params!$B$2,0)</f>
        <v>84.021902079722693</v>
      </c>
    </row>
    <row r="37" spans="1:18" ht="40" x14ac:dyDescent="0.35">
      <c r="A37" s="4" t="s">
        <v>146</v>
      </c>
      <c r="B37" s="5" t="s">
        <v>147</v>
      </c>
      <c r="C37" s="6" t="s">
        <v>20</v>
      </c>
      <c r="D37" s="6" t="s">
        <v>82</v>
      </c>
      <c r="E37" s="5" t="s">
        <v>148</v>
      </c>
      <c r="F37" s="6" t="s">
        <v>65</v>
      </c>
      <c r="G37" s="7">
        <v>33425</v>
      </c>
      <c r="H37" s="12">
        <f>DATEDIF(G37,Params!$B$3,"Y")</f>
        <v>35</v>
      </c>
      <c r="I37" s="12" t="str">
        <f>IF(H37&lt;25,"&lt;25 ans",IF(H37&lt;=29,"25 - 29 ans",IF(H37&lt;=34,"30 - 34 ans ",IF(H37&lt;=39,"35 - 39 ans ",IF(H37&lt;=44,"40 - 44 ans ",IF(H37&lt;=49,"45 - 49 ans ",IF(H37&lt;=54,"50 - 54 ans ","&gt;55")))))))</f>
        <v xml:space="preserve">35 - 39 ans </v>
      </c>
      <c r="J37" s="7">
        <v>42632</v>
      </c>
      <c r="K37" s="12">
        <f>DATEDIF(J37,Params!$B$3,"Y")</f>
        <v>9</v>
      </c>
      <c r="L37" s="12" t="str">
        <f>IF(K37&lt;1,"&lt;1 year",IF(K37&lt;=3,"1 - 3 year(s)",IF(K37&lt;=6,"4 - 6 years",IF(K37&lt;=9,"7 - 9 years","&gt;= 10 years"))))</f>
        <v>7 - 9 years</v>
      </c>
      <c r="M37" s="5" t="s">
        <v>149</v>
      </c>
      <c r="N37" s="8" t="s">
        <v>31</v>
      </c>
      <c r="O37" s="8" cm="1">
        <f t="array" ref="O37">IFERROR(VLOOKUP($A37&amp;"Annual",CHOOSE({1,2},leavebalances_base!$E$3:$E$1230&amp;leavebalances_base!$T$3:$T$1230,leavebalances_base!$AC$3:$AC$1230),2,FALSE),"")</f>
        <v>33</v>
      </c>
      <c r="P37" s="8" cm="1">
        <f t="array" ref="P37">IFERROR(VLOOKUP($A37&amp;"Annual",CHOOSE({1,2},leavebalances_base!$E$3:$E$1230&amp;leavebalances_base!$T$3:$T$1230,leavebalances_base!$AD$3:$AD$1230),2,FALSE)/Params!$B$2,"")</f>
        <v>2456.0053291117852</v>
      </c>
      <c r="Q37" s="6">
        <f>IFERROR(VLOOKUP(A37,overtime_base!$J:$L,2,FALSE),0)</f>
        <v>0</v>
      </c>
      <c r="R37" s="6">
        <f>IFERROR(VLOOKUP(A37,overtime_base!$J:$L,3,FALSE)/Params!$B$2,0)</f>
        <v>0</v>
      </c>
    </row>
    <row r="38" spans="1:18" ht="20" x14ac:dyDescent="0.35">
      <c r="A38" s="4" t="s">
        <v>150</v>
      </c>
      <c r="B38" s="5" t="s">
        <v>151</v>
      </c>
      <c r="C38" s="6" t="s">
        <v>20</v>
      </c>
      <c r="D38" s="6" t="s">
        <v>21</v>
      </c>
      <c r="E38" s="5" t="s">
        <v>144</v>
      </c>
      <c r="F38" s="6" t="s">
        <v>145</v>
      </c>
      <c r="G38" s="7">
        <v>32582</v>
      </c>
      <c r="H38" s="12">
        <f>DATEDIF(G38,Params!$B$3,"Y")</f>
        <v>37</v>
      </c>
      <c r="I38" s="12" t="str">
        <f>IF(H38&lt;25,"&lt;25 ans",IF(H38&lt;=29,"25 - 29 ans",IF(H38&lt;=34,"30 - 34 ans ",IF(H38&lt;=39,"35 - 39 ans ",IF(H38&lt;=44,"40 - 44 ans ",IF(H38&lt;=49,"45 - 49 ans ",IF(H38&lt;=54,"50 - 54 ans ","&gt;55")))))))</f>
        <v xml:space="preserve">35 - 39 ans </v>
      </c>
      <c r="J38" s="7">
        <v>42632</v>
      </c>
      <c r="K38" s="12">
        <f>DATEDIF(J38,Params!$B$3,"Y")</f>
        <v>9</v>
      </c>
      <c r="L38" s="12" t="str">
        <f>IF(K38&lt;1,"&lt;1 year",IF(K38&lt;=3,"1 - 3 year(s)",IF(K38&lt;=6,"4 - 6 years",IF(K38&lt;=9,"7 - 9 years","&gt;= 10 years"))))</f>
        <v>7 - 9 years</v>
      </c>
      <c r="M38" s="5" t="s">
        <v>24</v>
      </c>
      <c r="N38" s="8" t="s">
        <v>31</v>
      </c>
      <c r="O38" s="8" cm="1">
        <f t="array" ref="O38">IFERROR(VLOOKUP($A38&amp;"Annual",CHOOSE({1,2},leavebalances_base!$E$3:$E$1230&amp;leavebalances_base!$T$3:$T$1230,leavebalances_base!$AC$3:$AC$1230),2,FALSE),"")</f>
        <v>7.9166666666629997</v>
      </c>
      <c r="P38" s="8" cm="1">
        <f t="array" ref="P38">IFERROR(VLOOKUP($A38&amp;"Annual",CHOOSE({1,2},leavebalances_base!$E$3:$E$1230&amp;leavebalances_base!$T$3:$T$1230,leavebalances_base!$AD$3:$AD$1230),2,FALSE)/Params!$B$2,"")</f>
        <v>405.614283440208</v>
      </c>
      <c r="Q38" s="6">
        <f>IFERROR(VLOOKUP(A38,overtime_base!$J:$L,2,FALSE),0)</f>
        <v>0</v>
      </c>
      <c r="R38" s="6">
        <f>IFERROR(VLOOKUP(A38,overtime_base!$J:$L,3,FALSE)/Params!$B$2,0)</f>
        <v>0</v>
      </c>
    </row>
    <row r="39" spans="1:18" ht="20" x14ac:dyDescent="0.35">
      <c r="A39" s="4" t="s">
        <v>152</v>
      </c>
      <c r="B39" s="5" t="s">
        <v>153</v>
      </c>
      <c r="C39" s="6" t="s">
        <v>20</v>
      </c>
      <c r="D39" s="6" t="s">
        <v>21</v>
      </c>
      <c r="E39" s="5" t="s">
        <v>128</v>
      </c>
      <c r="F39" s="6" t="s">
        <v>35</v>
      </c>
      <c r="G39" s="7">
        <v>27917</v>
      </c>
      <c r="H39" s="12">
        <f>DATEDIF(G39,Params!$B$3,"Y")</f>
        <v>50</v>
      </c>
      <c r="I39" s="12" t="str">
        <f>IF(H39&lt;25,"&lt;25 ans",IF(H39&lt;=29,"25 - 29 ans",IF(H39&lt;=34,"30 - 34 ans ",IF(H39&lt;=39,"35 - 39 ans ",IF(H39&lt;=44,"40 - 44 ans ",IF(H39&lt;=49,"45 - 49 ans ",IF(H39&lt;=54,"50 - 54 ans ","&gt;55")))))))</f>
        <v xml:space="preserve">50 - 54 ans </v>
      </c>
      <c r="J39" s="7">
        <v>42632</v>
      </c>
      <c r="K39" s="12">
        <f>DATEDIF(J39,Params!$B$3,"Y")</f>
        <v>9</v>
      </c>
      <c r="L39" s="12" t="str">
        <f>IF(K39&lt;1,"&lt;1 year",IF(K39&lt;=3,"1 - 3 year(s)",IF(K39&lt;=6,"4 - 6 years",IF(K39&lt;=9,"7 - 9 years","&gt;= 10 years"))))</f>
        <v>7 - 9 years</v>
      </c>
      <c r="M39" s="5" t="s">
        <v>24</v>
      </c>
      <c r="N39" s="8" t="s">
        <v>31</v>
      </c>
      <c r="O39" s="8" cm="1">
        <f t="array" ref="O39">IFERROR(VLOOKUP($A39&amp;"Annual",CHOOSE({1,2},leavebalances_base!$E$3:$E$1230&amp;leavebalances_base!$T$3:$T$1230,leavebalances_base!$AC$3:$AC$1230),2,FALSE),"")</f>
        <v>18.329999999994001</v>
      </c>
      <c r="P39" s="8" cm="1">
        <f t="array" ref="P39">IFERROR(VLOOKUP($A39&amp;"Annual",CHOOSE({1,2},leavebalances_base!$E$3:$E$1230&amp;leavebalances_base!$T$3:$T$1230,leavebalances_base!$AD$3:$AD$1230),2,FALSE)/Params!$B$2,"")</f>
        <v>573.20094338821491</v>
      </c>
      <c r="Q39" s="6">
        <f>IFERROR(VLOOKUP(A39,overtime_base!$J:$L,2,FALSE),0)</f>
        <v>3.17</v>
      </c>
      <c r="R39" s="6">
        <f>IFERROR(VLOOKUP(A39,overtime_base!$J:$L,3,FALSE)/Params!$B$2,0)</f>
        <v>13.601130849220104</v>
      </c>
    </row>
    <row r="40" spans="1:18" ht="20" x14ac:dyDescent="0.35">
      <c r="A40" s="4" t="s">
        <v>154</v>
      </c>
      <c r="B40" s="5" t="s">
        <v>155</v>
      </c>
      <c r="C40" s="6" t="s">
        <v>20</v>
      </c>
      <c r="D40" s="6" t="s">
        <v>21</v>
      </c>
      <c r="E40" s="5" t="s">
        <v>128</v>
      </c>
      <c r="F40" s="6" t="s">
        <v>35</v>
      </c>
      <c r="G40" s="7">
        <v>31105</v>
      </c>
      <c r="H40" s="12">
        <f>DATEDIF(G40,Params!$B$3,"Y")</f>
        <v>41</v>
      </c>
      <c r="I40" s="12" t="str">
        <f>IF(H40&lt;25,"&lt;25 ans",IF(H40&lt;=29,"25 - 29 ans",IF(H40&lt;=34,"30 - 34 ans ",IF(H40&lt;=39,"35 - 39 ans ",IF(H40&lt;=44,"40 - 44 ans ",IF(H40&lt;=49,"45 - 49 ans ",IF(H40&lt;=54,"50 - 54 ans ","&gt;55")))))))</f>
        <v xml:space="preserve">40 - 44 ans </v>
      </c>
      <c r="J40" s="7">
        <v>42632</v>
      </c>
      <c r="K40" s="12">
        <f>DATEDIF(J40,Params!$B$3,"Y")</f>
        <v>9</v>
      </c>
      <c r="L40" s="12" t="str">
        <f>IF(K40&lt;1,"&lt;1 year",IF(K40&lt;=3,"1 - 3 year(s)",IF(K40&lt;=6,"4 - 6 years",IF(K40&lt;=9,"7 - 9 years","&gt;= 10 years"))))</f>
        <v>7 - 9 years</v>
      </c>
      <c r="M40" s="5" t="s">
        <v>24</v>
      </c>
      <c r="N40" s="8" t="s">
        <v>31</v>
      </c>
      <c r="O40" s="8" cm="1">
        <f t="array" ref="O40">IFERROR(VLOOKUP($A40&amp;"Annual",CHOOSE({1,2},leavebalances_base!$E$3:$E$1230&amp;leavebalances_base!$T$3:$T$1230,leavebalances_base!$AC$3:$AC$1230),2,FALSE),"")</f>
        <v>28.750000000000998</v>
      </c>
      <c r="P40" s="8" cm="1">
        <f t="array" ref="P40">IFERROR(VLOOKUP($A40&amp;"Annual",CHOOSE({1,2},leavebalances_base!$E$3:$E$1230&amp;leavebalances_base!$T$3:$T$1230,leavebalances_base!$AD$3:$AD$1230),2,FALSE)/Params!$B$2,"")</f>
        <v>904.55404237001733</v>
      </c>
      <c r="Q40" s="6">
        <f>IFERROR(VLOOKUP(A40,overtime_base!$J:$L,2,FALSE),0)</f>
        <v>6</v>
      </c>
      <c r="R40" s="6">
        <f>IFERROR(VLOOKUP(A40,overtime_base!$J:$L,3,FALSE)/Params!$B$2,0)</f>
        <v>25.838652512998266</v>
      </c>
    </row>
    <row r="41" spans="1:18" ht="20" x14ac:dyDescent="0.35">
      <c r="A41" s="4" t="s">
        <v>156</v>
      </c>
      <c r="B41" s="5" t="s">
        <v>157</v>
      </c>
      <c r="C41" s="6" t="s">
        <v>20</v>
      </c>
      <c r="D41" s="6" t="s">
        <v>21</v>
      </c>
      <c r="E41" s="5" t="s">
        <v>144</v>
      </c>
      <c r="F41" s="6" t="s">
        <v>145</v>
      </c>
      <c r="G41" s="7">
        <v>33232</v>
      </c>
      <c r="H41" s="12">
        <f>DATEDIF(G41,Params!$B$3,"Y")</f>
        <v>35</v>
      </c>
      <c r="I41" s="12" t="str">
        <f>IF(H41&lt;25,"&lt;25 ans",IF(H41&lt;=29,"25 - 29 ans",IF(H41&lt;=34,"30 - 34 ans ",IF(H41&lt;=39,"35 - 39 ans ",IF(H41&lt;=44,"40 - 44 ans ",IF(H41&lt;=49,"45 - 49 ans ",IF(H41&lt;=54,"50 - 54 ans ","&gt;55")))))))</f>
        <v xml:space="preserve">35 - 39 ans </v>
      </c>
      <c r="J41" s="7">
        <v>42632</v>
      </c>
      <c r="K41" s="12">
        <f>DATEDIF(J41,Params!$B$3,"Y")</f>
        <v>9</v>
      </c>
      <c r="L41" s="12" t="str">
        <f>IF(K41&lt;1,"&lt;1 year",IF(K41&lt;=3,"1 - 3 year(s)",IF(K41&lt;=6,"4 - 6 years",IF(K41&lt;=9,"7 - 9 years","&gt;= 10 years"))))</f>
        <v>7 - 9 years</v>
      </c>
      <c r="M41" s="5" t="s">
        <v>24</v>
      </c>
      <c r="N41" s="8" t="s">
        <v>31</v>
      </c>
      <c r="O41" s="8" cm="1">
        <f t="array" ref="O41">IFERROR(VLOOKUP($A41&amp;"Annual",CHOOSE({1,2},leavebalances_base!$E$3:$E$1230&amp;leavebalances_base!$T$3:$T$1230,leavebalances_base!$AC$3:$AC$1230),2,FALSE),"")</f>
        <v>15.496666666663</v>
      </c>
      <c r="P41" s="8" cm="1">
        <f t="array" ref="P41">IFERROR(VLOOKUP($A41&amp;"Annual",CHOOSE({1,2},leavebalances_base!$E$3:$E$1230&amp;leavebalances_base!$T$3:$T$1230,leavebalances_base!$AD$3:$AD$1230),2,FALSE)/Params!$B$2,"")</f>
        <v>1141.4209646230502</v>
      </c>
      <c r="Q41" s="6">
        <f>IFERROR(VLOOKUP(A41,overtime_base!$J:$L,2,FALSE),0)</f>
        <v>0</v>
      </c>
      <c r="R41" s="6">
        <f>IFERROR(VLOOKUP(A41,overtime_base!$J:$L,3,FALSE)/Params!$B$2,0)</f>
        <v>0</v>
      </c>
    </row>
    <row r="42" spans="1:18" ht="20" x14ac:dyDescent="0.35">
      <c r="A42" s="4" t="s">
        <v>158</v>
      </c>
      <c r="B42" s="5" t="s">
        <v>159</v>
      </c>
      <c r="C42" s="6" t="s">
        <v>20</v>
      </c>
      <c r="D42" s="6" t="s">
        <v>21</v>
      </c>
      <c r="E42" s="5" t="s">
        <v>160</v>
      </c>
      <c r="F42" s="6" t="s">
        <v>161</v>
      </c>
      <c r="G42" s="7">
        <v>29763</v>
      </c>
      <c r="H42" s="12">
        <f>DATEDIF(G42,Params!$B$3,"Y")</f>
        <v>45</v>
      </c>
      <c r="I42" s="12" t="str">
        <f>IF(H42&lt;25,"&lt;25 ans",IF(H42&lt;=29,"25 - 29 ans",IF(H42&lt;=34,"30 - 34 ans ",IF(H42&lt;=39,"35 - 39 ans ",IF(H42&lt;=44,"40 - 44 ans ",IF(H42&lt;=49,"45 - 49 ans ",IF(H42&lt;=54,"50 - 54 ans ","&gt;55")))))))</f>
        <v xml:space="preserve">45 - 49 ans </v>
      </c>
      <c r="J42" s="7">
        <v>42646</v>
      </c>
      <c r="K42" s="12">
        <f>DATEDIF(J42,Params!$B$3,"Y")</f>
        <v>9</v>
      </c>
      <c r="L42" s="12" t="str">
        <f>IF(K42&lt;1,"&lt;1 year",IF(K42&lt;=3,"1 - 3 year(s)",IF(K42&lt;=6,"4 - 6 years",IF(K42&lt;=9,"7 - 9 years","&gt;= 10 years"))))</f>
        <v>7 - 9 years</v>
      </c>
      <c r="M42" s="5" t="s">
        <v>115</v>
      </c>
      <c r="N42" s="8" t="s">
        <v>31</v>
      </c>
      <c r="O42" s="8" cm="1">
        <f t="array" ref="O42">IFERROR(VLOOKUP($A42&amp;"Annual",CHOOSE({1,2},leavebalances_base!$E$3:$E$1230&amp;leavebalances_base!$T$3:$T$1230,leavebalances_base!$AC$3:$AC$1230),2,FALSE),"")</f>
        <v>5.1666666666600003</v>
      </c>
      <c r="P42" s="8" cm="1">
        <f t="array" ref="P42">IFERROR(VLOOKUP($A42&amp;"Annual",CHOOSE({1,2},leavebalances_base!$E$3:$E$1230&amp;leavebalances_base!$T$3:$T$1230,leavebalances_base!$AD$3:$AD$1230),2,FALSE)/Params!$B$2,"")</f>
        <v>248.96667069324093</v>
      </c>
      <c r="Q42" s="6">
        <f>IFERROR(VLOOKUP(A42,overtime_base!$J:$L,2,FALSE),0)</f>
        <v>21.74</v>
      </c>
      <c r="R42" s="6">
        <f>IFERROR(VLOOKUP(A42,overtime_base!$J:$L,3,FALSE)/Params!$B$2,0)</f>
        <v>176.59835788561526</v>
      </c>
    </row>
    <row r="43" spans="1:18" ht="20" x14ac:dyDescent="0.35">
      <c r="A43" s="4" t="s">
        <v>162</v>
      </c>
      <c r="B43" s="5" t="s">
        <v>163</v>
      </c>
      <c r="C43" s="6" t="s">
        <v>20</v>
      </c>
      <c r="D43" s="6" t="s">
        <v>21</v>
      </c>
      <c r="E43" s="5" t="s">
        <v>164</v>
      </c>
      <c r="F43" s="6" t="s">
        <v>165</v>
      </c>
      <c r="G43" s="7">
        <v>33577</v>
      </c>
      <c r="H43" s="12">
        <f>DATEDIF(G43,Params!$B$3,"Y")</f>
        <v>34</v>
      </c>
      <c r="I43" s="12" t="str">
        <f>IF(H43&lt;25,"&lt;25 ans",IF(H43&lt;=29,"25 - 29 ans",IF(H43&lt;=34,"30 - 34 ans ",IF(H43&lt;=39,"35 - 39 ans ",IF(H43&lt;=44,"40 - 44 ans ",IF(H43&lt;=49,"45 - 49 ans ",IF(H43&lt;=54,"50 - 54 ans ","&gt;55")))))))</f>
        <v xml:space="preserve">30 - 34 ans </v>
      </c>
      <c r="J43" s="7">
        <v>42646</v>
      </c>
      <c r="K43" s="12">
        <f>DATEDIF(J43,Params!$B$3,"Y")</f>
        <v>9</v>
      </c>
      <c r="L43" s="12" t="str">
        <f>IF(K43&lt;1,"&lt;1 year",IF(K43&lt;=3,"1 - 3 year(s)",IF(K43&lt;=6,"4 - 6 years",IF(K43&lt;=9,"7 - 9 years","&gt;= 10 years"))))</f>
        <v>7 - 9 years</v>
      </c>
      <c r="M43" s="5" t="s">
        <v>115</v>
      </c>
      <c r="N43" s="8" t="s">
        <v>31</v>
      </c>
      <c r="O43" s="8" cm="1">
        <f t="array" ref="O43">IFERROR(VLOOKUP($A43&amp;"Annual",CHOOSE({1,2},leavebalances_base!$E$3:$E$1230&amp;leavebalances_base!$T$3:$T$1230,leavebalances_base!$AC$3:$AC$1230),2,FALSE),"")</f>
        <v>12.166666666659999</v>
      </c>
      <c r="P43" s="8" cm="1">
        <f t="array" ref="P43">IFERROR(VLOOKUP($A43&amp;"Annual",CHOOSE({1,2},leavebalances_base!$E$3:$E$1230&amp;leavebalances_base!$T$3:$T$1230,leavebalances_base!$AD$3:$AD$1230),2,FALSE)/Params!$B$2,"")</f>
        <v>444.61231610485271</v>
      </c>
      <c r="Q43" s="6">
        <f>IFERROR(VLOOKUP(A43,overtime_base!$J:$L,2,FALSE),0)</f>
        <v>3.03</v>
      </c>
      <c r="R43" s="6">
        <f>IFERROR(VLOOKUP(A43,overtime_base!$J:$L,3,FALSE)/Params!$B$2,0)</f>
        <v>15.699185441941076</v>
      </c>
    </row>
    <row r="44" spans="1:18" ht="30" x14ac:dyDescent="0.35">
      <c r="A44" s="4" t="s">
        <v>166</v>
      </c>
      <c r="B44" s="5" t="s">
        <v>167</v>
      </c>
      <c r="C44" s="6" t="s">
        <v>48</v>
      </c>
      <c r="D44" s="6" t="s">
        <v>21</v>
      </c>
      <c r="E44" s="5" t="s">
        <v>168</v>
      </c>
      <c r="F44" s="6" t="s">
        <v>44</v>
      </c>
      <c r="G44" s="7">
        <v>35405</v>
      </c>
      <c r="H44" s="12">
        <f>DATEDIF(G44,Params!$B$3,"Y")</f>
        <v>29</v>
      </c>
      <c r="I44" s="12" t="str">
        <f>IF(H44&lt;25,"&lt;25 ans",IF(H44&lt;=29,"25 - 29 ans",IF(H44&lt;=34,"30 - 34 ans ",IF(H44&lt;=39,"35 - 39 ans ",IF(H44&lt;=44,"40 - 44 ans ",IF(H44&lt;=49,"45 - 49 ans ",IF(H44&lt;=54,"50 - 54 ans ","&gt;55")))))))</f>
        <v>25 - 29 ans</v>
      </c>
      <c r="J44" s="7">
        <v>42646</v>
      </c>
      <c r="K44" s="12">
        <f>DATEDIF(J44,Params!$B$3,"Y")</f>
        <v>9</v>
      </c>
      <c r="L44" s="12" t="str">
        <f>IF(K44&lt;1,"&lt;1 year",IF(K44&lt;=3,"1 - 3 year(s)",IF(K44&lt;=6,"4 - 6 years",IF(K44&lt;=9,"7 - 9 years","&gt;= 10 years"))))</f>
        <v>7 - 9 years</v>
      </c>
      <c r="M44" s="5" t="s">
        <v>40</v>
      </c>
      <c r="N44" s="8" t="s">
        <v>36</v>
      </c>
      <c r="O44" s="8" cm="1">
        <f t="array" ref="O44">IFERROR(VLOOKUP($A44&amp;"Annual",CHOOSE({1,2},leavebalances_base!$E$3:$E$1230&amp;leavebalances_base!$T$3:$T$1230,leavebalances_base!$AC$3:$AC$1230),2,FALSE),"")</f>
        <v>26.749999999997002</v>
      </c>
      <c r="P44" s="8" cm="1">
        <f t="array" ref="P44">IFERROR(VLOOKUP($A44&amp;"Annual",CHOOSE({1,2},leavebalances_base!$E$3:$E$1230&amp;leavebalances_base!$T$3:$T$1230,leavebalances_base!$AD$3:$AD$1230),2,FALSE)/Params!$B$2,"")</f>
        <v>1848.760342322357</v>
      </c>
      <c r="Q44" s="6">
        <f>IFERROR(VLOOKUP(A44,overtime_base!$J:$L,2,FALSE),0)</f>
        <v>0</v>
      </c>
      <c r="R44" s="6">
        <f>IFERROR(VLOOKUP(A44,overtime_base!$J:$L,3,FALSE)/Params!$B$2,0)</f>
        <v>0</v>
      </c>
    </row>
    <row r="45" spans="1:18" ht="20" x14ac:dyDescent="0.35">
      <c r="A45" s="4" t="s">
        <v>169</v>
      </c>
      <c r="B45" s="5" t="s">
        <v>170</v>
      </c>
      <c r="C45" s="6" t="s">
        <v>20</v>
      </c>
      <c r="D45" s="6" t="s">
        <v>21</v>
      </c>
      <c r="E45" s="5" t="s">
        <v>171</v>
      </c>
      <c r="F45" s="6" t="s">
        <v>44</v>
      </c>
      <c r="G45" s="7">
        <v>28178</v>
      </c>
      <c r="H45" s="12">
        <f>DATEDIF(G45,Params!$B$3,"Y")</f>
        <v>49</v>
      </c>
      <c r="I45" s="12" t="str">
        <f>IF(H45&lt;25,"&lt;25 ans",IF(H45&lt;=29,"25 - 29 ans",IF(H45&lt;=34,"30 - 34 ans ",IF(H45&lt;=39,"35 - 39 ans ",IF(H45&lt;=44,"40 - 44 ans ",IF(H45&lt;=49,"45 - 49 ans ",IF(H45&lt;=54,"50 - 54 ans ","&gt;55")))))))</f>
        <v xml:space="preserve">45 - 49 ans </v>
      </c>
      <c r="J45" s="7">
        <v>42646</v>
      </c>
      <c r="K45" s="12">
        <f>DATEDIF(J45,Params!$B$3,"Y")</f>
        <v>9</v>
      </c>
      <c r="L45" s="12" t="str">
        <f>IF(K45&lt;1,"&lt;1 year",IF(K45&lt;=3,"1 - 3 year(s)",IF(K45&lt;=6,"4 - 6 years",IF(K45&lt;=9,"7 - 9 years","&gt;= 10 years"))))</f>
        <v>7 - 9 years</v>
      </c>
      <c r="M45" s="5" t="s">
        <v>45</v>
      </c>
      <c r="N45" s="8" t="s">
        <v>31</v>
      </c>
      <c r="O45" s="8" cm="1">
        <f t="array" ref="O45">IFERROR(VLOOKUP($A45&amp;"Annual",CHOOSE({1,2},leavebalances_base!$E$3:$E$1230&amp;leavebalances_base!$T$3:$T$1230,leavebalances_base!$AC$3:$AC$1230),2,FALSE),"")</f>
        <v>20.08333333333</v>
      </c>
      <c r="P45" s="8" cm="1">
        <f t="array" ref="P45">IFERROR(VLOOKUP($A45&amp;"Annual",CHOOSE({1,2},leavebalances_base!$E$3:$E$1230&amp;leavebalances_base!$T$3:$T$1230,leavebalances_base!$AD$3:$AD$1230),2,FALSE)/Params!$B$2,"")</f>
        <v>1350.3677671403811</v>
      </c>
      <c r="Q45" s="6">
        <f>IFERROR(VLOOKUP(A45,overtime_base!$J:$L,2,FALSE),0)</f>
        <v>26.91</v>
      </c>
      <c r="R45" s="6">
        <f>IFERROR(VLOOKUP(A45,overtime_base!$J:$L,3,FALSE)/Params!$B$2,0)</f>
        <v>325.50293760831892</v>
      </c>
    </row>
    <row r="46" spans="1:18" ht="20" x14ac:dyDescent="0.35">
      <c r="A46" s="4" t="s">
        <v>172</v>
      </c>
      <c r="B46" s="5" t="s">
        <v>173</v>
      </c>
      <c r="C46" s="6" t="s">
        <v>48</v>
      </c>
      <c r="D46" s="6" t="s">
        <v>21</v>
      </c>
      <c r="E46" s="5" t="s">
        <v>174</v>
      </c>
      <c r="F46" s="6" t="s">
        <v>165</v>
      </c>
      <c r="G46" s="7">
        <v>32347</v>
      </c>
      <c r="H46" s="12">
        <f>DATEDIF(G46,Params!$B$3,"Y")</f>
        <v>38</v>
      </c>
      <c r="I46" s="12" t="str">
        <f>IF(H46&lt;25,"&lt;25 ans",IF(H46&lt;=29,"25 - 29 ans",IF(H46&lt;=34,"30 - 34 ans ",IF(H46&lt;=39,"35 - 39 ans ",IF(H46&lt;=44,"40 - 44 ans ",IF(H46&lt;=49,"45 - 49 ans ",IF(H46&lt;=54,"50 - 54 ans ","&gt;55")))))))</f>
        <v xml:space="preserve">35 - 39 ans </v>
      </c>
      <c r="J46" s="7">
        <v>42646</v>
      </c>
      <c r="K46" s="12">
        <f>DATEDIF(J46,Params!$B$3,"Y")</f>
        <v>9</v>
      </c>
      <c r="L46" s="12" t="str">
        <f>IF(K46&lt;1,"&lt;1 year",IF(K46&lt;=3,"1 - 3 year(s)",IF(K46&lt;=6,"4 - 6 years",IF(K46&lt;=9,"7 - 9 years","&gt;= 10 years"))))</f>
        <v>7 - 9 years</v>
      </c>
      <c r="M46" s="5" t="s">
        <v>115</v>
      </c>
      <c r="N46" s="8" t="s">
        <v>31</v>
      </c>
      <c r="O46" s="8" cm="1">
        <f t="array" ref="O46">IFERROR(VLOOKUP($A46&amp;"Annual",CHOOSE({1,2},leavebalances_base!$E$3:$E$1230&amp;leavebalances_base!$T$3:$T$1230,leavebalances_base!$AC$3:$AC$1230),2,FALSE),"")</f>
        <v>16.166666666659999</v>
      </c>
      <c r="P46" s="8" cm="1">
        <f t="array" ref="P46">IFERROR(VLOOKUP($A46&amp;"Annual",CHOOSE({1,2},leavebalances_base!$E$3:$E$1230&amp;leavebalances_base!$T$3:$T$1230,leavebalances_base!$AD$3:$AD$1230),2,FALSE)/Params!$B$2,"")</f>
        <v>677.82745597053724</v>
      </c>
      <c r="Q46" s="6">
        <f>IFERROR(VLOOKUP(A46,overtime_base!$J:$L,2,FALSE),0)</f>
        <v>18.809999999999999</v>
      </c>
      <c r="R46" s="6">
        <f>IFERROR(VLOOKUP(A46,overtime_base!$J:$L,3,FALSE)/Params!$B$2,0)</f>
        <v>142.30669410745233</v>
      </c>
    </row>
    <row r="47" spans="1:18" ht="20" x14ac:dyDescent="0.35">
      <c r="A47" s="4" t="s">
        <v>175</v>
      </c>
      <c r="B47" s="5" t="s">
        <v>176</v>
      </c>
      <c r="C47" s="6" t="s">
        <v>20</v>
      </c>
      <c r="D47" s="6" t="s">
        <v>21</v>
      </c>
      <c r="E47" s="5" t="s">
        <v>164</v>
      </c>
      <c r="F47" s="6" t="s">
        <v>165</v>
      </c>
      <c r="G47" s="7">
        <v>28513</v>
      </c>
      <c r="H47" s="12">
        <f>DATEDIF(G47,Params!$B$3,"Y")</f>
        <v>48</v>
      </c>
      <c r="I47" s="12" t="str">
        <f>IF(H47&lt;25,"&lt;25 ans",IF(H47&lt;=29,"25 - 29 ans",IF(H47&lt;=34,"30 - 34 ans ",IF(H47&lt;=39,"35 - 39 ans ",IF(H47&lt;=44,"40 - 44 ans ",IF(H47&lt;=49,"45 - 49 ans ",IF(H47&lt;=54,"50 - 54 ans ","&gt;55")))))))</f>
        <v xml:space="preserve">45 - 49 ans </v>
      </c>
      <c r="J47" s="7">
        <v>42646</v>
      </c>
      <c r="K47" s="12">
        <f>DATEDIF(J47,Params!$B$3,"Y")</f>
        <v>9</v>
      </c>
      <c r="L47" s="12" t="str">
        <f>IF(K47&lt;1,"&lt;1 year",IF(K47&lt;=3,"1 - 3 year(s)",IF(K47&lt;=6,"4 - 6 years",IF(K47&lt;=9,"7 - 9 years","&gt;= 10 years"))))</f>
        <v>7 - 9 years</v>
      </c>
      <c r="M47" s="5" t="s">
        <v>115</v>
      </c>
      <c r="N47" s="8" t="s">
        <v>31</v>
      </c>
      <c r="O47" s="8" cm="1">
        <f t="array" ref="O47">IFERROR(VLOOKUP($A47&amp;"Annual",CHOOSE({1,2},leavebalances_base!$E$3:$E$1230&amp;leavebalances_base!$T$3:$T$1230,leavebalances_base!$AC$3:$AC$1230),2,FALSE),"")</f>
        <v>12.666666666659999</v>
      </c>
      <c r="P47" s="8" cm="1">
        <f t="array" ref="P47">IFERROR(VLOOKUP($A47&amp;"Annual",CHOOSE({1,2},leavebalances_base!$E$3:$E$1230&amp;leavebalances_base!$T$3:$T$1230,leavebalances_base!$AD$3:$AD$1230),2,FALSE)/Params!$B$2,"")</f>
        <v>536.04278340554595</v>
      </c>
      <c r="Q47" s="6">
        <f>IFERROR(VLOOKUP(A47,overtime_base!$J:$L,2,FALSE),0)</f>
        <v>9.0500000000000007</v>
      </c>
      <c r="R47" s="6">
        <f>IFERROR(VLOOKUP(A47,overtime_base!$J:$L,3,FALSE)/Params!$B$2,0)</f>
        <v>69.187248700173313</v>
      </c>
    </row>
    <row r="48" spans="1:18" ht="20" x14ac:dyDescent="0.35">
      <c r="A48" s="4" t="s">
        <v>177</v>
      </c>
      <c r="B48" s="5" t="s">
        <v>178</v>
      </c>
      <c r="C48" s="6" t="s">
        <v>20</v>
      </c>
      <c r="D48" s="6" t="s">
        <v>21</v>
      </c>
      <c r="E48" s="5" t="s">
        <v>164</v>
      </c>
      <c r="F48" s="6" t="s">
        <v>165</v>
      </c>
      <c r="G48" s="7">
        <v>30794</v>
      </c>
      <c r="H48" s="12">
        <f>DATEDIF(G48,Params!$B$3,"Y")</f>
        <v>42</v>
      </c>
      <c r="I48" s="12" t="str">
        <f>IF(H48&lt;25,"&lt;25 ans",IF(H48&lt;=29,"25 - 29 ans",IF(H48&lt;=34,"30 - 34 ans ",IF(H48&lt;=39,"35 - 39 ans ",IF(H48&lt;=44,"40 - 44 ans ",IF(H48&lt;=49,"45 - 49 ans ",IF(H48&lt;=54,"50 - 54 ans ","&gt;55")))))))</f>
        <v xml:space="preserve">40 - 44 ans </v>
      </c>
      <c r="J48" s="7">
        <v>42646</v>
      </c>
      <c r="K48" s="12">
        <f>DATEDIF(J48,Params!$B$3,"Y")</f>
        <v>9</v>
      </c>
      <c r="L48" s="12" t="str">
        <f>IF(K48&lt;1,"&lt;1 year",IF(K48&lt;=3,"1 - 3 year(s)",IF(K48&lt;=6,"4 - 6 years",IF(K48&lt;=9,"7 - 9 years","&gt;= 10 years"))))</f>
        <v>7 - 9 years</v>
      </c>
      <c r="M48" s="5" t="s">
        <v>115</v>
      </c>
      <c r="N48" s="8" t="s">
        <v>31</v>
      </c>
      <c r="O48" s="8" cm="1">
        <f t="array" ref="O48">IFERROR(VLOOKUP($A48&amp;"Annual",CHOOSE({1,2},leavebalances_base!$E$3:$E$1230&amp;leavebalances_base!$T$3:$T$1230,leavebalances_base!$AC$3:$AC$1230),2,FALSE),"")</f>
        <v>10.916666666659999</v>
      </c>
      <c r="P48" s="8" cm="1">
        <f t="array" ref="P48">IFERROR(VLOOKUP($A48&amp;"Annual",CHOOSE({1,2},leavebalances_base!$E$3:$E$1230&amp;leavebalances_base!$T$3:$T$1230,leavebalances_base!$AD$3:$AD$1230),2,FALSE)/Params!$B$2,"")</f>
        <v>376.26970623050261</v>
      </c>
      <c r="Q48" s="6">
        <f>IFERROR(VLOOKUP(A48,overtime_base!$J:$L,2,FALSE),0)</f>
        <v>0</v>
      </c>
      <c r="R48" s="6">
        <f>IFERROR(VLOOKUP(A48,overtime_base!$J:$L,3,FALSE)/Params!$B$2,0)</f>
        <v>0</v>
      </c>
    </row>
    <row r="49" spans="1:18" ht="20" x14ac:dyDescent="0.35">
      <c r="A49" s="4" t="s">
        <v>179</v>
      </c>
      <c r="B49" s="5" t="s">
        <v>180</v>
      </c>
      <c r="C49" s="6" t="s">
        <v>20</v>
      </c>
      <c r="D49" s="6" t="s">
        <v>21</v>
      </c>
      <c r="E49" s="5" t="s">
        <v>181</v>
      </c>
      <c r="F49" s="6" t="s">
        <v>65</v>
      </c>
      <c r="G49" s="7">
        <v>31958</v>
      </c>
      <c r="H49" s="12">
        <f>DATEDIF(G49,Params!$B$3,"Y")</f>
        <v>39</v>
      </c>
      <c r="I49" s="12" t="str">
        <f>IF(H49&lt;25,"&lt;25 ans",IF(H49&lt;=29,"25 - 29 ans",IF(H49&lt;=34,"30 - 34 ans ",IF(H49&lt;=39,"35 - 39 ans ",IF(H49&lt;=44,"40 - 44 ans ",IF(H49&lt;=49,"45 - 49 ans ",IF(H49&lt;=54,"50 - 54 ans ","&gt;55")))))))</f>
        <v xml:space="preserve">35 - 39 ans </v>
      </c>
      <c r="J49" s="7">
        <v>42646</v>
      </c>
      <c r="K49" s="12">
        <f>DATEDIF(J49,Params!$B$3,"Y")</f>
        <v>9</v>
      </c>
      <c r="L49" s="12" t="str">
        <f>IF(K49&lt;1,"&lt;1 year",IF(K49&lt;=3,"1 - 3 year(s)",IF(K49&lt;=6,"4 - 6 years",IF(K49&lt;=9,"7 - 9 years","&gt;= 10 years"))))</f>
        <v>7 - 9 years</v>
      </c>
      <c r="M49" s="5" t="s">
        <v>115</v>
      </c>
      <c r="N49" s="8" t="s">
        <v>31</v>
      </c>
      <c r="O49" s="8" cm="1">
        <f t="array" ref="O49">IFERROR(VLOOKUP($A49&amp;"Annual",CHOOSE({1,2},leavebalances_base!$E$3:$E$1230&amp;leavebalances_base!$T$3:$T$1230,leavebalances_base!$AC$3:$AC$1230),2,FALSE),"")</f>
        <v>12.83333333333</v>
      </c>
      <c r="P49" s="8" cm="1">
        <f t="array" ref="P49">IFERROR(VLOOKUP($A49&amp;"Annual",CHOOSE({1,2},leavebalances_base!$E$3:$E$1230&amp;leavebalances_base!$T$3:$T$1230,leavebalances_base!$AD$3:$AD$1230),2,FALSE)/Params!$B$2,"")</f>
        <v>1157.2140408448872</v>
      </c>
      <c r="Q49" s="6">
        <f>IFERROR(VLOOKUP(A49,overtime_base!$J:$L,2,FALSE),0)</f>
        <v>10.210000000000001</v>
      </c>
      <c r="R49" s="6">
        <f>IFERROR(VLOOKUP(A49,overtime_base!$J:$L,3,FALSE)/Params!$B$2,0)</f>
        <v>175.99412911611785</v>
      </c>
    </row>
    <row r="50" spans="1:18" ht="20" x14ac:dyDescent="0.35">
      <c r="A50" s="4" t="s">
        <v>182</v>
      </c>
      <c r="B50" s="5" t="s">
        <v>183</v>
      </c>
      <c r="C50" s="6" t="s">
        <v>20</v>
      </c>
      <c r="D50" s="6" t="s">
        <v>21</v>
      </c>
      <c r="E50" s="5" t="s">
        <v>164</v>
      </c>
      <c r="F50" s="6" t="s">
        <v>165</v>
      </c>
      <c r="G50" s="7">
        <v>34125</v>
      </c>
      <c r="H50" s="12">
        <f>DATEDIF(G50,Params!$B$3,"Y")</f>
        <v>33</v>
      </c>
      <c r="I50" s="12" t="str">
        <f>IF(H50&lt;25,"&lt;25 ans",IF(H50&lt;=29,"25 - 29 ans",IF(H50&lt;=34,"30 - 34 ans ",IF(H50&lt;=39,"35 - 39 ans ",IF(H50&lt;=44,"40 - 44 ans ",IF(H50&lt;=49,"45 - 49 ans ",IF(H50&lt;=54,"50 - 54 ans ","&gt;55")))))))</f>
        <v xml:space="preserve">30 - 34 ans </v>
      </c>
      <c r="J50" s="7">
        <v>42646</v>
      </c>
      <c r="K50" s="12">
        <f>DATEDIF(J50,Params!$B$3,"Y")</f>
        <v>9</v>
      </c>
      <c r="L50" s="12" t="str">
        <f>IF(K50&lt;1,"&lt;1 year",IF(K50&lt;=3,"1 - 3 year(s)",IF(K50&lt;=6,"4 - 6 years",IF(K50&lt;=9,"7 - 9 years","&gt;= 10 years"))))</f>
        <v>7 - 9 years</v>
      </c>
      <c r="M50" s="5" t="s">
        <v>115</v>
      </c>
      <c r="N50" s="8" t="s">
        <v>31</v>
      </c>
      <c r="O50" s="8" cm="1">
        <f t="array" ref="O50">IFERROR(VLOOKUP($A50&amp;"Annual",CHOOSE({1,2},leavebalances_base!$E$3:$E$1230&amp;leavebalances_base!$T$3:$T$1230,leavebalances_base!$AC$3:$AC$1230),2,FALSE),"")</f>
        <v>13.166666666659999</v>
      </c>
      <c r="P50" s="8" cm="1">
        <f t="array" ref="P50">IFERROR(VLOOKUP($A50&amp;"Annual",CHOOSE({1,2},leavebalances_base!$E$3:$E$1230&amp;leavebalances_base!$T$3:$T$1230,leavebalances_base!$AD$3:$AD$1230),2,FALSE)/Params!$B$2,"")</f>
        <v>450.56996405545931</v>
      </c>
      <c r="Q50" s="6">
        <f>IFERROR(VLOOKUP(A50,overtime_base!$J:$L,2,FALSE),0)</f>
        <v>8.57</v>
      </c>
      <c r="R50" s="6">
        <f>IFERROR(VLOOKUP(A50,overtime_base!$J:$L,3,FALSE)/Params!$B$2,0)</f>
        <v>40.804735701906417</v>
      </c>
    </row>
    <row r="51" spans="1:18" ht="20" x14ac:dyDescent="0.35">
      <c r="A51" s="4" t="s">
        <v>184</v>
      </c>
      <c r="B51" s="5" t="s">
        <v>185</v>
      </c>
      <c r="C51" s="6" t="s">
        <v>20</v>
      </c>
      <c r="D51" s="6" t="s">
        <v>21</v>
      </c>
      <c r="E51" s="5" t="s">
        <v>186</v>
      </c>
      <c r="F51" s="6" t="s">
        <v>70</v>
      </c>
      <c r="G51" s="7">
        <v>32706</v>
      </c>
      <c r="H51" s="12">
        <f>DATEDIF(G51,Params!$B$3,"Y")</f>
        <v>37</v>
      </c>
      <c r="I51" s="12" t="str">
        <f>IF(H51&lt;25,"&lt;25 ans",IF(H51&lt;=29,"25 - 29 ans",IF(H51&lt;=34,"30 - 34 ans ",IF(H51&lt;=39,"35 - 39 ans ",IF(H51&lt;=44,"40 - 44 ans ",IF(H51&lt;=49,"45 - 49 ans ",IF(H51&lt;=54,"50 - 54 ans ","&gt;55")))))))</f>
        <v xml:space="preserve">35 - 39 ans </v>
      </c>
      <c r="J51" s="7">
        <v>42646</v>
      </c>
      <c r="K51" s="12">
        <f>DATEDIF(J51,Params!$B$3,"Y")</f>
        <v>9</v>
      </c>
      <c r="L51" s="12" t="str">
        <f>IF(K51&lt;1,"&lt;1 year",IF(K51&lt;=3,"1 - 3 year(s)",IF(K51&lt;=6,"4 - 6 years",IF(K51&lt;=9,"7 - 9 years","&gt;= 10 years"))))</f>
        <v>7 - 9 years</v>
      </c>
      <c r="M51" s="5" t="s">
        <v>91</v>
      </c>
      <c r="N51" s="8" t="s">
        <v>36</v>
      </c>
      <c r="O51" s="8" cm="1">
        <f t="array" ref="O51">IFERROR(VLOOKUP($A51&amp;"Annual",CHOOSE({1,2},leavebalances_base!$E$3:$E$1230&amp;leavebalances_base!$T$3:$T$1230,leavebalances_base!$AC$3:$AC$1230),2,FALSE),"")</f>
        <v>13.580000000009999</v>
      </c>
      <c r="P51" s="8" cm="1">
        <f t="array" ref="P51">IFERROR(VLOOKUP($A51&amp;"Annual",CHOOSE({1,2},leavebalances_base!$E$3:$E$1230&amp;leavebalances_base!$T$3:$T$1230,leavebalances_base!$AD$3:$AD$1230),2,FALSE)/Params!$B$2,"")</f>
        <v>3807.1778639298095</v>
      </c>
      <c r="Q51" s="6">
        <f>IFERROR(VLOOKUP(A51,overtime_base!$J:$L,2,FALSE),0)</f>
        <v>0</v>
      </c>
      <c r="R51" s="6">
        <f>IFERROR(VLOOKUP(A51,overtime_base!$J:$L,3,FALSE)/Params!$B$2,0)</f>
        <v>0</v>
      </c>
    </row>
    <row r="52" spans="1:18" ht="30" x14ac:dyDescent="0.35">
      <c r="A52" s="4" t="s">
        <v>187</v>
      </c>
      <c r="B52" s="5" t="s">
        <v>188</v>
      </c>
      <c r="C52" s="6" t="s">
        <v>48</v>
      </c>
      <c r="D52" s="6" t="s">
        <v>21</v>
      </c>
      <c r="E52" s="5" t="s">
        <v>189</v>
      </c>
      <c r="F52" s="6" t="s">
        <v>129</v>
      </c>
      <c r="G52" s="7">
        <v>30793</v>
      </c>
      <c r="H52" s="12">
        <f>DATEDIF(G52,Params!$B$3,"Y")</f>
        <v>42</v>
      </c>
      <c r="I52" s="12" t="str">
        <f>IF(H52&lt;25,"&lt;25 ans",IF(H52&lt;=29,"25 - 29 ans",IF(H52&lt;=34,"30 - 34 ans ",IF(H52&lt;=39,"35 - 39 ans ",IF(H52&lt;=44,"40 - 44 ans ",IF(H52&lt;=49,"45 - 49 ans ",IF(H52&lt;=54,"50 - 54 ans ","&gt;55")))))))</f>
        <v xml:space="preserve">40 - 44 ans </v>
      </c>
      <c r="J52" s="7">
        <v>42653</v>
      </c>
      <c r="K52" s="12">
        <f>DATEDIF(J52,Params!$B$3,"Y")</f>
        <v>9</v>
      </c>
      <c r="L52" s="12" t="str">
        <f>IF(K52&lt;1,"&lt;1 year",IF(K52&lt;=3,"1 - 3 year(s)",IF(K52&lt;=6,"4 - 6 years",IF(K52&lt;=9,"7 - 9 years","&gt;= 10 years"))))</f>
        <v>7 - 9 years</v>
      </c>
      <c r="M52" s="5" t="s">
        <v>45</v>
      </c>
      <c r="N52" s="8" t="s">
        <v>31</v>
      </c>
      <c r="O52" s="8" cm="1">
        <f t="array" ref="O52">IFERROR(VLOOKUP($A52&amp;"Annual",CHOOSE({1,2},leavebalances_base!$E$3:$E$1230&amp;leavebalances_base!$T$3:$T$1230,leavebalances_base!$AC$3:$AC$1230),2,FALSE),"")</f>
        <v>15.166666666659999</v>
      </c>
      <c r="P52" s="8" cm="1">
        <f t="array" ref="P52">IFERROR(VLOOKUP($A52&amp;"Annual",CHOOSE({1,2},leavebalances_base!$E$3:$E$1230&amp;leavebalances_base!$T$3:$T$1230,leavebalances_base!$AD$3:$AD$1230),2,FALSE)/Params!$B$2,"")</f>
        <v>573.06570623483537</v>
      </c>
      <c r="Q52" s="6">
        <f>IFERROR(VLOOKUP(A52,overtime_base!$J:$L,2,FALSE),0)</f>
        <v>0</v>
      </c>
      <c r="R52" s="6">
        <f>IFERROR(VLOOKUP(A52,overtime_base!$J:$L,3,FALSE)/Params!$B$2,0)</f>
        <v>0</v>
      </c>
    </row>
    <row r="53" spans="1:18" ht="40" x14ac:dyDescent="0.35">
      <c r="A53" s="4" t="s">
        <v>190</v>
      </c>
      <c r="B53" s="5" t="s">
        <v>191</v>
      </c>
      <c r="C53" s="6" t="s">
        <v>20</v>
      </c>
      <c r="D53" s="6" t="s">
        <v>68</v>
      </c>
      <c r="E53" s="5" t="s">
        <v>192</v>
      </c>
      <c r="F53" s="6" t="s">
        <v>44</v>
      </c>
      <c r="G53" s="7">
        <v>33297</v>
      </c>
      <c r="H53" s="12">
        <f>DATEDIF(G53,Params!$B$3,"Y")</f>
        <v>35</v>
      </c>
      <c r="I53" s="12" t="str">
        <f>IF(H53&lt;25,"&lt;25 ans",IF(H53&lt;=29,"25 - 29 ans",IF(H53&lt;=34,"30 - 34 ans ",IF(H53&lt;=39,"35 - 39 ans ",IF(H53&lt;=44,"40 - 44 ans ",IF(H53&lt;=49,"45 - 49 ans ",IF(H53&lt;=54,"50 - 54 ans ","&gt;55")))))))</f>
        <v xml:space="preserve">35 - 39 ans </v>
      </c>
      <c r="J53" s="7">
        <v>42653</v>
      </c>
      <c r="K53" s="12">
        <f>DATEDIF(J53,Params!$B$3,"Y")</f>
        <v>9</v>
      </c>
      <c r="L53" s="12" t="str">
        <f>IF(K53&lt;1,"&lt;1 year",IF(K53&lt;=3,"1 - 3 year(s)",IF(K53&lt;=6,"4 - 6 years",IF(K53&lt;=9,"7 - 9 years","&gt;= 10 years"))))</f>
        <v>7 - 9 years</v>
      </c>
      <c r="M53" s="5" t="s">
        <v>45</v>
      </c>
      <c r="N53" s="8" t="s">
        <v>31</v>
      </c>
      <c r="O53" s="8" cm="1">
        <f t="array" ref="O53">IFERROR(VLOOKUP($A53&amp;"Annual",CHOOSE({1,2},leavebalances_base!$E$3:$E$1230&amp;leavebalances_base!$T$3:$T$1230,leavebalances_base!$AC$3:$AC$1230),2,FALSE),"")</f>
        <v>-1.6666666666700001</v>
      </c>
      <c r="P53" s="8" cm="1">
        <f t="array" ref="P53">IFERROR(VLOOKUP($A53&amp;"Annual",CHOOSE({1,2},leavebalances_base!$E$3:$E$1230&amp;leavebalances_base!$T$3:$T$1230,leavebalances_base!$AD$3:$AD$1230),2,FALSE)/Params!$B$2,"")</f>
        <v>-120.98165327989602</v>
      </c>
      <c r="Q53" s="6">
        <f>IFERROR(VLOOKUP(A53,overtime_base!$J:$L,2,FALSE),0)</f>
        <v>29.43</v>
      </c>
      <c r="R53" s="6">
        <f>IFERROR(VLOOKUP(A53,overtime_base!$J:$L,3,FALSE)/Params!$B$2,0)</f>
        <v>365.32908145580592</v>
      </c>
    </row>
    <row r="54" spans="1:18" ht="20" x14ac:dyDescent="0.35">
      <c r="A54" s="4" t="s">
        <v>193</v>
      </c>
      <c r="B54" s="5" t="s">
        <v>194</v>
      </c>
      <c r="C54" s="6" t="s">
        <v>20</v>
      </c>
      <c r="D54" s="6" t="s">
        <v>21</v>
      </c>
      <c r="E54" s="5" t="s">
        <v>195</v>
      </c>
      <c r="F54" s="6" t="s">
        <v>29</v>
      </c>
      <c r="G54" s="7">
        <v>27307</v>
      </c>
      <c r="H54" s="12">
        <f>DATEDIF(G54,Params!$B$3,"Y")</f>
        <v>51</v>
      </c>
      <c r="I54" s="12" t="str">
        <f>IF(H54&lt;25,"&lt;25 ans",IF(H54&lt;=29,"25 - 29 ans",IF(H54&lt;=34,"30 - 34 ans ",IF(H54&lt;=39,"35 - 39 ans ",IF(H54&lt;=44,"40 - 44 ans ",IF(H54&lt;=49,"45 - 49 ans ",IF(H54&lt;=54,"50 - 54 ans ","&gt;55")))))))</f>
        <v xml:space="preserve">50 - 54 ans </v>
      </c>
      <c r="J54" s="7">
        <v>42660</v>
      </c>
      <c r="K54" s="12">
        <f>DATEDIF(J54,Params!$B$3,"Y")</f>
        <v>9</v>
      </c>
      <c r="L54" s="12" t="str">
        <f>IF(K54&lt;1,"&lt;1 year",IF(K54&lt;=3,"1 - 3 year(s)",IF(K54&lt;=6,"4 - 6 years",IF(K54&lt;=9,"7 - 9 years","&gt;= 10 years"))))</f>
        <v>7 - 9 years</v>
      </c>
      <c r="M54" s="5" t="s">
        <v>45</v>
      </c>
      <c r="N54" s="8" t="s">
        <v>31</v>
      </c>
      <c r="O54" s="8" cm="1">
        <f t="array" ref="O54">IFERROR(VLOOKUP($A54&amp;"Annual",CHOOSE({1,2},leavebalances_base!$E$3:$E$1230&amp;leavebalances_base!$T$3:$T$1230,leavebalances_base!$AC$3:$AC$1230),2,FALSE),"")</f>
        <v>17.33333333333</v>
      </c>
      <c r="P54" s="8" cm="1">
        <f t="array" ref="P54">IFERROR(VLOOKUP($A54&amp;"Annual",CHOOSE({1,2},leavebalances_base!$E$3:$E$1230&amp;leavebalances_base!$T$3:$T$1230,leavebalances_base!$AD$3:$AD$1230),2,FALSE)/Params!$B$2,"")</f>
        <v>1529.4350895407279</v>
      </c>
      <c r="Q54" s="6">
        <f>IFERROR(VLOOKUP(A54,overtime_base!$J:$L,2,FALSE),0)</f>
        <v>0</v>
      </c>
      <c r="R54" s="6">
        <f>IFERROR(VLOOKUP(A54,overtime_base!$J:$L,3,FALSE)/Params!$B$2,0)</f>
        <v>0</v>
      </c>
    </row>
    <row r="55" spans="1:18" ht="20" x14ac:dyDescent="0.35">
      <c r="A55" s="4" t="s">
        <v>196</v>
      </c>
      <c r="B55" s="5" t="s">
        <v>197</v>
      </c>
      <c r="C55" s="6" t="s">
        <v>20</v>
      </c>
      <c r="D55" s="6" t="s">
        <v>21</v>
      </c>
      <c r="E55" s="5" t="s">
        <v>198</v>
      </c>
      <c r="F55" s="6" t="s">
        <v>35</v>
      </c>
      <c r="G55" s="7">
        <v>25543</v>
      </c>
      <c r="H55" s="12">
        <f>DATEDIF(G55,Params!$B$3,"Y")</f>
        <v>56</v>
      </c>
      <c r="I55" s="12" t="str">
        <f>IF(H55&lt;25,"&lt;25 ans",IF(H55&lt;=29,"25 - 29 ans",IF(H55&lt;=34,"30 - 34 ans ",IF(H55&lt;=39,"35 - 39 ans ",IF(H55&lt;=44,"40 - 44 ans ",IF(H55&lt;=49,"45 - 49 ans ",IF(H55&lt;=54,"50 - 54 ans ","&gt;55")))))))</f>
        <v>&gt;55</v>
      </c>
      <c r="J55" s="7">
        <v>42660</v>
      </c>
      <c r="K55" s="12">
        <f>DATEDIF(J55,Params!$B$3,"Y")</f>
        <v>9</v>
      </c>
      <c r="L55" s="12" t="str">
        <f>IF(K55&lt;1,"&lt;1 year",IF(K55&lt;=3,"1 - 3 year(s)",IF(K55&lt;=6,"4 - 6 years",IF(K55&lt;=9,"7 - 9 years","&gt;= 10 years"))))</f>
        <v>7 - 9 years</v>
      </c>
      <c r="M55" s="5" t="s">
        <v>45</v>
      </c>
      <c r="N55" s="8" t="s">
        <v>31</v>
      </c>
      <c r="O55" s="8" cm="1">
        <f t="array" ref="O55">IFERROR(VLOOKUP($A55&amp;"Annual",CHOOSE({1,2},leavebalances_base!$E$3:$E$1230&amp;leavebalances_base!$T$3:$T$1230,leavebalances_base!$AC$3:$AC$1230),2,FALSE),"")</f>
        <v>8.6666666666599994</v>
      </c>
      <c r="P55" s="8" cm="1">
        <f t="array" ref="P55">IFERROR(VLOOKUP($A55&amp;"Annual",CHOOSE({1,2},leavebalances_base!$E$3:$E$1230&amp;leavebalances_base!$T$3:$T$1230,leavebalances_base!$AD$3:$AD$1230),2,FALSE)/Params!$B$2,"")</f>
        <v>272.7881715727903</v>
      </c>
      <c r="Q55" s="6">
        <f>IFERROR(VLOOKUP(A55,overtime_base!$J:$L,2,FALSE),0)</f>
        <v>0</v>
      </c>
      <c r="R55" s="6">
        <f>IFERROR(VLOOKUP(A55,overtime_base!$J:$L,3,FALSE)/Params!$B$2,0)</f>
        <v>0</v>
      </c>
    </row>
    <row r="56" spans="1:18" ht="40" x14ac:dyDescent="0.35">
      <c r="A56" s="4" t="s">
        <v>199</v>
      </c>
      <c r="B56" s="5" t="s">
        <v>200</v>
      </c>
      <c r="C56" s="6" t="s">
        <v>20</v>
      </c>
      <c r="D56" s="6" t="s">
        <v>21</v>
      </c>
      <c r="E56" s="5" t="s">
        <v>201</v>
      </c>
      <c r="F56" s="6" t="s">
        <v>57</v>
      </c>
      <c r="G56" s="7">
        <v>31638</v>
      </c>
      <c r="H56" s="12">
        <f>DATEDIF(G56,Params!$B$3,"Y")</f>
        <v>39</v>
      </c>
      <c r="I56" s="12" t="str">
        <f>IF(H56&lt;25,"&lt;25 ans",IF(H56&lt;=29,"25 - 29 ans",IF(H56&lt;=34,"30 - 34 ans ",IF(H56&lt;=39,"35 - 39 ans ",IF(H56&lt;=44,"40 - 44 ans ",IF(H56&lt;=49,"45 - 49 ans ",IF(H56&lt;=54,"50 - 54 ans ","&gt;55")))))))</f>
        <v xml:space="preserve">35 - 39 ans </v>
      </c>
      <c r="J56" s="7">
        <v>42662</v>
      </c>
      <c r="K56" s="12">
        <f>DATEDIF(J56,Params!$B$3,"Y")</f>
        <v>9</v>
      </c>
      <c r="L56" s="12" t="str">
        <f>IF(K56&lt;1,"&lt;1 year",IF(K56&lt;=3,"1 - 3 year(s)",IF(K56&lt;=6,"4 - 6 years",IF(K56&lt;=9,"7 - 9 years","&gt;= 10 years"))))</f>
        <v>7 - 9 years</v>
      </c>
      <c r="M56" s="5" t="s">
        <v>40</v>
      </c>
      <c r="N56" s="8" t="s">
        <v>36</v>
      </c>
      <c r="O56" s="8" cm="1">
        <f t="array" ref="O56">IFERROR(VLOOKUP($A56&amp;"Annual",CHOOSE({1,2},leavebalances_base!$E$3:$E$1230&amp;leavebalances_base!$T$3:$T$1230,leavebalances_base!$AC$3:$AC$1230),2,FALSE),"")</f>
        <v>17.000000000006001</v>
      </c>
      <c r="P56" s="8" cm="1">
        <f t="array" ref="P56">IFERROR(VLOOKUP($A56&amp;"Annual",CHOOSE({1,2},leavebalances_base!$E$3:$E$1230&amp;leavebalances_base!$T$3:$T$1230,leavebalances_base!$AD$3:$AD$1230),2,FALSE)/Params!$B$2,"")</f>
        <v>2944.5369167417675</v>
      </c>
      <c r="Q56" s="6">
        <f>IFERROR(VLOOKUP(A56,overtime_base!$J:$L,2,FALSE),0)</f>
        <v>0</v>
      </c>
      <c r="R56" s="6">
        <f>IFERROR(VLOOKUP(A56,overtime_base!$J:$L,3,FALSE)/Params!$B$2,0)</f>
        <v>0</v>
      </c>
    </row>
    <row r="57" spans="1:18" ht="20" x14ac:dyDescent="0.35">
      <c r="A57" s="4" t="s">
        <v>202</v>
      </c>
      <c r="B57" s="5" t="s">
        <v>203</v>
      </c>
      <c r="C57" s="6" t="s">
        <v>20</v>
      </c>
      <c r="D57" s="6" t="s">
        <v>21</v>
      </c>
      <c r="E57" s="5" t="s">
        <v>128</v>
      </c>
      <c r="F57" s="6" t="s">
        <v>204</v>
      </c>
      <c r="G57" s="7">
        <v>34280</v>
      </c>
      <c r="H57" s="12">
        <f>DATEDIF(G57,Params!$B$3,"Y")</f>
        <v>32</v>
      </c>
      <c r="I57" s="12" t="str">
        <f>IF(H57&lt;25,"&lt;25 ans",IF(H57&lt;=29,"25 - 29 ans",IF(H57&lt;=34,"30 - 34 ans ",IF(H57&lt;=39,"35 - 39 ans ",IF(H57&lt;=44,"40 - 44 ans ",IF(H57&lt;=49,"45 - 49 ans ",IF(H57&lt;=54,"50 - 54 ans ","&gt;55")))))))</f>
        <v xml:space="preserve">30 - 34 ans </v>
      </c>
      <c r="J57" s="7">
        <v>42679</v>
      </c>
      <c r="K57" s="12">
        <f>DATEDIF(J57,Params!$B$3,"Y")</f>
        <v>9</v>
      </c>
      <c r="L57" s="12" t="str">
        <f>IF(K57&lt;1,"&lt;1 year",IF(K57&lt;=3,"1 - 3 year(s)",IF(K57&lt;=6,"4 - 6 years",IF(K57&lt;=9,"7 - 9 years","&gt;= 10 years"))))</f>
        <v>7 - 9 years</v>
      </c>
      <c r="M57" s="5" t="s">
        <v>24</v>
      </c>
      <c r="N57" s="8" t="s">
        <v>31</v>
      </c>
      <c r="O57" s="8" cm="1">
        <f t="array" ref="O57">IFERROR(VLOOKUP($A57&amp;"Annual",CHOOSE({1,2},leavebalances_base!$E$3:$E$1230&amp;leavebalances_base!$T$3:$T$1230,leavebalances_base!$AC$3:$AC$1230),2,FALSE),"")</f>
        <v>3.0033333333260002</v>
      </c>
      <c r="P57" s="8" cm="1">
        <f t="array" ref="P57">IFERROR(VLOOKUP($A57&amp;"Annual",CHOOSE({1,2},leavebalances_base!$E$3:$E$1230&amp;leavebalances_base!$T$3:$T$1230,leavebalances_base!$AD$3:$AD$1230),2,FALSE)/Params!$B$2,"")</f>
        <v>93.526092738301557</v>
      </c>
      <c r="Q57" s="6">
        <f>IFERROR(VLOOKUP(A57,overtime_base!$J:$L,2,FALSE),0)</f>
        <v>8.06</v>
      </c>
      <c r="R57" s="6">
        <f>IFERROR(VLOOKUP(A57,overtime_base!$J:$L,3,FALSE)/Params!$B$2,0)</f>
        <v>32.483349220103989</v>
      </c>
    </row>
    <row r="58" spans="1:18" ht="40" x14ac:dyDescent="0.35">
      <c r="A58" s="4" t="s">
        <v>205</v>
      </c>
      <c r="B58" s="5" t="s">
        <v>206</v>
      </c>
      <c r="C58" s="6" t="s">
        <v>20</v>
      </c>
      <c r="D58" s="6" t="s">
        <v>21</v>
      </c>
      <c r="E58" s="5" t="s">
        <v>207</v>
      </c>
      <c r="F58" s="6" t="s">
        <v>204</v>
      </c>
      <c r="G58" s="7">
        <v>26447</v>
      </c>
      <c r="H58" s="12">
        <f>DATEDIF(G58,Params!$B$3,"Y")</f>
        <v>54</v>
      </c>
      <c r="I58" s="12" t="str">
        <f>IF(H58&lt;25,"&lt;25 ans",IF(H58&lt;=29,"25 - 29 ans",IF(H58&lt;=34,"30 - 34 ans ",IF(H58&lt;=39,"35 - 39 ans ",IF(H58&lt;=44,"40 - 44 ans ",IF(H58&lt;=49,"45 - 49 ans ",IF(H58&lt;=54,"50 - 54 ans ","&gt;55")))))))</f>
        <v xml:space="preserve">50 - 54 ans </v>
      </c>
      <c r="J58" s="7">
        <v>42679</v>
      </c>
      <c r="K58" s="12">
        <f>DATEDIF(J58,Params!$B$3,"Y")</f>
        <v>9</v>
      </c>
      <c r="L58" s="12" t="str">
        <f>IF(K58&lt;1,"&lt;1 year",IF(K58&lt;=3,"1 - 3 year(s)",IF(K58&lt;=6,"4 - 6 years",IF(K58&lt;=9,"7 - 9 years","&gt;= 10 years"))))</f>
        <v>7 - 9 years</v>
      </c>
      <c r="M58" s="5" t="s">
        <v>24</v>
      </c>
      <c r="N58" s="8" t="s">
        <v>31</v>
      </c>
      <c r="O58" s="8" cm="1">
        <f t="array" ref="O58">IFERROR(VLOOKUP($A58&amp;"Annual",CHOOSE({1,2},leavebalances_base!$E$3:$E$1230&amp;leavebalances_base!$T$3:$T$1230,leavebalances_base!$AC$3:$AC$1230),2,FALSE),"")</f>
        <v>15.503333333325999</v>
      </c>
      <c r="P58" s="8" cm="1">
        <f t="array" ref="P58">IFERROR(VLOOKUP($A58&amp;"Annual",CHOOSE({1,2},leavebalances_base!$E$3:$E$1230&amp;leavebalances_base!$T$3:$T$1230,leavebalances_base!$AD$3:$AD$1230),2,FALSE)/Params!$B$2,"")</f>
        <v>451.07586468804158</v>
      </c>
      <c r="Q58" s="6">
        <f>IFERROR(VLOOKUP(A58,overtime_base!$J:$L,2,FALSE),0)</f>
        <v>0</v>
      </c>
      <c r="R58" s="6">
        <f>IFERROR(VLOOKUP(A58,overtime_base!$J:$L,3,FALSE)/Params!$B$2,0)</f>
        <v>0</v>
      </c>
    </row>
    <row r="59" spans="1:18" ht="40" x14ac:dyDescent="0.35">
      <c r="A59" s="4" t="s">
        <v>208</v>
      </c>
      <c r="B59" s="5" t="s">
        <v>209</v>
      </c>
      <c r="C59" s="6" t="s">
        <v>20</v>
      </c>
      <c r="D59" s="6" t="s">
        <v>21</v>
      </c>
      <c r="E59" s="5" t="s">
        <v>210</v>
      </c>
      <c r="F59" s="6" t="s">
        <v>29</v>
      </c>
      <c r="G59" s="7">
        <v>27917</v>
      </c>
      <c r="H59" s="12">
        <f>DATEDIF(G59,Params!$B$3,"Y")</f>
        <v>50</v>
      </c>
      <c r="I59" s="12" t="str">
        <f>IF(H59&lt;25,"&lt;25 ans",IF(H59&lt;=29,"25 - 29 ans",IF(H59&lt;=34,"30 - 34 ans ",IF(H59&lt;=39,"35 - 39 ans ",IF(H59&lt;=44,"40 - 44 ans ",IF(H59&lt;=49,"45 - 49 ans ",IF(H59&lt;=54,"50 - 54 ans ","&gt;55")))))))</f>
        <v xml:space="preserve">50 - 54 ans </v>
      </c>
      <c r="J59" s="7">
        <v>42679</v>
      </c>
      <c r="K59" s="12">
        <f>DATEDIF(J59,Params!$B$3,"Y")</f>
        <v>9</v>
      </c>
      <c r="L59" s="12" t="str">
        <f>IF(K59&lt;1,"&lt;1 year",IF(K59&lt;=3,"1 - 3 year(s)",IF(K59&lt;=6,"4 - 6 years",IF(K59&lt;=9,"7 - 9 years","&gt;= 10 years"))))</f>
        <v>7 - 9 years</v>
      </c>
      <c r="M59" s="5" t="s">
        <v>40</v>
      </c>
      <c r="N59" s="8" t="s">
        <v>36</v>
      </c>
      <c r="O59" s="8" cm="1">
        <f t="array" ref="O59">IFERROR(VLOOKUP($A59&amp;"Annual",CHOOSE({1,2},leavebalances_base!$E$3:$E$1230&amp;leavebalances_base!$T$3:$T$1230,leavebalances_base!$AC$3:$AC$1230),2,FALSE),"")</f>
        <v>21.669999999997</v>
      </c>
      <c r="P59" s="8" cm="1">
        <f t="array" ref="P59">IFERROR(VLOOKUP($A59&amp;"Annual",CHOOSE({1,2},leavebalances_base!$E$3:$E$1230&amp;leavebalances_base!$T$3:$T$1230,leavebalances_base!$AD$3:$AD$1230),2,FALSE)/Params!$B$2,"")</f>
        <v>2241.8204273093588</v>
      </c>
      <c r="Q59" s="6">
        <f>IFERROR(VLOOKUP(A59,overtime_base!$J:$L,2,FALSE),0)</f>
        <v>0</v>
      </c>
      <c r="R59" s="6">
        <f>IFERROR(VLOOKUP(A59,overtime_base!$J:$L,3,FALSE)/Params!$B$2,0)</f>
        <v>0</v>
      </c>
    </row>
    <row r="60" spans="1:18" ht="30" x14ac:dyDescent="0.35">
      <c r="A60" s="4" t="s">
        <v>211</v>
      </c>
      <c r="B60" s="5" t="s">
        <v>212</v>
      </c>
      <c r="C60" s="6" t="s">
        <v>48</v>
      </c>
      <c r="D60" s="6" t="s">
        <v>21</v>
      </c>
      <c r="E60" s="5" t="s">
        <v>213</v>
      </c>
      <c r="F60" s="6" t="s">
        <v>129</v>
      </c>
      <c r="G60" s="7">
        <v>30130</v>
      </c>
      <c r="H60" s="12">
        <f>DATEDIF(G60,Params!$B$3,"Y")</f>
        <v>44</v>
      </c>
      <c r="I60" s="12" t="str">
        <f>IF(H60&lt;25,"&lt;25 ans",IF(H60&lt;=29,"25 - 29 ans",IF(H60&lt;=34,"30 - 34 ans ",IF(H60&lt;=39,"35 - 39 ans ",IF(H60&lt;=44,"40 - 44 ans ",IF(H60&lt;=49,"45 - 49 ans ",IF(H60&lt;=54,"50 - 54 ans ","&gt;55")))))))</f>
        <v xml:space="preserve">40 - 44 ans </v>
      </c>
      <c r="J60" s="7">
        <v>42679</v>
      </c>
      <c r="K60" s="12">
        <f>DATEDIF(J60,Params!$B$3,"Y")</f>
        <v>9</v>
      </c>
      <c r="L60" s="12" t="str">
        <f>IF(K60&lt;1,"&lt;1 year",IF(K60&lt;=3,"1 - 3 year(s)",IF(K60&lt;=6,"4 - 6 years",IF(K60&lt;=9,"7 - 9 years","&gt;= 10 years"))))</f>
        <v>7 - 9 years</v>
      </c>
      <c r="M60" s="5" t="s">
        <v>91</v>
      </c>
      <c r="N60" s="8" t="s">
        <v>31</v>
      </c>
      <c r="O60" s="8" cm="1">
        <f t="array" ref="O60">IFERROR(VLOOKUP($A60&amp;"Annual",CHOOSE({1,2},leavebalances_base!$E$3:$E$1230&amp;leavebalances_base!$T$3:$T$1230,leavebalances_base!$AC$3:$AC$1230),2,FALSE),"")</f>
        <v>23.666666666668</v>
      </c>
      <c r="P60" s="8" cm="1">
        <f t="array" ref="P60">IFERROR(VLOOKUP($A60&amp;"Annual",CHOOSE({1,2},leavebalances_base!$E$3:$E$1230&amp;leavebalances_base!$T$3:$T$1230,leavebalances_base!$AD$3:$AD$1230),2,FALSE)/Params!$B$2,"")</f>
        <v>1075.6205468110918</v>
      </c>
      <c r="Q60" s="6">
        <f>IFERROR(VLOOKUP(A60,overtime_base!$J:$L,2,FALSE),0)</f>
        <v>0</v>
      </c>
      <c r="R60" s="6">
        <f>IFERROR(VLOOKUP(A60,overtime_base!$J:$L,3,FALSE)/Params!$B$2,0)</f>
        <v>0</v>
      </c>
    </row>
    <row r="61" spans="1:18" ht="20" x14ac:dyDescent="0.35">
      <c r="A61" s="4" t="s">
        <v>214</v>
      </c>
      <c r="B61" s="5" t="s">
        <v>215</v>
      </c>
      <c r="C61" s="6" t="s">
        <v>20</v>
      </c>
      <c r="D61" s="6" t="s">
        <v>21</v>
      </c>
      <c r="E61" s="5" t="s">
        <v>216</v>
      </c>
      <c r="F61" s="6" t="s">
        <v>65</v>
      </c>
      <c r="G61" s="7">
        <v>32600</v>
      </c>
      <c r="H61" s="12">
        <f>DATEDIF(G61,Params!$B$3,"Y")</f>
        <v>37</v>
      </c>
      <c r="I61" s="12" t="str">
        <f>IF(H61&lt;25,"&lt;25 ans",IF(H61&lt;=29,"25 - 29 ans",IF(H61&lt;=34,"30 - 34 ans ",IF(H61&lt;=39,"35 - 39 ans ",IF(H61&lt;=44,"40 - 44 ans ",IF(H61&lt;=49,"45 - 49 ans ",IF(H61&lt;=54,"50 - 54 ans ","&gt;55")))))))</f>
        <v xml:space="preserve">35 - 39 ans </v>
      </c>
      <c r="J61" s="7">
        <v>42679</v>
      </c>
      <c r="K61" s="12">
        <f>DATEDIF(J61,Params!$B$3,"Y")</f>
        <v>9</v>
      </c>
      <c r="L61" s="12" t="str">
        <f>IF(K61&lt;1,"&lt;1 year",IF(K61&lt;=3,"1 - 3 year(s)",IF(K61&lt;=6,"4 - 6 years",IF(K61&lt;=9,"7 - 9 years","&gt;= 10 years"))))</f>
        <v>7 - 9 years</v>
      </c>
      <c r="M61" s="5" t="s">
        <v>45</v>
      </c>
      <c r="N61" s="8" t="s">
        <v>31</v>
      </c>
      <c r="O61" s="8" cm="1">
        <f t="array" ref="O61">IFERROR(VLOOKUP($A61&amp;"Annual",CHOOSE({1,2},leavebalances_base!$E$3:$E$1230&amp;leavebalances_base!$T$3:$T$1230,leavebalances_base!$AC$3:$AC$1230),2,FALSE),"")</f>
        <v>26.169999999997</v>
      </c>
      <c r="P61" s="8" cm="1">
        <f t="array" ref="P61">IFERROR(VLOOKUP($A61&amp;"Annual",CHOOSE({1,2},leavebalances_base!$E$3:$E$1230&amp;leavebalances_base!$T$3:$T$1230,leavebalances_base!$AD$3:$AD$1230),2,FALSE)/Params!$B$2,"")</f>
        <v>2073.9867694627383</v>
      </c>
      <c r="Q61" s="6">
        <f>IFERROR(VLOOKUP(A61,overtime_base!$J:$L,2,FALSE),0)</f>
        <v>78.89</v>
      </c>
      <c r="R61" s="6">
        <f>IFERROR(VLOOKUP(A61,overtime_base!$J:$L,3,FALSE)/Params!$B$2,0)</f>
        <v>938.92510831889081</v>
      </c>
    </row>
    <row r="62" spans="1:18" ht="20" x14ac:dyDescent="0.35">
      <c r="A62" s="4" t="s">
        <v>217</v>
      </c>
      <c r="B62" s="5" t="s">
        <v>218</v>
      </c>
      <c r="C62" s="6" t="s">
        <v>48</v>
      </c>
      <c r="D62" s="6" t="s">
        <v>21</v>
      </c>
      <c r="E62" s="5" t="s">
        <v>219</v>
      </c>
      <c r="F62" s="6" t="s">
        <v>44</v>
      </c>
      <c r="G62" s="7">
        <v>31105</v>
      </c>
      <c r="H62" s="12">
        <f>DATEDIF(G62,Params!$B$3,"Y")</f>
        <v>41</v>
      </c>
      <c r="I62" s="12" t="str">
        <f>IF(H62&lt;25,"&lt;25 ans",IF(H62&lt;=29,"25 - 29 ans",IF(H62&lt;=34,"30 - 34 ans ",IF(H62&lt;=39,"35 - 39 ans ",IF(H62&lt;=44,"40 - 44 ans ",IF(H62&lt;=49,"45 - 49 ans ",IF(H62&lt;=54,"50 - 54 ans ","&gt;55")))))))</f>
        <v xml:space="preserve">40 - 44 ans </v>
      </c>
      <c r="J62" s="7">
        <v>42690</v>
      </c>
      <c r="K62" s="12">
        <f>DATEDIF(J62,Params!$B$3,"Y")</f>
        <v>9</v>
      </c>
      <c r="L62" s="12" t="str">
        <f>IF(K62&lt;1,"&lt;1 year",IF(K62&lt;=3,"1 - 3 year(s)",IF(K62&lt;=6,"4 - 6 years",IF(K62&lt;=9,"7 - 9 years","&gt;= 10 years"))))</f>
        <v>7 - 9 years</v>
      </c>
      <c r="M62" s="5" t="s">
        <v>30</v>
      </c>
      <c r="N62" s="8" t="s">
        <v>31</v>
      </c>
      <c r="O62" s="8" cm="1">
        <f t="array" ref="O62">IFERROR(VLOOKUP($A62&amp;"Annual",CHOOSE({1,2},leavebalances_base!$E$3:$E$1230&amp;leavebalances_base!$T$3:$T$1230,leavebalances_base!$AC$3:$AC$1230),2,FALSE),"")</f>
        <v>30.669999999997</v>
      </c>
      <c r="P62" s="8" cm="1">
        <f t="array" ref="P62">IFERROR(VLOOKUP($A62&amp;"Annual",CHOOSE({1,2},leavebalances_base!$E$3:$E$1230&amp;leavebalances_base!$T$3:$T$1230,leavebalances_base!$AD$3:$AD$1230),2,FALSE)/Params!$B$2,"")</f>
        <v>2049.028609722704</v>
      </c>
      <c r="Q62" s="6">
        <f>IFERROR(VLOOKUP(A62,overtime_base!$J:$L,2,FALSE),0)</f>
        <v>0</v>
      </c>
      <c r="R62" s="6">
        <f>IFERROR(VLOOKUP(A62,overtime_base!$J:$L,3,FALSE)/Params!$B$2,0)</f>
        <v>0</v>
      </c>
    </row>
    <row r="63" spans="1:18" ht="40" x14ac:dyDescent="0.35">
      <c r="A63" s="4" t="s">
        <v>220</v>
      </c>
      <c r="B63" s="5" t="s">
        <v>221</v>
      </c>
      <c r="C63" s="6" t="s">
        <v>20</v>
      </c>
      <c r="D63" s="6" t="s">
        <v>82</v>
      </c>
      <c r="E63" s="5" t="s">
        <v>222</v>
      </c>
      <c r="F63" s="6" t="s">
        <v>29</v>
      </c>
      <c r="G63" s="7">
        <v>33072</v>
      </c>
      <c r="H63" s="12">
        <f>DATEDIF(G63,Params!$B$3,"Y")</f>
        <v>36</v>
      </c>
      <c r="I63" s="12" t="str">
        <f>IF(H63&lt;25,"&lt;25 ans",IF(H63&lt;=29,"25 - 29 ans",IF(H63&lt;=34,"30 - 34 ans ",IF(H63&lt;=39,"35 - 39 ans ",IF(H63&lt;=44,"40 - 44 ans ",IF(H63&lt;=49,"45 - 49 ans ",IF(H63&lt;=54,"50 - 54 ans ","&gt;55")))))))</f>
        <v xml:space="preserve">35 - 39 ans </v>
      </c>
      <c r="J63" s="7">
        <v>42711</v>
      </c>
      <c r="K63" s="12">
        <f>DATEDIF(J63,Params!$B$3,"Y")</f>
        <v>9</v>
      </c>
      <c r="L63" s="12" t="str">
        <f>IF(K63&lt;1,"&lt;1 year",IF(K63&lt;=3,"1 - 3 year(s)",IF(K63&lt;=6,"4 - 6 years",IF(K63&lt;=9,"7 - 9 years","&gt;= 10 years"))))</f>
        <v>7 - 9 years</v>
      </c>
      <c r="M63" s="5" t="s">
        <v>45</v>
      </c>
      <c r="N63" s="8" t="s">
        <v>31</v>
      </c>
      <c r="O63" s="8" cm="1">
        <f t="array" ref="O63">IFERROR(VLOOKUP($A63&amp;"Annual",CHOOSE({1,2},leavebalances_base!$E$3:$E$1230&amp;leavebalances_base!$T$3:$T$1230,leavebalances_base!$AC$3:$AC$1230),2,FALSE),"")</f>
        <v>24.666666666664</v>
      </c>
      <c r="P63" s="8" cm="1">
        <f t="array" ref="P63">IFERROR(VLOOKUP($A63&amp;"Annual",CHOOSE({1,2},leavebalances_base!$E$3:$E$1230&amp;leavebalances_base!$T$3:$T$1230,leavebalances_base!$AD$3:$AD$1230),2,FALSE)/Params!$B$2,"")</f>
        <v>2795.4558922053725</v>
      </c>
      <c r="Q63" s="6">
        <f>IFERROR(VLOOKUP(A63,overtime_base!$J:$L,2,FALSE),0)</f>
        <v>0</v>
      </c>
      <c r="R63" s="6">
        <f>IFERROR(VLOOKUP(A63,overtime_base!$J:$L,3,FALSE)/Params!$B$2,0)</f>
        <v>0</v>
      </c>
    </row>
    <row r="64" spans="1:18" ht="40" x14ac:dyDescent="0.35">
      <c r="A64" s="4" t="s">
        <v>223</v>
      </c>
      <c r="B64" s="5" t="s">
        <v>224</v>
      </c>
      <c r="C64" s="6" t="s">
        <v>20</v>
      </c>
      <c r="D64" s="6" t="s">
        <v>68</v>
      </c>
      <c r="E64" s="5" t="s">
        <v>225</v>
      </c>
      <c r="F64" s="6" t="s">
        <v>23</v>
      </c>
      <c r="G64" s="7">
        <v>32373</v>
      </c>
      <c r="H64" s="12">
        <f>DATEDIF(G64,Params!$B$3,"Y")</f>
        <v>37</v>
      </c>
      <c r="I64" s="12" t="str">
        <f>IF(H64&lt;25,"&lt;25 ans",IF(H64&lt;=29,"25 - 29 ans",IF(H64&lt;=34,"30 - 34 ans ",IF(H64&lt;=39,"35 - 39 ans ",IF(H64&lt;=44,"40 - 44 ans ",IF(H64&lt;=49,"45 - 49 ans ",IF(H64&lt;=54,"50 - 54 ans ","&gt;55")))))))</f>
        <v xml:space="preserve">35 - 39 ans </v>
      </c>
      <c r="J64" s="7">
        <v>42711</v>
      </c>
      <c r="K64" s="12">
        <f>DATEDIF(J64,Params!$B$3,"Y")</f>
        <v>9</v>
      </c>
      <c r="L64" s="12" t="str">
        <f>IF(K64&lt;1,"&lt;1 year",IF(K64&lt;=3,"1 - 3 year(s)",IF(K64&lt;=6,"4 - 6 years",IF(K64&lt;=9,"7 - 9 years","&gt;= 10 years"))))</f>
        <v>7 - 9 years</v>
      </c>
      <c r="M64" s="5" t="s">
        <v>40</v>
      </c>
      <c r="N64" s="8" t="s">
        <v>36</v>
      </c>
      <c r="O64" s="8" cm="1">
        <f t="array" ref="O64">IFERROR(VLOOKUP($A64&amp;"Annual",CHOOSE({1,2},leavebalances_base!$E$3:$E$1230&amp;leavebalances_base!$T$3:$T$1230,leavebalances_base!$AC$3:$AC$1230),2,FALSE),"")</f>
        <v>21</v>
      </c>
      <c r="P64" s="8" cm="1">
        <f t="array" ref="P64">IFERROR(VLOOKUP($A64&amp;"Annual",CHOOSE({1,2},leavebalances_base!$E$3:$E$1230&amp;leavebalances_base!$T$3:$T$1230,leavebalances_base!$AD$3:$AD$1230),2,FALSE)/Params!$B$2,"")</f>
        <v>3058.3002706239167</v>
      </c>
      <c r="Q64" s="6">
        <f>IFERROR(VLOOKUP(A64,overtime_base!$J:$L,2,FALSE),0)</f>
        <v>0</v>
      </c>
      <c r="R64" s="6">
        <f>IFERROR(VLOOKUP(A64,overtime_base!$J:$L,3,FALSE)/Params!$B$2,0)</f>
        <v>0</v>
      </c>
    </row>
    <row r="65" spans="1:18" ht="20" x14ac:dyDescent="0.35">
      <c r="A65" s="4" t="s">
        <v>226</v>
      </c>
      <c r="B65" s="5" t="s">
        <v>227</v>
      </c>
      <c r="C65" s="6" t="s">
        <v>20</v>
      </c>
      <c r="D65" s="6" t="s">
        <v>21</v>
      </c>
      <c r="E65" s="5" t="s">
        <v>228</v>
      </c>
      <c r="F65" s="6" t="s">
        <v>145</v>
      </c>
      <c r="G65" s="7">
        <v>28924</v>
      </c>
      <c r="H65" s="12">
        <f>DATEDIF(G65,Params!$B$3,"Y")</f>
        <v>47</v>
      </c>
      <c r="I65" s="12" t="str">
        <f>IF(H65&lt;25,"&lt;25 ans",IF(H65&lt;=29,"25 - 29 ans",IF(H65&lt;=34,"30 - 34 ans ",IF(H65&lt;=39,"35 - 39 ans ",IF(H65&lt;=44,"40 - 44 ans ",IF(H65&lt;=49,"45 - 49 ans ",IF(H65&lt;=54,"50 - 54 ans ","&gt;55")))))))</f>
        <v xml:space="preserve">45 - 49 ans </v>
      </c>
      <c r="J65" s="7">
        <v>42711</v>
      </c>
      <c r="K65" s="12">
        <f>DATEDIF(J65,Params!$B$3,"Y")</f>
        <v>9</v>
      </c>
      <c r="L65" s="12" t="str">
        <f>IF(K65&lt;1,"&lt;1 year",IF(K65&lt;=3,"1 - 3 year(s)",IF(K65&lt;=6,"4 - 6 years",IF(K65&lt;=9,"7 - 9 years","&gt;= 10 years"))))</f>
        <v>7 - 9 years</v>
      </c>
      <c r="M65" s="5" t="s">
        <v>40</v>
      </c>
      <c r="N65" s="8" t="s">
        <v>31</v>
      </c>
      <c r="O65" s="8" cm="1">
        <f t="array" ref="O65">IFERROR(VLOOKUP($A65&amp;"Annual",CHOOSE({1,2},leavebalances_base!$E$3:$E$1230&amp;leavebalances_base!$T$3:$T$1230,leavebalances_base!$AC$3:$AC$1230),2,FALSE),"")</f>
        <v>29.416666666665002</v>
      </c>
      <c r="P65" s="8" cm="1">
        <f t="array" ref="P65">IFERROR(VLOOKUP($A65&amp;"Annual",CHOOSE({1,2},leavebalances_base!$E$3:$E$1230&amp;leavebalances_base!$T$3:$T$1230,leavebalances_base!$AD$3:$AD$1230),2,FALSE)/Params!$B$2,"")</f>
        <v>1502.9953610918544</v>
      </c>
      <c r="Q65" s="6">
        <f>IFERROR(VLOOKUP(A65,overtime_base!$J:$L,2,FALSE),0)</f>
        <v>0</v>
      </c>
      <c r="R65" s="6">
        <f>IFERROR(VLOOKUP(A65,overtime_base!$J:$L,3,FALSE)/Params!$B$2,0)</f>
        <v>0</v>
      </c>
    </row>
    <row r="66" spans="1:18" ht="20" x14ac:dyDescent="0.35">
      <c r="A66" s="4" t="s">
        <v>229</v>
      </c>
      <c r="B66" s="5" t="s">
        <v>230</v>
      </c>
      <c r="C66" s="6" t="s">
        <v>20</v>
      </c>
      <c r="D66" s="6" t="s">
        <v>21</v>
      </c>
      <c r="E66" s="5" t="s">
        <v>231</v>
      </c>
      <c r="F66" s="6" t="s">
        <v>23</v>
      </c>
      <c r="G66" s="7">
        <v>30328</v>
      </c>
      <c r="H66" s="12">
        <f>DATEDIF(G66,Params!$B$3,"Y")</f>
        <v>43</v>
      </c>
      <c r="I66" s="12" t="str">
        <f>IF(H66&lt;25,"&lt;25 ans",IF(H66&lt;=29,"25 - 29 ans",IF(H66&lt;=34,"30 - 34 ans ",IF(H66&lt;=39,"35 - 39 ans ",IF(H66&lt;=44,"40 - 44 ans ",IF(H66&lt;=49,"45 - 49 ans ",IF(H66&lt;=54,"50 - 54 ans ","&gt;55")))))))</f>
        <v xml:space="preserve">40 - 44 ans </v>
      </c>
      <c r="J66" s="7">
        <v>42711</v>
      </c>
      <c r="K66" s="12">
        <f>DATEDIF(J66,Params!$B$3,"Y")</f>
        <v>9</v>
      </c>
      <c r="L66" s="12" t="str">
        <f>IF(K66&lt;1,"&lt;1 year",IF(K66&lt;=3,"1 - 3 year(s)",IF(K66&lt;=6,"4 - 6 years",IF(K66&lt;=9,"7 - 9 years","&gt;= 10 years"))))</f>
        <v>7 - 9 years</v>
      </c>
      <c r="M66" s="5" t="s">
        <v>232</v>
      </c>
      <c r="N66" s="8" t="s">
        <v>31</v>
      </c>
      <c r="O66" s="8" cm="1">
        <f t="array" ref="O66">IFERROR(VLOOKUP($A66&amp;"Annual",CHOOSE({1,2},leavebalances_base!$E$3:$E$1230&amp;leavebalances_base!$T$3:$T$1230,leavebalances_base!$AC$3:$AC$1230),2,FALSE),"")</f>
        <v>25.163333333343999</v>
      </c>
      <c r="P66" s="8" cm="1">
        <f t="array" ref="P66">IFERROR(VLOOKUP($A66&amp;"Annual",CHOOSE({1,2},leavebalances_base!$E$3:$E$1230&amp;leavebalances_base!$T$3:$T$1230,leavebalances_base!$AD$3:$AD$1230),2,FALSE)/Params!$B$2,"")</f>
        <v>5630.8363828942802</v>
      </c>
      <c r="Q66" s="6">
        <f>IFERROR(VLOOKUP(A66,overtime_base!$J:$L,2,FALSE),0)</f>
        <v>0</v>
      </c>
      <c r="R66" s="6">
        <f>IFERROR(VLOOKUP(A66,overtime_base!$J:$L,3,FALSE)/Params!$B$2,0)</f>
        <v>0</v>
      </c>
    </row>
    <row r="67" spans="1:18" ht="20" x14ac:dyDescent="0.35">
      <c r="A67" s="4" t="s">
        <v>233</v>
      </c>
      <c r="B67" s="5" t="s">
        <v>234</v>
      </c>
      <c r="C67" s="6" t="s">
        <v>20</v>
      </c>
      <c r="D67" s="6" t="s">
        <v>21</v>
      </c>
      <c r="E67" s="5" t="s">
        <v>125</v>
      </c>
      <c r="F67" s="6" t="s">
        <v>44</v>
      </c>
      <c r="G67" s="7">
        <v>28210</v>
      </c>
      <c r="H67" s="12">
        <f>DATEDIF(G67,Params!$B$3,"Y")</f>
        <v>49</v>
      </c>
      <c r="I67" s="12" t="str">
        <f>IF(H67&lt;25,"&lt;25 ans",IF(H67&lt;=29,"25 - 29 ans",IF(H67&lt;=34,"30 - 34 ans ",IF(H67&lt;=39,"35 - 39 ans ",IF(H67&lt;=44,"40 - 44 ans ",IF(H67&lt;=49,"45 - 49 ans ",IF(H67&lt;=54,"50 - 54 ans ","&gt;55")))))))</f>
        <v xml:space="preserve">45 - 49 ans </v>
      </c>
      <c r="J67" s="7">
        <v>42786</v>
      </c>
      <c r="K67" s="12">
        <f>DATEDIF(J67,Params!$B$3,"Y")</f>
        <v>9</v>
      </c>
      <c r="L67" s="12" t="str">
        <f>IF(K67&lt;1,"&lt;1 year",IF(K67&lt;=3,"1 - 3 year(s)",IF(K67&lt;=6,"4 - 6 years",IF(K67&lt;=9,"7 - 9 years","&gt;= 10 years"))))</f>
        <v>7 - 9 years</v>
      </c>
      <c r="M67" s="5" t="s">
        <v>45</v>
      </c>
      <c r="N67" s="8" t="s">
        <v>31</v>
      </c>
      <c r="O67" s="8" cm="1">
        <f t="array" ref="O67">IFERROR(VLOOKUP($A67&amp;"Annual",CHOOSE({1,2},leavebalances_base!$E$3:$E$1230&amp;leavebalances_base!$T$3:$T$1230,leavebalances_base!$AC$3:$AC$1230),2,FALSE),"")</f>
        <v>22.919999999998002</v>
      </c>
      <c r="P67" s="8" cm="1">
        <f t="array" ref="P67">IFERROR(VLOOKUP($A67&amp;"Annual",CHOOSE({1,2},leavebalances_base!$E$3:$E$1230&amp;leavebalances_base!$T$3:$T$1230,leavebalances_base!$AD$3:$AD$1230),2,FALSE)/Params!$B$2,"")</f>
        <v>1611.1995490684576</v>
      </c>
      <c r="Q67" s="6">
        <f>IFERROR(VLOOKUP(A67,overtime_base!$J:$L,2,FALSE),0)</f>
        <v>69.949999999999989</v>
      </c>
      <c r="R67" s="6">
        <f>IFERROR(VLOOKUP(A67,overtime_base!$J:$L,3,FALSE)/Params!$B$2,0)</f>
        <v>743.89930675909886</v>
      </c>
    </row>
    <row r="68" spans="1:18" ht="20" x14ac:dyDescent="0.35">
      <c r="A68" s="4" t="s">
        <v>235</v>
      </c>
      <c r="B68" s="5" t="s">
        <v>236</v>
      </c>
      <c r="C68" s="6" t="s">
        <v>20</v>
      </c>
      <c r="D68" s="6" t="s">
        <v>21</v>
      </c>
      <c r="E68" s="5" t="s">
        <v>171</v>
      </c>
      <c r="F68" s="6" t="s">
        <v>44</v>
      </c>
      <c r="G68" s="7">
        <v>30546</v>
      </c>
      <c r="H68" s="12">
        <f>DATEDIF(G68,Params!$B$3,"Y")</f>
        <v>42</v>
      </c>
      <c r="I68" s="12" t="str">
        <f>IF(H68&lt;25,"&lt;25 ans",IF(H68&lt;=29,"25 - 29 ans",IF(H68&lt;=34,"30 - 34 ans ",IF(H68&lt;=39,"35 - 39 ans ",IF(H68&lt;=44,"40 - 44 ans ",IF(H68&lt;=49,"45 - 49 ans ",IF(H68&lt;=54,"50 - 54 ans ","&gt;55")))))))</f>
        <v xml:space="preserve">40 - 44 ans </v>
      </c>
      <c r="J68" s="7">
        <v>42788</v>
      </c>
      <c r="K68" s="12">
        <f>DATEDIF(J68,Params!$B$3,"Y")</f>
        <v>9</v>
      </c>
      <c r="L68" s="12" t="str">
        <f>IF(K68&lt;1,"&lt;1 year",IF(K68&lt;=3,"1 - 3 year(s)",IF(K68&lt;=6,"4 - 6 years",IF(K68&lt;=9,"7 - 9 years","&gt;= 10 years"))))</f>
        <v>7 - 9 years</v>
      </c>
      <c r="M68" s="5" t="s">
        <v>45</v>
      </c>
      <c r="N68" s="8" t="s">
        <v>31</v>
      </c>
      <c r="O68" s="8" cm="1">
        <f t="array" ref="O68">IFERROR(VLOOKUP($A68&amp;"Annual",CHOOSE({1,2},leavebalances_base!$E$3:$E$1230&amp;leavebalances_base!$T$3:$T$1230,leavebalances_base!$AC$3:$AC$1230),2,FALSE),"")</f>
        <v>20.919999999998002</v>
      </c>
      <c r="P68" s="8" cm="1">
        <f t="array" ref="P68">IFERROR(VLOOKUP($A68&amp;"Annual",CHOOSE({1,2},leavebalances_base!$E$3:$E$1230&amp;leavebalances_base!$T$3:$T$1230,leavebalances_base!$AD$3:$AD$1230),2,FALSE)/Params!$B$2,"")</f>
        <v>1525.0539401473136</v>
      </c>
      <c r="Q68" s="6">
        <f>IFERROR(VLOOKUP(A68,overtime_base!$J:$L,2,FALSE),0)</f>
        <v>69.789999999999992</v>
      </c>
      <c r="R68" s="6">
        <f>IFERROR(VLOOKUP(A68,overtime_base!$J:$L,3,FALSE)/Params!$B$2,0)</f>
        <v>787.64099653379549</v>
      </c>
    </row>
    <row r="69" spans="1:18" ht="70" x14ac:dyDescent="0.35">
      <c r="A69" s="4" t="s">
        <v>237</v>
      </c>
      <c r="B69" s="5" t="s">
        <v>238</v>
      </c>
      <c r="C69" s="6" t="s">
        <v>20</v>
      </c>
      <c r="D69" s="6" t="s">
        <v>68</v>
      </c>
      <c r="E69" s="5" t="s">
        <v>239</v>
      </c>
      <c r="F69" s="6" t="s">
        <v>57</v>
      </c>
      <c r="G69" s="7">
        <v>28560</v>
      </c>
      <c r="H69" s="12">
        <f>DATEDIF(G69,Params!$B$3,"Y")</f>
        <v>48</v>
      </c>
      <c r="I69" s="12" t="str">
        <f>IF(H69&lt;25,"&lt;25 ans",IF(H69&lt;=29,"25 - 29 ans",IF(H69&lt;=34,"30 - 34 ans ",IF(H69&lt;=39,"35 - 39 ans ",IF(H69&lt;=44,"40 - 44 ans ",IF(H69&lt;=49,"45 - 49 ans ",IF(H69&lt;=54,"50 - 54 ans ","&gt;55")))))))</f>
        <v xml:space="preserve">45 - 49 ans </v>
      </c>
      <c r="J69" s="7">
        <v>42800</v>
      </c>
      <c r="K69" s="12">
        <f>DATEDIF(J69,Params!$B$3,"Y")</f>
        <v>9</v>
      </c>
      <c r="L69" s="12" t="str">
        <f>IF(K69&lt;1,"&lt;1 year",IF(K69&lt;=3,"1 - 3 year(s)",IF(K69&lt;=6,"4 - 6 years",IF(K69&lt;=9,"7 - 9 years","&gt;= 10 years"))))</f>
        <v>7 - 9 years</v>
      </c>
      <c r="M69" s="5" t="s">
        <v>40</v>
      </c>
      <c r="N69" s="8" t="s">
        <v>36</v>
      </c>
      <c r="O69" s="8" cm="1">
        <f t="array" ref="O69">IFERROR(VLOOKUP($A69&amp;"Annual",CHOOSE({1,2},leavebalances_base!$E$3:$E$1230&amp;leavebalances_base!$T$3:$T$1230,leavebalances_base!$AC$3:$AC$1230),2,FALSE),"")</f>
        <v>30.663333333341001</v>
      </c>
      <c r="P69" s="8" cm="1">
        <f t="array" ref="P69">IFERROR(VLOOKUP($A69&amp;"Annual",CHOOSE({1,2},leavebalances_base!$E$3:$E$1230&amp;leavebalances_base!$T$3:$T$1230,leavebalances_base!$AD$3:$AD$1230),2,FALSE)/Params!$B$2,"")</f>
        <v>4403.2274208102253</v>
      </c>
      <c r="Q69" s="6">
        <f>IFERROR(VLOOKUP(A69,overtime_base!$J:$L,2,FALSE),0)</f>
        <v>0</v>
      </c>
      <c r="R69" s="6">
        <f>IFERROR(VLOOKUP(A69,overtime_base!$J:$L,3,FALSE)/Params!$B$2,0)</f>
        <v>0</v>
      </c>
    </row>
    <row r="70" spans="1:18" ht="20" x14ac:dyDescent="0.35">
      <c r="A70" s="4" t="s">
        <v>240</v>
      </c>
      <c r="B70" s="5" t="s">
        <v>241</v>
      </c>
      <c r="C70" s="6" t="s">
        <v>48</v>
      </c>
      <c r="D70" s="6" t="s">
        <v>21</v>
      </c>
      <c r="E70" s="5" t="s">
        <v>242</v>
      </c>
      <c r="F70" s="6" t="s">
        <v>65</v>
      </c>
      <c r="G70" s="7">
        <v>30115</v>
      </c>
      <c r="H70" s="12">
        <f>DATEDIF(G70,Params!$B$3,"Y")</f>
        <v>44</v>
      </c>
      <c r="I70" s="12" t="str">
        <f>IF(H70&lt;25,"&lt;25 ans",IF(H70&lt;=29,"25 - 29 ans",IF(H70&lt;=34,"30 - 34 ans ",IF(H70&lt;=39,"35 - 39 ans ",IF(H70&lt;=44,"40 - 44 ans ",IF(H70&lt;=49,"45 - 49 ans ",IF(H70&lt;=54,"50 - 54 ans ","&gt;55")))))))</f>
        <v xml:space="preserve">40 - 44 ans </v>
      </c>
      <c r="J70" s="7">
        <v>42858</v>
      </c>
      <c r="K70" s="12">
        <f>DATEDIF(J70,Params!$B$3,"Y")</f>
        <v>9</v>
      </c>
      <c r="L70" s="12" t="str">
        <f>IF(K70&lt;1,"&lt;1 year",IF(K70&lt;=3,"1 - 3 year(s)",IF(K70&lt;=6,"4 - 6 years",IF(K70&lt;=9,"7 - 9 years","&gt;= 10 years"))))</f>
        <v>7 - 9 years</v>
      </c>
      <c r="M70" s="5" t="s">
        <v>91</v>
      </c>
      <c r="N70" s="8" t="s">
        <v>36</v>
      </c>
      <c r="O70" s="8" cm="1">
        <f t="array" ref="O70">IFERROR(VLOOKUP($A70&amp;"Annual",CHOOSE({1,2},leavebalances_base!$E$3:$E$1230&amp;leavebalances_base!$T$3:$T$1230,leavebalances_base!$AC$3:$AC$1230),2,FALSE),"")</f>
        <v>28.249999999999002</v>
      </c>
      <c r="P70" s="8" cm="1">
        <f t="array" ref="P70">IFERROR(VLOOKUP($A70&amp;"Annual",CHOOSE({1,2},leavebalances_base!$E$3:$E$1230&amp;leavebalances_base!$T$3:$T$1230,leavebalances_base!$AD$3:$AD$1230),2,FALSE)/Params!$B$2,"")</f>
        <v>3179.7354637218373</v>
      </c>
      <c r="Q70" s="6">
        <f>IFERROR(VLOOKUP(A70,overtime_base!$J:$L,2,FALSE),0)</f>
        <v>0</v>
      </c>
      <c r="R70" s="6">
        <f>IFERROR(VLOOKUP(A70,overtime_base!$J:$L,3,FALSE)/Params!$B$2,0)</f>
        <v>0</v>
      </c>
    </row>
    <row r="71" spans="1:18" ht="20" x14ac:dyDescent="0.35">
      <c r="A71" s="4" t="s">
        <v>243</v>
      </c>
      <c r="B71" s="5" t="s">
        <v>244</v>
      </c>
      <c r="C71" s="6" t="s">
        <v>20</v>
      </c>
      <c r="D71" s="6" t="s">
        <v>21</v>
      </c>
      <c r="E71" s="5" t="s">
        <v>34</v>
      </c>
      <c r="F71" s="6" t="s">
        <v>35</v>
      </c>
      <c r="G71" s="7">
        <v>26862</v>
      </c>
      <c r="H71" s="12">
        <f>DATEDIF(G71,Params!$B$3,"Y")</f>
        <v>53</v>
      </c>
      <c r="I71" s="12" t="str">
        <f>IF(H71&lt;25,"&lt;25 ans",IF(H71&lt;=29,"25 - 29 ans",IF(H71&lt;=34,"30 - 34 ans ",IF(H71&lt;=39,"35 - 39 ans ",IF(H71&lt;=44,"40 - 44 ans ",IF(H71&lt;=49,"45 - 49 ans ",IF(H71&lt;=54,"50 - 54 ans ","&gt;55")))))))</f>
        <v xml:space="preserve">50 - 54 ans </v>
      </c>
      <c r="J71" s="7">
        <v>43190</v>
      </c>
      <c r="K71" s="12">
        <f>DATEDIF(J71,Params!$B$3,"Y")</f>
        <v>8</v>
      </c>
      <c r="L71" s="12" t="str">
        <f>IF(K71&lt;1,"&lt;1 year",IF(K71&lt;=3,"1 - 3 year(s)",IF(K71&lt;=6,"4 - 6 years",IF(K71&lt;=9,"7 - 9 years","&gt;= 10 years"))))</f>
        <v>7 - 9 years</v>
      </c>
      <c r="M71" s="5" t="s">
        <v>30</v>
      </c>
      <c r="N71" s="8" t="s">
        <v>36</v>
      </c>
      <c r="O71" s="8" cm="1">
        <f t="array" ref="O71">IFERROR(VLOOKUP($A71&amp;"Annual",CHOOSE({1,2},leavebalances_base!$E$3:$E$1230&amp;leavebalances_base!$T$3:$T$1230,leavebalances_base!$AC$3:$AC$1230),2,FALSE),"")</f>
        <v>6.1666666666610004</v>
      </c>
      <c r="P71" s="8" cm="1">
        <f t="array" ref="P71">IFERROR(VLOOKUP($A71&amp;"Annual",CHOOSE({1,2},leavebalances_base!$E$3:$E$1230&amp;leavebalances_base!$T$3:$T$1230,leavebalances_base!$AD$3:$AD$1230),2,FALSE)/Params!$B$2,"")</f>
        <v>192.60463924176776</v>
      </c>
      <c r="Q71" s="6">
        <f>IFERROR(VLOOKUP(A71,overtime_base!$J:$L,2,FALSE),0)</f>
        <v>0</v>
      </c>
      <c r="R71" s="6">
        <f>IFERROR(VLOOKUP(A71,overtime_base!$J:$L,3,FALSE)/Params!$B$2,0)</f>
        <v>0</v>
      </c>
    </row>
    <row r="72" spans="1:18" ht="30" x14ac:dyDescent="0.35">
      <c r="A72" s="4" t="s">
        <v>245</v>
      </c>
      <c r="B72" s="5" t="s">
        <v>246</v>
      </c>
      <c r="C72" s="6" t="s">
        <v>20</v>
      </c>
      <c r="D72" s="6" t="s">
        <v>21</v>
      </c>
      <c r="E72" s="5" t="s">
        <v>168</v>
      </c>
      <c r="F72" s="6" t="s">
        <v>44</v>
      </c>
      <c r="G72" s="7">
        <v>32874</v>
      </c>
      <c r="H72" s="12">
        <f>DATEDIF(G72,Params!$B$3,"Y")</f>
        <v>36</v>
      </c>
      <c r="I72" s="12" t="str">
        <f>IF(H72&lt;25,"&lt;25 ans",IF(H72&lt;=29,"25 - 29 ans",IF(H72&lt;=34,"30 - 34 ans ",IF(H72&lt;=39,"35 - 39 ans ",IF(H72&lt;=44,"40 - 44 ans ",IF(H72&lt;=49,"45 - 49 ans ",IF(H72&lt;=54,"50 - 54 ans ","&gt;55")))))))</f>
        <v xml:space="preserve">35 - 39 ans </v>
      </c>
      <c r="J72" s="7">
        <v>43283</v>
      </c>
      <c r="K72" s="12">
        <f>DATEDIF(J72,Params!$B$3,"Y")</f>
        <v>8</v>
      </c>
      <c r="L72" s="12" t="str">
        <f>IF(K72&lt;1,"&lt;1 year",IF(K72&lt;=3,"1 - 3 year(s)",IF(K72&lt;=6,"4 - 6 years",IF(K72&lt;=9,"7 - 9 years","&gt;= 10 years"))))</f>
        <v>7 - 9 years</v>
      </c>
      <c r="M72" s="5" t="s">
        <v>40</v>
      </c>
      <c r="N72" s="8" t="s">
        <v>36</v>
      </c>
      <c r="O72" s="8" cm="1">
        <f t="array" ref="O72">IFERROR(VLOOKUP($A72&amp;"Annual",CHOOSE({1,2},leavebalances_base!$E$3:$E$1230&amp;leavebalances_base!$T$3:$T$1230,leavebalances_base!$AC$3:$AC$1230),2,FALSE),"")</f>
        <v>19</v>
      </c>
      <c r="P72" s="8" cm="1">
        <f t="array" ref="P72">IFERROR(VLOOKUP($A72&amp;"Annual",CHOOSE({1,2},leavebalances_base!$E$3:$E$1230&amp;leavebalances_base!$T$3:$T$1230,leavebalances_base!$AD$3:$AD$1230),2,FALSE)/Params!$B$2,"")</f>
        <v>1323.4601156455806</v>
      </c>
      <c r="Q72" s="6">
        <f>IFERROR(VLOOKUP(A72,overtime_base!$J:$L,2,FALSE),0)</f>
        <v>0</v>
      </c>
      <c r="R72" s="6">
        <f>IFERROR(VLOOKUP(A72,overtime_base!$J:$L,3,FALSE)/Params!$B$2,0)</f>
        <v>0</v>
      </c>
    </row>
    <row r="73" spans="1:18" ht="30" x14ac:dyDescent="0.35">
      <c r="A73" s="4" t="s">
        <v>247</v>
      </c>
      <c r="B73" s="5" t="s">
        <v>248</v>
      </c>
      <c r="C73" s="6" t="s">
        <v>20</v>
      </c>
      <c r="D73" s="6" t="s">
        <v>21</v>
      </c>
      <c r="E73" s="5" t="s">
        <v>249</v>
      </c>
      <c r="F73" s="6" t="s">
        <v>250</v>
      </c>
      <c r="G73" s="7">
        <v>30077</v>
      </c>
      <c r="H73" s="12">
        <f>DATEDIF(G73,Params!$B$3,"Y")</f>
        <v>44</v>
      </c>
      <c r="I73" s="12" t="str">
        <f>IF(H73&lt;25,"&lt;25 ans",IF(H73&lt;=29,"25 - 29 ans",IF(H73&lt;=34,"30 - 34 ans ",IF(H73&lt;=39,"35 - 39 ans ",IF(H73&lt;=44,"40 - 44 ans ",IF(H73&lt;=49,"45 - 49 ans ",IF(H73&lt;=54,"50 - 54 ans ","&gt;55")))))))</f>
        <v xml:space="preserve">40 - 44 ans </v>
      </c>
      <c r="J73" s="7">
        <v>43313</v>
      </c>
      <c r="K73" s="12">
        <f>DATEDIF(J73,Params!$B$3,"Y")</f>
        <v>7</v>
      </c>
      <c r="L73" s="12" t="str">
        <f>IF(K73&lt;1,"&lt;1 year",IF(K73&lt;=3,"1 - 3 year(s)",IF(K73&lt;=6,"4 - 6 years",IF(K73&lt;=9,"7 - 9 years","&gt;= 10 years"))))</f>
        <v>7 - 9 years</v>
      </c>
      <c r="M73" s="5" t="s">
        <v>91</v>
      </c>
      <c r="N73" s="8" t="s">
        <v>36</v>
      </c>
      <c r="O73" s="8" cm="1">
        <f t="array" ref="O73">IFERROR(VLOOKUP($A73&amp;"Annual",CHOOSE({1,2},leavebalances_base!$E$3:$E$1230&amp;leavebalances_base!$T$3:$T$1230,leavebalances_base!$AC$3:$AC$1230),2,FALSE),"")</f>
        <v>27.833333333336</v>
      </c>
      <c r="P73" s="8" cm="1">
        <f t="array" ref="P73">IFERROR(VLOOKUP($A73&amp;"Annual",CHOOSE({1,2},leavebalances_base!$E$3:$E$1230&amp;leavebalances_base!$T$3:$T$1230,leavebalances_base!$AD$3:$AD$1230),2,FALSE)/Params!$B$2,"")</f>
        <v>17843.463542833622</v>
      </c>
      <c r="Q73" s="6">
        <f>IFERROR(VLOOKUP(A73,overtime_base!$J:$L,2,FALSE),0)</f>
        <v>0</v>
      </c>
      <c r="R73" s="6">
        <f>IFERROR(VLOOKUP(A73,overtime_base!$J:$L,3,FALSE)/Params!$B$2,0)</f>
        <v>0</v>
      </c>
    </row>
    <row r="74" spans="1:18" ht="40" x14ac:dyDescent="0.35">
      <c r="A74" s="4" t="s">
        <v>251</v>
      </c>
      <c r="B74" s="5" t="s">
        <v>252</v>
      </c>
      <c r="C74" s="6" t="s">
        <v>20</v>
      </c>
      <c r="D74" s="6" t="s">
        <v>21</v>
      </c>
      <c r="E74" s="5" t="s">
        <v>253</v>
      </c>
      <c r="F74" s="6" t="s">
        <v>57</v>
      </c>
      <c r="G74" s="7">
        <v>31303</v>
      </c>
      <c r="H74" s="12">
        <f>DATEDIF(G74,Params!$B$3,"Y")</f>
        <v>40</v>
      </c>
      <c r="I74" s="12" t="str">
        <f>IF(H74&lt;25,"&lt;25 ans",IF(H74&lt;=29,"25 - 29 ans",IF(H74&lt;=34,"30 - 34 ans ",IF(H74&lt;=39,"35 - 39 ans ",IF(H74&lt;=44,"40 - 44 ans ",IF(H74&lt;=49,"45 - 49 ans ",IF(H74&lt;=54,"50 - 54 ans ","&gt;55")))))))</f>
        <v xml:space="preserve">40 - 44 ans </v>
      </c>
      <c r="J74" s="7">
        <v>43374</v>
      </c>
      <c r="K74" s="12">
        <f>DATEDIF(J74,Params!$B$3,"Y")</f>
        <v>7</v>
      </c>
      <c r="L74" s="12" t="str">
        <f>IF(K74&lt;1,"&lt;1 year",IF(K74&lt;=3,"1 - 3 year(s)",IF(K74&lt;=6,"4 - 6 years",IF(K74&lt;=9,"7 - 9 years","&gt;= 10 years"))))</f>
        <v>7 - 9 years</v>
      </c>
      <c r="M74" s="5" t="s">
        <v>254</v>
      </c>
      <c r="N74" s="8" t="s">
        <v>31</v>
      </c>
      <c r="O74" s="8" cm="1">
        <f t="array" ref="O74">IFERROR(VLOOKUP($A74&amp;"Annual",CHOOSE({1,2},leavebalances_base!$E$3:$E$1230&amp;leavebalances_base!$T$3:$T$1230,leavebalances_base!$AC$3:$AC$1230),2,FALSE),"")</f>
        <v>5.2600000000030001</v>
      </c>
      <c r="P74" s="8" cm="1">
        <f t="array" ref="P74">IFERROR(VLOOKUP($A74&amp;"Annual",CHOOSE({1,2},leavebalances_base!$E$3:$E$1230&amp;leavebalances_base!$T$3:$T$1230,leavebalances_base!$AD$3:$AD$1230),2,FALSE)/Params!$B$2,"")</f>
        <v>761.00830272530322</v>
      </c>
      <c r="Q74" s="6">
        <f>IFERROR(VLOOKUP(A74,overtime_base!$J:$L,2,FALSE),0)</f>
        <v>0</v>
      </c>
      <c r="R74" s="6">
        <f>IFERROR(VLOOKUP(A74,overtime_base!$J:$L,3,FALSE)/Params!$B$2,0)</f>
        <v>0</v>
      </c>
    </row>
    <row r="75" spans="1:18" ht="50" x14ac:dyDescent="0.35">
      <c r="A75" s="4" t="s">
        <v>255</v>
      </c>
      <c r="B75" s="5" t="s">
        <v>256</v>
      </c>
      <c r="C75" s="6" t="s">
        <v>20</v>
      </c>
      <c r="D75" s="6" t="s">
        <v>21</v>
      </c>
      <c r="E75" s="5" t="s">
        <v>257</v>
      </c>
      <c r="F75" s="6" t="s">
        <v>29</v>
      </c>
      <c r="G75" s="7">
        <v>30898</v>
      </c>
      <c r="H75" s="12">
        <f>DATEDIF(G75,Params!$B$3,"Y")</f>
        <v>41</v>
      </c>
      <c r="I75" s="12" t="str">
        <f>IF(H75&lt;25,"&lt;25 ans",IF(H75&lt;=29,"25 - 29 ans",IF(H75&lt;=34,"30 - 34 ans ",IF(H75&lt;=39,"35 - 39 ans ",IF(H75&lt;=44,"40 - 44 ans ",IF(H75&lt;=49,"45 - 49 ans ",IF(H75&lt;=54,"50 - 54 ans ","&gt;55")))))))</f>
        <v xml:space="preserve">40 - 44 ans </v>
      </c>
      <c r="J75" s="7">
        <v>43360</v>
      </c>
      <c r="K75" s="12">
        <f>DATEDIF(J75,Params!$B$3,"Y")</f>
        <v>7</v>
      </c>
      <c r="L75" s="12" t="str">
        <f>IF(K75&lt;1,"&lt;1 year",IF(K75&lt;=3,"1 - 3 year(s)",IF(K75&lt;=6,"4 - 6 years",IF(K75&lt;=9,"7 - 9 years","&gt;= 10 years"))))</f>
        <v>7 - 9 years</v>
      </c>
      <c r="M75" s="5" t="s">
        <v>40</v>
      </c>
      <c r="N75" s="8" t="s">
        <v>36</v>
      </c>
      <c r="O75" s="8" cm="1">
        <f t="array" ref="O75">IFERROR(VLOOKUP($A75&amp;"Annual",CHOOSE({1,2},leavebalances_base!$E$3:$E$1230&amp;leavebalances_base!$T$3:$T$1230,leavebalances_base!$AC$3:$AC$1230),2,FALSE),"")</f>
        <v>7.5833333333389996</v>
      </c>
      <c r="P75" s="8" cm="1">
        <f t="array" ref="P75">IFERROR(VLOOKUP($A75&amp;"Annual",CHOOSE({1,2},leavebalances_base!$E$3:$E$1230&amp;leavebalances_base!$T$3:$T$1230,leavebalances_base!$AD$3:$AD$1230),2,FALSE)/Params!$B$2,"")</f>
        <v>861.08396916377819</v>
      </c>
      <c r="Q75" s="6">
        <f>IFERROR(VLOOKUP(A75,overtime_base!$J:$L,2,FALSE),0)</f>
        <v>0</v>
      </c>
      <c r="R75" s="6">
        <f>IFERROR(VLOOKUP(A75,overtime_base!$J:$L,3,FALSE)/Params!$B$2,0)</f>
        <v>0</v>
      </c>
    </row>
    <row r="76" spans="1:18" ht="40" x14ac:dyDescent="0.35">
      <c r="A76" s="4" t="s">
        <v>258</v>
      </c>
      <c r="B76" s="5" t="s">
        <v>259</v>
      </c>
      <c r="C76" s="6" t="s">
        <v>20</v>
      </c>
      <c r="D76" s="6" t="s">
        <v>21</v>
      </c>
      <c r="E76" s="5" t="s">
        <v>201</v>
      </c>
      <c r="F76" s="6" t="s">
        <v>57</v>
      </c>
      <c r="G76" s="7">
        <v>32435</v>
      </c>
      <c r="H76" s="12">
        <f>DATEDIF(G76,Params!$B$3,"Y")</f>
        <v>37</v>
      </c>
      <c r="I76" s="12" t="str">
        <f>IF(H76&lt;25,"&lt;25 ans",IF(H76&lt;=29,"25 - 29 ans",IF(H76&lt;=34,"30 - 34 ans ",IF(H76&lt;=39,"35 - 39 ans ",IF(H76&lt;=44,"40 - 44 ans ",IF(H76&lt;=49,"45 - 49 ans ",IF(H76&lt;=54,"50 - 54 ans ","&gt;55")))))))</f>
        <v xml:space="preserve">35 - 39 ans </v>
      </c>
      <c r="J76" s="7">
        <v>43570</v>
      </c>
      <c r="K76" s="12">
        <f>DATEDIF(J76,Params!$B$3,"Y")</f>
        <v>7</v>
      </c>
      <c r="L76" s="12" t="str">
        <f>IF(K76&lt;1,"&lt;1 year",IF(K76&lt;=3,"1 - 3 year(s)",IF(K76&lt;=6,"4 - 6 years",IF(K76&lt;=9,"7 - 9 years","&gt;= 10 years"))))</f>
        <v>7 - 9 years</v>
      </c>
      <c r="M76" s="5" t="s">
        <v>40</v>
      </c>
      <c r="N76" s="8" t="s">
        <v>36</v>
      </c>
      <c r="O76" s="8" cm="1">
        <f t="array" ref="O76">IFERROR(VLOOKUP($A76&amp;"Annual",CHOOSE({1,2},leavebalances_base!$E$3:$E$1230&amp;leavebalances_base!$T$3:$T$1230,leavebalances_base!$AC$3:$AC$1230),2,FALSE),"")</f>
        <v>10.166666666668</v>
      </c>
      <c r="P76" s="8" cm="1">
        <f t="array" ref="P76">IFERROR(VLOOKUP($A76&amp;"Annual",CHOOSE({1,2},leavebalances_base!$E$3:$E$1230&amp;leavebalances_base!$T$3:$T$1230,leavebalances_base!$AD$3:$AD$1230),2,FALSE)/Params!$B$2,"")</f>
        <v>1654.7189647487</v>
      </c>
      <c r="Q76" s="6">
        <f>IFERROR(VLOOKUP(A76,overtime_base!$J:$L,2,FALSE),0)</f>
        <v>0</v>
      </c>
      <c r="R76" s="6">
        <f>IFERROR(VLOOKUP(A76,overtime_base!$J:$L,3,FALSE)/Params!$B$2,0)</f>
        <v>0</v>
      </c>
    </row>
    <row r="77" spans="1:18" ht="20" x14ac:dyDescent="0.35">
      <c r="A77" s="4" t="s">
        <v>260</v>
      </c>
      <c r="B77" s="5" t="s">
        <v>261</v>
      </c>
      <c r="C77" s="6" t="s">
        <v>20</v>
      </c>
      <c r="D77" s="6" t="s">
        <v>21</v>
      </c>
      <c r="E77" s="5" t="s">
        <v>262</v>
      </c>
      <c r="F77" s="6" t="s">
        <v>29</v>
      </c>
      <c r="G77" s="7">
        <v>33329</v>
      </c>
      <c r="H77" s="12">
        <f>DATEDIF(G77,Params!$B$3,"Y")</f>
        <v>35</v>
      </c>
      <c r="I77" s="12" t="str">
        <f>IF(H77&lt;25,"&lt;25 ans",IF(H77&lt;=29,"25 - 29 ans",IF(H77&lt;=34,"30 - 34 ans ",IF(H77&lt;=39,"35 - 39 ans ",IF(H77&lt;=44,"40 - 44 ans ",IF(H77&lt;=49,"45 - 49 ans ",IF(H77&lt;=54,"50 - 54 ans ","&gt;55")))))))</f>
        <v xml:space="preserve">35 - 39 ans </v>
      </c>
      <c r="J77" s="7">
        <v>43647</v>
      </c>
      <c r="K77" s="12">
        <f>DATEDIF(J77,Params!$B$3,"Y")</f>
        <v>7</v>
      </c>
      <c r="L77" s="12" t="str">
        <f>IF(K77&lt;1,"&lt;1 year",IF(K77&lt;=3,"1 - 3 year(s)",IF(K77&lt;=6,"4 - 6 years",IF(K77&lt;=9,"7 - 9 years","&gt;= 10 years"))))</f>
        <v>7 - 9 years</v>
      </c>
      <c r="M77" s="5" t="s">
        <v>91</v>
      </c>
      <c r="N77" s="8" t="s">
        <v>36</v>
      </c>
      <c r="O77" s="8" cm="1">
        <f t="array" ref="O77">IFERROR(VLOOKUP($A77&amp;"Annual",CHOOSE({1,2},leavebalances_base!$E$3:$E$1230&amp;leavebalances_base!$T$3:$T$1230,leavebalances_base!$AC$3:$AC$1230),2,FALSE),"")</f>
        <v>22</v>
      </c>
      <c r="P77" s="8" cm="1">
        <f t="array" ref="P77">IFERROR(VLOOKUP($A77&amp;"Annual",CHOOSE({1,2},leavebalances_base!$E$3:$E$1230&amp;leavebalances_base!$T$3:$T$1230,leavebalances_base!$AD$3:$AD$1230),2,FALSE)/Params!$B$2,"")</f>
        <v>2519.5348696793762</v>
      </c>
      <c r="Q77" s="6">
        <f>IFERROR(VLOOKUP(A77,overtime_base!$J:$L,2,FALSE),0)</f>
        <v>0</v>
      </c>
      <c r="R77" s="6">
        <f>IFERROR(VLOOKUP(A77,overtime_base!$J:$L,3,FALSE)/Params!$B$2,0)</f>
        <v>0</v>
      </c>
    </row>
    <row r="78" spans="1:18" ht="30" x14ac:dyDescent="0.35">
      <c r="A78" s="4" t="s">
        <v>263</v>
      </c>
      <c r="B78" s="5" t="s">
        <v>264</v>
      </c>
      <c r="C78" s="6" t="s">
        <v>48</v>
      </c>
      <c r="D78" s="6" t="s">
        <v>21</v>
      </c>
      <c r="E78" s="5" t="s">
        <v>265</v>
      </c>
      <c r="F78" s="6" t="s">
        <v>44</v>
      </c>
      <c r="G78" s="7">
        <v>34084</v>
      </c>
      <c r="H78" s="12">
        <f>DATEDIF(G78,Params!$B$3,"Y")</f>
        <v>33</v>
      </c>
      <c r="I78" s="12" t="str">
        <f>IF(H78&lt;25,"&lt;25 ans",IF(H78&lt;=29,"25 - 29 ans",IF(H78&lt;=34,"30 - 34 ans ",IF(H78&lt;=39,"35 - 39 ans ",IF(H78&lt;=44,"40 - 44 ans ",IF(H78&lt;=49,"45 - 49 ans ",IF(H78&lt;=54,"50 - 54 ans ","&gt;55")))))))</f>
        <v xml:space="preserve">30 - 34 ans </v>
      </c>
      <c r="J78" s="7">
        <v>43711</v>
      </c>
      <c r="K78" s="12">
        <f>DATEDIF(J78,Params!$B$3,"Y")</f>
        <v>6</v>
      </c>
      <c r="L78" s="12" t="str">
        <f>IF(K78&lt;1,"&lt;1 year",IF(K78&lt;=3,"1 - 3 year(s)",IF(K78&lt;=6,"4 - 6 years",IF(K78&lt;=9,"7 - 9 years","&gt;= 10 years"))))</f>
        <v>4 - 6 years</v>
      </c>
      <c r="M78" s="5" t="s">
        <v>40</v>
      </c>
      <c r="N78" s="8" t="s">
        <v>31</v>
      </c>
      <c r="O78" s="8" cm="1">
        <f t="array" ref="O78">IFERROR(VLOOKUP($A78&amp;"Annual",CHOOSE({1,2},leavebalances_base!$E$3:$E$1230&amp;leavebalances_base!$T$3:$T$1230,leavebalances_base!$AC$3:$AC$1230),2,FALSE),"")</f>
        <v>23</v>
      </c>
      <c r="P78" s="8" cm="1">
        <f t="array" ref="P78">IFERROR(VLOOKUP($A78&amp;"Annual",CHOOSE({1,2},leavebalances_base!$E$3:$E$1230&amp;leavebalances_base!$T$3:$T$1230,leavebalances_base!$AD$3:$AD$1230),2,FALSE)/Params!$B$2,"")</f>
        <v>1532.9871093847487</v>
      </c>
      <c r="Q78" s="6">
        <f>IFERROR(VLOOKUP(A78,overtime_base!$J:$L,2,FALSE),0)</f>
        <v>0</v>
      </c>
      <c r="R78" s="6">
        <f>IFERROR(VLOOKUP(A78,overtime_base!$J:$L,3,FALSE)/Params!$B$2,0)</f>
        <v>0</v>
      </c>
    </row>
    <row r="79" spans="1:18" ht="30" x14ac:dyDescent="0.35">
      <c r="A79" s="4" t="s">
        <v>266</v>
      </c>
      <c r="B79" s="5" t="s">
        <v>267</v>
      </c>
      <c r="C79" s="6" t="s">
        <v>20</v>
      </c>
      <c r="D79" s="6" t="s">
        <v>21</v>
      </c>
      <c r="E79" s="5" t="s">
        <v>268</v>
      </c>
      <c r="F79" s="6" t="s">
        <v>44</v>
      </c>
      <c r="G79" s="7">
        <v>32229</v>
      </c>
      <c r="H79" s="12">
        <f>DATEDIF(G79,Params!$B$3,"Y")</f>
        <v>38</v>
      </c>
      <c r="I79" s="12" t="str">
        <f>IF(H79&lt;25,"&lt;25 ans",IF(H79&lt;=29,"25 - 29 ans",IF(H79&lt;=34,"30 - 34 ans ",IF(H79&lt;=39,"35 - 39 ans ",IF(H79&lt;=44,"40 - 44 ans ",IF(H79&lt;=49,"45 - 49 ans ",IF(H79&lt;=54,"50 - 54 ans ","&gt;55")))))))</f>
        <v xml:space="preserve">35 - 39 ans </v>
      </c>
      <c r="J79" s="7">
        <v>43748</v>
      </c>
      <c r="K79" s="12">
        <f>DATEDIF(J79,Params!$B$3,"Y")</f>
        <v>6</v>
      </c>
      <c r="L79" s="12" t="str">
        <f>IF(K79&lt;1,"&lt;1 year",IF(K79&lt;=3,"1 - 3 year(s)",IF(K79&lt;=6,"4 - 6 years",IF(K79&lt;=9,"7 - 9 years","&gt;= 10 years"))))</f>
        <v>4 - 6 years</v>
      </c>
      <c r="M79" s="5" t="s">
        <v>40</v>
      </c>
      <c r="N79" s="8" t="s">
        <v>36</v>
      </c>
      <c r="O79" s="8" cm="1">
        <f t="array" ref="O79">IFERROR(VLOOKUP($A79&amp;"Annual",CHOOSE({1,2},leavebalances_base!$E$3:$E$1230&amp;leavebalances_base!$T$3:$T$1230,leavebalances_base!$AC$3:$AC$1230),2,FALSE),"")</f>
        <v>23.250000000004</v>
      </c>
      <c r="P79" s="8" cm="1">
        <f t="array" ref="P79">IFERROR(VLOOKUP($A79&amp;"Annual",CHOOSE({1,2},leavebalances_base!$E$3:$E$1230&amp;leavebalances_base!$T$3:$T$1230,leavebalances_base!$AD$3:$AD$1230),2,FALSE)/Params!$B$2,"")</f>
        <v>1581.8354819714039</v>
      </c>
      <c r="Q79" s="6">
        <f>IFERROR(VLOOKUP(A79,overtime_base!$J:$L,2,FALSE),0)</f>
        <v>0</v>
      </c>
      <c r="R79" s="6">
        <f>IFERROR(VLOOKUP(A79,overtime_base!$J:$L,3,FALSE)/Params!$B$2,0)</f>
        <v>0</v>
      </c>
    </row>
    <row r="80" spans="1:18" ht="40" x14ac:dyDescent="0.35">
      <c r="A80" s="4" t="s">
        <v>269</v>
      </c>
      <c r="B80" s="5" t="s">
        <v>270</v>
      </c>
      <c r="C80" s="6" t="s">
        <v>20</v>
      </c>
      <c r="D80" s="6" t="s">
        <v>68</v>
      </c>
      <c r="E80" s="5" t="s">
        <v>271</v>
      </c>
      <c r="F80" s="6" t="s">
        <v>65</v>
      </c>
      <c r="G80" s="7">
        <v>27164</v>
      </c>
      <c r="H80" s="12">
        <f>DATEDIF(G80,Params!$B$3,"Y")</f>
        <v>52</v>
      </c>
      <c r="I80" s="12" t="str">
        <f>IF(H80&lt;25,"&lt;25 ans",IF(H80&lt;=29,"25 - 29 ans",IF(H80&lt;=34,"30 - 34 ans ",IF(H80&lt;=39,"35 - 39 ans ",IF(H80&lt;=44,"40 - 44 ans ",IF(H80&lt;=49,"45 - 49 ans ",IF(H80&lt;=54,"50 - 54 ans ","&gt;55")))))))</f>
        <v xml:space="preserve">50 - 54 ans </v>
      </c>
      <c r="J80" s="7">
        <v>43831</v>
      </c>
      <c r="K80" s="12">
        <f>DATEDIF(J80,Params!$B$3,"Y")</f>
        <v>6</v>
      </c>
      <c r="L80" s="12" t="str">
        <f>IF(K80&lt;1,"&lt;1 year",IF(K80&lt;=3,"1 - 3 year(s)",IF(K80&lt;=6,"4 - 6 years",IF(K80&lt;=9,"7 - 9 years","&gt;= 10 years"))))</f>
        <v>4 - 6 years</v>
      </c>
      <c r="M80" s="5" t="s">
        <v>272</v>
      </c>
      <c r="N80" s="8" t="s">
        <v>36</v>
      </c>
      <c r="O80" s="8" cm="1">
        <f t="array" ref="O80">IFERROR(VLOOKUP($A80&amp;"Annual",CHOOSE({1,2},leavebalances_base!$E$3:$E$1230&amp;leavebalances_base!$T$3:$T$1230,leavebalances_base!$AC$3:$AC$1230),2,FALSE),"")</f>
        <v>33</v>
      </c>
      <c r="P80" s="8" cm="1">
        <f t="array" ref="P80">IFERROR(VLOOKUP($A80&amp;"Annual",CHOOSE({1,2},leavebalances_base!$E$3:$E$1230&amp;leavebalances_base!$T$3:$T$1230,leavebalances_base!$AD$3:$AD$1230),2,FALSE)/Params!$B$2,"")</f>
        <v>3285.1150686568458</v>
      </c>
      <c r="Q80" s="6">
        <f>IFERROR(VLOOKUP(A80,overtime_base!$J:$L,2,FALSE),0)</f>
        <v>0</v>
      </c>
      <c r="R80" s="6">
        <f>IFERROR(VLOOKUP(A80,overtime_base!$J:$L,3,FALSE)/Params!$B$2,0)</f>
        <v>0</v>
      </c>
    </row>
    <row r="81" spans="1:18" ht="40" x14ac:dyDescent="0.35">
      <c r="A81" s="4" t="s">
        <v>273</v>
      </c>
      <c r="B81" s="5" t="s">
        <v>274</v>
      </c>
      <c r="C81" s="6" t="s">
        <v>20</v>
      </c>
      <c r="D81" s="6" t="s">
        <v>68</v>
      </c>
      <c r="E81" s="5" t="s">
        <v>275</v>
      </c>
      <c r="F81" s="6" t="s">
        <v>44</v>
      </c>
      <c r="G81" s="7">
        <v>24105</v>
      </c>
      <c r="H81" s="12">
        <f>DATEDIF(G81,Params!$B$3,"Y")</f>
        <v>60</v>
      </c>
      <c r="I81" s="12" t="str">
        <f>IF(H81&lt;25,"&lt;25 ans",IF(H81&lt;=29,"25 - 29 ans",IF(H81&lt;=34,"30 - 34 ans ",IF(H81&lt;=39,"35 - 39 ans ",IF(H81&lt;=44,"40 - 44 ans ",IF(H81&lt;=49,"45 - 49 ans ",IF(H81&lt;=54,"50 - 54 ans ","&gt;55")))))))</f>
        <v>&gt;55</v>
      </c>
      <c r="J81" s="7">
        <v>44048</v>
      </c>
      <c r="K81" s="12">
        <f>DATEDIF(J81,Params!$B$3,"Y")</f>
        <v>5</v>
      </c>
      <c r="L81" s="12" t="str">
        <f>IF(K81&lt;1,"&lt;1 year",IF(K81&lt;=3,"1 - 3 year(s)",IF(K81&lt;=6,"4 - 6 years",IF(K81&lt;=9,"7 - 9 years","&gt;= 10 years"))))</f>
        <v>4 - 6 years</v>
      </c>
      <c r="M81" s="5" t="s">
        <v>40</v>
      </c>
      <c r="N81" s="8" t="s">
        <v>31</v>
      </c>
      <c r="O81" s="8" cm="1">
        <f t="array" ref="O81">IFERROR(VLOOKUP($A81&amp;"Annual",CHOOSE({1,2},leavebalances_base!$E$3:$E$1230&amp;leavebalances_base!$T$3:$T$1230,leavebalances_base!$AC$3:$AC$1230),2,FALSE),"")</f>
        <v>11.333333333343999</v>
      </c>
      <c r="P81" s="8" cm="1">
        <f t="array" ref="P81">IFERROR(VLOOKUP($A81&amp;"Annual",CHOOSE({1,2},leavebalances_base!$E$3:$E$1230&amp;leavebalances_base!$T$3:$T$1230,leavebalances_base!$AD$3:$AD$1230),2,FALSE)/Params!$B$2,"")</f>
        <v>992.36447273396868</v>
      </c>
      <c r="Q81" s="6">
        <f>IFERROR(VLOOKUP(A81,overtime_base!$J:$L,2,FALSE),0)</f>
        <v>0</v>
      </c>
      <c r="R81" s="6">
        <f>IFERROR(VLOOKUP(A81,overtime_base!$J:$L,3,FALSE)/Params!$B$2,0)</f>
        <v>0</v>
      </c>
    </row>
    <row r="82" spans="1:18" ht="40" x14ac:dyDescent="0.35">
      <c r="A82" s="4" t="s">
        <v>276</v>
      </c>
      <c r="B82" s="5" t="s">
        <v>277</v>
      </c>
      <c r="C82" s="6" t="s">
        <v>20</v>
      </c>
      <c r="D82" s="6" t="s">
        <v>68</v>
      </c>
      <c r="E82" s="5" t="s">
        <v>144</v>
      </c>
      <c r="F82" s="6" t="s">
        <v>145</v>
      </c>
      <c r="G82" s="7">
        <v>32111</v>
      </c>
      <c r="H82" s="12">
        <f>DATEDIF(G82,Params!$B$3,"Y")</f>
        <v>38</v>
      </c>
      <c r="I82" s="12" t="str">
        <f>IF(H82&lt;25,"&lt;25 ans",IF(H82&lt;=29,"25 - 29 ans",IF(H82&lt;=34,"30 - 34 ans ",IF(H82&lt;=39,"35 - 39 ans ",IF(H82&lt;=44,"40 - 44 ans ",IF(H82&lt;=49,"45 - 49 ans ",IF(H82&lt;=54,"50 - 54 ans ","&gt;55")))))))</f>
        <v xml:space="preserve">35 - 39 ans </v>
      </c>
      <c r="J82" s="7">
        <v>44059</v>
      </c>
      <c r="K82" s="12">
        <f>DATEDIF(J82,Params!$B$3,"Y")</f>
        <v>5</v>
      </c>
      <c r="L82" s="12" t="str">
        <f>IF(K82&lt;1,"&lt;1 year",IF(K82&lt;=3,"1 - 3 year(s)",IF(K82&lt;=6,"4 - 6 years",IF(K82&lt;=9,"7 - 9 years","&gt;= 10 years"))))</f>
        <v>4 - 6 years</v>
      </c>
      <c r="M82" s="5" t="s">
        <v>24</v>
      </c>
      <c r="N82" s="8" t="s">
        <v>31</v>
      </c>
      <c r="O82" s="8" cm="1">
        <f t="array" ref="O82">IFERROR(VLOOKUP($A82&amp;"Annual",CHOOSE({1,2},leavebalances_base!$E$3:$E$1230&amp;leavebalances_base!$T$3:$T$1230,leavebalances_base!$AC$3:$AC$1230),2,FALSE),"")</f>
        <v>14.833333333343999</v>
      </c>
      <c r="P82" s="8" cm="1">
        <f t="array" ref="P82">IFERROR(VLOOKUP($A82&amp;"Annual",CHOOSE({1,2},leavebalances_base!$E$3:$E$1230&amp;leavebalances_base!$T$3:$T$1230,leavebalances_base!$AD$3:$AD$1230),2,FALSE)/Params!$B$2,"")</f>
        <v>957.4446117157712</v>
      </c>
      <c r="Q82" s="6">
        <f>IFERROR(VLOOKUP(A82,overtime_base!$J:$L,2,FALSE),0)</f>
        <v>2.58</v>
      </c>
      <c r="R82" s="6">
        <f>IFERROR(VLOOKUP(A82,overtime_base!$J:$L,3,FALSE)/Params!$B$2,0)</f>
        <v>21.264341421143847</v>
      </c>
    </row>
    <row r="83" spans="1:18" ht="40" x14ac:dyDescent="0.35">
      <c r="A83" s="4" t="s">
        <v>278</v>
      </c>
      <c r="B83" s="5" t="s">
        <v>279</v>
      </c>
      <c r="C83" s="6" t="s">
        <v>20</v>
      </c>
      <c r="D83" s="6" t="s">
        <v>68</v>
      </c>
      <c r="E83" s="5" t="s">
        <v>280</v>
      </c>
      <c r="F83" s="6" t="s">
        <v>44</v>
      </c>
      <c r="G83" s="7">
        <v>28872</v>
      </c>
      <c r="H83" s="12">
        <f>DATEDIF(G83,Params!$B$3,"Y")</f>
        <v>47</v>
      </c>
      <c r="I83" s="12" t="str">
        <f>IF(H83&lt;25,"&lt;25 ans",IF(H83&lt;=29,"25 - 29 ans",IF(H83&lt;=34,"30 - 34 ans ",IF(H83&lt;=39,"35 - 39 ans ",IF(H83&lt;=44,"40 - 44 ans ",IF(H83&lt;=49,"45 - 49 ans ",IF(H83&lt;=54,"50 - 54 ans ","&gt;55")))))))</f>
        <v xml:space="preserve">45 - 49 ans </v>
      </c>
      <c r="J83" s="7">
        <v>44105</v>
      </c>
      <c r="K83" s="12">
        <f>DATEDIF(J83,Params!$B$3,"Y")</f>
        <v>5</v>
      </c>
      <c r="L83" s="12" t="str">
        <f>IF(K83&lt;1,"&lt;1 year",IF(K83&lt;=3,"1 - 3 year(s)",IF(K83&lt;=6,"4 - 6 years",IF(K83&lt;=9,"7 - 9 years","&gt;= 10 years"))))</f>
        <v>4 - 6 years</v>
      </c>
      <c r="M83" s="5" t="s">
        <v>30</v>
      </c>
      <c r="N83" s="8" t="s">
        <v>36</v>
      </c>
      <c r="O83" s="8" cm="1">
        <f t="array" ref="O83">IFERROR(VLOOKUP($A83&amp;"Annual",CHOOSE({1,2},leavebalances_base!$E$3:$E$1230&amp;leavebalances_base!$T$3:$T$1230,leavebalances_base!$AC$3:$AC$1230),2,FALSE),"")</f>
        <v>27.666666666668</v>
      </c>
      <c r="P83" s="8" cm="1">
        <f t="array" ref="P83">IFERROR(VLOOKUP($A83&amp;"Annual",CHOOSE({1,2},leavebalances_base!$E$3:$E$1230&amp;leavebalances_base!$T$3:$T$1230,leavebalances_base!$AD$3:$AD$1230),2,FALSE)/Params!$B$2,"")</f>
        <v>1996.53797787695</v>
      </c>
      <c r="Q83" s="6">
        <f>IFERROR(VLOOKUP(A83,overtime_base!$J:$L,2,FALSE),0)</f>
        <v>0</v>
      </c>
      <c r="R83" s="6">
        <f>IFERROR(VLOOKUP(A83,overtime_base!$J:$L,3,FALSE)/Params!$B$2,0)</f>
        <v>0</v>
      </c>
    </row>
    <row r="84" spans="1:18" ht="40" x14ac:dyDescent="0.35">
      <c r="A84" s="4" t="s">
        <v>281</v>
      </c>
      <c r="B84" s="5" t="s">
        <v>282</v>
      </c>
      <c r="C84" s="6" t="s">
        <v>20</v>
      </c>
      <c r="D84" s="6" t="s">
        <v>68</v>
      </c>
      <c r="E84" s="5" t="s">
        <v>34</v>
      </c>
      <c r="F84" s="6" t="s">
        <v>35</v>
      </c>
      <c r="G84" s="7">
        <v>28062</v>
      </c>
      <c r="H84" s="12">
        <f>DATEDIF(G84,Params!$B$3,"Y")</f>
        <v>49</v>
      </c>
      <c r="I84" s="12" t="str">
        <f>IF(H84&lt;25,"&lt;25 ans",IF(H84&lt;=29,"25 - 29 ans",IF(H84&lt;=34,"30 - 34 ans ",IF(H84&lt;=39,"35 - 39 ans ",IF(H84&lt;=44,"40 - 44 ans ",IF(H84&lt;=49,"45 - 49 ans ",IF(H84&lt;=54,"50 - 54 ans ","&gt;55")))))))</f>
        <v xml:space="preserve">45 - 49 ans </v>
      </c>
      <c r="J84" s="7">
        <v>44105</v>
      </c>
      <c r="K84" s="12">
        <f>DATEDIF(J84,Params!$B$3,"Y")</f>
        <v>5</v>
      </c>
      <c r="L84" s="12" t="str">
        <f>IF(K84&lt;1,"&lt;1 year",IF(K84&lt;=3,"1 - 3 year(s)",IF(K84&lt;=6,"4 - 6 years",IF(K84&lt;=9,"7 - 9 years","&gt;= 10 years"))))</f>
        <v>4 - 6 years</v>
      </c>
      <c r="M84" s="5" t="s">
        <v>30</v>
      </c>
      <c r="N84" s="8" t="s">
        <v>36</v>
      </c>
      <c r="O84" s="8" cm="1">
        <f t="array" ref="O84">IFERROR(VLOOKUP($A84&amp;"Annual",CHOOSE({1,2},leavebalances_base!$E$3:$E$1230&amp;leavebalances_base!$T$3:$T$1230,leavebalances_base!$AC$3:$AC$1230),2,FALSE),"")</f>
        <v>26.000000000002</v>
      </c>
      <c r="P84" s="8" cm="1">
        <f t="array" ref="P84">IFERROR(VLOOKUP($A84&amp;"Annual",CHOOSE({1,2},leavebalances_base!$E$3:$E$1230&amp;leavebalances_base!$T$3:$T$1230,leavebalances_base!$AD$3:$AD$1230),2,FALSE)/Params!$B$2,"")</f>
        <v>810.4513041594455</v>
      </c>
      <c r="Q84" s="6">
        <f>IFERROR(VLOOKUP(A84,overtime_base!$J:$L,2,FALSE),0)</f>
        <v>0</v>
      </c>
      <c r="R84" s="6">
        <f>IFERROR(VLOOKUP(A84,overtime_base!$J:$L,3,FALSE)/Params!$B$2,0)</f>
        <v>0</v>
      </c>
    </row>
    <row r="85" spans="1:18" ht="40" x14ac:dyDescent="0.35">
      <c r="A85" s="4" t="s">
        <v>283</v>
      </c>
      <c r="B85" s="5" t="s">
        <v>284</v>
      </c>
      <c r="C85" s="6" t="s">
        <v>20</v>
      </c>
      <c r="D85" s="6" t="s">
        <v>68</v>
      </c>
      <c r="E85" s="5" t="s">
        <v>285</v>
      </c>
      <c r="F85" s="6" t="s">
        <v>23</v>
      </c>
      <c r="G85" s="7">
        <v>30120</v>
      </c>
      <c r="H85" s="12">
        <f>DATEDIF(G85,Params!$B$3,"Y")</f>
        <v>44</v>
      </c>
      <c r="I85" s="12" t="str">
        <f>IF(H85&lt;25,"&lt;25 ans",IF(H85&lt;=29,"25 - 29 ans",IF(H85&lt;=34,"30 - 34 ans ",IF(H85&lt;=39,"35 - 39 ans ",IF(H85&lt;=44,"40 - 44 ans ",IF(H85&lt;=49,"45 - 49 ans ",IF(H85&lt;=54,"50 - 54 ans ","&gt;55")))))))</f>
        <v xml:space="preserve">40 - 44 ans </v>
      </c>
      <c r="J85" s="7">
        <v>44105</v>
      </c>
      <c r="K85" s="12">
        <f>DATEDIF(J85,Params!$B$3,"Y")</f>
        <v>5</v>
      </c>
      <c r="L85" s="12" t="str">
        <f>IF(K85&lt;1,"&lt;1 year",IF(K85&lt;=3,"1 - 3 year(s)",IF(K85&lt;=6,"4 - 6 years",IF(K85&lt;=9,"7 - 9 years","&gt;= 10 years"))))</f>
        <v>4 - 6 years</v>
      </c>
      <c r="M85" s="5" t="s">
        <v>30</v>
      </c>
      <c r="N85" s="8" t="s">
        <v>36</v>
      </c>
      <c r="O85" s="8" cm="1">
        <f t="array" ref="O85">IFERROR(VLOOKUP($A85&amp;"Annual",CHOOSE({1,2},leavebalances_base!$E$3:$E$1230&amp;leavebalances_base!$T$3:$T$1230,leavebalances_base!$AC$3:$AC$1230),2,FALSE),"")</f>
        <v>13.249999999995</v>
      </c>
      <c r="P85" s="8" cm="1">
        <f t="array" ref="P85">IFERROR(VLOOKUP($A85&amp;"Annual",CHOOSE({1,2},leavebalances_base!$E$3:$E$1230&amp;leavebalances_base!$T$3:$T$1230,leavebalances_base!$AD$3:$AD$1230),2,FALSE)/Params!$B$2,"")</f>
        <v>3415.0531894064125</v>
      </c>
      <c r="Q85" s="6">
        <f>IFERROR(VLOOKUP(A85,overtime_base!$J:$L,2,FALSE),0)</f>
        <v>0</v>
      </c>
      <c r="R85" s="6">
        <f>IFERROR(VLOOKUP(A85,overtime_base!$J:$L,3,FALSE)/Params!$B$2,0)</f>
        <v>0</v>
      </c>
    </row>
    <row r="86" spans="1:18" ht="40" x14ac:dyDescent="0.35">
      <c r="A86" s="4" t="s">
        <v>286</v>
      </c>
      <c r="B86" s="5" t="s">
        <v>287</v>
      </c>
      <c r="C86" s="6" t="s">
        <v>20</v>
      </c>
      <c r="D86" s="6" t="s">
        <v>68</v>
      </c>
      <c r="E86" s="5" t="s">
        <v>288</v>
      </c>
      <c r="F86" s="6" t="s">
        <v>50</v>
      </c>
      <c r="G86" s="7">
        <v>31598</v>
      </c>
      <c r="H86" s="12">
        <f>DATEDIF(G86,Params!$B$3,"Y")</f>
        <v>40</v>
      </c>
      <c r="I86" s="12" t="str">
        <f>IF(H86&lt;25,"&lt;25 ans",IF(H86&lt;=29,"25 - 29 ans",IF(H86&lt;=34,"30 - 34 ans ",IF(H86&lt;=39,"35 - 39 ans ",IF(H86&lt;=44,"40 - 44 ans ",IF(H86&lt;=49,"45 - 49 ans ",IF(H86&lt;=54,"50 - 54 ans ","&gt;55")))))))</f>
        <v xml:space="preserve">40 - 44 ans </v>
      </c>
      <c r="J86" s="7">
        <v>44102</v>
      </c>
      <c r="K86" s="12">
        <f>DATEDIF(J86,Params!$B$3,"Y")</f>
        <v>5</v>
      </c>
      <c r="L86" s="12" t="str">
        <f>IF(K86&lt;1,"&lt;1 year",IF(K86&lt;=3,"1 - 3 year(s)",IF(K86&lt;=6,"4 - 6 years",IF(K86&lt;=9,"7 - 9 years","&gt;= 10 years"))))</f>
        <v>4 - 6 years</v>
      </c>
      <c r="M86" s="5" t="s">
        <v>40</v>
      </c>
      <c r="N86" s="8" t="s">
        <v>36</v>
      </c>
      <c r="O86" s="8" cm="1">
        <f t="array" ref="O86">IFERROR(VLOOKUP($A86&amp;"Annual",CHOOSE({1,2},leavebalances_base!$E$3:$E$1230&amp;leavebalances_base!$T$3:$T$1230,leavebalances_base!$AC$3:$AC$1230),2,FALSE),"")</f>
        <v>32.249999999998998</v>
      </c>
      <c r="P86" s="8" cm="1">
        <f t="array" ref="P86">IFERROR(VLOOKUP($A86&amp;"Annual",CHOOSE({1,2},leavebalances_base!$E$3:$E$1230&amp;leavebalances_base!$T$3:$T$1230,leavebalances_base!$AD$3:$AD$1230),2,FALSE)/Params!$B$2,"")</f>
        <v>7125.5656458275571</v>
      </c>
      <c r="Q86" s="6">
        <f>IFERROR(VLOOKUP(A86,overtime_base!$J:$L,2,FALSE),0)</f>
        <v>0</v>
      </c>
      <c r="R86" s="6">
        <f>IFERROR(VLOOKUP(A86,overtime_base!$J:$L,3,FALSE)/Params!$B$2,0)</f>
        <v>0</v>
      </c>
    </row>
    <row r="87" spans="1:18" ht="40" x14ac:dyDescent="0.35">
      <c r="A87" s="4" t="s">
        <v>289</v>
      </c>
      <c r="B87" s="5" t="s">
        <v>290</v>
      </c>
      <c r="C87" s="6" t="s">
        <v>48</v>
      </c>
      <c r="D87" s="6" t="s">
        <v>68</v>
      </c>
      <c r="E87" s="5" t="s">
        <v>291</v>
      </c>
      <c r="F87" s="6" t="s">
        <v>23</v>
      </c>
      <c r="G87" s="7">
        <v>31542</v>
      </c>
      <c r="H87" s="12">
        <f>DATEDIF(G87,Params!$B$3,"Y")</f>
        <v>40</v>
      </c>
      <c r="I87" s="12" t="str">
        <f>IF(H87&lt;25,"&lt;25 ans",IF(H87&lt;=29,"25 - 29 ans",IF(H87&lt;=34,"30 - 34 ans ",IF(H87&lt;=39,"35 - 39 ans ",IF(H87&lt;=44,"40 - 44 ans ",IF(H87&lt;=49,"45 - 49 ans ",IF(H87&lt;=54,"50 - 54 ans ","&gt;55")))))))</f>
        <v xml:space="preserve">40 - 44 ans </v>
      </c>
      <c r="J87" s="7">
        <v>44123</v>
      </c>
      <c r="K87" s="12">
        <f>DATEDIF(J87,Params!$B$3,"Y")</f>
        <v>5</v>
      </c>
      <c r="L87" s="12" t="str">
        <f>IF(K87&lt;1,"&lt;1 year",IF(K87&lt;=3,"1 - 3 year(s)",IF(K87&lt;=6,"4 - 6 years",IF(K87&lt;=9,"7 - 9 years","&gt;= 10 years"))))</f>
        <v>4 - 6 years</v>
      </c>
      <c r="M87" s="5" t="s">
        <v>149</v>
      </c>
      <c r="N87" s="8" t="s">
        <v>36</v>
      </c>
      <c r="O87" s="8" cm="1">
        <f t="array" ref="O87">IFERROR(VLOOKUP($A87&amp;"Annual",CHOOSE({1,2},leavebalances_base!$E$3:$E$1230&amp;leavebalances_base!$T$3:$T$1230,leavebalances_base!$AC$3:$AC$1230),2,FALSE),"")</f>
        <v>34.166666666666003</v>
      </c>
      <c r="P87" s="8" cm="1">
        <f t="array" ref="P87">IFERROR(VLOOKUP($A87&amp;"Annual",CHOOSE({1,2},leavebalances_base!$E$3:$E$1230&amp;leavebalances_base!$T$3:$T$1230,leavebalances_base!$AD$3:$AD$1230),2,FALSE)/Params!$B$2,"")</f>
        <v>5851.9940380155977</v>
      </c>
      <c r="Q87" s="6">
        <f>IFERROR(VLOOKUP(A87,overtime_base!$J:$L,2,FALSE),0)</f>
        <v>0</v>
      </c>
      <c r="R87" s="6">
        <f>IFERROR(VLOOKUP(A87,overtime_base!$J:$L,3,FALSE)/Params!$B$2,0)</f>
        <v>0</v>
      </c>
    </row>
    <row r="88" spans="1:18" ht="40" x14ac:dyDescent="0.35">
      <c r="A88" s="4" t="s">
        <v>292</v>
      </c>
      <c r="B88" s="5" t="s">
        <v>293</v>
      </c>
      <c r="C88" s="6" t="s">
        <v>20</v>
      </c>
      <c r="D88" s="6" t="s">
        <v>82</v>
      </c>
      <c r="E88" s="5" t="s">
        <v>294</v>
      </c>
      <c r="F88" s="6" t="s">
        <v>295</v>
      </c>
      <c r="G88" s="7">
        <v>29501</v>
      </c>
      <c r="H88" s="12">
        <f>DATEDIF(G88,Params!$B$3,"Y")</f>
        <v>45</v>
      </c>
      <c r="I88" s="12" t="str">
        <f>IF(H88&lt;25,"&lt;25 ans",IF(H88&lt;=29,"25 - 29 ans",IF(H88&lt;=34,"30 - 34 ans ",IF(H88&lt;=39,"35 - 39 ans ",IF(H88&lt;=44,"40 - 44 ans ",IF(H88&lt;=49,"45 - 49 ans ",IF(H88&lt;=54,"50 - 54 ans ","&gt;55")))))))</f>
        <v xml:space="preserve">45 - 49 ans </v>
      </c>
      <c r="J88" s="7">
        <v>44120</v>
      </c>
      <c r="K88" s="12">
        <f>DATEDIF(J88,Params!$B$3,"Y")</f>
        <v>5</v>
      </c>
      <c r="L88" s="12" t="str">
        <f>IF(K88&lt;1,"&lt;1 year",IF(K88&lt;=3,"1 - 3 year(s)",IF(K88&lt;=6,"4 - 6 years",IF(K88&lt;=9,"7 - 9 years","&gt;= 10 years"))))</f>
        <v>4 - 6 years</v>
      </c>
      <c r="M88" s="5" t="s">
        <v>296</v>
      </c>
      <c r="N88" s="8" t="s">
        <v>36</v>
      </c>
      <c r="O88" s="8" cm="1">
        <f t="array" ref="O88">IFERROR(VLOOKUP($A88&amp;"Annual",CHOOSE({1,2},leavebalances_base!$E$3:$E$1230&amp;leavebalances_base!$T$3:$T$1230,leavebalances_base!$AC$3:$AC$1230),2,FALSE),"")</f>
        <v>11.833333333322001</v>
      </c>
      <c r="P88" s="8" cm="1">
        <f t="array" ref="P88">IFERROR(VLOOKUP($A88&amp;"Annual",CHOOSE({1,2},leavebalances_base!$E$3:$E$1230&amp;leavebalances_base!$T$3:$T$1230,leavebalances_base!$AD$3:$AD$1230),2,FALSE)/Params!$B$2,"")</f>
        <v>5154.2144898353554</v>
      </c>
      <c r="Q88" s="6">
        <f>IFERROR(VLOOKUP(A88,overtime_base!$J:$L,2,FALSE),0)</f>
        <v>0</v>
      </c>
      <c r="R88" s="6">
        <f>IFERROR(VLOOKUP(A88,overtime_base!$J:$L,3,FALSE)/Params!$B$2,0)</f>
        <v>0</v>
      </c>
    </row>
    <row r="89" spans="1:18" ht="40" x14ac:dyDescent="0.35">
      <c r="A89" s="4" t="s">
        <v>297</v>
      </c>
      <c r="B89" s="5" t="s">
        <v>298</v>
      </c>
      <c r="C89" s="6" t="s">
        <v>20</v>
      </c>
      <c r="D89" s="6" t="s">
        <v>82</v>
      </c>
      <c r="E89" s="5" t="s">
        <v>299</v>
      </c>
      <c r="F89" s="6" t="s">
        <v>23</v>
      </c>
      <c r="G89" s="7">
        <v>31590</v>
      </c>
      <c r="H89" s="12">
        <f>DATEDIF(G89,Params!$B$3,"Y")</f>
        <v>40</v>
      </c>
      <c r="I89" s="12" t="str">
        <f>IF(H89&lt;25,"&lt;25 ans",IF(H89&lt;=29,"25 - 29 ans",IF(H89&lt;=34,"30 - 34 ans ",IF(H89&lt;=39,"35 - 39 ans ",IF(H89&lt;=44,"40 - 44 ans ",IF(H89&lt;=49,"45 - 49 ans ",IF(H89&lt;=54,"50 - 54 ans ","&gt;55")))))))</f>
        <v xml:space="preserve">40 - 44 ans </v>
      </c>
      <c r="J89" s="7">
        <v>44166</v>
      </c>
      <c r="K89" s="12">
        <f>DATEDIF(J89,Params!$B$3,"Y")</f>
        <v>5</v>
      </c>
      <c r="L89" s="12" t="str">
        <f>IF(K89&lt;1,"&lt;1 year",IF(K89&lt;=3,"1 - 3 year(s)",IF(K89&lt;=6,"4 - 6 years",IF(K89&lt;=9,"7 - 9 years","&gt;= 10 years"))))</f>
        <v>4 - 6 years</v>
      </c>
      <c r="M89" s="5" t="s">
        <v>91</v>
      </c>
      <c r="N89" s="8" t="s">
        <v>36</v>
      </c>
      <c r="O89" s="8" cm="1">
        <f t="array" ref="O89">IFERROR(VLOOKUP($A89&amp;"Annual",CHOOSE({1,2},leavebalances_base!$E$3:$E$1230&amp;leavebalances_base!$T$3:$T$1230,leavebalances_base!$AC$3:$AC$1230),2,FALSE),"")</f>
        <v>36</v>
      </c>
      <c r="P89" s="8" cm="1">
        <f t="array" ref="P89">IFERROR(VLOOKUP($A89&amp;"Annual",CHOOSE({1,2},leavebalances_base!$E$3:$E$1230&amp;leavebalances_base!$T$3:$T$1230,leavebalances_base!$AD$3:$AD$1230),2,FALSE)/Params!$B$2,"")</f>
        <v>7887.8432015727903</v>
      </c>
      <c r="Q89" s="6">
        <f>IFERROR(VLOOKUP(A89,overtime_base!$J:$L,2,FALSE),0)</f>
        <v>0</v>
      </c>
      <c r="R89" s="6">
        <f>IFERROR(VLOOKUP(A89,overtime_base!$J:$L,3,FALSE)/Params!$B$2,0)</f>
        <v>0</v>
      </c>
    </row>
    <row r="90" spans="1:18" ht="40" x14ac:dyDescent="0.35">
      <c r="A90" s="4" t="s">
        <v>300</v>
      </c>
      <c r="B90" s="5" t="s">
        <v>301</v>
      </c>
      <c r="C90" s="6" t="s">
        <v>20</v>
      </c>
      <c r="D90" s="6" t="s">
        <v>82</v>
      </c>
      <c r="E90" s="5" t="s">
        <v>302</v>
      </c>
      <c r="F90" s="6" t="s">
        <v>70</v>
      </c>
      <c r="G90" s="7">
        <v>27867</v>
      </c>
      <c r="H90" s="12">
        <f>DATEDIF(G90,Params!$B$3,"Y")</f>
        <v>50</v>
      </c>
      <c r="I90" s="12" t="str">
        <f>IF(H90&lt;25,"&lt;25 ans",IF(H90&lt;=29,"25 - 29 ans",IF(H90&lt;=34,"30 - 34 ans ",IF(H90&lt;=39,"35 - 39 ans ",IF(H90&lt;=44,"40 - 44 ans ",IF(H90&lt;=49,"45 - 49 ans ",IF(H90&lt;=54,"50 - 54 ans ","&gt;55")))))))</f>
        <v xml:space="preserve">50 - 54 ans </v>
      </c>
      <c r="J90" s="7">
        <v>44172</v>
      </c>
      <c r="K90" s="12">
        <f>DATEDIF(J90,Params!$B$3,"Y")</f>
        <v>5</v>
      </c>
      <c r="L90" s="12" t="str">
        <f>IF(K90&lt;1,"&lt;1 year",IF(K90&lt;=3,"1 - 3 year(s)",IF(K90&lt;=6,"4 - 6 years",IF(K90&lt;=9,"7 - 9 years","&gt;= 10 years"))))</f>
        <v>4 - 6 years</v>
      </c>
      <c r="M90" s="5" t="s">
        <v>254</v>
      </c>
      <c r="N90" s="8" t="s">
        <v>36</v>
      </c>
      <c r="O90" s="8" cm="1">
        <f t="array" ref="O90">IFERROR(VLOOKUP($A90&amp;"Annual",CHOOSE({1,2},leavebalances_base!$E$3:$E$1230&amp;leavebalances_base!$T$3:$T$1230,leavebalances_base!$AC$3:$AC$1230),2,FALSE),"")</f>
        <v>36</v>
      </c>
      <c r="P90" s="8" cm="1">
        <f t="array" ref="P90">IFERROR(VLOOKUP($A90&amp;"Annual",CHOOSE({1,2},leavebalances_base!$E$3:$E$1230&amp;leavebalances_base!$T$3:$T$1230,leavebalances_base!$AD$3:$AD$1230),2,FALSE)/Params!$B$2,"")</f>
        <v>11804.733345541594</v>
      </c>
      <c r="Q90" s="6">
        <f>IFERROR(VLOOKUP(A90,overtime_base!$J:$L,2,FALSE),0)</f>
        <v>0</v>
      </c>
      <c r="R90" s="6">
        <f>IFERROR(VLOOKUP(A90,overtime_base!$J:$L,3,FALSE)/Params!$B$2,0)</f>
        <v>0</v>
      </c>
    </row>
    <row r="91" spans="1:18" ht="40" x14ac:dyDescent="0.35">
      <c r="A91" s="4" t="s">
        <v>303</v>
      </c>
      <c r="B91" s="5" t="s">
        <v>304</v>
      </c>
      <c r="C91" s="6" t="s">
        <v>48</v>
      </c>
      <c r="D91" s="6" t="s">
        <v>68</v>
      </c>
      <c r="E91" s="5" t="s">
        <v>305</v>
      </c>
      <c r="F91" s="6" t="s">
        <v>129</v>
      </c>
      <c r="G91" s="7">
        <v>32273</v>
      </c>
      <c r="H91" s="12">
        <f>DATEDIF(G91,Params!$B$3,"Y")</f>
        <v>38</v>
      </c>
      <c r="I91" s="12" t="str">
        <f>IF(H91&lt;25,"&lt;25 ans",IF(H91&lt;=29,"25 - 29 ans",IF(H91&lt;=34,"30 - 34 ans ",IF(H91&lt;=39,"35 - 39 ans ",IF(H91&lt;=44,"40 - 44 ans ",IF(H91&lt;=49,"45 - 49 ans ",IF(H91&lt;=54,"50 - 54 ans ","&gt;55")))))))</f>
        <v xml:space="preserve">35 - 39 ans </v>
      </c>
      <c r="J91" s="7">
        <v>44228</v>
      </c>
      <c r="K91" s="12">
        <f>DATEDIF(J91,Params!$B$3,"Y")</f>
        <v>5</v>
      </c>
      <c r="L91" s="12" t="str">
        <f>IF(K91&lt;1,"&lt;1 year",IF(K91&lt;=3,"1 - 3 year(s)",IF(K91&lt;=6,"4 - 6 years",IF(K91&lt;=9,"7 - 9 years","&gt;= 10 years"))))</f>
        <v>4 - 6 years</v>
      </c>
      <c r="M91" s="5" t="s">
        <v>254</v>
      </c>
      <c r="N91" s="8" t="s">
        <v>36</v>
      </c>
      <c r="O91" s="8" cm="1">
        <f t="array" ref="O91">IFERROR(VLOOKUP($A91&amp;"Annual",CHOOSE({1,2},leavebalances_base!$E$3:$E$1230&amp;leavebalances_base!$T$3:$T$1230,leavebalances_base!$AC$3:$AC$1230),2,FALSE),"")</f>
        <v>30</v>
      </c>
      <c r="P91" s="8" cm="1">
        <f t="array" ref="P91">IFERROR(VLOOKUP($A91&amp;"Annual",CHOOSE({1,2},leavebalances_base!$E$3:$E$1230&amp;leavebalances_base!$T$3:$T$1230,leavebalances_base!$AD$3:$AD$1230),2,FALSE)/Params!$B$2,"")</f>
        <v>1553.0799776646447</v>
      </c>
      <c r="Q91" s="6">
        <f>IFERROR(VLOOKUP(A91,overtime_base!$J:$L,2,FALSE),0)</f>
        <v>0</v>
      </c>
      <c r="R91" s="6">
        <f>IFERROR(VLOOKUP(A91,overtime_base!$J:$L,3,FALSE)/Params!$B$2,0)</f>
        <v>0</v>
      </c>
    </row>
    <row r="92" spans="1:18" ht="40" x14ac:dyDescent="0.35">
      <c r="A92" s="4" t="s">
        <v>306</v>
      </c>
      <c r="B92" s="5" t="s">
        <v>307</v>
      </c>
      <c r="C92" s="6" t="s">
        <v>20</v>
      </c>
      <c r="D92" s="6" t="s">
        <v>68</v>
      </c>
      <c r="E92" s="5" t="s">
        <v>308</v>
      </c>
      <c r="F92" s="6" t="s">
        <v>29</v>
      </c>
      <c r="G92" s="7">
        <v>31685</v>
      </c>
      <c r="H92" s="12">
        <f>DATEDIF(G92,Params!$B$3,"Y")</f>
        <v>39</v>
      </c>
      <c r="I92" s="12" t="str">
        <f>IF(H92&lt;25,"&lt;25 ans",IF(H92&lt;=29,"25 - 29 ans",IF(H92&lt;=34,"30 - 34 ans ",IF(H92&lt;=39,"35 - 39 ans ",IF(H92&lt;=44,"40 - 44 ans ",IF(H92&lt;=49,"45 - 49 ans ",IF(H92&lt;=54,"50 - 54 ans ","&gt;55")))))))</f>
        <v xml:space="preserve">35 - 39 ans </v>
      </c>
      <c r="J92" s="7">
        <v>44228</v>
      </c>
      <c r="K92" s="12">
        <f>DATEDIF(J92,Params!$B$3,"Y")</f>
        <v>5</v>
      </c>
      <c r="L92" s="12" t="str">
        <f>IF(K92&lt;1,"&lt;1 year",IF(K92&lt;=3,"1 - 3 year(s)",IF(K92&lt;=6,"4 - 6 years",IF(K92&lt;=9,"7 - 9 years","&gt;= 10 years"))))</f>
        <v>4 - 6 years</v>
      </c>
      <c r="M92" s="5" t="s">
        <v>272</v>
      </c>
      <c r="N92" s="8" t="s">
        <v>36</v>
      </c>
      <c r="O92" s="8" cm="1">
        <f t="array" ref="O92">IFERROR(VLOOKUP($A92&amp;"Annual",CHOOSE({1,2},leavebalances_base!$E$3:$E$1230&amp;leavebalances_base!$T$3:$T$1230,leavebalances_base!$AC$3:$AC$1230),2,FALSE),"")</f>
        <v>33</v>
      </c>
      <c r="P92" s="8" cm="1">
        <f t="array" ref="P92">IFERROR(VLOOKUP($A92&amp;"Annual",CHOOSE({1,2},leavebalances_base!$E$3:$E$1230&amp;leavebalances_base!$T$3:$T$1230,leavebalances_base!$AD$3:$AD$1230),2,FALSE)/Params!$B$2,"")</f>
        <v>4097.6724661698445</v>
      </c>
      <c r="Q92" s="6">
        <f>IFERROR(VLOOKUP(A92,overtime_base!$J:$L,2,FALSE),0)</f>
        <v>0</v>
      </c>
      <c r="R92" s="6">
        <f>IFERROR(VLOOKUP(A92,overtime_base!$J:$L,3,FALSE)/Params!$B$2,0)</f>
        <v>0</v>
      </c>
    </row>
    <row r="93" spans="1:18" ht="40" x14ac:dyDescent="0.35">
      <c r="A93" s="4" t="s">
        <v>309</v>
      </c>
      <c r="B93" s="5" t="s">
        <v>310</v>
      </c>
      <c r="C93" s="6" t="s">
        <v>20</v>
      </c>
      <c r="D93" s="6" t="s">
        <v>68</v>
      </c>
      <c r="E93" s="5" t="s">
        <v>311</v>
      </c>
      <c r="F93" s="6" t="s">
        <v>29</v>
      </c>
      <c r="G93" s="7">
        <v>31626</v>
      </c>
      <c r="H93" s="12">
        <f>DATEDIF(G93,Params!$B$3,"Y")</f>
        <v>39</v>
      </c>
      <c r="I93" s="12" t="str">
        <f>IF(H93&lt;25,"&lt;25 ans",IF(H93&lt;=29,"25 - 29 ans",IF(H93&lt;=34,"30 - 34 ans ",IF(H93&lt;=39,"35 - 39 ans ",IF(H93&lt;=44,"40 - 44 ans ",IF(H93&lt;=49,"45 - 49 ans ",IF(H93&lt;=54,"50 - 54 ans ","&gt;55")))))))</f>
        <v xml:space="preserve">35 - 39 ans </v>
      </c>
      <c r="J93" s="7">
        <v>44270</v>
      </c>
      <c r="K93" s="12">
        <f>DATEDIF(J93,Params!$B$3,"Y")</f>
        <v>5</v>
      </c>
      <c r="L93" s="12" t="str">
        <f>IF(K93&lt;1,"&lt;1 year",IF(K93&lt;=3,"1 - 3 year(s)",IF(K93&lt;=6,"4 - 6 years",IF(K93&lt;=9,"7 - 9 years","&gt;= 10 years"))))</f>
        <v>4 - 6 years</v>
      </c>
      <c r="M93" s="5" t="s">
        <v>45</v>
      </c>
      <c r="N93" s="8" t="s">
        <v>31</v>
      </c>
      <c r="O93" s="8" cm="1">
        <f t="array" ref="O93">IFERROR(VLOOKUP($A93&amp;"Annual",CHOOSE({1,2},leavebalances_base!$E$3:$E$1230&amp;leavebalances_base!$T$3:$T$1230,leavebalances_base!$AC$3:$AC$1230),2,FALSE),"")</f>
        <v>16.250000000006001</v>
      </c>
      <c r="P93" s="8" cm="1">
        <f t="array" ref="P93">IFERROR(VLOOKUP($A93&amp;"Annual",CHOOSE({1,2},leavebalances_base!$E$3:$E$1230&amp;leavebalances_base!$T$3:$T$1230,leavebalances_base!$AD$3:$AD$1230),2,FALSE)/Params!$B$2,"")</f>
        <v>1987.57473732669</v>
      </c>
      <c r="Q93" s="6">
        <f>IFERROR(VLOOKUP(A93,overtime_base!$J:$L,2,FALSE),0)</f>
        <v>0</v>
      </c>
      <c r="R93" s="6">
        <f>IFERROR(VLOOKUP(A93,overtime_base!$J:$L,3,FALSE)/Params!$B$2,0)</f>
        <v>0</v>
      </c>
    </row>
    <row r="94" spans="1:18" ht="40" x14ac:dyDescent="0.35">
      <c r="A94" s="4" t="s">
        <v>312</v>
      </c>
      <c r="B94" s="5" t="s">
        <v>313</v>
      </c>
      <c r="C94" s="6" t="s">
        <v>48</v>
      </c>
      <c r="D94" s="6" t="s">
        <v>68</v>
      </c>
      <c r="E94" s="5" t="s">
        <v>314</v>
      </c>
      <c r="F94" s="6" t="s">
        <v>29</v>
      </c>
      <c r="G94" s="7">
        <v>32406</v>
      </c>
      <c r="H94" s="12">
        <f>DATEDIF(G94,Params!$B$3,"Y")</f>
        <v>37</v>
      </c>
      <c r="I94" s="12" t="str">
        <f>IF(H94&lt;25,"&lt;25 ans",IF(H94&lt;=29,"25 - 29 ans",IF(H94&lt;=34,"30 - 34 ans ",IF(H94&lt;=39,"35 - 39 ans ",IF(H94&lt;=44,"40 - 44 ans ",IF(H94&lt;=49,"45 - 49 ans ",IF(H94&lt;=54,"50 - 54 ans ","&gt;55")))))))</f>
        <v xml:space="preserve">35 - 39 ans </v>
      </c>
      <c r="J94" s="7">
        <v>44298</v>
      </c>
      <c r="K94" s="12">
        <f>DATEDIF(J94,Params!$B$3,"Y")</f>
        <v>5</v>
      </c>
      <c r="L94" s="12" t="str">
        <f>IF(K94&lt;1,"&lt;1 year",IF(K94&lt;=3,"1 - 3 year(s)",IF(K94&lt;=6,"4 - 6 years",IF(K94&lt;=9,"7 - 9 years","&gt;= 10 years"))))</f>
        <v>4 - 6 years</v>
      </c>
      <c r="M94" s="5" t="s">
        <v>296</v>
      </c>
      <c r="N94" s="8" t="s">
        <v>36</v>
      </c>
      <c r="O94" s="8" cm="1">
        <f t="array" ref="O94">IFERROR(VLOOKUP($A94&amp;"Annual",CHOOSE({1,2},leavebalances_base!$E$3:$E$1230&amp;leavebalances_base!$T$3:$T$1230,leavebalances_base!$AC$3:$AC$1230),2,FALSE),"")</f>
        <v>27.666666666672</v>
      </c>
      <c r="P94" s="8" cm="1">
        <f t="array" ref="P94">IFERROR(VLOOKUP($A94&amp;"Annual",CHOOSE({1,2},leavebalances_base!$E$3:$E$1230&amp;leavebalances_base!$T$3:$T$1230,leavebalances_base!$AD$3:$AD$1230),2,FALSE)/Params!$B$2,"")</f>
        <v>3321.1801303119587</v>
      </c>
      <c r="Q94" s="6">
        <f>IFERROR(VLOOKUP(A94,overtime_base!$J:$L,2,FALSE),0)</f>
        <v>0</v>
      </c>
      <c r="R94" s="6">
        <f>IFERROR(VLOOKUP(A94,overtime_base!$J:$L,3,FALSE)/Params!$B$2,0)</f>
        <v>0</v>
      </c>
    </row>
    <row r="95" spans="1:18" ht="40" x14ac:dyDescent="0.35">
      <c r="A95" s="4" t="s">
        <v>315</v>
      </c>
      <c r="B95" s="5" t="s">
        <v>316</v>
      </c>
      <c r="C95" s="6" t="s">
        <v>20</v>
      </c>
      <c r="D95" s="6" t="s">
        <v>94</v>
      </c>
      <c r="E95" s="5" t="s">
        <v>317</v>
      </c>
      <c r="F95" s="6" t="s">
        <v>295</v>
      </c>
      <c r="G95" s="7">
        <v>29891</v>
      </c>
      <c r="H95" s="12">
        <f>DATEDIF(G95,Params!$B$3,"Y")</f>
        <v>44</v>
      </c>
      <c r="I95" s="12" t="str">
        <f>IF(H95&lt;25,"&lt;25 ans",IF(H95&lt;=29,"25 - 29 ans",IF(H95&lt;=34,"30 - 34 ans ",IF(H95&lt;=39,"35 - 39 ans ",IF(H95&lt;=44,"40 - 44 ans ",IF(H95&lt;=49,"45 - 49 ans ",IF(H95&lt;=54,"50 - 54 ans ","&gt;55")))))))</f>
        <v xml:space="preserve">40 - 44 ans </v>
      </c>
      <c r="J95" s="7">
        <v>44301</v>
      </c>
      <c r="K95" s="12">
        <f>DATEDIF(J95,Params!$B$3,"Y")</f>
        <v>5</v>
      </c>
      <c r="L95" s="12" t="str">
        <f>IF(K95&lt;1,"&lt;1 year",IF(K95&lt;=3,"1 - 3 year(s)",IF(K95&lt;=6,"4 - 6 years",IF(K95&lt;=9,"7 - 9 years","&gt;= 10 years"))))</f>
        <v>4 - 6 years</v>
      </c>
      <c r="M95" s="5" t="s">
        <v>40</v>
      </c>
      <c r="N95" s="8" t="s">
        <v>36</v>
      </c>
      <c r="O95" s="8" cm="1">
        <f t="array" ref="O95">IFERROR(VLOOKUP($A95&amp;"Annual",CHOOSE({1,2},leavebalances_base!$E$3:$E$1230&amp;leavebalances_base!$T$3:$T$1230,leavebalances_base!$AC$3:$AC$1230),2,FALSE),"")</f>
        <v>10.333333333323999</v>
      </c>
      <c r="P95" s="8" cm="1">
        <f t="array" ref="P95">IFERROR(VLOOKUP($A95&amp;"Annual",CHOOSE({1,2},leavebalances_base!$E$3:$E$1230&amp;leavebalances_base!$T$3:$T$1230,leavebalances_base!$AD$3:$AD$1230),2,FALSE)/Params!$B$2,"")</f>
        <v>4725.8761575086655</v>
      </c>
      <c r="Q95" s="6">
        <f>IFERROR(VLOOKUP(A95,overtime_base!$J:$L,2,FALSE),0)</f>
        <v>0</v>
      </c>
      <c r="R95" s="6">
        <f>IFERROR(VLOOKUP(A95,overtime_base!$J:$L,3,FALSE)/Params!$B$2,0)</f>
        <v>0</v>
      </c>
    </row>
    <row r="96" spans="1:18" ht="40" x14ac:dyDescent="0.35">
      <c r="A96" s="4" t="s">
        <v>318</v>
      </c>
      <c r="B96" s="5" t="s">
        <v>319</v>
      </c>
      <c r="C96" s="6" t="s">
        <v>20</v>
      </c>
      <c r="D96" s="6" t="s">
        <v>68</v>
      </c>
      <c r="E96" s="5" t="s">
        <v>228</v>
      </c>
      <c r="F96" s="6" t="s">
        <v>145</v>
      </c>
      <c r="G96" s="7">
        <v>33407</v>
      </c>
      <c r="H96" s="12">
        <f>DATEDIF(G96,Params!$B$3,"Y")</f>
        <v>35</v>
      </c>
      <c r="I96" s="12" t="str">
        <f>IF(H96&lt;25,"&lt;25 ans",IF(H96&lt;=29,"25 - 29 ans",IF(H96&lt;=34,"30 - 34 ans ",IF(H96&lt;=39,"35 - 39 ans ",IF(H96&lt;=44,"40 - 44 ans ",IF(H96&lt;=49,"45 - 49 ans ",IF(H96&lt;=54,"50 - 54 ans ","&gt;55")))))))</f>
        <v xml:space="preserve">35 - 39 ans </v>
      </c>
      <c r="J96" s="7">
        <v>44348</v>
      </c>
      <c r="K96" s="12">
        <f>DATEDIF(J96,Params!$B$3,"Y")</f>
        <v>5</v>
      </c>
      <c r="L96" s="12" t="str">
        <f>IF(K96&lt;1,"&lt;1 year",IF(K96&lt;=3,"1 - 3 year(s)",IF(K96&lt;=6,"4 - 6 years",IF(K96&lt;=9,"7 - 9 years","&gt;= 10 years"))))</f>
        <v>4 - 6 years</v>
      </c>
      <c r="M96" s="5" t="s">
        <v>40</v>
      </c>
      <c r="N96" s="8" t="s">
        <v>31</v>
      </c>
      <c r="O96" s="8" cm="1">
        <f t="array" ref="O96">IFERROR(VLOOKUP($A96&amp;"Annual",CHOOSE({1,2},leavebalances_base!$E$3:$E$1230&amp;leavebalances_base!$T$3:$T$1230,leavebalances_base!$AC$3:$AC$1230),2,FALSE),"")</f>
        <v>17.833333333334</v>
      </c>
      <c r="P96" s="8" cm="1">
        <f t="array" ref="P96">IFERROR(VLOOKUP($A96&amp;"Annual",CHOOSE({1,2},leavebalances_base!$E$3:$E$1230&amp;leavebalances_base!$T$3:$T$1230,leavebalances_base!$AD$3:$AD$1230),2,FALSE)/Params!$B$2,"")</f>
        <v>897.9938981455806</v>
      </c>
      <c r="Q96" s="6">
        <f>IFERROR(VLOOKUP(A96,overtime_base!$J:$L,2,FALSE),0)</f>
        <v>0</v>
      </c>
      <c r="R96" s="6">
        <f>IFERROR(VLOOKUP(A96,overtime_base!$J:$L,3,FALSE)/Params!$B$2,0)</f>
        <v>0</v>
      </c>
    </row>
    <row r="97" spans="1:18" ht="40" x14ac:dyDescent="0.35">
      <c r="A97" s="4" t="s">
        <v>320</v>
      </c>
      <c r="B97" s="5" t="s">
        <v>321</v>
      </c>
      <c r="C97" s="6" t="s">
        <v>20</v>
      </c>
      <c r="D97" s="6" t="s">
        <v>68</v>
      </c>
      <c r="E97" s="5" t="s">
        <v>322</v>
      </c>
      <c r="F97" s="6" t="s">
        <v>23</v>
      </c>
      <c r="G97" s="7">
        <v>29730</v>
      </c>
      <c r="H97" s="12">
        <f>DATEDIF(G97,Params!$B$3,"Y")</f>
        <v>45</v>
      </c>
      <c r="I97" s="12" t="str">
        <f>IF(H97&lt;25,"&lt;25 ans",IF(H97&lt;=29,"25 - 29 ans",IF(H97&lt;=34,"30 - 34 ans ",IF(H97&lt;=39,"35 - 39 ans ",IF(H97&lt;=44,"40 - 44 ans ",IF(H97&lt;=49,"45 - 49 ans ",IF(H97&lt;=54,"50 - 54 ans ","&gt;55")))))))</f>
        <v xml:space="preserve">45 - 49 ans </v>
      </c>
      <c r="J97" s="7">
        <v>44368</v>
      </c>
      <c r="K97" s="12">
        <f>DATEDIF(J97,Params!$B$3,"Y")</f>
        <v>5</v>
      </c>
      <c r="L97" s="12" t="str">
        <f>IF(K97&lt;1,"&lt;1 year",IF(K97&lt;=3,"1 - 3 year(s)",IF(K97&lt;=6,"4 - 6 years",IF(K97&lt;=9,"7 - 9 years","&gt;= 10 years"))))</f>
        <v>4 - 6 years</v>
      </c>
      <c r="M97" s="5" t="s">
        <v>272</v>
      </c>
      <c r="N97" s="8" t="s">
        <v>36</v>
      </c>
      <c r="O97" s="8" cm="1">
        <f t="array" ref="O97">IFERROR(VLOOKUP($A97&amp;"Annual",CHOOSE({1,2},leavebalances_base!$E$3:$E$1230&amp;leavebalances_base!$T$3:$T$1230,leavebalances_base!$AC$3:$AC$1230),2,FALSE),"")</f>
        <v>35.333333333332</v>
      </c>
      <c r="P97" s="8" cm="1">
        <f t="array" ref="P97">IFERROR(VLOOKUP($A97&amp;"Annual",CHOOSE({1,2},leavebalances_base!$E$3:$E$1230&amp;leavebalances_base!$T$3:$T$1230,leavebalances_base!$AD$3:$AD$1230),2,FALSE)/Params!$B$2,"")</f>
        <v>5944.4160846317154</v>
      </c>
      <c r="Q97" s="6">
        <f>IFERROR(VLOOKUP(A97,overtime_base!$J:$L,2,FALSE),0)</f>
        <v>0</v>
      </c>
      <c r="R97" s="6">
        <f>IFERROR(VLOOKUP(A97,overtime_base!$J:$L,3,FALSE)/Params!$B$2,0)</f>
        <v>0</v>
      </c>
    </row>
    <row r="98" spans="1:18" ht="40" x14ac:dyDescent="0.35">
      <c r="A98" s="4" t="s">
        <v>323</v>
      </c>
      <c r="B98" s="5" t="s">
        <v>324</v>
      </c>
      <c r="C98" s="6" t="s">
        <v>20</v>
      </c>
      <c r="D98" s="6" t="s">
        <v>68</v>
      </c>
      <c r="E98" s="5" t="s">
        <v>325</v>
      </c>
      <c r="F98" s="6" t="s">
        <v>44</v>
      </c>
      <c r="G98" s="7">
        <v>33256</v>
      </c>
      <c r="H98" s="12">
        <f>DATEDIF(G98,Params!$B$3,"Y")</f>
        <v>35</v>
      </c>
      <c r="I98" s="12" t="str">
        <f>IF(H98&lt;25,"&lt;25 ans",IF(H98&lt;=29,"25 - 29 ans",IF(H98&lt;=34,"30 - 34 ans ",IF(H98&lt;=39,"35 - 39 ans ",IF(H98&lt;=44,"40 - 44 ans ",IF(H98&lt;=49,"45 - 49 ans ",IF(H98&lt;=54,"50 - 54 ans ","&gt;55")))))))</f>
        <v xml:space="preserve">35 - 39 ans </v>
      </c>
      <c r="J98" s="7">
        <v>44409</v>
      </c>
      <c r="K98" s="12">
        <f>DATEDIF(J98,Params!$B$3,"Y")</f>
        <v>4</v>
      </c>
      <c r="L98" s="12" t="str">
        <f>IF(K98&lt;1,"&lt;1 year",IF(K98&lt;=3,"1 - 3 year(s)",IF(K98&lt;=6,"4 - 6 years",IF(K98&lt;=9,"7 - 9 years","&gt;= 10 years"))))</f>
        <v>4 - 6 years</v>
      </c>
      <c r="M98" s="5" t="s">
        <v>115</v>
      </c>
      <c r="N98" s="8" t="s">
        <v>31</v>
      </c>
      <c r="O98" s="8" cm="1">
        <f t="array" ref="O98">IFERROR(VLOOKUP($A98&amp;"Annual",CHOOSE({1,2},leavebalances_base!$E$3:$E$1230&amp;leavebalances_base!$T$3:$T$1230,leavebalances_base!$AC$3:$AC$1230),2,FALSE),"")</f>
        <v>12.170000000007001</v>
      </c>
      <c r="P98" s="8" cm="1">
        <f t="array" ref="P98">IFERROR(VLOOKUP($A98&amp;"Annual",CHOOSE({1,2},leavebalances_base!$E$3:$E$1230&amp;leavebalances_base!$T$3:$T$1230,leavebalances_base!$AD$3:$AD$1230),2,FALSE)/Params!$B$2,"")</f>
        <v>773.59521075823227</v>
      </c>
      <c r="Q98" s="6">
        <f>IFERROR(VLOOKUP(A98,overtime_base!$J:$L,2,FALSE),0)</f>
        <v>15.43</v>
      </c>
      <c r="R98" s="6">
        <f>IFERROR(VLOOKUP(A98,overtime_base!$J:$L,3,FALSE)/Params!$B$2,0)</f>
        <v>177.08856585788561</v>
      </c>
    </row>
    <row r="99" spans="1:18" ht="40" x14ac:dyDescent="0.35">
      <c r="A99" s="4" t="s">
        <v>326</v>
      </c>
      <c r="B99" s="5" t="s">
        <v>327</v>
      </c>
      <c r="C99" s="6" t="s">
        <v>20</v>
      </c>
      <c r="D99" s="6" t="s">
        <v>68</v>
      </c>
      <c r="E99" s="5" t="s">
        <v>144</v>
      </c>
      <c r="F99" s="6" t="s">
        <v>145</v>
      </c>
      <c r="G99" s="7">
        <v>33567</v>
      </c>
      <c r="H99" s="12">
        <f>DATEDIF(G99,Params!$B$3,"Y")</f>
        <v>34</v>
      </c>
      <c r="I99" s="12" t="str">
        <f>IF(H99&lt;25,"&lt;25 ans",IF(H99&lt;=29,"25 - 29 ans",IF(H99&lt;=34,"30 - 34 ans ",IF(H99&lt;=39,"35 - 39 ans ",IF(H99&lt;=44,"40 - 44 ans ",IF(H99&lt;=49,"45 - 49 ans ",IF(H99&lt;=54,"50 - 54 ans ","&gt;55")))))))</f>
        <v xml:space="preserve">30 - 34 ans </v>
      </c>
      <c r="J99" s="7">
        <v>44409</v>
      </c>
      <c r="K99" s="12">
        <f>DATEDIF(J99,Params!$B$3,"Y")</f>
        <v>4</v>
      </c>
      <c r="L99" s="12" t="str">
        <f>IF(K99&lt;1,"&lt;1 year",IF(K99&lt;=3,"1 - 3 year(s)",IF(K99&lt;=6,"4 - 6 years",IF(K99&lt;=9,"7 - 9 years","&gt;= 10 years"))))</f>
        <v>4 - 6 years</v>
      </c>
      <c r="M99" s="5" t="s">
        <v>24</v>
      </c>
      <c r="N99" s="8" t="s">
        <v>31</v>
      </c>
      <c r="O99" s="8" cm="1">
        <f t="array" ref="O99">IFERROR(VLOOKUP($A99&amp;"Annual",CHOOSE({1,2},leavebalances_base!$E$3:$E$1230&amp;leavebalances_base!$T$3:$T$1230,leavebalances_base!$AC$3:$AC$1230),2,FALSE),"")</f>
        <v>25.493333333340001</v>
      </c>
      <c r="P99" s="8" cm="1">
        <f t="array" ref="P99">IFERROR(VLOOKUP($A99&amp;"Annual",CHOOSE({1,2},leavebalances_base!$E$3:$E$1230&amp;leavebalances_base!$T$3:$T$1230,leavebalances_base!$AD$3:$AD$1230),2,FALSE)/Params!$B$2,"")</f>
        <v>1331.1419705025996</v>
      </c>
      <c r="Q99" s="6">
        <f>IFERROR(VLOOKUP(A99,overtime_base!$J:$L,2,FALSE),0)</f>
        <v>7.09</v>
      </c>
      <c r="R99" s="6">
        <f>IFERROR(VLOOKUP(A99,overtime_base!$J:$L,3,FALSE)/Params!$B$2,0)</f>
        <v>52.91048960138648</v>
      </c>
    </row>
    <row r="100" spans="1:18" ht="40" x14ac:dyDescent="0.35">
      <c r="A100" s="4" t="s">
        <v>328</v>
      </c>
      <c r="B100" s="5" t="s">
        <v>329</v>
      </c>
      <c r="C100" s="6" t="s">
        <v>20</v>
      </c>
      <c r="D100" s="6" t="s">
        <v>68</v>
      </c>
      <c r="E100" s="5" t="s">
        <v>128</v>
      </c>
      <c r="F100" s="6" t="s">
        <v>35</v>
      </c>
      <c r="G100" s="7">
        <v>26801</v>
      </c>
      <c r="H100" s="12">
        <f>DATEDIF(G100,Params!$B$3,"Y")</f>
        <v>53</v>
      </c>
      <c r="I100" s="12" t="str">
        <f>IF(H100&lt;25,"&lt;25 ans",IF(H100&lt;=29,"25 - 29 ans",IF(H100&lt;=34,"30 - 34 ans ",IF(H100&lt;=39,"35 - 39 ans ",IF(H100&lt;=44,"40 - 44 ans ",IF(H100&lt;=49,"45 - 49 ans ",IF(H100&lt;=54,"50 - 54 ans ","&gt;55")))))))</f>
        <v xml:space="preserve">50 - 54 ans </v>
      </c>
      <c r="J100" s="7">
        <v>44409</v>
      </c>
      <c r="K100" s="12">
        <f>DATEDIF(J100,Params!$B$3,"Y")</f>
        <v>4</v>
      </c>
      <c r="L100" s="12" t="str">
        <f>IF(K100&lt;1,"&lt;1 year",IF(K100&lt;=3,"1 - 3 year(s)",IF(K100&lt;=6,"4 - 6 years",IF(K100&lt;=9,"7 - 9 years","&gt;= 10 years"))))</f>
        <v>4 - 6 years</v>
      </c>
      <c r="M100" s="5" t="s">
        <v>24</v>
      </c>
      <c r="N100" s="8" t="s">
        <v>31</v>
      </c>
      <c r="O100" s="8" cm="1">
        <f t="array" ref="O100">IFERROR(VLOOKUP($A100&amp;"Annual",CHOOSE({1,2},leavebalances_base!$E$3:$E$1230&amp;leavebalances_base!$T$3:$T$1230,leavebalances_base!$AC$3:$AC$1230),2,FALSE),"")</f>
        <v>18.666666666672</v>
      </c>
      <c r="P100" s="8" cm="1">
        <f t="array" ref="P100">IFERROR(VLOOKUP($A100&amp;"Annual",CHOOSE({1,2},leavebalances_base!$E$3:$E$1230&amp;leavebalances_base!$T$3:$T$1230,leavebalances_base!$AD$3:$AD$1230),2,FALSE)/Params!$B$2,"")</f>
        <v>589.20955071923743</v>
      </c>
      <c r="Q100" s="6">
        <f>IFERROR(VLOOKUP(A100,overtime_base!$J:$L,2,FALSE),0)</f>
        <v>27.43</v>
      </c>
      <c r="R100" s="6">
        <f>IFERROR(VLOOKUP(A100,overtime_base!$J:$L,3,FALSE)/Params!$B$2,0)</f>
        <v>99.566603119584059</v>
      </c>
    </row>
    <row r="101" spans="1:18" ht="40" x14ac:dyDescent="0.35">
      <c r="A101" s="4" t="s">
        <v>330</v>
      </c>
      <c r="B101" s="5" t="s">
        <v>331</v>
      </c>
      <c r="C101" s="6" t="s">
        <v>20</v>
      </c>
      <c r="D101" s="6" t="s">
        <v>68</v>
      </c>
      <c r="E101" s="5" t="s">
        <v>332</v>
      </c>
      <c r="F101" s="6" t="s">
        <v>44</v>
      </c>
      <c r="G101" s="7">
        <v>32519</v>
      </c>
      <c r="H101" s="12">
        <f>DATEDIF(G101,Params!$B$3,"Y")</f>
        <v>37</v>
      </c>
      <c r="I101" s="12" t="str">
        <f>IF(H101&lt;25,"&lt;25 ans",IF(H101&lt;=29,"25 - 29 ans",IF(H101&lt;=34,"30 - 34 ans ",IF(H101&lt;=39,"35 - 39 ans ",IF(H101&lt;=44,"40 - 44 ans ",IF(H101&lt;=49,"45 - 49 ans ",IF(H101&lt;=54,"50 - 54 ans ","&gt;55")))))))</f>
        <v xml:space="preserve">35 - 39 ans </v>
      </c>
      <c r="J101" s="7">
        <v>44409</v>
      </c>
      <c r="K101" s="12">
        <f>DATEDIF(J101,Params!$B$3,"Y")</f>
        <v>4</v>
      </c>
      <c r="L101" s="12" t="str">
        <f>IF(K101&lt;1,"&lt;1 year",IF(K101&lt;=3,"1 - 3 year(s)",IF(K101&lt;=6,"4 - 6 years",IF(K101&lt;=9,"7 - 9 years","&gt;= 10 years"))))</f>
        <v>4 - 6 years</v>
      </c>
      <c r="M101" s="5" t="s">
        <v>24</v>
      </c>
      <c r="N101" s="8" t="s">
        <v>31</v>
      </c>
      <c r="O101" s="8" cm="1">
        <f t="array" ref="O101">IFERROR(VLOOKUP($A101&amp;"Annual",CHOOSE({1,2},leavebalances_base!$E$3:$E$1230&amp;leavebalances_base!$T$3:$T$1230,leavebalances_base!$AC$3:$AC$1230),2,FALSE),"")</f>
        <v>16.340000000002998</v>
      </c>
      <c r="P101" s="8" cm="1">
        <f t="array" ref="P101">IFERROR(VLOOKUP($A101&amp;"Annual",CHOOSE({1,2},leavebalances_base!$E$3:$E$1230&amp;leavebalances_base!$T$3:$T$1230,leavebalances_base!$AD$3:$AD$1230),2,FALSE)/Params!$B$2,"")</f>
        <v>730.40214708405551</v>
      </c>
      <c r="Q101" s="6">
        <f>IFERROR(VLOOKUP(A101,overtime_base!$J:$L,2,FALSE),0)</f>
        <v>8</v>
      </c>
      <c r="R101" s="6">
        <f>IFERROR(VLOOKUP(A101,overtime_base!$J:$L,3,FALSE)/Params!$B$2,0)</f>
        <v>49.563349220103987</v>
      </c>
    </row>
    <row r="102" spans="1:18" ht="40" x14ac:dyDescent="0.35">
      <c r="A102" s="4" t="s">
        <v>333</v>
      </c>
      <c r="B102" s="5" t="s">
        <v>334</v>
      </c>
      <c r="C102" s="6" t="s">
        <v>20</v>
      </c>
      <c r="D102" s="6" t="s">
        <v>68</v>
      </c>
      <c r="E102" s="5" t="s">
        <v>216</v>
      </c>
      <c r="F102" s="6" t="s">
        <v>65</v>
      </c>
      <c r="G102" s="7">
        <v>25275</v>
      </c>
      <c r="H102" s="12">
        <f>DATEDIF(G102,Params!$B$3,"Y")</f>
        <v>57</v>
      </c>
      <c r="I102" s="12" t="str">
        <f>IF(H102&lt;25,"&lt;25 ans",IF(H102&lt;=29,"25 - 29 ans",IF(H102&lt;=34,"30 - 34 ans ",IF(H102&lt;=39,"35 - 39 ans ",IF(H102&lt;=44,"40 - 44 ans ",IF(H102&lt;=49,"45 - 49 ans ",IF(H102&lt;=54,"50 - 54 ans ","&gt;55")))))))</f>
        <v>&gt;55</v>
      </c>
      <c r="J102" s="7">
        <v>44396</v>
      </c>
      <c r="K102" s="12">
        <f>DATEDIF(J102,Params!$B$3,"Y")</f>
        <v>5</v>
      </c>
      <c r="L102" s="12" t="str">
        <f>IF(K102&lt;1,"&lt;1 year",IF(K102&lt;=3,"1 - 3 year(s)",IF(K102&lt;=6,"4 - 6 years",IF(K102&lt;=9,"7 - 9 years","&gt;= 10 years"))))</f>
        <v>4 - 6 years</v>
      </c>
      <c r="M102" s="5" t="s">
        <v>45</v>
      </c>
      <c r="N102" s="8" t="s">
        <v>31</v>
      </c>
      <c r="O102" s="8" cm="1">
        <f t="array" ref="O102">IFERROR(VLOOKUP($A102&amp;"Annual",CHOOSE({1,2},leavebalances_base!$E$3:$E$1230&amp;leavebalances_base!$T$3:$T$1230,leavebalances_base!$AC$3:$AC$1230),2,FALSE),"")</f>
        <v>26.41666666667</v>
      </c>
      <c r="P102" s="8" cm="1">
        <f t="array" ref="P102">IFERROR(VLOOKUP($A102&amp;"Annual",CHOOSE({1,2},leavebalances_base!$E$3:$E$1230&amp;leavebalances_base!$T$3:$T$1230,leavebalances_base!$AD$3:$AD$1230),2,FALSE)/Params!$B$2,"")</f>
        <v>2221.096376087522</v>
      </c>
      <c r="Q102" s="6">
        <f>IFERROR(VLOOKUP(A102,overtime_base!$J:$L,2,FALSE),0)</f>
        <v>35.29</v>
      </c>
      <c r="R102" s="6">
        <f>IFERROR(VLOOKUP(A102,overtime_base!$J:$L,3,FALSE)/Params!$B$2,0)</f>
        <v>515.48235268630845</v>
      </c>
    </row>
    <row r="103" spans="1:18" ht="40" x14ac:dyDescent="0.35">
      <c r="A103" s="4" t="s">
        <v>335</v>
      </c>
      <c r="B103" s="5" t="s">
        <v>336</v>
      </c>
      <c r="C103" s="6" t="s">
        <v>20</v>
      </c>
      <c r="D103" s="6" t="s">
        <v>68</v>
      </c>
      <c r="E103" s="5" t="s">
        <v>337</v>
      </c>
      <c r="F103" s="6" t="s">
        <v>44</v>
      </c>
      <c r="G103" s="7">
        <v>31273</v>
      </c>
      <c r="H103" s="12">
        <f>DATEDIF(G103,Params!$B$3,"Y")</f>
        <v>40</v>
      </c>
      <c r="I103" s="12" t="str">
        <f>IF(H103&lt;25,"&lt;25 ans",IF(H103&lt;=29,"25 - 29 ans",IF(H103&lt;=34,"30 - 34 ans ",IF(H103&lt;=39,"35 - 39 ans ",IF(H103&lt;=44,"40 - 44 ans ",IF(H103&lt;=49,"45 - 49 ans ",IF(H103&lt;=54,"50 - 54 ans ","&gt;55")))))))</f>
        <v xml:space="preserve">40 - 44 ans </v>
      </c>
      <c r="J103" s="7">
        <v>44396</v>
      </c>
      <c r="K103" s="12">
        <f>DATEDIF(J103,Params!$B$3,"Y")</f>
        <v>5</v>
      </c>
      <c r="L103" s="12" t="str">
        <f>IF(K103&lt;1,"&lt;1 year",IF(K103&lt;=3,"1 - 3 year(s)",IF(K103&lt;=6,"4 - 6 years",IF(K103&lt;=9,"7 - 9 years","&gt;= 10 years"))))</f>
        <v>4 - 6 years</v>
      </c>
      <c r="M103" s="5" t="s">
        <v>45</v>
      </c>
      <c r="N103" s="8" t="s">
        <v>31</v>
      </c>
      <c r="O103" s="8" cm="1">
        <f t="array" ref="O103">IFERROR(VLOOKUP($A103&amp;"Annual",CHOOSE({1,2},leavebalances_base!$E$3:$E$1230&amp;leavebalances_base!$T$3:$T$1230,leavebalances_base!$AC$3:$AC$1230),2,FALSE),"")</f>
        <v>24.41666666667</v>
      </c>
      <c r="P103" s="8" cm="1">
        <f t="array" ref="P103">IFERROR(VLOOKUP($A103&amp;"Annual",CHOOSE({1,2},leavebalances_base!$E$3:$E$1230&amp;leavebalances_base!$T$3:$T$1230,leavebalances_base!$AD$3:$AD$1230),2,FALSE)/Params!$B$2,"")</f>
        <v>1930.0319445407279</v>
      </c>
      <c r="Q103" s="6">
        <f>IFERROR(VLOOKUP(A103,overtime_base!$J:$L,2,FALSE),0)</f>
        <v>51.169999999999995</v>
      </c>
      <c r="R103" s="6">
        <f>IFERROR(VLOOKUP(A103,overtime_base!$J:$L,3,FALSE)/Params!$B$2,0)</f>
        <v>608.58357452339692</v>
      </c>
    </row>
    <row r="104" spans="1:18" ht="40" x14ac:dyDescent="0.35">
      <c r="A104" s="4" t="s">
        <v>338</v>
      </c>
      <c r="B104" s="5" t="s">
        <v>339</v>
      </c>
      <c r="C104" s="6" t="s">
        <v>20</v>
      </c>
      <c r="D104" s="6" t="s">
        <v>68</v>
      </c>
      <c r="E104" s="5" t="s">
        <v>148</v>
      </c>
      <c r="F104" s="6" t="s">
        <v>65</v>
      </c>
      <c r="G104" s="7">
        <v>33784</v>
      </c>
      <c r="H104" s="12">
        <f>DATEDIF(G104,Params!$B$3,"Y")</f>
        <v>34</v>
      </c>
      <c r="I104" s="12" t="str">
        <f>IF(H104&lt;25,"&lt;25 ans",IF(H104&lt;=29,"25 - 29 ans",IF(H104&lt;=34,"30 - 34 ans ",IF(H104&lt;=39,"35 - 39 ans ",IF(H104&lt;=44,"40 - 44 ans ",IF(H104&lt;=49,"45 - 49 ans ",IF(H104&lt;=54,"50 - 54 ans ","&gt;55")))))))</f>
        <v xml:space="preserve">30 - 34 ans </v>
      </c>
      <c r="J104" s="7">
        <v>44564</v>
      </c>
      <c r="K104" s="12">
        <f>DATEDIF(J104,Params!$B$3,"Y")</f>
        <v>4</v>
      </c>
      <c r="L104" s="12" t="str">
        <f>IF(K104&lt;1,"&lt;1 year",IF(K104&lt;=3,"1 - 3 year(s)",IF(K104&lt;=6,"4 - 6 years",IF(K104&lt;=9,"7 - 9 years","&gt;= 10 years"))))</f>
        <v>4 - 6 years</v>
      </c>
      <c r="M104" s="5" t="s">
        <v>149</v>
      </c>
      <c r="N104" s="8" t="s">
        <v>36</v>
      </c>
      <c r="O104" s="8" cm="1">
        <f t="array" ref="O104">IFERROR(VLOOKUP($A104&amp;"Annual",CHOOSE({1,2},leavebalances_base!$E$3:$E$1230&amp;leavebalances_base!$T$3:$T$1230,leavebalances_base!$AC$3:$AC$1230),2,FALSE),"")</f>
        <v>29.916666666670999</v>
      </c>
      <c r="P104" s="8" cm="1">
        <f t="array" ref="P104">IFERROR(VLOOKUP($A104&amp;"Annual",CHOOSE({1,2},leavebalances_base!$E$3:$E$1230&amp;leavebalances_base!$T$3:$T$1230,leavebalances_base!$AD$3:$AD$1230),2,FALSE)/Params!$B$2,"")</f>
        <v>2606.8318392027727</v>
      </c>
      <c r="Q104" s="6">
        <f>IFERROR(VLOOKUP(A104,overtime_base!$J:$L,2,FALSE),0)</f>
        <v>0</v>
      </c>
      <c r="R104" s="6">
        <f>IFERROR(VLOOKUP(A104,overtime_base!$J:$L,3,FALSE)/Params!$B$2,0)</f>
        <v>0</v>
      </c>
    </row>
    <row r="105" spans="1:18" ht="40" x14ac:dyDescent="0.35">
      <c r="A105" s="4" t="s">
        <v>340</v>
      </c>
      <c r="B105" s="5" t="s">
        <v>341</v>
      </c>
      <c r="C105" s="6" t="s">
        <v>20</v>
      </c>
      <c r="D105" s="6" t="s">
        <v>68</v>
      </c>
      <c r="E105" s="5" t="s">
        <v>342</v>
      </c>
      <c r="F105" s="6" t="s">
        <v>129</v>
      </c>
      <c r="G105" s="7">
        <v>34015</v>
      </c>
      <c r="H105" s="12">
        <f>DATEDIF(G105,Params!$B$3,"Y")</f>
        <v>33</v>
      </c>
      <c r="I105" s="12" t="str">
        <f>IF(H105&lt;25,"&lt;25 ans",IF(H105&lt;=29,"25 - 29 ans",IF(H105&lt;=34,"30 - 34 ans ",IF(H105&lt;=39,"35 - 39 ans ",IF(H105&lt;=44,"40 - 44 ans ",IF(H105&lt;=49,"45 - 49 ans ",IF(H105&lt;=54,"50 - 54 ans ","&gt;55")))))))</f>
        <v xml:space="preserve">30 - 34 ans </v>
      </c>
      <c r="J105" s="7">
        <v>44652</v>
      </c>
      <c r="K105" s="12">
        <f>DATEDIF(J105,Params!$B$3,"Y")</f>
        <v>4</v>
      </c>
      <c r="L105" s="12" t="str">
        <f>IF(K105&lt;1,"&lt;1 year",IF(K105&lt;=3,"1 - 3 year(s)",IF(K105&lt;=6,"4 - 6 years",IF(K105&lt;=9,"7 - 9 years","&gt;= 10 years"))))</f>
        <v>4 - 6 years</v>
      </c>
      <c r="M105" s="5" t="s">
        <v>24</v>
      </c>
      <c r="N105" s="8" t="s">
        <v>31</v>
      </c>
      <c r="O105" s="8" cm="1">
        <f t="array" ref="O105">IFERROR(VLOOKUP($A105&amp;"Annual",CHOOSE({1,2},leavebalances_base!$E$3:$E$1230&amp;leavebalances_base!$T$3:$T$1230,leavebalances_base!$AC$3:$AC$1230),2,FALSE),"")</f>
        <v>16.000000000008001</v>
      </c>
      <c r="P105" s="8" cm="1">
        <f t="array" ref="P105">IFERROR(VLOOKUP($A105&amp;"Annual",CHOOSE({1,2},leavebalances_base!$E$3:$E$1230&amp;leavebalances_base!$T$3:$T$1230,leavebalances_base!$AD$3:$AD$1230),2,FALSE)/Params!$B$2,"")</f>
        <v>532.81609652079726</v>
      </c>
      <c r="Q105" s="6">
        <f>IFERROR(VLOOKUP(A105,overtime_base!$J:$L,2,FALSE),0)</f>
        <v>34.93</v>
      </c>
      <c r="R105" s="6">
        <f>IFERROR(VLOOKUP(A105,overtime_base!$J:$L,3,FALSE)/Params!$B$2,0)</f>
        <v>154.52986568457538</v>
      </c>
    </row>
    <row r="106" spans="1:18" ht="40" x14ac:dyDescent="0.35">
      <c r="A106" s="4" t="s">
        <v>343</v>
      </c>
      <c r="B106" s="5" t="s">
        <v>344</v>
      </c>
      <c r="C106" s="6" t="s">
        <v>20</v>
      </c>
      <c r="D106" s="6" t="s">
        <v>68</v>
      </c>
      <c r="E106" s="5" t="s">
        <v>345</v>
      </c>
      <c r="F106" s="6" t="s">
        <v>65</v>
      </c>
      <c r="G106" s="7">
        <v>32893</v>
      </c>
      <c r="H106" s="12">
        <f>DATEDIF(G106,Params!$B$3,"Y")</f>
        <v>36</v>
      </c>
      <c r="I106" s="12" t="str">
        <f>IF(H106&lt;25,"&lt;25 ans",IF(H106&lt;=29,"25 - 29 ans",IF(H106&lt;=34,"30 - 34 ans ",IF(H106&lt;=39,"35 - 39 ans ",IF(H106&lt;=44,"40 - 44 ans ",IF(H106&lt;=49,"45 - 49 ans ",IF(H106&lt;=54,"50 - 54 ans ","&gt;55")))))))</f>
        <v xml:space="preserve">35 - 39 ans </v>
      </c>
      <c r="J106" s="7">
        <v>44652</v>
      </c>
      <c r="K106" s="12">
        <f>DATEDIF(J106,Params!$B$3,"Y")</f>
        <v>4</v>
      </c>
      <c r="L106" s="12" t="str">
        <f>IF(K106&lt;1,"&lt;1 year",IF(K106&lt;=3,"1 - 3 year(s)",IF(K106&lt;=6,"4 - 6 years",IF(K106&lt;=9,"7 - 9 years","&gt;= 10 years"))))</f>
        <v>4 - 6 years</v>
      </c>
      <c r="M106" s="5" t="s">
        <v>45</v>
      </c>
      <c r="N106" s="8" t="s">
        <v>31</v>
      </c>
      <c r="O106" s="8" cm="1">
        <f t="array" ref="O106">IFERROR(VLOOKUP($A106&amp;"Annual",CHOOSE({1,2},leavebalances_base!$E$3:$E$1230&amp;leavebalances_base!$T$3:$T$1230,leavebalances_base!$AC$3:$AC$1230),2,FALSE),"")</f>
        <v>1.5033333333350001</v>
      </c>
      <c r="P106" s="8" cm="1">
        <f t="array" ref="P106">IFERROR(VLOOKUP($A106&amp;"Annual",CHOOSE({1,2},leavebalances_base!$E$3:$E$1230&amp;leavebalances_base!$T$3:$T$1230,leavebalances_base!$AD$3:$AD$1230),2,FALSE)/Params!$B$2,"")</f>
        <v>96.420517157712311</v>
      </c>
      <c r="Q106" s="6">
        <f>IFERROR(VLOOKUP(A106,overtime_base!$J:$L,2,FALSE),0)</f>
        <v>4.03</v>
      </c>
      <c r="R106" s="6">
        <f>IFERROR(VLOOKUP(A106,overtime_base!$J:$L,3,FALSE)/Params!$B$2,0)</f>
        <v>36.981785095320625</v>
      </c>
    </row>
    <row r="107" spans="1:18" ht="40" x14ac:dyDescent="0.35">
      <c r="A107" s="4" t="s">
        <v>346</v>
      </c>
      <c r="B107" s="5" t="s">
        <v>347</v>
      </c>
      <c r="C107" s="6" t="s">
        <v>20</v>
      </c>
      <c r="D107" s="6" t="s">
        <v>68</v>
      </c>
      <c r="E107" s="5" t="s">
        <v>348</v>
      </c>
      <c r="F107" s="6" t="s">
        <v>35</v>
      </c>
      <c r="G107" s="7">
        <v>30317</v>
      </c>
      <c r="H107" s="12">
        <f>DATEDIF(G107,Params!$B$3,"Y")</f>
        <v>43</v>
      </c>
      <c r="I107" s="12" t="str">
        <f>IF(H107&lt;25,"&lt;25 ans",IF(H107&lt;=29,"25 - 29 ans",IF(H107&lt;=34,"30 - 34 ans ",IF(H107&lt;=39,"35 - 39 ans ",IF(H107&lt;=44,"40 - 44 ans ",IF(H107&lt;=49,"45 - 49 ans ",IF(H107&lt;=54,"50 - 54 ans ","&gt;55")))))))</f>
        <v xml:space="preserve">40 - 44 ans </v>
      </c>
      <c r="J107" s="7">
        <v>44704</v>
      </c>
      <c r="K107" s="12">
        <f>DATEDIF(J107,Params!$B$3,"Y")</f>
        <v>4</v>
      </c>
      <c r="L107" s="12" t="str">
        <f>IF(K107&lt;1,"&lt;1 year",IF(K107&lt;=3,"1 - 3 year(s)",IF(K107&lt;=6,"4 - 6 years",IF(K107&lt;=9,"7 - 9 years","&gt;= 10 years"))))</f>
        <v>4 - 6 years</v>
      </c>
      <c r="M107" s="5" t="s">
        <v>45</v>
      </c>
      <c r="N107" s="8" t="s">
        <v>31</v>
      </c>
      <c r="O107" s="8" cm="1">
        <f t="array" ref="O107">IFERROR(VLOOKUP($A107&amp;"Annual",CHOOSE({1,2},leavebalances_base!$E$3:$E$1230&amp;leavebalances_base!$T$3:$T$1230,leavebalances_base!$AC$3:$AC$1230),2,FALSE),"")</f>
        <v>24.916666666674999</v>
      </c>
      <c r="P107" s="8" cm="1">
        <f t="array" ref="P107">IFERROR(VLOOKUP($A107&amp;"Annual",CHOOSE({1,2},leavebalances_base!$E$3:$E$1230&amp;leavebalances_base!$T$3:$T$1230,leavebalances_base!$AD$3:$AD$1230),2,FALSE)/Params!$B$2,"")</f>
        <v>683.53100500866549</v>
      </c>
      <c r="Q107" s="6">
        <f>IFERROR(VLOOKUP(A107,overtime_base!$J:$L,2,FALSE),0)</f>
        <v>61.730000000000004</v>
      </c>
      <c r="R107" s="6">
        <f>IFERROR(VLOOKUP(A107,overtime_base!$J:$L,3,FALSE)/Params!$B$2,0)</f>
        <v>188.14640814558058</v>
      </c>
    </row>
    <row r="108" spans="1:18" ht="40" x14ac:dyDescent="0.35">
      <c r="A108" s="4" t="s">
        <v>349</v>
      </c>
      <c r="B108" s="5" t="s">
        <v>350</v>
      </c>
      <c r="C108" s="6" t="s">
        <v>20</v>
      </c>
      <c r="D108" s="6" t="s">
        <v>68</v>
      </c>
      <c r="E108" s="5" t="s">
        <v>351</v>
      </c>
      <c r="F108" s="6" t="s">
        <v>65</v>
      </c>
      <c r="G108" s="7">
        <v>35114</v>
      </c>
      <c r="H108" s="12">
        <f>DATEDIF(G108,Params!$B$3,"Y")</f>
        <v>30</v>
      </c>
      <c r="I108" s="12" t="str">
        <f>IF(H108&lt;25,"&lt;25 ans",IF(H108&lt;=29,"25 - 29 ans",IF(H108&lt;=34,"30 - 34 ans ",IF(H108&lt;=39,"35 - 39 ans ",IF(H108&lt;=44,"40 - 44 ans ",IF(H108&lt;=49,"45 - 49 ans ",IF(H108&lt;=54,"50 - 54 ans ","&gt;55")))))))</f>
        <v xml:space="preserve">30 - 34 ans </v>
      </c>
      <c r="J108" s="7">
        <v>45446</v>
      </c>
      <c r="K108" s="12">
        <f>DATEDIF(J108,Params!$B$3,"Y")</f>
        <v>2</v>
      </c>
      <c r="L108" s="12" t="str">
        <f>IF(K108&lt;1,"&lt;1 year",IF(K108&lt;=3,"1 - 3 year(s)",IF(K108&lt;=6,"4 - 6 years",IF(K108&lt;=9,"7 - 9 years","&gt;= 10 years"))))</f>
        <v>1 - 3 year(s)</v>
      </c>
      <c r="M108" s="5" t="s">
        <v>45</v>
      </c>
      <c r="N108" s="8" t="s">
        <v>31</v>
      </c>
      <c r="O108" s="8" cm="1">
        <f t="array" ref="O108">IFERROR(VLOOKUP($A108&amp;"Annual",CHOOSE({1,2},leavebalances_base!$E$3:$E$1230&amp;leavebalances_base!$T$3:$T$1230,leavebalances_base!$AC$3:$AC$1230),2,FALSE),"")</f>
        <v>27.544444443324998</v>
      </c>
      <c r="P108" s="8" cm="1">
        <f t="array" ref="P108">IFERROR(VLOOKUP($A108&amp;"Annual",CHOOSE({1,2},leavebalances_base!$E$3:$E$1230&amp;leavebalances_base!$T$3:$T$1230,leavebalances_base!$AD$3:$AD$1230),2,FALSE)/Params!$B$2,"")</f>
        <v>2007.1583833405546</v>
      </c>
      <c r="Q108" s="6">
        <f>IFERROR(VLOOKUP(A108,overtime_base!$J:$L,2,FALSE),0)</f>
        <v>15.41</v>
      </c>
      <c r="R108" s="6">
        <f>IFERROR(VLOOKUP(A108,overtime_base!$J:$L,3,FALSE)/Params!$B$2,0)</f>
        <v>165.97457972270362</v>
      </c>
    </row>
    <row r="109" spans="1:18" ht="40" x14ac:dyDescent="0.35">
      <c r="A109" s="4" t="s">
        <v>352</v>
      </c>
      <c r="B109" s="5" t="s">
        <v>353</v>
      </c>
      <c r="C109" s="6" t="s">
        <v>48</v>
      </c>
      <c r="D109" s="6" t="s">
        <v>68</v>
      </c>
      <c r="E109" s="5" t="s">
        <v>354</v>
      </c>
      <c r="F109" s="6" t="s">
        <v>29</v>
      </c>
      <c r="G109" s="7">
        <v>35574</v>
      </c>
      <c r="H109" s="12">
        <f>DATEDIF(G109,Params!$B$3,"Y")</f>
        <v>29</v>
      </c>
      <c r="I109" s="12" t="str">
        <f>IF(H109&lt;25,"&lt;25 ans",IF(H109&lt;=29,"25 - 29 ans",IF(H109&lt;=34,"30 - 34 ans ",IF(H109&lt;=39,"35 - 39 ans ",IF(H109&lt;=44,"40 - 44 ans ",IF(H109&lt;=49,"45 - 49 ans ",IF(H109&lt;=54,"50 - 54 ans ","&gt;55")))))))</f>
        <v>25 - 29 ans</v>
      </c>
      <c r="J109" s="7">
        <v>44746</v>
      </c>
      <c r="K109" s="12">
        <f>DATEDIF(J109,Params!$B$3,"Y")</f>
        <v>4</v>
      </c>
      <c r="L109" s="12" t="str">
        <f>IF(K109&lt;1,"&lt;1 year",IF(K109&lt;=3,"1 - 3 year(s)",IF(K109&lt;=6,"4 - 6 years",IF(K109&lt;=9,"7 - 9 years","&gt;= 10 years"))))</f>
        <v>4 - 6 years</v>
      </c>
      <c r="M109" s="5" t="s">
        <v>40</v>
      </c>
      <c r="N109" s="8" t="s">
        <v>36</v>
      </c>
      <c r="O109" s="8" cm="1">
        <f t="array" ref="O109">IFERROR(VLOOKUP($A109&amp;"Annual",CHOOSE({1,2},leavebalances_base!$E$3:$E$1230&amp;leavebalances_base!$T$3:$T$1230,leavebalances_base!$AC$3:$AC$1230),2,FALSE),"")</f>
        <v>14.750000000002</v>
      </c>
      <c r="P109" s="8" cm="1">
        <f t="array" ref="P109">IFERROR(VLOOKUP($A109&amp;"Annual",CHOOSE({1,2},leavebalances_base!$E$3:$E$1230&amp;leavebalances_base!$T$3:$T$1230,leavebalances_base!$AD$3:$AD$1230),2,FALSE)/Params!$B$2,"")</f>
        <v>1724.4191448223571</v>
      </c>
      <c r="Q109" s="6">
        <f>IFERROR(VLOOKUP(A109,overtime_base!$J:$L,2,FALSE),0)</f>
        <v>0</v>
      </c>
      <c r="R109" s="6">
        <f>IFERROR(VLOOKUP(A109,overtime_base!$J:$L,3,FALSE)/Params!$B$2,0)</f>
        <v>0</v>
      </c>
    </row>
    <row r="110" spans="1:18" ht="40" x14ac:dyDescent="0.35">
      <c r="A110" s="4" t="s">
        <v>355</v>
      </c>
      <c r="B110" s="5" t="s">
        <v>356</v>
      </c>
      <c r="C110" s="6" t="s">
        <v>20</v>
      </c>
      <c r="D110" s="6" t="s">
        <v>68</v>
      </c>
      <c r="E110" s="5" t="s">
        <v>357</v>
      </c>
      <c r="F110" s="6" t="s">
        <v>44</v>
      </c>
      <c r="G110" s="7">
        <v>28626</v>
      </c>
      <c r="H110" s="12">
        <f>DATEDIF(G110,Params!$B$3,"Y")</f>
        <v>48</v>
      </c>
      <c r="I110" s="12" t="str">
        <f>IF(H110&lt;25,"&lt;25 ans",IF(H110&lt;=29,"25 - 29 ans",IF(H110&lt;=34,"30 - 34 ans ",IF(H110&lt;=39,"35 - 39 ans ",IF(H110&lt;=44,"40 - 44 ans ",IF(H110&lt;=49,"45 - 49 ans ",IF(H110&lt;=54,"50 - 54 ans ","&gt;55")))))))</f>
        <v xml:space="preserve">45 - 49 ans </v>
      </c>
      <c r="J110" s="7">
        <v>44746</v>
      </c>
      <c r="K110" s="12">
        <f>DATEDIF(J110,Params!$B$3,"Y")</f>
        <v>4</v>
      </c>
      <c r="L110" s="12" t="str">
        <f>IF(K110&lt;1,"&lt;1 year",IF(K110&lt;=3,"1 - 3 year(s)",IF(K110&lt;=6,"4 - 6 years",IF(K110&lt;=9,"7 - 9 years","&gt;= 10 years"))))</f>
        <v>4 - 6 years</v>
      </c>
      <c r="M110" s="5" t="s">
        <v>254</v>
      </c>
      <c r="N110" s="8" t="s">
        <v>36</v>
      </c>
      <c r="O110" s="8" cm="1">
        <f t="array" ref="O110">IFERROR(VLOOKUP($A110&amp;"Annual",CHOOSE({1,2},leavebalances_base!$E$3:$E$1230&amp;leavebalances_base!$T$3:$T$1230,leavebalances_base!$AC$3:$AC$1230),2,FALSE),"")</f>
        <v>33</v>
      </c>
      <c r="P110" s="8" cm="1">
        <f t="array" ref="P110">IFERROR(VLOOKUP($A110&amp;"Annual",CHOOSE({1,2},leavebalances_base!$E$3:$E$1230&amp;leavebalances_base!$T$3:$T$1230,leavebalances_base!$AD$3:$AD$1230),2,FALSE)/Params!$B$2,"")</f>
        <v>2133.9460118630845</v>
      </c>
      <c r="Q110" s="6">
        <f>IFERROR(VLOOKUP(A110,overtime_base!$J:$L,2,FALSE),0)</f>
        <v>0</v>
      </c>
      <c r="R110" s="6">
        <f>IFERROR(VLOOKUP(A110,overtime_base!$J:$L,3,FALSE)/Params!$B$2,0)</f>
        <v>0</v>
      </c>
    </row>
    <row r="111" spans="1:18" ht="40" x14ac:dyDescent="0.35">
      <c r="A111" s="4" t="s">
        <v>358</v>
      </c>
      <c r="B111" s="5" t="s">
        <v>359</v>
      </c>
      <c r="C111" s="6" t="s">
        <v>20</v>
      </c>
      <c r="D111" s="6" t="s">
        <v>68</v>
      </c>
      <c r="E111" s="5" t="s">
        <v>201</v>
      </c>
      <c r="F111" s="6" t="s">
        <v>57</v>
      </c>
      <c r="G111" s="7">
        <v>32694</v>
      </c>
      <c r="H111" s="12">
        <f>DATEDIF(G111,Params!$B$3,"Y")</f>
        <v>37</v>
      </c>
      <c r="I111" s="12" t="str">
        <f>IF(H111&lt;25,"&lt;25 ans",IF(H111&lt;=29,"25 - 29 ans",IF(H111&lt;=34,"30 - 34 ans ",IF(H111&lt;=39,"35 - 39 ans ",IF(H111&lt;=44,"40 - 44 ans ",IF(H111&lt;=49,"45 - 49 ans ",IF(H111&lt;=54,"50 - 54 ans ","&gt;55")))))))</f>
        <v xml:space="preserve">35 - 39 ans </v>
      </c>
      <c r="J111" s="7">
        <v>44775</v>
      </c>
      <c r="K111" s="12">
        <f>DATEDIF(J111,Params!$B$3,"Y")</f>
        <v>3</v>
      </c>
      <c r="L111" s="12" t="str">
        <f>IF(K111&lt;1,"&lt;1 year",IF(K111&lt;=3,"1 - 3 year(s)",IF(K111&lt;=6,"4 - 6 years",IF(K111&lt;=9,"7 - 9 years","&gt;= 10 years"))))</f>
        <v>1 - 3 year(s)</v>
      </c>
      <c r="M111" s="5" t="s">
        <v>40</v>
      </c>
      <c r="N111" s="8" t="s">
        <v>36</v>
      </c>
      <c r="O111" s="8" cm="1">
        <f t="array" ref="O111">IFERROR(VLOOKUP($A111&amp;"Annual",CHOOSE({1,2},leavebalances_base!$E$3:$E$1230&amp;leavebalances_base!$T$3:$T$1230,leavebalances_base!$AC$3:$AC$1230),2,FALSE),"")</f>
        <v>20.999999999996</v>
      </c>
      <c r="P111" s="8" cm="1">
        <f t="array" ref="P111">IFERROR(VLOOKUP($A111&amp;"Annual",CHOOSE({1,2},leavebalances_base!$E$3:$E$1230&amp;leavebalances_base!$T$3:$T$1230,leavebalances_base!$AD$3:$AD$1230),2,FALSE)/Params!$B$2,"")</f>
        <v>4427.355774891681</v>
      </c>
      <c r="Q111" s="6">
        <f>IFERROR(VLOOKUP(A111,overtime_base!$J:$L,2,FALSE),0)</f>
        <v>0</v>
      </c>
      <c r="R111" s="6">
        <f>IFERROR(VLOOKUP(A111,overtime_base!$J:$L,3,FALSE)/Params!$B$2,0)</f>
        <v>0</v>
      </c>
    </row>
    <row r="112" spans="1:18" ht="30" x14ac:dyDescent="0.35">
      <c r="A112" s="4" t="s">
        <v>360</v>
      </c>
      <c r="B112" s="5" t="s">
        <v>361</v>
      </c>
      <c r="C112" s="6" t="s">
        <v>20</v>
      </c>
      <c r="D112" s="6" t="s">
        <v>21</v>
      </c>
      <c r="E112" s="5" t="s">
        <v>39</v>
      </c>
      <c r="F112" s="6" t="s">
        <v>29</v>
      </c>
      <c r="G112" s="7">
        <v>32373</v>
      </c>
      <c r="H112" s="12">
        <f>DATEDIF(G112,Params!$B$3,"Y")</f>
        <v>37</v>
      </c>
      <c r="I112" s="12" t="str">
        <f>IF(H112&lt;25,"&lt;25 ans",IF(H112&lt;=29,"25 - 29 ans",IF(H112&lt;=34,"30 - 34 ans ",IF(H112&lt;=39,"35 - 39 ans ",IF(H112&lt;=44,"40 - 44 ans ",IF(H112&lt;=49,"45 - 49 ans ",IF(H112&lt;=54,"50 - 54 ans ","&gt;55")))))))</f>
        <v xml:space="preserve">35 - 39 ans </v>
      </c>
      <c r="J112" s="7">
        <v>44775</v>
      </c>
      <c r="K112" s="12">
        <f>DATEDIF(J112,Params!$B$3,"Y")</f>
        <v>3</v>
      </c>
      <c r="L112" s="12" t="str">
        <f>IF(K112&lt;1,"&lt;1 year",IF(K112&lt;=3,"1 - 3 year(s)",IF(K112&lt;=6,"4 - 6 years",IF(K112&lt;=9,"7 - 9 years","&gt;= 10 years"))))</f>
        <v>1 - 3 year(s)</v>
      </c>
      <c r="M112" s="5" t="s">
        <v>40</v>
      </c>
      <c r="N112" s="8" t="s">
        <v>36</v>
      </c>
      <c r="O112" s="8" cm="1">
        <f t="array" ref="O112">IFERROR(VLOOKUP($A112&amp;"Annual",CHOOSE({1,2},leavebalances_base!$E$3:$E$1230&amp;leavebalances_base!$T$3:$T$1230,leavebalances_base!$AC$3:$AC$1230),2,FALSE),"")</f>
        <v>13.003333333327999</v>
      </c>
      <c r="P112" s="8" cm="1">
        <f t="array" ref="P112">IFERROR(VLOOKUP($A112&amp;"Annual",CHOOSE({1,2},leavebalances_base!$E$3:$E$1230&amp;leavebalances_base!$T$3:$T$1230,leavebalances_base!$AD$3:$AD$1230),2,FALSE)/Params!$B$2,"")</f>
        <v>1343.4297036395149</v>
      </c>
      <c r="Q112" s="6">
        <f>IFERROR(VLOOKUP(A112,overtime_base!$J:$L,2,FALSE),0)</f>
        <v>0</v>
      </c>
      <c r="R112" s="6">
        <f>IFERROR(VLOOKUP(A112,overtime_base!$J:$L,3,FALSE)/Params!$B$2,0)</f>
        <v>0</v>
      </c>
    </row>
    <row r="113" spans="1:18" ht="40" x14ac:dyDescent="0.35">
      <c r="A113" s="4" t="s">
        <v>362</v>
      </c>
      <c r="B113" s="5" t="s">
        <v>363</v>
      </c>
      <c r="C113" s="6" t="s">
        <v>20</v>
      </c>
      <c r="D113" s="6" t="s">
        <v>68</v>
      </c>
      <c r="E113" s="5" t="s">
        <v>364</v>
      </c>
      <c r="F113" s="6" t="s">
        <v>44</v>
      </c>
      <c r="G113" s="7">
        <v>29317</v>
      </c>
      <c r="H113" s="12">
        <f>DATEDIF(G113,Params!$B$3,"Y")</f>
        <v>46</v>
      </c>
      <c r="I113" s="12" t="str">
        <f>IF(H113&lt;25,"&lt;25 ans",IF(H113&lt;=29,"25 - 29 ans",IF(H113&lt;=34,"30 - 34 ans ",IF(H113&lt;=39,"35 - 39 ans ",IF(H113&lt;=44,"40 - 44 ans ",IF(H113&lt;=49,"45 - 49 ans ",IF(H113&lt;=54,"50 - 54 ans ","&gt;55")))))))</f>
        <v xml:space="preserve">45 - 49 ans </v>
      </c>
      <c r="J113" s="7">
        <v>44809</v>
      </c>
      <c r="K113" s="12">
        <f>DATEDIF(J113,Params!$B$3,"Y")</f>
        <v>3</v>
      </c>
      <c r="L113" s="12" t="str">
        <f>IF(K113&lt;1,"&lt;1 year",IF(K113&lt;=3,"1 - 3 year(s)",IF(K113&lt;=6,"4 - 6 years",IF(K113&lt;=9,"7 - 9 years","&gt;= 10 years"))))</f>
        <v>1 - 3 year(s)</v>
      </c>
      <c r="M113" s="5" t="s">
        <v>232</v>
      </c>
      <c r="N113" s="8" t="s">
        <v>31</v>
      </c>
      <c r="O113" s="8" cm="1">
        <f t="array" ref="O113">IFERROR(VLOOKUP($A113&amp;"Annual",CHOOSE({1,2},leavebalances_base!$E$3:$E$1230&amp;leavebalances_base!$T$3:$T$1230,leavebalances_base!$AC$3:$AC$1230),2,FALSE),"")</f>
        <v>9.7499999999939995</v>
      </c>
      <c r="P113" s="8" cm="1">
        <f t="array" ref="P113">IFERROR(VLOOKUP($A113&amp;"Annual",CHOOSE({1,2},leavebalances_base!$E$3:$E$1230&amp;leavebalances_base!$T$3:$T$1230,leavebalances_base!$AD$3:$AD$1230),2,FALSE)/Params!$B$2,"")</f>
        <v>657.30536665511272</v>
      </c>
      <c r="Q113" s="6">
        <f>IFERROR(VLOOKUP(A113,overtime_base!$J:$L,2,FALSE),0)</f>
        <v>0</v>
      </c>
      <c r="R113" s="6">
        <f>IFERROR(VLOOKUP(A113,overtime_base!$J:$L,3,FALSE)/Params!$B$2,0)</f>
        <v>0</v>
      </c>
    </row>
    <row r="114" spans="1:18" ht="40" x14ac:dyDescent="0.35">
      <c r="A114" s="4" t="s">
        <v>365</v>
      </c>
      <c r="B114" s="5" t="s">
        <v>366</v>
      </c>
      <c r="C114" s="6" t="s">
        <v>20</v>
      </c>
      <c r="D114" s="6" t="s">
        <v>68</v>
      </c>
      <c r="E114" s="5" t="s">
        <v>367</v>
      </c>
      <c r="F114" s="6" t="s">
        <v>23</v>
      </c>
      <c r="G114" s="7">
        <v>34545</v>
      </c>
      <c r="H114" s="12">
        <f>DATEDIF(G114,Params!$B$3,"Y")</f>
        <v>32</v>
      </c>
      <c r="I114" s="12" t="str">
        <f>IF(H114&lt;25,"&lt;25 ans",IF(H114&lt;=29,"25 - 29 ans",IF(H114&lt;=34,"30 - 34 ans ",IF(H114&lt;=39,"35 - 39 ans ",IF(H114&lt;=44,"40 - 44 ans ",IF(H114&lt;=49,"45 - 49 ans ",IF(H114&lt;=54,"50 - 54 ans ","&gt;55")))))))</f>
        <v xml:space="preserve">30 - 34 ans </v>
      </c>
      <c r="J114" s="7">
        <v>44819</v>
      </c>
      <c r="K114" s="12">
        <f>DATEDIF(J114,Params!$B$3,"Y")</f>
        <v>3</v>
      </c>
      <c r="L114" s="12" t="str">
        <f>IF(K114&lt;1,"&lt;1 year",IF(K114&lt;=3,"1 - 3 year(s)",IF(K114&lt;=6,"4 - 6 years",IF(K114&lt;=9,"7 - 9 years","&gt;= 10 years"))))</f>
        <v>1 - 3 year(s)</v>
      </c>
      <c r="M114" s="5" t="s">
        <v>91</v>
      </c>
      <c r="N114" s="8" t="s">
        <v>31</v>
      </c>
      <c r="O114" s="8" cm="1">
        <f t="array" ref="O114">IFERROR(VLOOKUP($A114&amp;"Annual",CHOOSE({1,2},leavebalances_base!$E$3:$E$1230&amp;leavebalances_base!$T$3:$T$1230,leavebalances_base!$AC$3:$AC$1230),2,FALSE),"")</f>
        <v>30.416666666663001</v>
      </c>
      <c r="P114" s="8" cm="1">
        <f t="array" ref="P114">IFERROR(VLOOKUP($A114&amp;"Annual",CHOOSE({1,2},leavebalances_base!$E$3:$E$1230&amp;leavebalances_base!$T$3:$T$1230,leavebalances_base!$AD$3:$AD$1230),2,FALSE)/Params!$B$2,"")</f>
        <v>6362.5706200173308</v>
      </c>
      <c r="Q114" s="6">
        <f>IFERROR(VLOOKUP(A114,overtime_base!$J:$L,2,FALSE),0)</f>
        <v>0</v>
      </c>
      <c r="R114" s="6">
        <f>IFERROR(VLOOKUP(A114,overtime_base!$J:$L,3,FALSE)/Params!$B$2,0)</f>
        <v>0</v>
      </c>
    </row>
    <row r="115" spans="1:18" ht="40" x14ac:dyDescent="0.35">
      <c r="A115" s="4" t="s">
        <v>368</v>
      </c>
      <c r="B115" s="5" t="s">
        <v>369</v>
      </c>
      <c r="C115" s="6" t="s">
        <v>20</v>
      </c>
      <c r="D115" s="6" t="s">
        <v>68</v>
      </c>
      <c r="E115" s="5" t="s">
        <v>370</v>
      </c>
      <c r="F115" s="6" t="s">
        <v>165</v>
      </c>
      <c r="G115" s="7">
        <v>29902</v>
      </c>
      <c r="H115" s="12">
        <f>DATEDIF(G115,Params!$B$3,"Y")</f>
        <v>44</v>
      </c>
      <c r="I115" s="12" t="str">
        <f>IF(H115&lt;25,"&lt;25 ans",IF(H115&lt;=29,"25 - 29 ans",IF(H115&lt;=34,"30 - 34 ans ",IF(H115&lt;=39,"35 - 39 ans ",IF(H115&lt;=44,"40 - 44 ans ",IF(H115&lt;=49,"45 - 49 ans ",IF(H115&lt;=54,"50 - 54 ans ","&gt;55")))))))</f>
        <v xml:space="preserve">40 - 44 ans </v>
      </c>
      <c r="J115" s="7">
        <v>44835</v>
      </c>
      <c r="K115" s="12">
        <f>DATEDIF(J115,Params!$B$3,"Y")</f>
        <v>3</v>
      </c>
      <c r="L115" s="12" t="str">
        <f>IF(K115&lt;1,"&lt;1 year",IF(K115&lt;=3,"1 - 3 year(s)",IF(K115&lt;=6,"4 - 6 years",IF(K115&lt;=9,"7 - 9 years","&gt;= 10 years"))))</f>
        <v>1 - 3 year(s)</v>
      </c>
      <c r="M115" s="5" t="s">
        <v>254</v>
      </c>
      <c r="N115" s="8" t="s">
        <v>31</v>
      </c>
      <c r="O115" s="8" cm="1">
        <f t="array" ref="O115">IFERROR(VLOOKUP($A115&amp;"Annual",CHOOSE({1,2},leavebalances_base!$E$3:$E$1230&amp;leavebalances_base!$T$3:$T$1230,leavebalances_base!$AC$3:$AC$1230),2,FALSE),"")</f>
        <v>24.500000000010001</v>
      </c>
      <c r="P115" s="8" cm="1">
        <f t="array" ref="P115">IFERROR(VLOOKUP($A115&amp;"Annual",CHOOSE({1,2},leavebalances_base!$E$3:$E$1230&amp;leavebalances_base!$T$3:$T$1230,leavebalances_base!$AD$3:$AD$1230),2,FALSE)/Params!$B$2,"")</f>
        <v>1223.9049102513</v>
      </c>
      <c r="Q115" s="6">
        <f>IFERROR(VLOOKUP(A115,overtime_base!$J:$L,2,FALSE),0)</f>
        <v>29.11</v>
      </c>
      <c r="R115" s="6">
        <f>IFERROR(VLOOKUP(A115,overtime_base!$J:$L,3,FALSE)/Params!$B$2,0)</f>
        <v>243.10087088388218</v>
      </c>
    </row>
    <row r="116" spans="1:18" ht="40" x14ac:dyDescent="0.35">
      <c r="A116" s="4" t="s">
        <v>371</v>
      </c>
      <c r="B116" s="5" t="s">
        <v>372</v>
      </c>
      <c r="C116" s="6" t="s">
        <v>20</v>
      </c>
      <c r="D116" s="6" t="s">
        <v>68</v>
      </c>
      <c r="E116" s="5" t="s">
        <v>144</v>
      </c>
      <c r="F116" s="6" t="s">
        <v>145</v>
      </c>
      <c r="G116" s="7">
        <v>32865</v>
      </c>
      <c r="H116" s="12">
        <f>DATEDIF(G116,Params!$B$3,"Y")</f>
        <v>36</v>
      </c>
      <c r="I116" s="12" t="str">
        <f>IF(H116&lt;25,"&lt;25 ans",IF(H116&lt;=29,"25 - 29 ans",IF(H116&lt;=34,"30 - 34 ans ",IF(H116&lt;=39,"35 - 39 ans ",IF(H116&lt;=44,"40 - 44 ans ",IF(H116&lt;=49,"45 - 49 ans ",IF(H116&lt;=54,"50 - 54 ans ","&gt;55")))))))</f>
        <v xml:space="preserve">35 - 39 ans </v>
      </c>
      <c r="J116" s="7">
        <v>44858</v>
      </c>
      <c r="K116" s="12">
        <f>DATEDIF(J116,Params!$B$3,"Y")</f>
        <v>3</v>
      </c>
      <c r="L116" s="12" t="str">
        <f>IF(K116&lt;1,"&lt;1 year",IF(K116&lt;=3,"1 - 3 year(s)",IF(K116&lt;=6,"4 - 6 years",IF(K116&lt;=9,"7 - 9 years","&gt;= 10 years"))))</f>
        <v>1 - 3 year(s)</v>
      </c>
      <c r="M116" s="5" t="s">
        <v>24</v>
      </c>
      <c r="N116" s="8" t="s">
        <v>31</v>
      </c>
      <c r="O116" s="8" cm="1">
        <f t="array" ref="O116">IFERROR(VLOOKUP($A116&amp;"Annual",CHOOSE({1,2},leavebalances_base!$E$3:$E$1230&amp;leavebalances_base!$T$3:$T$1230,leavebalances_base!$AC$3:$AC$1230),2,FALSE),"")</f>
        <v>22.666666666659999</v>
      </c>
      <c r="P116" s="8" cm="1">
        <f t="array" ref="P116">IFERROR(VLOOKUP($A116&amp;"Annual",CHOOSE({1,2},leavebalances_base!$E$3:$E$1230&amp;leavebalances_base!$T$3:$T$1230,leavebalances_base!$AD$3:$AD$1230),2,FALSE)/Params!$B$2,"")</f>
        <v>1299.4472812478336</v>
      </c>
      <c r="Q116" s="6">
        <f>IFERROR(VLOOKUP(A116,overtime_base!$J:$L,2,FALSE),0)</f>
        <v>47.04</v>
      </c>
      <c r="R116" s="6">
        <f>IFERROR(VLOOKUP(A116,overtime_base!$J:$L,3,FALSE)/Params!$B$2,0)</f>
        <v>334.17882149046795</v>
      </c>
    </row>
    <row r="117" spans="1:18" ht="40" x14ac:dyDescent="0.35">
      <c r="A117" s="4" t="s">
        <v>373</v>
      </c>
      <c r="B117" s="5" t="s">
        <v>374</v>
      </c>
      <c r="C117" s="6" t="s">
        <v>20</v>
      </c>
      <c r="D117" s="6" t="s">
        <v>68</v>
      </c>
      <c r="E117" s="5" t="s">
        <v>144</v>
      </c>
      <c r="F117" s="6" t="s">
        <v>145</v>
      </c>
      <c r="G117" s="7">
        <v>31767</v>
      </c>
      <c r="H117" s="12">
        <f>DATEDIF(G117,Params!$B$3,"Y")</f>
        <v>39</v>
      </c>
      <c r="I117" s="12" t="str">
        <f>IF(H117&lt;25,"&lt;25 ans",IF(H117&lt;=29,"25 - 29 ans",IF(H117&lt;=34,"30 - 34 ans ",IF(H117&lt;=39,"35 - 39 ans ",IF(H117&lt;=44,"40 - 44 ans ",IF(H117&lt;=49,"45 - 49 ans ",IF(H117&lt;=54,"50 - 54 ans ","&gt;55")))))))</f>
        <v xml:space="preserve">35 - 39 ans </v>
      </c>
      <c r="J117" s="7">
        <v>44858</v>
      </c>
      <c r="K117" s="12">
        <f>DATEDIF(J117,Params!$B$3,"Y")</f>
        <v>3</v>
      </c>
      <c r="L117" s="12" t="str">
        <f>IF(K117&lt;1,"&lt;1 year",IF(K117&lt;=3,"1 - 3 year(s)",IF(K117&lt;=6,"4 - 6 years",IF(K117&lt;=9,"7 - 9 years","&gt;= 10 years"))))</f>
        <v>1 - 3 year(s)</v>
      </c>
      <c r="M117" s="5" t="s">
        <v>24</v>
      </c>
      <c r="N117" s="8" t="s">
        <v>31</v>
      </c>
      <c r="O117" s="8" cm="1">
        <f t="array" ref="O117">IFERROR(VLOOKUP($A117&amp;"Annual",CHOOSE({1,2},leavebalances_base!$E$3:$E$1230&amp;leavebalances_base!$T$3:$T$1230,leavebalances_base!$AC$3:$AC$1230),2,FALSE),"")</f>
        <v>7.6666666666600003</v>
      </c>
      <c r="P117" s="8" cm="1">
        <f t="array" ref="P117">IFERROR(VLOOKUP($A117&amp;"Annual",CHOOSE({1,2},leavebalances_base!$E$3:$E$1230&amp;leavebalances_base!$T$3:$T$1230,leavebalances_base!$AD$3:$AD$1230),2,FALSE)/Params!$B$2,"")</f>
        <v>427.57368589688042</v>
      </c>
      <c r="Q117" s="6">
        <f>IFERROR(VLOOKUP(A117,overtime_base!$J:$L,2,FALSE),0)</f>
        <v>40.75</v>
      </c>
      <c r="R117" s="6">
        <f>IFERROR(VLOOKUP(A117,overtime_base!$J:$L,3,FALSE)/Params!$B$2,0)</f>
        <v>292.84454939341418</v>
      </c>
    </row>
    <row r="118" spans="1:18" ht="40" x14ac:dyDescent="0.35">
      <c r="A118" s="4" t="s">
        <v>375</v>
      </c>
      <c r="B118" s="5" t="s">
        <v>376</v>
      </c>
      <c r="C118" s="6" t="s">
        <v>20</v>
      </c>
      <c r="D118" s="6" t="s">
        <v>68</v>
      </c>
      <c r="E118" s="5" t="s">
        <v>144</v>
      </c>
      <c r="F118" s="6" t="s">
        <v>145</v>
      </c>
      <c r="G118" s="7">
        <v>34103</v>
      </c>
      <c r="H118" s="12">
        <f>DATEDIF(G118,Params!$B$3,"Y")</f>
        <v>33</v>
      </c>
      <c r="I118" s="12" t="str">
        <f>IF(H118&lt;25,"&lt;25 ans",IF(H118&lt;=29,"25 - 29 ans",IF(H118&lt;=34,"30 - 34 ans ",IF(H118&lt;=39,"35 - 39 ans ",IF(H118&lt;=44,"40 - 44 ans ",IF(H118&lt;=49,"45 - 49 ans ",IF(H118&lt;=54,"50 - 54 ans ","&gt;55")))))))</f>
        <v xml:space="preserve">30 - 34 ans </v>
      </c>
      <c r="J118" s="7">
        <v>44858</v>
      </c>
      <c r="K118" s="12">
        <f>DATEDIF(J118,Params!$B$3,"Y")</f>
        <v>3</v>
      </c>
      <c r="L118" s="12" t="str">
        <f>IF(K118&lt;1,"&lt;1 year",IF(K118&lt;=3,"1 - 3 year(s)",IF(K118&lt;=6,"4 - 6 years",IF(K118&lt;=9,"7 - 9 years","&gt;= 10 years"))))</f>
        <v>1 - 3 year(s)</v>
      </c>
      <c r="M118" s="5" t="s">
        <v>24</v>
      </c>
      <c r="N118" s="8" t="s">
        <v>31</v>
      </c>
      <c r="O118" s="8" cm="1">
        <f t="array" ref="O118">IFERROR(VLOOKUP($A118&amp;"Annual",CHOOSE({1,2},leavebalances_base!$E$3:$E$1230&amp;leavebalances_base!$T$3:$T$1230,leavebalances_base!$AC$3:$AC$1230),2,FALSE),"")</f>
        <v>22.666666666659999</v>
      </c>
      <c r="P118" s="8" cm="1">
        <f t="array" ref="P118">IFERROR(VLOOKUP($A118&amp;"Annual",CHOOSE({1,2},leavebalances_base!$E$3:$E$1230&amp;leavebalances_base!$T$3:$T$1230,leavebalances_base!$AD$3:$AD$1230),2,FALSE)/Params!$B$2,"")</f>
        <v>1249.9893534142116</v>
      </c>
      <c r="Q118" s="6">
        <f>IFERROR(VLOOKUP(A118,overtime_base!$J:$L,2,FALSE),0)</f>
        <v>3.07</v>
      </c>
      <c r="R118" s="6">
        <f>IFERROR(VLOOKUP(A118,overtime_base!$J:$L,3,FALSE)/Params!$B$2,0)</f>
        <v>24.513656845753896</v>
      </c>
    </row>
    <row r="119" spans="1:18" ht="40" x14ac:dyDescent="0.35">
      <c r="A119" s="4" t="s">
        <v>377</v>
      </c>
      <c r="B119" s="5" t="s">
        <v>378</v>
      </c>
      <c r="C119" s="6" t="s">
        <v>48</v>
      </c>
      <c r="D119" s="6" t="s">
        <v>68</v>
      </c>
      <c r="E119" s="5" t="s">
        <v>262</v>
      </c>
      <c r="F119" s="6" t="s">
        <v>57</v>
      </c>
      <c r="G119" s="7">
        <v>35522</v>
      </c>
      <c r="H119" s="12">
        <f>DATEDIF(G119,Params!$B$3,"Y")</f>
        <v>29</v>
      </c>
      <c r="I119" s="12" t="str">
        <f>IF(H119&lt;25,"&lt;25 ans",IF(H119&lt;=29,"25 - 29 ans",IF(H119&lt;=34,"30 - 34 ans ",IF(H119&lt;=39,"35 - 39 ans ",IF(H119&lt;=44,"40 - 44 ans ",IF(H119&lt;=49,"45 - 49 ans ",IF(H119&lt;=54,"50 - 54 ans ","&gt;55")))))))</f>
        <v>25 - 29 ans</v>
      </c>
      <c r="J119" s="7">
        <v>44865</v>
      </c>
      <c r="K119" s="12">
        <f>DATEDIF(J119,Params!$B$3,"Y")</f>
        <v>3</v>
      </c>
      <c r="L119" s="12" t="str">
        <f>IF(K119&lt;1,"&lt;1 year",IF(K119&lt;=3,"1 - 3 year(s)",IF(K119&lt;=6,"4 - 6 years",IF(K119&lt;=9,"7 - 9 years","&gt;= 10 years"))))</f>
        <v>1 - 3 year(s)</v>
      </c>
      <c r="M119" s="5" t="s">
        <v>91</v>
      </c>
      <c r="N119" s="8" t="s">
        <v>36</v>
      </c>
      <c r="O119" s="8" cm="1">
        <f t="array" ref="O119">IFERROR(VLOOKUP($A119&amp;"Annual",CHOOSE({1,2},leavebalances_base!$E$3:$E$1230&amp;leavebalances_base!$T$3:$T$1230,leavebalances_base!$AC$3:$AC$1230),2,FALSE),"")</f>
        <v>33.833333333330003</v>
      </c>
      <c r="P119" s="8" cm="1">
        <f t="array" ref="P119">IFERROR(VLOOKUP($A119&amp;"Annual",CHOOSE({1,2},leavebalances_base!$E$3:$E$1230&amp;leavebalances_base!$T$3:$T$1230,leavebalances_base!$AD$3:$AD$1230),2,FALSE)/Params!$B$2,"")</f>
        <v>4560.2569050996526</v>
      </c>
      <c r="Q119" s="6">
        <f>IFERROR(VLOOKUP(A119,overtime_base!$J:$L,2,FALSE),0)</f>
        <v>0</v>
      </c>
      <c r="R119" s="6">
        <f>IFERROR(VLOOKUP(A119,overtime_base!$J:$L,3,FALSE)/Params!$B$2,0)</f>
        <v>0</v>
      </c>
    </row>
    <row r="120" spans="1:18" ht="40" x14ac:dyDescent="0.35">
      <c r="A120" s="4" t="s">
        <v>379</v>
      </c>
      <c r="B120" s="5" t="s">
        <v>380</v>
      </c>
      <c r="C120" s="6" t="s">
        <v>20</v>
      </c>
      <c r="D120" s="6" t="s">
        <v>68</v>
      </c>
      <c r="E120" s="5" t="s">
        <v>381</v>
      </c>
      <c r="F120" s="6" t="s">
        <v>23</v>
      </c>
      <c r="G120" s="7">
        <v>28711</v>
      </c>
      <c r="H120" s="12">
        <f>DATEDIF(G120,Params!$B$3,"Y")</f>
        <v>47</v>
      </c>
      <c r="I120" s="12" t="str">
        <f>IF(H120&lt;25,"&lt;25 ans",IF(H120&lt;=29,"25 - 29 ans",IF(H120&lt;=34,"30 - 34 ans ",IF(H120&lt;=39,"35 - 39 ans ",IF(H120&lt;=44,"40 - 44 ans ",IF(H120&lt;=49,"45 - 49 ans ",IF(H120&lt;=54,"50 - 54 ans ","&gt;55")))))))</f>
        <v xml:space="preserve">45 - 49 ans </v>
      </c>
      <c r="J120" s="7">
        <v>44896</v>
      </c>
      <c r="K120" s="12">
        <f>DATEDIF(J120,Params!$B$3,"Y")</f>
        <v>3</v>
      </c>
      <c r="L120" s="12" t="str">
        <f>IF(K120&lt;1,"&lt;1 year",IF(K120&lt;=3,"1 - 3 year(s)",IF(K120&lt;=6,"4 - 6 years",IF(K120&lt;=9,"7 - 9 years","&gt;= 10 years"))))</f>
        <v>1 - 3 year(s)</v>
      </c>
      <c r="M120" s="5" t="s">
        <v>40</v>
      </c>
      <c r="N120" s="8" t="s">
        <v>36</v>
      </c>
      <c r="O120" s="8" cm="1">
        <f t="array" ref="O120">IFERROR(VLOOKUP($A120&amp;"Annual",CHOOSE({1,2},leavebalances_base!$E$3:$E$1230&amp;leavebalances_base!$T$3:$T$1230,leavebalances_base!$AC$3:$AC$1230),2,FALSE),"")</f>
        <v>20.666666666664</v>
      </c>
      <c r="P120" s="8" cm="1">
        <f t="array" ref="P120">IFERROR(VLOOKUP($A120&amp;"Annual",CHOOSE({1,2},leavebalances_base!$E$3:$E$1230&amp;leavebalances_base!$T$3:$T$1230,leavebalances_base!$AD$3:$AD$1230),2,FALSE)/Params!$B$2,"")</f>
        <v>6574.8746152686308</v>
      </c>
      <c r="Q120" s="6">
        <f>IFERROR(VLOOKUP(A120,overtime_base!$J:$L,2,FALSE),0)</f>
        <v>0</v>
      </c>
      <c r="R120" s="6">
        <f>IFERROR(VLOOKUP(A120,overtime_base!$J:$L,3,FALSE)/Params!$B$2,0)</f>
        <v>0</v>
      </c>
    </row>
    <row r="121" spans="1:18" ht="40" x14ac:dyDescent="0.35">
      <c r="A121" s="4" t="s">
        <v>382</v>
      </c>
      <c r="B121" s="5" t="s">
        <v>383</v>
      </c>
      <c r="C121" s="6" t="s">
        <v>20</v>
      </c>
      <c r="D121" s="6" t="s">
        <v>68</v>
      </c>
      <c r="E121" s="5" t="s">
        <v>101</v>
      </c>
      <c r="F121" s="6" t="s">
        <v>44</v>
      </c>
      <c r="G121" s="7">
        <v>31779</v>
      </c>
      <c r="H121" s="12">
        <f>DATEDIF(G121,Params!$B$3,"Y")</f>
        <v>39</v>
      </c>
      <c r="I121" s="12" t="str">
        <f>IF(H121&lt;25,"&lt;25 ans",IF(H121&lt;=29,"25 - 29 ans",IF(H121&lt;=34,"30 - 34 ans ",IF(H121&lt;=39,"35 - 39 ans ",IF(H121&lt;=44,"40 - 44 ans ",IF(H121&lt;=49,"45 - 49 ans ",IF(H121&lt;=54,"50 - 54 ans ","&gt;55")))))))</f>
        <v xml:space="preserve">35 - 39 ans </v>
      </c>
      <c r="J121" s="7">
        <v>44935</v>
      </c>
      <c r="K121" s="12">
        <f>DATEDIF(J121,Params!$B$3,"Y")</f>
        <v>3</v>
      </c>
      <c r="L121" s="12" t="str">
        <f>IF(K121&lt;1,"&lt;1 year",IF(K121&lt;=3,"1 - 3 year(s)",IF(K121&lt;=6,"4 - 6 years",IF(K121&lt;=9,"7 - 9 years","&gt;= 10 years"))))</f>
        <v>1 - 3 year(s)</v>
      </c>
      <c r="M121" s="5" t="s">
        <v>232</v>
      </c>
      <c r="N121" s="8" t="s">
        <v>31</v>
      </c>
      <c r="O121" s="8" cm="1">
        <f t="array" ref="O121">IFERROR(VLOOKUP($A121&amp;"Annual",CHOOSE({1,2},leavebalances_base!$E$3:$E$1230&amp;leavebalances_base!$T$3:$T$1230,leavebalances_base!$AC$3:$AC$1230),2,FALSE),"")</f>
        <v>13.416666666657999</v>
      </c>
      <c r="P121" s="8" cm="1">
        <f t="array" ref="P121">IFERROR(VLOOKUP($A121&amp;"Annual",CHOOSE({1,2},leavebalances_base!$E$3:$E$1230&amp;leavebalances_base!$T$3:$T$1230,leavebalances_base!$AD$3:$AD$1230),2,FALSE)/Params!$B$2,"")</f>
        <v>1466.6038927859618</v>
      </c>
      <c r="Q121" s="6">
        <f>IFERROR(VLOOKUP(A121,overtime_base!$J:$L,2,FALSE),0)</f>
        <v>0</v>
      </c>
      <c r="R121" s="6">
        <f>IFERROR(VLOOKUP(A121,overtime_base!$J:$L,3,FALSE)/Params!$B$2,0)</f>
        <v>0</v>
      </c>
    </row>
    <row r="122" spans="1:18" ht="40" x14ac:dyDescent="0.35">
      <c r="A122" s="4" t="s">
        <v>384</v>
      </c>
      <c r="B122" s="5" t="s">
        <v>385</v>
      </c>
      <c r="C122" s="6" t="s">
        <v>48</v>
      </c>
      <c r="D122" s="6" t="s">
        <v>68</v>
      </c>
      <c r="E122" s="5" t="s">
        <v>386</v>
      </c>
      <c r="F122" s="6" t="s">
        <v>44</v>
      </c>
      <c r="G122" s="7">
        <v>35969</v>
      </c>
      <c r="H122" s="12">
        <f>DATEDIF(G122,Params!$B$3,"Y")</f>
        <v>28</v>
      </c>
      <c r="I122" s="12" t="str">
        <f>IF(H122&lt;25,"&lt;25 ans",IF(H122&lt;=29,"25 - 29 ans",IF(H122&lt;=34,"30 - 34 ans ",IF(H122&lt;=39,"35 - 39 ans ",IF(H122&lt;=44,"40 - 44 ans ",IF(H122&lt;=49,"45 - 49 ans ",IF(H122&lt;=54,"50 - 54 ans ","&gt;55")))))))</f>
        <v>25 - 29 ans</v>
      </c>
      <c r="J122" s="7">
        <v>45017</v>
      </c>
      <c r="K122" s="12">
        <f>DATEDIF(J122,Params!$B$3,"Y")</f>
        <v>3</v>
      </c>
      <c r="L122" s="12" t="str">
        <f>IF(K122&lt;1,"&lt;1 year",IF(K122&lt;=3,"1 - 3 year(s)",IF(K122&lt;=6,"4 - 6 years",IF(K122&lt;=9,"7 - 9 years","&gt;= 10 years"))))</f>
        <v>1 - 3 year(s)</v>
      </c>
      <c r="M122" s="5" t="s">
        <v>91</v>
      </c>
      <c r="N122" s="8" t="s">
        <v>36</v>
      </c>
      <c r="O122" s="8" cm="1">
        <f t="array" ref="O122">IFERROR(VLOOKUP($A122&amp;"Annual",CHOOSE({1,2},leavebalances_base!$E$3:$E$1230&amp;leavebalances_base!$T$3:$T$1230,leavebalances_base!$AC$3:$AC$1230),2,FALSE),"")</f>
        <v>29.666666663322999</v>
      </c>
      <c r="P122" s="8" cm="1">
        <f t="array" ref="P122">IFERROR(VLOOKUP($A122&amp;"Annual",CHOOSE({1,2},leavebalances_base!$E$3:$E$1230&amp;leavebalances_base!$T$3:$T$1230,leavebalances_base!$AD$3:$AD$1230),2,FALSE)/Params!$B$2,"")</f>
        <v>1842.0538239948007</v>
      </c>
      <c r="Q122" s="6">
        <f>IFERROR(VLOOKUP(A122,overtime_base!$J:$L,2,FALSE),0)</f>
        <v>0</v>
      </c>
      <c r="R122" s="6">
        <f>IFERROR(VLOOKUP(A122,overtime_base!$J:$L,3,FALSE)/Params!$B$2,0)</f>
        <v>0</v>
      </c>
    </row>
    <row r="123" spans="1:18" ht="30" x14ac:dyDescent="0.35">
      <c r="A123" s="4" t="s">
        <v>387</v>
      </c>
      <c r="B123" s="5" t="s">
        <v>388</v>
      </c>
      <c r="C123" s="6" t="s">
        <v>20</v>
      </c>
      <c r="D123" s="6" t="s">
        <v>389</v>
      </c>
      <c r="E123" s="5" t="s">
        <v>390</v>
      </c>
      <c r="F123" s="6" t="s">
        <v>391</v>
      </c>
      <c r="G123" s="7">
        <v>31613</v>
      </c>
      <c r="H123" s="12">
        <f>DATEDIF(G123,Params!$B$3,"Y")</f>
        <v>40</v>
      </c>
      <c r="I123" s="12" t="str">
        <f>IF(H123&lt;25,"&lt;25 ans",IF(H123&lt;=29,"25 - 29 ans",IF(H123&lt;=34,"30 - 34 ans ",IF(H123&lt;=39,"35 - 39 ans ",IF(H123&lt;=44,"40 - 44 ans ",IF(H123&lt;=49,"45 - 49 ans ",IF(H123&lt;=54,"50 - 54 ans ","&gt;55")))))))</f>
        <v xml:space="preserve">40 - 44 ans </v>
      </c>
      <c r="J123" s="7">
        <v>45110</v>
      </c>
      <c r="K123" s="12">
        <f>DATEDIF(J123,Params!$B$3,"Y")</f>
        <v>3</v>
      </c>
      <c r="L123" s="12" t="str">
        <f>IF(K123&lt;1,"&lt;1 year",IF(K123&lt;=3,"1 - 3 year(s)",IF(K123&lt;=6,"4 - 6 years",IF(K123&lt;=9,"7 - 9 years","&gt;= 10 years"))))</f>
        <v>1 - 3 year(s)</v>
      </c>
      <c r="M123" s="5" t="s">
        <v>119</v>
      </c>
      <c r="N123" s="8" t="s">
        <v>31</v>
      </c>
      <c r="O123" s="8" cm="1">
        <f t="array" ref="O123">IFERROR(VLOOKUP($A123&amp;"Annual",CHOOSE({1,2},leavebalances_base!$E$3:$E$1230&amp;leavebalances_base!$T$3:$T$1230,leavebalances_base!$AC$3:$AC$1230),2,FALSE),"")</f>
        <v>21.954301073332999</v>
      </c>
      <c r="P123" s="8" cm="1">
        <f t="array" ref="P123">IFERROR(VLOOKUP($A123&amp;"Annual",CHOOSE({1,2},leavebalances_base!$E$3:$E$1230&amp;leavebalances_base!$T$3:$T$1230,leavebalances_base!$AD$3:$AD$1230),2,FALSE)/Params!$B$2,"")</f>
        <v>14471.689736581457</v>
      </c>
      <c r="Q123" s="6">
        <f>IFERROR(VLOOKUP(A123,overtime_base!$J:$L,2,FALSE),0)</f>
        <v>0</v>
      </c>
      <c r="R123" s="6">
        <f>IFERROR(VLOOKUP(A123,overtime_base!$J:$L,3,FALSE)/Params!$B$2,0)</f>
        <v>0</v>
      </c>
    </row>
    <row r="124" spans="1:18" ht="40" x14ac:dyDescent="0.35">
      <c r="A124" s="4" t="s">
        <v>392</v>
      </c>
      <c r="B124" s="5" t="s">
        <v>393</v>
      </c>
      <c r="C124" s="6" t="s">
        <v>20</v>
      </c>
      <c r="D124" s="6" t="s">
        <v>68</v>
      </c>
      <c r="E124" s="5" t="s">
        <v>394</v>
      </c>
      <c r="F124" s="6" t="s">
        <v>23</v>
      </c>
      <c r="G124" s="7">
        <v>33937</v>
      </c>
      <c r="H124" s="12">
        <f>DATEDIF(G124,Params!$B$3,"Y")</f>
        <v>33</v>
      </c>
      <c r="I124" s="12" t="str">
        <f>IF(H124&lt;25,"&lt;25 ans",IF(H124&lt;=29,"25 - 29 ans",IF(H124&lt;=34,"30 - 34 ans ",IF(H124&lt;=39,"35 - 39 ans ",IF(H124&lt;=44,"40 - 44 ans ",IF(H124&lt;=49,"45 - 49 ans ",IF(H124&lt;=54,"50 - 54 ans ","&gt;55")))))))</f>
        <v xml:space="preserve">30 - 34 ans </v>
      </c>
      <c r="J124" s="7">
        <v>45139</v>
      </c>
      <c r="K124" s="12">
        <f>DATEDIF(J124,Params!$B$3,"Y")</f>
        <v>2</v>
      </c>
      <c r="L124" s="12" t="str">
        <f>IF(K124&lt;1,"&lt;1 year",IF(K124&lt;=3,"1 - 3 year(s)",IF(K124&lt;=6,"4 - 6 years",IF(K124&lt;=9,"7 - 9 years","&gt;= 10 years"))))</f>
        <v>1 - 3 year(s)</v>
      </c>
      <c r="M124" s="5" t="s">
        <v>395</v>
      </c>
      <c r="N124" s="8" t="s">
        <v>36</v>
      </c>
      <c r="O124" s="8" cm="1">
        <f t="array" ref="O124">IFERROR(VLOOKUP($A124&amp;"Annual",CHOOSE({1,2},leavebalances_base!$E$3:$E$1230&amp;leavebalances_base!$T$3:$T$1230,leavebalances_base!$AC$3:$AC$1230),2,FALSE),"")</f>
        <v>14</v>
      </c>
      <c r="P124" s="8" cm="1">
        <f t="array" ref="P124">IFERROR(VLOOKUP($A124&amp;"Annual",CHOOSE({1,2},leavebalances_base!$E$3:$E$1230&amp;leavebalances_base!$T$3:$T$1230,leavebalances_base!$AD$3:$AD$1230),2,FALSE)/Params!$B$2,"")</f>
        <v>3769.3249883275566</v>
      </c>
      <c r="Q124" s="6">
        <f>IFERROR(VLOOKUP(A124,overtime_base!$J:$L,2,FALSE),0)</f>
        <v>0</v>
      </c>
      <c r="R124" s="6">
        <f>IFERROR(VLOOKUP(A124,overtime_base!$J:$L,3,FALSE)/Params!$B$2,0)</f>
        <v>0</v>
      </c>
    </row>
    <row r="125" spans="1:18" ht="40" x14ac:dyDescent="0.35">
      <c r="A125" s="4" t="s">
        <v>396</v>
      </c>
      <c r="B125" s="5" t="s">
        <v>397</v>
      </c>
      <c r="C125" s="6" t="s">
        <v>20</v>
      </c>
      <c r="D125" s="6" t="s">
        <v>68</v>
      </c>
      <c r="E125" s="5" t="s">
        <v>148</v>
      </c>
      <c r="F125" s="6" t="s">
        <v>65</v>
      </c>
      <c r="G125" s="7">
        <v>30279</v>
      </c>
      <c r="H125" s="12">
        <f>DATEDIF(G125,Params!$B$3,"Y")</f>
        <v>43</v>
      </c>
      <c r="I125" s="12" t="str">
        <f>IF(H125&lt;25,"&lt;25 ans",IF(H125&lt;=29,"25 - 29 ans",IF(H125&lt;=34,"30 - 34 ans ",IF(H125&lt;=39,"35 - 39 ans ",IF(H125&lt;=44,"40 - 44 ans ",IF(H125&lt;=49,"45 - 49 ans ",IF(H125&lt;=54,"50 - 54 ans ","&gt;55")))))))</f>
        <v xml:space="preserve">40 - 44 ans </v>
      </c>
      <c r="J125" s="7">
        <v>45148</v>
      </c>
      <c r="K125" s="12">
        <f>DATEDIF(J125,Params!$B$3,"Y")</f>
        <v>2</v>
      </c>
      <c r="L125" s="12" t="str">
        <f>IF(K125&lt;1,"&lt;1 year",IF(K125&lt;=3,"1 - 3 year(s)",IF(K125&lt;=6,"4 - 6 years",IF(K125&lt;=9,"7 - 9 years","&gt;= 10 years"))))</f>
        <v>1 - 3 year(s)</v>
      </c>
      <c r="M125" s="5" t="s">
        <v>398</v>
      </c>
      <c r="N125" s="8" t="s">
        <v>36</v>
      </c>
      <c r="O125" s="8" cm="1">
        <f t="array" ref="O125">IFERROR(VLOOKUP($A125&amp;"Annual",CHOOSE({1,2},leavebalances_base!$E$3:$E$1230&amp;leavebalances_base!$T$3:$T$1230,leavebalances_base!$AC$3:$AC$1230),2,FALSE),"")</f>
        <v>14.499999999997</v>
      </c>
      <c r="P125" s="8" cm="1">
        <f t="array" ref="P125">IFERROR(VLOOKUP($A125&amp;"Annual",CHOOSE({1,2},leavebalances_base!$E$3:$E$1230&amp;leavebalances_base!$T$3:$T$1230,leavebalances_base!$AD$3:$AD$1230),2,FALSE)/Params!$B$2,"")</f>
        <v>755.68741067157714</v>
      </c>
      <c r="Q125" s="6">
        <f>IFERROR(VLOOKUP(A125,overtime_base!$J:$L,2,FALSE),0)</f>
        <v>0</v>
      </c>
      <c r="R125" s="6">
        <f>IFERROR(VLOOKUP(A125,overtime_base!$J:$L,3,FALSE)/Params!$B$2,0)</f>
        <v>0</v>
      </c>
    </row>
    <row r="126" spans="1:18" ht="40" x14ac:dyDescent="0.35">
      <c r="A126" s="4" t="s">
        <v>399</v>
      </c>
      <c r="B126" s="5" t="s">
        <v>400</v>
      </c>
      <c r="C126" s="6" t="s">
        <v>20</v>
      </c>
      <c r="D126" s="6" t="s">
        <v>68</v>
      </c>
      <c r="E126" s="5" t="s">
        <v>401</v>
      </c>
      <c r="F126" s="6" t="s">
        <v>65</v>
      </c>
      <c r="G126" s="7">
        <v>34414</v>
      </c>
      <c r="H126" s="12">
        <f>DATEDIF(G126,Params!$B$3,"Y")</f>
        <v>32</v>
      </c>
      <c r="I126" s="12" t="str">
        <f>IF(H126&lt;25,"&lt;25 ans",IF(H126&lt;=29,"25 - 29 ans",IF(H126&lt;=34,"30 - 34 ans ",IF(H126&lt;=39,"35 - 39 ans ",IF(H126&lt;=44,"40 - 44 ans ",IF(H126&lt;=49,"45 - 49 ans ",IF(H126&lt;=54,"50 - 54 ans ","&gt;55")))))))</f>
        <v xml:space="preserve">30 - 34 ans </v>
      </c>
      <c r="J126" s="7">
        <v>45139</v>
      </c>
      <c r="K126" s="12">
        <f>DATEDIF(J126,Params!$B$3,"Y")</f>
        <v>2</v>
      </c>
      <c r="L126" s="12" t="str">
        <f>IF(K126&lt;1,"&lt;1 year",IF(K126&lt;=3,"1 - 3 year(s)",IF(K126&lt;=6,"4 - 6 years",IF(K126&lt;=9,"7 - 9 years","&gt;= 10 years"))))</f>
        <v>1 - 3 year(s)</v>
      </c>
      <c r="M126" s="5" t="s">
        <v>254</v>
      </c>
      <c r="N126" s="8" t="s">
        <v>31</v>
      </c>
      <c r="O126" s="8" cm="1">
        <f t="array" ref="O126">IFERROR(VLOOKUP($A126&amp;"Annual",CHOOSE({1,2},leavebalances_base!$E$3:$E$1230&amp;leavebalances_base!$T$3:$T$1230,leavebalances_base!$AC$3:$AC$1230),2,FALSE),"")</f>
        <v>14.999999996654999</v>
      </c>
      <c r="P126" s="8" cm="1">
        <f t="array" ref="P126">IFERROR(VLOOKUP($A126&amp;"Annual",CHOOSE({1,2},leavebalances_base!$E$3:$E$1230&amp;leavebalances_base!$T$3:$T$1230,leavebalances_base!$AD$3:$AD$1230),2,FALSE)/Params!$B$2,"")</f>
        <v>1332.2250821880416</v>
      </c>
      <c r="Q126" s="6">
        <f>IFERROR(VLOOKUP(A126,overtime_base!$J:$L,2,FALSE),0)</f>
        <v>36.46</v>
      </c>
      <c r="R126" s="6">
        <f>IFERROR(VLOOKUP(A126,overtime_base!$J:$L,3,FALSE)/Params!$B$2,0)</f>
        <v>473.4973830155979</v>
      </c>
    </row>
    <row r="127" spans="1:18" ht="40" x14ac:dyDescent="0.35">
      <c r="A127" s="4" t="s">
        <v>402</v>
      </c>
      <c r="B127" s="5" t="s">
        <v>403</v>
      </c>
      <c r="C127" s="6" t="s">
        <v>20</v>
      </c>
      <c r="D127" s="6" t="s">
        <v>68</v>
      </c>
      <c r="E127" s="5" t="s">
        <v>404</v>
      </c>
      <c r="F127" s="6" t="s">
        <v>405</v>
      </c>
      <c r="G127" s="7">
        <v>30520</v>
      </c>
      <c r="H127" s="12">
        <f>DATEDIF(G127,Params!$B$3,"Y")</f>
        <v>43</v>
      </c>
      <c r="I127" s="12" t="str">
        <f>IF(H127&lt;25,"&lt;25 ans",IF(H127&lt;=29,"25 - 29 ans",IF(H127&lt;=34,"30 - 34 ans ",IF(H127&lt;=39,"35 - 39 ans ",IF(H127&lt;=44,"40 - 44 ans ",IF(H127&lt;=49,"45 - 49 ans ",IF(H127&lt;=54,"50 - 54 ans ","&gt;55")))))))</f>
        <v xml:space="preserve">40 - 44 ans </v>
      </c>
      <c r="J127" s="7">
        <v>45170</v>
      </c>
      <c r="K127" s="12">
        <f>DATEDIF(J127,Params!$B$3,"Y")</f>
        <v>2</v>
      </c>
      <c r="L127" s="12" t="str">
        <f>IF(K127&lt;1,"&lt;1 year",IF(K127&lt;=3,"1 - 3 year(s)",IF(K127&lt;=6,"4 - 6 years",IF(K127&lt;=9,"7 - 9 years","&gt;= 10 years"))))</f>
        <v>1 - 3 year(s)</v>
      </c>
      <c r="M127" s="5" t="s">
        <v>119</v>
      </c>
      <c r="N127" s="8" t="s">
        <v>36</v>
      </c>
      <c r="O127" s="8" cm="1">
        <f t="array" ref="O127">IFERROR(VLOOKUP($A127&amp;"Annual",CHOOSE({1,2},leavebalances_base!$E$3:$E$1230&amp;leavebalances_base!$T$3:$T$1230,leavebalances_base!$AC$3:$AC$1230),2,FALSE),"")</f>
        <v>13</v>
      </c>
      <c r="P127" s="8" cm="1">
        <f t="array" ref="P127">IFERROR(VLOOKUP($A127&amp;"Annual",CHOOSE({1,2},leavebalances_base!$E$3:$E$1230&amp;leavebalances_base!$T$3:$T$1230,leavebalances_base!$AD$3:$AD$1230),2,FALSE)/Params!$B$2,"")</f>
        <v>27449.7636980026</v>
      </c>
      <c r="Q127" s="6">
        <f>IFERROR(VLOOKUP(A127,overtime_base!$J:$L,2,FALSE),0)</f>
        <v>0</v>
      </c>
      <c r="R127" s="6">
        <f>IFERROR(VLOOKUP(A127,overtime_base!$J:$L,3,FALSE)/Params!$B$2,0)</f>
        <v>0</v>
      </c>
    </row>
    <row r="128" spans="1:18" ht="40" x14ac:dyDescent="0.35">
      <c r="A128" s="4" t="s">
        <v>406</v>
      </c>
      <c r="B128" s="5" t="s">
        <v>407</v>
      </c>
      <c r="C128" s="6" t="s">
        <v>20</v>
      </c>
      <c r="D128" s="6" t="s">
        <v>68</v>
      </c>
      <c r="E128" s="5" t="s">
        <v>408</v>
      </c>
      <c r="F128" s="6" t="s">
        <v>65</v>
      </c>
      <c r="G128" s="7">
        <v>35066</v>
      </c>
      <c r="H128" s="12">
        <f>DATEDIF(G128,Params!$B$3,"Y")</f>
        <v>30</v>
      </c>
      <c r="I128" s="12" t="str">
        <f>IF(H128&lt;25,"&lt;25 ans",IF(H128&lt;=29,"25 - 29 ans",IF(H128&lt;=34,"30 - 34 ans ",IF(H128&lt;=39,"35 - 39 ans ",IF(H128&lt;=44,"40 - 44 ans ",IF(H128&lt;=49,"45 - 49 ans ",IF(H128&lt;=54,"50 - 54 ans ","&gt;55")))))))</f>
        <v xml:space="preserve">30 - 34 ans </v>
      </c>
      <c r="J128" s="7">
        <v>45190</v>
      </c>
      <c r="K128" s="12">
        <f>DATEDIF(J128,Params!$B$3,"Y")</f>
        <v>2</v>
      </c>
      <c r="L128" s="12" t="str">
        <f>IF(K128&lt;1,"&lt;1 year",IF(K128&lt;=3,"1 - 3 year(s)",IF(K128&lt;=6,"4 - 6 years",IF(K128&lt;=9,"7 - 9 years","&gt;= 10 years"))))</f>
        <v>1 - 3 year(s)</v>
      </c>
      <c r="M128" s="5" t="s">
        <v>91</v>
      </c>
      <c r="N128" s="8" t="s">
        <v>31</v>
      </c>
      <c r="O128" s="8" cm="1">
        <f t="array" ref="O128">IFERROR(VLOOKUP($A128&amp;"Annual",CHOOSE({1,2},leavebalances_base!$E$3:$E$1230&amp;leavebalances_base!$T$3:$T$1230,leavebalances_base!$AC$3:$AC$1230),2,FALSE),"")</f>
        <v>25.944444443321999</v>
      </c>
      <c r="P128" s="8" cm="1">
        <f t="array" ref="P128">IFERROR(VLOOKUP($A128&amp;"Annual",CHOOSE({1,2},leavebalances_base!$E$3:$E$1230&amp;leavebalances_base!$T$3:$T$1230,leavebalances_base!$AD$3:$AD$1230),2,FALSE)/Params!$B$2,"")</f>
        <v>2264.0897968154245</v>
      </c>
      <c r="Q128" s="6">
        <f>IFERROR(VLOOKUP(A128,overtime_base!$J:$L,2,FALSE),0)</f>
        <v>0</v>
      </c>
      <c r="R128" s="6">
        <f>IFERROR(VLOOKUP(A128,overtime_base!$J:$L,3,FALSE)/Params!$B$2,0)</f>
        <v>0</v>
      </c>
    </row>
    <row r="129" spans="1:18" ht="40" x14ac:dyDescent="0.35">
      <c r="A129" s="4" t="s">
        <v>409</v>
      </c>
      <c r="B129" s="5" t="s">
        <v>410</v>
      </c>
      <c r="C129" s="6" t="s">
        <v>20</v>
      </c>
      <c r="D129" s="6" t="s">
        <v>68</v>
      </c>
      <c r="E129" s="5" t="s">
        <v>411</v>
      </c>
      <c r="F129" s="6" t="s">
        <v>65</v>
      </c>
      <c r="G129" s="7">
        <v>32041</v>
      </c>
      <c r="H129" s="12">
        <f>DATEDIF(G129,Params!$B$3,"Y")</f>
        <v>38</v>
      </c>
      <c r="I129" s="12" t="str">
        <f>IF(H129&lt;25,"&lt;25 ans",IF(H129&lt;=29,"25 - 29 ans",IF(H129&lt;=34,"30 - 34 ans ",IF(H129&lt;=39,"35 - 39 ans ",IF(H129&lt;=44,"40 - 44 ans ",IF(H129&lt;=49,"45 - 49 ans ",IF(H129&lt;=54,"50 - 54 ans ","&gt;55")))))))</f>
        <v xml:space="preserve">35 - 39 ans </v>
      </c>
      <c r="J129" s="7">
        <v>45243</v>
      </c>
      <c r="K129" s="12">
        <f>DATEDIF(J129,Params!$B$3,"Y")</f>
        <v>2</v>
      </c>
      <c r="L129" s="12" t="str">
        <f>IF(K129&lt;1,"&lt;1 year",IF(K129&lt;=3,"1 - 3 year(s)",IF(K129&lt;=6,"4 - 6 years",IF(K129&lt;=9,"7 - 9 years","&gt;= 10 years"))))</f>
        <v>1 - 3 year(s)</v>
      </c>
      <c r="M129" s="5" t="s">
        <v>45</v>
      </c>
      <c r="N129" s="8" t="s">
        <v>31</v>
      </c>
      <c r="O129" s="8" cm="1">
        <f t="array" ref="O129">IFERROR(VLOOKUP($A129&amp;"Annual",CHOOSE({1,2},leavebalances_base!$E$3:$E$1230&amp;leavebalances_base!$T$3:$T$1230,leavebalances_base!$AC$3:$AC$1230),2,FALSE),"")</f>
        <v>31.663333333322999</v>
      </c>
      <c r="P129" s="8" cm="1">
        <f t="array" ref="P129">IFERROR(VLOOKUP($A129&amp;"Annual",CHOOSE({1,2},leavebalances_base!$E$3:$E$1230&amp;leavebalances_base!$T$3:$T$1230,leavebalances_base!$AD$3:$AD$1230),2,FALSE)/Params!$B$2,"")</f>
        <v>2268.6324710961871</v>
      </c>
      <c r="Q129" s="6">
        <f>IFERROR(VLOOKUP(A129,overtime_base!$J:$L,2,FALSE),0)</f>
        <v>0</v>
      </c>
      <c r="R129" s="6">
        <f>IFERROR(VLOOKUP(A129,overtime_base!$J:$L,3,FALSE)/Params!$B$2,0)</f>
        <v>0</v>
      </c>
    </row>
    <row r="130" spans="1:18" ht="40" x14ac:dyDescent="0.35">
      <c r="A130" s="4" t="s">
        <v>412</v>
      </c>
      <c r="B130" s="5" t="s">
        <v>413</v>
      </c>
      <c r="C130" s="6" t="s">
        <v>20</v>
      </c>
      <c r="D130" s="6" t="s">
        <v>68</v>
      </c>
      <c r="E130" s="5" t="s">
        <v>414</v>
      </c>
      <c r="F130" s="6" t="s">
        <v>65</v>
      </c>
      <c r="G130" s="7">
        <v>32653</v>
      </c>
      <c r="H130" s="12">
        <f>DATEDIF(G130,Params!$B$3,"Y")</f>
        <v>37</v>
      </c>
      <c r="I130" s="12" t="str">
        <f>IF(H130&lt;25,"&lt;25 ans",IF(H130&lt;=29,"25 - 29 ans",IF(H130&lt;=34,"30 - 34 ans ",IF(H130&lt;=39,"35 - 39 ans ",IF(H130&lt;=44,"40 - 44 ans ",IF(H130&lt;=49,"45 - 49 ans ",IF(H130&lt;=54,"50 - 54 ans ","&gt;55")))))))</f>
        <v xml:space="preserve">35 - 39 ans </v>
      </c>
      <c r="J130" s="7">
        <v>45306</v>
      </c>
      <c r="K130" s="12">
        <f>DATEDIF(J130,Params!$B$3,"Y")</f>
        <v>2</v>
      </c>
      <c r="L130" s="12" t="str">
        <f>IF(K130&lt;1,"&lt;1 year",IF(K130&lt;=3,"1 - 3 year(s)",IF(K130&lt;=6,"4 - 6 years",IF(K130&lt;=9,"7 - 9 years","&gt;= 10 years"))))</f>
        <v>1 - 3 year(s)</v>
      </c>
      <c r="M130" s="5" t="s">
        <v>91</v>
      </c>
      <c r="N130" s="8" t="s">
        <v>36</v>
      </c>
      <c r="O130" s="8" cm="1">
        <f t="array" ref="O130">IFERROR(VLOOKUP($A130&amp;"Annual",CHOOSE({1,2},leavebalances_base!$E$3:$E$1230&amp;leavebalances_base!$T$3:$T$1230,leavebalances_base!$AC$3:$AC$1230),2,FALSE),"")</f>
        <v>19.005376339990001</v>
      </c>
      <c r="P130" s="8" cm="1">
        <f t="array" ref="P130">IFERROR(VLOOKUP($A130&amp;"Annual",CHOOSE({1,2},leavebalances_base!$E$3:$E$1230&amp;leavebalances_base!$T$3:$T$1230,leavebalances_base!$AD$3:$AD$1230),2,FALSE)/Params!$B$2,"")</f>
        <v>2609.5370369280763</v>
      </c>
      <c r="Q130" s="6">
        <f>IFERROR(VLOOKUP(A130,overtime_base!$J:$L,2,FALSE),0)</f>
        <v>0</v>
      </c>
      <c r="R130" s="6">
        <f>IFERROR(VLOOKUP(A130,overtime_base!$J:$L,3,FALSE)/Params!$B$2,0)</f>
        <v>0</v>
      </c>
    </row>
    <row r="131" spans="1:18" ht="40" x14ac:dyDescent="0.35">
      <c r="A131" s="4" t="s">
        <v>415</v>
      </c>
      <c r="B131" s="5" t="s">
        <v>416</v>
      </c>
      <c r="C131" s="6" t="s">
        <v>20</v>
      </c>
      <c r="D131" s="6" t="s">
        <v>68</v>
      </c>
      <c r="E131" s="5" t="s">
        <v>144</v>
      </c>
      <c r="F131" s="6" t="s">
        <v>145</v>
      </c>
      <c r="G131" s="7">
        <v>35285</v>
      </c>
      <c r="H131" s="12">
        <f>DATEDIF(G131,Params!$B$3,"Y")</f>
        <v>29</v>
      </c>
      <c r="I131" s="12" t="str">
        <f>IF(H131&lt;25,"&lt;25 ans",IF(H131&lt;=29,"25 - 29 ans",IF(H131&lt;=34,"30 - 34 ans ",IF(H131&lt;=39,"35 - 39 ans ",IF(H131&lt;=44,"40 - 44 ans ",IF(H131&lt;=49,"45 - 49 ans ",IF(H131&lt;=54,"50 - 54 ans ","&gt;55")))))))</f>
        <v>25 - 29 ans</v>
      </c>
      <c r="J131" s="7">
        <v>45348</v>
      </c>
      <c r="K131" s="12">
        <f>DATEDIF(J131,Params!$B$3,"Y")</f>
        <v>2</v>
      </c>
      <c r="L131" s="12" t="str">
        <f>IF(K131&lt;1,"&lt;1 year",IF(K131&lt;=3,"1 - 3 year(s)",IF(K131&lt;=6,"4 - 6 years",IF(K131&lt;=9,"7 - 9 years","&gt;= 10 years"))))</f>
        <v>1 - 3 year(s)</v>
      </c>
      <c r="M131" s="5" t="s">
        <v>24</v>
      </c>
      <c r="N131" s="8" t="s">
        <v>31</v>
      </c>
      <c r="O131" s="8" cm="1">
        <f t="array" ref="O131">IFERROR(VLOOKUP($A131&amp;"Annual",CHOOSE({1,2},leavebalances_base!$E$3:$E$1230&amp;leavebalances_base!$T$3:$T$1230,leavebalances_base!$AC$3:$AC$1230),2,FALSE),"")</f>
        <v>18.166666666657001</v>
      </c>
      <c r="P131" s="8" cm="1">
        <f t="array" ref="P131">IFERROR(VLOOKUP($A131&amp;"Annual",CHOOSE({1,2},leavebalances_base!$E$3:$E$1230&amp;leavebalances_base!$T$3:$T$1230,leavebalances_base!$AD$3:$AD$1230),2,FALSE)/Params!$B$2,"")</f>
        <v>965.50413727902935</v>
      </c>
      <c r="Q131" s="6">
        <f>IFERROR(VLOOKUP(A131,overtime_base!$J:$L,2,FALSE),0)</f>
        <v>42.51</v>
      </c>
      <c r="R131" s="6">
        <f>IFERROR(VLOOKUP(A131,overtime_base!$J:$L,3,FALSE)/Params!$B$2,0)</f>
        <v>287.86904246100522</v>
      </c>
    </row>
    <row r="132" spans="1:18" ht="40" x14ac:dyDescent="0.35">
      <c r="A132" s="4" t="s">
        <v>417</v>
      </c>
      <c r="B132" s="5" t="s">
        <v>418</v>
      </c>
      <c r="C132" s="6" t="s">
        <v>48</v>
      </c>
      <c r="D132" s="6" t="s">
        <v>68</v>
      </c>
      <c r="E132" s="5" t="s">
        <v>419</v>
      </c>
      <c r="F132" s="6" t="s">
        <v>295</v>
      </c>
      <c r="G132" s="7">
        <v>30022</v>
      </c>
      <c r="H132" s="12">
        <f>DATEDIF(G132,Params!$B$3,"Y")</f>
        <v>44</v>
      </c>
      <c r="I132" s="12" t="str">
        <f>IF(H132&lt;25,"&lt;25 ans",IF(H132&lt;=29,"25 - 29 ans",IF(H132&lt;=34,"30 - 34 ans ",IF(H132&lt;=39,"35 - 39 ans ",IF(H132&lt;=44,"40 - 44 ans ",IF(H132&lt;=49,"45 - 49 ans ",IF(H132&lt;=54,"50 - 54 ans ","&gt;55")))))))</f>
        <v xml:space="preserve">40 - 44 ans </v>
      </c>
      <c r="J132" s="7">
        <v>45397</v>
      </c>
      <c r="K132" s="12">
        <f>DATEDIF(J132,Params!$B$3,"Y")</f>
        <v>2</v>
      </c>
      <c r="L132" s="12" t="str">
        <f>IF(K132&lt;1,"&lt;1 year",IF(K132&lt;=3,"1 - 3 year(s)",IF(K132&lt;=6,"4 - 6 years",IF(K132&lt;=9,"7 - 9 years","&gt;= 10 years"))))</f>
        <v>1 - 3 year(s)</v>
      </c>
      <c r="M132" s="5" t="s">
        <v>30</v>
      </c>
      <c r="N132" s="8" t="s">
        <v>36</v>
      </c>
      <c r="O132" s="8" cm="1">
        <f t="array" ref="O132">IFERROR(VLOOKUP($A132&amp;"Annual",CHOOSE({1,2},leavebalances_base!$E$3:$E$1230&amp;leavebalances_base!$T$3:$T$1230,leavebalances_base!$AC$3:$AC$1230),2,FALSE),"")</f>
        <v>15.56666667</v>
      </c>
      <c r="P132" s="8" cm="1">
        <f t="array" ref="P132">IFERROR(VLOOKUP($A132&amp;"Annual",CHOOSE({1,2},leavebalances_base!$E$3:$E$1230&amp;leavebalances_base!$T$3:$T$1230,leavebalances_base!$AD$3:$AD$1230),2,FALSE)/Params!$B$2,"")</f>
        <v>7514.9053905459277</v>
      </c>
      <c r="Q132" s="6">
        <f>IFERROR(VLOOKUP(A132,overtime_base!$J:$L,2,FALSE),0)</f>
        <v>0</v>
      </c>
      <c r="R132" s="6">
        <f>IFERROR(VLOOKUP(A132,overtime_base!$J:$L,3,FALSE)/Params!$B$2,0)</f>
        <v>0</v>
      </c>
    </row>
    <row r="133" spans="1:18" ht="40" x14ac:dyDescent="0.35">
      <c r="A133" s="4" t="s">
        <v>420</v>
      </c>
      <c r="B133" s="5" t="s">
        <v>421</v>
      </c>
      <c r="C133" s="6" t="s">
        <v>48</v>
      </c>
      <c r="D133" s="6" t="s">
        <v>68</v>
      </c>
      <c r="E133" s="5" t="s">
        <v>422</v>
      </c>
      <c r="F133" s="6" t="s">
        <v>44</v>
      </c>
      <c r="G133" s="7">
        <v>36806</v>
      </c>
      <c r="H133" s="12">
        <f>DATEDIF(G133,Params!$B$3,"Y")</f>
        <v>25</v>
      </c>
      <c r="I133" s="12" t="str">
        <f>IF(H133&lt;25,"&lt;25 ans",IF(H133&lt;=29,"25 - 29 ans",IF(H133&lt;=34,"30 - 34 ans ",IF(H133&lt;=39,"35 - 39 ans ",IF(H133&lt;=44,"40 - 44 ans ",IF(H133&lt;=49,"45 - 49 ans ",IF(H133&lt;=54,"50 - 54 ans ","&gt;55")))))))</f>
        <v>25 - 29 ans</v>
      </c>
      <c r="J133" s="7">
        <v>45404</v>
      </c>
      <c r="K133" s="12">
        <f>DATEDIF(J133,Params!$B$3,"Y")</f>
        <v>2</v>
      </c>
      <c r="L133" s="12" t="str">
        <f>IF(K133&lt;1,"&lt;1 year",IF(K133&lt;=3,"1 - 3 year(s)",IF(K133&lt;=6,"4 - 6 years",IF(K133&lt;=9,"7 - 9 years","&gt;= 10 years"))))</f>
        <v>1 - 3 year(s)</v>
      </c>
      <c r="M133" s="5" t="s">
        <v>91</v>
      </c>
      <c r="N133" s="8" t="s">
        <v>36</v>
      </c>
      <c r="O133" s="8" cm="1">
        <f t="array" ref="O133">IFERROR(VLOOKUP($A133&amp;"Annual",CHOOSE({1,2},leavebalances_base!$E$3:$E$1230&amp;leavebalances_base!$T$3:$T$1230,leavebalances_base!$AC$3:$AC$1230),2,FALSE),"")</f>
        <v>21.049999999991002</v>
      </c>
      <c r="P133" s="8" cm="1">
        <f t="array" ref="P133">IFERROR(VLOOKUP($A133&amp;"Annual",CHOOSE({1,2},leavebalances_base!$E$3:$E$1230&amp;leavebalances_base!$T$3:$T$1230,leavebalances_base!$AD$3:$AD$1230),2,FALSE)/Params!$B$2,"")</f>
        <v>1248.330902270364</v>
      </c>
      <c r="Q133" s="6">
        <f>IFERROR(VLOOKUP(A133,overtime_base!$J:$L,2,FALSE),0)</f>
        <v>0</v>
      </c>
      <c r="R133" s="6">
        <f>IFERROR(VLOOKUP(A133,overtime_base!$J:$L,3,FALSE)/Params!$B$2,0)</f>
        <v>0</v>
      </c>
    </row>
    <row r="134" spans="1:18" ht="40" x14ac:dyDescent="0.35">
      <c r="A134" s="4" t="s">
        <v>423</v>
      </c>
      <c r="B134" s="5" t="s">
        <v>424</v>
      </c>
      <c r="C134" s="6" t="s">
        <v>48</v>
      </c>
      <c r="D134" s="6" t="s">
        <v>68</v>
      </c>
      <c r="E134" s="5" t="s">
        <v>425</v>
      </c>
      <c r="F134" s="6" t="s">
        <v>44</v>
      </c>
      <c r="G134" s="7">
        <v>36150</v>
      </c>
      <c r="H134" s="12">
        <f>DATEDIF(G134,Params!$B$3,"Y")</f>
        <v>27</v>
      </c>
      <c r="I134" s="12" t="str">
        <f>IF(H134&lt;25,"&lt;25 ans",IF(H134&lt;=29,"25 - 29 ans",IF(H134&lt;=34,"30 - 34 ans ",IF(H134&lt;=39,"35 - 39 ans ",IF(H134&lt;=44,"40 - 44 ans ",IF(H134&lt;=49,"45 - 49 ans ",IF(H134&lt;=54,"50 - 54 ans ","&gt;55")))))))</f>
        <v>25 - 29 ans</v>
      </c>
      <c r="J134" s="7">
        <v>45446</v>
      </c>
      <c r="K134" s="12">
        <f>DATEDIF(J134,Params!$B$3,"Y")</f>
        <v>2</v>
      </c>
      <c r="L134" s="12" t="str">
        <f>IF(K134&lt;1,"&lt;1 year",IF(K134&lt;=3,"1 - 3 year(s)",IF(K134&lt;=6,"4 - 6 years",IF(K134&lt;=9,"7 - 9 years","&gt;= 10 years"))))</f>
        <v>1 - 3 year(s)</v>
      </c>
      <c r="M134" s="5" t="s">
        <v>30</v>
      </c>
      <c r="N134" s="8" t="s">
        <v>36</v>
      </c>
      <c r="O134" s="8" cm="1">
        <f t="array" ref="O134">IFERROR(VLOOKUP($A134&amp;"Annual",CHOOSE({1,2},leavebalances_base!$E$3:$E$1230&amp;leavebalances_base!$T$3:$T$1230,leavebalances_base!$AC$3:$AC$1230),2,FALSE),"")</f>
        <v>32.836666666665998</v>
      </c>
      <c r="P134" s="8" cm="1">
        <f t="array" ref="P134">IFERROR(VLOOKUP($A134&amp;"Annual",CHOOSE({1,2},leavebalances_base!$E$3:$E$1230&amp;leavebalances_base!$T$3:$T$1230,leavebalances_base!$AD$3:$AD$1230),2,FALSE)/Params!$B$2,"")</f>
        <v>2109.4950957019064</v>
      </c>
      <c r="Q134" s="6">
        <f>IFERROR(VLOOKUP(A134,overtime_base!$J:$L,2,FALSE),0)</f>
        <v>0</v>
      </c>
      <c r="R134" s="6">
        <f>IFERROR(VLOOKUP(A134,overtime_base!$J:$L,3,FALSE)/Params!$B$2,0)</f>
        <v>0</v>
      </c>
    </row>
    <row r="135" spans="1:18" ht="40" x14ac:dyDescent="0.35">
      <c r="A135" s="4" t="s">
        <v>426</v>
      </c>
      <c r="B135" s="5" t="s">
        <v>427</v>
      </c>
      <c r="C135" s="6" t="s">
        <v>20</v>
      </c>
      <c r="D135" s="6" t="s">
        <v>68</v>
      </c>
      <c r="E135" s="5" t="s">
        <v>428</v>
      </c>
      <c r="F135" s="6" t="s">
        <v>44</v>
      </c>
      <c r="G135" s="7">
        <v>36498</v>
      </c>
      <c r="H135" s="12">
        <f>DATEDIF(G135,Params!$B$3,"Y")</f>
        <v>26</v>
      </c>
      <c r="I135" s="12" t="str">
        <f>IF(H135&lt;25,"&lt;25 ans",IF(H135&lt;=29,"25 - 29 ans",IF(H135&lt;=34,"30 - 34 ans ",IF(H135&lt;=39,"35 - 39 ans ",IF(H135&lt;=44,"40 - 44 ans ",IF(H135&lt;=49,"45 - 49 ans ",IF(H135&lt;=54,"50 - 54 ans ","&gt;55")))))))</f>
        <v>25 - 29 ans</v>
      </c>
      <c r="J135" s="7">
        <v>45446</v>
      </c>
      <c r="K135" s="12">
        <f>DATEDIF(J135,Params!$B$3,"Y")</f>
        <v>2</v>
      </c>
      <c r="L135" s="12" t="str">
        <f>IF(K135&lt;1,"&lt;1 year",IF(K135&lt;=3,"1 - 3 year(s)",IF(K135&lt;=6,"4 - 6 years",IF(K135&lt;=9,"7 - 9 years","&gt;= 10 years"))))</f>
        <v>1 - 3 year(s)</v>
      </c>
      <c r="M135" s="5" t="s">
        <v>91</v>
      </c>
      <c r="N135" s="8" t="s">
        <v>31</v>
      </c>
      <c r="O135" s="8" cm="1">
        <f t="array" ref="O135">IFERROR(VLOOKUP($A135&amp;"Annual",CHOOSE({1,2},leavebalances_base!$E$3:$E$1230&amp;leavebalances_base!$T$3:$T$1230,leavebalances_base!$AC$3:$AC$1230),2,FALSE),"")</f>
        <v>16.216666666666001</v>
      </c>
      <c r="P135" s="8" cm="1">
        <f t="array" ref="P135">IFERROR(VLOOKUP($A135&amp;"Annual",CHOOSE({1,2},leavebalances_base!$E$3:$E$1230&amp;leavebalances_base!$T$3:$T$1230,leavebalances_base!$AD$3:$AD$1230),2,FALSE)/Params!$B$2,"")</f>
        <v>1108.95333084922</v>
      </c>
      <c r="Q135" s="6">
        <f>IFERROR(VLOOKUP(A135,overtime_base!$J:$L,2,FALSE),0)</f>
        <v>0</v>
      </c>
      <c r="R135" s="6">
        <f>IFERROR(VLOOKUP(A135,overtime_base!$J:$L,3,FALSE)/Params!$B$2,0)</f>
        <v>0</v>
      </c>
    </row>
    <row r="136" spans="1:18" ht="40" x14ac:dyDescent="0.35">
      <c r="A136" s="4" t="s">
        <v>429</v>
      </c>
      <c r="B136" s="5" t="s">
        <v>430</v>
      </c>
      <c r="C136" s="6" t="s">
        <v>20</v>
      </c>
      <c r="D136" s="6" t="s">
        <v>68</v>
      </c>
      <c r="E136" s="5" t="s">
        <v>431</v>
      </c>
      <c r="F136" s="6" t="s">
        <v>44</v>
      </c>
      <c r="G136" s="7">
        <v>36231</v>
      </c>
      <c r="H136" s="12">
        <f>DATEDIF(G136,Params!$B$3,"Y")</f>
        <v>27</v>
      </c>
      <c r="I136" s="12" t="str">
        <f>IF(H136&lt;25,"&lt;25 ans",IF(H136&lt;=29,"25 - 29 ans",IF(H136&lt;=34,"30 - 34 ans ",IF(H136&lt;=39,"35 - 39 ans ",IF(H136&lt;=44,"40 - 44 ans ",IF(H136&lt;=49,"45 - 49 ans ",IF(H136&lt;=54,"50 - 54 ans ","&gt;55")))))))</f>
        <v>25 - 29 ans</v>
      </c>
      <c r="J136" s="7">
        <v>45446</v>
      </c>
      <c r="K136" s="12">
        <f>DATEDIF(J136,Params!$B$3,"Y")</f>
        <v>2</v>
      </c>
      <c r="L136" s="12" t="str">
        <f>IF(K136&lt;1,"&lt;1 year",IF(K136&lt;=3,"1 - 3 year(s)",IF(K136&lt;=6,"4 - 6 years",IF(K136&lt;=9,"7 - 9 years","&gt;= 10 years"))))</f>
        <v>1 - 3 year(s)</v>
      </c>
      <c r="M136" s="5" t="s">
        <v>91</v>
      </c>
      <c r="N136" s="8" t="s">
        <v>36</v>
      </c>
      <c r="O136" s="8" cm="1">
        <f t="array" ref="O136">IFERROR(VLOOKUP($A136&amp;"Annual",CHOOSE({1,2},leavebalances_base!$E$3:$E$1230&amp;leavebalances_base!$T$3:$T$1230,leavebalances_base!$AC$3:$AC$1230),2,FALSE),"")</f>
        <v>23.496666666665998</v>
      </c>
      <c r="P136" s="8" cm="1">
        <f t="array" ref="P136">IFERROR(VLOOKUP($A136&amp;"Annual",CHOOSE({1,2},leavebalances_base!$E$3:$E$1230&amp;leavebalances_base!$T$3:$T$1230,leavebalances_base!$AD$3:$AD$1230),2,FALSE)/Params!$B$2,"")</f>
        <v>1508.603933617851</v>
      </c>
      <c r="Q136" s="6">
        <f>IFERROR(VLOOKUP(A136,overtime_base!$J:$L,2,FALSE),0)</f>
        <v>0</v>
      </c>
      <c r="R136" s="6">
        <f>IFERROR(VLOOKUP(A136,overtime_base!$J:$L,3,FALSE)/Params!$B$2,0)</f>
        <v>0</v>
      </c>
    </row>
    <row r="137" spans="1:18" ht="40" x14ac:dyDescent="0.35">
      <c r="A137" s="4" t="s">
        <v>432</v>
      </c>
      <c r="B137" s="5" t="s">
        <v>433</v>
      </c>
      <c r="C137" s="6" t="s">
        <v>20</v>
      </c>
      <c r="D137" s="6" t="s">
        <v>68</v>
      </c>
      <c r="E137" s="5" t="s">
        <v>434</v>
      </c>
      <c r="F137" s="6" t="s">
        <v>65</v>
      </c>
      <c r="G137" s="7">
        <v>34268</v>
      </c>
      <c r="H137" s="12">
        <f>DATEDIF(G137,Params!$B$3,"Y")</f>
        <v>32</v>
      </c>
      <c r="I137" s="12" t="str">
        <f>IF(H137&lt;25,"&lt;25 ans",IF(H137&lt;=29,"25 - 29 ans",IF(H137&lt;=34,"30 - 34 ans ",IF(H137&lt;=39,"35 - 39 ans ",IF(H137&lt;=44,"40 - 44 ans ",IF(H137&lt;=49,"45 - 49 ans ",IF(H137&lt;=54,"50 - 54 ans ","&gt;55")))))))</f>
        <v xml:space="preserve">30 - 34 ans </v>
      </c>
      <c r="J137" s="7">
        <v>45455</v>
      </c>
      <c r="K137" s="12">
        <f>DATEDIF(J137,Params!$B$3,"Y")</f>
        <v>2</v>
      </c>
      <c r="L137" s="12" t="str">
        <f>IF(K137&lt;1,"&lt;1 year",IF(K137&lt;=3,"1 - 3 year(s)",IF(K137&lt;=6,"4 - 6 years",IF(K137&lt;=9,"7 - 9 years","&gt;= 10 years"))))</f>
        <v>1 - 3 year(s)</v>
      </c>
      <c r="M137" s="5" t="s">
        <v>296</v>
      </c>
      <c r="N137" s="8" t="s">
        <v>31</v>
      </c>
      <c r="O137" s="8" cm="1">
        <f t="array" ref="O137">IFERROR(VLOOKUP($A137&amp;"Annual",CHOOSE({1,2},leavebalances_base!$E$3:$E$1230&amp;leavebalances_base!$T$3:$T$1230,leavebalances_base!$AC$3:$AC$1230),2,FALSE),"")</f>
        <v>10.994444443324999</v>
      </c>
      <c r="P137" s="8" cm="1">
        <f t="array" ref="P137">IFERROR(VLOOKUP($A137&amp;"Annual",CHOOSE({1,2},leavebalances_base!$E$3:$E$1230&amp;leavebalances_base!$T$3:$T$1230,leavebalances_base!$AD$3:$AD$1230),2,FALSE)/Params!$B$2,"")</f>
        <v>786.14362760398615</v>
      </c>
      <c r="Q137" s="6">
        <f>IFERROR(VLOOKUP(A137,overtime_base!$J:$L,2,FALSE),0)</f>
        <v>0</v>
      </c>
      <c r="R137" s="6">
        <f>IFERROR(VLOOKUP(A137,overtime_base!$J:$L,3,FALSE)/Params!$B$2,0)</f>
        <v>0</v>
      </c>
    </row>
    <row r="138" spans="1:18" ht="40" x14ac:dyDescent="0.35">
      <c r="A138" s="4" t="s">
        <v>435</v>
      </c>
      <c r="B138" s="5" t="s">
        <v>436</v>
      </c>
      <c r="C138" s="6" t="s">
        <v>20</v>
      </c>
      <c r="D138" s="6" t="s">
        <v>68</v>
      </c>
      <c r="E138" s="5" t="s">
        <v>160</v>
      </c>
      <c r="F138" s="6" t="s">
        <v>161</v>
      </c>
      <c r="G138" s="7">
        <v>35765</v>
      </c>
      <c r="H138" s="12">
        <f>DATEDIF(G138,Params!$B$3,"Y")</f>
        <v>28</v>
      </c>
      <c r="I138" s="12" t="str">
        <f>IF(H138&lt;25,"&lt;25 ans",IF(H138&lt;=29,"25 - 29 ans",IF(H138&lt;=34,"30 - 34 ans ",IF(H138&lt;=39,"35 - 39 ans ",IF(H138&lt;=44,"40 - 44 ans ",IF(H138&lt;=49,"45 - 49 ans ",IF(H138&lt;=54,"50 - 54 ans ","&gt;55")))))))</f>
        <v>25 - 29 ans</v>
      </c>
      <c r="J138" s="7">
        <v>45446</v>
      </c>
      <c r="K138" s="12">
        <f>DATEDIF(J138,Params!$B$3,"Y")</f>
        <v>2</v>
      </c>
      <c r="L138" s="12" t="str">
        <f>IF(K138&lt;1,"&lt;1 year",IF(K138&lt;=3,"1 - 3 year(s)",IF(K138&lt;=6,"4 - 6 years",IF(K138&lt;=9,"7 - 9 years","&gt;= 10 years"))))</f>
        <v>1 - 3 year(s)</v>
      </c>
      <c r="M138" s="5" t="s">
        <v>115</v>
      </c>
      <c r="N138" s="8" t="s">
        <v>31</v>
      </c>
      <c r="O138" s="8" cm="1">
        <f t="array" ref="O138">IFERROR(VLOOKUP($A138&amp;"Annual",CHOOSE({1,2},leavebalances_base!$E$3:$E$1230&amp;leavebalances_base!$T$3:$T$1230,leavebalances_base!$AC$3:$AC$1230),2,FALSE),"")</f>
        <v>15.222222226674999</v>
      </c>
      <c r="P138" s="8" cm="1">
        <f t="array" ref="P138">IFERROR(VLOOKUP($A138&amp;"Annual",CHOOSE({1,2},leavebalances_base!$E$3:$E$1230&amp;leavebalances_base!$T$3:$T$1230,leavebalances_base!$AD$3:$AD$1230),2,FALSE)/Params!$B$2,"")</f>
        <v>638.97471279896013</v>
      </c>
      <c r="Q138" s="6">
        <f>IFERROR(VLOOKUP(A138,overtime_base!$J:$L,2,FALSE),0)</f>
        <v>24.16</v>
      </c>
      <c r="R138" s="6">
        <f>IFERROR(VLOOKUP(A138,overtime_base!$J:$L,3,FALSE)/Params!$B$2,0)</f>
        <v>144.37226169844021</v>
      </c>
    </row>
    <row r="139" spans="1:18" ht="40" x14ac:dyDescent="0.35">
      <c r="A139" s="4" t="s">
        <v>437</v>
      </c>
      <c r="B139" s="5" t="s">
        <v>438</v>
      </c>
      <c r="C139" s="6" t="s">
        <v>20</v>
      </c>
      <c r="D139" s="6" t="s">
        <v>68</v>
      </c>
      <c r="E139" s="5" t="s">
        <v>439</v>
      </c>
      <c r="F139" s="6" t="s">
        <v>57</v>
      </c>
      <c r="G139" s="7">
        <v>34844</v>
      </c>
      <c r="H139" s="12">
        <f>DATEDIF(G139,Params!$B$3,"Y")</f>
        <v>31</v>
      </c>
      <c r="I139" s="12" t="str">
        <f>IF(H139&lt;25,"&lt;25 ans",IF(H139&lt;=29,"25 - 29 ans",IF(H139&lt;=34,"30 - 34 ans ",IF(H139&lt;=39,"35 - 39 ans ",IF(H139&lt;=44,"40 - 44 ans ",IF(H139&lt;=49,"45 - 49 ans ",IF(H139&lt;=54,"50 - 54 ans ","&gt;55")))))))</f>
        <v xml:space="preserve">30 - 34 ans </v>
      </c>
      <c r="J139" s="7">
        <v>45530</v>
      </c>
      <c r="K139" s="12">
        <f>DATEDIF(J139,Params!$B$3,"Y")</f>
        <v>1</v>
      </c>
      <c r="L139" s="12" t="str">
        <f>IF(K139&lt;1,"&lt;1 year",IF(K139&lt;=3,"1 - 3 year(s)",IF(K139&lt;=6,"4 - 6 years",IF(K139&lt;=9,"7 - 9 years","&gt;= 10 years"))))</f>
        <v>1 - 3 year(s)</v>
      </c>
      <c r="M139" s="5" t="s">
        <v>395</v>
      </c>
      <c r="N139" s="8" t="s">
        <v>36</v>
      </c>
      <c r="O139" s="8" cm="1">
        <f t="array" ref="O139">IFERROR(VLOOKUP($A139&amp;"Annual",CHOOSE({1,2},leavebalances_base!$E$3:$E$1230&amp;leavebalances_base!$T$3:$T$1230,leavebalances_base!$AC$3:$AC$1230),2,FALSE),"")</f>
        <v>22</v>
      </c>
      <c r="P139" s="8" cm="1">
        <f t="array" ref="P139">IFERROR(VLOOKUP($A139&amp;"Annual",CHOOSE({1,2},leavebalances_base!$E$3:$E$1230&amp;leavebalances_base!$T$3:$T$1230,leavebalances_base!$AD$3:$AD$1230),2,FALSE)/Params!$B$2,"")</f>
        <v>2367.2751236438476</v>
      </c>
      <c r="Q139" s="6">
        <f>IFERROR(VLOOKUP(A139,overtime_base!$J:$L,2,FALSE),0)</f>
        <v>0</v>
      </c>
      <c r="R139" s="6">
        <f>IFERROR(VLOOKUP(A139,overtime_base!$J:$L,3,FALSE)/Params!$B$2,0)</f>
        <v>0</v>
      </c>
    </row>
    <row r="140" spans="1:18" ht="40" x14ac:dyDescent="0.35">
      <c r="A140" s="4" t="s">
        <v>440</v>
      </c>
      <c r="B140" s="5" t="s">
        <v>441</v>
      </c>
      <c r="C140" s="6" t="s">
        <v>48</v>
      </c>
      <c r="D140" s="6" t="s">
        <v>68</v>
      </c>
      <c r="E140" s="5" t="s">
        <v>442</v>
      </c>
      <c r="F140" s="6" t="s">
        <v>29</v>
      </c>
      <c r="G140" s="7">
        <v>34439</v>
      </c>
      <c r="H140" s="12">
        <f>DATEDIF(G140,Params!$B$3,"Y")</f>
        <v>32</v>
      </c>
      <c r="I140" s="12" t="str">
        <f>IF(H140&lt;25,"&lt;25 ans",IF(H140&lt;=29,"25 - 29 ans",IF(H140&lt;=34,"30 - 34 ans ",IF(H140&lt;=39,"35 - 39 ans ",IF(H140&lt;=44,"40 - 44 ans ",IF(H140&lt;=49,"45 - 49 ans ",IF(H140&lt;=54,"50 - 54 ans ","&gt;55")))))))</f>
        <v xml:space="preserve">30 - 34 ans </v>
      </c>
      <c r="J140" s="7">
        <v>45544</v>
      </c>
      <c r="K140" s="12">
        <f>DATEDIF(J140,Params!$B$3,"Y")</f>
        <v>1</v>
      </c>
      <c r="L140" s="12" t="str">
        <f>IF(K140&lt;1,"&lt;1 year",IF(K140&lt;=3,"1 - 3 year(s)",IF(K140&lt;=6,"4 - 6 years",IF(K140&lt;=9,"7 - 9 years","&gt;= 10 years"))))</f>
        <v>1 - 3 year(s)</v>
      </c>
      <c r="M140" s="5" t="s">
        <v>296</v>
      </c>
      <c r="N140" s="8" t="s">
        <v>36</v>
      </c>
      <c r="O140" s="8" cm="1">
        <f t="array" ref="O140">IFERROR(VLOOKUP($A140&amp;"Annual",CHOOSE({1,2},leavebalances_base!$E$3:$E$1230&amp;leavebalances_base!$T$3:$T$1230,leavebalances_base!$AC$3:$AC$1230),2,FALSE),"")</f>
        <v>10.677777773326</v>
      </c>
      <c r="P140" s="8" cm="1">
        <f t="array" ref="P140">IFERROR(VLOOKUP($A140&amp;"Annual",CHOOSE({1,2},leavebalances_base!$E$3:$E$1230&amp;leavebalances_base!$T$3:$T$1230,leavebalances_base!$AD$3:$AD$1230),2,FALSE)/Params!$B$2,"")</f>
        <v>1297.2652932625649</v>
      </c>
      <c r="Q140" s="6">
        <f>IFERROR(VLOOKUP(A140,overtime_base!$J:$L,2,FALSE),0)</f>
        <v>0</v>
      </c>
      <c r="R140" s="6">
        <f>IFERROR(VLOOKUP(A140,overtime_base!$J:$L,3,FALSE)/Params!$B$2,0)</f>
        <v>0</v>
      </c>
    </row>
    <row r="141" spans="1:18" ht="40" x14ac:dyDescent="0.35">
      <c r="A141" s="4" t="s">
        <v>443</v>
      </c>
      <c r="B141" s="5" t="s">
        <v>444</v>
      </c>
      <c r="C141" s="6" t="s">
        <v>20</v>
      </c>
      <c r="D141" s="6" t="s">
        <v>68</v>
      </c>
      <c r="E141" s="5" t="s">
        <v>445</v>
      </c>
      <c r="F141" s="6" t="s">
        <v>29</v>
      </c>
      <c r="G141" s="7">
        <v>34128</v>
      </c>
      <c r="H141" s="12">
        <f>DATEDIF(G141,Params!$B$3,"Y")</f>
        <v>33</v>
      </c>
      <c r="I141" s="12" t="str">
        <f>IF(H141&lt;25,"&lt;25 ans",IF(H141&lt;=29,"25 - 29 ans",IF(H141&lt;=34,"30 - 34 ans ",IF(H141&lt;=39,"35 - 39 ans ",IF(H141&lt;=44,"40 - 44 ans ",IF(H141&lt;=49,"45 - 49 ans ",IF(H141&lt;=54,"50 - 54 ans ","&gt;55")))))))</f>
        <v xml:space="preserve">30 - 34 ans </v>
      </c>
      <c r="J141" s="7">
        <v>45586</v>
      </c>
      <c r="K141" s="12">
        <f>DATEDIF(J141,Params!$B$3,"Y")</f>
        <v>1</v>
      </c>
      <c r="L141" s="12" t="str">
        <f>IF(K141&lt;1,"&lt;1 year",IF(K141&lt;=3,"1 - 3 year(s)",IF(K141&lt;=6,"4 - 6 years",IF(K141&lt;=9,"7 - 9 years","&gt;= 10 years"))))</f>
        <v>1 - 3 year(s)</v>
      </c>
      <c r="M141" s="5" t="s">
        <v>45</v>
      </c>
      <c r="N141" s="8" t="s">
        <v>31</v>
      </c>
      <c r="O141" s="8" cm="1">
        <f t="array" ref="O141">IFERROR(VLOOKUP($A141&amp;"Annual",CHOOSE({1,2},leavebalances_base!$E$3:$E$1230&amp;leavebalances_base!$T$3:$T$1230,leavebalances_base!$AC$3:$AC$1230),2,FALSE),"")</f>
        <v>19.150537629993</v>
      </c>
      <c r="P141" s="8" cm="1">
        <f t="array" ref="P141">IFERROR(VLOOKUP($A141&amp;"Annual",CHOOSE({1,2},leavebalances_base!$E$3:$E$1230&amp;leavebalances_base!$T$3:$T$1230,leavebalances_base!$AD$3:$AD$1230),2,FALSE)/Params!$B$2,"")</f>
        <v>1667.4880312608318</v>
      </c>
      <c r="Q141" s="6">
        <f>IFERROR(VLOOKUP(A141,overtime_base!$J:$L,2,FALSE),0)</f>
        <v>0</v>
      </c>
      <c r="R141" s="6">
        <f>IFERROR(VLOOKUP(A141,overtime_base!$J:$L,3,FALSE)/Params!$B$2,0)</f>
        <v>0</v>
      </c>
    </row>
    <row r="142" spans="1:18" ht="30" x14ac:dyDescent="0.35">
      <c r="A142" s="4" t="s">
        <v>446</v>
      </c>
      <c r="B142" s="5" t="s">
        <v>447</v>
      </c>
      <c r="C142" s="6" t="s">
        <v>20</v>
      </c>
      <c r="D142" s="6" t="s">
        <v>389</v>
      </c>
      <c r="E142" s="5" t="s">
        <v>448</v>
      </c>
      <c r="F142" s="6" t="s">
        <v>50</v>
      </c>
      <c r="G142" s="7">
        <v>30463</v>
      </c>
      <c r="H142" s="12">
        <f>DATEDIF(G142,Params!$B$3,"Y")</f>
        <v>43</v>
      </c>
      <c r="I142" s="12" t="str">
        <f>IF(H142&lt;25,"&lt;25 ans",IF(H142&lt;=29,"25 - 29 ans",IF(H142&lt;=34,"30 - 34 ans ",IF(H142&lt;=39,"35 - 39 ans ",IF(H142&lt;=44,"40 - 44 ans ",IF(H142&lt;=49,"45 - 49 ans ",IF(H142&lt;=54,"50 - 54 ans ","&gt;55")))))))</f>
        <v xml:space="preserve">40 - 44 ans </v>
      </c>
      <c r="J142" s="7">
        <v>45684</v>
      </c>
      <c r="K142" s="12">
        <f>DATEDIF(J142,Params!$B$3,"Y")</f>
        <v>1</v>
      </c>
      <c r="L142" s="12" t="str">
        <f>IF(K142&lt;1,"&lt;1 year",IF(K142&lt;=3,"1 - 3 year(s)",IF(K142&lt;=6,"4 - 6 years",IF(K142&lt;=9,"7 - 9 years","&gt;= 10 years"))))</f>
        <v>1 - 3 year(s)</v>
      </c>
      <c r="M142" s="5" t="s">
        <v>45</v>
      </c>
      <c r="N142" s="8" t="s">
        <v>31</v>
      </c>
      <c r="O142" s="8" cm="1">
        <f t="array" ref="O142">IFERROR(VLOOKUP($A142&amp;"Annual",CHOOSE({1,2},leavebalances_base!$E$3:$E$1230&amp;leavebalances_base!$T$3:$T$1230,leavebalances_base!$AC$3:$AC$1230),2,FALSE),"")</f>
        <v>10</v>
      </c>
      <c r="P142" s="8" cm="1">
        <f t="array" ref="P142">IFERROR(VLOOKUP($A142&amp;"Annual",CHOOSE({1,2},leavebalances_base!$E$3:$E$1230&amp;leavebalances_base!$T$3:$T$1230,leavebalances_base!$AD$3:$AD$1230),2,FALSE)/Params!$B$2,"")</f>
        <v>2493.4016281152512</v>
      </c>
      <c r="Q142" s="6">
        <f>IFERROR(VLOOKUP(A142,overtime_base!$J:$L,2,FALSE),0)</f>
        <v>0</v>
      </c>
      <c r="R142" s="6">
        <f>IFERROR(VLOOKUP(A142,overtime_base!$J:$L,3,FALSE)/Params!$B$2,0)</f>
        <v>0</v>
      </c>
    </row>
    <row r="143" spans="1:18" ht="40" x14ac:dyDescent="0.35">
      <c r="A143" s="4" t="s">
        <v>449</v>
      </c>
      <c r="B143" s="5" t="s">
        <v>450</v>
      </c>
      <c r="C143" s="6" t="s">
        <v>20</v>
      </c>
      <c r="D143" s="6" t="s">
        <v>68</v>
      </c>
      <c r="E143" s="5" t="s">
        <v>348</v>
      </c>
      <c r="F143" s="6" t="s">
        <v>35</v>
      </c>
      <c r="G143" s="7">
        <v>34339</v>
      </c>
      <c r="H143" s="12">
        <f>DATEDIF(G143,Params!$B$3,"Y")</f>
        <v>32</v>
      </c>
      <c r="I143" s="12" t="str">
        <f>IF(H143&lt;25,"&lt;25 ans",IF(H143&lt;=29,"25 - 29 ans",IF(H143&lt;=34,"30 - 34 ans ",IF(H143&lt;=39,"35 - 39 ans ",IF(H143&lt;=44,"40 - 44 ans ",IF(H143&lt;=49,"45 - 49 ans ",IF(H143&lt;=54,"50 - 54 ans ","&gt;55")))))))</f>
        <v xml:space="preserve">30 - 34 ans </v>
      </c>
      <c r="J143" s="7">
        <v>45705</v>
      </c>
      <c r="K143" s="12">
        <f>DATEDIF(J143,Params!$B$3,"Y")</f>
        <v>1</v>
      </c>
      <c r="L143" s="12" t="str">
        <f>IF(K143&lt;1,"&lt;1 year",IF(K143&lt;=3,"1 - 3 year(s)",IF(K143&lt;=6,"4 - 6 years",IF(K143&lt;=9,"7 - 9 years","&gt;= 10 years"))))</f>
        <v>1 - 3 year(s)</v>
      </c>
      <c r="M143" s="5" t="s">
        <v>45</v>
      </c>
      <c r="N143" s="8" t="s">
        <v>31</v>
      </c>
      <c r="O143" s="8" cm="1">
        <f t="array" ref="O143">IFERROR(VLOOKUP($A143&amp;"Annual",CHOOSE({1,2},leavebalances_base!$E$3:$E$1230&amp;leavebalances_base!$T$3:$T$1230,leavebalances_base!$AC$3:$AC$1230),2,FALSE),"")</f>
        <v>7.047619043339</v>
      </c>
      <c r="P143" s="8" cm="1">
        <f t="array" ref="P143">IFERROR(VLOOKUP($A143&amp;"Annual",CHOOSE({1,2},leavebalances_base!$E$3:$E$1230&amp;leavebalances_base!$T$3:$T$1230,leavebalances_base!$AD$3:$AD$1230),2,FALSE)/Params!$B$2,"")</f>
        <v>208.10635435875216</v>
      </c>
      <c r="Q143" s="6">
        <f>IFERROR(VLOOKUP(A143,overtime_base!$J:$L,2,FALSE),0)</f>
        <v>38.28</v>
      </c>
      <c r="R143" s="6">
        <f>IFERROR(VLOOKUP(A143,overtime_base!$J:$L,3,FALSE)/Params!$B$2,0)</f>
        <v>133.68628682842288</v>
      </c>
    </row>
    <row r="144" spans="1:18" ht="40" x14ac:dyDescent="0.35">
      <c r="A144" s="4" t="s">
        <v>451</v>
      </c>
      <c r="B144" s="5" t="s">
        <v>452</v>
      </c>
      <c r="C144" s="6" t="s">
        <v>20</v>
      </c>
      <c r="D144" s="6" t="s">
        <v>68</v>
      </c>
      <c r="E144" s="5" t="s">
        <v>453</v>
      </c>
      <c r="F144" s="6" t="s">
        <v>44</v>
      </c>
      <c r="G144" s="7">
        <v>37476</v>
      </c>
      <c r="H144" s="12">
        <f>DATEDIF(G144,Params!$B$3,"Y")</f>
        <v>23</v>
      </c>
      <c r="I144" s="12" t="str">
        <f>IF(H144&lt;25,"&lt;25 ans",IF(H144&lt;=29,"25 - 29 ans",IF(H144&lt;=34,"30 - 34 ans ",IF(H144&lt;=39,"35 - 39 ans ",IF(H144&lt;=44,"40 - 44 ans ",IF(H144&lt;=49,"45 - 49 ans ",IF(H144&lt;=54,"50 - 54 ans ","&gt;55")))))))</f>
        <v>&lt;25 ans</v>
      </c>
      <c r="J144" s="7">
        <v>45705</v>
      </c>
      <c r="K144" s="12">
        <f>DATEDIF(J144,Params!$B$3,"Y")</f>
        <v>1</v>
      </c>
      <c r="L144" s="12" t="str">
        <f>IF(K144&lt;1,"&lt;1 year",IF(K144&lt;=3,"1 - 3 year(s)",IF(K144&lt;=6,"4 - 6 years",IF(K144&lt;=9,"7 - 9 years","&gt;= 10 years"))))</f>
        <v>1 - 3 year(s)</v>
      </c>
      <c r="M144" s="5" t="s">
        <v>45</v>
      </c>
      <c r="N144" s="8" t="s">
        <v>31</v>
      </c>
      <c r="O144" s="8" cm="1">
        <f t="array" ref="O144">IFERROR(VLOOKUP($A144&amp;"Annual",CHOOSE({1,2},leavebalances_base!$E$3:$E$1230&amp;leavebalances_base!$T$3:$T$1230,leavebalances_base!$AC$3:$AC$1230),2,FALSE),"")</f>
        <v>10.952380956661001</v>
      </c>
      <c r="P144" s="8" cm="1">
        <f t="array" ref="P144">IFERROR(VLOOKUP($A144&amp;"Annual",CHOOSE({1,2},leavebalances_base!$E$3:$E$1230&amp;leavebalances_base!$T$3:$T$1230,leavebalances_base!$AD$3:$AD$1230),2,FALSE)/Params!$B$2,"")</f>
        <v>667.73633287694975</v>
      </c>
      <c r="Q144" s="6">
        <f>IFERROR(VLOOKUP(A144,overtime_base!$J:$L,2,FALSE),0)</f>
        <v>9.42</v>
      </c>
      <c r="R144" s="6">
        <f>IFERROR(VLOOKUP(A144,overtime_base!$J:$L,3,FALSE)/Params!$B$2,0)</f>
        <v>80.597907279029457</v>
      </c>
    </row>
    <row r="145" spans="1:18" ht="40" x14ac:dyDescent="0.35">
      <c r="A145" s="4" t="s">
        <v>454</v>
      </c>
      <c r="B145" s="5" t="s">
        <v>455</v>
      </c>
      <c r="C145" s="6" t="s">
        <v>48</v>
      </c>
      <c r="D145" s="6" t="s">
        <v>68</v>
      </c>
      <c r="E145" s="5" t="s">
        <v>456</v>
      </c>
      <c r="F145" s="6" t="s">
        <v>129</v>
      </c>
      <c r="G145" s="7">
        <v>36193</v>
      </c>
      <c r="H145" s="12">
        <f>DATEDIF(G145,Params!$B$3,"Y")</f>
        <v>27</v>
      </c>
      <c r="I145" s="12" t="str">
        <f>IF(H145&lt;25,"&lt;25 ans",IF(H145&lt;=29,"25 - 29 ans",IF(H145&lt;=34,"30 - 34 ans ",IF(H145&lt;=39,"35 - 39 ans ",IF(H145&lt;=44,"40 - 44 ans ",IF(H145&lt;=49,"45 - 49 ans ",IF(H145&lt;=54,"50 - 54 ans ","&gt;55")))))))</f>
        <v>25 - 29 ans</v>
      </c>
      <c r="J145" s="7">
        <v>45726</v>
      </c>
      <c r="K145" s="12">
        <f>DATEDIF(J145,Params!$B$3,"Y")</f>
        <v>1</v>
      </c>
      <c r="L145" s="12" t="str">
        <f>IF(K145&lt;1,"&lt;1 year",IF(K145&lt;=3,"1 - 3 year(s)",IF(K145&lt;=6,"4 - 6 years",IF(K145&lt;=9,"7 - 9 years","&gt;= 10 years"))))</f>
        <v>1 - 3 year(s)</v>
      </c>
      <c r="M145" s="5" t="s">
        <v>272</v>
      </c>
      <c r="N145" s="8" t="s">
        <v>36</v>
      </c>
      <c r="O145" s="8" cm="1">
        <f t="array" ref="O145">IFERROR(VLOOKUP($A145&amp;"Annual",CHOOSE({1,2},leavebalances_base!$E$3:$E$1230&amp;leavebalances_base!$T$3:$T$1230,leavebalances_base!$AC$3:$AC$1230),2,FALSE),"")</f>
        <v>27.849462366672</v>
      </c>
      <c r="P145" s="8" cm="1">
        <f t="array" ref="P145">IFERROR(VLOOKUP($A145&amp;"Annual",CHOOSE({1,2},leavebalances_base!$E$3:$E$1230&amp;leavebalances_base!$T$3:$T$1230,leavebalances_base!$AD$3:$AD$1230),2,FALSE)/Params!$B$2,"")</f>
        <v>1017.8666761785095</v>
      </c>
      <c r="Q145" s="6">
        <f>IFERROR(VLOOKUP(A145,overtime_base!$J:$L,2,FALSE),0)</f>
        <v>0</v>
      </c>
      <c r="R145" s="6">
        <f>IFERROR(VLOOKUP(A145,overtime_base!$J:$L,3,FALSE)/Params!$B$2,0)</f>
        <v>0</v>
      </c>
    </row>
    <row r="146" spans="1:18" ht="40" x14ac:dyDescent="0.35">
      <c r="A146" s="4" t="s">
        <v>457</v>
      </c>
      <c r="B146" s="5" t="s">
        <v>458</v>
      </c>
      <c r="C146" s="6" t="s">
        <v>20</v>
      </c>
      <c r="D146" s="6" t="s">
        <v>68</v>
      </c>
      <c r="E146" s="5" t="s">
        <v>459</v>
      </c>
      <c r="F146" s="6" t="s">
        <v>44</v>
      </c>
      <c r="G146" s="7">
        <v>30946</v>
      </c>
      <c r="H146" s="12">
        <f>DATEDIF(G146,Params!$B$3,"Y")</f>
        <v>41</v>
      </c>
      <c r="I146" s="12" t="str">
        <f>IF(H146&lt;25,"&lt;25 ans",IF(H146&lt;=29,"25 - 29 ans",IF(H146&lt;=34,"30 - 34 ans ",IF(H146&lt;=39,"35 - 39 ans ",IF(H146&lt;=44,"40 - 44 ans ",IF(H146&lt;=49,"45 - 49 ans ",IF(H146&lt;=54,"50 - 54 ans ","&gt;55")))))))</f>
        <v xml:space="preserve">40 - 44 ans </v>
      </c>
      <c r="J146" s="7">
        <v>45723</v>
      </c>
      <c r="K146" s="12">
        <f>DATEDIF(J146,Params!$B$3,"Y")</f>
        <v>1</v>
      </c>
      <c r="L146" s="12" t="str">
        <f>IF(K146&lt;1,"&lt;1 year",IF(K146&lt;=3,"1 - 3 year(s)",IF(K146&lt;=6,"4 - 6 years",IF(K146&lt;=9,"7 - 9 years","&gt;= 10 years"))))</f>
        <v>1 - 3 year(s)</v>
      </c>
      <c r="M146" s="5" t="s">
        <v>40</v>
      </c>
      <c r="N146" s="8" t="s">
        <v>36</v>
      </c>
      <c r="O146" s="8" cm="1">
        <f t="array" ref="O146">IFERROR(VLOOKUP($A146&amp;"Annual",CHOOSE({1,2},leavebalances_base!$E$3:$E$1230&amp;leavebalances_base!$T$3:$T$1230,leavebalances_base!$AC$3:$AC$1230),2,FALSE),"")</f>
        <v>26.811827953327999</v>
      </c>
      <c r="P146" s="8" cm="1">
        <f t="array" ref="P146">IFERROR(VLOOKUP($A146&amp;"Annual",CHOOSE({1,2},leavebalances_base!$E$3:$E$1230&amp;leavebalances_base!$T$3:$T$1230,leavebalances_base!$AD$3:$AD$1230),2,FALSE)/Params!$B$2,"")</f>
        <v>1094.6072632842288</v>
      </c>
      <c r="Q146" s="6">
        <f>IFERROR(VLOOKUP(A146,overtime_base!$J:$L,2,FALSE),0)</f>
        <v>0</v>
      </c>
      <c r="R146" s="6">
        <f>IFERROR(VLOOKUP(A146,overtime_base!$J:$L,3,FALSE)/Params!$B$2,0)</f>
        <v>0</v>
      </c>
    </row>
    <row r="147" spans="1:18" ht="40" x14ac:dyDescent="0.35">
      <c r="A147" s="4" t="s">
        <v>460</v>
      </c>
      <c r="B147" s="5" t="s">
        <v>461</v>
      </c>
      <c r="C147" s="6" t="s">
        <v>20</v>
      </c>
      <c r="D147" s="6" t="s">
        <v>68</v>
      </c>
      <c r="E147" s="5" t="s">
        <v>459</v>
      </c>
      <c r="F147" s="6" t="s">
        <v>44</v>
      </c>
      <c r="G147" s="7">
        <v>33031</v>
      </c>
      <c r="H147" s="12">
        <f>DATEDIF(G147,Params!$B$3,"Y")</f>
        <v>36</v>
      </c>
      <c r="I147" s="12" t="str">
        <f>IF(H147&lt;25,"&lt;25 ans",IF(H147&lt;=29,"25 - 29 ans",IF(H147&lt;=34,"30 - 34 ans ",IF(H147&lt;=39,"35 - 39 ans ",IF(H147&lt;=44,"40 - 44 ans ",IF(H147&lt;=49,"45 - 49 ans ",IF(H147&lt;=54,"50 - 54 ans ","&gt;55")))))))</f>
        <v xml:space="preserve">35 - 39 ans </v>
      </c>
      <c r="J147" s="7">
        <v>45733</v>
      </c>
      <c r="K147" s="12">
        <f>DATEDIF(J147,Params!$B$3,"Y")</f>
        <v>1</v>
      </c>
      <c r="L147" s="12" t="str">
        <f>IF(K147&lt;1,"&lt;1 year",IF(K147&lt;=3,"1 - 3 year(s)",IF(K147&lt;=6,"4 - 6 years",IF(K147&lt;=9,"7 - 9 years","&gt;= 10 years"))))</f>
        <v>1 - 3 year(s)</v>
      </c>
      <c r="M147" s="5" t="s">
        <v>40</v>
      </c>
      <c r="N147" s="8" t="s">
        <v>36</v>
      </c>
      <c r="O147" s="8" cm="1">
        <f t="array" ref="O147">IFERROR(VLOOKUP($A147&amp;"Annual",CHOOSE({1,2},leavebalances_base!$E$3:$E$1230&amp;leavebalances_base!$T$3:$T$1230,leavebalances_base!$AC$3:$AC$1230),2,FALSE),"")</f>
        <v>16.220430103327999</v>
      </c>
      <c r="P147" s="8" cm="1">
        <f t="array" ref="P147">IFERROR(VLOOKUP($A147&amp;"Annual",CHOOSE({1,2},leavebalances_base!$E$3:$E$1230&amp;leavebalances_base!$T$3:$T$1230,leavebalances_base!$AD$3:$AD$1230),2,FALSE)/Params!$B$2,"")</f>
        <v>699.31963543327561</v>
      </c>
      <c r="Q147" s="6">
        <f>IFERROR(VLOOKUP(A147,overtime_base!$J:$L,2,FALSE),0)</f>
        <v>0</v>
      </c>
      <c r="R147" s="6">
        <f>IFERROR(VLOOKUP(A147,overtime_base!$J:$L,3,FALSE)/Params!$B$2,0)</f>
        <v>0</v>
      </c>
    </row>
    <row r="148" spans="1:18" ht="40" x14ac:dyDescent="0.35">
      <c r="A148" s="4" t="s">
        <v>462</v>
      </c>
      <c r="B148" s="5" t="s">
        <v>463</v>
      </c>
      <c r="C148" s="6" t="s">
        <v>20</v>
      </c>
      <c r="D148" s="6" t="s">
        <v>68</v>
      </c>
      <c r="E148" s="5" t="s">
        <v>464</v>
      </c>
      <c r="F148" s="6" t="s">
        <v>44</v>
      </c>
      <c r="G148" s="7">
        <v>33290</v>
      </c>
      <c r="H148" s="12">
        <f>DATEDIF(G148,Params!$B$3,"Y")</f>
        <v>35</v>
      </c>
      <c r="I148" s="12" t="str">
        <f>IF(H148&lt;25,"&lt;25 ans",IF(H148&lt;=29,"25 - 29 ans",IF(H148&lt;=34,"30 - 34 ans ",IF(H148&lt;=39,"35 - 39 ans ",IF(H148&lt;=44,"40 - 44 ans ",IF(H148&lt;=49,"45 - 49 ans ",IF(H148&lt;=54,"50 - 54 ans ","&gt;55")))))))</f>
        <v xml:space="preserve">35 - 39 ans </v>
      </c>
      <c r="J148" s="7">
        <v>45733</v>
      </c>
      <c r="K148" s="12">
        <f>DATEDIF(J148,Params!$B$3,"Y")</f>
        <v>1</v>
      </c>
      <c r="L148" s="12" t="str">
        <f>IF(K148&lt;1,"&lt;1 year",IF(K148&lt;=3,"1 - 3 year(s)",IF(K148&lt;=6,"4 - 6 years",IF(K148&lt;=9,"7 - 9 years","&gt;= 10 years"))))</f>
        <v>1 - 3 year(s)</v>
      </c>
      <c r="M148" s="5" t="s">
        <v>40</v>
      </c>
      <c r="N148" s="8" t="s">
        <v>36</v>
      </c>
      <c r="O148" s="8" cm="1">
        <f t="array" ref="O148">IFERROR(VLOOKUP($A148&amp;"Annual",CHOOSE({1,2},leavebalances_base!$E$3:$E$1230&amp;leavebalances_base!$T$3:$T$1230,leavebalances_base!$AC$3:$AC$1230),2,FALSE),"")</f>
        <v>30.220430103327999</v>
      </c>
      <c r="P148" s="8" cm="1">
        <f t="array" ref="P148">IFERROR(VLOOKUP($A148&amp;"Annual",CHOOSE({1,2},leavebalances_base!$E$3:$E$1230&amp;leavebalances_base!$T$3:$T$1230,leavebalances_base!$AD$3:$AD$1230),2,FALSE)/Params!$B$2,"")</f>
        <v>1243.6415410961872</v>
      </c>
      <c r="Q148" s="6">
        <f>IFERROR(VLOOKUP(A148,overtime_base!$J:$L,2,FALSE),0)</f>
        <v>0</v>
      </c>
      <c r="R148" s="6">
        <f>IFERROR(VLOOKUP(A148,overtime_base!$J:$L,3,FALSE)/Params!$B$2,0)</f>
        <v>0</v>
      </c>
    </row>
    <row r="149" spans="1:18" ht="40" x14ac:dyDescent="0.35">
      <c r="A149" s="4" t="s">
        <v>465</v>
      </c>
      <c r="B149" s="5" t="s">
        <v>466</v>
      </c>
      <c r="C149" s="6" t="s">
        <v>20</v>
      </c>
      <c r="D149" s="6" t="s">
        <v>68</v>
      </c>
      <c r="E149" s="5" t="s">
        <v>467</v>
      </c>
      <c r="F149" s="6" t="s">
        <v>29</v>
      </c>
      <c r="G149" s="7">
        <v>32351</v>
      </c>
      <c r="H149" s="12">
        <f>DATEDIF(G149,Params!$B$3,"Y")</f>
        <v>38</v>
      </c>
      <c r="I149" s="12" t="str">
        <f>IF(H149&lt;25,"&lt;25 ans",IF(H149&lt;=29,"25 - 29 ans",IF(H149&lt;=34,"30 - 34 ans ",IF(H149&lt;=39,"35 - 39 ans ",IF(H149&lt;=44,"40 - 44 ans ",IF(H149&lt;=49,"45 - 49 ans ",IF(H149&lt;=54,"50 - 54 ans ","&gt;55")))))))</f>
        <v xml:space="preserve">35 - 39 ans </v>
      </c>
      <c r="J149" s="7">
        <v>45740</v>
      </c>
      <c r="K149" s="12">
        <f>DATEDIF(J149,Params!$B$3,"Y")</f>
        <v>1</v>
      </c>
      <c r="L149" s="12" t="str">
        <f>IF(K149&lt;1,"&lt;1 year",IF(K149&lt;=3,"1 - 3 year(s)",IF(K149&lt;=6,"4 - 6 years",IF(K149&lt;=9,"7 - 9 years","&gt;= 10 years"))))</f>
        <v>1 - 3 year(s)</v>
      </c>
      <c r="M149" s="5" t="s">
        <v>232</v>
      </c>
      <c r="N149" s="8" t="s">
        <v>31</v>
      </c>
      <c r="O149" s="8" cm="1">
        <f t="array" ref="O149">IFERROR(VLOOKUP($A149&amp;"Annual",CHOOSE({1,2},leavebalances_base!$E$3:$E$1230&amp;leavebalances_base!$T$3:$T$1230,leavebalances_base!$AC$3:$AC$1230),2,FALSE),"")</f>
        <v>22.806451613328001</v>
      </c>
      <c r="P149" s="8" cm="1">
        <f t="array" ref="P149">IFERROR(VLOOKUP($A149&amp;"Annual",CHOOSE({1,2},leavebalances_base!$E$3:$E$1230&amp;leavebalances_base!$T$3:$T$1230,leavebalances_base!$AD$3:$AD$1230),2,FALSE)/Params!$B$2,"")</f>
        <v>2907.5968231239167</v>
      </c>
      <c r="Q149" s="6">
        <f>IFERROR(VLOOKUP(A149,overtime_base!$J:$L,2,FALSE),0)</f>
        <v>0</v>
      </c>
      <c r="R149" s="6">
        <f>IFERROR(VLOOKUP(A149,overtime_base!$J:$L,3,FALSE)/Params!$B$2,0)</f>
        <v>0</v>
      </c>
    </row>
    <row r="150" spans="1:18" ht="40" x14ac:dyDescent="0.35">
      <c r="A150" s="4" t="s">
        <v>468</v>
      </c>
      <c r="B150" s="5" t="s">
        <v>469</v>
      </c>
      <c r="C150" s="6" t="s">
        <v>20</v>
      </c>
      <c r="D150" s="6" t="s">
        <v>68</v>
      </c>
      <c r="E150" s="5" t="s">
        <v>470</v>
      </c>
      <c r="F150" s="6" t="s">
        <v>70</v>
      </c>
      <c r="G150" s="7">
        <v>30476</v>
      </c>
      <c r="H150" s="12">
        <f>DATEDIF(G150,Params!$B$3,"Y")</f>
        <v>43</v>
      </c>
      <c r="I150" s="12" t="str">
        <f>IF(H150&lt;25,"&lt;25 ans",IF(H150&lt;=29,"25 - 29 ans",IF(H150&lt;=34,"30 - 34 ans ",IF(H150&lt;=39,"35 - 39 ans ",IF(H150&lt;=44,"40 - 44 ans ",IF(H150&lt;=49,"45 - 49 ans ",IF(H150&lt;=54,"50 - 54 ans ","&gt;55")))))))</f>
        <v xml:space="preserve">40 - 44 ans </v>
      </c>
      <c r="J150" s="7">
        <v>45723</v>
      </c>
      <c r="K150" s="12">
        <f>DATEDIF(J150,Params!$B$3,"Y")</f>
        <v>1</v>
      </c>
      <c r="L150" s="12" t="str">
        <f>IF(K150&lt;1,"&lt;1 year",IF(K150&lt;=3,"1 - 3 year(s)",IF(K150&lt;=6,"4 - 6 years",IF(K150&lt;=9,"7 - 9 years","&gt;= 10 years"))))</f>
        <v>1 - 3 year(s)</v>
      </c>
      <c r="M150" s="5" t="s">
        <v>119</v>
      </c>
      <c r="N150" s="8" t="s">
        <v>36</v>
      </c>
      <c r="O150" s="8" cm="1">
        <f t="array" ref="O150">IFERROR(VLOOKUP($A150&amp;"Annual",CHOOSE({1,2},leavebalances_base!$E$3:$E$1230&amp;leavebalances_base!$T$3:$T$1230,leavebalances_base!$AC$3:$AC$1230),2,FALSE),"")</f>
        <v>11.612903230000001</v>
      </c>
      <c r="P150" s="8" cm="1">
        <f t="array" ref="P150">IFERROR(VLOOKUP($A150&amp;"Annual",CHOOSE({1,2},leavebalances_base!$E$3:$E$1230&amp;leavebalances_base!$T$3:$T$1230,leavebalances_base!$AD$3:$AD$1230),2,FALSE)/Params!$B$2,"")</f>
        <v>4714.5246706672442</v>
      </c>
      <c r="Q150" s="6">
        <f>IFERROR(VLOOKUP(A150,overtime_base!$J:$L,2,FALSE),0)</f>
        <v>0</v>
      </c>
      <c r="R150" s="6">
        <f>IFERROR(VLOOKUP(A150,overtime_base!$J:$L,3,FALSE)/Params!$B$2,0)</f>
        <v>0</v>
      </c>
    </row>
    <row r="151" spans="1:18" ht="40" x14ac:dyDescent="0.35">
      <c r="A151" s="4" t="s">
        <v>471</v>
      </c>
      <c r="B151" s="5" t="s">
        <v>472</v>
      </c>
      <c r="C151" s="6" t="s">
        <v>48</v>
      </c>
      <c r="D151" s="6" t="s">
        <v>68</v>
      </c>
      <c r="E151" s="5" t="s">
        <v>473</v>
      </c>
      <c r="F151" s="6" t="s">
        <v>44</v>
      </c>
      <c r="G151" s="7">
        <v>36151</v>
      </c>
      <c r="H151" s="12">
        <f>DATEDIF(G151,Params!$B$3,"Y")</f>
        <v>27</v>
      </c>
      <c r="I151" s="12" t="str">
        <f>IF(H151&lt;25,"&lt;25 ans",IF(H151&lt;=29,"25 - 29 ans",IF(H151&lt;=34,"30 - 34 ans ",IF(H151&lt;=39,"35 - 39 ans ",IF(H151&lt;=44,"40 - 44 ans ",IF(H151&lt;=49,"45 - 49 ans ",IF(H151&lt;=54,"50 - 54 ans ","&gt;55")))))))</f>
        <v>25 - 29 ans</v>
      </c>
      <c r="J151" s="7">
        <v>45839</v>
      </c>
      <c r="K151" s="12">
        <f>DATEDIF(J151,Params!$B$3,"Y")</f>
        <v>1</v>
      </c>
      <c r="L151" s="12" t="str">
        <f>IF(K151&lt;1,"&lt;1 year",IF(K151&lt;=3,"1 - 3 year(s)",IF(K151&lt;=6,"4 - 6 years",IF(K151&lt;=9,"7 - 9 years","&gt;= 10 years"))))</f>
        <v>1 - 3 year(s)</v>
      </c>
      <c r="M151" s="5" t="s">
        <v>119</v>
      </c>
      <c r="N151" s="8" t="s">
        <v>36</v>
      </c>
      <c r="O151" s="8" cm="1">
        <f t="array" ref="O151">IFERROR(VLOOKUP($A151&amp;"Annual",CHOOSE({1,2},leavebalances_base!$E$3:$E$1230&amp;leavebalances_base!$T$3:$T$1230,leavebalances_base!$AC$3:$AC$1230),2,FALSE),"")</f>
        <v>23.833333329996002</v>
      </c>
      <c r="P151" s="8" cm="1">
        <f t="array" ref="P151">IFERROR(VLOOKUP($A151&amp;"Annual",CHOOSE({1,2},leavebalances_base!$E$3:$E$1230&amp;leavebalances_base!$T$3:$T$1230,leavebalances_base!$AD$3:$AD$1230),2,FALSE)/Params!$B$2,"")</f>
        <v>1332.8431432235702</v>
      </c>
      <c r="Q151" s="6">
        <f>IFERROR(VLOOKUP(A151,overtime_base!$J:$L,2,FALSE),0)</f>
        <v>0</v>
      </c>
      <c r="R151" s="6">
        <f>IFERROR(VLOOKUP(A151,overtime_base!$J:$L,3,FALSE)/Params!$B$2,0)</f>
        <v>0</v>
      </c>
    </row>
    <row r="152" spans="1:18" ht="50" x14ac:dyDescent="0.35">
      <c r="A152" s="4" t="s">
        <v>474</v>
      </c>
      <c r="B152" s="5" t="s">
        <v>475</v>
      </c>
      <c r="C152" s="6" t="s">
        <v>20</v>
      </c>
      <c r="D152" s="6" t="s">
        <v>68</v>
      </c>
      <c r="E152" s="5" t="s">
        <v>476</v>
      </c>
      <c r="F152" s="6" t="s">
        <v>23</v>
      </c>
      <c r="G152" s="7">
        <v>30744</v>
      </c>
      <c r="H152" s="12">
        <f>DATEDIF(G152,Params!$B$3,"Y")</f>
        <v>42</v>
      </c>
      <c r="I152" s="12" t="str">
        <f>IF(H152&lt;25,"&lt;25 ans",IF(H152&lt;=29,"25 - 29 ans",IF(H152&lt;=34,"30 - 34 ans ",IF(H152&lt;=39,"35 - 39 ans ",IF(H152&lt;=44,"40 - 44 ans ",IF(H152&lt;=49,"45 - 49 ans ",IF(H152&lt;=54,"50 - 54 ans ","&gt;55")))))))</f>
        <v xml:space="preserve">40 - 44 ans </v>
      </c>
      <c r="J152" s="7">
        <v>45847</v>
      </c>
      <c r="K152" s="12">
        <f>DATEDIF(J152,Params!$B$3,"Y")</f>
        <v>1</v>
      </c>
      <c r="L152" s="12" t="str">
        <f>IF(K152&lt;1,"&lt;1 year",IF(K152&lt;=3,"1 - 3 year(s)",IF(K152&lt;=6,"4 - 6 years",IF(K152&lt;=9,"7 - 9 years","&gt;= 10 years"))))</f>
        <v>1 - 3 year(s)</v>
      </c>
      <c r="M152" s="5" t="s">
        <v>398</v>
      </c>
      <c r="N152" s="8" t="s">
        <v>31</v>
      </c>
      <c r="O152" s="8" cm="1">
        <f t="array" ref="O152">IFERROR(VLOOKUP($A152&amp;"Annual",CHOOSE({1,2},leavebalances_base!$E$3:$E$1230&amp;leavebalances_base!$T$3:$T$1230,leavebalances_base!$AC$3:$AC$1230),2,FALSE),"")</f>
        <v>25.483870970000002</v>
      </c>
      <c r="P152" s="8" cm="1">
        <f t="array" ref="P152">IFERROR(VLOOKUP($A152&amp;"Annual",CHOOSE({1,2},leavebalances_base!$E$3:$E$1230&amp;leavebalances_base!$T$3:$T$1230,leavebalances_base!$AD$3:$AD$1230),2,FALSE)/Params!$B$2,"")</f>
        <v>3357.1337694454073</v>
      </c>
      <c r="Q152" s="6">
        <f>IFERROR(VLOOKUP(A152,overtime_base!$J:$L,2,FALSE),0)</f>
        <v>0</v>
      </c>
      <c r="R152" s="6">
        <f>IFERROR(VLOOKUP(A152,overtime_base!$J:$L,3,FALSE)/Params!$B$2,0)</f>
        <v>0</v>
      </c>
    </row>
    <row r="153" spans="1:18" ht="40" x14ac:dyDescent="0.35">
      <c r="A153" s="4" t="s">
        <v>477</v>
      </c>
      <c r="B153" s="5" t="s">
        <v>478</v>
      </c>
      <c r="C153" s="6" t="s">
        <v>20</v>
      </c>
      <c r="D153" s="6" t="s">
        <v>68</v>
      </c>
      <c r="E153" s="5" t="s">
        <v>160</v>
      </c>
      <c r="F153" s="6" t="s">
        <v>161</v>
      </c>
      <c r="G153" s="7">
        <v>32093</v>
      </c>
      <c r="H153" s="12">
        <f>DATEDIF(G153,Params!$B$3,"Y")</f>
        <v>38</v>
      </c>
      <c r="I153" s="12" t="str">
        <f>IF(H153&lt;25,"&lt;25 ans",IF(H153&lt;=29,"25 - 29 ans",IF(H153&lt;=34,"30 - 34 ans ",IF(H153&lt;=39,"35 - 39 ans ",IF(H153&lt;=44,"40 - 44 ans ",IF(H153&lt;=49,"45 - 49 ans ",IF(H153&lt;=54,"50 - 54 ans ","&gt;55")))))))</f>
        <v xml:space="preserve">35 - 39 ans </v>
      </c>
      <c r="J153" s="7">
        <v>45901</v>
      </c>
      <c r="K153" s="12">
        <f>DATEDIF(J153,Params!$B$3,"Y")</f>
        <v>0</v>
      </c>
      <c r="L153" s="12" t="str">
        <f>IF(K153&lt;1,"&lt;1 year",IF(K153&lt;=3,"1 - 3 year(s)",IF(K153&lt;=6,"4 - 6 years",IF(K153&lt;=9,"7 - 9 years","&gt;= 10 years"))))</f>
        <v>&lt;1 year</v>
      </c>
      <c r="M153" s="5" t="s">
        <v>115</v>
      </c>
      <c r="N153" s="8" t="s">
        <v>31</v>
      </c>
      <c r="O153" s="8" cm="1">
        <f t="array" ref="O153">IFERROR(VLOOKUP($A153&amp;"Annual",CHOOSE({1,2},leavebalances_base!$E$3:$E$1230&amp;leavebalances_base!$T$3:$T$1230,leavebalances_base!$AC$3:$AC$1230),2,FALSE),"")</f>
        <v>18.333333336670002</v>
      </c>
      <c r="P153" s="8" cm="1">
        <f t="array" ref="P153">IFERROR(VLOOKUP($A153&amp;"Annual",CHOOSE({1,2},leavebalances_base!$E$3:$E$1230&amp;leavebalances_base!$T$3:$T$1230,leavebalances_base!$AD$3:$AD$1230),2,FALSE)/Params!$B$2,"")</f>
        <v>704.07741757798965</v>
      </c>
      <c r="Q153" s="6">
        <f>IFERROR(VLOOKUP(A153,overtime_base!$J:$L,2,FALSE),0)</f>
        <v>0</v>
      </c>
      <c r="R153" s="6">
        <f>IFERROR(VLOOKUP(A153,overtime_base!$J:$L,3,FALSE)/Params!$B$2,0)</f>
        <v>0</v>
      </c>
    </row>
    <row r="154" spans="1:18" ht="40" x14ac:dyDescent="0.35">
      <c r="A154" s="4" t="s">
        <v>479</v>
      </c>
      <c r="B154" s="5" t="s">
        <v>480</v>
      </c>
      <c r="C154" s="6" t="s">
        <v>48</v>
      </c>
      <c r="D154" s="6" t="s">
        <v>82</v>
      </c>
      <c r="E154" s="5" t="s">
        <v>481</v>
      </c>
      <c r="F154" s="6" t="s">
        <v>23</v>
      </c>
      <c r="G154" s="7">
        <v>27986</v>
      </c>
      <c r="H154" s="12">
        <f>DATEDIF(G154,Params!$B$3,"Y")</f>
        <v>49</v>
      </c>
      <c r="I154" s="12" t="str">
        <f>IF(H154&lt;25,"&lt;25 ans",IF(H154&lt;=29,"25 - 29 ans",IF(H154&lt;=34,"30 - 34 ans ",IF(H154&lt;=39,"35 - 39 ans ",IF(H154&lt;=44,"40 - 44 ans ",IF(H154&lt;=49,"45 - 49 ans ",IF(H154&lt;=54,"50 - 54 ans ","&gt;55")))))))</f>
        <v xml:space="preserve">45 - 49 ans </v>
      </c>
      <c r="J154" s="7">
        <v>45931</v>
      </c>
      <c r="K154" s="12">
        <f>DATEDIF(J154,Params!$B$3,"Y")</f>
        <v>0</v>
      </c>
      <c r="L154" s="12" t="str">
        <f>IF(K154&lt;1,"&lt;1 year",IF(K154&lt;=3,"1 - 3 year(s)",IF(K154&lt;=6,"4 - 6 years",IF(K154&lt;=9,"7 - 9 years","&gt;= 10 years"))))</f>
        <v>&lt;1 year</v>
      </c>
      <c r="M154" s="5" t="s">
        <v>30</v>
      </c>
      <c r="N154" s="8" t="s">
        <v>31</v>
      </c>
      <c r="O154" s="8" cm="1">
        <f t="array" ref="O154">IFERROR(VLOOKUP($A154&amp;"Annual",CHOOSE({1,2},leavebalances_base!$E$3:$E$1230&amp;leavebalances_base!$T$3:$T$1230,leavebalances_base!$AC$3:$AC$1230),2,FALSE),"")</f>
        <v>20</v>
      </c>
      <c r="P154" s="8" cm="1">
        <f t="array" ref="P154">IFERROR(VLOOKUP($A154&amp;"Annual",CHOOSE({1,2},leavebalances_base!$E$3:$E$1230&amp;leavebalances_base!$T$3:$T$1230,leavebalances_base!$AD$3:$AD$1230),2,FALSE)/Params!$B$2,"")</f>
        <v>2573.9426876343155</v>
      </c>
      <c r="Q154" s="6">
        <f>IFERROR(VLOOKUP(A154,overtime_base!$J:$L,2,FALSE),0)</f>
        <v>0</v>
      </c>
      <c r="R154" s="6">
        <f>IFERROR(VLOOKUP(A154,overtime_base!$J:$L,3,FALSE)/Params!$B$2,0)</f>
        <v>0</v>
      </c>
    </row>
    <row r="155" spans="1:18" ht="40" x14ac:dyDescent="0.35">
      <c r="A155" s="4" t="s">
        <v>482</v>
      </c>
      <c r="B155" s="5" t="s">
        <v>483</v>
      </c>
      <c r="C155" s="6" t="s">
        <v>20</v>
      </c>
      <c r="D155" s="6" t="s">
        <v>68</v>
      </c>
      <c r="E155" s="5" t="s">
        <v>484</v>
      </c>
      <c r="F155" s="6" t="s">
        <v>295</v>
      </c>
      <c r="G155" s="7">
        <v>34417</v>
      </c>
      <c r="H155" s="12">
        <f>DATEDIF(G155,Params!$B$3,"Y")</f>
        <v>32</v>
      </c>
      <c r="I155" s="12" t="str">
        <f>IF(H155&lt;25,"&lt;25 ans",IF(H155&lt;=29,"25 - 29 ans",IF(H155&lt;=34,"30 - 34 ans ",IF(H155&lt;=39,"35 - 39 ans ",IF(H155&lt;=44,"40 - 44 ans ",IF(H155&lt;=49,"45 - 49 ans ",IF(H155&lt;=54,"50 - 54 ans ","&gt;55")))))))</f>
        <v xml:space="preserve">30 - 34 ans </v>
      </c>
      <c r="J155" s="7">
        <v>45971</v>
      </c>
      <c r="K155" s="12">
        <f>DATEDIF(J155,Params!$B$3,"Y")</f>
        <v>0</v>
      </c>
      <c r="L155" s="12" t="str">
        <f>IF(K155&lt;1,"&lt;1 year",IF(K155&lt;=3,"1 - 3 year(s)",IF(K155&lt;=6,"4 - 6 years",IF(K155&lt;=9,"7 - 9 years","&gt;= 10 years"))))</f>
        <v>&lt;1 year</v>
      </c>
      <c r="M155" s="5" t="s">
        <v>398</v>
      </c>
      <c r="N155" s="8" t="s">
        <v>36</v>
      </c>
      <c r="O155" s="8" cm="1">
        <f t="array" ref="O155">IFERROR(VLOOKUP($A155&amp;"Annual",CHOOSE({1,2},leavebalances_base!$E$3:$E$1230&amp;leavebalances_base!$T$3:$T$1230,leavebalances_base!$AC$3:$AC$1230),2,FALSE),"")</f>
        <v>15.4</v>
      </c>
      <c r="P155" s="8" cm="1">
        <f t="array" ref="P155">IFERROR(VLOOKUP($A155&amp;"Annual",CHOOSE({1,2},leavebalances_base!$E$3:$E$1230&amp;leavebalances_base!$T$3:$T$1230,leavebalances_base!$AD$3:$AD$1230),2,FALSE)/Params!$B$2,"")</f>
        <v>6781.2349349696706</v>
      </c>
      <c r="Q155" s="6">
        <f>IFERROR(VLOOKUP(A155,overtime_base!$J:$L,2,FALSE),0)</f>
        <v>0</v>
      </c>
      <c r="R155" s="6">
        <f>IFERROR(VLOOKUP(A155,overtime_base!$J:$L,3,FALSE)/Params!$B$2,0)</f>
        <v>0</v>
      </c>
    </row>
    <row r="156" spans="1:18" ht="40" x14ac:dyDescent="0.35">
      <c r="A156" s="4" t="s">
        <v>485</v>
      </c>
      <c r="B156" s="5" t="s">
        <v>486</v>
      </c>
      <c r="C156" s="6" t="s">
        <v>20</v>
      </c>
      <c r="D156" s="6" t="s">
        <v>68</v>
      </c>
      <c r="E156" s="5" t="s">
        <v>487</v>
      </c>
      <c r="F156" s="6" t="s">
        <v>23</v>
      </c>
      <c r="G156" s="7">
        <v>28839</v>
      </c>
      <c r="H156" s="12">
        <f>DATEDIF(G156,Params!$B$3,"Y")</f>
        <v>47</v>
      </c>
      <c r="I156" s="12" t="str">
        <f>IF(H156&lt;25,"&lt;25 ans",IF(H156&lt;=29,"25 - 29 ans",IF(H156&lt;=34,"30 - 34 ans ",IF(H156&lt;=39,"35 - 39 ans ",IF(H156&lt;=44,"40 - 44 ans ",IF(H156&lt;=49,"45 - 49 ans ",IF(H156&lt;=54,"50 - 54 ans ","&gt;55")))))))</f>
        <v xml:space="preserve">45 - 49 ans </v>
      </c>
      <c r="J156" s="7">
        <v>45964</v>
      </c>
      <c r="K156" s="12">
        <f>DATEDIF(J156,Params!$B$3,"Y")</f>
        <v>0</v>
      </c>
      <c r="L156" s="12" t="str">
        <f>IF(K156&lt;1,"&lt;1 year",IF(K156&lt;=3,"1 - 3 year(s)",IF(K156&lt;=6,"4 - 6 years",IF(K156&lt;=9,"7 - 9 years","&gt;= 10 years"))))</f>
        <v>&lt;1 year</v>
      </c>
      <c r="M156" s="5" t="s">
        <v>488</v>
      </c>
      <c r="N156" s="8" t="s">
        <v>36</v>
      </c>
      <c r="O156" s="8" cm="1">
        <f t="array" ref="O156">IFERROR(VLOOKUP($A156&amp;"Annual",CHOOSE({1,2},leavebalances_base!$E$3:$E$1230&amp;leavebalances_base!$T$3:$T$1230,leavebalances_base!$AC$3:$AC$1230),2,FALSE),"")</f>
        <v>17.866666670000001</v>
      </c>
      <c r="P156" s="8" cm="1">
        <f t="array" ref="P156">IFERROR(VLOOKUP($A156&amp;"Annual",CHOOSE({1,2},leavebalances_base!$E$3:$E$1230&amp;leavebalances_base!$T$3:$T$1230,leavebalances_base!$AD$3:$AD$1230),2,FALSE)/Params!$B$2,"")</f>
        <v>3560.0365478726171</v>
      </c>
      <c r="Q156" s="6">
        <f>IFERROR(VLOOKUP(A156,overtime_base!$J:$L,2,FALSE),0)</f>
        <v>0</v>
      </c>
      <c r="R156" s="6">
        <f>IFERROR(VLOOKUP(A156,overtime_base!$J:$L,3,FALSE)/Params!$B$2,0)</f>
        <v>0</v>
      </c>
    </row>
    <row r="157" spans="1:18" ht="40" x14ac:dyDescent="0.35">
      <c r="A157" s="4" t="s">
        <v>489</v>
      </c>
      <c r="B157" s="5" t="s">
        <v>490</v>
      </c>
      <c r="C157" s="6" t="s">
        <v>48</v>
      </c>
      <c r="D157" s="6" t="s">
        <v>68</v>
      </c>
      <c r="E157" s="5" t="s">
        <v>491</v>
      </c>
      <c r="F157" s="6" t="s">
        <v>65</v>
      </c>
      <c r="G157" s="7">
        <v>30494</v>
      </c>
      <c r="H157" s="12">
        <f>DATEDIF(G157,Params!$B$3,"Y")</f>
        <v>43</v>
      </c>
      <c r="I157" s="12" t="str">
        <f>IF(H157&lt;25,"&lt;25 ans",IF(H157&lt;=29,"25 - 29 ans",IF(H157&lt;=34,"30 - 34 ans ",IF(H157&lt;=39,"35 - 39 ans ",IF(H157&lt;=44,"40 - 44 ans ",IF(H157&lt;=49,"45 - 49 ans ",IF(H157&lt;=54,"50 - 54 ans ","&gt;55")))))))</f>
        <v xml:space="preserve">40 - 44 ans </v>
      </c>
      <c r="J157" s="7">
        <v>45992</v>
      </c>
      <c r="K157" s="12">
        <f>DATEDIF(J157,Params!$B$3,"Y")</f>
        <v>0</v>
      </c>
      <c r="L157" s="12" t="str">
        <f>IF(K157&lt;1,"&lt;1 year",IF(K157&lt;=3,"1 - 3 year(s)",IF(K157&lt;=6,"4 - 6 years",IF(K157&lt;=9,"7 - 9 years","&gt;= 10 years"))))</f>
        <v>&lt;1 year</v>
      </c>
      <c r="M157" s="5" t="s">
        <v>30</v>
      </c>
      <c r="N157" s="8" t="s">
        <v>25</v>
      </c>
      <c r="O157" s="8" cm="1">
        <f t="array" ref="O157">IFERROR(VLOOKUP($A157&amp;"Annual",CHOOSE({1,2},leavebalances_base!$E$3:$E$1230&amp;leavebalances_base!$T$3:$T$1230,leavebalances_base!$AC$3:$AC$1230),2,FALSE),"")</f>
        <v>0.666666663331</v>
      </c>
      <c r="P157" s="8" cm="1">
        <f t="array" ref="P157">IFERROR(VLOOKUP($A157&amp;"Annual",CHOOSE({1,2},leavebalances_base!$E$3:$E$1230&amp;leavebalances_base!$T$3:$T$1230,leavebalances_base!$AD$3:$AD$1230),2,FALSE)/Params!$B$2,"")</f>
        <v>44.867891390814556</v>
      </c>
      <c r="Q157" s="6">
        <f>IFERROR(VLOOKUP(A157,overtime_base!$J:$L,2,FALSE),0)</f>
        <v>0</v>
      </c>
      <c r="R157" s="6">
        <f>IFERROR(VLOOKUP(A157,overtime_base!$J:$L,3,FALSE)/Params!$B$2,0)</f>
        <v>0</v>
      </c>
    </row>
    <row r="158" spans="1:18" ht="40" x14ac:dyDescent="0.35">
      <c r="A158" s="4" t="s">
        <v>492</v>
      </c>
      <c r="B158" s="5" t="s">
        <v>493</v>
      </c>
      <c r="C158" s="6" t="s">
        <v>20</v>
      </c>
      <c r="D158" s="6" t="s">
        <v>68</v>
      </c>
      <c r="E158" s="5" t="s">
        <v>494</v>
      </c>
      <c r="F158" s="6" t="s">
        <v>65</v>
      </c>
      <c r="G158" s="7">
        <v>36210</v>
      </c>
      <c r="H158" s="12">
        <f>DATEDIF(G158,Params!$B$3,"Y")</f>
        <v>27</v>
      </c>
      <c r="I158" s="12" t="str">
        <f>IF(H158&lt;25,"&lt;25 ans",IF(H158&lt;=29,"25 - 29 ans",IF(H158&lt;=34,"30 - 34 ans ",IF(H158&lt;=39,"35 - 39 ans ",IF(H158&lt;=44,"40 - 44 ans ",IF(H158&lt;=49,"45 - 49 ans ",IF(H158&lt;=54,"50 - 54 ans ","&gt;55")))))))</f>
        <v>25 - 29 ans</v>
      </c>
      <c r="J158" s="7">
        <v>45992</v>
      </c>
      <c r="K158" s="12">
        <f>DATEDIF(J158,Params!$B$3,"Y")</f>
        <v>0</v>
      </c>
      <c r="L158" s="12" t="str">
        <f>IF(K158&lt;1,"&lt;1 year",IF(K158&lt;=3,"1 - 3 year(s)",IF(K158&lt;=6,"4 - 6 years",IF(K158&lt;=9,"7 - 9 years","&gt;= 10 years"))))</f>
        <v>&lt;1 year</v>
      </c>
      <c r="M158" s="5" t="s">
        <v>102</v>
      </c>
      <c r="N158" s="8" t="s">
        <v>25</v>
      </c>
      <c r="O158" s="8" cm="1">
        <f t="array" ref="O158">IFERROR(VLOOKUP($A158&amp;"Annual",CHOOSE({1,2},leavebalances_base!$E$3:$E$1230&amp;leavebalances_base!$T$3:$T$1230,leavebalances_base!$AC$3:$AC$1230),2,FALSE),"")</f>
        <v>3.6666666633310001</v>
      </c>
      <c r="P158" s="8" cm="1">
        <f t="array" ref="P158">IFERROR(VLOOKUP($A158&amp;"Annual",CHOOSE({1,2},leavebalances_base!$E$3:$E$1230&amp;leavebalances_base!$T$3:$T$1230,leavebalances_base!$AD$3:$AD$1230),2,FALSE)/Params!$B$2,"")</f>
        <v>265.92417425476606</v>
      </c>
      <c r="Q158" s="6">
        <f>IFERROR(VLOOKUP(A158,overtime_base!$J:$L,2,FALSE),0)</f>
        <v>0</v>
      </c>
      <c r="R158" s="6">
        <f>IFERROR(VLOOKUP(A158,overtime_base!$J:$L,3,FALSE)/Params!$B$2,0)</f>
        <v>0</v>
      </c>
    </row>
    <row r="159" spans="1:18" ht="40" x14ac:dyDescent="0.35">
      <c r="A159" s="4" t="s">
        <v>495</v>
      </c>
      <c r="B159" s="5" t="s">
        <v>496</v>
      </c>
      <c r="C159" s="6" t="s">
        <v>20</v>
      </c>
      <c r="D159" s="6" t="s">
        <v>68</v>
      </c>
      <c r="E159" s="5" t="s">
        <v>497</v>
      </c>
      <c r="F159" s="6" t="s">
        <v>29</v>
      </c>
      <c r="G159" s="7">
        <v>33260</v>
      </c>
      <c r="H159" s="12">
        <f>DATEDIF(G159,Params!$B$3,"Y")</f>
        <v>35</v>
      </c>
      <c r="I159" s="12" t="str">
        <f>IF(H159&lt;25,"&lt;25 ans",IF(H159&lt;=29,"25 - 29 ans",IF(H159&lt;=34,"30 - 34 ans ",IF(H159&lt;=39,"35 - 39 ans ",IF(H159&lt;=44,"40 - 44 ans ",IF(H159&lt;=49,"45 - 49 ans ",IF(H159&lt;=54,"50 - 54 ans ","&gt;55")))))))</f>
        <v xml:space="preserve">35 - 39 ans </v>
      </c>
      <c r="J159" s="7">
        <v>45996</v>
      </c>
      <c r="K159" s="12">
        <f>DATEDIF(J159,Params!$B$3,"Y")</f>
        <v>0</v>
      </c>
      <c r="L159" s="12" t="str">
        <f>IF(K159&lt;1,"&lt;1 year",IF(K159&lt;=3,"1 - 3 year(s)",IF(K159&lt;=6,"4 - 6 years",IF(K159&lt;=9,"7 - 9 years","&gt;= 10 years"))))</f>
        <v>&lt;1 year</v>
      </c>
      <c r="M159" s="5" t="s">
        <v>45</v>
      </c>
      <c r="N159" s="8" t="s">
        <v>25</v>
      </c>
      <c r="O159" s="8" cm="1">
        <f t="array" ref="O159">IFERROR(VLOOKUP($A159&amp;"Annual",CHOOSE({1,2},leavebalances_base!$E$3:$E$1230&amp;leavebalances_base!$T$3:$T$1230,leavebalances_base!$AC$3:$AC$1230),2,FALSE),"")</f>
        <v>8.4301075233309994</v>
      </c>
      <c r="P159" s="8" cm="1">
        <f t="array" ref="P159">IFERROR(VLOOKUP($A159&amp;"Annual",CHOOSE({1,2},leavebalances_base!$E$3:$E$1230&amp;leavebalances_base!$T$3:$T$1230,leavebalances_base!$AD$3:$AD$1230),2,FALSE)/Params!$B$2,"")</f>
        <v>714.03038397746968</v>
      </c>
      <c r="Q159" s="6">
        <f>IFERROR(VLOOKUP(A159,overtime_base!$J:$L,2,FALSE),0)</f>
        <v>0</v>
      </c>
      <c r="R159" s="6">
        <f>IFERROR(VLOOKUP(A159,overtime_base!$J:$L,3,FALSE)/Params!$B$2,0)</f>
        <v>0</v>
      </c>
    </row>
    <row r="160" spans="1:18" ht="40" x14ac:dyDescent="0.35">
      <c r="A160" s="4" t="s">
        <v>498</v>
      </c>
      <c r="B160" s="5" t="s">
        <v>499</v>
      </c>
      <c r="C160" s="6" t="s">
        <v>20</v>
      </c>
      <c r="D160" s="6" t="s">
        <v>68</v>
      </c>
      <c r="E160" s="5" t="s">
        <v>500</v>
      </c>
      <c r="F160" s="6" t="s">
        <v>65</v>
      </c>
      <c r="G160" s="7">
        <v>33058</v>
      </c>
      <c r="H160" s="12">
        <f>DATEDIF(G160,Params!$B$3,"Y")</f>
        <v>36</v>
      </c>
      <c r="I160" s="12" t="str">
        <f>IF(H160&lt;25,"&lt;25 ans",IF(H160&lt;=29,"25 - 29 ans",IF(H160&lt;=34,"30 - 34 ans ",IF(H160&lt;=39,"35 - 39 ans ",IF(H160&lt;=44,"40 - 44 ans ",IF(H160&lt;=49,"45 - 49 ans ",IF(H160&lt;=54,"50 - 54 ans ","&gt;55")))))))</f>
        <v xml:space="preserve">35 - 39 ans </v>
      </c>
      <c r="J160" s="7">
        <v>45992</v>
      </c>
      <c r="K160" s="12">
        <f>DATEDIF(J160,Params!$B$3,"Y")</f>
        <v>0</v>
      </c>
      <c r="L160" s="12" t="str">
        <f>IF(K160&lt;1,"&lt;1 year",IF(K160&lt;=3,"1 - 3 year(s)",IF(K160&lt;=6,"4 - 6 years",IF(K160&lt;=9,"7 - 9 years","&gt;= 10 years"))))</f>
        <v>&lt;1 year</v>
      </c>
      <c r="M160" s="5" t="s">
        <v>398</v>
      </c>
      <c r="N160" s="8" t="s">
        <v>25</v>
      </c>
      <c r="O160" s="8" cm="1">
        <f t="array" ref="O160">IFERROR(VLOOKUP($A160&amp;"Annual",CHOOSE({1,2},leavebalances_base!$E$3:$E$1230&amp;leavebalances_base!$T$3:$T$1230,leavebalances_base!$AC$3:$AC$1230),2,FALSE),"")</f>
        <v>8.6666666633310001</v>
      </c>
      <c r="P160" s="8" cm="1">
        <f t="array" ref="P160">IFERROR(VLOOKUP($A160&amp;"Annual",CHOOSE({1,2},leavebalances_base!$E$3:$E$1230&amp;leavebalances_base!$T$3:$T$1230,leavebalances_base!$AD$3:$AD$1230),2,FALSE)/Params!$B$2,"")</f>
        <v>585.31573201039862</v>
      </c>
      <c r="Q160" s="6">
        <f>IFERROR(VLOOKUP(A160,overtime_base!$J:$L,2,FALSE),0)</f>
        <v>0</v>
      </c>
      <c r="R160" s="6">
        <f>IFERROR(VLOOKUP(A160,overtime_base!$J:$L,3,FALSE)/Params!$B$2,0)</f>
        <v>0</v>
      </c>
    </row>
    <row r="161" spans="1:18" ht="40" x14ac:dyDescent="0.35">
      <c r="A161" s="4" t="s">
        <v>501</v>
      </c>
      <c r="B161" s="5" t="s">
        <v>502</v>
      </c>
      <c r="C161" s="6" t="s">
        <v>20</v>
      </c>
      <c r="D161" s="6" t="s">
        <v>68</v>
      </c>
      <c r="E161" s="5" t="s">
        <v>503</v>
      </c>
      <c r="F161" s="6" t="s">
        <v>29</v>
      </c>
      <c r="G161" s="7">
        <v>31097</v>
      </c>
      <c r="H161" s="12">
        <f>DATEDIF(G161,Params!$B$3,"Y")</f>
        <v>41</v>
      </c>
      <c r="I161" s="12" t="str">
        <f>IF(H161&lt;25,"&lt;25 ans",IF(H161&lt;=29,"25 - 29 ans",IF(H161&lt;=34,"30 - 34 ans ",IF(H161&lt;=39,"35 - 39 ans ",IF(H161&lt;=44,"40 - 44 ans ",IF(H161&lt;=49,"45 - 49 ans ",IF(H161&lt;=54,"50 - 54 ans ","&gt;55")))))))</f>
        <v xml:space="preserve">40 - 44 ans </v>
      </c>
      <c r="J161" s="7">
        <v>45992</v>
      </c>
      <c r="K161" s="12">
        <f>DATEDIF(J161,Params!$B$3,"Y")</f>
        <v>0</v>
      </c>
      <c r="L161" s="12" t="str">
        <f>IF(K161&lt;1,"&lt;1 year",IF(K161&lt;=3,"1 - 3 year(s)",IF(K161&lt;=6,"4 - 6 years",IF(K161&lt;=9,"7 - 9 years","&gt;= 10 years"))))</f>
        <v>&lt;1 year</v>
      </c>
      <c r="M161" s="5" t="s">
        <v>24</v>
      </c>
      <c r="N161" s="8" t="s">
        <v>25</v>
      </c>
      <c r="O161" s="8" cm="1">
        <f t="array" ref="O161">IFERROR(VLOOKUP($A161&amp;"Annual",CHOOSE({1,2},leavebalances_base!$E$3:$E$1230&amp;leavebalances_base!$T$3:$T$1230,leavebalances_base!$AC$3:$AC$1230),2,FALSE),"")</f>
        <v>4.6666666633310001</v>
      </c>
      <c r="P161" s="8" cm="1">
        <f t="array" ref="P161">IFERROR(VLOOKUP($A161&amp;"Annual",CHOOSE({1,2},leavebalances_base!$E$3:$E$1230&amp;leavebalances_base!$T$3:$T$1230,leavebalances_base!$AD$3:$AD$1230),2,FALSE)/Params!$B$2,"")</f>
        <v>401.28045509532063</v>
      </c>
      <c r="Q161" s="6">
        <f>IFERROR(VLOOKUP(A161,overtime_base!$J:$L,2,FALSE),0)</f>
        <v>0</v>
      </c>
      <c r="R161" s="6">
        <f>IFERROR(VLOOKUP(A161,overtime_base!$J:$L,3,FALSE)/Params!$B$2,0)</f>
        <v>0</v>
      </c>
    </row>
    <row r="162" spans="1:18" ht="40" x14ac:dyDescent="0.35">
      <c r="A162" s="4" t="s">
        <v>504</v>
      </c>
      <c r="B162" s="5" t="s">
        <v>505</v>
      </c>
      <c r="C162" s="6" t="s">
        <v>20</v>
      </c>
      <c r="D162" s="6" t="s">
        <v>68</v>
      </c>
      <c r="E162" s="5" t="s">
        <v>464</v>
      </c>
      <c r="F162" s="6" t="s">
        <v>44</v>
      </c>
      <c r="G162" s="7">
        <v>32689</v>
      </c>
      <c r="H162" s="12">
        <f>DATEDIF(G162,Params!$B$3,"Y")</f>
        <v>37</v>
      </c>
      <c r="I162" s="12" t="str">
        <f>IF(H162&lt;25,"&lt;25 ans",IF(H162&lt;=29,"25 - 29 ans",IF(H162&lt;=34,"30 - 34 ans ",IF(H162&lt;=39,"35 - 39 ans ",IF(H162&lt;=44,"40 - 44 ans ",IF(H162&lt;=49,"45 - 49 ans ",IF(H162&lt;=54,"50 - 54 ans ","&gt;55")))))))</f>
        <v xml:space="preserve">35 - 39 ans </v>
      </c>
      <c r="J162" s="7">
        <v>45992</v>
      </c>
      <c r="K162" s="12">
        <f>DATEDIF(J162,Params!$B$3,"Y")</f>
        <v>0</v>
      </c>
      <c r="L162" s="12" t="str">
        <f>IF(K162&lt;1,"&lt;1 year",IF(K162&lt;=3,"1 - 3 year(s)",IF(K162&lt;=6,"4 - 6 years",IF(K162&lt;=9,"7 - 9 years","&gt;= 10 years"))))</f>
        <v>&lt;1 year</v>
      </c>
      <c r="M162" s="5" t="s">
        <v>488</v>
      </c>
      <c r="N162" s="8" t="s">
        <v>25</v>
      </c>
      <c r="O162" s="8" cm="1">
        <f t="array" ref="O162">IFERROR(VLOOKUP($A162&amp;"Annual",CHOOSE({1,2},leavebalances_base!$E$3:$E$1230&amp;leavebalances_base!$T$3:$T$1230,leavebalances_base!$AC$3:$AC$1230),2,FALSE),"")</f>
        <v>7.6666666633310001</v>
      </c>
      <c r="P162" s="8" cm="1">
        <f t="array" ref="P162">IFERROR(VLOOKUP($A162&amp;"Annual",CHOOSE({1,2},leavebalances_base!$E$3:$E$1230&amp;leavebalances_base!$T$3:$T$1230,leavebalances_base!$AD$3:$AD$1230),2,FALSE)/Params!$B$2,"")</f>
        <v>370.53258571490466</v>
      </c>
      <c r="Q162" s="6">
        <f>IFERROR(VLOOKUP(A162,overtime_base!$J:$L,2,FALSE),0)</f>
        <v>0</v>
      </c>
      <c r="R162" s="6">
        <f>IFERROR(VLOOKUP(A162,overtime_base!$J:$L,3,FALSE)/Params!$B$2,0)</f>
        <v>0</v>
      </c>
    </row>
    <row r="163" spans="1:18" ht="40" x14ac:dyDescent="0.35">
      <c r="A163" s="4" t="s">
        <v>506</v>
      </c>
      <c r="B163" s="5" t="s">
        <v>507</v>
      </c>
      <c r="C163" s="6" t="s">
        <v>20</v>
      </c>
      <c r="D163" s="6" t="s">
        <v>68</v>
      </c>
      <c r="E163" s="5" t="s">
        <v>453</v>
      </c>
      <c r="F163" s="6" t="s">
        <v>44</v>
      </c>
      <c r="G163" s="7">
        <v>32347</v>
      </c>
      <c r="H163" s="12">
        <f>DATEDIF(G163,Params!$B$3,"Y")</f>
        <v>38</v>
      </c>
      <c r="I163" s="12" t="str">
        <f>IF(H163&lt;25,"&lt;25 ans",IF(H163&lt;=29,"25 - 29 ans",IF(H163&lt;=34,"30 - 34 ans ",IF(H163&lt;=39,"35 - 39 ans ",IF(H163&lt;=44,"40 - 44 ans ",IF(H163&lt;=49,"45 - 49 ans ",IF(H163&lt;=54,"50 - 54 ans ","&gt;55")))))))</f>
        <v xml:space="preserve">35 - 39 ans </v>
      </c>
      <c r="J163" s="7">
        <v>46146</v>
      </c>
      <c r="K163" s="12">
        <f>DATEDIF(J163,Params!$B$3,"Y")</f>
        <v>0</v>
      </c>
      <c r="L163" s="12" t="str">
        <f>IF(K163&lt;1,"&lt;1 year",IF(K163&lt;=3,"1 - 3 year(s)",IF(K163&lt;=6,"4 - 6 years",IF(K163&lt;=9,"7 - 9 years","&gt;= 10 years"))))</f>
        <v>&lt;1 year</v>
      </c>
      <c r="M163" s="5" t="s">
        <v>45</v>
      </c>
      <c r="N163" s="8" t="s">
        <v>31</v>
      </c>
      <c r="O163" s="8" cm="1">
        <f t="array" ref="O163">IFERROR(VLOOKUP($A163&amp;"Annual",CHOOSE({1,2},leavebalances_base!$E$3:$E$1230&amp;leavebalances_base!$T$3:$T$1230,leavebalances_base!$AC$3:$AC$1230),2,FALSE),"")</f>
        <v>5.3225806466660002</v>
      </c>
      <c r="P163" s="8" cm="1">
        <f t="array" ref="P163">IFERROR(VLOOKUP($A163&amp;"Annual",CHOOSE({1,2},leavebalances_base!$E$3:$E$1230&amp;leavebalances_base!$T$3:$T$1230,leavebalances_base!$AD$3:$AD$1230),2,FALSE)/Params!$B$2,"")</f>
        <v>269.24220982235698</v>
      </c>
      <c r="Q163" s="6">
        <f>IFERROR(VLOOKUP(A163,overtime_base!$J:$L,2,FALSE),0)</f>
        <v>22.6</v>
      </c>
      <c r="R163" s="6">
        <f>IFERROR(VLOOKUP(A163,overtime_base!$J:$L,3,FALSE)/Params!$B$2,0)</f>
        <v>124.52651213171578</v>
      </c>
    </row>
    <row r="164" spans="1:18" ht="40" x14ac:dyDescent="0.35">
      <c r="A164" s="4" t="s">
        <v>508</v>
      </c>
      <c r="B164" s="5" t="s">
        <v>509</v>
      </c>
      <c r="C164" s="6" t="s">
        <v>20</v>
      </c>
      <c r="D164" s="6" t="s">
        <v>68</v>
      </c>
      <c r="E164" s="5" t="s">
        <v>414</v>
      </c>
      <c r="F164" s="6" t="s">
        <v>65</v>
      </c>
      <c r="G164" s="7">
        <v>36995</v>
      </c>
      <c r="H164" s="12">
        <f>DATEDIF(G164,Params!$B$3,"Y")</f>
        <v>25</v>
      </c>
      <c r="I164" s="12" t="str">
        <f>IF(H164&lt;25,"&lt;25 ans",IF(H164&lt;=29,"25 - 29 ans",IF(H164&lt;=34,"30 - 34 ans ",IF(H164&lt;=39,"35 - 39 ans ",IF(H164&lt;=44,"40 - 44 ans ",IF(H164&lt;=49,"45 - 49 ans ",IF(H164&lt;=54,"50 - 54 ans ","&gt;55")))))))</f>
        <v>25 - 29 ans</v>
      </c>
      <c r="J164" s="7">
        <v>46174</v>
      </c>
      <c r="K164" s="12">
        <f>DATEDIF(J164,Params!$B$3,"Y")</f>
        <v>0</v>
      </c>
      <c r="L164" s="12" t="str">
        <f>IF(K164&lt;1,"&lt;1 year",IF(K164&lt;=3,"1 - 3 year(s)",IF(K164&lt;=6,"4 - 6 years",IF(K164&lt;=9,"7 - 9 years","&gt;= 10 years"))))</f>
        <v>&lt;1 year</v>
      </c>
      <c r="M164" s="5" t="s">
        <v>91</v>
      </c>
      <c r="N164" s="8" t="s">
        <v>36</v>
      </c>
      <c r="O164" s="8" cm="1">
        <f t="array" ref="O164">IFERROR(VLOOKUP($A164&amp;"Annual",CHOOSE({1,2},leavebalances_base!$E$3:$E$1230&amp;leavebalances_base!$T$3:$T$1230,leavebalances_base!$AC$3:$AC$1230),2,FALSE),"")</f>
        <v>3.6666666633329998</v>
      </c>
      <c r="P164" s="8" cm="1">
        <f t="array" ref="P164">IFERROR(VLOOKUP($A164&amp;"Annual",CHOOSE({1,2},leavebalances_base!$E$3:$E$1230&amp;leavebalances_base!$T$3:$T$1230,leavebalances_base!$AD$3:$AD$1230),2,FALSE)/Params!$B$2,"")</f>
        <v>246.84091814991336</v>
      </c>
      <c r="Q164" s="6">
        <f>IFERROR(VLOOKUP(A164,overtime_base!$J:$L,2,FALSE),0)</f>
        <v>0</v>
      </c>
      <c r="R164" s="6">
        <f>IFERROR(VLOOKUP(A164,overtime_base!$J:$L,3,FALSE)/Params!$B$2,0)</f>
        <v>0</v>
      </c>
    </row>
    <row r="165" spans="1:18" ht="40" x14ac:dyDescent="0.35">
      <c r="A165" s="4" t="s">
        <v>510</v>
      </c>
      <c r="B165" s="5" t="s">
        <v>511</v>
      </c>
      <c r="C165" s="6" t="s">
        <v>20</v>
      </c>
      <c r="D165" s="6" t="s">
        <v>68</v>
      </c>
      <c r="E165" s="5" t="s">
        <v>512</v>
      </c>
      <c r="F165" s="6" t="s">
        <v>145</v>
      </c>
      <c r="G165" s="7">
        <v>34369</v>
      </c>
      <c r="H165" s="12">
        <f>DATEDIF(G165,Params!$B$3,"Y")</f>
        <v>32</v>
      </c>
      <c r="I165" s="12" t="str">
        <f>IF(H165&lt;25,"&lt;25 ans",IF(H165&lt;=29,"25 - 29 ans",IF(H165&lt;=34,"30 - 34 ans ",IF(H165&lt;=39,"35 - 39 ans ",IF(H165&lt;=44,"40 - 44 ans ",IF(H165&lt;=49,"45 - 49 ans ",IF(H165&lt;=54,"50 - 54 ans ","&gt;55")))))))</f>
        <v xml:space="preserve">30 - 34 ans </v>
      </c>
      <c r="J165" s="7">
        <v>46190</v>
      </c>
      <c r="K165" s="12">
        <f>DATEDIF(J165,Params!$B$3,"Y")</f>
        <v>0</v>
      </c>
      <c r="L165" s="12" t="str">
        <f>IF(K165&lt;1,"&lt;1 year",IF(K165&lt;=3,"1 - 3 year(s)",IF(K165&lt;=6,"4 - 6 years",IF(K165&lt;=9,"7 - 9 years","&gt;= 10 years"))))</f>
        <v>&lt;1 year</v>
      </c>
      <c r="M165" s="5" t="s">
        <v>30</v>
      </c>
      <c r="N165" s="8" t="s">
        <v>31</v>
      </c>
      <c r="O165" s="8" cm="1">
        <f t="array" ref="O165">IFERROR(VLOOKUP($A165&amp;"Annual",CHOOSE({1,2},leavebalances_base!$E$3:$E$1230&amp;leavebalances_base!$T$3:$T$1230,leavebalances_base!$AC$3:$AC$1230),2,FALSE),"")</f>
        <v>2.688888893333</v>
      </c>
      <c r="P165" s="8" cm="1">
        <f t="array" ref="P165">IFERROR(VLOOKUP($A165&amp;"Annual",CHOOSE({1,2},leavebalances_base!$E$3:$E$1230&amp;leavebalances_base!$T$3:$T$1230,leavebalances_base!$AD$3:$AD$1230),2,FALSE)/Params!$B$2,"")</f>
        <v>160.77159339688043</v>
      </c>
      <c r="Q165" s="6">
        <f>IFERROR(VLOOKUP(A165,overtime_base!$J:$L,2,FALSE),0)</f>
        <v>0</v>
      </c>
      <c r="R165" s="6">
        <f>IFERROR(VLOOKUP(A165,overtime_base!$J:$L,3,FALSE)/Params!$B$2,0)</f>
        <v>0</v>
      </c>
    </row>
    <row r="166" spans="1:18" ht="40" x14ac:dyDescent="0.35">
      <c r="A166" s="4" t="s">
        <v>513</v>
      </c>
      <c r="B166" s="5" t="s">
        <v>514</v>
      </c>
      <c r="C166" s="6" t="s">
        <v>20</v>
      </c>
      <c r="D166" s="6" t="s">
        <v>68</v>
      </c>
      <c r="E166" s="5" t="s">
        <v>515</v>
      </c>
      <c r="F166" s="6" t="s">
        <v>44</v>
      </c>
      <c r="G166" s="7">
        <v>32622</v>
      </c>
      <c r="H166" s="12">
        <f>DATEDIF(G166,Params!$B$3,"Y")</f>
        <v>37</v>
      </c>
      <c r="I166" s="12" t="str">
        <f>IF(H166&lt;25,"&lt;25 ans",IF(H166&lt;=29,"25 - 29 ans",IF(H166&lt;=34,"30 - 34 ans ",IF(H166&lt;=39,"35 - 39 ans ",IF(H166&lt;=44,"40 - 44 ans ",IF(H166&lt;=49,"45 - 49 ans ",IF(H166&lt;=54,"50 - 54 ans ","&gt;55")))))))</f>
        <v xml:space="preserve">35 - 39 ans </v>
      </c>
      <c r="J166" s="7">
        <v>46181</v>
      </c>
      <c r="K166" s="12">
        <f>DATEDIF(J166,Params!$B$3,"Y")</f>
        <v>0</v>
      </c>
      <c r="L166" s="12" t="str">
        <f>IF(K166&lt;1,"&lt;1 year",IF(K166&lt;=3,"1 - 3 year(s)",IF(K166&lt;=6,"4 - 6 years",IF(K166&lt;=9,"7 - 9 years","&gt;= 10 years"))))</f>
        <v>&lt;1 year</v>
      </c>
      <c r="M166" s="5" t="s">
        <v>45</v>
      </c>
      <c r="N166" s="8" t="s">
        <v>31</v>
      </c>
      <c r="O166" s="8" cm="1">
        <f t="array" ref="O166">IFERROR(VLOOKUP($A166&amp;"Annual",CHOOSE({1,2},leavebalances_base!$E$3:$E$1230&amp;leavebalances_base!$T$3:$T$1230,leavebalances_base!$AC$3:$AC$1230),2,FALSE),"")</f>
        <v>3.2388888933329998</v>
      </c>
      <c r="P166" s="8" cm="1">
        <f t="array" ref="P166">IFERROR(VLOOKUP($A166&amp;"Annual",CHOOSE({1,2},leavebalances_base!$E$3:$E$1230&amp;leavebalances_base!$T$3:$T$1230,leavebalances_base!$AD$3:$AD$1230),2,FALSE)/Params!$B$2,"")</f>
        <v>191.46489828856153</v>
      </c>
      <c r="Q166" s="6">
        <f>IFERROR(VLOOKUP(A166,overtime_base!$J:$L,2,FALSE),0)</f>
        <v>45.6</v>
      </c>
      <c r="R166" s="6">
        <f>IFERROR(VLOOKUP(A166,overtime_base!$J:$L,3,FALSE)/Params!$B$2,0)</f>
        <v>332.37499566724438</v>
      </c>
    </row>
    <row r="167" spans="1:18" ht="20" x14ac:dyDescent="0.35">
      <c r="A167" s="4" t="s">
        <v>516</v>
      </c>
      <c r="B167" s="5" t="s">
        <v>517</v>
      </c>
      <c r="C167" s="6" t="s">
        <v>20</v>
      </c>
      <c r="D167" s="6" t="s">
        <v>21</v>
      </c>
      <c r="E167" s="5" t="s">
        <v>518</v>
      </c>
      <c r="F167" s="6" t="s">
        <v>35</v>
      </c>
      <c r="G167" s="7">
        <v>30277</v>
      </c>
      <c r="H167" s="12">
        <f>DATEDIF(G167,Params!$B$3,"Y")</f>
        <v>43</v>
      </c>
      <c r="I167" s="12" t="str">
        <f>IF(H167&lt;25,"&lt;25 ans",IF(H167&lt;=29,"25 - 29 ans",IF(H167&lt;=34,"30 - 34 ans ",IF(H167&lt;=39,"35 - 39 ans ",IF(H167&lt;=44,"40 - 44 ans ",IF(H167&lt;=49,"45 - 49 ans ",IF(H167&lt;=54,"50 - 54 ans ","&gt;55")))))))</f>
        <v xml:space="preserve">40 - 44 ans </v>
      </c>
      <c r="J167" s="7">
        <v>42240</v>
      </c>
      <c r="K167" s="12">
        <f>DATEDIF(J167,Params!$B$3,"Y")</f>
        <v>10</v>
      </c>
      <c r="L167" s="12" t="str">
        <f>IF(K167&lt;1,"&lt;1 year",IF(K167&lt;=3,"1 - 3 year(s)",IF(K167&lt;=6,"4 - 6 years",IF(K167&lt;=9,"7 - 9 years","&gt;= 10 years"))))</f>
        <v>&gt;= 10 years</v>
      </c>
      <c r="M167" s="5" t="s">
        <v>102</v>
      </c>
      <c r="N167" s="8" t="s">
        <v>31</v>
      </c>
      <c r="O167" s="8" cm="1">
        <f t="array" ref="O167">IFERROR(VLOOKUP($A167&amp;"Annual",CHOOSE({1,2},leavebalances_base!$E$3:$E$1230&amp;leavebalances_base!$T$3:$T$1230,leavebalances_base!$AC$3:$AC$1230),2,FALSE),"")</f>
        <v>11.500000000002</v>
      </c>
      <c r="P167" s="8" cm="1">
        <f t="array" ref="P167">IFERROR(VLOOKUP($A167&amp;"Annual",CHOOSE({1,2},leavebalances_base!$E$3:$E$1230&amp;leavebalances_base!$T$3:$T$1230,leavebalances_base!$AD$3:$AD$1230),2,FALSE)/Params!$B$2,"")</f>
        <v>424.79286153379553</v>
      </c>
      <c r="Q167" s="6">
        <f>IFERROR(VLOOKUP(A167,overtime_base!$J:$L,2,FALSE),0)</f>
        <v>6</v>
      </c>
      <c r="R167" s="6">
        <f>IFERROR(VLOOKUP(A167,overtime_base!$J:$L,3,FALSE)/Params!$B$2,0)</f>
        <v>23.574831022530329</v>
      </c>
    </row>
    <row r="168" spans="1:18" ht="20" x14ac:dyDescent="0.35">
      <c r="A168" s="4" t="s">
        <v>519</v>
      </c>
      <c r="B168" s="5" t="s">
        <v>520</v>
      </c>
      <c r="C168" s="6" t="s">
        <v>20</v>
      </c>
      <c r="D168" s="6" t="s">
        <v>21</v>
      </c>
      <c r="E168" s="5" t="s">
        <v>518</v>
      </c>
      <c r="F168" s="6" t="s">
        <v>35</v>
      </c>
      <c r="G168" s="7">
        <v>25820</v>
      </c>
      <c r="H168" s="12">
        <f>DATEDIF(G168,Params!$B$3,"Y")</f>
        <v>55</v>
      </c>
      <c r="I168" s="12" t="str">
        <f>IF(H168&lt;25,"&lt;25 ans",IF(H168&lt;=29,"25 - 29 ans",IF(H168&lt;=34,"30 - 34 ans ",IF(H168&lt;=39,"35 - 39 ans ",IF(H168&lt;=44,"40 - 44 ans ",IF(H168&lt;=49,"45 - 49 ans ",IF(H168&lt;=54,"50 - 54 ans ","&gt;55")))))))</f>
        <v>&gt;55</v>
      </c>
      <c r="J168" s="7">
        <v>42499</v>
      </c>
      <c r="K168" s="12">
        <f>DATEDIF(J168,Params!$B$3,"Y")</f>
        <v>10</v>
      </c>
      <c r="L168" s="12" t="str">
        <f>IF(K168&lt;1,"&lt;1 year",IF(K168&lt;=3,"1 - 3 year(s)",IF(K168&lt;=6,"4 - 6 years",IF(K168&lt;=9,"7 - 9 years","&gt;= 10 years"))))</f>
        <v>&gt;= 10 years</v>
      </c>
      <c r="M168" s="5" t="s">
        <v>102</v>
      </c>
      <c r="N168" s="8" t="s">
        <v>31</v>
      </c>
      <c r="O168" s="8" cm="1">
        <f t="array" ref="O168">IFERROR(VLOOKUP($A168&amp;"Annual",CHOOSE({1,2},leavebalances_base!$E$3:$E$1230&amp;leavebalances_base!$T$3:$T$1230,leavebalances_base!$AC$3:$AC$1230),2,FALSE),"")</f>
        <v>10.50333333333</v>
      </c>
      <c r="P168" s="8" cm="1">
        <f t="array" ref="P168">IFERROR(VLOOKUP($A168&amp;"Annual",CHOOSE({1,2},leavebalances_base!$E$3:$E$1230&amp;leavebalances_base!$T$3:$T$1230,leavebalances_base!$AD$3:$AD$1230),2,FALSE)/Params!$B$2,"")</f>
        <v>330.09168799826688</v>
      </c>
      <c r="Q168" s="6">
        <f>IFERROR(VLOOKUP(A168,overtime_base!$J:$L,2,FALSE),0)</f>
        <v>0</v>
      </c>
      <c r="R168" s="6">
        <f>IFERROR(VLOOKUP(A168,overtime_base!$J:$L,3,FALSE)/Params!$B$2,0)</f>
        <v>0</v>
      </c>
    </row>
    <row r="169" spans="1:18" ht="40" x14ac:dyDescent="0.35">
      <c r="A169" s="4" t="s">
        <v>521</v>
      </c>
      <c r="B169" s="5" t="s">
        <v>522</v>
      </c>
      <c r="C169" s="6" t="s">
        <v>20</v>
      </c>
      <c r="D169" s="6" t="s">
        <v>21</v>
      </c>
      <c r="E169" s="5" t="s">
        <v>523</v>
      </c>
      <c r="F169" s="6" t="s">
        <v>35</v>
      </c>
      <c r="G169" s="7">
        <v>32060</v>
      </c>
      <c r="H169" s="12">
        <f>DATEDIF(G169,Params!$B$3,"Y")</f>
        <v>38</v>
      </c>
      <c r="I169" s="12" t="str">
        <f>IF(H169&lt;25,"&lt;25 ans",IF(H169&lt;=29,"25 - 29 ans",IF(H169&lt;=34,"30 - 34 ans ",IF(H169&lt;=39,"35 - 39 ans ",IF(H169&lt;=44,"40 - 44 ans ",IF(H169&lt;=49,"45 - 49 ans ",IF(H169&lt;=54,"50 - 54 ans ","&gt;55")))))))</f>
        <v xml:space="preserve">35 - 39 ans </v>
      </c>
      <c r="J169" s="7">
        <v>42679</v>
      </c>
      <c r="K169" s="12">
        <f>DATEDIF(J169,Params!$B$3,"Y")</f>
        <v>9</v>
      </c>
      <c r="L169" s="12" t="str">
        <f>IF(K169&lt;1,"&lt;1 year",IF(K169&lt;=3,"1 - 3 year(s)",IF(K169&lt;=6,"4 - 6 years",IF(K169&lt;=9,"7 - 9 years","&gt;= 10 years"))))</f>
        <v>7 - 9 years</v>
      </c>
      <c r="M169" s="5" t="s">
        <v>102</v>
      </c>
      <c r="N169" s="8" t="s">
        <v>31</v>
      </c>
      <c r="O169" s="8" cm="1">
        <f t="array" ref="O169">IFERROR(VLOOKUP($A169&amp;"Annual",CHOOSE({1,2},leavebalances_base!$E$3:$E$1230&amp;leavebalances_base!$T$3:$T$1230,leavebalances_base!$AC$3:$AC$1230),2,FALSE),"")</f>
        <v>19.083333333336</v>
      </c>
      <c r="P169" s="8" cm="1">
        <f t="array" ref="P169">IFERROR(VLOOKUP($A169&amp;"Annual",CHOOSE({1,2},leavebalances_base!$E$3:$E$1230&amp;leavebalances_base!$T$3:$T$1230,leavebalances_base!$AD$3:$AD$1230),2,FALSE)/Params!$B$2,"")</f>
        <v>603.25708738301557</v>
      </c>
      <c r="Q169" s="6">
        <f>IFERROR(VLOOKUP(A169,overtime_base!$J:$L,2,FALSE),0)</f>
        <v>13</v>
      </c>
      <c r="R169" s="6">
        <f>IFERROR(VLOOKUP(A169,overtime_base!$J:$L,3,FALSE)/Params!$B$2,0)</f>
        <v>42.609865684575396</v>
      </c>
    </row>
    <row r="170" spans="1:18" ht="20" x14ac:dyDescent="0.35">
      <c r="A170" s="4" t="s">
        <v>524</v>
      </c>
      <c r="B170" s="5" t="s">
        <v>525</v>
      </c>
      <c r="C170" s="6" t="s">
        <v>20</v>
      </c>
      <c r="D170" s="6" t="s">
        <v>21</v>
      </c>
      <c r="E170" s="5" t="s">
        <v>518</v>
      </c>
      <c r="F170" s="6" t="s">
        <v>204</v>
      </c>
      <c r="G170" s="7">
        <v>30322</v>
      </c>
      <c r="H170" s="12">
        <f>DATEDIF(G170,Params!$B$3,"Y")</f>
        <v>43</v>
      </c>
      <c r="I170" s="12" t="str">
        <f>IF(H170&lt;25,"&lt;25 ans",IF(H170&lt;=29,"25 - 29 ans",IF(H170&lt;=34,"30 - 34 ans ",IF(H170&lt;=39,"35 - 39 ans ",IF(H170&lt;=44,"40 - 44 ans ",IF(H170&lt;=49,"45 - 49 ans ",IF(H170&lt;=54,"50 - 54 ans ","&gt;55")))))))</f>
        <v xml:space="preserve">40 - 44 ans </v>
      </c>
      <c r="J170" s="7">
        <v>42679</v>
      </c>
      <c r="K170" s="12">
        <f>DATEDIF(J170,Params!$B$3,"Y")</f>
        <v>9</v>
      </c>
      <c r="L170" s="12" t="str">
        <f>IF(K170&lt;1,"&lt;1 year",IF(K170&lt;=3,"1 - 3 year(s)",IF(K170&lt;=6,"4 - 6 years",IF(K170&lt;=9,"7 - 9 years","&gt;= 10 years"))))</f>
        <v>7 - 9 years</v>
      </c>
      <c r="M170" s="5" t="s">
        <v>102</v>
      </c>
      <c r="N170" s="8" t="s">
        <v>31</v>
      </c>
      <c r="O170" s="8" cm="1">
        <f t="array" ref="O170">IFERROR(VLOOKUP($A170&amp;"Annual",CHOOSE({1,2},leavebalances_base!$E$3:$E$1230&amp;leavebalances_base!$T$3:$T$1230,leavebalances_base!$AC$3:$AC$1230),2,FALSE),"")</f>
        <v>7.3333333333280004</v>
      </c>
      <c r="P170" s="8" cm="1">
        <f t="array" ref="P170">IFERROR(VLOOKUP($A170&amp;"Annual",CHOOSE({1,2},leavebalances_base!$E$3:$E$1230&amp;leavebalances_base!$T$3:$T$1230,leavebalances_base!$AD$3:$AD$1230),2,FALSE)/Params!$B$2,"")</f>
        <v>221.17302537261699</v>
      </c>
      <c r="Q170" s="6">
        <f>IFERROR(VLOOKUP(A170,overtime_base!$J:$L,2,FALSE),0)</f>
        <v>0</v>
      </c>
      <c r="R170" s="6">
        <f>IFERROR(VLOOKUP(A170,overtime_base!$J:$L,3,FALSE)/Params!$B$2,0)</f>
        <v>0</v>
      </c>
    </row>
    <row r="171" spans="1:18" ht="20" x14ac:dyDescent="0.35">
      <c r="A171" s="4" t="s">
        <v>526</v>
      </c>
      <c r="B171" s="5" t="s">
        <v>527</v>
      </c>
      <c r="C171" s="6" t="s">
        <v>20</v>
      </c>
      <c r="D171" s="6" t="s">
        <v>21</v>
      </c>
      <c r="E171" s="5" t="s">
        <v>64</v>
      </c>
      <c r="F171" s="6" t="s">
        <v>65</v>
      </c>
      <c r="G171" s="7">
        <v>28108</v>
      </c>
      <c r="H171" s="12">
        <f>DATEDIF(G171,Params!$B$3,"Y")</f>
        <v>49</v>
      </c>
      <c r="I171" s="12" t="str">
        <f>IF(H171&lt;25,"&lt;25 ans",IF(H171&lt;=29,"25 - 29 ans",IF(H171&lt;=34,"30 - 34 ans ",IF(H171&lt;=39,"35 - 39 ans ",IF(H171&lt;=44,"40 - 44 ans ",IF(H171&lt;=49,"45 - 49 ans ",IF(H171&lt;=54,"50 - 54 ans ","&gt;55")))))))</f>
        <v xml:space="preserve">45 - 49 ans </v>
      </c>
      <c r="J171" s="7">
        <v>42240</v>
      </c>
      <c r="K171" s="12">
        <f>DATEDIF(J171,Params!$B$3,"Y")</f>
        <v>10</v>
      </c>
      <c r="L171" s="12" t="str">
        <f>IF(K171&lt;1,"&lt;1 year",IF(K171&lt;=3,"1 - 3 year(s)",IF(K171&lt;=6,"4 - 6 years",IF(K171&lt;=9,"7 - 9 years","&gt;= 10 years"))))</f>
        <v>&gt;= 10 years</v>
      </c>
      <c r="M171" s="5" t="s">
        <v>102</v>
      </c>
      <c r="N171" s="8" t="s">
        <v>31</v>
      </c>
      <c r="O171" s="8" cm="1">
        <f t="array" ref="O171">IFERROR(VLOOKUP($A171&amp;"Annual",CHOOSE({1,2},leavebalances_base!$E$3:$E$1230&amp;leavebalances_base!$T$3:$T$1230,leavebalances_base!$AC$3:$AC$1230),2,FALSE),"")</f>
        <v>31.169999999992001</v>
      </c>
      <c r="P171" s="8" cm="1">
        <f t="array" ref="P171">IFERROR(VLOOKUP($A171&amp;"Annual",CHOOSE({1,2},leavebalances_base!$E$3:$E$1230&amp;leavebalances_base!$T$3:$T$1230,leavebalances_base!$AD$3:$AD$1230),2,FALSE)/Params!$B$2,"")</f>
        <v>2524.7883878422876</v>
      </c>
      <c r="Q171" s="6">
        <f>IFERROR(VLOOKUP(A171,overtime_base!$J:$L,2,FALSE),0)</f>
        <v>21</v>
      </c>
      <c r="R171" s="6">
        <f>IFERROR(VLOOKUP(A171,overtime_base!$J:$L,3,FALSE)/Params!$B$2,0)</f>
        <v>246.0687781629116</v>
      </c>
    </row>
    <row r="172" spans="1:18" ht="40" x14ac:dyDescent="0.35">
      <c r="A172" s="4" t="s">
        <v>528</v>
      </c>
      <c r="B172" s="5" t="s">
        <v>529</v>
      </c>
      <c r="C172" s="6" t="s">
        <v>20</v>
      </c>
      <c r="D172" s="6" t="s">
        <v>21</v>
      </c>
      <c r="E172" s="5" t="s">
        <v>530</v>
      </c>
      <c r="F172" s="6" t="s">
        <v>165</v>
      </c>
      <c r="G172" s="7">
        <v>30536</v>
      </c>
      <c r="H172" s="12">
        <f>DATEDIF(G172,Params!$B$3,"Y")</f>
        <v>42</v>
      </c>
      <c r="I172" s="12" t="str">
        <f>IF(H172&lt;25,"&lt;25 ans",IF(H172&lt;=29,"25 - 29 ans",IF(H172&lt;=34,"30 - 34 ans ",IF(H172&lt;=39,"35 - 39 ans ",IF(H172&lt;=44,"40 - 44 ans ",IF(H172&lt;=49,"45 - 49 ans ",IF(H172&lt;=54,"50 - 54 ans ","&gt;55")))))))</f>
        <v xml:space="preserve">40 - 44 ans </v>
      </c>
      <c r="J172" s="7">
        <v>43192</v>
      </c>
      <c r="K172" s="12">
        <f>DATEDIF(J172,Params!$B$3,"Y")</f>
        <v>8</v>
      </c>
      <c r="L172" s="12" t="str">
        <f>IF(K172&lt;1,"&lt;1 year",IF(K172&lt;=3,"1 - 3 year(s)",IF(K172&lt;=6,"4 - 6 years",IF(K172&lt;=9,"7 - 9 years","&gt;= 10 years"))))</f>
        <v>7 - 9 years</v>
      </c>
      <c r="M172" s="5" t="s">
        <v>102</v>
      </c>
      <c r="N172" s="8" t="s">
        <v>31</v>
      </c>
      <c r="O172" s="8" cm="1">
        <f t="array" ref="O172">IFERROR(VLOOKUP($A172&amp;"Annual",CHOOSE({1,2},leavebalances_base!$E$3:$E$1230&amp;leavebalances_base!$T$3:$T$1230,leavebalances_base!$AC$3:$AC$1230),2,FALSE),"")</f>
        <v>10.999999999998</v>
      </c>
      <c r="P172" s="8" cm="1">
        <f t="array" ref="P172">IFERROR(VLOOKUP($A172&amp;"Annual",CHOOSE({1,2},leavebalances_base!$E$3:$E$1230&amp;leavebalances_base!$T$3:$T$1230,leavebalances_base!$AD$3:$AD$1230),2,FALSE)/Params!$B$2,"")</f>
        <v>371.51190441074522</v>
      </c>
      <c r="Q172" s="6">
        <f>IFERROR(VLOOKUP(A172,overtime_base!$J:$L,2,FALSE),0)</f>
        <v>4.3</v>
      </c>
      <c r="R172" s="6">
        <f>IFERROR(VLOOKUP(A172,overtime_base!$J:$L,3,FALSE)/Params!$B$2,0)</f>
        <v>14.914770363951474</v>
      </c>
    </row>
    <row r="173" spans="1:18" ht="40" x14ac:dyDescent="0.35">
      <c r="A173" s="4" t="s">
        <v>531</v>
      </c>
      <c r="B173" s="5" t="s">
        <v>532</v>
      </c>
      <c r="C173" s="4" t="s">
        <v>20</v>
      </c>
      <c r="D173" s="4" t="s">
        <v>68</v>
      </c>
      <c r="E173" s="4" t="s">
        <v>533</v>
      </c>
      <c r="F173" s="6" t="s">
        <v>50</v>
      </c>
      <c r="G173" s="7">
        <v>28290</v>
      </c>
      <c r="H173" s="12">
        <f>DATEDIF(G173,Params!$B$3,"Y")</f>
        <v>49</v>
      </c>
      <c r="I173" s="12" t="str">
        <f>IF(H173&lt;25,"&lt;25 ans",IF(H173&lt;=29,"25 - 29 ans",IF(H173&lt;=34,"30 - 34 ans ",IF(H173&lt;=39,"35 - 39 ans ",IF(H173&lt;=44,"40 - 44 ans ",IF(H173&lt;=49,"45 - 49 ans ",IF(H173&lt;=54,"50 - 54 ans ","&gt;55")))))))</f>
        <v xml:space="preserve">45 - 49 ans </v>
      </c>
      <c r="J173" s="7">
        <v>44319</v>
      </c>
      <c r="K173" s="12">
        <f>DATEDIF(J173,Params!$B$3,"Y")</f>
        <v>5</v>
      </c>
      <c r="L173" s="12" t="str">
        <f>IF(K173&lt;1,"&lt;1 year",IF(K173&lt;=3,"1 - 3 year(s)",IF(K173&lt;=6,"4 - 6 years",IF(K173&lt;=9,"7 - 9 years","&gt;= 10 years"))))</f>
        <v>4 - 6 years</v>
      </c>
      <c r="M173" s="5" t="s">
        <v>102</v>
      </c>
      <c r="N173" s="8" t="s">
        <v>31</v>
      </c>
      <c r="O173" s="8" cm="1">
        <f t="array" ref="O173">IFERROR(VLOOKUP($A173&amp;"Annual",CHOOSE({1,2},leavebalances_base!$E$3:$E$1230&amp;leavebalances_base!$T$3:$T$1230,leavebalances_base!$AC$3:$AC$1230),2,FALSE),"")</f>
        <v>30.249999999991001</v>
      </c>
      <c r="P173" s="8" cm="1">
        <f t="array" ref="P173">IFERROR(VLOOKUP($A173&amp;"Annual",CHOOSE({1,2},leavebalances_base!$E$3:$E$1230&amp;leavebalances_base!$T$3:$T$1230,leavebalances_base!$AD$3:$AD$1230),2,FALSE)/Params!$B$2,"")</f>
        <v>6227.1485076559793</v>
      </c>
      <c r="Q173" s="6">
        <f>IFERROR(VLOOKUP(A173,overtime_base!$J:$L,2,FALSE),0)</f>
        <v>0</v>
      </c>
      <c r="R173" s="6">
        <f>IFERROR(VLOOKUP(A173,overtime_base!$J:$L,3,FALSE)/Params!$B$2,0)</f>
        <v>0</v>
      </c>
    </row>
    <row r="174" spans="1:18" ht="20" x14ac:dyDescent="0.35">
      <c r="A174" s="4" t="s">
        <v>534</v>
      </c>
      <c r="B174" s="5" t="s">
        <v>535</v>
      </c>
      <c r="C174" s="6" t="s">
        <v>20</v>
      </c>
      <c r="D174" s="5" t="s">
        <v>536</v>
      </c>
      <c r="E174" s="4" t="s">
        <v>537</v>
      </c>
      <c r="F174" s="6" t="s">
        <v>23</v>
      </c>
      <c r="G174" s="7">
        <v>33139</v>
      </c>
      <c r="H174" s="12">
        <f>DATEDIF(G174,Params!$B$3,"Y")</f>
        <v>35</v>
      </c>
      <c r="I174" s="12" t="str">
        <f>IF(H174&lt;25,"&lt;25 ans",IF(H174&lt;=29,"25 - 29 ans",IF(H174&lt;=34,"30 - 34 ans ",IF(H174&lt;=39,"35 - 39 ans ",IF(H174&lt;=44,"40 - 44 ans ",IF(H174&lt;=49,"45 - 49 ans ",IF(H174&lt;=54,"50 - 54 ans ","&gt;55")))))))</f>
        <v xml:space="preserve">35 - 39 ans </v>
      </c>
      <c r="J174" s="7">
        <v>44593</v>
      </c>
      <c r="K174" s="12">
        <f>DATEDIF(J174,Params!$B$3,"Y")</f>
        <v>4</v>
      </c>
      <c r="L174" s="12" t="str">
        <f>IF(K174&lt;1,"&lt;1 year",IF(K174&lt;=3,"1 - 3 year(s)",IF(K174&lt;=6,"4 - 6 years",IF(K174&lt;=9,"7 - 9 years","&gt;= 10 years"))))</f>
        <v>4 - 6 years</v>
      </c>
      <c r="M174" s="5" t="s">
        <v>91</v>
      </c>
      <c r="N174" s="8" t="s">
        <v>36</v>
      </c>
      <c r="O174" s="8" cm="1">
        <f t="array" ref="O174">IFERROR(VLOOKUP($A174&amp;"Annual",CHOOSE({1,2},leavebalances_base!$E$3:$E$1230&amp;leavebalances_base!$T$3:$T$1230,leavebalances_base!$AC$3:$AC$1230),2,FALSE),"")</f>
        <v>22.333333333332</v>
      </c>
      <c r="P174" s="8" cm="1">
        <f t="array" ref="P174">IFERROR(VLOOKUP($A174&amp;"Annual",CHOOSE({1,2},leavebalances_base!$E$3:$E$1230&amp;leavebalances_base!$T$3:$T$1230,leavebalances_base!$AD$3:$AD$1230),2,FALSE)/Params!$B$2,"")</f>
        <v>5973.9485288604847</v>
      </c>
      <c r="Q174" s="6">
        <f>IFERROR(VLOOKUP(A174,overtime_base!$J:$L,2,FALSE),0)</f>
        <v>0</v>
      </c>
      <c r="R174" s="6">
        <f>IFERROR(VLOOKUP(A174,overtime_base!$J:$L,3,FALSE)/Params!$B$2,0)</f>
        <v>0</v>
      </c>
    </row>
    <row r="175" spans="1:18" ht="40" x14ac:dyDescent="0.35">
      <c r="A175" s="4" t="s">
        <v>538</v>
      </c>
      <c r="B175" s="5" t="s">
        <v>539</v>
      </c>
      <c r="C175" s="6" t="s">
        <v>20</v>
      </c>
      <c r="D175" s="5" t="s">
        <v>68</v>
      </c>
      <c r="E175" s="4" t="s">
        <v>540</v>
      </c>
      <c r="F175" s="6" t="s">
        <v>65</v>
      </c>
      <c r="G175" s="7">
        <v>34429</v>
      </c>
      <c r="H175" s="12">
        <f>DATEDIF(G175,Params!$B$3,"Y")</f>
        <v>32</v>
      </c>
      <c r="I175" s="12" t="str">
        <f>IF(H175&lt;25,"&lt;25 ans",IF(H175&lt;=29,"25 - 29 ans",IF(H175&lt;=34,"30 - 34 ans ",IF(H175&lt;=39,"35 - 39 ans ",IF(H175&lt;=44,"40 - 44 ans ",IF(H175&lt;=49,"45 - 49 ans ",IF(H175&lt;=54,"50 - 54 ans ","&gt;55")))))))</f>
        <v xml:space="preserve">30 - 34 ans </v>
      </c>
      <c r="J175" s="7">
        <v>45446</v>
      </c>
      <c r="K175" s="12">
        <f>DATEDIF(J175,Params!$B$3,"Y")</f>
        <v>2</v>
      </c>
      <c r="L175" s="12" t="str">
        <f>IF(K175&lt;1,"&lt;1 year",IF(K175&lt;=3,"1 - 3 year(s)",IF(K175&lt;=6,"4 - 6 years",IF(K175&lt;=9,"7 - 9 years","&gt;= 10 years"))))</f>
        <v>1 - 3 year(s)</v>
      </c>
      <c r="M175" s="5" t="s">
        <v>102</v>
      </c>
      <c r="N175" s="9" t="s">
        <v>31</v>
      </c>
      <c r="O175" s="8" cm="1">
        <f t="array" ref="O175">IFERROR(VLOOKUP($A175&amp;"Annual",CHOOSE({1,2},leavebalances_base!$E$3:$E$1230&amp;leavebalances_base!$T$3:$T$1230,leavebalances_base!$AC$3:$AC$1230),2,FALSE),"")</f>
        <v>8.5444444433250002</v>
      </c>
      <c r="P175" s="8" cm="1">
        <f t="array" ref="P175">IFERROR(VLOOKUP($A175&amp;"Annual",CHOOSE({1,2},leavebalances_base!$E$3:$E$1230&amp;leavebalances_base!$T$3:$T$1230,leavebalances_base!$AD$3:$AD$1230),2,FALSE)/Params!$B$2,"")</f>
        <v>643.30684227036397</v>
      </c>
      <c r="Q175" s="6">
        <f>IFERROR(VLOOKUP(A175,overtime_base!$J:$L,2,FALSE),0)</f>
        <v>6</v>
      </c>
      <c r="R175" s="6">
        <f>IFERROR(VLOOKUP(A175,overtime_base!$J:$L,3,FALSE)/Params!$B$2,0)</f>
        <v>61.700199306759096</v>
      </c>
    </row>
    <row r="176" spans="1:18" ht="40" x14ac:dyDescent="0.35">
      <c r="A176" s="4" t="s">
        <v>541</v>
      </c>
      <c r="B176" s="5" t="s">
        <v>542</v>
      </c>
      <c r="C176" s="6" t="s">
        <v>20</v>
      </c>
      <c r="D176" s="5" t="s">
        <v>68</v>
      </c>
      <c r="E176" s="4" t="s">
        <v>543</v>
      </c>
      <c r="F176" s="6" t="s">
        <v>23</v>
      </c>
      <c r="G176" s="7">
        <v>31578</v>
      </c>
      <c r="H176" s="12">
        <f>DATEDIF(G176,Params!$B$3,"Y")</f>
        <v>40</v>
      </c>
      <c r="I176" s="12" t="str">
        <f>IF(H176&lt;25,"&lt;25 ans",IF(H176&lt;=29,"25 - 29 ans",IF(H176&lt;=34,"30 - 34 ans ",IF(H176&lt;=39,"35 - 39 ans ",IF(H176&lt;=44,"40 - 44 ans ",IF(H176&lt;=49,"45 - 49 ans ",IF(H176&lt;=54,"50 - 54 ans ","&gt;55")))))))</f>
        <v xml:space="preserve">40 - 44 ans </v>
      </c>
      <c r="J176" s="7">
        <v>45414</v>
      </c>
      <c r="K176" s="12">
        <f>DATEDIF(J176,Params!$B$3,"Y")</f>
        <v>2</v>
      </c>
      <c r="L176" s="12" t="str">
        <f>IF(K176&lt;1,"&lt;1 year",IF(K176&lt;=3,"1 - 3 year(s)",IF(K176&lt;=6,"4 - 6 years",IF(K176&lt;=9,"7 - 9 years","&gt;= 10 years"))))</f>
        <v>1 - 3 year(s)</v>
      </c>
      <c r="M176" s="5" t="s">
        <v>102</v>
      </c>
      <c r="N176" s="9" t="s">
        <v>31</v>
      </c>
      <c r="O176" s="8" cm="1">
        <f t="array" ref="O176">IFERROR(VLOOKUP($A176&amp;"Annual",CHOOSE({1,2},leavebalances_base!$E$3:$E$1230&amp;leavebalances_base!$T$3:$T$1230,leavebalances_base!$AC$3:$AC$1230),2,FALSE),"")</f>
        <v>21.935483869999999</v>
      </c>
      <c r="P176" s="8" cm="1">
        <f t="array" ref="P176">IFERROR(VLOOKUP($A176&amp;"Annual",CHOOSE({1,2},leavebalances_base!$E$3:$E$1230&amp;leavebalances_base!$T$3:$T$1230,leavebalances_base!$AD$3:$AD$1230),2,FALSE)/Params!$B$2,"")</f>
        <v>4912.4300639428075</v>
      </c>
      <c r="Q176" s="6">
        <f>IFERROR(VLOOKUP(A176,overtime_base!$J:$L,2,FALSE),0)</f>
        <v>0</v>
      </c>
      <c r="R176" s="6">
        <f>IFERROR(VLOOKUP(A176,overtime_base!$J:$L,3,FALSE)/Params!$B$2,0)</f>
        <v>0</v>
      </c>
    </row>
  </sheetData>
  <autoFilter ref="A1:R1" xr:uid="{1AAC67F4-7B00-456C-975B-83D6DFD40B90}"/>
  <conditionalFormatting sqref="A1:A1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9942-BBFF-43FF-B0C4-703ECBD01AEA}">
  <dimension ref="B1:L25"/>
  <sheetViews>
    <sheetView showGridLines="0" workbookViewId="0">
      <selection activeCell="C30" sqref="C30"/>
    </sheetView>
  </sheetViews>
  <sheetFormatPr defaultRowHeight="14.5" x14ac:dyDescent="0.35"/>
  <cols>
    <col min="1" max="1" width="6.08984375" customWidth="1"/>
    <col min="2" max="2" width="34" customWidth="1"/>
    <col min="5" max="5" width="1.90625" customWidth="1"/>
    <col min="6" max="6" width="35.81640625" customWidth="1"/>
    <col min="7" max="9" width="11.81640625" customWidth="1"/>
    <col min="10" max="10" width="2.36328125" customWidth="1"/>
    <col min="11" max="11" width="23.26953125" customWidth="1"/>
    <col min="12" max="12" width="13.90625" style="44" customWidth="1"/>
  </cols>
  <sheetData>
    <row r="1" spans="2:12" ht="18.5" x14ac:dyDescent="0.35">
      <c r="B1" s="31" t="s">
        <v>575</v>
      </c>
      <c r="F1" s="31" t="s">
        <v>576</v>
      </c>
      <c r="G1" s="30" t="s">
        <v>20</v>
      </c>
      <c r="H1" s="30" t="s">
        <v>48</v>
      </c>
      <c r="I1" s="30" t="s">
        <v>563</v>
      </c>
      <c r="K1" s="30" t="s">
        <v>577</v>
      </c>
      <c r="L1" s="30" t="s">
        <v>578</v>
      </c>
    </row>
    <row r="2" spans="2:12" ht="15.5" x14ac:dyDescent="0.35">
      <c r="B2" s="13" t="s">
        <v>546</v>
      </c>
      <c r="C2" s="34">
        <f>COUNTA(BASE!$A$2:$A$176)</f>
        <v>175</v>
      </c>
      <c r="D2" s="35">
        <f>C2/$C$2</f>
        <v>1</v>
      </c>
      <c r="F2" s="17" t="s">
        <v>36</v>
      </c>
      <c r="G2" s="29">
        <f>COUNTIFS(BASE!$N$2:$N$176,F2,BASE!$C$2:$C$176,$G$1)</f>
        <v>46</v>
      </c>
      <c r="H2" s="29">
        <f>COUNTIFS(BASE!$N$2:$N$176,F2,BASE!$C$2:$C$176,$H$1)</f>
        <v>20</v>
      </c>
      <c r="I2" s="29">
        <f>COUNTIF(BASE!$N$2:$N$176,F2)</f>
        <v>66</v>
      </c>
      <c r="J2" s="14"/>
      <c r="K2" s="46">
        <f>G2/G$5</f>
        <v>0.3108108108108108</v>
      </c>
      <c r="L2" s="46">
        <f>H2/H$5</f>
        <v>0.7407407407407407</v>
      </c>
    </row>
    <row r="3" spans="2:12" ht="17" customHeight="1" x14ac:dyDescent="0.35">
      <c r="B3" s="13" t="s">
        <v>547</v>
      </c>
      <c r="C3" s="34">
        <f>COUNTIF(BASE!$C$2:$C$176,"Male")</f>
        <v>148</v>
      </c>
      <c r="D3" s="35">
        <f>C3/$C$2</f>
        <v>0.84571428571428575</v>
      </c>
      <c r="F3" s="17" t="s">
        <v>31</v>
      </c>
      <c r="G3" s="29">
        <f>COUNTIFS(BASE!$N$2:$N$176,F3,BASE!$C$2:$C$176,$G$1)</f>
        <v>96</v>
      </c>
      <c r="H3" s="29">
        <f>COUNTIFS(BASE!$N$2:$N$176,F3,BASE!$C$2:$C$176,$H$1)</f>
        <v>6</v>
      </c>
      <c r="I3" s="29">
        <f>COUNTIF(BASE!$N$2:$N$176,F3)</f>
        <v>102</v>
      </c>
      <c r="J3" s="14"/>
      <c r="K3" s="46">
        <f>G3/G$5</f>
        <v>0.64864864864864868</v>
      </c>
      <c r="L3" s="46">
        <f>H3/H$5</f>
        <v>0.22222222222222221</v>
      </c>
    </row>
    <row r="4" spans="2:12" ht="15.5" x14ac:dyDescent="0.35">
      <c r="B4" s="13" t="s">
        <v>548</v>
      </c>
      <c r="C4" s="34">
        <f>COUNTIF(BASE!$C$2:$C$176,"Female")</f>
        <v>27</v>
      </c>
      <c r="D4" s="35">
        <f>C4/$C$2</f>
        <v>0.15428571428571428</v>
      </c>
      <c r="F4" s="17" t="s">
        <v>25</v>
      </c>
      <c r="G4" s="29">
        <f>COUNTIFS(BASE!$N$2:$N$176,F4,BASE!$C$2:$C$176,$G$1)</f>
        <v>6</v>
      </c>
      <c r="H4" s="29">
        <f>COUNTIFS(BASE!$N$2:$N$176,F4,BASE!$C$2:$C$176,$H$1)</f>
        <v>1</v>
      </c>
      <c r="I4" s="29">
        <f>COUNTIF(BASE!$N$2:$N$176,F4)</f>
        <v>7</v>
      </c>
      <c r="J4" s="14"/>
      <c r="K4" s="46">
        <f>G4/G$5</f>
        <v>4.0540540540540543E-2</v>
      </c>
      <c r="L4" s="46">
        <f>H4/H$5</f>
        <v>3.7037037037037035E-2</v>
      </c>
    </row>
    <row r="5" spans="2:12" ht="15.5" x14ac:dyDescent="0.35">
      <c r="B5" s="24"/>
      <c r="C5" s="25"/>
      <c r="D5" s="26"/>
      <c r="F5" s="28"/>
      <c r="G5" s="30">
        <f>SUM(G2:G4)</f>
        <v>148</v>
      </c>
      <c r="H5" s="30">
        <f>SUM(H2:H4)</f>
        <v>27</v>
      </c>
      <c r="I5" s="30">
        <f>SUM(I2:I4)</f>
        <v>175</v>
      </c>
      <c r="J5" s="14"/>
      <c r="K5" s="47">
        <f>SUM(K2:K4)</f>
        <v>1</v>
      </c>
      <c r="L5" s="47">
        <f>SUM(L2:L4)</f>
        <v>1</v>
      </c>
    </row>
    <row r="6" spans="2:12" ht="18.5" x14ac:dyDescent="0.35">
      <c r="B6" s="33" t="s">
        <v>7</v>
      </c>
      <c r="C6" s="25"/>
      <c r="D6" s="26"/>
      <c r="F6" s="20"/>
      <c r="G6" s="21"/>
      <c r="H6" s="21"/>
      <c r="I6" s="21"/>
      <c r="J6" s="14"/>
    </row>
    <row r="7" spans="2:12" ht="18.5" x14ac:dyDescent="0.35">
      <c r="B7" s="22" t="s">
        <v>565</v>
      </c>
      <c r="C7" s="22" t="s">
        <v>564</v>
      </c>
      <c r="D7" s="23" t="s">
        <v>566</v>
      </c>
      <c r="K7" s="31" t="s">
        <v>574</v>
      </c>
      <c r="L7" s="15"/>
    </row>
    <row r="8" spans="2:12" ht="15.5" x14ac:dyDescent="0.35">
      <c r="B8" s="16" t="s">
        <v>555</v>
      </c>
      <c r="C8" s="36" cm="1">
        <f t="array" ref="C8">SUMPRODUCT(--(TRIM(BASE!$I$2:$I$176)=TRIM(B8)))</f>
        <v>1</v>
      </c>
      <c r="D8" s="38">
        <f>C8/$C$16</f>
        <v>5.7142857142857143E-3</v>
      </c>
      <c r="K8" s="17" t="s">
        <v>550</v>
      </c>
      <c r="L8" s="18">
        <f>AVERAGE(BASE!$H$2:$H$176)</f>
        <v>40.10285714285714</v>
      </c>
    </row>
    <row r="9" spans="2:12" ht="15.5" x14ac:dyDescent="0.35">
      <c r="B9" s="16" t="s">
        <v>556</v>
      </c>
      <c r="C9" s="36" cm="1">
        <f t="array" ref="C9">SUMPRODUCT(--(TRIM(BASE!$I$2:$I$176)=TRIM(B9)))</f>
        <v>14</v>
      </c>
      <c r="D9" s="38">
        <f>C9/$C$16</f>
        <v>0.08</v>
      </c>
      <c r="K9" s="17" t="s">
        <v>551</v>
      </c>
      <c r="L9" s="18">
        <f>AVERAGEIF(BASE!$C$2:$C$176,"Male",BASE!$H$2:$H$176)</f>
        <v>40.722972972972975</v>
      </c>
    </row>
    <row r="10" spans="2:12" ht="15.5" x14ac:dyDescent="0.35">
      <c r="B10" s="16" t="s">
        <v>557</v>
      </c>
      <c r="C10" s="36" cm="1">
        <f t="array" ref="C10">SUMPRODUCT(--(TRIM(BASE!$I$2:$I$176)=TRIM(B10)))</f>
        <v>23</v>
      </c>
      <c r="D10" s="38">
        <f>C10/$C$16</f>
        <v>0.13142857142857142</v>
      </c>
      <c r="K10" s="17" t="s">
        <v>552</v>
      </c>
      <c r="L10" s="18">
        <f>AVERAGEIF(BASE!$C$2:$C$176,"Female",BASE!$H$2:$H$176)</f>
        <v>36.703703703703702</v>
      </c>
    </row>
    <row r="11" spans="2:12" ht="15.5" x14ac:dyDescent="0.35">
      <c r="B11" s="16" t="s">
        <v>558</v>
      </c>
      <c r="C11" s="36" cm="1">
        <f t="array" ref="C11">SUMPRODUCT(--(TRIM(BASE!$I$2:$I$176)=TRIM(B11)))</f>
        <v>55</v>
      </c>
      <c r="D11" s="38">
        <f>C11/$C$16</f>
        <v>0.31428571428571428</v>
      </c>
      <c r="K11" s="17" t="s">
        <v>553</v>
      </c>
      <c r="L11" s="29">
        <f>COUNTIF(BASE!$H$2:$H$176,"&gt;=65")</f>
        <v>0</v>
      </c>
    </row>
    <row r="12" spans="2:12" ht="15.5" x14ac:dyDescent="0.35">
      <c r="B12" s="16" t="s">
        <v>559</v>
      </c>
      <c r="C12" s="36" cm="1">
        <f t="array" ref="C12">SUMPRODUCT(--(TRIM(BASE!$I$2:$I$176)=TRIM(B12)))</f>
        <v>38</v>
      </c>
      <c r="D12" s="38">
        <f>C12/$C$16</f>
        <v>0.21714285714285714</v>
      </c>
      <c r="K12" s="17" t="s">
        <v>554</v>
      </c>
      <c r="L12" s="29">
        <f>COUNTIFS(BASE!$H$2:$H$176,"&gt;=55",BASE!$H$2:$H$176,"&lt;65")</f>
        <v>11</v>
      </c>
    </row>
    <row r="13" spans="2:12" x14ac:dyDescent="0.35">
      <c r="B13" s="16" t="s">
        <v>560</v>
      </c>
      <c r="C13" s="36" cm="1">
        <f t="array" ref="C13">SUMPRODUCT(--(TRIM(BASE!$I$2:$I$176)=TRIM(B13)))</f>
        <v>24</v>
      </c>
      <c r="D13" s="38">
        <f>C13/$C$16</f>
        <v>0.13714285714285715</v>
      </c>
    </row>
    <row r="14" spans="2:12" x14ac:dyDescent="0.35">
      <c r="B14" s="16" t="s">
        <v>561</v>
      </c>
      <c r="C14" s="36" cm="1">
        <f t="array" ref="C14">SUMPRODUCT(--(TRIM(BASE!$I$2:$I$176)=TRIM(B14)))</f>
        <v>9</v>
      </c>
      <c r="D14" s="38">
        <f>C14/$C$16</f>
        <v>5.1428571428571428E-2</v>
      </c>
    </row>
    <row r="15" spans="2:12" x14ac:dyDescent="0.35">
      <c r="B15" s="16" t="s">
        <v>562</v>
      </c>
      <c r="C15" s="36" cm="1">
        <f t="array" ref="C15">SUMPRODUCT(--(TRIM(BASE!$I$2:$I$176)=TRIM(B15)))</f>
        <v>11</v>
      </c>
      <c r="D15" s="38">
        <f>C15/$C$16</f>
        <v>6.2857142857142861E-2</v>
      </c>
    </row>
    <row r="16" spans="2:12" x14ac:dyDescent="0.35">
      <c r="B16" s="22" t="s">
        <v>563</v>
      </c>
      <c r="C16" s="37">
        <f>SUM(C8:C15)</f>
        <v>175</v>
      </c>
      <c r="D16" s="39">
        <f>SUM(D8:D15)</f>
        <v>0.99999999999999978</v>
      </c>
    </row>
    <row r="18" spans="2:12" ht="18.5" x14ac:dyDescent="0.35">
      <c r="B18" s="33" t="s">
        <v>573</v>
      </c>
      <c r="C18" s="32"/>
    </row>
    <row r="19" spans="2:12" x14ac:dyDescent="0.35">
      <c r="B19" s="22" t="s">
        <v>572</v>
      </c>
      <c r="C19" s="22" t="s">
        <v>564</v>
      </c>
      <c r="D19" s="23" t="s">
        <v>566</v>
      </c>
    </row>
    <row r="20" spans="2:12" ht="18.5" x14ac:dyDescent="0.35">
      <c r="B20" s="16" t="s">
        <v>567</v>
      </c>
      <c r="C20" s="40" cm="1">
        <f t="array" ref="C20">SUMPRODUCT(--(TRIM(BASE!$L$2:$L$176)=TRIM(B20)))</f>
        <v>14</v>
      </c>
      <c r="D20" s="38">
        <f>C20/$C$25</f>
        <v>0.08</v>
      </c>
      <c r="K20" s="33" t="s">
        <v>549</v>
      </c>
      <c r="L20" s="15"/>
    </row>
    <row r="21" spans="2:12" x14ac:dyDescent="0.35">
      <c r="B21" s="16" t="s">
        <v>568</v>
      </c>
      <c r="C21" s="40" cm="1">
        <f t="array" ref="C21">SUMPRODUCT(--(TRIM(BASE!$L$2:$L$176)=TRIM(B21)))</f>
        <v>46</v>
      </c>
      <c r="D21" s="38">
        <f>C21/$C$25</f>
        <v>0.26285714285714284</v>
      </c>
      <c r="K21" s="16" t="s">
        <v>549</v>
      </c>
      <c r="L21" s="43">
        <f>AVERAGE(BASE!$K$2:$K$176)</f>
        <v>5.725714285714286</v>
      </c>
    </row>
    <row r="22" spans="2:12" x14ac:dyDescent="0.35">
      <c r="B22" s="16" t="s">
        <v>569</v>
      </c>
      <c r="C22" s="40" cm="1">
        <f t="array" ref="C22">SUMPRODUCT(--(TRIM(BASE!$L$2:$L$176)=TRIM(B22)))</f>
        <v>36</v>
      </c>
      <c r="D22" s="38">
        <f>C22/$C$25</f>
        <v>0.20571428571428571</v>
      </c>
    </row>
    <row r="23" spans="2:12" x14ac:dyDescent="0.35">
      <c r="B23" s="16" t="s">
        <v>570</v>
      </c>
      <c r="C23" s="40" cm="1">
        <f t="array" ref="C23">SUMPRODUCT(--(TRIM(BASE!$L$2:$L$176)=TRIM(B23)))</f>
        <v>51</v>
      </c>
      <c r="D23" s="38">
        <f>C23/$C$25</f>
        <v>0.29142857142857143</v>
      </c>
    </row>
    <row r="24" spans="2:12" x14ac:dyDescent="0.35">
      <c r="B24" s="16" t="s">
        <v>571</v>
      </c>
      <c r="C24" s="40" cm="1">
        <f t="array" ref="C24">SUMPRODUCT(--(TRIM(BASE!$L$2:$L$176)=TRIM(B24)))</f>
        <v>28</v>
      </c>
      <c r="D24" s="38">
        <f>C24/$C$25</f>
        <v>0.16</v>
      </c>
    </row>
    <row r="25" spans="2:12" x14ac:dyDescent="0.35">
      <c r="B25" s="27" t="s">
        <v>563</v>
      </c>
      <c r="C25" s="41">
        <f>SUM(C20:C24)</f>
        <v>175</v>
      </c>
      <c r="D25" s="42">
        <f>SUM(D20:D24)</f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688B-6E60-4B53-8CA3-CC4246816E1C}">
  <dimension ref="A1:S29"/>
  <sheetViews>
    <sheetView showGridLines="0" workbookViewId="0">
      <selection activeCell="N13" sqref="N13"/>
    </sheetView>
  </sheetViews>
  <sheetFormatPr defaultRowHeight="14.5" x14ac:dyDescent="0.35"/>
  <cols>
    <col min="1" max="1" width="20" bestFit="1" customWidth="1"/>
    <col min="16" max="16" width="10.81640625" customWidth="1"/>
    <col min="18" max="18" width="10.81640625" customWidth="1"/>
    <col min="20" max="20" width="11.7265625" customWidth="1"/>
  </cols>
  <sheetData>
    <row r="1" spans="1:14" x14ac:dyDescent="0.35">
      <c r="A1" s="62" t="s">
        <v>696</v>
      </c>
      <c r="B1" s="62"/>
      <c r="C1" s="67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x14ac:dyDescent="0.35">
      <c r="A2" s="62"/>
      <c r="B2" s="62"/>
      <c r="C2" s="67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spans="1:14" x14ac:dyDescent="0.35">
      <c r="A3" s="89" t="s">
        <v>697</v>
      </c>
      <c r="B3" s="91" t="s">
        <v>698</v>
      </c>
      <c r="C3" s="91" t="s">
        <v>699</v>
      </c>
      <c r="D3" s="91" t="s">
        <v>700</v>
      </c>
      <c r="E3" s="91" t="s">
        <v>701</v>
      </c>
      <c r="F3" s="91" t="s">
        <v>702</v>
      </c>
      <c r="G3" s="91" t="s">
        <v>703</v>
      </c>
      <c r="H3" s="91" t="s">
        <v>704</v>
      </c>
      <c r="I3" s="91" t="s">
        <v>705</v>
      </c>
      <c r="J3" s="91" t="s">
        <v>706</v>
      </c>
      <c r="K3" s="91" t="s">
        <v>707</v>
      </c>
      <c r="L3" s="91" t="s">
        <v>708</v>
      </c>
      <c r="M3" s="91" t="s">
        <v>709</v>
      </c>
      <c r="N3" s="91" t="s">
        <v>710</v>
      </c>
    </row>
    <row r="4" spans="1:14" x14ac:dyDescent="0.35">
      <c r="A4" s="81" t="s">
        <v>711</v>
      </c>
      <c r="B4" s="86">
        <v>0</v>
      </c>
      <c r="C4" s="86">
        <v>1</v>
      </c>
      <c r="D4" s="86">
        <v>3</v>
      </c>
      <c r="E4" s="86">
        <f>COUNTA(A21:A29)</f>
        <v>0</v>
      </c>
      <c r="F4" s="86"/>
      <c r="G4" s="86"/>
      <c r="H4" s="86"/>
      <c r="I4" s="86"/>
      <c r="J4" s="86"/>
      <c r="K4" s="86"/>
      <c r="L4" s="86"/>
      <c r="M4" s="86"/>
      <c r="N4" s="91">
        <f>SUM(B4:M4)</f>
        <v>4</v>
      </c>
    </row>
    <row r="5" spans="1:14" x14ac:dyDescent="0.35">
      <c r="A5" s="81" t="s">
        <v>712</v>
      </c>
      <c r="B5" s="86">
        <v>1</v>
      </c>
      <c r="C5" s="86">
        <v>1</v>
      </c>
      <c r="D5" s="86">
        <v>0</v>
      </c>
      <c r="E5" s="86">
        <f>COUNTA(J21:J29)</f>
        <v>1</v>
      </c>
      <c r="F5" s="86"/>
      <c r="G5" s="86"/>
      <c r="H5" s="86"/>
      <c r="I5" s="86"/>
      <c r="J5" s="86"/>
      <c r="K5" s="86"/>
      <c r="L5" s="86"/>
      <c r="M5" s="86"/>
      <c r="N5" s="91">
        <f>SUM(B5:M5)</f>
        <v>3</v>
      </c>
    </row>
    <row r="6" spans="1:14" x14ac:dyDescent="0.35">
      <c r="A6" s="81" t="s">
        <v>713</v>
      </c>
      <c r="B6" s="87">
        <f>IFERROR(B5/B8, 0)</f>
        <v>5.7803468208092483E-3</v>
      </c>
      <c r="C6" s="88">
        <f>IFERROR(C5/C8, 0)</f>
        <v>5.7803468208092483E-3</v>
      </c>
      <c r="D6" s="88">
        <f t="shared" ref="D6:M6" si="0">IFERROR(D5/D8, 0)</f>
        <v>0</v>
      </c>
      <c r="E6" s="88">
        <f t="shared" si="0"/>
        <v>5.7142857142857143E-3</v>
      </c>
      <c r="F6" s="88">
        <f t="shared" si="0"/>
        <v>0</v>
      </c>
      <c r="G6" s="88">
        <f t="shared" si="0"/>
        <v>0</v>
      </c>
      <c r="H6" s="88">
        <f t="shared" si="0"/>
        <v>0</v>
      </c>
      <c r="I6" s="88">
        <f t="shared" si="0"/>
        <v>0</v>
      </c>
      <c r="J6" s="88">
        <f t="shared" si="0"/>
        <v>0</v>
      </c>
      <c r="K6" s="88">
        <f t="shared" si="0"/>
        <v>0</v>
      </c>
      <c r="L6" s="88">
        <f t="shared" si="0"/>
        <v>0</v>
      </c>
      <c r="M6" s="88">
        <f t="shared" si="0"/>
        <v>0</v>
      </c>
      <c r="N6" s="92">
        <f>IFERROR(N5/N8, 0)</f>
        <v>1.7142857142857144E-2</v>
      </c>
    </row>
    <row r="7" spans="1:14" x14ac:dyDescent="0.35">
      <c r="A7" s="81" t="s">
        <v>714</v>
      </c>
      <c r="B7" s="87">
        <f>IFERROR((B5+B4)/2/B8,0)</f>
        <v>2.8901734104046241E-3</v>
      </c>
      <c r="C7" s="87">
        <f>IFERROR((C5+C4)/2/B8,0)</f>
        <v>5.7803468208092483E-3</v>
      </c>
      <c r="D7" s="88">
        <f t="shared" ref="D7:M7" si="1">IFERROR((D5+D4)/2/C8,0)</f>
        <v>8.670520231213872E-3</v>
      </c>
      <c r="E7" s="88">
        <f t="shared" si="1"/>
        <v>2.840909090909091E-3</v>
      </c>
      <c r="F7" s="88">
        <f t="shared" si="1"/>
        <v>0</v>
      </c>
      <c r="G7" s="88">
        <f t="shared" si="1"/>
        <v>0</v>
      </c>
      <c r="H7" s="88">
        <f t="shared" si="1"/>
        <v>0</v>
      </c>
      <c r="I7" s="88">
        <f t="shared" si="1"/>
        <v>0</v>
      </c>
      <c r="J7" s="88">
        <f t="shared" si="1"/>
        <v>0</v>
      </c>
      <c r="K7" s="88">
        <f>IFERROR((K5+K4)/2/J8,0)</f>
        <v>0</v>
      </c>
      <c r="L7" s="88">
        <f t="shared" si="1"/>
        <v>0</v>
      </c>
      <c r="M7" s="88">
        <f t="shared" si="1"/>
        <v>0</v>
      </c>
      <c r="N7" s="92">
        <f>IFERROR((N5+N4)/2/B8,0)</f>
        <v>2.023121387283237E-2</v>
      </c>
    </row>
    <row r="8" spans="1:14" x14ac:dyDescent="0.35">
      <c r="A8" s="89" t="s">
        <v>715</v>
      </c>
      <c r="B8" s="90">
        <v>173</v>
      </c>
      <c r="C8" s="90">
        <f>B8+C4-C5</f>
        <v>173</v>
      </c>
      <c r="D8" s="90">
        <f t="shared" ref="D8:M8" si="2">C8+D4-D5</f>
        <v>176</v>
      </c>
      <c r="E8" s="90">
        <f t="shared" si="2"/>
        <v>175</v>
      </c>
      <c r="F8" s="90">
        <f>E8+F4-F5</f>
        <v>175</v>
      </c>
      <c r="G8" s="90">
        <f t="shared" si="2"/>
        <v>175</v>
      </c>
      <c r="H8" s="90">
        <f t="shared" si="2"/>
        <v>175</v>
      </c>
      <c r="I8" s="90">
        <f t="shared" si="2"/>
        <v>175</v>
      </c>
      <c r="J8" s="90">
        <f t="shared" si="2"/>
        <v>175</v>
      </c>
      <c r="K8" s="90">
        <f t="shared" si="2"/>
        <v>175</v>
      </c>
      <c r="L8" s="90">
        <f t="shared" si="2"/>
        <v>175</v>
      </c>
      <c r="M8" s="90">
        <f t="shared" si="2"/>
        <v>175</v>
      </c>
      <c r="N8" s="91">
        <f>M8</f>
        <v>175</v>
      </c>
    </row>
    <row r="10" spans="1:14" x14ac:dyDescent="0.35">
      <c r="B10" s="62"/>
      <c r="C10" s="62"/>
    </row>
    <row r="11" spans="1:14" x14ac:dyDescent="0.35">
      <c r="A11" s="22" t="s">
        <v>716</v>
      </c>
      <c r="B11" s="84" t="s">
        <v>717</v>
      </c>
      <c r="C11" s="85" t="s">
        <v>566</v>
      </c>
    </row>
    <row r="12" spans="1:14" x14ac:dyDescent="0.35">
      <c r="A12" s="82" t="s">
        <v>718</v>
      </c>
      <c r="B12" s="62">
        <v>0</v>
      </c>
      <c r="C12" s="83">
        <f>B12/$B$17</f>
        <v>0</v>
      </c>
    </row>
    <row r="13" spans="1:14" x14ac:dyDescent="0.35">
      <c r="A13" s="82" t="s">
        <v>719</v>
      </c>
      <c r="B13" s="62">
        <v>1</v>
      </c>
      <c r="C13" s="83">
        <f t="shared" ref="C13:C16" si="3">B13/$B$17</f>
        <v>1</v>
      </c>
    </row>
    <row r="14" spans="1:14" x14ac:dyDescent="0.35">
      <c r="A14" s="82" t="s">
        <v>720</v>
      </c>
      <c r="B14" s="62">
        <v>0</v>
      </c>
      <c r="C14" s="83">
        <f t="shared" si="3"/>
        <v>0</v>
      </c>
    </row>
    <row r="15" spans="1:14" x14ac:dyDescent="0.35">
      <c r="A15" s="62" t="s">
        <v>721</v>
      </c>
      <c r="B15" s="62">
        <f>IFERROR(VLOOKUP(A15, B49:C51, 2, FALSE), 0)</f>
        <v>0</v>
      </c>
      <c r="C15" s="83">
        <f t="shared" si="3"/>
        <v>0</v>
      </c>
    </row>
    <row r="16" spans="1:14" x14ac:dyDescent="0.35">
      <c r="A16" s="62" t="s">
        <v>553</v>
      </c>
      <c r="B16" s="62">
        <f>IFERROR(VLOOKUP(A16, B50:C52, 2, FALSE), 0)</f>
        <v>0</v>
      </c>
      <c r="C16" s="83">
        <f t="shared" si="3"/>
        <v>0</v>
      </c>
    </row>
    <row r="17" spans="1:19" x14ac:dyDescent="0.35">
      <c r="B17" s="22">
        <f>SUM(B12:B16)</f>
        <v>1</v>
      </c>
      <c r="C17" s="85" t="e">
        <f>B17/$O$9</f>
        <v>#DIV/0!</v>
      </c>
    </row>
    <row r="19" spans="1:19" x14ac:dyDescent="0.35">
      <c r="A19" s="61" t="s">
        <v>687</v>
      </c>
      <c r="B19" s="62"/>
      <c r="C19" s="62"/>
      <c r="E19" s="62"/>
      <c r="F19" s="62"/>
      <c r="G19" s="62"/>
      <c r="H19" s="62"/>
      <c r="J19" s="61" t="s">
        <v>691</v>
      </c>
    </row>
    <row r="20" spans="1:19" ht="21" x14ac:dyDescent="0.35">
      <c r="A20" s="79" t="s">
        <v>0</v>
      </c>
      <c r="B20" s="79" t="s">
        <v>688</v>
      </c>
      <c r="C20" s="79" t="s">
        <v>689</v>
      </c>
      <c r="D20" s="79" t="s">
        <v>2</v>
      </c>
      <c r="E20" s="79" t="s">
        <v>5</v>
      </c>
      <c r="F20" s="79" t="s">
        <v>4</v>
      </c>
      <c r="G20" s="79" t="s">
        <v>12</v>
      </c>
      <c r="H20" s="79" t="s">
        <v>690</v>
      </c>
      <c r="J20" s="68" t="s">
        <v>0</v>
      </c>
      <c r="K20" s="68" t="s">
        <v>688</v>
      </c>
      <c r="L20" s="68" t="s">
        <v>689</v>
      </c>
      <c r="M20" s="68" t="s">
        <v>2</v>
      </c>
      <c r="N20" s="68" t="s">
        <v>5</v>
      </c>
      <c r="O20" s="68" t="s">
        <v>4</v>
      </c>
      <c r="P20" s="68" t="s">
        <v>692</v>
      </c>
      <c r="Q20" s="68" t="s">
        <v>10</v>
      </c>
      <c r="R20" s="68" t="s">
        <v>693</v>
      </c>
      <c r="S20" s="68" t="s">
        <v>694</v>
      </c>
    </row>
    <row r="21" spans="1:19" ht="20" x14ac:dyDescent="0.35">
      <c r="A21" s="75"/>
      <c r="B21" s="69"/>
      <c r="C21" s="70"/>
      <c r="D21" s="77"/>
      <c r="E21" s="69"/>
      <c r="F21" s="70"/>
      <c r="G21" s="69"/>
      <c r="H21" s="71"/>
      <c r="J21" s="64">
        <v>70000273</v>
      </c>
      <c r="K21" s="77" t="s">
        <v>722</v>
      </c>
      <c r="L21" s="77" t="s">
        <v>723</v>
      </c>
      <c r="M21" s="77" t="s">
        <v>547</v>
      </c>
      <c r="N21" s="77" t="s">
        <v>44</v>
      </c>
      <c r="O21" s="77" t="s">
        <v>724</v>
      </c>
      <c r="P21" s="77" t="s">
        <v>24</v>
      </c>
      <c r="Q21" s="77">
        <v>2</v>
      </c>
      <c r="R21" s="65" t="s">
        <v>725</v>
      </c>
      <c r="S21" s="64" t="s">
        <v>726</v>
      </c>
    </row>
    <row r="22" spans="1:19" x14ac:dyDescent="0.35">
      <c r="A22" s="76"/>
      <c r="B22" s="69"/>
      <c r="C22" s="72"/>
      <c r="D22" s="77"/>
      <c r="E22" s="69"/>
      <c r="F22" s="69"/>
      <c r="G22" s="69"/>
      <c r="H22" s="73"/>
      <c r="J22" s="64"/>
      <c r="K22" s="77"/>
      <c r="L22" s="77"/>
      <c r="M22" s="77"/>
      <c r="N22" s="77"/>
      <c r="O22" s="77"/>
      <c r="P22" s="77"/>
      <c r="Q22" s="77"/>
      <c r="R22" s="65"/>
      <c r="S22" s="64"/>
    </row>
    <row r="23" spans="1:19" x14ac:dyDescent="0.35">
      <c r="A23" s="76"/>
      <c r="B23" s="69"/>
      <c r="C23" s="72"/>
      <c r="D23" s="77"/>
      <c r="E23" s="69"/>
      <c r="F23" s="69"/>
      <c r="G23" s="69"/>
      <c r="H23" s="73"/>
      <c r="J23" s="63"/>
      <c r="K23" s="69"/>
      <c r="L23" s="77"/>
      <c r="M23" s="77"/>
      <c r="N23" s="77"/>
      <c r="O23" s="77"/>
      <c r="P23" s="77"/>
      <c r="Q23" s="77"/>
      <c r="R23" s="66"/>
      <c r="S23" s="63"/>
    </row>
    <row r="24" spans="1:19" x14ac:dyDescent="0.35">
      <c r="A24" s="76"/>
      <c r="B24" s="69"/>
      <c r="C24" s="72"/>
      <c r="D24" s="77"/>
      <c r="E24" s="69"/>
      <c r="F24" s="69"/>
      <c r="G24" s="69"/>
      <c r="H24" s="73"/>
      <c r="J24" s="63"/>
      <c r="K24" s="69"/>
      <c r="L24" s="77"/>
      <c r="M24" s="77"/>
      <c r="N24" s="77"/>
      <c r="O24" s="77"/>
      <c r="P24" s="77"/>
      <c r="Q24" s="77"/>
      <c r="R24" s="66"/>
      <c r="S24" s="63"/>
    </row>
    <row r="25" spans="1:19" x14ac:dyDescent="0.35">
      <c r="A25" s="69"/>
      <c r="B25" s="69"/>
      <c r="C25" s="69"/>
      <c r="D25" s="77"/>
      <c r="E25" s="69"/>
      <c r="F25" s="69"/>
      <c r="G25" s="69"/>
      <c r="H25" s="74"/>
      <c r="J25" s="63"/>
      <c r="K25" s="69"/>
      <c r="L25" s="77"/>
      <c r="M25" s="77"/>
      <c r="N25" s="77"/>
      <c r="O25" s="77"/>
      <c r="P25" s="77"/>
      <c r="Q25" s="77"/>
      <c r="R25" s="66"/>
      <c r="S25" s="63"/>
    </row>
    <row r="26" spans="1:19" x14ac:dyDescent="0.35">
      <c r="A26" s="69"/>
      <c r="B26" s="69"/>
      <c r="C26" s="69"/>
      <c r="D26" s="77"/>
      <c r="E26" s="69"/>
      <c r="F26" s="69"/>
      <c r="G26" s="69"/>
      <c r="H26" s="74"/>
      <c r="J26" s="63"/>
      <c r="K26" s="69"/>
      <c r="L26" s="77"/>
      <c r="M26" s="77"/>
      <c r="N26" s="77"/>
      <c r="O26" s="77"/>
      <c r="P26" s="77"/>
      <c r="Q26" s="77"/>
      <c r="R26" s="66"/>
      <c r="S26" s="63"/>
    </row>
    <row r="27" spans="1:19" x14ac:dyDescent="0.35">
      <c r="A27" s="69"/>
      <c r="B27" s="69"/>
      <c r="C27" s="69"/>
      <c r="D27" s="78"/>
      <c r="E27" s="69"/>
      <c r="F27" s="69"/>
      <c r="G27" s="69"/>
      <c r="H27" s="74"/>
      <c r="J27" s="45"/>
      <c r="K27" s="78"/>
      <c r="L27" s="78"/>
      <c r="M27" s="78"/>
      <c r="N27" s="78"/>
      <c r="O27" s="78"/>
      <c r="P27" s="78"/>
      <c r="Q27" s="78"/>
      <c r="R27" s="45"/>
      <c r="S27" s="45"/>
    </row>
    <row r="28" spans="1:19" x14ac:dyDescent="0.35">
      <c r="A28" s="69"/>
      <c r="B28" s="69"/>
      <c r="C28" s="69"/>
      <c r="D28" s="78"/>
      <c r="E28" s="69"/>
      <c r="F28" s="69"/>
      <c r="G28" s="69"/>
      <c r="H28" s="74"/>
      <c r="J28" s="45"/>
      <c r="K28" s="78"/>
      <c r="L28" s="78"/>
      <c r="M28" s="78"/>
      <c r="N28" s="78"/>
      <c r="O28" s="78"/>
      <c r="P28" s="78"/>
      <c r="Q28" s="78"/>
      <c r="R28" s="45"/>
      <c r="S28" s="45"/>
    </row>
    <row r="29" spans="1:19" x14ac:dyDescent="0.35">
      <c r="A29" s="69"/>
      <c r="B29" s="69"/>
      <c r="C29" s="69"/>
      <c r="D29" s="78"/>
      <c r="E29" s="69"/>
      <c r="F29" s="69"/>
      <c r="G29" s="69"/>
      <c r="H29" s="74"/>
      <c r="J29" s="45"/>
      <c r="K29" s="78"/>
      <c r="L29" s="78"/>
      <c r="M29" s="78"/>
      <c r="N29" s="78"/>
      <c r="O29" s="78"/>
      <c r="P29" s="78"/>
      <c r="Q29" s="78"/>
      <c r="R29" s="45"/>
      <c r="S29" s="4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7FD8-83C8-4BE1-8944-FAB869314897}">
  <dimension ref="A1:O44"/>
  <sheetViews>
    <sheetView showGridLines="0" zoomScaleNormal="100" workbookViewId="0">
      <selection activeCell="B12" sqref="B12"/>
    </sheetView>
  </sheetViews>
  <sheetFormatPr defaultRowHeight="14.5" x14ac:dyDescent="0.35"/>
  <cols>
    <col min="1" max="1" width="21.6328125" style="44" bestFit="1" customWidth="1"/>
    <col min="2" max="2" width="12.6328125" bestFit="1" customWidth="1"/>
    <col min="3" max="4" width="13.6328125" bestFit="1" customWidth="1"/>
    <col min="5" max="5" width="14.453125" bestFit="1" customWidth="1"/>
    <col min="6" max="7" width="14.26953125" bestFit="1" customWidth="1"/>
    <col min="8" max="12" width="13.6328125" bestFit="1" customWidth="1"/>
    <col min="13" max="13" width="14.7265625" customWidth="1"/>
    <col min="14" max="14" width="15.36328125" customWidth="1"/>
  </cols>
  <sheetData>
    <row r="1" spans="1:14" ht="37" x14ac:dyDescent="0.85">
      <c r="A1" s="105" t="s">
        <v>761</v>
      </c>
    </row>
    <row r="2" spans="1:14" ht="11.5" customHeight="1" x14ac:dyDescent="0.85">
      <c r="A2" s="105"/>
    </row>
    <row r="3" spans="1:14" x14ac:dyDescent="0.35">
      <c r="A3" s="128" t="s">
        <v>741</v>
      </c>
      <c r="B3" s="129" t="s">
        <v>727</v>
      </c>
      <c r="C3" s="129" t="s">
        <v>728</v>
      </c>
      <c r="D3" s="129" t="s">
        <v>729</v>
      </c>
      <c r="E3" s="129" t="s">
        <v>730</v>
      </c>
      <c r="F3" s="129" t="s">
        <v>731</v>
      </c>
      <c r="G3" s="129" t="s">
        <v>732</v>
      </c>
      <c r="H3" s="129" t="s">
        <v>733</v>
      </c>
      <c r="I3" s="129" t="s">
        <v>734</v>
      </c>
      <c r="J3" s="129" t="s">
        <v>735</v>
      </c>
      <c r="K3" s="129" t="s">
        <v>736</v>
      </c>
      <c r="L3" s="129" t="s">
        <v>737</v>
      </c>
      <c r="M3" s="129" t="s">
        <v>738</v>
      </c>
      <c r="N3" s="130"/>
    </row>
    <row r="4" spans="1:14" s="44" customFormat="1" x14ac:dyDescent="0.35">
      <c r="A4" s="136" t="s">
        <v>756</v>
      </c>
      <c r="B4" s="138">
        <v>173</v>
      </c>
      <c r="C4" s="138">
        <v>173</v>
      </c>
      <c r="D4" s="138">
        <v>176</v>
      </c>
      <c r="E4" s="139">
        <f>Headacount!C2</f>
        <v>175</v>
      </c>
      <c r="F4" s="138"/>
      <c r="G4" s="138"/>
      <c r="H4" s="138"/>
      <c r="I4" s="138"/>
      <c r="J4" s="138"/>
      <c r="K4" s="138"/>
      <c r="L4" s="138"/>
      <c r="M4" s="138"/>
      <c r="N4" s="140"/>
    </row>
    <row r="5" spans="1:14" x14ac:dyDescent="0.35">
      <c r="A5" s="133" t="s">
        <v>758</v>
      </c>
      <c r="B5" s="199">
        <v>898096</v>
      </c>
      <c r="C5" s="199">
        <v>1696233</v>
      </c>
      <c r="D5" s="199">
        <v>2637490</v>
      </c>
      <c r="E5" s="134">
        <v>5866469</v>
      </c>
      <c r="F5" s="199"/>
      <c r="G5" s="98"/>
      <c r="H5" s="98"/>
      <c r="I5" s="98"/>
      <c r="J5" s="98"/>
      <c r="K5" s="98"/>
      <c r="L5" s="98"/>
      <c r="M5" s="98"/>
      <c r="N5" s="94"/>
    </row>
    <row r="6" spans="1:14" x14ac:dyDescent="0.35">
      <c r="A6" s="133" t="s">
        <v>759</v>
      </c>
      <c r="B6" s="199">
        <v>32403</v>
      </c>
      <c r="C6" s="199">
        <v>95147</v>
      </c>
      <c r="D6" s="199">
        <v>152792</v>
      </c>
      <c r="E6" s="134">
        <v>376622</v>
      </c>
      <c r="F6" s="199"/>
      <c r="G6" s="98"/>
      <c r="H6" s="98"/>
      <c r="I6" s="98"/>
      <c r="J6" s="98"/>
      <c r="K6" s="98"/>
      <c r="L6" s="98"/>
      <c r="M6" s="98"/>
      <c r="N6" s="94"/>
    </row>
    <row r="7" spans="1:14" x14ac:dyDescent="0.35">
      <c r="A7" s="133" t="s">
        <v>747</v>
      </c>
      <c r="B7" s="199">
        <v>5454809</v>
      </c>
      <c r="C7" s="199">
        <v>15754563</v>
      </c>
      <c r="D7" s="199">
        <v>24871414</v>
      </c>
      <c r="E7" s="134">
        <v>60292193</v>
      </c>
      <c r="F7" s="199"/>
      <c r="G7" s="98"/>
      <c r="H7" s="98"/>
      <c r="I7" s="98"/>
      <c r="J7" s="98"/>
      <c r="K7" s="98"/>
      <c r="L7" s="98"/>
      <c r="M7" s="98"/>
      <c r="N7" s="94"/>
    </row>
    <row r="8" spans="1:14" x14ac:dyDescent="0.35">
      <c r="A8" s="133"/>
      <c r="B8" s="98"/>
      <c r="C8" s="98"/>
      <c r="D8" s="98"/>
      <c r="E8" s="134"/>
      <c r="F8" s="98"/>
      <c r="G8" s="98"/>
      <c r="H8" s="98"/>
      <c r="I8" s="98"/>
      <c r="J8" s="98"/>
      <c r="K8" s="98"/>
      <c r="L8" s="98"/>
      <c r="M8" s="98"/>
      <c r="N8" s="94"/>
    </row>
    <row r="9" spans="1:14" x14ac:dyDescent="0.35">
      <c r="A9" s="136" t="s">
        <v>757</v>
      </c>
      <c r="B9" s="138">
        <v>192</v>
      </c>
      <c r="C9" s="138">
        <v>192</v>
      </c>
      <c r="D9" s="138">
        <v>192</v>
      </c>
      <c r="E9" s="138">
        <v>192</v>
      </c>
      <c r="F9" s="138">
        <v>192</v>
      </c>
      <c r="G9" s="138">
        <v>192</v>
      </c>
      <c r="H9" s="138">
        <v>192</v>
      </c>
      <c r="I9" s="138">
        <v>192</v>
      </c>
      <c r="J9" s="138">
        <v>192</v>
      </c>
      <c r="K9" s="138">
        <v>192</v>
      </c>
      <c r="L9" s="138">
        <v>192</v>
      </c>
      <c r="M9" s="138">
        <v>192</v>
      </c>
      <c r="N9" s="137"/>
    </row>
    <row r="10" spans="1:14" x14ac:dyDescent="0.35">
      <c r="A10" s="133" t="s">
        <v>758</v>
      </c>
      <c r="B10" s="200">
        <v>1021708</v>
      </c>
      <c r="C10" s="200">
        <v>1803143</v>
      </c>
      <c r="D10" s="200">
        <v>3066435</v>
      </c>
      <c r="E10" s="134">
        <v>6525994</v>
      </c>
      <c r="F10" s="200"/>
      <c r="G10" s="93"/>
      <c r="H10" s="93"/>
      <c r="I10" s="93"/>
      <c r="J10" s="93"/>
      <c r="K10" s="93"/>
      <c r="L10" s="93"/>
      <c r="M10" s="93"/>
      <c r="N10" s="94"/>
    </row>
    <row r="11" spans="1:14" x14ac:dyDescent="0.35">
      <c r="A11" s="133" t="s">
        <v>759</v>
      </c>
      <c r="B11" s="200">
        <v>55000</v>
      </c>
      <c r="C11" s="200">
        <v>130697</v>
      </c>
      <c r="D11" s="200">
        <v>199444</v>
      </c>
      <c r="E11" s="134">
        <v>470634</v>
      </c>
      <c r="F11" s="200"/>
      <c r="G11" s="93"/>
      <c r="H11" s="93"/>
      <c r="I11" s="93"/>
      <c r="J11" s="93"/>
      <c r="K11" s="93"/>
      <c r="L11" s="93"/>
      <c r="M11" s="93"/>
      <c r="N11" s="94"/>
    </row>
    <row r="12" spans="1:14" x14ac:dyDescent="0.35">
      <c r="A12" s="133" t="s">
        <v>747</v>
      </c>
      <c r="B12" s="200">
        <v>8971598</v>
      </c>
      <c r="C12" s="200">
        <v>21304079</v>
      </c>
      <c r="D12" s="200">
        <v>32630028</v>
      </c>
      <c r="E12" s="134">
        <v>77519384</v>
      </c>
      <c r="F12" s="200"/>
      <c r="G12" s="93"/>
      <c r="H12" s="93"/>
      <c r="I12" s="93"/>
      <c r="J12" s="93"/>
      <c r="K12" s="93"/>
      <c r="L12" s="93"/>
      <c r="M12" s="93"/>
      <c r="N12" s="94"/>
    </row>
    <row r="13" spans="1:14" x14ac:dyDescent="0.35">
      <c r="A13" s="136" t="s">
        <v>566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7"/>
    </row>
    <row r="14" spans="1:14" x14ac:dyDescent="0.35">
      <c r="A14" s="133" t="s">
        <v>758</v>
      </c>
      <c r="B14" s="135">
        <f t="shared" ref="B14:D14" si="0">B21/B36</f>
        <v>0.87901435635230418</v>
      </c>
      <c r="C14" s="135">
        <f t="shared" si="0"/>
        <v>0.94070908408262688</v>
      </c>
      <c r="D14" s="135">
        <f t="shared" si="0"/>
        <v>0.86011606311563749</v>
      </c>
      <c r="E14" s="135">
        <f>E21/E36</f>
        <v>0.89893876702920661</v>
      </c>
      <c r="F14" s="93"/>
      <c r="G14" s="93"/>
      <c r="H14" s="93"/>
      <c r="I14" s="93"/>
      <c r="J14" s="93"/>
      <c r="K14" s="93"/>
      <c r="L14" s="93"/>
      <c r="M14" s="93"/>
      <c r="N14" s="94"/>
    </row>
    <row r="15" spans="1:14" x14ac:dyDescent="0.35">
      <c r="A15" s="133" t="s">
        <v>759</v>
      </c>
      <c r="B15" s="135">
        <f>B27/B42</f>
        <v>0.65384929059379926</v>
      </c>
      <c r="C15" s="135">
        <f>C27/C42</f>
        <v>0.80795022472001066</v>
      </c>
      <c r="D15" s="135">
        <f>D27/D42</f>
        <v>0.83573425030676196</v>
      </c>
      <c r="E15" s="135">
        <f>E27/E42</f>
        <v>0.87798190768804885</v>
      </c>
      <c r="F15" s="93"/>
      <c r="G15" s="93"/>
      <c r="H15" s="93"/>
      <c r="I15" s="93"/>
      <c r="J15" s="93"/>
      <c r="K15" s="93"/>
      <c r="L15" s="93"/>
      <c r="M15" s="93"/>
      <c r="N15" s="94"/>
    </row>
    <row r="16" spans="1:14" x14ac:dyDescent="0.35">
      <c r="A16" s="133" t="s">
        <v>747</v>
      </c>
      <c r="B16" s="135">
        <f t="shared" ref="B16:D16" si="1">B29/B43</f>
        <v>0.67478414317763258</v>
      </c>
      <c r="C16" s="135">
        <f t="shared" si="1"/>
        <v>0.82072700372804142</v>
      </c>
      <c r="D16" s="135">
        <f t="shared" si="1"/>
        <v>0.83151787783827935</v>
      </c>
      <c r="E16" s="135">
        <f>E29/E43</f>
        <v>0.85332397496126344</v>
      </c>
      <c r="F16" s="93"/>
      <c r="G16" s="93"/>
      <c r="H16" s="93"/>
      <c r="I16" s="93"/>
      <c r="J16" s="93"/>
      <c r="K16" s="93"/>
      <c r="L16" s="93"/>
      <c r="M16" s="93"/>
      <c r="N16" s="94"/>
    </row>
    <row r="18" spans="1:15" ht="19" thickBot="1" x14ac:dyDescent="0.5">
      <c r="A18" s="141" t="s">
        <v>763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</row>
    <row r="19" spans="1:15" x14ac:dyDescent="0.35">
      <c r="A19" s="143" t="s">
        <v>742</v>
      </c>
      <c r="B19" s="144" t="s">
        <v>727</v>
      </c>
      <c r="C19" s="144" t="s">
        <v>728</v>
      </c>
      <c r="D19" s="144" t="s">
        <v>729</v>
      </c>
      <c r="E19" s="144" t="s">
        <v>730</v>
      </c>
      <c r="F19" s="144" t="s">
        <v>731</v>
      </c>
      <c r="G19" s="144" t="s">
        <v>732</v>
      </c>
      <c r="H19" s="144" t="s">
        <v>733</v>
      </c>
      <c r="I19" s="144" t="s">
        <v>734</v>
      </c>
      <c r="J19" s="144" t="s">
        <v>735</v>
      </c>
      <c r="K19" s="144" t="s">
        <v>736</v>
      </c>
      <c r="L19" s="144" t="s">
        <v>737</v>
      </c>
      <c r="M19" s="144" t="s">
        <v>738</v>
      </c>
      <c r="N19" s="145" t="s">
        <v>563</v>
      </c>
    </row>
    <row r="20" spans="1:15" x14ac:dyDescent="0.35">
      <c r="A20" s="113" t="s">
        <v>743</v>
      </c>
      <c r="B20" s="96">
        <v>898096</v>
      </c>
      <c r="C20" s="97">
        <v>798137</v>
      </c>
      <c r="D20" s="97">
        <v>941257</v>
      </c>
      <c r="E20" s="107">
        <f>E5-D21</f>
        <v>3228979</v>
      </c>
      <c r="F20" s="107">
        <f>F5-E21</f>
        <v>-5866469</v>
      </c>
      <c r="G20" s="107">
        <f t="shared" ref="G20:M20" si="2">G5-F21</f>
        <v>0</v>
      </c>
      <c r="H20" s="107">
        <f t="shared" si="2"/>
        <v>0</v>
      </c>
      <c r="I20" s="107">
        <f t="shared" si="2"/>
        <v>0</v>
      </c>
      <c r="J20" s="107">
        <f t="shared" si="2"/>
        <v>0</v>
      </c>
      <c r="K20" s="107">
        <f t="shared" si="2"/>
        <v>0</v>
      </c>
      <c r="L20" s="107">
        <f t="shared" si="2"/>
        <v>0</v>
      </c>
      <c r="M20" s="107">
        <f t="shared" si="2"/>
        <v>0</v>
      </c>
      <c r="N20" s="114">
        <f>SUM(B20:M20)</f>
        <v>0</v>
      </c>
    </row>
    <row r="21" spans="1:15" x14ac:dyDescent="0.35">
      <c r="A21" s="113" t="s">
        <v>744</v>
      </c>
      <c r="B21" s="111">
        <f>B20</f>
        <v>898096</v>
      </c>
      <c r="C21" s="111">
        <f t="shared" ref="C21:M21" si="3">B21+C20</f>
        <v>1696233</v>
      </c>
      <c r="D21" s="111">
        <f t="shared" si="3"/>
        <v>2637490</v>
      </c>
      <c r="E21" s="106">
        <f t="shared" si="3"/>
        <v>5866469</v>
      </c>
      <c r="F21" s="106">
        <f t="shared" si="3"/>
        <v>0</v>
      </c>
      <c r="G21" s="106">
        <f t="shared" si="3"/>
        <v>0</v>
      </c>
      <c r="H21" s="106">
        <f t="shared" si="3"/>
        <v>0</v>
      </c>
      <c r="I21" s="106">
        <f t="shared" si="3"/>
        <v>0</v>
      </c>
      <c r="J21" s="106">
        <f t="shared" si="3"/>
        <v>0</v>
      </c>
      <c r="K21" s="106">
        <f t="shared" si="3"/>
        <v>0</v>
      </c>
      <c r="L21" s="106">
        <f t="shared" si="3"/>
        <v>0</v>
      </c>
      <c r="M21" s="106">
        <f t="shared" si="3"/>
        <v>0</v>
      </c>
      <c r="N21" s="114">
        <f>MAX(B21:M21)</f>
        <v>5866469</v>
      </c>
    </row>
    <row r="22" spans="1:15" x14ac:dyDescent="0.35">
      <c r="A22" s="113" t="s">
        <v>745</v>
      </c>
      <c r="B22" s="97">
        <v>32403</v>
      </c>
      <c r="C22" s="97">
        <v>62744</v>
      </c>
      <c r="D22" s="97">
        <v>57645</v>
      </c>
      <c r="E22" s="107">
        <f>E6-D23</f>
        <v>223830</v>
      </c>
      <c r="F22" s="107">
        <f t="shared" ref="F22:M22" si="4">F6-E23</f>
        <v>-376622</v>
      </c>
      <c r="G22" s="107">
        <f t="shared" si="4"/>
        <v>0</v>
      </c>
      <c r="H22" s="107">
        <f t="shared" si="4"/>
        <v>0</v>
      </c>
      <c r="I22" s="107">
        <f t="shared" si="4"/>
        <v>0</v>
      </c>
      <c r="J22" s="107">
        <f t="shared" si="4"/>
        <v>0</v>
      </c>
      <c r="K22" s="107">
        <f t="shared" si="4"/>
        <v>0</v>
      </c>
      <c r="L22" s="107">
        <f t="shared" si="4"/>
        <v>0</v>
      </c>
      <c r="M22" s="107">
        <f t="shared" si="4"/>
        <v>0</v>
      </c>
      <c r="N22" s="114">
        <f>SUM(B22:M22)</f>
        <v>0</v>
      </c>
    </row>
    <row r="23" spans="1:15" s="44" customFormat="1" x14ac:dyDescent="0.35">
      <c r="A23" s="113" t="s">
        <v>746</v>
      </c>
      <c r="B23" s="111">
        <f>B22</f>
        <v>32403</v>
      </c>
      <c r="C23" s="111">
        <f t="shared" ref="C23:M23" si="5">B23+C22</f>
        <v>95147</v>
      </c>
      <c r="D23" s="111">
        <f t="shared" si="5"/>
        <v>152792</v>
      </c>
      <c r="E23" s="106">
        <f>D23+E22</f>
        <v>376622</v>
      </c>
      <c r="F23" s="106">
        <f t="shared" si="5"/>
        <v>0</v>
      </c>
      <c r="G23" s="106">
        <f t="shared" si="5"/>
        <v>0</v>
      </c>
      <c r="H23" s="106">
        <f t="shared" si="5"/>
        <v>0</v>
      </c>
      <c r="I23" s="106">
        <f t="shared" si="5"/>
        <v>0</v>
      </c>
      <c r="J23" s="106">
        <f t="shared" si="5"/>
        <v>0</v>
      </c>
      <c r="K23" s="106">
        <f t="shared" si="5"/>
        <v>0</v>
      </c>
      <c r="L23" s="106">
        <f t="shared" si="5"/>
        <v>0</v>
      </c>
      <c r="M23" s="106">
        <f t="shared" si="5"/>
        <v>0</v>
      </c>
      <c r="N23" s="114">
        <f>MAX(B23:M23)</f>
        <v>376622</v>
      </c>
      <c r="O23"/>
    </row>
    <row r="24" spans="1:15" x14ac:dyDescent="0.35">
      <c r="A24" s="113" t="s">
        <v>747</v>
      </c>
      <c r="B24" s="97">
        <v>5454809</v>
      </c>
      <c r="C24" s="97">
        <v>10299754</v>
      </c>
      <c r="D24" s="97">
        <v>9116851</v>
      </c>
      <c r="E24" s="107">
        <f>E7-D25</f>
        <v>35420779</v>
      </c>
      <c r="F24" s="107">
        <f t="shared" ref="F24:M24" si="6">F7-E25</f>
        <v>-60292193</v>
      </c>
      <c r="G24" s="107">
        <f t="shared" si="6"/>
        <v>0</v>
      </c>
      <c r="H24" s="107">
        <f t="shared" si="6"/>
        <v>0</v>
      </c>
      <c r="I24" s="107">
        <f t="shared" si="6"/>
        <v>0</v>
      </c>
      <c r="J24" s="107">
        <f t="shared" si="6"/>
        <v>0</v>
      </c>
      <c r="K24" s="107">
        <f t="shared" si="6"/>
        <v>0</v>
      </c>
      <c r="L24" s="107">
        <f t="shared" si="6"/>
        <v>0</v>
      </c>
      <c r="M24" s="107">
        <f t="shared" si="6"/>
        <v>0</v>
      </c>
      <c r="N24" s="114">
        <f>SUM(B24:M24)</f>
        <v>0</v>
      </c>
    </row>
    <row r="25" spans="1:15" s="44" customFormat="1" x14ac:dyDescent="0.35">
      <c r="A25" s="113" t="s">
        <v>748</v>
      </c>
      <c r="B25" s="111">
        <f>B24</f>
        <v>5454809</v>
      </c>
      <c r="C25" s="111">
        <f t="shared" ref="C25:M25" si="7">B25+C24</f>
        <v>15754563</v>
      </c>
      <c r="D25" s="111">
        <f t="shared" si="7"/>
        <v>24871414</v>
      </c>
      <c r="E25" s="106">
        <f t="shared" si="7"/>
        <v>60292193</v>
      </c>
      <c r="F25" s="106">
        <f t="shared" si="7"/>
        <v>0</v>
      </c>
      <c r="G25" s="106">
        <f t="shared" si="7"/>
        <v>0</v>
      </c>
      <c r="H25" s="106">
        <f t="shared" si="7"/>
        <v>0</v>
      </c>
      <c r="I25" s="106">
        <f t="shared" si="7"/>
        <v>0</v>
      </c>
      <c r="J25" s="106">
        <f t="shared" si="7"/>
        <v>0</v>
      </c>
      <c r="K25" s="106">
        <f t="shared" si="7"/>
        <v>0</v>
      </c>
      <c r="L25" s="106">
        <f t="shared" si="7"/>
        <v>0</v>
      </c>
      <c r="M25" s="106">
        <f t="shared" si="7"/>
        <v>0</v>
      </c>
      <c r="N25" s="114">
        <f>MAX(B25:M25)</f>
        <v>60292193</v>
      </c>
      <c r="O25"/>
    </row>
    <row r="26" spans="1:15" x14ac:dyDescent="0.35">
      <c r="A26" s="131"/>
      <c r="B26" s="93"/>
      <c r="C26" s="93"/>
      <c r="D26" s="93"/>
      <c r="E26" s="142"/>
      <c r="F26" s="142"/>
      <c r="G26" s="142"/>
      <c r="H26" s="142"/>
      <c r="I26" s="142"/>
      <c r="J26" s="142"/>
      <c r="K26" s="142"/>
      <c r="L26" s="142"/>
      <c r="M26" s="142"/>
      <c r="N26" s="114"/>
    </row>
    <row r="27" spans="1:15" s="44" customFormat="1" x14ac:dyDescent="0.35">
      <c r="A27" s="113" t="s">
        <v>749</v>
      </c>
      <c r="B27" s="111">
        <f>IFERROR(B23/B$4, 0)</f>
        <v>187.30057803468208</v>
      </c>
      <c r="C27" s="111">
        <f t="shared" ref="C27:M27" si="8">IFERROR(C23/C$4, 0)</f>
        <v>549.98265895953762</v>
      </c>
      <c r="D27" s="111">
        <f t="shared" si="8"/>
        <v>868.13636363636363</v>
      </c>
      <c r="E27" s="106">
        <f t="shared" si="8"/>
        <v>2152.1257142857144</v>
      </c>
      <c r="F27" s="106">
        <f t="shared" si="8"/>
        <v>0</v>
      </c>
      <c r="G27" s="106">
        <f t="shared" si="8"/>
        <v>0</v>
      </c>
      <c r="H27" s="106">
        <f t="shared" si="8"/>
        <v>0</v>
      </c>
      <c r="I27" s="106">
        <f t="shared" si="8"/>
        <v>0</v>
      </c>
      <c r="J27" s="106">
        <f t="shared" si="8"/>
        <v>0</v>
      </c>
      <c r="K27" s="106">
        <f t="shared" si="8"/>
        <v>0</v>
      </c>
      <c r="L27" s="106">
        <f t="shared" si="8"/>
        <v>0</v>
      </c>
      <c r="M27" s="106">
        <f t="shared" si="8"/>
        <v>0</v>
      </c>
      <c r="N27" s="114">
        <f t="shared" ref="N25:N29" si="9">SUM(B27:M27)</f>
        <v>3757.5453149162977</v>
      </c>
    </row>
    <row r="28" spans="1:15" x14ac:dyDescent="0.35">
      <c r="A28" s="113" t="s">
        <v>750</v>
      </c>
      <c r="B28" s="97">
        <f>IFERROR(B22/B$4,0)</f>
        <v>187.30057803468208</v>
      </c>
      <c r="C28" s="97">
        <f t="shared" ref="C28:M28" si="10">IFERROR(C22/C$4,0)</f>
        <v>362.68208092485548</v>
      </c>
      <c r="D28" s="97">
        <f t="shared" si="10"/>
        <v>327.52840909090907</v>
      </c>
      <c r="E28" s="107">
        <f t="shared" si="10"/>
        <v>1279.0285714285715</v>
      </c>
      <c r="F28" s="107">
        <f t="shared" si="10"/>
        <v>0</v>
      </c>
      <c r="G28" s="107">
        <f t="shared" si="10"/>
        <v>0</v>
      </c>
      <c r="H28" s="107">
        <f t="shared" si="10"/>
        <v>0</v>
      </c>
      <c r="I28" s="107">
        <f t="shared" si="10"/>
        <v>0</v>
      </c>
      <c r="J28" s="107">
        <f t="shared" si="10"/>
        <v>0</v>
      </c>
      <c r="K28" s="107">
        <f t="shared" si="10"/>
        <v>0</v>
      </c>
      <c r="L28" s="107">
        <f t="shared" si="10"/>
        <v>0</v>
      </c>
      <c r="M28" s="107">
        <f t="shared" si="10"/>
        <v>0</v>
      </c>
      <c r="N28" s="114">
        <f>SUM(B28:M28)</f>
        <v>2156.5396394790178</v>
      </c>
    </row>
    <row r="29" spans="1:15" s="44" customFormat="1" x14ac:dyDescent="0.35">
      <c r="A29" s="113" t="s">
        <v>751</v>
      </c>
      <c r="B29" s="111">
        <f>IFERROR(B25/B$4,0)</f>
        <v>31530.687861271676</v>
      </c>
      <c r="C29" s="111">
        <f t="shared" ref="C29:M29" si="11">IFERROR(C25/C$4,0)</f>
        <v>91066.838150289012</v>
      </c>
      <c r="D29" s="111">
        <f t="shared" si="11"/>
        <v>141314.85227272726</v>
      </c>
      <c r="E29" s="106">
        <f t="shared" si="11"/>
        <v>344526.81714285712</v>
      </c>
      <c r="F29" s="106">
        <f t="shared" si="11"/>
        <v>0</v>
      </c>
      <c r="G29" s="106">
        <f t="shared" si="11"/>
        <v>0</v>
      </c>
      <c r="H29" s="106">
        <f t="shared" si="11"/>
        <v>0</v>
      </c>
      <c r="I29" s="106">
        <f t="shared" si="11"/>
        <v>0</v>
      </c>
      <c r="J29" s="106">
        <f t="shared" si="11"/>
        <v>0</v>
      </c>
      <c r="K29" s="106">
        <f t="shared" si="11"/>
        <v>0</v>
      </c>
      <c r="L29" s="106">
        <f t="shared" si="11"/>
        <v>0</v>
      </c>
      <c r="M29" s="106">
        <f t="shared" si="11"/>
        <v>0</v>
      </c>
      <c r="N29" s="114">
        <f t="shared" si="9"/>
        <v>608439.19542714511</v>
      </c>
    </row>
    <row r="30" spans="1:15" ht="15" thickBot="1" x14ac:dyDescent="0.4">
      <c r="A30" s="115" t="s">
        <v>752</v>
      </c>
      <c r="B30" s="125">
        <f>IFERROR(B24/B$4, 0)</f>
        <v>31530.687861271676</v>
      </c>
      <c r="C30" s="125">
        <f t="shared" ref="C30:M30" si="12">IFERROR(C24/C$4, 0)</f>
        <v>59536.150289017343</v>
      </c>
      <c r="D30" s="125">
        <f t="shared" si="12"/>
        <v>51800.289772727272</v>
      </c>
      <c r="E30" s="126">
        <f t="shared" si="12"/>
        <v>202404.45142857142</v>
      </c>
      <c r="F30" s="126">
        <f t="shared" si="12"/>
        <v>0</v>
      </c>
      <c r="G30" s="126">
        <f t="shared" si="12"/>
        <v>0</v>
      </c>
      <c r="H30" s="126">
        <f t="shared" si="12"/>
        <v>0</v>
      </c>
      <c r="I30" s="126">
        <f t="shared" si="12"/>
        <v>0</v>
      </c>
      <c r="J30" s="126">
        <f t="shared" si="12"/>
        <v>0</v>
      </c>
      <c r="K30" s="126">
        <f t="shared" si="12"/>
        <v>0</v>
      </c>
      <c r="L30" s="126">
        <f t="shared" si="12"/>
        <v>0</v>
      </c>
      <c r="M30" s="126">
        <f t="shared" si="12"/>
        <v>0</v>
      </c>
      <c r="N30" s="116">
        <f>SUM(B30:M30)</f>
        <v>345271.57935158769</v>
      </c>
    </row>
    <row r="31" spans="1:15" x14ac:dyDescent="0.35">
      <c r="E31" s="108"/>
      <c r="F31" s="108"/>
      <c r="G31" s="108"/>
      <c r="H31" s="108"/>
      <c r="I31" s="108"/>
      <c r="J31" s="108"/>
      <c r="K31" s="108"/>
      <c r="L31" s="108"/>
      <c r="M31" s="108"/>
    </row>
    <row r="32" spans="1:15" x14ac:dyDescent="0.35">
      <c r="E32" s="108"/>
      <c r="F32" s="108"/>
      <c r="G32" s="108"/>
      <c r="H32" s="108"/>
      <c r="I32" s="108"/>
      <c r="J32" s="108"/>
      <c r="K32" s="108"/>
      <c r="L32" s="108"/>
      <c r="M32" s="108"/>
    </row>
    <row r="33" spans="1:14" ht="21.5" thickBot="1" x14ac:dyDescent="0.55000000000000004">
      <c r="A33" s="127" t="s">
        <v>762</v>
      </c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</row>
    <row r="34" spans="1:14" x14ac:dyDescent="0.35">
      <c r="A34" s="118" t="s">
        <v>760</v>
      </c>
      <c r="B34" s="119" t="s">
        <v>727</v>
      </c>
      <c r="C34" s="119" t="s">
        <v>728</v>
      </c>
      <c r="D34" s="119" t="s">
        <v>729</v>
      </c>
      <c r="E34" s="119" t="s">
        <v>730</v>
      </c>
      <c r="F34" s="119" t="s">
        <v>731</v>
      </c>
      <c r="G34" s="119" t="s">
        <v>732</v>
      </c>
      <c r="H34" s="119" t="s">
        <v>733</v>
      </c>
      <c r="I34" s="119" t="s">
        <v>734</v>
      </c>
      <c r="J34" s="119" t="s">
        <v>735</v>
      </c>
      <c r="K34" s="119" t="s">
        <v>736</v>
      </c>
      <c r="L34" s="119" t="s">
        <v>737</v>
      </c>
      <c r="M34" s="119" t="s">
        <v>738</v>
      </c>
      <c r="N34" s="120" t="s">
        <v>563</v>
      </c>
    </row>
    <row r="35" spans="1:14" x14ac:dyDescent="0.35">
      <c r="A35" s="113" t="s">
        <v>743</v>
      </c>
      <c r="B35" s="96">
        <v>1021708</v>
      </c>
      <c r="C35" s="97">
        <v>781435</v>
      </c>
      <c r="D35" s="97">
        <v>1263292</v>
      </c>
      <c r="E35" s="107">
        <f>E10-D36</f>
        <v>3459559</v>
      </c>
      <c r="F35" s="107">
        <f>F10-E36</f>
        <v>-6525994</v>
      </c>
      <c r="G35" s="107">
        <f t="shared" ref="G35:M35" si="13">G10-F36</f>
        <v>0</v>
      </c>
      <c r="H35" s="107">
        <f t="shared" si="13"/>
        <v>0</v>
      </c>
      <c r="I35" s="107">
        <f t="shared" si="13"/>
        <v>0</v>
      </c>
      <c r="J35" s="107">
        <f t="shared" si="13"/>
        <v>0</v>
      </c>
      <c r="K35" s="107">
        <f t="shared" si="13"/>
        <v>0</v>
      </c>
      <c r="L35" s="107">
        <f t="shared" si="13"/>
        <v>0</v>
      </c>
      <c r="M35" s="107">
        <f t="shared" si="13"/>
        <v>0</v>
      </c>
      <c r="N35" s="114">
        <f>SUM(B35:M35)</f>
        <v>0</v>
      </c>
    </row>
    <row r="36" spans="1:14" s="44" customFormat="1" x14ac:dyDescent="0.35">
      <c r="A36" s="113" t="s">
        <v>744</v>
      </c>
      <c r="B36" s="111">
        <f>B35</f>
        <v>1021708</v>
      </c>
      <c r="C36" s="111">
        <f t="shared" ref="C36:M36" si="14">B36+C35</f>
        <v>1803143</v>
      </c>
      <c r="D36" s="111">
        <f t="shared" si="14"/>
        <v>3066435</v>
      </c>
      <c r="E36" s="106">
        <f t="shared" si="14"/>
        <v>6525994</v>
      </c>
      <c r="F36" s="106">
        <f t="shared" si="14"/>
        <v>0</v>
      </c>
      <c r="G36" s="106">
        <f t="shared" si="14"/>
        <v>0</v>
      </c>
      <c r="H36" s="106">
        <f t="shared" si="14"/>
        <v>0</v>
      </c>
      <c r="I36" s="106">
        <f t="shared" si="14"/>
        <v>0</v>
      </c>
      <c r="J36" s="106">
        <f t="shared" si="14"/>
        <v>0</v>
      </c>
      <c r="K36" s="106">
        <f t="shared" si="14"/>
        <v>0</v>
      </c>
      <c r="L36" s="106">
        <f t="shared" si="14"/>
        <v>0</v>
      </c>
      <c r="M36" s="106">
        <f t="shared" si="14"/>
        <v>0</v>
      </c>
      <c r="N36" s="114">
        <f>MAX(B36:M36)</f>
        <v>6525994</v>
      </c>
    </row>
    <row r="37" spans="1:14" x14ac:dyDescent="0.35">
      <c r="A37" s="113" t="s">
        <v>745</v>
      </c>
      <c r="B37" s="97">
        <v>55000</v>
      </c>
      <c r="C37" s="97">
        <v>75697</v>
      </c>
      <c r="D37" s="97">
        <v>68747</v>
      </c>
      <c r="E37" s="107">
        <f>E11-D38</f>
        <v>271190</v>
      </c>
      <c r="F37" s="107">
        <f>F12-E38</f>
        <v>-470634</v>
      </c>
      <c r="G37" s="107"/>
      <c r="H37" s="107"/>
      <c r="I37" s="107"/>
      <c r="J37" s="107"/>
      <c r="K37" s="107"/>
      <c r="L37" s="107"/>
      <c r="M37" s="107"/>
      <c r="N37" s="114">
        <f t="shared" ref="N37:N43" si="15">SUM(B37:M37)</f>
        <v>0</v>
      </c>
    </row>
    <row r="38" spans="1:14" s="44" customFormat="1" x14ac:dyDescent="0.35">
      <c r="A38" s="113" t="s">
        <v>746</v>
      </c>
      <c r="B38" s="111">
        <f>B37</f>
        <v>55000</v>
      </c>
      <c r="C38" s="111">
        <f t="shared" ref="C38:M40" si="16">B38+C37</f>
        <v>130697</v>
      </c>
      <c r="D38" s="111">
        <f t="shared" si="16"/>
        <v>199444</v>
      </c>
      <c r="E38" s="106">
        <f t="shared" si="16"/>
        <v>470634</v>
      </c>
      <c r="F38" s="106">
        <f>IF(E38+F37=0,E38,E38+F37)</f>
        <v>470634</v>
      </c>
      <c r="G38" s="106">
        <f t="shared" si="16"/>
        <v>470634</v>
      </c>
      <c r="H38" s="106">
        <f t="shared" si="16"/>
        <v>470634</v>
      </c>
      <c r="I38" s="106">
        <f t="shared" si="16"/>
        <v>470634</v>
      </c>
      <c r="J38" s="106">
        <f t="shared" si="16"/>
        <v>470634</v>
      </c>
      <c r="K38" s="106">
        <f t="shared" si="16"/>
        <v>470634</v>
      </c>
      <c r="L38" s="106">
        <f t="shared" si="16"/>
        <v>470634</v>
      </c>
      <c r="M38" s="106">
        <f t="shared" si="16"/>
        <v>470634</v>
      </c>
      <c r="N38" s="114">
        <f>MAX(B38:M38)</f>
        <v>470634</v>
      </c>
    </row>
    <row r="39" spans="1:14" x14ac:dyDescent="0.35">
      <c r="A39" s="113" t="s">
        <v>747</v>
      </c>
      <c r="B39" s="97">
        <v>8971598</v>
      </c>
      <c r="C39" s="97">
        <v>12332481</v>
      </c>
      <c r="D39" s="97">
        <v>11325949</v>
      </c>
      <c r="E39" s="107">
        <f>E12-D40</f>
        <v>44889356</v>
      </c>
      <c r="F39" s="107">
        <f>F14-E40</f>
        <v>-77519384</v>
      </c>
      <c r="G39" s="107"/>
      <c r="H39" s="107"/>
      <c r="I39" s="107"/>
      <c r="J39" s="107"/>
      <c r="K39" s="107"/>
      <c r="L39" s="107"/>
      <c r="M39" s="107"/>
      <c r="N39" s="114">
        <f t="shared" si="15"/>
        <v>0</v>
      </c>
    </row>
    <row r="40" spans="1:14" s="44" customFormat="1" x14ac:dyDescent="0.35">
      <c r="A40" s="113" t="s">
        <v>748</v>
      </c>
      <c r="B40" s="111">
        <f>B39</f>
        <v>8971598</v>
      </c>
      <c r="C40" s="111">
        <f t="shared" ref="C40:L40" si="17">B40+C39</f>
        <v>21304079</v>
      </c>
      <c r="D40" s="111">
        <f t="shared" si="17"/>
        <v>32630028</v>
      </c>
      <c r="E40" s="106">
        <f t="shared" si="17"/>
        <v>77519384</v>
      </c>
      <c r="F40" s="106">
        <f>IF(E40+F39=0,E40,E40+F39)</f>
        <v>77519384</v>
      </c>
      <c r="G40" s="106">
        <f t="shared" si="17"/>
        <v>77519384</v>
      </c>
      <c r="H40" s="106">
        <f t="shared" si="17"/>
        <v>77519384</v>
      </c>
      <c r="I40" s="106">
        <f t="shared" si="17"/>
        <v>77519384</v>
      </c>
      <c r="J40" s="106">
        <f t="shared" si="17"/>
        <v>77519384</v>
      </c>
      <c r="K40" s="106">
        <f t="shared" si="17"/>
        <v>77519384</v>
      </c>
      <c r="L40" s="106">
        <f t="shared" si="17"/>
        <v>77519384</v>
      </c>
      <c r="M40" s="106">
        <f>L40+M39</f>
        <v>77519384</v>
      </c>
      <c r="N40" s="114">
        <f>MAX(B40:M40)</f>
        <v>77519384</v>
      </c>
    </row>
    <row r="41" spans="1:14" s="103" customFormat="1" x14ac:dyDescent="0.35">
      <c r="A41" s="121"/>
      <c r="E41" s="109"/>
      <c r="F41" s="109"/>
      <c r="G41" s="109"/>
      <c r="H41" s="109"/>
      <c r="I41" s="109"/>
      <c r="J41" s="109"/>
      <c r="K41" s="109"/>
      <c r="L41" s="109"/>
      <c r="M41" s="109"/>
      <c r="N41" s="114"/>
    </row>
    <row r="42" spans="1:14" x14ac:dyDescent="0.35">
      <c r="A42" s="122" t="s">
        <v>750</v>
      </c>
      <c r="B42" s="104">
        <f>IFERROR(B38/B$9, 0)</f>
        <v>286.45833333333331</v>
      </c>
      <c r="C42" s="104">
        <f t="shared" ref="C42:M42" si="18">IFERROR(C38/C$9, 0)</f>
        <v>680.71354166666663</v>
      </c>
      <c r="D42" s="104">
        <f t="shared" si="18"/>
        <v>1038.7708333333333</v>
      </c>
      <c r="E42" s="110">
        <f t="shared" si="18"/>
        <v>2451.21875</v>
      </c>
      <c r="F42" s="110">
        <f t="shared" si="18"/>
        <v>2451.21875</v>
      </c>
      <c r="G42" s="110">
        <f t="shared" si="18"/>
        <v>2451.21875</v>
      </c>
      <c r="H42" s="110">
        <f t="shared" si="18"/>
        <v>2451.21875</v>
      </c>
      <c r="I42" s="110">
        <f t="shared" si="18"/>
        <v>2451.21875</v>
      </c>
      <c r="J42" s="110">
        <f t="shared" si="18"/>
        <v>2451.21875</v>
      </c>
      <c r="K42" s="110">
        <f t="shared" si="18"/>
        <v>2451.21875</v>
      </c>
      <c r="L42" s="110">
        <f t="shared" si="18"/>
        <v>2451.21875</v>
      </c>
      <c r="M42" s="110">
        <f t="shared" si="18"/>
        <v>2451.21875</v>
      </c>
      <c r="N42" s="114">
        <f t="shared" si="15"/>
        <v>24066.911458333332</v>
      </c>
    </row>
    <row r="43" spans="1:14" ht="15" thickBot="1" x14ac:dyDescent="0.4">
      <c r="A43" s="115" t="s">
        <v>752</v>
      </c>
      <c r="B43" s="123">
        <f>IFERROR(B40/B$9,0)</f>
        <v>46727.072916666664</v>
      </c>
      <c r="C43" s="123">
        <f t="shared" ref="C43:M43" si="19">IFERROR(C40/C$9,0)</f>
        <v>110958.74479166667</v>
      </c>
      <c r="D43" s="123">
        <f t="shared" si="19"/>
        <v>169948.0625</v>
      </c>
      <c r="E43" s="124">
        <f t="shared" si="19"/>
        <v>403746.79166666669</v>
      </c>
      <c r="F43" s="124">
        <f t="shared" si="19"/>
        <v>403746.79166666669</v>
      </c>
      <c r="G43" s="124">
        <f t="shared" si="19"/>
        <v>403746.79166666669</v>
      </c>
      <c r="H43" s="124">
        <f t="shared" si="19"/>
        <v>403746.79166666669</v>
      </c>
      <c r="I43" s="124">
        <f t="shared" si="19"/>
        <v>403746.79166666669</v>
      </c>
      <c r="J43" s="124">
        <f t="shared" si="19"/>
        <v>403746.79166666669</v>
      </c>
      <c r="K43" s="124">
        <f t="shared" si="19"/>
        <v>403746.79166666669</v>
      </c>
      <c r="L43" s="124">
        <f t="shared" si="19"/>
        <v>403746.79166666669</v>
      </c>
      <c r="M43" s="124">
        <f t="shared" si="19"/>
        <v>403746.79166666669</v>
      </c>
      <c r="N43" s="114">
        <f t="shared" si="15"/>
        <v>3961355.005208333</v>
      </c>
    </row>
    <row r="44" spans="1:14" x14ac:dyDescent="0.35">
      <c r="E44" s="108"/>
      <c r="F44" s="108"/>
      <c r="G44" s="108"/>
      <c r="H44" s="108"/>
      <c r="I44" s="108"/>
      <c r="J44" s="108"/>
      <c r="K44" s="108"/>
      <c r="L44" s="108"/>
      <c r="M44" s="108"/>
    </row>
  </sheetData>
  <mergeCells count="2">
    <mergeCell ref="A18:N18"/>
    <mergeCell ref="A33:N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F211-ED1D-4628-9067-CC8A67263750}">
  <dimension ref="A1:W54"/>
  <sheetViews>
    <sheetView showGridLines="0" zoomScale="85" zoomScaleNormal="85" workbookViewId="0">
      <selection activeCell="J14" sqref="J14"/>
    </sheetView>
  </sheetViews>
  <sheetFormatPr defaultRowHeight="14.5" x14ac:dyDescent="0.35"/>
  <cols>
    <col min="1" max="1" width="23.54296875" bestFit="1" customWidth="1"/>
    <col min="2" max="2" width="8.81640625" bestFit="1" customWidth="1"/>
    <col min="3" max="4" width="10.08984375" bestFit="1" customWidth="1"/>
    <col min="5" max="5" width="15.1796875" customWidth="1"/>
    <col min="6" max="6" width="11.1796875" customWidth="1"/>
    <col min="7" max="14" width="10.08984375" bestFit="1" customWidth="1"/>
    <col min="15" max="15" width="10.81640625" customWidth="1"/>
    <col min="16" max="16" width="11.90625" customWidth="1"/>
    <col min="17" max="17" width="4.7265625" customWidth="1"/>
    <col min="19" max="19" width="23.54296875" bestFit="1" customWidth="1"/>
    <col min="20" max="20" width="5.81640625" bestFit="1" customWidth="1"/>
    <col min="21" max="21" width="11.81640625" bestFit="1" customWidth="1"/>
    <col min="22" max="22" width="12.453125" bestFit="1" customWidth="1"/>
    <col min="23" max="23" width="15.54296875" bestFit="1" customWidth="1"/>
  </cols>
  <sheetData>
    <row r="1" spans="1:23" ht="37" x14ac:dyDescent="0.85">
      <c r="A1" s="105" t="s">
        <v>769</v>
      </c>
    </row>
    <row r="2" spans="1:23" x14ac:dyDescent="0.35">
      <c r="A2" s="44" t="s">
        <v>770</v>
      </c>
      <c r="B2" s="100" t="s">
        <v>771</v>
      </c>
      <c r="C2" s="100" t="s">
        <v>772</v>
      </c>
      <c r="D2" s="100"/>
      <c r="E2" s="100"/>
      <c r="G2" s="185"/>
      <c r="H2" s="185"/>
      <c r="I2" s="183"/>
      <c r="R2" s="132" t="s">
        <v>1150</v>
      </c>
      <c r="S2" s="132" t="s">
        <v>1151</v>
      </c>
      <c r="T2" s="198" t="s">
        <v>771</v>
      </c>
      <c r="U2" s="198" t="s">
        <v>772</v>
      </c>
      <c r="V2" s="198" t="s">
        <v>773</v>
      </c>
      <c r="W2" s="198" t="s">
        <v>1152</v>
      </c>
    </row>
    <row r="3" spans="1:23" x14ac:dyDescent="0.35">
      <c r="A3" s="99" t="str" cm="1">
        <f t="array" ref="A3:A19">_xlfn.UNIQUE(BASE!M2:M176)</f>
        <v>Production</v>
      </c>
      <c r="B3" s="190">
        <f>SUMIFS(BASE!$Q$2:$Q$176,BASE!$M$2:$M$176,OVT!A3)</f>
        <v>378.92</v>
      </c>
      <c r="C3" s="191">
        <f>SUMIFS(BASE!$R$2:$R$176,BASE!$M$2:$M$176,OVT!A3)</f>
        <v>3481.9247876949744</v>
      </c>
      <c r="D3" s="152"/>
      <c r="R3" s="99" t="str" cm="1">
        <f t="array" ref="R3:R54">_xlfn.UNIQUE(overtime_base!C2:C111)</f>
        <v>70000076</v>
      </c>
      <c r="S3" s="93" t="str">
        <f>VLOOKUP(R3,BASE!$A:$R,2,FALSE)</f>
        <v>Erick Nlandu</v>
      </c>
      <c r="T3" s="196">
        <f>VLOOKUP(R3,BASE!$A:$R,17,FALSE)</f>
        <v>21.74</v>
      </c>
      <c r="U3" s="196">
        <f>VLOOKUP(R3,BASE!$A:$R,18,FALSE)</f>
        <v>176.59835788561526</v>
      </c>
      <c r="V3" s="196">
        <f>VLOOKUP(R3,BASE!$A:$R,15,FALSE)</f>
        <v>5.1666666666600003</v>
      </c>
      <c r="W3" s="197" t="str">
        <f>VLOOKUP(R3,BASE!$A:$M,13,FALSE)</f>
        <v>Quality Assurance</v>
      </c>
    </row>
    <row r="4" spans="1:23" x14ac:dyDescent="0.35">
      <c r="A4" s="99" t="str">
        <v>HR</v>
      </c>
      <c r="B4" s="190">
        <f>SUMIFS(BASE!$Q$2:$Q$176,BASE!$M$2:$M$176,OVT!A4)</f>
        <v>0</v>
      </c>
      <c r="C4" s="191">
        <f>SUMIFS(BASE!$R$2:$R$176,BASE!$M$2:$M$176,OVT!A4)</f>
        <v>0</v>
      </c>
      <c r="D4" s="152"/>
      <c r="R4" s="99" t="str">
        <v>70000077</v>
      </c>
      <c r="S4" s="93" t="str">
        <f>VLOOKUP(R4,BASE!$A:$R,2,FALSE)</f>
        <v>Cadet Samba</v>
      </c>
      <c r="T4" s="196">
        <f>VLOOKUP(R4,BASE!$A:$R,17,FALSE)</f>
        <v>3.03</v>
      </c>
      <c r="U4" s="196">
        <f>VLOOKUP(R4,BASE!$A:$R,18,FALSE)</f>
        <v>15.699185441941076</v>
      </c>
      <c r="V4" s="196">
        <f>VLOOKUP(R4,BASE!$A:$R,15,FALSE)</f>
        <v>12.166666666659999</v>
      </c>
      <c r="W4" s="197" t="str">
        <f>VLOOKUP(R4,BASE!$A:$M,13,FALSE)</f>
        <v>Quality Assurance</v>
      </c>
    </row>
    <row r="5" spans="1:23" x14ac:dyDescent="0.35">
      <c r="A5" s="99" t="str">
        <v>Sales_CEC</v>
      </c>
      <c r="B5" s="190">
        <f>SUMIFS(BASE!$Q$2:$Q$176,BASE!$M$2:$M$176,OVT!A5)</f>
        <v>0</v>
      </c>
      <c r="C5" s="191">
        <f>SUMIFS(BASE!$R$2:$R$176,BASE!$M$2:$M$176,OVT!A5)</f>
        <v>0</v>
      </c>
      <c r="D5" s="152"/>
      <c r="R5" s="99" t="str">
        <v>70000080</v>
      </c>
      <c r="S5" s="93" t="str">
        <f>VLOOKUP(R5,BASE!$A:$R,2,FALSE)</f>
        <v>Nadege Nsilu</v>
      </c>
      <c r="T5" s="196">
        <f>VLOOKUP(R5,BASE!$A:$R,17,FALSE)</f>
        <v>18.809999999999999</v>
      </c>
      <c r="U5" s="196">
        <f>VLOOKUP(R5,BASE!$A:$R,18,FALSE)</f>
        <v>142.30669410745233</v>
      </c>
      <c r="V5" s="196">
        <f>VLOOKUP(R5,BASE!$A:$R,15,FALSE)</f>
        <v>16.166666666659999</v>
      </c>
      <c r="W5" s="197" t="str">
        <f>VLOOKUP(R5,BASE!$A:$M,13,FALSE)</f>
        <v>Quality Assurance</v>
      </c>
    </row>
    <row r="6" spans="1:23" x14ac:dyDescent="0.35">
      <c r="A6" s="99" t="str">
        <v>Engineering</v>
      </c>
      <c r="B6" s="190">
        <f>SUMIFS(BASE!$Q$2:$Q$176,BASE!$M$2:$M$176,OVT!A6)</f>
        <v>639.18999999999994</v>
      </c>
      <c r="C6" s="191">
        <f>SUMIFS(BASE!$R$2:$R$176,BASE!$M$2:$M$176,OVT!A6)</f>
        <v>6262.8716637781627</v>
      </c>
      <c r="D6" s="152"/>
      <c r="R6" s="99" t="str">
        <v>70000081</v>
      </c>
      <c r="S6" s="93" t="str">
        <f>VLOOKUP(R6,BASE!$A:$R,2,FALSE)</f>
        <v>Bertin Tandu</v>
      </c>
      <c r="T6" s="196">
        <f>VLOOKUP(R6,BASE!$A:$R,17,FALSE)</f>
        <v>9.0500000000000007</v>
      </c>
      <c r="U6" s="196">
        <f>VLOOKUP(R6,BASE!$A:$R,18,FALSE)</f>
        <v>69.187248700173313</v>
      </c>
      <c r="V6" s="196">
        <f>VLOOKUP(R6,BASE!$A:$R,15,FALSE)</f>
        <v>12.666666666659999</v>
      </c>
      <c r="W6" s="197" t="str">
        <f>VLOOKUP(R6,BASE!$A:$M,13,FALSE)</f>
        <v>Quality Assurance</v>
      </c>
    </row>
    <row r="7" spans="1:23" x14ac:dyDescent="0.35">
      <c r="A7" s="99" t="str">
        <v>Optimization</v>
      </c>
      <c r="B7" s="190">
        <f>SUMIFS(BASE!$Q$2:$Q$176,BASE!$M$2:$M$176,OVT!A7)</f>
        <v>0</v>
      </c>
      <c r="C7" s="191">
        <f>SUMIFS(BASE!$R$2:$R$176,BASE!$M$2:$M$176,OVT!A7)</f>
        <v>0</v>
      </c>
      <c r="D7" s="152"/>
      <c r="R7" s="99" t="str">
        <v>70000083</v>
      </c>
      <c r="S7" s="93" t="str">
        <f>VLOOKUP(R7,BASE!$A:$R,2,FALSE)</f>
        <v>Moise Musako</v>
      </c>
      <c r="T7" s="196">
        <f>VLOOKUP(R7,BASE!$A:$R,17,FALSE)</f>
        <v>10.210000000000001</v>
      </c>
      <c r="U7" s="196">
        <f>VLOOKUP(R7,BASE!$A:$R,18,FALSE)</f>
        <v>175.99412911611785</v>
      </c>
      <c r="V7" s="196">
        <f>VLOOKUP(R7,BASE!$A:$R,15,FALSE)</f>
        <v>12.83333333333</v>
      </c>
      <c r="W7" s="197" t="str">
        <f>VLOOKUP(R7,BASE!$A:$M,13,FALSE)</f>
        <v>Quality Assurance</v>
      </c>
    </row>
    <row r="8" spans="1:23" x14ac:dyDescent="0.35">
      <c r="A8" s="99" t="str">
        <v>Finance</v>
      </c>
      <c r="B8" s="190">
        <f>SUMIFS(BASE!$Q$2:$Q$176,BASE!$M$2:$M$176,OVT!A8)</f>
        <v>0</v>
      </c>
      <c r="C8" s="191">
        <f>SUMIFS(BASE!$R$2:$R$176,BASE!$M$2:$M$176,OVT!A8)</f>
        <v>0</v>
      </c>
      <c r="D8" s="152"/>
      <c r="R8" s="99" t="str">
        <v>70000084</v>
      </c>
      <c r="S8" s="93" t="str">
        <f>VLOOKUP(R8,BASE!$A:$R,2,FALSE)</f>
        <v>Delvis Mvilambi</v>
      </c>
      <c r="T8" s="196">
        <f>VLOOKUP(R8,BASE!$A:$R,17,FALSE)</f>
        <v>8.57</v>
      </c>
      <c r="U8" s="196">
        <f>VLOOKUP(R8,BASE!$A:$R,18,FALSE)</f>
        <v>40.804735701906417</v>
      </c>
      <c r="V8" s="196">
        <f>VLOOKUP(R8,BASE!$A:$R,15,FALSE)</f>
        <v>13.166666666659999</v>
      </c>
      <c r="W8" s="197" t="str">
        <f>VLOOKUP(R8,BASE!$A:$M,13,FALSE)</f>
        <v>Quality Assurance</v>
      </c>
    </row>
    <row r="9" spans="1:23" x14ac:dyDescent="0.35">
      <c r="A9" s="99" t="str">
        <v>Mining</v>
      </c>
      <c r="B9" s="190">
        <f>SUMIFS(BASE!$Q$2:$Q$176,BASE!$M$2:$M$176,OVT!A9)</f>
        <v>57.3</v>
      </c>
      <c r="C9" s="191">
        <f>SUMIFS(BASE!$R$2:$R$176,BASE!$M$2:$M$176,OVT!A9)</f>
        <v>430.45051126516461</v>
      </c>
      <c r="D9" s="152"/>
      <c r="R9" s="99" t="str">
        <v>70000210</v>
      </c>
      <c r="S9" s="93" t="str">
        <f>VLOOKUP(R9,BASE!$A:$R,2,FALSE)</f>
        <v>Sosthene Nyomba Kamanda</v>
      </c>
      <c r="T9" s="196">
        <f>VLOOKUP(R9,BASE!$A:$R,17,FALSE)</f>
        <v>15.43</v>
      </c>
      <c r="U9" s="196">
        <f>VLOOKUP(R9,BASE!$A:$R,18,FALSE)</f>
        <v>177.08856585788561</v>
      </c>
      <c r="V9" s="196">
        <f>VLOOKUP(R9,BASE!$A:$R,15,FALSE)</f>
        <v>12.170000000007001</v>
      </c>
      <c r="W9" s="197" t="str">
        <f>VLOOKUP(R9,BASE!$A:$M,13,FALSE)</f>
        <v>Quality Assurance</v>
      </c>
    </row>
    <row r="10" spans="1:23" x14ac:dyDescent="0.35">
      <c r="A10" s="99" t="str">
        <v>Quality Assurance</v>
      </c>
      <c r="B10" s="190">
        <f>SUMIFS(BASE!$Q$2:$Q$176,BASE!$M$2:$M$176,OVT!A10)</f>
        <v>111</v>
      </c>
      <c r="C10" s="191">
        <f>SUMIFS(BASE!$R$2:$R$176,BASE!$M$2:$M$176,OVT!A10)</f>
        <v>942.05117850953195</v>
      </c>
      <c r="D10" s="152"/>
      <c r="R10" s="99" t="str">
        <v>70000276</v>
      </c>
      <c r="S10" s="93" t="str">
        <f>VLOOKUP(R10,BASE!$A:$R,2,FALSE)</f>
        <v>Emmanuel Mawete</v>
      </c>
      <c r="T10" s="196">
        <f>VLOOKUP(R10,BASE!$A:$R,17,FALSE)</f>
        <v>24.16</v>
      </c>
      <c r="U10" s="196">
        <f>VLOOKUP(R10,BASE!$A:$R,18,FALSE)</f>
        <v>144.37226169844021</v>
      </c>
      <c r="V10" s="196">
        <f>VLOOKUP(R10,BASE!$A:$R,15,FALSE)</f>
        <v>15.222222226674999</v>
      </c>
      <c r="W10" s="197" t="str">
        <f>VLOOKUP(R10,BASE!$A:$M,13,FALSE)</f>
        <v>Quality Assurance</v>
      </c>
    </row>
    <row r="11" spans="1:23" x14ac:dyDescent="0.35">
      <c r="A11" s="99" t="str">
        <v>MD Office</v>
      </c>
      <c r="B11" s="190">
        <f>SUMIFS(BASE!$Q$2:$Q$176,BASE!$M$2:$M$176,OVT!A11)</f>
        <v>0</v>
      </c>
      <c r="C11" s="191">
        <f>SUMIFS(BASE!$R$2:$R$176,BASE!$M$2:$M$176,OVT!A11)</f>
        <v>0</v>
      </c>
      <c r="D11" s="152"/>
      <c r="R11" s="99" t="str">
        <v>70000069</v>
      </c>
      <c r="S11" s="93" t="str">
        <f>VLOOKUP(R11,BASE!$A:$R,2,FALSE)</f>
        <v>Gervais Bavibidila</v>
      </c>
      <c r="T11" s="196">
        <f>VLOOKUP(R11,BASE!$A:$R,17,FALSE)</f>
        <v>3.17</v>
      </c>
      <c r="U11" s="196">
        <f>VLOOKUP(R11,BASE!$A:$R,18,FALSE)</f>
        <v>13.601130849220104</v>
      </c>
      <c r="V11" s="196">
        <f>VLOOKUP(R11,BASE!$A:$R,15,FALSE)</f>
        <v>18.329999999994001</v>
      </c>
      <c r="W11" s="197" t="str">
        <f>VLOOKUP(R11,BASE!$A:$M,13,FALSE)</f>
        <v>Production</v>
      </c>
    </row>
    <row r="12" spans="1:23" x14ac:dyDescent="0.35">
      <c r="A12" s="99" t="str">
        <v>Procurement</v>
      </c>
      <c r="B12" s="190">
        <f>SUMIFS(BASE!$Q$2:$Q$176,BASE!$M$2:$M$176,OVT!A12)</f>
        <v>0</v>
      </c>
      <c r="C12" s="191">
        <f>SUMIFS(BASE!$R$2:$R$176,BASE!$M$2:$M$176,OVT!A12)</f>
        <v>0</v>
      </c>
      <c r="D12" s="152"/>
      <c r="R12" s="99" t="str">
        <v>70000070</v>
      </c>
      <c r="S12" s="93" t="str">
        <f>VLOOKUP(R12,BASE!$A:$R,2,FALSE)</f>
        <v>Eder Bitutu</v>
      </c>
      <c r="T12" s="196">
        <f>VLOOKUP(R12,BASE!$A:$R,17,FALSE)</f>
        <v>6</v>
      </c>
      <c r="U12" s="196">
        <f>VLOOKUP(R12,BASE!$A:$R,18,FALSE)</f>
        <v>25.838652512998266</v>
      </c>
      <c r="V12" s="196">
        <f>VLOOKUP(R12,BASE!$A:$R,15,FALSE)</f>
        <v>28.750000000000998</v>
      </c>
      <c r="W12" s="197" t="str">
        <f>VLOOKUP(R12,BASE!$A:$M,13,FALSE)</f>
        <v>Production</v>
      </c>
    </row>
    <row r="13" spans="1:23" x14ac:dyDescent="0.35">
      <c r="A13" s="99" t="str">
        <v>SHE</v>
      </c>
      <c r="B13" s="190">
        <f>SUMIFS(BASE!$Q$2:$Q$176,BASE!$M$2:$M$176,OVT!A13)</f>
        <v>0</v>
      </c>
      <c r="C13" s="191">
        <f>SUMIFS(BASE!$R$2:$R$176,BASE!$M$2:$M$176,OVT!A13)</f>
        <v>0</v>
      </c>
      <c r="D13" s="152"/>
      <c r="R13" s="99" t="str">
        <v>70000026</v>
      </c>
      <c r="S13" s="93" t="str">
        <f>VLOOKUP(R13,BASE!$A:$R,2,FALSE)</f>
        <v>Kabangu Mutambayi</v>
      </c>
      <c r="T13" s="196">
        <f>VLOOKUP(R13,BASE!$A:$R,17,FALSE)</f>
        <v>15.709999999999999</v>
      </c>
      <c r="U13" s="196">
        <f>VLOOKUP(R13,BASE!$A:$R,18,FALSE)</f>
        <v>309.13287261698434</v>
      </c>
      <c r="V13" s="196">
        <f>VLOOKUP(R13,BASE!$A:$R,15,FALSE)</f>
        <v>28.669999999992999</v>
      </c>
      <c r="W13" s="197" t="str">
        <f>VLOOKUP(R13,BASE!$A:$M,13,FALSE)</f>
        <v>Production</v>
      </c>
    </row>
    <row r="14" spans="1:23" x14ac:dyDescent="0.35">
      <c r="A14" s="99" t="str">
        <v>Logistic</v>
      </c>
      <c r="B14" s="190">
        <f>SUMIFS(BASE!$Q$2:$Q$176,BASE!$M$2:$M$176,OVT!A14)</f>
        <v>65.569999999999993</v>
      </c>
      <c r="C14" s="191">
        <f>SUMIFS(BASE!$R$2:$R$176,BASE!$M$2:$M$176,OVT!A14)</f>
        <v>716.59825389948014</v>
      </c>
      <c r="D14" s="152"/>
      <c r="R14" s="99" t="str">
        <v>70000063</v>
      </c>
      <c r="S14" s="93" t="str">
        <f>VLOOKUP(R14,BASE!$A:$R,2,FALSE)</f>
        <v>Jisca Muanda</v>
      </c>
      <c r="T14" s="196">
        <f>VLOOKUP(R14,BASE!$A:$R,17,FALSE)</f>
        <v>41.34</v>
      </c>
      <c r="U14" s="196">
        <f>VLOOKUP(R14,BASE!$A:$R,18,FALSE)</f>
        <v>616.99774696707095</v>
      </c>
      <c r="V14" s="196">
        <f>VLOOKUP(R14,BASE!$A:$R,15,FALSE)</f>
        <v>16.996666666663</v>
      </c>
      <c r="W14" s="197" t="str">
        <f>VLOOKUP(R14,BASE!$A:$M,13,FALSE)</f>
        <v>Production</v>
      </c>
    </row>
    <row r="15" spans="1:23" x14ac:dyDescent="0.35">
      <c r="A15" s="99" t="str">
        <v>Transport and Transit</v>
      </c>
      <c r="B15" s="190">
        <f>SUMIFS(BASE!$Q$2:$Q$176,BASE!$M$2:$M$176,OVT!A15)</f>
        <v>0</v>
      </c>
      <c r="C15" s="191">
        <f>SUMIFS(BASE!$R$2:$R$176,BASE!$M$2:$M$176,OVT!A15)</f>
        <v>0</v>
      </c>
      <c r="D15" s="152"/>
      <c r="R15" s="99" t="str">
        <v>70000064</v>
      </c>
      <c r="S15" s="93" t="str">
        <f>VLOOKUP(R15,BASE!$A:$R,2,FALSE)</f>
        <v>Ramses Kalunga</v>
      </c>
      <c r="T15" s="196">
        <f>VLOOKUP(R15,BASE!$A:$R,17,FALSE)</f>
        <v>6.11</v>
      </c>
      <c r="U15" s="196">
        <f>VLOOKUP(R15,BASE!$A:$R,18,FALSE)</f>
        <v>84.021902079722693</v>
      </c>
      <c r="V15" s="196">
        <f>VLOOKUP(R15,BASE!$A:$R,15,FALSE)</f>
        <v>0.99666666666299997</v>
      </c>
      <c r="W15" s="197" t="str">
        <f>VLOOKUP(R15,BASE!$A:$M,13,FALSE)</f>
        <v>Production</v>
      </c>
    </row>
    <row r="16" spans="1:23" x14ac:dyDescent="0.35">
      <c r="A16" s="99" t="str">
        <v>Legal</v>
      </c>
      <c r="B16" s="190">
        <f>SUMIFS(BASE!$Q$2:$Q$176,BASE!$M$2:$M$176,OVT!A16)</f>
        <v>0</v>
      </c>
      <c r="C16" s="191">
        <f>SUMIFS(BASE!$R$2:$R$176,BASE!$M$2:$M$176,OVT!A16)</f>
        <v>0</v>
      </c>
      <c r="D16" s="152"/>
      <c r="R16" s="99" t="str">
        <v>70000242</v>
      </c>
      <c r="S16" s="93" t="str">
        <f>VLOOKUP(R16,BASE!$A:$R,2,FALSE)</f>
        <v>Willy Tshilolo</v>
      </c>
      <c r="T16" s="196">
        <f>VLOOKUP(R16,BASE!$A:$R,17,FALSE)</f>
        <v>47.04</v>
      </c>
      <c r="U16" s="196">
        <f>VLOOKUP(R16,BASE!$A:$R,18,FALSE)</f>
        <v>334.17882149046795</v>
      </c>
      <c r="V16" s="196">
        <f>VLOOKUP(R16,BASE!$A:$R,15,FALSE)</f>
        <v>22.666666666659999</v>
      </c>
      <c r="W16" s="197" t="str">
        <f>VLOOKUP(R16,BASE!$A:$M,13,FALSE)</f>
        <v>Production</v>
      </c>
    </row>
    <row r="17" spans="1:23" x14ac:dyDescent="0.35">
      <c r="A17" s="99" t="str">
        <v>Audit</v>
      </c>
      <c r="B17" s="190">
        <f>SUMIFS(BASE!$Q$2:$Q$176,BASE!$M$2:$M$176,OVT!A17)</f>
        <v>0</v>
      </c>
      <c r="C17" s="191">
        <f>SUMIFS(BASE!$R$2:$R$176,BASE!$M$2:$M$176,OVT!A17)</f>
        <v>0</v>
      </c>
      <c r="D17" s="152"/>
      <c r="R17" s="99" t="str">
        <v>70000243</v>
      </c>
      <c r="S17" s="93" t="str">
        <f>VLOOKUP(R17,BASE!$A:$R,2,FALSE)</f>
        <v>Christian Mukonkole</v>
      </c>
      <c r="T17" s="196">
        <f>VLOOKUP(R17,BASE!$A:$R,17,FALSE)</f>
        <v>40.75</v>
      </c>
      <c r="U17" s="196">
        <f>VLOOKUP(R17,BASE!$A:$R,18,FALSE)</f>
        <v>292.84454939341418</v>
      </c>
      <c r="V17" s="196">
        <f>VLOOKUP(R17,BASE!$A:$R,15,FALSE)</f>
        <v>7.6666666666600003</v>
      </c>
      <c r="W17" s="197" t="str">
        <f>VLOOKUP(R17,BASE!$A:$M,13,FALSE)</f>
        <v>Production</v>
      </c>
    </row>
    <row r="18" spans="1:23" x14ac:dyDescent="0.35">
      <c r="A18" s="99" t="str">
        <v>Supply Chain</v>
      </c>
      <c r="B18" s="190">
        <f>SUMIFS(BASE!$Q$2:$Q$176,BASE!$M$2:$M$176,OVT!A18)</f>
        <v>0</v>
      </c>
      <c r="C18" s="191">
        <f>SUMIFS(BASE!$R$2:$R$176,BASE!$M$2:$M$176,OVT!A18)</f>
        <v>0</v>
      </c>
      <c r="D18" s="152"/>
      <c r="R18" s="99" t="str">
        <v>70000244</v>
      </c>
      <c r="S18" s="93" t="str">
        <f>VLOOKUP(R18,BASE!$A:$R,2,FALSE)</f>
        <v>Leon Badibanga</v>
      </c>
      <c r="T18" s="196">
        <f>VLOOKUP(R18,BASE!$A:$R,17,FALSE)</f>
        <v>3.07</v>
      </c>
      <c r="U18" s="196">
        <f>VLOOKUP(R18,BASE!$A:$R,18,FALSE)</f>
        <v>24.513656845753896</v>
      </c>
      <c r="V18" s="196">
        <f>VLOOKUP(R18,BASE!$A:$R,15,FALSE)</f>
        <v>22.666666666659999</v>
      </c>
      <c r="W18" s="197" t="str">
        <f>VLOOKUP(R18,BASE!$A:$M,13,FALSE)</f>
        <v>Production</v>
      </c>
    </row>
    <row r="19" spans="1:23" x14ac:dyDescent="0.35">
      <c r="A19" s="99" t="str">
        <v>Sales and Marketing</v>
      </c>
      <c r="B19" s="190">
        <f>SUMIFS(BASE!$Q$2:$Q$176,BASE!$M$2:$M$176,OVT!A19)</f>
        <v>0</v>
      </c>
      <c r="C19" s="191">
        <f>SUMIFS(BASE!$R$2:$R$176,BASE!$M$2:$M$176,OVT!A19)</f>
        <v>0</v>
      </c>
      <c r="D19" s="152"/>
      <c r="R19" s="99" t="str">
        <v>70000264</v>
      </c>
      <c r="S19" s="93" t="str">
        <f>VLOOKUP(R19,BASE!$A:$R,2,FALSE)</f>
        <v>Yannick Kamunga</v>
      </c>
      <c r="T19" s="196">
        <f>VLOOKUP(R19,BASE!$A:$R,17,FALSE)</f>
        <v>42.51</v>
      </c>
      <c r="U19" s="196">
        <f>VLOOKUP(R19,BASE!$A:$R,18,FALSE)</f>
        <v>287.86904246100522</v>
      </c>
      <c r="V19" s="196">
        <f>VLOOKUP(R19,BASE!$A:$R,15,FALSE)</f>
        <v>18.166666666657001</v>
      </c>
      <c r="W19" s="197" t="str">
        <f>VLOOKUP(R19,BASE!$A:$M,13,FALSE)</f>
        <v>Production</v>
      </c>
    </row>
    <row r="20" spans="1:23" x14ac:dyDescent="0.35">
      <c r="R20" s="99" t="str">
        <v>70000057</v>
      </c>
      <c r="S20" s="93" t="str">
        <f>VLOOKUP(R20,BASE!$A:$R,2,FALSE)</f>
        <v>Olivier Lutonadio</v>
      </c>
      <c r="T20" s="196">
        <f>VLOOKUP(R20,BASE!$A:$R,17,FALSE)</f>
        <v>18</v>
      </c>
      <c r="U20" s="196">
        <f>VLOOKUP(R20,BASE!$A:$R,18,FALSE)</f>
        <v>188.72856152513</v>
      </c>
      <c r="V20" s="196">
        <f>VLOOKUP(R20,BASE!$A:$R,15,FALSE)</f>
        <v>8.9166666666629997</v>
      </c>
      <c r="W20" s="197" t="str">
        <f>VLOOKUP(R20,BASE!$A:$M,13,FALSE)</f>
        <v>Production</v>
      </c>
    </row>
    <row r="21" spans="1:23" x14ac:dyDescent="0.35">
      <c r="A21" s="189" t="s">
        <v>764</v>
      </c>
      <c r="B21" s="184" t="s">
        <v>709</v>
      </c>
      <c r="C21" s="184" t="s">
        <v>698</v>
      </c>
      <c r="D21" s="184" t="s">
        <v>699</v>
      </c>
      <c r="E21" s="184" t="s">
        <v>700</v>
      </c>
      <c r="F21" s="184" t="s">
        <v>765</v>
      </c>
      <c r="G21" s="184" t="s">
        <v>702</v>
      </c>
      <c r="H21" s="184" t="s">
        <v>766</v>
      </c>
      <c r="I21" s="184" t="s">
        <v>704</v>
      </c>
      <c r="J21" s="184" t="s">
        <v>705</v>
      </c>
      <c r="K21" s="184" t="s">
        <v>706</v>
      </c>
      <c r="L21" s="184" t="s">
        <v>707</v>
      </c>
      <c r="M21" s="184" t="s">
        <v>708</v>
      </c>
      <c r="N21" s="184" t="s">
        <v>709</v>
      </c>
      <c r="O21" s="184" t="s">
        <v>566</v>
      </c>
      <c r="P21" s="184" t="s">
        <v>563</v>
      </c>
      <c r="R21" s="99" t="str">
        <v>70000059</v>
      </c>
      <c r="S21" s="93" t="str">
        <f>VLOOKUP(R21,BASE!$A:$R,2,FALSE)</f>
        <v>Rodrigue Luzolawo</v>
      </c>
      <c r="T21" s="196">
        <f>VLOOKUP(R21,BASE!$A:$R,17,FALSE)</f>
        <v>22</v>
      </c>
      <c r="U21" s="196">
        <f>VLOOKUP(R21,BASE!$A:$R,18,FALSE)</f>
        <v>240.20082755632583</v>
      </c>
      <c r="V21" s="196">
        <f>VLOOKUP(R21,BASE!$A:$R,15,FALSE)</f>
        <v>2.9966666666630002</v>
      </c>
      <c r="W21" s="197" t="str">
        <f>VLOOKUP(R21,BASE!$A:$M,13,FALSE)</f>
        <v>Production</v>
      </c>
    </row>
    <row r="22" spans="1:23" x14ac:dyDescent="0.35">
      <c r="A22" s="147" t="s">
        <v>767</v>
      </c>
      <c r="B22" s="80">
        <v>0</v>
      </c>
      <c r="C22" s="146">
        <v>0</v>
      </c>
      <c r="D22" s="146">
        <v>16</v>
      </c>
      <c r="E22" s="80">
        <v>0</v>
      </c>
      <c r="F22" s="81">
        <f>IFERROR(VLOOKUP(A22,$A$3:$C$19,2,FALSE),0)</f>
        <v>0</v>
      </c>
      <c r="G22" s="80"/>
      <c r="H22" s="80"/>
      <c r="I22" s="80"/>
      <c r="J22" s="80"/>
      <c r="K22" s="80"/>
      <c r="L22" s="80"/>
      <c r="M22" s="80"/>
      <c r="N22" s="80"/>
      <c r="O22" s="148">
        <f>P22/$P$29</f>
        <v>3.9209535759096616E-3</v>
      </c>
      <c r="P22" s="101">
        <f>SUM(C22:N22)</f>
        <v>16</v>
      </c>
      <c r="R22" s="99" t="str">
        <v>70000061</v>
      </c>
      <c r="S22" s="93" t="str">
        <f>VLOOKUP(R22,BASE!$A:$R,2,FALSE)</f>
        <v>Joel Nzuzi</v>
      </c>
      <c r="T22" s="196">
        <f>VLOOKUP(R22,BASE!$A:$R,17,FALSE)</f>
        <v>22</v>
      </c>
      <c r="U22" s="196">
        <f>VLOOKUP(R22,BASE!$A:$R,18,FALSE)</f>
        <v>253.08917244367416</v>
      </c>
      <c r="V22" s="196">
        <f>VLOOKUP(R22,BASE!$A:$R,15,FALSE)</f>
        <v>22.996666666663</v>
      </c>
      <c r="W22" s="197" t="str">
        <f>VLOOKUP(R22,BASE!$A:$M,13,FALSE)</f>
        <v>Production</v>
      </c>
    </row>
    <row r="23" spans="1:23" x14ac:dyDescent="0.35">
      <c r="A23" s="147" t="s">
        <v>45</v>
      </c>
      <c r="B23" s="80">
        <v>356.33999999999992</v>
      </c>
      <c r="C23" s="146">
        <v>356.34</v>
      </c>
      <c r="D23" s="146">
        <v>538.73000000000013</v>
      </c>
      <c r="E23" s="80">
        <v>784.17999999999984</v>
      </c>
      <c r="F23" s="81">
        <f t="shared" ref="F23:F28" si="0">IFERROR(VLOOKUP(A23,$A$3:$C$19,2,FALSE),0)</f>
        <v>639.18999999999994</v>
      </c>
      <c r="G23" s="80"/>
      <c r="H23" s="80"/>
      <c r="I23" s="80"/>
      <c r="J23" s="80"/>
      <c r="K23" s="80"/>
      <c r="L23" s="80"/>
      <c r="M23" s="80"/>
      <c r="N23" s="80"/>
      <c r="O23" s="148">
        <f t="shared" ref="O23:O28" si="1">P23/$P$29</f>
        <v>0.56815597553324981</v>
      </c>
      <c r="P23" s="101">
        <f t="shared" ref="P23:P28" si="2">SUM(C23:N23)</f>
        <v>2318.44</v>
      </c>
      <c r="R23" s="99" t="str">
        <v>70000214</v>
      </c>
      <c r="S23" s="93" t="str">
        <f>VLOOKUP(R23,BASE!$A:$R,2,FALSE)</f>
        <v>Joel Matoko</v>
      </c>
      <c r="T23" s="196">
        <f>VLOOKUP(R23,BASE!$A:$R,17,FALSE)</f>
        <v>8</v>
      </c>
      <c r="U23" s="196">
        <f>VLOOKUP(R23,BASE!$A:$R,18,FALSE)</f>
        <v>49.563349220103987</v>
      </c>
      <c r="V23" s="196">
        <f>VLOOKUP(R23,BASE!$A:$R,15,FALSE)</f>
        <v>16.340000000002998</v>
      </c>
      <c r="W23" s="197" t="str">
        <f>VLOOKUP(R23,BASE!$A:$M,13,FALSE)</f>
        <v>Production</v>
      </c>
    </row>
    <row r="24" spans="1:23" x14ac:dyDescent="0.35">
      <c r="A24" s="147" t="s">
        <v>102</v>
      </c>
      <c r="B24" s="80">
        <v>0</v>
      </c>
      <c r="C24" s="146">
        <v>64</v>
      </c>
      <c r="D24" s="146">
        <v>52.3</v>
      </c>
      <c r="E24" s="80">
        <v>60</v>
      </c>
      <c r="F24" s="81">
        <f t="shared" si="0"/>
        <v>57.3</v>
      </c>
      <c r="G24" s="80"/>
      <c r="H24" s="80"/>
      <c r="I24" s="80"/>
      <c r="J24" s="80"/>
      <c r="K24" s="80"/>
      <c r="L24" s="80"/>
      <c r="M24" s="80"/>
      <c r="N24" s="80"/>
      <c r="O24" s="148">
        <f t="shared" si="1"/>
        <v>5.7245922208281071E-2</v>
      </c>
      <c r="P24" s="101">
        <f t="shared" si="2"/>
        <v>233.60000000000002</v>
      </c>
      <c r="R24" s="99" t="str">
        <v>70000029</v>
      </c>
      <c r="S24" s="93" t="str">
        <f>VLOOKUP(R24,BASE!$A:$R,2,FALSE)</f>
        <v>Maphasi Vangu</v>
      </c>
      <c r="T24" s="196">
        <f>VLOOKUP(R24,BASE!$A:$R,17,FALSE)</f>
        <v>14.74</v>
      </c>
      <c r="U24" s="196">
        <f>VLOOKUP(R24,BASE!$A:$R,18,FALSE)</f>
        <v>352.06015597920276</v>
      </c>
      <c r="V24" s="196">
        <f>VLOOKUP(R24,BASE!$A:$R,15,FALSE)</f>
        <v>20.669999999992999</v>
      </c>
      <c r="W24" s="197" t="str">
        <f>VLOOKUP(R24,BASE!$A:$M,13,FALSE)</f>
        <v>Production</v>
      </c>
    </row>
    <row r="25" spans="1:23" x14ac:dyDescent="0.35">
      <c r="A25" s="147" t="s">
        <v>84</v>
      </c>
      <c r="B25" s="80">
        <v>0</v>
      </c>
      <c r="C25" s="146">
        <v>0</v>
      </c>
      <c r="D25" s="146">
        <v>6.3</v>
      </c>
      <c r="E25" s="80">
        <v>0</v>
      </c>
      <c r="F25" s="81">
        <f t="shared" si="0"/>
        <v>0</v>
      </c>
      <c r="G25" s="80"/>
      <c r="H25" s="80"/>
      <c r="I25" s="80"/>
      <c r="J25" s="80"/>
      <c r="K25" s="80"/>
      <c r="L25" s="80"/>
      <c r="M25" s="80"/>
      <c r="N25" s="80"/>
      <c r="O25" s="148">
        <f t="shared" si="1"/>
        <v>1.5438754705144294E-3</v>
      </c>
      <c r="P25" s="101">
        <f t="shared" si="2"/>
        <v>6.3</v>
      </c>
      <c r="R25" s="99" t="str">
        <v>70000056</v>
      </c>
      <c r="S25" s="93" t="str">
        <f>VLOOKUP(R25,BASE!$A:$R,2,FALSE)</f>
        <v>Gaylor Nsakala</v>
      </c>
      <c r="T25" s="196">
        <f>VLOOKUP(R25,BASE!$A:$R,17,FALSE)</f>
        <v>8.39</v>
      </c>
      <c r="U25" s="196">
        <f>VLOOKUP(R25,BASE!$A:$R,18,FALSE)</f>
        <v>48.529696707105714</v>
      </c>
      <c r="V25" s="196">
        <f>VLOOKUP(R25,BASE!$A:$R,15,FALSE)</f>
        <v>10.329999999994</v>
      </c>
      <c r="W25" s="197" t="str">
        <f>VLOOKUP(R25,BASE!$A:$M,13,FALSE)</f>
        <v>Production</v>
      </c>
    </row>
    <row r="26" spans="1:23" x14ac:dyDescent="0.35">
      <c r="A26" s="147" t="s">
        <v>24</v>
      </c>
      <c r="B26" s="80">
        <v>53.06</v>
      </c>
      <c r="C26" s="146">
        <v>53.06</v>
      </c>
      <c r="D26" s="146">
        <v>241.41000000000003</v>
      </c>
      <c r="E26" s="80">
        <v>163.52000000000001</v>
      </c>
      <c r="F26" s="81">
        <f t="shared" si="0"/>
        <v>378.92</v>
      </c>
      <c r="G26" s="80"/>
      <c r="H26" s="80"/>
      <c r="I26" s="80"/>
      <c r="J26" s="80"/>
      <c r="K26" s="80"/>
      <c r="L26" s="80"/>
      <c r="M26" s="80"/>
      <c r="N26" s="80"/>
      <c r="O26" s="148">
        <f t="shared" si="1"/>
        <v>0.20509282857590971</v>
      </c>
      <c r="P26" s="101">
        <f t="shared" si="2"/>
        <v>836.91000000000008</v>
      </c>
      <c r="R26" s="99" t="str">
        <v>70000096</v>
      </c>
      <c r="S26" s="93" t="str">
        <f>VLOOKUP(R26,BASE!$A:$R,2,FALSE)</f>
        <v>Osee Lukuayi</v>
      </c>
      <c r="T26" s="196">
        <f>VLOOKUP(R26,BASE!$A:$R,17,FALSE)</f>
        <v>8.06</v>
      </c>
      <c r="U26" s="196">
        <f>VLOOKUP(R26,BASE!$A:$R,18,FALSE)</f>
        <v>32.483349220103989</v>
      </c>
      <c r="V26" s="196">
        <f>VLOOKUP(R26,BASE!$A:$R,15,FALSE)</f>
        <v>3.0033333333260002</v>
      </c>
      <c r="W26" s="197" t="str">
        <f>VLOOKUP(R26,BASE!$A:$M,13,FALSE)</f>
        <v>Production</v>
      </c>
    </row>
    <row r="27" spans="1:23" x14ac:dyDescent="0.35">
      <c r="A27" s="147" t="s">
        <v>254</v>
      </c>
      <c r="B27" s="80">
        <v>57.989999999999995</v>
      </c>
      <c r="C27" s="80">
        <v>57.989999999999995</v>
      </c>
      <c r="D27" s="146">
        <v>128.91</v>
      </c>
      <c r="E27" s="80">
        <v>82.24</v>
      </c>
      <c r="F27" s="81">
        <f t="shared" si="0"/>
        <v>65.569999999999993</v>
      </c>
      <c r="G27" s="80"/>
      <c r="H27" s="80"/>
      <c r="I27" s="80"/>
      <c r="J27" s="80"/>
      <c r="K27" s="80"/>
      <c r="L27" s="80"/>
      <c r="M27" s="80"/>
      <c r="N27" s="80"/>
      <c r="O27" s="148">
        <f t="shared" si="1"/>
        <v>8.2023898212045171E-2</v>
      </c>
      <c r="P27" s="101">
        <f t="shared" si="2"/>
        <v>334.71</v>
      </c>
      <c r="R27" s="99" t="str">
        <v>70000211</v>
      </c>
      <c r="S27" s="93" t="str">
        <f>VLOOKUP(R27,BASE!$A:$R,2,FALSE)</f>
        <v>Joel Toko</v>
      </c>
      <c r="T27" s="196">
        <f>VLOOKUP(R27,BASE!$A:$R,17,FALSE)</f>
        <v>7.09</v>
      </c>
      <c r="U27" s="196">
        <f>VLOOKUP(R27,BASE!$A:$R,18,FALSE)</f>
        <v>52.91048960138648</v>
      </c>
      <c r="V27" s="196">
        <f>VLOOKUP(R27,BASE!$A:$R,15,FALSE)</f>
        <v>25.493333333340001</v>
      </c>
      <c r="W27" s="197" t="str">
        <f>VLOOKUP(R27,BASE!$A:$M,13,FALSE)</f>
        <v>Production</v>
      </c>
    </row>
    <row r="28" spans="1:23" x14ac:dyDescent="0.35">
      <c r="A28" s="147" t="s">
        <v>115</v>
      </c>
      <c r="B28" s="80">
        <v>68.58</v>
      </c>
      <c r="C28" s="80">
        <v>68.58</v>
      </c>
      <c r="D28" s="146">
        <v>53.97</v>
      </c>
      <c r="E28" s="80">
        <v>101.13</v>
      </c>
      <c r="F28" s="81">
        <f t="shared" si="0"/>
        <v>111</v>
      </c>
      <c r="G28" s="80"/>
      <c r="H28" s="80"/>
      <c r="I28" s="80"/>
      <c r="J28" s="80"/>
      <c r="K28" s="80"/>
      <c r="L28" s="80"/>
      <c r="M28" s="80"/>
      <c r="N28" s="80"/>
      <c r="O28" s="148">
        <f t="shared" si="1"/>
        <v>8.2016546424090356E-2</v>
      </c>
      <c r="P28" s="101">
        <f t="shared" si="2"/>
        <v>334.68</v>
      </c>
      <c r="R28" s="99" t="str">
        <v>70000212</v>
      </c>
      <c r="S28" s="93" t="str">
        <f>VLOOKUP(R28,BASE!$A:$R,2,FALSE)</f>
        <v>Albert Vangu</v>
      </c>
      <c r="T28" s="196">
        <f>VLOOKUP(R28,BASE!$A:$R,17,FALSE)</f>
        <v>27.43</v>
      </c>
      <c r="U28" s="196">
        <f>VLOOKUP(R28,BASE!$A:$R,18,FALSE)</f>
        <v>99.566603119584059</v>
      </c>
      <c r="V28" s="196">
        <f>VLOOKUP(R28,BASE!$A:$R,15,FALSE)</f>
        <v>18.666666666672</v>
      </c>
      <c r="W28" s="197" t="str">
        <f>VLOOKUP(R28,BASE!$A:$M,13,FALSE)</f>
        <v>Production</v>
      </c>
    </row>
    <row r="29" spans="1:23" x14ac:dyDescent="0.35">
      <c r="A29" s="149"/>
      <c r="B29" s="150">
        <f>SUM(B22:B28)</f>
        <v>535.96999999999991</v>
      </c>
      <c r="C29" s="150">
        <f>SUM(C22:C28)</f>
        <v>599.97</v>
      </c>
      <c r="D29" s="150">
        <f>SUM(D22:D28)</f>
        <v>1037.6199999999999</v>
      </c>
      <c r="E29" s="150">
        <f>SUM(E22:E28)</f>
        <v>1191.0699999999997</v>
      </c>
      <c r="F29" s="150">
        <f>SUM(F22:F28)</f>
        <v>1251.9799999999998</v>
      </c>
      <c r="G29" s="150">
        <f>SUM(G22:G28)</f>
        <v>0</v>
      </c>
      <c r="H29" s="150">
        <f>SUM(H22:H28)</f>
        <v>0</v>
      </c>
      <c r="I29" s="150">
        <f>SUM(I22:I28)</f>
        <v>0</v>
      </c>
      <c r="J29" s="150">
        <f>SUM(J22:J28)</f>
        <v>0</v>
      </c>
      <c r="K29" s="150">
        <f>SUM(K22:K28)</f>
        <v>0</v>
      </c>
      <c r="L29" s="150">
        <f>SUM(L22:L28)</f>
        <v>0</v>
      </c>
      <c r="M29" s="150">
        <f>SUM(M22:M28)</f>
        <v>0</v>
      </c>
      <c r="N29" s="150">
        <f>SUM(N22:N28)</f>
        <v>0</v>
      </c>
      <c r="O29" s="117"/>
      <c r="P29" s="112">
        <f>SUM(C29:N29)</f>
        <v>4080.6399999999994</v>
      </c>
      <c r="R29" s="99" t="str">
        <v>70000226</v>
      </c>
      <c r="S29" s="93" t="str">
        <f>VLOOKUP(R29,BASE!$A:$R,2,FALSE)</f>
        <v>Alidor Kankonde</v>
      </c>
      <c r="T29" s="196">
        <f>VLOOKUP(R29,BASE!$A:$R,17,FALSE)</f>
        <v>34.93</v>
      </c>
      <c r="U29" s="196">
        <f>VLOOKUP(R29,BASE!$A:$R,18,FALSE)</f>
        <v>154.52986568457538</v>
      </c>
      <c r="V29" s="196">
        <f>VLOOKUP(R29,BASE!$A:$R,15,FALSE)</f>
        <v>16.000000000008001</v>
      </c>
      <c r="W29" s="197" t="str">
        <f>VLOOKUP(R29,BASE!$A:$M,13,FALSE)</f>
        <v>Production</v>
      </c>
    </row>
    <row r="30" spans="1:23" x14ac:dyDescent="0.35">
      <c r="R30" s="99" t="str">
        <v>70000052</v>
      </c>
      <c r="S30" s="93" t="str">
        <f>VLOOKUP(R30,BASE!$A:$R,2,FALSE)</f>
        <v>Simon Bayisa</v>
      </c>
      <c r="T30" s="196">
        <f>VLOOKUP(R30,BASE!$A:$R,17,FALSE)</f>
        <v>38.489999999999995</v>
      </c>
      <c r="U30" s="196">
        <f>VLOOKUP(R30,BASE!$A:$R,18,FALSE)</f>
        <v>396.10707972270359</v>
      </c>
      <c r="V30" s="196">
        <f>VLOOKUP(R30,BASE!$A:$R,15,FALSE)</f>
        <v>7.3333333333289996</v>
      </c>
      <c r="W30" s="197" t="str">
        <f>VLOOKUP(R30,BASE!$A:$M,13,FALSE)</f>
        <v>Engineering</v>
      </c>
    </row>
    <row r="31" spans="1:23" x14ac:dyDescent="0.35">
      <c r="A31" s="188" t="s">
        <v>768</v>
      </c>
      <c r="B31" s="186" t="s">
        <v>709</v>
      </c>
      <c r="C31" s="186" t="s">
        <v>698</v>
      </c>
      <c r="D31" s="186" t="s">
        <v>699</v>
      </c>
      <c r="E31" s="186" t="s">
        <v>700</v>
      </c>
      <c r="F31" s="186" t="s">
        <v>765</v>
      </c>
      <c r="G31" s="186" t="s">
        <v>702</v>
      </c>
      <c r="H31" s="186" t="s">
        <v>766</v>
      </c>
      <c r="I31" s="186" t="s">
        <v>704</v>
      </c>
      <c r="J31" s="186" t="s">
        <v>705</v>
      </c>
      <c r="K31" s="186" t="s">
        <v>706</v>
      </c>
      <c r="L31" s="186" t="s">
        <v>707</v>
      </c>
      <c r="M31" s="186" t="s">
        <v>708</v>
      </c>
      <c r="N31" s="186" t="s">
        <v>709</v>
      </c>
      <c r="O31" s="186" t="s">
        <v>566</v>
      </c>
      <c r="P31" s="186" t="s">
        <v>563</v>
      </c>
      <c r="R31" s="99" t="str">
        <v>70000079</v>
      </c>
      <c r="S31" s="93" t="str">
        <f>VLOOKUP(R31,BASE!$A:$R,2,FALSE)</f>
        <v>Dinandi Mvumbi</v>
      </c>
      <c r="T31" s="196">
        <f>VLOOKUP(R31,BASE!$A:$R,17,FALSE)</f>
        <v>26.91</v>
      </c>
      <c r="U31" s="196">
        <f>VLOOKUP(R31,BASE!$A:$R,18,FALSE)</f>
        <v>325.50293760831892</v>
      </c>
      <c r="V31" s="196">
        <f>VLOOKUP(R31,BASE!$A:$R,15,FALSE)</f>
        <v>20.08333333333</v>
      </c>
      <c r="W31" s="197" t="str">
        <f>VLOOKUP(R31,BASE!$A:$M,13,FALSE)</f>
        <v>Engineering</v>
      </c>
    </row>
    <row r="32" spans="1:23" x14ac:dyDescent="0.35">
      <c r="A32" s="147" t="s">
        <v>767</v>
      </c>
      <c r="B32" s="146">
        <v>0</v>
      </c>
      <c r="C32" s="146">
        <v>0</v>
      </c>
      <c r="D32" s="146">
        <v>240.38846137105548</v>
      </c>
      <c r="E32" s="146">
        <v>0</v>
      </c>
      <c r="F32" s="146">
        <f>IFERROR(VLOOKUP(A32,$A$3:$C$19,3,FALSE),0)</f>
        <v>0</v>
      </c>
      <c r="G32" s="146"/>
      <c r="H32" s="146"/>
      <c r="I32" s="146"/>
      <c r="J32" s="146"/>
      <c r="K32" s="146"/>
      <c r="L32" s="146"/>
      <c r="M32" s="146"/>
      <c r="N32" s="146"/>
      <c r="O32" s="148">
        <f>P32/$P$39</f>
        <v>6.0270231218246583E-3</v>
      </c>
      <c r="P32" s="101">
        <f t="shared" ref="P32:P38" si="3">SUM(C32:N32)</f>
        <v>240.38846137105548</v>
      </c>
      <c r="R32" s="99" t="str">
        <v>70000088</v>
      </c>
      <c r="S32" s="93" t="str">
        <f>VLOOKUP(R32,BASE!$A:$R,2,FALSE)</f>
        <v>Ovie Tulomba</v>
      </c>
      <c r="T32" s="196">
        <f>VLOOKUP(R32,BASE!$A:$R,17,FALSE)</f>
        <v>29.43</v>
      </c>
      <c r="U32" s="196">
        <f>VLOOKUP(R32,BASE!$A:$R,18,FALSE)</f>
        <v>365.32908145580592</v>
      </c>
      <c r="V32" s="196">
        <f>VLOOKUP(R32,BASE!$A:$R,15,FALSE)</f>
        <v>-1.6666666666700001</v>
      </c>
      <c r="W32" s="197" t="str">
        <f>VLOOKUP(R32,BASE!$A:$M,13,FALSE)</f>
        <v>Engineering</v>
      </c>
    </row>
    <row r="33" spans="1:23" x14ac:dyDescent="0.35">
      <c r="A33" s="147" t="s">
        <v>45</v>
      </c>
      <c r="B33" s="146">
        <v>3832.8804422764219</v>
      </c>
      <c r="C33" s="146">
        <v>3807.7021408572041</v>
      </c>
      <c r="D33" s="146">
        <v>5326.2197257888984</v>
      </c>
      <c r="E33" s="146">
        <v>8020.6187319387536</v>
      </c>
      <c r="F33" s="146">
        <f t="shared" ref="F33:F38" si="4">IFERROR(VLOOKUP(A33,$A$3:$C$19,3,FALSE),0)</f>
        <v>6262.8716637781627</v>
      </c>
      <c r="G33" s="146"/>
      <c r="H33" s="146"/>
      <c r="I33" s="146"/>
      <c r="J33" s="146"/>
      <c r="K33" s="146"/>
      <c r="L33" s="146"/>
      <c r="M33" s="146"/>
      <c r="N33" s="146"/>
      <c r="O33" s="148">
        <f t="shared" ref="O33:O38" si="5">P33/$P$39</f>
        <v>0.58712171272109215</v>
      </c>
      <c r="P33" s="101">
        <f t="shared" si="3"/>
        <v>23417.412262363017</v>
      </c>
      <c r="R33" s="99" t="str">
        <v>70000104</v>
      </c>
      <c r="S33" s="93" t="str">
        <f>VLOOKUP(R33,BASE!$A:$R,2,FALSE)</f>
        <v>Dieu Ngoma</v>
      </c>
      <c r="T33" s="196">
        <f>VLOOKUP(R33,BASE!$A:$R,17,FALSE)</f>
        <v>78.89</v>
      </c>
      <c r="U33" s="196">
        <f>VLOOKUP(R33,BASE!$A:$R,18,FALSE)</f>
        <v>938.92510831889081</v>
      </c>
      <c r="V33" s="196">
        <f>VLOOKUP(R33,BASE!$A:$R,15,FALSE)</f>
        <v>26.169999999997</v>
      </c>
      <c r="W33" s="197" t="str">
        <f>VLOOKUP(R33,BASE!$A:$M,13,FALSE)</f>
        <v>Engineering</v>
      </c>
    </row>
    <row r="34" spans="1:23" x14ac:dyDescent="0.35">
      <c r="A34" s="147" t="s">
        <v>102</v>
      </c>
      <c r="B34" s="146">
        <v>0</v>
      </c>
      <c r="C34" s="146">
        <v>513.25301744561705</v>
      </c>
      <c r="D34" s="146">
        <v>402.22010446137108</v>
      </c>
      <c r="E34" s="146">
        <v>586.04396808281217</v>
      </c>
      <c r="F34" s="146">
        <f t="shared" si="4"/>
        <v>430.45051126516461</v>
      </c>
      <c r="G34" s="146"/>
      <c r="H34" s="146"/>
      <c r="I34" s="146"/>
      <c r="J34" s="146"/>
      <c r="K34" s="146"/>
      <c r="L34" s="146"/>
      <c r="M34" s="146"/>
      <c r="N34" s="146"/>
      <c r="O34" s="148">
        <f t="shared" si="5"/>
        <v>4.8438320778660379E-2</v>
      </c>
      <c r="P34" s="101">
        <f t="shared" si="3"/>
        <v>1931.9676012549648</v>
      </c>
      <c r="R34" s="99" t="str">
        <v>70000115</v>
      </c>
      <c r="S34" s="93" t="str">
        <f>VLOOKUP(R34,BASE!$A:$R,2,FALSE)</f>
        <v>Lundi Onosamba</v>
      </c>
      <c r="T34" s="196">
        <f>VLOOKUP(R34,BASE!$A:$R,17,FALSE)</f>
        <v>69.949999999999989</v>
      </c>
      <c r="U34" s="196">
        <f>VLOOKUP(R34,BASE!$A:$R,18,FALSE)</f>
        <v>743.89930675909886</v>
      </c>
      <c r="V34" s="196">
        <f>VLOOKUP(R34,BASE!$A:$R,15,FALSE)</f>
        <v>22.919999999998002</v>
      </c>
      <c r="W34" s="197" t="str">
        <f>VLOOKUP(R34,BASE!$A:$M,13,FALSE)</f>
        <v>Engineering</v>
      </c>
    </row>
    <row r="35" spans="1:23" x14ac:dyDescent="0.35">
      <c r="A35" s="147" t="s">
        <v>84</v>
      </c>
      <c r="B35" s="146">
        <v>0</v>
      </c>
      <c r="C35" s="146">
        <v>0</v>
      </c>
      <c r="D35" s="146">
        <v>45.854250272034818</v>
      </c>
      <c r="E35" s="146">
        <v>0</v>
      </c>
      <c r="F35" s="146">
        <f t="shared" si="4"/>
        <v>0</v>
      </c>
      <c r="G35" s="146"/>
      <c r="H35" s="146"/>
      <c r="I35" s="146"/>
      <c r="J35" s="146"/>
      <c r="K35" s="146"/>
      <c r="L35" s="146"/>
      <c r="M35" s="146"/>
      <c r="N35" s="146"/>
      <c r="O35" s="148">
        <f t="shared" si="5"/>
        <v>1.1496584530190964E-3</v>
      </c>
      <c r="P35" s="101">
        <f t="shared" si="3"/>
        <v>45.854250272034818</v>
      </c>
      <c r="R35" s="99" t="str">
        <v>70000116</v>
      </c>
      <c r="S35" s="93" t="str">
        <f>VLOOKUP(R35,BASE!$A:$R,2,FALSE)</f>
        <v>Antoine Nzungu</v>
      </c>
      <c r="T35" s="196">
        <f>VLOOKUP(R35,BASE!$A:$R,17,FALSE)</f>
        <v>69.789999999999992</v>
      </c>
      <c r="U35" s="196">
        <f>VLOOKUP(R35,BASE!$A:$R,18,FALSE)</f>
        <v>787.64099653379549</v>
      </c>
      <c r="V35" s="196">
        <f>VLOOKUP(R35,BASE!$A:$R,15,FALSE)</f>
        <v>20.919999999998002</v>
      </c>
      <c r="W35" s="197" t="str">
        <f>VLOOKUP(R35,BASE!$A:$M,13,FALSE)</f>
        <v>Engineering</v>
      </c>
    </row>
    <row r="36" spans="1:23" x14ac:dyDescent="0.35">
      <c r="A36" s="147" t="s">
        <v>24</v>
      </c>
      <c r="B36" s="146">
        <v>624.12694634146339</v>
      </c>
      <c r="C36" s="146">
        <v>620.02703855265997</v>
      </c>
      <c r="D36" s="146">
        <v>2296.8059499455926</v>
      </c>
      <c r="E36" s="146">
        <v>1749.3283804183741</v>
      </c>
      <c r="F36" s="146">
        <f t="shared" si="4"/>
        <v>3481.9247876949744</v>
      </c>
      <c r="G36" s="146"/>
      <c r="H36" s="146"/>
      <c r="I36" s="146"/>
      <c r="J36" s="146"/>
      <c r="K36" s="146"/>
      <c r="L36" s="146"/>
      <c r="M36" s="146"/>
      <c r="N36" s="146"/>
      <c r="O36" s="148">
        <f t="shared" si="5"/>
        <v>0.20428893876364143</v>
      </c>
      <c r="P36" s="101">
        <f>SUM(C36:N36)</f>
        <v>8148.0861566116018</v>
      </c>
      <c r="R36" s="99" t="str">
        <v>70000215</v>
      </c>
      <c r="S36" s="93" t="str">
        <f>VLOOKUP(R36,BASE!$A:$R,2,FALSE)</f>
        <v>Alphonse Bindama</v>
      </c>
      <c r="T36" s="196">
        <f>VLOOKUP(R36,BASE!$A:$R,17,FALSE)</f>
        <v>35.29</v>
      </c>
      <c r="U36" s="196">
        <f>VLOOKUP(R36,BASE!$A:$R,18,FALSE)</f>
        <v>515.48235268630845</v>
      </c>
      <c r="V36" s="196">
        <f>VLOOKUP(R36,BASE!$A:$R,15,FALSE)</f>
        <v>26.41666666667</v>
      </c>
      <c r="W36" s="197" t="str">
        <f>VLOOKUP(R36,BASE!$A:$M,13,FALSE)</f>
        <v>Engineering</v>
      </c>
    </row>
    <row r="37" spans="1:23" x14ac:dyDescent="0.35">
      <c r="A37" s="147" t="s">
        <v>254</v>
      </c>
      <c r="B37" s="146">
        <v>642.17357615176149</v>
      </c>
      <c r="C37" s="146">
        <v>637.95511953478353</v>
      </c>
      <c r="D37" s="146">
        <v>1084.9869597388465</v>
      </c>
      <c r="E37" s="146">
        <v>824.61975415139091</v>
      </c>
      <c r="F37" s="146">
        <f t="shared" si="4"/>
        <v>716.59825389948014</v>
      </c>
      <c r="G37" s="146"/>
      <c r="H37" s="146"/>
      <c r="I37" s="146"/>
      <c r="J37" s="146"/>
      <c r="K37" s="146"/>
      <c r="L37" s="146"/>
      <c r="M37" s="146"/>
      <c r="N37" s="146"/>
      <c r="O37" s="148">
        <f t="shared" si="5"/>
        <v>8.1839070841570591E-2</v>
      </c>
      <c r="P37" s="101">
        <f t="shared" si="3"/>
        <v>3264.1600873245015</v>
      </c>
      <c r="R37" s="99" t="str">
        <v>70000216</v>
      </c>
      <c r="S37" s="93" t="str">
        <f>VLOOKUP(R37,BASE!$A:$R,2,FALSE)</f>
        <v>Patience Mansiamina</v>
      </c>
      <c r="T37" s="196">
        <f>VLOOKUP(R37,BASE!$A:$R,17,FALSE)</f>
        <v>51.169999999999995</v>
      </c>
      <c r="U37" s="196">
        <f>VLOOKUP(R37,BASE!$A:$R,18,FALSE)</f>
        <v>608.58357452339692</v>
      </c>
      <c r="V37" s="196">
        <f>VLOOKUP(R37,BASE!$A:$R,15,FALSE)</f>
        <v>24.41666666667</v>
      </c>
      <c r="W37" s="197" t="str">
        <f>VLOOKUP(R37,BASE!$A:$M,13,FALSE)</f>
        <v>Engineering</v>
      </c>
    </row>
    <row r="38" spans="1:23" x14ac:dyDescent="0.35">
      <c r="A38" s="147" t="s">
        <v>115</v>
      </c>
      <c r="B38" s="146">
        <v>549.0453766937668</v>
      </c>
      <c r="C38" s="146">
        <v>545.43868188671115</v>
      </c>
      <c r="D38" s="146">
        <v>575.12230250272034</v>
      </c>
      <c r="E38" s="146">
        <v>774.62589605348273</v>
      </c>
      <c r="F38" s="146">
        <f t="shared" si="4"/>
        <v>942.05117850953195</v>
      </c>
      <c r="G38" s="146"/>
      <c r="H38" s="146"/>
      <c r="I38" s="146"/>
      <c r="J38" s="146"/>
      <c r="K38" s="146"/>
      <c r="L38" s="146"/>
      <c r="M38" s="146"/>
      <c r="N38" s="146"/>
      <c r="O38" s="148">
        <f t="shared" si="5"/>
        <v>7.1135275320191718E-2</v>
      </c>
      <c r="P38" s="101">
        <f t="shared" si="3"/>
        <v>2837.238058952446</v>
      </c>
      <c r="R38" s="99" t="str">
        <v>70000227</v>
      </c>
      <c r="S38" s="93" t="str">
        <f>VLOOKUP(R38,BASE!$A:$R,2,FALSE)</f>
        <v>Dieu-Merci Ntunga</v>
      </c>
      <c r="T38" s="196">
        <f>VLOOKUP(R38,BASE!$A:$R,17,FALSE)</f>
        <v>4.03</v>
      </c>
      <c r="U38" s="196">
        <f>VLOOKUP(R38,BASE!$A:$R,18,FALSE)</f>
        <v>36.981785095320625</v>
      </c>
      <c r="V38" s="196">
        <f>VLOOKUP(R38,BASE!$A:$R,15,FALSE)</f>
        <v>1.5033333333350001</v>
      </c>
      <c r="W38" s="197" t="str">
        <f>VLOOKUP(R38,BASE!$A:$M,13,FALSE)</f>
        <v>Engineering</v>
      </c>
    </row>
    <row r="39" spans="1:23" x14ac:dyDescent="0.35">
      <c r="A39" s="149"/>
      <c r="B39" s="151">
        <f>SUM(B32:B38)</f>
        <v>5648.2263414634135</v>
      </c>
      <c r="C39" s="151">
        <f t="shared" ref="C39:N39" si="6">SUM(C32:C38)</f>
        <v>6124.375998276977</v>
      </c>
      <c r="D39" s="151">
        <f t="shared" si="6"/>
        <v>9971.5977540805197</v>
      </c>
      <c r="E39" s="151">
        <v>11955.236730644814</v>
      </c>
      <c r="F39" s="151">
        <f t="shared" si="6"/>
        <v>11833.896395147312</v>
      </c>
      <c r="G39" s="151">
        <f t="shared" si="6"/>
        <v>0</v>
      </c>
      <c r="H39" s="151">
        <f t="shared" si="6"/>
        <v>0</v>
      </c>
      <c r="I39" s="151">
        <f t="shared" si="6"/>
        <v>0</v>
      </c>
      <c r="J39" s="151">
        <f t="shared" si="6"/>
        <v>0</v>
      </c>
      <c r="K39" s="151">
        <f t="shared" si="6"/>
        <v>0</v>
      </c>
      <c r="L39" s="151">
        <f t="shared" si="6"/>
        <v>0</v>
      </c>
      <c r="M39" s="151">
        <f>SUM(M32:M38)</f>
        <v>0</v>
      </c>
      <c r="N39" s="151">
        <f t="shared" si="6"/>
        <v>0</v>
      </c>
      <c r="O39" s="187"/>
      <c r="P39" s="102">
        <f>SUM(P32:P38)</f>
        <v>39885.106878149621</v>
      </c>
      <c r="R39" s="99" t="str">
        <v>70000283</v>
      </c>
      <c r="S39" s="93" t="str">
        <f>VLOOKUP(R39,BASE!$A:$R,2,FALSE)</f>
        <v>Declairck Nsilulu Ngimbi</v>
      </c>
      <c r="T39" s="196">
        <f>VLOOKUP(R39,BASE!$A:$R,17,FALSE)</f>
        <v>38.28</v>
      </c>
      <c r="U39" s="196">
        <f>VLOOKUP(R39,BASE!$A:$R,18,FALSE)</f>
        <v>133.68628682842288</v>
      </c>
      <c r="V39" s="196">
        <f>VLOOKUP(R39,BASE!$A:$R,15,FALSE)</f>
        <v>7.047619043339</v>
      </c>
      <c r="W39" s="197" t="str">
        <f>VLOOKUP(R39,BASE!$A:$M,13,FALSE)</f>
        <v>Engineering</v>
      </c>
    </row>
    <row r="40" spans="1:23" x14ac:dyDescent="0.35">
      <c r="R40" s="99" t="str">
        <v>70000284</v>
      </c>
      <c r="S40" s="93" t="str">
        <f>VLOOKUP(R40,BASE!$A:$R,2,FALSE)</f>
        <v>Oxano Muntanda</v>
      </c>
      <c r="T40" s="196">
        <f>VLOOKUP(R40,BASE!$A:$R,17,FALSE)</f>
        <v>9.42</v>
      </c>
      <c r="U40" s="196">
        <f>VLOOKUP(R40,BASE!$A:$R,18,FALSE)</f>
        <v>80.597907279029457</v>
      </c>
      <c r="V40" s="196">
        <f>VLOOKUP(R40,BASE!$A:$R,15,FALSE)</f>
        <v>10.952380956661001</v>
      </c>
      <c r="W40" s="197" t="str">
        <f>VLOOKUP(R40,BASE!$A:$M,13,FALSE)</f>
        <v>Engineering</v>
      </c>
    </row>
    <row r="41" spans="1:23" x14ac:dyDescent="0.35">
      <c r="R41" s="99" t="str">
        <v>70000306</v>
      </c>
      <c r="S41" s="93" t="str">
        <f>VLOOKUP(R41,BASE!$A:$R,2,FALSE)</f>
        <v>Blanchard Muzo</v>
      </c>
      <c r="T41" s="196">
        <f>VLOOKUP(R41,BASE!$A:$R,17,FALSE)</f>
        <v>22.6</v>
      </c>
      <c r="U41" s="196">
        <f>VLOOKUP(R41,BASE!$A:$R,18,FALSE)</f>
        <v>124.52651213171578</v>
      </c>
      <c r="V41" s="196">
        <f>VLOOKUP(R41,BASE!$A:$R,15,FALSE)</f>
        <v>5.3225806466660002</v>
      </c>
      <c r="W41" s="197" t="str">
        <f>VLOOKUP(R41,BASE!$A:$M,13,FALSE)</f>
        <v>Engineering</v>
      </c>
    </row>
    <row r="42" spans="1:23" x14ac:dyDescent="0.35">
      <c r="A42" s="80"/>
      <c r="B42" s="80"/>
      <c r="C42" s="19" t="s">
        <v>698</v>
      </c>
      <c r="D42" s="19" t="s">
        <v>699</v>
      </c>
      <c r="E42" s="19" t="s">
        <v>700</v>
      </c>
      <c r="F42" s="19" t="s">
        <v>765</v>
      </c>
      <c r="G42" s="19" t="s">
        <v>702</v>
      </c>
      <c r="H42" s="19" t="s">
        <v>766</v>
      </c>
      <c r="I42" s="19" t="s">
        <v>704</v>
      </c>
      <c r="J42" s="19" t="s">
        <v>705</v>
      </c>
      <c r="K42" s="19" t="s">
        <v>706</v>
      </c>
      <c r="L42" s="19" t="s">
        <v>707</v>
      </c>
      <c r="M42" s="19" t="s">
        <v>708</v>
      </c>
      <c r="N42" s="19" t="s">
        <v>709</v>
      </c>
      <c r="R42" s="99" t="str">
        <v>70000309</v>
      </c>
      <c r="S42" s="93" t="str">
        <f>VLOOKUP(R42,BASE!$A:$R,2,FALSE)</f>
        <v>Junior Nlandu</v>
      </c>
      <c r="T42" s="196">
        <f>VLOOKUP(R42,BASE!$A:$R,17,FALSE)</f>
        <v>45.6</v>
      </c>
      <c r="U42" s="196">
        <f>VLOOKUP(R42,BASE!$A:$R,18,FALSE)</f>
        <v>332.37499566724438</v>
      </c>
      <c r="V42" s="196">
        <f>VLOOKUP(R42,BASE!$A:$R,15,FALSE)</f>
        <v>3.2388888933329998</v>
      </c>
      <c r="W42" s="197" t="str">
        <f>VLOOKUP(R42,BASE!$A:$M,13,FALSE)</f>
        <v>Engineering</v>
      </c>
    </row>
    <row r="43" spans="1:23" x14ac:dyDescent="0.35">
      <c r="A43" s="147" t="s">
        <v>739</v>
      </c>
      <c r="B43" s="146"/>
      <c r="C43" s="192">
        <f>C39</f>
        <v>6124.375998276977</v>
      </c>
      <c r="D43" s="192">
        <f>D39</f>
        <v>9971.5977540805197</v>
      </c>
      <c r="E43" s="192">
        <f>E39</f>
        <v>11955.236730644814</v>
      </c>
      <c r="F43" s="192">
        <f>F39</f>
        <v>11833.896395147312</v>
      </c>
      <c r="G43" s="192">
        <f>G39</f>
        <v>0</v>
      </c>
      <c r="H43" s="192">
        <f>H39</f>
        <v>0</v>
      </c>
      <c r="I43" s="192">
        <f>I39</f>
        <v>0</v>
      </c>
      <c r="J43" s="192">
        <f>J39</f>
        <v>0</v>
      </c>
      <c r="K43" s="192">
        <f>K39</f>
        <v>0</v>
      </c>
      <c r="L43" s="192">
        <f>L39</f>
        <v>0</v>
      </c>
      <c r="M43" s="192">
        <f>M39</f>
        <v>0</v>
      </c>
      <c r="N43" s="192">
        <f>N39</f>
        <v>0</v>
      </c>
      <c r="O43" s="95">
        <f>SUM(C43:N43)</f>
        <v>39885.106878149621</v>
      </c>
      <c r="R43" s="99" t="str">
        <v>70000171</v>
      </c>
      <c r="S43" s="93" t="str">
        <f>VLOOKUP(R43,BASE!$A:$R,2,FALSE)</f>
        <v>CHRISTIAN KUABI</v>
      </c>
      <c r="T43" s="196">
        <f>VLOOKUP(R43,BASE!$A:$R,17,FALSE)</f>
        <v>2.58</v>
      </c>
      <c r="U43" s="196">
        <f>VLOOKUP(R43,BASE!$A:$R,18,FALSE)</f>
        <v>21.264341421143847</v>
      </c>
      <c r="V43" s="196">
        <f>VLOOKUP(R43,BASE!$A:$R,15,FALSE)</f>
        <v>14.833333333343999</v>
      </c>
      <c r="W43" s="197" t="str">
        <f>VLOOKUP(R43,BASE!$A:$M,13,FALSE)</f>
        <v>Production</v>
      </c>
    </row>
    <row r="44" spans="1:23" x14ac:dyDescent="0.35">
      <c r="A44" s="147" t="s">
        <v>740</v>
      </c>
      <c r="B44" s="146"/>
      <c r="C44" s="192">
        <v>19182.830000000002</v>
      </c>
      <c r="D44" s="192">
        <v>19182.830000000002</v>
      </c>
      <c r="E44" s="192">
        <v>19182.830000000002</v>
      </c>
      <c r="F44" s="192">
        <v>19182.830000000002</v>
      </c>
      <c r="G44" s="192">
        <v>19182.830000000002</v>
      </c>
      <c r="H44" s="192">
        <v>19182.830000000002</v>
      </c>
      <c r="I44" s="192">
        <v>19182.830000000002</v>
      </c>
      <c r="J44" s="192">
        <v>19182.830000000002</v>
      </c>
      <c r="K44" s="192">
        <v>19182.830000000002</v>
      </c>
      <c r="L44" s="192">
        <v>19182.830000000002</v>
      </c>
      <c r="M44" s="192">
        <v>19182.830000000002</v>
      </c>
      <c r="N44" s="192">
        <v>19182.830000000002</v>
      </c>
      <c r="R44" s="99" t="str">
        <v>70000229</v>
      </c>
      <c r="S44" s="93" t="str">
        <f>VLOOKUP(R44,BASE!$A:$R,2,FALSE)</f>
        <v>Guylain Wampangulua</v>
      </c>
      <c r="T44" s="196">
        <f>VLOOKUP(R44,BASE!$A:$R,17,FALSE)</f>
        <v>61.730000000000004</v>
      </c>
      <c r="U44" s="196">
        <f>VLOOKUP(R44,BASE!$A:$R,18,FALSE)</f>
        <v>188.14640814558058</v>
      </c>
      <c r="V44" s="196">
        <f>VLOOKUP(R44,BASE!$A:$R,15,FALSE)</f>
        <v>24.916666666674999</v>
      </c>
      <c r="W44" s="197" t="str">
        <f>VLOOKUP(R44,BASE!$A:$M,13,FALSE)</f>
        <v>Engineering</v>
      </c>
    </row>
    <row r="45" spans="1:23" x14ac:dyDescent="0.35">
      <c r="R45" s="99" t="str">
        <v>70000232</v>
      </c>
      <c r="S45" s="93" t="str">
        <f>VLOOKUP(R45,BASE!$A:$R,2,FALSE)</f>
        <v>Lucio Da Conceição</v>
      </c>
      <c r="T45" s="196">
        <f>VLOOKUP(R45,BASE!$A:$R,17,FALSE)</f>
        <v>15.41</v>
      </c>
      <c r="U45" s="196">
        <f>VLOOKUP(R45,BASE!$A:$R,18,FALSE)</f>
        <v>165.97457972270362</v>
      </c>
      <c r="V45" s="196">
        <f>VLOOKUP(R45,BASE!$A:$R,15,FALSE)</f>
        <v>27.544444443324998</v>
      </c>
      <c r="W45" s="197" t="str">
        <f>VLOOKUP(R45,BASE!$A:$M,13,FALSE)</f>
        <v>Engineering</v>
      </c>
    </row>
    <row r="46" spans="1:23" x14ac:dyDescent="0.35">
      <c r="R46" s="99" t="str">
        <v>70000015</v>
      </c>
      <c r="S46" s="93" t="str">
        <f>VLOOKUP(R46,BASE!$A:$R,2,FALSE)</f>
        <v>LUZOLO NSEMBOLO</v>
      </c>
      <c r="T46" s="196">
        <f>VLOOKUP(R46,BASE!$A:$R,17,FALSE)</f>
        <v>42.2</v>
      </c>
      <c r="U46" s="196">
        <f>VLOOKUP(R46,BASE!$A:$R,18,FALSE)</f>
        <v>519.11275129982664</v>
      </c>
      <c r="V46" s="196">
        <f>VLOOKUP(R46,BASE!$A:$R,15,FALSE)</f>
        <v>20.843333333326001</v>
      </c>
      <c r="W46" s="197" t="str">
        <f>VLOOKUP(R46,BASE!$A:$M,13,FALSE)</f>
        <v>Engineering</v>
      </c>
    </row>
    <row r="47" spans="1:23" x14ac:dyDescent="0.35">
      <c r="R47" s="99" t="str">
        <v>70000241</v>
      </c>
      <c r="S47" s="93" t="str">
        <f>VLOOKUP(R47,BASE!$A:$R,2,FALSE)</f>
        <v>Jean Biawila</v>
      </c>
      <c r="T47" s="196">
        <f>VLOOKUP(R47,BASE!$A:$R,17,FALSE)</f>
        <v>29.11</v>
      </c>
      <c r="U47" s="196">
        <f>VLOOKUP(R47,BASE!$A:$R,18,FALSE)</f>
        <v>243.10087088388218</v>
      </c>
      <c r="V47" s="196">
        <f>VLOOKUP(R47,BASE!$A:$R,15,FALSE)</f>
        <v>24.500000000010001</v>
      </c>
      <c r="W47" s="197" t="str">
        <f>VLOOKUP(R47,BASE!$A:$M,13,FALSE)</f>
        <v>Logistic</v>
      </c>
    </row>
    <row r="48" spans="1:23" x14ac:dyDescent="0.35">
      <c r="R48" s="99" t="str">
        <v>70000255</v>
      </c>
      <c r="S48" s="93" t="str">
        <f>VLOOKUP(R48,BASE!$A:$R,2,FALSE)</f>
        <v>Jonas LINGOMA</v>
      </c>
      <c r="T48" s="196">
        <f>VLOOKUP(R48,BASE!$A:$R,17,FALSE)</f>
        <v>36.46</v>
      </c>
      <c r="U48" s="196">
        <f>VLOOKUP(R48,BASE!$A:$R,18,FALSE)</f>
        <v>473.4973830155979</v>
      </c>
      <c r="V48" s="196">
        <f>VLOOKUP(R48,BASE!$A:$R,15,FALSE)</f>
        <v>14.999999996654999</v>
      </c>
      <c r="W48" s="197" t="str">
        <f>VLOOKUP(R48,BASE!$A:$M,13,FALSE)</f>
        <v>Logistic</v>
      </c>
    </row>
    <row r="49" spans="18:23" x14ac:dyDescent="0.35">
      <c r="R49" s="99" t="str">
        <v>70000043</v>
      </c>
      <c r="S49" s="93" t="str">
        <f>VLOOKUP(R49,BASE!$A:$R,2,FALSE)</f>
        <v>EDDO MAKIVOVI</v>
      </c>
      <c r="T49" s="196">
        <f>VLOOKUP(R49,BASE!$A:$R,17,FALSE)</f>
        <v>7</v>
      </c>
      <c r="U49" s="196">
        <f>VLOOKUP(R49,BASE!$A:$R,18,FALSE)</f>
        <v>41.582066724436743</v>
      </c>
      <c r="V49" s="196">
        <f>VLOOKUP(R49,BASE!$A:$R,15,FALSE)</f>
        <v>19.169999999994999</v>
      </c>
      <c r="W49" s="197" t="str">
        <f>VLOOKUP(R49,BASE!$A:$M,13,FALSE)</f>
        <v>Mining</v>
      </c>
    </row>
    <row r="50" spans="18:23" x14ac:dyDescent="0.35">
      <c r="R50" s="99" t="str">
        <v>70000097</v>
      </c>
      <c r="S50" s="93" t="str">
        <f>VLOOKUP(R50,BASE!$A:$R,2,FALSE)</f>
        <v>Masudi Nkosi</v>
      </c>
      <c r="T50" s="196">
        <f>VLOOKUP(R50,BASE!$A:$R,17,FALSE)</f>
        <v>13</v>
      </c>
      <c r="U50" s="196">
        <f>VLOOKUP(R50,BASE!$A:$R,18,FALSE)</f>
        <v>42.609865684575396</v>
      </c>
      <c r="V50" s="196">
        <f>VLOOKUP(R50,BASE!$A:$R,15,FALSE)</f>
        <v>19.083333333336</v>
      </c>
      <c r="W50" s="197" t="str">
        <f>VLOOKUP(R50,BASE!$A:$M,13,FALSE)</f>
        <v>Mining</v>
      </c>
    </row>
    <row r="51" spans="18:23" x14ac:dyDescent="0.35">
      <c r="R51" s="99" t="str">
        <v>70000129</v>
      </c>
      <c r="S51" s="93" t="str">
        <f>VLOOKUP(R51,BASE!$A:$R,2,FALSE)</f>
        <v>RACHIE DIAWAWANA</v>
      </c>
      <c r="T51" s="196">
        <f>VLOOKUP(R51,BASE!$A:$R,17,FALSE)</f>
        <v>4.3</v>
      </c>
      <c r="U51" s="196">
        <f>VLOOKUP(R51,BASE!$A:$R,18,FALSE)</f>
        <v>14.914770363951474</v>
      </c>
      <c r="V51" s="196">
        <f>VLOOKUP(R51,BASE!$A:$R,15,FALSE)</f>
        <v>10.999999999998</v>
      </c>
      <c r="W51" s="197" t="str">
        <f>VLOOKUP(R51,BASE!$A:$M,13,FALSE)</f>
        <v>Mining</v>
      </c>
    </row>
    <row r="52" spans="18:23" x14ac:dyDescent="0.35">
      <c r="R52" s="99" t="str">
        <v>70000233</v>
      </c>
      <c r="S52" s="93" t="str">
        <f>VLOOKUP(R52,BASE!$A:$R,2,FALSE)</f>
        <v>Hassan Kananga</v>
      </c>
      <c r="T52" s="196">
        <f>VLOOKUP(R52,BASE!$A:$R,17,FALSE)</f>
        <v>6</v>
      </c>
      <c r="U52" s="196">
        <f>VLOOKUP(R52,BASE!$A:$R,18,FALSE)</f>
        <v>61.700199306759096</v>
      </c>
      <c r="V52" s="196">
        <f>VLOOKUP(R52,BASE!$A:$R,15,FALSE)</f>
        <v>8.5444444433250002</v>
      </c>
      <c r="W52" s="197" t="str">
        <f>VLOOKUP(R52,BASE!$A:$M,13,FALSE)</f>
        <v>Mining</v>
      </c>
    </row>
    <row r="53" spans="18:23" x14ac:dyDescent="0.35">
      <c r="R53" s="99" t="str">
        <v>70000124</v>
      </c>
      <c r="S53" s="93" t="str">
        <f>VLOOKUP(R53,BASE!$A:$R,2,FALSE)</f>
        <v>Longo Zola</v>
      </c>
      <c r="T53" s="196">
        <f>VLOOKUP(R53,BASE!$A:$R,17,FALSE)</f>
        <v>21</v>
      </c>
      <c r="U53" s="196">
        <f>VLOOKUP(R53,BASE!$A:$R,18,FALSE)</f>
        <v>246.0687781629116</v>
      </c>
      <c r="V53" s="196">
        <f>VLOOKUP(R53,BASE!$A:$R,15,FALSE)</f>
        <v>31.169999999992001</v>
      </c>
      <c r="W53" s="197" t="str">
        <f>VLOOKUP(R53,BASE!$A:$M,13,FALSE)</f>
        <v>Mining</v>
      </c>
    </row>
    <row r="54" spans="18:23" x14ac:dyDescent="0.35">
      <c r="R54" s="99" t="str">
        <v>70000013</v>
      </c>
      <c r="S54" s="93" t="str">
        <f>VLOOKUP(R54,BASE!$A:$R,2,FALSE)</f>
        <v>KUASA KINSIONA</v>
      </c>
      <c r="T54" s="196">
        <f>VLOOKUP(R54,BASE!$A:$R,17,FALSE)</f>
        <v>6</v>
      </c>
      <c r="U54" s="196">
        <f>VLOOKUP(R54,BASE!$A:$R,18,FALSE)</f>
        <v>23.574831022530329</v>
      </c>
      <c r="V54" s="196">
        <f>VLOOKUP(R54,BASE!$A:$R,15,FALSE)</f>
        <v>11.500000000002</v>
      </c>
      <c r="W54" s="197" t="str">
        <f>VLOOKUP(R54,BASE!$A:$M,13,FALSE)</f>
        <v>Mining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DD26-53EC-4CA4-8AB6-F6F40CE11883}">
  <dimension ref="A1:O114"/>
  <sheetViews>
    <sheetView showGridLines="0" workbookViewId="0">
      <pane ySplit="1" topLeftCell="A2" activePane="bottomLeft" state="frozen"/>
      <selection pane="bottomLeft" activeCell="A2" sqref="A2:G14"/>
    </sheetView>
  </sheetViews>
  <sheetFormatPr defaultRowHeight="14.5" x14ac:dyDescent="0.35"/>
  <cols>
    <col min="1" max="1" width="23.26953125" style="52" customWidth="1"/>
    <col min="2" max="2" width="7" style="52" customWidth="1"/>
    <col min="3" max="3" width="13.36328125" style="52" customWidth="1"/>
    <col min="4" max="4" width="18.26953125" style="52" customWidth="1"/>
    <col min="5" max="5" width="12.08984375" style="52" customWidth="1"/>
    <col min="6" max="6" width="8.54296875" style="52" customWidth="1"/>
    <col min="7" max="7" width="13.81640625" style="52" customWidth="1"/>
    <col min="8" max="8" width="8.984375E-2" style="52" customWidth="1"/>
    <col min="9" max="9" width="8.7265625" style="52"/>
    <col min="10" max="10" width="12.90625" style="52" bestFit="1" customWidth="1"/>
    <col min="11" max="11" width="11.81640625" style="52" bestFit="1" customWidth="1"/>
    <col min="12" max="12" width="23.1796875" style="52" bestFit="1" customWidth="1"/>
    <col min="13" max="13" width="21.6328125" style="52" customWidth="1"/>
    <col min="14" max="14" width="28.36328125" style="53" bestFit="1" customWidth="1"/>
    <col min="15" max="16384" width="8.7265625" style="52"/>
  </cols>
  <sheetData>
    <row r="1" spans="1:15" ht="21" x14ac:dyDescent="0.35">
      <c r="A1" s="48" t="s">
        <v>579</v>
      </c>
      <c r="B1" s="49" t="s">
        <v>580</v>
      </c>
      <c r="C1" s="50" t="s">
        <v>581</v>
      </c>
      <c r="D1" s="49" t="s">
        <v>582</v>
      </c>
      <c r="E1" s="49" t="s">
        <v>583</v>
      </c>
      <c r="F1" s="51" t="s">
        <v>584</v>
      </c>
      <c r="G1" s="51" t="s">
        <v>585</v>
      </c>
    </row>
    <row r="2" spans="1:15" ht="40" x14ac:dyDescent="0.35">
      <c r="A2" s="54" t="s">
        <v>586</v>
      </c>
      <c r="B2" s="54" t="s">
        <v>587</v>
      </c>
      <c r="C2" s="55" t="s">
        <v>158</v>
      </c>
      <c r="D2" s="54" t="str">
        <f>VLOOKUP(C2,[1]Headcount_Kiesse!$A$19:$N$193,13,FALSE)</f>
        <v>Quality Assurance</v>
      </c>
      <c r="E2" s="54" t="s">
        <v>588</v>
      </c>
      <c r="F2" s="56">
        <v>2</v>
      </c>
      <c r="G2" s="56">
        <v>25265.39</v>
      </c>
      <c r="J2" s="193" t="s">
        <v>589</v>
      </c>
      <c r="K2" t="s">
        <v>590</v>
      </c>
      <c r="L2" t="s">
        <v>591</v>
      </c>
      <c r="N2" s="53" t="s">
        <v>592</v>
      </c>
      <c r="O2" s="52">
        <f>COUNTA(_xlfn.UNIQUE(C2:C111))</f>
        <v>52</v>
      </c>
    </row>
    <row r="3" spans="1:15" ht="40" x14ac:dyDescent="0.35">
      <c r="A3" s="54" t="s">
        <v>586</v>
      </c>
      <c r="B3" s="54" t="s">
        <v>587</v>
      </c>
      <c r="C3" s="55" t="s">
        <v>158</v>
      </c>
      <c r="D3" s="54" t="str">
        <f>VLOOKUP(C3,[1]Headcount_Kiesse!$A$19:$N$193,13,FALSE)</f>
        <v>Quality Assurance</v>
      </c>
      <c r="E3" s="54" t="s">
        <v>593</v>
      </c>
      <c r="F3" s="56">
        <v>0.34</v>
      </c>
      <c r="G3" s="56">
        <v>5286.3</v>
      </c>
      <c r="J3" s="194" t="s">
        <v>516</v>
      </c>
      <c r="K3" s="195">
        <v>6</v>
      </c>
      <c r="L3" s="195">
        <v>54410.71</v>
      </c>
      <c r="N3" s="53" t="s">
        <v>594</v>
      </c>
      <c r="O3" s="58">
        <f>O2/175</f>
        <v>0.29714285714285715</v>
      </c>
    </row>
    <row r="4" spans="1:15" ht="40" x14ac:dyDescent="0.35">
      <c r="A4" s="54" t="s">
        <v>586</v>
      </c>
      <c r="B4" s="54" t="s">
        <v>587</v>
      </c>
      <c r="C4" s="55" t="s">
        <v>158</v>
      </c>
      <c r="D4" s="54" t="str">
        <f>VLOOKUP(C4,[1]Headcount_Kiesse!$A$19:$N$193,13,FALSE)</f>
        <v>Quality Assurance</v>
      </c>
      <c r="E4" s="54" t="s">
        <v>595</v>
      </c>
      <c r="F4" s="56">
        <v>19.399999999999999</v>
      </c>
      <c r="G4" s="56">
        <v>377037.32</v>
      </c>
      <c r="J4" s="194" t="s">
        <v>41</v>
      </c>
      <c r="K4" s="195">
        <v>42.2</v>
      </c>
      <c r="L4" s="195">
        <v>1198112.23</v>
      </c>
      <c r="N4" s="53" t="s">
        <v>596</v>
      </c>
      <c r="O4" s="57">
        <f>F112</f>
        <v>1251.9799999999998</v>
      </c>
    </row>
    <row r="5" spans="1:15" ht="40" x14ac:dyDescent="0.35">
      <c r="A5" s="54" t="s">
        <v>597</v>
      </c>
      <c r="B5" s="54" t="s">
        <v>598</v>
      </c>
      <c r="C5" s="55" t="s">
        <v>162</v>
      </c>
      <c r="D5" s="54" t="str">
        <f>VLOOKUP(C5,[1]Headcount_Kiesse!$A$19:$N$193,13,FALSE)</f>
        <v>Quality Assurance</v>
      </c>
      <c r="E5" s="54" t="s">
        <v>595</v>
      </c>
      <c r="F5" s="56">
        <v>3.03</v>
      </c>
      <c r="G5" s="56">
        <v>36233.72</v>
      </c>
      <c r="J5" s="194" t="s">
        <v>62</v>
      </c>
      <c r="K5" s="195">
        <v>15.709999999999999</v>
      </c>
      <c r="L5" s="195">
        <v>713478.66999999993</v>
      </c>
      <c r="N5" s="53" t="s">
        <v>599</v>
      </c>
      <c r="O5" s="59">
        <f>O4/O2</f>
        <v>24.076538461538458</v>
      </c>
    </row>
    <row r="6" spans="1:15" ht="40" x14ac:dyDescent="0.35">
      <c r="A6" s="54" t="s">
        <v>600</v>
      </c>
      <c r="B6" s="54" t="s">
        <v>601</v>
      </c>
      <c r="C6" s="55" t="s">
        <v>172</v>
      </c>
      <c r="D6" s="54" t="str">
        <f>VLOOKUP(C6,[1]Headcount_Kiesse!$A$19:$N$193,13,FALSE)</f>
        <v>Quality Assurance</v>
      </c>
      <c r="E6" s="54" t="s">
        <v>595</v>
      </c>
      <c r="F6" s="56">
        <v>18.809999999999999</v>
      </c>
      <c r="G6" s="56">
        <v>328443.84999999998</v>
      </c>
      <c r="J6" s="194" t="s">
        <v>74</v>
      </c>
      <c r="K6" s="195">
        <v>14.74</v>
      </c>
      <c r="L6" s="195">
        <v>812554.84</v>
      </c>
      <c r="N6" s="53" t="s">
        <v>602</v>
      </c>
      <c r="O6" s="52">
        <f>G113</f>
        <v>11833.896395147316</v>
      </c>
    </row>
    <row r="7" spans="1:15" ht="40" x14ac:dyDescent="0.35">
      <c r="A7" s="54" t="s">
        <v>603</v>
      </c>
      <c r="B7" s="54" t="s">
        <v>604</v>
      </c>
      <c r="C7" s="55" t="s">
        <v>175</v>
      </c>
      <c r="D7" s="54" t="str">
        <f>VLOOKUP(C7,[1]Headcount_Kiesse!$A$19:$N$193,13,FALSE)</f>
        <v>Quality Assurance</v>
      </c>
      <c r="E7" s="54" t="s">
        <v>595</v>
      </c>
      <c r="F7" s="56">
        <v>9.0500000000000007</v>
      </c>
      <c r="G7" s="56">
        <v>159684.17000000001</v>
      </c>
      <c r="J7" s="194" t="s">
        <v>99</v>
      </c>
      <c r="K7" s="195">
        <v>7</v>
      </c>
      <c r="L7" s="195">
        <v>95971.41</v>
      </c>
      <c r="N7" s="53" t="s">
        <v>605</v>
      </c>
      <c r="O7" s="52">
        <f>O6/O2</f>
        <v>227.57493067590991</v>
      </c>
    </row>
    <row r="8" spans="1:15" ht="40" x14ac:dyDescent="0.35">
      <c r="A8" s="54" t="s">
        <v>606</v>
      </c>
      <c r="B8" s="54" t="s">
        <v>547</v>
      </c>
      <c r="C8" s="55" t="s">
        <v>179</v>
      </c>
      <c r="D8" s="54" t="str">
        <f>VLOOKUP(C8,[1]Headcount_Kiesse!$A$19:$N$193,13,FALSE)</f>
        <v>Quality Assurance</v>
      </c>
      <c r="E8" s="54" t="s">
        <v>595</v>
      </c>
      <c r="F8" s="56">
        <v>10.210000000000001</v>
      </c>
      <c r="G8" s="56">
        <v>406194.45</v>
      </c>
      <c r="J8" s="194" t="s">
        <v>123</v>
      </c>
      <c r="K8" s="195">
        <v>38.489999999999995</v>
      </c>
      <c r="L8" s="195">
        <v>914215.1399999999</v>
      </c>
      <c r="N8" s="53" t="s">
        <v>607</v>
      </c>
    </row>
    <row r="9" spans="1:15" ht="40" x14ac:dyDescent="0.35">
      <c r="A9" s="54" t="s">
        <v>608</v>
      </c>
      <c r="B9" s="54" t="s">
        <v>609</v>
      </c>
      <c r="C9" s="55" t="s">
        <v>182</v>
      </c>
      <c r="D9" s="54" t="str">
        <f>VLOOKUP(C9,[1]Headcount_Kiesse!$A$19:$N$193,13,FALSE)</f>
        <v>Quality Assurance</v>
      </c>
      <c r="E9" s="54" t="s">
        <v>595</v>
      </c>
      <c r="F9" s="56">
        <v>8.57</v>
      </c>
      <c r="G9" s="56">
        <v>94177.33</v>
      </c>
      <c r="J9" s="194" t="s">
        <v>126</v>
      </c>
      <c r="K9" s="195">
        <v>8.39</v>
      </c>
      <c r="L9" s="195">
        <v>112006.54</v>
      </c>
    </row>
    <row r="10" spans="1:15" ht="40" x14ac:dyDescent="0.35">
      <c r="A10" s="54" t="s">
        <v>610</v>
      </c>
      <c r="B10" s="54" t="s">
        <v>611</v>
      </c>
      <c r="C10" s="55" t="s">
        <v>323</v>
      </c>
      <c r="D10" s="54" t="str">
        <f>VLOOKUP(C10,[1]Headcount_Kiesse!$A$19:$N$193,13,FALSE)</f>
        <v>Quality Assurance</v>
      </c>
      <c r="E10" s="54" t="s">
        <v>595</v>
      </c>
      <c r="F10" s="56">
        <v>15.43</v>
      </c>
      <c r="G10" s="56">
        <v>408720.41</v>
      </c>
      <c r="J10" s="194" t="s">
        <v>130</v>
      </c>
      <c r="K10" s="195">
        <v>18</v>
      </c>
      <c r="L10" s="195">
        <v>435585.52</v>
      </c>
    </row>
    <row r="11" spans="1:15" ht="40" x14ac:dyDescent="0.35">
      <c r="A11" s="54" t="s">
        <v>612</v>
      </c>
      <c r="B11" s="54" t="s">
        <v>613</v>
      </c>
      <c r="C11" s="55" t="s">
        <v>435</v>
      </c>
      <c r="D11" s="54" t="str">
        <f>VLOOKUP(C11,[1]Headcount_Kiesse!$A$19:$N$193,13,FALSE)</f>
        <v>Quality Assurance</v>
      </c>
      <c r="E11" s="54" t="s">
        <v>595</v>
      </c>
      <c r="F11" s="56">
        <v>24.16</v>
      </c>
      <c r="G11" s="56">
        <v>333211.18</v>
      </c>
      <c r="J11" s="194" t="s">
        <v>136</v>
      </c>
      <c r="K11" s="195">
        <v>22</v>
      </c>
      <c r="L11" s="195">
        <v>554383.51</v>
      </c>
    </row>
    <row r="12" spans="1:15" ht="40" x14ac:dyDescent="0.35">
      <c r="A12" s="54" t="s">
        <v>614</v>
      </c>
      <c r="B12" s="54" t="s">
        <v>615</v>
      </c>
      <c r="C12" s="55" t="s">
        <v>152</v>
      </c>
      <c r="D12" s="54" t="str">
        <f>VLOOKUP(C12,[1]Headcount_Kiesse!$A$19:$N$193,13,FALSE)</f>
        <v>Production</v>
      </c>
      <c r="E12" s="54" t="s">
        <v>595</v>
      </c>
      <c r="F12" s="56">
        <v>3.17</v>
      </c>
      <c r="G12" s="56">
        <v>31391.41</v>
      </c>
      <c r="J12" s="194" t="s">
        <v>138</v>
      </c>
      <c r="K12" s="195">
        <v>22</v>
      </c>
      <c r="L12" s="195">
        <v>584129.80999999994</v>
      </c>
    </row>
    <row r="13" spans="1:15" ht="40" x14ac:dyDescent="0.35">
      <c r="A13" s="54" t="s">
        <v>616</v>
      </c>
      <c r="B13" s="54" t="s">
        <v>587</v>
      </c>
      <c r="C13" s="55" t="s">
        <v>154</v>
      </c>
      <c r="D13" s="54" t="str">
        <f>VLOOKUP(C13,[1]Headcount_Kiesse!$A$19:$N$193,13,FALSE)</f>
        <v>Production</v>
      </c>
      <c r="E13" s="54" t="s">
        <v>595</v>
      </c>
      <c r="F13" s="56">
        <v>6</v>
      </c>
      <c r="G13" s="56">
        <v>59635.61</v>
      </c>
      <c r="J13" s="194" t="s">
        <v>140</v>
      </c>
      <c r="K13" s="195">
        <v>41.34</v>
      </c>
      <c r="L13" s="195">
        <v>1424030.7999999998</v>
      </c>
    </row>
    <row r="14" spans="1:15" ht="40" x14ac:dyDescent="0.35">
      <c r="A14" s="54" t="s">
        <v>617</v>
      </c>
      <c r="B14" s="54" t="s">
        <v>618</v>
      </c>
      <c r="C14" s="55" t="s">
        <v>62</v>
      </c>
      <c r="D14" s="54" t="str">
        <f>VLOOKUP(C14,[1]Headcount_Kiesse!$A$19:$N$193,13,FALSE)</f>
        <v>Production</v>
      </c>
      <c r="E14" s="54" t="s">
        <v>588</v>
      </c>
      <c r="F14" s="56">
        <v>2</v>
      </c>
      <c r="G14" s="56">
        <v>68858.37</v>
      </c>
      <c r="J14" s="194" t="s">
        <v>142</v>
      </c>
      <c r="K14" s="195">
        <v>6.11</v>
      </c>
      <c r="L14" s="195">
        <v>193922.55</v>
      </c>
    </row>
    <row r="15" spans="1:15" ht="40" x14ac:dyDescent="0.35">
      <c r="A15" s="54" t="s">
        <v>617</v>
      </c>
      <c r="B15" s="54" t="s">
        <v>618</v>
      </c>
      <c r="C15" s="55" t="s">
        <v>62</v>
      </c>
      <c r="D15" s="54" t="str">
        <f>VLOOKUP(C15,[1]Headcount_Kiesse!$A$19:$N$193,13,FALSE)</f>
        <v>Production</v>
      </c>
      <c r="E15" s="54" t="s">
        <v>593</v>
      </c>
      <c r="F15" s="56">
        <v>7.7</v>
      </c>
      <c r="G15" s="56">
        <v>326282.75</v>
      </c>
      <c r="J15" s="194" t="s">
        <v>152</v>
      </c>
      <c r="K15" s="195">
        <v>3.17</v>
      </c>
      <c r="L15" s="195">
        <v>31391.41</v>
      </c>
    </row>
    <row r="16" spans="1:15" ht="40" x14ac:dyDescent="0.35">
      <c r="A16" s="54" t="s">
        <v>617</v>
      </c>
      <c r="B16" s="54" t="s">
        <v>618</v>
      </c>
      <c r="C16" s="55" t="s">
        <v>62</v>
      </c>
      <c r="D16" s="54" t="str">
        <f>VLOOKUP(C16,[1]Headcount_Kiesse!$A$19:$N$193,13,FALSE)</f>
        <v>Production</v>
      </c>
      <c r="E16" s="54" t="s">
        <v>595</v>
      </c>
      <c r="F16" s="56">
        <v>6.01</v>
      </c>
      <c r="G16" s="56">
        <v>318337.55</v>
      </c>
      <c r="J16" s="194" t="s">
        <v>154</v>
      </c>
      <c r="K16" s="195">
        <v>6</v>
      </c>
      <c r="L16" s="195">
        <v>59635.61</v>
      </c>
    </row>
    <row r="17" spans="1:12" ht="40" x14ac:dyDescent="0.35">
      <c r="A17" s="54" t="s">
        <v>619</v>
      </c>
      <c r="B17" s="54" t="s">
        <v>620</v>
      </c>
      <c r="C17" s="55" t="s">
        <v>140</v>
      </c>
      <c r="D17" s="54" t="str">
        <f>VLOOKUP(C17,[1]Headcount_Kiesse!$A$19:$N$193,13,FALSE)</f>
        <v>Production</v>
      </c>
      <c r="E17" s="54" t="s">
        <v>588</v>
      </c>
      <c r="F17" s="56">
        <v>4</v>
      </c>
      <c r="G17" s="56">
        <v>100408.96000000001</v>
      </c>
      <c r="J17" s="194" t="s">
        <v>158</v>
      </c>
      <c r="K17" s="195">
        <v>21.74</v>
      </c>
      <c r="L17" s="195">
        <v>407589.01</v>
      </c>
    </row>
    <row r="18" spans="1:12" ht="40" x14ac:dyDescent="0.35">
      <c r="A18" s="54" t="s">
        <v>619</v>
      </c>
      <c r="B18" s="54" t="s">
        <v>620</v>
      </c>
      <c r="C18" s="55" t="s">
        <v>140</v>
      </c>
      <c r="D18" s="54" t="str">
        <f>VLOOKUP(C18,[1]Headcount_Kiesse!$A$19:$N$193,13,FALSE)</f>
        <v>Production</v>
      </c>
      <c r="E18" s="54" t="s">
        <v>593</v>
      </c>
      <c r="F18" s="56">
        <v>15.33</v>
      </c>
      <c r="G18" s="56">
        <v>473621.35</v>
      </c>
      <c r="J18" s="194" t="s">
        <v>162</v>
      </c>
      <c r="K18" s="195">
        <v>3.03</v>
      </c>
      <c r="L18" s="195">
        <v>36233.72</v>
      </c>
    </row>
    <row r="19" spans="1:12" ht="40" x14ac:dyDescent="0.35">
      <c r="A19" s="54" t="s">
        <v>619</v>
      </c>
      <c r="B19" s="54" t="s">
        <v>620</v>
      </c>
      <c r="C19" s="55" t="s">
        <v>140</v>
      </c>
      <c r="D19" s="54" t="str">
        <f>VLOOKUP(C19,[1]Headcount_Kiesse!$A$19:$N$193,13,FALSE)</f>
        <v>Production</v>
      </c>
      <c r="E19" s="54" t="s">
        <v>595</v>
      </c>
      <c r="F19" s="56">
        <v>22.01</v>
      </c>
      <c r="G19" s="56">
        <v>850000.49</v>
      </c>
      <c r="J19" s="194" t="s">
        <v>169</v>
      </c>
      <c r="K19" s="195">
        <v>26.91</v>
      </c>
      <c r="L19" s="195">
        <v>751260.78</v>
      </c>
    </row>
    <row r="20" spans="1:12" ht="40" x14ac:dyDescent="0.35">
      <c r="A20" s="54" t="s">
        <v>621</v>
      </c>
      <c r="B20" s="54" t="s">
        <v>622</v>
      </c>
      <c r="C20" s="55" t="s">
        <v>142</v>
      </c>
      <c r="D20" s="54" t="str">
        <f>VLOOKUP(C20,[1]Headcount_Kiesse!$A$19:$N$193,13,FALSE)</f>
        <v>Production</v>
      </c>
      <c r="E20" s="54" t="s">
        <v>595</v>
      </c>
      <c r="F20" s="56">
        <v>6.11</v>
      </c>
      <c r="G20" s="56">
        <v>193922.55</v>
      </c>
      <c r="J20" s="194" t="s">
        <v>172</v>
      </c>
      <c r="K20" s="195">
        <v>18.809999999999999</v>
      </c>
      <c r="L20" s="195">
        <v>328443.84999999998</v>
      </c>
    </row>
    <row r="21" spans="1:12" ht="40" x14ac:dyDescent="0.35">
      <c r="A21" s="54" t="s">
        <v>623</v>
      </c>
      <c r="B21" s="54" t="s">
        <v>624</v>
      </c>
      <c r="C21" s="55" t="s">
        <v>371</v>
      </c>
      <c r="D21" s="54" t="str">
        <f>VLOOKUP(C21,[1]Headcount_Kiesse!$A$19:$N$193,13,FALSE)</f>
        <v>Production</v>
      </c>
      <c r="E21" s="54" t="s">
        <v>588</v>
      </c>
      <c r="F21" s="56">
        <v>6</v>
      </c>
      <c r="G21" s="56">
        <v>71838.23</v>
      </c>
      <c r="J21" s="194" t="s">
        <v>175</v>
      </c>
      <c r="K21" s="195">
        <v>9.0500000000000007</v>
      </c>
      <c r="L21" s="195">
        <v>159684.17000000001</v>
      </c>
    </row>
    <row r="22" spans="1:12" ht="40" x14ac:dyDescent="0.35">
      <c r="A22" s="54" t="s">
        <v>623</v>
      </c>
      <c r="B22" s="54" t="s">
        <v>624</v>
      </c>
      <c r="C22" s="55" t="s">
        <v>371</v>
      </c>
      <c r="D22" s="54" t="str">
        <f>VLOOKUP(C22,[1]Headcount_Kiesse!$A$19:$N$193,13,FALSE)</f>
        <v>Production</v>
      </c>
      <c r="E22" s="54" t="s">
        <v>593</v>
      </c>
      <c r="F22" s="56">
        <v>15.34</v>
      </c>
      <c r="G22" s="56">
        <v>226050.97</v>
      </c>
      <c r="J22" s="194" t="s">
        <v>179</v>
      </c>
      <c r="K22" s="195">
        <v>10.210000000000001</v>
      </c>
      <c r="L22" s="195">
        <v>406194.45</v>
      </c>
    </row>
    <row r="23" spans="1:12" ht="40" x14ac:dyDescent="0.35">
      <c r="A23" s="54" t="s">
        <v>623</v>
      </c>
      <c r="B23" s="54" t="s">
        <v>624</v>
      </c>
      <c r="C23" s="55" t="s">
        <v>371</v>
      </c>
      <c r="D23" s="54" t="str">
        <f>VLOOKUP(C23,[1]Headcount_Kiesse!$A$19:$N$193,13,FALSE)</f>
        <v>Production</v>
      </c>
      <c r="E23" s="54" t="s">
        <v>595</v>
      </c>
      <c r="F23" s="56">
        <v>25.7</v>
      </c>
      <c r="G23" s="56">
        <v>473395.52</v>
      </c>
      <c r="J23" s="194" t="s">
        <v>182</v>
      </c>
      <c r="K23" s="195">
        <v>8.57</v>
      </c>
      <c r="L23" s="195">
        <v>94177.33</v>
      </c>
    </row>
    <row r="24" spans="1:12" ht="40" x14ac:dyDescent="0.35">
      <c r="A24" s="54" t="s">
        <v>625</v>
      </c>
      <c r="B24" s="54" t="s">
        <v>626</v>
      </c>
      <c r="C24" s="55" t="s">
        <v>373</v>
      </c>
      <c r="D24" s="54" t="str">
        <f>VLOOKUP(C24,[1]Headcount_Kiesse!$A$19:$N$193,13,FALSE)</f>
        <v>Production</v>
      </c>
      <c r="E24" s="54" t="s">
        <v>588</v>
      </c>
      <c r="F24" s="56">
        <v>2.0299999999999998</v>
      </c>
      <c r="G24" s="56">
        <v>23772.32</v>
      </c>
      <c r="J24" s="194" t="s">
        <v>190</v>
      </c>
      <c r="K24" s="195">
        <v>29.43</v>
      </c>
      <c r="L24" s="195">
        <v>843179.52000000002</v>
      </c>
    </row>
    <row r="25" spans="1:12" ht="40" x14ac:dyDescent="0.35">
      <c r="A25" s="54" t="s">
        <v>625</v>
      </c>
      <c r="B25" s="54" t="s">
        <v>626</v>
      </c>
      <c r="C25" s="55" t="s">
        <v>373</v>
      </c>
      <c r="D25" s="54" t="str">
        <f>VLOOKUP(C25,[1]Headcount_Kiesse!$A$19:$N$193,13,FALSE)</f>
        <v>Production</v>
      </c>
      <c r="E25" s="54" t="s">
        <v>593</v>
      </c>
      <c r="F25" s="56">
        <v>12.62</v>
      </c>
      <c r="G25" s="56">
        <v>181891.14</v>
      </c>
      <c r="J25" s="194" t="s">
        <v>202</v>
      </c>
      <c r="K25" s="195">
        <v>8.06</v>
      </c>
      <c r="L25" s="195">
        <v>74971.570000000007</v>
      </c>
    </row>
    <row r="26" spans="1:12" ht="40" x14ac:dyDescent="0.35">
      <c r="A26" s="54" t="s">
        <v>625</v>
      </c>
      <c r="B26" s="54" t="s">
        <v>626</v>
      </c>
      <c r="C26" s="55" t="s">
        <v>373</v>
      </c>
      <c r="D26" s="54" t="str">
        <f>VLOOKUP(C26,[1]Headcount_Kiesse!$A$19:$N$193,13,FALSE)</f>
        <v>Production</v>
      </c>
      <c r="E26" s="54" t="s">
        <v>595</v>
      </c>
      <c r="F26" s="56">
        <v>26.1</v>
      </c>
      <c r="G26" s="56">
        <v>470221.76</v>
      </c>
      <c r="J26" s="194" t="s">
        <v>521</v>
      </c>
      <c r="K26" s="195">
        <v>13</v>
      </c>
      <c r="L26" s="195">
        <v>98343.57</v>
      </c>
    </row>
    <row r="27" spans="1:12" ht="40" x14ac:dyDescent="0.35">
      <c r="A27" s="54" t="s">
        <v>627</v>
      </c>
      <c r="B27" s="54" t="s">
        <v>628</v>
      </c>
      <c r="C27" s="55" t="s">
        <v>375</v>
      </c>
      <c r="D27" s="54" t="str">
        <f>VLOOKUP(C27,[1]Headcount_Kiesse!$A$19:$N$193,13,FALSE)</f>
        <v>Production</v>
      </c>
      <c r="E27" s="54" t="s">
        <v>595</v>
      </c>
      <c r="F27" s="56">
        <v>3.07</v>
      </c>
      <c r="G27" s="56">
        <v>56577.52</v>
      </c>
      <c r="J27" s="194" t="s">
        <v>214</v>
      </c>
      <c r="K27" s="195">
        <v>78.89</v>
      </c>
      <c r="L27" s="195">
        <v>2167039.15</v>
      </c>
    </row>
    <row r="28" spans="1:12" ht="40" x14ac:dyDescent="0.35">
      <c r="A28" s="54" t="s">
        <v>629</v>
      </c>
      <c r="B28" s="54" t="s">
        <v>630</v>
      </c>
      <c r="C28" s="55" t="s">
        <v>415</v>
      </c>
      <c r="D28" s="54" t="str">
        <f>VLOOKUP(C28,[1]Headcount_Kiesse!$A$19:$N$193,13,FALSE)</f>
        <v>Production</v>
      </c>
      <c r="E28" s="54" t="s">
        <v>588</v>
      </c>
      <c r="F28" s="56">
        <v>4</v>
      </c>
      <c r="G28" s="56">
        <v>44173.39</v>
      </c>
      <c r="J28" s="194" t="s">
        <v>233</v>
      </c>
      <c r="K28" s="195">
        <v>69.949999999999989</v>
      </c>
      <c r="L28" s="195">
        <v>1716919.6</v>
      </c>
    </row>
    <row r="29" spans="1:12" ht="40" x14ac:dyDescent="0.35">
      <c r="A29" s="54" t="s">
        <v>629</v>
      </c>
      <c r="B29" s="54" t="s">
        <v>630</v>
      </c>
      <c r="C29" s="55" t="s">
        <v>415</v>
      </c>
      <c r="D29" s="54" t="str">
        <f>VLOOKUP(C29,[1]Headcount_Kiesse!$A$19:$N$193,13,FALSE)</f>
        <v>Production</v>
      </c>
      <c r="E29" s="54" t="s">
        <v>593</v>
      </c>
      <c r="F29" s="56">
        <v>10.02</v>
      </c>
      <c r="G29" s="56">
        <v>136189.96</v>
      </c>
      <c r="J29" s="194" t="s">
        <v>235</v>
      </c>
      <c r="K29" s="195">
        <v>69.789999999999992</v>
      </c>
      <c r="L29" s="195">
        <v>1817875.42</v>
      </c>
    </row>
    <row r="30" spans="1:12" ht="40" x14ac:dyDescent="0.35">
      <c r="A30" s="54" t="s">
        <v>629</v>
      </c>
      <c r="B30" s="54" t="s">
        <v>630</v>
      </c>
      <c r="C30" s="55" t="s">
        <v>415</v>
      </c>
      <c r="D30" s="54" t="str">
        <f>VLOOKUP(C30,[1]Headcount_Kiesse!$A$19:$N$193,13,FALSE)</f>
        <v>Production</v>
      </c>
      <c r="E30" s="54" t="s">
        <v>595</v>
      </c>
      <c r="F30" s="56">
        <v>28.49</v>
      </c>
      <c r="G30" s="56">
        <v>484038.40000000002</v>
      </c>
      <c r="J30" s="194" t="s">
        <v>526</v>
      </c>
      <c r="K30" s="195">
        <v>21</v>
      </c>
      <c r="L30" s="195">
        <v>567926.74</v>
      </c>
    </row>
    <row r="31" spans="1:12" ht="40" x14ac:dyDescent="0.35">
      <c r="A31" s="54" t="s">
        <v>631</v>
      </c>
      <c r="B31" s="54" t="s">
        <v>632</v>
      </c>
      <c r="C31" s="55" t="s">
        <v>130</v>
      </c>
      <c r="D31" s="54" t="str">
        <f>VLOOKUP(C31,[1]Headcount_Kiesse!$A$19:$N$193,13,FALSE)</f>
        <v>Production</v>
      </c>
      <c r="E31" s="54" t="s">
        <v>588</v>
      </c>
      <c r="F31" s="56">
        <v>2</v>
      </c>
      <c r="G31" s="56">
        <v>38004.11</v>
      </c>
      <c r="J31" s="194" t="s">
        <v>528</v>
      </c>
      <c r="K31" s="195">
        <v>4.3</v>
      </c>
      <c r="L31" s="195">
        <v>34423.29</v>
      </c>
    </row>
    <row r="32" spans="1:12" ht="40" x14ac:dyDescent="0.35">
      <c r="A32" s="54" t="s">
        <v>631</v>
      </c>
      <c r="B32" s="54" t="s">
        <v>632</v>
      </c>
      <c r="C32" s="55" t="s">
        <v>130</v>
      </c>
      <c r="D32" s="54" t="str">
        <f>VLOOKUP(C32,[1]Headcount_Kiesse!$A$19:$N$193,13,FALSE)</f>
        <v>Production</v>
      </c>
      <c r="E32" s="54" t="s">
        <v>593</v>
      </c>
      <c r="F32" s="56">
        <v>12</v>
      </c>
      <c r="G32" s="56">
        <v>280645.7</v>
      </c>
      <c r="J32" s="194" t="s">
        <v>276</v>
      </c>
      <c r="K32" s="195">
        <v>2.58</v>
      </c>
      <c r="L32" s="195">
        <v>49078.1</v>
      </c>
    </row>
    <row r="33" spans="1:12" ht="40" x14ac:dyDescent="0.35">
      <c r="A33" s="54" t="s">
        <v>631</v>
      </c>
      <c r="B33" s="54" t="s">
        <v>632</v>
      </c>
      <c r="C33" s="55" t="s">
        <v>130</v>
      </c>
      <c r="D33" s="54" t="str">
        <f>VLOOKUP(C33,[1]Headcount_Kiesse!$A$19:$N$193,13,FALSE)</f>
        <v>Production</v>
      </c>
      <c r="E33" s="54" t="s">
        <v>595</v>
      </c>
      <c r="F33" s="56">
        <v>4</v>
      </c>
      <c r="G33" s="56">
        <v>116935.71</v>
      </c>
      <c r="J33" s="194" t="s">
        <v>323</v>
      </c>
      <c r="K33" s="195">
        <v>15.43</v>
      </c>
      <c r="L33" s="195">
        <v>408720.41</v>
      </c>
    </row>
    <row r="34" spans="1:12" ht="40" x14ac:dyDescent="0.35">
      <c r="A34" s="54" t="s">
        <v>633</v>
      </c>
      <c r="B34" s="54" t="s">
        <v>622</v>
      </c>
      <c r="C34" s="55" t="s">
        <v>136</v>
      </c>
      <c r="D34" s="54" t="str">
        <f>VLOOKUP(C34,[1]Headcount_Kiesse!$A$19:$N$193,13,FALSE)</f>
        <v>Production</v>
      </c>
      <c r="E34" s="54" t="s">
        <v>588</v>
      </c>
      <c r="F34" s="56">
        <v>2</v>
      </c>
      <c r="G34" s="56">
        <v>38132.199999999997</v>
      </c>
      <c r="J34" s="194" t="s">
        <v>326</v>
      </c>
      <c r="K34" s="195">
        <v>7.09</v>
      </c>
      <c r="L34" s="195">
        <v>122117.41</v>
      </c>
    </row>
    <row r="35" spans="1:12" ht="40" x14ac:dyDescent="0.35">
      <c r="A35" s="54" t="s">
        <v>633</v>
      </c>
      <c r="B35" s="54" t="s">
        <v>622</v>
      </c>
      <c r="C35" s="55" t="s">
        <v>136</v>
      </c>
      <c r="D35" s="54" t="str">
        <f>VLOOKUP(C35,[1]Headcount_Kiesse!$A$19:$N$193,13,FALSE)</f>
        <v>Production</v>
      </c>
      <c r="E35" s="54" t="s">
        <v>593</v>
      </c>
      <c r="F35" s="56">
        <v>12</v>
      </c>
      <c r="G35" s="56">
        <v>281591.62</v>
      </c>
      <c r="J35" s="194" t="s">
        <v>328</v>
      </c>
      <c r="K35" s="195">
        <v>27.43</v>
      </c>
      <c r="L35" s="195">
        <v>229799.72</v>
      </c>
    </row>
    <row r="36" spans="1:12" ht="40" x14ac:dyDescent="0.35">
      <c r="A36" s="54" t="s">
        <v>633</v>
      </c>
      <c r="B36" s="54" t="s">
        <v>622</v>
      </c>
      <c r="C36" s="55" t="s">
        <v>136</v>
      </c>
      <c r="D36" s="54" t="str">
        <f>VLOOKUP(C36,[1]Headcount_Kiesse!$A$19:$N$193,13,FALSE)</f>
        <v>Production</v>
      </c>
      <c r="E36" s="54" t="s">
        <v>595</v>
      </c>
      <c r="F36" s="56">
        <v>8</v>
      </c>
      <c r="G36" s="56">
        <v>234659.69</v>
      </c>
      <c r="J36" s="194" t="s">
        <v>330</v>
      </c>
      <c r="K36" s="195">
        <v>8</v>
      </c>
      <c r="L36" s="195">
        <v>114392.21</v>
      </c>
    </row>
    <row r="37" spans="1:12" ht="40" x14ac:dyDescent="0.35">
      <c r="A37" s="54" t="s">
        <v>634</v>
      </c>
      <c r="B37" s="54" t="s">
        <v>620</v>
      </c>
      <c r="C37" s="55" t="s">
        <v>138</v>
      </c>
      <c r="D37" s="54" t="str">
        <f>VLOOKUP(C37,[1]Headcount_Kiesse!$A$19:$N$193,13,FALSE)</f>
        <v>Production</v>
      </c>
      <c r="E37" s="54" t="s">
        <v>588</v>
      </c>
      <c r="F37" s="56">
        <v>2</v>
      </c>
      <c r="G37" s="56">
        <v>40178.239999999998</v>
      </c>
      <c r="J37" s="194" t="s">
        <v>333</v>
      </c>
      <c r="K37" s="195">
        <v>35.29</v>
      </c>
      <c r="L37" s="195">
        <v>1189733.27</v>
      </c>
    </row>
    <row r="38" spans="1:12" ht="40" x14ac:dyDescent="0.35">
      <c r="A38" s="54" t="s">
        <v>634</v>
      </c>
      <c r="B38" s="54" t="s">
        <v>620</v>
      </c>
      <c r="C38" s="55" t="s">
        <v>138</v>
      </c>
      <c r="D38" s="54" t="str">
        <f>VLOOKUP(C38,[1]Headcount_Kiesse!$A$19:$N$193,13,FALSE)</f>
        <v>Production</v>
      </c>
      <c r="E38" s="54" t="s">
        <v>593</v>
      </c>
      <c r="F38" s="56">
        <v>12</v>
      </c>
      <c r="G38" s="56">
        <v>296700.86</v>
      </c>
      <c r="J38" s="194" t="s">
        <v>335</v>
      </c>
      <c r="K38" s="195">
        <v>51.169999999999995</v>
      </c>
      <c r="L38" s="195">
        <v>1404610.8900000001</v>
      </c>
    </row>
    <row r="39" spans="1:12" ht="40" x14ac:dyDescent="0.35">
      <c r="A39" s="54" t="s">
        <v>634</v>
      </c>
      <c r="B39" s="54" t="s">
        <v>620</v>
      </c>
      <c r="C39" s="55" t="s">
        <v>138</v>
      </c>
      <c r="D39" s="54" t="str">
        <f>VLOOKUP(C39,[1]Headcount_Kiesse!$A$19:$N$193,13,FALSE)</f>
        <v>Production</v>
      </c>
      <c r="E39" s="54" t="s">
        <v>595</v>
      </c>
      <c r="F39" s="56">
        <v>8</v>
      </c>
      <c r="G39" s="56">
        <v>247250.71</v>
      </c>
      <c r="J39" s="194" t="s">
        <v>340</v>
      </c>
      <c r="K39" s="195">
        <v>34.93</v>
      </c>
      <c r="L39" s="195">
        <v>356654.93</v>
      </c>
    </row>
    <row r="40" spans="1:12" ht="40" x14ac:dyDescent="0.35">
      <c r="A40" s="54" t="s">
        <v>635</v>
      </c>
      <c r="B40" s="54" t="s">
        <v>636</v>
      </c>
      <c r="C40" s="55" t="s">
        <v>330</v>
      </c>
      <c r="D40" s="54" t="str">
        <f>VLOOKUP(C40,[1]Headcount_Kiesse!$A$19:$N$193,13,FALSE)</f>
        <v>Production</v>
      </c>
      <c r="E40" s="54" t="s">
        <v>595</v>
      </c>
      <c r="F40" s="56">
        <v>8</v>
      </c>
      <c r="G40" s="56">
        <v>114392.21</v>
      </c>
      <c r="J40" s="194" t="s">
        <v>343</v>
      </c>
      <c r="K40" s="195">
        <v>4.03</v>
      </c>
      <c r="L40" s="195">
        <v>85353.96</v>
      </c>
    </row>
    <row r="41" spans="1:12" ht="40" x14ac:dyDescent="0.35">
      <c r="A41" s="54" t="s">
        <v>637</v>
      </c>
      <c r="B41" s="54" t="s">
        <v>547</v>
      </c>
      <c r="C41" s="55" t="s">
        <v>74</v>
      </c>
      <c r="D41" s="54" t="str">
        <f>VLOOKUP(C41,[1]Headcount_Kiesse!$A$19:$N$193,13,FALSE)</f>
        <v>Production</v>
      </c>
      <c r="E41" s="54" t="s">
        <v>588</v>
      </c>
      <c r="F41" s="56">
        <v>0.66</v>
      </c>
      <c r="G41" s="56">
        <v>24025.5</v>
      </c>
      <c r="J41" s="194" t="s">
        <v>346</v>
      </c>
      <c r="K41" s="195">
        <v>61.730000000000004</v>
      </c>
      <c r="L41" s="195">
        <v>434241.91</v>
      </c>
    </row>
    <row r="42" spans="1:12" ht="40" x14ac:dyDescent="0.35">
      <c r="A42" s="54" t="s">
        <v>637</v>
      </c>
      <c r="B42" s="54" t="s">
        <v>547</v>
      </c>
      <c r="C42" s="55" t="s">
        <v>74</v>
      </c>
      <c r="D42" s="54" t="str">
        <f>VLOOKUP(C42,[1]Headcount_Kiesse!$A$19:$N$193,13,FALSE)</f>
        <v>Production</v>
      </c>
      <c r="E42" s="54" t="s">
        <v>595</v>
      </c>
      <c r="F42" s="56">
        <v>14.08</v>
      </c>
      <c r="G42" s="56">
        <v>788529.34</v>
      </c>
      <c r="J42" s="194" t="s">
        <v>349</v>
      </c>
      <c r="K42" s="195">
        <v>15.41</v>
      </c>
      <c r="L42" s="195">
        <v>383069.32999999996</v>
      </c>
    </row>
    <row r="43" spans="1:12" ht="40" x14ac:dyDescent="0.35">
      <c r="A43" s="54" t="s">
        <v>638</v>
      </c>
      <c r="B43" s="54" t="s">
        <v>615</v>
      </c>
      <c r="C43" s="55" t="s">
        <v>126</v>
      </c>
      <c r="D43" s="54" t="str">
        <f>VLOOKUP(C43,[1]Headcount_Kiesse!$A$19:$N$193,13,FALSE)</f>
        <v>Production</v>
      </c>
      <c r="E43" s="54" t="s">
        <v>595</v>
      </c>
      <c r="F43" s="56">
        <v>8.39</v>
      </c>
      <c r="G43" s="56">
        <v>112006.54</v>
      </c>
      <c r="J43" s="194" t="s">
        <v>538</v>
      </c>
      <c r="K43" s="195">
        <v>6</v>
      </c>
      <c r="L43" s="195">
        <v>142404.06</v>
      </c>
    </row>
    <row r="44" spans="1:12" ht="40" x14ac:dyDescent="0.35">
      <c r="A44" s="54" t="s">
        <v>639</v>
      </c>
      <c r="B44" s="54" t="s">
        <v>640</v>
      </c>
      <c r="C44" s="55" t="s">
        <v>202</v>
      </c>
      <c r="D44" s="54" t="str">
        <f>VLOOKUP(C44,[1]Headcount_Kiesse!$A$19:$N$193,13,FALSE)</f>
        <v>Production</v>
      </c>
      <c r="E44" s="54" t="s">
        <v>595</v>
      </c>
      <c r="F44" s="56">
        <v>8.06</v>
      </c>
      <c r="G44" s="56">
        <v>74971.570000000007</v>
      </c>
      <c r="J44" s="194" t="s">
        <v>368</v>
      </c>
      <c r="K44" s="195">
        <v>29.11</v>
      </c>
      <c r="L44" s="195">
        <v>561076.81000000006</v>
      </c>
    </row>
    <row r="45" spans="1:12" ht="40" x14ac:dyDescent="0.35">
      <c r="A45" s="54" t="s">
        <v>641</v>
      </c>
      <c r="B45" s="54" t="s">
        <v>642</v>
      </c>
      <c r="C45" s="55" t="s">
        <v>326</v>
      </c>
      <c r="D45" s="54" t="str">
        <f>VLOOKUP(C45,[1]Headcount_Kiesse!$A$19:$N$193,13,FALSE)</f>
        <v>Production</v>
      </c>
      <c r="E45" s="54" t="s">
        <v>595</v>
      </c>
      <c r="F45" s="56">
        <v>7.09</v>
      </c>
      <c r="G45" s="56">
        <v>122117.41</v>
      </c>
      <c r="J45" s="194" t="s">
        <v>371</v>
      </c>
      <c r="K45" s="195">
        <v>47.04</v>
      </c>
      <c r="L45" s="195">
        <v>771284.72</v>
      </c>
    </row>
    <row r="46" spans="1:12" ht="40" x14ac:dyDescent="0.35">
      <c r="A46" s="54" t="s">
        <v>637</v>
      </c>
      <c r="B46" s="54" t="s">
        <v>643</v>
      </c>
      <c r="C46" s="55" t="s">
        <v>328</v>
      </c>
      <c r="D46" s="54" t="str">
        <f>VLOOKUP(C46,[1]Headcount_Kiesse!$A$19:$N$193,13,FALSE)</f>
        <v>Production</v>
      </c>
      <c r="E46" s="54" t="s">
        <v>588</v>
      </c>
      <c r="F46" s="56">
        <v>4</v>
      </c>
      <c r="G46" s="56">
        <v>25757.86</v>
      </c>
      <c r="J46" s="194" t="s">
        <v>373</v>
      </c>
      <c r="K46" s="195">
        <v>40.75</v>
      </c>
      <c r="L46" s="195">
        <v>675885.22</v>
      </c>
    </row>
    <row r="47" spans="1:12" ht="40" x14ac:dyDescent="0.35">
      <c r="A47" s="54" t="s">
        <v>637</v>
      </c>
      <c r="B47" s="54" t="s">
        <v>643</v>
      </c>
      <c r="C47" s="55" t="s">
        <v>328</v>
      </c>
      <c r="D47" s="54" t="str">
        <f>VLOOKUP(C47,[1]Headcount_Kiesse!$A$19:$N$193,13,FALSE)</f>
        <v>Production</v>
      </c>
      <c r="E47" s="54" t="s">
        <v>593</v>
      </c>
      <c r="F47" s="56">
        <v>14.17</v>
      </c>
      <c r="G47" s="56">
        <v>112304.26</v>
      </c>
      <c r="J47" s="194" t="s">
        <v>375</v>
      </c>
      <c r="K47" s="195">
        <v>3.07</v>
      </c>
      <c r="L47" s="195">
        <v>56577.52</v>
      </c>
    </row>
    <row r="48" spans="1:12" ht="40" x14ac:dyDescent="0.35">
      <c r="A48" s="54" t="s">
        <v>637</v>
      </c>
      <c r="B48" s="54" t="s">
        <v>643</v>
      </c>
      <c r="C48" s="55" t="s">
        <v>328</v>
      </c>
      <c r="D48" s="54" t="str">
        <f>VLOOKUP(C48,[1]Headcount_Kiesse!$A$19:$N$193,13,FALSE)</f>
        <v>Production</v>
      </c>
      <c r="E48" s="54" t="s">
        <v>595</v>
      </c>
      <c r="F48" s="56">
        <v>9.26</v>
      </c>
      <c r="G48" s="56">
        <v>91737.600000000006</v>
      </c>
      <c r="J48" s="194" t="s">
        <v>399</v>
      </c>
      <c r="K48" s="195">
        <v>36.46</v>
      </c>
      <c r="L48" s="195">
        <v>1092831.96</v>
      </c>
    </row>
    <row r="49" spans="1:12" ht="40" x14ac:dyDescent="0.35">
      <c r="A49" s="54" t="s">
        <v>644</v>
      </c>
      <c r="B49" s="54" t="s">
        <v>645</v>
      </c>
      <c r="C49" s="55" t="s">
        <v>340</v>
      </c>
      <c r="D49" s="54" t="str">
        <f>VLOOKUP(C49,[1]Headcount_Kiesse!$A$19:$N$193,13,FALSE)</f>
        <v>Production</v>
      </c>
      <c r="E49" s="54" t="s">
        <v>588</v>
      </c>
      <c r="F49" s="56">
        <v>2</v>
      </c>
      <c r="G49" s="56">
        <v>13591.24</v>
      </c>
      <c r="J49" s="194" t="s">
        <v>415</v>
      </c>
      <c r="K49" s="195">
        <v>42.51</v>
      </c>
      <c r="L49" s="195">
        <v>664401.75</v>
      </c>
    </row>
    <row r="50" spans="1:12" ht="40" x14ac:dyDescent="0.35">
      <c r="A50" s="54" t="s">
        <v>644</v>
      </c>
      <c r="B50" s="54" t="s">
        <v>645</v>
      </c>
      <c r="C50" s="55" t="s">
        <v>340</v>
      </c>
      <c r="D50" s="54" t="str">
        <f>VLOOKUP(C50,[1]Headcount_Kiesse!$A$19:$N$193,13,FALSE)</f>
        <v>Production</v>
      </c>
      <c r="E50" s="54" t="s">
        <v>593</v>
      </c>
      <c r="F50" s="56">
        <v>0.57999999999999996</v>
      </c>
      <c r="G50" s="56">
        <v>4851.03</v>
      </c>
      <c r="J50" s="194" t="s">
        <v>435</v>
      </c>
      <c r="K50" s="195">
        <v>24.16</v>
      </c>
      <c r="L50" s="195">
        <v>333211.18</v>
      </c>
    </row>
    <row r="51" spans="1:12" ht="40" x14ac:dyDescent="0.35">
      <c r="A51" s="54" t="s">
        <v>644</v>
      </c>
      <c r="B51" s="54" t="s">
        <v>645</v>
      </c>
      <c r="C51" s="55" t="s">
        <v>340</v>
      </c>
      <c r="D51" s="54" t="str">
        <f>VLOOKUP(C51,[1]Headcount_Kiesse!$A$19:$N$193,13,FALSE)</f>
        <v>Production</v>
      </c>
      <c r="E51" s="54" t="s">
        <v>595</v>
      </c>
      <c r="F51" s="56">
        <v>32.35</v>
      </c>
      <c r="G51" s="56">
        <v>338212.66</v>
      </c>
      <c r="J51" s="194" t="s">
        <v>449</v>
      </c>
      <c r="K51" s="195">
        <v>38.28</v>
      </c>
      <c r="L51" s="195">
        <v>308547.95</v>
      </c>
    </row>
    <row r="52" spans="1:12" ht="40" x14ac:dyDescent="0.35">
      <c r="A52" s="54" t="s">
        <v>646</v>
      </c>
      <c r="B52" s="54" t="s">
        <v>647</v>
      </c>
      <c r="C52" s="55" t="s">
        <v>123</v>
      </c>
      <c r="D52" s="54" t="str">
        <f>VLOOKUP(C52,[1]Headcount_Kiesse!$A$19:$N$193,13,FALSE)</f>
        <v>Engineering</v>
      </c>
      <c r="E52" s="54" t="s">
        <v>588</v>
      </c>
      <c r="F52" s="56">
        <v>4</v>
      </c>
      <c r="G52" s="56">
        <v>73836.960000000006</v>
      </c>
      <c r="J52" s="194" t="s">
        <v>451</v>
      </c>
      <c r="K52" s="195">
        <v>9.42</v>
      </c>
      <c r="L52" s="195">
        <v>186019.97</v>
      </c>
    </row>
    <row r="53" spans="1:12" ht="40" x14ac:dyDescent="0.35">
      <c r="A53" s="54" t="s">
        <v>646</v>
      </c>
      <c r="B53" s="54" t="s">
        <v>647</v>
      </c>
      <c r="C53" s="55" t="s">
        <v>123</v>
      </c>
      <c r="D53" s="54" t="str">
        <f>VLOOKUP(C53,[1]Headcount_Kiesse!$A$19:$N$193,13,FALSE)</f>
        <v>Engineering</v>
      </c>
      <c r="E53" s="54" t="s">
        <v>593</v>
      </c>
      <c r="F53" s="56">
        <v>24.49</v>
      </c>
      <c r="G53" s="56">
        <v>556389.88</v>
      </c>
      <c r="J53" s="194" t="s">
        <v>506</v>
      </c>
      <c r="K53" s="195">
        <v>22.6</v>
      </c>
      <c r="L53" s="195">
        <v>287407.19</v>
      </c>
    </row>
    <row r="54" spans="1:12" ht="40" x14ac:dyDescent="0.35">
      <c r="A54" s="54" t="s">
        <v>646</v>
      </c>
      <c r="B54" s="54" t="s">
        <v>647</v>
      </c>
      <c r="C54" s="55" t="s">
        <v>123</v>
      </c>
      <c r="D54" s="54" t="str">
        <f>VLOOKUP(C54,[1]Headcount_Kiesse!$A$19:$N$193,13,FALSE)</f>
        <v>Engineering</v>
      </c>
      <c r="E54" s="54" t="s">
        <v>595</v>
      </c>
      <c r="F54" s="56">
        <v>10</v>
      </c>
      <c r="G54" s="56">
        <v>283988.3</v>
      </c>
      <c r="J54" s="194" t="s">
        <v>513</v>
      </c>
      <c r="K54" s="195">
        <v>45.6</v>
      </c>
      <c r="L54" s="195">
        <v>767121.49</v>
      </c>
    </row>
    <row r="55" spans="1:12" ht="40" x14ac:dyDescent="0.35">
      <c r="A55" s="54" t="s">
        <v>648</v>
      </c>
      <c r="B55" s="54" t="s">
        <v>649</v>
      </c>
      <c r="C55" s="55" t="s">
        <v>169</v>
      </c>
      <c r="D55" s="54" t="str">
        <f>VLOOKUP(C55,[1]Headcount_Kiesse!$A$19:$N$193,13,FALSE)</f>
        <v>Engineering</v>
      </c>
      <c r="E55" s="54" t="s">
        <v>588</v>
      </c>
      <c r="F55" s="56">
        <v>0.32</v>
      </c>
      <c r="G55" s="56">
        <v>5831.12</v>
      </c>
      <c r="J55" s="194" t="s">
        <v>650</v>
      </c>
      <c r="K55" s="195">
        <v>1251.9799999999996</v>
      </c>
      <c r="L55" s="195">
        <v>27312632.879999988</v>
      </c>
    </row>
    <row r="56" spans="1:12" ht="40" x14ac:dyDescent="0.35">
      <c r="A56" s="54" t="s">
        <v>648</v>
      </c>
      <c r="B56" s="54" t="s">
        <v>649</v>
      </c>
      <c r="C56" s="55" t="s">
        <v>169</v>
      </c>
      <c r="D56" s="54" t="str">
        <f>VLOOKUP(C56,[1]Headcount_Kiesse!$A$19:$N$193,13,FALSE)</f>
        <v>Engineering</v>
      </c>
      <c r="E56" s="54" t="s">
        <v>595</v>
      </c>
      <c r="F56" s="56">
        <v>26.59</v>
      </c>
      <c r="G56" s="56">
        <v>745429.66</v>
      </c>
      <c r="J56"/>
      <c r="K56"/>
      <c r="L56"/>
    </row>
    <row r="57" spans="1:12" ht="40" x14ac:dyDescent="0.35">
      <c r="A57" s="54" t="s">
        <v>651</v>
      </c>
      <c r="B57" s="54" t="s">
        <v>640</v>
      </c>
      <c r="C57" s="55" t="s">
        <v>190</v>
      </c>
      <c r="D57" s="54" t="str">
        <f>VLOOKUP(C57,[1]Headcount_Kiesse!$A$19:$N$193,13,FALSE)</f>
        <v>Engineering</v>
      </c>
      <c r="E57" s="54" t="s">
        <v>588</v>
      </c>
      <c r="F57" s="56">
        <v>2</v>
      </c>
      <c r="G57" s="56">
        <v>38380.019999999997</v>
      </c>
      <c r="J57"/>
      <c r="K57"/>
      <c r="L57"/>
    </row>
    <row r="58" spans="1:12" ht="40" x14ac:dyDescent="0.35">
      <c r="A58" s="54" t="s">
        <v>651</v>
      </c>
      <c r="B58" s="54" t="s">
        <v>640</v>
      </c>
      <c r="C58" s="55" t="s">
        <v>190</v>
      </c>
      <c r="D58" s="54" t="str">
        <f>VLOOKUP(C58,[1]Headcount_Kiesse!$A$19:$N$193,13,FALSE)</f>
        <v>Engineering</v>
      </c>
      <c r="E58" s="54" t="s">
        <v>593</v>
      </c>
      <c r="F58" s="56">
        <v>0.85</v>
      </c>
      <c r="G58" s="56">
        <v>20075.7</v>
      </c>
      <c r="J58"/>
      <c r="K58"/>
      <c r="L58"/>
    </row>
    <row r="59" spans="1:12" ht="40" x14ac:dyDescent="0.35">
      <c r="A59" s="54" t="s">
        <v>651</v>
      </c>
      <c r="B59" s="54" t="s">
        <v>640</v>
      </c>
      <c r="C59" s="55" t="s">
        <v>190</v>
      </c>
      <c r="D59" s="54" t="str">
        <f>VLOOKUP(C59,[1]Headcount_Kiesse!$A$19:$N$193,13,FALSE)</f>
        <v>Engineering</v>
      </c>
      <c r="E59" s="54" t="s">
        <v>595</v>
      </c>
      <c r="F59" s="56">
        <v>26.58</v>
      </c>
      <c r="G59" s="56">
        <v>784723.8</v>
      </c>
      <c r="J59"/>
      <c r="K59"/>
      <c r="L59"/>
    </row>
    <row r="60" spans="1:12" ht="40" x14ac:dyDescent="0.35">
      <c r="A60" s="54" t="s">
        <v>652</v>
      </c>
      <c r="B60" s="54" t="s">
        <v>649</v>
      </c>
      <c r="C60" s="55" t="s">
        <v>214</v>
      </c>
      <c r="D60" s="54" t="str">
        <f>VLOOKUP(C60,[1]Headcount_Kiesse!$A$19:$N$193,13,FALSE)</f>
        <v>Engineering</v>
      </c>
      <c r="E60" s="54" t="s">
        <v>588</v>
      </c>
      <c r="F60" s="56">
        <v>6</v>
      </c>
      <c r="G60" s="56">
        <v>125627.33</v>
      </c>
      <c r="J60"/>
      <c r="K60"/>
      <c r="L60"/>
    </row>
    <row r="61" spans="1:12" ht="40" x14ac:dyDescent="0.35">
      <c r="A61" s="54" t="s">
        <v>652</v>
      </c>
      <c r="B61" s="54" t="s">
        <v>649</v>
      </c>
      <c r="C61" s="55" t="s">
        <v>214</v>
      </c>
      <c r="D61" s="54" t="str">
        <f>VLOOKUP(C61,[1]Headcount_Kiesse!$A$19:$N$193,13,FALSE)</f>
        <v>Engineering</v>
      </c>
      <c r="E61" s="54" t="s">
        <v>593</v>
      </c>
      <c r="F61" s="56">
        <v>47.58</v>
      </c>
      <c r="G61" s="56">
        <v>1226122.69</v>
      </c>
      <c r="J61"/>
      <c r="K61"/>
      <c r="L61"/>
    </row>
    <row r="62" spans="1:12" ht="40" x14ac:dyDescent="0.35">
      <c r="A62" s="54" t="s">
        <v>652</v>
      </c>
      <c r="B62" s="54" t="s">
        <v>649</v>
      </c>
      <c r="C62" s="55" t="s">
        <v>214</v>
      </c>
      <c r="D62" s="54" t="str">
        <f>VLOOKUP(C62,[1]Headcount_Kiesse!$A$19:$N$193,13,FALSE)</f>
        <v>Engineering</v>
      </c>
      <c r="E62" s="54" t="s">
        <v>595</v>
      </c>
      <c r="F62" s="56">
        <v>25.31</v>
      </c>
      <c r="G62" s="56">
        <v>815289.13</v>
      </c>
      <c r="J62"/>
      <c r="K62"/>
      <c r="L62"/>
    </row>
    <row r="63" spans="1:12" ht="40" x14ac:dyDescent="0.35">
      <c r="A63" s="54" t="s">
        <v>653</v>
      </c>
      <c r="B63" s="54" t="s">
        <v>654</v>
      </c>
      <c r="C63" s="55" t="s">
        <v>233</v>
      </c>
      <c r="D63" s="54" t="str">
        <f>VLOOKUP(C63,[1]Headcount_Kiesse!$A$19:$N$193,13,FALSE)</f>
        <v>Engineering</v>
      </c>
      <c r="E63" s="54" t="s">
        <v>588</v>
      </c>
      <c r="F63" s="56">
        <v>5.87</v>
      </c>
      <c r="G63" s="56">
        <v>108434.48</v>
      </c>
      <c r="J63"/>
      <c r="K63"/>
      <c r="L63"/>
    </row>
    <row r="64" spans="1:12" ht="40" x14ac:dyDescent="0.35">
      <c r="A64" s="54" t="s">
        <v>653</v>
      </c>
      <c r="B64" s="54" t="s">
        <v>654</v>
      </c>
      <c r="C64" s="55" t="s">
        <v>233</v>
      </c>
      <c r="D64" s="54" t="str">
        <f>VLOOKUP(C64,[1]Headcount_Kiesse!$A$19:$N$193,13,FALSE)</f>
        <v>Engineering</v>
      </c>
      <c r="E64" s="54" t="s">
        <v>593</v>
      </c>
      <c r="F64" s="56">
        <v>37.409999999999997</v>
      </c>
      <c r="G64" s="56">
        <v>850537.88</v>
      </c>
      <c r="J64"/>
      <c r="K64"/>
      <c r="L64"/>
    </row>
    <row r="65" spans="1:12" ht="40" x14ac:dyDescent="0.35">
      <c r="A65" s="54" t="s">
        <v>653</v>
      </c>
      <c r="B65" s="54" t="s">
        <v>654</v>
      </c>
      <c r="C65" s="55" t="s">
        <v>233</v>
      </c>
      <c r="D65" s="54" t="str">
        <f>VLOOKUP(C65,[1]Headcount_Kiesse!$A$19:$N$193,13,FALSE)</f>
        <v>Engineering</v>
      </c>
      <c r="E65" s="54" t="s">
        <v>595</v>
      </c>
      <c r="F65" s="56">
        <v>26.67</v>
      </c>
      <c r="G65" s="56">
        <v>757947.24</v>
      </c>
      <c r="J65"/>
      <c r="K65"/>
      <c r="L65"/>
    </row>
    <row r="66" spans="1:12" ht="40" x14ac:dyDescent="0.35">
      <c r="A66" s="54" t="s">
        <v>655</v>
      </c>
      <c r="B66" s="54" t="s">
        <v>656</v>
      </c>
      <c r="C66" s="55" t="s">
        <v>235</v>
      </c>
      <c r="D66" s="54" t="str">
        <f>VLOOKUP(C66,[1]Headcount_Kiesse!$A$19:$N$193,13,FALSE)</f>
        <v>Engineering</v>
      </c>
      <c r="E66" s="54" t="s">
        <v>588</v>
      </c>
      <c r="F66" s="56">
        <v>4</v>
      </c>
      <c r="G66" s="56">
        <v>76410.960000000006</v>
      </c>
      <c r="J66"/>
      <c r="K66"/>
      <c r="L66"/>
    </row>
    <row r="67" spans="1:12" ht="40" x14ac:dyDescent="0.35">
      <c r="A67" s="54" t="s">
        <v>655</v>
      </c>
      <c r="B67" s="54" t="s">
        <v>656</v>
      </c>
      <c r="C67" s="55" t="s">
        <v>235</v>
      </c>
      <c r="D67" s="54" t="str">
        <f>VLOOKUP(C67,[1]Headcount_Kiesse!$A$19:$N$193,13,FALSE)</f>
        <v>Engineering</v>
      </c>
      <c r="E67" s="54" t="s">
        <v>593</v>
      </c>
      <c r="F67" s="56">
        <v>32.67</v>
      </c>
      <c r="G67" s="56">
        <v>768106.44</v>
      </c>
      <c r="J67"/>
      <c r="K67"/>
      <c r="L67"/>
    </row>
    <row r="68" spans="1:12" ht="40" x14ac:dyDescent="0.35">
      <c r="A68" s="54" t="s">
        <v>655</v>
      </c>
      <c r="B68" s="54" t="s">
        <v>656</v>
      </c>
      <c r="C68" s="55" t="s">
        <v>235</v>
      </c>
      <c r="D68" s="54" t="str">
        <f>VLOOKUP(C68,[1]Headcount_Kiesse!$A$19:$N$193,13,FALSE)</f>
        <v>Engineering</v>
      </c>
      <c r="E68" s="54" t="s">
        <v>595</v>
      </c>
      <c r="F68" s="56">
        <v>33.119999999999997</v>
      </c>
      <c r="G68" s="56">
        <v>973358.02</v>
      </c>
      <c r="J68"/>
      <c r="K68"/>
      <c r="L68"/>
    </row>
    <row r="69" spans="1:12" ht="40" x14ac:dyDescent="0.35">
      <c r="A69" s="54" t="s">
        <v>657</v>
      </c>
      <c r="B69" s="54" t="s">
        <v>658</v>
      </c>
      <c r="C69" s="55" t="s">
        <v>333</v>
      </c>
      <c r="D69" s="54" t="str">
        <f>VLOOKUP(C69,[1]Headcount_Kiesse!$A$19:$N$193,13,FALSE)</f>
        <v>Engineering</v>
      </c>
      <c r="E69" s="54" t="s">
        <v>588</v>
      </c>
      <c r="F69" s="56">
        <v>2.95</v>
      </c>
      <c r="G69" s="56">
        <v>67177.48</v>
      </c>
      <c r="J69"/>
      <c r="K69"/>
      <c r="L69"/>
    </row>
    <row r="70" spans="1:12" ht="40" x14ac:dyDescent="0.35">
      <c r="A70" s="54" t="s">
        <v>657</v>
      </c>
      <c r="B70" s="54" t="s">
        <v>658</v>
      </c>
      <c r="C70" s="55" t="s">
        <v>333</v>
      </c>
      <c r="D70" s="54" t="str">
        <f>VLOOKUP(C70,[1]Headcount_Kiesse!$A$19:$N$193,13,FALSE)</f>
        <v>Engineering</v>
      </c>
      <c r="E70" s="54" t="s">
        <v>593</v>
      </c>
      <c r="F70" s="56">
        <v>1.49</v>
      </c>
      <c r="G70" s="56">
        <v>41760.39</v>
      </c>
      <c r="J70"/>
      <c r="K70"/>
      <c r="L70"/>
    </row>
    <row r="71" spans="1:12" ht="40" x14ac:dyDescent="0.35">
      <c r="A71" s="54" t="s">
        <v>657</v>
      </c>
      <c r="B71" s="54" t="s">
        <v>658</v>
      </c>
      <c r="C71" s="55" t="s">
        <v>333</v>
      </c>
      <c r="D71" s="54" t="str">
        <f>VLOOKUP(C71,[1]Headcount_Kiesse!$A$19:$N$193,13,FALSE)</f>
        <v>Engineering</v>
      </c>
      <c r="E71" s="54" t="s">
        <v>595</v>
      </c>
      <c r="F71" s="56">
        <v>30.85</v>
      </c>
      <c r="G71" s="56">
        <v>1080795.3999999999</v>
      </c>
      <c r="J71"/>
      <c r="K71"/>
      <c r="L71"/>
    </row>
    <row r="72" spans="1:12" ht="40" x14ac:dyDescent="0.35">
      <c r="A72" s="54" t="s">
        <v>659</v>
      </c>
      <c r="B72" s="54" t="s">
        <v>660</v>
      </c>
      <c r="C72" s="55" t="s">
        <v>335</v>
      </c>
      <c r="D72" s="54" t="str">
        <f>VLOOKUP(C72,[1]Headcount_Kiesse!$A$19:$N$193,13,FALSE)</f>
        <v>Engineering</v>
      </c>
      <c r="E72" s="54" t="s">
        <v>588</v>
      </c>
      <c r="F72" s="56">
        <v>4</v>
      </c>
      <c r="G72" s="56">
        <v>83934.46</v>
      </c>
      <c r="J72"/>
      <c r="K72"/>
      <c r="L72"/>
    </row>
    <row r="73" spans="1:12" ht="40" x14ac:dyDescent="0.35">
      <c r="A73" s="54" t="s">
        <v>659</v>
      </c>
      <c r="B73" s="54" t="s">
        <v>660</v>
      </c>
      <c r="C73" s="55" t="s">
        <v>335</v>
      </c>
      <c r="D73" s="54" t="str">
        <f>VLOOKUP(C73,[1]Headcount_Kiesse!$A$19:$N$193,13,FALSE)</f>
        <v>Engineering</v>
      </c>
      <c r="E73" s="54" t="s">
        <v>593</v>
      </c>
      <c r="F73" s="56">
        <v>31.3</v>
      </c>
      <c r="G73" s="56">
        <v>808353.41</v>
      </c>
      <c r="J73"/>
      <c r="K73"/>
      <c r="L73"/>
    </row>
    <row r="74" spans="1:12" ht="40" x14ac:dyDescent="0.35">
      <c r="A74" s="54" t="s">
        <v>659</v>
      </c>
      <c r="B74" s="54" t="s">
        <v>660</v>
      </c>
      <c r="C74" s="55" t="s">
        <v>335</v>
      </c>
      <c r="D74" s="54" t="str">
        <f>VLOOKUP(C74,[1]Headcount_Kiesse!$A$19:$N$193,13,FALSE)</f>
        <v>Engineering</v>
      </c>
      <c r="E74" s="54" t="s">
        <v>595</v>
      </c>
      <c r="F74" s="56">
        <v>15.87</v>
      </c>
      <c r="G74" s="56">
        <v>512323.02</v>
      </c>
      <c r="J74"/>
      <c r="K74"/>
      <c r="L74"/>
    </row>
    <row r="75" spans="1:12" ht="40" x14ac:dyDescent="0.35">
      <c r="A75" s="54" t="s">
        <v>661</v>
      </c>
      <c r="B75" s="54" t="s">
        <v>662</v>
      </c>
      <c r="C75" s="55" t="s">
        <v>343</v>
      </c>
      <c r="D75" s="54" t="str">
        <f>VLOOKUP(C75,[1]Headcount_Kiesse!$A$19:$N$193,13,FALSE)</f>
        <v>Engineering</v>
      </c>
      <c r="E75" s="54" t="s">
        <v>595</v>
      </c>
      <c r="F75" s="56">
        <v>4.03</v>
      </c>
      <c r="G75" s="56">
        <v>85353.96</v>
      </c>
      <c r="J75"/>
      <c r="K75"/>
      <c r="L75"/>
    </row>
    <row r="76" spans="1:12" ht="40" x14ac:dyDescent="0.35">
      <c r="A76" s="54" t="s">
        <v>663</v>
      </c>
      <c r="B76" s="54" t="s">
        <v>664</v>
      </c>
      <c r="C76" s="55" t="s">
        <v>449</v>
      </c>
      <c r="D76" s="54" t="str">
        <f>VLOOKUP(C76,[1]Headcount_Kiesse!$A$19:$N$193,13,FALSE)</f>
        <v>Engineering</v>
      </c>
      <c r="E76" s="54" t="s">
        <v>588</v>
      </c>
      <c r="F76" s="56">
        <v>4</v>
      </c>
      <c r="G76" s="56">
        <v>23404.85</v>
      </c>
      <c r="J76"/>
      <c r="K76"/>
      <c r="L76"/>
    </row>
    <row r="77" spans="1:12" ht="40" x14ac:dyDescent="0.35">
      <c r="A77" s="54" t="s">
        <v>663</v>
      </c>
      <c r="B77" s="54" t="s">
        <v>664</v>
      </c>
      <c r="C77" s="55" t="s">
        <v>449</v>
      </c>
      <c r="D77" s="54" t="str">
        <f>VLOOKUP(C77,[1]Headcount_Kiesse!$A$19:$N$193,13,FALSE)</f>
        <v>Engineering</v>
      </c>
      <c r="E77" s="54" t="s">
        <v>593</v>
      </c>
      <c r="F77" s="56">
        <v>13.02</v>
      </c>
      <c r="G77" s="56">
        <v>93763.43</v>
      </c>
      <c r="J77"/>
      <c r="K77"/>
      <c r="L77"/>
    </row>
    <row r="78" spans="1:12" ht="40" x14ac:dyDescent="0.35">
      <c r="A78" s="54" t="s">
        <v>663</v>
      </c>
      <c r="B78" s="54" t="s">
        <v>664</v>
      </c>
      <c r="C78" s="55" t="s">
        <v>449</v>
      </c>
      <c r="D78" s="54" t="str">
        <f>VLOOKUP(C78,[1]Headcount_Kiesse!$A$19:$N$193,13,FALSE)</f>
        <v>Engineering</v>
      </c>
      <c r="E78" s="54" t="s">
        <v>595</v>
      </c>
      <c r="F78" s="56">
        <v>21.26</v>
      </c>
      <c r="G78" s="56">
        <v>191379.67</v>
      </c>
      <c r="J78"/>
      <c r="K78"/>
      <c r="L78"/>
    </row>
    <row r="79" spans="1:12" ht="40" x14ac:dyDescent="0.35">
      <c r="A79" s="54" t="s">
        <v>665</v>
      </c>
      <c r="B79" s="54" t="s">
        <v>666</v>
      </c>
      <c r="C79" s="55" t="s">
        <v>451</v>
      </c>
      <c r="D79" s="54" t="str">
        <f>VLOOKUP(C79,[1]Headcount_Kiesse!$A$19:$N$193,13,FALSE)</f>
        <v>Engineering</v>
      </c>
      <c r="E79" s="54" t="s">
        <v>588</v>
      </c>
      <c r="F79" s="56">
        <v>2</v>
      </c>
      <c r="G79" s="56">
        <v>33419.839999999997</v>
      </c>
      <c r="J79"/>
      <c r="K79"/>
      <c r="L79"/>
    </row>
    <row r="80" spans="1:12" ht="40" x14ac:dyDescent="0.35">
      <c r="A80" s="54" t="s">
        <v>665</v>
      </c>
      <c r="B80" s="54" t="s">
        <v>666</v>
      </c>
      <c r="C80" s="55" t="s">
        <v>451</v>
      </c>
      <c r="D80" s="54" t="str">
        <f>VLOOKUP(C80,[1]Headcount_Kiesse!$A$19:$N$193,13,FALSE)</f>
        <v>Engineering</v>
      </c>
      <c r="E80" s="54" t="s">
        <v>593</v>
      </c>
      <c r="F80" s="56">
        <v>7.42</v>
      </c>
      <c r="G80" s="56">
        <v>152600.13</v>
      </c>
      <c r="J80"/>
      <c r="K80"/>
      <c r="L80"/>
    </row>
    <row r="81" spans="1:12" ht="40" x14ac:dyDescent="0.35">
      <c r="A81" s="54" t="s">
        <v>667</v>
      </c>
      <c r="B81" s="54" t="s">
        <v>668</v>
      </c>
      <c r="C81" s="55" t="s">
        <v>506</v>
      </c>
      <c r="D81" s="54" t="str">
        <f>VLOOKUP(C81,[1]Headcount_Kiesse!$A$19:$N$193,13,FALSE)</f>
        <v>Engineering</v>
      </c>
      <c r="E81" s="54" t="s">
        <v>588</v>
      </c>
      <c r="F81" s="56">
        <v>4</v>
      </c>
      <c r="G81" s="56">
        <v>42749.35</v>
      </c>
      <c r="J81"/>
      <c r="K81"/>
      <c r="L81"/>
    </row>
    <row r="82" spans="1:12" ht="40" x14ac:dyDescent="0.35">
      <c r="A82" s="54" t="s">
        <v>667</v>
      </c>
      <c r="B82" s="54" t="s">
        <v>668</v>
      </c>
      <c r="C82" s="55" t="s">
        <v>506</v>
      </c>
      <c r="D82" s="54" t="str">
        <f>VLOOKUP(C82,[1]Headcount_Kiesse!$A$19:$N$193,13,FALSE)</f>
        <v>Engineering</v>
      </c>
      <c r="E82" s="54" t="s">
        <v>593</v>
      </c>
      <c r="F82" s="56">
        <v>18.600000000000001</v>
      </c>
      <c r="G82" s="56">
        <v>244657.84</v>
      </c>
      <c r="J82"/>
      <c r="K82"/>
      <c r="L82"/>
    </row>
    <row r="83" spans="1:12" ht="40" x14ac:dyDescent="0.35">
      <c r="A83" s="54" t="s">
        <v>586</v>
      </c>
      <c r="B83" s="54" t="s">
        <v>669</v>
      </c>
      <c r="C83" s="55" t="s">
        <v>513</v>
      </c>
      <c r="D83" s="54" t="str">
        <f>VLOOKUP(C83,[1]Headcount_Kiesse!$A$19:$N$193,13,FALSE)</f>
        <v>Engineering</v>
      </c>
      <c r="E83" s="54" t="s">
        <v>588</v>
      </c>
      <c r="F83" s="56">
        <v>8</v>
      </c>
      <c r="G83" s="56">
        <v>100885.98</v>
      </c>
      <c r="J83"/>
      <c r="K83"/>
      <c r="L83"/>
    </row>
    <row r="84" spans="1:12" ht="40" x14ac:dyDescent="0.35">
      <c r="A84" s="54" t="s">
        <v>586</v>
      </c>
      <c r="B84" s="54" t="s">
        <v>669</v>
      </c>
      <c r="C84" s="55" t="s">
        <v>513</v>
      </c>
      <c r="D84" s="54" t="str">
        <f>VLOOKUP(C84,[1]Headcount_Kiesse!$A$19:$N$193,13,FALSE)</f>
        <v>Engineering</v>
      </c>
      <c r="E84" s="54" t="s">
        <v>593</v>
      </c>
      <c r="F84" s="56">
        <v>16.3</v>
      </c>
      <c r="G84" s="56">
        <v>252991</v>
      </c>
      <c r="J84"/>
      <c r="K84"/>
      <c r="L84"/>
    </row>
    <row r="85" spans="1:12" ht="40" x14ac:dyDescent="0.35">
      <c r="A85" s="54" t="s">
        <v>586</v>
      </c>
      <c r="B85" s="54" t="s">
        <v>669</v>
      </c>
      <c r="C85" s="55" t="s">
        <v>513</v>
      </c>
      <c r="D85" s="54" t="str">
        <f>VLOOKUP(C85,[1]Headcount_Kiesse!$A$19:$N$193,13,FALSE)</f>
        <v>Engineering</v>
      </c>
      <c r="E85" s="54" t="s">
        <v>595</v>
      </c>
      <c r="F85" s="56">
        <v>21.3</v>
      </c>
      <c r="G85" s="56">
        <v>413244.51</v>
      </c>
      <c r="J85"/>
      <c r="K85"/>
      <c r="L85"/>
    </row>
    <row r="86" spans="1:12" ht="40" x14ac:dyDescent="0.35">
      <c r="A86" s="54" t="s">
        <v>670</v>
      </c>
      <c r="B86" s="54" t="s">
        <v>618</v>
      </c>
      <c r="C86" s="55" t="s">
        <v>276</v>
      </c>
      <c r="D86" s="54" t="str">
        <f>VLOOKUP(C86,[1]Headcount_Kiesse!$A$19:$N$193,13,FALSE)</f>
        <v>Production</v>
      </c>
      <c r="E86" s="54" t="s">
        <v>588</v>
      </c>
      <c r="F86" s="56">
        <v>2</v>
      </c>
      <c r="G86" s="56">
        <v>36168.67</v>
      </c>
      <c r="J86"/>
      <c r="K86"/>
      <c r="L86"/>
    </row>
    <row r="87" spans="1:12" ht="40" x14ac:dyDescent="0.35">
      <c r="A87" s="54" t="s">
        <v>670</v>
      </c>
      <c r="B87" s="54" t="s">
        <v>618</v>
      </c>
      <c r="C87" s="55" t="s">
        <v>276</v>
      </c>
      <c r="D87" s="54" t="str">
        <f>VLOOKUP(C87,[1]Headcount_Kiesse!$A$19:$N$193,13,FALSE)</f>
        <v>Production</v>
      </c>
      <c r="E87" s="54" t="s">
        <v>593</v>
      </c>
      <c r="F87" s="56">
        <v>0.57999999999999996</v>
      </c>
      <c r="G87" s="56">
        <v>12909.43</v>
      </c>
      <c r="J87"/>
      <c r="K87"/>
      <c r="L87"/>
    </row>
    <row r="88" spans="1:12" ht="40" x14ac:dyDescent="0.35">
      <c r="A88" s="54" t="s">
        <v>671</v>
      </c>
      <c r="B88" s="54" t="s">
        <v>672</v>
      </c>
      <c r="C88" s="55" t="s">
        <v>346</v>
      </c>
      <c r="D88" s="54" t="str">
        <f>VLOOKUP(C88,[1]Headcount_Kiesse!$A$19:$N$193,13,FALSE)</f>
        <v>Engineering</v>
      </c>
      <c r="E88" s="54" t="s">
        <v>588</v>
      </c>
      <c r="F88" s="56">
        <v>2</v>
      </c>
      <c r="G88" s="56">
        <v>10347.049999999999</v>
      </c>
      <c r="J88"/>
      <c r="K88"/>
      <c r="L88"/>
    </row>
    <row r="89" spans="1:12" ht="40" x14ac:dyDescent="0.35">
      <c r="A89" s="54" t="s">
        <v>671</v>
      </c>
      <c r="B89" s="54" t="s">
        <v>672</v>
      </c>
      <c r="C89" s="55" t="s">
        <v>346</v>
      </c>
      <c r="D89" s="54" t="str">
        <f>VLOOKUP(C89,[1]Headcount_Kiesse!$A$19:$N$193,13,FALSE)</f>
        <v>Engineering</v>
      </c>
      <c r="E89" s="54" t="s">
        <v>593</v>
      </c>
      <c r="F89" s="56">
        <v>32.36</v>
      </c>
      <c r="G89" s="56">
        <v>206049.61</v>
      </c>
      <c r="J89"/>
      <c r="K89"/>
      <c r="L89"/>
    </row>
    <row r="90" spans="1:12" ht="40" x14ac:dyDescent="0.35">
      <c r="A90" s="54" t="s">
        <v>671</v>
      </c>
      <c r="B90" s="54" t="s">
        <v>672</v>
      </c>
      <c r="C90" s="55" t="s">
        <v>346</v>
      </c>
      <c r="D90" s="54" t="str">
        <f>VLOOKUP(C90,[1]Headcount_Kiesse!$A$19:$N$193,13,FALSE)</f>
        <v>Engineering</v>
      </c>
      <c r="E90" s="54" t="s">
        <v>595</v>
      </c>
      <c r="F90" s="56">
        <v>27.37</v>
      </c>
      <c r="G90" s="56">
        <v>217845.25</v>
      </c>
      <c r="J90"/>
      <c r="K90"/>
      <c r="L90"/>
    </row>
    <row r="91" spans="1:12" ht="40" x14ac:dyDescent="0.35">
      <c r="A91" s="54" t="s">
        <v>673</v>
      </c>
      <c r="B91" s="54" t="s">
        <v>674</v>
      </c>
      <c r="C91" s="55" t="s">
        <v>349</v>
      </c>
      <c r="D91" s="54" t="str">
        <f>VLOOKUP(C91,[1]Headcount_Kiesse!$A$19:$N$193,13,FALSE)</f>
        <v>Engineering</v>
      </c>
      <c r="E91" s="54" t="s">
        <v>588</v>
      </c>
      <c r="F91" s="56">
        <v>4</v>
      </c>
      <c r="G91" s="56">
        <v>81825.52</v>
      </c>
      <c r="J91"/>
      <c r="K91"/>
      <c r="L91"/>
    </row>
    <row r="92" spans="1:12" ht="40" x14ac:dyDescent="0.35">
      <c r="A92" s="54" t="s">
        <v>673</v>
      </c>
      <c r="B92" s="54" t="s">
        <v>674</v>
      </c>
      <c r="C92" s="55" t="s">
        <v>349</v>
      </c>
      <c r="D92" s="54" t="str">
        <f>VLOOKUP(C92,[1]Headcount_Kiesse!$A$19:$N$193,13,FALSE)</f>
        <v>Engineering</v>
      </c>
      <c r="E92" s="54" t="s">
        <v>593</v>
      </c>
      <c r="F92" s="56">
        <v>9.19</v>
      </c>
      <c r="G92" s="56">
        <v>231377.4</v>
      </c>
      <c r="J92"/>
      <c r="K92"/>
      <c r="L92"/>
    </row>
    <row r="93" spans="1:12" ht="40" x14ac:dyDescent="0.35">
      <c r="A93" s="54" t="s">
        <v>673</v>
      </c>
      <c r="B93" s="54" t="s">
        <v>674</v>
      </c>
      <c r="C93" s="55" t="s">
        <v>349</v>
      </c>
      <c r="D93" s="54" t="str">
        <f>VLOOKUP(C93,[1]Headcount_Kiesse!$A$19:$N$193,13,FALSE)</f>
        <v>Engineering</v>
      </c>
      <c r="E93" s="54" t="s">
        <v>595</v>
      </c>
      <c r="F93" s="56">
        <v>2.2200000000000002</v>
      </c>
      <c r="G93" s="56">
        <v>69866.41</v>
      </c>
      <c r="J93"/>
      <c r="K93"/>
      <c r="L93"/>
    </row>
    <row r="94" spans="1:12" ht="40" x14ac:dyDescent="0.35">
      <c r="A94" s="54" t="s">
        <v>675</v>
      </c>
      <c r="B94" s="54" t="s">
        <v>654</v>
      </c>
      <c r="C94" s="55" t="s">
        <v>41</v>
      </c>
      <c r="D94" s="54" t="str">
        <f>VLOOKUP(C94,[1]Headcount_Kiesse!$A$19:$N$193,13,FALSE)</f>
        <v>Engineering</v>
      </c>
      <c r="E94" s="54" t="s">
        <v>595</v>
      </c>
      <c r="F94" s="56">
        <v>42.2</v>
      </c>
      <c r="G94" s="56">
        <v>1198112.23</v>
      </c>
      <c r="J94"/>
      <c r="K94"/>
      <c r="L94"/>
    </row>
    <row r="95" spans="1:12" ht="40" x14ac:dyDescent="0.35">
      <c r="A95" s="54" t="s">
        <v>676</v>
      </c>
      <c r="B95" s="54" t="s">
        <v>677</v>
      </c>
      <c r="C95" s="55" t="s">
        <v>368</v>
      </c>
      <c r="D95" s="54" t="str">
        <f>VLOOKUP(C95,[1]Headcount_Kiesse!$A$19:$N$193,13,FALSE)</f>
        <v>Logistic</v>
      </c>
      <c r="E95" s="54" t="s">
        <v>588</v>
      </c>
      <c r="F95" s="56">
        <v>5.85</v>
      </c>
      <c r="G95" s="56">
        <v>79139.960000000006</v>
      </c>
      <c r="J95"/>
      <c r="K95"/>
      <c r="L95"/>
    </row>
    <row r="96" spans="1:12" ht="40" x14ac:dyDescent="0.35">
      <c r="A96" s="54" t="s">
        <v>676</v>
      </c>
      <c r="B96" s="54" t="s">
        <v>677</v>
      </c>
      <c r="C96" s="55" t="s">
        <v>368</v>
      </c>
      <c r="D96" s="54" t="str">
        <f>VLOOKUP(C96,[1]Headcount_Kiesse!$A$19:$N$193,13,FALSE)</f>
        <v>Logistic</v>
      </c>
      <c r="E96" s="54" t="s">
        <v>593</v>
      </c>
      <c r="F96" s="56">
        <v>0.52</v>
      </c>
      <c r="G96" s="56">
        <v>8658.0499999999993</v>
      </c>
      <c r="J96"/>
      <c r="K96"/>
      <c r="L96"/>
    </row>
    <row r="97" spans="1:12" ht="40" x14ac:dyDescent="0.35">
      <c r="A97" s="54" t="s">
        <v>676</v>
      </c>
      <c r="B97" s="54" t="s">
        <v>677</v>
      </c>
      <c r="C97" s="55" t="s">
        <v>368</v>
      </c>
      <c r="D97" s="54" t="str">
        <f>VLOOKUP(C97,[1]Headcount_Kiesse!$A$19:$N$193,13,FALSE)</f>
        <v>Logistic</v>
      </c>
      <c r="E97" s="54" t="s">
        <v>595</v>
      </c>
      <c r="F97" s="56">
        <v>22.74</v>
      </c>
      <c r="G97" s="56">
        <v>473278.8</v>
      </c>
      <c r="J97"/>
      <c r="K97"/>
      <c r="L97"/>
    </row>
    <row r="98" spans="1:12" ht="40" x14ac:dyDescent="0.35">
      <c r="A98" s="54" t="s">
        <v>678</v>
      </c>
      <c r="B98" s="54" t="s">
        <v>679</v>
      </c>
      <c r="C98" s="55" t="s">
        <v>399</v>
      </c>
      <c r="D98" s="54" t="str">
        <f>VLOOKUP(C98,[1]Headcount_Kiesse!$A$19:$N$193,13,FALSE)</f>
        <v>Logistic</v>
      </c>
      <c r="E98" s="54" t="s">
        <v>588</v>
      </c>
      <c r="F98" s="56">
        <v>1.1499999999999999</v>
      </c>
      <c r="G98" s="56">
        <v>22655.26</v>
      </c>
      <c r="J98"/>
      <c r="K98"/>
      <c r="L98"/>
    </row>
    <row r="99" spans="1:12" ht="40" x14ac:dyDescent="0.35">
      <c r="A99" s="54" t="s">
        <v>678</v>
      </c>
      <c r="B99" s="54" t="s">
        <v>679</v>
      </c>
      <c r="C99" s="55" t="s">
        <v>399</v>
      </c>
      <c r="D99" s="54" t="str">
        <f>VLOOKUP(C99,[1]Headcount_Kiesse!$A$19:$N$193,13,FALSE)</f>
        <v>Logistic</v>
      </c>
      <c r="E99" s="54" t="s">
        <v>595</v>
      </c>
      <c r="F99" s="56">
        <v>35.31</v>
      </c>
      <c r="G99" s="56">
        <v>1070176.7</v>
      </c>
      <c r="J99"/>
      <c r="K99"/>
      <c r="L99"/>
    </row>
    <row r="100" spans="1:12" ht="40" x14ac:dyDescent="0.35">
      <c r="A100" s="54" t="s">
        <v>680</v>
      </c>
      <c r="B100" s="54" t="s">
        <v>587</v>
      </c>
      <c r="C100" s="55" t="s">
        <v>99</v>
      </c>
      <c r="D100" s="54" t="str">
        <f>VLOOKUP(C100,[1]Headcount_Kiesse!$A$19:$N$193,13,FALSE)</f>
        <v>Mining</v>
      </c>
      <c r="E100" s="54" t="s">
        <v>588</v>
      </c>
      <c r="F100" s="56">
        <v>2</v>
      </c>
      <c r="G100" s="56">
        <v>23540.16</v>
      </c>
      <c r="J100"/>
      <c r="K100"/>
      <c r="L100"/>
    </row>
    <row r="101" spans="1:12" ht="40" x14ac:dyDescent="0.35">
      <c r="A101" s="54" t="s">
        <v>680</v>
      </c>
      <c r="B101" s="54" t="s">
        <v>587</v>
      </c>
      <c r="C101" s="55" t="s">
        <v>99</v>
      </c>
      <c r="D101" s="54" t="str">
        <f>VLOOKUP(C101,[1]Headcount_Kiesse!$A$19:$N$193,13,FALSE)</f>
        <v>Mining</v>
      </c>
      <c r="E101" s="54" t="s">
        <v>593</v>
      </c>
      <c r="F101" s="56">
        <v>5</v>
      </c>
      <c r="G101" s="56">
        <v>72431.25</v>
      </c>
      <c r="J101"/>
      <c r="K101"/>
      <c r="L101"/>
    </row>
    <row r="102" spans="1:12" ht="40" x14ac:dyDescent="0.35">
      <c r="A102" s="54" t="s">
        <v>681</v>
      </c>
      <c r="B102" s="54" t="s">
        <v>547</v>
      </c>
      <c r="C102" s="55" t="s">
        <v>521</v>
      </c>
      <c r="D102" s="54" t="str">
        <f>VLOOKUP(C102,[1]Headcount_Kiesse!$A$19:$N$193,13,FALSE)</f>
        <v>Mining</v>
      </c>
      <c r="E102" s="54" t="s">
        <v>588</v>
      </c>
      <c r="F102" s="56">
        <v>4</v>
      </c>
      <c r="G102" s="56">
        <v>26091.15</v>
      </c>
      <c r="J102"/>
      <c r="K102"/>
      <c r="L102"/>
    </row>
    <row r="103" spans="1:12" ht="40" x14ac:dyDescent="0.35">
      <c r="A103" s="54" t="s">
        <v>681</v>
      </c>
      <c r="B103" s="54" t="s">
        <v>547</v>
      </c>
      <c r="C103" s="55" t="s">
        <v>521</v>
      </c>
      <c r="D103" s="54" t="str">
        <f>VLOOKUP(C103,[1]Headcount_Kiesse!$A$19:$N$193,13,FALSE)</f>
        <v>Mining</v>
      </c>
      <c r="E103" s="54" t="s">
        <v>593</v>
      </c>
      <c r="F103" s="56">
        <v>9</v>
      </c>
      <c r="G103" s="56">
        <v>72252.42</v>
      </c>
      <c r="J103"/>
      <c r="K103"/>
      <c r="L103"/>
    </row>
    <row r="104" spans="1:12" ht="40" x14ac:dyDescent="0.35">
      <c r="A104" s="54" t="s">
        <v>682</v>
      </c>
      <c r="B104" s="54" t="s">
        <v>622</v>
      </c>
      <c r="C104" s="55" t="s">
        <v>528</v>
      </c>
      <c r="D104" s="54" t="str">
        <f>VLOOKUP(C104,[1]Headcount_Kiesse!$A$19:$N$193,13,FALSE)</f>
        <v>Mining</v>
      </c>
      <c r="E104" s="54" t="s">
        <v>588</v>
      </c>
      <c r="F104" s="56">
        <v>2</v>
      </c>
      <c r="G104" s="56">
        <v>14251.68</v>
      </c>
      <c r="J104"/>
      <c r="K104"/>
      <c r="L104"/>
    </row>
    <row r="105" spans="1:12" ht="40" x14ac:dyDescent="0.35">
      <c r="A105" s="54" t="s">
        <v>682</v>
      </c>
      <c r="B105" s="54" t="s">
        <v>622</v>
      </c>
      <c r="C105" s="55" t="s">
        <v>528</v>
      </c>
      <c r="D105" s="54" t="str">
        <f>VLOOKUP(C105,[1]Headcount_Kiesse!$A$19:$N$193,13,FALSE)</f>
        <v>Mining</v>
      </c>
      <c r="E105" s="54" t="s">
        <v>593</v>
      </c>
      <c r="F105" s="56">
        <v>2.2999999999999998</v>
      </c>
      <c r="G105" s="56">
        <v>20171.61</v>
      </c>
      <c r="J105"/>
      <c r="K105"/>
      <c r="L105"/>
    </row>
    <row r="106" spans="1:12" ht="40" x14ac:dyDescent="0.35">
      <c r="A106" s="54" t="s">
        <v>683</v>
      </c>
      <c r="B106" s="54" t="s">
        <v>684</v>
      </c>
      <c r="C106" s="55" t="s">
        <v>538</v>
      </c>
      <c r="D106" s="54" t="str">
        <f>VLOOKUP(C106,[1]Headcount_Kiesse!$A$19:$N$193,13,FALSE)</f>
        <v>Mining</v>
      </c>
      <c r="E106" s="54" t="s">
        <v>588</v>
      </c>
      <c r="F106" s="56">
        <v>2</v>
      </c>
      <c r="G106" s="56">
        <v>41138.949999999997</v>
      </c>
      <c r="J106"/>
      <c r="K106"/>
      <c r="L106"/>
    </row>
    <row r="107" spans="1:12" ht="40" x14ac:dyDescent="0.35">
      <c r="A107" s="54" t="s">
        <v>683</v>
      </c>
      <c r="B107" s="54" t="s">
        <v>684</v>
      </c>
      <c r="C107" s="55" t="s">
        <v>538</v>
      </c>
      <c r="D107" s="54" t="str">
        <f>VLOOKUP(C107,[1]Headcount_Kiesse!$A$19:$N$193,13,FALSE)</f>
        <v>Mining</v>
      </c>
      <c r="E107" s="54" t="s">
        <v>593</v>
      </c>
      <c r="F107" s="56">
        <v>4</v>
      </c>
      <c r="G107" s="56">
        <v>101265.11</v>
      </c>
      <c r="J107"/>
      <c r="K107"/>
      <c r="L107"/>
    </row>
    <row r="108" spans="1:12" ht="40" x14ac:dyDescent="0.35">
      <c r="A108" s="54" t="s">
        <v>685</v>
      </c>
      <c r="B108" s="54" t="s">
        <v>654</v>
      </c>
      <c r="C108" s="55" t="s">
        <v>526</v>
      </c>
      <c r="D108" s="54" t="str">
        <f>VLOOKUP(C108,[1]Headcount_Kiesse!$A$19:$N$193,13,FALSE)</f>
        <v>Mining</v>
      </c>
      <c r="E108" s="54" t="s">
        <v>588</v>
      </c>
      <c r="F108" s="56">
        <v>4</v>
      </c>
      <c r="G108" s="56">
        <v>91148.74</v>
      </c>
    </row>
    <row r="109" spans="1:12" ht="40" x14ac:dyDescent="0.35">
      <c r="A109" s="54" t="s">
        <v>685</v>
      </c>
      <c r="B109" s="54" t="s">
        <v>654</v>
      </c>
      <c r="C109" s="55" t="s">
        <v>526</v>
      </c>
      <c r="D109" s="54" t="str">
        <f>VLOOKUP(C109,[1]Headcount_Kiesse!$A$19:$N$193,13,FALSE)</f>
        <v>Mining</v>
      </c>
      <c r="E109" s="54" t="s">
        <v>593</v>
      </c>
      <c r="F109" s="56">
        <v>17</v>
      </c>
      <c r="G109" s="56">
        <v>476778</v>
      </c>
    </row>
    <row r="110" spans="1:12" ht="40" x14ac:dyDescent="0.35">
      <c r="A110" s="54" t="s">
        <v>686</v>
      </c>
      <c r="B110" s="54" t="s">
        <v>618</v>
      </c>
      <c r="C110" s="55" t="s">
        <v>516</v>
      </c>
      <c r="D110" s="54" t="str">
        <f>VLOOKUP(C110,[1]Headcount_Kiesse!$A$19:$N$193,13,FALSE)</f>
        <v>Mining</v>
      </c>
      <c r="E110" s="54" t="s">
        <v>588</v>
      </c>
      <c r="F110" s="56">
        <v>2</v>
      </c>
      <c r="G110" s="56">
        <v>15718.65</v>
      </c>
    </row>
    <row r="111" spans="1:12" ht="40" x14ac:dyDescent="0.35">
      <c r="A111" s="54" t="s">
        <v>686</v>
      </c>
      <c r="B111" s="54" t="s">
        <v>618</v>
      </c>
      <c r="C111" s="55" t="s">
        <v>516</v>
      </c>
      <c r="D111" s="54" t="str">
        <f>VLOOKUP(C111,[1]Headcount_Kiesse!$A$19:$N$193,13,FALSE)</f>
        <v>Mining</v>
      </c>
      <c r="E111" s="54" t="s">
        <v>593</v>
      </c>
      <c r="F111" s="56">
        <v>4</v>
      </c>
      <c r="G111" s="56">
        <v>38692.06</v>
      </c>
    </row>
    <row r="112" spans="1:12" x14ac:dyDescent="0.35">
      <c r="F112" s="60">
        <f t="shared" ref="F112:G112" si="0">SUM(F2:F111)</f>
        <v>1251.9799999999998</v>
      </c>
      <c r="G112" s="60">
        <f t="shared" si="0"/>
        <v>27312632.880000006</v>
      </c>
    </row>
    <row r="113" spans="7:7" x14ac:dyDescent="0.35">
      <c r="G113" s="52">
        <f>G112/2308</f>
        <v>11833.896395147316</v>
      </c>
    </row>
    <row r="114" spans="7:7" x14ac:dyDescent="0.35">
      <c r="G114" s="52">
        <f>G113/52</f>
        <v>227.57493067590991</v>
      </c>
    </row>
  </sheetData>
  <autoFilter ref="A1:G112" xr:uid="{00000000-0001-0000-0000-000000000000}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761E-BA16-498C-B359-0BF1D658A0C8}">
  <dimension ref="A1:AF1230"/>
  <sheetViews>
    <sheetView showGridLines="0" topLeftCell="R1" workbookViewId="0">
      <selection activeCell="AC1" sqref="AC1:AC2"/>
    </sheetView>
  </sheetViews>
  <sheetFormatPr defaultRowHeight="14.5" x14ac:dyDescent="0.35"/>
  <cols>
    <col min="1" max="1" width="32.36328125" style="52" customWidth="1"/>
    <col min="2" max="2" width="4.26953125" style="52" customWidth="1"/>
    <col min="3" max="3" width="6.54296875" style="52" customWidth="1"/>
    <col min="4" max="4" width="9.6328125" style="52" customWidth="1"/>
    <col min="5" max="11" width="17.1796875" style="52" customWidth="1"/>
    <col min="12" max="12" width="16" style="52" customWidth="1"/>
    <col min="13" max="13" width="0" style="52" hidden="1" customWidth="1"/>
    <col min="14" max="14" width="1.08984375" style="52" customWidth="1"/>
    <col min="15" max="19" width="17.1796875" style="52" customWidth="1"/>
    <col min="20" max="20" width="14.6328125" style="52" customWidth="1"/>
    <col min="21" max="21" width="14.81640625" style="52" customWidth="1"/>
    <col min="22" max="22" width="12" style="52" customWidth="1"/>
    <col min="23" max="23" width="8.1796875" style="52" customWidth="1"/>
    <col min="24" max="24" width="10.81640625" style="52" customWidth="1"/>
    <col min="25" max="27" width="9.453125" style="52" customWidth="1"/>
    <col min="28" max="28" width="10.08984375" style="52" customWidth="1"/>
    <col min="29" max="29" width="10.90625" style="182" customWidth="1"/>
    <col min="30" max="30" width="15" style="52" customWidth="1"/>
    <col min="31" max="31" width="13.453125" style="52" customWidth="1"/>
    <col min="32" max="32" width="16.08984375" style="52" customWidth="1"/>
    <col min="33" max="16384" width="8.7265625" style="52"/>
  </cols>
  <sheetData>
    <row r="1" spans="1:32" x14ac:dyDescent="0.35">
      <c r="A1" s="153" t="s">
        <v>774</v>
      </c>
      <c r="B1" s="153" t="s">
        <v>689</v>
      </c>
      <c r="C1" s="154"/>
      <c r="D1" s="153" t="s">
        <v>775</v>
      </c>
      <c r="E1" s="155" t="s">
        <v>776</v>
      </c>
      <c r="F1" s="155" t="s">
        <v>689</v>
      </c>
      <c r="G1" s="155" t="s">
        <v>774</v>
      </c>
      <c r="H1" s="155" t="s">
        <v>777</v>
      </c>
      <c r="I1" s="155" t="s">
        <v>2</v>
      </c>
      <c r="J1" s="155" t="s">
        <v>3</v>
      </c>
      <c r="K1" s="155" t="s">
        <v>690</v>
      </c>
      <c r="L1" s="156" t="s">
        <v>4</v>
      </c>
      <c r="M1" s="154"/>
      <c r="N1" s="154"/>
      <c r="O1" s="155" t="s">
        <v>5</v>
      </c>
      <c r="P1" s="155" t="s">
        <v>7</v>
      </c>
      <c r="Q1" s="155" t="s">
        <v>10</v>
      </c>
      <c r="R1" s="157" t="s">
        <v>778</v>
      </c>
      <c r="S1" s="157" t="s">
        <v>779</v>
      </c>
      <c r="T1" s="153" t="s">
        <v>780</v>
      </c>
      <c r="U1" s="153" t="s">
        <v>781</v>
      </c>
      <c r="V1" s="158" t="s">
        <v>782</v>
      </c>
      <c r="W1" s="158" t="s">
        <v>783</v>
      </c>
      <c r="X1" s="158" t="s">
        <v>784</v>
      </c>
      <c r="Y1" s="159" t="s">
        <v>785</v>
      </c>
      <c r="Z1" s="159" t="s">
        <v>786</v>
      </c>
      <c r="AA1" s="159" t="s">
        <v>787</v>
      </c>
      <c r="AB1" s="159" t="s">
        <v>788</v>
      </c>
      <c r="AC1" s="160" t="s">
        <v>789</v>
      </c>
      <c r="AD1" s="159" t="s">
        <v>768</v>
      </c>
      <c r="AE1" s="159" t="s">
        <v>790</v>
      </c>
      <c r="AF1" s="159" t="s">
        <v>791</v>
      </c>
    </row>
    <row r="2" spans="1:32" x14ac:dyDescent="0.35">
      <c r="A2" s="154"/>
      <c r="B2" s="154"/>
      <c r="C2" s="154"/>
      <c r="D2" s="154"/>
      <c r="T2" s="154"/>
      <c r="U2" s="154"/>
      <c r="V2" s="154"/>
      <c r="W2" s="154"/>
      <c r="X2" s="154"/>
      <c r="Y2" s="154"/>
      <c r="Z2" s="154"/>
      <c r="AA2" s="154"/>
      <c r="AB2" s="154"/>
      <c r="AC2" s="161"/>
      <c r="AD2" s="154"/>
      <c r="AE2" s="154"/>
      <c r="AF2" s="154"/>
    </row>
    <row r="3" spans="1:32" ht="20" x14ac:dyDescent="0.35">
      <c r="A3" s="162" t="s">
        <v>686</v>
      </c>
      <c r="B3" s="163" t="s">
        <v>792</v>
      </c>
      <c r="C3" s="154"/>
      <c r="D3" s="162" t="s">
        <v>516</v>
      </c>
      <c r="E3" s="164" t="s">
        <v>516</v>
      </c>
      <c r="F3" s="164" t="s">
        <v>792</v>
      </c>
      <c r="G3" s="164" t="s">
        <v>686</v>
      </c>
      <c r="H3" s="165">
        <v>30277</v>
      </c>
      <c r="I3" s="164" t="s">
        <v>20</v>
      </c>
      <c r="J3" s="164" t="s">
        <v>21</v>
      </c>
      <c r="K3" s="165">
        <v>42240</v>
      </c>
      <c r="L3" s="166" t="s">
        <v>518</v>
      </c>
      <c r="M3" s="154"/>
      <c r="N3" s="154"/>
      <c r="O3" s="164" t="s">
        <v>35</v>
      </c>
      <c r="P3" s="164">
        <v>43</v>
      </c>
      <c r="Q3" s="164">
        <v>10</v>
      </c>
      <c r="R3" s="167" t="s">
        <v>793</v>
      </c>
      <c r="S3" s="167" t="s">
        <v>102</v>
      </c>
      <c r="T3" s="162" t="s">
        <v>794</v>
      </c>
      <c r="U3" s="167" t="s">
        <v>795</v>
      </c>
      <c r="V3" s="162" t="s">
        <v>796</v>
      </c>
      <c r="W3" s="168">
        <v>10</v>
      </c>
      <c r="X3" s="169">
        <v>45018</v>
      </c>
      <c r="Y3" s="170">
        <v>9.5833333300020005</v>
      </c>
      <c r="Z3" s="170">
        <v>1.9166666699999999</v>
      </c>
      <c r="AA3" s="170">
        <v>0</v>
      </c>
      <c r="AB3" s="170">
        <v>0</v>
      </c>
      <c r="AC3" s="171">
        <v>11.500000000002</v>
      </c>
      <c r="AD3" s="172">
        <v>980421.92442000005</v>
      </c>
      <c r="AE3" s="173" t="s">
        <v>797</v>
      </c>
      <c r="AF3" s="173"/>
    </row>
    <row r="4" spans="1:32" ht="20" x14ac:dyDescent="0.35">
      <c r="A4" s="162" t="s">
        <v>686</v>
      </c>
      <c r="B4" s="163" t="s">
        <v>792</v>
      </c>
      <c r="C4" s="154"/>
      <c r="D4" s="162" t="s">
        <v>516</v>
      </c>
      <c r="E4" s="164" t="s">
        <v>516</v>
      </c>
      <c r="F4" s="164" t="s">
        <v>792</v>
      </c>
      <c r="G4" s="164" t="s">
        <v>686</v>
      </c>
      <c r="H4" s="165">
        <v>30277</v>
      </c>
      <c r="I4" s="164" t="s">
        <v>20</v>
      </c>
      <c r="J4" s="164" t="s">
        <v>21</v>
      </c>
      <c r="K4" s="165">
        <v>42240</v>
      </c>
      <c r="L4" s="166" t="s">
        <v>518</v>
      </c>
      <c r="M4" s="154"/>
      <c r="N4" s="154"/>
      <c r="O4" s="164" t="s">
        <v>35</v>
      </c>
      <c r="P4" s="164">
        <v>43</v>
      </c>
      <c r="Q4" s="164">
        <v>10</v>
      </c>
      <c r="R4" s="167" t="s">
        <v>793</v>
      </c>
      <c r="S4" s="167" t="s">
        <v>102</v>
      </c>
      <c r="T4" s="162" t="s">
        <v>798</v>
      </c>
      <c r="U4" s="167" t="s">
        <v>799</v>
      </c>
      <c r="X4" s="169">
        <v>45018</v>
      </c>
      <c r="Y4" s="170">
        <v>180</v>
      </c>
      <c r="Z4" s="170">
        <v>0</v>
      </c>
      <c r="AA4" s="170">
        <v>0</v>
      </c>
      <c r="AB4" s="170">
        <v>0</v>
      </c>
      <c r="AC4" s="171">
        <v>180</v>
      </c>
      <c r="AD4" s="172">
        <v>15345734.46912</v>
      </c>
      <c r="AE4" s="173">
        <v>180</v>
      </c>
      <c r="AF4" s="174">
        <v>46357</v>
      </c>
    </row>
    <row r="5" spans="1:32" ht="20" x14ac:dyDescent="0.35">
      <c r="A5" s="162" t="s">
        <v>686</v>
      </c>
      <c r="B5" s="163" t="s">
        <v>792</v>
      </c>
      <c r="C5" s="154"/>
      <c r="D5" s="162" t="s">
        <v>516</v>
      </c>
      <c r="E5" s="164" t="s">
        <v>516</v>
      </c>
      <c r="F5" s="164" t="s">
        <v>792</v>
      </c>
      <c r="G5" s="164" t="s">
        <v>686</v>
      </c>
      <c r="H5" s="165">
        <v>30277</v>
      </c>
      <c r="I5" s="164" t="s">
        <v>20</v>
      </c>
      <c r="J5" s="164" t="s">
        <v>21</v>
      </c>
      <c r="K5" s="165">
        <v>42240</v>
      </c>
      <c r="L5" s="166" t="s">
        <v>518</v>
      </c>
      <c r="M5" s="154"/>
      <c r="N5" s="154"/>
      <c r="O5" s="164" t="s">
        <v>35</v>
      </c>
      <c r="P5" s="164">
        <v>43</v>
      </c>
      <c r="Q5" s="164">
        <v>10</v>
      </c>
      <c r="R5" s="167" t="s">
        <v>793</v>
      </c>
      <c r="S5" s="167" t="s">
        <v>102</v>
      </c>
      <c r="T5" s="162" t="s">
        <v>800</v>
      </c>
      <c r="U5" s="167" t="s">
        <v>801</v>
      </c>
      <c r="X5" s="169">
        <v>45018</v>
      </c>
      <c r="Y5" s="170">
        <v>15</v>
      </c>
      <c r="Z5" s="170">
        <v>0</v>
      </c>
      <c r="AA5" s="170">
        <v>0</v>
      </c>
      <c r="AB5" s="170">
        <v>0</v>
      </c>
      <c r="AC5" s="171">
        <v>15</v>
      </c>
      <c r="AD5" s="172">
        <v>1278811.20576</v>
      </c>
      <c r="AE5" s="173">
        <v>15</v>
      </c>
      <c r="AF5" s="174">
        <v>46357</v>
      </c>
    </row>
    <row r="6" spans="1:32" ht="20" x14ac:dyDescent="0.35">
      <c r="A6" s="162" t="s">
        <v>686</v>
      </c>
      <c r="B6" s="163" t="s">
        <v>792</v>
      </c>
      <c r="C6" s="154"/>
      <c r="D6" s="162" t="s">
        <v>516</v>
      </c>
      <c r="E6" s="164" t="s">
        <v>516</v>
      </c>
      <c r="F6" s="164" t="s">
        <v>792</v>
      </c>
      <c r="G6" s="164" t="s">
        <v>686</v>
      </c>
      <c r="H6" s="165">
        <v>30277</v>
      </c>
      <c r="I6" s="164" t="s">
        <v>20</v>
      </c>
      <c r="J6" s="164" t="s">
        <v>21</v>
      </c>
      <c r="K6" s="165">
        <v>42240</v>
      </c>
      <c r="L6" s="166" t="s">
        <v>518</v>
      </c>
      <c r="M6" s="154"/>
      <c r="N6" s="154"/>
      <c r="O6" s="164" t="s">
        <v>35</v>
      </c>
      <c r="P6" s="164">
        <v>43</v>
      </c>
      <c r="Q6" s="164">
        <v>10</v>
      </c>
      <c r="R6" s="167" t="s">
        <v>793</v>
      </c>
      <c r="S6" s="167" t="s">
        <v>102</v>
      </c>
      <c r="T6" s="162" t="s">
        <v>800</v>
      </c>
      <c r="U6" s="167" t="s">
        <v>802</v>
      </c>
      <c r="X6" s="169">
        <v>45018</v>
      </c>
      <c r="Y6" s="170">
        <v>98</v>
      </c>
      <c r="Z6" s="170">
        <v>0</v>
      </c>
      <c r="AA6" s="170">
        <v>0</v>
      </c>
      <c r="AB6" s="170">
        <v>0</v>
      </c>
      <c r="AC6" s="171">
        <v>98</v>
      </c>
      <c r="AD6" s="172">
        <v>8354899.87763</v>
      </c>
      <c r="AE6" s="173">
        <v>98</v>
      </c>
      <c r="AF6" s="174">
        <v>46357</v>
      </c>
    </row>
    <row r="7" spans="1:32" ht="20" x14ac:dyDescent="0.35">
      <c r="A7" s="162" t="s">
        <v>686</v>
      </c>
      <c r="B7" s="163" t="s">
        <v>792</v>
      </c>
      <c r="C7" s="154"/>
      <c r="D7" s="162" t="s">
        <v>516</v>
      </c>
      <c r="E7" s="164" t="s">
        <v>516</v>
      </c>
      <c r="F7" s="164" t="s">
        <v>792</v>
      </c>
      <c r="G7" s="164" t="s">
        <v>686</v>
      </c>
      <c r="H7" s="165">
        <v>30277</v>
      </c>
      <c r="I7" s="164" t="s">
        <v>20</v>
      </c>
      <c r="J7" s="164" t="s">
        <v>21</v>
      </c>
      <c r="K7" s="165">
        <v>42240</v>
      </c>
      <c r="L7" s="166" t="s">
        <v>518</v>
      </c>
      <c r="M7" s="154"/>
      <c r="N7" s="154"/>
      <c r="O7" s="164" t="s">
        <v>35</v>
      </c>
      <c r="P7" s="164">
        <v>43</v>
      </c>
      <c r="Q7" s="164">
        <v>10</v>
      </c>
      <c r="R7" s="167" t="s">
        <v>793</v>
      </c>
      <c r="S7" s="167" t="s">
        <v>102</v>
      </c>
      <c r="T7" s="162" t="s">
        <v>800</v>
      </c>
      <c r="U7" s="167" t="s">
        <v>803</v>
      </c>
      <c r="X7" s="169">
        <v>45018</v>
      </c>
      <c r="Y7" s="170">
        <v>2</v>
      </c>
      <c r="Z7" s="170">
        <v>0</v>
      </c>
      <c r="AA7" s="170">
        <v>0</v>
      </c>
      <c r="AB7" s="170">
        <v>0</v>
      </c>
      <c r="AC7" s="171">
        <v>2</v>
      </c>
      <c r="AD7" s="172">
        <v>170508.16076999999</v>
      </c>
      <c r="AE7" s="173">
        <v>2</v>
      </c>
      <c r="AF7" s="174">
        <v>46357</v>
      </c>
    </row>
    <row r="8" spans="1:32" ht="20" x14ac:dyDescent="0.35">
      <c r="A8" s="162" t="s">
        <v>686</v>
      </c>
      <c r="B8" s="163" t="s">
        <v>792</v>
      </c>
      <c r="C8" s="154"/>
      <c r="D8" s="162" t="s">
        <v>516</v>
      </c>
      <c r="E8" s="164" t="s">
        <v>516</v>
      </c>
      <c r="F8" s="164" t="s">
        <v>792</v>
      </c>
      <c r="G8" s="164" t="s">
        <v>686</v>
      </c>
      <c r="H8" s="165">
        <v>30277</v>
      </c>
      <c r="I8" s="164" t="s">
        <v>20</v>
      </c>
      <c r="J8" s="164" t="s">
        <v>21</v>
      </c>
      <c r="K8" s="165">
        <v>42240</v>
      </c>
      <c r="L8" s="166" t="s">
        <v>518</v>
      </c>
      <c r="M8" s="154"/>
      <c r="N8" s="154"/>
      <c r="O8" s="164" t="s">
        <v>35</v>
      </c>
      <c r="P8" s="164">
        <v>43</v>
      </c>
      <c r="Q8" s="164">
        <v>10</v>
      </c>
      <c r="R8" s="167" t="s">
        <v>793</v>
      </c>
      <c r="S8" s="167" t="s">
        <v>102</v>
      </c>
      <c r="T8" s="162" t="s">
        <v>800</v>
      </c>
      <c r="U8" s="167" t="s">
        <v>804</v>
      </c>
      <c r="X8" s="169">
        <v>45018</v>
      </c>
      <c r="Y8" s="170">
        <v>5</v>
      </c>
      <c r="Z8" s="170">
        <v>0</v>
      </c>
      <c r="AA8" s="170">
        <v>0</v>
      </c>
      <c r="AB8" s="170">
        <v>0</v>
      </c>
      <c r="AC8" s="171">
        <v>5</v>
      </c>
      <c r="AD8" s="172">
        <v>426270.40191999997</v>
      </c>
      <c r="AE8" s="173">
        <v>5</v>
      </c>
      <c r="AF8" s="174">
        <v>46357</v>
      </c>
    </row>
    <row r="9" spans="1:32" ht="20" x14ac:dyDescent="0.35">
      <c r="A9" s="162" t="s">
        <v>686</v>
      </c>
      <c r="B9" s="163" t="s">
        <v>792</v>
      </c>
      <c r="C9" s="154"/>
      <c r="D9" s="162" t="s">
        <v>516</v>
      </c>
      <c r="E9" s="164" t="s">
        <v>516</v>
      </c>
      <c r="F9" s="164" t="s">
        <v>792</v>
      </c>
      <c r="G9" s="164" t="s">
        <v>686</v>
      </c>
      <c r="H9" s="165">
        <v>30277</v>
      </c>
      <c r="I9" s="164" t="s">
        <v>20</v>
      </c>
      <c r="J9" s="164" t="s">
        <v>21</v>
      </c>
      <c r="K9" s="165">
        <v>42240</v>
      </c>
      <c r="L9" s="166" t="s">
        <v>518</v>
      </c>
      <c r="M9" s="154"/>
      <c r="N9" s="154"/>
      <c r="O9" s="164" t="s">
        <v>35</v>
      </c>
      <c r="P9" s="164">
        <v>43</v>
      </c>
      <c r="Q9" s="164">
        <v>10</v>
      </c>
      <c r="R9" s="167" t="s">
        <v>793</v>
      </c>
      <c r="S9" s="167" t="s">
        <v>102</v>
      </c>
      <c r="T9" s="162" t="s">
        <v>800</v>
      </c>
      <c r="U9" s="167" t="s">
        <v>805</v>
      </c>
      <c r="X9" s="169">
        <v>45018</v>
      </c>
      <c r="Y9" s="170">
        <v>0.50000000333100003</v>
      </c>
      <c r="Z9" s="170">
        <v>8.3333329999999997E-2</v>
      </c>
      <c r="AA9" s="170">
        <v>0</v>
      </c>
      <c r="AB9" s="170">
        <v>0</v>
      </c>
      <c r="AC9" s="171">
        <v>0.58333333333100001</v>
      </c>
      <c r="AD9" s="172">
        <v>49731.546889999998</v>
      </c>
      <c r="AE9" s="173">
        <v>0.57999999999999996</v>
      </c>
      <c r="AF9" s="174">
        <v>46357</v>
      </c>
    </row>
    <row r="10" spans="1:32" ht="20" x14ac:dyDescent="0.35">
      <c r="A10" s="162" t="s">
        <v>806</v>
      </c>
      <c r="B10" s="163" t="s">
        <v>807</v>
      </c>
      <c r="C10" s="154"/>
      <c r="D10" s="162" t="s">
        <v>519</v>
      </c>
      <c r="E10" s="164" t="s">
        <v>519</v>
      </c>
      <c r="F10" s="164" t="s">
        <v>807</v>
      </c>
      <c r="G10" s="164" t="s">
        <v>806</v>
      </c>
      <c r="H10" s="165">
        <v>25820</v>
      </c>
      <c r="I10" s="164" t="s">
        <v>20</v>
      </c>
      <c r="J10" s="164" t="s">
        <v>21</v>
      </c>
      <c r="K10" s="165">
        <v>42499</v>
      </c>
      <c r="L10" s="166" t="s">
        <v>518</v>
      </c>
      <c r="M10" s="154"/>
      <c r="N10" s="154"/>
      <c r="O10" s="164" t="s">
        <v>35</v>
      </c>
      <c r="P10" s="164">
        <v>55</v>
      </c>
      <c r="Q10" s="164">
        <v>10</v>
      </c>
      <c r="R10" s="167" t="s">
        <v>793</v>
      </c>
      <c r="S10" s="167" t="s">
        <v>102</v>
      </c>
      <c r="T10" s="162" t="s">
        <v>794</v>
      </c>
      <c r="U10" s="167" t="s">
        <v>795</v>
      </c>
      <c r="V10" s="162" t="s">
        <v>796</v>
      </c>
      <c r="W10" s="168">
        <v>10</v>
      </c>
      <c r="X10" s="169">
        <v>45018</v>
      </c>
      <c r="Y10" s="170">
        <v>8.5866666633299999</v>
      </c>
      <c r="Z10" s="170">
        <v>1.9166666699999999</v>
      </c>
      <c r="AA10" s="170">
        <v>0</v>
      </c>
      <c r="AB10" s="170">
        <v>0</v>
      </c>
      <c r="AC10" s="171">
        <v>10.50333333333</v>
      </c>
      <c r="AD10" s="172">
        <v>761851.61589999998</v>
      </c>
      <c r="AE10" s="173" t="s">
        <v>797</v>
      </c>
      <c r="AF10" s="173"/>
    </row>
    <row r="11" spans="1:32" ht="20" x14ac:dyDescent="0.35">
      <c r="A11" s="162" t="s">
        <v>806</v>
      </c>
      <c r="B11" s="163" t="s">
        <v>807</v>
      </c>
      <c r="C11" s="154"/>
      <c r="D11" s="162" t="s">
        <v>519</v>
      </c>
      <c r="E11" s="164" t="s">
        <v>519</v>
      </c>
      <c r="F11" s="164" t="s">
        <v>807</v>
      </c>
      <c r="G11" s="164" t="s">
        <v>806</v>
      </c>
      <c r="H11" s="165">
        <v>25820</v>
      </c>
      <c r="I11" s="164" t="s">
        <v>20</v>
      </c>
      <c r="J11" s="164" t="s">
        <v>21</v>
      </c>
      <c r="K11" s="165">
        <v>42499</v>
      </c>
      <c r="L11" s="166" t="s">
        <v>518</v>
      </c>
      <c r="M11" s="154"/>
      <c r="N11" s="154"/>
      <c r="O11" s="164" t="s">
        <v>35</v>
      </c>
      <c r="P11" s="164">
        <v>55</v>
      </c>
      <c r="Q11" s="164">
        <v>10</v>
      </c>
      <c r="R11" s="167" t="s">
        <v>793</v>
      </c>
      <c r="S11" s="167" t="s">
        <v>102</v>
      </c>
      <c r="T11" s="162" t="s">
        <v>798</v>
      </c>
      <c r="U11" s="167" t="s">
        <v>799</v>
      </c>
      <c r="X11" s="169">
        <v>45018</v>
      </c>
      <c r="Y11" s="170">
        <v>180</v>
      </c>
      <c r="Z11" s="170">
        <v>0</v>
      </c>
      <c r="AA11" s="170">
        <v>0</v>
      </c>
      <c r="AB11" s="170">
        <v>0</v>
      </c>
      <c r="AC11" s="171">
        <v>180</v>
      </c>
      <c r="AD11" s="172">
        <v>13056168.6</v>
      </c>
      <c r="AE11" s="173">
        <v>180</v>
      </c>
      <c r="AF11" s="174">
        <v>46357</v>
      </c>
    </row>
    <row r="12" spans="1:32" ht="20" x14ac:dyDescent="0.35">
      <c r="A12" s="162" t="s">
        <v>806</v>
      </c>
      <c r="B12" s="163" t="s">
        <v>807</v>
      </c>
      <c r="C12" s="154"/>
      <c r="D12" s="162" t="s">
        <v>519</v>
      </c>
      <c r="E12" s="164" t="s">
        <v>519</v>
      </c>
      <c r="F12" s="164" t="s">
        <v>807</v>
      </c>
      <c r="G12" s="164" t="s">
        <v>806</v>
      </c>
      <c r="H12" s="165">
        <v>25820</v>
      </c>
      <c r="I12" s="164" t="s">
        <v>20</v>
      </c>
      <c r="J12" s="164" t="s">
        <v>21</v>
      </c>
      <c r="K12" s="165">
        <v>42499</v>
      </c>
      <c r="L12" s="166" t="s">
        <v>518</v>
      </c>
      <c r="M12" s="154"/>
      <c r="N12" s="154"/>
      <c r="O12" s="164" t="s">
        <v>35</v>
      </c>
      <c r="P12" s="164">
        <v>55</v>
      </c>
      <c r="Q12" s="164">
        <v>10</v>
      </c>
      <c r="R12" s="167" t="s">
        <v>793</v>
      </c>
      <c r="S12" s="167" t="s">
        <v>102</v>
      </c>
      <c r="T12" s="162" t="s">
        <v>800</v>
      </c>
      <c r="U12" s="167" t="s">
        <v>801</v>
      </c>
      <c r="X12" s="169">
        <v>45018</v>
      </c>
      <c r="Y12" s="170">
        <v>15</v>
      </c>
      <c r="Z12" s="170">
        <v>0</v>
      </c>
      <c r="AA12" s="170">
        <v>0</v>
      </c>
      <c r="AB12" s="170">
        <v>0</v>
      </c>
      <c r="AC12" s="171">
        <v>15</v>
      </c>
      <c r="AD12" s="172">
        <v>1088014.05</v>
      </c>
      <c r="AE12" s="173">
        <v>15</v>
      </c>
      <c r="AF12" s="174">
        <v>46357</v>
      </c>
    </row>
    <row r="13" spans="1:32" ht="20" x14ac:dyDescent="0.35">
      <c r="A13" s="162" t="s">
        <v>806</v>
      </c>
      <c r="B13" s="163" t="s">
        <v>807</v>
      </c>
      <c r="C13" s="154"/>
      <c r="D13" s="162" t="s">
        <v>519</v>
      </c>
      <c r="E13" s="164" t="s">
        <v>519</v>
      </c>
      <c r="F13" s="164" t="s">
        <v>807</v>
      </c>
      <c r="G13" s="164" t="s">
        <v>806</v>
      </c>
      <c r="H13" s="165">
        <v>25820</v>
      </c>
      <c r="I13" s="164" t="s">
        <v>20</v>
      </c>
      <c r="J13" s="164" t="s">
        <v>21</v>
      </c>
      <c r="K13" s="165">
        <v>42499</v>
      </c>
      <c r="L13" s="166" t="s">
        <v>518</v>
      </c>
      <c r="M13" s="154"/>
      <c r="N13" s="154"/>
      <c r="O13" s="164" t="s">
        <v>35</v>
      </c>
      <c r="P13" s="164">
        <v>55</v>
      </c>
      <c r="Q13" s="164">
        <v>10</v>
      </c>
      <c r="R13" s="167" t="s">
        <v>793</v>
      </c>
      <c r="S13" s="167" t="s">
        <v>102</v>
      </c>
      <c r="T13" s="162" t="s">
        <v>800</v>
      </c>
      <c r="U13" s="167" t="s">
        <v>802</v>
      </c>
      <c r="X13" s="169">
        <v>45018</v>
      </c>
      <c r="Y13" s="170">
        <v>98</v>
      </c>
      <c r="Z13" s="170">
        <v>0</v>
      </c>
      <c r="AA13" s="170">
        <v>0</v>
      </c>
      <c r="AB13" s="170">
        <v>0</v>
      </c>
      <c r="AC13" s="171">
        <v>98</v>
      </c>
      <c r="AD13" s="172">
        <v>7108358.46</v>
      </c>
      <c r="AE13" s="173">
        <v>98</v>
      </c>
      <c r="AF13" s="174">
        <v>46357</v>
      </c>
    </row>
    <row r="14" spans="1:32" ht="20" x14ac:dyDescent="0.35">
      <c r="A14" s="162" t="s">
        <v>806</v>
      </c>
      <c r="B14" s="163" t="s">
        <v>807</v>
      </c>
      <c r="C14" s="154"/>
      <c r="D14" s="162" t="s">
        <v>519</v>
      </c>
      <c r="E14" s="164" t="s">
        <v>519</v>
      </c>
      <c r="F14" s="164" t="s">
        <v>807</v>
      </c>
      <c r="G14" s="164" t="s">
        <v>806</v>
      </c>
      <c r="H14" s="165">
        <v>25820</v>
      </c>
      <c r="I14" s="164" t="s">
        <v>20</v>
      </c>
      <c r="J14" s="164" t="s">
        <v>21</v>
      </c>
      <c r="K14" s="165">
        <v>42499</v>
      </c>
      <c r="L14" s="166" t="s">
        <v>518</v>
      </c>
      <c r="M14" s="154"/>
      <c r="N14" s="154"/>
      <c r="O14" s="164" t="s">
        <v>35</v>
      </c>
      <c r="P14" s="164">
        <v>55</v>
      </c>
      <c r="Q14" s="164">
        <v>10</v>
      </c>
      <c r="R14" s="167" t="s">
        <v>793</v>
      </c>
      <c r="S14" s="167" t="s">
        <v>102</v>
      </c>
      <c r="T14" s="162" t="s">
        <v>800</v>
      </c>
      <c r="U14" s="167" t="s">
        <v>803</v>
      </c>
      <c r="X14" s="169">
        <v>45018</v>
      </c>
      <c r="Y14" s="170">
        <v>2</v>
      </c>
      <c r="Z14" s="170">
        <v>0</v>
      </c>
      <c r="AA14" s="170">
        <v>0</v>
      </c>
      <c r="AB14" s="170">
        <v>0</v>
      </c>
      <c r="AC14" s="171">
        <v>2</v>
      </c>
      <c r="AD14" s="172">
        <v>145068.54</v>
      </c>
      <c r="AE14" s="173">
        <v>2</v>
      </c>
      <c r="AF14" s="174">
        <v>46357</v>
      </c>
    </row>
    <row r="15" spans="1:32" ht="20" x14ac:dyDescent="0.35">
      <c r="A15" s="162" t="s">
        <v>806</v>
      </c>
      <c r="B15" s="163" t="s">
        <v>807</v>
      </c>
      <c r="C15" s="154"/>
      <c r="D15" s="162" t="s">
        <v>519</v>
      </c>
      <c r="E15" s="164" t="s">
        <v>519</v>
      </c>
      <c r="F15" s="164" t="s">
        <v>807</v>
      </c>
      <c r="G15" s="164" t="s">
        <v>806</v>
      </c>
      <c r="H15" s="165">
        <v>25820</v>
      </c>
      <c r="I15" s="164" t="s">
        <v>20</v>
      </c>
      <c r="J15" s="164" t="s">
        <v>21</v>
      </c>
      <c r="K15" s="165">
        <v>42499</v>
      </c>
      <c r="L15" s="166" t="s">
        <v>518</v>
      </c>
      <c r="M15" s="154"/>
      <c r="N15" s="154"/>
      <c r="O15" s="164" t="s">
        <v>35</v>
      </c>
      <c r="P15" s="164">
        <v>55</v>
      </c>
      <c r="Q15" s="164">
        <v>10</v>
      </c>
      <c r="R15" s="167" t="s">
        <v>793</v>
      </c>
      <c r="S15" s="167" t="s">
        <v>102</v>
      </c>
      <c r="T15" s="162" t="s">
        <v>800</v>
      </c>
      <c r="U15" s="167" t="s">
        <v>804</v>
      </c>
      <c r="X15" s="169">
        <v>45018</v>
      </c>
      <c r="Y15" s="170">
        <v>5</v>
      </c>
      <c r="Z15" s="170">
        <v>0</v>
      </c>
      <c r="AA15" s="170">
        <v>0</v>
      </c>
      <c r="AB15" s="170">
        <v>0</v>
      </c>
      <c r="AC15" s="171">
        <v>5</v>
      </c>
      <c r="AD15" s="172">
        <v>362671.35</v>
      </c>
      <c r="AE15" s="173">
        <v>5</v>
      </c>
      <c r="AF15" s="174">
        <v>46357</v>
      </c>
    </row>
    <row r="16" spans="1:32" ht="20" x14ac:dyDescent="0.35">
      <c r="A16" s="162" t="s">
        <v>806</v>
      </c>
      <c r="B16" s="163" t="s">
        <v>807</v>
      </c>
      <c r="C16" s="154"/>
      <c r="D16" s="162" t="s">
        <v>519</v>
      </c>
      <c r="E16" s="164" t="s">
        <v>519</v>
      </c>
      <c r="F16" s="164" t="s">
        <v>807</v>
      </c>
      <c r="G16" s="164" t="s">
        <v>806</v>
      </c>
      <c r="H16" s="165">
        <v>25820</v>
      </c>
      <c r="I16" s="164" t="s">
        <v>20</v>
      </c>
      <c r="J16" s="164" t="s">
        <v>21</v>
      </c>
      <c r="K16" s="165">
        <v>42499</v>
      </c>
      <c r="L16" s="166" t="s">
        <v>518</v>
      </c>
      <c r="M16" s="154"/>
      <c r="N16" s="154"/>
      <c r="O16" s="164" t="s">
        <v>35</v>
      </c>
      <c r="P16" s="164">
        <v>55</v>
      </c>
      <c r="Q16" s="164">
        <v>10</v>
      </c>
      <c r="R16" s="167" t="s">
        <v>793</v>
      </c>
      <c r="S16" s="167" t="s">
        <v>102</v>
      </c>
      <c r="T16" s="162" t="s">
        <v>800</v>
      </c>
      <c r="U16" s="167" t="s">
        <v>805</v>
      </c>
      <c r="X16" s="169">
        <v>45018</v>
      </c>
      <c r="Y16" s="170">
        <v>0.50000000333100003</v>
      </c>
      <c r="Z16" s="170">
        <v>8.3333329999999997E-2</v>
      </c>
      <c r="AA16" s="170">
        <v>0</v>
      </c>
      <c r="AB16" s="170">
        <v>0</v>
      </c>
      <c r="AC16" s="171">
        <v>0.58333333333100001</v>
      </c>
      <c r="AD16" s="172">
        <v>42311.657500000001</v>
      </c>
      <c r="AE16" s="173">
        <v>0.57999999999999996</v>
      </c>
      <c r="AF16" s="174">
        <v>46357</v>
      </c>
    </row>
    <row r="17" spans="1:32" ht="20" x14ac:dyDescent="0.35">
      <c r="A17" s="162" t="s">
        <v>681</v>
      </c>
      <c r="B17" s="163" t="s">
        <v>808</v>
      </c>
      <c r="C17" s="154"/>
      <c r="D17" s="162" t="s">
        <v>521</v>
      </c>
      <c r="E17" s="164" t="s">
        <v>521</v>
      </c>
      <c r="F17" s="164" t="s">
        <v>808</v>
      </c>
      <c r="G17" s="164" t="s">
        <v>681</v>
      </c>
      <c r="H17" s="165">
        <v>32060</v>
      </c>
      <c r="I17" s="164" t="s">
        <v>20</v>
      </c>
      <c r="J17" s="164" t="s">
        <v>21</v>
      </c>
      <c r="K17" s="165">
        <v>42679</v>
      </c>
      <c r="L17" s="166" t="s">
        <v>523</v>
      </c>
      <c r="M17" s="154"/>
      <c r="N17" s="154"/>
      <c r="O17" s="164" t="s">
        <v>35</v>
      </c>
      <c r="P17" s="164">
        <v>38</v>
      </c>
      <c r="Q17" s="164">
        <v>9</v>
      </c>
      <c r="R17" s="167" t="s">
        <v>809</v>
      </c>
      <c r="S17" s="167" t="s">
        <v>102</v>
      </c>
      <c r="T17" s="162" t="s">
        <v>794</v>
      </c>
      <c r="U17" s="167" t="s">
        <v>795</v>
      </c>
      <c r="V17" s="162" t="s">
        <v>796</v>
      </c>
      <c r="W17" s="168">
        <v>9</v>
      </c>
      <c r="X17" s="169">
        <v>45018</v>
      </c>
      <c r="Y17" s="170">
        <v>17.166666663335999</v>
      </c>
      <c r="Z17" s="170">
        <v>1.9166666699999999</v>
      </c>
      <c r="AA17" s="170">
        <v>0</v>
      </c>
      <c r="AB17" s="170">
        <v>0</v>
      </c>
      <c r="AC17" s="171">
        <v>19.083333333336</v>
      </c>
      <c r="AD17" s="172">
        <v>1392317.3576799999</v>
      </c>
      <c r="AE17" s="173" t="s">
        <v>797</v>
      </c>
      <c r="AF17" s="173"/>
    </row>
    <row r="18" spans="1:32" x14ac:dyDescent="0.35">
      <c r="A18" s="162" t="s">
        <v>681</v>
      </c>
      <c r="B18" s="163" t="s">
        <v>808</v>
      </c>
      <c r="C18" s="154"/>
      <c r="D18" s="162" t="s">
        <v>521</v>
      </c>
      <c r="E18" s="164" t="s">
        <v>521</v>
      </c>
      <c r="F18" s="164" t="s">
        <v>808</v>
      </c>
      <c r="G18" s="164" t="s">
        <v>681</v>
      </c>
      <c r="H18" s="165">
        <v>32060</v>
      </c>
      <c r="I18" s="164" t="s">
        <v>20</v>
      </c>
      <c r="J18" s="164" t="s">
        <v>21</v>
      </c>
      <c r="K18" s="165">
        <v>42679</v>
      </c>
      <c r="L18" s="166" t="s">
        <v>523</v>
      </c>
      <c r="M18" s="154"/>
      <c r="N18" s="154"/>
      <c r="O18" s="164" t="s">
        <v>35</v>
      </c>
      <c r="P18" s="164">
        <v>38</v>
      </c>
      <c r="Q18" s="164">
        <v>9</v>
      </c>
      <c r="R18" s="167" t="s">
        <v>809</v>
      </c>
      <c r="S18" s="167" t="s">
        <v>102</v>
      </c>
      <c r="T18" s="162" t="s">
        <v>798</v>
      </c>
      <c r="U18" s="167" t="s">
        <v>799</v>
      </c>
      <c r="X18" s="169">
        <v>45018</v>
      </c>
      <c r="Y18" s="170">
        <v>180</v>
      </c>
      <c r="Z18" s="170">
        <v>0</v>
      </c>
      <c r="AA18" s="170">
        <v>0</v>
      </c>
      <c r="AB18" s="170">
        <v>0</v>
      </c>
      <c r="AC18" s="171">
        <v>180</v>
      </c>
      <c r="AD18" s="172">
        <v>13132775.07684</v>
      </c>
      <c r="AE18" s="173">
        <v>180</v>
      </c>
      <c r="AF18" s="174">
        <v>46357</v>
      </c>
    </row>
    <row r="19" spans="1:32" x14ac:dyDescent="0.35">
      <c r="A19" s="162" t="s">
        <v>681</v>
      </c>
      <c r="B19" s="163" t="s">
        <v>808</v>
      </c>
      <c r="C19" s="154"/>
      <c r="D19" s="162" t="s">
        <v>521</v>
      </c>
      <c r="E19" s="164" t="s">
        <v>521</v>
      </c>
      <c r="F19" s="164" t="s">
        <v>808</v>
      </c>
      <c r="G19" s="164" t="s">
        <v>681</v>
      </c>
      <c r="H19" s="165">
        <v>32060</v>
      </c>
      <c r="I19" s="164" t="s">
        <v>20</v>
      </c>
      <c r="J19" s="164" t="s">
        <v>21</v>
      </c>
      <c r="K19" s="165">
        <v>42679</v>
      </c>
      <c r="L19" s="166" t="s">
        <v>523</v>
      </c>
      <c r="M19" s="154"/>
      <c r="N19" s="154"/>
      <c r="O19" s="164" t="s">
        <v>35</v>
      </c>
      <c r="P19" s="164">
        <v>38</v>
      </c>
      <c r="Q19" s="164">
        <v>9</v>
      </c>
      <c r="R19" s="167" t="s">
        <v>809</v>
      </c>
      <c r="S19" s="167" t="s">
        <v>102</v>
      </c>
      <c r="T19" s="162" t="s">
        <v>800</v>
      </c>
      <c r="U19" s="167" t="s">
        <v>801</v>
      </c>
      <c r="X19" s="169">
        <v>45018</v>
      </c>
      <c r="Y19" s="170">
        <v>15</v>
      </c>
      <c r="Z19" s="170">
        <v>0</v>
      </c>
      <c r="AA19" s="170">
        <v>0</v>
      </c>
      <c r="AB19" s="170">
        <v>0</v>
      </c>
      <c r="AC19" s="171">
        <v>15</v>
      </c>
      <c r="AD19" s="172">
        <v>1094397.92307</v>
      </c>
      <c r="AE19" s="173">
        <v>15</v>
      </c>
      <c r="AF19" s="174">
        <v>46357</v>
      </c>
    </row>
    <row r="20" spans="1:32" x14ac:dyDescent="0.35">
      <c r="A20" s="162" t="s">
        <v>681</v>
      </c>
      <c r="B20" s="163" t="s">
        <v>808</v>
      </c>
      <c r="C20" s="154"/>
      <c r="D20" s="162" t="s">
        <v>521</v>
      </c>
      <c r="E20" s="164" t="s">
        <v>521</v>
      </c>
      <c r="F20" s="164" t="s">
        <v>808</v>
      </c>
      <c r="G20" s="164" t="s">
        <v>681</v>
      </c>
      <c r="H20" s="165">
        <v>32060</v>
      </c>
      <c r="I20" s="164" t="s">
        <v>20</v>
      </c>
      <c r="J20" s="164" t="s">
        <v>21</v>
      </c>
      <c r="K20" s="165">
        <v>42679</v>
      </c>
      <c r="L20" s="166" t="s">
        <v>523</v>
      </c>
      <c r="M20" s="154"/>
      <c r="N20" s="154"/>
      <c r="O20" s="164" t="s">
        <v>35</v>
      </c>
      <c r="P20" s="164">
        <v>38</v>
      </c>
      <c r="Q20" s="164">
        <v>9</v>
      </c>
      <c r="R20" s="167" t="s">
        <v>809</v>
      </c>
      <c r="S20" s="167" t="s">
        <v>102</v>
      </c>
      <c r="T20" s="162" t="s">
        <v>800</v>
      </c>
      <c r="U20" s="167" t="s">
        <v>802</v>
      </c>
      <c r="X20" s="169">
        <v>45018</v>
      </c>
      <c r="Y20" s="170">
        <v>98</v>
      </c>
      <c r="Z20" s="170">
        <v>0</v>
      </c>
      <c r="AA20" s="170">
        <v>0</v>
      </c>
      <c r="AB20" s="170">
        <v>0</v>
      </c>
      <c r="AC20" s="171">
        <v>98</v>
      </c>
      <c r="AD20" s="172">
        <v>7150066.4307199996</v>
      </c>
      <c r="AE20" s="173">
        <v>98</v>
      </c>
      <c r="AF20" s="174">
        <v>46357</v>
      </c>
    </row>
    <row r="21" spans="1:32" x14ac:dyDescent="0.35">
      <c r="A21" s="162" t="s">
        <v>681</v>
      </c>
      <c r="B21" s="163" t="s">
        <v>808</v>
      </c>
      <c r="C21" s="154"/>
      <c r="D21" s="162" t="s">
        <v>521</v>
      </c>
      <c r="E21" s="164" t="s">
        <v>521</v>
      </c>
      <c r="F21" s="164" t="s">
        <v>808</v>
      </c>
      <c r="G21" s="164" t="s">
        <v>681</v>
      </c>
      <c r="H21" s="165">
        <v>32060</v>
      </c>
      <c r="I21" s="164" t="s">
        <v>20</v>
      </c>
      <c r="J21" s="164" t="s">
        <v>21</v>
      </c>
      <c r="K21" s="165">
        <v>42679</v>
      </c>
      <c r="L21" s="166" t="s">
        <v>523</v>
      </c>
      <c r="M21" s="154"/>
      <c r="N21" s="154"/>
      <c r="O21" s="164" t="s">
        <v>35</v>
      </c>
      <c r="P21" s="164">
        <v>38</v>
      </c>
      <c r="Q21" s="164">
        <v>9</v>
      </c>
      <c r="R21" s="167" t="s">
        <v>809</v>
      </c>
      <c r="S21" s="167" t="s">
        <v>102</v>
      </c>
      <c r="T21" s="162" t="s">
        <v>800</v>
      </c>
      <c r="U21" s="167" t="s">
        <v>803</v>
      </c>
      <c r="X21" s="169">
        <v>45018</v>
      </c>
      <c r="Y21" s="170">
        <v>2</v>
      </c>
      <c r="Z21" s="170">
        <v>0</v>
      </c>
      <c r="AA21" s="170">
        <v>0</v>
      </c>
      <c r="AB21" s="170">
        <v>0</v>
      </c>
      <c r="AC21" s="171">
        <v>2</v>
      </c>
      <c r="AD21" s="172">
        <v>145919.72308</v>
      </c>
      <c r="AE21" s="173">
        <v>2</v>
      </c>
      <c r="AF21" s="174">
        <v>46357</v>
      </c>
    </row>
    <row r="22" spans="1:32" x14ac:dyDescent="0.35">
      <c r="A22" s="162" t="s">
        <v>681</v>
      </c>
      <c r="B22" s="163" t="s">
        <v>808</v>
      </c>
      <c r="C22" s="154"/>
      <c r="D22" s="162" t="s">
        <v>521</v>
      </c>
      <c r="E22" s="164" t="s">
        <v>521</v>
      </c>
      <c r="F22" s="164" t="s">
        <v>808</v>
      </c>
      <c r="G22" s="164" t="s">
        <v>681</v>
      </c>
      <c r="H22" s="165">
        <v>32060</v>
      </c>
      <c r="I22" s="164" t="s">
        <v>20</v>
      </c>
      <c r="J22" s="164" t="s">
        <v>21</v>
      </c>
      <c r="K22" s="165">
        <v>42679</v>
      </c>
      <c r="L22" s="166" t="s">
        <v>523</v>
      </c>
      <c r="M22" s="154"/>
      <c r="N22" s="154"/>
      <c r="O22" s="164" t="s">
        <v>35</v>
      </c>
      <c r="P22" s="164">
        <v>38</v>
      </c>
      <c r="Q22" s="164">
        <v>9</v>
      </c>
      <c r="R22" s="167" t="s">
        <v>809</v>
      </c>
      <c r="S22" s="167" t="s">
        <v>102</v>
      </c>
      <c r="T22" s="162" t="s">
        <v>800</v>
      </c>
      <c r="U22" s="167" t="s">
        <v>804</v>
      </c>
      <c r="X22" s="169">
        <v>45018</v>
      </c>
      <c r="Y22" s="170">
        <v>5</v>
      </c>
      <c r="Z22" s="170">
        <v>0</v>
      </c>
      <c r="AA22" s="170">
        <v>0</v>
      </c>
      <c r="AB22" s="170">
        <v>0</v>
      </c>
      <c r="AC22" s="171">
        <v>5</v>
      </c>
      <c r="AD22" s="172">
        <v>364799.30768999999</v>
      </c>
      <c r="AE22" s="173">
        <v>5</v>
      </c>
      <c r="AF22" s="174">
        <v>46357</v>
      </c>
    </row>
    <row r="23" spans="1:32" x14ac:dyDescent="0.35">
      <c r="A23" s="162" t="s">
        <v>681</v>
      </c>
      <c r="B23" s="163" t="s">
        <v>808</v>
      </c>
      <c r="C23" s="154"/>
      <c r="D23" s="162" t="s">
        <v>521</v>
      </c>
      <c r="E23" s="164" t="s">
        <v>521</v>
      </c>
      <c r="F23" s="164" t="s">
        <v>808</v>
      </c>
      <c r="G23" s="164" t="s">
        <v>681</v>
      </c>
      <c r="H23" s="165">
        <v>32060</v>
      </c>
      <c r="I23" s="164" t="s">
        <v>20</v>
      </c>
      <c r="J23" s="164" t="s">
        <v>21</v>
      </c>
      <c r="K23" s="165">
        <v>42679</v>
      </c>
      <c r="L23" s="166" t="s">
        <v>523</v>
      </c>
      <c r="M23" s="154"/>
      <c r="N23" s="154"/>
      <c r="O23" s="164" t="s">
        <v>35</v>
      </c>
      <c r="P23" s="164">
        <v>38</v>
      </c>
      <c r="Q23" s="164">
        <v>9</v>
      </c>
      <c r="R23" s="167" t="s">
        <v>809</v>
      </c>
      <c r="S23" s="167" t="s">
        <v>102</v>
      </c>
      <c r="T23" s="162" t="s">
        <v>800</v>
      </c>
      <c r="U23" s="167" t="s">
        <v>805</v>
      </c>
      <c r="X23" s="169">
        <v>45018</v>
      </c>
      <c r="Y23" s="170">
        <v>-3.999999996673</v>
      </c>
      <c r="Z23" s="170">
        <v>8.3333329999999997E-2</v>
      </c>
      <c r="AA23" s="170">
        <v>0</v>
      </c>
      <c r="AB23" s="170">
        <v>0</v>
      </c>
      <c r="AC23" s="171">
        <v>-3.9166666666730001</v>
      </c>
      <c r="AD23" s="172">
        <v>-285759.45769000001</v>
      </c>
      <c r="AE23" s="173">
        <v>0</v>
      </c>
      <c r="AF23" s="174">
        <v>46357</v>
      </c>
    </row>
    <row r="24" spans="1:32" ht="20" x14ac:dyDescent="0.35">
      <c r="A24" s="162" t="s">
        <v>810</v>
      </c>
      <c r="B24" s="163" t="s">
        <v>811</v>
      </c>
      <c r="C24" s="154"/>
      <c r="D24" s="162" t="s">
        <v>524</v>
      </c>
      <c r="E24" s="164" t="s">
        <v>524</v>
      </c>
      <c r="F24" s="164" t="s">
        <v>811</v>
      </c>
      <c r="G24" s="164" t="s">
        <v>810</v>
      </c>
      <c r="H24" s="165">
        <v>30322</v>
      </c>
      <c r="I24" s="164" t="s">
        <v>20</v>
      </c>
      <c r="J24" s="164" t="s">
        <v>21</v>
      </c>
      <c r="K24" s="165">
        <v>42679</v>
      </c>
      <c r="L24" s="166" t="s">
        <v>518</v>
      </c>
      <c r="M24" s="154"/>
      <c r="N24" s="154"/>
      <c r="O24" s="164" t="s">
        <v>204</v>
      </c>
      <c r="P24" s="164">
        <v>43</v>
      </c>
      <c r="Q24" s="164">
        <v>9</v>
      </c>
      <c r="R24" s="167" t="s">
        <v>793</v>
      </c>
      <c r="S24" s="167" t="s">
        <v>102</v>
      </c>
      <c r="T24" s="162" t="s">
        <v>794</v>
      </c>
      <c r="U24" s="167" t="s">
        <v>795</v>
      </c>
      <c r="V24" s="162" t="s">
        <v>796</v>
      </c>
      <c r="W24" s="168">
        <v>9</v>
      </c>
      <c r="X24" s="169">
        <v>45018</v>
      </c>
      <c r="Y24" s="170">
        <v>28.416666663328002</v>
      </c>
      <c r="Z24" s="170">
        <v>1.9166666699999999</v>
      </c>
      <c r="AA24" s="170">
        <v>-23</v>
      </c>
      <c r="AB24" s="170">
        <v>0</v>
      </c>
      <c r="AC24" s="171">
        <v>7.3333333333280004</v>
      </c>
      <c r="AD24" s="172">
        <v>510467.34256000002</v>
      </c>
      <c r="AE24" s="173" t="s">
        <v>797</v>
      </c>
      <c r="AF24" s="173"/>
    </row>
    <row r="25" spans="1:32" ht="20" x14ac:dyDescent="0.35">
      <c r="A25" s="162" t="s">
        <v>810</v>
      </c>
      <c r="B25" s="163" t="s">
        <v>811</v>
      </c>
      <c r="C25" s="154"/>
      <c r="D25" s="162" t="s">
        <v>524</v>
      </c>
      <c r="E25" s="164" t="s">
        <v>524</v>
      </c>
      <c r="F25" s="164" t="s">
        <v>811</v>
      </c>
      <c r="G25" s="164" t="s">
        <v>810</v>
      </c>
      <c r="H25" s="165">
        <v>30322</v>
      </c>
      <c r="I25" s="164" t="s">
        <v>20</v>
      </c>
      <c r="J25" s="164" t="s">
        <v>21</v>
      </c>
      <c r="K25" s="165">
        <v>42679</v>
      </c>
      <c r="L25" s="166" t="s">
        <v>518</v>
      </c>
      <c r="M25" s="154"/>
      <c r="N25" s="154"/>
      <c r="O25" s="164" t="s">
        <v>204</v>
      </c>
      <c r="P25" s="164">
        <v>43</v>
      </c>
      <c r="Q25" s="164">
        <v>9</v>
      </c>
      <c r="R25" s="167" t="s">
        <v>793</v>
      </c>
      <c r="S25" s="167" t="s">
        <v>102</v>
      </c>
      <c r="T25" s="162" t="s">
        <v>798</v>
      </c>
      <c r="U25" s="167" t="s">
        <v>799</v>
      </c>
      <c r="X25" s="169">
        <v>45018</v>
      </c>
      <c r="Y25" s="170">
        <v>180</v>
      </c>
      <c r="Z25" s="170">
        <v>0</v>
      </c>
      <c r="AA25" s="170">
        <v>0</v>
      </c>
      <c r="AB25" s="170">
        <v>0</v>
      </c>
      <c r="AC25" s="171">
        <v>180</v>
      </c>
      <c r="AD25" s="172">
        <v>12529652.953679999</v>
      </c>
      <c r="AE25" s="173">
        <v>180</v>
      </c>
      <c r="AF25" s="174">
        <v>46357</v>
      </c>
    </row>
    <row r="26" spans="1:32" ht="20" x14ac:dyDescent="0.35">
      <c r="A26" s="162" t="s">
        <v>810</v>
      </c>
      <c r="B26" s="163" t="s">
        <v>811</v>
      </c>
      <c r="C26" s="154"/>
      <c r="D26" s="162" t="s">
        <v>524</v>
      </c>
      <c r="E26" s="164" t="s">
        <v>524</v>
      </c>
      <c r="F26" s="164" t="s">
        <v>811</v>
      </c>
      <c r="G26" s="164" t="s">
        <v>810</v>
      </c>
      <c r="H26" s="165">
        <v>30322</v>
      </c>
      <c r="I26" s="164" t="s">
        <v>20</v>
      </c>
      <c r="J26" s="164" t="s">
        <v>21</v>
      </c>
      <c r="K26" s="165">
        <v>42679</v>
      </c>
      <c r="L26" s="166" t="s">
        <v>518</v>
      </c>
      <c r="M26" s="154"/>
      <c r="N26" s="154"/>
      <c r="O26" s="164" t="s">
        <v>204</v>
      </c>
      <c r="P26" s="164">
        <v>43</v>
      </c>
      <c r="Q26" s="164">
        <v>9</v>
      </c>
      <c r="R26" s="167" t="s">
        <v>793</v>
      </c>
      <c r="S26" s="167" t="s">
        <v>102</v>
      </c>
      <c r="T26" s="162" t="s">
        <v>800</v>
      </c>
      <c r="U26" s="167" t="s">
        <v>801</v>
      </c>
      <c r="X26" s="169">
        <v>45018</v>
      </c>
      <c r="Y26" s="170">
        <v>15</v>
      </c>
      <c r="Z26" s="170">
        <v>0</v>
      </c>
      <c r="AA26" s="170">
        <v>0</v>
      </c>
      <c r="AB26" s="170">
        <v>0</v>
      </c>
      <c r="AC26" s="171">
        <v>15</v>
      </c>
      <c r="AD26" s="172">
        <v>1044137.7461399999</v>
      </c>
      <c r="AE26" s="173">
        <v>15</v>
      </c>
      <c r="AF26" s="174">
        <v>46357</v>
      </c>
    </row>
    <row r="27" spans="1:32" ht="20" x14ac:dyDescent="0.35">
      <c r="A27" s="162" t="s">
        <v>810</v>
      </c>
      <c r="B27" s="163" t="s">
        <v>811</v>
      </c>
      <c r="C27" s="154"/>
      <c r="D27" s="162" t="s">
        <v>524</v>
      </c>
      <c r="E27" s="164" t="s">
        <v>524</v>
      </c>
      <c r="F27" s="164" t="s">
        <v>811</v>
      </c>
      <c r="G27" s="164" t="s">
        <v>810</v>
      </c>
      <c r="H27" s="165">
        <v>30322</v>
      </c>
      <c r="I27" s="164" t="s">
        <v>20</v>
      </c>
      <c r="J27" s="164" t="s">
        <v>21</v>
      </c>
      <c r="K27" s="165">
        <v>42679</v>
      </c>
      <c r="L27" s="166" t="s">
        <v>518</v>
      </c>
      <c r="M27" s="154"/>
      <c r="N27" s="154"/>
      <c r="O27" s="164" t="s">
        <v>204</v>
      </c>
      <c r="P27" s="164">
        <v>43</v>
      </c>
      <c r="Q27" s="164">
        <v>9</v>
      </c>
      <c r="R27" s="167" t="s">
        <v>793</v>
      </c>
      <c r="S27" s="167" t="s">
        <v>102</v>
      </c>
      <c r="T27" s="162" t="s">
        <v>800</v>
      </c>
      <c r="U27" s="167" t="s">
        <v>802</v>
      </c>
      <c r="X27" s="169">
        <v>45018</v>
      </c>
      <c r="Y27" s="170">
        <v>98</v>
      </c>
      <c r="Z27" s="170">
        <v>0</v>
      </c>
      <c r="AA27" s="170">
        <v>0</v>
      </c>
      <c r="AB27" s="170">
        <v>0</v>
      </c>
      <c r="AC27" s="171">
        <v>98</v>
      </c>
      <c r="AD27" s="172">
        <v>6821699.9414499998</v>
      </c>
      <c r="AE27" s="173">
        <v>98</v>
      </c>
      <c r="AF27" s="174">
        <v>46357</v>
      </c>
    </row>
    <row r="28" spans="1:32" ht="20" x14ac:dyDescent="0.35">
      <c r="A28" s="162" t="s">
        <v>810</v>
      </c>
      <c r="B28" s="163" t="s">
        <v>811</v>
      </c>
      <c r="C28" s="154"/>
      <c r="D28" s="162" t="s">
        <v>524</v>
      </c>
      <c r="E28" s="164" t="s">
        <v>524</v>
      </c>
      <c r="F28" s="164" t="s">
        <v>811</v>
      </c>
      <c r="G28" s="164" t="s">
        <v>810</v>
      </c>
      <c r="H28" s="165">
        <v>30322</v>
      </c>
      <c r="I28" s="164" t="s">
        <v>20</v>
      </c>
      <c r="J28" s="164" t="s">
        <v>21</v>
      </c>
      <c r="K28" s="165">
        <v>42679</v>
      </c>
      <c r="L28" s="166" t="s">
        <v>518</v>
      </c>
      <c r="M28" s="154"/>
      <c r="N28" s="154"/>
      <c r="O28" s="164" t="s">
        <v>204</v>
      </c>
      <c r="P28" s="164">
        <v>43</v>
      </c>
      <c r="Q28" s="164">
        <v>9</v>
      </c>
      <c r="R28" s="167" t="s">
        <v>793</v>
      </c>
      <c r="S28" s="167" t="s">
        <v>102</v>
      </c>
      <c r="T28" s="162" t="s">
        <v>800</v>
      </c>
      <c r="U28" s="167" t="s">
        <v>803</v>
      </c>
      <c r="X28" s="169">
        <v>45018</v>
      </c>
      <c r="Y28" s="170">
        <v>2</v>
      </c>
      <c r="Z28" s="170">
        <v>0</v>
      </c>
      <c r="AA28" s="170">
        <v>0</v>
      </c>
      <c r="AB28" s="170">
        <v>0</v>
      </c>
      <c r="AC28" s="171">
        <v>2</v>
      </c>
      <c r="AD28" s="172">
        <v>139218.36614999999</v>
      </c>
      <c r="AE28" s="173">
        <v>2</v>
      </c>
      <c r="AF28" s="174">
        <v>46357</v>
      </c>
    </row>
    <row r="29" spans="1:32" ht="20" x14ac:dyDescent="0.35">
      <c r="A29" s="162" t="s">
        <v>810</v>
      </c>
      <c r="B29" s="163" t="s">
        <v>811</v>
      </c>
      <c r="C29" s="154"/>
      <c r="D29" s="162" t="s">
        <v>524</v>
      </c>
      <c r="E29" s="164" t="s">
        <v>524</v>
      </c>
      <c r="F29" s="164" t="s">
        <v>811</v>
      </c>
      <c r="G29" s="164" t="s">
        <v>810</v>
      </c>
      <c r="H29" s="165">
        <v>30322</v>
      </c>
      <c r="I29" s="164" t="s">
        <v>20</v>
      </c>
      <c r="J29" s="164" t="s">
        <v>21</v>
      </c>
      <c r="K29" s="165">
        <v>42679</v>
      </c>
      <c r="L29" s="166" t="s">
        <v>518</v>
      </c>
      <c r="M29" s="154"/>
      <c r="N29" s="154"/>
      <c r="O29" s="164" t="s">
        <v>204</v>
      </c>
      <c r="P29" s="164">
        <v>43</v>
      </c>
      <c r="Q29" s="164">
        <v>9</v>
      </c>
      <c r="R29" s="167" t="s">
        <v>793</v>
      </c>
      <c r="S29" s="167" t="s">
        <v>102</v>
      </c>
      <c r="T29" s="162" t="s">
        <v>800</v>
      </c>
      <c r="U29" s="167" t="s">
        <v>804</v>
      </c>
      <c r="X29" s="169">
        <v>45018</v>
      </c>
      <c r="Y29" s="170">
        <v>5</v>
      </c>
      <c r="Z29" s="170">
        <v>0</v>
      </c>
      <c r="AA29" s="170">
        <v>0</v>
      </c>
      <c r="AB29" s="170">
        <v>0</v>
      </c>
      <c r="AC29" s="171">
        <v>5</v>
      </c>
      <c r="AD29" s="172">
        <v>348045.91538000002</v>
      </c>
      <c r="AE29" s="173">
        <v>5</v>
      </c>
      <c r="AF29" s="174">
        <v>46357</v>
      </c>
    </row>
    <row r="30" spans="1:32" ht="20" x14ac:dyDescent="0.35">
      <c r="A30" s="162" t="s">
        <v>810</v>
      </c>
      <c r="B30" s="163" t="s">
        <v>811</v>
      </c>
      <c r="C30" s="154"/>
      <c r="D30" s="162" t="s">
        <v>524</v>
      </c>
      <c r="E30" s="164" t="s">
        <v>524</v>
      </c>
      <c r="F30" s="164" t="s">
        <v>811</v>
      </c>
      <c r="G30" s="164" t="s">
        <v>810</v>
      </c>
      <c r="H30" s="165">
        <v>30322</v>
      </c>
      <c r="I30" s="164" t="s">
        <v>20</v>
      </c>
      <c r="J30" s="164" t="s">
        <v>21</v>
      </c>
      <c r="K30" s="165">
        <v>42679</v>
      </c>
      <c r="L30" s="166" t="s">
        <v>518</v>
      </c>
      <c r="M30" s="154"/>
      <c r="N30" s="154"/>
      <c r="O30" s="164" t="s">
        <v>204</v>
      </c>
      <c r="P30" s="164">
        <v>43</v>
      </c>
      <c r="Q30" s="164">
        <v>9</v>
      </c>
      <c r="R30" s="167" t="s">
        <v>793</v>
      </c>
      <c r="S30" s="167" t="s">
        <v>102</v>
      </c>
      <c r="T30" s="162" t="s">
        <v>800</v>
      </c>
      <c r="U30" s="167" t="s">
        <v>805</v>
      </c>
      <c r="X30" s="169">
        <v>45018</v>
      </c>
      <c r="Y30" s="170">
        <v>0.50000000332700001</v>
      </c>
      <c r="Z30" s="170">
        <v>8.3333329999999997E-2</v>
      </c>
      <c r="AA30" s="170">
        <v>0</v>
      </c>
      <c r="AB30" s="170">
        <v>0</v>
      </c>
      <c r="AC30" s="171">
        <v>0.58333333332699999</v>
      </c>
      <c r="AD30" s="172">
        <v>40605.356789999998</v>
      </c>
      <c r="AE30" s="173">
        <v>0.57999999999999996</v>
      </c>
      <c r="AF30" s="174">
        <v>46357</v>
      </c>
    </row>
    <row r="31" spans="1:32" ht="20" x14ac:dyDescent="0.35">
      <c r="A31" s="162" t="s">
        <v>685</v>
      </c>
      <c r="B31" s="163" t="s">
        <v>812</v>
      </c>
      <c r="C31" s="154"/>
      <c r="D31" s="162" t="s">
        <v>526</v>
      </c>
      <c r="E31" s="164" t="s">
        <v>526</v>
      </c>
      <c r="F31" s="164" t="s">
        <v>812</v>
      </c>
      <c r="G31" s="164" t="s">
        <v>685</v>
      </c>
      <c r="H31" s="165">
        <v>28108</v>
      </c>
      <c r="I31" s="164" t="s">
        <v>20</v>
      </c>
      <c r="J31" s="164" t="s">
        <v>21</v>
      </c>
      <c r="K31" s="165">
        <v>42240</v>
      </c>
      <c r="L31" s="166" t="s">
        <v>64</v>
      </c>
      <c r="M31" s="154"/>
      <c r="N31" s="154"/>
      <c r="O31" s="164" t="s">
        <v>65</v>
      </c>
      <c r="P31" s="164">
        <v>49</v>
      </c>
      <c r="Q31" s="164">
        <v>10</v>
      </c>
      <c r="R31" s="167" t="s">
        <v>813</v>
      </c>
      <c r="S31" s="167" t="s">
        <v>102</v>
      </c>
      <c r="T31" s="162" t="s">
        <v>794</v>
      </c>
      <c r="U31" s="167" t="s">
        <v>795</v>
      </c>
      <c r="V31" s="162" t="s">
        <v>814</v>
      </c>
      <c r="W31" s="168">
        <v>10</v>
      </c>
      <c r="X31" s="169">
        <v>45018</v>
      </c>
      <c r="Y31" s="170">
        <v>29.086666669991999</v>
      </c>
      <c r="Z31" s="170">
        <v>2.0833333299999999</v>
      </c>
      <c r="AA31" s="170">
        <v>0</v>
      </c>
      <c r="AB31" s="170">
        <v>0</v>
      </c>
      <c r="AC31" s="171">
        <v>31.169999999992001</v>
      </c>
      <c r="AD31" s="172">
        <v>5827211.5991399996</v>
      </c>
      <c r="AE31" s="173" t="s">
        <v>797</v>
      </c>
      <c r="AF31" s="173"/>
    </row>
    <row r="32" spans="1:32" x14ac:dyDescent="0.35">
      <c r="A32" s="162" t="s">
        <v>685</v>
      </c>
      <c r="B32" s="163" t="s">
        <v>812</v>
      </c>
      <c r="C32" s="154"/>
      <c r="D32" s="162" t="s">
        <v>526</v>
      </c>
      <c r="E32" s="164" t="s">
        <v>526</v>
      </c>
      <c r="F32" s="164" t="s">
        <v>812</v>
      </c>
      <c r="G32" s="164" t="s">
        <v>685</v>
      </c>
      <c r="H32" s="165">
        <v>28108</v>
      </c>
      <c r="I32" s="164" t="s">
        <v>20</v>
      </c>
      <c r="J32" s="164" t="s">
        <v>21</v>
      </c>
      <c r="K32" s="165">
        <v>42240</v>
      </c>
      <c r="L32" s="166" t="s">
        <v>64</v>
      </c>
      <c r="M32" s="154"/>
      <c r="N32" s="154"/>
      <c r="O32" s="164" t="s">
        <v>65</v>
      </c>
      <c r="P32" s="164">
        <v>49</v>
      </c>
      <c r="Q32" s="164">
        <v>10</v>
      </c>
      <c r="R32" s="167" t="s">
        <v>813</v>
      </c>
      <c r="S32" s="167" t="s">
        <v>102</v>
      </c>
      <c r="T32" s="162" t="s">
        <v>798</v>
      </c>
      <c r="U32" s="167" t="s">
        <v>799</v>
      </c>
      <c r="X32" s="169">
        <v>45018</v>
      </c>
      <c r="Y32" s="170">
        <v>180</v>
      </c>
      <c r="Z32" s="170">
        <v>0</v>
      </c>
      <c r="AA32" s="170">
        <v>0</v>
      </c>
      <c r="AB32" s="170">
        <v>0</v>
      </c>
      <c r="AC32" s="171">
        <v>180</v>
      </c>
      <c r="AD32" s="172">
        <v>33650885.076839998</v>
      </c>
      <c r="AE32" s="173">
        <v>180</v>
      </c>
      <c r="AF32" s="174">
        <v>46357</v>
      </c>
    </row>
    <row r="33" spans="1:32" x14ac:dyDescent="0.35">
      <c r="A33" s="162" t="s">
        <v>685</v>
      </c>
      <c r="B33" s="163" t="s">
        <v>812</v>
      </c>
      <c r="C33" s="154"/>
      <c r="D33" s="162" t="s">
        <v>526</v>
      </c>
      <c r="E33" s="164" t="s">
        <v>526</v>
      </c>
      <c r="F33" s="164" t="s">
        <v>812</v>
      </c>
      <c r="G33" s="164" t="s">
        <v>685</v>
      </c>
      <c r="H33" s="165">
        <v>28108</v>
      </c>
      <c r="I33" s="164" t="s">
        <v>20</v>
      </c>
      <c r="J33" s="164" t="s">
        <v>21</v>
      </c>
      <c r="K33" s="165">
        <v>42240</v>
      </c>
      <c r="L33" s="166" t="s">
        <v>64</v>
      </c>
      <c r="M33" s="154"/>
      <c r="N33" s="154"/>
      <c r="O33" s="164" t="s">
        <v>65</v>
      </c>
      <c r="P33" s="164">
        <v>49</v>
      </c>
      <c r="Q33" s="164">
        <v>10</v>
      </c>
      <c r="R33" s="167" t="s">
        <v>813</v>
      </c>
      <c r="S33" s="167" t="s">
        <v>102</v>
      </c>
      <c r="T33" s="162" t="s">
        <v>800</v>
      </c>
      <c r="U33" s="167" t="s">
        <v>801</v>
      </c>
      <c r="X33" s="169">
        <v>45018</v>
      </c>
      <c r="Y33" s="170">
        <v>15</v>
      </c>
      <c r="Z33" s="170">
        <v>0</v>
      </c>
      <c r="AA33" s="170">
        <v>0</v>
      </c>
      <c r="AB33" s="170">
        <v>0</v>
      </c>
      <c r="AC33" s="171">
        <v>15</v>
      </c>
      <c r="AD33" s="172">
        <v>2804240.42307</v>
      </c>
      <c r="AE33" s="173">
        <v>15</v>
      </c>
      <c r="AF33" s="174">
        <v>46357</v>
      </c>
    </row>
    <row r="34" spans="1:32" x14ac:dyDescent="0.35">
      <c r="A34" s="162" t="s">
        <v>685</v>
      </c>
      <c r="B34" s="163" t="s">
        <v>812</v>
      </c>
      <c r="C34" s="154"/>
      <c r="D34" s="162" t="s">
        <v>526</v>
      </c>
      <c r="E34" s="164" t="s">
        <v>526</v>
      </c>
      <c r="F34" s="164" t="s">
        <v>812</v>
      </c>
      <c r="G34" s="164" t="s">
        <v>685</v>
      </c>
      <c r="H34" s="165">
        <v>28108</v>
      </c>
      <c r="I34" s="164" t="s">
        <v>20</v>
      </c>
      <c r="J34" s="164" t="s">
        <v>21</v>
      </c>
      <c r="K34" s="165">
        <v>42240</v>
      </c>
      <c r="L34" s="166" t="s">
        <v>64</v>
      </c>
      <c r="M34" s="154"/>
      <c r="N34" s="154"/>
      <c r="O34" s="164" t="s">
        <v>65</v>
      </c>
      <c r="P34" s="164">
        <v>49</v>
      </c>
      <c r="Q34" s="164">
        <v>10</v>
      </c>
      <c r="R34" s="167" t="s">
        <v>813</v>
      </c>
      <c r="S34" s="167" t="s">
        <v>102</v>
      </c>
      <c r="T34" s="162" t="s">
        <v>800</v>
      </c>
      <c r="U34" s="167" t="s">
        <v>802</v>
      </c>
      <c r="X34" s="169">
        <v>45018</v>
      </c>
      <c r="Y34" s="170">
        <v>98</v>
      </c>
      <c r="Z34" s="170">
        <v>0</v>
      </c>
      <c r="AA34" s="170">
        <v>0</v>
      </c>
      <c r="AB34" s="170">
        <v>0</v>
      </c>
      <c r="AC34" s="171">
        <v>98</v>
      </c>
      <c r="AD34" s="172">
        <v>18321037.430720001</v>
      </c>
      <c r="AE34" s="173">
        <v>98</v>
      </c>
      <c r="AF34" s="174">
        <v>46357</v>
      </c>
    </row>
    <row r="35" spans="1:32" x14ac:dyDescent="0.35">
      <c r="A35" s="162" t="s">
        <v>685</v>
      </c>
      <c r="B35" s="163" t="s">
        <v>812</v>
      </c>
      <c r="C35" s="154"/>
      <c r="D35" s="162" t="s">
        <v>526</v>
      </c>
      <c r="E35" s="164" t="s">
        <v>526</v>
      </c>
      <c r="F35" s="164" t="s">
        <v>812</v>
      </c>
      <c r="G35" s="164" t="s">
        <v>685</v>
      </c>
      <c r="H35" s="165">
        <v>28108</v>
      </c>
      <c r="I35" s="164" t="s">
        <v>20</v>
      </c>
      <c r="J35" s="164" t="s">
        <v>21</v>
      </c>
      <c r="K35" s="165">
        <v>42240</v>
      </c>
      <c r="L35" s="166" t="s">
        <v>64</v>
      </c>
      <c r="M35" s="154"/>
      <c r="N35" s="154"/>
      <c r="O35" s="164" t="s">
        <v>65</v>
      </c>
      <c r="P35" s="164">
        <v>49</v>
      </c>
      <c r="Q35" s="164">
        <v>10</v>
      </c>
      <c r="R35" s="167" t="s">
        <v>813</v>
      </c>
      <c r="S35" s="167" t="s">
        <v>102</v>
      </c>
      <c r="T35" s="162" t="s">
        <v>800</v>
      </c>
      <c r="U35" s="167" t="s">
        <v>803</v>
      </c>
      <c r="X35" s="169">
        <v>45018</v>
      </c>
      <c r="Y35" s="170">
        <v>2</v>
      </c>
      <c r="Z35" s="170">
        <v>0</v>
      </c>
      <c r="AA35" s="170">
        <v>0</v>
      </c>
      <c r="AB35" s="170">
        <v>0</v>
      </c>
      <c r="AC35" s="171">
        <v>2</v>
      </c>
      <c r="AD35" s="172">
        <v>373898.72308000003</v>
      </c>
      <c r="AE35" s="173">
        <v>2</v>
      </c>
      <c r="AF35" s="174">
        <v>46357</v>
      </c>
    </row>
    <row r="36" spans="1:32" x14ac:dyDescent="0.35">
      <c r="A36" s="162" t="s">
        <v>685</v>
      </c>
      <c r="B36" s="163" t="s">
        <v>812</v>
      </c>
      <c r="C36" s="154"/>
      <c r="D36" s="162" t="s">
        <v>526</v>
      </c>
      <c r="E36" s="164" t="s">
        <v>526</v>
      </c>
      <c r="F36" s="164" t="s">
        <v>812</v>
      </c>
      <c r="G36" s="164" t="s">
        <v>685</v>
      </c>
      <c r="H36" s="165">
        <v>28108</v>
      </c>
      <c r="I36" s="164" t="s">
        <v>20</v>
      </c>
      <c r="J36" s="164" t="s">
        <v>21</v>
      </c>
      <c r="K36" s="165">
        <v>42240</v>
      </c>
      <c r="L36" s="166" t="s">
        <v>64</v>
      </c>
      <c r="M36" s="154"/>
      <c r="N36" s="154"/>
      <c r="O36" s="164" t="s">
        <v>65</v>
      </c>
      <c r="P36" s="164">
        <v>49</v>
      </c>
      <c r="Q36" s="164">
        <v>10</v>
      </c>
      <c r="R36" s="167" t="s">
        <v>813</v>
      </c>
      <c r="S36" s="167" t="s">
        <v>102</v>
      </c>
      <c r="T36" s="162" t="s">
        <v>800</v>
      </c>
      <c r="U36" s="167" t="s">
        <v>804</v>
      </c>
      <c r="X36" s="169">
        <v>45018</v>
      </c>
      <c r="Y36" s="170">
        <v>5</v>
      </c>
      <c r="Z36" s="170">
        <v>0</v>
      </c>
      <c r="AA36" s="170">
        <v>0</v>
      </c>
      <c r="AB36" s="170">
        <v>0</v>
      </c>
      <c r="AC36" s="171">
        <v>5</v>
      </c>
      <c r="AD36" s="172">
        <v>934746.80769000005</v>
      </c>
      <c r="AE36" s="173">
        <v>5</v>
      </c>
      <c r="AF36" s="174">
        <v>46357</v>
      </c>
    </row>
    <row r="37" spans="1:32" x14ac:dyDescent="0.35">
      <c r="A37" s="162" t="s">
        <v>685</v>
      </c>
      <c r="B37" s="163" t="s">
        <v>812</v>
      </c>
      <c r="C37" s="154"/>
      <c r="D37" s="162" t="s">
        <v>526</v>
      </c>
      <c r="E37" s="164" t="s">
        <v>526</v>
      </c>
      <c r="F37" s="164" t="s">
        <v>812</v>
      </c>
      <c r="G37" s="164" t="s">
        <v>685</v>
      </c>
      <c r="H37" s="165">
        <v>28108</v>
      </c>
      <c r="I37" s="164" t="s">
        <v>20</v>
      </c>
      <c r="J37" s="164" t="s">
        <v>21</v>
      </c>
      <c r="K37" s="165">
        <v>42240</v>
      </c>
      <c r="L37" s="166" t="s">
        <v>64</v>
      </c>
      <c r="M37" s="154"/>
      <c r="N37" s="154"/>
      <c r="O37" s="164" t="s">
        <v>65</v>
      </c>
      <c r="P37" s="164">
        <v>49</v>
      </c>
      <c r="Q37" s="164">
        <v>10</v>
      </c>
      <c r="R37" s="167" t="s">
        <v>813</v>
      </c>
      <c r="S37" s="167" t="s">
        <v>102</v>
      </c>
      <c r="T37" s="162" t="s">
        <v>800</v>
      </c>
      <c r="U37" s="167" t="s">
        <v>805</v>
      </c>
      <c r="X37" s="169">
        <v>45018</v>
      </c>
      <c r="Y37" s="170">
        <v>0.50000000333100003</v>
      </c>
      <c r="Z37" s="170">
        <v>8.3333329999999997E-2</v>
      </c>
      <c r="AA37" s="170">
        <v>0</v>
      </c>
      <c r="AB37" s="170">
        <v>0</v>
      </c>
      <c r="AC37" s="171">
        <v>0.58333333333100001</v>
      </c>
      <c r="AD37" s="172">
        <v>109053.79423</v>
      </c>
      <c r="AE37" s="173">
        <v>0.57999999999999996</v>
      </c>
      <c r="AF37" s="174">
        <v>46357</v>
      </c>
    </row>
    <row r="38" spans="1:32" ht="20" x14ac:dyDescent="0.35">
      <c r="A38" s="162" t="s">
        <v>682</v>
      </c>
      <c r="B38" s="163" t="s">
        <v>815</v>
      </c>
      <c r="C38" s="154"/>
      <c r="D38" s="162" t="s">
        <v>528</v>
      </c>
      <c r="E38" s="164" t="s">
        <v>528</v>
      </c>
      <c r="F38" s="164" t="s">
        <v>815</v>
      </c>
      <c r="G38" s="164" t="s">
        <v>682</v>
      </c>
      <c r="H38" s="165">
        <v>30536</v>
      </c>
      <c r="I38" s="164" t="s">
        <v>20</v>
      </c>
      <c r="J38" s="164" t="s">
        <v>21</v>
      </c>
      <c r="K38" s="165">
        <v>43192</v>
      </c>
      <c r="L38" s="166" t="s">
        <v>530</v>
      </c>
      <c r="M38" s="154"/>
      <c r="N38" s="154"/>
      <c r="O38" s="164" t="s">
        <v>165</v>
      </c>
      <c r="P38" s="164">
        <v>42</v>
      </c>
      <c r="Q38" s="164">
        <v>8</v>
      </c>
      <c r="R38" s="167" t="s">
        <v>809</v>
      </c>
      <c r="S38" s="167" t="s">
        <v>102</v>
      </c>
      <c r="T38" s="162" t="s">
        <v>794</v>
      </c>
      <c r="U38" s="167" t="s">
        <v>795</v>
      </c>
      <c r="V38" s="162" t="s">
        <v>816</v>
      </c>
      <c r="W38" s="168">
        <v>8</v>
      </c>
      <c r="X38" s="169">
        <v>45018</v>
      </c>
      <c r="Y38" s="170">
        <v>9.1666666699979995</v>
      </c>
      <c r="Z38" s="170">
        <v>1.8333333300000001</v>
      </c>
      <c r="AA38" s="170">
        <v>0</v>
      </c>
      <c r="AB38" s="170">
        <v>0</v>
      </c>
      <c r="AC38" s="171">
        <v>10.999999999998</v>
      </c>
      <c r="AD38" s="172">
        <v>857449.47537999996</v>
      </c>
      <c r="AE38" s="173" t="s">
        <v>797</v>
      </c>
      <c r="AF38" s="173"/>
    </row>
    <row r="39" spans="1:32" x14ac:dyDescent="0.35">
      <c r="A39" s="162" t="s">
        <v>682</v>
      </c>
      <c r="B39" s="163" t="s">
        <v>815</v>
      </c>
      <c r="C39" s="154"/>
      <c r="D39" s="162" t="s">
        <v>528</v>
      </c>
      <c r="E39" s="164" t="s">
        <v>528</v>
      </c>
      <c r="F39" s="164" t="s">
        <v>815</v>
      </c>
      <c r="G39" s="164" t="s">
        <v>682</v>
      </c>
      <c r="H39" s="165">
        <v>30536</v>
      </c>
      <c r="I39" s="164" t="s">
        <v>20</v>
      </c>
      <c r="J39" s="164" t="s">
        <v>21</v>
      </c>
      <c r="K39" s="165">
        <v>43192</v>
      </c>
      <c r="L39" s="166" t="s">
        <v>530</v>
      </c>
      <c r="M39" s="154"/>
      <c r="N39" s="154"/>
      <c r="O39" s="164" t="s">
        <v>165</v>
      </c>
      <c r="P39" s="164">
        <v>42</v>
      </c>
      <c r="Q39" s="164">
        <v>8</v>
      </c>
      <c r="R39" s="167" t="s">
        <v>809</v>
      </c>
      <c r="S39" s="167" t="s">
        <v>102</v>
      </c>
      <c r="T39" s="162" t="s">
        <v>798</v>
      </c>
      <c r="U39" s="167" t="s">
        <v>799</v>
      </c>
      <c r="X39" s="169">
        <v>45018</v>
      </c>
      <c r="Y39" s="170">
        <v>180</v>
      </c>
      <c r="Z39" s="170">
        <v>0</v>
      </c>
      <c r="AA39" s="170">
        <v>0</v>
      </c>
      <c r="AB39" s="170">
        <v>0</v>
      </c>
      <c r="AC39" s="171">
        <v>180</v>
      </c>
      <c r="AD39" s="172">
        <v>14030991.41526</v>
      </c>
      <c r="AE39" s="173">
        <v>180</v>
      </c>
      <c r="AF39" s="174">
        <v>46357</v>
      </c>
    </row>
    <row r="40" spans="1:32" x14ac:dyDescent="0.35">
      <c r="A40" s="162" t="s">
        <v>682</v>
      </c>
      <c r="B40" s="163" t="s">
        <v>815</v>
      </c>
      <c r="C40" s="154"/>
      <c r="D40" s="162" t="s">
        <v>528</v>
      </c>
      <c r="E40" s="164" t="s">
        <v>528</v>
      </c>
      <c r="F40" s="164" t="s">
        <v>815</v>
      </c>
      <c r="G40" s="164" t="s">
        <v>682</v>
      </c>
      <c r="H40" s="165">
        <v>30536</v>
      </c>
      <c r="I40" s="164" t="s">
        <v>20</v>
      </c>
      <c r="J40" s="164" t="s">
        <v>21</v>
      </c>
      <c r="K40" s="165">
        <v>43192</v>
      </c>
      <c r="L40" s="166" t="s">
        <v>530</v>
      </c>
      <c r="M40" s="154"/>
      <c r="N40" s="154"/>
      <c r="O40" s="164" t="s">
        <v>165</v>
      </c>
      <c r="P40" s="164">
        <v>42</v>
      </c>
      <c r="Q40" s="164">
        <v>8</v>
      </c>
      <c r="R40" s="167" t="s">
        <v>809</v>
      </c>
      <c r="S40" s="167" t="s">
        <v>102</v>
      </c>
      <c r="T40" s="162" t="s">
        <v>800</v>
      </c>
      <c r="U40" s="167" t="s">
        <v>801</v>
      </c>
      <c r="X40" s="169">
        <v>45018</v>
      </c>
      <c r="Y40" s="170">
        <v>15</v>
      </c>
      <c r="Z40" s="170">
        <v>0</v>
      </c>
      <c r="AA40" s="170">
        <v>0</v>
      </c>
      <c r="AB40" s="170">
        <v>0</v>
      </c>
      <c r="AC40" s="171">
        <v>15</v>
      </c>
      <c r="AD40" s="172">
        <v>1169249.2845999999</v>
      </c>
      <c r="AE40" s="173">
        <v>15</v>
      </c>
      <c r="AF40" s="174">
        <v>46357</v>
      </c>
    </row>
    <row r="41" spans="1:32" x14ac:dyDescent="0.35">
      <c r="A41" s="162" t="s">
        <v>682</v>
      </c>
      <c r="B41" s="163" t="s">
        <v>815</v>
      </c>
      <c r="C41" s="154"/>
      <c r="D41" s="162" t="s">
        <v>528</v>
      </c>
      <c r="E41" s="164" t="s">
        <v>528</v>
      </c>
      <c r="F41" s="164" t="s">
        <v>815</v>
      </c>
      <c r="G41" s="164" t="s">
        <v>682</v>
      </c>
      <c r="H41" s="165">
        <v>30536</v>
      </c>
      <c r="I41" s="164" t="s">
        <v>20</v>
      </c>
      <c r="J41" s="164" t="s">
        <v>21</v>
      </c>
      <c r="K41" s="165">
        <v>43192</v>
      </c>
      <c r="L41" s="166" t="s">
        <v>530</v>
      </c>
      <c r="M41" s="154"/>
      <c r="N41" s="154"/>
      <c r="O41" s="164" t="s">
        <v>165</v>
      </c>
      <c r="P41" s="164">
        <v>42</v>
      </c>
      <c r="Q41" s="164">
        <v>8</v>
      </c>
      <c r="R41" s="167" t="s">
        <v>809</v>
      </c>
      <c r="S41" s="167" t="s">
        <v>102</v>
      </c>
      <c r="T41" s="162" t="s">
        <v>800</v>
      </c>
      <c r="U41" s="167" t="s">
        <v>802</v>
      </c>
      <c r="X41" s="169">
        <v>45018</v>
      </c>
      <c r="Y41" s="170">
        <v>98</v>
      </c>
      <c r="Z41" s="170">
        <v>0</v>
      </c>
      <c r="AA41" s="170">
        <v>0</v>
      </c>
      <c r="AB41" s="170">
        <v>0</v>
      </c>
      <c r="AC41" s="171">
        <v>98</v>
      </c>
      <c r="AD41" s="172">
        <v>7639095.3260899996</v>
      </c>
      <c r="AE41" s="173">
        <v>98</v>
      </c>
      <c r="AF41" s="174">
        <v>46357</v>
      </c>
    </row>
    <row r="42" spans="1:32" x14ac:dyDescent="0.35">
      <c r="A42" s="162" t="s">
        <v>682</v>
      </c>
      <c r="B42" s="163" t="s">
        <v>815</v>
      </c>
      <c r="C42" s="154"/>
      <c r="D42" s="162" t="s">
        <v>528</v>
      </c>
      <c r="E42" s="164" t="s">
        <v>528</v>
      </c>
      <c r="F42" s="164" t="s">
        <v>815</v>
      </c>
      <c r="G42" s="164" t="s">
        <v>682</v>
      </c>
      <c r="H42" s="165">
        <v>30536</v>
      </c>
      <c r="I42" s="164" t="s">
        <v>20</v>
      </c>
      <c r="J42" s="164" t="s">
        <v>21</v>
      </c>
      <c r="K42" s="165">
        <v>43192</v>
      </c>
      <c r="L42" s="166" t="s">
        <v>530</v>
      </c>
      <c r="M42" s="154"/>
      <c r="N42" s="154"/>
      <c r="O42" s="164" t="s">
        <v>165</v>
      </c>
      <c r="P42" s="164">
        <v>42</v>
      </c>
      <c r="Q42" s="164">
        <v>8</v>
      </c>
      <c r="R42" s="167" t="s">
        <v>809</v>
      </c>
      <c r="S42" s="167" t="s">
        <v>102</v>
      </c>
      <c r="T42" s="162" t="s">
        <v>800</v>
      </c>
      <c r="U42" s="167" t="s">
        <v>803</v>
      </c>
      <c r="X42" s="169">
        <v>45018</v>
      </c>
      <c r="Y42" s="170">
        <v>2</v>
      </c>
      <c r="Z42" s="170">
        <v>0</v>
      </c>
      <c r="AA42" s="170">
        <v>0</v>
      </c>
      <c r="AB42" s="170">
        <v>0</v>
      </c>
      <c r="AC42" s="171">
        <v>2</v>
      </c>
      <c r="AD42" s="172">
        <v>155899.90461</v>
      </c>
      <c r="AE42" s="173">
        <v>2</v>
      </c>
      <c r="AF42" s="174">
        <v>46357</v>
      </c>
    </row>
    <row r="43" spans="1:32" x14ac:dyDescent="0.35">
      <c r="A43" s="162" t="s">
        <v>682</v>
      </c>
      <c r="B43" s="163" t="s">
        <v>815</v>
      </c>
      <c r="C43" s="154"/>
      <c r="D43" s="162" t="s">
        <v>528</v>
      </c>
      <c r="E43" s="164" t="s">
        <v>528</v>
      </c>
      <c r="F43" s="164" t="s">
        <v>815</v>
      </c>
      <c r="G43" s="164" t="s">
        <v>682</v>
      </c>
      <c r="H43" s="165">
        <v>30536</v>
      </c>
      <c r="I43" s="164" t="s">
        <v>20</v>
      </c>
      <c r="J43" s="164" t="s">
        <v>21</v>
      </c>
      <c r="K43" s="165">
        <v>43192</v>
      </c>
      <c r="L43" s="166" t="s">
        <v>530</v>
      </c>
      <c r="M43" s="154"/>
      <c r="N43" s="154"/>
      <c r="O43" s="164" t="s">
        <v>165</v>
      </c>
      <c r="P43" s="164">
        <v>42</v>
      </c>
      <c r="Q43" s="164">
        <v>8</v>
      </c>
      <c r="R43" s="167" t="s">
        <v>809</v>
      </c>
      <c r="S43" s="167" t="s">
        <v>102</v>
      </c>
      <c r="T43" s="162" t="s">
        <v>800</v>
      </c>
      <c r="U43" s="167" t="s">
        <v>804</v>
      </c>
      <c r="X43" s="169">
        <v>45018</v>
      </c>
      <c r="Y43" s="170">
        <v>5</v>
      </c>
      <c r="Z43" s="170">
        <v>0</v>
      </c>
      <c r="AA43" s="170">
        <v>0</v>
      </c>
      <c r="AB43" s="170">
        <v>0</v>
      </c>
      <c r="AC43" s="171">
        <v>5</v>
      </c>
      <c r="AD43" s="172">
        <v>389749.76153000002</v>
      </c>
      <c r="AE43" s="173">
        <v>5</v>
      </c>
      <c r="AF43" s="174">
        <v>46357</v>
      </c>
    </row>
    <row r="44" spans="1:32" x14ac:dyDescent="0.35">
      <c r="A44" s="162" t="s">
        <v>682</v>
      </c>
      <c r="B44" s="163" t="s">
        <v>815</v>
      </c>
      <c r="C44" s="154"/>
      <c r="D44" s="162" t="s">
        <v>528</v>
      </c>
      <c r="E44" s="164" t="s">
        <v>528</v>
      </c>
      <c r="F44" s="164" t="s">
        <v>815</v>
      </c>
      <c r="G44" s="164" t="s">
        <v>682</v>
      </c>
      <c r="H44" s="165">
        <v>30536</v>
      </c>
      <c r="I44" s="164" t="s">
        <v>20</v>
      </c>
      <c r="J44" s="164" t="s">
        <v>21</v>
      </c>
      <c r="K44" s="165">
        <v>43192</v>
      </c>
      <c r="L44" s="166" t="s">
        <v>530</v>
      </c>
      <c r="M44" s="154"/>
      <c r="N44" s="154"/>
      <c r="O44" s="164" t="s">
        <v>165</v>
      </c>
      <c r="P44" s="164">
        <v>42</v>
      </c>
      <c r="Q44" s="164">
        <v>8</v>
      </c>
      <c r="R44" s="167" t="s">
        <v>809</v>
      </c>
      <c r="S44" s="167" t="s">
        <v>102</v>
      </c>
      <c r="T44" s="162" t="s">
        <v>800</v>
      </c>
      <c r="U44" s="167" t="s">
        <v>805</v>
      </c>
      <c r="X44" s="169">
        <v>45018</v>
      </c>
      <c r="Y44" s="170">
        <v>0.50000000333100003</v>
      </c>
      <c r="Z44" s="170">
        <v>8.3333329999999997E-2</v>
      </c>
      <c r="AA44" s="170">
        <v>0</v>
      </c>
      <c r="AB44" s="170">
        <v>0</v>
      </c>
      <c r="AC44" s="171">
        <v>0.58333333333100001</v>
      </c>
      <c r="AD44" s="172">
        <v>45470.805509999998</v>
      </c>
      <c r="AE44" s="173">
        <v>0.57999999999999996</v>
      </c>
      <c r="AF44" s="174">
        <v>46357</v>
      </c>
    </row>
    <row r="45" spans="1:32" ht="20" x14ac:dyDescent="0.35">
      <c r="A45" s="162" t="s">
        <v>817</v>
      </c>
      <c r="B45" s="163" t="s">
        <v>818</v>
      </c>
      <c r="C45" s="154"/>
      <c r="D45" s="162" t="s">
        <v>531</v>
      </c>
      <c r="E45" s="164" t="s">
        <v>531</v>
      </c>
      <c r="F45" s="164" t="s">
        <v>818</v>
      </c>
      <c r="G45" s="164" t="s">
        <v>817</v>
      </c>
      <c r="H45" s="165">
        <v>28290</v>
      </c>
      <c r="I45" s="164" t="s">
        <v>20</v>
      </c>
      <c r="J45" s="164" t="s">
        <v>68</v>
      </c>
      <c r="K45" s="165">
        <v>44319</v>
      </c>
      <c r="L45" s="166" t="s">
        <v>533</v>
      </c>
      <c r="M45" s="154"/>
      <c r="N45" s="154"/>
      <c r="O45" s="164" t="s">
        <v>50</v>
      </c>
      <c r="P45" s="164">
        <v>49</v>
      </c>
      <c r="Q45" s="164">
        <v>5</v>
      </c>
      <c r="R45" s="167" t="s">
        <v>809</v>
      </c>
      <c r="S45" s="167" t="s">
        <v>102</v>
      </c>
      <c r="T45" s="162" t="s">
        <v>794</v>
      </c>
      <c r="U45" s="167" t="s">
        <v>819</v>
      </c>
      <c r="V45" s="162" t="s">
        <v>820</v>
      </c>
      <c r="W45" s="168">
        <v>5</v>
      </c>
      <c r="X45" s="169">
        <v>45018</v>
      </c>
      <c r="Y45" s="170">
        <v>28.166666669990999</v>
      </c>
      <c r="Z45" s="170">
        <v>2.0833333299999999</v>
      </c>
      <c r="AA45" s="170">
        <v>0</v>
      </c>
      <c r="AB45" s="170">
        <v>0</v>
      </c>
      <c r="AC45" s="171">
        <v>30.249999999991001</v>
      </c>
      <c r="AD45" s="172">
        <v>14372258.75567</v>
      </c>
      <c r="AE45" s="173" t="s">
        <v>797</v>
      </c>
      <c r="AF45" s="173"/>
    </row>
    <row r="46" spans="1:32" ht="20" x14ac:dyDescent="0.35">
      <c r="A46" s="162" t="s">
        <v>817</v>
      </c>
      <c r="B46" s="163" t="s">
        <v>818</v>
      </c>
      <c r="C46" s="154"/>
      <c r="D46" s="162" t="s">
        <v>531</v>
      </c>
      <c r="E46" s="164" t="s">
        <v>531</v>
      </c>
      <c r="F46" s="164" t="s">
        <v>818</v>
      </c>
      <c r="G46" s="164" t="s">
        <v>817</v>
      </c>
      <c r="H46" s="165">
        <v>28290</v>
      </c>
      <c r="I46" s="164" t="s">
        <v>20</v>
      </c>
      <c r="J46" s="164" t="s">
        <v>68</v>
      </c>
      <c r="K46" s="165">
        <v>44319</v>
      </c>
      <c r="L46" s="166" t="s">
        <v>533</v>
      </c>
      <c r="M46" s="154"/>
      <c r="N46" s="154"/>
      <c r="O46" s="164" t="s">
        <v>50</v>
      </c>
      <c r="P46" s="164">
        <v>49</v>
      </c>
      <c r="Q46" s="164">
        <v>5</v>
      </c>
      <c r="R46" s="167" t="s">
        <v>809</v>
      </c>
      <c r="S46" s="167" t="s">
        <v>102</v>
      </c>
      <c r="T46" s="162" t="s">
        <v>798</v>
      </c>
      <c r="U46" s="167" t="s">
        <v>821</v>
      </c>
      <c r="X46" s="169">
        <v>45018</v>
      </c>
      <c r="Y46" s="170">
        <v>180</v>
      </c>
      <c r="Z46" s="170">
        <v>0</v>
      </c>
      <c r="AA46" s="170">
        <v>0</v>
      </c>
      <c r="AB46" s="170">
        <v>0</v>
      </c>
      <c r="AC46" s="171">
        <v>180</v>
      </c>
      <c r="AD46" s="172">
        <v>85520878.54614</v>
      </c>
      <c r="AE46" s="173">
        <v>180</v>
      </c>
      <c r="AF46" s="174">
        <v>46357</v>
      </c>
    </row>
    <row r="47" spans="1:32" ht="20" x14ac:dyDescent="0.35">
      <c r="A47" s="162" t="s">
        <v>817</v>
      </c>
      <c r="B47" s="163" t="s">
        <v>818</v>
      </c>
      <c r="C47" s="154"/>
      <c r="D47" s="162" t="s">
        <v>531</v>
      </c>
      <c r="E47" s="164" t="s">
        <v>531</v>
      </c>
      <c r="F47" s="164" t="s">
        <v>818</v>
      </c>
      <c r="G47" s="164" t="s">
        <v>817</v>
      </c>
      <c r="H47" s="165">
        <v>28290</v>
      </c>
      <c r="I47" s="164" t="s">
        <v>20</v>
      </c>
      <c r="J47" s="164" t="s">
        <v>68</v>
      </c>
      <c r="K47" s="165">
        <v>44319</v>
      </c>
      <c r="L47" s="166" t="s">
        <v>533</v>
      </c>
      <c r="M47" s="154"/>
      <c r="N47" s="154"/>
      <c r="O47" s="164" t="s">
        <v>50</v>
      </c>
      <c r="P47" s="164">
        <v>49</v>
      </c>
      <c r="Q47" s="164">
        <v>5</v>
      </c>
      <c r="R47" s="167" t="s">
        <v>809</v>
      </c>
      <c r="S47" s="167" t="s">
        <v>102</v>
      </c>
      <c r="T47" s="162" t="s">
        <v>800</v>
      </c>
      <c r="U47" s="167" t="s">
        <v>801</v>
      </c>
      <c r="X47" s="169">
        <v>45018</v>
      </c>
      <c r="Y47" s="170">
        <v>15</v>
      </c>
      <c r="Z47" s="170">
        <v>0</v>
      </c>
      <c r="AA47" s="170">
        <v>0</v>
      </c>
      <c r="AB47" s="170">
        <v>0</v>
      </c>
      <c r="AC47" s="171">
        <v>15</v>
      </c>
      <c r="AD47" s="172">
        <v>7126739.87885</v>
      </c>
      <c r="AE47" s="173">
        <v>15</v>
      </c>
      <c r="AF47" s="174">
        <v>46357</v>
      </c>
    </row>
    <row r="48" spans="1:32" ht="20" x14ac:dyDescent="0.35">
      <c r="A48" s="162" t="s">
        <v>817</v>
      </c>
      <c r="B48" s="163" t="s">
        <v>818</v>
      </c>
      <c r="C48" s="154"/>
      <c r="D48" s="162" t="s">
        <v>531</v>
      </c>
      <c r="E48" s="164" t="s">
        <v>531</v>
      </c>
      <c r="F48" s="164" t="s">
        <v>818</v>
      </c>
      <c r="G48" s="164" t="s">
        <v>817</v>
      </c>
      <c r="H48" s="165">
        <v>28290</v>
      </c>
      <c r="I48" s="164" t="s">
        <v>20</v>
      </c>
      <c r="J48" s="164" t="s">
        <v>68</v>
      </c>
      <c r="K48" s="165">
        <v>44319</v>
      </c>
      <c r="L48" s="166" t="s">
        <v>533</v>
      </c>
      <c r="M48" s="154"/>
      <c r="N48" s="154"/>
      <c r="O48" s="164" t="s">
        <v>50</v>
      </c>
      <c r="P48" s="164">
        <v>49</v>
      </c>
      <c r="Q48" s="164">
        <v>5</v>
      </c>
      <c r="R48" s="167" t="s">
        <v>809</v>
      </c>
      <c r="S48" s="167" t="s">
        <v>102</v>
      </c>
      <c r="T48" s="162" t="s">
        <v>800</v>
      </c>
      <c r="U48" s="167" t="s">
        <v>802</v>
      </c>
      <c r="X48" s="169">
        <v>45018</v>
      </c>
      <c r="Y48" s="170">
        <v>98</v>
      </c>
      <c r="Z48" s="170">
        <v>0</v>
      </c>
      <c r="AA48" s="170">
        <v>0</v>
      </c>
      <c r="AB48" s="170">
        <v>0</v>
      </c>
      <c r="AC48" s="171">
        <v>98</v>
      </c>
      <c r="AD48" s="172">
        <v>46561367.208449997</v>
      </c>
      <c r="AE48" s="173">
        <v>98</v>
      </c>
      <c r="AF48" s="174">
        <v>46357</v>
      </c>
    </row>
    <row r="49" spans="1:32" ht="20" x14ac:dyDescent="0.35">
      <c r="A49" s="162" t="s">
        <v>817</v>
      </c>
      <c r="B49" s="163" t="s">
        <v>818</v>
      </c>
      <c r="C49" s="154"/>
      <c r="D49" s="162" t="s">
        <v>531</v>
      </c>
      <c r="E49" s="164" t="s">
        <v>531</v>
      </c>
      <c r="F49" s="164" t="s">
        <v>818</v>
      </c>
      <c r="G49" s="164" t="s">
        <v>817</v>
      </c>
      <c r="H49" s="165">
        <v>28290</v>
      </c>
      <c r="I49" s="164" t="s">
        <v>20</v>
      </c>
      <c r="J49" s="164" t="s">
        <v>68</v>
      </c>
      <c r="K49" s="165">
        <v>44319</v>
      </c>
      <c r="L49" s="166" t="s">
        <v>533</v>
      </c>
      <c r="M49" s="154"/>
      <c r="N49" s="154"/>
      <c r="O49" s="164" t="s">
        <v>50</v>
      </c>
      <c r="P49" s="164">
        <v>49</v>
      </c>
      <c r="Q49" s="164">
        <v>5</v>
      </c>
      <c r="R49" s="167" t="s">
        <v>809</v>
      </c>
      <c r="S49" s="167" t="s">
        <v>102</v>
      </c>
      <c r="T49" s="162" t="s">
        <v>800</v>
      </c>
      <c r="U49" s="167" t="s">
        <v>803</v>
      </c>
      <c r="X49" s="169">
        <v>45018</v>
      </c>
      <c r="Y49" s="170">
        <v>2</v>
      </c>
      <c r="Z49" s="170">
        <v>0</v>
      </c>
      <c r="AA49" s="170">
        <v>0</v>
      </c>
      <c r="AB49" s="170">
        <v>0</v>
      </c>
      <c r="AC49" s="171">
        <v>2</v>
      </c>
      <c r="AD49" s="172">
        <v>950231.98384999996</v>
      </c>
      <c r="AE49" s="173">
        <v>2</v>
      </c>
      <c r="AF49" s="174">
        <v>46357</v>
      </c>
    </row>
    <row r="50" spans="1:32" ht="20" x14ac:dyDescent="0.35">
      <c r="A50" s="162" t="s">
        <v>817</v>
      </c>
      <c r="B50" s="163" t="s">
        <v>818</v>
      </c>
      <c r="C50" s="154"/>
      <c r="D50" s="162" t="s">
        <v>531</v>
      </c>
      <c r="E50" s="164" t="s">
        <v>531</v>
      </c>
      <c r="F50" s="164" t="s">
        <v>818</v>
      </c>
      <c r="G50" s="164" t="s">
        <v>817</v>
      </c>
      <c r="H50" s="165">
        <v>28290</v>
      </c>
      <c r="I50" s="164" t="s">
        <v>20</v>
      </c>
      <c r="J50" s="164" t="s">
        <v>68</v>
      </c>
      <c r="K50" s="165">
        <v>44319</v>
      </c>
      <c r="L50" s="166" t="s">
        <v>533</v>
      </c>
      <c r="M50" s="154"/>
      <c r="N50" s="154"/>
      <c r="O50" s="164" t="s">
        <v>50</v>
      </c>
      <c r="P50" s="164">
        <v>49</v>
      </c>
      <c r="Q50" s="164">
        <v>5</v>
      </c>
      <c r="R50" s="167" t="s">
        <v>809</v>
      </c>
      <c r="S50" s="167" t="s">
        <v>102</v>
      </c>
      <c r="T50" s="162" t="s">
        <v>800</v>
      </c>
      <c r="U50" s="167" t="s">
        <v>804</v>
      </c>
      <c r="X50" s="169">
        <v>45018</v>
      </c>
      <c r="Y50" s="170">
        <v>5</v>
      </c>
      <c r="Z50" s="170">
        <v>0</v>
      </c>
      <c r="AA50" s="170">
        <v>0</v>
      </c>
      <c r="AB50" s="170">
        <v>0</v>
      </c>
      <c r="AC50" s="171">
        <v>5</v>
      </c>
      <c r="AD50" s="172">
        <v>2375579.9596199999</v>
      </c>
      <c r="AE50" s="173">
        <v>5</v>
      </c>
      <c r="AF50" s="174">
        <v>46357</v>
      </c>
    </row>
    <row r="51" spans="1:32" ht="20" x14ac:dyDescent="0.35">
      <c r="A51" s="162" t="s">
        <v>817</v>
      </c>
      <c r="B51" s="163" t="s">
        <v>818</v>
      </c>
      <c r="C51" s="154"/>
      <c r="D51" s="162" t="s">
        <v>531</v>
      </c>
      <c r="E51" s="164" t="s">
        <v>531</v>
      </c>
      <c r="F51" s="164" t="s">
        <v>818</v>
      </c>
      <c r="G51" s="164" t="s">
        <v>817</v>
      </c>
      <c r="H51" s="165">
        <v>28290</v>
      </c>
      <c r="I51" s="164" t="s">
        <v>20</v>
      </c>
      <c r="J51" s="164" t="s">
        <v>68</v>
      </c>
      <c r="K51" s="165">
        <v>44319</v>
      </c>
      <c r="L51" s="166" t="s">
        <v>533</v>
      </c>
      <c r="M51" s="154"/>
      <c r="N51" s="154"/>
      <c r="O51" s="164" t="s">
        <v>50</v>
      </c>
      <c r="P51" s="164">
        <v>49</v>
      </c>
      <c r="Q51" s="164">
        <v>5</v>
      </c>
      <c r="R51" s="167" t="s">
        <v>809</v>
      </c>
      <c r="S51" s="167" t="s">
        <v>102</v>
      </c>
      <c r="T51" s="162" t="s">
        <v>800</v>
      </c>
      <c r="U51" s="167" t="s">
        <v>805</v>
      </c>
      <c r="X51" s="169">
        <v>45018</v>
      </c>
      <c r="Y51" s="170">
        <v>1</v>
      </c>
      <c r="Z51" s="170">
        <v>0</v>
      </c>
      <c r="AA51" s="170">
        <v>0</v>
      </c>
      <c r="AB51" s="170">
        <v>0</v>
      </c>
      <c r="AC51" s="171">
        <v>1</v>
      </c>
      <c r="AD51" s="172">
        <v>475115.99192</v>
      </c>
      <c r="AE51" s="173">
        <v>1</v>
      </c>
      <c r="AF51" s="174">
        <v>46357</v>
      </c>
    </row>
    <row r="52" spans="1:32" ht="20" x14ac:dyDescent="0.35">
      <c r="A52" s="162" t="s">
        <v>822</v>
      </c>
      <c r="B52" s="163" t="s">
        <v>823</v>
      </c>
      <c r="C52" s="154"/>
      <c r="D52" s="162" t="s">
        <v>534</v>
      </c>
      <c r="E52" s="164" t="s">
        <v>534</v>
      </c>
      <c r="F52" s="164" t="s">
        <v>823</v>
      </c>
      <c r="G52" s="164" t="s">
        <v>822</v>
      </c>
      <c r="H52" s="165">
        <v>33139</v>
      </c>
      <c r="I52" s="164" t="s">
        <v>20</v>
      </c>
      <c r="J52" s="164" t="s">
        <v>536</v>
      </c>
      <c r="K52" s="165">
        <v>44593</v>
      </c>
      <c r="L52" s="166" t="s">
        <v>537</v>
      </c>
      <c r="M52" s="154"/>
      <c r="N52" s="154"/>
      <c r="O52" s="164" t="s">
        <v>23</v>
      </c>
      <c r="P52" s="164">
        <v>35</v>
      </c>
      <c r="Q52" s="164">
        <v>4</v>
      </c>
      <c r="R52" s="167" t="s">
        <v>809</v>
      </c>
      <c r="S52" s="167" t="s">
        <v>102</v>
      </c>
      <c r="T52" s="162" t="s">
        <v>794</v>
      </c>
      <c r="U52" s="167" t="s">
        <v>819</v>
      </c>
      <c r="V52" s="162" t="s">
        <v>820</v>
      </c>
      <c r="W52" s="168">
        <v>4</v>
      </c>
      <c r="X52" s="169">
        <v>45018</v>
      </c>
      <c r="Y52" s="170">
        <v>20.250000003332001</v>
      </c>
      <c r="Z52" s="170">
        <v>2.0833333299999999</v>
      </c>
      <c r="AA52" s="170">
        <v>0</v>
      </c>
      <c r="AB52" s="170">
        <v>0</v>
      </c>
      <c r="AC52" s="171">
        <v>22.333333333332</v>
      </c>
      <c r="AD52" s="172">
        <v>13787873.204609999</v>
      </c>
      <c r="AE52" s="173" t="s">
        <v>797</v>
      </c>
      <c r="AF52" s="173"/>
    </row>
    <row r="53" spans="1:32" x14ac:dyDescent="0.35">
      <c r="A53" s="162" t="s">
        <v>822</v>
      </c>
      <c r="B53" s="163" t="s">
        <v>823</v>
      </c>
      <c r="C53" s="154"/>
      <c r="D53" s="162" t="s">
        <v>534</v>
      </c>
      <c r="E53" s="164" t="s">
        <v>534</v>
      </c>
      <c r="F53" s="164" t="s">
        <v>823</v>
      </c>
      <c r="G53" s="164" t="s">
        <v>822</v>
      </c>
      <c r="H53" s="165">
        <v>33139</v>
      </c>
      <c r="I53" s="164" t="s">
        <v>20</v>
      </c>
      <c r="J53" s="164" t="s">
        <v>536</v>
      </c>
      <c r="K53" s="165">
        <v>44593</v>
      </c>
      <c r="L53" s="166" t="s">
        <v>537</v>
      </c>
      <c r="M53" s="154"/>
      <c r="N53" s="154"/>
      <c r="O53" s="164" t="s">
        <v>23</v>
      </c>
      <c r="P53" s="164">
        <v>35</v>
      </c>
      <c r="Q53" s="164">
        <v>4</v>
      </c>
      <c r="R53" s="167" t="s">
        <v>809</v>
      </c>
      <c r="S53" s="167" t="s">
        <v>102</v>
      </c>
      <c r="T53" s="162" t="s">
        <v>798</v>
      </c>
      <c r="U53" s="167" t="s">
        <v>821</v>
      </c>
      <c r="X53" s="169">
        <v>45018</v>
      </c>
      <c r="Y53" s="170">
        <v>180</v>
      </c>
      <c r="Z53" s="170">
        <v>0</v>
      </c>
      <c r="AA53" s="170">
        <v>0</v>
      </c>
      <c r="AB53" s="170">
        <v>0</v>
      </c>
      <c r="AC53" s="171">
        <v>180</v>
      </c>
      <c r="AD53" s="172">
        <v>111126142.24614</v>
      </c>
      <c r="AE53" s="173">
        <v>180</v>
      </c>
      <c r="AF53" s="174">
        <v>46357</v>
      </c>
    </row>
    <row r="54" spans="1:32" x14ac:dyDescent="0.35">
      <c r="A54" s="162" t="s">
        <v>822</v>
      </c>
      <c r="B54" s="163" t="s">
        <v>823</v>
      </c>
      <c r="C54" s="154"/>
      <c r="D54" s="162" t="s">
        <v>534</v>
      </c>
      <c r="E54" s="164" t="s">
        <v>534</v>
      </c>
      <c r="F54" s="164" t="s">
        <v>823</v>
      </c>
      <c r="G54" s="164" t="s">
        <v>822</v>
      </c>
      <c r="H54" s="165">
        <v>33139</v>
      </c>
      <c r="I54" s="164" t="s">
        <v>20</v>
      </c>
      <c r="J54" s="164" t="s">
        <v>536</v>
      </c>
      <c r="K54" s="165">
        <v>44593</v>
      </c>
      <c r="L54" s="166" t="s">
        <v>537</v>
      </c>
      <c r="M54" s="154"/>
      <c r="N54" s="154"/>
      <c r="O54" s="164" t="s">
        <v>23</v>
      </c>
      <c r="P54" s="164">
        <v>35</v>
      </c>
      <c r="Q54" s="164">
        <v>4</v>
      </c>
      <c r="R54" s="167" t="s">
        <v>809</v>
      </c>
      <c r="S54" s="167" t="s">
        <v>102</v>
      </c>
      <c r="T54" s="162" t="s">
        <v>800</v>
      </c>
      <c r="U54" s="167" t="s">
        <v>801</v>
      </c>
      <c r="X54" s="169">
        <v>45018</v>
      </c>
      <c r="Y54" s="170">
        <v>15</v>
      </c>
      <c r="Z54" s="170">
        <v>0</v>
      </c>
      <c r="AA54" s="170">
        <v>0</v>
      </c>
      <c r="AB54" s="170">
        <v>0</v>
      </c>
      <c r="AC54" s="171">
        <v>15</v>
      </c>
      <c r="AD54" s="172">
        <v>9260511.8538499996</v>
      </c>
      <c r="AE54" s="173">
        <v>15</v>
      </c>
      <c r="AF54" s="174">
        <v>46357</v>
      </c>
    </row>
    <row r="55" spans="1:32" x14ac:dyDescent="0.35">
      <c r="A55" s="162" t="s">
        <v>822</v>
      </c>
      <c r="B55" s="163" t="s">
        <v>823</v>
      </c>
      <c r="C55" s="154"/>
      <c r="D55" s="162" t="s">
        <v>534</v>
      </c>
      <c r="E55" s="164" t="s">
        <v>534</v>
      </c>
      <c r="F55" s="164" t="s">
        <v>823</v>
      </c>
      <c r="G55" s="164" t="s">
        <v>822</v>
      </c>
      <c r="H55" s="165">
        <v>33139</v>
      </c>
      <c r="I55" s="164" t="s">
        <v>20</v>
      </c>
      <c r="J55" s="164" t="s">
        <v>536</v>
      </c>
      <c r="K55" s="165">
        <v>44593</v>
      </c>
      <c r="L55" s="166" t="s">
        <v>537</v>
      </c>
      <c r="M55" s="154"/>
      <c r="N55" s="154"/>
      <c r="O55" s="164" t="s">
        <v>23</v>
      </c>
      <c r="P55" s="164">
        <v>35</v>
      </c>
      <c r="Q55" s="164">
        <v>4</v>
      </c>
      <c r="R55" s="167" t="s">
        <v>809</v>
      </c>
      <c r="S55" s="167" t="s">
        <v>102</v>
      </c>
      <c r="T55" s="162" t="s">
        <v>800</v>
      </c>
      <c r="U55" s="167" t="s">
        <v>802</v>
      </c>
      <c r="X55" s="169">
        <v>45018</v>
      </c>
      <c r="Y55" s="170">
        <v>98</v>
      </c>
      <c r="Z55" s="170">
        <v>0</v>
      </c>
      <c r="AA55" s="170">
        <v>0</v>
      </c>
      <c r="AB55" s="170">
        <v>0</v>
      </c>
      <c r="AC55" s="171">
        <v>98</v>
      </c>
      <c r="AD55" s="172">
        <v>60502010.778449997</v>
      </c>
      <c r="AE55" s="173">
        <v>98</v>
      </c>
      <c r="AF55" s="174">
        <v>46357</v>
      </c>
    </row>
    <row r="56" spans="1:32" x14ac:dyDescent="0.35">
      <c r="A56" s="162" t="s">
        <v>822</v>
      </c>
      <c r="B56" s="163" t="s">
        <v>823</v>
      </c>
      <c r="C56" s="154"/>
      <c r="D56" s="162" t="s">
        <v>534</v>
      </c>
      <c r="E56" s="164" t="s">
        <v>534</v>
      </c>
      <c r="F56" s="164" t="s">
        <v>823</v>
      </c>
      <c r="G56" s="164" t="s">
        <v>822</v>
      </c>
      <c r="H56" s="165">
        <v>33139</v>
      </c>
      <c r="I56" s="164" t="s">
        <v>20</v>
      </c>
      <c r="J56" s="164" t="s">
        <v>536</v>
      </c>
      <c r="K56" s="165">
        <v>44593</v>
      </c>
      <c r="L56" s="166" t="s">
        <v>537</v>
      </c>
      <c r="M56" s="154"/>
      <c r="N56" s="154"/>
      <c r="O56" s="164" t="s">
        <v>23</v>
      </c>
      <c r="P56" s="164">
        <v>35</v>
      </c>
      <c r="Q56" s="164">
        <v>4</v>
      </c>
      <c r="R56" s="167" t="s">
        <v>809</v>
      </c>
      <c r="S56" s="167" t="s">
        <v>102</v>
      </c>
      <c r="T56" s="162" t="s">
        <v>800</v>
      </c>
      <c r="U56" s="167" t="s">
        <v>803</v>
      </c>
      <c r="X56" s="169">
        <v>45018</v>
      </c>
      <c r="Y56" s="170">
        <v>2</v>
      </c>
      <c r="Z56" s="170">
        <v>0</v>
      </c>
      <c r="AA56" s="170">
        <v>0</v>
      </c>
      <c r="AB56" s="170">
        <v>0</v>
      </c>
      <c r="AC56" s="171">
        <v>2</v>
      </c>
      <c r="AD56" s="172">
        <v>1234734.9138499999</v>
      </c>
      <c r="AE56" s="173">
        <v>2</v>
      </c>
      <c r="AF56" s="174">
        <v>46357</v>
      </c>
    </row>
    <row r="57" spans="1:32" x14ac:dyDescent="0.35">
      <c r="A57" s="162" t="s">
        <v>822</v>
      </c>
      <c r="B57" s="163" t="s">
        <v>823</v>
      </c>
      <c r="C57" s="154"/>
      <c r="D57" s="162" t="s">
        <v>534</v>
      </c>
      <c r="E57" s="164" t="s">
        <v>534</v>
      </c>
      <c r="F57" s="164" t="s">
        <v>823</v>
      </c>
      <c r="G57" s="164" t="s">
        <v>822</v>
      </c>
      <c r="H57" s="165">
        <v>33139</v>
      </c>
      <c r="I57" s="164" t="s">
        <v>20</v>
      </c>
      <c r="J57" s="164" t="s">
        <v>536</v>
      </c>
      <c r="K57" s="165">
        <v>44593</v>
      </c>
      <c r="L57" s="166" t="s">
        <v>537</v>
      </c>
      <c r="M57" s="154"/>
      <c r="N57" s="154"/>
      <c r="O57" s="164" t="s">
        <v>23</v>
      </c>
      <c r="P57" s="164">
        <v>35</v>
      </c>
      <c r="Q57" s="164">
        <v>4</v>
      </c>
      <c r="R57" s="167" t="s">
        <v>809</v>
      </c>
      <c r="S57" s="167" t="s">
        <v>102</v>
      </c>
      <c r="T57" s="162" t="s">
        <v>800</v>
      </c>
      <c r="U57" s="167" t="s">
        <v>804</v>
      </c>
      <c r="X57" s="169">
        <v>45018</v>
      </c>
      <c r="Y57" s="170">
        <v>5</v>
      </c>
      <c r="Z57" s="170">
        <v>0</v>
      </c>
      <c r="AA57" s="170">
        <v>0</v>
      </c>
      <c r="AB57" s="170">
        <v>0</v>
      </c>
      <c r="AC57" s="171">
        <v>5</v>
      </c>
      <c r="AD57" s="172">
        <v>3086837.28462</v>
      </c>
      <c r="AE57" s="173">
        <v>5</v>
      </c>
      <c r="AF57" s="174">
        <v>46357</v>
      </c>
    </row>
    <row r="58" spans="1:32" x14ac:dyDescent="0.35">
      <c r="A58" s="162" t="s">
        <v>822</v>
      </c>
      <c r="B58" s="163" t="s">
        <v>823</v>
      </c>
      <c r="C58" s="154"/>
      <c r="D58" s="162" t="s">
        <v>534</v>
      </c>
      <c r="E58" s="164" t="s">
        <v>534</v>
      </c>
      <c r="F58" s="164" t="s">
        <v>823</v>
      </c>
      <c r="G58" s="164" t="s">
        <v>822</v>
      </c>
      <c r="H58" s="165">
        <v>33139</v>
      </c>
      <c r="I58" s="164" t="s">
        <v>20</v>
      </c>
      <c r="J58" s="164" t="s">
        <v>536</v>
      </c>
      <c r="K58" s="165">
        <v>44593</v>
      </c>
      <c r="L58" s="166" t="s">
        <v>537</v>
      </c>
      <c r="M58" s="154"/>
      <c r="N58" s="154"/>
      <c r="O58" s="164" t="s">
        <v>23</v>
      </c>
      <c r="P58" s="164">
        <v>35</v>
      </c>
      <c r="Q58" s="164">
        <v>4</v>
      </c>
      <c r="R58" s="167" t="s">
        <v>809</v>
      </c>
      <c r="S58" s="167" t="s">
        <v>102</v>
      </c>
      <c r="T58" s="162" t="s">
        <v>800</v>
      </c>
      <c r="U58" s="167" t="s">
        <v>805</v>
      </c>
      <c r="X58" s="169">
        <v>45018</v>
      </c>
      <c r="Y58" s="170">
        <v>1</v>
      </c>
      <c r="Z58" s="170">
        <v>0</v>
      </c>
      <c r="AA58" s="170">
        <v>0</v>
      </c>
      <c r="AB58" s="170">
        <v>0</v>
      </c>
      <c r="AC58" s="171">
        <v>1</v>
      </c>
      <c r="AD58" s="172">
        <v>617367.45692000003</v>
      </c>
      <c r="AE58" s="173">
        <v>1</v>
      </c>
      <c r="AF58" s="174">
        <v>46357</v>
      </c>
    </row>
    <row r="59" spans="1:32" ht="20" x14ac:dyDescent="0.35">
      <c r="A59" s="162" t="s">
        <v>683</v>
      </c>
      <c r="B59" s="163" t="s">
        <v>824</v>
      </c>
      <c r="C59" s="154"/>
      <c r="D59" s="162" t="s">
        <v>538</v>
      </c>
      <c r="E59" s="164" t="s">
        <v>538</v>
      </c>
      <c r="F59" s="164" t="s">
        <v>824</v>
      </c>
      <c r="G59" s="164" t="s">
        <v>683</v>
      </c>
      <c r="H59" s="165">
        <v>34429</v>
      </c>
      <c r="I59" s="164" t="s">
        <v>20</v>
      </c>
      <c r="J59" s="164" t="s">
        <v>68</v>
      </c>
      <c r="K59" s="165">
        <v>45446</v>
      </c>
      <c r="L59" s="166" t="s">
        <v>540</v>
      </c>
      <c r="M59" s="154"/>
      <c r="N59" s="154"/>
      <c r="O59" s="164" t="s">
        <v>65</v>
      </c>
      <c r="P59" s="164">
        <v>32</v>
      </c>
      <c r="Q59" s="164">
        <v>2</v>
      </c>
      <c r="R59" s="167" t="s">
        <v>809</v>
      </c>
      <c r="S59" s="167" t="s">
        <v>102</v>
      </c>
      <c r="T59" s="162" t="s">
        <v>794</v>
      </c>
      <c r="U59" s="167" t="s">
        <v>795</v>
      </c>
      <c r="V59" s="162" t="s">
        <v>825</v>
      </c>
      <c r="W59" s="168">
        <v>2</v>
      </c>
      <c r="X59" s="169">
        <v>45446.083333333299</v>
      </c>
      <c r="Y59" s="170">
        <v>25.711111113325</v>
      </c>
      <c r="Z59" s="170">
        <v>1.8333333300000001</v>
      </c>
      <c r="AA59" s="170">
        <v>-19</v>
      </c>
      <c r="AB59" s="170">
        <v>0</v>
      </c>
      <c r="AC59" s="171">
        <v>8.5444444433250002</v>
      </c>
      <c r="AD59" s="172">
        <v>1484752.19196</v>
      </c>
      <c r="AE59" s="173" t="s">
        <v>797</v>
      </c>
      <c r="AF59" s="173"/>
    </row>
    <row r="60" spans="1:32" ht="20" x14ac:dyDescent="0.35">
      <c r="A60" s="162" t="s">
        <v>683</v>
      </c>
      <c r="B60" s="163" t="s">
        <v>824</v>
      </c>
      <c r="C60" s="154"/>
      <c r="D60" s="162" t="s">
        <v>538</v>
      </c>
      <c r="E60" s="164" t="s">
        <v>538</v>
      </c>
      <c r="F60" s="164" t="s">
        <v>824</v>
      </c>
      <c r="G60" s="164" t="s">
        <v>683</v>
      </c>
      <c r="H60" s="165">
        <v>34429</v>
      </c>
      <c r="I60" s="164" t="s">
        <v>20</v>
      </c>
      <c r="J60" s="164" t="s">
        <v>68</v>
      </c>
      <c r="K60" s="165">
        <v>45446</v>
      </c>
      <c r="L60" s="166" t="s">
        <v>540</v>
      </c>
      <c r="M60" s="154"/>
      <c r="N60" s="154"/>
      <c r="O60" s="164" t="s">
        <v>65</v>
      </c>
      <c r="P60" s="164">
        <v>32</v>
      </c>
      <c r="Q60" s="164">
        <v>2</v>
      </c>
      <c r="R60" s="167" t="s">
        <v>809</v>
      </c>
      <c r="S60" s="167" t="s">
        <v>102</v>
      </c>
      <c r="T60" s="162" t="s">
        <v>798</v>
      </c>
      <c r="U60" s="167" t="s">
        <v>799</v>
      </c>
      <c r="X60" s="169">
        <v>45446.083333333299</v>
      </c>
      <c r="Y60" s="170">
        <v>180</v>
      </c>
      <c r="Z60" s="170">
        <v>0</v>
      </c>
      <c r="AA60" s="170">
        <v>0</v>
      </c>
      <c r="AB60" s="170">
        <v>0</v>
      </c>
      <c r="AC60" s="171">
        <v>180</v>
      </c>
      <c r="AD60" s="172">
        <v>31278264.646140002</v>
      </c>
      <c r="AE60" s="173">
        <v>180</v>
      </c>
      <c r="AF60" s="174">
        <v>46357</v>
      </c>
    </row>
    <row r="61" spans="1:32" ht="20" x14ac:dyDescent="0.35">
      <c r="A61" s="162" t="s">
        <v>683</v>
      </c>
      <c r="B61" s="163" t="s">
        <v>824</v>
      </c>
      <c r="C61" s="154"/>
      <c r="D61" s="162" t="s">
        <v>538</v>
      </c>
      <c r="E61" s="164" t="s">
        <v>538</v>
      </c>
      <c r="F61" s="164" t="s">
        <v>824</v>
      </c>
      <c r="G61" s="164" t="s">
        <v>683</v>
      </c>
      <c r="H61" s="165">
        <v>34429</v>
      </c>
      <c r="I61" s="164" t="s">
        <v>20</v>
      </c>
      <c r="J61" s="164" t="s">
        <v>68</v>
      </c>
      <c r="K61" s="165">
        <v>45446</v>
      </c>
      <c r="L61" s="166" t="s">
        <v>540</v>
      </c>
      <c r="M61" s="154"/>
      <c r="N61" s="154"/>
      <c r="O61" s="164" t="s">
        <v>65</v>
      </c>
      <c r="P61" s="164">
        <v>32</v>
      </c>
      <c r="Q61" s="164">
        <v>2</v>
      </c>
      <c r="R61" s="167" t="s">
        <v>809</v>
      </c>
      <c r="S61" s="167" t="s">
        <v>102</v>
      </c>
      <c r="T61" s="162" t="s">
        <v>800</v>
      </c>
      <c r="U61" s="167" t="s">
        <v>801</v>
      </c>
      <c r="X61" s="169">
        <v>45446.083333333299</v>
      </c>
      <c r="Y61" s="170">
        <v>15</v>
      </c>
      <c r="Z61" s="170">
        <v>0</v>
      </c>
      <c r="AA61" s="170">
        <v>0</v>
      </c>
      <c r="AB61" s="170">
        <v>0</v>
      </c>
      <c r="AC61" s="171">
        <v>15</v>
      </c>
      <c r="AD61" s="172">
        <v>2606522.0538400002</v>
      </c>
      <c r="AE61" s="173">
        <v>15</v>
      </c>
      <c r="AF61" s="174">
        <v>46357</v>
      </c>
    </row>
    <row r="62" spans="1:32" ht="20" x14ac:dyDescent="0.35">
      <c r="A62" s="162" t="s">
        <v>683</v>
      </c>
      <c r="B62" s="163" t="s">
        <v>824</v>
      </c>
      <c r="C62" s="154"/>
      <c r="D62" s="162" t="s">
        <v>538</v>
      </c>
      <c r="E62" s="164" t="s">
        <v>538</v>
      </c>
      <c r="F62" s="164" t="s">
        <v>824</v>
      </c>
      <c r="G62" s="164" t="s">
        <v>683</v>
      </c>
      <c r="H62" s="165">
        <v>34429</v>
      </c>
      <c r="I62" s="164" t="s">
        <v>20</v>
      </c>
      <c r="J62" s="164" t="s">
        <v>68</v>
      </c>
      <c r="K62" s="165">
        <v>45446</v>
      </c>
      <c r="L62" s="166" t="s">
        <v>540</v>
      </c>
      <c r="M62" s="154"/>
      <c r="N62" s="154"/>
      <c r="O62" s="164" t="s">
        <v>65</v>
      </c>
      <c r="P62" s="164">
        <v>32</v>
      </c>
      <c r="Q62" s="164">
        <v>2</v>
      </c>
      <c r="R62" s="167" t="s">
        <v>809</v>
      </c>
      <c r="S62" s="167" t="s">
        <v>102</v>
      </c>
      <c r="T62" s="162" t="s">
        <v>800</v>
      </c>
      <c r="U62" s="167" t="s">
        <v>802</v>
      </c>
      <c r="X62" s="169">
        <v>45446.083333333299</v>
      </c>
      <c r="Y62" s="170">
        <v>98</v>
      </c>
      <c r="Z62" s="170">
        <v>0</v>
      </c>
      <c r="AA62" s="170">
        <v>0</v>
      </c>
      <c r="AB62" s="170">
        <v>0</v>
      </c>
      <c r="AC62" s="171">
        <v>98</v>
      </c>
      <c r="AD62" s="172">
        <v>17029277.418450002</v>
      </c>
      <c r="AE62" s="173">
        <v>98</v>
      </c>
      <c r="AF62" s="174">
        <v>46357</v>
      </c>
    </row>
    <row r="63" spans="1:32" ht="20" x14ac:dyDescent="0.35">
      <c r="A63" s="162" t="s">
        <v>683</v>
      </c>
      <c r="B63" s="163" t="s">
        <v>824</v>
      </c>
      <c r="C63" s="154"/>
      <c r="D63" s="162" t="s">
        <v>538</v>
      </c>
      <c r="E63" s="164" t="s">
        <v>538</v>
      </c>
      <c r="F63" s="164" t="s">
        <v>824</v>
      </c>
      <c r="G63" s="164" t="s">
        <v>683</v>
      </c>
      <c r="H63" s="165">
        <v>34429</v>
      </c>
      <c r="I63" s="164" t="s">
        <v>20</v>
      </c>
      <c r="J63" s="164" t="s">
        <v>68</v>
      </c>
      <c r="K63" s="165">
        <v>45446</v>
      </c>
      <c r="L63" s="166" t="s">
        <v>540</v>
      </c>
      <c r="M63" s="154"/>
      <c r="N63" s="154"/>
      <c r="O63" s="164" t="s">
        <v>65</v>
      </c>
      <c r="P63" s="164">
        <v>32</v>
      </c>
      <c r="Q63" s="164">
        <v>2</v>
      </c>
      <c r="R63" s="167" t="s">
        <v>809</v>
      </c>
      <c r="S63" s="167" t="s">
        <v>102</v>
      </c>
      <c r="T63" s="162" t="s">
        <v>800</v>
      </c>
      <c r="U63" s="167" t="s">
        <v>803</v>
      </c>
      <c r="X63" s="169">
        <v>45446.083333333299</v>
      </c>
      <c r="Y63" s="170">
        <v>2</v>
      </c>
      <c r="Z63" s="170">
        <v>0</v>
      </c>
      <c r="AA63" s="170">
        <v>0</v>
      </c>
      <c r="AB63" s="170">
        <v>0</v>
      </c>
      <c r="AC63" s="171">
        <v>2</v>
      </c>
      <c r="AD63" s="172">
        <v>347536.27385</v>
      </c>
      <c r="AE63" s="173">
        <v>2</v>
      </c>
      <c r="AF63" s="174">
        <v>46357</v>
      </c>
    </row>
    <row r="64" spans="1:32" ht="20" x14ac:dyDescent="0.35">
      <c r="A64" s="162" t="s">
        <v>683</v>
      </c>
      <c r="B64" s="163" t="s">
        <v>824</v>
      </c>
      <c r="C64" s="154"/>
      <c r="D64" s="162" t="s">
        <v>538</v>
      </c>
      <c r="E64" s="164" t="s">
        <v>538</v>
      </c>
      <c r="F64" s="164" t="s">
        <v>824</v>
      </c>
      <c r="G64" s="164" t="s">
        <v>683</v>
      </c>
      <c r="H64" s="165">
        <v>34429</v>
      </c>
      <c r="I64" s="164" t="s">
        <v>20</v>
      </c>
      <c r="J64" s="164" t="s">
        <v>68</v>
      </c>
      <c r="K64" s="165">
        <v>45446</v>
      </c>
      <c r="L64" s="166" t="s">
        <v>540</v>
      </c>
      <c r="M64" s="154"/>
      <c r="N64" s="154"/>
      <c r="O64" s="164" t="s">
        <v>65</v>
      </c>
      <c r="P64" s="164">
        <v>32</v>
      </c>
      <c r="Q64" s="164">
        <v>2</v>
      </c>
      <c r="R64" s="167" t="s">
        <v>809</v>
      </c>
      <c r="S64" s="167" t="s">
        <v>102</v>
      </c>
      <c r="T64" s="162" t="s">
        <v>800</v>
      </c>
      <c r="U64" s="167" t="s">
        <v>804</v>
      </c>
      <c r="X64" s="169">
        <v>45446.083333333299</v>
      </c>
      <c r="Y64" s="170">
        <v>5</v>
      </c>
      <c r="Z64" s="170">
        <v>0</v>
      </c>
      <c r="AA64" s="170">
        <v>0</v>
      </c>
      <c r="AB64" s="170">
        <v>0</v>
      </c>
      <c r="AC64" s="171">
        <v>5</v>
      </c>
      <c r="AD64" s="172">
        <v>868840.68461999996</v>
      </c>
      <c r="AE64" s="173">
        <v>5</v>
      </c>
      <c r="AF64" s="174">
        <v>46357</v>
      </c>
    </row>
    <row r="65" spans="1:32" ht="20" x14ac:dyDescent="0.35">
      <c r="A65" s="162" t="s">
        <v>683</v>
      </c>
      <c r="B65" s="163" t="s">
        <v>824</v>
      </c>
      <c r="C65" s="154"/>
      <c r="D65" s="162" t="s">
        <v>538</v>
      </c>
      <c r="E65" s="164" t="s">
        <v>538</v>
      </c>
      <c r="F65" s="164" t="s">
        <v>824</v>
      </c>
      <c r="G65" s="164" t="s">
        <v>683</v>
      </c>
      <c r="H65" s="165">
        <v>34429</v>
      </c>
      <c r="I65" s="164" t="s">
        <v>20</v>
      </c>
      <c r="J65" s="164" t="s">
        <v>68</v>
      </c>
      <c r="K65" s="165">
        <v>45446</v>
      </c>
      <c r="L65" s="166" t="s">
        <v>540</v>
      </c>
      <c r="M65" s="154"/>
      <c r="N65" s="154"/>
      <c r="O65" s="164" t="s">
        <v>65</v>
      </c>
      <c r="P65" s="164">
        <v>32</v>
      </c>
      <c r="Q65" s="164">
        <v>2</v>
      </c>
      <c r="R65" s="167" t="s">
        <v>809</v>
      </c>
      <c r="S65" s="167" t="s">
        <v>102</v>
      </c>
      <c r="T65" s="162" t="s">
        <v>800</v>
      </c>
      <c r="U65" s="167" t="s">
        <v>805</v>
      </c>
      <c r="X65" s="169">
        <v>45446.083333333299</v>
      </c>
      <c r="Y65" s="170">
        <v>0.50000000333100003</v>
      </c>
      <c r="Z65" s="170">
        <v>8.3333329999999997E-2</v>
      </c>
      <c r="AA65" s="170">
        <v>0</v>
      </c>
      <c r="AB65" s="170">
        <v>0</v>
      </c>
      <c r="AC65" s="171">
        <v>0.58333333333100001</v>
      </c>
      <c r="AD65" s="172">
        <v>101364.74653999999</v>
      </c>
      <c r="AE65" s="173">
        <v>0.57999999999999996</v>
      </c>
      <c r="AF65" s="174">
        <v>46357</v>
      </c>
    </row>
    <row r="66" spans="1:32" ht="20" x14ac:dyDescent="0.35">
      <c r="A66" s="162" t="s">
        <v>826</v>
      </c>
      <c r="B66" s="163" t="s">
        <v>827</v>
      </c>
      <c r="C66" s="154"/>
      <c r="D66" s="162" t="s">
        <v>541</v>
      </c>
      <c r="E66" s="164" t="s">
        <v>541</v>
      </c>
      <c r="F66" s="164" t="s">
        <v>827</v>
      </c>
      <c r="G66" s="164" t="s">
        <v>826</v>
      </c>
      <c r="H66" s="165">
        <v>31578</v>
      </c>
      <c r="I66" s="164" t="s">
        <v>20</v>
      </c>
      <c r="J66" s="164" t="s">
        <v>68</v>
      </c>
      <c r="K66" s="165">
        <v>45414</v>
      </c>
      <c r="L66" s="166" t="s">
        <v>543</v>
      </c>
      <c r="M66" s="154"/>
      <c r="N66" s="154"/>
      <c r="O66" s="164" t="s">
        <v>23</v>
      </c>
      <c r="P66" s="164">
        <v>40</v>
      </c>
      <c r="Q66" s="164">
        <v>2</v>
      </c>
      <c r="R66" s="167" t="s">
        <v>809</v>
      </c>
      <c r="S66" s="167" t="s">
        <v>102</v>
      </c>
      <c r="T66" s="162" t="s">
        <v>794</v>
      </c>
      <c r="U66" s="167" t="s">
        <v>819</v>
      </c>
      <c r="V66" s="162" t="s">
        <v>828</v>
      </c>
      <c r="W66" s="168">
        <v>2</v>
      </c>
      <c r="X66" s="169">
        <v>45414.083333333299</v>
      </c>
      <c r="Y66" s="170">
        <v>19.935483869999999</v>
      </c>
      <c r="Z66" s="170">
        <v>2</v>
      </c>
      <c r="AA66" s="170">
        <v>0</v>
      </c>
      <c r="AB66" s="170">
        <v>0</v>
      </c>
      <c r="AC66" s="171">
        <v>21.935483869999999</v>
      </c>
      <c r="AD66" s="172">
        <v>11337888.587579999</v>
      </c>
      <c r="AE66" s="173" t="s">
        <v>797</v>
      </c>
      <c r="AF66" s="173"/>
    </row>
    <row r="67" spans="1:32" ht="20" x14ac:dyDescent="0.35">
      <c r="A67" s="162" t="s">
        <v>826</v>
      </c>
      <c r="B67" s="163" t="s">
        <v>827</v>
      </c>
      <c r="C67" s="154"/>
      <c r="D67" s="162" t="s">
        <v>541</v>
      </c>
      <c r="E67" s="164" t="s">
        <v>541</v>
      </c>
      <c r="F67" s="164" t="s">
        <v>827</v>
      </c>
      <c r="G67" s="164" t="s">
        <v>826</v>
      </c>
      <c r="H67" s="165">
        <v>31578</v>
      </c>
      <c r="I67" s="164" t="s">
        <v>20</v>
      </c>
      <c r="J67" s="164" t="s">
        <v>68</v>
      </c>
      <c r="K67" s="165">
        <v>45414</v>
      </c>
      <c r="L67" s="166" t="s">
        <v>543</v>
      </c>
      <c r="M67" s="154"/>
      <c r="N67" s="154"/>
      <c r="O67" s="164" t="s">
        <v>23</v>
      </c>
      <c r="P67" s="164">
        <v>40</v>
      </c>
      <c r="Q67" s="164">
        <v>2</v>
      </c>
      <c r="R67" s="167" t="s">
        <v>809</v>
      </c>
      <c r="S67" s="167" t="s">
        <v>102</v>
      </c>
      <c r="T67" s="162" t="s">
        <v>798</v>
      </c>
      <c r="U67" s="167" t="s">
        <v>821</v>
      </c>
      <c r="X67" s="169">
        <v>45414.083333333299</v>
      </c>
      <c r="Y67" s="170">
        <v>180</v>
      </c>
      <c r="Z67" s="170">
        <v>0</v>
      </c>
      <c r="AA67" s="170">
        <v>0</v>
      </c>
      <c r="AB67" s="170">
        <v>0</v>
      </c>
      <c r="AC67" s="171">
        <v>180</v>
      </c>
      <c r="AD67" s="172">
        <v>93037379.884560004</v>
      </c>
      <c r="AE67" s="173">
        <v>180</v>
      </c>
      <c r="AF67" s="174">
        <v>46357</v>
      </c>
    </row>
    <row r="68" spans="1:32" ht="20" x14ac:dyDescent="0.35">
      <c r="A68" s="162" t="s">
        <v>826</v>
      </c>
      <c r="B68" s="163" t="s">
        <v>827</v>
      </c>
      <c r="C68" s="154"/>
      <c r="D68" s="162" t="s">
        <v>541</v>
      </c>
      <c r="E68" s="164" t="s">
        <v>541</v>
      </c>
      <c r="F68" s="164" t="s">
        <v>827</v>
      </c>
      <c r="G68" s="164" t="s">
        <v>826</v>
      </c>
      <c r="H68" s="165">
        <v>31578</v>
      </c>
      <c r="I68" s="164" t="s">
        <v>20</v>
      </c>
      <c r="J68" s="164" t="s">
        <v>68</v>
      </c>
      <c r="K68" s="165">
        <v>45414</v>
      </c>
      <c r="L68" s="166" t="s">
        <v>543</v>
      </c>
      <c r="M68" s="154"/>
      <c r="N68" s="154"/>
      <c r="O68" s="164" t="s">
        <v>23</v>
      </c>
      <c r="P68" s="164">
        <v>40</v>
      </c>
      <c r="Q68" s="164">
        <v>2</v>
      </c>
      <c r="R68" s="167" t="s">
        <v>809</v>
      </c>
      <c r="S68" s="167" t="s">
        <v>102</v>
      </c>
      <c r="T68" s="162" t="s">
        <v>800</v>
      </c>
      <c r="U68" s="167" t="s">
        <v>801</v>
      </c>
      <c r="X68" s="169">
        <v>45414.083333333299</v>
      </c>
      <c r="Y68" s="170">
        <v>14</v>
      </c>
      <c r="Z68" s="170">
        <v>0</v>
      </c>
      <c r="AA68" s="170">
        <v>0</v>
      </c>
      <c r="AB68" s="170">
        <v>0</v>
      </c>
      <c r="AC68" s="171">
        <v>14</v>
      </c>
      <c r="AD68" s="172">
        <v>7236240.6576899998</v>
      </c>
      <c r="AE68" s="173">
        <v>14</v>
      </c>
      <c r="AF68" s="174">
        <v>46357</v>
      </c>
    </row>
    <row r="69" spans="1:32" ht="20" x14ac:dyDescent="0.35">
      <c r="A69" s="162" t="s">
        <v>826</v>
      </c>
      <c r="B69" s="163" t="s">
        <v>827</v>
      </c>
      <c r="C69" s="154"/>
      <c r="D69" s="162" t="s">
        <v>541</v>
      </c>
      <c r="E69" s="164" t="s">
        <v>541</v>
      </c>
      <c r="F69" s="164" t="s">
        <v>827</v>
      </c>
      <c r="G69" s="164" t="s">
        <v>826</v>
      </c>
      <c r="H69" s="165">
        <v>31578</v>
      </c>
      <c r="I69" s="164" t="s">
        <v>20</v>
      </c>
      <c r="J69" s="164" t="s">
        <v>68</v>
      </c>
      <c r="K69" s="165">
        <v>45414</v>
      </c>
      <c r="L69" s="166" t="s">
        <v>543</v>
      </c>
      <c r="M69" s="154"/>
      <c r="N69" s="154"/>
      <c r="O69" s="164" t="s">
        <v>23</v>
      </c>
      <c r="P69" s="164">
        <v>40</v>
      </c>
      <c r="Q69" s="164">
        <v>2</v>
      </c>
      <c r="R69" s="167" t="s">
        <v>809</v>
      </c>
      <c r="S69" s="167" t="s">
        <v>102</v>
      </c>
      <c r="T69" s="162" t="s">
        <v>800</v>
      </c>
      <c r="U69" s="167" t="s">
        <v>802</v>
      </c>
      <c r="X69" s="169">
        <v>45414.083333333299</v>
      </c>
      <c r="Y69" s="170">
        <v>98</v>
      </c>
      <c r="Z69" s="170">
        <v>0</v>
      </c>
      <c r="AA69" s="170">
        <v>0</v>
      </c>
      <c r="AB69" s="170">
        <v>0</v>
      </c>
      <c r="AC69" s="171">
        <v>98</v>
      </c>
      <c r="AD69" s="172">
        <v>50653684.603820004</v>
      </c>
      <c r="AE69" s="173">
        <v>98</v>
      </c>
      <c r="AF69" s="174">
        <v>46357</v>
      </c>
    </row>
    <row r="70" spans="1:32" ht="20" x14ac:dyDescent="0.35">
      <c r="A70" s="162" t="s">
        <v>826</v>
      </c>
      <c r="B70" s="163" t="s">
        <v>827</v>
      </c>
      <c r="C70" s="154"/>
      <c r="D70" s="162" t="s">
        <v>541</v>
      </c>
      <c r="E70" s="164" t="s">
        <v>541</v>
      </c>
      <c r="F70" s="164" t="s">
        <v>827</v>
      </c>
      <c r="G70" s="164" t="s">
        <v>826</v>
      </c>
      <c r="H70" s="165">
        <v>31578</v>
      </c>
      <c r="I70" s="164" t="s">
        <v>20</v>
      </c>
      <c r="J70" s="164" t="s">
        <v>68</v>
      </c>
      <c r="K70" s="165">
        <v>45414</v>
      </c>
      <c r="L70" s="166" t="s">
        <v>543</v>
      </c>
      <c r="M70" s="154"/>
      <c r="N70" s="154"/>
      <c r="O70" s="164" t="s">
        <v>23</v>
      </c>
      <c r="P70" s="164">
        <v>40</v>
      </c>
      <c r="Q70" s="164">
        <v>2</v>
      </c>
      <c r="R70" s="167" t="s">
        <v>809</v>
      </c>
      <c r="S70" s="167" t="s">
        <v>102</v>
      </c>
      <c r="T70" s="162" t="s">
        <v>800</v>
      </c>
      <c r="U70" s="167" t="s">
        <v>803</v>
      </c>
      <c r="X70" s="169">
        <v>45414.083333333299</v>
      </c>
      <c r="Y70" s="170">
        <v>2</v>
      </c>
      <c r="Z70" s="170">
        <v>0</v>
      </c>
      <c r="AA70" s="170">
        <v>0</v>
      </c>
      <c r="AB70" s="170">
        <v>0</v>
      </c>
      <c r="AC70" s="171">
        <v>2</v>
      </c>
      <c r="AD70" s="172">
        <v>1033748.66538</v>
      </c>
      <c r="AE70" s="173">
        <v>2</v>
      </c>
      <c r="AF70" s="174">
        <v>46357</v>
      </c>
    </row>
    <row r="71" spans="1:32" ht="20" x14ac:dyDescent="0.35">
      <c r="A71" s="162" t="s">
        <v>826</v>
      </c>
      <c r="B71" s="163" t="s">
        <v>827</v>
      </c>
      <c r="C71" s="154"/>
      <c r="D71" s="162" t="s">
        <v>541</v>
      </c>
      <c r="E71" s="164" t="s">
        <v>541</v>
      </c>
      <c r="F71" s="164" t="s">
        <v>827</v>
      </c>
      <c r="G71" s="164" t="s">
        <v>826</v>
      </c>
      <c r="H71" s="165">
        <v>31578</v>
      </c>
      <c r="I71" s="164" t="s">
        <v>20</v>
      </c>
      <c r="J71" s="164" t="s">
        <v>68</v>
      </c>
      <c r="K71" s="165">
        <v>45414</v>
      </c>
      <c r="L71" s="166" t="s">
        <v>543</v>
      </c>
      <c r="M71" s="154"/>
      <c r="N71" s="154"/>
      <c r="O71" s="164" t="s">
        <v>23</v>
      </c>
      <c r="P71" s="164">
        <v>40</v>
      </c>
      <c r="Q71" s="164">
        <v>2</v>
      </c>
      <c r="R71" s="167" t="s">
        <v>809</v>
      </c>
      <c r="S71" s="167" t="s">
        <v>102</v>
      </c>
      <c r="T71" s="162" t="s">
        <v>800</v>
      </c>
      <c r="U71" s="167" t="s">
        <v>804</v>
      </c>
      <c r="X71" s="169">
        <v>45414.083333333299</v>
      </c>
      <c r="Y71" s="170">
        <v>5</v>
      </c>
      <c r="Z71" s="170">
        <v>0</v>
      </c>
      <c r="AA71" s="170">
        <v>0</v>
      </c>
      <c r="AB71" s="170">
        <v>0</v>
      </c>
      <c r="AC71" s="171">
        <v>5</v>
      </c>
      <c r="AD71" s="172">
        <v>2584371.66346</v>
      </c>
      <c r="AE71" s="173">
        <v>5</v>
      </c>
      <c r="AF71" s="174">
        <v>46357</v>
      </c>
    </row>
    <row r="72" spans="1:32" ht="20" x14ac:dyDescent="0.35">
      <c r="A72" s="162" t="s">
        <v>826</v>
      </c>
      <c r="B72" s="163" t="s">
        <v>827</v>
      </c>
      <c r="C72" s="154"/>
      <c r="D72" s="162" t="s">
        <v>541</v>
      </c>
      <c r="E72" s="164" t="s">
        <v>541</v>
      </c>
      <c r="F72" s="164" t="s">
        <v>827</v>
      </c>
      <c r="G72" s="164" t="s">
        <v>826</v>
      </c>
      <c r="H72" s="165">
        <v>31578</v>
      </c>
      <c r="I72" s="164" t="s">
        <v>20</v>
      </c>
      <c r="J72" s="164" t="s">
        <v>68</v>
      </c>
      <c r="K72" s="165">
        <v>45414</v>
      </c>
      <c r="L72" s="166" t="s">
        <v>543</v>
      </c>
      <c r="M72" s="154"/>
      <c r="N72" s="154"/>
      <c r="O72" s="164" t="s">
        <v>23</v>
      </c>
      <c r="P72" s="164">
        <v>40</v>
      </c>
      <c r="Q72" s="164">
        <v>2</v>
      </c>
      <c r="R72" s="167" t="s">
        <v>809</v>
      </c>
      <c r="S72" s="167" t="s">
        <v>102</v>
      </c>
      <c r="T72" s="162" t="s">
        <v>800</v>
      </c>
      <c r="U72" s="167" t="s">
        <v>805</v>
      </c>
      <c r="X72" s="169">
        <v>45414.083333333299</v>
      </c>
      <c r="Y72" s="170">
        <v>1</v>
      </c>
      <c r="Z72" s="170">
        <v>0</v>
      </c>
      <c r="AA72" s="170">
        <v>0</v>
      </c>
      <c r="AB72" s="170">
        <v>0</v>
      </c>
      <c r="AC72" s="171">
        <v>1</v>
      </c>
      <c r="AD72" s="172">
        <v>516874.33269000001</v>
      </c>
      <c r="AE72" s="173">
        <v>1</v>
      </c>
      <c r="AF72" s="174">
        <v>46357</v>
      </c>
    </row>
    <row r="73" spans="1:32" ht="20" x14ac:dyDescent="0.35">
      <c r="A73" s="162" t="s">
        <v>829</v>
      </c>
      <c r="B73" s="163" t="s">
        <v>830</v>
      </c>
      <c r="C73" s="154"/>
      <c r="D73" s="162" t="s">
        <v>18</v>
      </c>
      <c r="E73" s="164" t="s">
        <v>18</v>
      </c>
      <c r="F73" s="164" t="s">
        <v>830</v>
      </c>
      <c r="G73" s="164" t="s">
        <v>829</v>
      </c>
      <c r="H73" s="165">
        <v>31575</v>
      </c>
      <c r="I73" s="164" t="s">
        <v>20</v>
      </c>
      <c r="J73" s="164" t="s">
        <v>21</v>
      </c>
      <c r="K73" s="165">
        <v>41852</v>
      </c>
      <c r="L73" s="166" t="s">
        <v>22</v>
      </c>
      <c r="M73" s="154"/>
      <c r="N73" s="154"/>
      <c r="O73" s="164" t="s">
        <v>23</v>
      </c>
      <c r="P73" s="164">
        <v>40</v>
      </c>
      <c r="Q73" s="164">
        <v>11</v>
      </c>
      <c r="R73" s="167" t="s">
        <v>831</v>
      </c>
      <c r="S73" s="167" t="s">
        <v>832</v>
      </c>
      <c r="T73" s="162" t="s">
        <v>794</v>
      </c>
      <c r="U73" s="167" t="s">
        <v>833</v>
      </c>
      <c r="V73" s="162" t="s">
        <v>834</v>
      </c>
      <c r="W73" s="168">
        <v>11</v>
      </c>
      <c r="X73" s="169">
        <v>45413</v>
      </c>
      <c r="Y73" s="170">
        <v>21.64</v>
      </c>
      <c r="Z73" s="170">
        <v>2.25</v>
      </c>
      <c r="AA73" s="170">
        <v>0</v>
      </c>
      <c r="AB73" s="170">
        <v>0</v>
      </c>
      <c r="AC73" s="171">
        <v>23.89</v>
      </c>
      <c r="AD73" s="172">
        <v>10165696.74511</v>
      </c>
      <c r="AE73" s="173" t="s">
        <v>797</v>
      </c>
      <c r="AF73" s="173"/>
    </row>
    <row r="74" spans="1:32" x14ac:dyDescent="0.35">
      <c r="A74" s="162" t="s">
        <v>829</v>
      </c>
      <c r="B74" s="163" t="s">
        <v>830</v>
      </c>
      <c r="C74" s="154"/>
      <c r="D74" s="162" t="s">
        <v>18</v>
      </c>
      <c r="E74" s="164" t="s">
        <v>18</v>
      </c>
      <c r="F74" s="164" t="s">
        <v>830</v>
      </c>
      <c r="G74" s="164" t="s">
        <v>829</v>
      </c>
      <c r="H74" s="165">
        <v>31575</v>
      </c>
      <c r="I74" s="164" t="s">
        <v>20</v>
      </c>
      <c r="J74" s="164" t="s">
        <v>21</v>
      </c>
      <c r="K74" s="165">
        <v>41852</v>
      </c>
      <c r="L74" s="166" t="s">
        <v>22</v>
      </c>
      <c r="M74" s="154"/>
      <c r="N74" s="154"/>
      <c r="O74" s="164" t="s">
        <v>23</v>
      </c>
      <c r="P74" s="164">
        <v>40</v>
      </c>
      <c r="Q74" s="164">
        <v>11</v>
      </c>
      <c r="R74" s="167" t="s">
        <v>831</v>
      </c>
      <c r="S74" s="167" t="s">
        <v>832</v>
      </c>
      <c r="T74" s="162" t="s">
        <v>798</v>
      </c>
      <c r="U74" s="167" t="s">
        <v>799</v>
      </c>
      <c r="X74" s="169">
        <v>45413</v>
      </c>
      <c r="Y74" s="170">
        <v>180</v>
      </c>
      <c r="Z74" s="170">
        <v>0</v>
      </c>
      <c r="AA74" s="170">
        <v>0</v>
      </c>
      <c r="AB74" s="170">
        <v>0</v>
      </c>
      <c r="AC74" s="171">
        <v>180</v>
      </c>
      <c r="AD74" s="172">
        <v>76593780.415260002</v>
      </c>
      <c r="AE74" s="173">
        <v>180</v>
      </c>
      <c r="AF74" s="174">
        <v>46357</v>
      </c>
    </row>
    <row r="75" spans="1:32" x14ac:dyDescent="0.35">
      <c r="A75" s="162" t="s">
        <v>829</v>
      </c>
      <c r="B75" s="163" t="s">
        <v>830</v>
      </c>
      <c r="C75" s="154"/>
      <c r="D75" s="162" t="s">
        <v>18</v>
      </c>
      <c r="E75" s="164" t="s">
        <v>18</v>
      </c>
      <c r="F75" s="164" t="s">
        <v>830</v>
      </c>
      <c r="G75" s="164" t="s">
        <v>829</v>
      </c>
      <c r="H75" s="165">
        <v>31575</v>
      </c>
      <c r="I75" s="164" t="s">
        <v>20</v>
      </c>
      <c r="J75" s="164" t="s">
        <v>21</v>
      </c>
      <c r="K75" s="165">
        <v>41852</v>
      </c>
      <c r="L75" s="166" t="s">
        <v>22</v>
      </c>
      <c r="M75" s="154"/>
      <c r="N75" s="154"/>
      <c r="O75" s="164" t="s">
        <v>23</v>
      </c>
      <c r="P75" s="164">
        <v>40</v>
      </c>
      <c r="Q75" s="164">
        <v>11</v>
      </c>
      <c r="R75" s="167" t="s">
        <v>831</v>
      </c>
      <c r="S75" s="167" t="s">
        <v>832</v>
      </c>
      <c r="T75" s="162" t="s">
        <v>800</v>
      </c>
      <c r="U75" s="167" t="s">
        <v>801</v>
      </c>
      <c r="X75" s="169">
        <v>45413</v>
      </c>
      <c r="Y75" s="170">
        <v>26</v>
      </c>
      <c r="Z75" s="170">
        <v>0</v>
      </c>
      <c r="AA75" s="170">
        <v>0</v>
      </c>
      <c r="AB75" s="170">
        <v>0</v>
      </c>
      <c r="AC75" s="171">
        <v>26</v>
      </c>
      <c r="AD75" s="172">
        <v>11063546.059979999</v>
      </c>
      <c r="AE75" s="173">
        <v>26</v>
      </c>
      <c r="AF75" s="174">
        <v>46357</v>
      </c>
    </row>
    <row r="76" spans="1:32" x14ac:dyDescent="0.35">
      <c r="A76" s="162" t="s">
        <v>829</v>
      </c>
      <c r="B76" s="163" t="s">
        <v>830</v>
      </c>
      <c r="C76" s="154"/>
      <c r="D76" s="162" t="s">
        <v>18</v>
      </c>
      <c r="E76" s="164" t="s">
        <v>18</v>
      </c>
      <c r="F76" s="164" t="s">
        <v>830</v>
      </c>
      <c r="G76" s="164" t="s">
        <v>829</v>
      </c>
      <c r="H76" s="165">
        <v>31575</v>
      </c>
      <c r="I76" s="164" t="s">
        <v>20</v>
      </c>
      <c r="J76" s="164" t="s">
        <v>21</v>
      </c>
      <c r="K76" s="165">
        <v>41852</v>
      </c>
      <c r="L76" s="166" t="s">
        <v>22</v>
      </c>
      <c r="M76" s="154"/>
      <c r="N76" s="154"/>
      <c r="O76" s="164" t="s">
        <v>23</v>
      </c>
      <c r="P76" s="164">
        <v>40</v>
      </c>
      <c r="Q76" s="164">
        <v>11</v>
      </c>
      <c r="R76" s="167" t="s">
        <v>831</v>
      </c>
      <c r="S76" s="167" t="s">
        <v>832</v>
      </c>
      <c r="T76" s="162" t="s">
        <v>800</v>
      </c>
      <c r="U76" s="167" t="s">
        <v>802</v>
      </c>
      <c r="X76" s="169">
        <v>45413</v>
      </c>
      <c r="Y76" s="170">
        <v>98</v>
      </c>
      <c r="Z76" s="170">
        <v>0</v>
      </c>
      <c r="AA76" s="170">
        <v>0</v>
      </c>
      <c r="AB76" s="170">
        <v>0</v>
      </c>
      <c r="AC76" s="171">
        <v>98</v>
      </c>
      <c r="AD76" s="172">
        <v>41701058.226089999</v>
      </c>
      <c r="AE76" s="173">
        <v>98</v>
      </c>
      <c r="AF76" s="174">
        <v>46357</v>
      </c>
    </row>
    <row r="77" spans="1:32" x14ac:dyDescent="0.35">
      <c r="A77" s="162" t="s">
        <v>829</v>
      </c>
      <c r="B77" s="163" t="s">
        <v>830</v>
      </c>
      <c r="C77" s="154"/>
      <c r="D77" s="162" t="s">
        <v>18</v>
      </c>
      <c r="E77" s="164" t="s">
        <v>18</v>
      </c>
      <c r="F77" s="164" t="s">
        <v>830</v>
      </c>
      <c r="G77" s="164" t="s">
        <v>829</v>
      </c>
      <c r="H77" s="165">
        <v>31575</v>
      </c>
      <c r="I77" s="164" t="s">
        <v>20</v>
      </c>
      <c r="J77" s="164" t="s">
        <v>21</v>
      </c>
      <c r="K77" s="165">
        <v>41852</v>
      </c>
      <c r="L77" s="166" t="s">
        <v>22</v>
      </c>
      <c r="M77" s="154"/>
      <c r="N77" s="154"/>
      <c r="O77" s="164" t="s">
        <v>23</v>
      </c>
      <c r="P77" s="164">
        <v>40</v>
      </c>
      <c r="Q77" s="164">
        <v>11</v>
      </c>
      <c r="R77" s="167" t="s">
        <v>831</v>
      </c>
      <c r="S77" s="167" t="s">
        <v>832</v>
      </c>
      <c r="T77" s="162" t="s">
        <v>800</v>
      </c>
      <c r="U77" s="167" t="s">
        <v>803</v>
      </c>
      <c r="X77" s="169">
        <v>45413</v>
      </c>
      <c r="Y77" s="170">
        <v>2</v>
      </c>
      <c r="Z77" s="170">
        <v>0</v>
      </c>
      <c r="AA77" s="170">
        <v>0</v>
      </c>
      <c r="AB77" s="170">
        <v>0</v>
      </c>
      <c r="AC77" s="171">
        <v>2</v>
      </c>
      <c r="AD77" s="172">
        <v>851042.00460999995</v>
      </c>
      <c r="AE77" s="173">
        <v>2</v>
      </c>
      <c r="AF77" s="174">
        <v>46357</v>
      </c>
    </row>
    <row r="78" spans="1:32" x14ac:dyDescent="0.35">
      <c r="A78" s="162" t="s">
        <v>829</v>
      </c>
      <c r="B78" s="163" t="s">
        <v>830</v>
      </c>
      <c r="C78" s="154"/>
      <c r="D78" s="162" t="s">
        <v>18</v>
      </c>
      <c r="E78" s="164" t="s">
        <v>18</v>
      </c>
      <c r="F78" s="164" t="s">
        <v>830</v>
      </c>
      <c r="G78" s="164" t="s">
        <v>829</v>
      </c>
      <c r="H78" s="165">
        <v>31575</v>
      </c>
      <c r="I78" s="164" t="s">
        <v>20</v>
      </c>
      <c r="J78" s="164" t="s">
        <v>21</v>
      </c>
      <c r="K78" s="165">
        <v>41852</v>
      </c>
      <c r="L78" s="166" t="s">
        <v>22</v>
      </c>
      <c r="M78" s="154"/>
      <c r="N78" s="154"/>
      <c r="O78" s="164" t="s">
        <v>23</v>
      </c>
      <c r="P78" s="164">
        <v>40</v>
      </c>
      <c r="Q78" s="164">
        <v>11</v>
      </c>
      <c r="R78" s="167" t="s">
        <v>831</v>
      </c>
      <c r="S78" s="167" t="s">
        <v>832</v>
      </c>
      <c r="T78" s="162" t="s">
        <v>800</v>
      </c>
      <c r="U78" s="167" t="s">
        <v>804</v>
      </c>
      <c r="X78" s="169">
        <v>45413</v>
      </c>
      <c r="Y78" s="170">
        <v>5</v>
      </c>
      <c r="Z78" s="170">
        <v>0</v>
      </c>
      <c r="AA78" s="170">
        <v>0</v>
      </c>
      <c r="AB78" s="170">
        <v>0</v>
      </c>
      <c r="AC78" s="171">
        <v>5</v>
      </c>
      <c r="AD78" s="172">
        <v>2127605.0115399999</v>
      </c>
      <c r="AE78" s="173">
        <v>5</v>
      </c>
      <c r="AF78" s="174">
        <v>46357</v>
      </c>
    </row>
    <row r="79" spans="1:32" x14ac:dyDescent="0.35">
      <c r="A79" s="162" t="s">
        <v>829</v>
      </c>
      <c r="B79" s="163" t="s">
        <v>830</v>
      </c>
      <c r="C79" s="154"/>
      <c r="D79" s="162" t="s">
        <v>18</v>
      </c>
      <c r="E79" s="164" t="s">
        <v>18</v>
      </c>
      <c r="F79" s="164" t="s">
        <v>830</v>
      </c>
      <c r="G79" s="164" t="s">
        <v>829</v>
      </c>
      <c r="H79" s="165">
        <v>31575</v>
      </c>
      <c r="I79" s="164" t="s">
        <v>20</v>
      </c>
      <c r="J79" s="164" t="s">
        <v>21</v>
      </c>
      <c r="K79" s="165">
        <v>41852</v>
      </c>
      <c r="L79" s="166" t="s">
        <v>22</v>
      </c>
      <c r="M79" s="154"/>
      <c r="N79" s="154"/>
      <c r="O79" s="164" t="s">
        <v>23</v>
      </c>
      <c r="P79" s="164">
        <v>40</v>
      </c>
      <c r="Q79" s="164">
        <v>11</v>
      </c>
      <c r="R79" s="167" t="s">
        <v>831</v>
      </c>
      <c r="S79" s="167" t="s">
        <v>832</v>
      </c>
      <c r="T79" s="162" t="s">
        <v>800</v>
      </c>
      <c r="U79" s="167" t="s">
        <v>805</v>
      </c>
      <c r="X79" s="169">
        <v>45413</v>
      </c>
      <c r="Y79" s="170">
        <v>2.4999999966690001</v>
      </c>
      <c r="Z79" s="170">
        <v>0.41666667000000002</v>
      </c>
      <c r="AA79" s="170">
        <v>0</v>
      </c>
      <c r="AB79" s="170">
        <v>0</v>
      </c>
      <c r="AC79" s="171">
        <v>2.9166666666690002</v>
      </c>
      <c r="AD79" s="172">
        <v>1241102.9234</v>
      </c>
      <c r="AE79" s="173">
        <v>2.92</v>
      </c>
      <c r="AF79" s="174">
        <v>46357</v>
      </c>
    </row>
    <row r="80" spans="1:32" ht="20" x14ac:dyDescent="0.35">
      <c r="A80" s="162" t="s">
        <v>835</v>
      </c>
      <c r="B80" s="163" t="s">
        <v>695</v>
      </c>
      <c r="C80" s="154"/>
      <c r="D80" s="162" t="s">
        <v>26</v>
      </c>
      <c r="E80" s="164" t="s">
        <v>26</v>
      </c>
      <c r="F80" s="164" t="s">
        <v>695</v>
      </c>
      <c r="G80" s="164" t="s">
        <v>835</v>
      </c>
      <c r="H80" s="165">
        <v>28524</v>
      </c>
      <c r="I80" s="164" t="s">
        <v>20</v>
      </c>
      <c r="J80" s="164" t="s">
        <v>21</v>
      </c>
      <c r="K80" s="165">
        <v>42099</v>
      </c>
      <c r="L80" s="166" t="s">
        <v>28</v>
      </c>
      <c r="M80" s="154"/>
      <c r="N80" s="154"/>
      <c r="O80" s="164" t="s">
        <v>29</v>
      </c>
      <c r="P80" s="164">
        <v>48</v>
      </c>
      <c r="Q80" s="164">
        <v>11</v>
      </c>
      <c r="R80" s="167" t="s">
        <v>836</v>
      </c>
      <c r="S80" s="167" t="s">
        <v>837</v>
      </c>
      <c r="T80" s="162" t="s">
        <v>794</v>
      </c>
      <c r="U80" s="167" t="s">
        <v>795</v>
      </c>
      <c r="V80" s="162" t="s">
        <v>838</v>
      </c>
      <c r="W80" s="168">
        <v>11</v>
      </c>
      <c r="X80" s="169">
        <v>45018</v>
      </c>
      <c r="Y80" s="170">
        <v>16.820000003324001</v>
      </c>
      <c r="Z80" s="170">
        <v>2.0833333299999999</v>
      </c>
      <c r="AA80" s="170">
        <v>0</v>
      </c>
      <c r="AB80" s="170">
        <v>0</v>
      </c>
      <c r="AC80" s="171">
        <v>18.903333333323999</v>
      </c>
      <c r="AD80" s="172">
        <v>6288990.1216900004</v>
      </c>
      <c r="AE80" s="173" t="s">
        <v>797</v>
      </c>
      <c r="AF80" s="173"/>
    </row>
    <row r="81" spans="1:32" x14ac:dyDescent="0.35">
      <c r="A81" s="162" t="s">
        <v>835</v>
      </c>
      <c r="B81" s="163" t="s">
        <v>695</v>
      </c>
      <c r="C81" s="154"/>
      <c r="D81" s="162" t="s">
        <v>26</v>
      </c>
      <c r="E81" s="164" t="s">
        <v>26</v>
      </c>
      <c r="F81" s="164" t="s">
        <v>695</v>
      </c>
      <c r="G81" s="164" t="s">
        <v>835</v>
      </c>
      <c r="H81" s="165">
        <v>28524</v>
      </c>
      <c r="I81" s="164" t="s">
        <v>20</v>
      </c>
      <c r="J81" s="164" t="s">
        <v>21</v>
      </c>
      <c r="K81" s="165">
        <v>42099</v>
      </c>
      <c r="L81" s="166" t="s">
        <v>28</v>
      </c>
      <c r="M81" s="154"/>
      <c r="N81" s="154"/>
      <c r="O81" s="164" t="s">
        <v>29</v>
      </c>
      <c r="P81" s="164">
        <v>48</v>
      </c>
      <c r="Q81" s="164">
        <v>11</v>
      </c>
      <c r="R81" s="167" t="s">
        <v>836</v>
      </c>
      <c r="S81" s="167" t="s">
        <v>837</v>
      </c>
      <c r="T81" s="162" t="s">
        <v>798</v>
      </c>
      <c r="U81" s="167" t="s">
        <v>839</v>
      </c>
      <c r="X81" s="169">
        <v>45018</v>
      </c>
      <c r="Y81" s="170">
        <v>180</v>
      </c>
      <c r="Z81" s="170">
        <v>0</v>
      </c>
      <c r="AA81" s="170">
        <v>0</v>
      </c>
      <c r="AB81" s="170">
        <v>0</v>
      </c>
      <c r="AC81" s="171">
        <v>180</v>
      </c>
      <c r="AD81" s="172">
        <v>59884582.361400001</v>
      </c>
      <c r="AE81" s="173">
        <v>180</v>
      </c>
      <c r="AF81" s="174">
        <v>46357</v>
      </c>
    </row>
    <row r="82" spans="1:32" x14ac:dyDescent="0.35">
      <c r="A82" s="162" t="s">
        <v>835</v>
      </c>
      <c r="B82" s="163" t="s">
        <v>695</v>
      </c>
      <c r="C82" s="154"/>
      <c r="D82" s="162" t="s">
        <v>26</v>
      </c>
      <c r="E82" s="164" t="s">
        <v>26</v>
      </c>
      <c r="F82" s="164" t="s">
        <v>695</v>
      </c>
      <c r="G82" s="164" t="s">
        <v>835</v>
      </c>
      <c r="H82" s="165">
        <v>28524</v>
      </c>
      <c r="I82" s="164" t="s">
        <v>20</v>
      </c>
      <c r="J82" s="164" t="s">
        <v>21</v>
      </c>
      <c r="K82" s="165">
        <v>42099</v>
      </c>
      <c r="L82" s="166" t="s">
        <v>28</v>
      </c>
      <c r="M82" s="154"/>
      <c r="N82" s="154"/>
      <c r="O82" s="164" t="s">
        <v>29</v>
      </c>
      <c r="P82" s="164">
        <v>48</v>
      </c>
      <c r="Q82" s="164">
        <v>11</v>
      </c>
      <c r="R82" s="167" t="s">
        <v>836</v>
      </c>
      <c r="S82" s="167" t="s">
        <v>837</v>
      </c>
      <c r="T82" s="162" t="s">
        <v>800</v>
      </c>
      <c r="U82" s="167" t="s">
        <v>801</v>
      </c>
      <c r="X82" s="169">
        <v>45018</v>
      </c>
      <c r="Y82" s="170">
        <v>26</v>
      </c>
      <c r="Z82" s="170">
        <v>0</v>
      </c>
      <c r="AA82" s="170">
        <v>0</v>
      </c>
      <c r="AB82" s="170">
        <v>0</v>
      </c>
      <c r="AC82" s="171">
        <v>26</v>
      </c>
      <c r="AD82" s="172">
        <v>8649995.2299799994</v>
      </c>
      <c r="AE82" s="173">
        <v>26</v>
      </c>
      <c r="AF82" s="174">
        <v>46357</v>
      </c>
    </row>
    <row r="83" spans="1:32" x14ac:dyDescent="0.35">
      <c r="A83" s="162" t="s">
        <v>835</v>
      </c>
      <c r="B83" s="163" t="s">
        <v>695</v>
      </c>
      <c r="C83" s="154"/>
      <c r="D83" s="162" t="s">
        <v>26</v>
      </c>
      <c r="E83" s="164" t="s">
        <v>26</v>
      </c>
      <c r="F83" s="164" t="s">
        <v>695</v>
      </c>
      <c r="G83" s="164" t="s">
        <v>835</v>
      </c>
      <c r="H83" s="165">
        <v>28524</v>
      </c>
      <c r="I83" s="164" t="s">
        <v>20</v>
      </c>
      <c r="J83" s="164" t="s">
        <v>21</v>
      </c>
      <c r="K83" s="165">
        <v>42099</v>
      </c>
      <c r="L83" s="166" t="s">
        <v>28</v>
      </c>
      <c r="M83" s="154"/>
      <c r="N83" s="154"/>
      <c r="O83" s="164" t="s">
        <v>29</v>
      </c>
      <c r="P83" s="164">
        <v>48</v>
      </c>
      <c r="Q83" s="164">
        <v>11</v>
      </c>
      <c r="R83" s="167" t="s">
        <v>836</v>
      </c>
      <c r="S83" s="167" t="s">
        <v>837</v>
      </c>
      <c r="T83" s="162" t="s">
        <v>800</v>
      </c>
      <c r="U83" s="167" t="s">
        <v>802</v>
      </c>
      <c r="X83" s="169">
        <v>45018</v>
      </c>
      <c r="Y83" s="170">
        <v>98</v>
      </c>
      <c r="Z83" s="170">
        <v>0</v>
      </c>
      <c r="AA83" s="170">
        <v>0</v>
      </c>
      <c r="AB83" s="170">
        <v>0</v>
      </c>
      <c r="AC83" s="171">
        <v>98</v>
      </c>
      <c r="AD83" s="172">
        <v>32603828.174539998</v>
      </c>
      <c r="AE83" s="173">
        <v>98</v>
      </c>
      <c r="AF83" s="174">
        <v>46357</v>
      </c>
    </row>
    <row r="84" spans="1:32" x14ac:dyDescent="0.35">
      <c r="A84" s="162" t="s">
        <v>835</v>
      </c>
      <c r="B84" s="163" t="s">
        <v>695</v>
      </c>
      <c r="C84" s="154"/>
      <c r="D84" s="162" t="s">
        <v>26</v>
      </c>
      <c r="E84" s="164" t="s">
        <v>26</v>
      </c>
      <c r="F84" s="164" t="s">
        <v>695</v>
      </c>
      <c r="G84" s="164" t="s">
        <v>835</v>
      </c>
      <c r="H84" s="165">
        <v>28524</v>
      </c>
      <c r="I84" s="164" t="s">
        <v>20</v>
      </c>
      <c r="J84" s="164" t="s">
        <v>21</v>
      </c>
      <c r="K84" s="165">
        <v>42099</v>
      </c>
      <c r="L84" s="166" t="s">
        <v>28</v>
      </c>
      <c r="M84" s="154"/>
      <c r="N84" s="154"/>
      <c r="O84" s="164" t="s">
        <v>29</v>
      </c>
      <c r="P84" s="164">
        <v>48</v>
      </c>
      <c r="Q84" s="164">
        <v>11</v>
      </c>
      <c r="R84" s="167" t="s">
        <v>836</v>
      </c>
      <c r="S84" s="167" t="s">
        <v>837</v>
      </c>
      <c r="T84" s="162" t="s">
        <v>800</v>
      </c>
      <c r="U84" s="167" t="s">
        <v>803</v>
      </c>
      <c r="X84" s="169">
        <v>45018</v>
      </c>
      <c r="Y84" s="170">
        <v>2</v>
      </c>
      <c r="Z84" s="170">
        <v>0</v>
      </c>
      <c r="AA84" s="170">
        <v>0</v>
      </c>
      <c r="AB84" s="170">
        <v>0</v>
      </c>
      <c r="AC84" s="171">
        <v>2</v>
      </c>
      <c r="AD84" s="172">
        <v>665384.24846000003</v>
      </c>
      <c r="AE84" s="173">
        <v>2</v>
      </c>
      <c r="AF84" s="174">
        <v>46357</v>
      </c>
    </row>
    <row r="85" spans="1:32" x14ac:dyDescent="0.35">
      <c r="A85" s="162" t="s">
        <v>835</v>
      </c>
      <c r="B85" s="163" t="s">
        <v>695</v>
      </c>
      <c r="C85" s="154"/>
      <c r="D85" s="162" t="s">
        <v>26</v>
      </c>
      <c r="E85" s="164" t="s">
        <v>26</v>
      </c>
      <c r="F85" s="164" t="s">
        <v>695</v>
      </c>
      <c r="G85" s="164" t="s">
        <v>835</v>
      </c>
      <c r="H85" s="165">
        <v>28524</v>
      </c>
      <c r="I85" s="164" t="s">
        <v>20</v>
      </c>
      <c r="J85" s="164" t="s">
        <v>21</v>
      </c>
      <c r="K85" s="165">
        <v>42099</v>
      </c>
      <c r="L85" s="166" t="s">
        <v>28</v>
      </c>
      <c r="M85" s="154"/>
      <c r="N85" s="154"/>
      <c r="O85" s="164" t="s">
        <v>29</v>
      </c>
      <c r="P85" s="164">
        <v>48</v>
      </c>
      <c r="Q85" s="164">
        <v>11</v>
      </c>
      <c r="R85" s="167" t="s">
        <v>836</v>
      </c>
      <c r="S85" s="167" t="s">
        <v>837</v>
      </c>
      <c r="T85" s="162" t="s">
        <v>800</v>
      </c>
      <c r="U85" s="167" t="s">
        <v>804</v>
      </c>
      <c r="X85" s="169">
        <v>45018</v>
      </c>
      <c r="Y85" s="170">
        <v>5</v>
      </c>
      <c r="Z85" s="170">
        <v>0</v>
      </c>
      <c r="AA85" s="170">
        <v>0</v>
      </c>
      <c r="AB85" s="170">
        <v>0</v>
      </c>
      <c r="AC85" s="171">
        <v>5</v>
      </c>
      <c r="AD85" s="172">
        <v>1663460.62115</v>
      </c>
      <c r="AE85" s="173">
        <v>5</v>
      </c>
      <c r="AF85" s="174">
        <v>46357</v>
      </c>
    </row>
    <row r="86" spans="1:32" x14ac:dyDescent="0.35">
      <c r="A86" s="162" t="s">
        <v>835</v>
      </c>
      <c r="B86" s="163" t="s">
        <v>695</v>
      </c>
      <c r="C86" s="154"/>
      <c r="D86" s="162" t="s">
        <v>26</v>
      </c>
      <c r="E86" s="164" t="s">
        <v>26</v>
      </c>
      <c r="F86" s="164" t="s">
        <v>695</v>
      </c>
      <c r="G86" s="164" t="s">
        <v>835</v>
      </c>
      <c r="H86" s="165">
        <v>28524</v>
      </c>
      <c r="I86" s="164" t="s">
        <v>20</v>
      </c>
      <c r="J86" s="164" t="s">
        <v>21</v>
      </c>
      <c r="K86" s="165">
        <v>42099</v>
      </c>
      <c r="L86" s="166" t="s">
        <v>28</v>
      </c>
      <c r="M86" s="154"/>
      <c r="N86" s="154"/>
      <c r="O86" s="164" t="s">
        <v>29</v>
      </c>
      <c r="P86" s="164">
        <v>48</v>
      </c>
      <c r="Q86" s="164">
        <v>11</v>
      </c>
      <c r="R86" s="167" t="s">
        <v>836</v>
      </c>
      <c r="S86" s="167" t="s">
        <v>837</v>
      </c>
      <c r="T86" s="162" t="s">
        <v>800</v>
      </c>
      <c r="U86" s="167" t="s">
        <v>840</v>
      </c>
      <c r="X86" s="169">
        <v>45018</v>
      </c>
      <c r="Y86" s="170">
        <v>2.4999999966690001</v>
      </c>
      <c r="Z86" s="170">
        <v>0.41666667000000002</v>
      </c>
      <c r="AA86" s="170">
        <v>0</v>
      </c>
      <c r="AB86" s="170">
        <v>0</v>
      </c>
      <c r="AC86" s="171">
        <v>2.9166666666690002</v>
      </c>
      <c r="AD86" s="172">
        <v>970352.02899999998</v>
      </c>
      <c r="AE86" s="173">
        <v>2.92</v>
      </c>
      <c r="AF86" s="174">
        <v>46357</v>
      </c>
    </row>
    <row r="87" spans="1:32" ht="20" x14ac:dyDescent="0.35">
      <c r="A87" s="162" t="s">
        <v>841</v>
      </c>
      <c r="B87" s="163" t="s">
        <v>842</v>
      </c>
      <c r="C87" s="154"/>
      <c r="D87" s="162" t="s">
        <v>32</v>
      </c>
      <c r="E87" s="164" t="s">
        <v>32</v>
      </c>
      <c r="F87" s="164" t="s">
        <v>842</v>
      </c>
      <c r="G87" s="164" t="s">
        <v>841</v>
      </c>
      <c r="H87" s="165">
        <v>25429</v>
      </c>
      <c r="I87" s="164" t="s">
        <v>20</v>
      </c>
      <c r="J87" s="164" t="s">
        <v>21</v>
      </c>
      <c r="K87" s="165">
        <v>42135</v>
      </c>
      <c r="L87" s="166" t="s">
        <v>34</v>
      </c>
      <c r="M87" s="154"/>
      <c r="N87" s="154"/>
      <c r="O87" s="164" t="s">
        <v>35</v>
      </c>
      <c r="P87" s="164">
        <v>56</v>
      </c>
      <c r="Q87" s="164">
        <v>11</v>
      </c>
      <c r="R87" s="167" t="s">
        <v>843</v>
      </c>
      <c r="S87" s="167" t="s">
        <v>844</v>
      </c>
      <c r="T87" s="162" t="s">
        <v>794</v>
      </c>
      <c r="U87" s="167" t="s">
        <v>819</v>
      </c>
      <c r="V87" s="162" t="s">
        <v>834</v>
      </c>
      <c r="W87" s="168">
        <v>11</v>
      </c>
      <c r="X87" s="169">
        <v>45018</v>
      </c>
      <c r="Y87" s="170">
        <v>25.916666663337999</v>
      </c>
      <c r="Z87" s="170">
        <v>1.9166666699999999</v>
      </c>
      <c r="AA87" s="170">
        <v>0</v>
      </c>
      <c r="AB87" s="170">
        <v>0</v>
      </c>
      <c r="AC87" s="171">
        <v>27.833333333338</v>
      </c>
      <c r="AD87" s="172">
        <v>2005095.87326</v>
      </c>
      <c r="AE87" s="173" t="s">
        <v>797</v>
      </c>
      <c r="AF87" s="173"/>
    </row>
    <row r="88" spans="1:32" ht="20" x14ac:dyDescent="0.35">
      <c r="A88" s="162" t="s">
        <v>841</v>
      </c>
      <c r="B88" s="163" t="s">
        <v>842</v>
      </c>
      <c r="C88" s="154"/>
      <c r="D88" s="162" t="s">
        <v>32</v>
      </c>
      <c r="E88" s="164" t="s">
        <v>32</v>
      </c>
      <c r="F88" s="164" t="s">
        <v>842</v>
      </c>
      <c r="G88" s="164" t="s">
        <v>841</v>
      </c>
      <c r="H88" s="165">
        <v>25429</v>
      </c>
      <c r="I88" s="164" t="s">
        <v>20</v>
      </c>
      <c r="J88" s="164" t="s">
        <v>21</v>
      </c>
      <c r="K88" s="165">
        <v>42135</v>
      </c>
      <c r="L88" s="166" t="s">
        <v>34</v>
      </c>
      <c r="M88" s="154"/>
      <c r="N88" s="154"/>
      <c r="O88" s="164" t="s">
        <v>35</v>
      </c>
      <c r="P88" s="164">
        <v>56</v>
      </c>
      <c r="Q88" s="164">
        <v>11</v>
      </c>
      <c r="R88" s="167" t="s">
        <v>843</v>
      </c>
      <c r="S88" s="167" t="s">
        <v>844</v>
      </c>
      <c r="T88" s="162" t="s">
        <v>798</v>
      </c>
      <c r="U88" s="167" t="s">
        <v>799</v>
      </c>
      <c r="X88" s="169">
        <v>45018</v>
      </c>
      <c r="Y88" s="170">
        <v>180</v>
      </c>
      <c r="Z88" s="170">
        <v>0</v>
      </c>
      <c r="AA88" s="170">
        <v>0</v>
      </c>
      <c r="AB88" s="170">
        <v>0</v>
      </c>
      <c r="AC88" s="171">
        <v>180</v>
      </c>
      <c r="AD88" s="172">
        <v>12967087.084559999</v>
      </c>
      <c r="AE88" s="173">
        <v>180</v>
      </c>
      <c r="AF88" s="174">
        <v>46357</v>
      </c>
    </row>
    <row r="89" spans="1:32" ht="20" x14ac:dyDescent="0.35">
      <c r="A89" s="162" t="s">
        <v>841</v>
      </c>
      <c r="B89" s="163" t="s">
        <v>842</v>
      </c>
      <c r="C89" s="154"/>
      <c r="D89" s="162" t="s">
        <v>32</v>
      </c>
      <c r="E89" s="164" t="s">
        <v>32</v>
      </c>
      <c r="F89" s="164" t="s">
        <v>842</v>
      </c>
      <c r="G89" s="164" t="s">
        <v>841</v>
      </c>
      <c r="H89" s="165">
        <v>25429</v>
      </c>
      <c r="I89" s="164" t="s">
        <v>20</v>
      </c>
      <c r="J89" s="164" t="s">
        <v>21</v>
      </c>
      <c r="K89" s="165">
        <v>42135</v>
      </c>
      <c r="L89" s="166" t="s">
        <v>34</v>
      </c>
      <c r="M89" s="154"/>
      <c r="N89" s="154"/>
      <c r="O89" s="164" t="s">
        <v>35</v>
      </c>
      <c r="P89" s="164">
        <v>56</v>
      </c>
      <c r="Q89" s="164">
        <v>11</v>
      </c>
      <c r="R89" s="167" t="s">
        <v>843</v>
      </c>
      <c r="S89" s="167" t="s">
        <v>844</v>
      </c>
      <c r="T89" s="162" t="s">
        <v>800</v>
      </c>
      <c r="U89" s="167" t="s">
        <v>801</v>
      </c>
      <c r="X89" s="169">
        <v>45018</v>
      </c>
      <c r="Y89" s="170">
        <v>26</v>
      </c>
      <c r="Z89" s="170">
        <v>0</v>
      </c>
      <c r="AA89" s="170">
        <v>0</v>
      </c>
      <c r="AB89" s="170">
        <v>0</v>
      </c>
      <c r="AC89" s="171">
        <v>26</v>
      </c>
      <c r="AD89" s="172">
        <v>1873023.6899900001</v>
      </c>
      <c r="AE89" s="173">
        <v>26</v>
      </c>
      <c r="AF89" s="174">
        <v>46357</v>
      </c>
    </row>
    <row r="90" spans="1:32" ht="20" x14ac:dyDescent="0.35">
      <c r="A90" s="162" t="s">
        <v>841</v>
      </c>
      <c r="B90" s="163" t="s">
        <v>842</v>
      </c>
      <c r="C90" s="154"/>
      <c r="D90" s="162" t="s">
        <v>32</v>
      </c>
      <c r="E90" s="164" t="s">
        <v>32</v>
      </c>
      <c r="F90" s="164" t="s">
        <v>842</v>
      </c>
      <c r="G90" s="164" t="s">
        <v>841</v>
      </c>
      <c r="H90" s="165">
        <v>25429</v>
      </c>
      <c r="I90" s="164" t="s">
        <v>20</v>
      </c>
      <c r="J90" s="164" t="s">
        <v>21</v>
      </c>
      <c r="K90" s="165">
        <v>42135</v>
      </c>
      <c r="L90" s="166" t="s">
        <v>34</v>
      </c>
      <c r="M90" s="154"/>
      <c r="N90" s="154"/>
      <c r="O90" s="164" t="s">
        <v>35</v>
      </c>
      <c r="P90" s="164">
        <v>56</v>
      </c>
      <c r="Q90" s="164">
        <v>11</v>
      </c>
      <c r="R90" s="167" t="s">
        <v>843</v>
      </c>
      <c r="S90" s="167" t="s">
        <v>844</v>
      </c>
      <c r="T90" s="162" t="s">
        <v>800</v>
      </c>
      <c r="U90" s="167" t="s">
        <v>802</v>
      </c>
      <c r="X90" s="169">
        <v>45018</v>
      </c>
      <c r="Y90" s="170">
        <v>98</v>
      </c>
      <c r="Z90" s="170">
        <v>0</v>
      </c>
      <c r="AA90" s="170">
        <v>0</v>
      </c>
      <c r="AB90" s="170">
        <v>0</v>
      </c>
      <c r="AC90" s="171">
        <v>98</v>
      </c>
      <c r="AD90" s="172">
        <v>7059858.5238199998</v>
      </c>
      <c r="AE90" s="173">
        <v>98</v>
      </c>
      <c r="AF90" s="174">
        <v>46357</v>
      </c>
    </row>
    <row r="91" spans="1:32" ht="20" x14ac:dyDescent="0.35">
      <c r="A91" s="162" t="s">
        <v>841</v>
      </c>
      <c r="B91" s="163" t="s">
        <v>842</v>
      </c>
      <c r="C91" s="154"/>
      <c r="D91" s="162" t="s">
        <v>32</v>
      </c>
      <c r="E91" s="164" t="s">
        <v>32</v>
      </c>
      <c r="F91" s="164" t="s">
        <v>842</v>
      </c>
      <c r="G91" s="164" t="s">
        <v>841</v>
      </c>
      <c r="H91" s="165">
        <v>25429</v>
      </c>
      <c r="I91" s="164" t="s">
        <v>20</v>
      </c>
      <c r="J91" s="164" t="s">
        <v>21</v>
      </c>
      <c r="K91" s="165">
        <v>42135</v>
      </c>
      <c r="L91" s="166" t="s">
        <v>34</v>
      </c>
      <c r="M91" s="154"/>
      <c r="N91" s="154"/>
      <c r="O91" s="164" t="s">
        <v>35</v>
      </c>
      <c r="P91" s="164">
        <v>56</v>
      </c>
      <c r="Q91" s="164">
        <v>11</v>
      </c>
      <c r="R91" s="167" t="s">
        <v>843</v>
      </c>
      <c r="S91" s="167" t="s">
        <v>844</v>
      </c>
      <c r="T91" s="162" t="s">
        <v>800</v>
      </c>
      <c r="U91" s="167" t="s">
        <v>803</v>
      </c>
      <c r="X91" s="169">
        <v>45018</v>
      </c>
      <c r="Y91" s="170">
        <v>2</v>
      </c>
      <c r="Z91" s="170">
        <v>0</v>
      </c>
      <c r="AA91" s="170">
        <v>0</v>
      </c>
      <c r="AB91" s="170">
        <v>0</v>
      </c>
      <c r="AC91" s="171">
        <v>2</v>
      </c>
      <c r="AD91" s="172">
        <v>144078.74538000001</v>
      </c>
      <c r="AE91" s="173">
        <v>2</v>
      </c>
      <c r="AF91" s="174">
        <v>46357</v>
      </c>
    </row>
    <row r="92" spans="1:32" ht="20" x14ac:dyDescent="0.35">
      <c r="A92" s="162" t="s">
        <v>841</v>
      </c>
      <c r="B92" s="163" t="s">
        <v>842</v>
      </c>
      <c r="C92" s="154"/>
      <c r="D92" s="162" t="s">
        <v>32</v>
      </c>
      <c r="E92" s="164" t="s">
        <v>32</v>
      </c>
      <c r="F92" s="164" t="s">
        <v>842</v>
      </c>
      <c r="G92" s="164" t="s">
        <v>841</v>
      </c>
      <c r="H92" s="165">
        <v>25429</v>
      </c>
      <c r="I92" s="164" t="s">
        <v>20</v>
      </c>
      <c r="J92" s="164" t="s">
        <v>21</v>
      </c>
      <c r="K92" s="165">
        <v>42135</v>
      </c>
      <c r="L92" s="166" t="s">
        <v>34</v>
      </c>
      <c r="M92" s="154"/>
      <c r="N92" s="154"/>
      <c r="O92" s="164" t="s">
        <v>35</v>
      </c>
      <c r="P92" s="164">
        <v>56</v>
      </c>
      <c r="Q92" s="164">
        <v>11</v>
      </c>
      <c r="R92" s="167" t="s">
        <v>843</v>
      </c>
      <c r="S92" s="167" t="s">
        <v>844</v>
      </c>
      <c r="T92" s="162" t="s">
        <v>800</v>
      </c>
      <c r="U92" s="167" t="s">
        <v>804</v>
      </c>
      <c r="X92" s="169">
        <v>45018</v>
      </c>
      <c r="Y92" s="170">
        <v>5</v>
      </c>
      <c r="Z92" s="170">
        <v>0</v>
      </c>
      <c r="AA92" s="170">
        <v>0</v>
      </c>
      <c r="AB92" s="170">
        <v>0</v>
      </c>
      <c r="AC92" s="171">
        <v>5</v>
      </c>
      <c r="AD92" s="172">
        <v>360196.86346000002</v>
      </c>
      <c r="AE92" s="173">
        <v>5</v>
      </c>
      <c r="AF92" s="174">
        <v>46357</v>
      </c>
    </row>
    <row r="93" spans="1:32" ht="20" x14ac:dyDescent="0.35">
      <c r="A93" s="162" t="s">
        <v>841</v>
      </c>
      <c r="B93" s="163" t="s">
        <v>842</v>
      </c>
      <c r="C93" s="154"/>
      <c r="D93" s="162" t="s">
        <v>32</v>
      </c>
      <c r="E93" s="164" t="s">
        <v>32</v>
      </c>
      <c r="F93" s="164" t="s">
        <v>842</v>
      </c>
      <c r="G93" s="164" t="s">
        <v>841</v>
      </c>
      <c r="H93" s="165">
        <v>25429</v>
      </c>
      <c r="I93" s="164" t="s">
        <v>20</v>
      </c>
      <c r="J93" s="164" t="s">
        <v>21</v>
      </c>
      <c r="K93" s="165">
        <v>42135</v>
      </c>
      <c r="L93" s="166" t="s">
        <v>34</v>
      </c>
      <c r="M93" s="154"/>
      <c r="N93" s="154"/>
      <c r="O93" s="164" t="s">
        <v>35</v>
      </c>
      <c r="P93" s="164">
        <v>56</v>
      </c>
      <c r="Q93" s="164">
        <v>11</v>
      </c>
      <c r="R93" s="167" t="s">
        <v>843</v>
      </c>
      <c r="S93" s="167" t="s">
        <v>844</v>
      </c>
      <c r="T93" s="162" t="s">
        <v>800</v>
      </c>
      <c r="U93" s="167" t="s">
        <v>805</v>
      </c>
      <c r="X93" s="169">
        <v>45018</v>
      </c>
      <c r="Y93" s="170">
        <v>2.4999999966690001</v>
      </c>
      <c r="Z93" s="170">
        <v>0.41666667000000002</v>
      </c>
      <c r="AA93" s="170">
        <v>0</v>
      </c>
      <c r="AB93" s="170">
        <v>0</v>
      </c>
      <c r="AC93" s="171">
        <v>2.9166666666690002</v>
      </c>
      <c r="AD93" s="172">
        <v>210114.83702000001</v>
      </c>
      <c r="AE93" s="173">
        <v>2.92</v>
      </c>
      <c r="AF93" s="174">
        <v>46357</v>
      </c>
    </row>
    <row r="94" spans="1:32" ht="20" x14ac:dyDescent="0.35">
      <c r="A94" s="162" t="s">
        <v>845</v>
      </c>
      <c r="B94" s="163" t="s">
        <v>846</v>
      </c>
      <c r="C94" s="154"/>
      <c r="D94" s="162" t="s">
        <v>37</v>
      </c>
      <c r="E94" s="164" t="s">
        <v>37</v>
      </c>
      <c r="F94" s="164" t="s">
        <v>846</v>
      </c>
      <c r="G94" s="164" t="s">
        <v>845</v>
      </c>
      <c r="H94" s="165">
        <v>25330</v>
      </c>
      <c r="I94" s="164" t="s">
        <v>20</v>
      </c>
      <c r="J94" s="164" t="s">
        <v>21</v>
      </c>
      <c r="K94" s="165">
        <v>42240</v>
      </c>
      <c r="L94" s="166" t="s">
        <v>39</v>
      </c>
      <c r="M94" s="154"/>
      <c r="N94" s="154"/>
      <c r="O94" s="164" t="s">
        <v>29</v>
      </c>
      <c r="P94" s="164">
        <v>57</v>
      </c>
      <c r="Q94" s="164">
        <v>10</v>
      </c>
      <c r="R94" s="167" t="s">
        <v>847</v>
      </c>
      <c r="S94" s="167" t="s">
        <v>848</v>
      </c>
      <c r="T94" s="162" t="s">
        <v>794</v>
      </c>
      <c r="U94" s="167" t="s">
        <v>795</v>
      </c>
      <c r="V94" s="162" t="s">
        <v>838</v>
      </c>
      <c r="W94" s="168">
        <v>10</v>
      </c>
      <c r="X94" s="169">
        <v>45018</v>
      </c>
      <c r="Y94" s="170">
        <v>27.333333336665</v>
      </c>
      <c r="Z94" s="170">
        <v>2.0833333299999999</v>
      </c>
      <c r="AA94" s="170">
        <v>0</v>
      </c>
      <c r="AB94" s="170">
        <v>0</v>
      </c>
      <c r="AC94" s="171">
        <v>29.416666666665002</v>
      </c>
      <c r="AD94" s="172">
        <v>6785219.6633799998</v>
      </c>
      <c r="AE94" s="173" t="s">
        <v>797</v>
      </c>
      <c r="AF94" s="173"/>
    </row>
    <row r="95" spans="1:32" x14ac:dyDescent="0.35">
      <c r="A95" s="162" t="s">
        <v>845</v>
      </c>
      <c r="B95" s="163" t="s">
        <v>846</v>
      </c>
      <c r="C95" s="154"/>
      <c r="D95" s="162" t="s">
        <v>37</v>
      </c>
      <c r="E95" s="164" t="s">
        <v>37</v>
      </c>
      <c r="F95" s="164" t="s">
        <v>846</v>
      </c>
      <c r="G95" s="164" t="s">
        <v>845</v>
      </c>
      <c r="H95" s="165">
        <v>25330</v>
      </c>
      <c r="I95" s="164" t="s">
        <v>20</v>
      </c>
      <c r="J95" s="164" t="s">
        <v>21</v>
      </c>
      <c r="K95" s="165">
        <v>42240</v>
      </c>
      <c r="L95" s="166" t="s">
        <v>39</v>
      </c>
      <c r="M95" s="154"/>
      <c r="N95" s="154"/>
      <c r="O95" s="164" t="s">
        <v>29</v>
      </c>
      <c r="P95" s="164">
        <v>57</v>
      </c>
      <c r="Q95" s="164">
        <v>10</v>
      </c>
      <c r="R95" s="167" t="s">
        <v>847</v>
      </c>
      <c r="S95" s="167" t="s">
        <v>848</v>
      </c>
      <c r="T95" s="162" t="s">
        <v>798</v>
      </c>
      <c r="U95" s="167" t="s">
        <v>839</v>
      </c>
      <c r="X95" s="169">
        <v>45018</v>
      </c>
      <c r="Y95" s="170">
        <v>180</v>
      </c>
      <c r="Z95" s="170">
        <v>0</v>
      </c>
      <c r="AA95" s="170">
        <v>0</v>
      </c>
      <c r="AB95" s="170">
        <v>0</v>
      </c>
      <c r="AC95" s="171">
        <v>180</v>
      </c>
      <c r="AD95" s="172">
        <v>41518624.569119997</v>
      </c>
      <c r="AE95" s="173">
        <v>180</v>
      </c>
      <c r="AF95" s="174">
        <v>46357</v>
      </c>
    </row>
    <row r="96" spans="1:32" x14ac:dyDescent="0.35">
      <c r="A96" s="162" t="s">
        <v>845</v>
      </c>
      <c r="B96" s="163" t="s">
        <v>846</v>
      </c>
      <c r="C96" s="154"/>
      <c r="D96" s="162" t="s">
        <v>37</v>
      </c>
      <c r="E96" s="164" t="s">
        <v>37</v>
      </c>
      <c r="F96" s="164" t="s">
        <v>846</v>
      </c>
      <c r="G96" s="164" t="s">
        <v>845</v>
      </c>
      <c r="H96" s="165">
        <v>25330</v>
      </c>
      <c r="I96" s="164" t="s">
        <v>20</v>
      </c>
      <c r="J96" s="164" t="s">
        <v>21</v>
      </c>
      <c r="K96" s="165">
        <v>42240</v>
      </c>
      <c r="L96" s="166" t="s">
        <v>39</v>
      </c>
      <c r="M96" s="154"/>
      <c r="N96" s="154"/>
      <c r="O96" s="164" t="s">
        <v>29</v>
      </c>
      <c r="P96" s="164">
        <v>57</v>
      </c>
      <c r="Q96" s="164">
        <v>10</v>
      </c>
      <c r="R96" s="167" t="s">
        <v>847</v>
      </c>
      <c r="S96" s="167" t="s">
        <v>848</v>
      </c>
      <c r="T96" s="162" t="s">
        <v>800</v>
      </c>
      <c r="U96" s="167" t="s">
        <v>801</v>
      </c>
      <c r="X96" s="169">
        <v>45018</v>
      </c>
      <c r="Y96" s="170">
        <v>26</v>
      </c>
      <c r="Z96" s="170">
        <v>0</v>
      </c>
      <c r="AA96" s="170">
        <v>0</v>
      </c>
      <c r="AB96" s="170">
        <v>0</v>
      </c>
      <c r="AC96" s="171">
        <v>26</v>
      </c>
      <c r="AD96" s="172">
        <v>5997134.65998</v>
      </c>
      <c r="AE96" s="173">
        <v>26</v>
      </c>
      <c r="AF96" s="174">
        <v>46357</v>
      </c>
    </row>
    <row r="97" spans="1:32" x14ac:dyDescent="0.35">
      <c r="A97" s="162" t="s">
        <v>845</v>
      </c>
      <c r="B97" s="163" t="s">
        <v>846</v>
      </c>
      <c r="C97" s="154"/>
      <c r="D97" s="162" t="s">
        <v>37</v>
      </c>
      <c r="E97" s="164" t="s">
        <v>37</v>
      </c>
      <c r="F97" s="164" t="s">
        <v>846</v>
      </c>
      <c r="G97" s="164" t="s">
        <v>845</v>
      </c>
      <c r="H97" s="165">
        <v>25330</v>
      </c>
      <c r="I97" s="164" t="s">
        <v>20</v>
      </c>
      <c r="J97" s="164" t="s">
        <v>21</v>
      </c>
      <c r="K97" s="165">
        <v>42240</v>
      </c>
      <c r="L97" s="166" t="s">
        <v>39</v>
      </c>
      <c r="M97" s="154"/>
      <c r="N97" s="154"/>
      <c r="O97" s="164" t="s">
        <v>29</v>
      </c>
      <c r="P97" s="164">
        <v>57</v>
      </c>
      <c r="Q97" s="164">
        <v>10</v>
      </c>
      <c r="R97" s="167" t="s">
        <v>847</v>
      </c>
      <c r="S97" s="167" t="s">
        <v>848</v>
      </c>
      <c r="T97" s="162" t="s">
        <v>800</v>
      </c>
      <c r="U97" s="167" t="s">
        <v>802</v>
      </c>
      <c r="X97" s="169">
        <v>45018</v>
      </c>
      <c r="Y97" s="170">
        <v>98</v>
      </c>
      <c r="Z97" s="170">
        <v>0</v>
      </c>
      <c r="AA97" s="170">
        <v>0</v>
      </c>
      <c r="AB97" s="170">
        <v>0</v>
      </c>
      <c r="AC97" s="171">
        <v>98</v>
      </c>
      <c r="AD97" s="172">
        <v>22604584.487629998</v>
      </c>
      <c r="AE97" s="173">
        <v>98</v>
      </c>
      <c r="AF97" s="174">
        <v>46357</v>
      </c>
    </row>
    <row r="98" spans="1:32" x14ac:dyDescent="0.35">
      <c r="A98" s="162" t="s">
        <v>845</v>
      </c>
      <c r="B98" s="163" t="s">
        <v>846</v>
      </c>
      <c r="C98" s="154"/>
      <c r="D98" s="162" t="s">
        <v>37</v>
      </c>
      <c r="E98" s="164" t="s">
        <v>37</v>
      </c>
      <c r="F98" s="164" t="s">
        <v>846</v>
      </c>
      <c r="G98" s="164" t="s">
        <v>845</v>
      </c>
      <c r="H98" s="165">
        <v>25330</v>
      </c>
      <c r="I98" s="164" t="s">
        <v>20</v>
      </c>
      <c r="J98" s="164" t="s">
        <v>21</v>
      </c>
      <c r="K98" s="165">
        <v>42240</v>
      </c>
      <c r="L98" s="166" t="s">
        <v>39</v>
      </c>
      <c r="M98" s="154"/>
      <c r="N98" s="154"/>
      <c r="O98" s="164" t="s">
        <v>29</v>
      </c>
      <c r="P98" s="164">
        <v>57</v>
      </c>
      <c r="Q98" s="164">
        <v>10</v>
      </c>
      <c r="R98" s="167" t="s">
        <v>847</v>
      </c>
      <c r="S98" s="167" t="s">
        <v>848</v>
      </c>
      <c r="T98" s="162" t="s">
        <v>800</v>
      </c>
      <c r="U98" s="167" t="s">
        <v>803</v>
      </c>
      <c r="X98" s="169">
        <v>45018</v>
      </c>
      <c r="Y98" s="170">
        <v>2</v>
      </c>
      <c r="Z98" s="170">
        <v>0</v>
      </c>
      <c r="AA98" s="170">
        <v>0</v>
      </c>
      <c r="AB98" s="170">
        <v>0</v>
      </c>
      <c r="AC98" s="171">
        <v>2</v>
      </c>
      <c r="AD98" s="172">
        <v>461318.05076999997</v>
      </c>
      <c r="AE98" s="173">
        <v>2</v>
      </c>
      <c r="AF98" s="174">
        <v>46357</v>
      </c>
    </row>
    <row r="99" spans="1:32" x14ac:dyDescent="0.35">
      <c r="A99" s="162" t="s">
        <v>845</v>
      </c>
      <c r="B99" s="163" t="s">
        <v>846</v>
      </c>
      <c r="C99" s="154"/>
      <c r="D99" s="162" t="s">
        <v>37</v>
      </c>
      <c r="E99" s="164" t="s">
        <v>37</v>
      </c>
      <c r="F99" s="164" t="s">
        <v>846</v>
      </c>
      <c r="G99" s="164" t="s">
        <v>845</v>
      </c>
      <c r="H99" s="165">
        <v>25330</v>
      </c>
      <c r="I99" s="164" t="s">
        <v>20</v>
      </c>
      <c r="J99" s="164" t="s">
        <v>21</v>
      </c>
      <c r="K99" s="165">
        <v>42240</v>
      </c>
      <c r="L99" s="166" t="s">
        <v>39</v>
      </c>
      <c r="M99" s="154"/>
      <c r="N99" s="154"/>
      <c r="O99" s="164" t="s">
        <v>29</v>
      </c>
      <c r="P99" s="164">
        <v>57</v>
      </c>
      <c r="Q99" s="164">
        <v>10</v>
      </c>
      <c r="R99" s="167" t="s">
        <v>847</v>
      </c>
      <c r="S99" s="167" t="s">
        <v>848</v>
      </c>
      <c r="T99" s="162" t="s">
        <v>800</v>
      </c>
      <c r="U99" s="167" t="s">
        <v>804</v>
      </c>
      <c r="X99" s="169">
        <v>45018</v>
      </c>
      <c r="Y99" s="170">
        <v>5</v>
      </c>
      <c r="Z99" s="170">
        <v>0</v>
      </c>
      <c r="AA99" s="170">
        <v>0</v>
      </c>
      <c r="AB99" s="170">
        <v>0</v>
      </c>
      <c r="AC99" s="171">
        <v>5</v>
      </c>
      <c r="AD99" s="172">
        <v>1153295.12692</v>
      </c>
      <c r="AE99" s="173">
        <v>5</v>
      </c>
      <c r="AF99" s="174">
        <v>46357</v>
      </c>
    </row>
    <row r="100" spans="1:32" x14ac:dyDescent="0.35">
      <c r="A100" s="162" t="s">
        <v>845</v>
      </c>
      <c r="B100" s="163" t="s">
        <v>846</v>
      </c>
      <c r="C100" s="154"/>
      <c r="D100" s="162" t="s">
        <v>37</v>
      </c>
      <c r="E100" s="164" t="s">
        <v>37</v>
      </c>
      <c r="F100" s="164" t="s">
        <v>846</v>
      </c>
      <c r="G100" s="164" t="s">
        <v>845</v>
      </c>
      <c r="H100" s="165">
        <v>25330</v>
      </c>
      <c r="I100" s="164" t="s">
        <v>20</v>
      </c>
      <c r="J100" s="164" t="s">
        <v>21</v>
      </c>
      <c r="K100" s="165">
        <v>42240</v>
      </c>
      <c r="L100" s="166" t="s">
        <v>39</v>
      </c>
      <c r="M100" s="154"/>
      <c r="N100" s="154"/>
      <c r="O100" s="164" t="s">
        <v>29</v>
      </c>
      <c r="P100" s="164">
        <v>57</v>
      </c>
      <c r="Q100" s="164">
        <v>10</v>
      </c>
      <c r="R100" s="167" t="s">
        <v>847</v>
      </c>
      <c r="S100" s="167" t="s">
        <v>848</v>
      </c>
      <c r="T100" s="162" t="s">
        <v>800</v>
      </c>
      <c r="U100" s="167" t="s">
        <v>840</v>
      </c>
      <c r="X100" s="169">
        <v>45018</v>
      </c>
      <c r="Y100" s="170">
        <v>2.4999999966690001</v>
      </c>
      <c r="Z100" s="170">
        <v>0.41666667000000002</v>
      </c>
      <c r="AA100" s="170">
        <v>0</v>
      </c>
      <c r="AB100" s="170">
        <v>0</v>
      </c>
      <c r="AC100" s="171">
        <v>2.9166666666690002</v>
      </c>
      <c r="AD100" s="172">
        <v>672755.49069999997</v>
      </c>
      <c r="AE100" s="173">
        <v>2.92</v>
      </c>
      <c r="AF100" s="174">
        <v>46357</v>
      </c>
    </row>
    <row r="101" spans="1:32" ht="20" x14ac:dyDescent="0.35">
      <c r="A101" s="162" t="s">
        <v>675</v>
      </c>
      <c r="B101" s="163" t="s">
        <v>849</v>
      </c>
      <c r="C101" s="154"/>
      <c r="D101" s="162" t="s">
        <v>41</v>
      </c>
      <c r="E101" s="164" t="s">
        <v>41</v>
      </c>
      <c r="F101" s="164" t="s">
        <v>849</v>
      </c>
      <c r="G101" s="164" t="s">
        <v>675</v>
      </c>
      <c r="H101" s="165">
        <v>32509</v>
      </c>
      <c r="I101" s="164" t="s">
        <v>20</v>
      </c>
      <c r="J101" s="164" t="s">
        <v>21</v>
      </c>
      <c r="K101" s="165">
        <v>44866</v>
      </c>
      <c r="L101" s="166" t="s">
        <v>43</v>
      </c>
      <c r="M101" s="154"/>
      <c r="N101" s="154"/>
      <c r="O101" s="164" t="s">
        <v>44</v>
      </c>
      <c r="P101" s="164">
        <v>37</v>
      </c>
      <c r="Q101" s="164">
        <v>10</v>
      </c>
      <c r="R101" s="167" t="s">
        <v>850</v>
      </c>
      <c r="S101" s="167" t="s">
        <v>45</v>
      </c>
      <c r="T101" s="162" t="s">
        <v>794</v>
      </c>
      <c r="U101" s="167" t="s">
        <v>795</v>
      </c>
      <c r="V101" s="162" t="s">
        <v>838</v>
      </c>
      <c r="W101" s="168">
        <v>10</v>
      </c>
      <c r="X101" s="169">
        <v>45018</v>
      </c>
      <c r="Y101" s="170">
        <v>18.760000003325999</v>
      </c>
      <c r="Z101" s="170">
        <v>2.0833333299999999</v>
      </c>
      <c r="AA101" s="170">
        <v>0</v>
      </c>
      <c r="AB101" s="170">
        <v>0</v>
      </c>
      <c r="AC101" s="171">
        <v>20.843333333326001</v>
      </c>
      <c r="AD101" s="172">
        <v>3286173.2490099999</v>
      </c>
      <c r="AE101" s="173" t="s">
        <v>797</v>
      </c>
      <c r="AF101" s="173"/>
    </row>
    <row r="102" spans="1:32" x14ac:dyDescent="0.35">
      <c r="A102" s="162" t="s">
        <v>675</v>
      </c>
      <c r="B102" s="163" t="s">
        <v>849</v>
      </c>
      <c r="C102" s="154"/>
      <c r="D102" s="162" t="s">
        <v>41</v>
      </c>
      <c r="E102" s="164" t="s">
        <v>41</v>
      </c>
      <c r="F102" s="164" t="s">
        <v>849</v>
      </c>
      <c r="G102" s="164" t="s">
        <v>675</v>
      </c>
      <c r="H102" s="165">
        <v>32509</v>
      </c>
      <c r="I102" s="164" t="s">
        <v>20</v>
      </c>
      <c r="J102" s="164" t="s">
        <v>21</v>
      </c>
      <c r="K102" s="165">
        <v>44866</v>
      </c>
      <c r="L102" s="166" t="s">
        <v>43</v>
      </c>
      <c r="M102" s="154"/>
      <c r="N102" s="154"/>
      <c r="O102" s="164" t="s">
        <v>44</v>
      </c>
      <c r="P102" s="164">
        <v>37</v>
      </c>
      <c r="Q102" s="164">
        <v>10</v>
      </c>
      <c r="R102" s="167" t="s">
        <v>850</v>
      </c>
      <c r="S102" s="167" t="s">
        <v>45</v>
      </c>
      <c r="T102" s="162" t="s">
        <v>798</v>
      </c>
      <c r="U102" s="167" t="s">
        <v>839</v>
      </c>
      <c r="X102" s="169">
        <v>45018</v>
      </c>
      <c r="Y102" s="170">
        <v>180</v>
      </c>
      <c r="Z102" s="170">
        <v>0</v>
      </c>
      <c r="AA102" s="170">
        <v>0</v>
      </c>
      <c r="AB102" s="170">
        <v>0</v>
      </c>
      <c r="AC102" s="171">
        <v>180</v>
      </c>
      <c r="AD102" s="172">
        <v>28378914.992279999</v>
      </c>
      <c r="AE102" s="173">
        <v>180</v>
      </c>
      <c r="AF102" s="174">
        <v>46357</v>
      </c>
    </row>
    <row r="103" spans="1:32" x14ac:dyDescent="0.35">
      <c r="A103" s="162" t="s">
        <v>675</v>
      </c>
      <c r="B103" s="163" t="s">
        <v>849</v>
      </c>
      <c r="C103" s="154"/>
      <c r="D103" s="162" t="s">
        <v>41</v>
      </c>
      <c r="E103" s="164" t="s">
        <v>41</v>
      </c>
      <c r="F103" s="164" t="s">
        <v>849</v>
      </c>
      <c r="G103" s="164" t="s">
        <v>675</v>
      </c>
      <c r="H103" s="165">
        <v>32509</v>
      </c>
      <c r="I103" s="164" t="s">
        <v>20</v>
      </c>
      <c r="J103" s="164" t="s">
        <v>21</v>
      </c>
      <c r="K103" s="165">
        <v>44866</v>
      </c>
      <c r="L103" s="166" t="s">
        <v>43</v>
      </c>
      <c r="M103" s="154"/>
      <c r="N103" s="154"/>
      <c r="O103" s="164" t="s">
        <v>44</v>
      </c>
      <c r="P103" s="164">
        <v>37</v>
      </c>
      <c r="Q103" s="164">
        <v>10</v>
      </c>
      <c r="R103" s="167" t="s">
        <v>850</v>
      </c>
      <c r="S103" s="167" t="s">
        <v>45</v>
      </c>
      <c r="T103" s="162" t="s">
        <v>800</v>
      </c>
      <c r="U103" s="167" t="s">
        <v>801</v>
      </c>
      <c r="X103" s="169">
        <v>45018</v>
      </c>
      <c r="Y103" s="170">
        <v>26</v>
      </c>
      <c r="Z103" s="170">
        <v>0</v>
      </c>
      <c r="AA103" s="170">
        <v>0</v>
      </c>
      <c r="AB103" s="170">
        <v>0</v>
      </c>
      <c r="AC103" s="171">
        <v>26</v>
      </c>
      <c r="AD103" s="172">
        <v>4099176.61</v>
      </c>
      <c r="AE103" s="173">
        <v>26</v>
      </c>
      <c r="AF103" s="174">
        <v>46357</v>
      </c>
    </row>
    <row r="104" spans="1:32" x14ac:dyDescent="0.35">
      <c r="A104" s="162" t="s">
        <v>675</v>
      </c>
      <c r="B104" s="163" t="s">
        <v>849</v>
      </c>
      <c r="C104" s="154"/>
      <c r="D104" s="162" t="s">
        <v>41</v>
      </c>
      <c r="E104" s="164" t="s">
        <v>41</v>
      </c>
      <c r="F104" s="164" t="s">
        <v>849</v>
      </c>
      <c r="G104" s="164" t="s">
        <v>675</v>
      </c>
      <c r="H104" s="165">
        <v>32509</v>
      </c>
      <c r="I104" s="164" t="s">
        <v>20</v>
      </c>
      <c r="J104" s="164" t="s">
        <v>21</v>
      </c>
      <c r="K104" s="165">
        <v>44866</v>
      </c>
      <c r="L104" s="166" t="s">
        <v>43</v>
      </c>
      <c r="M104" s="154"/>
      <c r="N104" s="154"/>
      <c r="O104" s="164" t="s">
        <v>44</v>
      </c>
      <c r="P104" s="164">
        <v>37</v>
      </c>
      <c r="Q104" s="164">
        <v>10</v>
      </c>
      <c r="R104" s="167" t="s">
        <v>850</v>
      </c>
      <c r="S104" s="167" t="s">
        <v>45</v>
      </c>
      <c r="T104" s="162" t="s">
        <v>800</v>
      </c>
      <c r="U104" s="167" t="s">
        <v>802</v>
      </c>
      <c r="X104" s="169">
        <v>45018</v>
      </c>
      <c r="Y104" s="170">
        <v>98</v>
      </c>
      <c r="Z104" s="170">
        <v>0</v>
      </c>
      <c r="AA104" s="170">
        <v>0</v>
      </c>
      <c r="AB104" s="170">
        <v>0</v>
      </c>
      <c r="AC104" s="171">
        <v>98</v>
      </c>
      <c r="AD104" s="172">
        <v>15450742.60691</v>
      </c>
      <c r="AE104" s="173">
        <v>98</v>
      </c>
      <c r="AF104" s="174">
        <v>46357</v>
      </c>
    </row>
    <row r="105" spans="1:32" x14ac:dyDescent="0.35">
      <c r="A105" s="162" t="s">
        <v>675</v>
      </c>
      <c r="B105" s="163" t="s">
        <v>849</v>
      </c>
      <c r="C105" s="154"/>
      <c r="D105" s="162" t="s">
        <v>41</v>
      </c>
      <c r="E105" s="164" t="s">
        <v>41</v>
      </c>
      <c r="F105" s="164" t="s">
        <v>849</v>
      </c>
      <c r="G105" s="164" t="s">
        <v>675</v>
      </c>
      <c r="H105" s="165">
        <v>32509</v>
      </c>
      <c r="I105" s="164" t="s">
        <v>20</v>
      </c>
      <c r="J105" s="164" t="s">
        <v>21</v>
      </c>
      <c r="K105" s="165">
        <v>44866</v>
      </c>
      <c r="L105" s="166" t="s">
        <v>43</v>
      </c>
      <c r="M105" s="154"/>
      <c r="N105" s="154"/>
      <c r="O105" s="164" t="s">
        <v>44</v>
      </c>
      <c r="P105" s="164">
        <v>37</v>
      </c>
      <c r="Q105" s="164">
        <v>10</v>
      </c>
      <c r="R105" s="167" t="s">
        <v>850</v>
      </c>
      <c r="S105" s="167" t="s">
        <v>45</v>
      </c>
      <c r="T105" s="162" t="s">
        <v>800</v>
      </c>
      <c r="U105" s="167" t="s">
        <v>803</v>
      </c>
      <c r="X105" s="169">
        <v>45018</v>
      </c>
      <c r="Y105" s="170">
        <v>2</v>
      </c>
      <c r="Z105" s="170">
        <v>0</v>
      </c>
      <c r="AA105" s="170">
        <v>0</v>
      </c>
      <c r="AB105" s="170">
        <v>0</v>
      </c>
      <c r="AC105" s="171">
        <v>2</v>
      </c>
      <c r="AD105" s="172">
        <v>315321.27769000002</v>
      </c>
      <c r="AE105" s="173">
        <v>2</v>
      </c>
      <c r="AF105" s="174">
        <v>46357</v>
      </c>
    </row>
    <row r="106" spans="1:32" x14ac:dyDescent="0.35">
      <c r="A106" s="162" t="s">
        <v>675</v>
      </c>
      <c r="B106" s="163" t="s">
        <v>849</v>
      </c>
      <c r="C106" s="154"/>
      <c r="D106" s="162" t="s">
        <v>41</v>
      </c>
      <c r="E106" s="164" t="s">
        <v>41</v>
      </c>
      <c r="F106" s="164" t="s">
        <v>849</v>
      </c>
      <c r="G106" s="164" t="s">
        <v>675</v>
      </c>
      <c r="H106" s="165">
        <v>32509</v>
      </c>
      <c r="I106" s="164" t="s">
        <v>20</v>
      </c>
      <c r="J106" s="164" t="s">
        <v>21</v>
      </c>
      <c r="K106" s="165">
        <v>44866</v>
      </c>
      <c r="L106" s="166" t="s">
        <v>43</v>
      </c>
      <c r="M106" s="154"/>
      <c r="N106" s="154"/>
      <c r="O106" s="164" t="s">
        <v>44</v>
      </c>
      <c r="P106" s="164">
        <v>37</v>
      </c>
      <c r="Q106" s="164">
        <v>10</v>
      </c>
      <c r="R106" s="167" t="s">
        <v>850</v>
      </c>
      <c r="S106" s="167" t="s">
        <v>45</v>
      </c>
      <c r="T106" s="162" t="s">
        <v>800</v>
      </c>
      <c r="U106" s="167" t="s">
        <v>804</v>
      </c>
      <c r="X106" s="169">
        <v>45018</v>
      </c>
      <c r="Y106" s="170">
        <v>5</v>
      </c>
      <c r="Z106" s="170">
        <v>0</v>
      </c>
      <c r="AA106" s="170">
        <v>0</v>
      </c>
      <c r="AB106" s="170">
        <v>0</v>
      </c>
      <c r="AC106" s="171">
        <v>5</v>
      </c>
      <c r="AD106" s="172">
        <v>788303.19423000002</v>
      </c>
      <c r="AE106" s="173">
        <v>5</v>
      </c>
      <c r="AF106" s="174">
        <v>46357</v>
      </c>
    </row>
    <row r="107" spans="1:32" x14ac:dyDescent="0.35">
      <c r="A107" s="162" t="s">
        <v>675</v>
      </c>
      <c r="B107" s="163" t="s">
        <v>849</v>
      </c>
      <c r="C107" s="154"/>
      <c r="D107" s="162" t="s">
        <v>41</v>
      </c>
      <c r="E107" s="164" t="s">
        <v>41</v>
      </c>
      <c r="F107" s="164" t="s">
        <v>849</v>
      </c>
      <c r="G107" s="164" t="s">
        <v>675</v>
      </c>
      <c r="H107" s="165">
        <v>32509</v>
      </c>
      <c r="I107" s="164" t="s">
        <v>20</v>
      </c>
      <c r="J107" s="164" t="s">
        <v>21</v>
      </c>
      <c r="K107" s="165">
        <v>44866</v>
      </c>
      <c r="L107" s="166" t="s">
        <v>43</v>
      </c>
      <c r="M107" s="154"/>
      <c r="N107" s="154"/>
      <c r="O107" s="164" t="s">
        <v>44</v>
      </c>
      <c r="P107" s="164">
        <v>37</v>
      </c>
      <c r="Q107" s="164">
        <v>10</v>
      </c>
      <c r="R107" s="167" t="s">
        <v>850</v>
      </c>
      <c r="S107" s="167" t="s">
        <v>45</v>
      </c>
      <c r="T107" s="162" t="s">
        <v>800</v>
      </c>
      <c r="U107" s="167" t="s">
        <v>840</v>
      </c>
      <c r="X107" s="169">
        <v>45018</v>
      </c>
      <c r="Y107" s="170">
        <v>2.4999999966690001</v>
      </c>
      <c r="Z107" s="170">
        <v>0.41666667000000002</v>
      </c>
      <c r="AA107" s="170">
        <v>0</v>
      </c>
      <c r="AB107" s="170">
        <v>0</v>
      </c>
      <c r="AC107" s="171">
        <v>2.9166666666690002</v>
      </c>
      <c r="AD107" s="172">
        <v>459843.52996999997</v>
      </c>
      <c r="AE107" s="173">
        <v>2.92</v>
      </c>
      <c r="AF107" s="174">
        <v>46357</v>
      </c>
    </row>
    <row r="108" spans="1:32" ht="20" x14ac:dyDescent="0.35">
      <c r="A108" s="162" t="s">
        <v>851</v>
      </c>
      <c r="B108" s="163" t="s">
        <v>852</v>
      </c>
      <c r="C108" s="154"/>
      <c r="D108" s="162" t="s">
        <v>46</v>
      </c>
      <c r="E108" s="164" t="s">
        <v>46</v>
      </c>
      <c r="F108" s="164" t="s">
        <v>852</v>
      </c>
      <c r="G108" s="164" t="s">
        <v>851</v>
      </c>
      <c r="H108" s="165">
        <v>28799</v>
      </c>
      <c r="I108" s="164" t="s">
        <v>48</v>
      </c>
      <c r="J108" s="164" t="s">
        <v>21</v>
      </c>
      <c r="K108" s="165">
        <v>41768</v>
      </c>
      <c r="L108" s="166" t="s">
        <v>49</v>
      </c>
      <c r="M108" s="154"/>
      <c r="N108" s="154"/>
      <c r="O108" s="164" t="s">
        <v>50</v>
      </c>
      <c r="P108" s="164">
        <v>47</v>
      </c>
      <c r="Q108" s="164">
        <v>12</v>
      </c>
      <c r="R108" s="167" t="s">
        <v>843</v>
      </c>
      <c r="S108" s="167" t="s">
        <v>844</v>
      </c>
      <c r="T108" s="162" t="s">
        <v>794</v>
      </c>
      <c r="U108" s="167" t="s">
        <v>833</v>
      </c>
      <c r="V108" s="162" t="s">
        <v>853</v>
      </c>
      <c r="W108" s="168">
        <v>12</v>
      </c>
      <c r="X108" s="169">
        <v>45018</v>
      </c>
      <c r="Y108" s="170">
        <v>36.000000003333</v>
      </c>
      <c r="Z108" s="170">
        <v>2.3333333299999999</v>
      </c>
      <c r="AA108" s="170">
        <v>0</v>
      </c>
      <c r="AB108" s="170">
        <v>2.333333333333</v>
      </c>
      <c r="AC108" s="171">
        <v>36</v>
      </c>
      <c r="AD108" s="172">
        <v>16563849.203050001</v>
      </c>
      <c r="AE108" s="173" t="s">
        <v>797</v>
      </c>
      <c r="AF108" s="173"/>
    </row>
    <row r="109" spans="1:32" ht="20" x14ac:dyDescent="0.35">
      <c r="A109" s="162" t="s">
        <v>851</v>
      </c>
      <c r="B109" s="163" t="s">
        <v>852</v>
      </c>
      <c r="C109" s="154"/>
      <c r="D109" s="162" t="s">
        <v>46</v>
      </c>
      <c r="E109" s="164" t="s">
        <v>46</v>
      </c>
      <c r="F109" s="164" t="s">
        <v>852</v>
      </c>
      <c r="G109" s="164" t="s">
        <v>851</v>
      </c>
      <c r="H109" s="165">
        <v>28799</v>
      </c>
      <c r="I109" s="164" t="s">
        <v>48</v>
      </c>
      <c r="J109" s="164" t="s">
        <v>21</v>
      </c>
      <c r="K109" s="165">
        <v>41768</v>
      </c>
      <c r="L109" s="166" t="s">
        <v>49</v>
      </c>
      <c r="M109" s="154"/>
      <c r="N109" s="154"/>
      <c r="O109" s="164" t="s">
        <v>50</v>
      </c>
      <c r="P109" s="164">
        <v>47</v>
      </c>
      <c r="Q109" s="164">
        <v>12</v>
      </c>
      <c r="R109" s="167" t="s">
        <v>843</v>
      </c>
      <c r="S109" s="167" t="s">
        <v>844</v>
      </c>
      <c r="T109" s="162" t="s">
        <v>798</v>
      </c>
      <c r="U109" s="167" t="s">
        <v>799</v>
      </c>
      <c r="X109" s="169">
        <v>45018</v>
      </c>
      <c r="Y109" s="170">
        <v>180</v>
      </c>
      <c r="Z109" s="170">
        <v>0</v>
      </c>
      <c r="AA109" s="170">
        <v>-4</v>
      </c>
      <c r="AB109" s="170">
        <v>0</v>
      </c>
      <c r="AC109" s="171">
        <v>176</v>
      </c>
      <c r="AD109" s="172">
        <v>80978818.326030001</v>
      </c>
      <c r="AE109" s="173">
        <v>176</v>
      </c>
      <c r="AF109" s="174">
        <v>46357</v>
      </c>
    </row>
    <row r="110" spans="1:32" ht="20" x14ac:dyDescent="0.35">
      <c r="A110" s="162" t="s">
        <v>851</v>
      </c>
      <c r="B110" s="163" t="s">
        <v>852</v>
      </c>
      <c r="C110" s="154"/>
      <c r="D110" s="162" t="s">
        <v>46</v>
      </c>
      <c r="E110" s="164" t="s">
        <v>46</v>
      </c>
      <c r="F110" s="164" t="s">
        <v>852</v>
      </c>
      <c r="G110" s="164" t="s">
        <v>851</v>
      </c>
      <c r="H110" s="165">
        <v>28799</v>
      </c>
      <c r="I110" s="164" t="s">
        <v>48</v>
      </c>
      <c r="J110" s="164" t="s">
        <v>21</v>
      </c>
      <c r="K110" s="165">
        <v>41768</v>
      </c>
      <c r="L110" s="166" t="s">
        <v>49</v>
      </c>
      <c r="M110" s="154"/>
      <c r="N110" s="154"/>
      <c r="O110" s="164" t="s">
        <v>50</v>
      </c>
      <c r="P110" s="164">
        <v>47</v>
      </c>
      <c r="Q110" s="164">
        <v>12</v>
      </c>
      <c r="R110" s="167" t="s">
        <v>843</v>
      </c>
      <c r="S110" s="167" t="s">
        <v>844</v>
      </c>
      <c r="T110" s="162" t="s">
        <v>800</v>
      </c>
      <c r="U110" s="167" t="s">
        <v>801</v>
      </c>
      <c r="X110" s="169">
        <v>45018</v>
      </c>
      <c r="Y110" s="170">
        <v>26</v>
      </c>
      <c r="Z110" s="170">
        <v>0</v>
      </c>
      <c r="AA110" s="170">
        <v>0</v>
      </c>
      <c r="AB110" s="170">
        <v>0</v>
      </c>
      <c r="AC110" s="171">
        <v>26</v>
      </c>
      <c r="AD110" s="172">
        <v>11962779.979979999</v>
      </c>
      <c r="AE110" s="173">
        <v>26</v>
      </c>
      <c r="AF110" s="174">
        <v>46357</v>
      </c>
    </row>
    <row r="111" spans="1:32" ht="20" x14ac:dyDescent="0.35">
      <c r="A111" s="162" t="s">
        <v>851</v>
      </c>
      <c r="B111" s="163" t="s">
        <v>852</v>
      </c>
      <c r="C111" s="154"/>
      <c r="D111" s="162" t="s">
        <v>46</v>
      </c>
      <c r="E111" s="164" t="s">
        <v>46</v>
      </c>
      <c r="F111" s="164" t="s">
        <v>852</v>
      </c>
      <c r="G111" s="164" t="s">
        <v>851</v>
      </c>
      <c r="H111" s="165">
        <v>28799</v>
      </c>
      <c r="I111" s="164" t="s">
        <v>48</v>
      </c>
      <c r="J111" s="164" t="s">
        <v>21</v>
      </c>
      <c r="K111" s="165">
        <v>41768</v>
      </c>
      <c r="L111" s="166" t="s">
        <v>49</v>
      </c>
      <c r="M111" s="154"/>
      <c r="N111" s="154"/>
      <c r="O111" s="164" t="s">
        <v>50</v>
      </c>
      <c r="P111" s="164">
        <v>47</v>
      </c>
      <c r="Q111" s="164">
        <v>12</v>
      </c>
      <c r="R111" s="167" t="s">
        <v>843</v>
      </c>
      <c r="S111" s="167" t="s">
        <v>844</v>
      </c>
      <c r="T111" s="162" t="s">
        <v>800</v>
      </c>
      <c r="U111" s="167" t="s">
        <v>802</v>
      </c>
      <c r="X111" s="169">
        <v>45018</v>
      </c>
      <c r="Y111" s="170">
        <v>98</v>
      </c>
      <c r="Z111" s="170">
        <v>0</v>
      </c>
      <c r="AA111" s="170">
        <v>0</v>
      </c>
      <c r="AB111" s="170">
        <v>0</v>
      </c>
      <c r="AC111" s="171">
        <v>98</v>
      </c>
      <c r="AD111" s="172">
        <v>45090478.386090003</v>
      </c>
      <c r="AE111" s="173">
        <v>98</v>
      </c>
      <c r="AF111" s="174">
        <v>46357</v>
      </c>
    </row>
    <row r="112" spans="1:32" ht="20" x14ac:dyDescent="0.35">
      <c r="A112" s="162" t="s">
        <v>851</v>
      </c>
      <c r="B112" s="163" t="s">
        <v>852</v>
      </c>
      <c r="C112" s="154"/>
      <c r="D112" s="162" t="s">
        <v>46</v>
      </c>
      <c r="E112" s="164" t="s">
        <v>46</v>
      </c>
      <c r="F112" s="164" t="s">
        <v>852</v>
      </c>
      <c r="G112" s="164" t="s">
        <v>851</v>
      </c>
      <c r="H112" s="165">
        <v>28799</v>
      </c>
      <c r="I112" s="164" t="s">
        <v>48</v>
      </c>
      <c r="J112" s="164" t="s">
        <v>21</v>
      </c>
      <c r="K112" s="165">
        <v>41768</v>
      </c>
      <c r="L112" s="166" t="s">
        <v>49</v>
      </c>
      <c r="M112" s="154"/>
      <c r="N112" s="154"/>
      <c r="O112" s="164" t="s">
        <v>50</v>
      </c>
      <c r="P112" s="164">
        <v>47</v>
      </c>
      <c r="Q112" s="164">
        <v>12</v>
      </c>
      <c r="R112" s="167" t="s">
        <v>843</v>
      </c>
      <c r="S112" s="167" t="s">
        <v>844</v>
      </c>
      <c r="T112" s="162" t="s">
        <v>800</v>
      </c>
      <c r="U112" s="167" t="s">
        <v>803</v>
      </c>
      <c r="X112" s="169">
        <v>45018</v>
      </c>
      <c r="Y112" s="170">
        <v>2</v>
      </c>
      <c r="Z112" s="170">
        <v>0</v>
      </c>
      <c r="AA112" s="170">
        <v>0</v>
      </c>
      <c r="AB112" s="170">
        <v>0</v>
      </c>
      <c r="AC112" s="171">
        <v>2</v>
      </c>
      <c r="AD112" s="172">
        <v>920213.84461000003</v>
      </c>
      <c r="AE112" s="173">
        <v>2</v>
      </c>
      <c r="AF112" s="174">
        <v>46357</v>
      </c>
    </row>
    <row r="113" spans="1:32" ht="20" x14ac:dyDescent="0.35">
      <c r="A113" s="162" t="s">
        <v>851</v>
      </c>
      <c r="B113" s="163" t="s">
        <v>852</v>
      </c>
      <c r="C113" s="154"/>
      <c r="D113" s="162" t="s">
        <v>46</v>
      </c>
      <c r="E113" s="164" t="s">
        <v>46</v>
      </c>
      <c r="F113" s="164" t="s">
        <v>852</v>
      </c>
      <c r="G113" s="164" t="s">
        <v>851</v>
      </c>
      <c r="H113" s="165">
        <v>28799</v>
      </c>
      <c r="I113" s="164" t="s">
        <v>48</v>
      </c>
      <c r="J113" s="164" t="s">
        <v>21</v>
      </c>
      <c r="K113" s="165">
        <v>41768</v>
      </c>
      <c r="L113" s="166" t="s">
        <v>49</v>
      </c>
      <c r="M113" s="154"/>
      <c r="N113" s="154"/>
      <c r="O113" s="164" t="s">
        <v>50</v>
      </c>
      <c r="P113" s="164">
        <v>47</v>
      </c>
      <c r="Q113" s="164">
        <v>12</v>
      </c>
      <c r="R113" s="167" t="s">
        <v>843</v>
      </c>
      <c r="S113" s="167" t="s">
        <v>844</v>
      </c>
      <c r="T113" s="162" t="s">
        <v>800</v>
      </c>
      <c r="U113" s="167" t="s">
        <v>804</v>
      </c>
      <c r="X113" s="169">
        <v>45018</v>
      </c>
      <c r="Y113" s="170">
        <v>5</v>
      </c>
      <c r="Z113" s="170">
        <v>0</v>
      </c>
      <c r="AA113" s="170">
        <v>0</v>
      </c>
      <c r="AB113" s="170">
        <v>0</v>
      </c>
      <c r="AC113" s="171">
        <v>5</v>
      </c>
      <c r="AD113" s="172">
        <v>2300534.6115299999</v>
      </c>
      <c r="AE113" s="173">
        <v>5</v>
      </c>
      <c r="AF113" s="174">
        <v>46357</v>
      </c>
    </row>
    <row r="114" spans="1:32" ht="20" x14ac:dyDescent="0.35">
      <c r="A114" s="162" t="s">
        <v>851</v>
      </c>
      <c r="B114" s="163" t="s">
        <v>852</v>
      </c>
      <c r="C114" s="154"/>
      <c r="D114" s="162" t="s">
        <v>46</v>
      </c>
      <c r="E114" s="164" t="s">
        <v>46</v>
      </c>
      <c r="F114" s="164" t="s">
        <v>852</v>
      </c>
      <c r="G114" s="164" t="s">
        <v>851</v>
      </c>
      <c r="H114" s="165">
        <v>28799</v>
      </c>
      <c r="I114" s="164" t="s">
        <v>48</v>
      </c>
      <c r="J114" s="164" t="s">
        <v>21</v>
      </c>
      <c r="K114" s="165">
        <v>41768</v>
      </c>
      <c r="L114" s="166" t="s">
        <v>49</v>
      </c>
      <c r="M114" s="154"/>
      <c r="N114" s="154"/>
      <c r="O114" s="164" t="s">
        <v>50</v>
      </c>
      <c r="P114" s="164">
        <v>47</v>
      </c>
      <c r="Q114" s="164">
        <v>12</v>
      </c>
      <c r="R114" s="167" t="s">
        <v>843</v>
      </c>
      <c r="S114" s="167" t="s">
        <v>844</v>
      </c>
      <c r="T114" s="162" t="s">
        <v>800</v>
      </c>
      <c r="U114" s="167" t="s">
        <v>805</v>
      </c>
      <c r="X114" s="169">
        <v>45018</v>
      </c>
      <c r="Y114" s="170">
        <v>2.4999999966690001</v>
      </c>
      <c r="Z114" s="170">
        <v>0.41666667000000002</v>
      </c>
      <c r="AA114" s="170">
        <v>0</v>
      </c>
      <c r="AB114" s="170">
        <v>0</v>
      </c>
      <c r="AC114" s="171">
        <v>2.9166666666690002</v>
      </c>
      <c r="AD114" s="172">
        <v>1341978.5234000001</v>
      </c>
      <c r="AE114" s="173">
        <v>2.92</v>
      </c>
      <c r="AF114" s="174">
        <v>46357</v>
      </c>
    </row>
    <row r="115" spans="1:32" ht="20" x14ac:dyDescent="0.35">
      <c r="A115" s="162" t="s">
        <v>854</v>
      </c>
      <c r="B115" s="163" t="s">
        <v>855</v>
      </c>
      <c r="C115" s="154"/>
      <c r="D115" s="162" t="s">
        <v>51</v>
      </c>
      <c r="E115" s="164" t="s">
        <v>51</v>
      </c>
      <c r="F115" s="164" t="s">
        <v>855</v>
      </c>
      <c r="G115" s="164" t="s">
        <v>854</v>
      </c>
      <c r="H115" s="165">
        <v>29643</v>
      </c>
      <c r="I115" s="164" t="s">
        <v>48</v>
      </c>
      <c r="J115" s="164" t="s">
        <v>21</v>
      </c>
      <c r="K115" s="165">
        <v>41771</v>
      </c>
      <c r="L115" s="166" t="s">
        <v>53</v>
      </c>
      <c r="M115" s="154"/>
      <c r="N115" s="154"/>
      <c r="O115" s="164" t="s">
        <v>29</v>
      </c>
      <c r="P115" s="164">
        <v>45</v>
      </c>
      <c r="Q115" s="164">
        <v>12</v>
      </c>
      <c r="R115" s="167" t="s">
        <v>843</v>
      </c>
      <c r="S115" s="167" t="s">
        <v>844</v>
      </c>
      <c r="T115" s="162" t="s">
        <v>794</v>
      </c>
      <c r="U115" s="167" t="s">
        <v>795</v>
      </c>
      <c r="V115" s="162" t="s">
        <v>856</v>
      </c>
      <c r="W115" s="168">
        <v>12</v>
      </c>
      <c r="X115" s="169">
        <v>45018</v>
      </c>
      <c r="Y115" s="170">
        <v>32.999999996667</v>
      </c>
      <c r="Z115" s="170">
        <v>2.1666666700000001</v>
      </c>
      <c r="AA115" s="170">
        <v>-5</v>
      </c>
      <c r="AB115" s="170">
        <v>0</v>
      </c>
      <c r="AC115" s="171">
        <v>30.166666666666998</v>
      </c>
      <c r="AD115" s="172">
        <v>8013512.4571799999</v>
      </c>
      <c r="AE115" s="173" t="s">
        <v>797</v>
      </c>
      <c r="AF115" s="173"/>
    </row>
    <row r="116" spans="1:32" ht="20" x14ac:dyDescent="0.35">
      <c r="A116" s="162" t="s">
        <v>854</v>
      </c>
      <c r="B116" s="163" t="s">
        <v>855</v>
      </c>
      <c r="C116" s="154"/>
      <c r="D116" s="162" t="s">
        <v>51</v>
      </c>
      <c r="E116" s="164" t="s">
        <v>51</v>
      </c>
      <c r="F116" s="164" t="s">
        <v>855</v>
      </c>
      <c r="G116" s="164" t="s">
        <v>854</v>
      </c>
      <c r="H116" s="165">
        <v>29643</v>
      </c>
      <c r="I116" s="164" t="s">
        <v>48</v>
      </c>
      <c r="J116" s="164" t="s">
        <v>21</v>
      </c>
      <c r="K116" s="165">
        <v>41771</v>
      </c>
      <c r="L116" s="166" t="s">
        <v>53</v>
      </c>
      <c r="M116" s="154"/>
      <c r="N116" s="154"/>
      <c r="O116" s="164" t="s">
        <v>29</v>
      </c>
      <c r="P116" s="164">
        <v>45</v>
      </c>
      <c r="Q116" s="164">
        <v>12</v>
      </c>
      <c r="R116" s="167" t="s">
        <v>843</v>
      </c>
      <c r="S116" s="167" t="s">
        <v>844</v>
      </c>
      <c r="T116" s="162" t="s">
        <v>798</v>
      </c>
      <c r="U116" s="167" t="s">
        <v>839</v>
      </c>
      <c r="X116" s="169">
        <v>45018</v>
      </c>
      <c r="Y116" s="170">
        <v>178</v>
      </c>
      <c r="Z116" s="170">
        <v>0</v>
      </c>
      <c r="AA116" s="170">
        <v>0</v>
      </c>
      <c r="AB116" s="170">
        <v>0</v>
      </c>
      <c r="AC116" s="171">
        <v>178</v>
      </c>
      <c r="AD116" s="172">
        <v>47284150.852289997</v>
      </c>
      <c r="AE116" s="173">
        <v>178</v>
      </c>
      <c r="AF116" s="174">
        <v>46357</v>
      </c>
    </row>
    <row r="117" spans="1:32" ht="20" x14ac:dyDescent="0.35">
      <c r="A117" s="162" t="s">
        <v>854</v>
      </c>
      <c r="B117" s="163" t="s">
        <v>855</v>
      </c>
      <c r="C117" s="154"/>
      <c r="D117" s="162" t="s">
        <v>51</v>
      </c>
      <c r="E117" s="164" t="s">
        <v>51</v>
      </c>
      <c r="F117" s="164" t="s">
        <v>855</v>
      </c>
      <c r="G117" s="164" t="s">
        <v>854</v>
      </c>
      <c r="H117" s="165">
        <v>29643</v>
      </c>
      <c r="I117" s="164" t="s">
        <v>48</v>
      </c>
      <c r="J117" s="164" t="s">
        <v>21</v>
      </c>
      <c r="K117" s="165">
        <v>41771</v>
      </c>
      <c r="L117" s="166" t="s">
        <v>53</v>
      </c>
      <c r="M117" s="154"/>
      <c r="N117" s="154"/>
      <c r="O117" s="164" t="s">
        <v>29</v>
      </c>
      <c r="P117" s="164">
        <v>45</v>
      </c>
      <c r="Q117" s="164">
        <v>12</v>
      </c>
      <c r="R117" s="167" t="s">
        <v>843</v>
      </c>
      <c r="S117" s="167" t="s">
        <v>844</v>
      </c>
      <c r="T117" s="162" t="s">
        <v>800</v>
      </c>
      <c r="U117" s="167" t="s">
        <v>801</v>
      </c>
      <c r="X117" s="169">
        <v>45018</v>
      </c>
      <c r="Y117" s="170">
        <v>26</v>
      </c>
      <c r="Z117" s="170">
        <v>0</v>
      </c>
      <c r="AA117" s="170">
        <v>0</v>
      </c>
      <c r="AB117" s="170">
        <v>0</v>
      </c>
      <c r="AC117" s="171">
        <v>26</v>
      </c>
      <c r="AD117" s="172">
        <v>6906673.7199999997</v>
      </c>
      <c r="AE117" s="173">
        <v>26</v>
      </c>
      <c r="AF117" s="174">
        <v>46357</v>
      </c>
    </row>
    <row r="118" spans="1:32" ht="20" x14ac:dyDescent="0.35">
      <c r="A118" s="162" t="s">
        <v>854</v>
      </c>
      <c r="B118" s="163" t="s">
        <v>855</v>
      </c>
      <c r="C118" s="154"/>
      <c r="D118" s="162" t="s">
        <v>51</v>
      </c>
      <c r="E118" s="164" t="s">
        <v>51</v>
      </c>
      <c r="F118" s="164" t="s">
        <v>855</v>
      </c>
      <c r="G118" s="164" t="s">
        <v>854</v>
      </c>
      <c r="H118" s="165">
        <v>29643</v>
      </c>
      <c r="I118" s="164" t="s">
        <v>48</v>
      </c>
      <c r="J118" s="164" t="s">
        <v>21</v>
      </c>
      <c r="K118" s="165">
        <v>41771</v>
      </c>
      <c r="L118" s="166" t="s">
        <v>53</v>
      </c>
      <c r="M118" s="154"/>
      <c r="N118" s="154"/>
      <c r="O118" s="164" t="s">
        <v>29</v>
      </c>
      <c r="P118" s="164">
        <v>45</v>
      </c>
      <c r="Q118" s="164">
        <v>12</v>
      </c>
      <c r="R118" s="167" t="s">
        <v>843</v>
      </c>
      <c r="S118" s="167" t="s">
        <v>844</v>
      </c>
      <c r="T118" s="162" t="s">
        <v>800</v>
      </c>
      <c r="U118" s="167" t="s">
        <v>802</v>
      </c>
      <c r="X118" s="169">
        <v>45018</v>
      </c>
      <c r="Y118" s="170">
        <v>98</v>
      </c>
      <c r="Z118" s="170">
        <v>0</v>
      </c>
      <c r="AA118" s="170">
        <v>0</v>
      </c>
      <c r="AB118" s="170">
        <v>0</v>
      </c>
      <c r="AC118" s="171">
        <v>98</v>
      </c>
      <c r="AD118" s="172">
        <v>26032847.098450001</v>
      </c>
      <c r="AE118" s="173">
        <v>98</v>
      </c>
      <c r="AF118" s="174">
        <v>46357</v>
      </c>
    </row>
    <row r="119" spans="1:32" ht="20" x14ac:dyDescent="0.35">
      <c r="A119" s="162" t="s">
        <v>854</v>
      </c>
      <c r="B119" s="163" t="s">
        <v>855</v>
      </c>
      <c r="C119" s="154"/>
      <c r="D119" s="162" t="s">
        <v>51</v>
      </c>
      <c r="E119" s="164" t="s">
        <v>51</v>
      </c>
      <c r="F119" s="164" t="s">
        <v>855</v>
      </c>
      <c r="G119" s="164" t="s">
        <v>854</v>
      </c>
      <c r="H119" s="165">
        <v>29643</v>
      </c>
      <c r="I119" s="164" t="s">
        <v>48</v>
      </c>
      <c r="J119" s="164" t="s">
        <v>21</v>
      </c>
      <c r="K119" s="165">
        <v>41771</v>
      </c>
      <c r="L119" s="166" t="s">
        <v>53</v>
      </c>
      <c r="M119" s="154"/>
      <c r="N119" s="154"/>
      <c r="O119" s="164" t="s">
        <v>29</v>
      </c>
      <c r="P119" s="164">
        <v>45</v>
      </c>
      <c r="Q119" s="164">
        <v>12</v>
      </c>
      <c r="R119" s="167" t="s">
        <v>843</v>
      </c>
      <c r="S119" s="167" t="s">
        <v>844</v>
      </c>
      <c r="T119" s="162" t="s">
        <v>800</v>
      </c>
      <c r="U119" s="167" t="s">
        <v>803</v>
      </c>
      <c r="X119" s="169">
        <v>45018</v>
      </c>
      <c r="Y119" s="170">
        <v>2</v>
      </c>
      <c r="Z119" s="170">
        <v>0</v>
      </c>
      <c r="AA119" s="170">
        <v>0</v>
      </c>
      <c r="AB119" s="170">
        <v>0</v>
      </c>
      <c r="AC119" s="171">
        <v>2</v>
      </c>
      <c r="AD119" s="172">
        <v>531282.59384999995</v>
      </c>
      <c r="AE119" s="173">
        <v>2</v>
      </c>
      <c r="AF119" s="174">
        <v>46357</v>
      </c>
    </row>
    <row r="120" spans="1:32" ht="20" x14ac:dyDescent="0.35">
      <c r="A120" s="162" t="s">
        <v>854</v>
      </c>
      <c r="B120" s="163" t="s">
        <v>855</v>
      </c>
      <c r="C120" s="154"/>
      <c r="D120" s="162" t="s">
        <v>51</v>
      </c>
      <c r="E120" s="164" t="s">
        <v>51</v>
      </c>
      <c r="F120" s="164" t="s">
        <v>855</v>
      </c>
      <c r="G120" s="164" t="s">
        <v>854</v>
      </c>
      <c r="H120" s="165">
        <v>29643</v>
      </c>
      <c r="I120" s="164" t="s">
        <v>48</v>
      </c>
      <c r="J120" s="164" t="s">
        <v>21</v>
      </c>
      <c r="K120" s="165">
        <v>41771</v>
      </c>
      <c r="L120" s="166" t="s">
        <v>53</v>
      </c>
      <c r="M120" s="154"/>
      <c r="N120" s="154"/>
      <c r="O120" s="164" t="s">
        <v>29</v>
      </c>
      <c r="P120" s="164">
        <v>45</v>
      </c>
      <c r="Q120" s="164">
        <v>12</v>
      </c>
      <c r="R120" s="167" t="s">
        <v>843</v>
      </c>
      <c r="S120" s="167" t="s">
        <v>844</v>
      </c>
      <c r="T120" s="162" t="s">
        <v>800</v>
      </c>
      <c r="U120" s="167" t="s">
        <v>804</v>
      </c>
      <c r="X120" s="169">
        <v>45018</v>
      </c>
      <c r="Y120" s="170">
        <v>5</v>
      </c>
      <c r="Z120" s="170">
        <v>0</v>
      </c>
      <c r="AA120" s="170">
        <v>0</v>
      </c>
      <c r="AB120" s="170">
        <v>0</v>
      </c>
      <c r="AC120" s="171">
        <v>5</v>
      </c>
      <c r="AD120" s="172">
        <v>1328206.4846099999</v>
      </c>
      <c r="AE120" s="173">
        <v>5</v>
      </c>
      <c r="AF120" s="174">
        <v>46357</v>
      </c>
    </row>
    <row r="121" spans="1:32" ht="20" x14ac:dyDescent="0.35">
      <c r="A121" s="162" t="s">
        <v>854</v>
      </c>
      <c r="B121" s="163" t="s">
        <v>855</v>
      </c>
      <c r="C121" s="154"/>
      <c r="D121" s="162" t="s">
        <v>51</v>
      </c>
      <c r="E121" s="164" t="s">
        <v>51</v>
      </c>
      <c r="F121" s="164" t="s">
        <v>855</v>
      </c>
      <c r="G121" s="164" t="s">
        <v>854</v>
      </c>
      <c r="H121" s="165">
        <v>29643</v>
      </c>
      <c r="I121" s="164" t="s">
        <v>48</v>
      </c>
      <c r="J121" s="164" t="s">
        <v>21</v>
      </c>
      <c r="K121" s="165">
        <v>41771</v>
      </c>
      <c r="L121" s="166" t="s">
        <v>53</v>
      </c>
      <c r="M121" s="154"/>
      <c r="N121" s="154"/>
      <c r="O121" s="164" t="s">
        <v>29</v>
      </c>
      <c r="P121" s="164">
        <v>45</v>
      </c>
      <c r="Q121" s="164">
        <v>12</v>
      </c>
      <c r="R121" s="167" t="s">
        <v>843</v>
      </c>
      <c r="S121" s="167" t="s">
        <v>844</v>
      </c>
      <c r="T121" s="162" t="s">
        <v>800</v>
      </c>
      <c r="U121" s="167" t="s">
        <v>840</v>
      </c>
      <c r="X121" s="169">
        <v>45018</v>
      </c>
      <c r="Y121" s="170">
        <v>2.4999999966690001</v>
      </c>
      <c r="Z121" s="170">
        <v>0.41666667000000002</v>
      </c>
      <c r="AA121" s="170">
        <v>0</v>
      </c>
      <c r="AB121" s="170">
        <v>0</v>
      </c>
      <c r="AC121" s="171">
        <v>2.9166666666690002</v>
      </c>
      <c r="AD121" s="172">
        <v>774787.11603000003</v>
      </c>
      <c r="AE121" s="173">
        <v>2.92</v>
      </c>
      <c r="AF121" s="174">
        <v>46357</v>
      </c>
    </row>
    <row r="122" spans="1:32" ht="30" x14ac:dyDescent="0.35">
      <c r="A122" s="162" t="s">
        <v>857</v>
      </c>
      <c r="B122" s="163" t="s">
        <v>858</v>
      </c>
      <c r="C122" s="154"/>
      <c r="D122" s="162" t="s">
        <v>54</v>
      </c>
      <c r="E122" s="164" t="s">
        <v>54</v>
      </c>
      <c r="F122" s="164" t="s">
        <v>858</v>
      </c>
      <c r="G122" s="164" t="s">
        <v>857</v>
      </c>
      <c r="H122" s="165">
        <v>29181</v>
      </c>
      <c r="I122" s="164" t="s">
        <v>48</v>
      </c>
      <c r="J122" s="164" t="s">
        <v>21</v>
      </c>
      <c r="K122" s="165">
        <v>41771</v>
      </c>
      <c r="L122" s="166" t="s">
        <v>56</v>
      </c>
      <c r="M122" s="154"/>
      <c r="N122" s="154"/>
      <c r="O122" s="164" t="s">
        <v>57</v>
      </c>
      <c r="P122" s="164">
        <v>46</v>
      </c>
      <c r="Q122" s="164">
        <v>12</v>
      </c>
      <c r="R122" s="167" t="s">
        <v>859</v>
      </c>
      <c r="S122" s="167" t="s">
        <v>848</v>
      </c>
      <c r="T122" s="162" t="s">
        <v>794</v>
      </c>
      <c r="U122" s="167" t="s">
        <v>833</v>
      </c>
      <c r="V122" s="162" t="s">
        <v>853</v>
      </c>
      <c r="W122" s="168">
        <v>12</v>
      </c>
      <c r="X122" s="169">
        <v>45018</v>
      </c>
      <c r="Y122" s="170">
        <v>26.666666669999</v>
      </c>
      <c r="Z122" s="170">
        <v>2.3333333299999999</v>
      </c>
      <c r="AA122" s="170">
        <v>0</v>
      </c>
      <c r="AB122" s="170">
        <v>0</v>
      </c>
      <c r="AC122" s="171">
        <v>28.999999999999002</v>
      </c>
      <c r="AD122" s="172">
        <v>9044933.1941999998</v>
      </c>
      <c r="AE122" s="173" t="s">
        <v>797</v>
      </c>
      <c r="AF122" s="173"/>
    </row>
    <row r="123" spans="1:32" ht="30" x14ac:dyDescent="0.35">
      <c r="A123" s="162" t="s">
        <v>857</v>
      </c>
      <c r="B123" s="163" t="s">
        <v>858</v>
      </c>
      <c r="C123" s="154"/>
      <c r="D123" s="162" t="s">
        <v>54</v>
      </c>
      <c r="E123" s="164" t="s">
        <v>54</v>
      </c>
      <c r="F123" s="164" t="s">
        <v>858</v>
      </c>
      <c r="G123" s="164" t="s">
        <v>857</v>
      </c>
      <c r="H123" s="165">
        <v>29181</v>
      </c>
      <c r="I123" s="164" t="s">
        <v>48</v>
      </c>
      <c r="J123" s="164" t="s">
        <v>21</v>
      </c>
      <c r="K123" s="165">
        <v>41771</v>
      </c>
      <c r="L123" s="166" t="s">
        <v>56</v>
      </c>
      <c r="M123" s="154"/>
      <c r="N123" s="154"/>
      <c r="O123" s="164" t="s">
        <v>57</v>
      </c>
      <c r="P123" s="164">
        <v>46</v>
      </c>
      <c r="Q123" s="164">
        <v>12</v>
      </c>
      <c r="R123" s="167" t="s">
        <v>859</v>
      </c>
      <c r="S123" s="167" t="s">
        <v>848</v>
      </c>
      <c r="T123" s="162" t="s">
        <v>798</v>
      </c>
      <c r="U123" s="167" t="s">
        <v>799</v>
      </c>
      <c r="X123" s="169">
        <v>45018</v>
      </c>
      <c r="Y123" s="170">
        <v>180</v>
      </c>
      <c r="Z123" s="170">
        <v>0</v>
      </c>
      <c r="AA123" s="170">
        <v>0</v>
      </c>
      <c r="AB123" s="170">
        <v>0</v>
      </c>
      <c r="AC123" s="171">
        <v>180</v>
      </c>
      <c r="AD123" s="172">
        <v>56140964.653679997</v>
      </c>
      <c r="AE123" s="173">
        <v>180</v>
      </c>
      <c r="AF123" s="174">
        <v>46357</v>
      </c>
    </row>
    <row r="124" spans="1:32" ht="30" x14ac:dyDescent="0.35">
      <c r="A124" s="162" t="s">
        <v>857</v>
      </c>
      <c r="B124" s="163" t="s">
        <v>858</v>
      </c>
      <c r="C124" s="154"/>
      <c r="D124" s="162" t="s">
        <v>54</v>
      </c>
      <c r="E124" s="164" t="s">
        <v>54</v>
      </c>
      <c r="F124" s="164" t="s">
        <v>858</v>
      </c>
      <c r="G124" s="164" t="s">
        <v>857</v>
      </c>
      <c r="H124" s="165">
        <v>29181</v>
      </c>
      <c r="I124" s="164" t="s">
        <v>48</v>
      </c>
      <c r="J124" s="164" t="s">
        <v>21</v>
      </c>
      <c r="K124" s="165">
        <v>41771</v>
      </c>
      <c r="L124" s="166" t="s">
        <v>56</v>
      </c>
      <c r="M124" s="154"/>
      <c r="N124" s="154"/>
      <c r="O124" s="164" t="s">
        <v>57</v>
      </c>
      <c r="P124" s="164">
        <v>46</v>
      </c>
      <c r="Q124" s="164">
        <v>12</v>
      </c>
      <c r="R124" s="167" t="s">
        <v>859</v>
      </c>
      <c r="S124" s="167" t="s">
        <v>848</v>
      </c>
      <c r="T124" s="162" t="s">
        <v>800</v>
      </c>
      <c r="U124" s="167" t="s">
        <v>801</v>
      </c>
      <c r="X124" s="169">
        <v>45018</v>
      </c>
      <c r="Y124" s="170">
        <v>26</v>
      </c>
      <c r="Z124" s="170">
        <v>0</v>
      </c>
      <c r="AA124" s="170">
        <v>0</v>
      </c>
      <c r="AB124" s="170">
        <v>0</v>
      </c>
      <c r="AC124" s="171">
        <v>26</v>
      </c>
      <c r="AD124" s="172">
        <v>8109250.44998</v>
      </c>
      <c r="AE124" s="173">
        <v>26</v>
      </c>
      <c r="AF124" s="174">
        <v>46357</v>
      </c>
    </row>
    <row r="125" spans="1:32" ht="30" x14ac:dyDescent="0.35">
      <c r="A125" s="162" t="s">
        <v>857</v>
      </c>
      <c r="B125" s="163" t="s">
        <v>858</v>
      </c>
      <c r="C125" s="154"/>
      <c r="D125" s="162" t="s">
        <v>54</v>
      </c>
      <c r="E125" s="164" t="s">
        <v>54</v>
      </c>
      <c r="F125" s="164" t="s">
        <v>858</v>
      </c>
      <c r="G125" s="164" t="s">
        <v>857</v>
      </c>
      <c r="H125" s="165">
        <v>29181</v>
      </c>
      <c r="I125" s="164" t="s">
        <v>48</v>
      </c>
      <c r="J125" s="164" t="s">
        <v>21</v>
      </c>
      <c r="K125" s="165">
        <v>41771</v>
      </c>
      <c r="L125" s="166" t="s">
        <v>56</v>
      </c>
      <c r="M125" s="154"/>
      <c r="N125" s="154"/>
      <c r="O125" s="164" t="s">
        <v>57</v>
      </c>
      <c r="P125" s="164">
        <v>46</v>
      </c>
      <c r="Q125" s="164">
        <v>12</v>
      </c>
      <c r="R125" s="167" t="s">
        <v>859</v>
      </c>
      <c r="S125" s="167" t="s">
        <v>848</v>
      </c>
      <c r="T125" s="162" t="s">
        <v>800</v>
      </c>
      <c r="U125" s="167" t="s">
        <v>802</v>
      </c>
      <c r="X125" s="169">
        <v>45018</v>
      </c>
      <c r="Y125" s="170">
        <v>98</v>
      </c>
      <c r="Z125" s="170">
        <v>0</v>
      </c>
      <c r="AA125" s="170">
        <v>0</v>
      </c>
      <c r="AB125" s="170">
        <v>0</v>
      </c>
      <c r="AC125" s="171">
        <v>98</v>
      </c>
      <c r="AD125" s="172">
        <v>30565636.311450001</v>
      </c>
      <c r="AE125" s="173">
        <v>98</v>
      </c>
      <c r="AF125" s="174">
        <v>46357</v>
      </c>
    </row>
    <row r="126" spans="1:32" ht="30" x14ac:dyDescent="0.35">
      <c r="A126" s="162" t="s">
        <v>857</v>
      </c>
      <c r="B126" s="163" t="s">
        <v>858</v>
      </c>
      <c r="C126" s="154"/>
      <c r="D126" s="162" t="s">
        <v>54</v>
      </c>
      <c r="E126" s="164" t="s">
        <v>54</v>
      </c>
      <c r="F126" s="164" t="s">
        <v>858</v>
      </c>
      <c r="G126" s="164" t="s">
        <v>857</v>
      </c>
      <c r="H126" s="165">
        <v>29181</v>
      </c>
      <c r="I126" s="164" t="s">
        <v>48</v>
      </c>
      <c r="J126" s="164" t="s">
        <v>21</v>
      </c>
      <c r="K126" s="165">
        <v>41771</v>
      </c>
      <c r="L126" s="166" t="s">
        <v>56</v>
      </c>
      <c r="M126" s="154"/>
      <c r="N126" s="154"/>
      <c r="O126" s="164" t="s">
        <v>57</v>
      </c>
      <c r="P126" s="164">
        <v>46</v>
      </c>
      <c r="Q126" s="164">
        <v>12</v>
      </c>
      <c r="R126" s="167" t="s">
        <v>859</v>
      </c>
      <c r="S126" s="167" t="s">
        <v>848</v>
      </c>
      <c r="T126" s="162" t="s">
        <v>800</v>
      </c>
      <c r="U126" s="167" t="s">
        <v>803</v>
      </c>
      <c r="X126" s="169">
        <v>45018</v>
      </c>
      <c r="Y126" s="170">
        <v>2</v>
      </c>
      <c r="Z126" s="170">
        <v>0</v>
      </c>
      <c r="AA126" s="170">
        <v>0</v>
      </c>
      <c r="AB126" s="170">
        <v>0</v>
      </c>
      <c r="AC126" s="171">
        <v>2</v>
      </c>
      <c r="AD126" s="172">
        <v>623788.49615000002</v>
      </c>
      <c r="AE126" s="173">
        <v>2</v>
      </c>
      <c r="AF126" s="174">
        <v>46357</v>
      </c>
    </row>
    <row r="127" spans="1:32" ht="30" x14ac:dyDescent="0.35">
      <c r="A127" s="162" t="s">
        <v>857</v>
      </c>
      <c r="B127" s="163" t="s">
        <v>858</v>
      </c>
      <c r="C127" s="154"/>
      <c r="D127" s="162" t="s">
        <v>54</v>
      </c>
      <c r="E127" s="164" t="s">
        <v>54</v>
      </c>
      <c r="F127" s="164" t="s">
        <v>858</v>
      </c>
      <c r="G127" s="164" t="s">
        <v>857</v>
      </c>
      <c r="H127" s="165">
        <v>29181</v>
      </c>
      <c r="I127" s="164" t="s">
        <v>48</v>
      </c>
      <c r="J127" s="164" t="s">
        <v>21</v>
      </c>
      <c r="K127" s="165">
        <v>41771</v>
      </c>
      <c r="L127" s="166" t="s">
        <v>56</v>
      </c>
      <c r="M127" s="154"/>
      <c r="N127" s="154"/>
      <c r="O127" s="164" t="s">
        <v>57</v>
      </c>
      <c r="P127" s="164">
        <v>46</v>
      </c>
      <c r="Q127" s="164">
        <v>12</v>
      </c>
      <c r="R127" s="167" t="s">
        <v>859</v>
      </c>
      <c r="S127" s="167" t="s">
        <v>848</v>
      </c>
      <c r="T127" s="162" t="s">
        <v>800</v>
      </c>
      <c r="U127" s="167" t="s">
        <v>804</v>
      </c>
      <c r="X127" s="169">
        <v>45018</v>
      </c>
      <c r="Y127" s="170">
        <v>5</v>
      </c>
      <c r="Z127" s="170">
        <v>0</v>
      </c>
      <c r="AA127" s="170">
        <v>0</v>
      </c>
      <c r="AB127" s="170">
        <v>0</v>
      </c>
      <c r="AC127" s="171">
        <v>5</v>
      </c>
      <c r="AD127" s="172">
        <v>1559471.2403800001</v>
      </c>
      <c r="AE127" s="173">
        <v>5</v>
      </c>
      <c r="AF127" s="174">
        <v>46357</v>
      </c>
    </row>
    <row r="128" spans="1:32" ht="30" x14ac:dyDescent="0.35">
      <c r="A128" s="162" t="s">
        <v>857</v>
      </c>
      <c r="B128" s="163" t="s">
        <v>858</v>
      </c>
      <c r="C128" s="154"/>
      <c r="D128" s="162" t="s">
        <v>54</v>
      </c>
      <c r="E128" s="164" t="s">
        <v>54</v>
      </c>
      <c r="F128" s="164" t="s">
        <v>858</v>
      </c>
      <c r="G128" s="164" t="s">
        <v>857</v>
      </c>
      <c r="H128" s="165">
        <v>29181</v>
      </c>
      <c r="I128" s="164" t="s">
        <v>48</v>
      </c>
      <c r="J128" s="164" t="s">
        <v>21</v>
      </c>
      <c r="K128" s="165">
        <v>41771</v>
      </c>
      <c r="L128" s="166" t="s">
        <v>56</v>
      </c>
      <c r="M128" s="154"/>
      <c r="N128" s="154"/>
      <c r="O128" s="164" t="s">
        <v>57</v>
      </c>
      <c r="P128" s="164">
        <v>46</v>
      </c>
      <c r="Q128" s="164">
        <v>12</v>
      </c>
      <c r="R128" s="167" t="s">
        <v>859</v>
      </c>
      <c r="S128" s="167" t="s">
        <v>848</v>
      </c>
      <c r="T128" s="162" t="s">
        <v>800</v>
      </c>
      <c r="U128" s="167" t="s">
        <v>805</v>
      </c>
      <c r="X128" s="169">
        <v>45018</v>
      </c>
      <c r="Y128" s="170">
        <v>2.4999999966690001</v>
      </c>
      <c r="Z128" s="170">
        <v>0.41666667000000002</v>
      </c>
      <c r="AA128" s="170">
        <v>0</v>
      </c>
      <c r="AB128" s="170">
        <v>0</v>
      </c>
      <c r="AC128" s="171">
        <v>2.9166666666690002</v>
      </c>
      <c r="AD128" s="172">
        <v>909691.55689000001</v>
      </c>
      <c r="AE128" s="173">
        <v>2.92</v>
      </c>
      <c r="AF128" s="174">
        <v>46357</v>
      </c>
    </row>
    <row r="129" spans="1:32" ht="20" x14ac:dyDescent="0.35">
      <c r="A129" s="162" t="s">
        <v>860</v>
      </c>
      <c r="B129" s="163" t="s">
        <v>861</v>
      </c>
      <c r="C129" s="154"/>
      <c r="D129" s="162" t="s">
        <v>58</v>
      </c>
      <c r="E129" s="164" t="s">
        <v>58</v>
      </c>
      <c r="F129" s="164" t="s">
        <v>861</v>
      </c>
      <c r="G129" s="164" t="s">
        <v>860</v>
      </c>
      <c r="H129" s="165">
        <v>25208</v>
      </c>
      <c r="I129" s="164" t="s">
        <v>20</v>
      </c>
      <c r="J129" s="164" t="s">
        <v>21</v>
      </c>
      <c r="K129" s="165">
        <v>41913</v>
      </c>
      <c r="L129" s="166" t="s">
        <v>34</v>
      </c>
      <c r="M129" s="154"/>
      <c r="N129" s="154"/>
      <c r="O129" s="164" t="s">
        <v>35</v>
      </c>
      <c r="P129" s="164">
        <v>57</v>
      </c>
      <c r="Q129" s="164">
        <v>11</v>
      </c>
      <c r="R129" s="167" t="s">
        <v>843</v>
      </c>
      <c r="S129" s="167" t="s">
        <v>844</v>
      </c>
      <c r="T129" s="162" t="s">
        <v>794</v>
      </c>
      <c r="U129" s="167" t="s">
        <v>819</v>
      </c>
      <c r="V129" s="162" t="s">
        <v>834</v>
      </c>
      <c r="W129" s="168">
        <v>11</v>
      </c>
      <c r="X129" s="169">
        <v>45018</v>
      </c>
      <c r="Y129" s="170">
        <v>15.916666663338001</v>
      </c>
      <c r="Z129" s="170">
        <v>1.9166666699999999</v>
      </c>
      <c r="AA129" s="170">
        <v>0</v>
      </c>
      <c r="AB129" s="170">
        <v>0</v>
      </c>
      <c r="AC129" s="171">
        <v>17.833333333338</v>
      </c>
      <c r="AD129" s="172">
        <v>1286743.0341700001</v>
      </c>
      <c r="AE129" s="173" t="s">
        <v>797</v>
      </c>
      <c r="AF129" s="173"/>
    </row>
    <row r="130" spans="1:32" ht="20" x14ac:dyDescent="0.35">
      <c r="A130" s="162" t="s">
        <v>860</v>
      </c>
      <c r="B130" s="163" t="s">
        <v>861</v>
      </c>
      <c r="C130" s="154"/>
      <c r="D130" s="162" t="s">
        <v>58</v>
      </c>
      <c r="E130" s="164" t="s">
        <v>58</v>
      </c>
      <c r="F130" s="164" t="s">
        <v>861</v>
      </c>
      <c r="G130" s="164" t="s">
        <v>860</v>
      </c>
      <c r="H130" s="165">
        <v>25208</v>
      </c>
      <c r="I130" s="164" t="s">
        <v>20</v>
      </c>
      <c r="J130" s="164" t="s">
        <v>21</v>
      </c>
      <c r="K130" s="165">
        <v>41913</v>
      </c>
      <c r="L130" s="166" t="s">
        <v>34</v>
      </c>
      <c r="M130" s="154"/>
      <c r="N130" s="154"/>
      <c r="O130" s="164" t="s">
        <v>35</v>
      </c>
      <c r="P130" s="164">
        <v>57</v>
      </c>
      <c r="Q130" s="164">
        <v>11</v>
      </c>
      <c r="R130" s="167" t="s">
        <v>843</v>
      </c>
      <c r="S130" s="167" t="s">
        <v>844</v>
      </c>
      <c r="T130" s="162" t="s">
        <v>798</v>
      </c>
      <c r="U130" s="167" t="s">
        <v>799</v>
      </c>
      <c r="X130" s="169">
        <v>45018</v>
      </c>
      <c r="Y130" s="170">
        <v>180</v>
      </c>
      <c r="Z130" s="170">
        <v>0</v>
      </c>
      <c r="AA130" s="170">
        <v>0</v>
      </c>
      <c r="AB130" s="170">
        <v>0</v>
      </c>
      <c r="AC130" s="171">
        <v>180</v>
      </c>
      <c r="AD130" s="172">
        <v>12987686.699999999</v>
      </c>
      <c r="AE130" s="173">
        <v>180</v>
      </c>
      <c r="AF130" s="174">
        <v>46357</v>
      </c>
    </row>
    <row r="131" spans="1:32" ht="20" x14ac:dyDescent="0.35">
      <c r="A131" s="162" t="s">
        <v>860</v>
      </c>
      <c r="B131" s="163" t="s">
        <v>861</v>
      </c>
      <c r="C131" s="154"/>
      <c r="D131" s="162" t="s">
        <v>58</v>
      </c>
      <c r="E131" s="164" t="s">
        <v>58</v>
      </c>
      <c r="F131" s="164" t="s">
        <v>861</v>
      </c>
      <c r="G131" s="164" t="s">
        <v>860</v>
      </c>
      <c r="H131" s="165">
        <v>25208</v>
      </c>
      <c r="I131" s="164" t="s">
        <v>20</v>
      </c>
      <c r="J131" s="164" t="s">
        <v>21</v>
      </c>
      <c r="K131" s="165">
        <v>41913</v>
      </c>
      <c r="L131" s="166" t="s">
        <v>34</v>
      </c>
      <c r="M131" s="154"/>
      <c r="N131" s="154"/>
      <c r="O131" s="164" t="s">
        <v>35</v>
      </c>
      <c r="P131" s="164">
        <v>57</v>
      </c>
      <c r="Q131" s="164">
        <v>11</v>
      </c>
      <c r="R131" s="167" t="s">
        <v>843</v>
      </c>
      <c r="S131" s="167" t="s">
        <v>844</v>
      </c>
      <c r="T131" s="162" t="s">
        <v>800</v>
      </c>
      <c r="U131" s="167" t="s">
        <v>801</v>
      </c>
      <c r="X131" s="169">
        <v>45018</v>
      </c>
      <c r="Y131" s="170">
        <v>26</v>
      </c>
      <c r="Z131" s="170">
        <v>0</v>
      </c>
      <c r="AA131" s="170">
        <v>0</v>
      </c>
      <c r="AB131" s="170">
        <v>0</v>
      </c>
      <c r="AC131" s="171">
        <v>26</v>
      </c>
      <c r="AD131" s="172">
        <v>1875999.19</v>
      </c>
      <c r="AE131" s="173">
        <v>26</v>
      </c>
      <c r="AF131" s="174">
        <v>46357</v>
      </c>
    </row>
    <row r="132" spans="1:32" ht="20" x14ac:dyDescent="0.35">
      <c r="A132" s="162" t="s">
        <v>860</v>
      </c>
      <c r="B132" s="163" t="s">
        <v>861</v>
      </c>
      <c r="C132" s="154"/>
      <c r="D132" s="162" t="s">
        <v>58</v>
      </c>
      <c r="E132" s="164" t="s">
        <v>58</v>
      </c>
      <c r="F132" s="164" t="s">
        <v>861</v>
      </c>
      <c r="G132" s="164" t="s">
        <v>860</v>
      </c>
      <c r="H132" s="165">
        <v>25208</v>
      </c>
      <c r="I132" s="164" t="s">
        <v>20</v>
      </c>
      <c r="J132" s="164" t="s">
        <v>21</v>
      </c>
      <c r="K132" s="165">
        <v>41913</v>
      </c>
      <c r="L132" s="166" t="s">
        <v>34</v>
      </c>
      <c r="M132" s="154"/>
      <c r="N132" s="154"/>
      <c r="O132" s="164" t="s">
        <v>35</v>
      </c>
      <c r="P132" s="164">
        <v>57</v>
      </c>
      <c r="Q132" s="164">
        <v>11</v>
      </c>
      <c r="R132" s="167" t="s">
        <v>843</v>
      </c>
      <c r="S132" s="167" t="s">
        <v>844</v>
      </c>
      <c r="T132" s="162" t="s">
        <v>800</v>
      </c>
      <c r="U132" s="167" t="s">
        <v>802</v>
      </c>
      <c r="X132" s="169">
        <v>45018</v>
      </c>
      <c r="Y132" s="170">
        <v>98</v>
      </c>
      <c r="Z132" s="170">
        <v>0</v>
      </c>
      <c r="AA132" s="170">
        <v>0</v>
      </c>
      <c r="AB132" s="170">
        <v>0</v>
      </c>
      <c r="AC132" s="171">
        <v>98</v>
      </c>
      <c r="AD132" s="172">
        <v>7071073.8700000001</v>
      </c>
      <c r="AE132" s="173">
        <v>98</v>
      </c>
      <c r="AF132" s="174">
        <v>46357</v>
      </c>
    </row>
    <row r="133" spans="1:32" ht="20" x14ac:dyDescent="0.35">
      <c r="A133" s="162" t="s">
        <v>860</v>
      </c>
      <c r="B133" s="163" t="s">
        <v>861</v>
      </c>
      <c r="C133" s="154"/>
      <c r="D133" s="162" t="s">
        <v>58</v>
      </c>
      <c r="E133" s="164" t="s">
        <v>58</v>
      </c>
      <c r="F133" s="164" t="s">
        <v>861</v>
      </c>
      <c r="G133" s="164" t="s">
        <v>860</v>
      </c>
      <c r="H133" s="165">
        <v>25208</v>
      </c>
      <c r="I133" s="164" t="s">
        <v>20</v>
      </c>
      <c r="J133" s="164" t="s">
        <v>21</v>
      </c>
      <c r="K133" s="165">
        <v>41913</v>
      </c>
      <c r="L133" s="166" t="s">
        <v>34</v>
      </c>
      <c r="M133" s="154"/>
      <c r="N133" s="154"/>
      <c r="O133" s="164" t="s">
        <v>35</v>
      </c>
      <c r="P133" s="164">
        <v>57</v>
      </c>
      <c r="Q133" s="164">
        <v>11</v>
      </c>
      <c r="R133" s="167" t="s">
        <v>843</v>
      </c>
      <c r="S133" s="167" t="s">
        <v>844</v>
      </c>
      <c r="T133" s="162" t="s">
        <v>800</v>
      </c>
      <c r="U133" s="167" t="s">
        <v>803</v>
      </c>
      <c r="X133" s="169">
        <v>45018</v>
      </c>
      <c r="Y133" s="170">
        <v>2</v>
      </c>
      <c r="Z133" s="170">
        <v>0</v>
      </c>
      <c r="AA133" s="170">
        <v>0</v>
      </c>
      <c r="AB133" s="170">
        <v>0</v>
      </c>
      <c r="AC133" s="171">
        <v>2</v>
      </c>
      <c r="AD133" s="172">
        <v>144307.63</v>
      </c>
      <c r="AE133" s="173">
        <v>2</v>
      </c>
      <c r="AF133" s="174">
        <v>46357</v>
      </c>
    </row>
    <row r="134" spans="1:32" ht="20" x14ac:dyDescent="0.35">
      <c r="A134" s="162" t="s">
        <v>860</v>
      </c>
      <c r="B134" s="163" t="s">
        <v>861</v>
      </c>
      <c r="C134" s="154"/>
      <c r="D134" s="162" t="s">
        <v>58</v>
      </c>
      <c r="E134" s="164" t="s">
        <v>58</v>
      </c>
      <c r="F134" s="164" t="s">
        <v>861</v>
      </c>
      <c r="G134" s="164" t="s">
        <v>860</v>
      </c>
      <c r="H134" s="165">
        <v>25208</v>
      </c>
      <c r="I134" s="164" t="s">
        <v>20</v>
      </c>
      <c r="J134" s="164" t="s">
        <v>21</v>
      </c>
      <c r="K134" s="165">
        <v>41913</v>
      </c>
      <c r="L134" s="166" t="s">
        <v>34</v>
      </c>
      <c r="M134" s="154"/>
      <c r="N134" s="154"/>
      <c r="O134" s="164" t="s">
        <v>35</v>
      </c>
      <c r="P134" s="164">
        <v>57</v>
      </c>
      <c r="Q134" s="164">
        <v>11</v>
      </c>
      <c r="R134" s="167" t="s">
        <v>843</v>
      </c>
      <c r="S134" s="167" t="s">
        <v>844</v>
      </c>
      <c r="T134" s="162" t="s">
        <v>800</v>
      </c>
      <c r="U134" s="167" t="s">
        <v>804</v>
      </c>
      <c r="X134" s="169">
        <v>45018</v>
      </c>
      <c r="Y134" s="170">
        <v>5</v>
      </c>
      <c r="Z134" s="170">
        <v>0</v>
      </c>
      <c r="AA134" s="170">
        <v>0</v>
      </c>
      <c r="AB134" s="170">
        <v>0</v>
      </c>
      <c r="AC134" s="171">
        <v>5</v>
      </c>
      <c r="AD134" s="172">
        <v>360769.07500000001</v>
      </c>
      <c r="AE134" s="173">
        <v>5</v>
      </c>
      <c r="AF134" s="174">
        <v>46357</v>
      </c>
    </row>
    <row r="135" spans="1:32" ht="20" x14ac:dyDescent="0.35">
      <c r="A135" s="162" t="s">
        <v>860</v>
      </c>
      <c r="B135" s="163" t="s">
        <v>861</v>
      </c>
      <c r="C135" s="154"/>
      <c r="D135" s="162" t="s">
        <v>58</v>
      </c>
      <c r="E135" s="164" t="s">
        <v>58</v>
      </c>
      <c r="F135" s="164" t="s">
        <v>861</v>
      </c>
      <c r="G135" s="164" t="s">
        <v>860</v>
      </c>
      <c r="H135" s="165">
        <v>25208</v>
      </c>
      <c r="I135" s="164" t="s">
        <v>20</v>
      </c>
      <c r="J135" s="164" t="s">
        <v>21</v>
      </c>
      <c r="K135" s="165">
        <v>41913</v>
      </c>
      <c r="L135" s="166" t="s">
        <v>34</v>
      </c>
      <c r="M135" s="154"/>
      <c r="N135" s="154"/>
      <c r="O135" s="164" t="s">
        <v>35</v>
      </c>
      <c r="P135" s="164">
        <v>57</v>
      </c>
      <c r="Q135" s="164">
        <v>11</v>
      </c>
      <c r="R135" s="167" t="s">
        <v>843</v>
      </c>
      <c r="S135" s="167" t="s">
        <v>844</v>
      </c>
      <c r="T135" s="162" t="s">
        <v>800</v>
      </c>
      <c r="U135" s="167" t="s">
        <v>805</v>
      </c>
      <c r="X135" s="169">
        <v>45018</v>
      </c>
      <c r="Y135" s="170">
        <v>2.4999999966690001</v>
      </c>
      <c r="Z135" s="170">
        <v>0.41666667000000002</v>
      </c>
      <c r="AA135" s="170">
        <v>0</v>
      </c>
      <c r="AB135" s="170">
        <v>0</v>
      </c>
      <c r="AC135" s="171">
        <v>2.9166666666690002</v>
      </c>
      <c r="AD135" s="172">
        <v>210448.62708000001</v>
      </c>
      <c r="AE135" s="173">
        <v>2.92</v>
      </c>
      <c r="AF135" s="174">
        <v>46357</v>
      </c>
    </row>
    <row r="136" spans="1:32" ht="20" x14ac:dyDescent="0.35">
      <c r="A136" s="162" t="s">
        <v>862</v>
      </c>
      <c r="B136" s="163" t="s">
        <v>863</v>
      </c>
      <c r="C136" s="154"/>
      <c r="D136" s="162" t="s">
        <v>60</v>
      </c>
      <c r="E136" s="164" t="s">
        <v>60</v>
      </c>
      <c r="F136" s="164" t="s">
        <v>863</v>
      </c>
      <c r="G136" s="164" t="s">
        <v>862</v>
      </c>
      <c r="H136" s="165">
        <v>23836</v>
      </c>
      <c r="I136" s="164" t="s">
        <v>20</v>
      </c>
      <c r="J136" s="164" t="s">
        <v>21</v>
      </c>
      <c r="K136" s="165">
        <v>41827</v>
      </c>
      <c r="L136" s="166" t="s">
        <v>34</v>
      </c>
      <c r="M136" s="154"/>
      <c r="N136" s="154"/>
      <c r="O136" s="164" t="s">
        <v>35</v>
      </c>
      <c r="P136" s="164">
        <v>61</v>
      </c>
      <c r="Q136" s="164">
        <v>12</v>
      </c>
      <c r="R136" s="167" t="s">
        <v>864</v>
      </c>
      <c r="S136" s="167" t="s">
        <v>832</v>
      </c>
      <c r="T136" s="162" t="s">
        <v>794</v>
      </c>
      <c r="U136" s="167" t="s">
        <v>819</v>
      </c>
      <c r="V136" s="162" t="s">
        <v>853</v>
      </c>
      <c r="W136" s="168">
        <v>12</v>
      </c>
      <c r="X136" s="169">
        <v>45018</v>
      </c>
      <c r="Y136" s="170">
        <v>12.470000000011</v>
      </c>
      <c r="Z136" s="170">
        <v>2</v>
      </c>
      <c r="AA136" s="170">
        <v>0</v>
      </c>
      <c r="AB136" s="170">
        <v>0</v>
      </c>
      <c r="AC136" s="171">
        <v>14.470000000011</v>
      </c>
      <c r="AD136" s="172">
        <v>1044347.96823</v>
      </c>
      <c r="AE136" s="173" t="s">
        <v>797</v>
      </c>
      <c r="AF136" s="173"/>
    </row>
    <row r="137" spans="1:32" x14ac:dyDescent="0.35">
      <c r="A137" s="162" t="s">
        <v>862</v>
      </c>
      <c r="B137" s="163" t="s">
        <v>863</v>
      </c>
      <c r="C137" s="154"/>
      <c r="D137" s="162" t="s">
        <v>60</v>
      </c>
      <c r="E137" s="164" t="s">
        <v>60</v>
      </c>
      <c r="F137" s="164" t="s">
        <v>863</v>
      </c>
      <c r="G137" s="164" t="s">
        <v>862</v>
      </c>
      <c r="H137" s="165">
        <v>23836</v>
      </c>
      <c r="I137" s="164" t="s">
        <v>20</v>
      </c>
      <c r="J137" s="164" t="s">
        <v>21</v>
      </c>
      <c r="K137" s="165">
        <v>41827</v>
      </c>
      <c r="L137" s="166" t="s">
        <v>34</v>
      </c>
      <c r="M137" s="154"/>
      <c r="N137" s="154"/>
      <c r="O137" s="164" t="s">
        <v>35</v>
      </c>
      <c r="P137" s="164">
        <v>61</v>
      </c>
      <c r="Q137" s="164">
        <v>12</v>
      </c>
      <c r="R137" s="167" t="s">
        <v>864</v>
      </c>
      <c r="S137" s="167" t="s">
        <v>832</v>
      </c>
      <c r="T137" s="162" t="s">
        <v>798</v>
      </c>
      <c r="U137" s="167" t="s">
        <v>799</v>
      </c>
      <c r="X137" s="169">
        <v>45018</v>
      </c>
      <c r="Y137" s="170">
        <v>180</v>
      </c>
      <c r="Z137" s="170">
        <v>0</v>
      </c>
      <c r="AA137" s="170">
        <v>0</v>
      </c>
      <c r="AB137" s="170">
        <v>0</v>
      </c>
      <c r="AC137" s="171">
        <v>180</v>
      </c>
      <c r="AD137" s="172">
        <v>12991197.946140001</v>
      </c>
      <c r="AE137" s="173">
        <v>180</v>
      </c>
      <c r="AF137" s="174">
        <v>46357</v>
      </c>
    </row>
    <row r="138" spans="1:32" x14ac:dyDescent="0.35">
      <c r="A138" s="162" t="s">
        <v>862</v>
      </c>
      <c r="B138" s="163" t="s">
        <v>863</v>
      </c>
      <c r="C138" s="154"/>
      <c r="D138" s="162" t="s">
        <v>60</v>
      </c>
      <c r="E138" s="164" t="s">
        <v>60</v>
      </c>
      <c r="F138" s="164" t="s">
        <v>863</v>
      </c>
      <c r="G138" s="164" t="s">
        <v>862</v>
      </c>
      <c r="H138" s="165">
        <v>23836</v>
      </c>
      <c r="I138" s="164" t="s">
        <v>20</v>
      </c>
      <c r="J138" s="164" t="s">
        <v>21</v>
      </c>
      <c r="K138" s="165">
        <v>41827</v>
      </c>
      <c r="L138" s="166" t="s">
        <v>34</v>
      </c>
      <c r="M138" s="154"/>
      <c r="N138" s="154"/>
      <c r="O138" s="164" t="s">
        <v>35</v>
      </c>
      <c r="P138" s="164">
        <v>61</v>
      </c>
      <c r="Q138" s="164">
        <v>12</v>
      </c>
      <c r="R138" s="167" t="s">
        <v>864</v>
      </c>
      <c r="S138" s="167" t="s">
        <v>832</v>
      </c>
      <c r="T138" s="162" t="s">
        <v>800</v>
      </c>
      <c r="U138" s="167" t="s">
        <v>801</v>
      </c>
      <c r="X138" s="169">
        <v>45018</v>
      </c>
      <c r="Y138" s="170">
        <v>26</v>
      </c>
      <c r="Z138" s="170">
        <v>0</v>
      </c>
      <c r="AA138" s="170">
        <v>0</v>
      </c>
      <c r="AB138" s="170">
        <v>0</v>
      </c>
      <c r="AC138" s="171">
        <v>26</v>
      </c>
      <c r="AD138" s="172">
        <v>1876506.37</v>
      </c>
      <c r="AE138" s="173">
        <v>26</v>
      </c>
      <c r="AF138" s="174">
        <v>46357</v>
      </c>
    </row>
    <row r="139" spans="1:32" x14ac:dyDescent="0.35">
      <c r="A139" s="162" t="s">
        <v>862</v>
      </c>
      <c r="B139" s="163" t="s">
        <v>863</v>
      </c>
      <c r="C139" s="154"/>
      <c r="D139" s="162" t="s">
        <v>60</v>
      </c>
      <c r="E139" s="164" t="s">
        <v>60</v>
      </c>
      <c r="F139" s="164" t="s">
        <v>863</v>
      </c>
      <c r="G139" s="164" t="s">
        <v>862</v>
      </c>
      <c r="H139" s="165">
        <v>23836</v>
      </c>
      <c r="I139" s="164" t="s">
        <v>20</v>
      </c>
      <c r="J139" s="164" t="s">
        <v>21</v>
      </c>
      <c r="K139" s="165">
        <v>41827</v>
      </c>
      <c r="L139" s="166" t="s">
        <v>34</v>
      </c>
      <c r="M139" s="154"/>
      <c r="N139" s="154"/>
      <c r="O139" s="164" t="s">
        <v>35</v>
      </c>
      <c r="P139" s="164">
        <v>61</v>
      </c>
      <c r="Q139" s="164">
        <v>12</v>
      </c>
      <c r="R139" s="167" t="s">
        <v>864</v>
      </c>
      <c r="S139" s="167" t="s">
        <v>832</v>
      </c>
      <c r="T139" s="162" t="s">
        <v>800</v>
      </c>
      <c r="U139" s="167" t="s">
        <v>802</v>
      </c>
      <c r="X139" s="169">
        <v>45018</v>
      </c>
      <c r="Y139" s="170">
        <v>98</v>
      </c>
      <c r="Z139" s="170">
        <v>0</v>
      </c>
      <c r="AA139" s="170">
        <v>0</v>
      </c>
      <c r="AB139" s="170">
        <v>0</v>
      </c>
      <c r="AC139" s="171">
        <v>98</v>
      </c>
      <c r="AD139" s="172">
        <v>7072985.5484499997</v>
      </c>
      <c r="AE139" s="173">
        <v>98</v>
      </c>
      <c r="AF139" s="174">
        <v>46357</v>
      </c>
    </row>
    <row r="140" spans="1:32" x14ac:dyDescent="0.35">
      <c r="A140" s="162" t="s">
        <v>862</v>
      </c>
      <c r="B140" s="163" t="s">
        <v>863</v>
      </c>
      <c r="C140" s="154"/>
      <c r="D140" s="162" t="s">
        <v>60</v>
      </c>
      <c r="E140" s="164" t="s">
        <v>60</v>
      </c>
      <c r="F140" s="164" t="s">
        <v>863</v>
      </c>
      <c r="G140" s="164" t="s">
        <v>862</v>
      </c>
      <c r="H140" s="165">
        <v>23836</v>
      </c>
      <c r="I140" s="164" t="s">
        <v>20</v>
      </c>
      <c r="J140" s="164" t="s">
        <v>21</v>
      </c>
      <c r="K140" s="165">
        <v>41827</v>
      </c>
      <c r="L140" s="166" t="s">
        <v>34</v>
      </c>
      <c r="M140" s="154"/>
      <c r="N140" s="154"/>
      <c r="O140" s="164" t="s">
        <v>35</v>
      </c>
      <c r="P140" s="164">
        <v>61</v>
      </c>
      <c r="Q140" s="164">
        <v>12</v>
      </c>
      <c r="R140" s="167" t="s">
        <v>864</v>
      </c>
      <c r="S140" s="167" t="s">
        <v>832</v>
      </c>
      <c r="T140" s="162" t="s">
        <v>800</v>
      </c>
      <c r="U140" s="167" t="s">
        <v>803</v>
      </c>
      <c r="X140" s="169">
        <v>45018</v>
      </c>
      <c r="Y140" s="170">
        <v>2</v>
      </c>
      <c r="Z140" s="170">
        <v>0</v>
      </c>
      <c r="AA140" s="170">
        <v>0</v>
      </c>
      <c r="AB140" s="170">
        <v>0</v>
      </c>
      <c r="AC140" s="171">
        <v>2</v>
      </c>
      <c r="AD140" s="172">
        <v>144346.64384999999</v>
      </c>
      <c r="AE140" s="173">
        <v>2</v>
      </c>
      <c r="AF140" s="174">
        <v>46357</v>
      </c>
    </row>
    <row r="141" spans="1:32" x14ac:dyDescent="0.35">
      <c r="A141" s="162" t="s">
        <v>862</v>
      </c>
      <c r="B141" s="163" t="s">
        <v>863</v>
      </c>
      <c r="C141" s="154"/>
      <c r="D141" s="162" t="s">
        <v>60</v>
      </c>
      <c r="E141" s="164" t="s">
        <v>60</v>
      </c>
      <c r="F141" s="164" t="s">
        <v>863</v>
      </c>
      <c r="G141" s="164" t="s">
        <v>862</v>
      </c>
      <c r="H141" s="165">
        <v>23836</v>
      </c>
      <c r="I141" s="164" t="s">
        <v>20</v>
      </c>
      <c r="J141" s="164" t="s">
        <v>21</v>
      </c>
      <c r="K141" s="165">
        <v>41827</v>
      </c>
      <c r="L141" s="166" t="s">
        <v>34</v>
      </c>
      <c r="M141" s="154"/>
      <c r="N141" s="154"/>
      <c r="O141" s="164" t="s">
        <v>35</v>
      </c>
      <c r="P141" s="164">
        <v>61</v>
      </c>
      <c r="Q141" s="164">
        <v>12</v>
      </c>
      <c r="R141" s="167" t="s">
        <v>864</v>
      </c>
      <c r="S141" s="167" t="s">
        <v>832</v>
      </c>
      <c r="T141" s="162" t="s">
        <v>800</v>
      </c>
      <c r="U141" s="167" t="s">
        <v>804</v>
      </c>
      <c r="X141" s="169">
        <v>45018</v>
      </c>
      <c r="Y141" s="170">
        <v>5</v>
      </c>
      <c r="Z141" s="170">
        <v>0</v>
      </c>
      <c r="AA141" s="170">
        <v>0</v>
      </c>
      <c r="AB141" s="170">
        <v>0</v>
      </c>
      <c r="AC141" s="171">
        <v>5</v>
      </c>
      <c r="AD141" s="172">
        <v>360866.60960999998</v>
      </c>
      <c r="AE141" s="173">
        <v>5</v>
      </c>
      <c r="AF141" s="174">
        <v>46357</v>
      </c>
    </row>
    <row r="142" spans="1:32" x14ac:dyDescent="0.35">
      <c r="A142" s="162" t="s">
        <v>862</v>
      </c>
      <c r="B142" s="163" t="s">
        <v>863</v>
      </c>
      <c r="C142" s="154"/>
      <c r="D142" s="162" t="s">
        <v>60</v>
      </c>
      <c r="E142" s="164" t="s">
        <v>60</v>
      </c>
      <c r="F142" s="164" t="s">
        <v>863</v>
      </c>
      <c r="G142" s="164" t="s">
        <v>862</v>
      </c>
      <c r="H142" s="165">
        <v>23836</v>
      </c>
      <c r="I142" s="164" t="s">
        <v>20</v>
      </c>
      <c r="J142" s="164" t="s">
        <v>21</v>
      </c>
      <c r="K142" s="165">
        <v>41827</v>
      </c>
      <c r="L142" s="166" t="s">
        <v>34</v>
      </c>
      <c r="M142" s="154"/>
      <c r="N142" s="154"/>
      <c r="O142" s="164" t="s">
        <v>35</v>
      </c>
      <c r="P142" s="164">
        <v>61</v>
      </c>
      <c r="Q142" s="164">
        <v>12</v>
      </c>
      <c r="R142" s="167" t="s">
        <v>864</v>
      </c>
      <c r="S142" s="167" t="s">
        <v>832</v>
      </c>
      <c r="T142" s="162" t="s">
        <v>800</v>
      </c>
      <c r="U142" s="167" t="s">
        <v>805</v>
      </c>
      <c r="X142" s="169">
        <v>45018</v>
      </c>
      <c r="Y142" s="170">
        <v>2.4999999966690001</v>
      </c>
      <c r="Z142" s="170">
        <v>0.41666667000000002</v>
      </c>
      <c r="AA142" s="170">
        <v>0</v>
      </c>
      <c r="AB142" s="170">
        <v>0</v>
      </c>
      <c r="AC142" s="171">
        <v>2.9166666666690002</v>
      </c>
      <c r="AD142" s="172">
        <v>210505.52228</v>
      </c>
      <c r="AE142" s="173">
        <v>2.92</v>
      </c>
      <c r="AF142" s="174">
        <v>46357</v>
      </c>
    </row>
    <row r="143" spans="1:32" ht="20" x14ac:dyDescent="0.35">
      <c r="A143" s="162" t="s">
        <v>617</v>
      </c>
      <c r="B143" s="163" t="s">
        <v>865</v>
      </c>
      <c r="C143" s="154"/>
      <c r="D143" s="162" t="s">
        <v>62</v>
      </c>
      <c r="E143" s="164" t="s">
        <v>62</v>
      </c>
      <c r="F143" s="164" t="s">
        <v>865</v>
      </c>
      <c r="G143" s="164" t="s">
        <v>617</v>
      </c>
      <c r="H143" s="165">
        <v>32392</v>
      </c>
      <c r="I143" s="164" t="s">
        <v>20</v>
      </c>
      <c r="J143" s="164" t="s">
        <v>21</v>
      </c>
      <c r="K143" s="165">
        <v>42317</v>
      </c>
      <c r="L143" s="166" t="s">
        <v>64</v>
      </c>
      <c r="M143" s="154"/>
      <c r="N143" s="154"/>
      <c r="O143" s="164" t="s">
        <v>65</v>
      </c>
      <c r="P143" s="164">
        <v>37</v>
      </c>
      <c r="Q143" s="164">
        <v>10</v>
      </c>
      <c r="R143" s="167" t="s">
        <v>866</v>
      </c>
      <c r="S143" s="167" t="s">
        <v>24</v>
      </c>
      <c r="T143" s="162" t="s">
        <v>794</v>
      </c>
      <c r="U143" s="167" t="s">
        <v>795</v>
      </c>
      <c r="V143" s="162" t="s">
        <v>838</v>
      </c>
      <c r="W143" s="168">
        <v>10</v>
      </c>
      <c r="X143" s="169">
        <v>45018</v>
      </c>
      <c r="Y143" s="170">
        <v>26.586666669993001</v>
      </c>
      <c r="Z143" s="170">
        <v>2.0833333299999999</v>
      </c>
      <c r="AA143" s="170">
        <v>0</v>
      </c>
      <c r="AB143" s="170">
        <v>0</v>
      </c>
      <c r="AC143" s="171">
        <v>28.669999999992999</v>
      </c>
      <c r="AD143" s="172">
        <v>8041222.8261599997</v>
      </c>
      <c r="AE143" s="173" t="s">
        <v>797</v>
      </c>
      <c r="AF143" s="173"/>
    </row>
    <row r="144" spans="1:32" x14ac:dyDescent="0.35">
      <c r="A144" s="162" t="s">
        <v>617</v>
      </c>
      <c r="B144" s="163" t="s">
        <v>865</v>
      </c>
      <c r="C144" s="154"/>
      <c r="D144" s="162" t="s">
        <v>62</v>
      </c>
      <c r="E144" s="164" t="s">
        <v>62</v>
      </c>
      <c r="F144" s="164" t="s">
        <v>865</v>
      </c>
      <c r="G144" s="164" t="s">
        <v>617</v>
      </c>
      <c r="H144" s="165">
        <v>32392</v>
      </c>
      <c r="I144" s="164" t="s">
        <v>20</v>
      </c>
      <c r="J144" s="164" t="s">
        <v>21</v>
      </c>
      <c r="K144" s="165">
        <v>42317</v>
      </c>
      <c r="L144" s="166" t="s">
        <v>64</v>
      </c>
      <c r="M144" s="154"/>
      <c r="N144" s="154"/>
      <c r="O144" s="164" t="s">
        <v>65</v>
      </c>
      <c r="P144" s="164">
        <v>37</v>
      </c>
      <c r="Q144" s="164">
        <v>10</v>
      </c>
      <c r="R144" s="167" t="s">
        <v>866</v>
      </c>
      <c r="S144" s="167" t="s">
        <v>24</v>
      </c>
      <c r="T144" s="162" t="s">
        <v>798</v>
      </c>
      <c r="U144" s="167" t="s">
        <v>839</v>
      </c>
      <c r="X144" s="169">
        <v>45018</v>
      </c>
      <c r="Y144" s="170">
        <v>177</v>
      </c>
      <c r="Z144" s="170">
        <v>0</v>
      </c>
      <c r="AA144" s="170">
        <v>0</v>
      </c>
      <c r="AB144" s="170">
        <v>0</v>
      </c>
      <c r="AC144" s="171">
        <v>177</v>
      </c>
      <c r="AD144" s="172">
        <v>49644103.25186</v>
      </c>
      <c r="AE144" s="173">
        <v>177</v>
      </c>
      <c r="AF144" s="174">
        <v>46357</v>
      </c>
    </row>
    <row r="145" spans="1:32" x14ac:dyDescent="0.35">
      <c r="A145" s="162" t="s">
        <v>617</v>
      </c>
      <c r="B145" s="163" t="s">
        <v>865</v>
      </c>
      <c r="C145" s="154"/>
      <c r="D145" s="162" t="s">
        <v>62</v>
      </c>
      <c r="E145" s="164" t="s">
        <v>62</v>
      </c>
      <c r="F145" s="164" t="s">
        <v>865</v>
      </c>
      <c r="G145" s="164" t="s">
        <v>617</v>
      </c>
      <c r="H145" s="165">
        <v>32392</v>
      </c>
      <c r="I145" s="164" t="s">
        <v>20</v>
      </c>
      <c r="J145" s="164" t="s">
        <v>21</v>
      </c>
      <c r="K145" s="165">
        <v>42317</v>
      </c>
      <c r="L145" s="166" t="s">
        <v>64</v>
      </c>
      <c r="M145" s="154"/>
      <c r="N145" s="154"/>
      <c r="O145" s="164" t="s">
        <v>65</v>
      </c>
      <c r="P145" s="164">
        <v>37</v>
      </c>
      <c r="Q145" s="164">
        <v>10</v>
      </c>
      <c r="R145" s="167" t="s">
        <v>866</v>
      </c>
      <c r="S145" s="167" t="s">
        <v>24</v>
      </c>
      <c r="T145" s="162" t="s">
        <v>800</v>
      </c>
      <c r="U145" s="167" t="s">
        <v>801</v>
      </c>
      <c r="X145" s="169">
        <v>45018</v>
      </c>
      <c r="Y145" s="170">
        <v>26</v>
      </c>
      <c r="Z145" s="170">
        <v>0</v>
      </c>
      <c r="AA145" s="170">
        <v>0</v>
      </c>
      <c r="AB145" s="170">
        <v>0</v>
      </c>
      <c r="AC145" s="171">
        <v>26</v>
      </c>
      <c r="AD145" s="172">
        <v>7292354.1499899998</v>
      </c>
      <c r="AE145" s="173">
        <v>26</v>
      </c>
      <c r="AF145" s="174">
        <v>46357</v>
      </c>
    </row>
    <row r="146" spans="1:32" x14ac:dyDescent="0.35">
      <c r="A146" s="162" t="s">
        <v>617</v>
      </c>
      <c r="B146" s="163" t="s">
        <v>865</v>
      </c>
      <c r="C146" s="154"/>
      <c r="D146" s="162" t="s">
        <v>62</v>
      </c>
      <c r="E146" s="164" t="s">
        <v>62</v>
      </c>
      <c r="F146" s="164" t="s">
        <v>865</v>
      </c>
      <c r="G146" s="164" t="s">
        <v>617</v>
      </c>
      <c r="H146" s="165">
        <v>32392</v>
      </c>
      <c r="I146" s="164" t="s">
        <v>20</v>
      </c>
      <c r="J146" s="164" t="s">
        <v>21</v>
      </c>
      <c r="K146" s="165">
        <v>42317</v>
      </c>
      <c r="L146" s="166" t="s">
        <v>64</v>
      </c>
      <c r="M146" s="154"/>
      <c r="N146" s="154"/>
      <c r="O146" s="164" t="s">
        <v>65</v>
      </c>
      <c r="P146" s="164">
        <v>37</v>
      </c>
      <c r="Q146" s="164">
        <v>10</v>
      </c>
      <c r="R146" s="167" t="s">
        <v>866</v>
      </c>
      <c r="S146" s="167" t="s">
        <v>24</v>
      </c>
      <c r="T146" s="162" t="s">
        <v>800</v>
      </c>
      <c r="U146" s="167" t="s">
        <v>802</v>
      </c>
      <c r="X146" s="169">
        <v>45018</v>
      </c>
      <c r="Y146" s="170">
        <v>98</v>
      </c>
      <c r="Z146" s="170">
        <v>0</v>
      </c>
      <c r="AA146" s="170">
        <v>0</v>
      </c>
      <c r="AB146" s="170">
        <v>0</v>
      </c>
      <c r="AC146" s="171">
        <v>98</v>
      </c>
      <c r="AD146" s="172">
        <v>27486565.642269999</v>
      </c>
      <c r="AE146" s="173">
        <v>98</v>
      </c>
      <c r="AF146" s="174">
        <v>46357</v>
      </c>
    </row>
    <row r="147" spans="1:32" x14ac:dyDescent="0.35">
      <c r="A147" s="162" t="s">
        <v>617</v>
      </c>
      <c r="B147" s="163" t="s">
        <v>865</v>
      </c>
      <c r="C147" s="154"/>
      <c r="D147" s="162" t="s">
        <v>62</v>
      </c>
      <c r="E147" s="164" t="s">
        <v>62</v>
      </c>
      <c r="F147" s="164" t="s">
        <v>865</v>
      </c>
      <c r="G147" s="164" t="s">
        <v>617</v>
      </c>
      <c r="H147" s="165">
        <v>32392</v>
      </c>
      <c r="I147" s="164" t="s">
        <v>20</v>
      </c>
      <c r="J147" s="164" t="s">
        <v>21</v>
      </c>
      <c r="K147" s="165">
        <v>42317</v>
      </c>
      <c r="L147" s="166" t="s">
        <v>64</v>
      </c>
      <c r="M147" s="154"/>
      <c r="N147" s="154"/>
      <c r="O147" s="164" t="s">
        <v>65</v>
      </c>
      <c r="P147" s="164">
        <v>37</v>
      </c>
      <c r="Q147" s="164">
        <v>10</v>
      </c>
      <c r="R147" s="167" t="s">
        <v>866</v>
      </c>
      <c r="S147" s="167" t="s">
        <v>24</v>
      </c>
      <c r="T147" s="162" t="s">
        <v>800</v>
      </c>
      <c r="U147" s="167" t="s">
        <v>803</v>
      </c>
      <c r="X147" s="169">
        <v>45018</v>
      </c>
      <c r="Y147" s="170">
        <v>2</v>
      </c>
      <c r="Z147" s="170">
        <v>0</v>
      </c>
      <c r="AA147" s="170">
        <v>0</v>
      </c>
      <c r="AB147" s="170">
        <v>0</v>
      </c>
      <c r="AC147" s="171">
        <v>2</v>
      </c>
      <c r="AD147" s="172">
        <v>560950.31923000002</v>
      </c>
      <c r="AE147" s="173">
        <v>2</v>
      </c>
      <c r="AF147" s="174">
        <v>46357</v>
      </c>
    </row>
    <row r="148" spans="1:32" x14ac:dyDescent="0.35">
      <c r="A148" s="162" t="s">
        <v>617</v>
      </c>
      <c r="B148" s="163" t="s">
        <v>865</v>
      </c>
      <c r="C148" s="154"/>
      <c r="D148" s="162" t="s">
        <v>62</v>
      </c>
      <c r="E148" s="164" t="s">
        <v>62</v>
      </c>
      <c r="F148" s="164" t="s">
        <v>865</v>
      </c>
      <c r="G148" s="164" t="s">
        <v>617</v>
      </c>
      <c r="H148" s="165">
        <v>32392</v>
      </c>
      <c r="I148" s="164" t="s">
        <v>20</v>
      </c>
      <c r="J148" s="164" t="s">
        <v>21</v>
      </c>
      <c r="K148" s="165">
        <v>42317</v>
      </c>
      <c r="L148" s="166" t="s">
        <v>64</v>
      </c>
      <c r="M148" s="154"/>
      <c r="N148" s="154"/>
      <c r="O148" s="164" t="s">
        <v>65</v>
      </c>
      <c r="P148" s="164">
        <v>37</v>
      </c>
      <c r="Q148" s="164">
        <v>10</v>
      </c>
      <c r="R148" s="167" t="s">
        <v>866</v>
      </c>
      <c r="S148" s="167" t="s">
        <v>24</v>
      </c>
      <c r="T148" s="162" t="s">
        <v>800</v>
      </c>
      <c r="U148" s="167" t="s">
        <v>804</v>
      </c>
      <c r="X148" s="169">
        <v>45018</v>
      </c>
      <c r="Y148" s="170">
        <v>5</v>
      </c>
      <c r="Z148" s="170">
        <v>0</v>
      </c>
      <c r="AA148" s="170">
        <v>0</v>
      </c>
      <c r="AB148" s="170">
        <v>0</v>
      </c>
      <c r="AC148" s="171">
        <v>5</v>
      </c>
      <c r="AD148" s="172">
        <v>1402375.7980800001</v>
      </c>
      <c r="AE148" s="173">
        <v>5</v>
      </c>
      <c r="AF148" s="174">
        <v>46357</v>
      </c>
    </row>
    <row r="149" spans="1:32" x14ac:dyDescent="0.35">
      <c r="A149" s="162" t="s">
        <v>617</v>
      </c>
      <c r="B149" s="163" t="s">
        <v>865</v>
      </c>
      <c r="C149" s="154"/>
      <c r="D149" s="162" t="s">
        <v>62</v>
      </c>
      <c r="E149" s="164" t="s">
        <v>62</v>
      </c>
      <c r="F149" s="164" t="s">
        <v>865</v>
      </c>
      <c r="G149" s="164" t="s">
        <v>617</v>
      </c>
      <c r="H149" s="165">
        <v>32392</v>
      </c>
      <c r="I149" s="164" t="s">
        <v>20</v>
      </c>
      <c r="J149" s="164" t="s">
        <v>21</v>
      </c>
      <c r="K149" s="165">
        <v>42317</v>
      </c>
      <c r="L149" s="166" t="s">
        <v>64</v>
      </c>
      <c r="M149" s="154"/>
      <c r="N149" s="154"/>
      <c r="O149" s="164" t="s">
        <v>65</v>
      </c>
      <c r="P149" s="164">
        <v>37</v>
      </c>
      <c r="Q149" s="164">
        <v>10</v>
      </c>
      <c r="R149" s="167" t="s">
        <v>866</v>
      </c>
      <c r="S149" s="167" t="s">
        <v>24</v>
      </c>
      <c r="T149" s="162" t="s">
        <v>800</v>
      </c>
      <c r="U149" s="167" t="s">
        <v>840</v>
      </c>
      <c r="X149" s="169">
        <v>45018</v>
      </c>
      <c r="Y149" s="170">
        <v>2.4999999966690001</v>
      </c>
      <c r="Z149" s="170">
        <v>0.41666667000000002</v>
      </c>
      <c r="AA149" s="170">
        <v>0</v>
      </c>
      <c r="AB149" s="170">
        <v>0</v>
      </c>
      <c r="AC149" s="171">
        <v>2.9166666666690002</v>
      </c>
      <c r="AD149" s="172">
        <v>818052.54888000002</v>
      </c>
      <c r="AE149" s="173">
        <v>2.92</v>
      </c>
      <c r="AF149" s="174">
        <v>46357</v>
      </c>
    </row>
    <row r="150" spans="1:32" ht="20" x14ac:dyDescent="0.35">
      <c r="A150" s="162" t="s">
        <v>867</v>
      </c>
      <c r="B150" s="163" t="s">
        <v>868</v>
      </c>
      <c r="C150" s="154"/>
      <c r="D150" s="162" t="s">
        <v>66</v>
      </c>
      <c r="E150" s="164" t="s">
        <v>66</v>
      </c>
      <c r="F150" s="164" t="s">
        <v>868</v>
      </c>
      <c r="G150" s="164" t="s">
        <v>867</v>
      </c>
      <c r="H150" s="165">
        <v>31255</v>
      </c>
      <c r="I150" s="164" t="s">
        <v>20</v>
      </c>
      <c r="J150" s="164" t="s">
        <v>68</v>
      </c>
      <c r="K150" s="165">
        <v>42317</v>
      </c>
      <c r="L150" s="166" t="s">
        <v>69</v>
      </c>
      <c r="M150" s="154"/>
      <c r="N150" s="154"/>
      <c r="O150" s="164" t="s">
        <v>70</v>
      </c>
      <c r="P150" s="164">
        <v>41</v>
      </c>
      <c r="Q150" s="164">
        <v>10</v>
      </c>
      <c r="R150" s="167" t="s">
        <v>869</v>
      </c>
      <c r="S150" s="167" t="s">
        <v>24</v>
      </c>
      <c r="T150" s="162" t="s">
        <v>794</v>
      </c>
      <c r="U150" s="167" t="s">
        <v>833</v>
      </c>
      <c r="V150" s="162" t="s">
        <v>834</v>
      </c>
      <c r="W150" s="168">
        <v>10</v>
      </c>
      <c r="X150" s="169">
        <v>45171</v>
      </c>
      <c r="Y150" s="170">
        <v>26.093333333337998</v>
      </c>
      <c r="Z150" s="170">
        <v>2.25</v>
      </c>
      <c r="AA150" s="170">
        <v>-25</v>
      </c>
      <c r="AB150" s="170">
        <v>0</v>
      </c>
      <c r="AC150" s="171">
        <v>3.3433333333380002</v>
      </c>
      <c r="AD150" s="172">
        <v>2764454.4615600002</v>
      </c>
      <c r="AE150" s="173" t="s">
        <v>797</v>
      </c>
      <c r="AF150" s="173"/>
    </row>
    <row r="151" spans="1:32" ht="20" x14ac:dyDescent="0.35">
      <c r="A151" s="162" t="s">
        <v>867</v>
      </c>
      <c r="B151" s="163" t="s">
        <v>868</v>
      </c>
      <c r="C151" s="154"/>
      <c r="D151" s="162" t="s">
        <v>66</v>
      </c>
      <c r="E151" s="164" t="s">
        <v>66</v>
      </c>
      <c r="F151" s="164" t="s">
        <v>868</v>
      </c>
      <c r="G151" s="164" t="s">
        <v>867</v>
      </c>
      <c r="H151" s="165">
        <v>31255</v>
      </c>
      <c r="I151" s="164" t="s">
        <v>20</v>
      </c>
      <c r="J151" s="164" t="s">
        <v>68</v>
      </c>
      <c r="K151" s="165">
        <v>42317</v>
      </c>
      <c r="L151" s="166" t="s">
        <v>69</v>
      </c>
      <c r="M151" s="154"/>
      <c r="N151" s="154"/>
      <c r="O151" s="164" t="s">
        <v>70</v>
      </c>
      <c r="P151" s="164">
        <v>41</v>
      </c>
      <c r="Q151" s="164">
        <v>10</v>
      </c>
      <c r="R151" s="167" t="s">
        <v>869</v>
      </c>
      <c r="S151" s="167" t="s">
        <v>24</v>
      </c>
      <c r="T151" s="162" t="s">
        <v>798</v>
      </c>
      <c r="U151" s="167" t="s">
        <v>799</v>
      </c>
      <c r="X151" s="169">
        <v>45171</v>
      </c>
      <c r="Y151" s="170">
        <v>174</v>
      </c>
      <c r="Z151" s="170">
        <v>0</v>
      </c>
      <c r="AA151" s="170">
        <v>0</v>
      </c>
      <c r="AB151" s="170">
        <v>0</v>
      </c>
      <c r="AC151" s="171">
        <v>174</v>
      </c>
      <c r="AD151" s="172">
        <v>143872904.18062001</v>
      </c>
      <c r="AE151" s="173">
        <v>174</v>
      </c>
      <c r="AF151" s="174">
        <v>46357</v>
      </c>
    </row>
    <row r="152" spans="1:32" ht="20" x14ac:dyDescent="0.35">
      <c r="A152" s="162" t="s">
        <v>867</v>
      </c>
      <c r="B152" s="163" t="s">
        <v>868</v>
      </c>
      <c r="C152" s="154"/>
      <c r="D152" s="162" t="s">
        <v>66</v>
      </c>
      <c r="E152" s="164" t="s">
        <v>66</v>
      </c>
      <c r="F152" s="164" t="s">
        <v>868</v>
      </c>
      <c r="G152" s="164" t="s">
        <v>867</v>
      </c>
      <c r="H152" s="165">
        <v>31255</v>
      </c>
      <c r="I152" s="164" t="s">
        <v>20</v>
      </c>
      <c r="J152" s="164" t="s">
        <v>68</v>
      </c>
      <c r="K152" s="165">
        <v>42317</v>
      </c>
      <c r="L152" s="166" t="s">
        <v>69</v>
      </c>
      <c r="M152" s="154"/>
      <c r="N152" s="154"/>
      <c r="O152" s="164" t="s">
        <v>70</v>
      </c>
      <c r="P152" s="164">
        <v>41</v>
      </c>
      <c r="Q152" s="164">
        <v>10</v>
      </c>
      <c r="R152" s="167" t="s">
        <v>869</v>
      </c>
      <c r="S152" s="167" t="s">
        <v>24</v>
      </c>
      <c r="T152" s="162" t="s">
        <v>800</v>
      </c>
      <c r="U152" s="167" t="s">
        <v>801</v>
      </c>
      <c r="X152" s="169">
        <v>45171</v>
      </c>
      <c r="Y152" s="170">
        <v>26</v>
      </c>
      <c r="Z152" s="170">
        <v>0</v>
      </c>
      <c r="AA152" s="170">
        <v>0</v>
      </c>
      <c r="AB152" s="170">
        <v>0</v>
      </c>
      <c r="AC152" s="171">
        <v>26</v>
      </c>
      <c r="AD152" s="172">
        <v>21498250.04998</v>
      </c>
      <c r="AE152" s="173">
        <v>26</v>
      </c>
      <c r="AF152" s="174">
        <v>46357</v>
      </c>
    </row>
    <row r="153" spans="1:32" ht="20" x14ac:dyDescent="0.35">
      <c r="A153" s="162" t="s">
        <v>867</v>
      </c>
      <c r="B153" s="163" t="s">
        <v>868</v>
      </c>
      <c r="C153" s="154"/>
      <c r="D153" s="162" t="s">
        <v>66</v>
      </c>
      <c r="E153" s="164" t="s">
        <v>66</v>
      </c>
      <c r="F153" s="164" t="s">
        <v>868</v>
      </c>
      <c r="G153" s="164" t="s">
        <v>867</v>
      </c>
      <c r="H153" s="165">
        <v>31255</v>
      </c>
      <c r="I153" s="164" t="s">
        <v>20</v>
      </c>
      <c r="J153" s="164" t="s">
        <v>68</v>
      </c>
      <c r="K153" s="165">
        <v>42317</v>
      </c>
      <c r="L153" s="166" t="s">
        <v>69</v>
      </c>
      <c r="M153" s="154"/>
      <c r="N153" s="154"/>
      <c r="O153" s="164" t="s">
        <v>70</v>
      </c>
      <c r="P153" s="164">
        <v>41</v>
      </c>
      <c r="Q153" s="164">
        <v>10</v>
      </c>
      <c r="R153" s="167" t="s">
        <v>869</v>
      </c>
      <c r="S153" s="167" t="s">
        <v>24</v>
      </c>
      <c r="T153" s="162" t="s">
        <v>800</v>
      </c>
      <c r="U153" s="167" t="s">
        <v>802</v>
      </c>
      <c r="X153" s="169">
        <v>45171</v>
      </c>
      <c r="Y153" s="170">
        <v>98</v>
      </c>
      <c r="Z153" s="170">
        <v>0</v>
      </c>
      <c r="AA153" s="170">
        <v>0</v>
      </c>
      <c r="AB153" s="170">
        <v>0</v>
      </c>
      <c r="AC153" s="171">
        <v>98</v>
      </c>
      <c r="AD153" s="172">
        <v>81031865.57299</v>
      </c>
      <c r="AE153" s="173">
        <v>98</v>
      </c>
      <c r="AF153" s="174">
        <v>46357</v>
      </c>
    </row>
    <row r="154" spans="1:32" ht="20" x14ac:dyDescent="0.35">
      <c r="A154" s="162" t="s">
        <v>867</v>
      </c>
      <c r="B154" s="163" t="s">
        <v>868</v>
      </c>
      <c r="C154" s="154"/>
      <c r="D154" s="162" t="s">
        <v>66</v>
      </c>
      <c r="E154" s="164" t="s">
        <v>66</v>
      </c>
      <c r="F154" s="164" t="s">
        <v>868</v>
      </c>
      <c r="G154" s="164" t="s">
        <v>867</v>
      </c>
      <c r="H154" s="165">
        <v>31255</v>
      </c>
      <c r="I154" s="164" t="s">
        <v>20</v>
      </c>
      <c r="J154" s="164" t="s">
        <v>68</v>
      </c>
      <c r="K154" s="165">
        <v>42317</v>
      </c>
      <c r="L154" s="166" t="s">
        <v>69</v>
      </c>
      <c r="M154" s="154"/>
      <c r="N154" s="154"/>
      <c r="O154" s="164" t="s">
        <v>70</v>
      </c>
      <c r="P154" s="164">
        <v>41</v>
      </c>
      <c r="Q154" s="164">
        <v>10</v>
      </c>
      <c r="R154" s="167" t="s">
        <v>869</v>
      </c>
      <c r="S154" s="167" t="s">
        <v>24</v>
      </c>
      <c r="T154" s="162" t="s">
        <v>800</v>
      </c>
      <c r="U154" s="167" t="s">
        <v>803</v>
      </c>
      <c r="X154" s="169">
        <v>45171</v>
      </c>
      <c r="Y154" s="170">
        <v>0</v>
      </c>
      <c r="Z154" s="170">
        <v>0</v>
      </c>
      <c r="AA154" s="170">
        <v>0</v>
      </c>
      <c r="AB154" s="170">
        <v>0</v>
      </c>
      <c r="AC154" s="171">
        <v>0</v>
      </c>
      <c r="AD154" s="172">
        <v>0</v>
      </c>
      <c r="AE154" s="173">
        <v>0</v>
      </c>
      <c r="AF154" s="174">
        <v>46357</v>
      </c>
    </row>
    <row r="155" spans="1:32" ht="20" x14ac:dyDescent="0.35">
      <c r="A155" s="162" t="s">
        <v>867</v>
      </c>
      <c r="B155" s="163" t="s">
        <v>868</v>
      </c>
      <c r="C155" s="154"/>
      <c r="D155" s="162" t="s">
        <v>66</v>
      </c>
      <c r="E155" s="164" t="s">
        <v>66</v>
      </c>
      <c r="F155" s="164" t="s">
        <v>868</v>
      </c>
      <c r="G155" s="164" t="s">
        <v>867</v>
      </c>
      <c r="H155" s="165">
        <v>31255</v>
      </c>
      <c r="I155" s="164" t="s">
        <v>20</v>
      </c>
      <c r="J155" s="164" t="s">
        <v>68</v>
      </c>
      <c r="K155" s="165">
        <v>42317</v>
      </c>
      <c r="L155" s="166" t="s">
        <v>69</v>
      </c>
      <c r="M155" s="154"/>
      <c r="N155" s="154"/>
      <c r="O155" s="164" t="s">
        <v>70</v>
      </c>
      <c r="P155" s="164">
        <v>41</v>
      </c>
      <c r="Q155" s="164">
        <v>10</v>
      </c>
      <c r="R155" s="167" t="s">
        <v>869</v>
      </c>
      <c r="S155" s="167" t="s">
        <v>24</v>
      </c>
      <c r="T155" s="162" t="s">
        <v>800</v>
      </c>
      <c r="U155" s="167" t="s">
        <v>804</v>
      </c>
      <c r="X155" s="169">
        <v>45171</v>
      </c>
      <c r="Y155" s="170">
        <v>5</v>
      </c>
      <c r="Z155" s="170">
        <v>0</v>
      </c>
      <c r="AA155" s="170">
        <v>0</v>
      </c>
      <c r="AB155" s="170">
        <v>0</v>
      </c>
      <c r="AC155" s="171">
        <v>5</v>
      </c>
      <c r="AD155" s="172">
        <v>4134278.8557600002</v>
      </c>
      <c r="AE155" s="173">
        <v>5</v>
      </c>
      <c r="AF155" s="174">
        <v>46357</v>
      </c>
    </row>
    <row r="156" spans="1:32" ht="20" x14ac:dyDescent="0.35">
      <c r="A156" s="162" t="s">
        <v>867</v>
      </c>
      <c r="B156" s="163" t="s">
        <v>868</v>
      </c>
      <c r="C156" s="154"/>
      <c r="D156" s="162" t="s">
        <v>66</v>
      </c>
      <c r="E156" s="164" t="s">
        <v>66</v>
      </c>
      <c r="F156" s="164" t="s">
        <v>868</v>
      </c>
      <c r="G156" s="164" t="s">
        <v>867</v>
      </c>
      <c r="H156" s="165">
        <v>31255</v>
      </c>
      <c r="I156" s="164" t="s">
        <v>20</v>
      </c>
      <c r="J156" s="164" t="s">
        <v>68</v>
      </c>
      <c r="K156" s="165">
        <v>42317</v>
      </c>
      <c r="L156" s="166" t="s">
        <v>69</v>
      </c>
      <c r="M156" s="154"/>
      <c r="N156" s="154"/>
      <c r="O156" s="164" t="s">
        <v>70</v>
      </c>
      <c r="P156" s="164">
        <v>41</v>
      </c>
      <c r="Q156" s="164">
        <v>10</v>
      </c>
      <c r="R156" s="167" t="s">
        <v>869</v>
      </c>
      <c r="S156" s="167" t="s">
        <v>24</v>
      </c>
      <c r="T156" s="162" t="s">
        <v>800</v>
      </c>
      <c r="U156" s="167" t="s">
        <v>805</v>
      </c>
      <c r="X156" s="169">
        <v>45171</v>
      </c>
      <c r="Y156" s="170">
        <v>2.4999999966690001</v>
      </c>
      <c r="Z156" s="170">
        <v>0.41666667000000002</v>
      </c>
      <c r="AA156" s="170">
        <v>0</v>
      </c>
      <c r="AB156" s="170">
        <v>0</v>
      </c>
      <c r="AC156" s="171">
        <v>2.9166666666690002</v>
      </c>
      <c r="AD156" s="172">
        <v>2411662.6658600001</v>
      </c>
      <c r="AE156" s="173">
        <v>2.92</v>
      </c>
      <c r="AF156" s="174">
        <v>46357</v>
      </c>
    </row>
    <row r="157" spans="1:32" ht="20" x14ac:dyDescent="0.35">
      <c r="A157" s="162" t="s">
        <v>870</v>
      </c>
      <c r="B157" s="163" t="s">
        <v>871</v>
      </c>
      <c r="C157" s="154"/>
      <c r="D157" s="162" t="s">
        <v>71</v>
      </c>
      <c r="E157" s="164" t="s">
        <v>71</v>
      </c>
      <c r="F157" s="164" t="s">
        <v>871</v>
      </c>
      <c r="G157" s="164" t="s">
        <v>870</v>
      </c>
      <c r="H157" s="165">
        <v>33504</v>
      </c>
      <c r="I157" s="164" t="s">
        <v>20</v>
      </c>
      <c r="J157" s="164" t="s">
        <v>21</v>
      </c>
      <c r="K157" s="165">
        <v>42317</v>
      </c>
      <c r="L157" s="166" t="s">
        <v>73</v>
      </c>
      <c r="M157" s="154"/>
      <c r="N157" s="154"/>
      <c r="O157" s="164" t="s">
        <v>50</v>
      </c>
      <c r="P157" s="164">
        <v>34</v>
      </c>
      <c r="Q157" s="164">
        <v>10</v>
      </c>
      <c r="R157" s="167" t="s">
        <v>866</v>
      </c>
      <c r="S157" s="167" t="s">
        <v>24</v>
      </c>
      <c r="T157" s="162" t="s">
        <v>794</v>
      </c>
      <c r="U157" s="167" t="s">
        <v>833</v>
      </c>
      <c r="V157" s="162" t="s">
        <v>834</v>
      </c>
      <c r="W157" s="168">
        <v>10</v>
      </c>
      <c r="X157" s="169">
        <v>45383</v>
      </c>
      <c r="Y157" s="170">
        <v>10.066666666669001</v>
      </c>
      <c r="Z157" s="170">
        <v>2.25</v>
      </c>
      <c r="AA157" s="170">
        <v>-1</v>
      </c>
      <c r="AB157" s="170">
        <v>0</v>
      </c>
      <c r="AC157" s="171">
        <v>11.316666666669001</v>
      </c>
      <c r="AD157" s="172">
        <v>4633147.2029200001</v>
      </c>
      <c r="AE157" s="173" t="s">
        <v>797</v>
      </c>
      <c r="AF157" s="173"/>
    </row>
    <row r="158" spans="1:32" x14ac:dyDescent="0.35">
      <c r="A158" s="162" t="s">
        <v>870</v>
      </c>
      <c r="B158" s="163" t="s">
        <v>871</v>
      </c>
      <c r="C158" s="154"/>
      <c r="D158" s="162" t="s">
        <v>71</v>
      </c>
      <c r="E158" s="164" t="s">
        <v>71</v>
      </c>
      <c r="F158" s="164" t="s">
        <v>871</v>
      </c>
      <c r="G158" s="164" t="s">
        <v>870</v>
      </c>
      <c r="H158" s="165">
        <v>33504</v>
      </c>
      <c r="I158" s="164" t="s">
        <v>20</v>
      </c>
      <c r="J158" s="164" t="s">
        <v>21</v>
      </c>
      <c r="K158" s="165">
        <v>42317</v>
      </c>
      <c r="L158" s="166" t="s">
        <v>73</v>
      </c>
      <c r="M158" s="154"/>
      <c r="N158" s="154"/>
      <c r="O158" s="164" t="s">
        <v>50</v>
      </c>
      <c r="P158" s="164">
        <v>34</v>
      </c>
      <c r="Q158" s="164">
        <v>10</v>
      </c>
      <c r="R158" s="167" t="s">
        <v>866</v>
      </c>
      <c r="S158" s="167" t="s">
        <v>24</v>
      </c>
      <c r="T158" s="162" t="s">
        <v>798</v>
      </c>
      <c r="U158" s="167" t="s">
        <v>799</v>
      </c>
      <c r="X158" s="169">
        <v>45383</v>
      </c>
      <c r="Y158" s="170">
        <v>180</v>
      </c>
      <c r="Z158" s="170">
        <v>0</v>
      </c>
      <c r="AA158" s="170">
        <v>0</v>
      </c>
      <c r="AB158" s="170">
        <v>0</v>
      </c>
      <c r="AC158" s="171">
        <v>180</v>
      </c>
      <c r="AD158" s="172">
        <v>73693652.122979999</v>
      </c>
      <c r="AE158" s="173">
        <v>180</v>
      </c>
      <c r="AF158" s="174">
        <v>46357</v>
      </c>
    </row>
    <row r="159" spans="1:32" x14ac:dyDescent="0.35">
      <c r="A159" s="162" t="s">
        <v>870</v>
      </c>
      <c r="B159" s="163" t="s">
        <v>871</v>
      </c>
      <c r="C159" s="154"/>
      <c r="D159" s="162" t="s">
        <v>71</v>
      </c>
      <c r="E159" s="164" t="s">
        <v>71</v>
      </c>
      <c r="F159" s="164" t="s">
        <v>871</v>
      </c>
      <c r="G159" s="164" t="s">
        <v>870</v>
      </c>
      <c r="H159" s="165">
        <v>33504</v>
      </c>
      <c r="I159" s="164" t="s">
        <v>20</v>
      </c>
      <c r="J159" s="164" t="s">
        <v>21</v>
      </c>
      <c r="K159" s="165">
        <v>42317</v>
      </c>
      <c r="L159" s="166" t="s">
        <v>73</v>
      </c>
      <c r="M159" s="154"/>
      <c r="N159" s="154"/>
      <c r="O159" s="164" t="s">
        <v>50</v>
      </c>
      <c r="P159" s="164">
        <v>34</v>
      </c>
      <c r="Q159" s="164">
        <v>10</v>
      </c>
      <c r="R159" s="167" t="s">
        <v>866</v>
      </c>
      <c r="S159" s="167" t="s">
        <v>24</v>
      </c>
      <c r="T159" s="162" t="s">
        <v>800</v>
      </c>
      <c r="U159" s="167" t="s">
        <v>801</v>
      </c>
      <c r="X159" s="169">
        <v>45383</v>
      </c>
      <c r="Y159" s="170">
        <v>26</v>
      </c>
      <c r="Z159" s="170">
        <v>0</v>
      </c>
      <c r="AA159" s="170">
        <v>0</v>
      </c>
      <c r="AB159" s="170">
        <v>0</v>
      </c>
      <c r="AC159" s="171">
        <v>26</v>
      </c>
      <c r="AD159" s="172">
        <v>10644638.63999</v>
      </c>
      <c r="AE159" s="173">
        <v>26</v>
      </c>
      <c r="AF159" s="174">
        <v>46357</v>
      </c>
    </row>
    <row r="160" spans="1:32" x14ac:dyDescent="0.35">
      <c r="A160" s="162" t="s">
        <v>870</v>
      </c>
      <c r="B160" s="163" t="s">
        <v>871</v>
      </c>
      <c r="C160" s="154"/>
      <c r="D160" s="162" t="s">
        <v>71</v>
      </c>
      <c r="E160" s="164" t="s">
        <v>71</v>
      </c>
      <c r="F160" s="164" t="s">
        <v>871</v>
      </c>
      <c r="G160" s="164" t="s">
        <v>870</v>
      </c>
      <c r="H160" s="165">
        <v>33504</v>
      </c>
      <c r="I160" s="164" t="s">
        <v>20</v>
      </c>
      <c r="J160" s="164" t="s">
        <v>21</v>
      </c>
      <c r="K160" s="165">
        <v>42317</v>
      </c>
      <c r="L160" s="166" t="s">
        <v>73</v>
      </c>
      <c r="M160" s="154"/>
      <c r="N160" s="154"/>
      <c r="O160" s="164" t="s">
        <v>50</v>
      </c>
      <c r="P160" s="164">
        <v>34</v>
      </c>
      <c r="Q160" s="164">
        <v>10</v>
      </c>
      <c r="R160" s="167" t="s">
        <v>866</v>
      </c>
      <c r="S160" s="167" t="s">
        <v>24</v>
      </c>
      <c r="T160" s="162" t="s">
        <v>800</v>
      </c>
      <c r="U160" s="167" t="s">
        <v>802</v>
      </c>
      <c r="X160" s="169">
        <v>45383</v>
      </c>
      <c r="Y160" s="170">
        <v>98</v>
      </c>
      <c r="Z160" s="170">
        <v>0</v>
      </c>
      <c r="AA160" s="170">
        <v>0</v>
      </c>
      <c r="AB160" s="170">
        <v>0</v>
      </c>
      <c r="AC160" s="171">
        <v>98</v>
      </c>
      <c r="AD160" s="172">
        <v>40122099.489179999</v>
      </c>
      <c r="AE160" s="173">
        <v>98</v>
      </c>
      <c r="AF160" s="174">
        <v>46357</v>
      </c>
    </row>
    <row r="161" spans="1:32" x14ac:dyDescent="0.35">
      <c r="A161" s="162" t="s">
        <v>870</v>
      </c>
      <c r="B161" s="163" t="s">
        <v>871</v>
      </c>
      <c r="C161" s="154"/>
      <c r="D161" s="162" t="s">
        <v>71</v>
      </c>
      <c r="E161" s="164" t="s">
        <v>71</v>
      </c>
      <c r="F161" s="164" t="s">
        <v>871</v>
      </c>
      <c r="G161" s="164" t="s">
        <v>870</v>
      </c>
      <c r="H161" s="165">
        <v>33504</v>
      </c>
      <c r="I161" s="164" t="s">
        <v>20</v>
      </c>
      <c r="J161" s="164" t="s">
        <v>21</v>
      </c>
      <c r="K161" s="165">
        <v>42317</v>
      </c>
      <c r="L161" s="166" t="s">
        <v>73</v>
      </c>
      <c r="M161" s="154"/>
      <c r="N161" s="154"/>
      <c r="O161" s="164" t="s">
        <v>50</v>
      </c>
      <c r="P161" s="164">
        <v>34</v>
      </c>
      <c r="Q161" s="164">
        <v>10</v>
      </c>
      <c r="R161" s="167" t="s">
        <v>866</v>
      </c>
      <c r="S161" s="167" t="s">
        <v>24</v>
      </c>
      <c r="T161" s="162" t="s">
        <v>800</v>
      </c>
      <c r="U161" s="167" t="s">
        <v>803</v>
      </c>
      <c r="X161" s="169">
        <v>45383</v>
      </c>
      <c r="Y161" s="170">
        <v>0</v>
      </c>
      <c r="Z161" s="170">
        <v>0</v>
      </c>
      <c r="AA161" s="170">
        <v>0</v>
      </c>
      <c r="AB161" s="170">
        <v>0</v>
      </c>
      <c r="AC161" s="171">
        <v>0</v>
      </c>
      <c r="AD161" s="172">
        <v>0</v>
      </c>
      <c r="AE161" s="173">
        <v>0</v>
      </c>
      <c r="AF161" s="174">
        <v>46357</v>
      </c>
    </row>
    <row r="162" spans="1:32" x14ac:dyDescent="0.35">
      <c r="A162" s="162" t="s">
        <v>870</v>
      </c>
      <c r="B162" s="163" t="s">
        <v>871</v>
      </c>
      <c r="C162" s="154"/>
      <c r="D162" s="162" t="s">
        <v>71</v>
      </c>
      <c r="E162" s="164" t="s">
        <v>71</v>
      </c>
      <c r="F162" s="164" t="s">
        <v>871</v>
      </c>
      <c r="G162" s="164" t="s">
        <v>870</v>
      </c>
      <c r="H162" s="165">
        <v>33504</v>
      </c>
      <c r="I162" s="164" t="s">
        <v>20</v>
      </c>
      <c r="J162" s="164" t="s">
        <v>21</v>
      </c>
      <c r="K162" s="165">
        <v>42317</v>
      </c>
      <c r="L162" s="166" t="s">
        <v>73</v>
      </c>
      <c r="M162" s="154"/>
      <c r="N162" s="154"/>
      <c r="O162" s="164" t="s">
        <v>50</v>
      </c>
      <c r="P162" s="164">
        <v>34</v>
      </c>
      <c r="Q162" s="164">
        <v>10</v>
      </c>
      <c r="R162" s="167" t="s">
        <v>866</v>
      </c>
      <c r="S162" s="167" t="s">
        <v>24</v>
      </c>
      <c r="T162" s="162" t="s">
        <v>800</v>
      </c>
      <c r="U162" s="167" t="s">
        <v>804</v>
      </c>
      <c r="X162" s="169">
        <v>45383</v>
      </c>
      <c r="Y162" s="170">
        <v>5</v>
      </c>
      <c r="Z162" s="170">
        <v>0</v>
      </c>
      <c r="AA162" s="170">
        <v>0</v>
      </c>
      <c r="AB162" s="170">
        <v>0</v>
      </c>
      <c r="AC162" s="171">
        <v>5</v>
      </c>
      <c r="AD162" s="172">
        <v>2047045.8922999999</v>
      </c>
      <c r="AE162" s="173">
        <v>5</v>
      </c>
      <c r="AF162" s="174">
        <v>46357</v>
      </c>
    </row>
    <row r="163" spans="1:32" x14ac:dyDescent="0.35">
      <c r="A163" s="162" t="s">
        <v>870</v>
      </c>
      <c r="B163" s="163" t="s">
        <v>871</v>
      </c>
      <c r="C163" s="154"/>
      <c r="D163" s="162" t="s">
        <v>71</v>
      </c>
      <c r="E163" s="164" t="s">
        <v>71</v>
      </c>
      <c r="F163" s="164" t="s">
        <v>871</v>
      </c>
      <c r="G163" s="164" t="s">
        <v>870</v>
      </c>
      <c r="H163" s="165">
        <v>33504</v>
      </c>
      <c r="I163" s="164" t="s">
        <v>20</v>
      </c>
      <c r="J163" s="164" t="s">
        <v>21</v>
      </c>
      <c r="K163" s="165">
        <v>42317</v>
      </c>
      <c r="L163" s="166" t="s">
        <v>73</v>
      </c>
      <c r="M163" s="154"/>
      <c r="N163" s="154"/>
      <c r="O163" s="164" t="s">
        <v>50</v>
      </c>
      <c r="P163" s="164">
        <v>34</v>
      </c>
      <c r="Q163" s="164">
        <v>10</v>
      </c>
      <c r="R163" s="167" t="s">
        <v>866</v>
      </c>
      <c r="S163" s="167" t="s">
        <v>24</v>
      </c>
      <c r="T163" s="162" t="s">
        <v>800</v>
      </c>
      <c r="U163" s="167" t="s">
        <v>805</v>
      </c>
      <c r="X163" s="169">
        <v>45383</v>
      </c>
      <c r="Y163" s="170">
        <v>-1.5000000033309999</v>
      </c>
      <c r="Z163" s="170">
        <v>0.41666667000000002</v>
      </c>
      <c r="AA163" s="170">
        <v>0</v>
      </c>
      <c r="AB163" s="170">
        <v>0</v>
      </c>
      <c r="AC163" s="171">
        <v>-1.083333333331</v>
      </c>
      <c r="AD163" s="172">
        <v>-443526.61</v>
      </c>
      <c r="AE163" s="173">
        <v>0</v>
      </c>
      <c r="AF163" s="174">
        <v>46357</v>
      </c>
    </row>
    <row r="164" spans="1:32" ht="20" x14ac:dyDescent="0.35">
      <c r="A164" s="162" t="s">
        <v>637</v>
      </c>
      <c r="B164" s="163" t="s">
        <v>872</v>
      </c>
      <c r="C164" s="154"/>
      <c r="D164" s="162" t="s">
        <v>74</v>
      </c>
      <c r="E164" s="164" t="s">
        <v>74</v>
      </c>
      <c r="F164" s="164" t="s">
        <v>872</v>
      </c>
      <c r="G164" s="164" t="s">
        <v>637</v>
      </c>
      <c r="H164" s="165">
        <v>30405</v>
      </c>
      <c r="I164" s="164" t="s">
        <v>20</v>
      </c>
      <c r="J164" s="164" t="s">
        <v>68</v>
      </c>
      <c r="K164" s="165">
        <v>42317</v>
      </c>
      <c r="L164" s="166" t="s">
        <v>76</v>
      </c>
      <c r="M164" s="154"/>
      <c r="N164" s="154"/>
      <c r="O164" s="164" t="s">
        <v>65</v>
      </c>
      <c r="P164" s="164">
        <v>43</v>
      </c>
      <c r="Q164" s="164">
        <v>10</v>
      </c>
      <c r="R164" s="167" t="s">
        <v>873</v>
      </c>
      <c r="S164" s="167" t="s">
        <v>24</v>
      </c>
      <c r="T164" s="162" t="s">
        <v>794</v>
      </c>
      <c r="U164" s="167" t="s">
        <v>795</v>
      </c>
      <c r="V164" s="162" t="s">
        <v>838</v>
      </c>
      <c r="W164" s="168">
        <v>10</v>
      </c>
      <c r="X164" s="169">
        <v>45018</v>
      </c>
      <c r="Y164" s="170">
        <v>18.586666669993001</v>
      </c>
      <c r="Z164" s="170">
        <v>2.0833333299999999</v>
      </c>
      <c r="AA164" s="170">
        <v>0</v>
      </c>
      <c r="AB164" s="170">
        <v>0</v>
      </c>
      <c r="AC164" s="171">
        <v>20.669999999992999</v>
      </c>
      <c r="AD164" s="172">
        <v>5990167.9477300001</v>
      </c>
      <c r="AE164" s="173" t="s">
        <v>797</v>
      </c>
      <c r="AF164" s="173"/>
    </row>
    <row r="165" spans="1:32" ht="20" x14ac:dyDescent="0.35">
      <c r="A165" s="162" t="s">
        <v>637</v>
      </c>
      <c r="B165" s="163" t="s">
        <v>872</v>
      </c>
      <c r="C165" s="154"/>
      <c r="D165" s="162" t="s">
        <v>74</v>
      </c>
      <c r="E165" s="164" t="s">
        <v>74</v>
      </c>
      <c r="F165" s="164" t="s">
        <v>872</v>
      </c>
      <c r="G165" s="164" t="s">
        <v>637</v>
      </c>
      <c r="H165" s="165">
        <v>30405</v>
      </c>
      <c r="I165" s="164" t="s">
        <v>20</v>
      </c>
      <c r="J165" s="164" t="s">
        <v>68</v>
      </c>
      <c r="K165" s="165">
        <v>42317</v>
      </c>
      <c r="L165" s="166" t="s">
        <v>76</v>
      </c>
      <c r="M165" s="154"/>
      <c r="N165" s="154"/>
      <c r="O165" s="164" t="s">
        <v>65</v>
      </c>
      <c r="P165" s="164">
        <v>43</v>
      </c>
      <c r="Q165" s="164">
        <v>10</v>
      </c>
      <c r="R165" s="167" t="s">
        <v>873</v>
      </c>
      <c r="S165" s="167" t="s">
        <v>24</v>
      </c>
      <c r="T165" s="162" t="s">
        <v>798</v>
      </c>
      <c r="U165" s="167" t="s">
        <v>839</v>
      </c>
      <c r="X165" s="169">
        <v>45018</v>
      </c>
      <c r="Y165" s="170">
        <v>180</v>
      </c>
      <c r="Z165" s="170">
        <v>0</v>
      </c>
      <c r="AA165" s="170">
        <v>0</v>
      </c>
      <c r="AB165" s="170">
        <v>0</v>
      </c>
      <c r="AC165" s="171">
        <v>180</v>
      </c>
      <c r="AD165" s="172">
        <v>52164016.961400002</v>
      </c>
      <c r="AE165" s="173">
        <v>180</v>
      </c>
      <c r="AF165" s="174">
        <v>46357</v>
      </c>
    </row>
    <row r="166" spans="1:32" ht="20" x14ac:dyDescent="0.35">
      <c r="A166" s="162" t="s">
        <v>637</v>
      </c>
      <c r="B166" s="163" t="s">
        <v>872</v>
      </c>
      <c r="C166" s="154"/>
      <c r="D166" s="162" t="s">
        <v>74</v>
      </c>
      <c r="E166" s="164" t="s">
        <v>74</v>
      </c>
      <c r="F166" s="164" t="s">
        <v>872</v>
      </c>
      <c r="G166" s="164" t="s">
        <v>637</v>
      </c>
      <c r="H166" s="165">
        <v>30405</v>
      </c>
      <c r="I166" s="164" t="s">
        <v>20</v>
      </c>
      <c r="J166" s="164" t="s">
        <v>68</v>
      </c>
      <c r="K166" s="165">
        <v>42317</v>
      </c>
      <c r="L166" s="166" t="s">
        <v>76</v>
      </c>
      <c r="M166" s="154"/>
      <c r="N166" s="154"/>
      <c r="O166" s="164" t="s">
        <v>65</v>
      </c>
      <c r="P166" s="164">
        <v>43</v>
      </c>
      <c r="Q166" s="164">
        <v>10</v>
      </c>
      <c r="R166" s="167" t="s">
        <v>873</v>
      </c>
      <c r="S166" s="167" t="s">
        <v>24</v>
      </c>
      <c r="T166" s="162" t="s">
        <v>800</v>
      </c>
      <c r="U166" s="167" t="s">
        <v>801</v>
      </c>
      <c r="X166" s="169">
        <v>45018</v>
      </c>
      <c r="Y166" s="170">
        <v>26</v>
      </c>
      <c r="Z166" s="170">
        <v>0</v>
      </c>
      <c r="AA166" s="170">
        <v>0</v>
      </c>
      <c r="AB166" s="170">
        <v>0</v>
      </c>
      <c r="AC166" s="171">
        <v>26</v>
      </c>
      <c r="AD166" s="172">
        <v>7534802.44998</v>
      </c>
      <c r="AE166" s="173">
        <v>26</v>
      </c>
      <c r="AF166" s="174">
        <v>46357</v>
      </c>
    </row>
    <row r="167" spans="1:32" ht="20" x14ac:dyDescent="0.35">
      <c r="A167" s="162" t="s">
        <v>637</v>
      </c>
      <c r="B167" s="163" t="s">
        <v>872</v>
      </c>
      <c r="C167" s="154"/>
      <c r="D167" s="162" t="s">
        <v>74</v>
      </c>
      <c r="E167" s="164" t="s">
        <v>74</v>
      </c>
      <c r="F167" s="164" t="s">
        <v>872</v>
      </c>
      <c r="G167" s="164" t="s">
        <v>637</v>
      </c>
      <c r="H167" s="165">
        <v>30405</v>
      </c>
      <c r="I167" s="164" t="s">
        <v>20</v>
      </c>
      <c r="J167" s="164" t="s">
        <v>68</v>
      </c>
      <c r="K167" s="165">
        <v>42317</v>
      </c>
      <c r="L167" s="166" t="s">
        <v>76</v>
      </c>
      <c r="M167" s="154"/>
      <c r="N167" s="154"/>
      <c r="O167" s="164" t="s">
        <v>65</v>
      </c>
      <c r="P167" s="164">
        <v>43</v>
      </c>
      <c r="Q167" s="164">
        <v>10</v>
      </c>
      <c r="R167" s="167" t="s">
        <v>873</v>
      </c>
      <c r="S167" s="167" t="s">
        <v>24</v>
      </c>
      <c r="T167" s="162" t="s">
        <v>800</v>
      </c>
      <c r="U167" s="167" t="s">
        <v>802</v>
      </c>
      <c r="X167" s="169">
        <v>45018</v>
      </c>
      <c r="Y167" s="170">
        <v>98</v>
      </c>
      <c r="Z167" s="170">
        <v>0</v>
      </c>
      <c r="AA167" s="170">
        <v>0</v>
      </c>
      <c r="AB167" s="170">
        <v>0</v>
      </c>
      <c r="AC167" s="171">
        <v>98</v>
      </c>
      <c r="AD167" s="172">
        <v>28400409.234540001</v>
      </c>
      <c r="AE167" s="173">
        <v>98</v>
      </c>
      <c r="AF167" s="174">
        <v>46357</v>
      </c>
    </row>
    <row r="168" spans="1:32" ht="20" x14ac:dyDescent="0.35">
      <c r="A168" s="162" t="s">
        <v>637</v>
      </c>
      <c r="B168" s="163" t="s">
        <v>872</v>
      </c>
      <c r="C168" s="154"/>
      <c r="D168" s="162" t="s">
        <v>74</v>
      </c>
      <c r="E168" s="164" t="s">
        <v>74</v>
      </c>
      <c r="F168" s="164" t="s">
        <v>872</v>
      </c>
      <c r="G168" s="164" t="s">
        <v>637</v>
      </c>
      <c r="H168" s="165">
        <v>30405</v>
      </c>
      <c r="I168" s="164" t="s">
        <v>20</v>
      </c>
      <c r="J168" s="164" t="s">
        <v>68</v>
      </c>
      <c r="K168" s="165">
        <v>42317</v>
      </c>
      <c r="L168" s="166" t="s">
        <v>76</v>
      </c>
      <c r="M168" s="154"/>
      <c r="N168" s="154"/>
      <c r="O168" s="164" t="s">
        <v>65</v>
      </c>
      <c r="P168" s="164">
        <v>43</v>
      </c>
      <c r="Q168" s="164">
        <v>10</v>
      </c>
      <c r="R168" s="167" t="s">
        <v>873</v>
      </c>
      <c r="S168" s="167" t="s">
        <v>24</v>
      </c>
      <c r="T168" s="162" t="s">
        <v>800</v>
      </c>
      <c r="U168" s="167" t="s">
        <v>803</v>
      </c>
      <c r="X168" s="169">
        <v>45018</v>
      </c>
      <c r="Y168" s="170">
        <v>0</v>
      </c>
      <c r="Z168" s="170">
        <v>0</v>
      </c>
      <c r="AA168" s="170">
        <v>0</v>
      </c>
      <c r="AB168" s="170">
        <v>0</v>
      </c>
      <c r="AC168" s="171">
        <v>0</v>
      </c>
      <c r="AD168" s="172">
        <v>0</v>
      </c>
      <c r="AE168" s="173">
        <v>0</v>
      </c>
      <c r="AF168" s="174">
        <v>46357</v>
      </c>
    </row>
    <row r="169" spans="1:32" ht="20" x14ac:dyDescent="0.35">
      <c r="A169" s="162" t="s">
        <v>637</v>
      </c>
      <c r="B169" s="163" t="s">
        <v>872</v>
      </c>
      <c r="C169" s="154"/>
      <c r="D169" s="162" t="s">
        <v>74</v>
      </c>
      <c r="E169" s="164" t="s">
        <v>74</v>
      </c>
      <c r="F169" s="164" t="s">
        <v>872</v>
      </c>
      <c r="G169" s="164" t="s">
        <v>637</v>
      </c>
      <c r="H169" s="165">
        <v>30405</v>
      </c>
      <c r="I169" s="164" t="s">
        <v>20</v>
      </c>
      <c r="J169" s="164" t="s">
        <v>68</v>
      </c>
      <c r="K169" s="165">
        <v>42317</v>
      </c>
      <c r="L169" s="166" t="s">
        <v>76</v>
      </c>
      <c r="M169" s="154"/>
      <c r="N169" s="154"/>
      <c r="O169" s="164" t="s">
        <v>65</v>
      </c>
      <c r="P169" s="164">
        <v>43</v>
      </c>
      <c r="Q169" s="164">
        <v>10</v>
      </c>
      <c r="R169" s="167" t="s">
        <v>873</v>
      </c>
      <c r="S169" s="167" t="s">
        <v>24</v>
      </c>
      <c r="T169" s="162" t="s">
        <v>800</v>
      </c>
      <c r="U169" s="167" t="s">
        <v>804</v>
      </c>
      <c r="X169" s="169">
        <v>45018</v>
      </c>
      <c r="Y169" s="170">
        <v>5</v>
      </c>
      <c r="Z169" s="170">
        <v>0</v>
      </c>
      <c r="AA169" s="170">
        <v>0</v>
      </c>
      <c r="AB169" s="170">
        <v>0</v>
      </c>
      <c r="AC169" s="171">
        <v>5</v>
      </c>
      <c r="AD169" s="172">
        <v>1449000.4711500001</v>
      </c>
      <c r="AE169" s="173">
        <v>5</v>
      </c>
      <c r="AF169" s="174">
        <v>46357</v>
      </c>
    </row>
    <row r="170" spans="1:32" ht="20" x14ac:dyDescent="0.35">
      <c r="A170" s="162" t="s">
        <v>637</v>
      </c>
      <c r="B170" s="163" t="s">
        <v>872</v>
      </c>
      <c r="C170" s="154"/>
      <c r="D170" s="162" t="s">
        <v>74</v>
      </c>
      <c r="E170" s="164" t="s">
        <v>74</v>
      </c>
      <c r="F170" s="164" t="s">
        <v>872</v>
      </c>
      <c r="G170" s="164" t="s">
        <v>637</v>
      </c>
      <c r="H170" s="165">
        <v>30405</v>
      </c>
      <c r="I170" s="164" t="s">
        <v>20</v>
      </c>
      <c r="J170" s="164" t="s">
        <v>68</v>
      </c>
      <c r="K170" s="165">
        <v>42317</v>
      </c>
      <c r="L170" s="166" t="s">
        <v>76</v>
      </c>
      <c r="M170" s="154"/>
      <c r="N170" s="154"/>
      <c r="O170" s="164" t="s">
        <v>65</v>
      </c>
      <c r="P170" s="164">
        <v>43</v>
      </c>
      <c r="Q170" s="164">
        <v>10</v>
      </c>
      <c r="R170" s="167" t="s">
        <v>873</v>
      </c>
      <c r="S170" s="167" t="s">
        <v>24</v>
      </c>
      <c r="T170" s="162" t="s">
        <v>800</v>
      </c>
      <c r="U170" s="167" t="s">
        <v>840</v>
      </c>
      <c r="X170" s="169">
        <v>45018</v>
      </c>
      <c r="Y170" s="170">
        <v>2.4999999966690001</v>
      </c>
      <c r="Z170" s="170">
        <v>0.41666667000000002</v>
      </c>
      <c r="AA170" s="170">
        <v>0</v>
      </c>
      <c r="AB170" s="170">
        <v>0</v>
      </c>
      <c r="AC170" s="171">
        <v>2.9166666666690002</v>
      </c>
      <c r="AD170" s="172">
        <v>845250.27483999997</v>
      </c>
      <c r="AE170" s="173">
        <v>2.92</v>
      </c>
      <c r="AF170" s="174">
        <v>46357</v>
      </c>
    </row>
    <row r="171" spans="1:32" ht="20" x14ac:dyDescent="0.35">
      <c r="A171" s="162" t="s">
        <v>874</v>
      </c>
      <c r="B171" s="163" t="s">
        <v>875</v>
      </c>
      <c r="C171" s="154"/>
      <c r="D171" s="162" t="s">
        <v>77</v>
      </c>
      <c r="E171" s="164" t="s">
        <v>77</v>
      </c>
      <c r="F171" s="164" t="s">
        <v>875</v>
      </c>
      <c r="G171" s="164" t="s">
        <v>874</v>
      </c>
      <c r="H171" s="165">
        <v>32730</v>
      </c>
      <c r="I171" s="164" t="s">
        <v>20</v>
      </c>
      <c r="J171" s="164" t="s">
        <v>68</v>
      </c>
      <c r="K171" s="165">
        <v>42317</v>
      </c>
      <c r="L171" s="166" t="s">
        <v>79</v>
      </c>
      <c r="M171" s="154"/>
      <c r="N171" s="154"/>
      <c r="O171" s="164" t="s">
        <v>29</v>
      </c>
      <c r="P171" s="164">
        <v>36</v>
      </c>
      <c r="Q171" s="164">
        <v>10</v>
      </c>
      <c r="R171" s="167" t="s">
        <v>876</v>
      </c>
      <c r="S171" s="167" t="s">
        <v>877</v>
      </c>
      <c r="T171" s="162" t="s">
        <v>794</v>
      </c>
      <c r="U171" s="167" t="s">
        <v>795</v>
      </c>
      <c r="V171" s="162" t="s">
        <v>838</v>
      </c>
      <c r="W171" s="168">
        <v>10</v>
      </c>
      <c r="X171" s="169">
        <v>45018</v>
      </c>
      <c r="Y171" s="170">
        <v>26.333333336665</v>
      </c>
      <c r="Z171" s="170">
        <v>2.0833333299999999</v>
      </c>
      <c r="AA171" s="170">
        <v>0</v>
      </c>
      <c r="AB171" s="170">
        <v>0</v>
      </c>
      <c r="AC171" s="171">
        <v>28.416666666665002</v>
      </c>
      <c r="AD171" s="172">
        <v>9114370.3446600009</v>
      </c>
      <c r="AE171" s="173" t="s">
        <v>797</v>
      </c>
      <c r="AF171" s="173"/>
    </row>
    <row r="172" spans="1:32" ht="20" x14ac:dyDescent="0.35">
      <c r="A172" s="162" t="s">
        <v>874</v>
      </c>
      <c r="B172" s="163" t="s">
        <v>875</v>
      </c>
      <c r="C172" s="154"/>
      <c r="D172" s="162" t="s">
        <v>77</v>
      </c>
      <c r="E172" s="164" t="s">
        <v>77</v>
      </c>
      <c r="F172" s="164" t="s">
        <v>875</v>
      </c>
      <c r="G172" s="164" t="s">
        <v>874</v>
      </c>
      <c r="H172" s="165">
        <v>32730</v>
      </c>
      <c r="I172" s="164" t="s">
        <v>20</v>
      </c>
      <c r="J172" s="164" t="s">
        <v>68</v>
      </c>
      <c r="K172" s="165">
        <v>42317</v>
      </c>
      <c r="L172" s="166" t="s">
        <v>79</v>
      </c>
      <c r="M172" s="154"/>
      <c r="N172" s="154"/>
      <c r="O172" s="164" t="s">
        <v>29</v>
      </c>
      <c r="P172" s="164">
        <v>36</v>
      </c>
      <c r="Q172" s="164">
        <v>10</v>
      </c>
      <c r="R172" s="167" t="s">
        <v>876</v>
      </c>
      <c r="S172" s="167" t="s">
        <v>877</v>
      </c>
      <c r="T172" s="162" t="s">
        <v>798</v>
      </c>
      <c r="U172" s="167" t="s">
        <v>839</v>
      </c>
      <c r="X172" s="169">
        <v>45018</v>
      </c>
      <c r="Y172" s="170">
        <v>180</v>
      </c>
      <c r="Z172" s="170">
        <v>0</v>
      </c>
      <c r="AA172" s="170">
        <v>0</v>
      </c>
      <c r="AB172" s="170">
        <v>0</v>
      </c>
      <c r="AC172" s="171">
        <v>180</v>
      </c>
      <c r="AD172" s="172">
        <v>57733254.969120003</v>
      </c>
      <c r="AE172" s="173">
        <v>180</v>
      </c>
      <c r="AF172" s="174">
        <v>46357</v>
      </c>
    </row>
    <row r="173" spans="1:32" ht="20" x14ac:dyDescent="0.35">
      <c r="A173" s="162" t="s">
        <v>874</v>
      </c>
      <c r="B173" s="163" t="s">
        <v>875</v>
      </c>
      <c r="C173" s="154"/>
      <c r="D173" s="162" t="s">
        <v>77</v>
      </c>
      <c r="E173" s="164" t="s">
        <v>77</v>
      </c>
      <c r="F173" s="164" t="s">
        <v>875</v>
      </c>
      <c r="G173" s="164" t="s">
        <v>874</v>
      </c>
      <c r="H173" s="165">
        <v>32730</v>
      </c>
      <c r="I173" s="164" t="s">
        <v>20</v>
      </c>
      <c r="J173" s="164" t="s">
        <v>68</v>
      </c>
      <c r="K173" s="165">
        <v>42317</v>
      </c>
      <c r="L173" s="166" t="s">
        <v>79</v>
      </c>
      <c r="M173" s="154"/>
      <c r="N173" s="154"/>
      <c r="O173" s="164" t="s">
        <v>29</v>
      </c>
      <c r="P173" s="164">
        <v>36</v>
      </c>
      <c r="Q173" s="164">
        <v>10</v>
      </c>
      <c r="R173" s="167" t="s">
        <v>876</v>
      </c>
      <c r="S173" s="167" t="s">
        <v>877</v>
      </c>
      <c r="T173" s="162" t="s">
        <v>800</v>
      </c>
      <c r="U173" s="167" t="s">
        <v>801</v>
      </c>
      <c r="X173" s="169">
        <v>45018</v>
      </c>
      <c r="Y173" s="170">
        <v>26</v>
      </c>
      <c r="Z173" s="170">
        <v>0</v>
      </c>
      <c r="AA173" s="170">
        <v>0</v>
      </c>
      <c r="AB173" s="170">
        <v>0</v>
      </c>
      <c r="AC173" s="171">
        <v>26</v>
      </c>
      <c r="AD173" s="172">
        <v>8339247.9399800003</v>
      </c>
      <c r="AE173" s="173">
        <v>26</v>
      </c>
      <c r="AF173" s="174">
        <v>46357</v>
      </c>
    </row>
    <row r="174" spans="1:32" ht="20" x14ac:dyDescent="0.35">
      <c r="A174" s="162" t="s">
        <v>874</v>
      </c>
      <c r="B174" s="163" t="s">
        <v>875</v>
      </c>
      <c r="C174" s="154"/>
      <c r="D174" s="162" t="s">
        <v>77</v>
      </c>
      <c r="E174" s="164" t="s">
        <v>77</v>
      </c>
      <c r="F174" s="164" t="s">
        <v>875</v>
      </c>
      <c r="G174" s="164" t="s">
        <v>874</v>
      </c>
      <c r="H174" s="165">
        <v>32730</v>
      </c>
      <c r="I174" s="164" t="s">
        <v>20</v>
      </c>
      <c r="J174" s="164" t="s">
        <v>68</v>
      </c>
      <c r="K174" s="165">
        <v>42317</v>
      </c>
      <c r="L174" s="166" t="s">
        <v>79</v>
      </c>
      <c r="M174" s="154"/>
      <c r="N174" s="154"/>
      <c r="O174" s="164" t="s">
        <v>29</v>
      </c>
      <c r="P174" s="164">
        <v>36</v>
      </c>
      <c r="Q174" s="164">
        <v>10</v>
      </c>
      <c r="R174" s="167" t="s">
        <v>876</v>
      </c>
      <c r="S174" s="167" t="s">
        <v>877</v>
      </c>
      <c r="T174" s="162" t="s">
        <v>800</v>
      </c>
      <c r="U174" s="167" t="s">
        <v>802</v>
      </c>
      <c r="X174" s="169">
        <v>45018</v>
      </c>
      <c r="Y174" s="170">
        <v>98</v>
      </c>
      <c r="Z174" s="170">
        <v>0</v>
      </c>
      <c r="AA174" s="170">
        <v>0</v>
      </c>
      <c r="AB174" s="170">
        <v>0</v>
      </c>
      <c r="AC174" s="171">
        <v>98</v>
      </c>
      <c r="AD174" s="172">
        <v>31432549.92763</v>
      </c>
      <c r="AE174" s="173">
        <v>98</v>
      </c>
      <c r="AF174" s="174">
        <v>46357</v>
      </c>
    </row>
    <row r="175" spans="1:32" ht="20" x14ac:dyDescent="0.35">
      <c r="A175" s="162" t="s">
        <v>874</v>
      </c>
      <c r="B175" s="163" t="s">
        <v>875</v>
      </c>
      <c r="C175" s="154"/>
      <c r="D175" s="162" t="s">
        <v>77</v>
      </c>
      <c r="E175" s="164" t="s">
        <v>77</v>
      </c>
      <c r="F175" s="164" t="s">
        <v>875</v>
      </c>
      <c r="G175" s="164" t="s">
        <v>874</v>
      </c>
      <c r="H175" s="165">
        <v>32730</v>
      </c>
      <c r="I175" s="164" t="s">
        <v>20</v>
      </c>
      <c r="J175" s="164" t="s">
        <v>68</v>
      </c>
      <c r="K175" s="165">
        <v>42317</v>
      </c>
      <c r="L175" s="166" t="s">
        <v>79</v>
      </c>
      <c r="M175" s="154"/>
      <c r="N175" s="154"/>
      <c r="O175" s="164" t="s">
        <v>29</v>
      </c>
      <c r="P175" s="164">
        <v>36</v>
      </c>
      <c r="Q175" s="164">
        <v>10</v>
      </c>
      <c r="R175" s="167" t="s">
        <v>876</v>
      </c>
      <c r="S175" s="167" t="s">
        <v>877</v>
      </c>
      <c r="T175" s="162" t="s">
        <v>800</v>
      </c>
      <c r="U175" s="167" t="s">
        <v>803</v>
      </c>
      <c r="X175" s="169">
        <v>45018</v>
      </c>
      <c r="Y175" s="170">
        <v>2</v>
      </c>
      <c r="Z175" s="170">
        <v>0</v>
      </c>
      <c r="AA175" s="170">
        <v>0</v>
      </c>
      <c r="AB175" s="170">
        <v>0</v>
      </c>
      <c r="AC175" s="171">
        <v>2</v>
      </c>
      <c r="AD175" s="172">
        <v>641480.61077000003</v>
      </c>
      <c r="AE175" s="173">
        <v>2</v>
      </c>
      <c r="AF175" s="174">
        <v>46357</v>
      </c>
    </row>
    <row r="176" spans="1:32" ht="20" x14ac:dyDescent="0.35">
      <c r="A176" s="162" t="s">
        <v>874</v>
      </c>
      <c r="B176" s="163" t="s">
        <v>875</v>
      </c>
      <c r="C176" s="154"/>
      <c r="D176" s="162" t="s">
        <v>77</v>
      </c>
      <c r="E176" s="164" t="s">
        <v>77</v>
      </c>
      <c r="F176" s="164" t="s">
        <v>875</v>
      </c>
      <c r="G176" s="164" t="s">
        <v>874</v>
      </c>
      <c r="H176" s="165">
        <v>32730</v>
      </c>
      <c r="I176" s="164" t="s">
        <v>20</v>
      </c>
      <c r="J176" s="164" t="s">
        <v>68</v>
      </c>
      <c r="K176" s="165">
        <v>42317</v>
      </c>
      <c r="L176" s="166" t="s">
        <v>79</v>
      </c>
      <c r="M176" s="154"/>
      <c r="N176" s="154"/>
      <c r="O176" s="164" t="s">
        <v>29</v>
      </c>
      <c r="P176" s="164">
        <v>36</v>
      </c>
      <c r="Q176" s="164">
        <v>10</v>
      </c>
      <c r="R176" s="167" t="s">
        <v>876</v>
      </c>
      <c r="S176" s="167" t="s">
        <v>877</v>
      </c>
      <c r="T176" s="162" t="s">
        <v>800</v>
      </c>
      <c r="U176" s="167" t="s">
        <v>804</v>
      </c>
      <c r="X176" s="169">
        <v>45018</v>
      </c>
      <c r="Y176" s="170">
        <v>5</v>
      </c>
      <c r="Z176" s="170">
        <v>0</v>
      </c>
      <c r="AA176" s="170">
        <v>0</v>
      </c>
      <c r="AB176" s="170">
        <v>0</v>
      </c>
      <c r="AC176" s="171">
        <v>5</v>
      </c>
      <c r="AD176" s="172">
        <v>1603701.5269200001</v>
      </c>
      <c r="AE176" s="173">
        <v>5</v>
      </c>
      <c r="AF176" s="174">
        <v>46357</v>
      </c>
    </row>
    <row r="177" spans="1:32" ht="20" x14ac:dyDescent="0.35">
      <c r="A177" s="162" t="s">
        <v>874</v>
      </c>
      <c r="B177" s="163" t="s">
        <v>875</v>
      </c>
      <c r="C177" s="154"/>
      <c r="D177" s="162" t="s">
        <v>77</v>
      </c>
      <c r="E177" s="164" t="s">
        <v>77</v>
      </c>
      <c r="F177" s="164" t="s">
        <v>875</v>
      </c>
      <c r="G177" s="164" t="s">
        <v>874</v>
      </c>
      <c r="H177" s="165">
        <v>32730</v>
      </c>
      <c r="I177" s="164" t="s">
        <v>20</v>
      </c>
      <c r="J177" s="164" t="s">
        <v>68</v>
      </c>
      <c r="K177" s="165">
        <v>42317</v>
      </c>
      <c r="L177" s="166" t="s">
        <v>79</v>
      </c>
      <c r="M177" s="154"/>
      <c r="N177" s="154"/>
      <c r="O177" s="164" t="s">
        <v>29</v>
      </c>
      <c r="P177" s="164">
        <v>36</v>
      </c>
      <c r="Q177" s="164">
        <v>10</v>
      </c>
      <c r="R177" s="167" t="s">
        <v>876</v>
      </c>
      <c r="S177" s="167" t="s">
        <v>877</v>
      </c>
      <c r="T177" s="162" t="s">
        <v>800</v>
      </c>
      <c r="U177" s="167" t="s">
        <v>840</v>
      </c>
      <c r="X177" s="169">
        <v>45018</v>
      </c>
      <c r="Y177" s="170">
        <v>2.4999999966690001</v>
      </c>
      <c r="Z177" s="170">
        <v>0.41666667000000002</v>
      </c>
      <c r="AA177" s="170">
        <v>0</v>
      </c>
      <c r="AB177" s="170">
        <v>0</v>
      </c>
      <c r="AC177" s="171">
        <v>2.9166666666690002</v>
      </c>
      <c r="AD177" s="172">
        <v>935492.55737000005</v>
      </c>
      <c r="AE177" s="173">
        <v>2.92</v>
      </c>
      <c r="AF177" s="174">
        <v>46357</v>
      </c>
    </row>
    <row r="178" spans="1:32" ht="20" x14ac:dyDescent="0.35">
      <c r="A178" s="162" t="s">
        <v>878</v>
      </c>
      <c r="B178" s="163" t="s">
        <v>879</v>
      </c>
      <c r="C178" s="154"/>
      <c r="D178" s="162" t="s">
        <v>80</v>
      </c>
      <c r="E178" s="164" t="s">
        <v>80</v>
      </c>
      <c r="F178" s="164" t="s">
        <v>879</v>
      </c>
      <c r="G178" s="164" t="s">
        <v>878</v>
      </c>
      <c r="H178" s="165">
        <v>32748</v>
      </c>
      <c r="I178" s="164" t="s">
        <v>20</v>
      </c>
      <c r="J178" s="164" t="s">
        <v>82</v>
      </c>
      <c r="K178" s="165">
        <v>42317</v>
      </c>
      <c r="L178" s="166" t="s">
        <v>83</v>
      </c>
      <c r="M178" s="154"/>
      <c r="N178" s="154"/>
      <c r="O178" s="164" t="s">
        <v>57</v>
      </c>
      <c r="P178" s="164">
        <v>36</v>
      </c>
      <c r="Q178" s="164">
        <v>10</v>
      </c>
      <c r="R178" s="167" t="s">
        <v>880</v>
      </c>
      <c r="S178" s="167" t="s">
        <v>832</v>
      </c>
      <c r="T178" s="162" t="s">
        <v>794</v>
      </c>
      <c r="U178" s="167" t="s">
        <v>833</v>
      </c>
      <c r="V178" s="162" t="s">
        <v>834</v>
      </c>
      <c r="W178" s="168">
        <v>10</v>
      </c>
      <c r="X178" s="169">
        <v>45505</v>
      </c>
      <c r="Y178" s="170">
        <v>22.420000000001</v>
      </c>
      <c r="Z178" s="170">
        <v>2.25</v>
      </c>
      <c r="AA178" s="170">
        <v>0</v>
      </c>
      <c r="AB178" s="170">
        <v>0</v>
      </c>
      <c r="AC178" s="171">
        <v>24.670000000001</v>
      </c>
      <c r="AD178" s="172">
        <v>7525483.6529099997</v>
      </c>
      <c r="AE178" s="173" t="s">
        <v>797</v>
      </c>
      <c r="AF178" s="173"/>
    </row>
    <row r="179" spans="1:32" ht="20" x14ac:dyDescent="0.35">
      <c r="A179" s="162" t="s">
        <v>878</v>
      </c>
      <c r="B179" s="163" t="s">
        <v>879</v>
      </c>
      <c r="C179" s="154"/>
      <c r="D179" s="162" t="s">
        <v>80</v>
      </c>
      <c r="E179" s="164" t="s">
        <v>80</v>
      </c>
      <c r="F179" s="164" t="s">
        <v>879</v>
      </c>
      <c r="G179" s="164" t="s">
        <v>878</v>
      </c>
      <c r="H179" s="165">
        <v>32748</v>
      </c>
      <c r="I179" s="164" t="s">
        <v>20</v>
      </c>
      <c r="J179" s="164" t="s">
        <v>82</v>
      </c>
      <c r="K179" s="165">
        <v>42317</v>
      </c>
      <c r="L179" s="166" t="s">
        <v>83</v>
      </c>
      <c r="M179" s="154"/>
      <c r="N179" s="154"/>
      <c r="O179" s="164" t="s">
        <v>57</v>
      </c>
      <c r="P179" s="164">
        <v>36</v>
      </c>
      <c r="Q179" s="164">
        <v>10</v>
      </c>
      <c r="R179" s="167" t="s">
        <v>880</v>
      </c>
      <c r="S179" s="167" t="s">
        <v>832</v>
      </c>
      <c r="T179" s="162" t="s">
        <v>798</v>
      </c>
      <c r="U179" s="167" t="s">
        <v>799</v>
      </c>
      <c r="X179" s="169">
        <v>45505</v>
      </c>
      <c r="Y179" s="170">
        <v>180</v>
      </c>
      <c r="Z179" s="170">
        <v>0</v>
      </c>
      <c r="AA179" s="170">
        <v>0</v>
      </c>
      <c r="AB179" s="170">
        <v>0</v>
      </c>
      <c r="AC179" s="171">
        <v>180</v>
      </c>
      <c r="AD179" s="172">
        <v>54908271.484559998</v>
      </c>
      <c r="AE179" s="173">
        <v>180</v>
      </c>
      <c r="AF179" s="174">
        <v>46357</v>
      </c>
    </row>
    <row r="180" spans="1:32" ht="20" x14ac:dyDescent="0.35">
      <c r="A180" s="162" t="s">
        <v>878</v>
      </c>
      <c r="B180" s="163" t="s">
        <v>879</v>
      </c>
      <c r="C180" s="154"/>
      <c r="D180" s="162" t="s">
        <v>80</v>
      </c>
      <c r="E180" s="164" t="s">
        <v>80</v>
      </c>
      <c r="F180" s="164" t="s">
        <v>879</v>
      </c>
      <c r="G180" s="164" t="s">
        <v>878</v>
      </c>
      <c r="H180" s="165">
        <v>32748</v>
      </c>
      <c r="I180" s="164" t="s">
        <v>20</v>
      </c>
      <c r="J180" s="164" t="s">
        <v>82</v>
      </c>
      <c r="K180" s="165">
        <v>42317</v>
      </c>
      <c r="L180" s="166" t="s">
        <v>83</v>
      </c>
      <c r="M180" s="154"/>
      <c r="N180" s="154"/>
      <c r="O180" s="164" t="s">
        <v>57</v>
      </c>
      <c r="P180" s="164">
        <v>36</v>
      </c>
      <c r="Q180" s="164">
        <v>10</v>
      </c>
      <c r="R180" s="167" t="s">
        <v>880</v>
      </c>
      <c r="S180" s="167" t="s">
        <v>832</v>
      </c>
      <c r="T180" s="162" t="s">
        <v>800</v>
      </c>
      <c r="U180" s="167" t="s">
        <v>801</v>
      </c>
      <c r="X180" s="169">
        <v>45505</v>
      </c>
      <c r="Y180" s="170">
        <v>26</v>
      </c>
      <c r="Z180" s="170">
        <v>0</v>
      </c>
      <c r="AA180" s="170">
        <v>0</v>
      </c>
      <c r="AB180" s="170">
        <v>0</v>
      </c>
      <c r="AC180" s="171">
        <v>26</v>
      </c>
      <c r="AD180" s="172">
        <v>7931194.7699899999</v>
      </c>
      <c r="AE180" s="173">
        <v>26</v>
      </c>
      <c r="AF180" s="174">
        <v>46357</v>
      </c>
    </row>
    <row r="181" spans="1:32" ht="20" x14ac:dyDescent="0.35">
      <c r="A181" s="162" t="s">
        <v>878</v>
      </c>
      <c r="B181" s="163" t="s">
        <v>879</v>
      </c>
      <c r="C181" s="154"/>
      <c r="D181" s="162" t="s">
        <v>80</v>
      </c>
      <c r="E181" s="164" t="s">
        <v>80</v>
      </c>
      <c r="F181" s="164" t="s">
        <v>879</v>
      </c>
      <c r="G181" s="164" t="s">
        <v>878</v>
      </c>
      <c r="H181" s="165">
        <v>32748</v>
      </c>
      <c r="I181" s="164" t="s">
        <v>20</v>
      </c>
      <c r="J181" s="164" t="s">
        <v>82</v>
      </c>
      <c r="K181" s="165">
        <v>42317</v>
      </c>
      <c r="L181" s="166" t="s">
        <v>83</v>
      </c>
      <c r="M181" s="154"/>
      <c r="N181" s="154"/>
      <c r="O181" s="164" t="s">
        <v>57</v>
      </c>
      <c r="P181" s="164">
        <v>36</v>
      </c>
      <c r="Q181" s="164">
        <v>10</v>
      </c>
      <c r="R181" s="167" t="s">
        <v>880</v>
      </c>
      <c r="S181" s="167" t="s">
        <v>832</v>
      </c>
      <c r="T181" s="162" t="s">
        <v>800</v>
      </c>
      <c r="U181" s="167" t="s">
        <v>802</v>
      </c>
      <c r="X181" s="169">
        <v>45505</v>
      </c>
      <c r="Y181" s="170">
        <v>98</v>
      </c>
      <c r="Z181" s="170">
        <v>0</v>
      </c>
      <c r="AA181" s="170">
        <v>0</v>
      </c>
      <c r="AB181" s="170">
        <v>0</v>
      </c>
      <c r="AC181" s="171">
        <v>98</v>
      </c>
      <c r="AD181" s="172">
        <v>29894503.363820001</v>
      </c>
      <c r="AE181" s="173">
        <v>98</v>
      </c>
      <c r="AF181" s="174">
        <v>46357</v>
      </c>
    </row>
    <row r="182" spans="1:32" ht="20" x14ac:dyDescent="0.35">
      <c r="A182" s="162" t="s">
        <v>878</v>
      </c>
      <c r="B182" s="163" t="s">
        <v>879</v>
      </c>
      <c r="C182" s="154"/>
      <c r="D182" s="162" t="s">
        <v>80</v>
      </c>
      <c r="E182" s="164" t="s">
        <v>80</v>
      </c>
      <c r="F182" s="164" t="s">
        <v>879</v>
      </c>
      <c r="G182" s="164" t="s">
        <v>878</v>
      </c>
      <c r="H182" s="165">
        <v>32748</v>
      </c>
      <c r="I182" s="164" t="s">
        <v>20</v>
      </c>
      <c r="J182" s="164" t="s">
        <v>82</v>
      </c>
      <c r="K182" s="165">
        <v>42317</v>
      </c>
      <c r="L182" s="166" t="s">
        <v>83</v>
      </c>
      <c r="M182" s="154"/>
      <c r="N182" s="154"/>
      <c r="O182" s="164" t="s">
        <v>57</v>
      </c>
      <c r="P182" s="164">
        <v>36</v>
      </c>
      <c r="Q182" s="164">
        <v>10</v>
      </c>
      <c r="R182" s="167" t="s">
        <v>880</v>
      </c>
      <c r="S182" s="167" t="s">
        <v>832</v>
      </c>
      <c r="T182" s="162" t="s">
        <v>800</v>
      </c>
      <c r="U182" s="167" t="s">
        <v>803</v>
      </c>
      <c r="X182" s="169">
        <v>45505</v>
      </c>
      <c r="Y182" s="170">
        <v>2</v>
      </c>
      <c r="Z182" s="170">
        <v>0</v>
      </c>
      <c r="AA182" s="170">
        <v>0</v>
      </c>
      <c r="AB182" s="170">
        <v>0</v>
      </c>
      <c r="AC182" s="171">
        <v>2</v>
      </c>
      <c r="AD182" s="172">
        <v>610091.90538000001</v>
      </c>
      <c r="AE182" s="173">
        <v>2</v>
      </c>
      <c r="AF182" s="174">
        <v>46357</v>
      </c>
    </row>
    <row r="183" spans="1:32" ht="20" x14ac:dyDescent="0.35">
      <c r="A183" s="162" t="s">
        <v>878</v>
      </c>
      <c r="B183" s="163" t="s">
        <v>879</v>
      </c>
      <c r="C183" s="154"/>
      <c r="D183" s="162" t="s">
        <v>80</v>
      </c>
      <c r="E183" s="164" t="s">
        <v>80</v>
      </c>
      <c r="F183" s="164" t="s">
        <v>879</v>
      </c>
      <c r="G183" s="164" t="s">
        <v>878</v>
      </c>
      <c r="H183" s="165">
        <v>32748</v>
      </c>
      <c r="I183" s="164" t="s">
        <v>20</v>
      </c>
      <c r="J183" s="164" t="s">
        <v>82</v>
      </c>
      <c r="K183" s="165">
        <v>42317</v>
      </c>
      <c r="L183" s="166" t="s">
        <v>83</v>
      </c>
      <c r="M183" s="154"/>
      <c r="N183" s="154"/>
      <c r="O183" s="164" t="s">
        <v>57</v>
      </c>
      <c r="P183" s="164">
        <v>36</v>
      </c>
      <c r="Q183" s="164">
        <v>10</v>
      </c>
      <c r="R183" s="167" t="s">
        <v>880</v>
      </c>
      <c r="S183" s="167" t="s">
        <v>832</v>
      </c>
      <c r="T183" s="162" t="s">
        <v>800</v>
      </c>
      <c r="U183" s="167" t="s">
        <v>804</v>
      </c>
      <c r="X183" s="169">
        <v>45505</v>
      </c>
      <c r="Y183" s="170">
        <v>5</v>
      </c>
      <c r="Z183" s="170">
        <v>0</v>
      </c>
      <c r="AA183" s="170">
        <v>0</v>
      </c>
      <c r="AB183" s="170">
        <v>0</v>
      </c>
      <c r="AC183" s="171">
        <v>5</v>
      </c>
      <c r="AD183" s="172">
        <v>1525229.76346</v>
      </c>
      <c r="AE183" s="173">
        <v>5</v>
      </c>
      <c r="AF183" s="174">
        <v>46357</v>
      </c>
    </row>
    <row r="184" spans="1:32" ht="20" x14ac:dyDescent="0.35">
      <c r="A184" s="162" t="s">
        <v>878</v>
      </c>
      <c r="B184" s="163" t="s">
        <v>879</v>
      </c>
      <c r="C184" s="154"/>
      <c r="D184" s="162" t="s">
        <v>80</v>
      </c>
      <c r="E184" s="164" t="s">
        <v>80</v>
      </c>
      <c r="F184" s="164" t="s">
        <v>879</v>
      </c>
      <c r="G184" s="164" t="s">
        <v>878</v>
      </c>
      <c r="H184" s="165">
        <v>32748</v>
      </c>
      <c r="I184" s="164" t="s">
        <v>20</v>
      </c>
      <c r="J184" s="164" t="s">
        <v>82</v>
      </c>
      <c r="K184" s="165">
        <v>42317</v>
      </c>
      <c r="L184" s="166" t="s">
        <v>83</v>
      </c>
      <c r="M184" s="154"/>
      <c r="N184" s="154"/>
      <c r="O184" s="164" t="s">
        <v>57</v>
      </c>
      <c r="P184" s="164">
        <v>36</v>
      </c>
      <c r="Q184" s="164">
        <v>10</v>
      </c>
      <c r="R184" s="167" t="s">
        <v>880</v>
      </c>
      <c r="S184" s="167" t="s">
        <v>832</v>
      </c>
      <c r="T184" s="162" t="s">
        <v>800</v>
      </c>
      <c r="U184" s="167" t="s">
        <v>805</v>
      </c>
      <c r="X184" s="169">
        <v>45505</v>
      </c>
      <c r="Y184" s="170">
        <v>2.4999999966690001</v>
      </c>
      <c r="Z184" s="170">
        <v>0.41666667000000002</v>
      </c>
      <c r="AA184" s="170">
        <v>0</v>
      </c>
      <c r="AB184" s="170">
        <v>0</v>
      </c>
      <c r="AC184" s="171">
        <v>2.9166666666690002</v>
      </c>
      <c r="AD184" s="172">
        <v>889717.36202</v>
      </c>
      <c r="AE184" s="173">
        <v>2.92</v>
      </c>
      <c r="AF184" s="174">
        <v>46357</v>
      </c>
    </row>
    <row r="185" spans="1:32" ht="20" x14ac:dyDescent="0.35">
      <c r="A185" s="162" t="s">
        <v>881</v>
      </c>
      <c r="B185" s="163" t="s">
        <v>882</v>
      </c>
      <c r="C185" s="154"/>
      <c r="D185" s="162" t="s">
        <v>85</v>
      </c>
      <c r="E185" s="164" t="s">
        <v>85</v>
      </c>
      <c r="F185" s="164" t="s">
        <v>882</v>
      </c>
      <c r="G185" s="164" t="s">
        <v>881</v>
      </c>
      <c r="H185" s="165">
        <v>32408</v>
      </c>
      <c r="I185" s="164" t="s">
        <v>20</v>
      </c>
      <c r="J185" s="164" t="s">
        <v>21</v>
      </c>
      <c r="K185" s="165">
        <v>42317</v>
      </c>
      <c r="L185" s="166" t="s">
        <v>87</v>
      </c>
      <c r="M185" s="154"/>
      <c r="N185" s="154"/>
      <c r="O185" s="164" t="s">
        <v>50</v>
      </c>
      <c r="P185" s="164">
        <v>37</v>
      </c>
      <c r="Q185" s="164">
        <v>10</v>
      </c>
      <c r="R185" s="167" t="s">
        <v>880</v>
      </c>
      <c r="S185" s="167" t="s">
        <v>832</v>
      </c>
      <c r="T185" s="162" t="s">
        <v>794</v>
      </c>
      <c r="U185" s="167" t="s">
        <v>833</v>
      </c>
      <c r="V185" s="162" t="s">
        <v>834</v>
      </c>
      <c r="W185" s="168">
        <v>10</v>
      </c>
      <c r="X185" s="169">
        <v>45018</v>
      </c>
      <c r="Y185" s="170">
        <v>18.086666666673</v>
      </c>
      <c r="Z185" s="170">
        <v>2.25</v>
      </c>
      <c r="AA185" s="170">
        <v>0</v>
      </c>
      <c r="AB185" s="170">
        <v>0</v>
      </c>
      <c r="AC185" s="171">
        <v>20.336666666673</v>
      </c>
      <c r="AD185" s="172">
        <v>8760743.2223899998</v>
      </c>
      <c r="AE185" s="173" t="s">
        <v>797</v>
      </c>
      <c r="AF185" s="173"/>
    </row>
    <row r="186" spans="1:32" x14ac:dyDescent="0.35">
      <c r="A186" s="162" t="s">
        <v>881</v>
      </c>
      <c r="B186" s="163" t="s">
        <v>882</v>
      </c>
      <c r="C186" s="154"/>
      <c r="D186" s="162" t="s">
        <v>85</v>
      </c>
      <c r="E186" s="164" t="s">
        <v>85</v>
      </c>
      <c r="F186" s="164" t="s">
        <v>882</v>
      </c>
      <c r="G186" s="164" t="s">
        <v>881</v>
      </c>
      <c r="H186" s="165">
        <v>32408</v>
      </c>
      <c r="I186" s="164" t="s">
        <v>20</v>
      </c>
      <c r="J186" s="164" t="s">
        <v>21</v>
      </c>
      <c r="K186" s="165">
        <v>42317</v>
      </c>
      <c r="L186" s="166" t="s">
        <v>87</v>
      </c>
      <c r="M186" s="154"/>
      <c r="N186" s="154"/>
      <c r="O186" s="164" t="s">
        <v>50</v>
      </c>
      <c r="P186" s="164">
        <v>37</v>
      </c>
      <c r="Q186" s="164">
        <v>10</v>
      </c>
      <c r="R186" s="167" t="s">
        <v>880</v>
      </c>
      <c r="S186" s="167" t="s">
        <v>832</v>
      </c>
      <c r="T186" s="162" t="s">
        <v>798</v>
      </c>
      <c r="U186" s="167" t="s">
        <v>799</v>
      </c>
      <c r="X186" s="169">
        <v>45018</v>
      </c>
      <c r="Y186" s="170">
        <v>154</v>
      </c>
      <c r="Z186" s="170">
        <v>0</v>
      </c>
      <c r="AA186" s="170">
        <v>0</v>
      </c>
      <c r="AB186" s="170">
        <v>0</v>
      </c>
      <c r="AC186" s="171">
        <v>154</v>
      </c>
      <c r="AD186" s="172">
        <v>66340982.93299</v>
      </c>
      <c r="AE186" s="173">
        <v>154</v>
      </c>
      <c r="AF186" s="174">
        <v>46357</v>
      </c>
    </row>
    <row r="187" spans="1:32" x14ac:dyDescent="0.35">
      <c r="A187" s="162" t="s">
        <v>881</v>
      </c>
      <c r="B187" s="163" t="s">
        <v>882</v>
      </c>
      <c r="C187" s="154"/>
      <c r="D187" s="162" t="s">
        <v>85</v>
      </c>
      <c r="E187" s="164" t="s">
        <v>85</v>
      </c>
      <c r="F187" s="164" t="s">
        <v>882</v>
      </c>
      <c r="G187" s="164" t="s">
        <v>881</v>
      </c>
      <c r="H187" s="165">
        <v>32408</v>
      </c>
      <c r="I187" s="164" t="s">
        <v>20</v>
      </c>
      <c r="J187" s="164" t="s">
        <v>21</v>
      </c>
      <c r="K187" s="165">
        <v>42317</v>
      </c>
      <c r="L187" s="166" t="s">
        <v>87</v>
      </c>
      <c r="M187" s="154"/>
      <c r="N187" s="154"/>
      <c r="O187" s="164" t="s">
        <v>50</v>
      </c>
      <c r="P187" s="164">
        <v>37</v>
      </c>
      <c r="Q187" s="164">
        <v>10</v>
      </c>
      <c r="R187" s="167" t="s">
        <v>880</v>
      </c>
      <c r="S187" s="167" t="s">
        <v>832</v>
      </c>
      <c r="T187" s="162" t="s">
        <v>800</v>
      </c>
      <c r="U187" s="167" t="s">
        <v>801</v>
      </c>
      <c r="X187" s="169">
        <v>45018</v>
      </c>
      <c r="Y187" s="170">
        <v>26</v>
      </c>
      <c r="Z187" s="170">
        <v>0</v>
      </c>
      <c r="AA187" s="170">
        <v>0</v>
      </c>
      <c r="AB187" s="170">
        <v>0</v>
      </c>
      <c r="AC187" s="171">
        <v>26</v>
      </c>
      <c r="AD187" s="172">
        <v>11200425.689990001</v>
      </c>
      <c r="AE187" s="173">
        <v>26</v>
      </c>
      <c r="AF187" s="174">
        <v>46357</v>
      </c>
    </row>
    <row r="188" spans="1:32" x14ac:dyDescent="0.35">
      <c r="A188" s="162" t="s">
        <v>881</v>
      </c>
      <c r="B188" s="163" t="s">
        <v>882</v>
      </c>
      <c r="C188" s="154"/>
      <c r="D188" s="162" t="s">
        <v>85</v>
      </c>
      <c r="E188" s="164" t="s">
        <v>85</v>
      </c>
      <c r="F188" s="164" t="s">
        <v>882</v>
      </c>
      <c r="G188" s="164" t="s">
        <v>881</v>
      </c>
      <c r="H188" s="165">
        <v>32408</v>
      </c>
      <c r="I188" s="164" t="s">
        <v>20</v>
      </c>
      <c r="J188" s="164" t="s">
        <v>21</v>
      </c>
      <c r="K188" s="165">
        <v>42317</v>
      </c>
      <c r="L188" s="166" t="s">
        <v>87</v>
      </c>
      <c r="M188" s="154"/>
      <c r="N188" s="154"/>
      <c r="O188" s="164" t="s">
        <v>50</v>
      </c>
      <c r="P188" s="164">
        <v>37</v>
      </c>
      <c r="Q188" s="164">
        <v>10</v>
      </c>
      <c r="R188" s="167" t="s">
        <v>880</v>
      </c>
      <c r="S188" s="167" t="s">
        <v>832</v>
      </c>
      <c r="T188" s="162" t="s">
        <v>800</v>
      </c>
      <c r="U188" s="167" t="s">
        <v>802</v>
      </c>
      <c r="X188" s="169">
        <v>45018</v>
      </c>
      <c r="Y188" s="170">
        <v>98</v>
      </c>
      <c r="Z188" s="170">
        <v>0</v>
      </c>
      <c r="AA188" s="170">
        <v>0</v>
      </c>
      <c r="AB188" s="170">
        <v>0</v>
      </c>
      <c r="AC188" s="171">
        <v>98</v>
      </c>
      <c r="AD188" s="172">
        <v>42216989.139179997</v>
      </c>
      <c r="AE188" s="173">
        <v>98</v>
      </c>
      <c r="AF188" s="174">
        <v>46357</v>
      </c>
    </row>
    <row r="189" spans="1:32" x14ac:dyDescent="0.35">
      <c r="A189" s="162" t="s">
        <v>881</v>
      </c>
      <c r="B189" s="163" t="s">
        <v>882</v>
      </c>
      <c r="C189" s="154"/>
      <c r="D189" s="162" t="s">
        <v>85</v>
      </c>
      <c r="E189" s="164" t="s">
        <v>85</v>
      </c>
      <c r="F189" s="164" t="s">
        <v>882</v>
      </c>
      <c r="G189" s="164" t="s">
        <v>881</v>
      </c>
      <c r="H189" s="165">
        <v>32408</v>
      </c>
      <c r="I189" s="164" t="s">
        <v>20</v>
      </c>
      <c r="J189" s="164" t="s">
        <v>21</v>
      </c>
      <c r="K189" s="165">
        <v>42317</v>
      </c>
      <c r="L189" s="166" t="s">
        <v>87</v>
      </c>
      <c r="M189" s="154"/>
      <c r="N189" s="154"/>
      <c r="O189" s="164" t="s">
        <v>50</v>
      </c>
      <c r="P189" s="164">
        <v>37</v>
      </c>
      <c r="Q189" s="164">
        <v>10</v>
      </c>
      <c r="R189" s="167" t="s">
        <v>880</v>
      </c>
      <c r="S189" s="167" t="s">
        <v>832</v>
      </c>
      <c r="T189" s="162" t="s">
        <v>800</v>
      </c>
      <c r="U189" s="167" t="s">
        <v>803</v>
      </c>
      <c r="X189" s="169">
        <v>45018</v>
      </c>
      <c r="Y189" s="170">
        <v>2</v>
      </c>
      <c r="Z189" s="170">
        <v>0</v>
      </c>
      <c r="AA189" s="170">
        <v>0</v>
      </c>
      <c r="AB189" s="170">
        <v>0</v>
      </c>
      <c r="AC189" s="171">
        <v>2</v>
      </c>
      <c r="AD189" s="172">
        <v>861571.20692000003</v>
      </c>
      <c r="AE189" s="173">
        <v>2</v>
      </c>
      <c r="AF189" s="174">
        <v>46357</v>
      </c>
    </row>
    <row r="190" spans="1:32" x14ac:dyDescent="0.35">
      <c r="A190" s="162" t="s">
        <v>881</v>
      </c>
      <c r="B190" s="163" t="s">
        <v>882</v>
      </c>
      <c r="C190" s="154"/>
      <c r="D190" s="162" t="s">
        <v>85</v>
      </c>
      <c r="E190" s="164" t="s">
        <v>85</v>
      </c>
      <c r="F190" s="164" t="s">
        <v>882</v>
      </c>
      <c r="G190" s="164" t="s">
        <v>881</v>
      </c>
      <c r="H190" s="165">
        <v>32408</v>
      </c>
      <c r="I190" s="164" t="s">
        <v>20</v>
      </c>
      <c r="J190" s="164" t="s">
        <v>21</v>
      </c>
      <c r="K190" s="165">
        <v>42317</v>
      </c>
      <c r="L190" s="166" t="s">
        <v>87</v>
      </c>
      <c r="M190" s="154"/>
      <c r="N190" s="154"/>
      <c r="O190" s="164" t="s">
        <v>50</v>
      </c>
      <c r="P190" s="164">
        <v>37</v>
      </c>
      <c r="Q190" s="164">
        <v>10</v>
      </c>
      <c r="R190" s="167" t="s">
        <v>880</v>
      </c>
      <c r="S190" s="167" t="s">
        <v>832</v>
      </c>
      <c r="T190" s="162" t="s">
        <v>800</v>
      </c>
      <c r="U190" s="167" t="s">
        <v>804</v>
      </c>
      <c r="X190" s="169">
        <v>45018</v>
      </c>
      <c r="Y190" s="170">
        <v>5</v>
      </c>
      <c r="Z190" s="170">
        <v>0</v>
      </c>
      <c r="AA190" s="170">
        <v>0</v>
      </c>
      <c r="AB190" s="170">
        <v>0</v>
      </c>
      <c r="AC190" s="171">
        <v>5</v>
      </c>
      <c r="AD190" s="172">
        <v>2153928.01731</v>
      </c>
      <c r="AE190" s="173">
        <v>5</v>
      </c>
      <c r="AF190" s="174">
        <v>46357</v>
      </c>
    </row>
    <row r="191" spans="1:32" x14ac:dyDescent="0.35">
      <c r="A191" s="162" t="s">
        <v>881</v>
      </c>
      <c r="B191" s="163" t="s">
        <v>882</v>
      </c>
      <c r="C191" s="154"/>
      <c r="D191" s="162" t="s">
        <v>85</v>
      </c>
      <c r="E191" s="164" t="s">
        <v>85</v>
      </c>
      <c r="F191" s="164" t="s">
        <v>882</v>
      </c>
      <c r="G191" s="164" t="s">
        <v>881</v>
      </c>
      <c r="H191" s="165">
        <v>32408</v>
      </c>
      <c r="I191" s="164" t="s">
        <v>20</v>
      </c>
      <c r="J191" s="164" t="s">
        <v>21</v>
      </c>
      <c r="K191" s="165">
        <v>42317</v>
      </c>
      <c r="L191" s="166" t="s">
        <v>87</v>
      </c>
      <c r="M191" s="154"/>
      <c r="N191" s="154"/>
      <c r="O191" s="164" t="s">
        <v>50</v>
      </c>
      <c r="P191" s="164">
        <v>37</v>
      </c>
      <c r="Q191" s="164">
        <v>10</v>
      </c>
      <c r="R191" s="167" t="s">
        <v>880</v>
      </c>
      <c r="S191" s="167" t="s">
        <v>832</v>
      </c>
      <c r="T191" s="162" t="s">
        <v>800</v>
      </c>
      <c r="U191" s="167" t="s">
        <v>805</v>
      </c>
      <c r="X191" s="169">
        <v>45018</v>
      </c>
      <c r="Y191" s="170">
        <v>2.4999999966690001</v>
      </c>
      <c r="Z191" s="170">
        <v>0.41666667000000002</v>
      </c>
      <c r="AA191" s="170">
        <v>0</v>
      </c>
      <c r="AB191" s="170">
        <v>0</v>
      </c>
      <c r="AC191" s="171">
        <v>2.9166666666690002</v>
      </c>
      <c r="AD191" s="172">
        <v>1256458.0101000001</v>
      </c>
      <c r="AE191" s="173">
        <v>2.92</v>
      </c>
      <c r="AF191" s="174">
        <v>46357</v>
      </c>
    </row>
    <row r="192" spans="1:32" ht="20" x14ac:dyDescent="0.35">
      <c r="A192" s="162" t="s">
        <v>883</v>
      </c>
      <c r="B192" s="163" t="s">
        <v>884</v>
      </c>
      <c r="C192" s="154"/>
      <c r="D192" s="162" t="s">
        <v>88</v>
      </c>
      <c r="E192" s="164" t="s">
        <v>88</v>
      </c>
      <c r="F192" s="164" t="s">
        <v>884</v>
      </c>
      <c r="G192" s="164" t="s">
        <v>883</v>
      </c>
      <c r="H192" s="165">
        <v>31762</v>
      </c>
      <c r="I192" s="164" t="s">
        <v>20</v>
      </c>
      <c r="J192" s="164" t="s">
        <v>21</v>
      </c>
      <c r="K192" s="165">
        <v>42337</v>
      </c>
      <c r="L192" s="166" t="s">
        <v>90</v>
      </c>
      <c r="M192" s="154"/>
      <c r="N192" s="154"/>
      <c r="O192" s="164" t="s">
        <v>23</v>
      </c>
      <c r="P192" s="164">
        <v>39</v>
      </c>
      <c r="Q192" s="164">
        <v>10</v>
      </c>
      <c r="R192" s="167" t="s">
        <v>885</v>
      </c>
      <c r="S192" s="167" t="s">
        <v>844</v>
      </c>
      <c r="T192" s="162" t="s">
        <v>794</v>
      </c>
      <c r="U192" s="167" t="s">
        <v>833</v>
      </c>
      <c r="V192" s="162" t="s">
        <v>834</v>
      </c>
      <c r="W192" s="168">
        <v>10</v>
      </c>
      <c r="X192" s="169">
        <v>45171</v>
      </c>
      <c r="Y192" s="170">
        <v>26.5</v>
      </c>
      <c r="Z192" s="170">
        <v>2.25</v>
      </c>
      <c r="AA192" s="170">
        <v>0</v>
      </c>
      <c r="AB192" s="170">
        <v>0</v>
      </c>
      <c r="AC192" s="171">
        <v>28.75</v>
      </c>
      <c r="AD192" s="172">
        <v>14145131.50911</v>
      </c>
      <c r="AE192" s="173" t="s">
        <v>797</v>
      </c>
      <c r="AF192" s="173"/>
    </row>
    <row r="193" spans="1:32" x14ac:dyDescent="0.35">
      <c r="A193" s="162" t="s">
        <v>883</v>
      </c>
      <c r="B193" s="163" t="s">
        <v>884</v>
      </c>
      <c r="C193" s="154"/>
      <c r="D193" s="162" t="s">
        <v>88</v>
      </c>
      <c r="E193" s="164" t="s">
        <v>88</v>
      </c>
      <c r="F193" s="164" t="s">
        <v>884</v>
      </c>
      <c r="G193" s="164" t="s">
        <v>883</v>
      </c>
      <c r="H193" s="165">
        <v>31762</v>
      </c>
      <c r="I193" s="164" t="s">
        <v>20</v>
      </c>
      <c r="J193" s="164" t="s">
        <v>21</v>
      </c>
      <c r="K193" s="165">
        <v>42337</v>
      </c>
      <c r="L193" s="166" t="s">
        <v>90</v>
      </c>
      <c r="M193" s="154"/>
      <c r="N193" s="154"/>
      <c r="O193" s="164" t="s">
        <v>23</v>
      </c>
      <c r="P193" s="164">
        <v>39</v>
      </c>
      <c r="Q193" s="164">
        <v>10</v>
      </c>
      <c r="R193" s="167" t="s">
        <v>885</v>
      </c>
      <c r="S193" s="167" t="s">
        <v>844</v>
      </c>
      <c r="T193" s="162" t="s">
        <v>798</v>
      </c>
      <c r="U193" s="167" t="s">
        <v>799</v>
      </c>
      <c r="X193" s="169">
        <v>45171</v>
      </c>
      <c r="Y193" s="170">
        <v>180</v>
      </c>
      <c r="Z193" s="170">
        <v>0</v>
      </c>
      <c r="AA193" s="170">
        <v>0</v>
      </c>
      <c r="AB193" s="170">
        <v>0</v>
      </c>
      <c r="AC193" s="171">
        <v>180</v>
      </c>
      <c r="AD193" s="172">
        <v>88560823.361399993</v>
      </c>
      <c r="AE193" s="173">
        <v>180</v>
      </c>
      <c r="AF193" s="174">
        <v>46357</v>
      </c>
    </row>
    <row r="194" spans="1:32" x14ac:dyDescent="0.35">
      <c r="A194" s="162" t="s">
        <v>883</v>
      </c>
      <c r="B194" s="163" t="s">
        <v>884</v>
      </c>
      <c r="C194" s="154"/>
      <c r="D194" s="162" t="s">
        <v>88</v>
      </c>
      <c r="E194" s="164" t="s">
        <v>88</v>
      </c>
      <c r="F194" s="164" t="s">
        <v>884</v>
      </c>
      <c r="G194" s="164" t="s">
        <v>883</v>
      </c>
      <c r="H194" s="165">
        <v>31762</v>
      </c>
      <c r="I194" s="164" t="s">
        <v>20</v>
      </c>
      <c r="J194" s="164" t="s">
        <v>21</v>
      </c>
      <c r="K194" s="165">
        <v>42337</v>
      </c>
      <c r="L194" s="166" t="s">
        <v>90</v>
      </c>
      <c r="M194" s="154"/>
      <c r="N194" s="154"/>
      <c r="O194" s="164" t="s">
        <v>23</v>
      </c>
      <c r="P194" s="164">
        <v>39</v>
      </c>
      <c r="Q194" s="164">
        <v>10</v>
      </c>
      <c r="R194" s="167" t="s">
        <v>885</v>
      </c>
      <c r="S194" s="167" t="s">
        <v>844</v>
      </c>
      <c r="T194" s="162" t="s">
        <v>800</v>
      </c>
      <c r="U194" s="167" t="s">
        <v>801</v>
      </c>
      <c r="X194" s="169">
        <v>45171</v>
      </c>
      <c r="Y194" s="170">
        <v>26</v>
      </c>
      <c r="Z194" s="170">
        <v>0</v>
      </c>
      <c r="AA194" s="170">
        <v>0</v>
      </c>
      <c r="AB194" s="170">
        <v>0</v>
      </c>
      <c r="AC194" s="171">
        <v>26</v>
      </c>
      <c r="AD194" s="172">
        <v>12792118.92998</v>
      </c>
      <c r="AE194" s="173">
        <v>26</v>
      </c>
      <c r="AF194" s="174">
        <v>46357</v>
      </c>
    </row>
    <row r="195" spans="1:32" x14ac:dyDescent="0.35">
      <c r="A195" s="162" t="s">
        <v>883</v>
      </c>
      <c r="B195" s="163" t="s">
        <v>884</v>
      </c>
      <c r="C195" s="154"/>
      <c r="D195" s="162" t="s">
        <v>88</v>
      </c>
      <c r="E195" s="164" t="s">
        <v>88</v>
      </c>
      <c r="F195" s="164" t="s">
        <v>884</v>
      </c>
      <c r="G195" s="164" t="s">
        <v>883</v>
      </c>
      <c r="H195" s="165">
        <v>31762</v>
      </c>
      <c r="I195" s="164" t="s">
        <v>20</v>
      </c>
      <c r="J195" s="164" t="s">
        <v>21</v>
      </c>
      <c r="K195" s="165">
        <v>42337</v>
      </c>
      <c r="L195" s="166" t="s">
        <v>90</v>
      </c>
      <c r="M195" s="154"/>
      <c r="N195" s="154"/>
      <c r="O195" s="164" t="s">
        <v>23</v>
      </c>
      <c r="P195" s="164">
        <v>39</v>
      </c>
      <c r="Q195" s="164">
        <v>10</v>
      </c>
      <c r="R195" s="167" t="s">
        <v>885</v>
      </c>
      <c r="S195" s="167" t="s">
        <v>844</v>
      </c>
      <c r="T195" s="162" t="s">
        <v>800</v>
      </c>
      <c r="U195" s="167" t="s">
        <v>802</v>
      </c>
      <c r="X195" s="169">
        <v>45171</v>
      </c>
      <c r="Y195" s="170">
        <v>98</v>
      </c>
      <c r="Z195" s="170">
        <v>0</v>
      </c>
      <c r="AA195" s="170">
        <v>0</v>
      </c>
      <c r="AB195" s="170">
        <v>0</v>
      </c>
      <c r="AC195" s="171">
        <v>98</v>
      </c>
      <c r="AD195" s="172">
        <v>48216448.27454</v>
      </c>
      <c r="AE195" s="173">
        <v>98</v>
      </c>
      <c r="AF195" s="174">
        <v>46357</v>
      </c>
    </row>
    <row r="196" spans="1:32" x14ac:dyDescent="0.35">
      <c r="A196" s="162" t="s">
        <v>883</v>
      </c>
      <c r="B196" s="163" t="s">
        <v>884</v>
      </c>
      <c r="C196" s="154"/>
      <c r="D196" s="162" t="s">
        <v>88</v>
      </c>
      <c r="E196" s="164" t="s">
        <v>88</v>
      </c>
      <c r="F196" s="164" t="s">
        <v>884</v>
      </c>
      <c r="G196" s="164" t="s">
        <v>883</v>
      </c>
      <c r="H196" s="165">
        <v>31762</v>
      </c>
      <c r="I196" s="164" t="s">
        <v>20</v>
      </c>
      <c r="J196" s="164" t="s">
        <v>21</v>
      </c>
      <c r="K196" s="165">
        <v>42337</v>
      </c>
      <c r="L196" s="166" t="s">
        <v>90</v>
      </c>
      <c r="M196" s="154"/>
      <c r="N196" s="154"/>
      <c r="O196" s="164" t="s">
        <v>23</v>
      </c>
      <c r="P196" s="164">
        <v>39</v>
      </c>
      <c r="Q196" s="164">
        <v>10</v>
      </c>
      <c r="R196" s="167" t="s">
        <v>885</v>
      </c>
      <c r="S196" s="167" t="s">
        <v>844</v>
      </c>
      <c r="T196" s="162" t="s">
        <v>800</v>
      </c>
      <c r="U196" s="167" t="s">
        <v>803</v>
      </c>
      <c r="X196" s="169">
        <v>45171</v>
      </c>
      <c r="Y196" s="170">
        <v>2</v>
      </c>
      <c r="Z196" s="170">
        <v>0</v>
      </c>
      <c r="AA196" s="170">
        <v>0</v>
      </c>
      <c r="AB196" s="170">
        <v>0</v>
      </c>
      <c r="AC196" s="171">
        <v>2</v>
      </c>
      <c r="AD196" s="172">
        <v>984009.14846000005</v>
      </c>
      <c r="AE196" s="173">
        <v>2</v>
      </c>
      <c r="AF196" s="174">
        <v>46357</v>
      </c>
    </row>
    <row r="197" spans="1:32" x14ac:dyDescent="0.35">
      <c r="A197" s="162" t="s">
        <v>883</v>
      </c>
      <c r="B197" s="163" t="s">
        <v>884</v>
      </c>
      <c r="C197" s="154"/>
      <c r="D197" s="162" t="s">
        <v>88</v>
      </c>
      <c r="E197" s="164" t="s">
        <v>88</v>
      </c>
      <c r="F197" s="164" t="s">
        <v>884</v>
      </c>
      <c r="G197" s="164" t="s">
        <v>883</v>
      </c>
      <c r="H197" s="165">
        <v>31762</v>
      </c>
      <c r="I197" s="164" t="s">
        <v>20</v>
      </c>
      <c r="J197" s="164" t="s">
        <v>21</v>
      </c>
      <c r="K197" s="165">
        <v>42337</v>
      </c>
      <c r="L197" s="166" t="s">
        <v>90</v>
      </c>
      <c r="M197" s="154"/>
      <c r="N197" s="154"/>
      <c r="O197" s="164" t="s">
        <v>23</v>
      </c>
      <c r="P197" s="164">
        <v>39</v>
      </c>
      <c r="Q197" s="164">
        <v>10</v>
      </c>
      <c r="R197" s="167" t="s">
        <v>885</v>
      </c>
      <c r="S197" s="167" t="s">
        <v>844</v>
      </c>
      <c r="T197" s="162" t="s">
        <v>800</v>
      </c>
      <c r="U197" s="167" t="s">
        <v>804</v>
      </c>
      <c r="X197" s="169">
        <v>45171</v>
      </c>
      <c r="Y197" s="170">
        <v>5</v>
      </c>
      <c r="Z197" s="170">
        <v>0</v>
      </c>
      <c r="AA197" s="170">
        <v>0</v>
      </c>
      <c r="AB197" s="170">
        <v>0</v>
      </c>
      <c r="AC197" s="171">
        <v>5</v>
      </c>
      <c r="AD197" s="172">
        <v>2460022.87115</v>
      </c>
      <c r="AE197" s="173">
        <v>5</v>
      </c>
      <c r="AF197" s="174">
        <v>46357</v>
      </c>
    </row>
    <row r="198" spans="1:32" x14ac:dyDescent="0.35">
      <c r="A198" s="162" t="s">
        <v>883</v>
      </c>
      <c r="B198" s="163" t="s">
        <v>884</v>
      </c>
      <c r="C198" s="154"/>
      <c r="D198" s="162" t="s">
        <v>88</v>
      </c>
      <c r="E198" s="164" t="s">
        <v>88</v>
      </c>
      <c r="F198" s="164" t="s">
        <v>884</v>
      </c>
      <c r="G198" s="164" t="s">
        <v>883</v>
      </c>
      <c r="H198" s="165">
        <v>31762</v>
      </c>
      <c r="I198" s="164" t="s">
        <v>20</v>
      </c>
      <c r="J198" s="164" t="s">
        <v>21</v>
      </c>
      <c r="K198" s="165">
        <v>42337</v>
      </c>
      <c r="L198" s="166" t="s">
        <v>90</v>
      </c>
      <c r="M198" s="154"/>
      <c r="N198" s="154"/>
      <c r="O198" s="164" t="s">
        <v>23</v>
      </c>
      <c r="P198" s="164">
        <v>39</v>
      </c>
      <c r="Q198" s="164">
        <v>10</v>
      </c>
      <c r="R198" s="167" t="s">
        <v>885</v>
      </c>
      <c r="S198" s="167" t="s">
        <v>844</v>
      </c>
      <c r="T198" s="162" t="s">
        <v>800</v>
      </c>
      <c r="U198" s="167" t="s">
        <v>805</v>
      </c>
      <c r="X198" s="169">
        <v>45171</v>
      </c>
      <c r="Y198" s="170">
        <v>2.4999999966690001</v>
      </c>
      <c r="Z198" s="170">
        <v>0.41666667000000002</v>
      </c>
      <c r="AA198" s="170">
        <v>0</v>
      </c>
      <c r="AB198" s="170">
        <v>0</v>
      </c>
      <c r="AC198" s="171">
        <v>2.9166666666690002</v>
      </c>
      <c r="AD198" s="172">
        <v>1435013.3415099999</v>
      </c>
      <c r="AE198" s="173">
        <v>2.92</v>
      </c>
      <c r="AF198" s="174">
        <v>46357</v>
      </c>
    </row>
    <row r="199" spans="1:32" ht="20" x14ac:dyDescent="0.35">
      <c r="A199" s="162" t="s">
        <v>886</v>
      </c>
      <c r="B199" s="163" t="s">
        <v>887</v>
      </c>
      <c r="C199" s="154"/>
      <c r="D199" s="162" t="s">
        <v>92</v>
      </c>
      <c r="E199" s="164" t="s">
        <v>92</v>
      </c>
      <c r="F199" s="164" t="s">
        <v>887</v>
      </c>
      <c r="G199" s="164" t="s">
        <v>886</v>
      </c>
      <c r="H199" s="165">
        <v>29048</v>
      </c>
      <c r="I199" s="164" t="s">
        <v>20</v>
      </c>
      <c r="J199" s="164" t="s">
        <v>94</v>
      </c>
      <c r="K199" s="165">
        <v>42461</v>
      </c>
      <c r="L199" s="166" t="s">
        <v>95</v>
      </c>
      <c r="M199" s="154"/>
      <c r="N199" s="154"/>
      <c r="O199" s="164" t="s">
        <v>50</v>
      </c>
      <c r="P199" s="164">
        <v>47</v>
      </c>
      <c r="Q199" s="164">
        <v>10</v>
      </c>
      <c r="R199" s="167" t="s">
        <v>888</v>
      </c>
      <c r="S199" s="167" t="s">
        <v>45</v>
      </c>
      <c r="T199" s="162" t="s">
        <v>794</v>
      </c>
      <c r="U199" s="167" t="s">
        <v>833</v>
      </c>
      <c r="V199" s="162" t="s">
        <v>834</v>
      </c>
      <c r="W199" s="168">
        <v>10</v>
      </c>
      <c r="X199" s="169">
        <v>45413</v>
      </c>
      <c r="Y199" s="170">
        <v>11.453333333337</v>
      </c>
      <c r="Z199" s="170">
        <v>2.25</v>
      </c>
      <c r="AA199" s="170">
        <v>-11</v>
      </c>
      <c r="AB199" s="170">
        <v>0</v>
      </c>
      <c r="AC199" s="171">
        <v>2.703333333337</v>
      </c>
      <c r="AD199" s="172">
        <v>1801947.28144</v>
      </c>
      <c r="AE199" s="173" t="s">
        <v>797</v>
      </c>
      <c r="AF199" s="173"/>
    </row>
    <row r="200" spans="1:32" ht="20" x14ac:dyDescent="0.35">
      <c r="A200" s="162" t="s">
        <v>886</v>
      </c>
      <c r="B200" s="163" t="s">
        <v>887</v>
      </c>
      <c r="C200" s="154"/>
      <c r="D200" s="162" t="s">
        <v>92</v>
      </c>
      <c r="E200" s="164" t="s">
        <v>92</v>
      </c>
      <c r="F200" s="164" t="s">
        <v>887</v>
      </c>
      <c r="G200" s="164" t="s">
        <v>886</v>
      </c>
      <c r="H200" s="165">
        <v>29048</v>
      </c>
      <c r="I200" s="164" t="s">
        <v>20</v>
      </c>
      <c r="J200" s="164" t="s">
        <v>94</v>
      </c>
      <c r="K200" s="165">
        <v>42461</v>
      </c>
      <c r="L200" s="166" t="s">
        <v>95</v>
      </c>
      <c r="M200" s="154"/>
      <c r="N200" s="154"/>
      <c r="O200" s="164" t="s">
        <v>50</v>
      </c>
      <c r="P200" s="164">
        <v>47</v>
      </c>
      <c r="Q200" s="164">
        <v>10</v>
      </c>
      <c r="R200" s="167" t="s">
        <v>888</v>
      </c>
      <c r="S200" s="167" t="s">
        <v>45</v>
      </c>
      <c r="T200" s="162" t="s">
        <v>798</v>
      </c>
      <c r="U200" s="167" t="s">
        <v>799</v>
      </c>
      <c r="X200" s="169">
        <v>45413</v>
      </c>
      <c r="Y200" s="170">
        <v>180</v>
      </c>
      <c r="Z200" s="170">
        <v>0</v>
      </c>
      <c r="AA200" s="170">
        <v>0</v>
      </c>
      <c r="AB200" s="170">
        <v>0</v>
      </c>
      <c r="AC200" s="171">
        <v>180</v>
      </c>
      <c r="AD200" s="172">
        <v>119981693.21526</v>
      </c>
      <c r="AE200" s="173">
        <v>180</v>
      </c>
      <c r="AF200" s="174">
        <v>46357</v>
      </c>
    </row>
    <row r="201" spans="1:32" ht="20" x14ac:dyDescent="0.35">
      <c r="A201" s="162" t="s">
        <v>886</v>
      </c>
      <c r="B201" s="163" t="s">
        <v>887</v>
      </c>
      <c r="C201" s="154"/>
      <c r="D201" s="162" t="s">
        <v>92</v>
      </c>
      <c r="E201" s="164" t="s">
        <v>92</v>
      </c>
      <c r="F201" s="164" t="s">
        <v>887</v>
      </c>
      <c r="G201" s="164" t="s">
        <v>886</v>
      </c>
      <c r="H201" s="165">
        <v>29048</v>
      </c>
      <c r="I201" s="164" t="s">
        <v>20</v>
      </c>
      <c r="J201" s="164" t="s">
        <v>94</v>
      </c>
      <c r="K201" s="165">
        <v>42461</v>
      </c>
      <c r="L201" s="166" t="s">
        <v>95</v>
      </c>
      <c r="M201" s="154"/>
      <c r="N201" s="154"/>
      <c r="O201" s="164" t="s">
        <v>50</v>
      </c>
      <c r="P201" s="164">
        <v>47</v>
      </c>
      <c r="Q201" s="164">
        <v>10</v>
      </c>
      <c r="R201" s="167" t="s">
        <v>888</v>
      </c>
      <c r="S201" s="167" t="s">
        <v>45</v>
      </c>
      <c r="T201" s="162" t="s">
        <v>800</v>
      </c>
      <c r="U201" s="167" t="s">
        <v>801</v>
      </c>
      <c r="X201" s="169">
        <v>45413</v>
      </c>
      <c r="Y201" s="170">
        <v>26</v>
      </c>
      <c r="Z201" s="170">
        <v>0</v>
      </c>
      <c r="AA201" s="170">
        <v>0</v>
      </c>
      <c r="AB201" s="170">
        <v>0</v>
      </c>
      <c r="AC201" s="171">
        <v>26</v>
      </c>
      <c r="AD201" s="172">
        <v>17330689.019979998</v>
      </c>
      <c r="AE201" s="173">
        <v>26</v>
      </c>
      <c r="AF201" s="174">
        <v>46357</v>
      </c>
    </row>
    <row r="202" spans="1:32" ht="20" x14ac:dyDescent="0.35">
      <c r="A202" s="162" t="s">
        <v>886</v>
      </c>
      <c r="B202" s="163" t="s">
        <v>887</v>
      </c>
      <c r="C202" s="154"/>
      <c r="D202" s="162" t="s">
        <v>92</v>
      </c>
      <c r="E202" s="164" t="s">
        <v>92</v>
      </c>
      <c r="F202" s="164" t="s">
        <v>887</v>
      </c>
      <c r="G202" s="164" t="s">
        <v>886</v>
      </c>
      <c r="H202" s="165">
        <v>29048</v>
      </c>
      <c r="I202" s="164" t="s">
        <v>20</v>
      </c>
      <c r="J202" s="164" t="s">
        <v>94</v>
      </c>
      <c r="K202" s="165">
        <v>42461</v>
      </c>
      <c r="L202" s="166" t="s">
        <v>95</v>
      </c>
      <c r="M202" s="154"/>
      <c r="N202" s="154"/>
      <c r="O202" s="164" t="s">
        <v>50</v>
      </c>
      <c r="P202" s="164">
        <v>47</v>
      </c>
      <c r="Q202" s="164">
        <v>10</v>
      </c>
      <c r="R202" s="167" t="s">
        <v>888</v>
      </c>
      <c r="S202" s="167" t="s">
        <v>45</v>
      </c>
      <c r="T202" s="162" t="s">
        <v>800</v>
      </c>
      <c r="U202" s="167" t="s">
        <v>802</v>
      </c>
      <c r="X202" s="169">
        <v>45413</v>
      </c>
      <c r="Y202" s="170">
        <v>98</v>
      </c>
      <c r="Z202" s="170">
        <v>0</v>
      </c>
      <c r="AA202" s="170">
        <v>0</v>
      </c>
      <c r="AB202" s="170">
        <v>0</v>
      </c>
      <c r="AC202" s="171">
        <v>98</v>
      </c>
      <c r="AD202" s="172">
        <v>65323366.306089997</v>
      </c>
      <c r="AE202" s="173">
        <v>98</v>
      </c>
      <c r="AF202" s="174">
        <v>46357</v>
      </c>
    </row>
    <row r="203" spans="1:32" ht="20" x14ac:dyDescent="0.35">
      <c r="A203" s="162" t="s">
        <v>886</v>
      </c>
      <c r="B203" s="163" t="s">
        <v>887</v>
      </c>
      <c r="C203" s="154"/>
      <c r="D203" s="162" t="s">
        <v>92</v>
      </c>
      <c r="E203" s="164" t="s">
        <v>92</v>
      </c>
      <c r="F203" s="164" t="s">
        <v>887</v>
      </c>
      <c r="G203" s="164" t="s">
        <v>886</v>
      </c>
      <c r="H203" s="165">
        <v>29048</v>
      </c>
      <c r="I203" s="164" t="s">
        <v>20</v>
      </c>
      <c r="J203" s="164" t="s">
        <v>94</v>
      </c>
      <c r="K203" s="165">
        <v>42461</v>
      </c>
      <c r="L203" s="166" t="s">
        <v>95</v>
      </c>
      <c r="M203" s="154"/>
      <c r="N203" s="154"/>
      <c r="O203" s="164" t="s">
        <v>50</v>
      </c>
      <c r="P203" s="164">
        <v>47</v>
      </c>
      <c r="Q203" s="164">
        <v>10</v>
      </c>
      <c r="R203" s="167" t="s">
        <v>888</v>
      </c>
      <c r="S203" s="167" t="s">
        <v>45</v>
      </c>
      <c r="T203" s="162" t="s">
        <v>800</v>
      </c>
      <c r="U203" s="167" t="s">
        <v>803</v>
      </c>
      <c r="X203" s="169">
        <v>45413</v>
      </c>
      <c r="Y203" s="170">
        <v>2</v>
      </c>
      <c r="Z203" s="170">
        <v>0</v>
      </c>
      <c r="AA203" s="170">
        <v>0</v>
      </c>
      <c r="AB203" s="170">
        <v>0</v>
      </c>
      <c r="AC203" s="171">
        <v>2</v>
      </c>
      <c r="AD203" s="172">
        <v>1333129.9246100001</v>
      </c>
      <c r="AE203" s="173">
        <v>2</v>
      </c>
      <c r="AF203" s="174">
        <v>46357</v>
      </c>
    </row>
    <row r="204" spans="1:32" ht="20" x14ac:dyDescent="0.35">
      <c r="A204" s="162" t="s">
        <v>886</v>
      </c>
      <c r="B204" s="163" t="s">
        <v>887</v>
      </c>
      <c r="C204" s="154"/>
      <c r="D204" s="162" t="s">
        <v>92</v>
      </c>
      <c r="E204" s="164" t="s">
        <v>92</v>
      </c>
      <c r="F204" s="164" t="s">
        <v>887</v>
      </c>
      <c r="G204" s="164" t="s">
        <v>886</v>
      </c>
      <c r="H204" s="165">
        <v>29048</v>
      </c>
      <c r="I204" s="164" t="s">
        <v>20</v>
      </c>
      <c r="J204" s="164" t="s">
        <v>94</v>
      </c>
      <c r="K204" s="165">
        <v>42461</v>
      </c>
      <c r="L204" s="166" t="s">
        <v>95</v>
      </c>
      <c r="M204" s="154"/>
      <c r="N204" s="154"/>
      <c r="O204" s="164" t="s">
        <v>50</v>
      </c>
      <c r="P204" s="164">
        <v>47</v>
      </c>
      <c r="Q204" s="164">
        <v>10</v>
      </c>
      <c r="R204" s="167" t="s">
        <v>888</v>
      </c>
      <c r="S204" s="167" t="s">
        <v>45</v>
      </c>
      <c r="T204" s="162" t="s">
        <v>800</v>
      </c>
      <c r="U204" s="167" t="s">
        <v>804</v>
      </c>
      <c r="X204" s="169">
        <v>45413</v>
      </c>
      <c r="Y204" s="170">
        <v>5</v>
      </c>
      <c r="Z204" s="170">
        <v>0</v>
      </c>
      <c r="AA204" s="170">
        <v>0</v>
      </c>
      <c r="AB204" s="170">
        <v>0</v>
      </c>
      <c r="AC204" s="171">
        <v>5</v>
      </c>
      <c r="AD204" s="172">
        <v>3332824.8115300001</v>
      </c>
      <c r="AE204" s="173">
        <v>5</v>
      </c>
      <c r="AF204" s="174">
        <v>46357</v>
      </c>
    </row>
    <row r="205" spans="1:32" ht="20" x14ac:dyDescent="0.35">
      <c r="A205" s="162" t="s">
        <v>886</v>
      </c>
      <c r="B205" s="163" t="s">
        <v>887</v>
      </c>
      <c r="C205" s="154"/>
      <c r="D205" s="162" t="s">
        <v>92</v>
      </c>
      <c r="E205" s="164" t="s">
        <v>92</v>
      </c>
      <c r="F205" s="164" t="s">
        <v>887</v>
      </c>
      <c r="G205" s="164" t="s">
        <v>886</v>
      </c>
      <c r="H205" s="165">
        <v>29048</v>
      </c>
      <c r="I205" s="164" t="s">
        <v>20</v>
      </c>
      <c r="J205" s="164" t="s">
        <v>94</v>
      </c>
      <c r="K205" s="165">
        <v>42461</v>
      </c>
      <c r="L205" s="166" t="s">
        <v>95</v>
      </c>
      <c r="M205" s="154"/>
      <c r="N205" s="154"/>
      <c r="O205" s="164" t="s">
        <v>50</v>
      </c>
      <c r="P205" s="164">
        <v>47</v>
      </c>
      <c r="Q205" s="164">
        <v>10</v>
      </c>
      <c r="R205" s="167" t="s">
        <v>888</v>
      </c>
      <c r="S205" s="167" t="s">
        <v>45</v>
      </c>
      <c r="T205" s="162" t="s">
        <v>800</v>
      </c>
      <c r="U205" s="167" t="s">
        <v>805</v>
      </c>
      <c r="X205" s="169">
        <v>45413</v>
      </c>
      <c r="Y205" s="170">
        <v>2.4999999966690001</v>
      </c>
      <c r="Z205" s="170">
        <v>0.41666667000000002</v>
      </c>
      <c r="AA205" s="170">
        <v>0</v>
      </c>
      <c r="AB205" s="170">
        <v>0</v>
      </c>
      <c r="AC205" s="171">
        <v>2.9166666666690002</v>
      </c>
      <c r="AD205" s="172">
        <v>1944147.8067300001</v>
      </c>
      <c r="AE205" s="173">
        <v>2.92</v>
      </c>
      <c r="AF205" s="174">
        <v>46357</v>
      </c>
    </row>
    <row r="206" spans="1:32" ht="20" x14ac:dyDescent="0.35">
      <c r="A206" s="162" t="s">
        <v>889</v>
      </c>
      <c r="B206" s="163" t="s">
        <v>890</v>
      </c>
      <c r="C206" s="154"/>
      <c r="D206" s="162" t="s">
        <v>96</v>
      </c>
      <c r="E206" s="164" t="s">
        <v>96</v>
      </c>
      <c r="F206" s="164" t="s">
        <v>890</v>
      </c>
      <c r="G206" s="164" t="s">
        <v>889</v>
      </c>
      <c r="H206" s="165">
        <v>31855</v>
      </c>
      <c r="I206" s="164" t="s">
        <v>20</v>
      </c>
      <c r="J206" s="164" t="s">
        <v>21</v>
      </c>
      <c r="K206" s="165">
        <v>42471</v>
      </c>
      <c r="L206" s="166" t="s">
        <v>98</v>
      </c>
      <c r="M206" s="154"/>
      <c r="N206" s="154"/>
      <c r="O206" s="164" t="s">
        <v>70</v>
      </c>
      <c r="P206" s="164">
        <v>39</v>
      </c>
      <c r="Q206" s="164">
        <v>10</v>
      </c>
      <c r="R206" s="167" t="s">
        <v>888</v>
      </c>
      <c r="S206" s="167" t="s">
        <v>45</v>
      </c>
      <c r="T206" s="162" t="s">
        <v>794</v>
      </c>
      <c r="U206" s="167" t="s">
        <v>833</v>
      </c>
      <c r="V206" s="162" t="s">
        <v>834</v>
      </c>
      <c r="W206" s="168">
        <v>10</v>
      </c>
      <c r="X206" s="169">
        <v>45018</v>
      </c>
      <c r="Y206" s="170">
        <v>8.0833333333360002</v>
      </c>
      <c r="Z206" s="170">
        <v>2.25</v>
      </c>
      <c r="AA206" s="170">
        <v>0</v>
      </c>
      <c r="AB206" s="170">
        <v>0</v>
      </c>
      <c r="AC206" s="171">
        <v>10.333333333336</v>
      </c>
      <c r="AD206" s="172">
        <v>5977061.5803800002</v>
      </c>
      <c r="AE206" s="173" t="s">
        <v>797</v>
      </c>
      <c r="AF206" s="173"/>
    </row>
    <row r="207" spans="1:32" ht="20" x14ac:dyDescent="0.35">
      <c r="A207" s="162" t="s">
        <v>889</v>
      </c>
      <c r="B207" s="163" t="s">
        <v>890</v>
      </c>
      <c r="C207" s="154"/>
      <c r="D207" s="162" t="s">
        <v>96</v>
      </c>
      <c r="E207" s="164" t="s">
        <v>96</v>
      </c>
      <c r="F207" s="164" t="s">
        <v>890</v>
      </c>
      <c r="G207" s="164" t="s">
        <v>889</v>
      </c>
      <c r="H207" s="165">
        <v>31855</v>
      </c>
      <c r="I207" s="164" t="s">
        <v>20</v>
      </c>
      <c r="J207" s="164" t="s">
        <v>21</v>
      </c>
      <c r="K207" s="165">
        <v>42471</v>
      </c>
      <c r="L207" s="166" t="s">
        <v>98</v>
      </c>
      <c r="M207" s="154"/>
      <c r="N207" s="154"/>
      <c r="O207" s="164" t="s">
        <v>70</v>
      </c>
      <c r="P207" s="164">
        <v>39</v>
      </c>
      <c r="Q207" s="164">
        <v>10</v>
      </c>
      <c r="R207" s="167" t="s">
        <v>888</v>
      </c>
      <c r="S207" s="167" t="s">
        <v>45</v>
      </c>
      <c r="T207" s="162" t="s">
        <v>798</v>
      </c>
      <c r="U207" s="167" t="s">
        <v>799</v>
      </c>
      <c r="X207" s="169">
        <v>45018</v>
      </c>
      <c r="Y207" s="170">
        <v>177</v>
      </c>
      <c r="Z207" s="170">
        <v>0</v>
      </c>
      <c r="AA207" s="170">
        <v>0</v>
      </c>
      <c r="AB207" s="170">
        <v>0</v>
      </c>
      <c r="AC207" s="171">
        <v>177</v>
      </c>
      <c r="AD207" s="172">
        <v>102381280.61871</v>
      </c>
      <c r="AE207" s="173">
        <v>177</v>
      </c>
      <c r="AF207" s="174">
        <v>46357</v>
      </c>
    </row>
    <row r="208" spans="1:32" ht="20" x14ac:dyDescent="0.35">
      <c r="A208" s="162" t="s">
        <v>889</v>
      </c>
      <c r="B208" s="163" t="s">
        <v>890</v>
      </c>
      <c r="C208" s="154"/>
      <c r="D208" s="162" t="s">
        <v>96</v>
      </c>
      <c r="E208" s="164" t="s">
        <v>96</v>
      </c>
      <c r="F208" s="164" t="s">
        <v>890</v>
      </c>
      <c r="G208" s="164" t="s">
        <v>889</v>
      </c>
      <c r="H208" s="165">
        <v>31855</v>
      </c>
      <c r="I208" s="164" t="s">
        <v>20</v>
      </c>
      <c r="J208" s="164" t="s">
        <v>21</v>
      </c>
      <c r="K208" s="165">
        <v>42471</v>
      </c>
      <c r="L208" s="166" t="s">
        <v>98</v>
      </c>
      <c r="M208" s="154"/>
      <c r="N208" s="154"/>
      <c r="O208" s="164" t="s">
        <v>70</v>
      </c>
      <c r="P208" s="164">
        <v>39</v>
      </c>
      <c r="Q208" s="164">
        <v>10</v>
      </c>
      <c r="R208" s="167" t="s">
        <v>888</v>
      </c>
      <c r="S208" s="167" t="s">
        <v>45</v>
      </c>
      <c r="T208" s="162" t="s">
        <v>800</v>
      </c>
      <c r="U208" s="167" t="s">
        <v>801</v>
      </c>
      <c r="X208" s="169">
        <v>45018</v>
      </c>
      <c r="Y208" s="170">
        <v>26</v>
      </c>
      <c r="Z208" s="170">
        <v>0</v>
      </c>
      <c r="AA208" s="170">
        <v>0</v>
      </c>
      <c r="AB208" s="170">
        <v>0</v>
      </c>
      <c r="AC208" s="171">
        <v>26</v>
      </c>
      <c r="AD208" s="172">
        <v>15039058.169980001</v>
      </c>
      <c r="AE208" s="173">
        <v>26</v>
      </c>
      <c r="AF208" s="174">
        <v>46357</v>
      </c>
    </row>
    <row r="209" spans="1:32" ht="20" x14ac:dyDescent="0.35">
      <c r="A209" s="162" t="s">
        <v>889</v>
      </c>
      <c r="B209" s="163" t="s">
        <v>890</v>
      </c>
      <c r="C209" s="154"/>
      <c r="D209" s="162" t="s">
        <v>96</v>
      </c>
      <c r="E209" s="164" t="s">
        <v>96</v>
      </c>
      <c r="F209" s="164" t="s">
        <v>890</v>
      </c>
      <c r="G209" s="164" t="s">
        <v>889</v>
      </c>
      <c r="H209" s="165">
        <v>31855</v>
      </c>
      <c r="I209" s="164" t="s">
        <v>20</v>
      </c>
      <c r="J209" s="164" t="s">
        <v>21</v>
      </c>
      <c r="K209" s="165">
        <v>42471</v>
      </c>
      <c r="L209" s="166" t="s">
        <v>98</v>
      </c>
      <c r="M209" s="154"/>
      <c r="N209" s="154"/>
      <c r="O209" s="164" t="s">
        <v>70</v>
      </c>
      <c r="P209" s="164">
        <v>39</v>
      </c>
      <c r="Q209" s="164">
        <v>10</v>
      </c>
      <c r="R209" s="167" t="s">
        <v>888</v>
      </c>
      <c r="S209" s="167" t="s">
        <v>45</v>
      </c>
      <c r="T209" s="162" t="s">
        <v>800</v>
      </c>
      <c r="U209" s="167" t="s">
        <v>802</v>
      </c>
      <c r="X209" s="169">
        <v>45018</v>
      </c>
      <c r="Y209" s="170">
        <v>98</v>
      </c>
      <c r="Z209" s="170">
        <v>0</v>
      </c>
      <c r="AA209" s="170">
        <v>0</v>
      </c>
      <c r="AB209" s="170">
        <v>0</v>
      </c>
      <c r="AC209" s="171">
        <v>98</v>
      </c>
      <c r="AD209" s="172">
        <v>56685680.794540003</v>
      </c>
      <c r="AE209" s="173">
        <v>98</v>
      </c>
      <c r="AF209" s="174">
        <v>46357</v>
      </c>
    </row>
    <row r="210" spans="1:32" ht="20" x14ac:dyDescent="0.35">
      <c r="A210" s="162" t="s">
        <v>889</v>
      </c>
      <c r="B210" s="163" t="s">
        <v>890</v>
      </c>
      <c r="C210" s="154"/>
      <c r="D210" s="162" t="s">
        <v>96</v>
      </c>
      <c r="E210" s="164" t="s">
        <v>96</v>
      </c>
      <c r="F210" s="164" t="s">
        <v>890</v>
      </c>
      <c r="G210" s="164" t="s">
        <v>889</v>
      </c>
      <c r="H210" s="165">
        <v>31855</v>
      </c>
      <c r="I210" s="164" t="s">
        <v>20</v>
      </c>
      <c r="J210" s="164" t="s">
        <v>21</v>
      </c>
      <c r="K210" s="165">
        <v>42471</v>
      </c>
      <c r="L210" s="166" t="s">
        <v>98</v>
      </c>
      <c r="M210" s="154"/>
      <c r="N210" s="154"/>
      <c r="O210" s="164" t="s">
        <v>70</v>
      </c>
      <c r="P210" s="164">
        <v>39</v>
      </c>
      <c r="Q210" s="164">
        <v>10</v>
      </c>
      <c r="R210" s="167" t="s">
        <v>888</v>
      </c>
      <c r="S210" s="167" t="s">
        <v>45</v>
      </c>
      <c r="T210" s="162" t="s">
        <v>800</v>
      </c>
      <c r="U210" s="167" t="s">
        <v>803</v>
      </c>
      <c r="X210" s="169">
        <v>45018</v>
      </c>
      <c r="Y210" s="170">
        <v>0</v>
      </c>
      <c r="Z210" s="170">
        <v>0</v>
      </c>
      <c r="AA210" s="170">
        <v>0</v>
      </c>
      <c r="AB210" s="170">
        <v>0</v>
      </c>
      <c r="AC210" s="171">
        <v>0</v>
      </c>
      <c r="AD210" s="172">
        <v>0</v>
      </c>
      <c r="AE210" s="173">
        <v>0</v>
      </c>
      <c r="AF210" s="174">
        <v>46357</v>
      </c>
    </row>
    <row r="211" spans="1:32" ht="20" x14ac:dyDescent="0.35">
      <c r="A211" s="162" t="s">
        <v>889</v>
      </c>
      <c r="B211" s="163" t="s">
        <v>890</v>
      </c>
      <c r="C211" s="154"/>
      <c r="D211" s="162" t="s">
        <v>96</v>
      </c>
      <c r="E211" s="164" t="s">
        <v>96</v>
      </c>
      <c r="F211" s="164" t="s">
        <v>890</v>
      </c>
      <c r="G211" s="164" t="s">
        <v>889</v>
      </c>
      <c r="H211" s="165">
        <v>31855</v>
      </c>
      <c r="I211" s="164" t="s">
        <v>20</v>
      </c>
      <c r="J211" s="164" t="s">
        <v>21</v>
      </c>
      <c r="K211" s="165">
        <v>42471</v>
      </c>
      <c r="L211" s="166" t="s">
        <v>98</v>
      </c>
      <c r="M211" s="154"/>
      <c r="N211" s="154"/>
      <c r="O211" s="164" t="s">
        <v>70</v>
      </c>
      <c r="P211" s="164">
        <v>39</v>
      </c>
      <c r="Q211" s="164">
        <v>10</v>
      </c>
      <c r="R211" s="167" t="s">
        <v>888</v>
      </c>
      <c r="S211" s="167" t="s">
        <v>45</v>
      </c>
      <c r="T211" s="162" t="s">
        <v>800</v>
      </c>
      <c r="U211" s="167" t="s">
        <v>804</v>
      </c>
      <c r="X211" s="169">
        <v>45018</v>
      </c>
      <c r="Y211" s="170">
        <v>5</v>
      </c>
      <c r="Z211" s="170">
        <v>0</v>
      </c>
      <c r="AA211" s="170">
        <v>0</v>
      </c>
      <c r="AB211" s="170">
        <v>0</v>
      </c>
      <c r="AC211" s="171">
        <v>5</v>
      </c>
      <c r="AD211" s="172">
        <v>2892126.5711500002</v>
      </c>
      <c r="AE211" s="173">
        <v>5</v>
      </c>
      <c r="AF211" s="174">
        <v>46357</v>
      </c>
    </row>
    <row r="212" spans="1:32" ht="20" x14ac:dyDescent="0.35">
      <c r="A212" s="162" t="s">
        <v>889</v>
      </c>
      <c r="B212" s="163" t="s">
        <v>890</v>
      </c>
      <c r="C212" s="154"/>
      <c r="D212" s="162" t="s">
        <v>96</v>
      </c>
      <c r="E212" s="164" t="s">
        <v>96</v>
      </c>
      <c r="F212" s="164" t="s">
        <v>890</v>
      </c>
      <c r="G212" s="164" t="s">
        <v>889</v>
      </c>
      <c r="H212" s="165">
        <v>31855</v>
      </c>
      <c r="I212" s="164" t="s">
        <v>20</v>
      </c>
      <c r="J212" s="164" t="s">
        <v>21</v>
      </c>
      <c r="K212" s="165">
        <v>42471</v>
      </c>
      <c r="L212" s="166" t="s">
        <v>98</v>
      </c>
      <c r="M212" s="154"/>
      <c r="N212" s="154"/>
      <c r="O212" s="164" t="s">
        <v>70</v>
      </c>
      <c r="P212" s="164">
        <v>39</v>
      </c>
      <c r="Q212" s="164">
        <v>10</v>
      </c>
      <c r="R212" s="167" t="s">
        <v>888</v>
      </c>
      <c r="S212" s="167" t="s">
        <v>45</v>
      </c>
      <c r="T212" s="162" t="s">
        <v>800</v>
      </c>
      <c r="U212" s="167" t="s">
        <v>805</v>
      </c>
      <c r="X212" s="169">
        <v>45018</v>
      </c>
      <c r="Y212" s="170">
        <v>2.4999999966690001</v>
      </c>
      <c r="Z212" s="170">
        <v>0.41666667000000002</v>
      </c>
      <c r="AA212" s="170">
        <v>0</v>
      </c>
      <c r="AB212" s="170">
        <v>0</v>
      </c>
      <c r="AC212" s="171">
        <v>2.9166666666690002</v>
      </c>
      <c r="AD212" s="172">
        <v>1687073.83317</v>
      </c>
      <c r="AE212" s="173">
        <v>2.92</v>
      </c>
      <c r="AF212" s="174">
        <v>46357</v>
      </c>
    </row>
    <row r="213" spans="1:32" ht="20" x14ac:dyDescent="0.35">
      <c r="A213" s="162" t="s">
        <v>680</v>
      </c>
      <c r="B213" s="163" t="s">
        <v>891</v>
      </c>
      <c r="C213" s="154"/>
      <c r="D213" s="162" t="s">
        <v>99</v>
      </c>
      <c r="E213" s="164" t="s">
        <v>99</v>
      </c>
      <c r="F213" s="164" t="s">
        <v>891</v>
      </c>
      <c r="G213" s="164" t="s">
        <v>680</v>
      </c>
      <c r="H213" s="165">
        <v>26131</v>
      </c>
      <c r="I213" s="164" t="s">
        <v>20</v>
      </c>
      <c r="J213" s="164" t="s">
        <v>21</v>
      </c>
      <c r="K213" s="165">
        <v>44158</v>
      </c>
      <c r="L213" s="166" t="s">
        <v>101</v>
      </c>
      <c r="M213" s="154"/>
      <c r="N213" s="154"/>
      <c r="O213" s="164" t="s">
        <v>44</v>
      </c>
      <c r="P213" s="164">
        <v>55</v>
      </c>
      <c r="Q213" s="164">
        <v>10</v>
      </c>
      <c r="R213" s="167" t="s">
        <v>892</v>
      </c>
      <c r="S213" s="167" t="s">
        <v>893</v>
      </c>
      <c r="T213" s="162" t="s">
        <v>794</v>
      </c>
      <c r="U213" s="167" t="s">
        <v>795</v>
      </c>
      <c r="V213" s="162" t="s">
        <v>838</v>
      </c>
      <c r="W213" s="168">
        <v>10</v>
      </c>
      <c r="X213" s="169">
        <v>45018</v>
      </c>
      <c r="Y213" s="170">
        <v>17.086666669995001</v>
      </c>
      <c r="Z213" s="170">
        <v>2.0833333299999999</v>
      </c>
      <c r="AA213" s="170">
        <v>0</v>
      </c>
      <c r="AB213" s="170">
        <v>0</v>
      </c>
      <c r="AC213" s="171">
        <v>19.169999999994999</v>
      </c>
      <c r="AD213" s="172">
        <v>2406281.3070800002</v>
      </c>
      <c r="AE213" s="173" t="s">
        <v>797</v>
      </c>
      <c r="AF213" s="173"/>
    </row>
    <row r="214" spans="1:32" ht="20" x14ac:dyDescent="0.35">
      <c r="A214" s="162" t="s">
        <v>680</v>
      </c>
      <c r="B214" s="163" t="s">
        <v>891</v>
      </c>
      <c r="C214" s="154"/>
      <c r="D214" s="162" t="s">
        <v>99</v>
      </c>
      <c r="E214" s="164" t="s">
        <v>99</v>
      </c>
      <c r="F214" s="164" t="s">
        <v>891</v>
      </c>
      <c r="G214" s="164" t="s">
        <v>680</v>
      </c>
      <c r="H214" s="165">
        <v>26131</v>
      </c>
      <c r="I214" s="164" t="s">
        <v>20</v>
      </c>
      <c r="J214" s="164" t="s">
        <v>21</v>
      </c>
      <c r="K214" s="165">
        <v>44158</v>
      </c>
      <c r="L214" s="166" t="s">
        <v>101</v>
      </c>
      <c r="M214" s="154"/>
      <c r="N214" s="154"/>
      <c r="O214" s="164" t="s">
        <v>44</v>
      </c>
      <c r="P214" s="164">
        <v>55</v>
      </c>
      <c r="Q214" s="164">
        <v>10</v>
      </c>
      <c r="R214" s="167" t="s">
        <v>892</v>
      </c>
      <c r="S214" s="167" t="s">
        <v>893</v>
      </c>
      <c r="T214" s="162" t="s">
        <v>798</v>
      </c>
      <c r="U214" s="167" t="s">
        <v>839</v>
      </c>
      <c r="X214" s="169">
        <v>45018</v>
      </c>
      <c r="Y214" s="170">
        <v>180</v>
      </c>
      <c r="Z214" s="170">
        <v>0</v>
      </c>
      <c r="AA214" s="170">
        <v>0</v>
      </c>
      <c r="AB214" s="170">
        <v>0</v>
      </c>
      <c r="AC214" s="171">
        <v>180</v>
      </c>
      <c r="AD214" s="172">
        <v>22594190.67684</v>
      </c>
      <c r="AE214" s="173">
        <v>180</v>
      </c>
      <c r="AF214" s="174">
        <v>46357</v>
      </c>
    </row>
    <row r="215" spans="1:32" ht="20" x14ac:dyDescent="0.35">
      <c r="A215" s="162" t="s">
        <v>680</v>
      </c>
      <c r="B215" s="163" t="s">
        <v>891</v>
      </c>
      <c r="C215" s="154"/>
      <c r="D215" s="162" t="s">
        <v>99</v>
      </c>
      <c r="E215" s="164" t="s">
        <v>99</v>
      </c>
      <c r="F215" s="164" t="s">
        <v>891</v>
      </c>
      <c r="G215" s="164" t="s">
        <v>680</v>
      </c>
      <c r="H215" s="165">
        <v>26131</v>
      </c>
      <c r="I215" s="164" t="s">
        <v>20</v>
      </c>
      <c r="J215" s="164" t="s">
        <v>21</v>
      </c>
      <c r="K215" s="165">
        <v>44158</v>
      </c>
      <c r="L215" s="166" t="s">
        <v>101</v>
      </c>
      <c r="M215" s="154"/>
      <c r="N215" s="154"/>
      <c r="O215" s="164" t="s">
        <v>44</v>
      </c>
      <c r="P215" s="164">
        <v>55</v>
      </c>
      <c r="Q215" s="164">
        <v>10</v>
      </c>
      <c r="R215" s="167" t="s">
        <v>892</v>
      </c>
      <c r="S215" s="167" t="s">
        <v>893</v>
      </c>
      <c r="T215" s="162" t="s">
        <v>800</v>
      </c>
      <c r="U215" s="167" t="s">
        <v>801</v>
      </c>
      <c r="X215" s="169">
        <v>45018</v>
      </c>
      <c r="Y215" s="170">
        <v>26</v>
      </c>
      <c r="Z215" s="170">
        <v>0</v>
      </c>
      <c r="AA215" s="170">
        <v>0</v>
      </c>
      <c r="AB215" s="170">
        <v>0</v>
      </c>
      <c r="AC215" s="171">
        <v>26</v>
      </c>
      <c r="AD215" s="172">
        <v>3263605.3199900002</v>
      </c>
      <c r="AE215" s="173">
        <v>26</v>
      </c>
      <c r="AF215" s="174">
        <v>46357</v>
      </c>
    </row>
    <row r="216" spans="1:32" ht="20" x14ac:dyDescent="0.35">
      <c r="A216" s="162" t="s">
        <v>680</v>
      </c>
      <c r="B216" s="163" t="s">
        <v>891</v>
      </c>
      <c r="C216" s="154"/>
      <c r="D216" s="162" t="s">
        <v>99</v>
      </c>
      <c r="E216" s="164" t="s">
        <v>99</v>
      </c>
      <c r="F216" s="164" t="s">
        <v>891</v>
      </c>
      <c r="G216" s="164" t="s">
        <v>680</v>
      </c>
      <c r="H216" s="165">
        <v>26131</v>
      </c>
      <c r="I216" s="164" t="s">
        <v>20</v>
      </c>
      <c r="J216" s="164" t="s">
        <v>21</v>
      </c>
      <c r="K216" s="165">
        <v>44158</v>
      </c>
      <c r="L216" s="166" t="s">
        <v>101</v>
      </c>
      <c r="M216" s="154"/>
      <c r="N216" s="154"/>
      <c r="O216" s="164" t="s">
        <v>44</v>
      </c>
      <c r="P216" s="164">
        <v>55</v>
      </c>
      <c r="Q216" s="164">
        <v>10</v>
      </c>
      <c r="R216" s="167" t="s">
        <v>892</v>
      </c>
      <c r="S216" s="167" t="s">
        <v>893</v>
      </c>
      <c r="T216" s="162" t="s">
        <v>800</v>
      </c>
      <c r="U216" s="167" t="s">
        <v>802</v>
      </c>
      <c r="X216" s="169">
        <v>45018</v>
      </c>
      <c r="Y216" s="170">
        <v>98</v>
      </c>
      <c r="Z216" s="170">
        <v>0</v>
      </c>
      <c r="AA216" s="170">
        <v>0</v>
      </c>
      <c r="AB216" s="170">
        <v>0</v>
      </c>
      <c r="AC216" s="171">
        <v>98</v>
      </c>
      <c r="AD216" s="172">
        <v>12301281.59072</v>
      </c>
      <c r="AE216" s="173">
        <v>98</v>
      </c>
      <c r="AF216" s="174">
        <v>46357</v>
      </c>
    </row>
    <row r="217" spans="1:32" ht="20" x14ac:dyDescent="0.35">
      <c r="A217" s="162" t="s">
        <v>680</v>
      </c>
      <c r="B217" s="163" t="s">
        <v>891</v>
      </c>
      <c r="C217" s="154"/>
      <c r="D217" s="162" t="s">
        <v>99</v>
      </c>
      <c r="E217" s="164" t="s">
        <v>99</v>
      </c>
      <c r="F217" s="164" t="s">
        <v>891</v>
      </c>
      <c r="G217" s="164" t="s">
        <v>680</v>
      </c>
      <c r="H217" s="165">
        <v>26131</v>
      </c>
      <c r="I217" s="164" t="s">
        <v>20</v>
      </c>
      <c r="J217" s="164" t="s">
        <v>21</v>
      </c>
      <c r="K217" s="165">
        <v>44158</v>
      </c>
      <c r="L217" s="166" t="s">
        <v>101</v>
      </c>
      <c r="M217" s="154"/>
      <c r="N217" s="154"/>
      <c r="O217" s="164" t="s">
        <v>44</v>
      </c>
      <c r="P217" s="164">
        <v>55</v>
      </c>
      <c r="Q217" s="164">
        <v>10</v>
      </c>
      <c r="R217" s="167" t="s">
        <v>892</v>
      </c>
      <c r="S217" s="167" t="s">
        <v>893</v>
      </c>
      <c r="T217" s="162" t="s">
        <v>800</v>
      </c>
      <c r="U217" s="167" t="s">
        <v>803</v>
      </c>
      <c r="X217" s="169">
        <v>45018</v>
      </c>
      <c r="Y217" s="170">
        <v>2</v>
      </c>
      <c r="Z217" s="170">
        <v>0</v>
      </c>
      <c r="AA217" s="170">
        <v>0</v>
      </c>
      <c r="AB217" s="170">
        <v>0</v>
      </c>
      <c r="AC217" s="171">
        <v>2</v>
      </c>
      <c r="AD217" s="172">
        <v>251046.56307999999</v>
      </c>
      <c r="AE217" s="173">
        <v>2</v>
      </c>
      <c r="AF217" s="174">
        <v>46357</v>
      </c>
    </row>
    <row r="218" spans="1:32" ht="20" x14ac:dyDescent="0.35">
      <c r="A218" s="162" t="s">
        <v>680</v>
      </c>
      <c r="B218" s="163" t="s">
        <v>891</v>
      </c>
      <c r="C218" s="154"/>
      <c r="D218" s="162" t="s">
        <v>99</v>
      </c>
      <c r="E218" s="164" t="s">
        <v>99</v>
      </c>
      <c r="F218" s="164" t="s">
        <v>891</v>
      </c>
      <c r="G218" s="164" t="s">
        <v>680</v>
      </c>
      <c r="H218" s="165">
        <v>26131</v>
      </c>
      <c r="I218" s="164" t="s">
        <v>20</v>
      </c>
      <c r="J218" s="164" t="s">
        <v>21</v>
      </c>
      <c r="K218" s="165">
        <v>44158</v>
      </c>
      <c r="L218" s="166" t="s">
        <v>101</v>
      </c>
      <c r="M218" s="154"/>
      <c r="N218" s="154"/>
      <c r="O218" s="164" t="s">
        <v>44</v>
      </c>
      <c r="P218" s="164">
        <v>55</v>
      </c>
      <c r="Q218" s="164">
        <v>10</v>
      </c>
      <c r="R218" s="167" t="s">
        <v>892</v>
      </c>
      <c r="S218" s="167" t="s">
        <v>893</v>
      </c>
      <c r="T218" s="162" t="s">
        <v>800</v>
      </c>
      <c r="U218" s="167" t="s">
        <v>804</v>
      </c>
      <c r="X218" s="169">
        <v>45018</v>
      </c>
      <c r="Y218" s="170">
        <v>5</v>
      </c>
      <c r="Z218" s="170">
        <v>0</v>
      </c>
      <c r="AA218" s="170">
        <v>0</v>
      </c>
      <c r="AB218" s="170">
        <v>0</v>
      </c>
      <c r="AC218" s="171">
        <v>5</v>
      </c>
      <c r="AD218" s="172">
        <v>627616.40769000002</v>
      </c>
      <c r="AE218" s="173">
        <v>5</v>
      </c>
      <c r="AF218" s="174">
        <v>46357</v>
      </c>
    </row>
    <row r="219" spans="1:32" ht="20" x14ac:dyDescent="0.35">
      <c r="A219" s="162" t="s">
        <v>680</v>
      </c>
      <c r="B219" s="163" t="s">
        <v>891</v>
      </c>
      <c r="C219" s="154"/>
      <c r="D219" s="162" t="s">
        <v>99</v>
      </c>
      <c r="E219" s="164" t="s">
        <v>99</v>
      </c>
      <c r="F219" s="164" t="s">
        <v>891</v>
      </c>
      <c r="G219" s="164" t="s">
        <v>680</v>
      </c>
      <c r="H219" s="165">
        <v>26131</v>
      </c>
      <c r="I219" s="164" t="s">
        <v>20</v>
      </c>
      <c r="J219" s="164" t="s">
        <v>21</v>
      </c>
      <c r="K219" s="165">
        <v>44158</v>
      </c>
      <c r="L219" s="166" t="s">
        <v>101</v>
      </c>
      <c r="M219" s="154"/>
      <c r="N219" s="154"/>
      <c r="O219" s="164" t="s">
        <v>44</v>
      </c>
      <c r="P219" s="164">
        <v>55</v>
      </c>
      <c r="Q219" s="164">
        <v>10</v>
      </c>
      <c r="R219" s="167" t="s">
        <v>892</v>
      </c>
      <c r="S219" s="167" t="s">
        <v>893</v>
      </c>
      <c r="T219" s="162" t="s">
        <v>800</v>
      </c>
      <c r="U219" s="167" t="s">
        <v>840</v>
      </c>
      <c r="X219" s="169">
        <v>45018</v>
      </c>
      <c r="Y219" s="170">
        <v>2.4999999966690001</v>
      </c>
      <c r="Z219" s="170">
        <v>0.41666667000000002</v>
      </c>
      <c r="AA219" s="170">
        <v>0</v>
      </c>
      <c r="AB219" s="170">
        <v>0</v>
      </c>
      <c r="AC219" s="171">
        <v>2.9166666666690002</v>
      </c>
      <c r="AD219" s="172">
        <v>366109.57114999997</v>
      </c>
      <c r="AE219" s="173">
        <v>2.92</v>
      </c>
      <c r="AF219" s="174">
        <v>46357</v>
      </c>
    </row>
    <row r="220" spans="1:32" ht="20" x14ac:dyDescent="0.35">
      <c r="A220" s="162" t="s">
        <v>894</v>
      </c>
      <c r="B220" s="163" t="s">
        <v>895</v>
      </c>
      <c r="C220" s="154"/>
      <c r="D220" s="162" t="s">
        <v>103</v>
      </c>
      <c r="E220" s="164" t="s">
        <v>103</v>
      </c>
      <c r="F220" s="164" t="s">
        <v>895</v>
      </c>
      <c r="G220" s="164" t="s">
        <v>894</v>
      </c>
      <c r="H220" s="165">
        <v>32197</v>
      </c>
      <c r="I220" s="164" t="s">
        <v>48</v>
      </c>
      <c r="J220" s="164" t="s">
        <v>21</v>
      </c>
      <c r="K220" s="165">
        <v>42506</v>
      </c>
      <c r="L220" s="166" t="s">
        <v>105</v>
      </c>
      <c r="M220" s="154"/>
      <c r="N220" s="154"/>
      <c r="O220" s="164" t="s">
        <v>57</v>
      </c>
      <c r="P220" s="164">
        <v>38</v>
      </c>
      <c r="Q220" s="164">
        <v>10</v>
      </c>
      <c r="R220" s="167" t="s">
        <v>847</v>
      </c>
      <c r="S220" s="167" t="s">
        <v>848</v>
      </c>
      <c r="T220" s="162" t="s">
        <v>794</v>
      </c>
      <c r="U220" s="167" t="s">
        <v>833</v>
      </c>
      <c r="V220" s="162" t="s">
        <v>834</v>
      </c>
      <c r="W220" s="168">
        <v>10</v>
      </c>
      <c r="X220" s="169">
        <v>45383</v>
      </c>
      <c r="Y220" s="170">
        <v>21.586666666671</v>
      </c>
      <c r="Z220" s="170">
        <v>2.25</v>
      </c>
      <c r="AA220" s="170">
        <v>0</v>
      </c>
      <c r="AB220" s="170">
        <v>0</v>
      </c>
      <c r="AC220" s="171">
        <v>23.836666666671</v>
      </c>
      <c r="AD220" s="172">
        <v>6737254.9574800003</v>
      </c>
      <c r="AE220" s="173" t="s">
        <v>797</v>
      </c>
      <c r="AF220" s="173"/>
    </row>
    <row r="221" spans="1:32" x14ac:dyDescent="0.35">
      <c r="A221" s="162" t="s">
        <v>894</v>
      </c>
      <c r="B221" s="163" t="s">
        <v>895</v>
      </c>
      <c r="C221" s="154"/>
      <c r="D221" s="162" t="s">
        <v>103</v>
      </c>
      <c r="E221" s="164" t="s">
        <v>103</v>
      </c>
      <c r="F221" s="164" t="s">
        <v>895</v>
      </c>
      <c r="G221" s="164" t="s">
        <v>894</v>
      </c>
      <c r="H221" s="165">
        <v>32197</v>
      </c>
      <c r="I221" s="164" t="s">
        <v>48</v>
      </c>
      <c r="J221" s="164" t="s">
        <v>21</v>
      </c>
      <c r="K221" s="165">
        <v>42506</v>
      </c>
      <c r="L221" s="166" t="s">
        <v>105</v>
      </c>
      <c r="M221" s="154"/>
      <c r="N221" s="154"/>
      <c r="O221" s="164" t="s">
        <v>57</v>
      </c>
      <c r="P221" s="164">
        <v>38</v>
      </c>
      <c r="Q221" s="164">
        <v>10</v>
      </c>
      <c r="R221" s="167" t="s">
        <v>847</v>
      </c>
      <c r="S221" s="167" t="s">
        <v>848</v>
      </c>
      <c r="T221" s="162" t="s">
        <v>798</v>
      </c>
      <c r="U221" s="167" t="s">
        <v>799</v>
      </c>
      <c r="X221" s="169">
        <v>45383</v>
      </c>
      <c r="Y221" s="170">
        <v>178</v>
      </c>
      <c r="Z221" s="170">
        <v>0</v>
      </c>
      <c r="AA221" s="170">
        <v>0</v>
      </c>
      <c r="AB221" s="170">
        <v>0</v>
      </c>
      <c r="AC221" s="171">
        <v>178</v>
      </c>
      <c r="AD221" s="172">
        <v>50310364.246880002</v>
      </c>
      <c r="AE221" s="173">
        <v>178</v>
      </c>
      <c r="AF221" s="174">
        <v>46357</v>
      </c>
    </row>
    <row r="222" spans="1:32" x14ac:dyDescent="0.35">
      <c r="A222" s="162" t="s">
        <v>894</v>
      </c>
      <c r="B222" s="163" t="s">
        <v>895</v>
      </c>
      <c r="C222" s="154"/>
      <c r="D222" s="162" t="s">
        <v>103</v>
      </c>
      <c r="E222" s="164" t="s">
        <v>103</v>
      </c>
      <c r="F222" s="164" t="s">
        <v>895</v>
      </c>
      <c r="G222" s="164" t="s">
        <v>894</v>
      </c>
      <c r="H222" s="165">
        <v>32197</v>
      </c>
      <c r="I222" s="164" t="s">
        <v>48</v>
      </c>
      <c r="J222" s="164" t="s">
        <v>21</v>
      </c>
      <c r="K222" s="165">
        <v>42506</v>
      </c>
      <c r="L222" s="166" t="s">
        <v>105</v>
      </c>
      <c r="M222" s="154"/>
      <c r="N222" s="154"/>
      <c r="O222" s="164" t="s">
        <v>57</v>
      </c>
      <c r="P222" s="164">
        <v>38</v>
      </c>
      <c r="Q222" s="164">
        <v>10</v>
      </c>
      <c r="R222" s="167" t="s">
        <v>847</v>
      </c>
      <c r="S222" s="167" t="s">
        <v>848</v>
      </c>
      <c r="T222" s="162" t="s">
        <v>800</v>
      </c>
      <c r="U222" s="167" t="s">
        <v>801</v>
      </c>
      <c r="X222" s="169">
        <v>45383</v>
      </c>
      <c r="Y222" s="170">
        <v>26</v>
      </c>
      <c r="Z222" s="170">
        <v>0</v>
      </c>
      <c r="AA222" s="170">
        <v>0</v>
      </c>
      <c r="AB222" s="170">
        <v>0</v>
      </c>
      <c r="AC222" s="171">
        <v>26</v>
      </c>
      <c r="AD222" s="172">
        <v>7348704.8899900001</v>
      </c>
      <c r="AE222" s="173">
        <v>26</v>
      </c>
      <c r="AF222" s="174">
        <v>46357</v>
      </c>
    </row>
    <row r="223" spans="1:32" x14ac:dyDescent="0.35">
      <c r="A223" s="162" t="s">
        <v>894</v>
      </c>
      <c r="B223" s="163" t="s">
        <v>895</v>
      </c>
      <c r="C223" s="154"/>
      <c r="D223" s="162" t="s">
        <v>103</v>
      </c>
      <c r="E223" s="164" t="s">
        <v>103</v>
      </c>
      <c r="F223" s="164" t="s">
        <v>895</v>
      </c>
      <c r="G223" s="164" t="s">
        <v>894</v>
      </c>
      <c r="H223" s="165">
        <v>32197</v>
      </c>
      <c r="I223" s="164" t="s">
        <v>48</v>
      </c>
      <c r="J223" s="164" t="s">
        <v>21</v>
      </c>
      <c r="K223" s="165">
        <v>42506</v>
      </c>
      <c r="L223" s="166" t="s">
        <v>105</v>
      </c>
      <c r="M223" s="154"/>
      <c r="N223" s="154"/>
      <c r="O223" s="164" t="s">
        <v>57</v>
      </c>
      <c r="P223" s="164">
        <v>38</v>
      </c>
      <c r="Q223" s="164">
        <v>10</v>
      </c>
      <c r="R223" s="167" t="s">
        <v>847</v>
      </c>
      <c r="S223" s="167" t="s">
        <v>848</v>
      </c>
      <c r="T223" s="162" t="s">
        <v>800</v>
      </c>
      <c r="U223" s="167" t="s">
        <v>802</v>
      </c>
      <c r="X223" s="169">
        <v>45383</v>
      </c>
      <c r="Y223" s="170">
        <v>98</v>
      </c>
      <c r="Z223" s="170">
        <v>0</v>
      </c>
      <c r="AA223" s="170">
        <v>0</v>
      </c>
      <c r="AB223" s="170">
        <v>0</v>
      </c>
      <c r="AC223" s="171">
        <v>98</v>
      </c>
      <c r="AD223" s="172">
        <v>27698964.585360002</v>
      </c>
      <c r="AE223" s="173">
        <v>98</v>
      </c>
      <c r="AF223" s="174">
        <v>46357</v>
      </c>
    </row>
    <row r="224" spans="1:32" x14ac:dyDescent="0.35">
      <c r="A224" s="162" t="s">
        <v>894</v>
      </c>
      <c r="B224" s="163" t="s">
        <v>895</v>
      </c>
      <c r="C224" s="154"/>
      <c r="D224" s="162" t="s">
        <v>103</v>
      </c>
      <c r="E224" s="164" t="s">
        <v>103</v>
      </c>
      <c r="F224" s="164" t="s">
        <v>895</v>
      </c>
      <c r="G224" s="164" t="s">
        <v>894</v>
      </c>
      <c r="H224" s="165">
        <v>32197</v>
      </c>
      <c r="I224" s="164" t="s">
        <v>48</v>
      </c>
      <c r="J224" s="164" t="s">
        <v>21</v>
      </c>
      <c r="K224" s="165">
        <v>42506</v>
      </c>
      <c r="L224" s="166" t="s">
        <v>105</v>
      </c>
      <c r="M224" s="154"/>
      <c r="N224" s="154"/>
      <c r="O224" s="164" t="s">
        <v>57</v>
      </c>
      <c r="P224" s="164">
        <v>38</v>
      </c>
      <c r="Q224" s="164">
        <v>10</v>
      </c>
      <c r="R224" s="167" t="s">
        <v>847</v>
      </c>
      <c r="S224" s="167" t="s">
        <v>848</v>
      </c>
      <c r="T224" s="162" t="s">
        <v>800</v>
      </c>
      <c r="U224" s="167" t="s">
        <v>803</v>
      </c>
      <c r="X224" s="169">
        <v>45383</v>
      </c>
      <c r="Y224" s="170">
        <v>2</v>
      </c>
      <c r="Z224" s="170">
        <v>0</v>
      </c>
      <c r="AA224" s="170">
        <v>0</v>
      </c>
      <c r="AB224" s="170">
        <v>0</v>
      </c>
      <c r="AC224" s="171">
        <v>2</v>
      </c>
      <c r="AD224" s="172">
        <v>565284.99153999996</v>
      </c>
      <c r="AE224" s="173">
        <v>2</v>
      </c>
      <c r="AF224" s="174">
        <v>46357</v>
      </c>
    </row>
    <row r="225" spans="1:32" x14ac:dyDescent="0.35">
      <c r="A225" s="162" t="s">
        <v>894</v>
      </c>
      <c r="B225" s="163" t="s">
        <v>895</v>
      </c>
      <c r="C225" s="154"/>
      <c r="D225" s="162" t="s">
        <v>103</v>
      </c>
      <c r="E225" s="164" t="s">
        <v>103</v>
      </c>
      <c r="F225" s="164" t="s">
        <v>895</v>
      </c>
      <c r="G225" s="164" t="s">
        <v>894</v>
      </c>
      <c r="H225" s="165">
        <v>32197</v>
      </c>
      <c r="I225" s="164" t="s">
        <v>48</v>
      </c>
      <c r="J225" s="164" t="s">
        <v>21</v>
      </c>
      <c r="K225" s="165">
        <v>42506</v>
      </c>
      <c r="L225" s="166" t="s">
        <v>105</v>
      </c>
      <c r="M225" s="154"/>
      <c r="N225" s="154"/>
      <c r="O225" s="164" t="s">
        <v>57</v>
      </c>
      <c r="P225" s="164">
        <v>38</v>
      </c>
      <c r="Q225" s="164">
        <v>10</v>
      </c>
      <c r="R225" s="167" t="s">
        <v>847</v>
      </c>
      <c r="S225" s="167" t="s">
        <v>848</v>
      </c>
      <c r="T225" s="162" t="s">
        <v>800</v>
      </c>
      <c r="U225" s="167" t="s">
        <v>804</v>
      </c>
      <c r="X225" s="169">
        <v>45383</v>
      </c>
      <c r="Y225" s="170">
        <v>5</v>
      </c>
      <c r="Z225" s="170">
        <v>0</v>
      </c>
      <c r="AA225" s="170">
        <v>0</v>
      </c>
      <c r="AB225" s="170">
        <v>0</v>
      </c>
      <c r="AC225" s="171">
        <v>5</v>
      </c>
      <c r="AD225" s="172">
        <v>1413212.47884</v>
      </c>
      <c r="AE225" s="173">
        <v>5</v>
      </c>
      <c r="AF225" s="174">
        <v>46357</v>
      </c>
    </row>
    <row r="226" spans="1:32" x14ac:dyDescent="0.35">
      <c r="A226" s="162" t="s">
        <v>894</v>
      </c>
      <c r="B226" s="163" t="s">
        <v>895</v>
      </c>
      <c r="C226" s="154"/>
      <c r="D226" s="162" t="s">
        <v>103</v>
      </c>
      <c r="E226" s="164" t="s">
        <v>103</v>
      </c>
      <c r="F226" s="164" t="s">
        <v>895</v>
      </c>
      <c r="G226" s="164" t="s">
        <v>894</v>
      </c>
      <c r="H226" s="165">
        <v>32197</v>
      </c>
      <c r="I226" s="164" t="s">
        <v>48</v>
      </c>
      <c r="J226" s="164" t="s">
        <v>21</v>
      </c>
      <c r="K226" s="165">
        <v>42506</v>
      </c>
      <c r="L226" s="166" t="s">
        <v>105</v>
      </c>
      <c r="M226" s="154"/>
      <c r="N226" s="154"/>
      <c r="O226" s="164" t="s">
        <v>57</v>
      </c>
      <c r="P226" s="164">
        <v>38</v>
      </c>
      <c r="Q226" s="164">
        <v>10</v>
      </c>
      <c r="R226" s="167" t="s">
        <v>847</v>
      </c>
      <c r="S226" s="167" t="s">
        <v>848</v>
      </c>
      <c r="T226" s="162" t="s">
        <v>800</v>
      </c>
      <c r="U226" s="167" t="s">
        <v>805</v>
      </c>
      <c r="X226" s="169">
        <v>45383</v>
      </c>
      <c r="Y226" s="170">
        <v>2.4999999966690001</v>
      </c>
      <c r="Z226" s="170">
        <v>0.41666667000000002</v>
      </c>
      <c r="AA226" s="170">
        <v>0</v>
      </c>
      <c r="AB226" s="170">
        <v>0</v>
      </c>
      <c r="AC226" s="171">
        <v>2.9166666666690002</v>
      </c>
      <c r="AD226" s="172">
        <v>824373.94599000004</v>
      </c>
      <c r="AE226" s="173">
        <v>2.92</v>
      </c>
      <c r="AF226" s="174">
        <v>46357</v>
      </c>
    </row>
    <row r="227" spans="1:32" ht="20" x14ac:dyDescent="0.35">
      <c r="A227" s="162" t="s">
        <v>896</v>
      </c>
      <c r="B227" s="163" t="s">
        <v>897</v>
      </c>
      <c r="C227" s="154"/>
      <c r="D227" s="162" t="s">
        <v>106</v>
      </c>
      <c r="E227" s="164" t="s">
        <v>106</v>
      </c>
      <c r="F227" s="164" t="s">
        <v>897</v>
      </c>
      <c r="G227" s="164" t="s">
        <v>896</v>
      </c>
      <c r="H227" s="165">
        <v>29323</v>
      </c>
      <c r="I227" s="164" t="s">
        <v>20</v>
      </c>
      <c r="J227" s="164" t="s">
        <v>21</v>
      </c>
      <c r="K227" s="165">
        <v>44161</v>
      </c>
      <c r="L227" s="166" t="s">
        <v>108</v>
      </c>
      <c r="M227" s="154"/>
      <c r="N227" s="154"/>
      <c r="O227" s="164" t="s">
        <v>50</v>
      </c>
      <c r="P227" s="164">
        <v>46</v>
      </c>
      <c r="Q227" s="164">
        <v>10</v>
      </c>
      <c r="R227" s="167" t="s">
        <v>898</v>
      </c>
      <c r="S227" s="167" t="s">
        <v>45</v>
      </c>
      <c r="T227" s="162" t="s">
        <v>794</v>
      </c>
      <c r="U227" s="167" t="s">
        <v>833</v>
      </c>
      <c r="V227" s="162" t="s">
        <v>834</v>
      </c>
      <c r="W227" s="168">
        <v>10</v>
      </c>
      <c r="X227" s="169">
        <v>45962</v>
      </c>
      <c r="Y227" s="170">
        <v>22.42</v>
      </c>
      <c r="Z227" s="170">
        <v>2.25</v>
      </c>
      <c r="AA227" s="170">
        <v>0</v>
      </c>
      <c r="AB227" s="170">
        <v>0</v>
      </c>
      <c r="AC227" s="171">
        <v>24.67</v>
      </c>
      <c r="AD227" s="172">
        <v>10278099.93269</v>
      </c>
      <c r="AE227" s="173" t="s">
        <v>797</v>
      </c>
      <c r="AF227" s="173"/>
    </row>
    <row r="228" spans="1:32" x14ac:dyDescent="0.35">
      <c r="A228" s="162" t="s">
        <v>896</v>
      </c>
      <c r="B228" s="163" t="s">
        <v>897</v>
      </c>
      <c r="C228" s="154"/>
      <c r="D228" s="162" t="s">
        <v>106</v>
      </c>
      <c r="E228" s="164" t="s">
        <v>106</v>
      </c>
      <c r="F228" s="164" t="s">
        <v>897</v>
      </c>
      <c r="G228" s="164" t="s">
        <v>896</v>
      </c>
      <c r="H228" s="165">
        <v>29323</v>
      </c>
      <c r="I228" s="164" t="s">
        <v>20</v>
      </c>
      <c r="J228" s="164" t="s">
        <v>21</v>
      </c>
      <c r="K228" s="165">
        <v>44161</v>
      </c>
      <c r="L228" s="166" t="s">
        <v>108</v>
      </c>
      <c r="M228" s="154"/>
      <c r="N228" s="154"/>
      <c r="O228" s="164" t="s">
        <v>50</v>
      </c>
      <c r="P228" s="164">
        <v>46</v>
      </c>
      <c r="Q228" s="164">
        <v>10</v>
      </c>
      <c r="R228" s="167" t="s">
        <v>898</v>
      </c>
      <c r="S228" s="167" t="s">
        <v>45</v>
      </c>
      <c r="T228" s="162" t="s">
        <v>798</v>
      </c>
      <c r="U228" s="167" t="s">
        <v>799</v>
      </c>
      <c r="X228" s="169">
        <v>45962</v>
      </c>
      <c r="Y228" s="170">
        <v>0</v>
      </c>
      <c r="Z228" s="170">
        <v>0</v>
      </c>
      <c r="AA228" s="170">
        <v>0</v>
      </c>
      <c r="AB228" s="170">
        <v>0</v>
      </c>
      <c r="AC228" s="171">
        <v>0</v>
      </c>
      <c r="AD228" s="172">
        <v>0</v>
      </c>
      <c r="AE228" s="173">
        <v>0</v>
      </c>
      <c r="AF228" s="174">
        <v>46357</v>
      </c>
    </row>
    <row r="229" spans="1:32" x14ac:dyDescent="0.35">
      <c r="A229" s="162" t="s">
        <v>896</v>
      </c>
      <c r="B229" s="163" t="s">
        <v>897</v>
      </c>
      <c r="C229" s="154"/>
      <c r="D229" s="162" t="s">
        <v>106</v>
      </c>
      <c r="E229" s="164" t="s">
        <v>106</v>
      </c>
      <c r="F229" s="164" t="s">
        <v>897</v>
      </c>
      <c r="G229" s="164" t="s">
        <v>896</v>
      </c>
      <c r="H229" s="165">
        <v>29323</v>
      </c>
      <c r="I229" s="164" t="s">
        <v>20</v>
      </c>
      <c r="J229" s="164" t="s">
        <v>21</v>
      </c>
      <c r="K229" s="165">
        <v>44161</v>
      </c>
      <c r="L229" s="166" t="s">
        <v>108</v>
      </c>
      <c r="M229" s="154"/>
      <c r="N229" s="154"/>
      <c r="O229" s="164" t="s">
        <v>50</v>
      </c>
      <c r="P229" s="164">
        <v>46</v>
      </c>
      <c r="Q229" s="164">
        <v>10</v>
      </c>
      <c r="R229" s="167" t="s">
        <v>898</v>
      </c>
      <c r="S229" s="167" t="s">
        <v>45</v>
      </c>
      <c r="T229" s="162" t="s">
        <v>800</v>
      </c>
      <c r="U229" s="167" t="s">
        <v>801</v>
      </c>
      <c r="X229" s="169">
        <v>45962</v>
      </c>
      <c r="Y229" s="170">
        <v>0</v>
      </c>
      <c r="Z229" s="170">
        <v>0</v>
      </c>
      <c r="AA229" s="170">
        <v>0</v>
      </c>
      <c r="AB229" s="170">
        <v>0</v>
      </c>
      <c r="AC229" s="171">
        <v>0</v>
      </c>
      <c r="AD229" s="172">
        <v>0</v>
      </c>
      <c r="AE229" s="173">
        <v>0</v>
      </c>
      <c r="AF229" s="174">
        <v>46357</v>
      </c>
    </row>
    <row r="230" spans="1:32" x14ac:dyDescent="0.35">
      <c r="A230" s="162" t="s">
        <v>896</v>
      </c>
      <c r="B230" s="163" t="s">
        <v>897</v>
      </c>
      <c r="C230" s="154"/>
      <c r="D230" s="162" t="s">
        <v>106</v>
      </c>
      <c r="E230" s="164" t="s">
        <v>106</v>
      </c>
      <c r="F230" s="164" t="s">
        <v>897</v>
      </c>
      <c r="G230" s="164" t="s">
        <v>896</v>
      </c>
      <c r="H230" s="165">
        <v>29323</v>
      </c>
      <c r="I230" s="164" t="s">
        <v>20</v>
      </c>
      <c r="J230" s="164" t="s">
        <v>21</v>
      </c>
      <c r="K230" s="165">
        <v>44161</v>
      </c>
      <c r="L230" s="166" t="s">
        <v>108</v>
      </c>
      <c r="M230" s="154"/>
      <c r="N230" s="154"/>
      <c r="O230" s="164" t="s">
        <v>50</v>
      </c>
      <c r="P230" s="164">
        <v>46</v>
      </c>
      <c r="Q230" s="164">
        <v>10</v>
      </c>
      <c r="R230" s="167" t="s">
        <v>898</v>
      </c>
      <c r="S230" s="167" t="s">
        <v>45</v>
      </c>
      <c r="T230" s="162" t="s">
        <v>800</v>
      </c>
      <c r="U230" s="167" t="s">
        <v>802</v>
      </c>
      <c r="X230" s="169">
        <v>45962</v>
      </c>
      <c r="Y230" s="170">
        <v>0</v>
      </c>
      <c r="Z230" s="170">
        <v>0</v>
      </c>
      <c r="AA230" s="170">
        <v>0</v>
      </c>
      <c r="AB230" s="170">
        <v>0</v>
      </c>
      <c r="AC230" s="171">
        <v>0</v>
      </c>
      <c r="AD230" s="172">
        <v>0</v>
      </c>
      <c r="AE230" s="173">
        <v>0</v>
      </c>
      <c r="AF230" s="174">
        <v>46357</v>
      </c>
    </row>
    <row r="231" spans="1:32" x14ac:dyDescent="0.35">
      <c r="A231" s="162" t="s">
        <v>896</v>
      </c>
      <c r="B231" s="163" t="s">
        <v>897</v>
      </c>
      <c r="C231" s="154"/>
      <c r="D231" s="162" t="s">
        <v>106</v>
      </c>
      <c r="E231" s="164" t="s">
        <v>106</v>
      </c>
      <c r="F231" s="164" t="s">
        <v>897</v>
      </c>
      <c r="G231" s="164" t="s">
        <v>896</v>
      </c>
      <c r="H231" s="165">
        <v>29323</v>
      </c>
      <c r="I231" s="164" t="s">
        <v>20</v>
      </c>
      <c r="J231" s="164" t="s">
        <v>21</v>
      </c>
      <c r="K231" s="165">
        <v>44161</v>
      </c>
      <c r="L231" s="166" t="s">
        <v>108</v>
      </c>
      <c r="M231" s="154"/>
      <c r="N231" s="154"/>
      <c r="O231" s="164" t="s">
        <v>50</v>
      </c>
      <c r="P231" s="164">
        <v>46</v>
      </c>
      <c r="Q231" s="164">
        <v>10</v>
      </c>
      <c r="R231" s="167" t="s">
        <v>898</v>
      </c>
      <c r="S231" s="167" t="s">
        <v>45</v>
      </c>
      <c r="T231" s="162" t="s">
        <v>800</v>
      </c>
      <c r="U231" s="167" t="s">
        <v>803</v>
      </c>
      <c r="X231" s="169">
        <v>45962</v>
      </c>
      <c r="Y231" s="170">
        <v>0</v>
      </c>
      <c r="Z231" s="170">
        <v>0</v>
      </c>
      <c r="AA231" s="170">
        <v>0</v>
      </c>
      <c r="AB231" s="170">
        <v>0</v>
      </c>
      <c r="AC231" s="171">
        <v>0</v>
      </c>
      <c r="AD231" s="172">
        <v>0</v>
      </c>
      <c r="AE231" s="173">
        <v>0</v>
      </c>
      <c r="AF231" s="174">
        <v>46357</v>
      </c>
    </row>
    <row r="232" spans="1:32" x14ac:dyDescent="0.35">
      <c r="A232" s="162" t="s">
        <v>896</v>
      </c>
      <c r="B232" s="163" t="s">
        <v>897</v>
      </c>
      <c r="C232" s="154"/>
      <c r="D232" s="162" t="s">
        <v>106</v>
      </c>
      <c r="E232" s="164" t="s">
        <v>106</v>
      </c>
      <c r="F232" s="164" t="s">
        <v>897</v>
      </c>
      <c r="G232" s="164" t="s">
        <v>896</v>
      </c>
      <c r="H232" s="165">
        <v>29323</v>
      </c>
      <c r="I232" s="164" t="s">
        <v>20</v>
      </c>
      <c r="J232" s="164" t="s">
        <v>21</v>
      </c>
      <c r="K232" s="165">
        <v>44161</v>
      </c>
      <c r="L232" s="166" t="s">
        <v>108</v>
      </c>
      <c r="M232" s="154"/>
      <c r="N232" s="154"/>
      <c r="O232" s="164" t="s">
        <v>50</v>
      </c>
      <c r="P232" s="164">
        <v>46</v>
      </c>
      <c r="Q232" s="164">
        <v>10</v>
      </c>
      <c r="R232" s="167" t="s">
        <v>898</v>
      </c>
      <c r="S232" s="167" t="s">
        <v>45</v>
      </c>
      <c r="T232" s="162" t="s">
        <v>800</v>
      </c>
      <c r="U232" s="167" t="s">
        <v>804</v>
      </c>
      <c r="X232" s="169">
        <v>45962</v>
      </c>
      <c r="Y232" s="170">
        <v>0</v>
      </c>
      <c r="Z232" s="170">
        <v>0</v>
      </c>
      <c r="AA232" s="170">
        <v>0</v>
      </c>
      <c r="AB232" s="170">
        <v>0</v>
      </c>
      <c r="AC232" s="171">
        <v>0</v>
      </c>
      <c r="AD232" s="172">
        <v>0</v>
      </c>
      <c r="AE232" s="173">
        <v>0</v>
      </c>
      <c r="AF232" s="174">
        <v>46357</v>
      </c>
    </row>
    <row r="233" spans="1:32" x14ac:dyDescent="0.35">
      <c r="A233" s="162" t="s">
        <v>896</v>
      </c>
      <c r="B233" s="163" t="s">
        <v>897</v>
      </c>
      <c r="C233" s="154"/>
      <c r="D233" s="162" t="s">
        <v>106</v>
      </c>
      <c r="E233" s="164" t="s">
        <v>106</v>
      </c>
      <c r="F233" s="164" t="s">
        <v>897</v>
      </c>
      <c r="G233" s="164" t="s">
        <v>896</v>
      </c>
      <c r="H233" s="165">
        <v>29323</v>
      </c>
      <c r="I233" s="164" t="s">
        <v>20</v>
      </c>
      <c r="J233" s="164" t="s">
        <v>21</v>
      </c>
      <c r="K233" s="165">
        <v>44161</v>
      </c>
      <c r="L233" s="166" t="s">
        <v>108</v>
      </c>
      <c r="M233" s="154"/>
      <c r="N233" s="154"/>
      <c r="O233" s="164" t="s">
        <v>50</v>
      </c>
      <c r="P233" s="164">
        <v>46</v>
      </c>
      <c r="Q233" s="164">
        <v>10</v>
      </c>
      <c r="R233" s="167" t="s">
        <v>898</v>
      </c>
      <c r="S233" s="167" t="s">
        <v>45</v>
      </c>
      <c r="T233" s="162" t="s">
        <v>800</v>
      </c>
      <c r="U233" s="167" t="s">
        <v>805</v>
      </c>
      <c r="X233" s="169">
        <v>45962</v>
      </c>
      <c r="Y233" s="170">
        <v>2.0833333300020001</v>
      </c>
      <c r="Z233" s="170">
        <v>0.41666667000000002</v>
      </c>
      <c r="AA233" s="170">
        <v>0</v>
      </c>
      <c r="AB233" s="170">
        <v>0</v>
      </c>
      <c r="AC233" s="171">
        <v>2.5000000000020002</v>
      </c>
      <c r="AD233" s="172">
        <v>1041558.56635</v>
      </c>
      <c r="AE233" s="173">
        <v>2.5</v>
      </c>
      <c r="AF233" s="174">
        <v>46357</v>
      </c>
    </row>
    <row r="234" spans="1:32" ht="20" x14ac:dyDescent="0.35">
      <c r="A234" s="162" t="s">
        <v>899</v>
      </c>
      <c r="B234" s="163" t="s">
        <v>900</v>
      </c>
      <c r="C234" s="154"/>
      <c r="D234" s="162" t="s">
        <v>109</v>
      </c>
      <c r="E234" s="164" t="s">
        <v>109</v>
      </c>
      <c r="F234" s="164" t="s">
        <v>900</v>
      </c>
      <c r="G234" s="164" t="s">
        <v>899</v>
      </c>
      <c r="H234" s="165">
        <v>32543</v>
      </c>
      <c r="I234" s="164" t="s">
        <v>48</v>
      </c>
      <c r="J234" s="164" t="s">
        <v>21</v>
      </c>
      <c r="K234" s="165">
        <v>42522</v>
      </c>
      <c r="L234" s="166" t="s">
        <v>111</v>
      </c>
      <c r="M234" s="154"/>
      <c r="N234" s="154"/>
      <c r="O234" s="164" t="s">
        <v>57</v>
      </c>
      <c r="P234" s="164">
        <v>37</v>
      </c>
      <c r="Q234" s="164">
        <v>10</v>
      </c>
      <c r="R234" s="167" t="s">
        <v>847</v>
      </c>
      <c r="S234" s="167" t="s">
        <v>848</v>
      </c>
      <c r="T234" s="162" t="s">
        <v>794</v>
      </c>
      <c r="U234" s="167" t="s">
        <v>833</v>
      </c>
      <c r="V234" s="162" t="s">
        <v>834</v>
      </c>
      <c r="W234" s="168">
        <v>10</v>
      </c>
      <c r="X234" s="169">
        <v>45383</v>
      </c>
      <c r="Y234" s="170">
        <v>28.413333333337999</v>
      </c>
      <c r="Z234" s="170">
        <v>2.25</v>
      </c>
      <c r="AA234" s="170">
        <v>0</v>
      </c>
      <c r="AB234" s="170">
        <v>0</v>
      </c>
      <c r="AC234" s="171">
        <v>30.663333333337999</v>
      </c>
      <c r="AD234" s="172">
        <v>10040787.670369999</v>
      </c>
      <c r="AE234" s="173" t="s">
        <v>797</v>
      </c>
      <c r="AF234" s="173"/>
    </row>
    <row r="235" spans="1:32" x14ac:dyDescent="0.35">
      <c r="A235" s="162" t="s">
        <v>899</v>
      </c>
      <c r="B235" s="163" t="s">
        <v>900</v>
      </c>
      <c r="C235" s="154"/>
      <c r="D235" s="162" t="s">
        <v>109</v>
      </c>
      <c r="E235" s="164" t="s">
        <v>109</v>
      </c>
      <c r="F235" s="164" t="s">
        <v>900</v>
      </c>
      <c r="G235" s="164" t="s">
        <v>899</v>
      </c>
      <c r="H235" s="165">
        <v>32543</v>
      </c>
      <c r="I235" s="164" t="s">
        <v>48</v>
      </c>
      <c r="J235" s="164" t="s">
        <v>21</v>
      </c>
      <c r="K235" s="165">
        <v>42522</v>
      </c>
      <c r="L235" s="166" t="s">
        <v>111</v>
      </c>
      <c r="M235" s="154"/>
      <c r="N235" s="154"/>
      <c r="O235" s="164" t="s">
        <v>57</v>
      </c>
      <c r="P235" s="164">
        <v>37</v>
      </c>
      <c r="Q235" s="164">
        <v>10</v>
      </c>
      <c r="R235" s="167" t="s">
        <v>847</v>
      </c>
      <c r="S235" s="167" t="s">
        <v>848</v>
      </c>
      <c r="T235" s="162" t="s">
        <v>798</v>
      </c>
      <c r="U235" s="167" t="s">
        <v>799</v>
      </c>
      <c r="X235" s="169">
        <v>45383</v>
      </c>
      <c r="Y235" s="170">
        <v>177</v>
      </c>
      <c r="Z235" s="170">
        <v>0</v>
      </c>
      <c r="AA235" s="170">
        <v>0</v>
      </c>
      <c r="AB235" s="170">
        <v>0</v>
      </c>
      <c r="AC235" s="171">
        <v>177</v>
      </c>
      <c r="AD235" s="172">
        <v>57959107.000370003</v>
      </c>
      <c r="AE235" s="173">
        <v>177</v>
      </c>
      <c r="AF235" s="174">
        <v>46357</v>
      </c>
    </row>
    <row r="236" spans="1:32" x14ac:dyDescent="0.35">
      <c r="A236" s="162" t="s">
        <v>899</v>
      </c>
      <c r="B236" s="163" t="s">
        <v>900</v>
      </c>
      <c r="C236" s="154"/>
      <c r="D236" s="162" t="s">
        <v>109</v>
      </c>
      <c r="E236" s="164" t="s">
        <v>109</v>
      </c>
      <c r="F236" s="164" t="s">
        <v>900</v>
      </c>
      <c r="G236" s="164" t="s">
        <v>899</v>
      </c>
      <c r="H236" s="165">
        <v>32543</v>
      </c>
      <c r="I236" s="164" t="s">
        <v>48</v>
      </c>
      <c r="J236" s="164" t="s">
        <v>21</v>
      </c>
      <c r="K236" s="165">
        <v>42522</v>
      </c>
      <c r="L236" s="166" t="s">
        <v>111</v>
      </c>
      <c r="M236" s="154"/>
      <c r="N236" s="154"/>
      <c r="O236" s="164" t="s">
        <v>57</v>
      </c>
      <c r="P236" s="164">
        <v>37</v>
      </c>
      <c r="Q236" s="164">
        <v>10</v>
      </c>
      <c r="R236" s="167" t="s">
        <v>847</v>
      </c>
      <c r="S236" s="167" t="s">
        <v>848</v>
      </c>
      <c r="T236" s="162" t="s">
        <v>800</v>
      </c>
      <c r="U236" s="167" t="s">
        <v>801</v>
      </c>
      <c r="X236" s="169">
        <v>45383</v>
      </c>
      <c r="Y236" s="170">
        <v>26</v>
      </c>
      <c r="Z236" s="170">
        <v>0</v>
      </c>
      <c r="AA236" s="170">
        <v>0</v>
      </c>
      <c r="AB236" s="170">
        <v>0</v>
      </c>
      <c r="AC236" s="171">
        <v>26</v>
      </c>
      <c r="AD236" s="172">
        <v>8513767.1300000008</v>
      </c>
      <c r="AE236" s="173">
        <v>26</v>
      </c>
      <c r="AF236" s="174">
        <v>46357</v>
      </c>
    </row>
    <row r="237" spans="1:32" x14ac:dyDescent="0.35">
      <c r="A237" s="162" t="s">
        <v>899</v>
      </c>
      <c r="B237" s="163" t="s">
        <v>900</v>
      </c>
      <c r="C237" s="154"/>
      <c r="D237" s="162" t="s">
        <v>109</v>
      </c>
      <c r="E237" s="164" t="s">
        <v>109</v>
      </c>
      <c r="F237" s="164" t="s">
        <v>900</v>
      </c>
      <c r="G237" s="164" t="s">
        <v>899</v>
      </c>
      <c r="H237" s="165">
        <v>32543</v>
      </c>
      <c r="I237" s="164" t="s">
        <v>48</v>
      </c>
      <c r="J237" s="164" t="s">
        <v>21</v>
      </c>
      <c r="K237" s="165">
        <v>42522</v>
      </c>
      <c r="L237" s="166" t="s">
        <v>111</v>
      </c>
      <c r="M237" s="154"/>
      <c r="N237" s="154"/>
      <c r="O237" s="164" t="s">
        <v>57</v>
      </c>
      <c r="P237" s="164">
        <v>37</v>
      </c>
      <c r="Q237" s="164">
        <v>10</v>
      </c>
      <c r="R237" s="167" t="s">
        <v>847</v>
      </c>
      <c r="S237" s="167" t="s">
        <v>848</v>
      </c>
      <c r="T237" s="162" t="s">
        <v>800</v>
      </c>
      <c r="U237" s="167" t="s">
        <v>802</v>
      </c>
      <c r="X237" s="169">
        <v>45383</v>
      </c>
      <c r="Y237" s="170">
        <v>98</v>
      </c>
      <c r="Z237" s="170">
        <v>0</v>
      </c>
      <c r="AA237" s="170">
        <v>0</v>
      </c>
      <c r="AB237" s="170">
        <v>0</v>
      </c>
      <c r="AC237" s="171">
        <v>98</v>
      </c>
      <c r="AD237" s="172">
        <v>32090353.028450001</v>
      </c>
      <c r="AE237" s="173">
        <v>98</v>
      </c>
      <c r="AF237" s="174">
        <v>46357</v>
      </c>
    </row>
    <row r="238" spans="1:32" x14ac:dyDescent="0.35">
      <c r="A238" s="162" t="s">
        <v>899</v>
      </c>
      <c r="B238" s="163" t="s">
        <v>900</v>
      </c>
      <c r="C238" s="154"/>
      <c r="D238" s="162" t="s">
        <v>109</v>
      </c>
      <c r="E238" s="164" t="s">
        <v>109</v>
      </c>
      <c r="F238" s="164" t="s">
        <v>900</v>
      </c>
      <c r="G238" s="164" t="s">
        <v>899</v>
      </c>
      <c r="H238" s="165">
        <v>32543</v>
      </c>
      <c r="I238" s="164" t="s">
        <v>48</v>
      </c>
      <c r="J238" s="164" t="s">
        <v>21</v>
      </c>
      <c r="K238" s="165">
        <v>42522</v>
      </c>
      <c r="L238" s="166" t="s">
        <v>111</v>
      </c>
      <c r="M238" s="154"/>
      <c r="N238" s="154"/>
      <c r="O238" s="164" t="s">
        <v>57</v>
      </c>
      <c r="P238" s="164">
        <v>37</v>
      </c>
      <c r="Q238" s="164">
        <v>10</v>
      </c>
      <c r="R238" s="167" t="s">
        <v>847</v>
      </c>
      <c r="S238" s="167" t="s">
        <v>848</v>
      </c>
      <c r="T238" s="162" t="s">
        <v>800</v>
      </c>
      <c r="U238" s="167" t="s">
        <v>803</v>
      </c>
      <c r="X238" s="169">
        <v>45383</v>
      </c>
      <c r="Y238" s="170">
        <v>2</v>
      </c>
      <c r="Z238" s="170">
        <v>0</v>
      </c>
      <c r="AA238" s="170">
        <v>0</v>
      </c>
      <c r="AB238" s="170">
        <v>0</v>
      </c>
      <c r="AC238" s="171">
        <v>2</v>
      </c>
      <c r="AD238" s="172">
        <v>654905.16385000001</v>
      </c>
      <c r="AE238" s="173">
        <v>2</v>
      </c>
      <c r="AF238" s="174">
        <v>46357</v>
      </c>
    </row>
    <row r="239" spans="1:32" x14ac:dyDescent="0.35">
      <c r="A239" s="162" t="s">
        <v>899</v>
      </c>
      <c r="B239" s="163" t="s">
        <v>900</v>
      </c>
      <c r="C239" s="154"/>
      <c r="D239" s="162" t="s">
        <v>109</v>
      </c>
      <c r="E239" s="164" t="s">
        <v>109</v>
      </c>
      <c r="F239" s="164" t="s">
        <v>900</v>
      </c>
      <c r="G239" s="164" t="s">
        <v>899</v>
      </c>
      <c r="H239" s="165">
        <v>32543</v>
      </c>
      <c r="I239" s="164" t="s">
        <v>48</v>
      </c>
      <c r="J239" s="164" t="s">
        <v>21</v>
      </c>
      <c r="K239" s="165">
        <v>42522</v>
      </c>
      <c r="L239" s="166" t="s">
        <v>111</v>
      </c>
      <c r="M239" s="154"/>
      <c r="N239" s="154"/>
      <c r="O239" s="164" t="s">
        <v>57</v>
      </c>
      <c r="P239" s="164">
        <v>37</v>
      </c>
      <c r="Q239" s="164">
        <v>10</v>
      </c>
      <c r="R239" s="167" t="s">
        <v>847</v>
      </c>
      <c r="S239" s="167" t="s">
        <v>848</v>
      </c>
      <c r="T239" s="162" t="s">
        <v>800</v>
      </c>
      <c r="U239" s="167" t="s">
        <v>804</v>
      </c>
      <c r="X239" s="169">
        <v>45383</v>
      </c>
      <c r="Y239" s="170">
        <v>5</v>
      </c>
      <c r="Z239" s="170">
        <v>0</v>
      </c>
      <c r="AA239" s="170">
        <v>0</v>
      </c>
      <c r="AB239" s="170">
        <v>0</v>
      </c>
      <c r="AC239" s="171">
        <v>5</v>
      </c>
      <c r="AD239" s="172">
        <v>1637262.90962</v>
      </c>
      <c r="AE239" s="173">
        <v>5</v>
      </c>
      <c r="AF239" s="174">
        <v>46357</v>
      </c>
    </row>
    <row r="240" spans="1:32" x14ac:dyDescent="0.35">
      <c r="A240" s="162" t="s">
        <v>899</v>
      </c>
      <c r="B240" s="163" t="s">
        <v>900</v>
      </c>
      <c r="C240" s="154"/>
      <c r="D240" s="162" t="s">
        <v>109</v>
      </c>
      <c r="E240" s="164" t="s">
        <v>109</v>
      </c>
      <c r="F240" s="164" t="s">
        <v>900</v>
      </c>
      <c r="G240" s="164" t="s">
        <v>899</v>
      </c>
      <c r="H240" s="165">
        <v>32543</v>
      </c>
      <c r="I240" s="164" t="s">
        <v>48</v>
      </c>
      <c r="J240" s="164" t="s">
        <v>21</v>
      </c>
      <c r="K240" s="165">
        <v>42522</v>
      </c>
      <c r="L240" s="166" t="s">
        <v>111</v>
      </c>
      <c r="M240" s="154"/>
      <c r="N240" s="154"/>
      <c r="O240" s="164" t="s">
        <v>57</v>
      </c>
      <c r="P240" s="164">
        <v>37</v>
      </c>
      <c r="Q240" s="164">
        <v>10</v>
      </c>
      <c r="R240" s="167" t="s">
        <v>847</v>
      </c>
      <c r="S240" s="167" t="s">
        <v>848</v>
      </c>
      <c r="T240" s="162" t="s">
        <v>800</v>
      </c>
      <c r="U240" s="167" t="s">
        <v>805</v>
      </c>
      <c r="X240" s="169">
        <v>45383</v>
      </c>
      <c r="Y240" s="170">
        <v>2.4999999966690001</v>
      </c>
      <c r="Z240" s="170">
        <v>0.41666667000000002</v>
      </c>
      <c r="AA240" s="170">
        <v>0</v>
      </c>
      <c r="AB240" s="170">
        <v>0</v>
      </c>
      <c r="AC240" s="171">
        <v>2.9166666666690002</v>
      </c>
      <c r="AD240" s="172">
        <v>955070.03061000002</v>
      </c>
      <c r="AE240" s="173">
        <v>2.92</v>
      </c>
      <c r="AF240" s="174">
        <v>46357</v>
      </c>
    </row>
    <row r="241" spans="1:32" ht="20" x14ac:dyDescent="0.35">
      <c r="A241" s="162" t="s">
        <v>901</v>
      </c>
      <c r="B241" s="163" t="s">
        <v>902</v>
      </c>
      <c r="C241" s="154"/>
      <c r="D241" s="162" t="s">
        <v>112</v>
      </c>
      <c r="E241" s="164" t="s">
        <v>112</v>
      </c>
      <c r="F241" s="164" t="s">
        <v>902</v>
      </c>
      <c r="G241" s="164" t="s">
        <v>901</v>
      </c>
      <c r="H241" s="165">
        <v>23282</v>
      </c>
      <c r="I241" s="164" t="s">
        <v>20</v>
      </c>
      <c r="J241" s="164" t="s">
        <v>21</v>
      </c>
      <c r="K241" s="165">
        <v>42515</v>
      </c>
      <c r="L241" s="166" t="s">
        <v>114</v>
      </c>
      <c r="M241" s="154"/>
      <c r="N241" s="154"/>
      <c r="O241" s="164" t="s">
        <v>23</v>
      </c>
      <c r="P241" s="164">
        <v>62</v>
      </c>
      <c r="Q241" s="164">
        <v>10</v>
      </c>
      <c r="R241" s="167" t="s">
        <v>903</v>
      </c>
      <c r="S241" s="167" t="s">
        <v>115</v>
      </c>
      <c r="T241" s="162" t="s">
        <v>794</v>
      </c>
      <c r="U241" s="167" t="s">
        <v>833</v>
      </c>
      <c r="V241" s="162" t="s">
        <v>834</v>
      </c>
      <c r="W241" s="168">
        <v>10</v>
      </c>
      <c r="X241" s="169">
        <v>45383</v>
      </c>
      <c r="Y241" s="170">
        <v>7.0866666666710003</v>
      </c>
      <c r="Z241" s="170">
        <v>2.25</v>
      </c>
      <c r="AA241" s="170">
        <v>0</v>
      </c>
      <c r="AB241" s="170">
        <v>0</v>
      </c>
      <c r="AC241" s="171">
        <v>9.3366666666710003</v>
      </c>
      <c r="AD241" s="172">
        <v>3853779.4825300002</v>
      </c>
      <c r="AE241" s="173" t="s">
        <v>797</v>
      </c>
      <c r="AF241" s="173"/>
    </row>
    <row r="242" spans="1:32" x14ac:dyDescent="0.35">
      <c r="A242" s="162" t="s">
        <v>901</v>
      </c>
      <c r="B242" s="163" t="s">
        <v>902</v>
      </c>
      <c r="C242" s="154"/>
      <c r="D242" s="162" t="s">
        <v>112</v>
      </c>
      <c r="E242" s="164" t="s">
        <v>112</v>
      </c>
      <c r="F242" s="164" t="s">
        <v>902</v>
      </c>
      <c r="G242" s="164" t="s">
        <v>901</v>
      </c>
      <c r="H242" s="165">
        <v>23282</v>
      </c>
      <c r="I242" s="164" t="s">
        <v>20</v>
      </c>
      <c r="J242" s="164" t="s">
        <v>21</v>
      </c>
      <c r="K242" s="165">
        <v>42515</v>
      </c>
      <c r="L242" s="166" t="s">
        <v>114</v>
      </c>
      <c r="M242" s="154"/>
      <c r="N242" s="154"/>
      <c r="O242" s="164" t="s">
        <v>23</v>
      </c>
      <c r="P242" s="164">
        <v>62</v>
      </c>
      <c r="Q242" s="164">
        <v>10</v>
      </c>
      <c r="R242" s="167" t="s">
        <v>903</v>
      </c>
      <c r="S242" s="167" t="s">
        <v>115</v>
      </c>
      <c r="T242" s="162" t="s">
        <v>798</v>
      </c>
      <c r="U242" s="167" t="s">
        <v>799</v>
      </c>
      <c r="X242" s="169">
        <v>45383</v>
      </c>
      <c r="Y242" s="170">
        <v>180</v>
      </c>
      <c r="Z242" s="170">
        <v>0</v>
      </c>
      <c r="AA242" s="170">
        <v>0</v>
      </c>
      <c r="AB242" s="170">
        <v>0</v>
      </c>
      <c r="AC242" s="171">
        <v>180</v>
      </c>
      <c r="AD242" s="172">
        <v>74296355.607539997</v>
      </c>
      <c r="AE242" s="173">
        <v>180</v>
      </c>
      <c r="AF242" s="174">
        <v>46357</v>
      </c>
    </row>
    <row r="243" spans="1:32" x14ac:dyDescent="0.35">
      <c r="A243" s="162" t="s">
        <v>901</v>
      </c>
      <c r="B243" s="163" t="s">
        <v>902</v>
      </c>
      <c r="C243" s="154"/>
      <c r="D243" s="162" t="s">
        <v>112</v>
      </c>
      <c r="E243" s="164" t="s">
        <v>112</v>
      </c>
      <c r="F243" s="164" t="s">
        <v>902</v>
      </c>
      <c r="G243" s="164" t="s">
        <v>901</v>
      </c>
      <c r="H243" s="165">
        <v>23282</v>
      </c>
      <c r="I243" s="164" t="s">
        <v>20</v>
      </c>
      <c r="J243" s="164" t="s">
        <v>21</v>
      </c>
      <c r="K243" s="165">
        <v>42515</v>
      </c>
      <c r="L243" s="166" t="s">
        <v>114</v>
      </c>
      <c r="M243" s="154"/>
      <c r="N243" s="154"/>
      <c r="O243" s="164" t="s">
        <v>23</v>
      </c>
      <c r="P243" s="164">
        <v>62</v>
      </c>
      <c r="Q243" s="164">
        <v>10</v>
      </c>
      <c r="R243" s="167" t="s">
        <v>903</v>
      </c>
      <c r="S243" s="167" t="s">
        <v>115</v>
      </c>
      <c r="T243" s="162" t="s">
        <v>800</v>
      </c>
      <c r="U243" s="167" t="s">
        <v>801</v>
      </c>
      <c r="X243" s="169">
        <v>45383</v>
      </c>
      <c r="Y243" s="170">
        <v>26</v>
      </c>
      <c r="Z243" s="170">
        <v>0</v>
      </c>
      <c r="AA243" s="170">
        <v>0</v>
      </c>
      <c r="AB243" s="170">
        <v>0</v>
      </c>
      <c r="AC243" s="171">
        <v>26</v>
      </c>
      <c r="AD243" s="172">
        <v>10731695.809979999</v>
      </c>
      <c r="AE243" s="173">
        <v>26</v>
      </c>
      <c r="AF243" s="174">
        <v>46357</v>
      </c>
    </row>
    <row r="244" spans="1:32" x14ac:dyDescent="0.35">
      <c r="A244" s="162" t="s">
        <v>901</v>
      </c>
      <c r="B244" s="163" t="s">
        <v>902</v>
      </c>
      <c r="C244" s="154"/>
      <c r="D244" s="162" t="s">
        <v>112</v>
      </c>
      <c r="E244" s="164" t="s">
        <v>112</v>
      </c>
      <c r="F244" s="164" t="s">
        <v>902</v>
      </c>
      <c r="G244" s="164" t="s">
        <v>901</v>
      </c>
      <c r="H244" s="165">
        <v>23282</v>
      </c>
      <c r="I244" s="164" t="s">
        <v>20</v>
      </c>
      <c r="J244" s="164" t="s">
        <v>21</v>
      </c>
      <c r="K244" s="165">
        <v>42515</v>
      </c>
      <c r="L244" s="166" t="s">
        <v>114</v>
      </c>
      <c r="M244" s="154"/>
      <c r="N244" s="154"/>
      <c r="O244" s="164" t="s">
        <v>23</v>
      </c>
      <c r="P244" s="164">
        <v>62</v>
      </c>
      <c r="Q244" s="164">
        <v>10</v>
      </c>
      <c r="R244" s="167" t="s">
        <v>903</v>
      </c>
      <c r="S244" s="167" t="s">
        <v>115</v>
      </c>
      <c r="T244" s="162" t="s">
        <v>800</v>
      </c>
      <c r="U244" s="167" t="s">
        <v>802</v>
      </c>
      <c r="X244" s="169">
        <v>45383</v>
      </c>
      <c r="Y244" s="170">
        <v>98</v>
      </c>
      <c r="Z244" s="170">
        <v>0</v>
      </c>
      <c r="AA244" s="170">
        <v>0</v>
      </c>
      <c r="AB244" s="170">
        <v>0</v>
      </c>
      <c r="AC244" s="171">
        <v>98</v>
      </c>
      <c r="AD244" s="172">
        <v>40450238.052989997</v>
      </c>
      <c r="AE244" s="173">
        <v>98</v>
      </c>
      <c r="AF244" s="174">
        <v>46357</v>
      </c>
    </row>
    <row r="245" spans="1:32" x14ac:dyDescent="0.35">
      <c r="A245" s="162" t="s">
        <v>901</v>
      </c>
      <c r="B245" s="163" t="s">
        <v>902</v>
      </c>
      <c r="C245" s="154"/>
      <c r="D245" s="162" t="s">
        <v>112</v>
      </c>
      <c r="E245" s="164" t="s">
        <v>112</v>
      </c>
      <c r="F245" s="164" t="s">
        <v>902</v>
      </c>
      <c r="G245" s="164" t="s">
        <v>901</v>
      </c>
      <c r="H245" s="165">
        <v>23282</v>
      </c>
      <c r="I245" s="164" t="s">
        <v>20</v>
      </c>
      <c r="J245" s="164" t="s">
        <v>21</v>
      </c>
      <c r="K245" s="165">
        <v>42515</v>
      </c>
      <c r="L245" s="166" t="s">
        <v>114</v>
      </c>
      <c r="M245" s="154"/>
      <c r="N245" s="154"/>
      <c r="O245" s="164" t="s">
        <v>23</v>
      </c>
      <c r="P245" s="164">
        <v>62</v>
      </c>
      <c r="Q245" s="164">
        <v>10</v>
      </c>
      <c r="R245" s="167" t="s">
        <v>903</v>
      </c>
      <c r="S245" s="167" t="s">
        <v>115</v>
      </c>
      <c r="T245" s="162" t="s">
        <v>800</v>
      </c>
      <c r="U245" s="167" t="s">
        <v>803</v>
      </c>
      <c r="X245" s="169">
        <v>45383</v>
      </c>
      <c r="Y245" s="170">
        <v>2</v>
      </c>
      <c r="Z245" s="170">
        <v>0</v>
      </c>
      <c r="AA245" s="170">
        <v>0</v>
      </c>
      <c r="AB245" s="170">
        <v>0</v>
      </c>
      <c r="AC245" s="171">
        <v>2</v>
      </c>
      <c r="AD245" s="172">
        <v>825515.06230999995</v>
      </c>
      <c r="AE245" s="173">
        <v>2</v>
      </c>
      <c r="AF245" s="174">
        <v>46357</v>
      </c>
    </row>
    <row r="246" spans="1:32" x14ac:dyDescent="0.35">
      <c r="A246" s="162" t="s">
        <v>901</v>
      </c>
      <c r="B246" s="163" t="s">
        <v>902</v>
      </c>
      <c r="C246" s="154"/>
      <c r="D246" s="162" t="s">
        <v>112</v>
      </c>
      <c r="E246" s="164" t="s">
        <v>112</v>
      </c>
      <c r="F246" s="164" t="s">
        <v>902</v>
      </c>
      <c r="G246" s="164" t="s">
        <v>901</v>
      </c>
      <c r="H246" s="165">
        <v>23282</v>
      </c>
      <c r="I246" s="164" t="s">
        <v>20</v>
      </c>
      <c r="J246" s="164" t="s">
        <v>21</v>
      </c>
      <c r="K246" s="165">
        <v>42515</v>
      </c>
      <c r="L246" s="166" t="s">
        <v>114</v>
      </c>
      <c r="M246" s="154"/>
      <c r="N246" s="154"/>
      <c r="O246" s="164" t="s">
        <v>23</v>
      </c>
      <c r="P246" s="164">
        <v>62</v>
      </c>
      <c r="Q246" s="164">
        <v>10</v>
      </c>
      <c r="R246" s="167" t="s">
        <v>903</v>
      </c>
      <c r="S246" s="167" t="s">
        <v>115</v>
      </c>
      <c r="T246" s="162" t="s">
        <v>800</v>
      </c>
      <c r="U246" s="167" t="s">
        <v>804</v>
      </c>
      <c r="X246" s="169">
        <v>45383</v>
      </c>
      <c r="Y246" s="170">
        <v>3</v>
      </c>
      <c r="Z246" s="170">
        <v>0</v>
      </c>
      <c r="AA246" s="170">
        <v>0</v>
      </c>
      <c r="AB246" s="170">
        <v>0</v>
      </c>
      <c r="AC246" s="171">
        <v>3</v>
      </c>
      <c r="AD246" s="172">
        <v>1238272.5934599999</v>
      </c>
      <c r="AE246" s="173">
        <v>3</v>
      </c>
      <c r="AF246" s="174">
        <v>46357</v>
      </c>
    </row>
    <row r="247" spans="1:32" x14ac:dyDescent="0.35">
      <c r="A247" s="162" t="s">
        <v>901</v>
      </c>
      <c r="B247" s="163" t="s">
        <v>902</v>
      </c>
      <c r="C247" s="154"/>
      <c r="D247" s="162" t="s">
        <v>112</v>
      </c>
      <c r="E247" s="164" t="s">
        <v>112</v>
      </c>
      <c r="F247" s="164" t="s">
        <v>902</v>
      </c>
      <c r="G247" s="164" t="s">
        <v>901</v>
      </c>
      <c r="H247" s="165">
        <v>23282</v>
      </c>
      <c r="I247" s="164" t="s">
        <v>20</v>
      </c>
      <c r="J247" s="164" t="s">
        <v>21</v>
      </c>
      <c r="K247" s="165">
        <v>42515</v>
      </c>
      <c r="L247" s="166" t="s">
        <v>114</v>
      </c>
      <c r="M247" s="154"/>
      <c r="N247" s="154"/>
      <c r="O247" s="164" t="s">
        <v>23</v>
      </c>
      <c r="P247" s="164">
        <v>62</v>
      </c>
      <c r="Q247" s="164">
        <v>10</v>
      </c>
      <c r="R247" s="167" t="s">
        <v>903</v>
      </c>
      <c r="S247" s="167" t="s">
        <v>115</v>
      </c>
      <c r="T247" s="162" t="s">
        <v>800</v>
      </c>
      <c r="U247" s="167" t="s">
        <v>805</v>
      </c>
      <c r="X247" s="169">
        <v>45383</v>
      </c>
      <c r="Y247" s="170">
        <v>2.4999999966690001</v>
      </c>
      <c r="Z247" s="170">
        <v>0.41666667000000002</v>
      </c>
      <c r="AA247" s="170">
        <v>0</v>
      </c>
      <c r="AB247" s="170">
        <v>0</v>
      </c>
      <c r="AC247" s="171">
        <v>2.9166666666690002</v>
      </c>
      <c r="AD247" s="172">
        <v>1203876.1325300001</v>
      </c>
      <c r="AE247" s="173">
        <v>2.92</v>
      </c>
      <c r="AF247" s="174">
        <v>46357</v>
      </c>
    </row>
    <row r="248" spans="1:32" ht="20" x14ac:dyDescent="0.35">
      <c r="A248" s="162" t="s">
        <v>904</v>
      </c>
      <c r="B248" s="163" t="s">
        <v>905</v>
      </c>
      <c r="C248" s="154"/>
      <c r="D248" s="162" t="s">
        <v>116</v>
      </c>
      <c r="E248" s="164" t="s">
        <v>116</v>
      </c>
      <c r="F248" s="164" t="s">
        <v>905</v>
      </c>
      <c r="G248" s="164" t="s">
        <v>904</v>
      </c>
      <c r="H248" s="165">
        <v>27123</v>
      </c>
      <c r="I248" s="164" t="s">
        <v>20</v>
      </c>
      <c r="J248" s="164" t="s">
        <v>94</v>
      </c>
      <c r="K248" s="165">
        <v>42562</v>
      </c>
      <c r="L248" s="166" t="s">
        <v>118</v>
      </c>
      <c r="M248" s="154"/>
      <c r="N248" s="154"/>
      <c r="O248" s="164" t="s">
        <v>70</v>
      </c>
      <c r="P248" s="164">
        <v>52</v>
      </c>
      <c r="Q248" s="164">
        <v>10</v>
      </c>
      <c r="R248" s="167" t="s">
        <v>906</v>
      </c>
      <c r="S248" s="167" t="s">
        <v>832</v>
      </c>
      <c r="T248" s="162" t="s">
        <v>794</v>
      </c>
      <c r="U248" s="167" t="s">
        <v>833</v>
      </c>
      <c r="V248" s="162" t="s">
        <v>834</v>
      </c>
      <c r="W248" s="168">
        <v>10</v>
      </c>
      <c r="X248" s="169">
        <v>45018</v>
      </c>
      <c r="Y248" s="170">
        <v>1.4200000000090001</v>
      </c>
      <c r="Z248" s="170">
        <v>2.25</v>
      </c>
      <c r="AA248" s="170">
        <v>0</v>
      </c>
      <c r="AB248" s="170">
        <v>0</v>
      </c>
      <c r="AC248" s="171">
        <v>3.6700000000089998</v>
      </c>
      <c r="AD248" s="172">
        <v>4467257.9606600003</v>
      </c>
      <c r="AE248" s="173" t="s">
        <v>797</v>
      </c>
      <c r="AF248" s="173"/>
    </row>
    <row r="249" spans="1:32" ht="20" x14ac:dyDescent="0.35">
      <c r="A249" s="162" t="s">
        <v>904</v>
      </c>
      <c r="B249" s="163" t="s">
        <v>905</v>
      </c>
      <c r="C249" s="154"/>
      <c r="D249" s="162" t="s">
        <v>116</v>
      </c>
      <c r="E249" s="164" t="s">
        <v>116</v>
      </c>
      <c r="F249" s="164" t="s">
        <v>905</v>
      </c>
      <c r="G249" s="164" t="s">
        <v>904</v>
      </c>
      <c r="H249" s="165">
        <v>27123</v>
      </c>
      <c r="I249" s="164" t="s">
        <v>20</v>
      </c>
      <c r="J249" s="164" t="s">
        <v>94</v>
      </c>
      <c r="K249" s="165">
        <v>42562</v>
      </c>
      <c r="L249" s="166" t="s">
        <v>118</v>
      </c>
      <c r="M249" s="154"/>
      <c r="N249" s="154"/>
      <c r="O249" s="164" t="s">
        <v>70</v>
      </c>
      <c r="P249" s="164">
        <v>52</v>
      </c>
      <c r="Q249" s="164">
        <v>10</v>
      </c>
      <c r="R249" s="167" t="s">
        <v>906</v>
      </c>
      <c r="S249" s="167" t="s">
        <v>832</v>
      </c>
      <c r="T249" s="162" t="s">
        <v>798</v>
      </c>
      <c r="U249" s="167" t="s">
        <v>799</v>
      </c>
      <c r="X249" s="169">
        <v>45018</v>
      </c>
      <c r="Y249" s="170">
        <v>180</v>
      </c>
      <c r="Z249" s="170">
        <v>0</v>
      </c>
      <c r="AA249" s="170">
        <v>0</v>
      </c>
      <c r="AB249" s="170">
        <v>0</v>
      </c>
      <c r="AC249" s="171">
        <v>180</v>
      </c>
      <c r="AD249" s="172">
        <v>219102570.27684</v>
      </c>
      <c r="AE249" s="173">
        <v>180</v>
      </c>
      <c r="AF249" s="174">
        <v>46357</v>
      </c>
    </row>
    <row r="250" spans="1:32" ht="20" x14ac:dyDescent="0.35">
      <c r="A250" s="162" t="s">
        <v>904</v>
      </c>
      <c r="B250" s="163" t="s">
        <v>905</v>
      </c>
      <c r="C250" s="154"/>
      <c r="D250" s="162" t="s">
        <v>116</v>
      </c>
      <c r="E250" s="164" t="s">
        <v>116</v>
      </c>
      <c r="F250" s="164" t="s">
        <v>905</v>
      </c>
      <c r="G250" s="164" t="s">
        <v>904</v>
      </c>
      <c r="H250" s="165">
        <v>27123</v>
      </c>
      <c r="I250" s="164" t="s">
        <v>20</v>
      </c>
      <c r="J250" s="164" t="s">
        <v>94</v>
      </c>
      <c r="K250" s="165">
        <v>42562</v>
      </c>
      <c r="L250" s="166" t="s">
        <v>118</v>
      </c>
      <c r="M250" s="154"/>
      <c r="N250" s="154"/>
      <c r="O250" s="164" t="s">
        <v>70</v>
      </c>
      <c r="P250" s="164">
        <v>52</v>
      </c>
      <c r="Q250" s="164">
        <v>10</v>
      </c>
      <c r="R250" s="167" t="s">
        <v>906</v>
      </c>
      <c r="S250" s="167" t="s">
        <v>832</v>
      </c>
      <c r="T250" s="162" t="s">
        <v>800</v>
      </c>
      <c r="U250" s="167" t="s">
        <v>801</v>
      </c>
      <c r="X250" s="169">
        <v>45018</v>
      </c>
      <c r="Y250" s="170">
        <v>26</v>
      </c>
      <c r="Z250" s="170">
        <v>0</v>
      </c>
      <c r="AA250" s="170">
        <v>0</v>
      </c>
      <c r="AB250" s="170">
        <v>0</v>
      </c>
      <c r="AC250" s="171">
        <v>26</v>
      </c>
      <c r="AD250" s="172">
        <v>31648149.03999</v>
      </c>
      <c r="AE250" s="173">
        <v>26</v>
      </c>
      <c r="AF250" s="174">
        <v>46357</v>
      </c>
    </row>
    <row r="251" spans="1:32" ht="20" x14ac:dyDescent="0.35">
      <c r="A251" s="162" t="s">
        <v>904</v>
      </c>
      <c r="B251" s="163" t="s">
        <v>905</v>
      </c>
      <c r="C251" s="154"/>
      <c r="D251" s="162" t="s">
        <v>116</v>
      </c>
      <c r="E251" s="164" t="s">
        <v>116</v>
      </c>
      <c r="F251" s="164" t="s">
        <v>905</v>
      </c>
      <c r="G251" s="164" t="s">
        <v>904</v>
      </c>
      <c r="H251" s="165">
        <v>27123</v>
      </c>
      <c r="I251" s="164" t="s">
        <v>20</v>
      </c>
      <c r="J251" s="164" t="s">
        <v>94</v>
      </c>
      <c r="K251" s="165">
        <v>42562</v>
      </c>
      <c r="L251" s="166" t="s">
        <v>118</v>
      </c>
      <c r="M251" s="154"/>
      <c r="N251" s="154"/>
      <c r="O251" s="164" t="s">
        <v>70</v>
      </c>
      <c r="P251" s="164">
        <v>52</v>
      </c>
      <c r="Q251" s="164">
        <v>10</v>
      </c>
      <c r="R251" s="167" t="s">
        <v>906</v>
      </c>
      <c r="S251" s="167" t="s">
        <v>832</v>
      </c>
      <c r="T251" s="162" t="s">
        <v>800</v>
      </c>
      <c r="U251" s="167" t="s">
        <v>802</v>
      </c>
      <c r="X251" s="169">
        <v>45018</v>
      </c>
      <c r="Y251" s="170">
        <v>98</v>
      </c>
      <c r="Z251" s="170">
        <v>0</v>
      </c>
      <c r="AA251" s="170">
        <v>0</v>
      </c>
      <c r="AB251" s="170">
        <v>0</v>
      </c>
      <c r="AC251" s="171">
        <v>98</v>
      </c>
      <c r="AD251" s="172">
        <v>119289177.15072</v>
      </c>
      <c r="AE251" s="173">
        <v>98</v>
      </c>
      <c r="AF251" s="174">
        <v>46357</v>
      </c>
    </row>
    <row r="252" spans="1:32" ht="20" x14ac:dyDescent="0.35">
      <c r="A252" s="162" t="s">
        <v>904</v>
      </c>
      <c r="B252" s="163" t="s">
        <v>905</v>
      </c>
      <c r="C252" s="154"/>
      <c r="D252" s="162" t="s">
        <v>116</v>
      </c>
      <c r="E252" s="164" t="s">
        <v>116</v>
      </c>
      <c r="F252" s="164" t="s">
        <v>905</v>
      </c>
      <c r="G252" s="164" t="s">
        <v>904</v>
      </c>
      <c r="H252" s="165">
        <v>27123</v>
      </c>
      <c r="I252" s="164" t="s">
        <v>20</v>
      </c>
      <c r="J252" s="164" t="s">
        <v>94</v>
      </c>
      <c r="K252" s="165">
        <v>42562</v>
      </c>
      <c r="L252" s="166" t="s">
        <v>118</v>
      </c>
      <c r="M252" s="154"/>
      <c r="N252" s="154"/>
      <c r="O252" s="164" t="s">
        <v>70</v>
      </c>
      <c r="P252" s="164">
        <v>52</v>
      </c>
      <c r="Q252" s="164">
        <v>10</v>
      </c>
      <c r="R252" s="167" t="s">
        <v>906</v>
      </c>
      <c r="S252" s="167" t="s">
        <v>832</v>
      </c>
      <c r="T252" s="162" t="s">
        <v>800</v>
      </c>
      <c r="U252" s="167" t="s">
        <v>803</v>
      </c>
      <c r="X252" s="169">
        <v>45018</v>
      </c>
      <c r="Y252" s="170">
        <v>2</v>
      </c>
      <c r="Z252" s="170">
        <v>0</v>
      </c>
      <c r="AA252" s="170">
        <v>0</v>
      </c>
      <c r="AB252" s="170">
        <v>0</v>
      </c>
      <c r="AC252" s="171">
        <v>2</v>
      </c>
      <c r="AD252" s="172">
        <v>2434473.0030800002</v>
      </c>
      <c r="AE252" s="173">
        <v>2</v>
      </c>
      <c r="AF252" s="174">
        <v>46357</v>
      </c>
    </row>
    <row r="253" spans="1:32" ht="20" x14ac:dyDescent="0.35">
      <c r="A253" s="162" t="s">
        <v>904</v>
      </c>
      <c r="B253" s="163" t="s">
        <v>905</v>
      </c>
      <c r="C253" s="154"/>
      <c r="D253" s="162" t="s">
        <v>116</v>
      </c>
      <c r="E253" s="164" t="s">
        <v>116</v>
      </c>
      <c r="F253" s="164" t="s">
        <v>905</v>
      </c>
      <c r="G253" s="164" t="s">
        <v>904</v>
      </c>
      <c r="H253" s="165">
        <v>27123</v>
      </c>
      <c r="I253" s="164" t="s">
        <v>20</v>
      </c>
      <c r="J253" s="164" t="s">
        <v>94</v>
      </c>
      <c r="K253" s="165">
        <v>42562</v>
      </c>
      <c r="L253" s="166" t="s">
        <v>118</v>
      </c>
      <c r="M253" s="154"/>
      <c r="N253" s="154"/>
      <c r="O253" s="164" t="s">
        <v>70</v>
      </c>
      <c r="P253" s="164">
        <v>52</v>
      </c>
      <c r="Q253" s="164">
        <v>10</v>
      </c>
      <c r="R253" s="167" t="s">
        <v>906</v>
      </c>
      <c r="S253" s="167" t="s">
        <v>832</v>
      </c>
      <c r="T253" s="162" t="s">
        <v>800</v>
      </c>
      <c r="U253" s="167" t="s">
        <v>804</v>
      </c>
      <c r="X253" s="169">
        <v>45018</v>
      </c>
      <c r="Y253" s="170">
        <v>5</v>
      </c>
      <c r="Z253" s="170">
        <v>0</v>
      </c>
      <c r="AA253" s="170">
        <v>0</v>
      </c>
      <c r="AB253" s="170">
        <v>0</v>
      </c>
      <c r="AC253" s="171">
        <v>5</v>
      </c>
      <c r="AD253" s="172">
        <v>6086182.5076900003</v>
      </c>
      <c r="AE253" s="173">
        <v>5</v>
      </c>
      <c r="AF253" s="174">
        <v>46357</v>
      </c>
    </row>
    <row r="254" spans="1:32" ht="20" x14ac:dyDescent="0.35">
      <c r="A254" s="162" t="s">
        <v>904</v>
      </c>
      <c r="B254" s="163" t="s">
        <v>905</v>
      </c>
      <c r="C254" s="154"/>
      <c r="D254" s="162" t="s">
        <v>116</v>
      </c>
      <c r="E254" s="164" t="s">
        <v>116</v>
      </c>
      <c r="F254" s="164" t="s">
        <v>905</v>
      </c>
      <c r="G254" s="164" t="s">
        <v>904</v>
      </c>
      <c r="H254" s="165">
        <v>27123</v>
      </c>
      <c r="I254" s="164" t="s">
        <v>20</v>
      </c>
      <c r="J254" s="164" t="s">
        <v>94</v>
      </c>
      <c r="K254" s="165">
        <v>42562</v>
      </c>
      <c r="L254" s="166" t="s">
        <v>118</v>
      </c>
      <c r="M254" s="154"/>
      <c r="N254" s="154"/>
      <c r="O254" s="164" t="s">
        <v>70</v>
      </c>
      <c r="P254" s="164">
        <v>52</v>
      </c>
      <c r="Q254" s="164">
        <v>10</v>
      </c>
      <c r="R254" s="167" t="s">
        <v>906</v>
      </c>
      <c r="S254" s="167" t="s">
        <v>832</v>
      </c>
      <c r="T254" s="162" t="s">
        <v>800</v>
      </c>
      <c r="U254" s="167" t="s">
        <v>805</v>
      </c>
      <c r="X254" s="169">
        <v>45018</v>
      </c>
      <c r="Y254" s="170">
        <v>2.4999999966690001</v>
      </c>
      <c r="Z254" s="170">
        <v>0.41666667000000002</v>
      </c>
      <c r="AA254" s="170">
        <v>0</v>
      </c>
      <c r="AB254" s="170">
        <v>0</v>
      </c>
      <c r="AC254" s="171">
        <v>2.9166666666690002</v>
      </c>
      <c r="AD254" s="172">
        <v>3550273.1294900002</v>
      </c>
      <c r="AE254" s="173">
        <v>2.92</v>
      </c>
      <c r="AF254" s="174">
        <v>46357</v>
      </c>
    </row>
    <row r="255" spans="1:32" ht="20" x14ac:dyDescent="0.35">
      <c r="A255" s="162" t="s">
        <v>907</v>
      </c>
      <c r="B255" s="163" t="s">
        <v>908</v>
      </c>
      <c r="C255" s="154"/>
      <c r="D255" s="162" t="s">
        <v>120</v>
      </c>
      <c r="E255" s="164" t="s">
        <v>120</v>
      </c>
      <c r="F255" s="164" t="s">
        <v>908</v>
      </c>
      <c r="G255" s="164" t="s">
        <v>907</v>
      </c>
      <c r="H255" s="165">
        <v>34355</v>
      </c>
      <c r="I255" s="164" t="s">
        <v>48</v>
      </c>
      <c r="J255" s="164" t="s">
        <v>21</v>
      </c>
      <c r="K255" s="165">
        <v>42569</v>
      </c>
      <c r="L255" s="166" t="s">
        <v>122</v>
      </c>
      <c r="M255" s="154"/>
      <c r="N255" s="154"/>
      <c r="O255" s="164" t="s">
        <v>44</v>
      </c>
      <c r="P255" s="164">
        <v>32</v>
      </c>
      <c r="Q255" s="164">
        <v>10</v>
      </c>
      <c r="R255" s="167" t="s">
        <v>847</v>
      </c>
      <c r="S255" s="167" t="s">
        <v>848</v>
      </c>
      <c r="T255" s="162" t="s">
        <v>794</v>
      </c>
      <c r="U255" s="167" t="s">
        <v>795</v>
      </c>
      <c r="V255" s="162" t="s">
        <v>838</v>
      </c>
      <c r="W255" s="168">
        <v>10</v>
      </c>
      <c r="X255" s="169">
        <v>45018</v>
      </c>
      <c r="Y255" s="170">
        <v>13.750000003328999</v>
      </c>
      <c r="Z255" s="170">
        <v>2.0833333299999999</v>
      </c>
      <c r="AA255" s="170">
        <v>0</v>
      </c>
      <c r="AB255" s="170">
        <v>0</v>
      </c>
      <c r="AC255" s="171">
        <v>15.833333333329</v>
      </c>
      <c r="AD255" s="172">
        <v>2684570.9887799998</v>
      </c>
      <c r="AE255" s="173" t="s">
        <v>797</v>
      </c>
      <c r="AF255" s="173"/>
    </row>
    <row r="256" spans="1:32" x14ac:dyDescent="0.35">
      <c r="A256" s="162" t="s">
        <v>907</v>
      </c>
      <c r="B256" s="163" t="s">
        <v>908</v>
      </c>
      <c r="C256" s="154"/>
      <c r="D256" s="162" t="s">
        <v>120</v>
      </c>
      <c r="E256" s="164" t="s">
        <v>120</v>
      </c>
      <c r="F256" s="164" t="s">
        <v>908</v>
      </c>
      <c r="G256" s="164" t="s">
        <v>907</v>
      </c>
      <c r="H256" s="165">
        <v>34355</v>
      </c>
      <c r="I256" s="164" t="s">
        <v>48</v>
      </c>
      <c r="J256" s="164" t="s">
        <v>21</v>
      </c>
      <c r="K256" s="165">
        <v>42569</v>
      </c>
      <c r="L256" s="166" t="s">
        <v>122</v>
      </c>
      <c r="M256" s="154"/>
      <c r="N256" s="154"/>
      <c r="O256" s="164" t="s">
        <v>44</v>
      </c>
      <c r="P256" s="164">
        <v>32</v>
      </c>
      <c r="Q256" s="164">
        <v>10</v>
      </c>
      <c r="R256" s="167" t="s">
        <v>847</v>
      </c>
      <c r="S256" s="167" t="s">
        <v>848</v>
      </c>
      <c r="T256" s="162" t="s">
        <v>798</v>
      </c>
      <c r="U256" s="167" t="s">
        <v>839</v>
      </c>
      <c r="X256" s="169">
        <v>45018</v>
      </c>
      <c r="Y256" s="170">
        <v>179</v>
      </c>
      <c r="Z256" s="170">
        <v>0</v>
      </c>
      <c r="AA256" s="170">
        <v>0</v>
      </c>
      <c r="AB256" s="170">
        <v>0</v>
      </c>
      <c r="AC256" s="171">
        <v>179</v>
      </c>
      <c r="AD256" s="172">
        <v>30349781.49422</v>
      </c>
      <c r="AE256" s="173">
        <v>179</v>
      </c>
      <c r="AF256" s="174">
        <v>46357</v>
      </c>
    </row>
    <row r="257" spans="1:32" x14ac:dyDescent="0.35">
      <c r="A257" s="162" t="s">
        <v>907</v>
      </c>
      <c r="B257" s="163" t="s">
        <v>908</v>
      </c>
      <c r="C257" s="154"/>
      <c r="D257" s="162" t="s">
        <v>120</v>
      </c>
      <c r="E257" s="164" t="s">
        <v>120</v>
      </c>
      <c r="F257" s="164" t="s">
        <v>908</v>
      </c>
      <c r="G257" s="164" t="s">
        <v>907</v>
      </c>
      <c r="H257" s="165">
        <v>34355</v>
      </c>
      <c r="I257" s="164" t="s">
        <v>48</v>
      </c>
      <c r="J257" s="164" t="s">
        <v>21</v>
      </c>
      <c r="K257" s="165">
        <v>42569</v>
      </c>
      <c r="L257" s="166" t="s">
        <v>122</v>
      </c>
      <c r="M257" s="154"/>
      <c r="N257" s="154"/>
      <c r="O257" s="164" t="s">
        <v>44</v>
      </c>
      <c r="P257" s="164">
        <v>32</v>
      </c>
      <c r="Q257" s="164">
        <v>10</v>
      </c>
      <c r="R257" s="167" t="s">
        <v>847</v>
      </c>
      <c r="S257" s="167" t="s">
        <v>848</v>
      </c>
      <c r="T257" s="162" t="s">
        <v>800</v>
      </c>
      <c r="U257" s="167" t="s">
        <v>801</v>
      </c>
      <c r="X257" s="169">
        <v>45018</v>
      </c>
      <c r="Y257" s="170">
        <v>26</v>
      </c>
      <c r="Z257" s="170">
        <v>0</v>
      </c>
      <c r="AA257" s="170">
        <v>0</v>
      </c>
      <c r="AB257" s="170">
        <v>0</v>
      </c>
      <c r="AC257" s="171">
        <v>26</v>
      </c>
      <c r="AD257" s="172">
        <v>4408348.1500000004</v>
      </c>
      <c r="AE257" s="173">
        <v>26</v>
      </c>
      <c r="AF257" s="174">
        <v>46357</v>
      </c>
    </row>
    <row r="258" spans="1:32" x14ac:dyDescent="0.35">
      <c r="A258" s="162" t="s">
        <v>907</v>
      </c>
      <c r="B258" s="163" t="s">
        <v>908</v>
      </c>
      <c r="C258" s="154"/>
      <c r="D258" s="162" t="s">
        <v>120</v>
      </c>
      <c r="E258" s="164" t="s">
        <v>120</v>
      </c>
      <c r="F258" s="164" t="s">
        <v>908</v>
      </c>
      <c r="G258" s="164" t="s">
        <v>907</v>
      </c>
      <c r="H258" s="165">
        <v>34355</v>
      </c>
      <c r="I258" s="164" t="s">
        <v>48</v>
      </c>
      <c r="J258" s="164" t="s">
        <v>21</v>
      </c>
      <c r="K258" s="165">
        <v>42569</v>
      </c>
      <c r="L258" s="166" t="s">
        <v>122</v>
      </c>
      <c r="M258" s="154"/>
      <c r="N258" s="154"/>
      <c r="O258" s="164" t="s">
        <v>44</v>
      </c>
      <c r="P258" s="164">
        <v>32</v>
      </c>
      <c r="Q258" s="164">
        <v>10</v>
      </c>
      <c r="R258" s="167" t="s">
        <v>847</v>
      </c>
      <c r="S258" s="167" t="s">
        <v>848</v>
      </c>
      <c r="T258" s="162" t="s">
        <v>800</v>
      </c>
      <c r="U258" s="167" t="s">
        <v>802</v>
      </c>
      <c r="X258" s="169">
        <v>45018</v>
      </c>
      <c r="Y258" s="170">
        <v>98</v>
      </c>
      <c r="Z258" s="170">
        <v>0</v>
      </c>
      <c r="AA258" s="170">
        <v>0</v>
      </c>
      <c r="AB258" s="170">
        <v>0</v>
      </c>
      <c r="AC258" s="171">
        <v>98</v>
      </c>
      <c r="AD258" s="172">
        <v>16616081.48845</v>
      </c>
      <c r="AE258" s="173">
        <v>98</v>
      </c>
      <c r="AF258" s="174">
        <v>46357</v>
      </c>
    </row>
    <row r="259" spans="1:32" x14ac:dyDescent="0.35">
      <c r="A259" s="162" t="s">
        <v>907</v>
      </c>
      <c r="B259" s="163" t="s">
        <v>908</v>
      </c>
      <c r="C259" s="154"/>
      <c r="D259" s="162" t="s">
        <v>120</v>
      </c>
      <c r="E259" s="164" t="s">
        <v>120</v>
      </c>
      <c r="F259" s="164" t="s">
        <v>908</v>
      </c>
      <c r="G259" s="164" t="s">
        <v>907</v>
      </c>
      <c r="H259" s="165">
        <v>34355</v>
      </c>
      <c r="I259" s="164" t="s">
        <v>48</v>
      </c>
      <c r="J259" s="164" t="s">
        <v>21</v>
      </c>
      <c r="K259" s="165">
        <v>42569</v>
      </c>
      <c r="L259" s="166" t="s">
        <v>122</v>
      </c>
      <c r="M259" s="154"/>
      <c r="N259" s="154"/>
      <c r="O259" s="164" t="s">
        <v>44</v>
      </c>
      <c r="P259" s="164">
        <v>32</v>
      </c>
      <c r="Q259" s="164">
        <v>10</v>
      </c>
      <c r="R259" s="167" t="s">
        <v>847</v>
      </c>
      <c r="S259" s="167" t="s">
        <v>848</v>
      </c>
      <c r="T259" s="162" t="s">
        <v>800</v>
      </c>
      <c r="U259" s="167" t="s">
        <v>803</v>
      </c>
      <c r="X259" s="169">
        <v>45018</v>
      </c>
      <c r="Y259" s="170">
        <v>2</v>
      </c>
      <c r="Z259" s="170">
        <v>0</v>
      </c>
      <c r="AA259" s="170">
        <v>0</v>
      </c>
      <c r="AB259" s="170">
        <v>0</v>
      </c>
      <c r="AC259" s="171">
        <v>2</v>
      </c>
      <c r="AD259" s="172">
        <v>339103.70384999999</v>
      </c>
      <c r="AE259" s="173">
        <v>2</v>
      </c>
      <c r="AF259" s="174">
        <v>46357</v>
      </c>
    </row>
    <row r="260" spans="1:32" x14ac:dyDescent="0.35">
      <c r="A260" s="162" t="s">
        <v>907</v>
      </c>
      <c r="B260" s="163" t="s">
        <v>908</v>
      </c>
      <c r="C260" s="154"/>
      <c r="D260" s="162" t="s">
        <v>120</v>
      </c>
      <c r="E260" s="164" t="s">
        <v>120</v>
      </c>
      <c r="F260" s="164" t="s">
        <v>908</v>
      </c>
      <c r="G260" s="164" t="s">
        <v>907</v>
      </c>
      <c r="H260" s="165">
        <v>34355</v>
      </c>
      <c r="I260" s="164" t="s">
        <v>48</v>
      </c>
      <c r="J260" s="164" t="s">
        <v>21</v>
      </c>
      <c r="K260" s="165">
        <v>42569</v>
      </c>
      <c r="L260" s="166" t="s">
        <v>122</v>
      </c>
      <c r="M260" s="154"/>
      <c r="N260" s="154"/>
      <c r="O260" s="164" t="s">
        <v>44</v>
      </c>
      <c r="P260" s="164">
        <v>32</v>
      </c>
      <c r="Q260" s="164">
        <v>10</v>
      </c>
      <c r="R260" s="167" t="s">
        <v>847</v>
      </c>
      <c r="S260" s="167" t="s">
        <v>848</v>
      </c>
      <c r="T260" s="162" t="s">
        <v>800</v>
      </c>
      <c r="U260" s="167" t="s">
        <v>804</v>
      </c>
      <c r="X260" s="169">
        <v>45018</v>
      </c>
      <c r="Y260" s="170">
        <v>5</v>
      </c>
      <c r="Z260" s="170">
        <v>0</v>
      </c>
      <c r="AA260" s="170">
        <v>0</v>
      </c>
      <c r="AB260" s="170">
        <v>0</v>
      </c>
      <c r="AC260" s="171">
        <v>5</v>
      </c>
      <c r="AD260" s="172">
        <v>847759.25962000003</v>
      </c>
      <c r="AE260" s="173">
        <v>5</v>
      </c>
      <c r="AF260" s="174">
        <v>46357</v>
      </c>
    </row>
    <row r="261" spans="1:32" x14ac:dyDescent="0.35">
      <c r="A261" s="162" t="s">
        <v>907</v>
      </c>
      <c r="B261" s="163" t="s">
        <v>908</v>
      </c>
      <c r="C261" s="154"/>
      <c r="D261" s="162" t="s">
        <v>120</v>
      </c>
      <c r="E261" s="164" t="s">
        <v>120</v>
      </c>
      <c r="F261" s="164" t="s">
        <v>908</v>
      </c>
      <c r="G261" s="164" t="s">
        <v>907</v>
      </c>
      <c r="H261" s="165">
        <v>34355</v>
      </c>
      <c r="I261" s="164" t="s">
        <v>48</v>
      </c>
      <c r="J261" s="164" t="s">
        <v>21</v>
      </c>
      <c r="K261" s="165">
        <v>42569</v>
      </c>
      <c r="L261" s="166" t="s">
        <v>122</v>
      </c>
      <c r="M261" s="154"/>
      <c r="N261" s="154"/>
      <c r="O261" s="164" t="s">
        <v>44</v>
      </c>
      <c r="P261" s="164">
        <v>32</v>
      </c>
      <c r="Q261" s="164">
        <v>10</v>
      </c>
      <c r="R261" s="167" t="s">
        <v>847</v>
      </c>
      <c r="S261" s="167" t="s">
        <v>848</v>
      </c>
      <c r="T261" s="162" t="s">
        <v>800</v>
      </c>
      <c r="U261" s="167" t="s">
        <v>840</v>
      </c>
      <c r="X261" s="169">
        <v>45018</v>
      </c>
      <c r="Y261" s="170">
        <v>2.4999999966690001</v>
      </c>
      <c r="Z261" s="170">
        <v>0.41666667000000002</v>
      </c>
      <c r="AA261" s="170">
        <v>0</v>
      </c>
      <c r="AB261" s="170">
        <v>0</v>
      </c>
      <c r="AC261" s="171">
        <v>2.9166666666690002</v>
      </c>
      <c r="AD261" s="172">
        <v>494526.23478</v>
      </c>
      <c r="AE261" s="173">
        <v>2.92</v>
      </c>
      <c r="AF261" s="174">
        <v>46357</v>
      </c>
    </row>
    <row r="262" spans="1:32" ht="20" x14ac:dyDescent="0.35">
      <c r="A262" s="162" t="s">
        <v>646</v>
      </c>
      <c r="B262" s="163" t="s">
        <v>887</v>
      </c>
      <c r="C262" s="154"/>
      <c r="D262" s="162" t="s">
        <v>123</v>
      </c>
      <c r="E262" s="164" t="s">
        <v>123</v>
      </c>
      <c r="F262" s="164" t="s">
        <v>887</v>
      </c>
      <c r="G262" s="164" t="s">
        <v>646</v>
      </c>
      <c r="H262" s="165">
        <v>29768</v>
      </c>
      <c r="I262" s="164" t="s">
        <v>20</v>
      </c>
      <c r="J262" s="164" t="s">
        <v>21</v>
      </c>
      <c r="K262" s="165">
        <v>42569</v>
      </c>
      <c r="L262" s="166" t="s">
        <v>125</v>
      </c>
      <c r="M262" s="154"/>
      <c r="N262" s="154"/>
      <c r="O262" s="164" t="s">
        <v>44</v>
      </c>
      <c r="P262" s="164">
        <v>45</v>
      </c>
      <c r="Q262" s="164">
        <v>10</v>
      </c>
      <c r="R262" s="167" t="s">
        <v>888</v>
      </c>
      <c r="S262" s="167" t="s">
        <v>45</v>
      </c>
      <c r="T262" s="162" t="s">
        <v>794</v>
      </c>
      <c r="U262" s="167" t="s">
        <v>795</v>
      </c>
      <c r="V262" s="162" t="s">
        <v>838</v>
      </c>
      <c r="W262" s="168">
        <v>10</v>
      </c>
      <c r="X262" s="169">
        <v>45018</v>
      </c>
      <c r="Y262" s="170">
        <v>25.250000003328999</v>
      </c>
      <c r="Z262" s="170">
        <v>2.0833333299999999</v>
      </c>
      <c r="AA262" s="170">
        <v>-20</v>
      </c>
      <c r="AB262" s="170">
        <v>0</v>
      </c>
      <c r="AC262" s="171">
        <v>7.3333333333289996</v>
      </c>
      <c r="AD262" s="172">
        <v>1311731.53128</v>
      </c>
      <c r="AE262" s="173" t="s">
        <v>797</v>
      </c>
      <c r="AF262" s="173"/>
    </row>
    <row r="263" spans="1:32" ht="20" x14ac:dyDescent="0.35">
      <c r="A263" s="162" t="s">
        <v>646</v>
      </c>
      <c r="B263" s="163" t="s">
        <v>887</v>
      </c>
      <c r="C263" s="154"/>
      <c r="D263" s="162" t="s">
        <v>123</v>
      </c>
      <c r="E263" s="164" t="s">
        <v>123</v>
      </c>
      <c r="F263" s="164" t="s">
        <v>887</v>
      </c>
      <c r="G263" s="164" t="s">
        <v>646</v>
      </c>
      <c r="H263" s="165">
        <v>29768</v>
      </c>
      <c r="I263" s="164" t="s">
        <v>20</v>
      </c>
      <c r="J263" s="164" t="s">
        <v>21</v>
      </c>
      <c r="K263" s="165">
        <v>42569</v>
      </c>
      <c r="L263" s="166" t="s">
        <v>125</v>
      </c>
      <c r="M263" s="154"/>
      <c r="N263" s="154"/>
      <c r="O263" s="164" t="s">
        <v>44</v>
      </c>
      <c r="P263" s="164">
        <v>45</v>
      </c>
      <c r="Q263" s="164">
        <v>10</v>
      </c>
      <c r="R263" s="167" t="s">
        <v>888</v>
      </c>
      <c r="S263" s="167" t="s">
        <v>45</v>
      </c>
      <c r="T263" s="162" t="s">
        <v>798</v>
      </c>
      <c r="U263" s="167" t="s">
        <v>839</v>
      </c>
      <c r="X263" s="169">
        <v>45018</v>
      </c>
      <c r="Y263" s="170">
        <v>180</v>
      </c>
      <c r="Z263" s="170">
        <v>0</v>
      </c>
      <c r="AA263" s="170">
        <v>0</v>
      </c>
      <c r="AB263" s="170">
        <v>0</v>
      </c>
      <c r="AC263" s="171">
        <v>180</v>
      </c>
      <c r="AD263" s="172">
        <v>32197046.67684</v>
      </c>
      <c r="AE263" s="173">
        <v>180</v>
      </c>
      <c r="AF263" s="174">
        <v>46357</v>
      </c>
    </row>
    <row r="264" spans="1:32" ht="20" x14ac:dyDescent="0.35">
      <c r="A264" s="162" t="s">
        <v>646</v>
      </c>
      <c r="B264" s="163" t="s">
        <v>887</v>
      </c>
      <c r="C264" s="154"/>
      <c r="D264" s="162" t="s">
        <v>123</v>
      </c>
      <c r="E264" s="164" t="s">
        <v>123</v>
      </c>
      <c r="F264" s="164" t="s">
        <v>887</v>
      </c>
      <c r="G264" s="164" t="s">
        <v>646</v>
      </c>
      <c r="H264" s="165">
        <v>29768</v>
      </c>
      <c r="I264" s="164" t="s">
        <v>20</v>
      </c>
      <c r="J264" s="164" t="s">
        <v>21</v>
      </c>
      <c r="K264" s="165">
        <v>42569</v>
      </c>
      <c r="L264" s="166" t="s">
        <v>125</v>
      </c>
      <c r="M264" s="154"/>
      <c r="N264" s="154"/>
      <c r="O264" s="164" t="s">
        <v>44</v>
      </c>
      <c r="P264" s="164">
        <v>45</v>
      </c>
      <c r="Q264" s="164">
        <v>10</v>
      </c>
      <c r="R264" s="167" t="s">
        <v>888</v>
      </c>
      <c r="S264" s="167" t="s">
        <v>45</v>
      </c>
      <c r="T264" s="162" t="s">
        <v>800</v>
      </c>
      <c r="U264" s="167" t="s">
        <v>801</v>
      </c>
      <c r="X264" s="169">
        <v>45018</v>
      </c>
      <c r="Y264" s="170">
        <v>26</v>
      </c>
      <c r="Z264" s="170">
        <v>0</v>
      </c>
      <c r="AA264" s="170">
        <v>0</v>
      </c>
      <c r="AB264" s="170">
        <v>0</v>
      </c>
      <c r="AC264" s="171">
        <v>26</v>
      </c>
      <c r="AD264" s="172">
        <v>4650684.5199899999</v>
      </c>
      <c r="AE264" s="173">
        <v>26</v>
      </c>
      <c r="AF264" s="174">
        <v>46357</v>
      </c>
    </row>
    <row r="265" spans="1:32" ht="20" x14ac:dyDescent="0.35">
      <c r="A265" s="162" t="s">
        <v>646</v>
      </c>
      <c r="B265" s="163" t="s">
        <v>887</v>
      </c>
      <c r="C265" s="154"/>
      <c r="D265" s="162" t="s">
        <v>123</v>
      </c>
      <c r="E265" s="164" t="s">
        <v>123</v>
      </c>
      <c r="F265" s="164" t="s">
        <v>887</v>
      </c>
      <c r="G265" s="164" t="s">
        <v>646</v>
      </c>
      <c r="H265" s="165">
        <v>29768</v>
      </c>
      <c r="I265" s="164" t="s">
        <v>20</v>
      </c>
      <c r="J265" s="164" t="s">
        <v>21</v>
      </c>
      <c r="K265" s="165">
        <v>42569</v>
      </c>
      <c r="L265" s="166" t="s">
        <v>125</v>
      </c>
      <c r="M265" s="154"/>
      <c r="N265" s="154"/>
      <c r="O265" s="164" t="s">
        <v>44</v>
      </c>
      <c r="P265" s="164">
        <v>45</v>
      </c>
      <c r="Q265" s="164">
        <v>10</v>
      </c>
      <c r="R265" s="167" t="s">
        <v>888</v>
      </c>
      <c r="S265" s="167" t="s">
        <v>45</v>
      </c>
      <c r="T265" s="162" t="s">
        <v>800</v>
      </c>
      <c r="U265" s="167" t="s">
        <v>802</v>
      </c>
      <c r="X265" s="169">
        <v>45018</v>
      </c>
      <c r="Y265" s="170">
        <v>98</v>
      </c>
      <c r="Z265" s="170">
        <v>0</v>
      </c>
      <c r="AA265" s="170">
        <v>0</v>
      </c>
      <c r="AB265" s="170">
        <v>0</v>
      </c>
      <c r="AC265" s="171">
        <v>98</v>
      </c>
      <c r="AD265" s="172">
        <v>17529503.190719999</v>
      </c>
      <c r="AE265" s="173">
        <v>98</v>
      </c>
      <c r="AF265" s="174">
        <v>46357</v>
      </c>
    </row>
    <row r="266" spans="1:32" ht="20" x14ac:dyDescent="0.35">
      <c r="A266" s="162" t="s">
        <v>646</v>
      </c>
      <c r="B266" s="163" t="s">
        <v>887</v>
      </c>
      <c r="C266" s="154"/>
      <c r="D266" s="162" t="s">
        <v>123</v>
      </c>
      <c r="E266" s="164" t="s">
        <v>123</v>
      </c>
      <c r="F266" s="164" t="s">
        <v>887</v>
      </c>
      <c r="G266" s="164" t="s">
        <v>646</v>
      </c>
      <c r="H266" s="165">
        <v>29768</v>
      </c>
      <c r="I266" s="164" t="s">
        <v>20</v>
      </c>
      <c r="J266" s="164" t="s">
        <v>21</v>
      </c>
      <c r="K266" s="165">
        <v>42569</v>
      </c>
      <c r="L266" s="166" t="s">
        <v>125</v>
      </c>
      <c r="M266" s="154"/>
      <c r="N266" s="154"/>
      <c r="O266" s="164" t="s">
        <v>44</v>
      </c>
      <c r="P266" s="164">
        <v>45</v>
      </c>
      <c r="Q266" s="164">
        <v>10</v>
      </c>
      <c r="R266" s="167" t="s">
        <v>888</v>
      </c>
      <c r="S266" s="167" t="s">
        <v>45</v>
      </c>
      <c r="T266" s="162" t="s">
        <v>800</v>
      </c>
      <c r="U266" s="167" t="s">
        <v>803</v>
      </c>
      <c r="X266" s="169">
        <v>45018</v>
      </c>
      <c r="Y266" s="170">
        <v>2</v>
      </c>
      <c r="Z266" s="170">
        <v>0</v>
      </c>
      <c r="AA266" s="170">
        <v>0</v>
      </c>
      <c r="AB266" s="170">
        <v>0</v>
      </c>
      <c r="AC266" s="171">
        <v>2</v>
      </c>
      <c r="AD266" s="172">
        <v>357744.96308000002</v>
      </c>
      <c r="AE266" s="173">
        <v>2</v>
      </c>
      <c r="AF266" s="174">
        <v>46357</v>
      </c>
    </row>
    <row r="267" spans="1:32" ht="20" x14ac:dyDescent="0.35">
      <c r="A267" s="162" t="s">
        <v>646</v>
      </c>
      <c r="B267" s="163" t="s">
        <v>887</v>
      </c>
      <c r="C267" s="154"/>
      <c r="D267" s="162" t="s">
        <v>123</v>
      </c>
      <c r="E267" s="164" t="s">
        <v>123</v>
      </c>
      <c r="F267" s="164" t="s">
        <v>887</v>
      </c>
      <c r="G267" s="164" t="s">
        <v>646</v>
      </c>
      <c r="H267" s="165">
        <v>29768</v>
      </c>
      <c r="I267" s="164" t="s">
        <v>20</v>
      </c>
      <c r="J267" s="164" t="s">
        <v>21</v>
      </c>
      <c r="K267" s="165">
        <v>42569</v>
      </c>
      <c r="L267" s="166" t="s">
        <v>125</v>
      </c>
      <c r="M267" s="154"/>
      <c r="N267" s="154"/>
      <c r="O267" s="164" t="s">
        <v>44</v>
      </c>
      <c r="P267" s="164">
        <v>45</v>
      </c>
      <c r="Q267" s="164">
        <v>10</v>
      </c>
      <c r="R267" s="167" t="s">
        <v>888</v>
      </c>
      <c r="S267" s="167" t="s">
        <v>45</v>
      </c>
      <c r="T267" s="162" t="s">
        <v>800</v>
      </c>
      <c r="U267" s="167" t="s">
        <v>804</v>
      </c>
      <c r="X267" s="169">
        <v>45018</v>
      </c>
      <c r="Y267" s="170">
        <v>5</v>
      </c>
      <c r="Z267" s="170">
        <v>0</v>
      </c>
      <c r="AA267" s="170">
        <v>0</v>
      </c>
      <c r="AB267" s="170">
        <v>0</v>
      </c>
      <c r="AC267" s="171">
        <v>5</v>
      </c>
      <c r="AD267" s="172">
        <v>894362.40769000002</v>
      </c>
      <c r="AE267" s="173">
        <v>5</v>
      </c>
      <c r="AF267" s="174">
        <v>46357</v>
      </c>
    </row>
    <row r="268" spans="1:32" ht="20" x14ac:dyDescent="0.35">
      <c r="A268" s="162" t="s">
        <v>646</v>
      </c>
      <c r="B268" s="163" t="s">
        <v>887</v>
      </c>
      <c r="C268" s="154"/>
      <c r="D268" s="162" t="s">
        <v>123</v>
      </c>
      <c r="E268" s="164" t="s">
        <v>123</v>
      </c>
      <c r="F268" s="164" t="s">
        <v>887</v>
      </c>
      <c r="G268" s="164" t="s">
        <v>646</v>
      </c>
      <c r="H268" s="165">
        <v>29768</v>
      </c>
      <c r="I268" s="164" t="s">
        <v>20</v>
      </c>
      <c r="J268" s="164" t="s">
        <v>21</v>
      </c>
      <c r="K268" s="165">
        <v>42569</v>
      </c>
      <c r="L268" s="166" t="s">
        <v>125</v>
      </c>
      <c r="M268" s="154"/>
      <c r="N268" s="154"/>
      <c r="O268" s="164" t="s">
        <v>44</v>
      </c>
      <c r="P268" s="164">
        <v>45</v>
      </c>
      <c r="Q268" s="164">
        <v>10</v>
      </c>
      <c r="R268" s="167" t="s">
        <v>888</v>
      </c>
      <c r="S268" s="167" t="s">
        <v>45</v>
      </c>
      <c r="T268" s="162" t="s">
        <v>800</v>
      </c>
      <c r="U268" s="167" t="s">
        <v>840</v>
      </c>
      <c r="X268" s="169">
        <v>45018</v>
      </c>
      <c r="Y268" s="170">
        <v>2.4999999966690001</v>
      </c>
      <c r="Z268" s="170">
        <v>0.41666667000000002</v>
      </c>
      <c r="AA268" s="170">
        <v>0</v>
      </c>
      <c r="AB268" s="170">
        <v>0</v>
      </c>
      <c r="AC268" s="171">
        <v>2.9166666666690002</v>
      </c>
      <c r="AD268" s="172">
        <v>521711.40448999999</v>
      </c>
      <c r="AE268" s="173">
        <v>2.92</v>
      </c>
      <c r="AF268" s="174">
        <v>46357</v>
      </c>
    </row>
    <row r="269" spans="1:32" ht="20" x14ac:dyDescent="0.35">
      <c r="A269" s="162" t="s">
        <v>638</v>
      </c>
      <c r="B269" s="163" t="s">
        <v>909</v>
      </c>
      <c r="C269" s="154"/>
      <c r="D269" s="162" t="s">
        <v>126</v>
      </c>
      <c r="E269" s="164" t="s">
        <v>126</v>
      </c>
      <c r="F269" s="164" t="s">
        <v>909</v>
      </c>
      <c r="G269" s="164" t="s">
        <v>638</v>
      </c>
      <c r="H269" s="165">
        <v>30206</v>
      </c>
      <c r="I269" s="164" t="s">
        <v>20</v>
      </c>
      <c r="J269" s="164" t="s">
        <v>21</v>
      </c>
      <c r="K269" s="165">
        <v>42632</v>
      </c>
      <c r="L269" s="166" t="s">
        <v>128</v>
      </c>
      <c r="M269" s="154"/>
      <c r="N269" s="154"/>
      <c r="O269" s="164" t="s">
        <v>129</v>
      </c>
      <c r="P269" s="164">
        <v>43</v>
      </c>
      <c r="Q269" s="164">
        <v>9</v>
      </c>
      <c r="R269" s="167" t="s">
        <v>873</v>
      </c>
      <c r="S269" s="167" t="s">
        <v>24</v>
      </c>
      <c r="T269" s="162" t="s">
        <v>794</v>
      </c>
      <c r="U269" s="167" t="s">
        <v>819</v>
      </c>
      <c r="V269" s="162" t="s">
        <v>834</v>
      </c>
      <c r="W269" s="168">
        <v>9</v>
      </c>
      <c r="X269" s="169">
        <v>45018</v>
      </c>
      <c r="Y269" s="170">
        <v>8.4133333299939999</v>
      </c>
      <c r="Z269" s="170">
        <v>1.9166666699999999</v>
      </c>
      <c r="AA269" s="170">
        <v>0</v>
      </c>
      <c r="AB269" s="170">
        <v>0</v>
      </c>
      <c r="AC269" s="171">
        <v>10.329999999994</v>
      </c>
      <c r="AD269" s="172">
        <v>961878.20030000003</v>
      </c>
      <c r="AE269" s="173" t="s">
        <v>797</v>
      </c>
      <c r="AF269" s="173"/>
    </row>
    <row r="270" spans="1:32" x14ac:dyDescent="0.35">
      <c r="A270" s="162" t="s">
        <v>638</v>
      </c>
      <c r="B270" s="163" t="s">
        <v>909</v>
      </c>
      <c r="C270" s="154"/>
      <c r="D270" s="162" t="s">
        <v>126</v>
      </c>
      <c r="E270" s="164" t="s">
        <v>126</v>
      </c>
      <c r="F270" s="164" t="s">
        <v>909</v>
      </c>
      <c r="G270" s="164" t="s">
        <v>638</v>
      </c>
      <c r="H270" s="165">
        <v>30206</v>
      </c>
      <c r="I270" s="164" t="s">
        <v>20</v>
      </c>
      <c r="J270" s="164" t="s">
        <v>21</v>
      </c>
      <c r="K270" s="165">
        <v>42632</v>
      </c>
      <c r="L270" s="166" t="s">
        <v>128</v>
      </c>
      <c r="M270" s="154"/>
      <c r="N270" s="154"/>
      <c r="O270" s="164" t="s">
        <v>129</v>
      </c>
      <c r="P270" s="164">
        <v>43</v>
      </c>
      <c r="Q270" s="164">
        <v>9</v>
      </c>
      <c r="R270" s="167" t="s">
        <v>873</v>
      </c>
      <c r="S270" s="167" t="s">
        <v>24</v>
      </c>
      <c r="T270" s="162" t="s">
        <v>798</v>
      </c>
      <c r="U270" s="167" t="s">
        <v>799</v>
      </c>
      <c r="X270" s="169">
        <v>45018</v>
      </c>
      <c r="Y270" s="170">
        <v>180</v>
      </c>
      <c r="Z270" s="170">
        <v>0</v>
      </c>
      <c r="AA270" s="170">
        <v>0</v>
      </c>
      <c r="AB270" s="170">
        <v>0</v>
      </c>
      <c r="AC270" s="171">
        <v>180</v>
      </c>
      <c r="AD270" s="172">
        <v>16760704.361400001</v>
      </c>
      <c r="AE270" s="173">
        <v>180</v>
      </c>
      <c r="AF270" s="174">
        <v>46357</v>
      </c>
    </row>
    <row r="271" spans="1:32" x14ac:dyDescent="0.35">
      <c r="A271" s="162" t="s">
        <v>638</v>
      </c>
      <c r="B271" s="163" t="s">
        <v>909</v>
      </c>
      <c r="C271" s="154"/>
      <c r="D271" s="162" t="s">
        <v>126</v>
      </c>
      <c r="E271" s="164" t="s">
        <v>126</v>
      </c>
      <c r="F271" s="164" t="s">
        <v>909</v>
      </c>
      <c r="G271" s="164" t="s">
        <v>638</v>
      </c>
      <c r="H271" s="165">
        <v>30206</v>
      </c>
      <c r="I271" s="164" t="s">
        <v>20</v>
      </c>
      <c r="J271" s="164" t="s">
        <v>21</v>
      </c>
      <c r="K271" s="165">
        <v>42632</v>
      </c>
      <c r="L271" s="166" t="s">
        <v>128</v>
      </c>
      <c r="M271" s="154"/>
      <c r="N271" s="154"/>
      <c r="O271" s="164" t="s">
        <v>129</v>
      </c>
      <c r="P271" s="164">
        <v>43</v>
      </c>
      <c r="Q271" s="164">
        <v>9</v>
      </c>
      <c r="R271" s="167" t="s">
        <v>873</v>
      </c>
      <c r="S271" s="167" t="s">
        <v>24</v>
      </c>
      <c r="T271" s="162" t="s">
        <v>800</v>
      </c>
      <c r="U271" s="167" t="s">
        <v>801</v>
      </c>
      <c r="X271" s="169">
        <v>45018</v>
      </c>
      <c r="Y271" s="170">
        <v>26</v>
      </c>
      <c r="Z271" s="170">
        <v>0</v>
      </c>
      <c r="AA271" s="170">
        <v>0</v>
      </c>
      <c r="AB271" s="170">
        <v>0</v>
      </c>
      <c r="AC271" s="171">
        <v>26</v>
      </c>
      <c r="AD271" s="172">
        <v>2420990.6299800002</v>
      </c>
      <c r="AE271" s="173">
        <v>26</v>
      </c>
      <c r="AF271" s="174">
        <v>46357</v>
      </c>
    </row>
    <row r="272" spans="1:32" x14ac:dyDescent="0.35">
      <c r="A272" s="162" t="s">
        <v>638</v>
      </c>
      <c r="B272" s="163" t="s">
        <v>909</v>
      </c>
      <c r="C272" s="154"/>
      <c r="D272" s="162" t="s">
        <v>126</v>
      </c>
      <c r="E272" s="164" t="s">
        <v>126</v>
      </c>
      <c r="F272" s="164" t="s">
        <v>909</v>
      </c>
      <c r="G272" s="164" t="s">
        <v>638</v>
      </c>
      <c r="H272" s="165">
        <v>30206</v>
      </c>
      <c r="I272" s="164" t="s">
        <v>20</v>
      </c>
      <c r="J272" s="164" t="s">
        <v>21</v>
      </c>
      <c r="K272" s="165">
        <v>42632</v>
      </c>
      <c r="L272" s="166" t="s">
        <v>128</v>
      </c>
      <c r="M272" s="154"/>
      <c r="N272" s="154"/>
      <c r="O272" s="164" t="s">
        <v>129</v>
      </c>
      <c r="P272" s="164">
        <v>43</v>
      </c>
      <c r="Q272" s="164">
        <v>9</v>
      </c>
      <c r="R272" s="167" t="s">
        <v>873</v>
      </c>
      <c r="S272" s="167" t="s">
        <v>24</v>
      </c>
      <c r="T272" s="162" t="s">
        <v>800</v>
      </c>
      <c r="U272" s="167" t="s">
        <v>802</v>
      </c>
      <c r="X272" s="169">
        <v>45018</v>
      </c>
      <c r="Y272" s="170">
        <v>98</v>
      </c>
      <c r="Z272" s="170">
        <v>0</v>
      </c>
      <c r="AA272" s="170">
        <v>0</v>
      </c>
      <c r="AB272" s="170">
        <v>0</v>
      </c>
      <c r="AC272" s="171">
        <v>98</v>
      </c>
      <c r="AD272" s="172">
        <v>9125272.3745399993</v>
      </c>
      <c r="AE272" s="173">
        <v>98</v>
      </c>
      <c r="AF272" s="174">
        <v>46357</v>
      </c>
    </row>
    <row r="273" spans="1:32" x14ac:dyDescent="0.35">
      <c r="A273" s="162" t="s">
        <v>638</v>
      </c>
      <c r="B273" s="163" t="s">
        <v>909</v>
      </c>
      <c r="C273" s="154"/>
      <c r="D273" s="162" t="s">
        <v>126</v>
      </c>
      <c r="E273" s="164" t="s">
        <v>126</v>
      </c>
      <c r="F273" s="164" t="s">
        <v>909</v>
      </c>
      <c r="G273" s="164" t="s">
        <v>638</v>
      </c>
      <c r="H273" s="165">
        <v>30206</v>
      </c>
      <c r="I273" s="164" t="s">
        <v>20</v>
      </c>
      <c r="J273" s="164" t="s">
        <v>21</v>
      </c>
      <c r="K273" s="165">
        <v>42632</v>
      </c>
      <c r="L273" s="166" t="s">
        <v>128</v>
      </c>
      <c r="M273" s="154"/>
      <c r="N273" s="154"/>
      <c r="O273" s="164" t="s">
        <v>129</v>
      </c>
      <c r="P273" s="164">
        <v>43</v>
      </c>
      <c r="Q273" s="164">
        <v>9</v>
      </c>
      <c r="R273" s="167" t="s">
        <v>873</v>
      </c>
      <c r="S273" s="167" t="s">
        <v>24</v>
      </c>
      <c r="T273" s="162" t="s">
        <v>800</v>
      </c>
      <c r="U273" s="167" t="s">
        <v>803</v>
      </c>
      <c r="X273" s="169">
        <v>45018</v>
      </c>
      <c r="Y273" s="170">
        <v>2</v>
      </c>
      <c r="Z273" s="170">
        <v>0</v>
      </c>
      <c r="AA273" s="170">
        <v>0</v>
      </c>
      <c r="AB273" s="170">
        <v>0</v>
      </c>
      <c r="AC273" s="171">
        <v>2</v>
      </c>
      <c r="AD273" s="172">
        <v>186230.04845999999</v>
      </c>
      <c r="AE273" s="173">
        <v>2</v>
      </c>
      <c r="AF273" s="174">
        <v>46357</v>
      </c>
    </row>
    <row r="274" spans="1:32" x14ac:dyDescent="0.35">
      <c r="A274" s="162" t="s">
        <v>638</v>
      </c>
      <c r="B274" s="163" t="s">
        <v>909</v>
      </c>
      <c r="C274" s="154"/>
      <c r="D274" s="162" t="s">
        <v>126</v>
      </c>
      <c r="E274" s="164" t="s">
        <v>126</v>
      </c>
      <c r="F274" s="164" t="s">
        <v>909</v>
      </c>
      <c r="G274" s="164" t="s">
        <v>638</v>
      </c>
      <c r="H274" s="165">
        <v>30206</v>
      </c>
      <c r="I274" s="164" t="s">
        <v>20</v>
      </c>
      <c r="J274" s="164" t="s">
        <v>21</v>
      </c>
      <c r="K274" s="165">
        <v>42632</v>
      </c>
      <c r="L274" s="166" t="s">
        <v>128</v>
      </c>
      <c r="M274" s="154"/>
      <c r="N274" s="154"/>
      <c r="O274" s="164" t="s">
        <v>129</v>
      </c>
      <c r="P274" s="164">
        <v>43</v>
      </c>
      <c r="Q274" s="164">
        <v>9</v>
      </c>
      <c r="R274" s="167" t="s">
        <v>873</v>
      </c>
      <c r="S274" s="167" t="s">
        <v>24</v>
      </c>
      <c r="T274" s="162" t="s">
        <v>800</v>
      </c>
      <c r="U274" s="167" t="s">
        <v>804</v>
      </c>
      <c r="X274" s="169">
        <v>45018</v>
      </c>
      <c r="Y274" s="170">
        <v>5</v>
      </c>
      <c r="Z274" s="170">
        <v>0</v>
      </c>
      <c r="AA274" s="170">
        <v>0</v>
      </c>
      <c r="AB274" s="170">
        <v>0</v>
      </c>
      <c r="AC274" s="171">
        <v>5</v>
      </c>
      <c r="AD274" s="172">
        <v>465575.12115000002</v>
      </c>
      <c r="AE274" s="173">
        <v>5</v>
      </c>
      <c r="AF274" s="174">
        <v>46357</v>
      </c>
    </row>
    <row r="275" spans="1:32" x14ac:dyDescent="0.35">
      <c r="A275" s="162" t="s">
        <v>638</v>
      </c>
      <c r="B275" s="163" t="s">
        <v>909</v>
      </c>
      <c r="C275" s="154"/>
      <c r="D275" s="162" t="s">
        <v>126</v>
      </c>
      <c r="E275" s="164" t="s">
        <v>126</v>
      </c>
      <c r="F275" s="164" t="s">
        <v>909</v>
      </c>
      <c r="G275" s="164" t="s">
        <v>638</v>
      </c>
      <c r="H275" s="165">
        <v>30206</v>
      </c>
      <c r="I275" s="164" t="s">
        <v>20</v>
      </c>
      <c r="J275" s="164" t="s">
        <v>21</v>
      </c>
      <c r="K275" s="165">
        <v>42632</v>
      </c>
      <c r="L275" s="166" t="s">
        <v>128</v>
      </c>
      <c r="M275" s="154"/>
      <c r="N275" s="154"/>
      <c r="O275" s="164" t="s">
        <v>129</v>
      </c>
      <c r="P275" s="164">
        <v>43</v>
      </c>
      <c r="Q275" s="164">
        <v>9</v>
      </c>
      <c r="R275" s="167" t="s">
        <v>873</v>
      </c>
      <c r="S275" s="167" t="s">
        <v>24</v>
      </c>
      <c r="T275" s="162" t="s">
        <v>800</v>
      </c>
      <c r="U275" s="167" t="s">
        <v>805</v>
      </c>
      <c r="X275" s="169">
        <v>45018</v>
      </c>
      <c r="Y275" s="170">
        <v>2.4999999966690001</v>
      </c>
      <c r="Z275" s="170">
        <v>0.41666667000000002</v>
      </c>
      <c r="AA275" s="170">
        <v>0</v>
      </c>
      <c r="AB275" s="170">
        <v>0</v>
      </c>
      <c r="AC275" s="171">
        <v>2.9166666666690002</v>
      </c>
      <c r="AD275" s="172">
        <v>271585.48733999999</v>
      </c>
      <c r="AE275" s="173">
        <v>2.92</v>
      </c>
      <c r="AF275" s="174">
        <v>46357</v>
      </c>
    </row>
    <row r="276" spans="1:32" ht="20" x14ac:dyDescent="0.35">
      <c r="A276" s="162" t="s">
        <v>631</v>
      </c>
      <c r="B276" s="163" t="s">
        <v>910</v>
      </c>
      <c r="C276" s="154"/>
      <c r="D276" s="162" t="s">
        <v>130</v>
      </c>
      <c r="E276" s="164" t="s">
        <v>130</v>
      </c>
      <c r="F276" s="164" t="s">
        <v>910</v>
      </c>
      <c r="G276" s="164" t="s">
        <v>631</v>
      </c>
      <c r="H276" s="165">
        <v>32768</v>
      </c>
      <c r="I276" s="164" t="s">
        <v>20</v>
      </c>
      <c r="J276" s="164" t="s">
        <v>82</v>
      </c>
      <c r="K276" s="165">
        <v>42632</v>
      </c>
      <c r="L276" s="166" t="s">
        <v>132</v>
      </c>
      <c r="M276" s="154"/>
      <c r="N276" s="154"/>
      <c r="O276" s="164" t="s">
        <v>44</v>
      </c>
      <c r="P276" s="164">
        <v>36</v>
      </c>
      <c r="Q276" s="164">
        <v>9</v>
      </c>
      <c r="R276" s="167" t="s">
        <v>876</v>
      </c>
      <c r="S276" s="167" t="s">
        <v>877</v>
      </c>
      <c r="T276" s="162" t="s">
        <v>794</v>
      </c>
      <c r="U276" s="167" t="s">
        <v>795</v>
      </c>
      <c r="V276" s="162" t="s">
        <v>838</v>
      </c>
      <c r="W276" s="168">
        <v>9</v>
      </c>
      <c r="X276" s="169">
        <v>45018</v>
      </c>
      <c r="Y276" s="170">
        <v>6.8333333366630002</v>
      </c>
      <c r="Z276" s="170">
        <v>2.0833333299999999</v>
      </c>
      <c r="AA276" s="170">
        <v>0</v>
      </c>
      <c r="AB276" s="170">
        <v>0</v>
      </c>
      <c r="AC276" s="171">
        <v>8.9166666666629997</v>
      </c>
      <c r="AD276" s="172">
        <v>1405943.02669</v>
      </c>
      <c r="AE276" s="173" t="s">
        <v>797</v>
      </c>
      <c r="AF276" s="173"/>
    </row>
    <row r="277" spans="1:32" ht="20" x14ac:dyDescent="0.35">
      <c r="A277" s="162" t="s">
        <v>631</v>
      </c>
      <c r="B277" s="163" t="s">
        <v>910</v>
      </c>
      <c r="C277" s="154"/>
      <c r="D277" s="162" t="s">
        <v>130</v>
      </c>
      <c r="E277" s="164" t="s">
        <v>130</v>
      </c>
      <c r="F277" s="164" t="s">
        <v>910</v>
      </c>
      <c r="G277" s="164" t="s">
        <v>631</v>
      </c>
      <c r="H277" s="165">
        <v>32768</v>
      </c>
      <c r="I277" s="164" t="s">
        <v>20</v>
      </c>
      <c r="J277" s="164" t="s">
        <v>82</v>
      </c>
      <c r="K277" s="165">
        <v>42632</v>
      </c>
      <c r="L277" s="166" t="s">
        <v>132</v>
      </c>
      <c r="M277" s="154"/>
      <c r="N277" s="154"/>
      <c r="O277" s="164" t="s">
        <v>44</v>
      </c>
      <c r="P277" s="164">
        <v>36</v>
      </c>
      <c r="Q277" s="164">
        <v>9</v>
      </c>
      <c r="R277" s="167" t="s">
        <v>876</v>
      </c>
      <c r="S277" s="167" t="s">
        <v>877</v>
      </c>
      <c r="T277" s="162" t="s">
        <v>798</v>
      </c>
      <c r="U277" s="167" t="s">
        <v>839</v>
      </c>
      <c r="X277" s="169">
        <v>45018</v>
      </c>
      <c r="Y277" s="170">
        <v>180</v>
      </c>
      <c r="Z277" s="170">
        <v>0</v>
      </c>
      <c r="AA277" s="170">
        <v>0</v>
      </c>
      <c r="AB277" s="170">
        <v>0</v>
      </c>
      <c r="AC277" s="171">
        <v>180</v>
      </c>
      <c r="AD277" s="172">
        <v>28381653.622979999</v>
      </c>
      <c r="AE277" s="173">
        <v>180</v>
      </c>
      <c r="AF277" s="174">
        <v>46357</v>
      </c>
    </row>
    <row r="278" spans="1:32" ht="20" x14ac:dyDescent="0.35">
      <c r="A278" s="162" t="s">
        <v>631</v>
      </c>
      <c r="B278" s="163" t="s">
        <v>910</v>
      </c>
      <c r="C278" s="154"/>
      <c r="D278" s="162" t="s">
        <v>130</v>
      </c>
      <c r="E278" s="164" t="s">
        <v>130</v>
      </c>
      <c r="F278" s="164" t="s">
        <v>910</v>
      </c>
      <c r="G278" s="164" t="s">
        <v>631</v>
      </c>
      <c r="H278" s="165">
        <v>32768</v>
      </c>
      <c r="I278" s="164" t="s">
        <v>20</v>
      </c>
      <c r="J278" s="164" t="s">
        <v>82</v>
      </c>
      <c r="K278" s="165">
        <v>42632</v>
      </c>
      <c r="L278" s="166" t="s">
        <v>132</v>
      </c>
      <c r="M278" s="154"/>
      <c r="N278" s="154"/>
      <c r="O278" s="164" t="s">
        <v>44</v>
      </c>
      <c r="P278" s="164">
        <v>36</v>
      </c>
      <c r="Q278" s="164">
        <v>9</v>
      </c>
      <c r="R278" s="167" t="s">
        <v>876</v>
      </c>
      <c r="S278" s="167" t="s">
        <v>877</v>
      </c>
      <c r="T278" s="162" t="s">
        <v>800</v>
      </c>
      <c r="U278" s="167" t="s">
        <v>801</v>
      </c>
      <c r="X278" s="169">
        <v>45018</v>
      </c>
      <c r="Y278" s="170">
        <v>26</v>
      </c>
      <c r="Z278" s="170">
        <v>0</v>
      </c>
      <c r="AA278" s="170">
        <v>0</v>
      </c>
      <c r="AB278" s="170">
        <v>0</v>
      </c>
      <c r="AC278" s="171">
        <v>26</v>
      </c>
      <c r="AD278" s="172">
        <v>4099572.1899899999</v>
      </c>
      <c r="AE278" s="173">
        <v>26</v>
      </c>
      <c r="AF278" s="174">
        <v>46357</v>
      </c>
    </row>
    <row r="279" spans="1:32" ht="20" x14ac:dyDescent="0.35">
      <c r="A279" s="162" t="s">
        <v>631</v>
      </c>
      <c r="B279" s="163" t="s">
        <v>910</v>
      </c>
      <c r="C279" s="154"/>
      <c r="D279" s="162" t="s">
        <v>130</v>
      </c>
      <c r="E279" s="164" t="s">
        <v>130</v>
      </c>
      <c r="F279" s="164" t="s">
        <v>910</v>
      </c>
      <c r="G279" s="164" t="s">
        <v>631</v>
      </c>
      <c r="H279" s="165">
        <v>32768</v>
      </c>
      <c r="I279" s="164" t="s">
        <v>20</v>
      </c>
      <c r="J279" s="164" t="s">
        <v>82</v>
      </c>
      <c r="K279" s="165">
        <v>42632</v>
      </c>
      <c r="L279" s="166" t="s">
        <v>132</v>
      </c>
      <c r="M279" s="154"/>
      <c r="N279" s="154"/>
      <c r="O279" s="164" t="s">
        <v>44</v>
      </c>
      <c r="P279" s="164">
        <v>36</v>
      </c>
      <c r="Q279" s="164">
        <v>9</v>
      </c>
      <c r="R279" s="167" t="s">
        <v>876</v>
      </c>
      <c r="S279" s="167" t="s">
        <v>877</v>
      </c>
      <c r="T279" s="162" t="s">
        <v>800</v>
      </c>
      <c r="U279" s="167" t="s">
        <v>802</v>
      </c>
      <c r="X279" s="169">
        <v>45018</v>
      </c>
      <c r="Y279" s="170">
        <v>98</v>
      </c>
      <c r="Z279" s="170">
        <v>0</v>
      </c>
      <c r="AA279" s="170">
        <v>0</v>
      </c>
      <c r="AB279" s="170">
        <v>0</v>
      </c>
      <c r="AC279" s="171">
        <v>98</v>
      </c>
      <c r="AD279" s="172">
        <v>15452233.639180001</v>
      </c>
      <c r="AE279" s="173">
        <v>98</v>
      </c>
      <c r="AF279" s="174">
        <v>46357</v>
      </c>
    </row>
    <row r="280" spans="1:32" ht="20" x14ac:dyDescent="0.35">
      <c r="A280" s="162" t="s">
        <v>631</v>
      </c>
      <c r="B280" s="163" t="s">
        <v>910</v>
      </c>
      <c r="C280" s="154"/>
      <c r="D280" s="162" t="s">
        <v>130</v>
      </c>
      <c r="E280" s="164" t="s">
        <v>130</v>
      </c>
      <c r="F280" s="164" t="s">
        <v>910</v>
      </c>
      <c r="G280" s="164" t="s">
        <v>631</v>
      </c>
      <c r="H280" s="165">
        <v>32768</v>
      </c>
      <c r="I280" s="164" t="s">
        <v>20</v>
      </c>
      <c r="J280" s="164" t="s">
        <v>82</v>
      </c>
      <c r="K280" s="165">
        <v>42632</v>
      </c>
      <c r="L280" s="166" t="s">
        <v>132</v>
      </c>
      <c r="M280" s="154"/>
      <c r="N280" s="154"/>
      <c r="O280" s="164" t="s">
        <v>44</v>
      </c>
      <c r="P280" s="164">
        <v>36</v>
      </c>
      <c r="Q280" s="164">
        <v>9</v>
      </c>
      <c r="R280" s="167" t="s">
        <v>876</v>
      </c>
      <c r="S280" s="167" t="s">
        <v>877</v>
      </c>
      <c r="T280" s="162" t="s">
        <v>800</v>
      </c>
      <c r="U280" s="167" t="s">
        <v>803</v>
      </c>
      <c r="X280" s="169">
        <v>45018</v>
      </c>
      <c r="Y280" s="170">
        <v>2</v>
      </c>
      <c r="Z280" s="170">
        <v>0</v>
      </c>
      <c r="AA280" s="170">
        <v>0</v>
      </c>
      <c r="AB280" s="170">
        <v>0</v>
      </c>
      <c r="AC280" s="171">
        <v>2</v>
      </c>
      <c r="AD280" s="172">
        <v>315351.70692000003</v>
      </c>
      <c r="AE280" s="173">
        <v>2</v>
      </c>
      <c r="AF280" s="174">
        <v>46357</v>
      </c>
    </row>
    <row r="281" spans="1:32" ht="20" x14ac:dyDescent="0.35">
      <c r="A281" s="162" t="s">
        <v>631</v>
      </c>
      <c r="B281" s="163" t="s">
        <v>910</v>
      </c>
      <c r="C281" s="154"/>
      <c r="D281" s="162" t="s">
        <v>130</v>
      </c>
      <c r="E281" s="164" t="s">
        <v>130</v>
      </c>
      <c r="F281" s="164" t="s">
        <v>910</v>
      </c>
      <c r="G281" s="164" t="s">
        <v>631</v>
      </c>
      <c r="H281" s="165">
        <v>32768</v>
      </c>
      <c r="I281" s="164" t="s">
        <v>20</v>
      </c>
      <c r="J281" s="164" t="s">
        <v>82</v>
      </c>
      <c r="K281" s="165">
        <v>42632</v>
      </c>
      <c r="L281" s="166" t="s">
        <v>132</v>
      </c>
      <c r="M281" s="154"/>
      <c r="N281" s="154"/>
      <c r="O281" s="164" t="s">
        <v>44</v>
      </c>
      <c r="P281" s="164">
        <v>36</v>
      </c>
      <c r="Q281" s="164">
        <v>9</v>
      </c>
      <c r="R281" s="167" t="s">
        <v>876</v>
      </c>
      <c r="S281" s="167" t="s">
        <v>877</v>
      </c>
      <c r="T281" s="162" t="s">
        <v>800</v>
      </c>
      <c r="U281" s="167" t="s">
        <v>804</v>
      </c>
      <c r="X281" s="169">
        <v>45018</v>
      </c>
      <c r="Y281" s="170">
        <v>5</v>
      </c>
      <c r="Z281" s="170">
        <v>0</v>
      </c>
      <c r="AA281" s="170">
        <v>0</v>
      </c>
      <c r="AB281" s="170">
        <v>0</v>
      </c>
      <c r="AC281" s="171">
        <v>5</v>
      </c>
      <c r="AD281" s="172">
        <v>788379.26729999995</v>
      </c>
      <c r="AE281" s="173">
        <v>5</v>
      </c>
      <c r="AF281" s="174">
        <v>46357</v>
      </c>
    </row>
    <row r="282" spans="1:32" ht="20" x14ac:dyDescent="0.35">
      <c r="A282" s="162" t="s">
        <v>631</v>
      </c>
      <c r="B282" s="163" t="s">
        <v>910</v>
      </c>
      <c r="C282" s="154"/>
      <c r="D282" s="162" t="s">
        <v>130</v>
      </c>
      <c r="E282" s="164" t="s">
        <v>130</v>
      </c>
      <c r="F282" s="164" t="s">
        <v>910</v>
      </c>
      <c r="G282" s="164" t="s">
        <v>631</v>
      </c>
      <c r="H282" s="165">
        <v>32768</v>
      </c>
      <c r="I282" s="164" t="s">
        <v>20</v>
      </c>
      <c r="J282" s="164" t="s">
        <v>82</v>
      </c>
      <c r="K282" s="165">
        <v>42632</v>
      </c>
      <c r="L282" s="166" t="s">
        <v>132</v>
      </c>
      <c r="M282" s="154"/>
      <c r="N282" s="154"/>
      <c r="O282" s="164" t="s">
        <v>44</v>
      </c>
      <c r="P282" s="164">
        <v>36</v>
      </c>
      <c r="Q282" s="164">
        <v>9</v>
      </c>
      <c r="R282" s="167" t="s">
        <v>876</v>
      </c>
      <c r="S282" s="167" t="s">
        <v>877</v>
      </c>
      <c r="T282" s="162" t="s">
        <v>800</v>
      </c>
      <c r="U282" s="167" t="s">
        <v>840</v>
      </c>
      <c r="X282" s="169">
        <v>45018</v>
      </c>
      <c r="Y282" s="170">
        <v>2.4999999966690001</v>
      </c>
      <c r="Z282" s="170">
        <v>0.41666667000000002</v>
      </c>
      <c r="AA282" s="170">
        <v>0</v>
      </c>
      <c r="AB282" s="170">
        <v>0</v>
      </c>
      <c r="AC282" s="171">
        <v>2.9166666666690002</v>
      </c>
      <c r="AD282" s="172">
        <v>459887.90593000001</v>
      </c>
      <c r="AE282" s="173">
        <v>2.92</v>
      </c>
      <c r="AF282" s="174">
        <v>46357</v>
      </c>
    </row>
    <row r="283" spans="1:32" ht="20" x14ac:dyDescent="0.35">
      <c r="A283" s="162" t="s">
        <v>911</v>
      </c>
      <c r="B283" s="163" t="s">
        <v>912</v>
      </c>
      <c r="C283" s="154"/>
      <c r="D283" s="162" t="s">
        <v>133</v>
      </c>
      <c r="E283" s="164" t="s">
        <v>133</v>
      </c>
      <c r="F283" s="164" t="s">
        <v>912</v>
      </c>
      <c r="G283" s="164" t="s">
        <v>911</v>
      </c>
      <c r="H283" s="165">
        <v>31705</v>
      </c>
      <c r="I283" s="164" t="s">
        <v>20</v>
      </c>
      <c r="J283" s="164" t="s">
        <v>21</v>
      </c>
      <c r="K283" s="165">
        <v>42632</v>
      </c>
      <c r="L283" s="166" t="s">
        <v>135</v>
      </c>
      <c r="M283" s="154"/>
      <c r="N283" s="154"/>
      <c r="O283" s="164" t="s">
        <v>44</v>
      </c>
      <c r="P283" s="164">
        <v>39</v>
      </c>
      <c r="Q283" s="164">
        <v>9</v>
      </c>
      <c r="R283" s="167" t="s">
        <v>888</v>
      </c>
      <c r="S283" s="167" t="s">
        <v>45</v>
      </c>
      <c r="T283" s="162" t="s">
        <v>794</v>
      </c>
      <c r="U283" s="167" t="s">
        <v>795</v>
      </c>
      <c r="V283" s="162" t="s">
        <v>838</v>
      </c>
      <c r="W283" s="168">
        <v>9</v>
      </c>
      <c r="X283" s="169">
        <v>45413</v>
      </c>
      <c r="Y283" s="170">
        <v>11.493333336662999</v>
      </c>
      <c r="Z283" s="170">
        <v>2.0833333299999999</v>
      </c>
      <c r="AA283" s="170">
        <v>0</v>
      </c>
      <c r="AB283" s="170">
        <v>0</v>
      </c>
      <c r="AC283" s="171">
        <v>13.576666666663</v>
      </c>
      <c r="AD283" s="172">
        <v>1954269.80614</v>
      </c>
      <c r="AE283" s="173" t="s">
        <v>797</v>
      </c>
      <c r="AF283" s="173"/>
    </row>
    <row r="284" spans="1:32" ht="20" x14ac:dyDescent="0.35">
      <c r="A284" s="162" t="s">
        <v>911</v>
      </c>
      <c r="B284" s="163" t="s">
        <v>912</v>
      </c>
      <c r="C284" s="154"/>
      <c r="D284" s="162" t="s">
        <v>133</v>
      </c>
      <c r="E284" s="164" t="s">
        <v>133</v>
      </c>
      <c r="F284" s="164" t="s">
        <v>912</v>
      </c>
      <c r="G284" s="164" t="s">
        <v>911</v>
      </c>
      <c r="H284" s="165">
        <v>31705</v>
      </c>
      <c r="I284" s="164" t="s">
        <v>20</v>
      </c>
      <c r="J284" s="164" t="s">
        <v>21</v>
      </c>
      <c r="K284" s="165">
        <v>42632</v>
      </c>
      <c r="L284" s="166" t="s">
        <v>135</v>
      </c>
      <c r="M284" s="154"/>
      <c r="N284" s="154"/>
      <c r="O284" s="164" t="s">
        <v>44</v>
      </c>
      <c r="P284" s="164">
        <v>39</v>
      </c>
      <c r="Q284" s="164">
        <v>9</v>
      </c>
      <c r="R284" s="167" t="s">
        <v>888</v>
      </c>
      <c r="S284" s="167" t="s">
        <v>45</v>
      </c>
      <c r="T284" s="162" t="s">
        <v>798</v>
      </c>
      <c r="U284" s="167" t="s">
        <v>839</v>
      </c>
      <c r="X284" s="169">
        <v>45413</v>
      </c>
      <c r="Y284" s="170">
        <v>179</v>
      </c>
      <c r="Z284" s="170">
        <v>0</v>
      </c>
      <c r="AA284" s="170">
        <v>0</v>
      </c>
      <c r="AB284" s="170">
        <v>0</v>
      </c>
      <c r="AC284" s="171">
        <v>179</v>
      </c>
      <c r="AD284" s="172">
        <v>25765845.46765</v>
      </c>
      <c r="AE284" s="173">
        <v>179</v>
      </c>
      <c r="AF284" s="174">
        <v>46357</v>
      </c>
    </row>
    <row r="285" spans="1:32" ht="20" x14ac:dyDescent="0.35">
      <c r="A285" s="162" t="s">
        <v>911</v>
      </c>
      <c r="B285" s="163" t="s">
        <v>912</v>
      </c>
      <c r="C285" s="154"/>
      <c r="D285" s="162" t="s">
        <v>133</v>
      </c>
      <c r="E285" s="164" t="s">
        <v>133</v>
      </c>
      <c r="F285" s="164" t="s">
        <v>912</v>
      </c>
      <c r="G285" s="164" t="s">
        <v>911</v>
      </c>
      <c r="H285" s="165">
        <v>31705</v>
      </c>
      <c r="I285" s="164" t="s">
        <v>20</v>
      </c>
      <c r="J285" s="164" t="s">
        <v>21</v>
      </c>
      <c r="K285" s="165">
        <v>42632</v>
      </c>
      <c r="L285" s="166" t="s">
        <v>135</v>
      </c>
      <c r="M285" s="154"/>
      <c r="N285" s="154"/>
      <c r="O285" s="164" t="s">
        <v>44</v>
      </c>
      <c r="P285" s="164">
        <v>39</v>
      </c>
      <c r="Q285" s="164">
        <v>9</v>
      </c>
      <c r="R285" s="167" t="s">
        <v>888</v>
      </c>
      <c r="S285" s="167" t="s">
        <v>45</v>
      </c>
      <c r="T285" s="162" t="s">
        <v>800</v>
      </c>
      <c r="U285" s="167" t="s">
        <v>801</v>
      </c>
      <c r="X285" s="169">
        <v>45413</v>
      </c>
      <c r="Y285" s="170">
        <v>26</v>
      </c>
      <c r="Z285" s="170">
        <v>0</v>
      </c>
      <c r="AA285" s="170">
        <v>0</v>
      </c>
      <c r="AB285" s="170">
        <v>0</v>
      </c>
      <c r="AC285" s="171">
        <v>26</v>
      </c>
      <c r="AD285" s="172">
        <v>3742525.03999</v>
      </c>
      <c r="AE285" s="173">
        <v>26</v>
      </c>
      <c r="AF285" s="174">
        <v>46357</v>
      </c>
    </row>
    <row r="286" spans="1:32" ht="20" x14ac:dyDescent="0.35">
      <c r="A286" s="162" t="s">
        <v>911</v>
      </c>
      <c r="B286" s="163" t="s">
        <v>912</v>
      </c>
      <c r="C286" s="154"/>
      <c r="D286" s="162" t="s">
        <v>133</v>
      </c>
      <c r="E286" s="164" t="s">
        <v>133</v>
      </c>
      <c r="F286" s="164" t="s">
        <v>912</v>
      </c>
      <c r="G286" s="164" t="s">
        <v>911</v>
      </c>
      <c r="H286" s="165">
        <v>31705</v>
      </c>
      <c r="I286" s="164" t="s">
        <v>20</v>
      </c>
      <c r="J286" s="164" t="s">
        <v>21</v>
      </c>
      <c r="K286" s="165">
        <v>42632</v>
      </c>
      <c r="L286" s="166" t="s">
        <v>135</v>
      </c>
      <c r="M286" s="154"/>
      <c r="N286" s="154"/>
      <c r="O286" s="164" t="s">
        <v>44</v>
      </c>
      <c r="P286" s="164">
        <v>39</v>
      </c>
      <c r="Q286" s="164">
        <v>9</v>
      </c>
      <c r="R286" s="167" t="s">
        <v>888</v>
      </c>
      <c r="S286" s="167" t="s">
        <v>45</v>
      </c>
      <c r="T286" s="162" t="s">
        <v>800</v>
      </c>
      <c r="U286" s="167" t="s">
        <v>802</v>
      </c>
      <c r="X286" s="169">
        <v>45413</v>
      </c>
      <c r="Y286" s="170">
        <v>98</v>
      </c>
      <c r="Z286" s="170">
        <v>0</v>
      </c>
      <c r="AA286" s="170">
        <v>0</v>
      </c>
      <c r="AB286" s="170">
        <v>0</v>
      </c>
      <c r="AC286" s="171">
        <v>98</v>
      </c>
      <c r="AD286" s="172">
        <v>14106440.535359999</v>
      </c>
      <c r="AE286" s="173">
        <v>98</v>
      </c>
      <c r="AF286" s="174">
        <v>46357</v>
      </c>
    </row>
    <row r="287" spans="1:32" ht="20" x14ac:dyDescent="0.35">
      <c r="A287" s="162" t="s">
        <v>911</v>
      </c>
      <c r="B287" s="163" t="s">
        <v>912</v>
      </c>
      <c r="C287" s="154"/>
      <c r="D287" s="162" t="s">
        <v>133</v>
      </c>
      <c r="E287" s="164" t="s">
        <v>133</v>
      </c>
      <c r="F287" s="164" t="s">
        <v>912</v>
      </c>
      <c r="G287" s="164" t="s">
        <v>911</v>
      </c>
      <c r="H287" s="165">
        <v>31705</v>
      </c>
      <c r="I287" s="164" t="s">
        <v>20</v>
      </c>
      <c r="J287" s="164" t="s">
        <v>21</v>
      </c>
      <c r="K287" s="165">
        <v>42632</v>
      </c>
      <c r="L287" s="166" t="s">
        <v>135</v>
      </c>
      <c r="M287" s="154"/>
      <c r="N287" s="154"/>
      <c r="O287" s="164" t="s">
        <v>44</v>
      </c>
      <c r="P287" s="164">
        <v>39</v>
      </c>
      <c r="Q287" s="164">
        <v>9</v>
      </c>
      <c r="R287" s="167" t="s">
        <v>888</v>
      </c>
      <c r="S287" s="167" t="s">
        <v>45</v>
      </c>
      <c r="T287" s="162" t="s">
        <v>800</v>
      </c>
      <c r="U287" s="167" t="s">
        <v>803</v>
      </c>
      <c r="X287" s="169">
        <v>45413</v>
      </c>
      <c r="Y287" s="170">
        <v>2</v>
      </c>
      <c r="Z287" s="170">
        <v>0</v>
      </c>
      <c r="AA287" s="170">
        <v>0</v>
      </c>
      <c r="AB287" s="170">
        <v>0</v>
      </c>
      <c r="AC287" s="171">
        <v>2</v>
      </c>
      <c r="AD287" s="172">
        <v>287886.54154000001</v>
      </c>
      <c r="AE287" s="173">
        <v>2</v>
      </c>
      <c r="AF287" s="174">
        <v>46357</v>
      </c>
    </row>
    <row r="288" spans="1:32" ht="20" x14ac:dyDescent="0.35">
      <c r="A288" s="162" t="s">
        <v>911</v>
      </c>
      <c r="B288" s="163" t="s">
        <v>912</v>
      </c>
      <c r="C288" s="154"/>
      <c r="D288" s="162" t="s">
        <v>133</v>
      </c>
      <c r="E288" s="164" t="s">
        <v>133</v>
      </c>
      <c r="F288" s="164" t="s">
        <v>912</v>
      </c>
      <c r="G288" s="164" t="s">
        <v>911</v>
      </c>
      <c r="H288" s="165">
        <v>31705</v>
      </c>
      <c r="I288" s="164" t="s">
        <v>20</v>
      </c>
      <c r="J288" s="164" t="s">
        <v>21</v>
      </c>
      <c r="K288" s="165">
        <v>42632</v>
      </c>
      <c r="L288" s="166" t="s">
        <v>135</v>
      </c>
      <c r="M288" s="154"/>
      <c r="N288" s="154"/>
      <c r="O288" s="164" t="s">
        <v>44</v>
      </c>
      <c r="P288" s="164">
        <v>39</v>
      </c>
      <c r="Q288" s="164">
        <v>9</v>
      </c>
      <c r="R288" s="167" t="s">
        <v>888</v>
      </c>
      <c r="S288" s="167" t="s">
        <v>45</v>
      </c>
      <c r="T288" s="162" t="s">
        <v>800</v>
      </c>
      <c r="U288" s="167" t="s">
        <v>804</v>
      </c>
      <c r="X288" s="169">
        <v>45413</v>
      </c>
      <c r="Y288" s="170">
        <v>5</v>
      </c>
      <c r="Z288" s="170">
        <v>0</v>
      </c>
      <c r="AA288" s="170">
        <v>0</v>
      </c>
      <c r="AB288" s="170">
        <v>0</v>
      </c>
      <c r="AC288" s="171">
        <v>5</v>
      </c>
      <c r="AD288" s="172">
        <v>719716.35384999996</v>
      </c>
      <c r="AE288" s="173">
        <v>5</v>
      </c>
      <c r="AF288" s="174">
        <v>46357</v>
      </c>
    </row>
    <row r="289" spans="1:32" ht="20" x14ac:dyDescent="0.35">
      <c r="A289" s="162" t="s">
        <v>911</v>
      </c>
      <c r="B289" s="163" t="s">
        <v>912</v>
      </c>
      <c r="C289" s="154"/>
      <c r="D289" s="162" t="s">
        <v>133</v>
      </c>
      <c r="E289" s="164" t="s">
        <v>133</v>
      </c>
      <c r="F289" s="164" t="s">
        <v>912</v>
      </c>
      <c r="G289" s="164" t="s">
        <v>911</v>
      </c>
      <c r="H289" s="165">
        <v>31705</v>
      </c>
      <c r="I289" s="164" t="s">
        <v>20</v>
      </c>
      <c r="J289" s="164" t="s">
        <v>21</v>
      </c>
      <c r="K289" s="165">
        <v>42632</v>
      </c>
      <c r="L289" s="166" t="s">
        <v>135</v>
      </c>
      <c r="M289" s="154"/>
      <c r="N289" s="154"/>
      <c r="O289" s="164" t="s">
        <v>44</v>
      </c>
      <c r="P289" s="164">
        <v>39</v>
      </c>
      <c r="Q289" s="164">
        <v>9</v>
      </c>
      <c r="R289" s="167" t="s">
        <v>888</v>
      </c>
      <c r="S289" s="167" t="s">
        <v>45</v>
      </c>
      <c r="T289" s="162" t="s">
        <v>800</v>
      </c>
      <c r="U289" s="167" t="s">
        <v>840</v>
      </c>
      <c r="X289" s="169">
        <v>45413</v>
      </c>
      <c r="Y289" s="170">
        <v>2.4999999966690001</v>
      </c>
      <c r="Z289" s="170">
        <v>0.41666667000000002</v>
      </c>
      <c r="AA289" s="170">
        <v>0</v>
      </c>
      <c r="AB289" s="170">
        <v>0</v>
      </c>
      <c r="AC289" s="171">
        <v>2.9166666666690002</v>
      </c>
      <c r="AD289" s="172">
        <v>419834.53973999998</v>
      </c>
      <c r="AE289" s="173">
        <v>2.92</v>
      </c>
      <c r="AF289" s="174">
        <v>46357</v>
      </c>
    </row>
    <row r="290" spans="1:32" ht="20" x14ac:dyDescent="0.35">
      <c r="A290" s="162" t="s">
        <v>633</v>
      </c>
      <c r="B290" s="163" t="s">
        <v>913</v>
      </c>
      <c r="C290" s="154"/>
      <c r="D290" s="162" t="s">
        <v>136</v>
      </c>
      <c r="E290" s="164" t="s">
        <v>136</v>
      </c>
      <c r="F290" s="164" t="s">
        <v>913</v>
      </c>
      <c r="G290" s="164" t="s">
        <v>633</v>
      </c>
      <c r="H290" s="165">
        <v>31885</v>
      </c>
      <c r="I290" s="164" t="s">
        <v>20</v>
      </c>
      <c r="J290" s="164" t="s">
        <v>21</v>
      </c>
      <c r="K290" s="165">
        <v>42632</v>
      </c>
      <c r="L290" s="166" t="s">
        <v>132</v>
      </c>
      <c r="M290" s="154"/>
      <c r="N290" s="154"/>
      <c r="O290" s="164" t="s">
        <v>44</v>
      </c>
      <c r="P290" s="164">
        <v>39</v>
      </c>
      <c r="Q290" s="164">
        <v>9</v>
      </c>
      <c r="R290" s="167" t="s">
        <v>876</v>
      </c>
      <c r="S290" s="167" t="s">
        <v>877</v>
      </c>
      <c r="T290" s="162" t="s">
        <v>794</v>
      </c>
      <c r="U290" s="167" t="s">
        <v>795</v>
      </c>
      <c r="V290" s="162" t="s">
        <v>838</v>
      </c>
      <c r="W290" s="168">
        <v>9</v>
      </c>
      <c r="X290" s="169">
        <v>45018</v>
      </c>
      <c r="Y290" s="170">
        <v>30.913333336663001</v>
      </c>
      <c r="Z290" s="170">
        <v>2.0833333299999999</v>
      </c>
      <c r="AA290" s="170">
        <v>-30</v>
      </c>
      <c r="AB290" s="170">
        <v>0</v>
      </c>
      <c r="AC290" s="171">
        <v>2.9966666666630002</v>
      </c>
      <c r="AD290" s="172">
        <v>496203.24592999998</v>
      </c>
      <c r="AE290" s="173" t="s">
        <v>797</v>
      </c>
      <c r="AF290" s="173"/>
    </row>
    <row r="291" spans="1:32" ht="20" x14ac:dyDescent="0.35">
      <c r="A291" s="162" t="s">
        <v>633</v>
      </c>
      <c r="B291" s="163" t="s">
        <v>913</v>
      </c>
      <c r="C291" s="154"/>
      <c r="D291" s="162" t="s">
        <v>136</v>
      </c>
      <c r="E291" s="164" t="s">
        <v>136</v>
      </c>
      <c r="F291" s="164" t="s">
        <v>913</v>
      </c>
      <c r="G291" s="164" t="s">
        <v>633</v>
      </c>
      <c r="H291" s="165">
        <v>31885</v>
      </c>
      <c r="I291" s="164" t="s">
        <v>20</v>
      </c>
      <c r="J291" s="164" t="s">
        <v>21</v>
      </c>
      <c r="K291" s="165">
        <v>42632</v>
      </c>
      <c r="L291" s="166" t="s">
        <v>132</v>
      </c>
      <c r="M291" s="154"/>
      <c r="N291" s="154"/>
      <c r="O291" s="164" t="s">
        <v>44</v>
      </c>
      <c r="P291" s="164">
        <v>39</v>
      </c>
      <c r="Q291" s="164">
        <v>9</v>
      </c>
      <c r="R291" s="167" t="s">
        <v>876</v>
      </c>
      <c r="S291" s="167" t="s">
        <v>877</v>
      </c>
      <c r="T291" s="162" t="s">
        <v>798</v>
      </c>
      <c r="U291" s="167" t="s">
        <v>839</v>
      </c>
      <c r="X291" s="169">
        <v>45018</v>
      </c>
      <c r="Y291" s="170">
        <v>180</v>
      </c>
      <c r="Z291" s="170">
        <v>0</v>
      </c>
      <c r="AA291" s="170">
        <v>0</v>
      </c>
      <c r="AB291" s="170">
        <v>0</v>
      </c>
      <c r="AC291" s="171">
        <v>180</v>
      </c>
      <c r="AD291" s="172">
        <v>29805311.76912</v>
      </c>
      <c r="AE291" s="173">
        <v>180</v>
      </c>
      <c r="AF291" s="174">
        <v>46357</v>
      </c>
    </row>
    <row r="292" spans="1:32" ht="20" x14ac:dyDescent="0.35">
      <c r="A292" s="162" t="s">
        <v>633</v>
      </c>
      <c r="B292" s="163" t="s">
        <v>913</v>
      </c>
      <c r="C292" s="154"/>
      <c r="D292" s="162" t="s">
        <v>136</v>
      </c>
      <c r="E292" s="164" t="s">
        <v>136</v>
      </c>
      <c r="F292" s="164" t="s">
        <v>913</v>
      </c>
      <c r="G292" s="164" t="s">
        <v>633</v>
      </c>
      <c r="H292" s="165">
        <v>31885</v>
      </c>
      <c r="I292" s="164" t="s">
        <v>20</v>
      </c>
      <c r="J292" s="164" t="s">
        <v>21</v>
      </c>
      <c r="K292" s="165">
        <v>42632</v>
      </c>
      <c r="L292" s="166" t="s">
        <v>132</v>
      </c>
      <c r="M292" s="154"/>
      <c r="N292" s="154"/>
      <c r="O292" s="164" t="s">
        <v>44</v>
      </c>
      <c r="P292" s="164">
        <v>39</v>
      </c>
      <c r="Q292" s="164">
        <v>9</v>
      </c>
      <c r="R292" s="167" t="s">
        <v>876</v>
      </c>
      <c r="S292" s="167" t="s">
        <v>877</v>
      </c>
      <c r="T292" s="162" t="s">
        <v>800</v>
      </c>
      <c r="U292" s="167" t="s">
        <v>801</v>
      </c>
      <c r="X292" s="169">
        <v>45018</v>
      </c>
      <c r="Y292" s="170">
        <v>26</v>
      </c>
      <c r="Z292" s="170">
        <v>0</v>
      </c>
      <c r="AA292" s="170">
        <v>0</v>
      </c>
      <c r="AB292" s="170">
        <v>0</v>
      </c>
      <c r="AC292" s="171">
        <v>26</v>
      </c>
      <c r="AD292" s="172">
        <v>4305211.69998</v>
      </c>
      <c r="AE292" s="173">
        <v>26</v>
      </c>
      <c r="AF292" s="174">
        <v>46357</v>
      </c>
    </row>
    <row r="293" spans="1:32" ht="20" x14ac:dyDescent="0.35">
      <c r="A293" s="162" t="s">
        <v>633</v>
      </c>
      <c r="B293" s="163" t="s">
        <v>913</v>
      </c>
      <c r="C293" s="154"/>
      <c r="D293" s="162" t="s">
        <v>136</v>
      </c>
      <c r="E293" s="164" t="s">
        <v>136</v>
      </c>
      <c r="F293" s="164" t="s">
        <v>913</v>
      </c>
      <c r="G293" s="164" t="s">
        <v>633</v>
      </c>
      <c r="H293" s="165">
        <v>31885</v>
      </c>
      <c r="I293" s="164" t="s">
        <v>20</v>
      </c>
      <c r="J293" s="164" t="s">
        <v>21</v>
      </c>
      <c r="K293" s="165">
        <v>42632</v>
      </c>
      <c r="L293" s="166" t="s">
        <v>132</v>
      </c>
      <c r="M293" s="154"/>
      <c r="N293" s="154"/>
      <c r="O293" s="164" t="s">
        <v>44</v>
      </c>
      <c r="P293" s="164">
        <v>39</v>
      </c>
      <c r="Q293" s="164">
        <v>9</v>
      </c>
      <c r="R293" s="167" t="s">
        <v>876</v>
      </c>
      <c r="S293" s="167" t="s">
        <v>877</v>
      </c>
      <c r="T293" s="162" t="s">
        <v>800</v>
      </c>
      <c r="U293" s="167" t="s">
        <v>802</v>
      </c>
      <c r="X293" s="169">
        <v>45018</v>
      </c>
      <c r="Y293" s="170">
        <v>98</v>
      </c>
      <c r="Z293" s="170">
        <v>0</v>
      </c>
      <c r="AA293" s="170">
        <v>0</v>
      </c>
      <c r="AB293" s="170">
        <v>0</v>
      </c>
      <c r="AC293" s="171">
        <v>98</v>
      </c>
      <c r="AD293" s="172">
        <v>16227336.40763</v>
      </c>
      <c r="AE293" s="173">
        <v>98</v>
      </c>
      <c r="AF293" s="174">
        <v>46357</v>
      </c>
    </row>
    <row r="294" spans="1:32" ht="20" x14ac:dyDescent="0.35">
      <c r="A294" s="162" t="s">
        <v>633</v>
      </c>
      <c r="B294" s="163" t="s">
        <v>913</v>
      </c>
      <c r="C294" s="154"/>
      <c r="D294" s="162" t="s">
        <v>136</v>
      </c>
      <c r="E294" s="164" t="s">
        <v>136</v>
      </c>
      <c r="F294" s="164" t="s">
        <v>913</v>
      </c>
      <c r="G294" s="164" t="s">
        <v>633</v>
      </c>
      <c r="H294" s="165">
        <v>31885</v>
      </c>
      <c r="I294" s="164" t="s">
        <v>20</v>
      </c>
      <c r="J294" s="164" t="s">
        <v>21</v>
      </c>
      <c r="K294" s="165">
        <v>42632</v>
      </c>
      <c r="L294" s="166" t="s">
        <v>132</v>
      </c>
      <c r="M294" s="154"/>
      <c r="N294" s="154"/>
      <c r="O294" s="164" t="s">
        <v>44</v>
      </c>
      <c r="P294" s="164">
        <v>39</v>
      </c>
      <c r="Q294" s="164">
        <v>9</v>
      </c>
      <c r="R294" s="167" t="s">
        <v>876</v>
      </c>
      <c r="S294" s="167" t="s">
        <v>877</v>
      </c>
      <c r="T294" s="162" t="s">
        <v>800</v>
      </c>
      <c r="U294" s="167" t="s">
        <v>803</v>
      </c>
      <c r="X294" s="169">
        <v>45018</v>
      </c>
      <c r="Y294" s="170">
        <v>2</v>
      </c>
      <c r="Z294" s="170">
        <v>0</v>
      </c>
      <c r="AA294" s="170">
        <v>0</v>
      </c>
      <c r="AB294" s="170">
        <v>0</v>
      </c>
      <c r="AC294" s="171">
        <v>2</v>
      </c>
      <c r="AD294" s="172">
        <v>331170.13076999999</v>
      </c>
      <c r="AE294" s="173">
        <v>2</v>
      </c>
      <c r="AF294" s="174">
        <v>46357</v>
      </c>
    </row>
    <row r="295" spans="1:32" ht="20" x14ac:dyDescent="0.35">
      <c r="A295" s="162" t="s">
        <v>633</v>
      </c>
      <c r="B295" s="163" t="s">
        <v>913</v>
      </c>
      <c r="C295" s="154"/>
      <c r="D295" s="162" t="s">
        <v>136</v>
      </c>
      <c r="E295" s="164" t="s">
        <v>136</v>
      </c>
      <c r="F295" s="164" t="s">
        <v>913</v>
      </c>
      <c r="G295" s="164" t="s">
        <v>633</v>
      </c>
      <c r="H295" s="165">
        <v>31885</v>
      </c>
      <c r="I295" s="164" t="s">
        <v>20</v>
      </c>
      <c r="J295" s="164" t="s">
        <v>21</v>
      </c>
      <c r="K295" s="165">
        <v>42632</v>
      </c>
      <c r="L295" s="166" t="s">
        <v>132</v>
      </c>
      <c r="M295" s="154"/>
      <c r="N295" s="154"/>
      <c r="O295" s="164" t="s">
        <v>44</v>
      </c>
      <c r="P295" s="164">
        <v>39</v>
      </c>
      <c r="Q295" s="164">
        <v>9</v>
      </c>
      <c r="R295" s="167" t="s">
        <v>876</v>
      </c>
      <c r="S295" s="167" t="s">
        <v>877</v>
      </c>
      <c r="T295" s="162" t="s">
        <v>800</v>
      </c>
      <c r="U295" s="167" t="s">
        <v>804</v>
      </c>
      <c r="X295" s="169">
        <v>45018</v>
      </c>
      <c r="Y295" s="170">
        <v>5</v>
      </c>
      <c r="Z295" s="170">
        <v>0</v>
      </c>
      <c r="AA295" s="170">
        <v>0</v>
      </c>
      <c r="AB295" s="170">
        <v>0</v>
      </c>
      <c r="AC295" s="171">
        <v>5</v>
      </c>
      <c r="AD295" s="172">
        <v>827925.32692000002</v>
      </c>
      <c r="AE295" s="173">
        <v>5</v>
      </c>
      <c r="AF295" s="174">
        <v>46357</v>
      </c>
    </row>
    <row r="296" spans="1:32" ht="20" x14ac:dyDescent="0.35">
      <c r="A296" s="162" t="s">
        <v>633</v>
      </c>
      <c r="B296" s="163" t="s">
        <v>913</v>
      </c>
      <c r="C296" s="154"/>
      <c r="D296" s="162" t="s">
        <v>136</v>
      </c>
      <c r="E296" s="164" t="s">
        <v>136</v>
      </c>
      <c r="F296" s="164" t="s">
        <v>913</v>
      </c>
      <c r="G296" s="164" t="s">
        <v>633</v>
      </c>
      <c r="H296" s="165">
        <v>31885</v>
      </c>
      <c r="I296" s="164" t="s">
        <v>20</v>
      </c>
      <c r="J296" s="164" t="s">
        <v>21</v>
      </c>
      <c r="K296" s="165">
        <v>42632</v>
      </c>
      <c r="L296" s="166" t="s">
        <v>132</v>
      </c>
      <c r="M296" s="154"/>
      <c r="N296" s="154"/>
      <c r="O296" s="164" t="s">
        <v>44</v>
      </c>
      <c r="P296" s="164">
        <v>39</v>
      </c>
      <c r="Q296" s="164">
        <v>9</v>
      </c>
      <c r="R296" s="167" t="s">
        <v>876</v>
      </c>
      <c r="S296" s="167" t="s">
        <v>877</v>
      </c>
      <c r="T296" s="162" t="s">
        <v>800</v>
      </c>
      <c r="U296" s="167" t="s">
        <v>840</v>
      </c>
      <c r="X296" s="169">
        <v>45018</v>
      </c>
      <c r="Y296" s="170">
        <v>2.4999999966690001</v>
      </c>
      <c r="Z296" s="170">
        <v>0.41666667000000002</v>
      </c>
      <c r="AA296" s="170">
        <v>0</v>
      </c>
      <c r="AB296" s="170">
        <v>0</v>
      </c>
      <c r="AC296" s="171">
        <v>2.9166666666690002</v>
      </c>
      <c r="AD296" s="172">
        <v>482956.44069999998</v>
      </c>
      <c r="AE296" s="173">
        <v>2.92</v>
      </c>
      <c r="AF296" s="174">
        <v>46357</v>
      </c>
    </row>
    <row r="297" spans="1:32" ht="20" x14ac:dyDescent="0.35">
      <c r="A297" s="162" t="s">
        <v>634</v>
      </c>
      <c r="B297" s="163" t="s">
        <v>914</v>
      </c>
      <c r="C297" s="154"/>
      <c r="D297" s="162" t="s">
        <v>138</v>
      </c>
      <c r="E297" s="164" t="s">
        <v>138</v>
      </c>
      <c r="F297" s="164" t="s">
        <v>914</v>
      </c>
      <c r="G297" s="164" t="s">
        <v>634</v>
      </c>
      <c r="H297" s="165">
        <v>25800</v>
      </c>
      <c r="I297" s="164" t="s">
        <v>20</v>
      </c>
      <c r="J297" s="164" t="s">
        <v>21</v>
      </c>
      <c r="K297" s="165">
        <v>42632</v>
      </c>
      <c r="L297" s="166" t="s">
        <v>132</v>
      </c>
      <c r="M297" s="154"/>
      <c r="N297" s="154"/>
      <c r="O297" s="164" t="s">
        <v>44</v>
      </c>
      <c r="P297" s="164">
        <v>55</v>
      </c>
      <c r="Q297" s="164">
        <v>9</v>
      </c>
      <c r="R297" s="167" t="s">
        <v>876</v>
      </c>
      <c r="S297" s="167" t="s">
        <v>877</v>
      </c>
      <c r="T297" s="162" t="s">
        <v>794</v>
      </c>
      <c r="U297" s="167" t="s">
        <v>795</v>
      </c>
      <c r="V297" s="162" t="s">
        <v>838</v>
      </c>
      <c r="W297" s="168">
        <v>9</v>
      </c>
      <c r="X297" s="169">
        <v>45018</v>
      </c>
      <c r="Y297" s="170">
        <v>20.913333336663001</v>
      </c>
      <c r="Z297" s="170">
        <v>2.0833333299999999</v>
      </c>
      <c r="AA297" s="170">
        <v>0</v>
      </c>
      <c r="AB297" s="170">
        <v>0</v>
      </c>
      <c r="AC297" s="171">
        <v>22.996666666663</v>
      </c>
      <c r="AD297" s="172">
        <v>3850693.59332</v>
      </c>
      <c r="AE297" s="173" t="s">
        <v>797</v>
      </c>
      <c r="AF297" s="173"/>
    </row>
    <row r="298" spans="1:32" ht="20" x14ac:dyDescent="0.35">
      <c r="A298" s="162" t="s">
        <v>634</v>
      </c>
      <c r="B298" s="163" t="s">
        <v>914</v>
      </c>
      <c r="C298" s="154"/>
      <c r="D298" s="162" t="s">
        <v>138</v>
      </c>
      <c r="E298" s="164" t="s">
        <v>138</v>
      </c>
      <c r="F298" s="164" t="s">
        <v>914</v>
      </c>
      <c r="G298" s="164" t="s">
        <v>634</v>
      </c>
      <c r="H298" s="165">
        <v>25800</v>
      </c>
      <c r="I298" s="164" t="s">
        <v>20</v>
      </c>
      <c r="J298" s="164" t="s">
        <v>21</v>
      </c>
      <c r="K298" s="165">
        <v>42632</v>
      </c>
      <c r="L298" s="166" t="s">
        <v>132</v>
      </c>
      <c r="M298" s="154"/>
      <c r="N298" s="154"/>
      <c r="O298" s="164" t="s">
        <v>44</v>
      </c>
      <c r="P298" s="164">
        <v>55</v>
      </c>
      <c r="Q298" s="164">
        <v>9</v>
      </c>
      <c r="R298" s="167" t="s">
        <v>876</v>
      </c>
      <c r="S298" s="167" t="s">
        <v>877</v>
      </c>
      <c r="T298" s="162" t="s">
        <v>798</v>
      </c>
      <c r="U298" s="167" t="s">
        <v>839</v>
      </c>
      <c r="X298" s="169">
        <v>45018</v>
      </c>
      <c r="Y298" s="170">
        <v>180</v>
      </c>
      <c r="Z298" s="170">
        <v>0</v>
      </c>
      <c r="AA298" s="170">
        <v>0</v>
      </c>
      <c r="AB298" s="170">
        <v>0</v>
      </c>
      <c r="AC298" s="171">
        <v>180</v>
      </c>
      <c r="AD298" s="172">
        <v>30140231.053679999</v>
      </c>
      <c r="AE298" s="173">
        <v>180</v>
      </c>
      <c r="AF298" s="174">
        <v>46357</v>
      </c>
    </row>
    <row r="299" spans="1:32" ht="20" x14ac:dyDescent="0.35">
      <c r="A299" s="162" t="s">
        <v>634</v>
      </c>
      <c r="B299" s="163" t="s">
        <v>914</v>
      </c>
      <c r="C299" s="154"/>
      <c r="D299" s="162" t="s">
        <v>138</v>
      </c>
      <c r="E299" s="164" t="s">
        <v>138</v>
      </c>
      <c r="F299" s="164" t="s">
        <v>914</v>
      </c>
      <c r="G299" s="164" t="s">
        <v>634</v>
      </c>
      <c r="H299" s="165">
        <v>25800</v>
      </c>
      <c r="I299" s="164" t="s">
        <v>20</v>
      </c>
      <c r="J299" s="164" t="s">
        <v>21</v>
      </c>
      <c r="K299" s="165">
        <v>42632</v>
      </c>
      <c r="L299" s="166" t="s">
        <v>132</v>
      </c>
      <c r="M299" s="154"/>
      <c r="N299" s="154"/>
      <c r="O299" s="164" t="s">
        <v>44</v>
      </c>
      <c r="P299" s="164">
        <v>55</v>
      </c>
      <c r="Q299" s="164">
        <v>9</v>
      </c>
      <c r="R299" s="167" t="s">
        <v>876</v>
      </c>
      <c r="S299" s="167" t="s">
        <v>877</v>
      </c>
      <c r="T299" s="162" t="s">
        <v>800</v>
      </c>
      <c r="U299" s="167" t="s">
        <v>801</v>
      </c>
      <c r="X299" s="169">
        <v>45018</v>
      </c>
      <c r="Y299" s="170">
        <v>26</v>
      </c>
      <c r="Z299" s="170">
        <v>0</v>
      </c>
      <c r="AA299" s="170">
        <v>0</v>
      </c>
      <c r="AB299" s="170">
        <v>0</v>
      </c>
      <c r="AC299" s="171">
        <v>26</v>
      </c>
      <c r="AD299" s="172">
        <v>4353588.9299799995</v>
      </c>
      <c r="AE299" s="173">
        <v>26</v>
      </c>
      <c r="AF299" s="174">
        <v>46357</v>
      </c>
    </row>
    <row r="300" spans="1:32" ht="20" x14ac:dyDescent="0.35">
      <c r="A300" s="162" t="s">
        <v>634</v>
      </c>
      <c r="B300" s="163" t="s">
        <v>914</v>
      </c>
      <c r="C300" s="154"/>
      <c r="D300" s="162" t="s">
        <v>138</v>
      </c>
      <c r="E300" s="164" t="s">
        <v>138</v>
      </c>
      <c r="F300" s="164" t="s">
        <v>914</v>
      </c>
      <c r="G300" s="164" t="s">
        <v>634</v>
      </c>
      <c r="H300" s="165">
        <v>25800</v>
      </c>
      <c r="I300" s="164" t="s">
        <v>20</v>
      </c>
      <c r="J300" s="164" t="s">
        <v>21</v>
      </c>
      <c r="K300" s="165">
        <v>42632</v>
      </c>
      <c r="L300" s="166" t="s">
        <v>132</v>
      </c>
      <c r="M300" s="154"/>
      <c r="N300" s="154"/>
      <c r="O300" s="164" t="s">
        <v>44</v>
      </c>
      <c r="P300" s="164">
        <v>55</v>
      </c>
      <c r="Q300" s="164">
        <v>9</v>
      </c>
      <c r="R300" s="167" t="s">
        <v>876</v>
      </c>
      <c r="S300" s="167" t="s">
        <v>877</v>
      </c>
      <c r="T300" s="162" t="s">
        <v>800</v>
      </c>
      <c r="U300" s="167" t="s">
        <v>802</v>
      </c>
      <c r="X300" s="169">
        <v>45018</v>
      </c>
      <c r="Y300" s="170">
        <v>98</v>
      </c>
      <c r="Z300" s="170">
        <v>0</v>
      </c>
      <c r="AA300" s="170">
        <v>0</v>
      </c>
      <c r="AB300" s="170">
        <v>0</v>
      </c>
      <c r="AC300" s="171">
        <v>98</v>
      </c>
      <c r="AD300" s="172">
        <v>16409681.35145</v>
      </c>
      <c r="AE300" s="173">
        <v>98</v>
      </c>
      <c r="AF300" s="174">
        <v>46357</v>
      </c>
    </row>
    <row r="301" spans="1:32" ht="20" x14ac:dyDescent="0.35">
      <c r="A301" s="162" t="s">
        <v>634</v>
      </c>
      <c r="B301" s="163" t="s">
        <v>914</v>
      </c>
      <c r="C301" s="154"/>
      <c r="D301" s="162" t="s">
        <v>138</v>
      </c>
      <c r="E301" s="164" t="s">
        <v>138</v>
      </c>
      <c r="F301" s="164" t="s">
        <v>914</v>
      </c>
      <c r="G301" s="164" t="s">
        <v>634</v>
      </c>
      <c r="H301" s="165">
        <v>25800</v>
      </c>
      <c r="I301" s="164" t="s">
        <v>20</v>
      </c>
      <c r="J301" s="164" t="s">
        <v>21</v>
      </c>
      <c r="K301" s="165">
        <v>42632</v>
      </c>
      <c r="L301" s="166" t="s">
        <v>132</v>
      </c>
      <c r="M301" s="154"/>
      <c r="N301" s="154"/>
      <c r="O301" s="164" t="s">
        <v>44</v>
      </c>
      <c r="P301" s="164">
        <v>55</v>
      </c>
      <c r="Q301" s="164">
        <v>9</v>
      </c>
      <c r="R301" s="167" t="s">
        <v>876</v>
      </c>
      <c r="S301" s="167" t="s">
        <v>877</v>
      </c>
      <c r="T301" s="162" t="s">
        <v>800</v>
      </c>
      <c r="U301" s="167" t="s">
        <v>803</v>
      </c>
      <c r="X301" s="169">
        <v>45018</v>
      </c>
      <c r="Y301" s="170">
        <v>2</v>
      </c>
      <c r="Z301" s="170">
        <v>0</v>
      </c>
      <c r="AA301" s="170">
        <v>0</v>
      </c>
      <c r="AB301" s="170">
        <v>0</v>
      </c>
      <c r="AC301" s="171">
        <v>2</v>
      </c>
      <c r="AD301" s="172">
        <v>334891.45614999998</v>
      </c>
      <c r="AE301" s="173">
        <v>2</v>
      </c>
      <c r="AF301" s="174">
        <v>46357</v>
      </c>
    </row>
    <row r="302" spans="1:32" ht="20" x14ac:dyDescent="0.35">
      <c r="A302" s="162" t="s">
        <v>634</v>
      </c>
      <c r="B302" s="163" t="s">
        <v>914</v>
      </c>
      <c r="C302" s="154"/>
      <c r="D302" s="162" t="s">
        <v>138</v>
      </c>
      <c r="E302" s="164" t="s">
        <v>138</v>
      </c>
      <c r="F302" s="164" t="s">
        <v>914</v>
      </c>
      <c r="G302" s="164" t="s">
        <v>634</v>
      </c>
      <c r="H302" s="165">
        <v>25800</v>
      </c>
      <c r="I302" s="164" t="s">
        <v>20</v>
      </c>
      <c r="J302" s="164" t="s">
        <v>21</v>
      </c>
      <c r="K302" s="165">
        <v>42632</v>
      </c>
      <c r="L302" s="166" t="s">
        <v>132</v>
      </c>
      <c r="M302" s="154"/>
      <c r="N302" s="154"/>
      <c r="O302" s="164" t="s">
        <v>44</v>
      </c>
      <c r="P302" s="164">
        <v>55</v>
      </c>
      <c r="Q302" s="164">
        <v>9</v>
      </c>
      <c r="R302" s="167" t="s">
        <v>876</v>
      </c>
      <c r="S302" s="167" t="s">
        <v>877</v>
      </c>
      <c r="T302" s="162" t="s">
        <v>800</v>
      </c>
      <c r="U302" s="167" t="s">
        <v>804</v>
      </c>
      <c r="X302" s="169">
        <v>45018</v>
      </c>
      <c r="Y302" s="170">
        <v>5</v>
      </c>
      <c r="Z302" s="170">
        <v>0</v>
      </c>
      <c r="AA302" s="170">
        <v>0</v>
      </c>
      <c r="AB302" s="170">
        <v>0</v>
      </c>
      <c r="AC302" s="171">
        <v>5</v>
      </c>
      <c r="AD302" s="172">
        <v>837228.64038</v>
      </c>
      <c r="AE302" s="173">
        <v>5</v>
      </c>
      <c r="AF302" s="174">
        <v>46357</v>
      </c>
    </row>
    <row r="303" spans="1:32" ht="20" x14ac:dyDescent="0.35">
      <c r="A303" s="162" t="s">
        <v>634</v>
      </c>
      <c r="B303" s="163" t="s">
        <v>914</v>
      </c>
      <c r="C303" s="154"/>
      <c r="D303" s="162" t="s">
        <v>138</v>
      </c>
      <c r="E303" s="164" t="s">
        <v>138</v>
      </c>
      <c r="F303" s="164" t="s">
        <v>914</v>
      </c>
      <c r="G303" s="164" t="s">
        <v>634</v>
      </c>
      <c r="H303" s="165">
        <v>25800</v>
      </c>
      <c r="I303" s="164" t="s">
        <v>20</v>
      </c>
      <c r="J303" s="164" t="s">
        <v>21</v>
      </c>
      <c r="K303" s="165">
        <v>42632</v>
      </c>
      <c r="L303" s="166" t="s">
        <v>132</v>
      </c>
      <c r="M303" s="154"/>
      <c r="N303" s="154"/>
      <c r="O303" s="164" t="s">
        <v>44</v>
      </c>
      <c r="P303" s="164">
        <v>55</v>
      </c>
      <c r="Q303" s="164">
        <v>9</v>
      </c>
      <c r="R303" s="167" t="s">
        <v>876</v>
      </c>
      <c r="S303" s="167" t="s">
        <v>877</v>
      </c>
      <c r="T303" s="162" t="s">
        <v>800</v>
      </c>
      <c r="U303" s="167" t="s">
        <v>840</v>
      </c>
      <c r="X303" s="169">
        <v>45018</v>
      </c>
      <c r="Y303" s="170">
        <v>2.4999999966690001</v>
      </c>
      <c r="Z303" s="170">
        <v>0.41666667000000002</v>
      </c>
      <c r="AA303" s="170">
        <v>0</v>
      </c>
      <c r="AB303" s="170">
        <v>0</v>
      </c>
      <c r="AC303" s="171">
        <v>2.9166666666690002</v>
      </c>
      <c r="AD303" s="172">
        <v>488383.37355999998</v>
      </c>
      <c r="AE303" s="173">
        <v>2.92</v>
      </c>
      <c r="AF303" s="174">
        <v>46357</v>
      </c>
    </row>
    <row r="304" spans="1:32" ht="20" x14ac:dyDescent="0.35">
      <c r="A304" s="162" t="s">
        <v>619</v>
      </c>
      <c r="B304" s="163" t="s">
        <v>915</v>
      </c>
      <c r="C304" s="154"/>
      <c r="D304" s="162" t="s">
        <v>140</v>
      </c>
      <c r="E304" s="164" t="s">
        <v>140</v>
      </c>
      <c r="F304" s="164" t="s">
        <v>915</v>
      </c>
      <c r="G304" s="164" t="s">
        <v>619</v>
      </c>
      <c r="H304" s="165">
        <v>30284</v>
      </c>
      <c r="I304" s="164" t="s">
        <v>20</v>
      </c>
      <c r="J304" s="164" t="s">
        <v>21</v>
      </c>
      <c r="K304" s="165">
        <v>42632</v>
      </c>
      <c r="L304" s="166" t="s">
        <v>64</v>
      </c>
      <c r="M304" s="154"/>
      <c r="N304" s="154"/>
      <c r="O304" s="164" t="s">
        <v>65</v>
      </c>
      <c r="P304" s="164">
        <v>43</v>
      </c>
      <c r="Q304" s="164">
        <v>9</v>
      </c>
      <c r="R304" s="167" t="s">
        <v>866</v>
      </c>
      <c r="S304" s="167" t="s">
        <v>24</v>
      </c>
      <c r="T304" s="162" t="s">
        <v>794</v>
      </c>
      <c r="U304" s="167" t="s">
        <v>795</v>
      </c>
      <c r="V304" s="162" t="s">
        <v>838</v>
      </c>
      <c r="W304" s="168">
        <v>9</v>
      </c>
      <c r="X304" s="169">
        <v>45018</v>
      </c>
      <c r="Y304" s="170">
        <v>14.913333336662999</v>
      </c>
      <c r="Z304" s="170">
        <v>2.0833333299999999</v>
      </c>
      <c r="AA304" s="170">
        <v>0</v>
      </c>
      <c r="AB304" s="170">
        <v>0</v>
      </c>
      <c r="AC304" s="171">
        <v>16.996666666663</v>
      </c>
      <c r="AD304" s="172">
        <v>3550176.6581000001</v>
      </c>
      <c r="AE304" s="173" t="s">
        <v>797</v>
      </c>
      <c r="AF304" s="173"/>
    </row>
    <row r="305" spans="1:32" x14ac:dyDescent="0.35">
      <c r="A305" s="162" t="s">
        <v>619</v>
      </c>
      <c r="B305" s="163" t="s">
        <v>915</v>
      </c>
      <c r="C305" s="154"/>
      <c r="D305" s="162" t="s">
        <v>140</v>
      </c>
      <c r="E305" s="164" t="s">
        <v>140</v>
      </c>
      <c r="F305" s="164" t="s">
        <v>915</v>
      </c>
      <c r="G305" s="164" t="s">
        <v>619</v>
      </c>
      <c r="H305" s="165">
        <v>30284</v>
      </c>
      <c r="I305" s="164" t="s">
        <v>20</v>
      </c>
      <c r="J305" s="164" t="s">
        <v>21</v>
      </c>
      <c r="K305" s="165">
        <v>42632</v>
      </c>
      <c r="L305" s="166" t="s">
        <v>64</v>
      </c>
      <c r="M305" s="154"/>
      <c r="N305" s="154"/>
      <c r="O305" s="164" t="s">
        <v>65</v>
      </c>
      <c r="P305" s="164">
        <v>43</v>
      </c>
      <c r="Q305" s="164">
        <v>9</v>
      </c>
      <c r="R305" s="167" t="s">
        <v>866</v>
      </c>
      <c r="S305" s="167" t="s">
        <v>24</v>
      </c>
      <c r="T305" s="162" t="s">
        <v>798</v>
      </c>
      <c r="U305" s="167" t="s">
        <v>839</v>
      </c>
      <c r="X305" s="169">
        <v>45018</v>
      </c>
      <c r="Y305" s="170">
        <v>178</v>
      </c>
      <c r="Z305" s="170">
        <v>0</v>
      </c>
      <c r="AA305" s="170">
        <v>-2</v>
      </c>
      <c r="AB305" s="170">
        <v>0</v>
      </c>
      <c r="AC305" s="171">
        <v>176</v>
      </c>
      <c r="AD305" s="172">
        <v>36761978.33845</v>
      </c>
      <c r="AE305" s="173">
        <v>176</v>
      </c>
      <c r="AF305" s="174">
        <v>46357</v>
      </c>
    </row>
    <row r="306" spans="1:32" x14ac:dyDescent="0.35">
      <c r="A306" s="162" t="s">
        <v>619</v>
      </c>
      <c r="B306" s="163" t="s">
        <v>915</v>
      </c>
      <c r="C306" s="154"/>
      <c r="D306" s="162" t="s">
        <v>140</v>
      </c>
      <c r="E306" s="164" t="s">
        <v>140</v>
      </c>
      <c r="F306" s="164" t="s">
        <v>915</v>
      </c>
      <c r="G306" s="164" t="s">
        <v>619</v>
      </c>
      <c r="H306" s="165">
        <v>30284</v>
      </c>
      <c r="I306" s="164" t="s">
        <v>20</v>
      </c>
      <c r="J306" s="164" t="s">
        <v>21</v>
      </c>
      <c r="K306" s="165">
        <v>42632</v>
      </c>
      <c r="L306" s="166" t="s">
        <v>64</v>
      </c>
      <c r="M306" s="154"/>
      <c r="N306" s="154"/>
      <c r="O306" s="164" t="s">
        <v>65</v>
      </c>
      <c r="P306" s="164">
        <v>43</v>
      </c>
      <c r="Q306" s="164">
        <v>9</v>
      </c>
      <c r="R306" s="167" t="s">
        <v>866</v>
      </c>
      <c r="S306" s="167" t="s">
        <v>24</v>
      </c>
      <c r="T306" s="162" t="s">
        <v>800</v>
      </c>
      <c r="U306" s="167" t="s">
        <v>801</v>
      </c>
      <c r="X306" s="169">
        <v>45018</v>
      </c>
      <c r="Y306" s="170">
        <v>26</v>
      </c>
      <c r="Z306" s="170">
        <v>0</v>
      </c>
      <c r="AA306" s="170">
        <v>0</v>
      </c>
      <c r="AB306" s="170">
        <v>0</v>
      </c>
      <c r="AC306" s="171">
        <v>26</v>
      </c>
      <c r="AD306" s="172">
        <v>5430746.7999999998</v>
      </c>
      <c r="AE306" s="173">
        <v>26</v>
      </c>
      <c r="AF306" s="174">
        <v>46357</v>
      </c>
    </row>
    <row r="307" spans="1:32" x14ac:dyDescent="0.35">
      <c r="A307" s="162" t="s">
        <v>619</v>
      </c>
      <c r="B307" s="163" t="s">
        <v>915</v>
      </c>
      <c r="C307" s="154"/>
      <c r="D307" s="162" t="s">
        <v>140</v>
      </c>
      <c r="E307" s="164" t="s">
        <v>140</v>
      </c>
      <c r="F307" s="164" t="s">
        <v>915</v>
      </c>
      <c r="G307" s="164" t="s">
        <v>619</v>
      </c>
      <c r="H307" s="165">
        <v>30284</v>
      </c>
      <c r="I307" s="164" t="s">
        <v>20</v>
      </c>
      <c r="J307" s="164" t="s">
        <v>21</v>
      </c>
      <c r="K307" s="165">
        <v>42632</v>
      </c>
      <c r="L307" s="166" t="s">
        <v>64</v>
      </c>
      <c r="M307" s="154"/>
      <c r="N307" s="154"/>
      <c r="O307" s="164" t="s">
        <v>65</v>
      </c>
      <c r="P307" s="164">
        <v>43</v>
      </c>
      <c r="Q307" s="164">
        <v>9</v>
      </c>
      <c r="R307" s="167" t="s">
        <v>866</v>
      </c>
      <c r="S307" s="167" t="s">
        <v>24</v>
      </c>
      <c r="T307" s="162" t="s">
        <v>800</v>
      </c>
      <c r="U307" s="167" t="s">
        <v>802</v>
      </c>
      <c r="X307" s="169">
        <v>45018</v>
      </c>
      <c r="Y307" s="170">
        <v>98</v>
      </c>
      <c r="Z307" s="170">
        <v>0</v>
      </c>
      <c r="AA307" s="170">
        <v>0</v>
      </c>
      <c r="AB307" s="170">
        <v>0</v>
      </c>
      <c r="AC307" s="171">
        <v>98</v>
      </c>
      <c r="AD307" s="172">
        <v>20469737.938450001</v>
      </c>
      <c r="AE307" s="173">
        <v>98</v>
      </c>
      <c r="AF307" s="174">
        <v>46357</v>
      </c>
    </row>
    <row r="308" spans="1:32" x14ac:dyDescent="0.35">
      <c r="A308" s="162" t="s">
        <v>619</v>
      </c>
      <c r="B308" s="163" t="s">
        <v>915</v>
      </c>
      <c r="C308" s="154"/>
      <c r="D308" s="162" t="s">
        <v>140</v>
      </c>
      <c r="E308" s="164" t="s">
        <v>140</v>
      </c>
      <c r="F308" s="164" t="s">
        <v>915</v>
      </c>
      <c r="G308" s="164" t="s">
        <v>619</v>
      </c>
      <c r="H308" s="165">
        <v>30284</v>
      </c>
      <c r="I308" s="164" t="s">
        <v>20</v>
      </c>
      <c r="J308" s="164" t="s">
        <v>21</v>
      </c>
      <c r="K308" s="165">
        <v>42632</v>
      </c>
      <c r="L308" s="166" t="s">
        <v>64</v>
      </c>
      <c r="M308" s="154"/>
      <c r="N308" s="154"/>
      <c r="O308" s="164" t="s">
        <v>65</v>
      </c>
      <c r="P308" s="164">
        <v>43</v>
      </c>
      <c r="Q308" s="164">
        <v>9</v>
      </c>
      <c r="R308" s="167" t="s">
        <v>866</v>
      </c>
      <c r="S308" s="167" t="s">
        <v>24</v>
      </c>
      <c r="T308" s="162" t="s">
        <v>800</v>
      </c>
      <c r="U308" s="167" t="s">
        <v>803</v>
      </c>
      <c r="X308" s="169">
        <v>45018</v>
      </c>
      <c r="Y308" s="170">
        <v>2</v>
      </c>
      <c r="Z308" s="170">
        <v>0</v>
      </c>
      <c r="AA308" s="170">
        <v>0</v>
      </c>
      <c r="AB308" s="170">
        <v>0</v>
      </c>
      <c r="AC308" s="171">
        <v>2</v>
      </c>
      <c r="AD308" s="172">
        <v>417749.75384999998</v>
      </c>
      <c r="AE308" s="173">
        <v>2</v>
      </c>
      <c r="AF308" s="174">
        <v>46357</v>
      </c>
    </row>
    <row r="309" spans="1:32" x14ac:dyDescent="0.35">
      <c r="A309" s="162" t="s">
        <v>619</v>
      </c>
      <c r="B309" s="163" t="s">
        <v>915</v>
      </c>
      <c r="C309" s="154"/>
      <c r="D309" s="162" t="s">
        <v>140</v>
      </c>
      <c r="E309" s="164" t="s">
        <v>140</v>
      </c>
      <c r="F309" s="164" t="s">
        <v>915</v>
      </c>
      <c r="G309" s="164" t="s">
        <v>619</v>
      </c>
      <c r="H309" s="165">
        <v>30284</v>
      </c>
      <c r="I309" s="164" t="s">
        <v>20</v>
      </c>
      <c r="J309" s="164" t="s">
        <v>21</v>
      </c>
      <c r="K309" s="165">
        <v>42632</v>
      </c>
      <c r="L309" s="166" t="s">
        <v>64</v>
      </c>
      <c r="M309" s="154"/>
      <c r="N309" s="154"/>
      <c r="O309" s="164" t="s">
        <v>65</v>
      </c>
      <c r="P309" s="164">
        <v>43</v>
      </c>
      <c r="Q309" s="164">
        <v>9</v>
      </c>
      <c r="R309" s="167" t="s">
        <v>866</v>
      </c>
      <c r="S309" s="167" t="s">
        <v>24</v>
      </c>
      <c r="T309" s="162" t="s">
        <v>800</v>
      </c>
      <c r="U309" s="167" t="s">
        <v>804</v>
      </c>
      <c r="X309" s="169">
        <v>45018</v>
      </c>
      <c r="Y309" s="170">
        <v>5</v>
      </c>
      <c r="Z309" s="170">
        <v>0</v>
      </c>
      <c r="AA309" s="170">
        <v>0</v>
      </c>
      <c r="AB309" s="170">
        <v>0</v>
      </c>
      <c r="AC309" s="171">
        <v>5</v>
      </c>
      <c r="AD309" s="172">
        <v>1044374.38461</v>
      </c>
      <c r="AE309" s="173">
        <v>5</v>
      </c>
      <c r="AF309" s="174">
        <v>46357</v>
      </c>
    </row>
    <row r="310" spans="1:32" x14ac:dyDescent="0.35">
      <c r="A310" s="162" t="s">
        <v>619</v>
      </c>
      <c r="B310" s="163" t="s">
        <v>915</v>
      </c>
      <c r="C310" s="154"/>
      <c r="D310" s="162" t="s">
        <v>140</v>
      </c>
      <c r="E310" s="164" t="s">
        <v>140</v>
      </c>
      <c r="F310" s="164" t="s">
        <v>915</v>
      </c>
      <c r="G310" s="164" t="s">
        <v>619</v>
      </c>
      <c r="H310" s="165">
        <v>30284</v>
      </c>
      <c r="I310" s="164" t="s">
        <v>20</v>
      </c>
      <c r="J310" s="164" t="s">
        <v>21</v>
      </c>
      <c r="K310" s="165">
        <v>42632</v>
      </c>
      <c r="L310" s="166" t="s">
        <v>64</v>
      </c>
      <c r="M310" s="154"/>
      <c r="N310" s="154"/>
      <c r="O310" s="164" t="s">
        <v>65</v>
      </c>
      <c r="P310" s="164">
        <v>43</v>
      </c>
      <c r="Q310" s="164">
        <v>9</v>
      </c>
      <c r="R310" s="167" t="s">
        <v>866</v>
      </c>
      <c r="S310" s="167" t="s">
        <v>24</v>
      </c>
      <c r="T310" s="162" t="s">
        <v>800</v>
      </c>
      <c r="U310" s="167" t="s">
        <v>840</v>
      </c>
      <c r="X310" s="169">
        <v>45018</v>
      </c>
      <c r="Y310" s="170">
        <v>2.4999999966690001</v>
      </c>
      <c r="Z310" s="170">
        <v>0.41666667000000002</v>
      </c>
      <c r="AA310" s="170">
        <v>0</v>
      </c>
      <c r="AB310" s="170">
        <v>0</v>
      </c>
      <c r="AC310" s="171">
        <v>2.9166666666690002</v>
      </c>
      <c r="AD310" s="172">
        <v>609218.39103000006</v>
      </c>
      <c r="AE310" s="173">
        <v>2.92</v>
      </c>
      <c r="AF310" s="174">
        <v>46357</v>
      </c>
    </row>
    <row r="311" spans="1:32" ht="20" x14ac:dyDescent="0.35">
      <c r="A311" s="162" t="s">
        <v>621</v>
      </c>
      <c r="B311" s="163" t="s">
        <v>916</v>
      </c>
      <c r="C311" s="154"/>
      <c r="D311" s="162" t="s">
        <v>142</v>
      </c>
      <c r="E311" s="164" t="s">
        <v>142</v>
      </c>
      <c r="F311" s="164" t="s">
        <v>916</v>
      </c>
      <c r="G311" s="164" t="s">
        <v>621</v>
      </c>
      <c r="H311" s="165">
        <v>31917</v>
      </c>
      <c r="I311" s="164" t="s">
        <v>20</v>
      </c>
      <c r="J311" s="164" t="s">
        <v>21</v>
      </c>
      <c r="K311" s="165">
        <v>42632</v>
      </c>
      <c r="L311" s="166" t="s">
        <v>144</v>
      </c>
      <c r="M311" s="154"/>
      <c r="N311" s="154"/>
      <c r="O311" s="164" t="s">
        <v>145</v>
      </c>
      <c r="P311" s="164">
        <v>39</v>
      </c>
      <c r="Q311" s="164">
        <v>9</v>
      </c>
      <c r="R311" s="167" t="s">
        <v>866</v>
      </c>
      <c r="S311" s="167" t="s">
        <v>24</v>
      </c>
      <c r="T311" s="162" t="s">
        <v>794</v>
      </c>
      <c r="U311" s="167" t="s">
        <v>795</v>
      </c>
      <c r="V311" s="162" t="s">
        <v>838</v>
      </c>
      <c r="W311" s="168">
        <v>9</v>
      </c>
      <c r="X311" s="169">
        <v>45018</v>
      </c>
      <c r="Y311" s="170">
        <v>24.913333336663001</v>
      </c>
      <c r="Z311" s="170">
        <v>2.0833333299999999</v>
      </c>
      <c r="AA311" s="170">
        <v>-26</v>
      </c>
      <c r="AB311" s="170">
        <v>0</v>
      </c>
      <c r="AC311" s="171">
        <v>0.99666666666299997</v>
      </c>
      <c r="AD311" s="172">
        <v>168460.79060000001</v>
      </c>
      <c r="AE311" s="173" t="s">
        <v>797</v>
      </c>
      <c r="AF311" s="173"/>
    </row>
    <row r="312" spans="1:32" x14ac:dyDescent="0.35">
      <c r="A312" s="162" t="s">
        <v>621</v>
      </c>
      <c r="B312" s="163" t="s">
        <v>916</v>
      </c>
      <c r="C312" s="154"/>
      <c r="D312" s="162" t="s">
        <v>142</v>
      </c>
      <c r="E312" s="164" t="s">
        <v>142</v>
      </c>
      <c r="F312" s="164" t="s">
        <v>916</v>
      </c>
      <c r="G312" s="164" t="s">
        <v>621</v>
      </c>
      <c r="H312" s="165">
        <v>31917</v>
      </c>
      <c r="I312" s="164" t="s">
        <v>20</v>
      </c>
      <c r="J312" s="164" t="s">
        <v>21</v>
      </c>
      <c r="K312" s="165">
        <v>42632</v>
      </c>
      <c r="L312" s="166" t="s">
        <v>144</v>
      </c>
      <c r="M312" s="154"/>
      <c r="N312" s="154"/>
      <c r="O312" s="164" t="s">
        <v>145</v>
      </c>
      <c r="P312" s="164">
        <v>39</v>
      </c>
      <c r="Q312" s="164">
        <v>9</v>
      </c>
      <c r="R312" s="167" t="s">
        <v>866</v>
      </c>
      <c r="S312" s="167" t="s">
        <v>24</v>
      </c>
      <c r="T312" s="162" t="s">
        <v>798</v>
      </c>
      <c r="U312" s="167" t="s">
        <v>839</v>
      </c>
      <c r="X312" s="169">
        <v>45018</v>
      </c>
      <c r="Y312" s="170">
        <v>180</v>
      </c>
      <c r="Z312" s="170">
        <v>0</v>
      </c>
      <c r="AA312" s="170">
        <v>0</v>
      </c>
      <c r="AB312" s="170">
        <v>0</v>
      </c>
      <c r="AC312" s="171">
        <v>180</v>
      </c>
      <c r="AD312" s="172">
        <v>30424356.830699999</v>
      </c>
      <c r="AE312" s="173">
        <v>180</v>
      </c>
      <c r="AF312" s="174">
        <v>46357</v>
      </c>
    </row>
    <row r="313" spans="1:32" x14ac:dyDescent="0.35">
      <c r="A313" s="162" t="s">
        <v>621</v>
      </c>
      <c r="B313" s="163" t="s">
        <v>916</v>
      </c>
      <c r="C313" s="154"/>
      <c r="D313" s="162" t="s">
        <v>142</v>
      </c>
      <c r="E313" s="164" t="s">
        <v>142</v>
      </c>
      <c r="F313" s="164" t="s">
        <v>916</v>
      </c>
      <c r="G313" s="164" t="s">
        <v>621</v>
      </c>
      <c r="H313" s="165">
        <v>31917</v>
      </c>
      <c r="I313" s="164" t="s">
        <v>20</v>
      </c>
      <c r="J313" s="164" t="s">
        <v>21</v>
      </c>
      <c r="K313" s="165">
        <v>42632</v>
      </c>
      <c r="L313" s="166" t="s">
        <v>144</v>
      </c>
      <c r="M313" s="154"/>
      <c r="N313" s="154"/>
      <c r="O313" s="164" t="s">
        <v>145</v>
      </c>
      <c r="P313" s="164">
        <v>39</v>
      </c>
      <c r="Q313" s="164">
        <v>9</v>
      </c>
      <c r="R313" s="167" t="s">
        <v>866</v>
      </c>
      <c r="S313" s="167" t="s">
        <v>24</v>
      </c>
      <c r="T313" s="162" t="s">
        <v>800</v>
      </c>
      <c r="U313" s="167" t="s">
        <v>801</v>
      </c>
      <c r="X313" s="169">
        <v>45018</v>
      </c>
      <c r="Y313" s="170">
        <v>26</v>
      </c>
      <c r="Z313" s="170">
        <v>0</v>
      </c>
      <c r="AA313" s="170">
        <v>0</v>
      </c>
      <c r="AB313" s="170">
        <v>0</v>
      </c>
      <c r="AC313" s="171">
        <v>26</v>
      </c>
      <c r="AD313" s="172">
        <v>4394629.3199899998</v>
      </c>
      <c r="AE313" s="173">
        <v>26</v>
      </c>
      <c r="AF313" s="174">
        <v>46357</v>
      </c>
    </row>
    <row r="314" spans="1:32" x14ac:dyDescent="0.35">
      <c r="A314" s="162" t="s">
        <v>621</v>
      </c>
      <c r="B314" s="163" t="s">
        <v>916</v>
      </c>
      <c r="C314" s="154"/>
      <c r="D314" s="162" t="s">
        <v>142</v>
      </c>
      <c r="E314" s="164" t="s">
        <v>142</v>
      </c>
      <c r="F314" s="164" t="s">
        <v>916</v>
      </c>
      <c r="G314" s="164" t="s">
        <v>621</v>
      </c>
      <c r="H314" s="165">
        <v>31917</v>
      </c>
      <c r="I314" s="164" t="s">
        <v>20</v>
      </c>
      <c r="J314" s="164" t="s">
        <v>21</v>
      </c>
      <c r="K314" s="165">
        <v>42632</v>
      </c>
      <c r="L314" s="166" t="s">
        <v>144</v>
      </c>
      <c r="M314" s="154"/>
      <c r="N314" s="154"/>
      <c r="O314" s="164" t="s">
        <v>145</v>
      </c>
      <c r="P314" s="164">
        <v>39</v>
      </c>
      <c r="Q314" s="164">
        <v>9</v>
      </c>
      <c r="R314" s="167" t="s">
        <v>866</v>
      </c>
      <c r="S314" s="167" t="s">
        <v>24</v>
      </c>
      <c r="T314" s="162" t="s">
        <v>800</v>
      </c>
      <c r="U314" s="167" t="s">
        <v>802</v>
      </c>
      <c r="X314" s="169">
        <v>45018</v>
      </c>
      <c r="Y314" s="170">
        <v>98</v>
      </c>
      <c r="Z314" s="170">
        <v>0</v>
      </c>
      <c r="AA314" s="170">
        <v>0</v>
      </c>
      <c r="AB314" s="170">
        <v>0</v>
      </c>
      <c r="AC314" s="171">
        <v>98</v>
      </c>
      <c r="AD314" s="172">
        <v>16564372.052270001</v>
      </c>
      <c r="AE314" s="173">
        <v>98</v>
      </c>
      <c r="AF314" s="174">
        <v>46357</v>
      </c>
    </row>
    <row r="315" spans="1:32" x14ac:dyDescent="0.35">
      <c r="A315" s="162" t="s">
        <v>621</v>
      </c>
      <c r="B315" s="163" t="s">
        <v>916</v>
      </c>
      <c r="C315" s="154"/>
      <c r="D315" s="162" t="s">
        <v>142</v>
      </c>
      <c r="E315" s="164" t="s">
        <v>142</v>
      </c>
      <c r="F315" s="164" t="s">
        <v>916</v>
      </c>
      <c r="G315" s="164" t="s">
        <v>621</v>
      </c>
      <c r="H315" s="165">
        <v>31917</v>
      </c>
      <c r="I315" s="164" t="s">
        <v>20</v>
      </c>
      <c r="J315" s="164" t="s">
        <v>21</v>
      </c>
      <c r="K315" s="165">
        <v>42632</v>
      </c>
      <c r="L315" s="166" t="s">
        <v>144</v>
      </c>
      <c r="M315" s="154"/>
      <c r="N315" s="154"/>
      <c r="O315" s="164" t="s">
        <v>145</v>
      </c>
      <c r="P315" s="164">
        <v>39</v>
      </c>
      <c r="Q315" s="164">
        <v>9</v>
      </c>
      <c r="R315" s="167" t="s">
        <v>866</v>
      </c>
      <c r="S315" s="167" t="s">
        <v>24</v>
      </c>
      <c r="T315" s="162" t="s">
        <v>800</v>
      </c>
      <c r="U315" s="167" t="s">
        <v>803</v>
      </c>
      <c r="X315" s="169">
        <v>45018</v>
      </c>
      <c r="Y315" s="170">
        <v>2</v>
      </c>
      <c r="Z315" s="170">
        <v>0</v>
      </c>
      <c r="AA315" s="170">
        <v>0</v>
      </c>
      <c r="AB315" s="170">
        <v>0</v>
      </c>
      <c r="AC315" s="171">
        <v>2</v>
      </c>
      <c r="AD315" s="172">
        <v>338048.40922999999</v>
      </c>
      <c r="AE315" s="173">
        <v>2</v>
      </c>
      <c r="AF315" s="174">
        <v>46357</v>
      </c>
    </row>
    <row r="316" spans="1:32" x14ac:dyDescent="0.35">
      <c r="A316" s="162" t="s">
        <v>621</v>
      </c>
      <c r="B316" s="163" t="s">
        <v>916</v>
      </c>
      <c r="C316" s="154"/>
      <c r="D316" s="162" t="s">
        <v>142</v>
      </c>
      <c r="E316" s="164" t="s">
        <v>142</v>
      </c>
      <c r="F316" s="164" t="s">
        <v>916</v>
      </c>
      <c r="G316" s="164" t="s">
        <v>621</v>
      </c>
      <c r="H316" s="165">
        <v>31917</v>
      </c>
      <c r="I316" s="164" t="s">
        <v>20</v>
      </c>
      <c r="J316" s="164" t="s">
        <v>21</v>
      </c>
      <c r="K316" s="165">
        <v>42632</v>
      </c>
      <c r="L316" s="166" t="s">
        <v>144</v>
      </c>
      <c r="M316" s="154"/>
      <c r="N316" s="154"/>
      <c r="O316" s="164" t="s">
        <v>145</v>
      </c>
      <c r="P316" s="164">
        <v>39</v>
      </c>
      <c r="Q316" s="164">
        <v>9</v>
      </c>
      <c r="R316" s="167" t="s">
        <v>866</v>
      </c>
      <c r="S316" s="167" t="s">
        <v>24</v>
      </c>
      <c r="T316" s="162" t="s">
        <v>800</v>
      </c>
      <c r="U316" s="167" t="s">
        <v>804</v>
      </c>
      <c r="X316" s="169">
        <v>45018</v>
      </c>
      <c r="Y316" s="170">
        <v>5</v>
      </c>
      <c r="Z316" s="170">
        <v>0</v>
      </c>
      <c r="AA316" s="170">
        <v>0</v>
      </c>
      <c r="AB316" s="170">
        <v>0</v>
      </c>
      <c r="AC316" s="171">
        <v>5</v>
      </c>
      <c r="AD316" s="172">
        <v>845121.02307</v>
      </c>
      <c r="AE316" s="173">
        <v>5</v>
      </c>
      <c r="AF316" s="174">
        <v>46357</v>
      </c>
    </row>
    <row r="317" spans="1:32" x14ac:dyDescent="0.35">
      <c r="A317" s="162" t="s">
        <v>621</v>
      </c>
      <c r="B317" s="163" t="s">
        <v>916</v>
      </c>
      <c r="C317" s="154"/>
      <c r="D317" s="162" t="s">
        <v>142</v>
      </c>
      <c r="E317" s="164" t="s">
        <v>142</v>
      </c>
      <c r="F317" s="164" t="s">
        <v>916</v>
      </c>
      <c r="G317" s="164" t="s">
        <v>621</v>
      </c>
      <c r="H317" s="165">
        <v>31917</v>
      </c>
      <c r="I317" s="164" t="s">
        <v>20</v>
      </c>
      <c r="J317" s="164" t="s">
        <v>21</v>
      </c>
      <c r="K317" s="165">
        <v>42632</v>
      </c>
      <c r="L317" s="166" t="s">
        <v>144</v>
      </c>
      <c r="M317" s="154"/>
      <c r="N317" s="154"/>
      <c r="O317" s="164" t="s">
        <v>145</v>
      </c>
      <c r="P317" s="164">
        <v>39</v>
      </c>
      <c r="Q317" s="164">
        <v>9</v>
      </c>
      <c r="R317" s="167" t="s">
        <v>866</v>
      </c>
      <c r="S317" s="167" t="s">
        <v>24</v>
      </c>
      <c r="T317" s="162" t="s">
        <v>800</v>
      </c>
      <c r="U317" s="167" t="s">
        <v>840</v>
      </c>
      <c r="X317" s="169">
        <v>45018</v>
      </c>
      <c r="Y317" s="170">
        <v>2.4999999966690001</v>
      </c>
      <c r="Z317" s="170">
        <v>0.41666667000000002</v>
      </c>
      <c r="AA317" s="170">
        <v>0</v>
      </c>
      <c r="AB317" s="170">
        <v>0</v>
      </c>
      <c r="AC317" s="171">
        <v>2.9166666666690002</v>
      </c>
      <c r="AD317" s="172">
        <v>492987.26345999999</v>
      </c>
      <c r="AE317" s="173">
        <v>2.92</v>
      </c>
      <c r="AF317" s="174">
        <v>46357</v>
      </c>
    </row>
    <row r="318" spans="1:32" ht="20" x14ac:dyDescent="0.35">
      <c r="A318" s="162" t="s">
        <v>917</v>
      </c>
      <c r="B318" s="163" t="s">
        <v>918</v>
      </c>
      <c r="C318" s="154"/>
      <c r="D318" s="162" t="s">
        <v>146</v>
      </c>
      <c r="E318" s="164" t="s">
        <v>146</v>
      </c>
      <c r="F318" s="164" t="s">
        <v>918</v>
      </c>
      <c r="G318" s="164" t="s">
        <v>917</v>
      </c>
      <c r="H318" s="165">
        <v>33425</v>
      </c>
      <c r="I318" s="164" t="s">
        <v>20</v>
      </c>
      <c r="J318" s="164" t="s">
        <v>82</v>
      </c>
      <c r="K318" s="165">
        <v>42632</v>
      </c>
      <c r="L318" s="166" t="s">
        <v>148</v>
      </c>
      <c r="M318" s="154"/>
      <c r="N318" s="154"/>
      <c r="O318" s="164" t="s">
        <v>65</v>
      </c>
      <c r="P318" s="164">
        <v>35</v>
      </c>
      <c r="Q318" s="164">
        <v>9</v>
      </c>
      <c r="R318" s="167" t="s">
        <v>919</v>
      </c>
      <c r="S318" s="167" t="s">
        <v>848</v>
      </c>
      <c r="T318" s="162" t="s">
        <v>794</v>
      </c>
      <c r="U318" s="167" t="s">
        <v>795</v>
      </c>
      <c r="V318" s="162" t="s">
        <v>838</v>
      </c>
      <c r="W318" s="168">
        <v>9</v>
      </c>
      <c r="X318" s="169">
        <v>45018</v>
      </c>
      <c r="Y318" s="170">
        <v>33.000000003333</v>
      </c>
      <c r="Z318" s="170">
        <v>2.0833333299999999</v>
      </c>
      <c r="AA318" s="170">
        <v>0</v>
      </c>
      <c r="AB318" s="170">
        <v>2.083333333333</v>
      </c>
      <c r="AC318" s="171">
        <v>33</v>
      </c>
      <c r="AD318" s="172">
        <v>5668460.29959</v>
      </c>
      <c r="AE318" s="173" t="s">
        <v>797</v>
      </c>
      <c r="AF318" s="173"/>
    </row>
    <row r="319" spans="1:32" ht="20" x14ac:dyDescent="0.35">
      <c r="A319" s="162" t="s">
        <v>917</v>
      </c>
      <c r="B319" s="163" t="s">
        <v>918</v>
      </c>
      <c r="C319" s="154"/>
      <c r="D319" s="162" t="s">
        <v>146</v>
      </c>
      <c r="E319" s="164" t="s">
        <v>146</v>
      </c>
      <c r="F319" s="164" t="s">
        <v>918</v>
      </c>
      <c r="G319" s="164" t="s">
        <v>917</v>
      </c>
      <c r="H319" s="165">
        <v>33425</v>
      </c>
      <c r="I319" s="164" t="s">
        <v>20</v>
      </c>
      <c r="J319" s="164" t="s">
        <v>82</v>
      </c>
      <c r="K319" s="165">
        <v>42632</v>
      </c>
      <c r="L319" s="166" t="s">
        <v>148</v>
      </c>
      <c r="M319" s="154"/>
      <c r="N319" s="154"/>
      <c r="O319" s="164" t="s">
        <v>65</v>
      </c>
      <c r="P319" s="164">
        <v>35</v>
      </c>
      <c r="Q319" s="164">
        <v>9</v>
      </c>
      <c r="R319" s="167" t="s">
        <v>919</v>
      </c>
      <c r="S319" s="167" t="s">
        <v>848</v>
      </c>
      <c r="T319" s="162" t="s">
        <v>798</v>
      </c>
      <c r="U319" s="167" t="s">
        <v>839</v>
      </c>
      <c r="X319" s="169">
        <v>45018</v>
      </c>
      <c r="Y319" s="170">
        <v>180</v>
      </c>
      <c r="Z319" s="170">
        <v>0</v>
      </c>
      <c r="AA319" s="170">
        <v>0</v>
      </c>
      <c r="AB319" s="170">
        <v>0</v>
      </c>
      <c r="AC319" s="171">
        <v>180</v>
      </c>
      <c r="AD319" s="172">
        <v>30918874.361400001</v>
      </c>
      <c r="AE319" s="173">
        <v>180</v>
      </c>
      <c r="AF319" s="174">
        <v>46357</v>
      </c>
    </row>
    <row r="320" spans="1:32" ht="20" x14ac:dyDescent="0.35">
      <c r="A320" s="162" t="s">
        <v>917</v>
      </c>
      <c r="B320" s="163" t="s">
        <v>918</v>
      </c>
      <c r="C320" s="154"/>
      <c r="D320" s="162" t="s">
        <v>146</v>
      </c>
      <c r="E320" s="164" t="s">
        <v>146</v>
      </c>
      <c r="F320" s="164" t="s">
        <v>918</v>
      </c>
      <c r="G320" s="164" t="s">
        <v>917</v>
      </c>
      <c r="H320" s="165">
        <v>33425</v>
      </c>
      <c r="I320" s="164" t="s">
        <v>20</v>
      </c>
      <c r="J320" s="164" t="s">
        <v>82</v>
      </c>
      <c r="K320" s="165">
        <v>42632</v>
      </c>
      <c r="L320" s="166" t="s">
        <v>148</v>
      </c>
      <c r="M320" s="154"/>
      <c r="N320" s="154"/>
      <c r="O320" s="164" t="s">
        <v>65</v>
      </c>
      <c r="P320" s="164">
        <v>35</v>
      </c>
      <c r="Q320" s="164">
        <v>9</v>
      </c>
      <c r="R320" s="167" t="s">
        <v>919</v>
      </c>
      <c r="S320" s="167" t="s">
        <v>848</v>
      </c>
      <c r="T320" s="162" t="s">
        <v>800</v>
      </c>
      <c r="U320" s="167" t="s">
        <v>801</v>
      </c>
      <c r="X320" s="169">
        <v>45018</v>
      </c>
      <c r="Y320" s="170">
        <v>26</v>
      </c>
      <c r="Z320" s="170">
        <v>0</v>
      </c>
      <c r="AA320" s="170">
        <v>0</v>
      </c>
      <c r="AB320" s="170">
        <v>0</v>
      </c>
      <c r="AC320" s="171">
        <v>26</v>
      </c>
      <c r="AD320" s="172">
        <v>4466059.6299799997</v>
      </c>
      <c r="AE320" s="173">
        <v>26</v>
      </c>
      <c r="AF320" s="174">
        <v>46357</v>
      </c>
    </row>
    <row r="321" spans="1:32" ht="20" x14ac:dyDescent="0.35">
      <c r="A321" s="162" t="s">
        <v>917</v>
      </c>
      <c r="B321" s="163" t="s">
        <v>918</v>
      </c>
      <c r="C321" s="154"/>
      <c r="D321" s="162" t="s">
        <v>146</v>
      </c>
      <c r="E321" s="164" t="s">
        <v>146</v>
      </c>
      <c r="F321" s="164" t="s">
        <v>918</v>
      </c>
      <c r="G321" s="164" t="s">
        <v>917</v>
      </c>
      <c r="H321" s="165">
        <v>33425</v>
      </c>
      <c r="I321" s="164" t="s">
        <v>20</v>
      </c>
      <c r="J321" s="164" t="s">
        <v>82</v>
      </c>
      <c r="K321" s="165">
        <v>42632</v>
      </c>
      <c r="L321" s="166" t="s">
        <v>148</v>
      </c>
      <c r="M321" s="154"/>
      <c r="N321" s="154"/>
      <c r="O321" s="164" t="s">
        <v>65</v>
      </c>
      <c r="P321" s="164">
        <v>35</v>
      </c>
      <c r="Q321" s="164">
        <v>9</v>
      </c>
      <c r="R321" s="167" t="s">
        <v>919</v>
      </c>
      <c r="S321" s="167" t="s">
        <v>848</v>
      </c>
      <c r="T321" s="162" t="s">
        <v>800</v>
      </c>
      <c r="U321" s="167" t="s">
        <v>802</v>
      </c>
      <c r="X321" s="169">
        <v>45018</v>
      </c>
      <c r="Y321" s="170">
        <v>98</v>
      </c>
      <c r="Z321" s="170">
        <v>0</v>
      </c>
      <c r="AA321" s="170">
        <v>0</v>
      </c>
      <c r="AB321" s="170">
        <v>0</v>
      </c>
      <c r="AC321" s="171">
        <v>98</v>
      </c>
      <c r="AD321" s="172">
        <v>16833609.374540001</v>
      </c>
      <c r="AE321" s="173">
        <v>98</v>
      </c>
      <c r="AF321" s="174">
        <v>46357</v>
      </c>
    </row>
    <row r="322" spans="1:32" ht="20" x14ac:dyDescent="0.35">
      <c r="A322" s="162" t="s">
        <v>917</v>
      </c>
      <c r="B322" s="163" t="s">
        <v>918</v>
      </c>
      <c r="C322" s="154"/>
      <c r="D322" s="162" t="s">
        <v>146</v>
      </c>
      <c r="E322" s="164" t="s">
        <v>146</v>
      </c>
      <c r="F322" s="164" t="s">
        <v>918</v>
      </c>
      <c r="G322" s="164" t="s">
        <v>917</v>
      </c>
      <c r="H322" s="165">
        <v>33425</v>
      </c>
      <c r="I322" s="164" t="s">
        <v>20</v>
      </c>
      <c r="J322" s="164" t="s">
        <v>82</v>
      </c>
      <c r="K322" s="165">
        <v>42632</v>
      </c>
      <c r="L322" s="166" t="s">
        <v>148</v>
      </c>
      <c r="M322" s="154"/>
      <c r="N322" s="154"/>
      <c r="O322" s="164" t="s">
        <v>65</v>
      </c>
      <c r="P322" s="164">
        <v>35</v>
      </c>
      <c r="Q322" s="164">
        <v>9</v>
      </c>
      <c r="R322" s="167" t="s">
        <v>919</v>
      </c>
      <c r="S322" s="167" t="s">
        <v>848</v>
      </c>
      <c r="T322" s="162" t="s">
        <v>800</v>
      </c>
      <c r="U322" s="167" t="s">
        <v>803</v>
      </c>
      <c r="X322" s="169">
        <v>45018</v>
      </c>
      <c r="Y322" s="170">
        <v>2</v>
      </c>
      <c r="Z322" s="170">
        <v>0</v>
      </c>
      <c r="AA322" s="170">
        <v>0</v>
      </c>
      <c r="AB322" s="170">
        <v>0</v>
      </c>
      <c r="AC322" s="171">
        <v>2</v>
      </c>
      <c r="AD322" s="172">
        <v>343543.04846000002</v>
      </c>
      <c r="AE322" s="173">
        <v>2</v>
      </c>
      <c r="AF322" s="174">
        <v>46357</v>
      </c>
    </row>
    <row r="323" spans="1:32" ht="20" x14ac:dyDescent="0.35">
      <c r="A323" s="162" t="s">
        <v>917</v>
      </c>
      <c r="B323" s="163" t="s">
        <v>918</v>
      </c>
      <c r="C323" s="154"/>
      <c r="D323" s="162" t="s">
        <v>146</v>
      </c>
      <c r="E323" s="164" t="s">
        <v>146</v>
      </c>
      <c r="F323" s="164" t="s">
        <v>918</v>
      </c>
      <c r="G323" s="164" t="s">
        <v>917</v>
      </c>
      <c r="H323" s="165">
        <v>33425</v>
      </c>
      <c r="I323" s="164" t="s">
        <v>20</v>
      </c>
      <c r="J323" s="164" t="s">
        <v>82</v>
      </c>
      <c r="K323" s="165">
        <v>42632</v>
      </c>
      <c r="L323" s="166" t="s">
        <v>148</v>
      </c>
      <c r="M323" s="154"/>
      <c r="N323" s="154"/>
      <c r="O323" s="164" t="s">
        <v>65</v>
      </c>
      <c r="P323" s="164">
        <v>35</v>
      </c>
      <c r="Q323" s="164">
        <v>9</v>
      </c>
      <c r="R323" s="167" t="s">
        <v>919</v>
      </c>
      <c r="S323" s="167" t="s">
        <v>848</v>
      </c>
      <c r="T323" s="162" t="s">
        <v>800</v>
      </c>
      <c r="U323" s="167" t="s">
        <v>804</v>
      </c>
      <c r="X323" s="169">
        <v>45018</v>
      </c>
      <c r="Y323" s="170">
        <v>5</v>
      </c>
      <c r="Z323" s="170">
        <v>0</v>
      </c>
      <c r="AA323" s="170">
        <v>0</v>
      </c>
      <c r="AB323" s="170">
        <v>0</v>
      </c>
      <c r="AC323" s="171">
        <v>5</v>
      </c>
      <c r="AD323" s="172">
        <v>858857.62115000002</v>
      </c>
      <c r="AE323" s="173">
        <v>5</v>
      </c>
      <c r="AF323" s="174">
        <v>46357</v>
      </c>
    </row>
    <row r="324" spans="1:32" ht="20" x14ac:dyDescent="0.35">
      <c r="A324" s="162" t="s">
        <v>917</v>
      </c>
      <c r="B324" s="163" t="s">
        <v>918</v>
      </c>
      <c r="C324" s="154"/>
      <c r="D324" s="162" t="s">
        <v>146</v>
      </c>
      <c r="E324" s="164" t="s">
        <v>146</v>
      </c>
      <c r="F324" s="164" t="s">
        <v>918</v>
      </c>
      <c r="G324" s="164" t="s">
        <v>917</v>
      </c>
      <c r="H324" s="165">
        <v>33425</v>
      </c>
      <c r="I324" s="164" t="s">
        <v>20</v>
      </c>
      <c r="J324" s="164" t="s">
        <v>82</v>
      </c>
      <c r="K324" s="165">
        <v>42632</v>
      </c>
      <c r="L324" s="166" t="s">
        <v>148</v>
      </c>
      <c r="M324" s="154"/>
      <c r="N324" s="154"/>
      <c r="O324" s="164" t="s">
        <v>65</v>
      </c>
      <c r="P324" s="164">
        <v>35</v>
      </c>
      <c r="Q324" s="164">
        <v>9</v>
      </c>
      <c r="R324" s="167" t="s">
        <v>919</v>
      </c>
      <c r="S324" s="167" t="s">
        <v>848</v>
      </c>
      <c r="T324" s="162" t="s">
        <v>800</v>
      </c>
      <c r="U324" s="167" t="s">
        <v>840</v>
      </c>
      <c r="X324" s="169">
        <v>45018</v>
      </c>
      <c r="Y324" s="170">
        <v>2.4999999966690001</v>
      </c>
      <c r="Z324" s="170">
        <v>0.41666667000000002</v>
      </c>
      <c r="AA324" s="170">
        <v>0</v>
      </c>
      <c r="AB324" s="170">
        <v>0</v>
      </c>
      <c r="AC324" s="171">
        <v>2.9166666666690002</v>
      </c>
      <c r="AD324" s="172">
        <v>501000.27899999998</v>
      </c>
      <c r="AE324" s="173">
        <v>2.92</v>
      </c>
      <c r="AF324" s="174">
        <v>46357</v>
      </c>
    </row>
    <row r="325" spans="1:32" ht="20" x14ac:dyDescent="0.35">
      <c r="A325" s="162" t="s">
        <v>920</v>
      </c>
      <c r="B325" s="163" t="s">
        <v>921</v>
      </c>
      <c r="C325" s="154"/>
      <c r="D325" s="162" t="s">
        <v>150</v>
      </c>
      <c r="E325" s="164" t="s">
        <v>150</v>
      </c>
      <c r="F325" s="164" t="s">
        <v>921</v>
      </c>
      <c r="G325" s="164" t="s">
        <v>920</v>
      </c>
      <c r="H325" s="165">
        <v>32582</v>
      </c>
      <c r="I325" s="164" t="s">
        <v>20</v>
      </c>
      <c r="J325" s="164" t="s">
        <v>21</v>
      </c>
      <c r="K325" s="165">
        <v>42632</v>
      </c>
      <c r="L325" s="166" t="s">
        <v>144</v>
      </c>
      <c r="M325" s="154"/>
      <c r="N325" s="154"/>
      <c r="O325" s="164" t="s">
        <v>145</v>
      </c>
      <c r="P325" s="164">
        <v>37</v>
      </c>
      <c r="Q325" s="164">
        <v>9</v>
      </c>
      <c r="R325" s="167" t="s">
        <v>873</v>
      </c>
      <c r="S325" s="167" t="s">
        <v>24</v>
      </c>
      <c r="T325" s="162" t="s">
        <v>794</v>
      </c>
      <c r="U325" s="167" t="s">
        <v>795</v>
      </c>
      <c r="V325" s="162" t="s">
        <v>838</v>
      </c>
      <c r="W325" s="168">
        <v>9</v>
      </c>
      <c r="X325" s="169">
        <v>45383</v>
      </c>
      <c r="Y325" s="170">
        <v>5.8333333366630002</v>
      </c>
      <c r="Z325" s="170">
        <v>2.0833333299999999</v>
      </c>
      <c r="AA325" s="170">
        <v>0</v>
      </c>
      <c r="AB325" s="170">
        <v>0</v>
      </c>
      <c r="AC325" s="171">
        <v>7.9166666666629997</v>
      </c>
      <c r="AD325" s="172">
        <v>936157.76618000004</v>
      </c>
      <c r="AE325" s="173" t="s">
        <v>797</v>
      </c>
      <c r="AF325" s="173"/>
    </row>
    <row r="326" spans="1:32" x14ac:dyDescent="0.35">
      <c r="A326" s="162" t="s">
        <v>920</v>
      </c>
      <c r="B326" s="163" t="s">
        <v>921</v>
      </c>
      <c r="C326" s="154"/>
      <c r="D326" s="162" t="s">
        <v>150</v>
      </c>
      <c r="E326" s="164" t="s">
        <v>150</v>
      </c>
      <c r="F326" s="164" t="s">
        <v>921</v>
      </c>
      <c r="G326" s="164" t="s">
        <v>920</v>
      </c>
      <c r="H326" s="165">
        <v>32582</v>
      </c>
      <c r="I326" s="164" t="s">
        <v>20</v>
      </c>
      <c r="J326" s="164" t="s">
        <v>21</v>
      </c>
      <c r="K326" s="165">
        <v>42632</v>
      </c>
      <c r="L326" s="166" t="s">
        <v>144</v>
      </c>
      <c r="M326" s="154"/>
      <c r="N326" s="154"/>
      <c r="O326" s="164" t="s">
        <v>145</v>
      </c>
      <c r="P326" s="164">
        <v>37</v>
      </c>
      <c r="Q326" s="164">
        <v>9</v>
      </c>
      <c r="R326" s="167" t="s">
        <v>873</v>
      </c>
      <c r="S326" s="167" t="s">
        <v>24</v>
      </c>
      <c r="T326" s="162" t="s">
        <v>798</v>
      </c>
      <c r="U326" s="167" t="s">
        <v>839</v>
      </c>
      <c r="X326" s="169">
        <v>45383</v>
      </c>
      <c r="Y326" s="170">
        <v>180</v>
      </c>
      <c r="Z326" s="170">
        <v>0</v>
      </c>
      <c r="AA326" s="170">
        <v>0</v>
      </c>
      <c r="AB326" s="170">
        <v>0</v>
      </c>
      <c r="AC326" s="171">
        <v>180</v>
      </c>
      <c r="AD326" s="172">
        <v>21285271.315260001</v>
      </c>
      <c r="AE326" s="173">
        <v>180</v>
      </c>
      <c r="AF326" s="174">
        <v>46357</v>
      </c>
    </row>
    <row r="327" spans="1:32" x14ac:dyDescent="0.35">
      <c r="A327" s="162" t="s">
        <v>920</v>
      </c>
      <c r="B327" s="163" t="s">
        <v>921</v>
      </c>
      <c r="C327" s="154"/>
      <c r="D327" s="162" t="s">
        <v>150</v>
      </c>
      <c r="E327" s="164" t="s">
        <v>150</v>
      </c>
      <c r="F327" s="164" t="s">
        <v>921</v>
      </c>
      <c r="G327" s="164" t="s">
        <v>920</v>
      </c>
      <c r="H327" s="165">
        <v>32582</v>
      </c>
      <c r="I327" s="164" t="s">
        <v>20</v>
      </c>
      <c r="J327" s="164" t="s">
        <v>21</v>
      </c>
      <c r="K327" s="165">
        <v>42632</v>
      </c>
      <c r="L327" s="166" t="s">
        <v>144</v>
      </c>
      <c r="M327" s="154"/>
      <c r="N327" s="154"/>
      <c r="O327" s="164" t="s">
        <v>145</v>
      </c>
      <c r="P327" s="164">
        <v>37</v>
      </c>
      <c r="Q327" s="164">
        <v>9</v>
      </c>
      <c r="R327" s="167" t="s">
        <v>873</v>
      </c>
      <c r="S327" s="167" t="s">
        <v>24</v>
      </c>
      <c r="T327" s="162" t="s">
        <v>800</v>
      </c>
      <c r="U327" s="167" t="s">
        <v>801</v>
      </c>
      <c r="X327" s="169">
        <v>45383</v>
      </c>
      <c r="Y327" s="170">
        <v>26</v>
      </c>
      <c r="Z327" s="170">
        <v>0</v>
      </c>
      <c r="AA327" s="170">
        <v>0</v>
      </c>
      <c r="AB327" s="170">
        <v>0</v>
      </c>
      <c r="AC327" s="171">
        <v>26</v>
      </c>
      <c r="AD327" s="172">
        <v>3074539.1899799998</v>
      </c>
      <c r="AE327" s="173">
        <v>26</v>
      </c>
      <c r="AF327" s="174">
        <v>46357</v>
      </c>
    </row>
    <row r="328" spans="1:32" x14ac:dyDescent="0.35">
      <c r="A328" s="162" t="s">
        <v>920</v>
      </c>
      <c r="B328" s="163" t="s">
        <v>921</v>
      </c>
      <c r="C328" s="154"/>
      <c r="D328" s="162" t="s">
        <v>150</v>
      </c>
      <c r="E328" s="164" t="s">
        <v>150</v>
      </c>
      <c r="F328" s="164" t="s">
        <v>921</v>
      </c>
      <c r="G328" s="164" t="s">
        <v>920</v>
      </c>
      <c r="H328" s="165">
        <v>32582</v>
      </c>
      <c r="I328" s="164" t="s">
        <v>20</v>
      </c>
      <c r="J328" s="164" t="s">
        <v>21</v>
      </c>
      <c r="K328" s="165">
        <v>42632</v>
      </c>
      <c r="L328" s="166" t="s">
        <v>144</v>
      </c>
      <c r="M328" s="154"/>
      <c r="N328" s="154"/>
      <c r="O328" s="164" t="s">
        <v>145</v>
      </c>
      <c r="P328" s="164">
        <v>37</v>
      </c>
      <c r="Q328" s="164">
        <v>9</v>
      </c>
      <c r="R328" s="167" t="s">
        <v>873</v>
      </c>
      <c r="S328" s="167" t="s">
        <v>24</v>
      </c>
      <c r="T328" s="162" t="s">
        <v>800</v>
      </c>
      <c r="U328" s="167" t="s">
        <v>802</v>
      </c>
      <c r="X328" s="169">
        <v>45383</v>
      </c>
      <c r="Y328" s="170">
        <v>98</v>
      </c>
      <c r="Z328" s="170">
        <v>0</v>
      </c>
      <c r="AA328" s="170">
        <v>0</v>
      </c>
      <c r="AB328" s="170">
        <v>0</v>
      </c>
      <c r="AC328" s="171">
        <v>98</v>
      </c>
      <c r="AD328" s="172">
        <v>11588647.716089999</v>
      </c>
      <c r="AE328" s="173">
        <v>98</v>
      </c>
      <c r="AF328" s="174">
        <v>46357</v>
      </c>
    </row>
    <row r="329" spans="1:32" x14ac:dyDescent="0.35">
      <c r="A329" s="162" t="s">
        <v>920</v>
      </c>
      <c r="B329" s="163" t="s">
        <v>921</v>
      </c>
      <c r="C329" s="154"/>
      <c r="D329" s="162" t="s">
        <v>150</v>
      </c>
      <c r="E329" s="164" t="s">
        <v>150</v>
      </c>
      <c r="F329" s="164" t="s">
        <v>921</v>
      </c>
      <c r="G329" s="164" t="s">
        <v>920</v>
      </c>
      <c r="H329" s="165">
        <v>32582</v>
      </c>
      <c r="I329" s="164" t="s">
        <v>20</v>
      </c>
      <c r="J329" s="164" t="s">
        <v>21</v>
      </c>
      <c r="K329" s="165">
        <v>42632</v>
      </c>
      <c r="L329" s="166" t="s">
        <v>144</v>
      </c>
      <c r="M329" s="154"/>
      <c r="N329" s="154"/>
      <c r="O329" s="164" t="s">
        <v>145</v>
      </c>
      <c r="P329" s="164">
        <v>37</v>
      </c>
      <c r="Q329" s="164">
        <v>9</v>
      </c>
      <c r="R329" s="167" t="s">
        <v>873</v>
      </c>
      <c r="S329" s="167" t="s">
        <v>24</v>
      </c>
      <c r="T329" s="162" t="s">
        <v>800</v>
      </c>
      <c r="U329" s="167" t="s">
        <v>803</v>
      </c>
      <c r="X329" s="169">
        <v>45383</v>
      </c>
      <c r="Y329" s="170">
        <v>2</v>
      </c>
      <c r="Z329" s="170">
        <v>0</v>
      </c>
      <c r="AA329" s="170">
        <v>0</v>
      </c>
      <c r="AB329" s="170">
        <v>0</v>
      </c>
      <c r="AC329" s="171">
        <v>2</v>
      </c>
      <c r="AD329" s="172">
        <v>236503.01461000001</v>
      </c>
      <c r="AE329" s="173">
        <v>2</v>
      </c>
      <c r="AF329" s="174">
        <v>46357</v>
      </c>
    </row>
    <row r="330" spans="1:32" x14ac:dyDescent="0.35">
      <c r="A330" s="162" t="s">
        <v>920</v>
      </c>
      <c r="B330" s="163" t="s">
        <v>921</v>
      </c>
      <c r="C330" s="154"/>
      <c r="D330" s="162" t="s">
        <v>150</v>
      </c>
      <c r="E330" s="164" t="s">
        <v>150</v>
      </c>
      <c r="F330" s="164" t="s">
        <v>921</v>
      </c>
      <c r="G330" s="164" t="s">
        <v>920</v>
      </c>
      <c r="H330" s="165">
        <v>32582</v>
      </c>
      <c r="I330" s="164" t="s">
        <v>20</v>
      </c>
      <c r="J330" s="164" t="s">
        <v>21</v>
      </c>
      <c r="K330" s="165">
        <v>42632</v>
      </c>
      <c r="L330" s="166" t="s">
        <v>144</v>
      </c>
      <c r="M330" s="154"/>
      <c r="N330" s="154"/>
      <c r="O330" s="164" t="s">
        <v>145</v>
      </c>
      <c r="P330" s="164">
        <v>37</v>
      </c>
      <c r="Q330" s="164">
        <v>9</v>
      </c>
      <c r="R330" s="167" t="s">
        <v>873</v>
      </c>
      <c r="S330" s="167" t="s">
        <v>24</v>
      </c>
      <c r="T330" s="162" t="s">
        <v>800</v>
      </c>
      <c r="U330" s="167" t="s">
        <v>804</v>
      </c>
      <c r="X330" s="169">
        <v>45383</v>
      </c>
      <c r="Y330" s="170">
        <v>5</v>
      </c>
      <c r="Z330" s="170">
        <v>0</v>
      </c>
      <c r="AA330" s="170">
        <v>0</v>
      </c>
      <c r="AB330" s="170">
        <v>0</v>
      </c>
      <c r="AC330" s="171">
        <v>5</v>
      </c>
      <c r="AD330" s="172">
        <v>591257.53654</v>
      </c>
      <c r="AE330" s="173">
        <v>5</v>
      </c>
      <c r="AF330" s="174">
        <v>46357</v>
      </c>
    </row>
    <row r="331" spans="1:32" x14ac:dyDescent="0.35">
      <c r="A331" s="162" t="s">
        <v>920</v>
      </c>
      <c r="B331" s="163" t="s">
        <v>921</v>
      </c>
      <c r="C331" s="154"/>
      <c r="D331" s="162" t="s">
        <v>150</v>
      </c>
      <c r="E331" s="164" t="s">
        <v>150</v>
      </c>
      <c r="F331" s="164" t="s">
        <v>921</v>
      </c>
      <c r="G331" s="164" t="s">
        <v>920</v>
      </c>
      <c r="H331" s="165">
        <v>32582</v>
      </c>
      <c r="I331" s="164" t="s">
        <v>20</v>
      </c>
      <c r="J331" s="164" t="s">
        <v>21</v>
      </c>
      <c r="K331" s="165">
        <v>42632</v>
      </c>
      <c r="L331" s="166" t="s">
        <v>144</v>
      </c>
      <c r="M331" s="154"/>
      <c r="N331" s="154"/>
      <c r="O331" s="164" t="s">
        <v>145</v>
      </c>
      <c r="P331" s="164">
        <v>37</v>
      </c>
      <c r="Q331" s="164">
        <v>9</v>
      </c>
      <c r="R331" s="167" t="s">
        <v>873</v>
      </c>
      <c r="S331" s="167" t="s">
        <v>24</v>
      </c>
      <c r="T331" s="162" t="s">
        <v>800</v>
      </c>
      <c r="U331" s="167" t="s">
        <v>840</v>
      </c>
      <c r="X331" s="169">
        <v>45383</v>
      </c>
      <c r="Y331" s="170">
        <v>2.4999999966690001</v>
      </c>
      <c r="Z331" s="170">
        <v>0.41666667000000002</v>
      </c>
      <c r="AA331" s="170">
        <v>0</v>
      </c>
      <c r="AB331" s="170">
        <v>0</v>
      </c>
      <c r="AC331" s="171">
        <v>2.9166666666690002</v>
      </c>
      <c r="AD331" s="172">
        <v>344900.22964999999</v>
      </c>
      <c r="AE331" s="173">
        <v>2.92</v>
      </c>
      <c r="AF331" s="174">
        <v>46357</v>
      </c>
    </row>
    <row r="332" spans="1:32" ht="20" x14ac:dyDescent="0.35">
      <c r="A332" s="162" t="s">
        <v>614</v>
      </c>
      <c r="B332" s="163" t="s">
        <v>922</v>
      </c>
      <c r="C332" s="154"/>
      <c r="D332" s="162" t="s">
        <v>152</v>
      </c>
      <c r="E332" s="164" t="s">
        <v>152</v>
      </c>
      <c r="F332" s="164" t="s">
        <v>922</v>
      </c>
      <c r="G332" s="164" t="s">
        <v>614</v>
      </c>
      <c r="H332" s="165">
        <v>27917</v>
      </c>
      <c r="I332" s="164" t="s">
        <v>20</v>
      </c>
      <c r="J332" s="164" t="s">
        <v>21</v>
      </c>
      <c r="K332" s="165">
        <v>42632</v>
      </c>
      <c r="L332" s="166" t="s">
        <v>128</v>
      </c>
      <c r="M332" s="154"/>
      <c r="N332" s="154"/>
      <c r="O332" s="164" t="s">
        <v>35</v>
      </c>
      <c r="P332" s="164">
        <v>50</v>
      </c>
      <c r="Q332" s="164">
        <v>9</v>
      </c>
      <c r="R332" s="167" t="s">
        <v>923</v>
      </c>
      <c r="S332" s="167" t="s">
        <v>24</v>
      </c>
      <c r="T332" s="162" t="s">
        <v>794</v>
      </c>
      <c r="U332" s="167" t="s">
        <v>819</v>
      </c>
      <c r="V332" s="162" t="s">
        <v>834</v>
      </c>
      <c r="W332" s="168">
        <v>9</v>
      </c>
      <c r="X332" s="169">
        <v>45018</v>
      </c>
      <c r="Y332" s="170">
        <v>16.413333329994</v>
      </c>
      <c r="Z332" s="170">
        <v>1.9166666699999999</v>
      </c>
      <c r="AA332" s="170">
        <v>0</v>
      </c>
      <c r="AB332" s="170">
        <v>0</v>
      </c>
      <c r="AC332" s="171">
        <v>18.329999999994001</v>
      </c>
      <c r="AD332" s="172">
        <v>1322947.77734</v>
      </c>
      <c r="AE332" s="173" t="s">
        <v>797</v>
      </c>
      <c r="AF332" s="173"/>
    </row>
    <row r="333" spans="1:32" x14ac:dyDescent="0.35">
      <c r="A333" s="162" t="s">
        <v>614</v>
      </c>
      <c r="B333" s="163" t="s">
        <v>922</v>
      </c>
      <c r="C333" s="154"/>
      <c r="D333" s="162" t="s">
        <v>152</v>
      </c>
      <c r="E333" s="164" t="s">
        <v>152</v>
      </c>
      <c r="F333" s="164" t="s">
        <v>922</v>
      </c>
      <c r="G333" s="164" t="s">
        <v>614</v>
      </c>
      <c r="H333" s="165">
        <v>27917</v>
      </c>
      <c r="I333" s="164" t="s">
        <v>20</v>
      </c>
      <c r="J333" s="164" t="s">
        <v>21</v>
      </c>
      <c r="K333" s="165">
        <v>42632</v>
      </c>
      <c r="L333" s="166" t="s">
        <v>128</v>
      </c>
      <c r="M333" s="154"/>
      <c r="N333" s="154"/>
      <c r="O333" s="164" t="s">
        <v>35</v>
      </c>
      <c r="P333" s="164">
        <v>50</v>
      </c>
      <c r="Q333" s="164">
        <v>9</v>
      </c>
      <c r="R333" s="167" t="s">
        <v>923</v>
      </c>
      <c r="S333" s="167" t="s">
        <v>24</v>
      </c>
      <c r="T333" s="162" t="s">
        <v>798</v>
      </c>
      <c r="U333" s="167" t="s">
        <v>799</v>
      </c>
      <c r="X333" s="169">
        <v>45018</v>
      </c>
      <c r="Y333" s="170">
        <v>180</v>
      </c>
      <c r="Z333" s="170">
        <v>0</v>
      </c>
      <c r="AA333" s="170">
        <v>0</v>
      </c>
      <c r="AB333" s="170">
        <v>0</v>
      </c>
      <c r="AC333" s="171">
        <v>180</v>
      </c>
      <c r="AD333" s="172">
        <v>12991303.86912</v>
      </c>
      <c r="AE333" s="173">
        <v>180</v>
      </c>
      <c r="AF333" s="174">
        <v>46357</v>
      </c>
    </row>
    <row r="334" spans="1:32" x14ac:dyDescent="0.35">
      <c r="A334" s="162" t="s">
        <v>614</v>
      </c>
      <c r="B334" s="163" t="s">
        <v>922</v>
      </c>
      <c r="C334" s="154"/>
      <c r="D334" s="162" t="s">
        <v>152</v>
      </c>
      <c r="E334" s="164" t="s">
        <v>152</v>
      </c>
      <c r="F334" s="164" t="s">
        <v>922</v>
      </c>
      <c r="G334" s="164" t="s">
        <v>614</v>
      </c>
      <c r="H334" s="165">
        <v>27917</v>
      </c>
      <c r="I334" s="164" t="s">
        <v>20</v>
      </c>
      <c r="J334" s="164" t="s">
        <v>21</v>
      </c>
      <c r="K334" s="165">
        <v>42632</v>
      </c>
      <c r="L334" s="166" t="s">
        <v>128</v>
      </c>
      <c r="M334" s="154"/>
      <c r="N334" s="154"/>
      <c r="O334" s="164" t="s">
        <v>35</v>
      </c>
      <c r="P334" s="164">
        <v>50</v>
      </c>
      <c r="Q334" s="164">
        <v>9</v>
      </c>
      <c r="R334" s="167" t="s">
        <v>923</v>
      </c>
      <c r="S334" s="167" t="s">
        <v>24</v>
      </c>
      <c r="T334" s="162" t="s">
        <v>800</v>
      </c>
      <c r="U334" s="167" t="s">
        <v>801</v>
      </c>
      <c r="X334" s="169">
        <v>45018</v>
      </c>
      <c r="Y334" s="170">
        <v>26</v>
      </c>
      <c r="Z334" s="170">
        <v>0</v>
      </c>
      <c r="AA334" s="170">
        <v>0</v>
      </c>
      <c r="AB334" s="170">
        <v>0</v>
      </c>
      <c r="AC334" s="171">
        <v>26</v>
      </c>
      <c r="AD334" s="172">
        <v>1876521.66998</v>
      </c>
      <c r="AE334" s="173">
        <v>26</v>
      </c>
      <c r="AF334" s="174">
        <v>46357</v>
      </c>
    </row>
    <row r="335" spans="1:32" x14ac:dyDescent="0.35">
      <c r="A335" s="162" t="s">
        <v>614</v>
      </c>
      <c r="B335" s="163" t="s">
        <v>922</v>
      </c>
      <c r="C335" s="154"/>
      <c r="D335" s="162" t="s">
        <v>152</v>
      </c>
      <c r="E335" s="164" t="s">
        <v>152</v>
      </c>
      <c r="F335" s="164" t="s">
        <v>922</v>
      </c>
      <c r="G335" s="164" t="s">
        <v>614</v>
      </c>
      <c r="H335" s="165">
        <v>27917</v>
      </c>
      <c r="I335" s="164" t="s">
        <v>20</v>
      </c>
      <c r="J335" s="164" t="s">
        <v>21</v>
      </c>
      <c r="K335" s="165">
        <v>42632</v>
      </c>
      <c r="L335" s="166" t="s">
        <v>128</v>
      </c>
      <c r="M335" s="154"/>
      <c r="N335" s="154"/>
      <c r="O335" s="164" t="s">
        <v>35</v>
      </c>
      <c r="P335" s="164">
        <v>50</v>
      </c>
      <c r="Q335" s="164">
        <v>9</v>
      </c>
      <c r="R335" s="167" t="s">
        <v>923</v>
      </c>
      <c r="S335" s="167" t="s">
        <v>24</v>
      </c>
      <c r="T335" s="162" t="s">
        <v>800</v>
      </c>
      <c r="U335" s="167" t="s">
        <v>802</v>
      </c>
      <c r="X335" s="169">
        <v>45018</v>
      </c>
      <c r="Y335" s="170">
        <v>98</v>
      </c>
      <c r="Z335" s="170">
        <v>0</v>
      </c>
      <c r="AA335" s="170">
        <v>0</v>
      </c>
      <c r="AB335" s="170">
        <v>0</v>
      </c>
      <c r="AC335" s="171">
        <v>98</v>
      </c>
      <c r="AD335" s="172">
        <v>7073043.2176299999</v>
      </c>
      <c r="AE335" s="173">
        <v>98</v>
      </c>
      <c r="AF335" s="174">
        <v>46357</v>
      </c>
    </row>
    <row r="336" spans="1:32" x14ac:dyDescent="0.35">
      <c r="A336" s="162" t="s">
        <v>614</v>
      </c>
      <c r="B336" s="163" t="s">
        <v>922</v>
      </c>
      <c r="C336" s="154"/>
      <c r="D336" s="162" t="s">
        <v>152</v>
      </c>
      <c r="E336" s="164" t="s">
        <v>152</v>
      </c>
      <c r="F336" s="164" t="s">
        <v>922</v>
      </c>
      <c r="G336" s="164" t="s">
        <v>614</v>
      </c>
      <c r="H336" s="165">
        <v>27917</v>
      </c>
      <c r="I336" s="164" t="s">
        <v>20</v>
      </c>
      <c r="J336" s="164" t="s">
        <v>21</v>
      </c>
      <c r="K336" s="165">
        <v>42632</v>
      </c>
      <c r="L336" s="166" t="s">
        <v>128</v>
      </c>
      <c r="M336" s="154"/>
      <c r="N336" s="154"/>
      <c r="O336" s="164" t="s">
        <v>35</v>
      </c>
      <c r="P336" s="164">
        <v>50</v>
      </c>
      <c r="Q336" s="164">
        <v>9</v>
      </c>
      <c r="R336" s="167" t="s">
        <v>923</v>
      </c>
      <c r="S336" s="167" t="s">
        <v>24</v>
      </c>
      <c r="T336" s="162" t="s">
        <v>800</v>
      </c>
      <c r="U336" s="167" t="s">
        <v>803</v>
      </c>
      <c r="X336" s="169">
        <v>45018</v>
      </c>
      <c r="Y336" s="170">
        <v>2</v>
      </c>
      <c r="Z336" s="170">
        <v>0</v>
      </c>
      <c r="AA336" s="170">
        <v>0</v>
      </c>
      <c r="AB336" s="170">
        <v>0</v>
      </c>
      <c r="AC336" s="171">
        <v>2</v>
      </c>
      <c r="AD336" s="172">
        <v>144347.82076999999</v>
      </c>
      <c r="AE336" s="173">
        <v>2</v>
      </c>
      <c r="AF336" s="174">
        <v>46357</v>
      </c>
    </row>
    <row r="337" spans="1:32" x14ac:dyDescent="0.35">
      <c r="A337" s="162" t="s">
        <v>614</v>
      </c>
      <c r="B337" s="163" t="s">
        <v>922</v>
      </c>
      <c r="C337" s="154"/>
      <c r="D337" s="162" t="s">
        <v>152</v>
      </c>
      <c r="E337" s="164" t="s">
        <v>152</v>
      </c>
      <c r="F337" s="164" t="s">
        <v>922</v>
      </c>
      <c r="G337" s="164" t="s">
        <v>614</v>
      </c>
      <c r="H337" s="165">
        <v>27917</v>
      </c>
      <c r="I337" s="164" t="s">
        <v>20</v>
      </c>
      <c r="J337" s="164" t="s">
        <v>21</v>
      </c>
      <c r="K337" s="165">
        <v>42632</v>
      </c>
      <c r="L337" s="166" t="s">
        <v>128</v>
      </c>
      <c r="M337" s="154"/>
      <c r="N337" s="154"/>
      <c r="O337" s="164" t="s">
        <v>35</v>
      </c>
      <c r="P337" s="164">
        <v>50</v>
      </c>
      <c r="Q337" s="164">
        <v>9</v>
      </c>
      <c r="R337" s="167" t="s">
        <v>923</v>
      </c>
      <c r="S337" s="167" t="s">
        <v>24</v>
      </c>
      <c r="T337" s="162" t="s">
        <v>800</v>
      </c>
      <c r="U337" s="167" t="s">
        <v>804</v>
      </c>
      <c r="X337" s="169">
        <v>45018</v>
      </c>
      <c r="Y337" s="170">
        <v>5</v>
      </c>
      <c r="Z337" s="170">
        <v>0</v>
      </c>
      <c r="AA337" s="170">
        <v>0</v>
      </c>
      <c r="AB337" s="170">
        <v>0</v>
      </c>
      <c r="AC337" s="171">
        <v>5</v>
      </c>
      <c r="AD337" s="172">
        <v>360869.55192</v>
      </c>
      <c r="AE337" s="173">
        <v>5</v>
      </c>
      <c r="AF337" s="174">
        <v>46357</v>
      </c>
    </row>
    <row r="338" spans="1:32" x14ac:dyDescent="0.35">
      <c r="A338" s="162" t="s">
        <v>614</v>
      </c>
      <c r="B338" s="163" t="s">
        <v>922</v>
      </c>
      <c r="C338" s="154"/>
      <c r="D338" s="162" t="s">
        <v>152</v>
      </c>
      <c r="E338" s="164" t="s">
        <v>152</v>
      </c>
      <c r="F338" s="164" t="s">
        <v>922</v>
      </c>
      <c r="G338" s="164" t="s">
        <v>614</v>
      </c>
      <c r="H338" s="165">
        <v>27917</v>
      </c>
      <c r="I338" s="164" t="s">
        <v>20</v>
      </c>
      <c r="J338" s="164" t="s">
        <v>21</v>
      </c>
      <c r="K338" s="165">
        <v>42632</v>
      </c>
      <c r="L338" s="166" t="s">
        <v>128</v>
      </c>
      <c r="M338" s="154"/>
      <c r="N338" s="154"/>
      <c r="O338" s="164" t="s">
        <v>35</v>
      </c>
      <c r="P338" s="164">
        <v>50</v>
      </c>
      <c r="Q338" s="164">
        <v>9</v>
      </c>
      <c r="R338" s="167" t="s">
        <v>923</v>
      </c>
      <c r="S338" s="167" t="s">
        <v>24</v>
      </c>
      <c r="T338" s="162" t="s">
        <v>800</v>
      </c>
      <c r="U338" s="167" t="s">
        <v>805</v>
      </c>
      <c r="X338" s="169">
        <v>45018</v>
      </c>
      <c r="Y338" s="170">
        <v>2.4999999966690001</v>
      </c>
      <c r="Z338" s="170">
        <v>0.41666667000000002</v>
      </c>
      <c r="AA338" s="170">
        <v>0</v>
      </c>
      <c r="AB338" s="170">
        <v>0</v>
      </c>
      <c r="AC338" s="171">
        <v>2.9166666666690002</v>
      </c>
      <c r="AD338" s="172">
        <v>210507.23861999999</v>
      </c>
      <c r="AE338" s="173">
        <v>2.92</v>
      </c>
      <c r="AF338" s="174">
        <v>46357</v>
      </c>
    </row>
    <row r="339" spans="1:32" ht="20" x14ac:dyDescent="0.35">
      <c r="A339" s="162" t="s">
        <v>616</v>
      </c>
      <c r="B339" s="163" t="s">
        <v>924</v>
      </c>
      <c r="C339" s="154"/>
      <c r="D339" s="162" t="s">
        <v>154</v>
      </c>
      <c r="E339" s="164" t="s">
        <v>154</v>
      </c>
      <c r="F339" s="164" t="s">
        <v>924</v>
      </c>
      <c r="G339" s="164" t="s">
        <v>616</v>
      </c>
      <c r="H339" s="165">
        <v>31105</v>
      </c>
      <c r="I339" s="164" t="s">
        <v>20</v>
      </c>
      <c r="J339" s="164" t="s">
        <v>21</v>
      </c>
      <c r="K339" s="165">
        <v>42632</v>
      </c>
      <c r="L339" s="166" t="s">
        <v>128</v>
      </c>
      <c r="M339" s="154"/>
      <c r="N339" s="154"/>
      <c r="O339" s="164" t="s">
        <v>35</v>
      </c>
      <c r="P339" s="164">
        <v>41</v>
      </c>
      <c r="Q339" s="164">
        <v>9</v>
      </c>
      <c r="R339" s="167" t="s">
        <v>923</v>
      </c>
      <c r="S339" s="167" t="s">
        <v>24</v>
      </c>
      <c r="T339" s="162" t="s">
        <v>794</v>
      </c>
      <c r="U339" s="167" t="s">
        <v>819</v>
      </c>
      <c r="V339" s="162" t="s">
        <v>834</v>
      </c>
      <c r="W339" s="168">
        <v>9</v>
      </c>
      <c r="X339" s="169">
        <v>45018</v>
      </c>
      <c r="Y339" s="170">
        <v>26.833333330001</v>
      </c>
      <c r="Z339" s="170">
        <v>1.9166666699999999</v>
      </c>
      <c r="AA339" s="170">
        <v>0</v>
      </c>
      <c r="AB339" s="170">
        <v>0</v>
      </c>
      <c r="AC339" s="171">
        <v>28.750000000000998</v>
      </c>
      <c r="AD339" s="172">
        <v>2087710.72979</v>
      </c>
      <c r="AE339" s="173" t="s">
        <v>797</v>
      </c>
      <c r="AF339" s="173"/>
    </row>
    <row r="340" spans="1:32" x14ac:dyDescent="0.35">
      <c r="A340" s="162" t="s">
        <v>616</v>
      </c>
      <c r="B340" s="163" t="s">
        <v>924</v>
      </c>
      <c r="C340" s="154"/>
      <c r="D340" s="162" t="s">
        <v>154</v>
      </c>
      <c r="E340" s="164" t="s">
        <v>154</v>
      </c>
      <c r="F340" s="164" t="s">
        <v>924</v>
      </c>
      <c r="G340" s="164" t="s">
        <v>616</v>
      </c>
      <c r="H340" s="165">
        <v>31105</v>
      </c>
      <c r="I340" s="164" t="s">
        <v>20</v>
      </c>
      <c r="J340" s="164" t="s">
        <v>21</v>
      </c>
      <c r="K340" s="165">
        <v>42632</v>
      </c>
      <c r="L340" s="166" t="s">
        <v>128</v>
      </c>
      <c r="M340" s="154"/>
      <c r="N340" s="154"/>
      <c r="O340" s="164" t="s">
        <v>35</v>
      </c>
      <c r="P340" s="164">
        <v>41</v>
      </c>
      <c r="Q340" s="164">
        <v>9</v>
      </c>
      <c r="R340" s="167" t="s">
        <v>923</v>
      </c>
      <c r="S340" s="167" t="s">
        <v>24</v>
      </c>
      <c r="T340" s="162" t="s">
        <v>798</v>
      </c>
      <c r="U340" s="167" t="s">
        <v>799</v>
      </c>
      <c r="X340" s="169">
        <v>45018</v>
      </c>
      <c r="Y340" s="170">
        <v>180</v>
      </c>
      <c r="Z340" s="170">
        <v>0</v>
      </c>
      <c r="AA340" s="170">
        <v>0</v>
      </c>
      <c r="AB340" s="170">
        <v>0</v>
      </c>
      <c r="AC340" s="171">
        <v>180</v>
      </c>
      <c r="AD340" s="172">
        <v>13070884.569119999</v>
      </c>
      <c r="AE340" s="173">
        <v>180</v>
      </c>
      <c r="AF340" s="174">
        <v>46357</v>
      </c>
    </row>
    <row r="341" spans="1:32" x14ac:dyDescent="0.35">
      <c r="A341" s="162" t="s">
        <v>616</v>
      </c>
      <c r="B341" s="163" t="s">
        <v>924</v>
      </c>
      <c r="C341" s="154"/>
      <c r="D341" s="162" t="s">
        <v>154</v>
      </c>
      <c r="E341" s="164" t="s">
        <v>154</v>
      </c>
      <c r="F341" s="164" t="s">
        <v>924</v>
      </c>
      <c r="G341" s="164" t="s">
        <v>616</v>
      </c>
      <c r="H341" s="165">
        <v>31105</v>
      </c>
      <c r="I341" s="164" t="s">
        <v>20</v>
      </c>
      <c r="J341" s="164" t="s">
        <v>21</v>
      </c>
      <c r="K341" s="165">
        <v>42632</v>
      </c>
      <c r="L341" s="166" t="s">
        <v>128</v>
      </c>
      <c r="M341" s="154"/>
      <c r="N341" s="154"/>
      <c r="O341" s="164" t="s">
        <v>35</v>
      </c>
      <c r="P341" s="164">
        <v>41</v>
      </c>
      <c r="Q341" s="164">
        <v>9</v>
      </c>
      <c r="R341" s="167" t="s">
        <v>923</v>
      </c>
      <c r="S341" s="167" t="s">
        <v>24</v>
      </c>
      <c r="T341" s="162" t="s">
        <v>800</v>
      </c>
      <c r="U341" s="167" t="s">
        <v>801</v>
      </c>
      <c r="X341" s="169">
        <v>45018</v>
      </c>
      <c r="Y341" s="170">
        <v>26</v>
      </c>
      <c r="Z341" s="170">
        <v>0</v>
      </c>
      <c r="AA341" s="170">
        <v>0</v>
      </c>
      <c r="AB341" s="170">
        <v>0</v>
      </c>
      <c r="AC341" s="171">
        <v>26</v>
      </c>
      <c r="AD341" s="172">
        <v>1888016.65998</v>
      </c>
      <c r="AE341" s="173">
        <v>26</v>
      </c>
      <c r="AF341" s="174">
        <v>46357</v>
      </c>
    </row>
    <row r="342" spans="1:32" x14ac:dyDescent="0.35">
      <c r="A342" s="162" t="s">
        <v>616</v>
      </c>
      <c r="B342" s="163" t="s">
        <v>924</v>
      </c>
      <c r="C342" s="154"/>
      <c r="D342" s="162" t="s">
        <v>154</v>
      </c>
      <c r="E342" s="164" t="s">
        <v>154</v>
      </c>
      <c r="F342" s="164" t="s">
        <v>924</v>
      </c>
      <c r="G342" s="164" t="s">
        <v>616</v>
      </c>
      <c r="H342" s="165">
        <v>31105</v>
      </c>
      <c r="I342" s="164" t="s">
        <v>20</v>
      </c>
      <c r="J342" s="164" t="s">
        <v>21</v>
      </c>
      <c r="K342" s="165">
        <v>42632</v>
      </c>
      <c r="L342" s="166" t="s">
        <v>128</v>
      </c>
      <c r="M342" s="154"/>
      <c r="N342" s="154"/>
      <c r="O342" s="164" t="s">
        <v>35</v>
      </c>
      <c r="P342" s="164">
        <v>41</v>
      </c>
      <c r="Q342" s="164">
        <v>9</v>
      </c>
      <c r="R342" s="167" t="s">
        <v>923</v>
      </c>
      <c r="S342" s="167" t="s">
        <v>24</v>
      </c>
      <c r="T342" s="162" t="s">
        <v>800</v>
      </c>
      <c r="U342" s="167" t="s">
        <v>802</v>
      </c>
      <c r="X342" s="169">
        <v>45018</v>
      </c>
      <c r="Y342" s="170">
        <v>98</v>
      </c>
      <c r="Z342" s="170">
        <v>0</v>
      </c>
      <c r="AA342" s="170">
        <v>0</v>
      </c>
      <c r="AB342" s="170">
        <v>0</v>
      </c>
      <c r="AC342" s="171">
        <v>98</v>
      </c>
      <c r="AD342" s="172">
        <v>7116370.4876300003</v>
      </c>
      <c r="AE342" s="173">
        <v>98</v>
      </c>
      <c r="AF342" s="174">
        <v>46357</v>
      </c>
    </row>
    <row r="343" spans="1:32" x14ac:dyDescent="0.35">
      <c r="A343" s="162" t="s">
        <v>616</v>
      </c>
      <c r="B343" s="163" t="s">
        <v>924</v>
      </c>
      <c r="C343" s="154"/>
      <c r="D343" s="162" t="s">
        <v>154</v>
      </c>
      <c r="E343" s="164" t="s">
        <v>154</v>
      </c>
      <c r="F343" s="164" t="s">
        <v>924</v>
      </c>
      <c r="G343" s="164" t="s">
        <v>616</v>
      </c>
      <c r="H343" s="165">
        <v>31105</v>
      </c>
      <c r="I343" s="164" t="s">
        <v>20</v>
      </c>
      <c r="J343" s="164" t="s">
        <v>21</v>
      </c>
      <c r="K343" s="165">
        <v>42632</v>
      </c>
      <c r="L343" s="166" t="s">
        <v>128</v>
      </c>
      <c r="M343" s="154"/>
      <c r="N343" s="154"/>
      <c r="O343" s="164" t="s">
        <v>35</v>
      </c>
      <c r="P343" s="164">
        <v>41</v>
      </c>
      <c r="Q343" s="164">
        <v>9</v>
      </c>
      <c r="R343" s="167" t="s">
        <v>923</v>
      </c>
      <c r="S343" s="167" t="s">
        <v>24</v>
      </c>
      <c r="T343" s="162" t="s">
        <v>800</v>
      </c>
      <c r="U343" s="167" t="s">
        <v>803</v>
      </c>
      <c r="X343" s="169">
        <v>45018</v>
      </c>
      <c r="Y343" s="170">
        <v>2</v>
      </c>
      <c r="Z343" s="170">
        <v>0</v>
      </c>
      <c r="AA343" s="170">
        <v>0</v>
      </c>
      <c r="AB343" s="170">
        <v>0</v>
      </c>
      <c r="AC343" s="171">
        <v>2</v>
      </c>
      <c r="AD343" s="172">
        <v>145232.05077</v>
      </c>
      <c r="AE343" s="173">
        <v>2</v>
      </c>
      <c r="AF343" s="174">
        <v>46357</v>
      </c>
    </row>
    <row r="344" spans="1:32" x14ac:dyDescent="0.35">
      <c r="A344" s="162" t="s">
        <v>616</v>
      </c>
      <c r="B344" s="163" t="s">
        <v>924</v>
      </c>
      <c r="C344" s="154"/>
      <c r="D344" s="162" t="s">
        <v>154</v>
      </c>
      <c r="E344" s="164" t="s">
        <v>154</v>
      </c>
      <c r="F344" s="164" t="s">
        <v>924</v>
      </c>
      <c r="G344" s="164" t="s">
        <v>616</v>
      </c>
      <c r="H344" s="165">
        <v>31105</v>
      </c>
      <c r="I344" s="164" t="s">
        <v>20</v>
      </c>
      <c r="J344" s="164" t="s">
        <v>21</v>
      </c>
      <c r="K344" s="165">
        <v>42632</v>
      </c>
      <c r="L344" s="166" t="s">
        <v>128</v>
      </c>
      <c r="M344" s="154"/>
      <c r="N344" s="154"/>
      <c r="O344" s="164" t="s">
        <v>35</v>
      </c>
      <c r="P344" s="164">
        <v>41</v>
      </c>
      <c r="Q344" s="164">
        <v>9</v>
      </c>
      <c r="R344" s="167" t="s">
        <v>923</v>
      </c>
      <c r="S344" s="167" t="s">
        <v>24</v>
      </c>
      <c r="T344" s="162" t="s">
        <v>800</v>
      </c>
      <c r="U344" s="167" t="s">
        <v>804</v>
      </c>
      <c r="X344" s="169">
        <v>45018</v>
      </c>
      <c r="Y344" s="170">
        <v>5</v>
      </c>
      <c r="Z344" s="170">
        <v>0</v>
      </c>
      <c r="AA344" s="170">
        <v>0</v>
      </c>
      <c r="AB344" s="170">
        <v>0</v>
      </c>
      <c r="AC344" s="171">
        <v>5</v>
      </c>
      <c r="AD344" s="172">
        <v>363080.12692000001</v>
      </c>
      <c r="AE344" s="173">
        <v>5</v>
      </c>
      <c r="AF344" s="174">
        <v>46357</v>
      </c>
    </row>
    <row r="345" spans="1:32" x14ac:dyDescent="0.35">
      <c r="A345" s="162" t="s">
        <v>616</v>
      </c>
      <c r="B345" s="163" t="s">
        <v>924</v>
      </c>
      <c r="C345" s="154"/>
      <c r="D345" s="162" t="s">
        <v>154</v>
      </c>
      <c r="E345" s="164" t="s">
        <v>154</v>
      </c>
      <c r="F345" s="164" t="s">
        <v>924</v>
      </c>
      <c r="G345" s="164" t="s">
        <v>616</v>
      </c>
      <c r="H345" s="165">
        <v>31105</v>
      </c>
      <c r="I345" s="164" t="s">
        <v>20</v>
      </c>
      <c r="J345" s="164" t="s">
        <v>21</v>
      </c>
      <c r="K345" s="165">
        <v>42632</v>
      </c>
      <c r="L345" s="166" t="s">
        <v>128</v>
      </c>
      <c r="M345" s="154"/>
      <c r="N345" s="154"/>
      <c r="O345" s="164" t="s">
        <v>35</v>
      </c>
      <c r="P345" s="164">
        <v>41</v>
      </c>
      <c r="Q345" s="164">
        <v>9</v>
      </c>
      <c r="R345" s="167" t="s">
        <v>923</v>
      </c>
      <c r="S345" s="167" t="s">
        <v>24</v>
      </c>
      <c r="T345" s="162" t="s">
        <v>800</v>
      </c>
      <c r="U345" s="167" t="s">
        <v>805</v>
      </c>
      <c r="X345" s="169">
        <v>45018</v>
      </c>
      <c r="Y345" s="170">
        <v>2.4999999966690001</v>
      </c>
      <c r="Z345" s="170">
        <v>0.41666667000000002</v>
      </c>
      <c r="AA345" s="170">
        <v>0</v>
      </c>
      <c r="AB345" s="170">
        <v>0</v>
      </c>
      <c r="AC345" s="171">
        <v>2.9166666666690002</v>
      </c>
      <c r="AD345" s="172">
        <v>211796.74069999999</v>
      </c>
      <c r="AE345" s="173">
        <v>2.92</v>
      </c>
      <c r="AF345" s="174">
        <v>46357</v>
      </c>
    </row>
    <row r="346" spans="1:32" ht="20" x14ac:dyDescent="0.35">
      <c r="A346" s="162" t="s">
        <v>925</v>
      </c>
      <c r="B346" s="163" t="s">
        <v>926</v>
      </c>
      <c r="C346" s="154"/>
      <c r="D346" s="162" t="s">
        <v>156</v>
      </c>
      <c r="E346" s="164" t="s">
        <v>156</v>
      </c>
      <c r="F346" s="164" t="s">
        <v>926</v>
      </c>
      <c r="G346" s="164" t="s">
        <v>925</v>
      </c>
      <c r="H346" s="165">
        <v>33232</v>
      </c>
      <c r="I346" s="164" t="s">
        <v>20</v>
      </c>
      <c r="J346" s="164" t="s">
        <v>21</v>
      </c>
      <c r="K346" s="165">
        <v>42632</v>
      </c>
      <c r="L346" s="166" t="s">
        <v>144</v>
      </c>
      <c r="M346" s="154"/>
      <c r="N346" s="154"/>
      <c r="O346" s="164" t="s">
        <v>145</v>
      </c>
      <c r="P346" s="164">
        <v>35</v>
      </c>
      <c r="Q346" s="164">
        <v>9</v>
      </c>
      <c r="R346" s="167" t="s">
        <v>866</v>
      </c>
      <c r="S346" s="167" t="s">
        <v>24</v>
      </c>
      <c r="T346" s="162" t="s">
        <v>794</v>
      </c>
      <c r="U346" s="167" t="s">
        <v>795</v>
      </c>
      <c r="V346" s="162" t="s">
        <v>838</v>
      </c>
      <c r="W346" s="168">
        <v>9</v>
      </c>
      <c r="X346" s="169">
        <v>45018</v>
      </c>
      <c r="Y346" s="170">
        <v>13.413333336662999</v>
      </c>
      <c r="Z346" s="170">
        <v>2.0833333299999999</v>
      </c>
      <c r="AA346" s="170">
        <v>0</v>
      </c>
      <c r="AB346" s="170">
        <v>0</v>
      </c>
      <c r="AC346" s="171">
        <v>15.496666666663</v>
      </c>
      <c r="AD346" s="172">
        <v>2634399.58635</v>
      </c>
      <c r="AE346" s="173" t="s">
        <v>797</v>
      </c>
      <c r="AF346" s="173"/>
    </row>
    <row r="347" spans="1:32" x14ac:dyDescent="0.35">
      <c r="A347" s="162" t="s">
        <v>925</v>
      </c>
      <c r="B347" s="163" t="s">
        <v>926</v>
      </c>
      <c r="C347" s="154"/>
      <c r="D347" s="162" t="s">
        <v>156</v>
      </c>
      <c r="E347" s="164" t="s">
        <v>156</v>
      </c>
      <c r="F347" s="164" t="s">
        <v>926</v>
      </c>
      <c r="G347" s="164" t="s">
        <v>925</v>
      </c>
      <c r="H347" s="165">
        <v>33232</v>
      </c>
      <c r="I347" s="164" t="s">
        <v>20</v>
      </c>
      <c r="J347" s="164" t="s">
        <v>21</v>
      </c>
      <c r="K347" s="165">
        <v>42632</v>
      </c>
      <c r="L347" s="166" t="s">
        <v>144</v>
      </c>
      <c r="M347" s="154"/>
      <c r="N347" s="154"/>
      <c r="O347" s="164" t="s">
        <v>145</v>
      </c>
      <c r="P347" s="164">
        <v>35</v>
      </c>
      <c r="Q347" s="164">
        <v>9</v>
      </c>
      <c r="R347" s="167" t="s">
        <v>866</v>
      </c>
      <c r="S347" s="167" t="s">
        <v>24</v>
      </c>
      <c r="T347" s="162" t="s">
        <v>798</v>
      </c>
      <c r="U347" s="167" t="s">
        <v>839</v>
      </c>
      <c r="X347" s="169">
        <v>45018</v>
      </c>
      <c r="Y347" s="170">
        <v>180</v>
      </c>
      <c r="Z347" s="170">
        <v>0</v>
      </c>
      <c r="AA347" s="170">
        <v>0</v>
      </c>
      <c r="AB347" s="170">
        <v>0</v>
      </c>
      <c r="AC347" s="171">
        <v>180</v>
      </c>
      <c r="AD347" s="172">
        <v>30599608.01526</v>
      </c>
      <c r="AE347" s="173">
        <v>180</v>
      </c>
      <c r="AF347" s="174">
        <v>46357</v>
      </c>
    </row>
    <row r="348" spans="1:32" x14ac:dyDescent="0.35">
      <c r="A348" s="162" t="s">
        <v>925</v>
      </c>
      <c r="B348" s="163" t="s">
        <v>926</v>
      </c>
      <c r="C348" s="154"/>
      <c r="D348" s="162" t="s">
        <v>156</v>
      </c>
      <c r="E348" s="164" t="s">
        <v>156</v>
      </c>
      <c r="F348" s="164" t="s">
        <v>926</v>
      </c>
      <c r="G348" s="164" t="s">
        <v>925</v>
      </c>
      <c r="H348" s="165">
        <v>33232</v>
      </c>
      <c r="I348" s="164" t="s">
        <v>20</v>
      </c>
      <c r="J348" s="164" t="s">
        <v>21</v>
      </c>
      <c r="K348" s="165">
        <v>42632</v>
      </c>
      <c r="L348" s="166" t="s">
        <v>144</v>
      </c>
      <c r="M348" s="154"/>
      <c r="N348" s="154"/>
      <c r="O348" s="164" t="s">
        <v>145</v>
      </c>
      <c r="P348" s="164">
        <v>35</v>
      </c>
      <c r="Q348" s="164">
        <v>9</v>
      </c>
      <c r="R348" s="167" t="s">
        <v>866</v>
      </c>
      <c r="S348" s="167" t="s">
        <v>24</v>
      </c>
      <c r="T348" s="162" t="s">
        <v>800</v>
      </c>
      <c r="U348" s="167" t="s">
        <v>801</v>
      </c>
      <c r="X348" s="169">
        <v>45018</v>
      </c>
      <c r="Y348" s="170">
        <v>26</v>
      </c>
      <c r="Z348" s="170">
        <v>0</v>
      </c>
      <c r="AA348" s="170">
        <v>0</v>
      </c>
      <c r="AB348" s="170">
        <v>0</v>
      </c>
      <c r="AC348" s="171">
        <v>26</v>
      </c>
      <c r="AD348" s="172">
        <v>4419943.3799799997</v>
      </c>
      <c r="AE348" s="173">
        <v>26</v>
      </c>
      <c r="AF348" s="174">
        <v>46357</v>
      </c>
    </row>
    <row r="349" spans="1:32" x14ac:dyDescent="0.35">
      <c r="A349" s="162" t="s">
        <v>925</v>
      </c>
      <c r="B349" s="163" t="s">
        <v>926</v>
      </c>
      <c r="C349" s="154"/>
      <c r="D349" s="162" t="s">
        <v>156</v>
      </c>
      <c r="E349" s="164" t="s">
        <v>156</v>
      </c>
      <c r="F349" s="164" t="s">
        <v>926</v>
      </c>
      <c r="G349" s="164" t="s">
        <v>925</v>
      </c>
      <c r="H349" s="165">
        <v>33232</v>
      </c>
      <c r="I349" s="164" t="s">
        <v>20</v>
      </c>
      <c r="J349" s="164" t="s">
        <v>21</v>
      </c>
      <c r="K349" s="165">
        <v>42632</v>
      </c>
      <c r="L349" s="166" t="s">
        <v>144</v>
      </c>
      <c r="M349" s="154"/>
      <c r="N349" s="154"/>
      <c r="O349" s="164" t="s">
        <v>145</v>
      </c>
      <c r="P349" s="164">
        <v>35</v>
      </c>
      <c r="Q349" s="164">
        <v>9</v>
      </c>
      <c r="R349" s="167" t="s">
        <v>866</v>
      </c>
      <c r="S349" s="167" t="s">
        <v>24</v>
      </c>
      <c r="T349" s="162" t="s">
        <v>800</v>
      </c>
      <c r="U349" s="167" t="s">
        <v>802</v>
      </c>
      <c r="X349" s="169">
        <v>45018</v>
      </c>
      <c r="Y349" s="170">
        <v>98</v>
      </c>
      <c r="Z349" s="170">
        <v>0</v>
      </c>
      <c r="AA349" s="170">
        <v>0</v>
      </c>
      <c r="AB349" s="170">
        <v>0</v>
      </c>
      <c r="AC349" s="171">
        <v>98</v>
      </c>
      <c r="AD349" s="172">
        <v>16659786.58609</v>
      </c>
      <c r="AE349" s="173">
        <v>98</v>
      </c>
      <c r="AF349" s="174">
        <v>46357</v>
      </c>
    </row>
    <row r="350" spans="1:32" x14ac:dyDescent="0.35">
      <c r="A350" s="162" t="s">
        <v>925</v>
      </c>
      <c r="B350" s="163" t="s">
        <v>926</v>
      </c>
      <c r="C350" s="154"/>
      <c r="D350" s="162" t="s">
        <v>156</v>
      </c>
      <c r="E350" s="164" t="s">
        <v>156</v>
      </c>
      <c r="F350" s="164" t="s">
        <v>926</v>
      </c>
      <c r="G350" s="164" t="s">
        <v>925</v>
      </c>
      <c r="H350" s="165">
        <v>33232</v>
      </c>
      <c r="I350" s="164" t="s">
        <v>20</v>
      </c>
      <c r="J350" s="164" t="s">
        <v>21</v>
      </c>
      <c r="K350" s="165">
        <v>42632</v>
      </c>
      <c r="L350" s="166" t="s">
        <v>144</v>
      </c>
      <c r="M350" s="154"/>
      <c r="N350" s="154"/>
      <c r="O350" s="164" t="s">
        <v>145</v>
      </c>
      <c r="P350" s="164">
        <v>35</v>
      </c>
      <c r="Q350" s="164">
        <v>9</v>
      </c>
      <c r="R350" s="167" t="s">
        <v>866</v>
      </c>
      <c r="S350" s="167" t="s">
        <v>24</v>
      </c>
      <c r="T350" s="162" t="s">
        <v>800</v>
      </c>
      <c r="U350" s="167" t="s">
        <v>803</v>
      </c>
      <c r="X350" s="169">
        <v>45018</v>
      </c>
      <c r="Y350" s="170">
        <v>2</v>
      </c>
      <c r="Z350" s="170">
        <v>0</v>
      </c>
      <c r="AA350" s="170">
        <v>0</v>
      </c>
      <c r="AB350" s="170">
        <v>0</v>
      </c>
      <c r="AC350" s="171">
        <v>2</v>
      </c>
      <c r="AD350" s="172">
        <v>339995.64461000002</v>
      </c>
      <c r="AE350" s="173">
        <v>2</v>
      </c>
      <c r="AF350" s="174">
        <v>46357</v>
      </c>
    </row>
    <row r="351" spans="1:32" x14ac:dyDescent="0.35">
      <c r="A351" s="162" t="s">
        <v>925</v>
      </c>
      <c r="B351" s="163" t="s">
        <v>926</v>
      </c>
      <c r="C351" s="154"/>
      <c r="D351" s="162" t="s">
        <v>156</v>
      </c>
      <c r="E351" s="164" t="s">
        <v>156</v>
      </c>
      <c r="F351" s="164" t="s">
        <v>926</v>
      </c>
      <c r="G351" s="164" t="s">
        <v>925</v>
      </c>
      <c r="H351" s="165">
        <v>33232</v>
      </c>
      <c r="I351" s="164" t="s">
        <v>20</v>
      </c>
      <c r="J351" s="164" t="s">
        <v>21</v>
      </c>
      <c r="K351" s="165">
        <v>42632</v>
      </c>
      <c r="L351" s="166" t="s">
        <v>144</v>
      </c>
      <c r="M351" s="154"/>
      <c r="N351" s="154"/>
      <c r="O351" s="164" t="s">
        <v>145</v>
      </c>
      <c r="P351" s="164">
        <v>35</v>
      </c>
      <c r="Q351" s="164">
        <v>9</v>
      </c>
      <c r="R351" s="167" t="s">
        <v>866</v>
      </c>
      <c r="S351" s="167" t="s">
        <v>24</v>
      </c>
      <c r="T351" s="162" t="s">
        <v>800</v>
      </c>
      <c r="U351" s="167" t="s">
        <v>804</v>
      </c>
      <c r="X351" s="169">
        <v>45018</v>
      </c>
      <c r="Y351" s="170">
        <v>5</v>
      </c>
      <c r="Z351" s="170">
        <v>0</v>
      </c>
      <c r="AA351" s="170">
        <v>0</v>
      </c>
      <c r="AB351" s="170">
        <v>0</v>
      </c>
      <c r="AC351" s="171">
        <v>5</v>
      </c>
      <c r="AD351" s="172">
        <v>849989.11152999999</v>
      </c>
      <c r="AE351" s="173">
        <v>5</v>
      </c>
      <c r="AF351" s="174">
        <v>46357</v>
      </c>
    </row>
    <row r="352" spans="1:32" x14ac:dyDescent="0.35">
      <c r="A352" s="162" t="s">
        <v>925</v>
      </c>
      <c r="B352" s="163" t="s">
        <v>926</v>
      </c>
      <c r="C352" s="154"/>
      <c r="D352" s="162" t="s">
        <v>156</v>
      </c>
      <c r="E352" s="164" t="s">
        <v>156</v>
      </c>
      <c r="F352" s="164" t="s">
        <v>926</v>
      </c>
      <c r="G352" s="164" t="s">
        <v>925</v>
      </c>
      <c r="H352" s="165">
        <v>33232</v>
      </c>
      <c r="I352" s="164" t="s">
        <v>20</v>
      </c>
      <c r="J352" s="164" t="s">
        <v>21</v>
      </c>
      <c r="K352" s="165">
        <v>42632</v>
      </c>
      <c r="L352" s="166" t="s">
        <v>144</v>
      </c>
      <c r="M352" s="154"/>
      <c r="N352" s="154"/>
      <c r="O352" s="164" t="s">
        <v>145</v>
      </c>
      <c r="P352" s="164">
        <v>35</v>
      </c>
      <c r="Q352" s="164">
        <v>9</v>
      </c>
      <c r="R352" s="167" t="s">
        <v>866</v>
      </c>
      <c r="S352" s="167" t="s">
        <v>24</v>
      </c>
      <c r="T352" s="162" t="s">
        <v>800</v>
      </c>
      <c r="U352" s="167" t="s">
        <v>840</v>
      </c>
      <c r="X352" s="169">
        <v>45018</v>
      </c>
      <c r="Y352" s="170">
        <v>2.4999999966690001</v>
      </c>
      <c r="Z352" s="170">
        <v>0.41666667000000002</v>
      </c>
      <c r="AA352" s="170">
        <v>0</v>
      </c>
      <c r="AB352" s="170">
        <v>0</v>
      </c>
      <c r="AC352" s="171">
        <v>2.9166666666690002</v>
      </c>
      <c r="AD352" s="172">
        <v>495826.98173</v>
      </c>
      <c r="AE352" s="173">
        <v>2.92</v>
      </c>
      <c r="AF352" s="174">
        <v>46357</v>
      </c>
    </row>
    <row r="353" spans="1:32" ht="20" x14ac:dyDescent="0.35">
      <c r="A353" s="162" t="s">
        <v>586</v>
      </c>
      <c r="B353" s="163" t="s">
        <v>927</v>
      </c>
      <c r="C353" s="154"/>
      <c r="D353" s="162" t="s">
        <v>158</v>
      </c>
      <c r="E353" s="164" t="s">
        <v>158</v>
      </c>
      <c r="F353" s="164" t="s">
        <v>927</v>
      </c>
      <c r="G353" s="164" t="s">
        <v>586</v>
      </c>
      <c r="H353" s="165">
        <v>29763</v>
      </c>
      <c r="I353" s="164" t="s">
        <v>20</v>
      </c>
      <c r="J353" s="164" t="s">
        <v>21</v>
      </c>
      <c r="K353" s="165">
        <v>42646</v>
      </c>
      <c r="L353" s="166" t="s">
        <v>160</v>
      </c>
      <c r="M353" s="154"/>
      <c r="N353" s="154"/>
      <c r="O353" s="164" t="s">
        <v>161</v>
      </c>
      <c r="P353" s="164">
        <v>45</v>
      </c>
      <c r="Q353" s="164">
        <v>9</v>
      </c>
      <c r="R353" s="167" t="s">
        <v>903</v>
      </c>
      <c r="S353" s="167" t="s">
        <v>115</v>
      </c>
      <c r="T353" s="162" t="s">
        <v>794</v>
      </c>
      <c r="U353" s="167" t="s">
        <v>819</v>
      </c>
      <c r="V353" s="162" t="s">
        <v>834</v>
      </c>
      <c r="W353" s="168">
        <v>9</v>
      </c>
      <c r="X353" s="169">
        <v>45018</v>
      </c>
      <c r="Y353" s="170">
        <v>23.249999996660002</v>
      </c>
      <c r="Z353" s="170">
        <v>1.9166666699999999</v>
      </c>
      <c r="AA353" s="170">
        <v>-20</v>
      </c>
      <c r="AB353" s="170">
        <v>0</v>
      </c>
      <c r="AC353" s="171">
        <v>5.1666666666600003</v>
      </c>
      <c r="AD353" s="172">
        <v>574615.07596000005</v>
      </c>
      <c r="AE353" s="173" t="s">
        <v>797</v>
      </c>
      <c r="AF353" s="173"/>
    </row>
    <row r="354" spans="1:32" x14ac:dyDescent="0.35">
      <c r="A354" s="162" t="s">
        <v>586</v>
      </c>
      <c r="B354" s="163" t="s">
        <v>927</v>
      </c>
      <c r="C354" s="154"/>
      <c r="D354" s="162" t="s">
        <v>158</v>
      </c>
      <c r="E354" s="164" t="s">
        <v>158</v>
      </c>
      <c r="F354" s="164" t="s">
        <v>927</v>
      </c>
      <c r="G354" s="164" t="s">
        <v>586</v>
      </c>
      <c r="H354" s="165">
        <v>29763</v>
      </c>
      <c r="I354" s="164" t="s">
        <v>20</v>
      </c>
      <c r="J354" s="164" t="s">
        <v>21</v>
      </c>
      <c r="K354" s="165">
        <v>42646</v>
      </c>
      <c r="L354" s="166" t="s">
        <v>160</v>
      </c>
      <c r="M354" s="154"/>
      <c r="N354" s="154"/>
      <c r="O354" s="164" t="s">
        <v>161</v>
      </c>
      <c r="P354" s="164">
        <v>45</v>
      </c>
      <c r="Q354" s="164">
        <v>9</v>
      </c>
      <c r="R354" s="167" t="s">
        <v>903</v>
      </c>
      <c r="S354" s="167" t="s">
        <v>115</v>
      </c>
      <c r="T354" s="162" t="s">
        <v>798</v>
      </c>
      <c r="U354" s="167" t="s">
        <v>799</v>
      </c>
      <c r="X354" s="169">
        <v>45018</v>
      </c>
      <c r="Y354" s="170">
        <v>180</v>
      </c>
      <c r="Z354" s="170">
        <v>0</v>
      </c>
      <c r="AA354" s="170">
        <v>0</v>
      </c>
      <c r="AB354" s="170">
        <v>0</v>
      </c>
      <c r="AC354" s="171">
        <v>180</v>
      </c>
      <c r="AD354" s="172">
        <v>20018847.807539999</v>
      </c>
      <c r="AE354" s="173">
        <v>180</v>
      </c>
      <c r="AF354" s="174">
        <v>46357</v>
      </c>
    </row>
    <row r="355" spans="1:32" x14ac:dyDescent="0.35">
      <c r="A355" s="162" t="s">
        <v>586</v>
      </c>
      <c r="B355" s="163" t="s">
        <v>927</v>
      </c>
      <c r="C355" s="154"/>
      <c r="D355" s="162" t="s">
        <v>158</v>
      </c>
      <c r="E355" s="164" t="s">
        <v>158</v>
      </c>
      <c r="F355" s="164" t="s">
        <v>927</v>
      </c>
      <c r="G355" s="164" t="s">
        <v>586</v>
      </c>
      <c r="H355" s="165">
        <v>29763</v>
      </c>
      <c r="I355" s="164" t="s">
        <v>20</v>
      </c>
      <c r="J355" s="164" t="s">
        <v>21</v>
      </c>
      <c r="K355" s="165">
        <v>42646</v>
      </c>
      <c r="L355" s="166" t="s">
        <v>160</v>
      </c>
      <c r="M355" s="154"/>
      <c r="N355" s="154"/>
      <c r="O355" s="164" t="s">
        <v>161</v>
      </c>
      <c r="P355" s="164">
        <v>45</v>
      </c>
      <c r="Q355" s="164">
        <v>9</v>
      </c>
      <c r="R355" s="167" t="s">
        <v>903</v>
      </c>
      <c r="S355" s="167" t="s">
        <v>115</v>
      </c>
      <c r="T355" s="162" t="s">
        <v>800</v>
      </c>
      <c r="U355" s="167" t="s">
        <v>801</v>
      </c>
      <c r="X355" s="169">
        <v>45018</v>
      </c>
      <c r="Y355" s="170">
        <v>26</v>
      </c>
      <c r="Z355" s="170">
        <v>0</v>
      </c>
      <c r="AA355" s="170">
        <v>0</v>
      </c>
      <c r="AB355" s="170">
        <v>0</v>
      </c>
      <c r="AC355" s="171">
        <v>26</v>
      </c>
      <c r="AD355" s="172">
        <v>2891611.3499799999</v>
      </c>
      <c r="AE355" s="173">
        <v>26</v>
      </c>
      <c r="AF355" s="174">
        <v>46357</v>
      </c>
    </row>
    <row r="356" spans="1:32" x14ac:dyDescent="0.35">
      <c r="A356" s="162" t="s">
        <v>586</v>
      </c>
      <c r="B356" s="163" t="s">
        <v>927</v>
      </c>
      <c r="C356" s="154"/>
      <c r="D356" s="162" t="s">
        <v>158</v>
      </c>
      <c r="E356" s="164" t="s">
        <v>158</v>
      </c>
      <c r="F356" s="164" t="s">
        <v>927</v>
      </c>
      <c r="G356" s="164" t="s">
        <v>586</v>
      </c>
      <c r="H356" s="165">
        <v>29763</v>
      </c>
      <c r="I356" s="164" t="s">
        <v>20</v>
      </c>
      <c r="J356" s="164" t="s">
        <v>21</v>
      </c>
      <c r="K356" s="165">
        <v>42646</v>
      </c>
      <c r="L356" s="166" t="s">
        <v>160</v>
      </c>
      <c r="M356" s="154"/>
      <c r="N356" s="154"/>
      <c r="O356" s="164" t="s">
        <v>161</v>
      </c>
      <c r="P356" s="164">
        <v>45</v>
      </c>
      <c r="Q356" s="164">
        <v>9</v>
      </c>
      <c r="R356" s="167" t="s">
        <v>903</v>
      </c>
      <c r="S356" s="167" t="s">
        <v>115</v>
      </c>
      <c r="T356" s="162" t="s">
        <v>800</v>
      </c>
      <c r="U356" s="167" t="s">
        <v>802</v>
      </c>
      <c r="X356" s="169">
        <v>45018</v>
      </c>
      <c r="Y356" s="170">
        <v>98</v>
      </c>
      <c r="Z356" s="170">
        <v>0</v>
      </c>
      <c r="AA356" s="170">
        <v>0</v>
      </c>
      <c r="AB356" s="170">
        <v>0</v>
      </c>
      <c r="AC356" s="171">
        <v>98</v>
      </c>
      <c r="AD356" s="172">
        <v>10899150.472990001</v>
      </c>
      <c r="AE356" s="173">
        <v>98</v>
      </c>
      <c r="AF356" s="174">
        <v>46357</v>
      </c>
    </row>
    <row r="357" spans="1:32" x14ac:dyDescent="0.35">
      <c r="A357" s="162" t="s">
        <v>586</v>
      </c>
      <c r="B357" s="163" t="s">
        <v>927</v>
      </c>
      <c r="C357" s="154"/>
      <c r="D357" s="162" t="s">
        <v>158</v>
      </c>
      <c r="E357" s="164" t="s">
        <v>158</v>
      </c>
      <c r="F357" s="164" t="s">
        <v>927</v>
      </c>
      <c r="G357" s="164" t="s">
        <v>586</v>
      </c>
      <c r="H357" s="165">
        <v>29763</v>
      </c>
      <c r="I357" s="164" t="s">
        <v>20</v>
      </c>
      <c r="J357" s="164" t="s">
        <v>21</v>
      </c>
      <c r="K357" s="165">
        <v>42646</v>
      </c>
      <c r="L357" s="166" t="s">
        <v>160</v>
      </c>
      <c r="M357" s="154"/>
      <c r="N357" s="154"/>
      <c r="O357" s="164" t="s">
        <v>161</v>
      </c>
      <c r="P357" s="164">
        <v>45</v>
      </c>
      <c r="Q357" s="164">
        <v>9</v>
      </c>
      <c r="R357" s="167" t="s">
        <v>903</v>
      </c>
      <c r="S357" s="167" t="s">
        <v>115</v>
      </c>
      <c r="T357" s="162" t="s">
        <v>800</v>
      </c>
      <c r="U357" s="167" t="s">
        <v>803</v>
      </c>
      <c r="X357" s="169">
        <v>45018</v>
      </c>
      <c r="Y357" s="170">
        <v>2</v>
      </c>
      <c r="Z357" s="170">
        <v>0</v>
      </c>
      <c r="AA357" s="170">
        <v>0</v>
      </c>
      <c r="AB357" s="170">
        <v>0</v>
      </c>
      <c r="AC357" s="171">
        <v>2</v>
      </c>
      <c r="AD357" s="172">
        <v>222431.64231</v>
      </c>
      <c r="AE357" s="173">
        <v>2</v>
      </c>
      <c r="AF357" s="174">
        <v>46357</v>
      </c>
    </row>
    <row r="358" spans="1:32" x14ac:dyDescent="0.35">
      <c r="A358" s="162" t="s">
        <v>586</v>
      </c>
      <c r="B358" s="163" t="s">
        <v>927</v>
      </c>
      <c r="C358" s="154"/>
      <c r="D358" s="162" t="s">
        <v>158</v>
      </c>
      <c r="E358" s="164" t="s">
        <v>158</v>
      </c>
      <c r="F358" s="164" t="s">
        <v>927</v>
      </c>
      <c r="G358" s="164" t="s">
        <v>586</v>
      </c>
      <c r="H358" s="165">
        <v>29763</v>
      </c>
      <c r="I358" s="164" t="s">
        <v>20</v>
      </c>
      <c r="J358" s="164" t="s">
        <v>21</v>
      </c>
      <c r="K358" s="165">
        <v>42646</v>
      </c>
      <c r="L358" s="166" t="s">
        <v>160</v>
      </c>
      <c r="M358" s="154"/>
      <c r="N358" s="154"/>
      <c r="O358" s="164" t="s">
        <v>161</v>
      </c>
      <c r="P358" s="164">
        <v>45</v>
      </c>
      <c r="Q358" s="164">
        <v>9</v>
      </c>
      <c r="R358" s="167" t="s">
        <v>903</v>
      </c>
      <c r="S358" s="167" t="s">
        <v>115</v>
      </c>
      <c r="T358" s="162" t="s">
        <v>800</v>
      </c>
      <c r="U358" s="167" t="s">
        <v>804</v>
      </c>
      <c r="X358" s="169">
        <v>45018</v>
      </c>
      <c r="Y358" s="170">
        <v>5</v>
      </c>
      <c r="Z358" s="170">
        <v>0</v>
      </c>
      <c r="AA358" s="170">
        <v>0</v>
      </c>
      <c r="AB358" s="170">
        <v>0</v>
      </c>
      <c r="AC358" s="171">
        <v>5</v>
      </c>
      <c r="AD358" s="172">
        <v>556079.10575999995</v>
      </c>
      <c r="AE358" s="173">
        <v>5</v>
      </c>
      <c r="AF358" s="174">
        <v>46357</v>
      </c>
    </row>
    <row r="359" spans="1:32" x14ac:dyDescent="0.35">
      <c r="A359" s="162" t="s">
        <v>586</v>
      </c>
      <c r="B359" s="163" t="s">
        <v>927</v>
      </c>
      <c r="C359" s="154"/>
      <c r="D359" s="162" t="s">
        <v>158</v>
      </c>
      <c r="E359" s="164" t="s">
        <v>158</v>
      </c>
      <c r="F359" s="164" t="s">
        <v>927</v>
      </c>
      <c r="G359" s="164" t="s">
        <v>586</v>
      </c>
      <c r="H359" s="165">
        <v>29763</v>
      </c>
      <c r="I359" s="164" t="s">
        <v>20</v>
      </c>
      <c r="J359" s="164" t="s">
        <v>21</v>
      </c>
      <c r="K359" s="165">
        <v>42646</v>
      </c>
      <c r="L359" s="166" t="s">
        <v>160</v>
      </c>
      <c r="M359" s="154"/>
      <c r="N359" s="154"/>
      <c r="O359" s="164" t="s">
        <v>161</v>
      </c>
      <c r="P359" s="164">
        <v>45</v>
      </c>
      <c r="Q359" s="164">
        <v>9</v>
      </c>
      <c r="R359" s="167" t="s">
        <v>903</v>
      </c>
      <c r="S359" s="167" t="s">
        <v>115</v>
      </c>
      <c r="T359" s="162" t="s">
        <v>800</v>
      </c>
      <c r="U359" s="167" t="s">
        <v>805</v>
      </c>
      <c r="X359" s="169">
        <v>45018</v>
      </c>
      <c r="Y359" s="170">
        <v>2.4999999966690001</v>
      </c>
      <c r="Z359" s="170">
        <v>0.41666667000000002</v>
      </c>
      <c r="AA359" s="170">
        <v>0</v>
      </c>
      <c r="AB359" s="170">
        <v>0</v>
      </c>
      <c r="AC359" s="171">
        <v>2.9166666666690002</v>
      </c>
      <c r="AD359" s="172">
        <v>324379.47836000001</v>
      </c>
      <c r="AE359" s="173">
        <v>2.92</v>
      </c>
      <c r="AF359" s="174">
        <v>46357</v>
      </c>
    </row>
    <row r="360" spans="1:32" ht="20" x14ac:dyDescent="0.35">
      <c r="A360" s="162" t="s">
        <v>597</v>
      </c>
      <c r="B360" s="163" t="s">
        <v>928</v>
      </c>
      <c r="C360" s="154"/>
      <c r="D360" s="162" t="s">
        <v>162</v>
      </c>
      <c r="E360" s="164" t="s">
        <v>162</v>
      </c>
      <c r="F360" s="164" t="s">
        <v>928</v>
      </c>
      <c r="G360" s="164" t="s">
        <v>597</v>
      </c>
      <c r="H360" s="165">
        <v>33577</v>
      </c>
      <c r="I360" s="164" t="s">
        <v>20</v>
      </c>
      <c r="J360" s="164" t="s">
        <v>21</v>
      </c>
      <c r="K360" s="165">
        <v>42646</v>
      </c>
      <c r="L360" s="166" t="s">
        <v>164</v>
      </c>
      <c r="M360" s="154"/>
      <c r="N360" s="154"/>
      <c r="O360" s="164" t="s">
        <v>165</v>
      </c>
      <c r="P360" s="164">
        <v>34</v>
      </c>
      <c r="Q360" s="164">
        <v>9</v>
      </c>
      <c r="R360" s="167" t="s">
        <v>903</v>
      </c>
      <c r="S360" s="167" t="s">
        <v>115</v>
      </c>
      <c r="T360" s="162" t="s">
        <v>794</v>
      </c>
      <c r="U360" s="167" t="s">
        <v>819</v>
      </c>
      <c r="V360" s="162" t="s">
        <v>834</v>
      </c>
      <c r="W360" s="168">
        <v>9</v>
      </c>
      <c r="X360" s="169">
        <v>45018</v>
      </c>
      <c r="Y360" s="170">
        <v>10.24999999666</v>
      </c>
      <c r="Z360" s="170">
        <v>1.9166666699999999</v>
      </c>
      <c r="AA360" s="170">
        <v>0</v>
      </c>
      <c r="AB360" s="170">
        <v>0</v>
      </c>
      <c r="AC360" s="171">
        <v>12.166666666659999</v>
      </c>
      <c r="AD360" s="172">
        <v>1026165.22557</v>
      </c>
      <c r="AE360" s="173" t="s">
        <v>797</v>
      </c>
      <c r="AF360" s="173"/>
    </row>
    <row r="361" spans="1:32" x14ac:dyDescent="0.35">
      <c r="A361" s="162" t="s">
        <v>597</v>
      </c>
      <c r="B361" s="163" t="s">
        <v>928</v>
      </c>
      <c r="C361" s="154"/>
      <c r="D361" s="162" t="s">
        <v>162</v>
      </c>
      <c r="E361" s="164" t="s">
        <v>162</v>
      </c>
      <c r="F361" s="164" t="s">
        <v>928</v>
      </c>
      <c r="G361" s="164" t="s">
        <v>597</v>
      </c>
      <c r="H361" s="165">
        <v>33577</v>
      </c>
      <c r="I361" s="164" t="s">
        <v>20</v>
      </c>
      <c r="J361" s="164" t="s">
        <v>21</v>
      </c>
      <c r="K361" s="165">
        <v>42646</v>
      </c>
      <c r="L361" s="166" t="s">
        <v>164</v>
      </c>
      <c r="M361" s="154"/>
      <c r="N361" s="154"/>
      <c r="O361" s="164" t="s">
        <v>165</v>
      </c>
      <c r="P361" s="164">
        <v>34</v>
      </c>
      <c r="Q361" s="164">
        <v>9</v>
      </c>
      <c r="R361" s="167" t="s">
        <v>903</v>
      </c>
      <c r="S361" s="167" t="s">
        <v>115</v>
      </c>
      <c r="T361" s="162" t="s">
        <v>798</v>
      </c>
      <c r="U361" s="167" t="s">
        <v>799</v>
      </c>
      <c r="X361" s="169">
        <v>45018</v>
      </c>
      <c r="Y361" s="170">
        <v>180</v>
      </c>
      <c r="Z361" s="170">
        <v>0</v>
      </c>
      <c r="AA361" s="170">
        <v>0</v>
      </c>
      <c r="AB361" s="170">
        <v>0</v>
      </c>
      <c r="AC361" s="171">
        <v>180</v>
      </c>
      <c r="AD361" s="172">
        <v>15181622.51526</v>
      </c>
      <c r="AE361" s="173">
        <v>180</v>
      </c>
      <c r="AF361" s="174">
        <v>46357</v>
      </c>
    </row>
    <row r="362" spans="1:32" x14ac:dyDescent="0.35">
      <c r="A362" s="162" t="s">
        <v>597</v>
      </c>
      <c r="B362" s="163" t="s">
        <v>928</v>
      </c>
      <c r="C362" s="154"/>
      <c r="D362" s="162" t="s">
        <v>162</v>
      </c>
      <c r="E362" s="164" t="s">
        <v>162</v>
      </c>
      <c r="F362" s="164" t="s">
        <v>928</v>
      </c>
      <c r="G362" s="164" t="s">
        <v>597</v>
      </c>
      <c r="H362" s="165">
        <v>33577</v>
      </c>
      <c r="I362" s="164" t="s">
        <v>20</v>
      </c>
      <c r="J362" s="164" t="s">
        <v>21</v>
      </c>
      <c r="K362" s="165">
        <v>42646</v>
      </c>
      <c r="L362" s="166" t="s">
        <v>164</v>
      </c>
      <c r="M362" s="154"/>
      <c r="N362" s="154"/>
      <c r="O362" s="164" t="s">
        <v>165</v>
      </c>
      <c r="P362" s="164">
        <v>34</v>
      </c>
      <c r="Q362" s="164">
        <v>9</v>
      </c>
      <c r="R362" s="167" t="s">
        <v>903</v>
      </c>
      <c r="S362" s="167" t="s">
        <v>115</v>
      </c>
      <c r="T362" s="162" t="s">
        <v>800</v>
      </c>
      <c r="U362" s="167" t="s">
        <v>801</v>
      </c>
      <c r="X362" s="169">
        <v>45018</v>
      </c>
      <c r="Y362" s="170">
        <v>26</v>
      </c>
      <c r="Z362" s="170">
        <v>0</v>
      </c>
      <c r="AA362" s="170">
        <v>0</v>
      </c>
      <c r="AB362" s="170">
        <v>0</v>
      </c>
      <c r="AC362" s="171">
        <v>26</v>
      </c>
      <c r="AD362" s="172">
        <v>2192901.0299800001</v>
      </c>
      <c r="AE362" s="173">
        <v>26</v>
      </c>
      <c r="AF362" s="174">
        <v>46357</v>
      </c>
    </row>
    <row r="363" spans="1:32" x14ac:dyDescent="0.35">
      <c r="A363" s="162" t="s">
        <v>597</v>
      </c>
      <c r="B363" s="163" t="s">
        <v>928</v>
      </c>
      <c r="C363" s="154"/>
      <c r="D363" s="162" t="s">
        <v>162</v>
      </c>
      <c r="E363" s="164" t="s">
        <v>162</v>
      </c>
      <c r="F363" s="164" t="s">
        <v>928</v>
      </c>
      <c r="G363" s="164" t="s">
        <v>597</v>
      </c>
      <c r="H363" s="165">
        <v>33577</v>
      </c>
      <c r="I363" s="164" t="s">
        <v>20</v>
      </c>
      <c r="J363" s="164" t="s">
        <v>21</v>
      </c>
      <c r="K363" s="165">
        <v>42646</v>
      </c>
      <c r="L363" s="166" t="s">
        <v>164</v>
      </c>
      <c r="M363" s="154"/>
      <c r="N363" s="154"/>
      <c r="O363" s="164" t="s">
        <v>165</v>
      </c>
      <c r="P363" s="164">
        <v>34</v>
      </c>
      <c r="Q363" s="164">
        <v>9</v>
      </c>
      <c r="R363" s="167" t="s">
        <v>903</v>
      </c>
      <c r="S363" s="167" t="s">
        <v>115</v>
      </c>
      <c r="T363" s="162" t="s">
        <v>800</v>
      </c>
      <c r="U363" s="167" t="s">
        <v>802</v>
      </c>
      <c r="X363" s="169">
        <v>45018</v>
      </c>
      <c r="Y363" s="170">
        <v>98</v>
      </c>
      <c r="Z363" s="170">
        <v>0</v>
      </c>
      <c r="AA363" s="170">
        <v>0</v>
      </c>
      <c r="AB363" s="170">
        <v>0</v>
      </c>
      <c r="AC363" s="171">
        <v>98</v>
      </c>
      <c r="AD363" s="172">
        <v>8265550.0360899996</v>
      </c>
      <c r="AE363" s="173">
        <v>98</v>
      </c>
      <c r="AF363" s="174">
        <v>46357</v>
      </c>
    </row>
    <row r="364" spans="1:32" x14ac:dyDescent="0.35">
      <c r="A364" s="162" t="s">
        <v>597</v>
      </c>
      <c r="B364" s="163" t="s">
        <v>928</v>
      </c>
      <c r="C364" s="154"/>
      <c r="D364" s="162" t="s">
        <v>162</v>
      </c>
      <c r="E364" s="164" t="s">
        <v>162</v>
      </c>
      <c r="F364" s="164" t="s">
        <v>928</v>
      </c>
      <c r="G364" s="164" t="s">
        <v>597</v>
      </c>
      <c r="H364" s="165">
        <v>33577</v>
      </c>
      <c r="I364" s="164" t="s">
        <v>20</v>
      </c>
      <c r="J364" s="164" t="s">
        <v>21</v>
      </c>
      <c r="K364" s="165">
        <v>42646</v>
      </c>
      <c r="L364" s="166" t="s">
        <v>164</v>
      </c>
      <c r="M364" s="154"/>
      <c r="N364" s="154"/>
      <c r="O364" s="164" t="s">
        <v>165</v>
      </c>
      <c r="P364" s="164">
        <v>34</v>
      </c>
      <c r="Q364" s="164">
        <v>9</v>
      </c>
      <c r="R364" s="167" t="s">
        <v>903</v>
      </c>
      <c r="S364" s="167" t="s">
        <v>115</v>
      </c>
      <c r="T364" s="162" t="s">
        <v>800</v>
      </c>
      <c r="U364" s="167" t="s">
        <v>803</v>
      </c>
      <c r="X364" s="169">
        <v>45018</v>
      </c>
      <c r="Y364" s="170">
        <v>2</v>
      </c>
      <c r="Z364" s="170">
        <v>0</v>
      </c>
      <c r="AA364" s="170">
        <v>0</v>
      </c>
      <c r="AB364" s="170">
        <v>0</v>
      </c>
      <c r="AC364" s="171">
        <v>2</v>
      </c>
      <c r="AD364" s="172">
        <v>168684.69461000001</v>
      </c>
      <c r="AE364" s="173">
        <v>2</v>
      </c>
      <c r="AF364" s="174">
        <v>46357</v>
      </c>
    </row>
    <row r="365" spans="1:32" x14ac:dyDescent="0.35">
      <c r="A365" s="162" t="s">
        <v>597</v>
      </c>
      <c r="B365" s="163" t="s">
        <v>928</v>
      </c>
      <c r="C365" s="154"/>
      <c r="D365" s="162" t="s">
        <v>162</v>
      </c>
      <c r="E365" s="164" t="s">
        <v>162</v>
      </c>
      <c r="F365" s="164" t="s">
        <v>928</v>
      </c>
      <c r="G365" s="164" t="s">
        <v>597</v>
      </c>
      <c r="H365" s="165">
        <v>33577</v>
      </c>
      <c r="I365" s="164" t="s">
        <v>20</v>
      </c>
      <c r="J365" s="164" t="s">
        <v>21</v>
      </c>
      <c r="K365" s="165">
        <v>42646</v>
      </c>
      <c r="L365" s="166" t="s">
        <v>164</v>
      </c>
      <c r="M365" s="154"/>
      <c r="N365" s="154"/>
      <c r="O365" s="164" t="s">
        <v>165</v>
      </c>
      <c r="P365" s="164">
        <v>34</v>
      </c>
      <c r="Q365" s="164">
        <v>9</v>
      </c>
      <c r="R365" s="167" t="s">
        <v>903</v>
      </c>
      <c r="S365" s="167" t="s">
        <v>115</v>
      </c>
      <c r="T365" s="162" t="s">
        <v>800</v>
      </c>
      <c r="U365" s="167" t="s">
        <v>804</v>
      </c>
      <c r="X365" s="169">
        <v>45018</v>
      </c>
      <c r="Y365" s="170">
        <v>5</v>
      </c>
      <c r="Z365" s="170">
        <v>0</v>
      </c>
      <c r="AA365" s="170">
        <v>0</v>
      </c>
      <c r="AB365" s="170">
        <v>0</v>
      </c>
      <c r="AC365" s="171">
        <v>5</v>
      </c>
      <c r="AD365" s="172">
        <v>421711.73654000001</v>
      </c>
      <c r="AE365" s="173">
        <v>5</v>
      </c>
      <c r="AF365" s="174">
        <v>46357</v>
      </c>
    </row>
    <row r="366" spans="1:32" x14ac:dyDescent="0.35">
      <c r="A366" s="162" t="s">
        <v>597</v>
      </c>
      <c r="B366" s="163" t="s">
        <v>928</v>
      </c>
      <c r="C366" s="154"/>
      <c r="D366" s="162" t="s">
        <v>162</v>
      </c>
      <c r="E366" s="164" t="s">
        <v>162</v>
      </c>
      <c r="F366" s="164" t="s">
        <v>928</v>
      </c>
      <c r="G366" s="164" t="s">
        <v>597</v>
      </c>
      <c r="H366" s="165">
        <v>33577</v>
      </c>
      <c r="I366" s="164" t="s">
        <v>20</v>
      </c>
      <c r="J366" s="164" t="s">
        <v>21</v>
      </c>
      <c r="K366" s="165">
        <v>42646</v>
      </c>
      <c r="L366" s="166" t="s">
        <v>164</v>
      </c>
      <c r="M366" s="154"/>
      <c r="N366" s="154"/>
      <c r="O366" s="164" t="s">
        <v>165</v>
      </c>
      <c r="P366" s="164">
        <v>34</v>
      </c>
      <c r="Q366" s="164">
        <v>9</v>
      </c>
      <c r="R366" s="167" t="s">
        <v>903</v>
      </c>
      <c r="S366" s="167" t="s">
        <v>115</v>
      </c>
      <c r="T366" s="162" t="s">
        <v>800</v>
      </c>
      <c r="U366" s="167" t="s">
        <v>805</v>
      </c>
      <c r="X366" s="169">
        <v>45018</v>
      </c>
      <c r="Y366" s="170">
        <v>2.4999999966690001</v>
      </c>
      <c r="Z366" s="170">
        <v>0.41666667000000002</v>
      </c>
      <c r="AA366" s="170">
        <v>0</v>
      </c>
      <c r="AB366" s="170">
        <v>0</v>
      </c>
      <c r="AC366" s="171">
        <v>2.9166666666690002</v>
      </c>
      <c r="AD366" s="172">
        <v>245998.51298</v>
      </c>
      <c r="AE366" s="173">
        <v>2.92</v>
      </c>
      <c r="AF366" s="174">
        <v>46357</v>
      </c>
    </row>
    <row r="367" spans="1:32" ht="30" x14ac:dyDescent="0.35">
      <c r="A367" s="162" t="s">
        <v>929</v>
      </c>
      <c r="B367" s="163" t="s">
        <v>930</v>
      </c>
      <c r="C367" s="154"/>
      <c r="D367" s="162" t="s">
        <v>166</v>
      </c>
      <c r="E367" s="164" t="s">
        <v>166</v>
      </c>
      <c r="F367" s="164" t="s">
        <v>930</v>
      </c>
      <c r="G367" s="164" t="s">
        <v>929</v>
      </c>
      <c r="H367" s="165">
        <v>35405</v>
      </c>
      <c r="I367" s="164" t="s">
        <v>48</v>
      </c>
      <c r="J367" s="164" t="s">
        <v>21</v>
      </c>
      <c r="K367" s="165">
        <v>42646</v>
      </c>
      <c r="L367" s="166" t="s">
        <v>168</v>
      </c>
      <c r="M367" s="154"/>
      <c r="N367" s="154"/>
      <c r="O367" s="164" t="s">
        <v>44</v>
      </c>
      <c r="P367" s="164">
        <v>29</v>
      </c>
      <c r="Q367" s="164">
        <v>9</v>
      </c>
      <c r="R367" s="167" t="s">
        <v>931</v>
      </c>
      <c r="S367" s="167" t="s">
        <v>848</v>
      </c>
      <c r="T367" s="162" t="s">
        <v>794</v>
      </c>
      <c r="U367" s="167" t="s">
        <v>795</v>
      </c>
      <c r="V367" s="162" t="s">
        <v>838</v>
      </c>
      <c r="W367" s="168">
        <v>9</v>
      </c>
      <c r="X367" s="169">
        <v>45171</v>
      </c>
      <c r="Y367" s="170">
        <v>24.666666669996999</v>
      </c>
      <c r="Z367" s="170">
        <v>2.0833333299999999</v>
      </c>
      <c r="AA367" s="170">
        <v>0</v>
      </c>
      <c r="AB367" s="170">
        <v>0</v>
      </c>
      <c r="AC367" s="171">
        <v>26.749999999997002</v>
      </c>
      <c r="AD367" s="172">
        <v>4266938.8700799998</v>
      </c>
      <c r="AE367" s="173" t="s">
        <v>797</v>
      </c>
      <c r="AF367" s="173"/>
    </row>
    <row r="368" spans="1:32" ht="30" x14ac:dyDescent="0.35">
      <c r="A368" s="162" t="s">
        <v>929</v>
      </c>
      <c r="B368" s="163" t="s">
        <v>930</v>
      </c>
      <c r="C368" s="154"/>
      <c r="D368" s="162" t="s">
        <v>166</v>
      </c>
      <c r="E368" s="164" t="s">
        <v>166</v>
      </c>
      <c r="F368" s="164" t="s">
        <v>930</v>
      </c>
      <c r="G368" s="164" t="s">
        <v>929</v>
      </c>
      <c r="H368" s="165">
        <v>35405</v>
      </c>
      <c r="I368" s="164" t="s">
        <v>48</v>
      </c>
      <c r="J368" s="164" t="s">
        <v>21</v>
      </c>
      <c r="K368" s="165">
        <v>42646</v>
      </c>
      <c r="L368" s="166" t="s">
        <v>168</v>
      </c>
      <c r="M368" s="154"/>
      <c r="N368" s="154"/>
      <c r="O368" s="164" t="s">
        <v>44</v>
      </c>
      <c r="P368" s="164">
        <v>29</v>
      </c>
      <c r="Q368" s="164">
        <v>9</v>
      </c>
      <c r="R368" s="167" t="s">
        <v>931</v>
      </c>
      <c r="S368" s="167" t="s">
        <v>848</v>
      </c>
      <c r="T368" s="162" t="s">
        <v>798</v>
      </c>
      <c r="U368" s="167" t="s">
        <v>839</v>
      </c>
      <c r="X368" s="169">
        <v>45171</v>
      </c>
      <c r="Y368" s="170">
        <v>180</v>
      </c>
      <c r="Z368" s="170">
        <v>0</v>
      </c>
      <c r="AA368" s="170">
        <v>0</v>
      </c>
      <c r="AB368" s="170">
        <v>0</v>
      </c>
      <c r="AC368" s="171">
        <v>180</v>
      </c>
      <c r="AD368" s="172">
        <v>28712112.022980001</v>
      </c>
      <c r="AE368" s="173">
        <v>180</v>
      </c>
      <c r="AF368" s="174">
        <v>46357</v>
      </c>
    </row>
    <row r="369" spans="1:32" ht="30" x14ac:dyDescent="0.35">
      <c r="A369" s="162" t="s">
        <v>929</v>
      </c>
      <c r="B369" s="163" t="s">
        <v>930</v>
      </c>
      <c r="C369" s="154"/>
      <c r="D369" s="162" t="s">
        <v>166</v>
      </c>
      <c r="E369" s="164" t="s">
        <v>166</v>
      </c>
      <c r="F369" s="164" t="s">
        <v>930</v>
      </c>
      <c r="G369" s="164" t="s">
        <v>929</v>
      </c>
      <c r="H369" s="165">
        <v>35405</v>
      </c>
      <c r="I369" s="164" t="s">
        <v>48</v>
      </c>
      <c r="J369" s="164" t="s">
        <v>21</v>
      </c>
      <c r="K369" s="165">
        <v>42646</v>
      </c>
      <c r="L369" s="166" t="s">
        <v>168</v>
      </c>
      <c r="M369" s="154"/>
      <c r="N369" s="154"/>
      <c r="O369" s="164" t="s">
        <v>44</v>
      </c>
      <c r="P369" s="164">
        <v>29</v>
      </c>
      <c r="Q369" s="164">
        <v>9</v>
      </c>
      <c r="R369" s="167" t="s">
        <v>931</v>
      </c>
      <c r="S369" s="167" t="s">
        <v>848</v>
      </c>
      <c r="T369" s="162" t="s">
        <v>800</v>
      </c>
      <c r="U369" s="167" t="s">
        <v>801</v>
      </c>
      <c r="X369" s="169">
        <v>45171</v>
      </c>
      <c r="Y369" s="170">
        <v>24</v>
      </c>
      <c r="Z369" s="170">
        <v>0</v>
      </c>
      <c r="AA369" s="170">
        <v>-1</v>
      </c>
      <c r="AB369" s="170">
        <v>0</v>
      </c>
      <c r="AC369" s="171">
        <v>23</v>
      </c>
      <c r="AD369" s="172">
        <v>3668769.8695999999</v>
      </c>
      <c r="AE369" s="173">
        <v>23</v>
      </c>
      <c r="AF369" s="174">
        <v>46357</v>
      </c>
    </row>
    <row r="370" spans="1:32" ht="30" x14ac:dyDescent="0.35">
      <c r="A370" s="162" t="s">
        <v>929</v>
      </c>
      <c r="B370" s="163" t="s">
        <v>930</v>
      </c>
      <c r="C370" s="154"/>
      <c r="D370" s="162" t="s">
        <v>166</v>
      </c>
      <c r="E370" s="164" t="s">
        <v>166</v>
      </c>
      <c r="F370" s="164" t="s">
        <v>930</v>
      </c>
      <c r="G370" s="164" t="s">
        <v>929</v>
      </c>
      <c r="H370" s="165">
        <v>35405</v>
      </c>
      <c r="I370" s="164" t="s">
        <v>48</v>
      </c>
      <c r="J370" s="164" t="s">
        <v>21</v>
      </c>
      <c r="K370" s="165">
        <v>42646</v>
      </c>
      <c r="L370" s="166" t="s">
        <v>168</v>
      </c>
      <c r="M370" s="154"/>
      <c r="N370" s="154"/>
      <c r="O370" s="164" t="s">
        <v>44</v>
      </c>
      <c r="P370" s="164">
        <v>29</v>
      </c>
      <c r="Q370" s="164">
        <v>9</v>
      </c>
      <c r="R370" s="167" t="s">
        <v>931</v>
      </c>
      <c r="S370" s="167" t="s">
        <v>848</v>
      </c>
      <c r="T370" s="162" t="s">
        <v>800</v>
      </c>
      <c r="U370" s="167" t="s">
        <v>802</v>
      </c>
      <c r="X370" s="169">
        <v>45171</v>
      </c>
      <c r="Y370" s="170">
        <v>98</v>
      </c>
      <c r="Z370" s="170">
        <v>0</v>
      </c>
      <c r="AA370" s="170">
        <v>0</v>
      </c>
      <c r="AB370" s="170">
        <v>0</v>
      </c>
      <c r="AC370" s="171">
        <v>98</v>
      </c>
      <c r="AD370" s="172">
        <v>15632149.879179999</v>
      </c>
      <c r="AE370" s="173">
        <v>98</v>
      </c>
      <c r="AF370" s="174">
        <v>46357</v>
      </c>
    </row>
    <row r="371" spans="1:32" ht="30" x14ac:dyDescent="0.35">
      <c r="A371" s="162" t="s">
        <v>929</v>
      </c>
      <c r="B371" s="163" t="s">
        <v>930</v>
      </c>
      <c r="C371" s="154"/>
      <c r="D371" s="162" t="s">
        <v>166</v>
      </c>
      <c r="E371" s="164" t="s">
        <v>166</v>
      </c>
      <c r="F371" s="164" t="s">
        <v>930</v>
      </c>
      <c r="G371" s="164" t="s">
        <v>929</v>
      </c>
      <c r="H371" s="165">
        <v>35405</v>
      </c>
      <c r="I371" s="164" t="s">
        <v>48</v>
      </c>
      <c r="J371" s="164" t="s">
        <v>21</v>
      </c>
      <c r="K371" s="165">
        <v>42646</v>
      </c>
      <c r="L371" s="166" t="s">
        <v>168</v>
      </c>
      <c r="M371" s="154"/>
      <c r="N371" s="154"/>
      <c r="O371" s="164" t="s">
        <v>44</v>
      </c>
      <c r="P371" s="164">
        <v>29</v>
      </c>
      <c r="Q371" s="164">
        <v>9</v>
      </c>
      <c r="R371" s="167" t="s">
        <v>931</v>
      </c>
      <c r="S371" s="167" t="s">
        <v>848</v>
      </c>
      <c r="T371" s="162" t="s">
        <v>800</v>
      </c>
      <c r="U371" s="167" t="s">
        <v>803</v>
      </c>
      <c r="X371" s="169">
        <v>45171</v>
      </c>
      <c r="Y371" s="170">
        <v>2</v>
      </c>
      <c r="Z371" s="170">
        <v>0</v>
      </c>
      <c r="AA371" s="170">
        <v>0</v>
      </c>
      <c r="AB371" s="170">
        <v>0</v>
      </c>
      <c r="AC371" s="171">
        <v>2</v>
      </c>
      <c r="AD371" s="172">
        <v>319023.46691999998</v>
      </c>
      <c r="AE371" s="173">
        <v>2</v>
      </c>
      <c r="AF371" s="174">
        <v>46357</v>
      </c>
    </row>
    <row r="372" spans="1:32" ht="30" x14ac:dyDescent="0.35">
      <c r="A372" s="162" t="s">
        <v>929</v>
      </c>
      <c r="B372" s="163" t="s">
        <v>930</v>
      </c>
      <c r="C372" s="154"/>
      <c r="D372" s="162" t="s">
        <v>166</v>
      </c>
      <c r="E372" s="164" t="s">
        <v>166</v>
      </c>
      <c r="F372" s="164" t="s">
        <v>930</v>
      </c>
      <c r="G372" s="164" t="s">
        <v>929</v>
      </c>
      <c r="H372" s="165">
        <v>35405</v>
      </c>
      <c r="I372" s="164" t="s">
        <v>48</v>
      </c>
      <c r="J372" s="164" t="s">
        <v>21</v>
      </c>
      <c r="K372" s="165">
        <v>42646</v>
      </c>
      <c r="L372" s="166" t="s">
        <v>168</v>
      </c>
      <c r="M372" s="154"/>
      <c r="N372" s="154"/>
      <c r="O372" s="164" t="s">
        <v>44</v>
      </c>
      <c r="P372" s="164">
        <v>29</v>
      </c>
      <c r="Q372" s="164">
        <v>9</v>
      </c>
      <c r="R372" s="167" t="s">
        <v>931</v>
      </c>
      <c r="S372" s="167" t="s">
        <v>848</v>
      </c>
      <c r="T372" s="162" t="s">
        <v>800</v>
      </c>
      <c r="U372" s="167" t="s">
        <v>804</v>
      </c>
      <c r="X372" s="169">
        <v>45171</v>
      </c>
      <c r="Y372" s="170">
        <v>5</v>
      </c>
      <c r="Z372" s="170">
        <v>0</v>
      </c>
      <c r="AA372" s="170">
        <v>0</v>
      </c>
      <c r="AB372" s="170">
        <v>0</v>
      </c>
      <c r="AC372" s="171">
        <v>5</v>
      </c>
      <c r="AD372" s="172">
        <v>797558.66731000005</v>
      </c>
      <c r="AE372" s="173">
        <v>5</v>
      </c>
      <c r="AF372" s="174">
        <v>46357</v>
      </c>
    </row>
    <row r="373" spans="1:32" ht="30" x14ac:dyDescent="0.35">
      <c r="A373" s="162" t="s">
        <v>929</v>
      </c>
      <c r="B373" s="163" t="s">
        <v>930</v>
      </c>
      <c r="C373" s="154"/>
      <c r="D373" s="162" t="s">
        <v>166</v>
      </c>
      <c r="E373" s="164" t="s">
        <v>166</v>
      </c>
      <c r="F373" s="164" t="s">
        <v>930</v>
      </c>
      <c r="G373" s="164" t="s">
        <v>929</v>
      </c>
      <c r="H373" s="165">
        <v>35405</v>
      </c>
      <c r="I373" s="164" t="s">
        <v>48</v>
      </c>
      <c r="J373" s="164" t="s">
        <v>21</v>
      </c>
      <c r="K373" s="165">
        <v>42646</v>
      </c>
      <c r="L373" s="166" t="s">
        <v>168</v>
      </c>
      <c r="M373" s="154"/>
      <c r="N373" s="154"/>
      <c r="O373" s="164" t="s">
        <v>44</v>
      </c>
      <c r="P373" s="164">
        <v>29</v>
      </c>
      <c r="Q373" s="164">
        <v>9</v>
      </c>
      <c r="R373" s="167" t="s">
        <v>931</v>
      </c>
      <c r="S373" s="167" t="s">
        <v>848</v>
      </c>
      <c r="T373" s="162" t="s">
        <v>800</v>
      </c>
      <c r="U373" s="167" t="s">
        <v>840</v>
      </c>
      <c r="X373" s="169">
        <v>45171</v>
      </c>
      <c r="Y373" s="170">
        <v>2.4999999966690001</v>
      </c>
      <c r="Z373" s="170">
        <v>0.41666667000000002</v>
      </c>
      <c r="AA373" s="170">
        <v>0</v>
      </c>
      <c r="AB373" s="170">
        <v>0</v>
      </c>
      <c r="AC373" s="171">
        <v>2.9166666666690002</v>
      </c>
      <c r="AD373" s="172">
        <v>465242.55592999997</v>
      </c>
      <c r="AE373" s="173">
        <v>2.92</v>
      </c>
      <c r="AF373" s="174">
        <v>46357</v>
      </c>
    </row>
    <row r="374" spans="1:32" ht="20" x14ac:dyDescent="0.35">
      <c r="A374" s="162" t="s">
        <v>648</v>
      </c>
      <c r="B374" s="163" t="s">
        <v>932</v>
      </c>
      <c r="C374" s="154"/>
      <c r="D374" s="162" t="s">
        <v>169</v>
      </c>
      <c r="E374" s="164" t="s">
        <v>169</v>
      </c>
      <c r="F374" s="164" t="s">
        <v>932</v>
      </c>
      <c r="G374" s="164" t="s">
        <v>648</v>
      </c>
      <c r="H374" s="165">
        <v>28178</v>
      </c>
      <c r="I374" s="164" t="s">
        <v>20</v>
      </c>
      <c r="J374" s="164" t="s">
        <v>21</v>
      </c>
      <c r="K374" s="165">
        <v>42646</v>
      </c>
      <c r="L374" s="166" t="s">
        <v>171</v>
      </c>
      <c r="M374" s="154"/>
      <c r="N374" s="154"/>
      <c r="O374" s="164" t="s">
        <v>44</v>
      </c>
      <c r="P374" s="164">
        <v>49</v>
      </c>
      <c r="Q374" s="164">
        <v>9</v>
      </c>
      <c r="R374" s="167" t="s">
        <v>888</v>
      </c>
      <c r="S374" s="167" t="s">
        <v>45</v>
      </c>
      <c r="T374" s="162" t="s">
        <v>794</v>
      </c>
      <c r="U374" s="167" t="s">
        <v>795</v>
      </c>
      <c r="V374" s="162" t="s">
        <v>838</v>
      </c>
      <c r="W374" s="168">
        <v>9</v>
      </c>
      <c r="X374" s="169">
        <v>45018</v>
      </c>
      <c r="Y374" s="170">
        <v>18.000000003330001</v>
      </c>
      <c r="Z374" s="170">
        <v>2.0833333299999999</v>
      </c>
      <c r="AA374" s="170">
        <v>0</v>
      </c>
      <c r="AB374" s="170">
        <v>0</v>
      </c>
      <c r="AC374" s="171">
        <v>20.08333333333</v>
      </c>
      <c r="AD374" s="172">
        <v>3116648.8065599999</v>
      </c>
      <c r="AE374" s="173" t="s">
        <v>797</v>
      </c>
      <c r="AF374" s="173"/>
    </row>
    <row r="375" spans="1:32" ht="20" x14ac:dyDescent="0.35">
      <c r="A375" s="162" t="s">
        <v>648</v>
      </c>
      <c r="B375" s="163" t="s">
        <v>932</v>
      </c>
      <c r="C375" s="154"/>
      <c r="D375" s="162" t="s">
        <v>169</v>
      </c>
      <c r="E375" s="164" t="s">
        <v>169</v>
      </c>
      <c r="F375" s="164" t="s">
        <v>932</v>
      </c>
      <c r="G375" s="164" t="s">
        <v>648</v>
      </c>
      <c r="H375" s="165">
        <v>28178</v>
      </c>
      <c r="I375" s="164" t="s">
        <v>20</v>
      </c>
      <c r="J375" s="164" t="s">
        <v>21</v>
      </c>
      <c r="K375" s="165">
        <v>42646</v>
      </c>
      <c r="L375" s="166" t="s">
        <v>171</v>
      </c>
      <c r="M375" s="154"/>
      <c r="N375" s="154"/>
      <c r="O375" s="164" t="s">
        <v>44</v>
      </c>
      <c r="P375" s="164">
        <v>49</v>
      </c>
      <c r="Q375" s="164">
        <v>9</v>
      </c>
      <c r="R375" s="167" t="s">
        <v>888</v>
      </c>
      <c r="S375" s="167" t="s">
        <v>45</v>
      </c>
      <c r="T375" s="162" t="s">
        <v>798</v>
      </c>
      <c r="U375" s="167" t="s">
        <v>839</v>
      </c>
      <c r="X375" s="169">
        <v>45018</v>
      </c>
      <c r="Y375" s="170">
        <v>180</v>
      </c>
      <c r="Z375" s="170">
        <v>0</v>
      </c>
      <c r="AA375" s="170">
        <v>0</v>
      </c>
      <c r="AB375" s="170">
        <v>0</v>
      </c>
      <c r="AC375" s="171">
        <v>180</v>
      </c>
      <c r="AD375" s="172">
        <v>27933449.88456</v>
      </c>
      <c r="AE375" s="173">
        <v>180</v>
      </c>
      <c r="AF375" s="174">
        <v>46357</v>
      </c>
    </row>
    <row r="376" spans="1:32" ht="20" x14ac:dyDescent="0.35">
      <c r="A376" s="162" t="s">
        <v>648</v>
      </c>
      <c r="B376" s="163" t="s">
        <v>932</v>
      </c>
      <c r="C376" s="154"/>
      <c r="D376" s="162" t="s">
        <v>169</v>
      </c>
      <c r="E376" s="164" t="s">
        <v>169</v>
      </c>
      <c r="F376" s="164" t="s">
        <v>932</v>
      </c>
      <c r="G376" s="164" t="s">
        <v>648</v>
      </c>
      <c r="H376" s="165">
        <v>28178</v>
      </c>
      <c r="I376" s="164" t="s">
        <v>20</v>
      </c>
      <c r="J376" s="164" t="s">
        <v>21</v>
      </c>
      <c r="K376" s="165">
        <v>42646</v>
      </c>
      <c r="L376" s="166" t="s">
        <v>171</v>
      </c>
      <c r="M376" s="154"/>
      <c r="N376" s="154"/>
      <c r="O376" s="164" t="s">
        <v>44</v>
      </c>
      <c r="P376" s="164">
        <v>49</v>
      </c>
      <c r="Q376" s="164">
        <v>9</v>
      </c>
      <c r="R376" s="167" t="s">
        <v>888</v>
      </c>
      <c r="S376" s="167" t="s">
        <v>45</v>
      </c>
      <c r="T376" s="162" t="s">
        <v>800</v>
      </c>
      <c r="U376" s="167" t="s">
        <v>801</v>
      </c>
      <c r="X376" s="169">
        <v>45018</v>
      </c>
      <c r="Y376" s="170">
        <v>26</v>
      </c>
      <c r="Z376" s="170">
        <v>0</v>
      </c>
      <c r="AA376" s="170">
        <v>0</v>
      </c>
      <c r="AB376" s="170">
        <v>0</v>
      </c>
      <c r="AC376" s="171">
        <v>26</v>
      </c>
      <c r="AD376" s="172">
        <v>4034831.6499899998</v>
      </c>
      <c r="AE376" s="173">
        <v>26</v>
      </c>
      <c r="AF376" s="174">
        <v>46357</v>
      </c>
    </row>
    <row r="377" spans="1:32" ht="20" x14ac:dyDescent="0.35">
      <c r="A377" s="162" t="s">
        <v>648</v>
      </c>
      <c r="B377" s="163" t="s">
        <v>932</v>
      </c>
      <c r="C377" s="154"/>
      <c r="D377" s="162" t="s">
        <v>169</v>
      </c>
      <c r="E377" s="164" t="s">
        <v>169</v>
      </c>
      <c r="F377" s="164" t="s">
        <v>932</v>
      </c>
      <c r="G377" s="164" t="s">
        <v>648</v>
      </c>
      <c r="H377" s="165">
        <v>28178</v>
      </c>
      <c r="I377" s="164" t="s">
        <v>20</v>
      </c>
      <c r="J377" s="164" t="s">
        <v>21</v>
      </c>
      <c r="K377" s="165">
        <v>42646</v>
      </c>
      <c r="L377" s="166" t="s">
        <v>171</v>
      </c>
      <c r="M377" s="154"/>
      <c r="N377" s="154"/>
      <c r="O377" s="164" t="s">
        <v>44</v>
      </c>
      <c r="P377" s="164">
        <v>49</v>
      </c>
      <c r="Q377" s="164">
        <v>9</v>
      </c>
      <c r="R377" s="167" t="s">
        <v>888</v>
      </c>
      <c r="S377" s="167" t="s">
        <v>45</v>
      </c>
      <c r="T377" s="162" t="s">
        <v>800</v>
      </c>
      <c r="U377" s="167" t="s">
        <v>802</v>
      </c>
      <c r="X377" s="169">
        <v>45018</v>
      </c>
      <c r="Y377" s="170">
        <v>98</v>
      </c>
      <c r="Z377" s="170">
        <v>0</v>
      </c>
      <c r="AA377" s="170">
        <v>0</v>
      </c>
      <c r="AB377" s="170">
        <v>0</v>
      </c>
      <c r="AC377" s="171">
        <v>98</v>
      </c>
      <c r="AD377" s="172">
        <v>15208211.60382</v>
      </c>
      <c r="AE377" s="173">
        <v>98</v>
      </c>
      <c r="AF377" s="174">
        <v>46357</v>
      </c>
    </row>
    <row r="378" spans="1:32" ht="20" x14ac:dyDescent="0.35">
      <c r="A378" s="162" t="s">
        <v>648</v>
      </c>
      <c r="B378" s="163" t="s">
        <v>932</v>
      </c>
      <c r="C378" s="154"/>
      <c r="D378" s="162" t="s">
        <v>169</v>
      </c>
      <c r="E378" s="164" t="s">
        <v>169</v>
      </c>
      <c r="F378" s="164" t="s">
        <v>932</v>
      </c>
      <c r="G378" s="164" t="s">
        <v>648</v>
      </c>
      <c r="H378" s="165">
        <v>28178</v>
      </c>
      <c r="I378" s="164" t="s">
        <v>20</v>
      </c>
      <c r="J378" s="164" t="s">
        <v>21</v>
      </c>
      <c r="K378" s="165">
        <v>42646</v>
      </c>
      <c r="L378" s="166" t="s">
        <v>171</v>
      </c>
      <c r="M378" s="154"/>
      <c r="N378" s="154"/>
      <c r="O378" s="164" t="s">
        <v>44</v>
      </c>
      <c r="P378" s="164">
        <v>49</v>
      </c>
      <c r="Q378" s="164">
        <v>9</v>
      </c>
      <c r="R378" s="167" t="s">
        <v>888</v>
      </c>
      <c r="S378" s="167" t="s">
        <v>45</v>
      </c>
      <c r="T378" s="162" t="s">
        <v>800</v>
      </c>
      <c r="U378" s="167" t="s">
        <v>803</v>
      </c>
      <c r="X378" s="169">
        <v>45018</v>
      </c>
      <c r="Y378" s="170">
        <v>2</v>
      </c>
      <c r="Z378" s="170">
        <v>0</v>
      </c>
      <c r="AA378" s="170">
        <v>0</v>
      </c>
      <c r="AB378" s="170">
        <v>0</v>
      </c>
      <c r="AC378" s="171">
        <v>2</v>
      </c>
      <c r="AD378" s="172">
        <v>310371.66538000002</v>
      </c>
      <c r="AE378" s="173">
        <v>2</v>
      </c>
      <c r="AF378" s="174">
        <v>46357</v>
      </c>
    </row>
    <row r="379" spans="1:32" ht="20" x14ac:dyDescent="0.35">
      <c r="A379" s="162" t="s">
        <v>648</v>
      </c>
      <c r="B379" s="163" t="s">
        <v>932</v>
      </c>
      <c r="C379" s="154"/>
      <c r="D379" s="162" t="s">
        <v>169</v>
      </c>
      <c r="E379" s="164" t="s">
        <v>169</v>
      </c>
      <c r="F379" s="164" t="s">
        <v>932</v>
      </c>
      <c r="G379" s="164" t="s">
        <v>648</v>
      </c>
      <c r="H379" s="165">
        <v>28178</v>
      </c>
      <c r="I379" s="164" t="s">
        <v>20</v>
      </c>
      <c r="J379" s="164" t="s">
        <v>21</v>
      </c>
      <c r="K379" s="165">
        <v>42646</v>
      </c>
      <c r="L379" s="166" t="s">
        <v>171</v>
      </c>
      <c r="M379" s="154"/>
      <c r="N379" s="154"/>
      <c r="O379" s="164" t="s">
        <v>44</v>
      </c>
      <c r="P379" s="164">
        <v>49</v>
      </c>
      <c r="Q379" s="164">
        <v>9</v>
      </c>
      <c r="R379" s="167" t="s">
        <v>888</v>
      </c>
      <c r="S379" s="167" t="s">
        <v>45</v>
      </c>
      <c r="T379" s="162" t="s">
        <v>800</v>
      </c>
      <c r="U379" s="167" t="s">
        <v>804</v>
      </c>
      <c r="X379" s="169">
        <v>45018</v>
      </c>
      <c r="Y379" s="170">
        <v>5</v>
      </c>
      <c r="Z379" s="170">
        <v>0</v>
      </c>
      <c r="AA379" s="170">
        <v>0</v>
      </c>
      <c r="AB379" s="170">
        <v>0</v>
      </c>
      <c r="AC379" s="171">
        <v>5</v>
      </c>
      <c r="AD379" s="172">
        <v>775929.16345999995</v>
      </c>
      <c r="AE379" s="173">
        <v>5</v>
      </c>
      <c r="AF379" s="174">
        <v>46357</v>
      </c>
    </row>
    <row r="380" spans="1:32" ht="20" x14ac:dyDescent="0.35">
      <c r="A380" s="162" t="s">
        <v>648</v>
      </c>
      <c r="B380" s="163" t="s">
        <v>932</v>
      </c>
      <c r="C380" s="154"/>
      <c r="D380" s="162" t="s">
        <v>169</v>
      </c>
      <c r="E380" s="164" t="s">
        <v>169</v>
      </c>
      <c r="F380" s="164" t="s">
        <v>932</v>
      </c>
      <c r="G380" s="164" t="s">
        <v>648</v>
      </c>
      <c r="H380" s="165">
        <v>28178</v>
      </c>
      <c r="I380" s="164" t="s">
        <v>20</v>
      </c>
      <c r="J380" s="164" t="s">
        <v>21</v>
      </c>
      <c r="K380" s="165">
        <v>42646</v>
      </c>
      <c r="L380" s="166" t="s">
        <v>171</v>
      </c>
      <c r="M380" s="154"/>
      <c r="N380" s="154"/>
      <c r="O380" s="164" t="s">
        <v>44</v>
      </c>
      <c r="P380" s="164">
        <v>49</v>
      </c>
      <c r="Q380" s="164">
        <v>9</v>
      </c>
      <c r="R380" s="167" t="s">
        <v>888</v>
      </c>
      <c r="S380" s="167" t="s">
        <v>45</v>
      </c>
      <c r="T380" s="162" t="s">
        <v>800</v>
      </c>
      <c r="U380" s="167" t="s">
        <v>840</v>
      </c>
      <c r="X380" s="169">
        <v>45018</v>
      </c>
      <c r="Y380" s="170">
        <v>-7.500000003327</v>
      </c>
      <c r="Z380" s="170">
        <v>0.41666667000000002</v>
      </c>
      <c r="AA380" s="170">
        <v>0</v>
      </c>
      <c r="AB380" s="170">
        <v>0</v>
      </c>
      <c r="AC380" s="171">
        <v>-7.0833333333270003</v>
      </c>
      <c r="AD380" s="172">
        <v>-1099232.9815700001</v>
      </c>
      <c r="AE380" s="173">
        <v>0</v>
      </c>
      <c r="AF380" s="174">
        <v>46357</v>
      </c>
    </row>
    <row r="381" spans="1:32" ht="20" x14ac:dyDescent="0.35">
      <c r="A381" s="162" t="s">
        <v>600</v>
      </c>
      <c r="B381" s="163" t="s">
        <v>933</v>
      </c>
      <c r="C381" s="154"/>
      <c r="D381" s="162" t="s">
        <v>172</v>
      </c>
      <c r="E381" s="164" t="s">
        <v>172</v>
      </c>
      <c r="F381" s="164" t="s">
        <v>933</v>
      </c>
      <c r="G381" s="164" t="s">
        <v>600</v>
      </c>
      <c r="H381" s="165">
        <v>32347</v>
      </c>
      <c r="I381" s="164" t="s">
        <v>48</v>
      </c>
      <c r="J381" s="164" t="s">
        <v>21</v>
      </c>
      <c r="K381" s="165">
        <v>42646</v>
      </c>
      <c r="L381" s="166" t="s">
        <v>174</v>
      </c>
      <c r="M381" s="154"/>
      <c r="N381" s="154"/>
      <c r="O381" s="164" t="s">
        <v>165</v>
      </c>
      <c r="P381" s="164">
        <v>38</v>
      </c>
      <c r="Q381" s="164">
        <v>9</v>
      </c>
      <c r="R381" s="167" t="s">
        <v>903</v>
      </c>
      <c r="S381" s="167" t="s">
        <v>115</v>
      </c>
      <c r="T381" s="162" t="s">
        <v>794</v>
      </c>
      <c r="U381" s="167" t="s">
        <v>819</v>
      </c>
      <c r="V381" s="162" t="s">
        <v>834</v>
      </c>
      <c r="W381" s="168">
        <v>9</v>
      </c>
      <c r="X381" s="169">
        <v>45018</v>
      </c>
      <c r="Y381" s="170">
        <v>14.24999999666</v>
      </c>
      <c r="Z381" s="170">
        <v>1.9166666699999999</v>
      </c>
      <c r="AA381" s="170">
        <v>0</v>
      </c>
      <c r="AB381" s="170">
        <v>0</v>
      </c>
      <c r="AC381" s="171">
        <v>16.166666666659999</v>
      </c>
      <c r="AD381" s="172">
        <v>1564425.76838</v>
      </c>
      <c r="AE381" s="173" t="s">
        <v>797</v>
      </c>
      <c r="AF381" s="173"/>
    </row>
    <row r="382" spans="1:32" x14ac:dyDescent="0.35">
      <c r="A382" s="162" t="s">
        <v>600</v>
      </c>
      <c r="B382" s="163" t="s">
        <v>933</v>
      </c>
      <c r="C382" s="154"/>
      <c r="D382" s="162" t="s">
        <v>172</v>
      </c>
      <c r="E382" s="164" t="s">
        <v>172</v>
      </c>
      <c r="F382" s="164" t="s">
        <v>933</v>
      </c>
      <c r="G382" s="164" t="s">
        <v>600</v>
      </c>
      <c r="H382" s="165">
        <v>32347</v>
      </c>
      <c r="I382" s="164" t="s">
        <v>48</v>
      </c>
      <c r="J382" s="164" t="s">
        <v>21</v>
      </c>
      <c r="K382" s="165">
        <v>42646</v>
      </c>
      <c r="L382" s="166" t="s">
        <v>174</v>
      </c>
      <c r="M382" s="154"/>
      <c r="N382" s="154"/>
      <c r="O382" s="164" t="s">
        <v>165</v>
      </c>
      <c r="P382" s="164">
        <v>38</v>
      </c>
      <c r="Q382" s="164">
        <v>9</v>
      </c>
      <c r="R382" s="167" t="s">
        <v>903</v>
      </c>
      <c r="S382" s="167" t="s">
        <v>115</v>
      </c>
      <c r="T382" s="162" t="s">
        <v>798</v>
      </c>
      <c r="U382" s="167" t="s">
        <v>799</v>
      </c>
      <c r="X382" s="169">
        <v>45018</v>
      </c>
      <c r="Y382" s="170">
        <v>180</v>
      </c>
      <c r="Z382" s="170">
        <v>0</v>
      </c>
      <c r="AA382" s="170">
        <v>0</v>
      </c>
      <c r="AB382" s="170">
        <v>0</v>
      </c>
      <c r="AC382" s="171">
        <v>180</v>
      </c>
      <c r="AD382" s="172">
        <v>17418348.761399999</v>
      </c>
      <c r="AE382" s="173">
        <v>180</v>
      </c>
      <c r="AF382" s="174">
        <v>46357</v>
      </c>
    </row>
    <row r="383" spans="1:32" x14ac:dyDescent="0.35">
      <c r="A383" s="162" t="s">
        <v>600</v>
      </c>
      <c r="B383" s="163" t="s">
        <v>933</v>
      </c>
      <c r="C383" s="154"/>
      <c r="D383" s="162" t="s">
        <v>172</v>
      </c>
      <c r="E383" s="164" t="s">
        <v>172</v>
      </c>
      <c r="F383" s="164" t="s">
        <v>933</v>
      </c>
      <c r="G383" s="164" t="s">
        <v>600</v>
      </c>
      <c r="H383" s="165">
        <v>32347</v>
      </c>
      <c r="I383" s="164" t="s">
        <v>48</v>
      </c>
      <c r="J383" s="164" t="s">
        <v>21</v>
      </c>
      <c r="K383" s="165">
        <v>42646</v>
      </c>
      <c r="L383" s="166" t="s">
        <v>174</v>
      </c>
      <c r="M383" s="154"/>
      <c r="N383" s="154"/>
      <c r="O383" s="164" t="s">
        <v>165</v>
      </c>
      <c r="P383" s="164">
        <v>38</v>
      </c>
      <c r="Q383" s="164">
        <v>9</v>
      </c>
      <c r="R383" s="167" t="s">
        <v>903</v>
      </c>
      <c r="S383" s="167" t="s">
        <v>115</v>
      </c>
      <c r="T383" s="162" t="s">
        <v>800</v>
      </c>
      <c r="U383" s="167" t="s">
        <v>801</v>
      </c>
      <c r="X383" s="169">
        <v>45018</v>
      </c>
      <c r="Y383" s="170">
        <v>26</v>
      </c>
      <c r="Z383" s="170">
        <v>0</v>
      </c>
      <c r="AA383" s="170">
        <v>0</v>
      </c>
      <c r="AB383" s="170">
        <v>0</v>
      </c>
      <c r="AC383" s="171">
        <v>26</v>
      </c>
      <c r="AD383" s="172">
        <v>2515983.7099799998</v>
      </c>
      <c r="AE383" s="173">
        <v>26</v>
      </c>
      <c r="AF383" s="174">
        <v>46357</v>
      </c>
    </row>
    <row r="384" spans="1:32" x14ac:dyDescent="0.35">
      <c r="A384" s="162" t="s">
        <v>600</v>
      </c>
      <c r="B384" s="163" t="s">
        <v>933</v>
      </c>
      <c r="C384" s="154"/>
      <c r="D384" s="162" t="s">
        <v>172</v>
      </c>
      <c r="E384" s="164" t="s">
        <v>172</v>
      </c>
      <c r="F384" s="164" t="s">
        <v>933</v>
      </c>
      <c r="G384" s="164" t="s">
        <v>600</v>
      </c>
      <c r="H384" s="165">
        <v>32347</v>
      </c>
      <c r="I384" s="164" t="s">
        <v>48</v>
      </c>
      <c r="J384" s="164" t="s">
        <v>21</v>
      </c>
      <c r="K384" s="165">
        <v>42646</v>
      </c>
      <c r="L384" s="166" t="s">
        <v>174</v>
      </c>
      <c r="M384" s="154"/>
      <c r="N384" s="154"/>
      <c r="O384" s="164" t="s">
        <v>165</v>
      </c>
      <c r="P384" s="164">
        <v>38</v>
      </c>
      <c r="Q384" s="164">
        <v>9</v>
      </c>
      <c r="R384" s="167" t="s">
        <v>903</v>
      </c>
      <c r="S384" s="167" t="s">
        <v>115</v>
      </c>
      <c r="T384" s="162" t="s">
        <v>800</v>
      </c>
      <c r="U384" s="167" t="s">
        <v>802</v>
      </c>
      <c r="X384" s="169">
        <v>45018</v>
      </c>
      <c r="Y384" s="170">
        <v>98</v>
      </c>
      <c r="Z384" s="170">
        <v>0</v>
      </c>
      <c r="AA384" s="170">
        <v>0</v>
      </c>
      <c r="AB384" s="170">
        <v>0</v>
      </c>
      <c r="AC384" s="171">
        <v>98</v>
      </c>
      <c r="AD384" s="172">
        <v>9483323.2145399991</v>
      </c>
      <c r="AE384" s="173">
        <v>98</v>
      </c>
      <c r="AF384" s="174">
        <v>46357</v>
      </c>
    </row>
    <row r="385" spans="1:32" x14ac:dyDescent="0.35">
      <c r="A385" s="162" t="s">
        <v>600</v>
      </c>
      <c r="B385" s="163" t="s">
        <v>933</v>
      </c>
      <c r="C385" s="154"/>
      <c r="D385" s="162" t="s">
        <v>172</v>
      </c>
      <c r="E385" s="164" t="s">
        <v>172</v>
      </c>
      <c r="F385" s="164" t="s">
        <v>933</v>
      </c>
      <c r="G385" s="164" t="s">
        <v>600</v>
      </c>
      <c r="H385" s="165">
        <v>32347</v>
      </c>
      <c r="I385" s="164" t="s">
        <v>48</v>
      </c>
      <c r="J385" s="164" t="s">
        <v>21</v>
      </c>
      <c r="K385" s="165">
        <v>42646</v>
      </c>
      <c r="L385" s="166" t="s">
        <v>174</v>
      </c>
      <c r="M385" s="154"/>
      <c r="N385" s="154"/>
      <c r="O385" s="164" t="s">
        <v>165</v>
      </c>
      <c r="P385" s="164">
        <v>38</v>
      </c>
      <c r="Q385" s="164">
        <v>9</v>
      </c>
      <c r="R385" s="167" t="s">
        <v>903</v>
      </c>
      <c r="S385" s="167" t="s">
        <v>115</v>
      </c>
      <c r="T385" s="162" t="s">
        <v>800</v>
      </c>
      <c r="U385" s="167" t="s">
        <v>803</v>
      </c>
      <c r="X385" s="169">
        <v>45018</v>
      </c>
      <c r="Y385" s="170">
        <v>2</v>
      </c>
      <c r="Z385" s="170">
        <v>0</v>
      </c>
      <c r="AA385" s="170">
        <v>0</v>
      </c>
      <c r="AB385" s="170">
        <v>0</v>
      </c>
      <c r="AC385" s="171">
        <v>2</v>
      </c>
      <c r="AD385" s="172">
        <v>193537.20845999999</v>
      </c>
      <c r="AE385" s="173">
        <v>2</v>
      </c>
      <c r="AF385" s="174">
        <v>46357</v>
      </c>
    </row>
    <row r="386" spans="1:32" x14ac:dyDescent="0.35">
      <c r="A386" s="162" t="s">
        <v>600</v>
      </c>
      <c r="B386" s="163" t="s">
        <v>933</v>
      </c>
      <c r="C386" s="154"/>
      <c r="D386" s="162" t="s">
        <v>172</v>
      </c>
      <c r="E386" s="164" t="s">
        <v>172</v>
      </c>
      <c r="F386" s="164" t="s">
        <v>933</v>
      </c>
      <c r="G386" s="164" t="s">
        <v>600</v>
      </c>
      <c r="H386" s="165">
        <v>32347</v>
      </c>
      <c r="I386" s="164" t="s">
        <v>48</v>
      </c>
      <c r="J386" s="164" t="s">
        <v>21</v>
      </c>
      <c r="K386" s="165">
        <v>42646</v>
      </c>
      <c r="L386" s="166" t="s">
        <v>174</v>
      </c>
      <c r="M386" s="154"/>
      <c r="N386" s="154"/>
      <c r="O386" s="164" t="s">
        <v>165</v>
      </c>
      <c r="P386" s="164">
        <v>38</v>
      </c>
      <c r="Q386" s="164">
        <v>9</v>
      </c>
      <c r="R386" s="167" t="s">
        <v>903</v>
      </c>
      <c r="S386" s="167" t="s">
        <v>115</v>
      </c>
      <c r="T386" s="162" t="s">
        <v>800</v>
      </c>
      <c r="U386" s="167" t="s">
        <v>804</v>
      </c>
      <c r="X386" s="169">
        <v>45018</v>
      </c>
      <c r="Y386" s="170">
        <v>5</v>
      </c>
      <c r="Z386" s="170">
        <v>0</v>
      </c>
      <c r="AA386" s="170">
        <v>0</v>
      </c>
      <c r="AB386" s="170">
        <v>0</v>
      </c>
      <c r="AC386" s="171">
        <v>5</v>
      </c>
      <c r="AD386" s="172">
        <v>483843.02114999999</v>
      </c>
      <c r="AE386" s="173">
        <v>5</v>
      </c>
      <c r="AF386" s="174">
        <v>46357</v>
      </c>
    </row>
    <row r="387" spans="1:32" x14ac:dyDescent="0.35">
      <c r="A387" s="162" t="s">
        <v>600</v>
      </c>
      <c r="B387" s="163" t="s">
        <v>933</v>
      </c>
      <c r="C387" s="154"/>
      <c r="D387" s="162" t="s">
        <v>172</v>
      </c>
      <c r="E387" s="164" t="s">
        <v>172</v>
      </c>
      <c r="F387" s="164" t="s">
        <v>933</v>
      </c>
      <c r="G387" s="164" t="s">
        <v>600</v>
      </c>
      <c r="H387" s="165">
        <v>32347</v>
      </c>
      <c r="I387" s="164" t="s">
        <v>48</v>
      </c>
      <c r="J387" s="164" t="s">
        <v>21</v>
      </c>
      <c r="K387" s="165">
        <v>42646</v>
      </c>
      <c r="L387" s="166" t="s">
        <v>174</v>
      </c>
      <c r="M387" s="154"/>
      <c r="N387" s="154"/>
      <c r="O387" s="164" t="s">
        <v>165</v>
      </c>
      <c r="P387" s="164">
        <v>38</v>
      </c>
      <c r="Q387" s="164">
        <v>9</v>
      </c>
      <c r="R387" s="167" t="s">
        <v>903</v>
      </c>
      <c r="S387" s="167" t="s">
        <v>115</v>
      </c>
      <c r="T387" s="162" t="s">
        <v>800</v>
      </c>
      <c r="U387" s="167" t="s">
        <v>805</v>
      </c>
      <c r="X387" s="169">
        <v>45018</v>
      </c>
      <c r="Y387" s="170">
        <v>2.4999999966690001</v>
      </c>
      <c r="Z387" s="170">
        <v>0.41666667000000002</v>
      </c>
      <c r="AA387" s="170">
        <v>0</v>
      </c>
      <c r="AB387" s="170">
        <v>0</v>
      </c>
      <c r="AC387" s="171">
        <v>2.9166666666690002</v>
      </c>
      <c r="AD387" s="172">
        <v>282241.76234000002</v>
      </c>
      <c r="AE387" s="173">
        <v>2.92</v>
      </c>
      <c r="AF387" s="174">
        <v>46357</v>
      </c>
    </row>
    <row r="388" spans="1:32" ht="20" x14ac:dyDescent="0.35">
      <c r="A388" s="162" t="s">
        <v>603</v>
      </c>
      <c r="B388" s="163" t="s">
        <v>934</v>
      </c>
      <c r="C388" s="154"/>
      <c r="D388" s="162" t="s">
        <v>175</v>
      </c>
      <c r="E388" s="164" t="s">
        <v>175</v>
      </c>
      <c r="F388" s="164" t="s">
        <v>934</v>
      </c>
      <c r="G388" s="164" t="s">
        <v>603</v>
      </c>
      <c r="H388" s="165">
        <v>28513</v>
      </c>
      <c r="I388" s="164" t="s">
        <v>20</v>
      </c>
      <c r="J388" s="164" t="s">
        <v>21</v>
      </c>
      <c r="K388" s="165">
        <v>42646</v>
      </c>
      <c r="L388" s="166" t="s">
        <v>164</v>
      </c>
      <c r="M388" s="154"/>
      <c r="N388" s="154"/>
      <c r="O388" s="164" t="s">
        <v>165</v>
      </c>
      <c r="P388" s="164">
        <v>48</v>
      </c>
      <c r="Q388" s="164">
        <v>9</v>
      </c>
      <c r="R388" s="167" t="s">
        <v>903</v>
      </c>
      <c r="S388" s="167" t="s">
        <v>115</v>
      </c>
      <c r="T388" s="162" t="s">
        <v>794</v>
      </c>
      <c r="U388" s="167" t="s">
        <v>819</v>
      </c>
      <c r="V388" s="162" t="s">
        <v>834</v>
      </c>
      <c r="W388" s="168">
        <v>9</v>
      </c>
      <c r="X388" s="169">
        <v>45018</v>
      </c>
      <c r="Y388" s="170">
        <v>10.74999999666</v>
      </c>
      <c r="Z388" s="170">
        <v>1.9166666699999999</v>
      </c>
      <c r="AA388" s="170">
        <v>0</v>
      </c>
      <c r="AB388" s="170">
        <v>0</v>
      </c>
      <c r="AC388" s="171">
        <v>12.666666666659999</v>
      </c>
      <c r="AD388" s="172">
        <v>1237186.7441</v>
      </c>
      <c r="AE388" s="173" t="s">
        <v>797</v>
      </c>
      <c r="AF388" s="173"/>
    </row>
    <row r="389" spans="1:32" x14ac:dyDescent="0.35">
      <c r="A389" s="162" t="s">
        <v>603</v>
      </c>
      <c r="B389" s="163" t="s">
        <v>934</v>
      </c>
      <c r="C389" s="154"/>
      <c r="D389" s="162" t="s">
        <v>175</v>
      </c>
      <c r="E389" s="164" t="s">
        <v>175</v>
      </c>
      <c r="F389" s="164" t="s">
        <v>934</v>
      </c>
      <c r="G389" s="164" t="s">
        <v>603</v>
      </c>
      <c r="H389" s="165">
        <v>28513</v>
      </c>
      <c r="I389" s="164" t="s">
        <v>20</v>
      </c>
      <c r="J389" s="164" t="s">
        <v>21</v>
      </c>
      <c r="K389" s="165">
        <v>42646</v>
      </c>
      <c r="L389" s="166" t="s">
        <v>164</v>
      </c>
      <c r="M389" s="154"/>
      <c r="N389" s="154"/>
      <c r="O389" s="164" t="s">
        <v>165</v>
      </c>
      <c r="P389" s="164">
        <v>48</v>
      </c>
      <c r="Q389" s="164">
        <v>9</v>
      </c>
      <c r="R389" s="167" t="s">
        <v>903</v>
      </c>
      <c r="S389" s="167" t="s">
        <v>115</v>
      </c>
      <c r="T389" s="162" t="s">
        <v>798</v>
      </c>
      <c r="U389" s="167" t="s">
        <v>799</v>
      </c>
      <c r="X389" s="169">
        <v>45018</v>
      </c>
      <c r="Y389" s="170">
        <v>180</v>
      </c>
      <c r="Z389" s="170">
        <v>0</v>
      </c>
      <c r="AA389" s="170">
        <v>0</v>
      </c>
      <c r="AB389" s="170">
        <v>0</v>
      </c>
      <c r="AC389" s="171">
        <v>180</v>
      </c>
      <c r="AD389" s="172">
        <v>17581074.784559999</v>
      </c>
      <c r="AE389" s="173">
        <v>180</v>
      </c>
      <c r="AF389" s="174">
        <v>46357</v>
      </c>
    </row>
    <row r="390" spans="1:32" x14ac:dyDescent="0.35">
      <c r="A390" s="162" t="s">
        <v>603</v>
      </c>
      <c r="B390" s="163" t="s">
        <v>934</v>
      </c>
      <c r="C390" s="154"/>
      <c r="D390" s="162" t="s">
        <v>175</v>
      </c>
      <c r="E390" s="164" t="s">
        <v>175</v>
      </c>
      <c r="F390" s="164" t="s">
        <v>934</v>
      </c>
      <c r="G390" s="164" t="s">
        <v>603</v>
      </c>
      <c r="H390" s="165">
        <v>28513</v>
      </c>
      <c r="I390" s="164" t="s">
        <v>20</v>
      </c>
      <c r="J390" s="164" t="s">
        <v>21</v>
      </c>
      <c r="K390" s="165">
        <v>42646</v>
      </c>
      <c r="L390" s="166" t="s">
        <v>164</v>
      </c>
      <c r="M390" s="154"/>
      <c r="N390" s="154"/>
      <c r="O390" s="164" t="s">
        <v>165</v>
      </c>
      <c r="P390" s="164">
        <v>48</v>
      </c>
      <c r="Q390" s="164">
        <v>9</v>
      </c>
      <c r="R390" s="167" t="s">
        <v>903</v>
      </c>
      <c r="S390" s="167" t="s">
        <v>115</v>
      </c>
      <c r="T390" s="162" t="s">
        <v>800</v>
      </c>
      <c r="U390" s="167" t="s">
        <v>801</v>
      </c>
      <c r="X390" s="169">
        <v>45018</v>
      </c>
      <c r="Y390" s="170">
        <v>26</v>
      </c>
      <c r="Z390" s="170">
        <v>0</v>
      </c>
      <c r="AA390" s="170">
        <v>0</v>
      </c>
      <c r="AB390" s="170">
        <v>0</v>
      </c>
      <c r="AC390" s="171">
        <v>26</v>
      </c>
      <c r="AD390" s="172">
        <v>2539488.57999</v>
      </c>
      <c r="AE390" s="173">
        <v>26</v>
      </c>
      <c r="AF390" s="174">
        <v>46357</v>
      </c>
    </row>
    <row r="391" spans="1:32" x14ac:dyDescent="0.35">
      <c r="A391" s="162" t="s">
        <v>603</v>
      </c>
      <c r="B391" s="163" t="s">
        <v>934</v>
      </c>
      <c r="C391" s="154"/>
      <c r="D391" s="162" t="s">
        <v>175</v>
      </c>
      <c r="E391" s="164" t="s">
        <v>175</v>
      </c>
      <c r="F391" s="164" t="s">
        <v>934</v>
      </c>
      <c r="G391" s="164" t="s">
        <v>603</v>
      </c>
      <c r="H391" s="165">
        <v>28513</v>
      </c>
      <c r="I391" s="164" t="s">
        <v>20</v>
      </c>
      <c r="J391" s="164" t="s">
        <v>21</v>
      </c>
      <c r="K391" s="165">
        <v>42646</v>
      </c>
      <c r="L391" s="166" t="s">
        <v>164</v>
      </c>
      <c r="M391" s="154"/>
      <c r="N391" s="154"/>
      <c r="O391" s="164" t="s">
        <v>165</v>
      </c>
      <c r="P391" s="164">
        <v>48</v>
      </c>
      <c r="Q391" s="164">
        <v>9</v>
      </c>
      <c r="R391" s="167" t="s">
        <v>903</v>
      </c>
      <c r="S391" s="167" t="s">
        <v>115</v>
      </c>
      <c r="T391" s="162" t="s">
        <v>800</v>
      </c>
      <c r="U391" s="167" t="s">
        <v>802</v>
      </c>
      <c r="X391" s="169">
        <v>45018</v>
      </c>
      <c r="Y391" s="170">
        <v>98</v>
      </c>
      <c r="Z391" s="170">
        <v>0</v>
      </c>
      <c r="AA391" s="170">
        <v>0</v>
      </c>
      <c r="AB391" s="170">
        <v>0</v>
      </c>
      <c r="AC391" s="171">
        <v>98</v>
      </c>
      <c r="AD391" s="172">
        <v>9571918.4938200004</v>
      </c>
      <c r="AE391" s="173">
        <v>98</v>
      </c>
      <c r="AF391" s="174">
        <v>46357</v>
      </c>
    </row>
    <row r="392" spans="1:32" x14ac:dyDescent="0.35">
      <c r="A392" s="162" t="s">
        <v>603</v>
      </c>
      <c r="B392" s="163" t="s">
        <v>934</v>
      </c>
      <c r="C392" s="154"/>
      <c r="D392" s="162" t="s">
        <v>175</v>
      </c>
      <c r="E392" s="164" t="s">
        <v>175</v>
      </c>
      <c r="F392" s="164" t="s">
        <v>934</v>
      </c>
      <c r="G392" s="164" t="s">
        <v>603</v>
      </c>
      <c r="H392" s="165">
        <v>28513</v>
      </c>
      <c r="I392" s="164" t="s">
        <v>20</v>
      </c>
      <c r="J392" s="164" t="s">
        <v>21</v>
      </c>
      <c r="K392" s="165">
        <v>42646</v>
      </c>
      <c r="L392" s="166" t="s">
        <v>164</v>
      </c>
      <c r="M392" s="154"/>
      <c r="N392" s="154"/>
      <c r="O392" s="164" t="s">
        <v>165</v>
      </c>
      <c r="P392" s="164">
        <v>48</v>
      </c>
      <c r="Q392" s="164">
        <v>9</v>
      </c>
      <c r="R392" s="167" t="s">
        <v>903</v>
      </c>
      <c r="S392" s="167" t="s">
        <v>115</v>
      </c>
      <c r="T392" s="162" t="s">
        <v>800</v>
      </c>
      <c r="U392" s="167" t="s">
        <v>803</v>
      </c>
      <c r="X392" s="169">
        <v>45018</v>
      </c>
      <c r="Y392" s="170">
        <v>2</v>
      </c>
      <c r="Z392" s="170">
        <v>0</v>
      </c>
      <c r="AA392" s="170">
        <v>0</v>
      </c>
      <c r="AB392" s="170">
        <v>0</v>
      </c>
      <c r="AC392" s="171">
        <v>2</v>
      </c>
      <c r="AD392" s="172">
        <v>195345.27538000001</v>
      </c>
      <c r="AE392" s="173">
        <v>2</v>
      </c>
      <c r="AF392" s="174">
        <v>46357</v>
      </c>
    </row>
    <row r="393" spans="1:32" x14ac:dyDescent="0.35">
      <c r="A393" s="162" t="s">
        <v>603</v>
      </c>
      <c r="B393" s="163" t="s">
        <v>934</v>
      </c>
      <c r="C393" s="154"/>
      <c r="D393" s="162" t="s">
        <v>175</v>
      </c>
      <c r="E393" s="164" t="s">
        <v>175</v>
      </c>
      <c r="F393" s="164" t="s">
        <v>934</v>
      </c>
      <c r="G393" s="164" t="s">
        <v>603</v>
      </c>
      <c r="H393" s="165">
        <v>28513</v>
      </c>
      <c r="I393" s="164" t="s">
        <v>20</v>
      </c>
      <c r="J393" s="164" t="s">
        <v>21</v>
      </c>
      <c r="K393" s="165">
        <v>42646</v>
      </c>
      <c r="L393" s="166" t="s">
        <v>164</v>
      </c>
      <c r="M393" s="154"/>
      <c r="N393" s="154"/>
      <c r="O393" s="164" t="s">
        <v>165</v>
      </c>
      <c r="P393" s="164">
        <v>48</v>
      </c>
      <c r="Q393" s="164">
        <v>9</v>
      </c>
      <c r="R393" s="167" t="s">
        <v>903</v>
      </c>
      <c r="S393" s="167" t="s">
        <v>115</v>
      </c>
      <c r="T393" s="162" t="s">
        <v>800</v>
      </c>
      <c r="U393" s="167" t="s">
        <v>804</v>
      </c>
      <c r="X393" s="169">
        <v>45018</v>
      </c>
      <c r="Y393" s="170">
        <v>5</v>
      </c>
      <c r="Z393" s="170">
        <v>0</v>
      </c>
      <c r="AA393" s="170">
        <v>0</v>
      </c>
      <c r="AB393" s="170">
        <v>0</v>
      </c>
      <c r="AC393" s="171">
        <v>5</v>
      </c>
      <c r="AD393" s="172">
        <v>488363.18845999998</v>
      </c>
      <c r="AE393" s="173">
        <v>5</v>
      </c>
      <c r="AF393" s="174">
        <v>46357</v>
      </c>
    </row>
    <row r="394" spans="1:32" x14ac:dyDescent="0.35">
      <c r="A394" s="162" t="s">
        <v>603</v>
      </c>
      <c r="B394" s="163" t="s">
        <v>934</v>
      </c>
      <c r="C394" s="154"/>
      <c r="D394" s="162" t="s">
        <v>175</v>
      </c>
      <c r="E394" s="164" t="s">
        <v>175</v>
      </c>
      <c r="F394" s="164" t="s">
        <v>934</v>
      </c>
      <c r="G394" s="164" t="s">
        <v>603</v>
      </c>
      <c r="H394" s="165">
        <v>28513</v>
      </c>
      <c r="I394" s="164" t="s">
        <v>20</v>
      </c>
      <c r="J394" s="164" t="s">
        <v>21</v>
      </c>
      <c r="K394" s="165">
        <v>42646</v>
      </c>
      <c r="L394" s="166" t="s">
        <v>164</v>
      </c>
      <c r="M394" s="154"/>
      <c r="N394" s="154"/>
      <c r="O394" s="164" t="s">
        <v>165</v>
      </c>
      <c r="P394" s="164">
        <v>48</v>
      </c>
      <c r="Q394" s="164">
        <v>9</v>
      </c>
      <c r="R394" s="167" t="s">
        <v>903</v>
      </c>
      <c r="S394" s="167" t="s">
        <v>115</v>
      </c>
      <c r="T394" s="162" t="s">
        <v>800</v>
      </c>
      <c r="U394" s="167" t="s">
        <v>805</v>
      </c>
      <c r="X394" s="169">
        <v>45018</v>
      </c>
      <c r="Y394" s="170">
        <v>2.4999999966690001</v>
      </c>
      <c r="Z394" s="170">
        <v>0.41666667000000002</v>
      </c>
      <c r="AA394" s="170">
        <v>0</v>
      </c>
      <c r="AB394" s="170">
        <v>0</v>
      </c>
      <c r="AC394" s="171">
        <v>2.9166666666690002</v>
      </c>
      <c r="AD394" s="172">
        <v>284878.52659999998</v>
      </c>
      <c r="AE394" s="173">
        <v>2.92</v>
      </c>
      <c r="AF394" s="174">
        <v>46357</v>
      </c>
    </row>
    <row r="395" spans="1:32" ht="20" x14ac:dyDescent="0.35">
      <c r="A395" s="162" t="s">
        <v>935</v>
      </c>
      <c r="B395" s="163" t="s">
        <v>936</v>
      </c>
      <c r="C395" s="154"/>
      <c r="D395" s="162" t="s">
        <v>177</v>
      </c>
      <c r="E395" s="164" t="s">
        <v>177</v>
      </c>
      <c r="F395" s="164" t="s">
        <v>936</v>
      </c>
      <c r="G395" s="164" t="s">
        <v>935</v>
      </c>
      <c r="H395" s="165">
        <v>30794</v>
      </c>
      <c r="I395" s="164" t="s">
        <v>20</v>
      </c>
      <c r="J395" s="164" t="s">
        <v>21</v>
      </c>
      <c r="K395" s="165">
        <v>42646</v>
      </c>
      <c r="L395" s="166" t="s">
        <v>164</v>
      </c>
      <c r="M395" s="154"/>
      <c r="N395" s="154"/>
      <c r="O395" s="164" t="s">
        <v>165</v>
      </c>
      <c r="P395" s="164">
        <v>42</v>
      </c>
      <c r="Q395" s="164">
        <v>9</v>
      </c>
      <c r="R395" s="167" t="s">
        <v>903</v>
      </c>
      <c r="S395" s="167" t="s">
        <v>115</v>
      </c>
      <c r="T395" s="162" t="s">
        <v>794</v>
      </c>
      <c r="U395" s="167" t="s">
        <v>819</v>
      </c>
      <c r="V395" s="162" t="s">
        <v>834</v>
      </c>
      <c r="W395" s="168">
        <v>9</v>
      </c>
      <c r="X395" s="169">
        <v>45018</v>
      </c>
      <c r="Y395" s="170">
        <v>8.9999999966599997</v>
      </c>
      <c r="Z395" s="170">
        <v>1.9166666699999999</v>
      </c>
      <c r="AA395" s="170">
        <v>0</v>
      </c>
      <c r="AB395" s="170">
        <v>0</v>
      </c>
      <c r="AC395" s="171">
        <v>10.916666666659999</v>
      </c>
      <c r="AD395" s="172">
        <v>868430.48198000004</v>
      </c>
      <c r="AE395" s="173" t="s">
        <v>797</v>
      </c>
      <c r="AF395" s="173"/>
    </row>
    <row r="396" spans="1:32" x14ac:dyDescent="0.35">
      <c r="A396" s="162" t="s">
        <v>935</v>
      </c>
      <c r="B396" s="163" t="s">
        <v>936</v>
      </c>
      <c r="C396" s="154"/>
      <c r="D396" s="162" t="s">
        <v>177</v>
      </c>
      <c r="E396" s="164" t="s">
        <v>177</v>
      </c>
      <c r="F396" s="164" t="s">
        <v>936</v>
      </c>
      <c r="G396" s="164" t="s">
        <v>935</v>
      </c>
      <c r="H396" s="165">
        <v>30794</v>
      </c>
      <c r="I396" s="164" t="s">
        <v>20</v>
      </c>
      <c r="J396" s="164" t="s">
        <v>21</v>
      </c>
      <c r="K396" s="165">
        <v>42646</v>
      </c>
      <c r="L396" s="166" t="s">
        <v>164</v>
      </c>
      <c r="M396" s="154"/>
      <c r="N396" s="154"/>
      <c r="O396" s="164" t="s">
        <v>165</v>
      </c>
      <c r="P396" s="164">
        <v>42</v>
      </c>
      <c r="Q396" s="164">
        <v>9</v>
      </c>
      <c r="R396" s="167" t="s">
        <v>903</v>
      </c>
      <c r="S396" s="167" t="s">
        <v>115</v>
      </c>
      <c r="T396" s="162" t="s">
        <v>798</v>
      </c>
      <c r="U396" s="167" t="s">
        <v>799</v>
      </c>
      <c r="X396" s="169">
        <v>45018</v>
      </c>
      <c r="Y396" s="170">
        <v>180</v>
      </c>
      <c r="Z396" s="170">
        <v>0</v>
      </c>
      <c r="AA396" s="170">
        <v>0</v>
      </c>
      <c r="AB396" s="170">
        <v>0</v>
      </c>
      <c r="AC396" s="171">
        <v>180</v>
      </c>
      <c r="AD396" s="172">
        <v>14319159.09228</v>
      </c>
      <c r="AE396" s="173">
        <v>180</v>
      </c>
      <c r="AF396" s="174">
        <v>46357</v>
      </c>
    </row>
    <row r="397" spans="1:32" x14ac:dyDescent="0.35">
      <c r="A397" s="162" t="s">
        <v>935</v>
      </c>
      <c r="B397" s="163" t="s">
        <v>936</v>
      </c>
      <c r="C397" s="154"/>
      <c r="D397" s="162" t="s">
        <v>177</v>
      </c>
      <c r="E397" s="164" t="s">
        <v>177</v>
      </c>
      <c r="F397" s="164" t="s">
        <v>936</v>
      </c>
      <c r="G397" s="164" t="s">
        <v>935</v>
      </c>
      <c r="H397" s="165">
        <v>30794</v>
      </c>
      <c r="I397" s="164" t="s">
        <v>20</v>
      </c>
      <c r="J397" s="164" t="s">
        <v>21</v>
      </c>
      <c r="K397" s="165">
        <v>42646</v>
      </c>
      <c r="L397" s="166" t="s">
        <v>164</v>
      </c>
      <c r="M397" s="154"/>
      <c r="N397" s="154"/>
      <c r="O397" s="164" t="s">
        <v>165</v>
      </c>
      <c r="P397" s="164">
        <v>42</v>
      </c>
      <c r="Q397" s="164">
        <v>9</v>
      </c>
      <c r="R397" s="167" t="s">
        <v>903</v>
      </c>
      <c r="S397" s="167" t="s">
        <v>115</v>
      </c>
      <c r="T397" s="162" t="s">
        <v>800</v>
      </c>
      <c r="U397" s="167" t="s">
        <v>801</v>
      </c>
      <c r="X397" s="169">
        <v>45018</v>
      </c>
      <c r="Y397" s="170">
        <v>26</v>
      </c>
      <c r="Z397" s="170">
        <v>0</v>
      </c>
      <c r="AA397" s="170">
        <v>0</v>
      </c>
      <c r="AB397" s="170">
        <v>0</v>
      </c>
      <c r="AC397" s="171">
        <v>26</v>
      </c>
      <c r="AD397" s="172">
        <v>2068322.98</v>
      </c>
      <c r="AE397" s="173">
        <v>26</v>
      </c>
      <c r="AF397" s="174">
        <v>46357</v>
      </c>
    </row>
    <row r="398" spans="1:32" x14ac:dyDescent="0.35">
      <c r="A398" s="162" t="s">
        <v>935</v>
      </c>
      <c r="B398" s="163" t="s">
        <v>936</v>
      </c>
      <c r="C398" s="154"/>
      <c r="D398" s="162" t="s">
        <v>177</v>
      </c>
      <c r="E398" s="164" t="s">
        <v>177</v>
      </c>
      <c r="F398" s="164" t="s">
        <v>936</v>
      </c>
      <c r="G398" s="164" t="s">
        <v>935</v>
      </c>
      <c r="H398" s="165">
        <v>30794</v>
      </c>
      <c r="I398" s="164" t="s">
        <v>20</v>
      </c>
      <c r="J398" s="164" t="s">
        <v>21</v>
      </c>
      <c r="K398" s="165">
        <v>42646</v>
      </c>
      <c r="L398" s="166" t="s">
        <v>164</v>
      </c>
      <c r="M398" s="154"/>
      <c r="N398" s="154"/>
      <c r="O398" s="164" t="s">
        <v>165</v>
      </c>
      <c r="P398" s="164">
        <v>42</v>
      </c>
      <c r="Q398" s="164">
        <v>9</v>
      </c>
      <c r="R398" s="167" t="s">
        <v>903</v>
      </c>
      <c r="S398" s="167" t="s">
        <v>115</v>
      </c>
      <c r="T398" s="162" t="s">
        <v>800</v>
      </c>
      <c r="U398" s="167" t="s">
        <v>802</v>
      </c>
      <c r="X398" s="169">
        <v>45018</v>
      </c>
      <c r="Y398" s="170">
        <v>98</v>
      </c>
      <c r="Z398" s="170">
        <v>0</v>
      </c>
      <c r="AA398" s="170">
        <v>0</v>
      </c>
      <c r="AB398" s="170">
        <v>0</v>
      </c>
      <c r="AC398" s="171">
        <v>98</v>
      </c>
      <c r="AD398" s="172">
        <v>7795986.6169100003</v>
      </c>
      <c r="AE398" s="173">
        <v>98</v>
      </c>
      <c r="AF398" s="174">
        <v>46357</v>
      </c>
    </row>
    <row r="399" spans="1:32" x14ac:dyDescent="0.35">
      <c r="A399" s="162" t="s">
        <v>935</v>
      </c>
      <c r="B399" s="163" t="s">
        <v>936</v>
      </c>
      <c r="C399" s="154"/>
      <c r="D399" s="162" t="s">
        <v>177</v>
      </c>
      <c r="E399" s="164" t="s">
        <v>177</v>
      </c>
      <c r="F399" s="164" t="s">
        <v>936</v>
      </c>
      <c r="G399" s="164" t="s">
        <v>935</v>
      </c>
      <c r="H399" s="165">
        <v>30794</v>
      </c>
      <c r="I399" s="164" t="s">
        <v>20</v>
      </c>
      <c r="J399" s="164" t="s">
        <v>21</v>
      </c>
      <c r="K399" s="165">
        <v>42646</v>
      </c>
      <c r="L399" s="166" t="s">
        <v>164</v>
      </c>
      <c r="M399" s="154"/>
      <c r="N399" s="154"/>
      <c r="O399" s="164" t="s">
        <v>165</v>
      </c>
      <c r="P399" s="164">
        <v>42</v>
      </c>
      <c r="Q399" s="164">
        <v>9</v>
      </c>
      <c r="R399" s="167" t="s">
        <v>903</v>
      </c>
      <c r="S399" s="167" t="s">
        <v>115</v>
      </c>
      <c r="T399" s="162" t="s">
        <v>800</v>
      </c>
      <c r="U399" s="167" t="s">
        <v>803</v>
      </c>
      <c r="X399" s="169">
        <v>45018</v>
      </c>
      <c r="Y399" s="170">
        <v>2</v>
      </c>
      <c r="Z399" s="170">
        <v>0</v>
      </c>
      <c r="AA399" s="170">
        <v>0</v>
      </c>
      <c r="AB399" s="170">
        <v>0</v>
      </c>
      <c r="AC399" s="171">
        <v>2</v>
      </c>
      <c r="AD399" s="172">
        <v>159101.76769000001</v>
      </c>
      <c r="AE399" s="173">
        <v>2</v>
      </c>
      <c r="AF399" s="174">
        <v>46357</v>
      </c>
    </row>
    <row r="400" spans="1:32" x14ac:dyDescent="0.35">
      <c r="A400" s="162" t="s">
        <v>935</v>
      </c>
      <c r="B400" s="163" t="s">
        <v>936</v>
      </c>
      <c r="C400" s="154"/>
      <c r="D400" s="162" t="s">
        <v>177</v>
      </c>
      <c r="E400" s="164" t="s">
        <v>177</v>
      </c>
      <c r="F400" s="164" t="s">
        <v>936</v>
      </c>
      <c r="G400" s="164" t="s">
        <v>935</v>
      </c>
      <c r="H400" s="165">
        <v>30794</v>
      </c>
      <c r="I400" s="164" t="s">
        <v>20</v>
      </c>
      <c r="J400" s="164" t="s">
        <v>21</v>
      </c>
      <c r="K400" s="165">
        <v>42646</v>
      </c>
      <c r="L400" s="166" t="s">
        <v>164</v>
      </c>
      <c r="M400" s="154"/>
      <c r="N400" s="154"/>
      <c r="O400" s="164" t="s">
        <v>165</v>
      </c>
      <c r="P400" s="164">
        <v>42</v>
      </c>
      <c r="Q400" s="164">
        <v>9</v>
      </c>
      <c r="R400" s="167" t="s">
        <v>903</v>
      </c>
      <c r="S400" s="167" t="s">
        <v>115</v>
      </c>
      <c r="T400" s="162" t="s">
        <v>800</v>
      </c>
      <c r="U400" s="167" t="s">
        <v>804</v>
      </c>
      <c r="X400" s="169">
        <v>45018</v>
      </c>
      <c r="Y400" s="170">
        <v>5</v>
      </c>
      <c r="Z400" s="170">
        <v>0</v>
      </c>
      <c r="AA400" s="170">
        <v>0</v>
      </c>
      <c r="AB400" s="170">
        <v>0</v>
      </c>
      <c r="AC400" s="171">
        <v>5</v>
      </c>
      <c r="AD400" s="172">
        <v>397754.41923</v>
      </c>
      <c r="AE400" s="173">
        <v>5</v>
      </c>
      <c r="AF400" s="174">
        <v>46357</v>
      </c>
    </row>
    <row r="401" spans="1:32" x14ac:dyDescent="0.35">
      <c r="A401" s="162" t="s">
        <v>935</v>
      </c>
      <c r="B401" s="163" t="s">
        <v>936</v>
      </c>
      <c r="C401" s="154"/>
      <c r="D401" s="162" t="s">
        <v>177</v>
      </c>
      <c r="E401" s="164" t="s">
        <v>177</v>
      </c>
      <c r="F401" s="164" t="s">
        <v>936</v>
      </c>
      <c r="G401" s="164" t="s">
        <v>935</v>
      </c>
      <c r="H401" s="165">
        <v>30794</v>
      </c>
      <c r="I401" s="164" t="s">
        <v>20</v>
      </c>
      <c r="J401" s="164" t="s">
        <v>21</v>
      </c>
      <c r="K401" s="165">
        <v>42646</v>
      </c>
      <c r="L401" s="166" t="s">
        <v>164</v>
      </c>
      <c r="M401" s="154"/>
      <c r="N401" s="154"/>
      <c r="O401" s="164" t="s">
        <v>165</v>
      </c>
      <c r="P401" s="164">
        <v>42</v>
      </c>
      <c r="Q401" s="164">
        <v>9</v>
      </c>
      <c r="R401" s="167" t="s">
        <v>903</v>
      </c>
      <c r="S401" s="167" t="s">
        <v>115</v>
      </c>
      <c r="T401" s="162" t="s">
        <v>800</v>
      </c>
      <c r="U401" s="167" t="s">
        <v>805</v>
      </c>
      <c r="X401" s="169">
        <v>45018</v>
      </c>
      <c r="Y401" s="170">
        <v>2.4999999966690001</v>
      </c>
      <c r="Z401" s="170">
        <v>0.41666667000000002</v>
      </c>
      <c r="AA401" s="170">
        <v>0</v>
      </c>
      <c r="AB401" s="170">
        <v>0</v>
      </c>
      <c r="AC401" s="171">
        <v>2.9166666666690002</v>
      </c>
      <c r="AD401" s="172">
        <v>232023.41122000001</v>
      </c>
      <c r="AE401" s="173">
        <v>2.92</v>
      </c>
      <c r="AF401" s="174">
        <v>46357</v>
      </c>
    </row>
    <row r="402" spans="1:32" ht="20" x14ac:dyDescent="0.35">
      <c r="A402" s="162" t="s">
        <v>606</v>
      </c>
      <c r="B402" s="163" t="s">
        <v>937</v>
      </c>
      <c r="C402" s="154"/>
      <c r="D402" s="162" t="s">
        <v>179</v>
      </c>
      <c r="E402" s="164" t="s">
        <v>179</v>
      </c>
      <c r="F402" s="164" t="s">
        <v>937</v>
      </c>
      <c r="G402" s="164" t="s">
        <v>606</v>
      </c>
      <c r="H402" s="165">
        <v>31958</v>
      </c>
      <c r="I402" s="164" t="s">
        <v>20</v>
      </c>
      <c r="J402" s="164" t="s">
        <v>21</v>
      </c>
      <c r="K402" s="165">
        <v>42646</v>
      </c>
      <c r="L402" s="166" t="s">
        <v>181</v>
      </c>
      <c r="M402" s="154"/>
      <c r="N402" s="154"/>
      <c r="O402" s="164" t="s">
        <v>65</v>
      </c>
      <c r="P402" s="164">
        <v>39</v>
      </c>
      <c r="Q402" s="164">
        <v>9</v>
      </c>
      <c r="R402" s="167" t="s">
        <v>903</v>
      </c>
      <c r="S402" s="167" t="s">
        <v>115</v>
      </c>
      <c r="T402" s="162" t="s">
        <v>794</v>
      </c>
      <c r="U402" s="167" t="s">
        <v>795</v>
      </c>
      <c r="V402" s="162" t="s">
        <v>838</v>
      </c>
      <c r="W402" s="168">
        <v>9</v>
      </c>
      <c r="X402" s="169">
        <v>45018</v>
      </c>
      <c r="Y402" s="170">
        <v>12.750000003329999</v>
      </c>
      <c r="Z402" s="170">
        <v>2.0833333299999999</v>
      </c>
      <c r="AA402" s="170">
        <v>-2</v>
      </c>
      <c r="AB402" s="170">
        <v>0</v>
      </c>
      <c r="AC402" s="171">
        <v>12.83333333333</v>
      </c>
      <c r="AD402" s="172">
        <v>2670850.0062699998</v>
      </c>
      <c r="AE402" s="173" t="s">
        <v>797</v>
      </c>
      <c r="AF402" s="173"/>
    </row>
    <row r="403" spans="1:32" x14ac:dyDescent="0.35">
      <c r="A403" s="162" t="s">
        <v>606</v>
      </c>
      <c r="B403" s="163" t="s">
        <v>937</v>
      </c>
      <c r="C403" s="154"/>
      <c r="D403" s="162" t="s">
        <v>179</v>
      </c>
      <c r="E403" s="164" t="s">
        <v>179</v>
      </c>
      <c r="F403" s="164" t="s">
        <v>937</v>
      </c>
      <c r="G403" s="164" t="s">
        <v>606</v>
      </c>
      <c r="H403" s="165">
        <v>31958</v>
      </c>
      <c r="I403" s="164" t="s">
        <v>20</v>
      </c>
      <c r="J403" s="164" t="s">
        <v>21</v>
      </c>
      <c r="K403" s="165">
        <v>42646</v>
      </c>
      <c r="L403" s="166" t="s">
        <v>181</v>
      </c>
      <c r="M403" s="154"/>
      <c r="N403" s="154"/>
      <c r="O403" s="164" t="s">
        <v>65</v>
      </c>
      <c r="P403" s="164">
        <v>39</v>
      </c>
      <c r="Q403" s="164">
        <v>9</v>
      </c>
      <c r="R403" s="167" t="s">
        <v>903</v>
      </c>
      <c r="S403" s="167" t="s">
        <v>115</v>
      </c>
      <c r="T403" s="162" t="s">
        <v>798</v>
      </c>
      <c r="U403" s="167" t="s">
        <v>839</v>
      </c>
      <c r="X403" s="169">
        <v>45018</v>
      </c>
      <c r="Y403" s="170">
        <v>180</v>
      </c>
      <c r="Z403" s="170">
        <v>0</v>
      </c>
      <c r="AA403" s="170">
        <v>0</v>
      </c>
      <c r="AB403" s="170">
        <v>0</v>
      </c>
      <c r="AC403" s="171">
        <v>180</v>
      </c>
      <c r="AD403" s="172">
        <v>37461272.815260001</v>
      </c>
      <c r="AE403" s="173">
        <v>180</v>
      </c>
      <c r="AF403" s="174">
        <v>46357</v>
      </c>
    </row>
    <row r="404" spans="1:32" x14ac:dyDescent="0.35">
      <c r="A404" s="162" t="s">
        <v>606</v>
      </c>
      <c r="B404" s="163" t="s">
        <v>937</v>
      </c>
      <c r="C404" s="154"/>
      <c r="D404" s="162" t="s">
        <v>179</v>
      </c>
      <c r="E404" s="164" t="s">
        <v>179</v>
      </c>
      <c r="F404" s="164" t="s">
        <v>937</v>
      </c>
      <c r="G404" s="164" t="s">
        <v>606</v>
      </c>
      <c r="H404" s="165">
        <v>31958</v>
      </c>
      <c r="I404" s="164" t="s">
        <v>20</v>
      </c>
      <c r="J404" s="164" t="s">
        <v>21</v>
      </c>
      <c r="K404" s="165">
        <v>42646</v>
      </c>
      <c r="L404" s="166" t="s">
        <v>181</v>
      </c>
      <c r="M404" s="154"/>
      <c r="N404" s="154"/>
      <c r="O404" s="164" t="s">
        <v>65</v>
      </c>
      <c r="P404" s="164">
        <v>39</v>
      </c>
      <c r="Q404" s="164">
        <v>9</v>
      </c>
      <c r="R404" s="167" t="s">
        <v>903</v>
      </c>
      <c r="S404" s="167" t="s">
        <v>115</v>
      </c>
      <c r="T404" s="162" t="s">
        <v>800</v>
      </c>
      <c r="U404" s="167" t="s">
        <v>801</v>
      </c>
      <c r="X404" s="169">
        <v>45018</v>
      </c>
      <c r="Y404" s="170">
        <v>26</v>
      </c>
      <c r="Z404" s="170">
        <v>0</v>
      </c>
      <c r="AA404" s="170">
        <v>0</v>
      </c>
      <c r="AB404" s="170">
        <v>0</v>
      </c>
      <c r="AC404" s="171">
        <v>26</v>
      </c>
      <c r="AD404" s="172">
        <v>5411072.7399800001</v>
      </c>
      <c r="AE404" s="173">
        <v>26</v>
      </c>
      <c r="AF404" s="174">
        <v>46357</v>
      </c>
    </row>
    <row r="405" spans="1:32" x14ac:dyDescent="0.35">
      <c r="A405" s="162" t="s">
        <v>606</v>
      </c>
      <c r="B405" s="163" t="s">
        <v>937</v>
      </c>
      <c r="C405" s="154"/>
      <c r="D405" s="162" t="s">
        <v>179</v>
      </c>
      <c r="E405" s="164" t="s">
        <v>179</v>
      </c>
      <c r="F405" s="164" t="s">
        <v>937</v>
      </c>
      <c r="G405" s="164" t="s">
        <v>606</v>
      </c>
      <c r="H405" s="165">
        <v>31958</v>
      </c>
      <c r="I405" s="164" t="s">
        <v>20</v>
      </c>
      <c r="J405" s="164" t="s">
        <v>21</v>
      </c>
      <c r="K405" s="165">
        <v>42646</v>
      </c>
      <c r="L405" s="166" t="s">
        <v>181</v>
      </c>
      <c r="M405" s="154"/>
      <c r="N405" s="154"/>
      <c r="O405" s="164" t="s">
        <v>65</v>
      </c>
      <c r="P405" s="164">
        <v>39</v>
      </c>
      <c r="Q405" s="164">
        <v>9</v>
      </c>
      <c r="R405" s="167" t="s">
        <v>903</v>
      </c>
      <c r="S405" s="167" t="s">
        <v>115</v>
      </c>
      <c r="T405" s="162" t="s">
        <v>800</v>
      </c>
      <c r="U405" s="167" t="s">
        <v>802</v>
      </c>
      <c r="X405" s="169">
        <v>45018</v>
      </c>
      <c r="Y405" s="170">
        <v>98</v>
      </c>
      <c r="Z405" s="170">
        <v>0</v>
      </c>
      <c r="AA405" s="170">
        <v>-2</v>
      </c>
      <c r="AB405" s="170">
        <v>0</v>
      </c>
      <c r="AC405" s="171">
        <v>96</v>
      </c>
      <c r="AD405" s="172">
        <v>19979345.50147</v>
      </c>
      <c r="AE405" s="173">
        <v>96</v>
      </c>
      <c r="AF405" s="174">
        <v>46357</v>
      </c>
    </row>
    <row r="406" spans="1:32" x14ac:dyDescent="0.35">
      <c r="A406" s="162" t="s">
        <v>606</v>
      </c>
      <c r="B406" s="163" t="s">
        <v>937</v>
      </c>
      <c r="C406" s="154"/>
      <c r="D406" s="162" t="s">
        <v>179</v>
      </c>
      <c r="E406" s="164" t="s">
        <v>179</v>
      </c>
      <c r="F406" s="164" t="s">
        <v>937</v>
      </c>
      <c r="G406" s="164" t="s">
        <v>606</v>
      </c>
      <c r="H406" s="165">
        <v>31958</v>
      </c>
      <c r="I406" s="164" t="s">
        <v>20</v>
      </c>
      <c r="J406" s="164" t="s">
        <v>21</v>
      </c>
      <c r="K406" s="165">
        <v>42646</v>
      </c>
      <c r="L406" s="166" t="s">
        <v>181</v>
      </c>
      <c r="M406" s="154"/>
      <c r="N406" s="154"/>
      <c r="O406" s="164" t="s">
        <v>65</v>
      </c>
      <c r="P406" s="164">
        <v>39</v>
      </c>
      <c r="Q406" s="164">
        <v>9</v>
      </c>
      <c r="R406" s="167" t="s">
        <v>903</v>
      </c>
      <c r="S406" s="167" t="s">
        <v>115</v>
      </c>
      <c r="T406" s="162" t="s">
        <v>800</v>
      </c>
      <c r="U406" s="167" t="s">
        <v>803</v>
      </c>
      <c r="X406" s="169">
        <v>45018</v>
      </c>
      <c r="Y406" s="170">
        <v>2</v>
      </c>
      <c r="Z406" s="170">
        <v>0</v>
      </c>
      <c r="AA406" s="170">
        <v>0</v>
      </c>
      <c r="AB406" s="170">
        <v>0</v>
      </c>
      <c r="AC406" s="171">
        <v>2</v>
      </c>
      <c r="AD406" s="172">
        <v>416236.36460999999</v>
      </c>
      <c r="AE406" s="173">
        <v>2</v>
      </c>
      <c r="AF406" s="174">
        <v>46357</v>
      </c>
    </row>
    <row r="407" spans="1:32" x14ac:dyDescent="0.35">
      <c r="A407" s="162" t="s">
        <v>606</v>
      </c>
      <c r="B407" s="163" t="s">
        <v>937</v>
      </c>
      <c r="C407" s="154"/>
      <c r="D407" s="162" t="s">
        <v>179</v>
      </c>
      <c r="E407" s="164" t="s">
        <v>179</v>
      </c>
      <c r="F407" s="164" t="s">
        <v>937</v>
      </c>
      <c r="G407" s="164" t="s">
        <v>606</v>
      </c>
      <c r="H407" s="165">
        <v>31958</v>
      </c>
      <c r="I407" s="164" t="s">
        <v>20</v>
      </c>
      <c r="J407" s="164" t="s">
        <v>21</v>
      </c>
      <c r="K407" s="165">
        <v>42646</v>
      </c>
      <c r="L407" s="166" t="s">
        <v>181</v>
      </c>
      <c r="M407" s="154"/>
      <c r="N407" s="154"/>
      <c r="O407" s="164" t="s">
        <v>65</v>
      </c>
      <c r="P407" s="164">
        <v>39</v>
      </c>
      <c r="Q407" s="164">
        <v>9</v>
      </c>
      <c r="R407" s="167" t="s">
        <v>903</v>
      </c>
      <c r="S407" s="167" t="s">
        <v>115</v>
      </c>
      <c r="T407" s="162" t="s">
        <v>800</v>
      </c>
      <c r="U407" s="167" t="s">
        <v>804</v>
      </c>
      <c r="X407" s="169">
        <v>45018</v>
      </c>
      <c r="Y407" s="170">
        <v>5</v>
      </c>
      <c r="Z407" s="170">
        <v>0</v>
      </c>
      <c r="AA407" s="170">
        <v>0</v>
      </c>
      <c r="AB407" s="170">
        <v>0</v>
      </c>
      <c r="AC407" s="171">
        <v>5</v>
      </c>
      <c r="AD407" s="172">
        <v>1040590.91154</v>
      </c>
      <c r="AE407" s="173">
        <v>5</v>
      </c>
      <c r="AF407" s="174">
        <v>46357</v>
      </c>
    </row>
    <row r="408" spans="1:32" x14ac:dyDescent="0.35">
      <c r="A408" s="162" t="s">
        <v>606</v>
      </c>
      <c r="B408" s="163" t="s">
        <v>937</v>
      </c>
      <c r="C408" s="154"/>
      <c r="D408" s="162" t="s">
        <v>179</v>
      </c>
      <c r="E408" s="164" t="s">
        <v>179</v>
      </c>
      <c r="F408" s="164" t="s">
        <v>937</v>
      </c>
      <c r="G408" s="164" t="s">
        <v>606</v>
      </c>
      <c r="H408" s="165">
        <v>31958</v>
      </c>
      <c r="I408" s="164" t="s">
        <v>20</v>
      </c>
      <c r="J408" s="164" t="s">
        <v>21</v>
      </c>
      <c r="K408" s="165">
        <v>42646</v>
      </c>
      <c r="L408" s="166" t="s">
        <v>181</v>
      </c>
      <c r="M408" s="154"/>
      <c r="N408" s="154"/>
      <c r="O408" s="164" t="s">
        <v>65</v>
      </c>
      <c r="P408" s="164">
        <v>39</v>
      </c>
      <c r="Q408" s="164">
        <v>9</v>
      </c>
      <c r="R408" s="167" t="s">
        <v>903</v>
      </c>
      <c r="S408" s="167" t="s">
        <v>115</v>
      </c>
      <c r="T408" s="162" t="s">
        <v>800</v>
      </c>
      <c r="U408" s="167" t="s">
        <v>840</v>
      </c>
      <c r="X408" s="169">
        <v>45018</v>
      </c>
      <c r="Y408" s="170">
        <v>2.4999999966690001</v>
      </c>
      <c r="Z408" s="170">
        <v>0.41666667000000002</v>
      </c>
      <c r="AA408" s="170">
        <v>0</v>
      </c>
      <c r="AB408" s="170">
        <v>0</v>
      </c>
      <c r="AC408" s="171">
        <v>2.9166666666690002</v>
      </c>
      <c r="AD408" s="172">
        <v>607011.36505999998</v>
      </c>
      <c r="AE408" s="173">
        <v>2.92</v>
      </c>
      <c r="AF408" s="174">
        <v>46357</v>
      </c>
    </row>
    <row r="409" spans="1:32" ht="20" x14ac:dyDescent="0.35">
      <c r="A409" s="162" t="s">
        <v>608</v>
      </c>
      <c r="B409" s="163" t="s">
        <v>938</v>
      </c>
      <c r="C409" s="154"/>
      <c r="D409" s="162" t="s">
        <v>182</v>
      </c>
      <c r="E409" s="164" t="s">
        <v>182</v>
      </c>
      <c r="F409" s="164" t="s">
        <v>938</v>
      </c>
      <c r="G409" s="164" t="s">
        <v>608</v>
      </c>
      <c r="H409" s="165">
        <v>34125</v>
      </c>
      <c r="I409" s="164" t="s">
        <v>20</v>
      </c>
      <c r="J409" s="164" t="s">
        <v>21</v>
      </c>
      <c r="K409" s="165">
        <v>42646</v>
      </c>
      <c r="L409" s="166" t="s">
        <v>164</v>
      </c>
      <c r="M409" s="154"/>
      <c r="N409" s="154"/>
      <c r="O409" s="164" t="s">
        <v>165</v>
      </c>
      <c r="P409" s="164">
        <v>33</v>
      </c>
      <c r="Q409" s="164">
        <v>9</v>
      </c>
      <c r="R409" s="167" t="s">
        <v>903</v>
      </c>
      <c r="S409" s="167" t="s">
        <v>115</v>
      </c>
      <c r="T409" s="162" t="s">
        <v>794</v>
      </c>
      <c r="U409" s="167" t="s">
        <v>819</v>
      </c>
      <c r="V409" s="162" t="s">
        <v>834</v>
      </c>
      <c r="W409" s="168">
        <v>9</v>
      </c>
      <c r="X409" s="169">
        <v>45018</v>
      </c>
      <c r="Y409" s="170">
        <v>11.24999999666</v>
      </c>
      <c r="Z409" s="170">
        <v>1.9166666699999999</v>
      </c>
      <c r="AA409" s="170">
        <v>0</v>
      </c>
      <c r="AB409" s="170">
        <v>0</v>
      </c>
      <c r="AC409" s="171">
        <v>13.166666666659999</v>
      </c>
      <c r="AD409" s="172">
        <v>1039915.47704</v>
      </c>
      <c r="AE409" s="173" t="s">
        <v>797</v>
      </c>
      <c r="AF409" s="173"/>
    </row>
    <row r="410" spans="1:32" x14ac:dyDescent="0.35">
      <c r="A410" s="162" t="s">
        <v>608</v>
      </c>
      <c r="B410" s="163" t="s">
        <v>938</v>
      </c>
      <c r="C410" s="154"/>
      <c r="D410" s="162" t="s">
        <v>182</v>
      </c>
      <c r="E410" s="164" t="s">
        <v>182</v>
      </c>
      <c r="F410" s="164" t="s">
        <v>938</v>
      </c>
      <c r="G410" s="164" t="s">
        <v>608</v>
      </c>
      <c r="H410" s="165">
        <v>34125</v>
      </c>
      <c r="I410" s="164" t="s">
        <v>20</v>
      </c>
      <c r="J410" s="164" t="s">
        <v>21</v>
      </c>
      <c r="K410" s="165">
        <v>42646</v>
      </c>
      <c r="L410" s="166" t="s">
        <v>164</v>
      </c>
      <c r="M410" s="154"/>
      <c r="N410" s="154"/>
      <c r="O410" s="164" t="s">
        <v>165</v>
      </c>
      <c r="P410" s="164">
        <v>33</v>
      </c>
      <c r="Q410" s="164">
        <v>9</v>
      </c>
      <c r="R410" s="167" t="s">
        <v>903</v>
      </c>
      <c r="S410" s="167" t="s">
        <v>115</v>
      </c>
      <c r="T410" s="162" t="s">
        <v>798</v>
      </c>
      <c r="U410" s="167" t="s">
        <v>799</v>
      </c>
      <c r="X410" s="169">
        <v>45018</v>
      </c>
      <c r="Y410" s="170">
        <v>180</v>
      </c>
      <c r="Z410" s="170">
        <v>0</v>
      </c>
      <c r="AA410" s="170">
        <v>0</v>
      </c>
      <c r="AB410" s="170">
        <v>0</v>
      </c>
      <c r="AC410" s="171">
        <v>180</v>
      </c>
      <c r="AD410" s="172">
        <v>14216566.01526</v>
      </c>
      <c r="AE410" s="173">
        <v>180</v>
      </c>
      <c r="AF410" s="174">
        <v>46357</v>
      </c>
    </row>
    <row r="411" spans="1:32" x14ac:dyDescent="0.35">
      <c r="A411" s="162" t="s">
        <v>608</v>
      </c>
      <c r="B411" s="163" t="s">
        <v>938</v>
      </c>
      <c r="C411" s="154"/>
      <c r="D411" s="162" t="s">
        <v>182</v>
      </c>
      <c r="E411" s="164" t="s">
        <v>182</v>
      </c>
      <c r="F411" s="164" t="s">
        <v>938</v>
      </c>
      <c r="G411" s="164" t="s">
        <v>608</v>
      </c>
      <c r="H411" s="165">
        <v>34125</v>
      </c>
      <c r="I411" s="164" t="s">
        <v>20</v>
      </c>
      <c r="J411" s="164" t="s">
        <v>21</v>
      </c>
      <c r="K411" s="165">
        <v>42646</v>
      </c>
      <c r="L411" s="166" t="s">
        <v>164</v>
      </c>
      <c r="M411" s="154"/>
      <c r="N411" s="154"/>
      <c r="O411" s="164" t="s">
        <v>165</v>
      </c>
      <c r="P411" s="164">
        <v>33</v>
      </c>
      <c r="Q411" s="164">
        <v>9</v>
      </c>
      <c r="R411" s="167" t="s">
        <v>903</v>
      </c>
      <c r="S411" s="167" t="s">
        <v>115</v>
      </c>
      <c r="T411" s="162" t="s">
        <v>800</v>
      </c>
      <c r="U411" s="167" t="s">
        <v>801</v>
      </c>
      <c r="X411" s="169">
        <v>45018</v>
      </c>
      <c r="Y411" s="170">
        <v>26</v>
      </c>
      <c r="Z411" s="170">
        <v>0</v>
      </c>
      <c r="AA411" s="170">
        <v>0</v>
      </c>
      <c r="AB411" s="170">
        <v>0</v>
      </c>
      <c r="AC411" s="171">
        <v>26</v>
      </c>
      <c r="AD411" s="172">
        <v>2053503.9799800001</v>
      </c>
      <c r="AE411" s="173">
        <v>26</v>
      </c>
      <c r="AF411" s="174">
        <v>46357</v>
      </c>
    </row>
    <row r="412" spans="1:32" x14ac:dyDescent="0.35">
      <c r="A412" s="162" t="s">
        <v>608</v>
      </c>
      <c r="B412" s="163" t="s">
        <v>938</v>
      </c>
      <c r="C412" s="154"/>
      <c r="D412" s="162" t="s">
        <v>182</v>
      </c>
      <c r="E412" s="164" t="s">
        <v>182</v>
      </c>
      <c r="F412" s="164" t="s">
        <v>938</v>
      </c>
      <c r="G412" s="164" t="s">
        <v>608</v>
      </c>
      <c r="H412" s="165">
        <v>34125</v>
      </c>
      <c r="I412" s="164" t="s">
        <v>20</v>
      </c>
      <c r="J412" s="164" t="s">
        <v>21</v>
      </c>
      <c r="K412" s="165">
        <v>42646</v>
      </c>
      <c r="L412" s="166" t="s">
        <v>164</v>
      </c>
      <c r="M412" s="154"/>
      <c r="N412" s="154"/>
      <c r="O412" s="164" t="s">
        <v>165</v>
      </c>
      <c r="P412" s="164">
        <v>33</v>
      </c>
      <c r="Q412" s="164">
        <v>9</v>
      </c>
      <c r="R412" s="167" t="s">
        <v>903</v>
      </c>
      <c r="S412" s="167" t="s">
        <v>115</v>
      </c>
      <c r="T412" s="162" t="s">
        <v>800</v>
      </c>
      <c r="U412" s="167" t="s">
        <v>802</v>
      </c>
      <c r="X412" s="169">
        <v>45018</v>
      </c>
      <c r="Y412" s="170">
        <v>98</v>
      </c>
      <c r="Z412" s="170">
        <v>0</v>
      </c>
      <c r="AA412" s="170">
        <v>0</v>
      </c>
      <c r="AB412" s="170">
        <v>0</v>
      </c>
      <c r="AC412" s="171">
        <v>98</v>
      </c>
      <c r="AD412" s="172">
        <v>7740130.3860900002</v>
      </c>
      <c r="AE412" s="173">
        <v>98</v>
      </c>
      <c r="AF412" s="174">
        <v>46357</v>
      </c>
    </row>
    <row r="413" spans="1:32" x14ac:dyDescent="0.35">
      <c r="A413" s="162" t="s">
        <v>608</v>
      </c>
      <c r="B413" s="163" t="s">
        <v>938</v>
      </c>
      <c r="C413" s="154"/>
      <c r="D413" s="162" t="s">
        <v>182</v>
      </c>
      <c r="E413" s="164" t="s">
        <v>182</v>
      </c>
      <c r="F413" s="164" t="s">
        <v>938</v>
      </c>
      <c r="G413" s="164" t="s">
        <v>608</v>
      </c>
      <c r="H413" s="165">
        <v>34125</v>
      </c>
      <c r="I413" s="164" t="s">
        <v>20</v>
      </c>
      <c r="J413" s="164" t="s">
        <v>21</v>
      </c>
      <c r="K413" s="165">
        <v>42646</v>
      </c>
      <c r="L413" s="166" t="s">
        <v>164</v>
      </c>
      <c r="M413" s="154"/>
      <c r="N413" s="154"/>
      <c r="O413" s="164" t="s">
        <v>165</v>
      </c>
      <c r="P413" s="164">
        <v>33</v>
      </c>
      <c r="Q413" s="164">
        <v>9</v>
      </c>
      <c r="R413" s="167" t="s">
        <v>903</v>
      </c>
      <c r="S413" s="167" t="s">
        <v>115</v>
      </c>
      <c r="T413" s="162" t="s">
        <v>800</v>
      </c>
      <c r="U413" s="167" t="s">
        <v>803</v>
      </c>
      <c r="X413" s="169">
        <v>45018</v>
      </c>
      <c r="Y413" s="170">
        <v>2</v>
      </c>
      <c r="Z413" s="170">
        <v>0</v>
      </c>
      <c r="AA413" s="170">
        <v>0</v>
      </c>
      <c r="AB413" s="170">
        <v>0</v>
      </c>
      <c r="AC413" s="171">
        <v>2</v>
      </c>
      <c r="AD413" s="172">
        <v>157961.84461</v>
      </c>
      <c r="AE413" s="173">
        <v>2</v>
      </c>
      <c r="AF413" s="174">
        <v>46357</v>
      </c>
    </row>
    <row r="414" spans="1:32" x14ac:dyDescent="0.35">
      <c r="A414" s="162" t="s">
        <v>608</v>
      </c>
      <c r="B414" s="163" t="s">
        <v>938</v>
      </c>
      <c r="C414" s="154"/>
      <c r="D414" s="162" t="s">
        <v>182</v>
      </c>
      <c r="E414" s="164" t="s">
        <v>182</v>
      </c>
      <c r="F414" s="164" t="s">
        <v>938</v>
      </c>
      <c r="G414" s="164" t="s">
        <v>608</v>
      </c>
      <c r="H414" s="165">
        <v>34125</v>
      </c>
      <c r="I414" s="164" t="s">
        <v>20</v>
      </c>
      <c r="J414" s="164" t="s">
        <v>21</v>
      </c>
      <c r="K414" s="165">
        <v>42646</v>
      </c>
      <c r="L414" s="166" t="s">
        <v>164</v>
      </c>
      <c r="M414" s="154"/>
      <c r="N414" s="154"/>
      <c r="O414" s="164" t="s">
        <v>165</v>
      </c>
      <c r="P414" s="164">
        <v>33</v>
      </c>
      <c r="Q414" s="164">
        <v>9</v>
      </c>
      <c r="R414" s="167" t="s">
        <v>903</v>
      </c>
      <c r="S414" s="167" t="s">
        <v>115</v>
      </c>
      <c r="T414" s="162" t="s">
        <v>800</v>
      </c>
      <c r="U414" s="167" t="s">
        <v>804</v>
      </c>
      <c r="X414" s="169">
        <v>45018</v>
      </c>
      <c r="Y414" s="170">
        <v>5</v>
      </c>
      <c r="Z414" s="170">
        <v>0</v>
      </c>
      <c r="AA414" s="170">
        <v>0</v>
      </c>
      <c r="AB414" s="170">
        <v>0</v>
      </c>
      <c r="AC414" s="171">
        <v>5</v>
      </c>
      <c r="AD414" s="172">
        <v>394904.61154000001</v>
      </c>
      <c r="AE414" s="173">
        <v>5</v>
      </c>
      <c r="AF414" s="174">
        <v>46357</v>
      </c>
    </row>
    <row r="415" spans="1:32" x14ac:dyDescent="0.35">
      <c r="A415" s="162" t="s">
        <v>608</v>
      </c>
      <c r="B415" s="163" t="s">
        <v>938</v>
      </c>
      <c r="C415" s="154"/>
      <c r="D415" s="162" t="s">
        <v>182</v>
      </c>
      <c r="E415" s="164" t="s">
        <v>182</v>
      </c>
      <c r="F415" s="164" t="s">
        <v>938</v>
      </c>
      <c r="G415" s="164" t="s">
        <v>608</v>
      </c>
      <c r="H415" s="165">
        <v>34125</v>
      </c>
      <c r="I415" s="164" t="s">
        <v>20</v>
      </c>
      <c r="J415" s="164" t="s">
        <v>21</v>
      </c>
      <c r="K415" s="165">
        <v>42646</v>
      </c>
      <c r="L415" s="166" t="s">
        <v>164</v>
      </c>
      <c r="M415" s="154"/>
      <c r="N415" s="154"/>
      <c r="O415" s="164" t="s">
        <v>165</v>
      </c>
      <c r="P415" s="164">
        <v>33</v>
      </c>
      <c r="Q415" s="164">
        <v>9</v>
      </c>
      <c r="R415" s="167" t="s">
        <v>903</v>
      </c>
      <c r="S415" s="167" t="s">
        <v>115</v>
      </c>
      <c r="T415" s="162" t="s">
        <v>800</v>
      </c>
      <c r="U415" s="167" t="s">
        <v>805</v>
      </c>
      <c r="X415" s="169">
        <v>45018</v>
      </c>
      <c r="Y415" s="170">
        <v>2.4999999966690001</v>
      </c>
      <c r="Z415" s="170">
        <v>0.41666667000000002</v>
      </c>
      <c r="AA415" s="170">
        <v>0</v>
      </c>
      <c r="AB415" s="170">
        <v>0</v>
      </c>
      <c r="AC415" s="171">
        <v>2.9166666666690002</v>
      </c>
      <c r="AD415" s="172">
        <v>230361.02340000001</v>
      </c>
      <c r="AE415" s="173">
        <v>2.92</v>
      </c>
      <c r="AF415" s="174">
        <v>46357</v>
      </c>
    </row>
    <row r="416" spans="1:32" ht="20" x14ac:dyDescent="0.35">
      <c r="A416" s="162" t="s">
        <v>939</v>
      </c>
      <c r="B416" s="163" t="s">
        <v>940</v>
      </c>
      <c r="C416" s="154"/>
      <c r="D416" s="162" t="s">
        <v>184</v>
      </c>
      <c r="E416" s="164" t="s">
        <v>184</v>
      </c>
      <c r="F416" s="164" t="s">
        <v>940</v>
      </c>
      <c r="G416" s="164" t="s">
        <v>939</v>
      </c>
      <c r="H416" s="165">
        <v>32706</v>
      </c>
      <c r="I416" s="164" t="s">
        <v>20</v>
      </c>
      <c r="J416" s="164" t="s">
        <v>21</v>
      </c>
      <c r="K416" s="165">
        <v>42646</v>
      </c>
      <c r="L416" s="166" t="s">
        <v>186</v>
      </c>
      <c r="M416" s="154"/>
      <c r="N416" s="154"/>
      <c r="O416" s="164" t="s">
        <v>70</v>
      </c>
      <c r="P416" s="164">
        <v>37</v>
      </c>
      <c r="Q416" s="164">
        <v>9</v>
      </c>
      <c r="R416" s="167" t="s">
        <v>941</v>
      </c>
      <c r="S416" s="167" t="s">
        <v>844</v>
      </c>
      <c r="T416" s="162" t="s">
        <v>794</v>
      </c>
      <c r="U416" s="167" t="s">
        <v>833</v>
      </c>
      <c r="V416" s="162" t="s">
        <v>834</v>
      </c>
      <c r="W416" s="168">
        <v>9</v>
      </c>
      <c r="X416" s="169">
        <v>45018</v>
      </c>
      <c r="Y416" s="170">
        <v>32.330000000010003</v>
      </c>
      <c r="Z416" s="170">
        <v>2.25</v>
      </c>
      <c r="AA416" s="170">
        <v>-21</v>
      </c>
      <c r="AB416" s="170">
        <v>0</v>
      </c>
      <c r="AC416" s="171">
        <v>13.580000000009999</v>
      </c>
      <c r="AD416" s="172">
        <v>8786966.5099500008</v>
      </c>
      <c r="AE416" s="173" t="s">
        <v>797</v>
      </c>
      <c r="AF416" s="173"/>
    </row>
    <row r="417" spans="1:32" ht="20" x14ac:dyDescent="0.35">
      <c r="A417" s="162" t="s">
        <v>939</v>
      </c>
      <c r="B417" s="163" t="s">
        <v>940</v>
      </c>
      <c r="C417" s="154"/>
      <c r="D417" s="162" t="s">
        <v>184</v>
      </c>
      <c r="E417" s="164" t="s">
        <v>184</v>
      </c>
      <c r="F417" s="164" t="s">
        <v>940</v>
      </c>
      <c r="G417" s="164" t="s">
        <v>939</v>
      </c>
      <c r="H417" s="165">
        <v>32706</v>
      </c>
      <c r="I417" s="164" t="s">
        <v>20</v>
      </c>
      <c r="J417" s="164" t="s">
        <v>21</v>
      </c>
      <c r="K417" s="165">
        <v>42646</v>
      </c>
      <c r="L417" s="166" t="s">
        <v>186</v>
      </c>
      <c r="M417" s="154"/>
      <c r="N417" s="154"/>
      <c r="O417" s="164" t="s">
        <v>70</v>
      </c>
      <c r="P417" s="164">
        <v>37</v>
      </c>
      <c r="Q417" s="164">
        <v>9</v>
      </c>
      <c r="R417" s="167" t="s">
        <v>941</v>
      </c>
      <c r="S417" s="167" t="s">
        <v>844</v>
      </c>
      <c r="T417" s="162" t="s">
        <v>798</v>
      </c>
      <c r="U417" s="167" t="s">
        <v>799</v>
      </c>
      <c r="X417" s="169">
        <v>45018</v>
      </c>
      <c r="Y417" s="170">
        <v>180</v>
      </c>
      <c r="Z417" s="170">
        <v>0</v>
      </c>
      <c r="AA417" s="170">
        <v>0</v>
      </c>
      <c r="AB417" s="170">
        <v>0</v>
      </c>
      <c r="AC417" s="171">
        <v>180</v>
      </c>
      <c r="AD417" s="172">
        <v>116469364.63842</v>
      </c>
      <c r="AE417" s="173">
        <v>180</v>
      </c>
      <c r="AF417" s="174">
        <v>46357</v>
      </c>
    </row>
    <row r="418" spans="1:32" ht="20" x14ac:dyDescent="0.35">
      <c r="A418" s="162" t="s">
        <v>939</v>
      </c>
      <c r="B418" s="163" t="s">
        <v>940</v>
      </c>
      <c r="C418" s="154"/>
      <c r="D418" s="162" t="s">
        <v>184</v>
      </c>
      <c r="E418" s="164" t="s">
        <v>184</v>
      </c>
      <c r="F418" s="164" t="s">
        <v>940</v>
      </c>
      <c r="G418" s="164" t="s">
        <v>939</v>
      </c>
      <c r="H418" s="165">
        <v>32706</v>
      </c>
      <c r="I418" s="164" t="s">
        <v>20</v>
      </c>
      <c r="J418" s="164" t="s">
        <v>21</v>
      </c>
      <c r="K418" s="165">
        <v>42646</v>
      </c>
      <c r="L418" s="166" t="s">
        <v>186</v>
      </c>
      <c r="M418" s="154"/>
      <c r="N418" s="154"/>
      <c r="O418" s="164" t="s">
        <v>70</v>
      </c>
      <c r="P418" s="164">
        <v>37</v>
      </c>
      <c r="Q418" s="164">
        <v>9</v>
      </c>
      <c r="R418" s="167" t="s">
        <v>941</v>
      </c>
      <c r="S418" s="167" t="s">
        <v>844</v>
      </c>
      <c r="T418" s="162" t="s">
        <v>800</v>
      </c>
      <c r="U418" s="167" t="s">
        <v>801</v>
      </c>
      <c r="X418" s="169">
        <v>45018</v>
      </c>
      <c r="Y418" s="170">
        <v>26</v>
      </c>
      <c r="Z418" s="170">
        <v>0</v>
      </c>
      <c r="AA418" s="170">
        <v>0</v>
      </c>
      <c r="AB418" s="170">
        <v>0</v>
      </c>
      <c r="AC418" s="171">
        <v>26</v>
      </c>
      <c r="AD418" s="172">
        <v>16823352.669989999</v>
      </c>
      <c r="AE418" s="173">
        <v>26</v>
      </c>
      <c r="AF418" s="174">
        <v>46357</v>
      </c>
    </row>
    <row r="419" spans="1:32" ht="20" x14ac:dyDescent="0.35">
      <c r="A419" s="162" t="s">
        <v>939</v>
      </c>
      <c r="B419" s="163" t="s">
        <v>940</v>
      </c>
      <c r="C419" s="154"/>
      <c r="D419" s="162" t="s">
        <v>184</v>
      </c>
      <c r="E419" s="164" t="s">
        <v>184</v>
      </c>
      <c r="F419" s="164" t="s">
        <v>940</v>
      </c>
      <c r="G419" s="164" t="s">
        <v>939</v>
      </c>
      <c r="H419" s="165">
        <v>32706</v>
      </c>
      <c r="I419" s="164" t="s">
        <v>20</v>
      </c>
      <c r="J419" s="164" t="s">
        <v>21</v>
      </c>
      <c r="K419" s="165">
        <v>42646</v>
      </c>
      <c r="L419" s="166" t="s">
        <v>186</v>
      </c>
      <c r="M419" s="154"/>
      <c r="N419" s="154"/>
      <c r="O419" s="164" t="s">
        <v>70</v>
      </c>
      <c r="P419" s="164">
        <v>37</v>
      </c>
      <c r="Q419" s="164">
        <v>9</v>
      </c>
      <c r="R419" s="167" t="s">
        <v>941</v>
      </c>
      <c r="S419" s="167" t="s">
        <v>844</v>
      </c>
      <c r="T419" s="162" t="s">
        <v>800</v>
      </c>
      <c r="U419" s="167" t="s">
        <v>802</v>
      </c>
      <c r="X419" s="169">
        <v>45018</v>
      </c>
      <c r="Y419" s="170">
        <v>98</v>
      </c>
      <c r="Z419" s="170">
        <v>0</v>
      </c>
      <c r="AA419" s="170">
        <v>0</v>
      </c>
      <c r="AB419" s="170">
        <v>0</v>
      </c>
      <c r="AC419" s="171">
        <v>98</v>
      </c>
      <c r="AD419" s="172">
        <v>63411098.525360003</v>
      </c>
      <c r="AE419" s="173">
        <v>98</v>
      </c>
      <c r="AF419" s="174">
        <v>46357</v>
      </c>
    </row>
    <row r="420" spans="1:32" ht="20" x14ac:dyDescent="0.35">
      <c r="A420" s="162" t="s">
        <v>939</v>
      </c>
      <c r="B420" s="163" t="s">
        <v>940</v>
      </c>
      <c r="C420" s="154"/>
      <c r="D420" s="162" t="s">
        <v>184</v>
      </c>
      <c r="E420" s="164" t="s">
        <v>184</v>
      </c>
      <c r="F420" s="164" t="s">
        <v>940</v>
      </c>
      <c r="G420" s="164" t="s">
        <v>939</v>
      </c>
      <c r="H420" s="165">
        <v>32706</v>
      </c>
      <c r="I420" s="164" t="s">
        <v>20</v>
      </c>
      <c r="J420" s="164" t="s">
        <v>21</v>
      </c>
      <c r="K420" s="165">
        <v>42646</v>
      </c>
      <c r="L420" s="166" t="s">
        <v>186</v>
      </c>
      <c r="M420" s="154"/>
      <c r="N420" s="154"/>
      <c r="O420" s="164" t="s">
        <v>70</v>
      </c>
      <c r="P420" s="164">
        <v>37</v>
      </c>
      <c r="Q420" s="164">
        <v>9</v>
      </c>
      <c r="R420" s="167" t="s">
        <v>941</v>
      </c>
      <c r="S420" s="167" t="s">
        <v>844</v>
      </c>
      <c r="T420" s="162" t="s">
        <v>800</v>
      </c>
      <c r="U420" s="167" t="s">
        <v>803</v>
      </c>
      <c r="X420" s="169">
        <v>45018</v>
      </c>
      <c r="Y420" s="170">
        <v>2</v>
      </c>
      <c r="Z420" s="170">
        <v>0</v>
      </c>
      <c r="AA420" s="170">
        <v>0</v>
      </c>
      <c r="AB420" s="170">
        <v>0</v>
      </c>
      <c r="AC420" s="171">
        <v>2</v>
      </c>
      <c r="AD420" s="172">
        <v>1294104.0515399999</v>
      </c>
      <c r="AE420" s="173">
        <v>2</v>
      </c>
      <c r="AF420" s="174">
        <v>46357</v>
      </c>
    </row>
    <row r="421" spans="1:32" ht="20" x14ac:dyDescent="0.35">
      <c r="A421" s="162" t="s">
        <v>939</v>
      </c>
      <c r="B421" s="163" t="s">
        <v>940</v>
      </c>
      <c r="C421" s="154"/>
      <c r="D421" s="162" t="s">
        <v>184</v>
      </c>
      <c r="E421" s="164" t="s">
        <v>184</v>
      </c>
      <c r="F421" s="164" t="s">
        <v>940</v>
      </c>
      <c r="G421" s="164" t="s">
        <v>939</v>
      </c>
      <c r="H421" s="165">
        <v>32706</v>
      </c>
      <c r="I421" s="164" t="s">
        <v>20</v>
      </c>
      <c r="J421" s="164" t="s">
        <v>21</v>
      </c>
      <c r="K421" s="165">
        <v>42646</v>
      </c>
      <c r="L421" s="166" t="s">
        <v>186</v>
      </c>
      <c r="M421" s="154"/>
      <c r="N421" s="154"/>
      <c r="O421" s="164" t="s">
        <v>70</v>
      </c>
      <c r="P421" s="164">
        <v>37</v>
      </c>
      <c r="Q421" s="164">
        <v>9</v>
      </c>
      <c r="R421" s="167" t="s">
        <v>941</v>
      </c>
      <c r="S421" s="167" t="s">
        <v>844</v>
      </c>
      <c r="T421" s="162" t="s">
        <v>800</v>
      </c>
      <c r="U421" s="167" t="s">
        <v>804</v>
      </c>
      <c r="X421" s="169">
        <v>45018</v>
      </c>
      <c r="Y421" s="170">
        <v>5</v>
      </c>
      <c r="Z421" s="170">
        <v>0</v>
      </c>
      <c r="AA421" s="170">
        <v>0</v>
      </c>
      <c r="AB421" s="170">
        <v>0</v>
      </c>
      <c r="AC421" s="171">
        <v>5</v>
      </c>
      <c r="AD421" s="172">
        <v>3235260.12885</v>
      </c>
      <c r="AE421" s="173">
        <v>5</v>
      </c>
      <c r="AF421" s="174">
        <v>46357</v>
      </c>
    </row>
    <row r="422" spans="1:32" ht="20" x14ac:dyDescent="0.35">
      <c r="A422" s="162" t="s">
        <v>939</v>
      </c>
      <c r="B422" s="163" t="s">
        <v>940</v>
      </c>
      <c r="C422" s="154"/>
      <c r="D422" s="162" t="s">
        <v>184</v>
      </c>
      <c r="E422" s="164" t="s">
        <v>184</v>
      </c>
      <c r="F422" s="164" t="s">
        <v>940</v>
      </c>
      <c r="G422" s="164" t="s">
        <v>939</v>
      </c>
      <c r="H422" s="165">
        <v>32706</v>
      </c>
      <c r="I422" s="164" t="s">
        <v>20</v>
      </c>
      <c r="J422" s="164" t="s">
        <v>21</v>
      </c>
      <c r="K422" s="165">
        <v>42646</v>
      </c>
      <c r="L422" s="166" t="s">
        <v>186</v>
      </c>
      <c r="M422" s="154"/>
      <c r="N422" s="154"/>
      <c r="O422" s="164" t="s">
        <v>70</v>
      </c>
      <c r="P422" s="164">
        <v>37</v>
      </c>
      <c r="Q422" s="164">
        <v>9</v>
      </c>
      <c r="R422" s="167" t="s">
        <v>941</v>
      </c>
      <c r="S422" s="167" t="s">
        <v>844</v>
      </c>
      <c r="T422" s="162" t="s">
        <v>800</v>
      </c>
      <c r="U422" s="167" t="s">
        <v>805</v>
      </c>
      <c r="X422" s="169">
        <v>45018</v>
      </c>
      <c r="Y422" s="170">
        <v>1.4999999966690001</v>
      </c>
      <c r="Z422" s="170">
        <v>0.41666667000000002</v>
      </c>
      <c r="AA422" s="170">
        <v>0</v>
      </c>
      <c r="AB422" s="170">
        <v>0</v>
      </c>
      <c r="AC422" s="171">
        <v>1.916666666669</v>
      </c>
      <c r="AD422" s="172">
        <v>1240183.0493900001</v>
      </c>
      <c r="AE422" s="173">
        <v>1.92</v>
      </c>
      <c r="AF422" s="174">
        <v>46357</v>
      </c>
    </row>
    <row r="423" spans="1:32" ht="20" x14ac:dyDescent="0.35">
      <c r="A423" s="162" t="s">
        <v>942</v>
      </c>
      <c r="B423" s="163" t="s">
        <v>943</v>
      </c>
      <c r="C423" s="154"/>
      <c r="D423" s="162" t="s">
        <v>187</v>
      </c>
      <c r="E423" s="164" t="s">
        <v>187</v>
      </c>
      <c r="F423" s="164" t="s">
        <v>943</v>
      </c>
      <c r="G423" s="164" t="s">
        <v>942</v>
      </c>
      <c r="H423" s="165">
        <v>30793</v>
      </c>
      <c r="I423" s="164" t="s">
        <v>48</v>
      </c>
      <c r="J423" s="164" t="s">
        <v>21</v>
      </c>
      <c r="K423" s="165">
        <v>42653</v>
      </c>
      <c r="L423" s="166" t="s">
        <v>189</v>
      </c>
      <c r="M423" s="154"/>
      <c r="N423" s="154"/>
      <c r="O423" s="164" t="s">
        <v>129</v>
      </c>
      <c r="P423" s="164">
        <v>42</v>
      </c>
      <c r="Q423" s="164">
        <v>9</v>
      </c>
      <c r="R423" s="167" t="s">
        <v>888</v>
      </c>
      <c r="S423" s="167" t="s">
        <v>45</v>
      </c>
      <c r="T423" s="162" t="s">
        <v>794</v>
      </c>
      <c r="U423" s="167" t="s">
        <v>819</v>
      </c>
      <c r="V423" s="162" t="s">
        <v>834</v>
      </c>
      <c r="W423" s="168">
        <v>9</v>
      </c>
      <c r="X423" s="169">
        <v>45018</v>
      </c>
      <c r="Y423" s="170">
        <v>13.24999999666</v>
      </c>
      <c r="Z423" s="170">
        <v>1.9166666699999999</v>
      </c>
      <c r="AA423" s="170">
        <v>0</v>
      </c>
      <c r="AB423" s="170">
        <v>0</v>
      </c>
      <c r="AC423" s="171">
        <v>15.166666666659999</v>
      </c>
      <c r="AD423" s="172">
        <v>1322635.6499900001</v>
      </c>
      <c r="AE423" s="173" t="s">
        <v>797</v>
      </c>
      <c r="AF423" s="173"/>
    </row>
    <row r="424" spans="1:32" ht="20" x14ac:dyDescent="0.35">
      <c r="A424" s="162" t="s">
        <v>942</v>
      </c>
      <c r="B424" s="163" t="s">
        <v>943</v>
      </c>
      <c r="C424" s="154"/>
      <c r="D424" s="162" t="s">
        <v>187</v>
      </c>
      <c r="E424" s="164" t="s">
        <v>187</v>
      </c>
      <c r="F424" s="164" t="s">
        <v>943</v>
      </c>
      <c r="G424" s="164" t="s">
        <v>942</v>
      </c>
      <c r="H424" s="165">
        <v>30793</v>
      </c>
      <c r="I424" s="164" t="s">
        <v>48</v>
      </c>
      <c r="J424" s="164" t="s">
        <v>21</v>
      </c>
      <c r="K424" s="165">
        <v>42653</v>
      </c>
      <c r="L424" s="166" t="s">
        <v>189</v>
      </c>
      <c r="M424" s="154"/>
      <c r="N424" s="154"/>
      <c r="O424" s="164" t="s">
        <v>129</v>
      </c>
      <c r="P424" s="164">
        <v>42</v>
      </c>
      <c r="Q424" s="164">
        <v>9</v>
      </c>
      <c r="R424" s="167" t="s">
        <v>888</v>
      </c>
      <c r="S424" s="167" t="s">
        <v>45</v>
      </c>
      <c r="T424" s="162" t="s">
        <v>798</v>
      </c>
      <c r="U424" s="167" t="s">
        <v>799</v>
      </c>
      <c r="X424" s="169">
        <v>45018</v>
      </c>
      <c r="Y424" s="170">
        <v>179</v>
      </c>
      <c r="Z424" s="170">
        <v>0</v>
      </c>
      <c r="AA424" s="170">
        <v>0</v>
      </c>
      <c r="AB424" s="170">
        <v>0</v>
      </c>
      <c r="AC424" s="171">
        <v>179</v>
      </c>
      <c r="AD424" s="172">
        <v>15610007.561389999</v>
      </c>
      <c r="AE424" s="173">
        <v>179</v>
      </c>
      <c r="AF424" s="174">
        <v>46357</v>
      </c>
    </row>
    <row r="425" spans="1:32" ht="20" x14ac:dyDescent="0.35">
      <c r="A425" s="162" t="s">
        <v>942</v>
      </c>
      <c r="B425" s="163" t="s">
        <v>943</v>
      </c>
      <c r="C425" s="154"/>
      <c r="D425" s="162" t="s">
        <v>187</v>
      </c>
      <c r="E425" s="164" t="s">
        <v>187</v>
      </c>
      <c r="F425" s="164" t="s">
        <v>943</v>
      </c>
      <c r="G425" s="164" t="s">
        <v>942</v>
      </c>
      <c r="H425" s="165">
        <v>30793</v>
      </c>
      <c r="I425" s="164" t="s">
        <v>48</v>
      </c>
      <c r="J425" s="164" t="s">
        <v>21</v>
      </c>
      <c r="K425" s="165">
        <v>42653</v>
      </c>
      <c r="L425" s="166" t="s">
        <v>189</v>
      </c>
      <c r="M425" s="154"/>
      <c r="N425" s="154"/>
      <c r="O425" s="164" t="s">
        <v>129</v>
      </c>
      <c r="P425" s="164">
        <v>42</v>
      </c>
      <c r="Q425" s="164">
        <v>9</v>
      </c>
      <c r="R425" s="167" t="s">
        <v>888</v>
      </c>
      <c r="S425" s="167" t="s">
        <v>45</v>
      </c>
      <c r="T425" s="162" t="s">
        <v>800</v>
      </c>
      <c r="U425" s="167" t="s">
        <v>801</v>
      </c>
      <c r="X425" s="169">
        <v>45018</v>
      </c>
      <c r="Y425" s="170">
        <v>26</v>
      </c>
      <c r="Z425" s="170">
        <v>0</v>
      </c>
      <c r="AA425" s="170">
        <v>0</v>
      </c>
      <c r="AB425" s="170">
        <v>0</v>
      </c>
      <c r="AC425" s="171">
        <v>26</v>
      </c>
      <c r="AD425" s="172">
        <v>2267375.3999800002</v>
      </c>
      <c r="AE425" s="173">
        <v>26</v>
      </c>
      <c r="AF425" s="174">
        <v>46357</v>
      </c>
    </row>
    <row r="426" spans="1:32" ht="20" x14ac:dyDescent="0.35">
      <c r="A426" s="162" t="s">
        <v>942</v>
      </c>
      <c r="B426" s="163" t="s">
        <v>943</v>
      </c>
      <c r="C426" s="154"/>
      <c r="D426" s="162" t="s">
        <v>187</v>
      </c>
      <c r="E426" s="164" t="s">
        <v>187</v>
      </c>
      <c r="F426" s="164" t="s">
        <v>943</v>
      </c>
      <c r="G426" s="164" t="s">
        <v>942</v>
      </c>
      <c r="H426" s="165">
        <v>30793</v>
      </c>
      <c r="I426" s="164" t="s">
        <v>48</v>
      </c>
      <c r="J426" s="164" t="s">
        <v>21</v>
      </c>
      <c r="K426" s="165">
        <v>42653</v>
      </c>
      <c r="L426" s="166" t="s">
        <v>189</v>
      </c>
      <c r="M426" s="154"/>
      <c r="N426" s="154"/>
      <c r="O426" s="164" t="s">
        <v>129</v>
      </c>
      <c r="P426" s="164">
        <v>42</v>
      </c>
      <c r="Q426" s="164">
        <v>9</v>
      </c>
      <c r="R426" s="167" t="s">
        <v>888</v>
      </c>
      <c r="S426" s="167" t="s">
        <v>45</v>
      </c>
      <c r="T426" s="162" t="s">
        <v>800</v>
      </c>
      <c r="U426" s="167" t="s">
        <v>802</v>
      </c>
      <c r="X426" s="169">
        <v>45018</v>
      </c>
      <c r="Y426" s="170">
        <v>98</v>
      </c>
      <c r="Z426" s="170">
        <v>0</v>
      </c>
      <c r="AA426" s="170">
        <v>0</v>
      </c>
      <c r="AB426" s="170">
        <v>0</v>
      </c>
      <c r="AC426" s="171">
        <v>98</v>
      </c>
      <c r="AD426" s="172">
        <v>8546261.1229899991</v>
      </c>
      <c r="AE426" s="173">
        <v>98</v>
      </c>
      <c r="AF426" s="174">
        <v>46357</v>
      </c>
    </row>
    <row r="427" spans="1:32" ht="20" x14ac:dyDescent="0.35">
      <c r="A427" s="162" t="s">
        <v>942</v>
      </c>
      <c r="B427" s="163" t="s">
        <v>943</v>
      </c>
      <c r="C427" s="154"/>
      <c r="D427" s="162" t="s">
        <v>187</v>
      </c>
      <c r="E427" s="164" t="s">
        <v>187</v>
      </c>
      <c r="F427" s="164" t="s">
        <v>943</v>
      </c>
      <c r="G427" s="164" t="s">
        <v>942</v>
      </c>
      <c r="H427" s="165">
        <v>30793</v>
      </c>
      <c r="I427" s="164" t="s">
        <v>48</v>
      </c>
      <c r="J427" s="164" t="s">
        <v>21</v>
      </c>
      <c r="K427" s="165">
        <v>42653</v>
      </c>
      <c r="L427" s="166" t="s">
        <v>189</v>
      </c>
      <c r="M427" s="154"/>
      <c r="N427" s="154"/>
      <c r="O427" s="164" t="s">
        <v>129</v>
      </c>
      <c r="P427" s="164">
        <v>42</v>
      </c>
      <c r="Q427" s="164">
        <v>9</v>
      </c>
      <c r="R427" s="167" t="s">
        <v>888</v>
      </c>
      <c r="S427" s="167" t="s">
        <v>45</v>
      </c>
      <c r="T427" s="162" t="s">
        <v>800</v>
      </c>
      <c r="U427" s="167" t="s">
        <v>803</v>
      </c>
      <c r="X427" s="169">
        <v>45018</v>
      </c>
      <c r="Y427" s="170">
        <v>2</v>
      </c>
      <c r="Z427" s="170">
        <v>0</v>
      </c>
      <c r="AA427" s="170">
        <v>0</v>
      </c>
      <c r="AB427" s="170">
        <v>0</v>
      </c>
      <c r="AC427" s="171">
        <v>2</v>
      </c>
      <c r="AD427" s="172">
        <v>174413.49231</v>
      </c>
      <c r="AE427" s="173">
        <v>2</v>
      </c>
      <c r="AF427" s="174">
        <v>46357</v>
      </c>
    </row>
    <row r="428" spans="1:32" ht="20" x14ac:dyDescent="0.35">
      <c r="A428" s="162" t="s">
        <v>942</v>
      </c>
      <c r="B428" s="163" t="s">
        <v>943</v>
      </c>
      <c r="C428" s="154"/>
      <c r="D428" s="162" t="s">
        <v>187</v>
      </c>
      <c r="E428" s="164" t="s">
        <v>187</v>
      </c>
      <c r="F428" s="164" t="s">
        <v>943</v>
      </c>
      <c r="G428" s="164" t="s">
        <v>942</v>
      </c>
      <c r="H428" s="165">
        <v>30793</v>
      </c>
      <c r="I428" s="164" t="s">
        <v>48</v>
      </c>
      <c r="J428" s="164" t="s">
        <v>21</v>
      </c>
      <c r="K428" s="165">
        <v>42653</v>
      </c>
      <c r="L428" s="166" t="s">
        <v>189</v>
      </c>
      <c r="M428" s="154"/>
      <c r="N428" s="154"/>
      <c r="O428" s="164" t="s">
        <v>129</v>
      </c>
      <c r="P428" s="164">
        <v>42</v>
      </c>
      <c r="Q428" s="164">
        <v>9</v>
      </c>
      <c r="R428" s="167" t="s">
        <v>888</v>
      </c>
      <c r="S428" s="167" t="s">
        <v>45</v>
      </c>
      <c r="T428" s="162" t="s">
        <v>800</v>
      </c>
      <c r="U428" s="167" t="s">
        <v>804</v>
      </c>
      <c r="X428" s="169">
        <v>45018</v>
      </c>
      <c r="Y428" s="170">
        <v>5</v>
      </c>
      <c r="Z428" s="170">
        <v>0</v>
      </c>
      <c r="AA428" s="170">
        <v>0</v>
      </c>
      <c r="AB428" s="170">
        <v>0</v>
      </c>
      <c r="AC428" s="171">
        <v>5</v>
      </c>
      <c r="AD428" s="172">
        <v>436033.73076000001</v>
      </c>
      <c r="AE428" s="173">
        <v>5</v>
      </c>
      <c r="AF428" s="174">
        <v>46357</v>
      </c>
    </row>
    <row r="429" spans="1:32" ht="20" x14ac:dyDescent="0.35">
      <c r="A429" s="162" t="s">
        <v>942</v>
      </c>
      <c r="B429" s="163" t="s">
        <v>943</v>
      </c>
      <c r="C429" s="154"/>
      <c r="D429" s="162" t="s">
        <v>187</v>
      </c>
      <c r="E429" s="164" t="s">
        <v>187</v>
      </c>
      <c r="F429" s="164" t="s">
        <v>943</v>
      </c>
      <c r="G429" s="164" t="s">
        <v>942</v>
      </c>
      <c r="H429" s="165">
        <v>30793</v>
      </c>
      <c r="I429" s="164" t="s">
        <v>48</v>
      </c>
      <c r="J429" s="164" t="s">
        <v>21</v>
      </c>
      <c r="K429" s="165">
        <v>42653</v>
      </c>
      <c r="L429" s="166" t="s">
        <v>189</v>
      </c>
      <c r="M429" s="154"/>
      <c r="N429" s="154"/>
      <c r="O429" s="164" t="s">
        <v>129</v>
      </c>
      <c r="P429" s="164">
        <v>42</v>
      </c>
      <c r="Q429" s="164">
        <v>9</v>
      </c>
      <c r="R429" s="167" t="s">
        <v>888</v>
      </c>
      <c r="S429" s="167" t="s">
        <v>45</v>
      </c>
      <c r="T429" s="162" t="s">
        <v>800</v>
      </c>
      <c r="U429" s="167" t="s">
        <v>805</v>
      </c>
      <c r="X429" s="169">
        <v>45018</v>
      </c>
      <c r="Y429" s="170">
        <v>2.4999999966690001</v>
      </c>
      <c r="Z429" s="170">
        <v>0.41666667000000002</v>
      </c>
      <c r="AA429" s="170">
        <v>0</v>
      </c>
      <c r="AB429" s="170">
        <v>0</v>
      </c>
      <c r="AC429" s="171">
        <v>2.9166666666690002</v>
      </c>
      <c r="AD429" s="172">
        <v>254353.00961000001</v>
      </c>
      <c r="AE429" s="173">
        <v>2.92</v>
      </c>
      <c r="AF429" s="174">
        <v>46357</v>
      </c>
    </row>
    <row r="430" spans="1:32" ht="20" x14ac:dyDescent="0.35">
      <c r="A430" s="162" t="s">
        <v>651</v>
      </c>
      <c r="B430" s="163" t="s">
        <v>944</v>
      </c>
      <c r="C430" s="154"/>
      <c r="D430" s="162" t="s">
        <v>190</v>
      </c>
      <c r="E430" s="164" t="s">
        <v>190</v>
      </c>
      <c r="F430" s="164" t="s">
        <v>944</v>
      </c>
      <c r="G430" s="164" t="s">
        <v>651</v>
      </c>
      <c r="H430" s="165">
        <v>33297</v>
      </c>
      <c r="I430" s="164" t="s">
        <v>20</v>
      </c>
      <c r="J430" s="164" t="s">
        <v>68</v>
      </c>
      <c r="K430" s="165">
        <v>42653</v>
      </c>
      <c r="L430" s="166" t="s">
        <v>192</v>
      </c>
      <c r="M430" s="154"/>
      <c r="N430" s="154"/>
      <c r="O430" s="164" t="s">
        <v>44</v>
      </c>
      <c r="P430" s="164">
        <v>35</v>
      </c>
      <c r="Q430" s="164">
        <v>9</v>
      </c>
      <c r="R430" s="167" t="s">
        <v>888</v>
      </c>
      <c r="S430" s="167" t="s">
        <v>45</v>
      </c>
      <c r="T430" s="162" t="s">
        <v>794</v>
      </c>
      <c r="U430" s="167" t="s">
        <v>795</v>
      </c>
      <c r="V430" s="162" t="s">
        <v>838</v>
      </c>
      <c r="W430" s="168">
        <v>9</v>
      </c>
      <c r="X430" s="169">
        <v>45018</v>
      </c>
      <c r="Y430" s="170">
        <v>10.250000003329999</v>
      </c>
      <c r="Z430" s="170">
        <v>2.0833333299999999</v>
      </c>
      <c r="AA430" s="170">
        <v>-14</v>
      </c>
      <c r="AB430" s="170">
        <v>0</v>
      </c>
      <c r="AC430" s="171">
        <v>-1.6666666666700001</v>
      </c>
      <c r="AD430" s="172">
        <v>-279225.65577000001</v>
      </c>
      <c r="AE430" s="173" t="s">
        <v>797</v>
      </c>
      <c r="AF430" s="173"/>
    </row>
    <row r="431" spans="1:32" ht="20" x14ac:dyDescent="0.35">
      <c r="A431" s="162" t="s">
        <v>651</v>
      </c>
      <c r="B431" s="163" t="s">
        <v>944</v>
      </c>
      <c r="C431" s="154"/>
      <c r="D431" s="162" t="s">
        <v>190</v>
      </c>
      <c r="E431" s="164" t="s">
        <v>190</v>
      </c>
      <c r="F431" s="164" t="s">
        <v>944</v>
      </c>
      <c r="G431" s="164" t="s">
        <v>651</v>
      </c>
      <c r="H431" s="165">
        <v>33297</v>
      </c>
      <c r="I431" s="164" t="s">
        <v>20</v>
      </c>
      <c r="J431" s="164" t="s">
        <v>68</v>
      </c>
      <c r="K431" s="165">
        <v>42653</v>
      </c>
      <c r="L431" s="166" t="s">
        <v>192</v>
      </c>
      <c r="M431" s="154"/>
      <c r="N431" s="154"/>
      <c r="O431" s="164" t="s">
        <v>44</v>
      </c>
      <c r="P431" s="164">
        <v>35</v>
      </c>
      <c r="Q431" s="164">
        <v>9</v>
      </c>
      <c r="R431" s="167" t="s">
        <v>888</v>
      </c>
      <c r="S431" s="167" t="s">
        <v>45</v>
      </c>
      <c r="T431" s="162" t="s">
        <v>798</v>
      </c>
      <c r="U431" s="167" t="s">
        <v>839</v>
      </c>
      <c r="X431" s="169">
        <v>45018</v>
      </c>
      <c r="Y431" s="170">
        <v>180</v>
      </c>
      <c r="Z431" s="170">
        <v>0</v>
      </c>
      <c r="AA431" s="170">
        <v>0</v>
      </c>
      <c r="AB431" s="170">
        <v>0</v>
      </c>
      <c r="AC431" s="171">
        <v>180</v>
      </c>
      <c r="AD431" s="172">
        <v>30156370.822980002</v>
      </c>
      <c r="AE431" s="173">
        <v>180</v>
      </c>
      <c r="AF431" s="174">
        <v>46357</v>
      </c>
    </row>
    <row r="432" spans="1:32" ht="20" x14ac:dyDescent="0.35">
      <c r="A432" s="162" t="s">
        <v>651</v>
      </c>
      <c r="B432" s="163" t="s">
        <v>944</v>
      </c>
      <c r="C432" s="154"/>
      <c r="D432" s="162" t="s">
        <v>190</v>
      </c>
      <c r="E432" s="164" t="s">
        <v>190</v>
      </c>
      <c r="F432" s="164" t="s">
        <v>944</v>
      </c>
      <c r="G432" s="164" t="s">
        <v>651</v>
      </c>
      <c r="H432" s="165">
        <v>33297</v>
      </c>
      <c r="I432" s="164" t="s">
        <v>20</v>
      </c>
      <c r="J432" s="164" t="s">
        <v>68</v>
      </c>
      <c r="K432" s="165">
        <v>42653</v>
      </c>
      <c r="L432" s="166" t="s">
        <v>192</v>
      </c>
      <c r="M432" s="154"/>
      <c r="N432" s="154"/>
      <c r="O432" s="164" t="s">
        <v>44</v>
      </c>
      <c r="P432" s="164">
        <v>35</v>
      </c>
      <c r="Q432" s="164">
        <v>9</v>
      </c>
      <c r="R432" s="167" t="s">
        <v>888</v>
      </c>
      <c r="S432" s="167" t="s">
        <v>45</v>
      </c>
      <c r="T432" s="162" t="s">
        <v>800</v>
      </c>
      <c r="U432" s="167" t="s">
        <v>801</v>
      </c>
      <c r="X432" s="169">
        <v>45018</v>
      </c>
      <c r="Y432" s="170">
        <v>26</v>
      </c>
      <c r="Z432" s="170">
        <v>0</v>
      </c>
      <c r="AA432" s="170">
        <v>0</v>
      </c>
      <c r="AB432" s="170">
        <v>0</v>
      </c>
      <c r="AC432" s="171">
        <v>26</v>
      </c>
      <c r="AD432" s="172">
        <v>4355920.2299899999</v>
      </c>
      <c r="AE432" s="173">
        <v>26</v>
      </c>
      <c r="AF432" s="174">
        <v>46357</v>
      </c>
    </row>
    <row r="433" spans="1:32" ht="20" x14ac:dyDescent="0.35">
      <c r="A433" s="162" t="s">
        <v>651</v>
      </c>
      <c r="B433" s="163" t="s">
        <v>944</v>
      </c>
      <c r="C433" s="154"/>
      <c r="D433" s="162" t="s">
        <v>190</v>
      </c>
      <c r="E433" s="164" t="s">
        <v>190</v>
      </c>
      <c r="F433" s="164" t="s">
        <v>944</v>
      </c>
      <c r="G433" s="164" t="s">
        <v>651</v>
      </c>
      <c r="H433" s="165">
        <v>33297</v>
      </c>
      <c r="I433" s="164" t="s">
        <v>20</v>
      </c>
      <c r="J433" s="164" t="s">
        <v>68</v>
      </c>
      <c r="K433" s="165">
        <v>42653</v>
      </c>
      <c r="L433" s="166" t="s">
        <v>192</v>
      </c>
      <c r="M433" s="154"/>
      <c r="N433" s="154"/>
      <c r="O433" s="164" t="s">
        <v>44</v>
      </c>
      <c r="P433" s="164">
        <v>35</v>
      </c>
      <c r="Q433" s="164">
        <v>9</v>
      </c>
      <c r="R433" s="167" t="s">
        <v>888</v>
      </c>
      <c r="S433" s="167" t="s">
        <v>45</v>
      </c>
      <c r="T433" s="162" t="s">
        <v>800</v>
      </c>
      <c r="U433" s="167" t="s">
        <v>802</v>
      </c>
      <c r="X433" s="169">
        <v>45018</v>
      </c>
      <c r="Y433" s="170">
        <v>98</v>
      </c>
      <c r="Z433" s="170">
        <v>0</v>
      </c>
      <c r="AA433" s="170">
        <v>0</v>
      </c>
      <c r="AB433" s="170">
        <v>0</v>
      </c>
      <c r="AC433" s="171">
        <v>98</v>
      </c>
      <c r="AD433" s="172">
        <v>16418468.559180001</v>
      </c>
      <c r="AE433" s="173">
        <v>98</v>
      </c>
      <c r="AF433" s="174">
        <v>46357</v>
      </c>
    </row>
    <row r="434" spans="1:32" ht="20" x14ac:dyDescent="0.35">
      <c r="A434" s="162" t="s">
        <v>651</v>
      </c>
      <c r="B434" s="163" t="s">
        <v>944</v>
      </c>
      <c r="C434" s="154"/>
      <c r="D434" s="162" t="s">
        <v>190</v>
      </c>
      <c r="E434" s="164" t="s">
        <v>190</v>
      </c>
      <c r="F434" s="164" t="s">
        <v>944</v>
      </c>
      <c r="G434" s="164" t="s">
        <v>651</v>
      </c>
      <c r="H434" s="165">
        <v>33297</v>
      </c>
      <c r="I434" s="164" t="s">
        <v>20</v>
      </c>
      <c r="J434" s="164" t="s">
        <v>68</v>
      </c>
      <c r="K434" s="165">
        <v>42653</v>
      </c>
      <c r="L434" s="166" t="s">
        <v>192</v>
      </c>
      <c r="M434" s="154"/>
      <c r="N434" s="154"/>
      <c r="O434" s="164" t="s">
        <v>44</v>
      </c>
      <c r="P434" s="164">
        <v>35</v>
      </c>
      <c r="Q434" s="164">
        <v>9</v>
      </c>
      <c r="R434" s="167" t="s">
        <v>888</v>
      </c>
      <c r="S434" s="167" t="s">
        <v>45</v>
      </c>
      <c r="T434" s="162" t="s">
        <v>800</v>
      </c>
      <c r="U434" s="167" t="s">
        <v>803</v>
      </c>
      <c r="X434" s="169">
        <v>45018</v>
      </c>
      <c r="Y434" s="170">
        <v>2</v>
      </c>
      <c r="Z434" s="170">
        <v>0</v>
      </c>
      <c r="AA434" s="170">
        <v>0</v>
      </c>
      <c r="AB434" s="170">
        <v>0</v>
      </c>
      <c r="AC434" s="171">
        <v>2</v>
      </c>
      <c r="AD434" s="172">
        <v>335070.78691999998</v>
      </c>
      <c r="AE434" s="173">
        <v>2</v>
      </c>
      <c r="AF434" s="174">
        <v>46357</v>
      </c>
    </row>
    <row r="435" spans="1:32" ht="20" x14ac:dyDescent="0.35">
      <c r="A435" s="162" t="s">
        <v>651</v>
      </c>
      <c r="B435" s="163" t="s">
        <v>944</v>
      </c>
      <c r="C435" s="154"/>
      <c r="D435" s="162" t="s">
        <v>190</v>
      </c>
      <c r="E435" s="164" t="s">
        <v>190</v>
      </c>
      <c r="F435" s="164" t="s">
        <v>944</v>
      </c>
      <c r="G435" s="164" t="s">
        <v>651</v>
      </c>
      <c r="H435" s="165">
        <v>33297</v>
      </c>
      <c r="I435" s="164" t="s">
        <v>20</v>
      </c>
      <c r="J435" s="164" t="s">
        <v>68</v>
      </c>
      <c r="K435" s="165">
        <v>42653</v>
      </c>
      <c r="L435" s="166" t="s">
        <v>192</v>
      </c>
      <c r="M435" s="154"/>
      <c r="N435" s="154"/>
      <c r="O435" s="164" t="s">
        <v>44</v>
      </c>
      <c r="P435" s="164">
        <v>35</v>
      </c>
      <c r="Q435" s="164">
        <v>9</v>
      </c>
      <c r="R435" s="167" t="s">
        <v>888</v>
      </c>
      <c r="S435" s="167" t="s">
        <v>45</v>
      </c>
      <c r="T435" s="162" t="s">
        <v>800</v>
      </c>
      <c r="U435" s="167" t="s">
        <v>804</v>
      </c>
      <c r="X435" s="169">
        <v>45018</v>
      </c>
      <c r="Y435" s="170">
        <v>5</v>
      </c>
      <c r="Z435" s="170">
        <v>0</v>
      </c>
      <c r="AA435" s="170">
        <v>0</v>
      </c>
      <c r="AB435" s="170">
        <v>0</v>
      </c>
      <c r="AC435" s="171">
        <v>5</v>
      </c>
      <c r="AD435" s="172">
        <v>837676.96730000002</v>
      </c>
      <c r="AE435" s="173">
        <v>5</v>
      </c>
      <c r="AF435" s="174">
        <v>46357</v>
      </c>
    </row>
    <row r="436" spans="1:32" ht="20" x14ac:dyDescent="0.35">
      <c r="A436" s="162" t="s">
        <v>651</v>
      </c>
      <c r="B436" s="163" t="s">
        <v>944</v>
      </c>
      <c r="C436" s="154"/>
      <c r="D436" s="162" t="s">
        <v>190</v>
      </c>
      <c r="E436" s="164" t="s">
        <v>190</v>
      </c>
      <c r="F436" s="164" t="s">
        <v>944</v>
      </c>
      <c r="G436" s="164" t="s">
        <v>651</v>
      </c>
      <c r="H436" s="165">
        <v>33297</v>
      </c>
      <c r="I436" s="164" t="s">
        <v>20</v>
      </c>
      <c r="J436" s="164" t="s">
        <v>68</v>
      </c>
      <c r="K436" s="165">
        <v>42653</v>
      </c>
      <c r="L436" s="166" t="s">
        <v>192</v>
      </c>
      <c r="M436" s="154"/>
      <c r="N436" s="154"/>
      <c r="O436" s="164" t="s">
        <v>44</v>
      </c>
      <c r="P436" s="164">
        <v>35</v>
      </c>
      <c r="Q436" s="164">
        <v>9</v>
      </c>
      <c r="R436" s="167" t="s">
        <v>888</v>
      </c>
      <c r="S436" s="167" t="s">
        <v>45</v>
      </c>
      <c r="T436" s="162" t="s">
        <v>800</v>
      </c>
      <c r="U436" s="167" t="s">
        <v>840</v>
      </c>
      <c r="X436" s="169">
        <v>45018</v>
      </c>
      <c r="Y436" s="170">
        <v>2.4999999966690001</v>
      </c>
      <c r="Z436" s="170">
        <v>0.41666667000000002</v>
      </c>
      <c r="AA436" s="170">
        <v>0</v>
      </c>
      <c r="AB436" s="170">
        <v>0</v>
      </c>
      <c r="AC436" s="171">
        <v>2.9166666666690002</v>
      </c>
      <c r="AD436" s="172">
        <v>488644.89759000001</v>
      </c>
      <c r="AE436" s="173">
        <v>2.92</v>
      </c>
      <c r="AF436" s="174">
        <v>46357</v>
      </c>
    </row>
    <row r="437" spans="1:32" ht="20" x14ac:dyDescent="0.35">
      <c r="A437" s="162" t="s">
        <v>945</v>
      </c>
      <c r="B437" s="163" t="s">
        <v>946</v>
      </c>
      <c r="C437" s="154"/>
      <c r="D437" s="162" t="s">
        <v>193</v>
      </c>
      <c r="E437" s="164" t="s">
        <v>193</v>
      </c>
      <c r="F437" s="164" t="s">
        <v>946</v>
      </c>
      <c r="G437" s="164" t="s">
        <v>945</v>
      </c>
      <c r="H437" s="165">
        <v>27307</v>
      </c>
      <c r="I437" s="164" t="s">
        <v>20</v>
      </c>
      <c r="J437" s="164" t="s">
        <v>21</v>
      </c>
      <c r="K437" s="165">
        <v>42660</v>
      </c>
      <c r="L437" s="166" t="s">
        <v>195</v>
      </c>
      <c r="M437" s="154"/>
      <c r="N437" s="154"/>
      <c r="O437" s="164" t="s">
        <v>29</v>
      </c>
      <c r="P437" s="164">
        <v>51</v>
      </c>
      <c r="Q437" s="164">
        <v>9</v>
      </c>
      <c r="R437" s="167" t="s">
        <v>888</v>
      </c>
      <c r="S437" s="167" t="s">
        <v>45</v>
      </c>
      <c r="T437" s="162" t="s">
        <v>794</v>
      </c>
      <c r="U437" s="167" t="s">
        <v>795</v>
      </c>
      <c r="V437" s="162" t="s">
        <v>838</v>
      </c>
      <c r="W437" s="168">
        <v>9</v>
      </c>
      <c r="X437" s="169">
        <v>45018</v>
      </c>
      <c r="Y437" s="170">
        <v>15.250000003329999</v>
      </c>
      <c r="Z437" s="170">
        <v>2.0833333299999999</v>
      </c>
      <c r="AA437" s="170">
        <v>0</v>
      </c>
      <c r="AB437" s="170">
        <v>0</v>
      </c>
      <c r="AC437" s="171">
        <v>17.33333333333</v>
      </c>
      <c r="AD437" s="172">
        <v>3529936.1866600001</v>
      </c>
      <c r="AE437" s="173" t="s">
        <v>797</v>
      </c>
      <c r="AF437" s="173"/>
    </row>
    <row r="438" spans="1:32" ht="20" x14ac:dyDescent="0.35">
      <c r="A438" s="162" t="s">
        <v>945</v>
      </c>
      <c r="B438" s="163" t="s">
        <v>946</v>
      </c>
      <c r="C438" s="154"/>
      <c r="D438" s="162" t="s">
        <v>193</v>
      </c>
      <c r="E438" s="164" t="s">
        <v>193</v>
      </c>
      <c r="F438" s="164" t="s">
        <v>946</v>
      </c>
      <c r="G438" s="164" t="s">
        <v>945</v>
      </c>
      <c r="H438" s="165">
        <v>27307</v>
      </c>
      <c r="I438" s="164" t="s">
        <v>20</v>
      </c>
      <c r="J438" s="164" t="s">
        <v>21</v>
      </c>
      <c r="K438" s="165">
        <v>42660</v>
      </c>
      <c r="L438" s="166" t="s">
        <v>195</v>
      </c>
      <c r="M438" s="154"/>
      <c r="N438" s="154"/>
      <c r="O438" s="164" t="s">
        <v>29</v>
      </c>
      <c r="P438" s="164">
        <v>51</v>
      </c>
      <c r="Q438" s="164">
        <v>9</v>
      </c>
      <c r="R438" s="167" t="s">
        <v>888</v>
      </c>
      <c r="S438" s="167" t="s">
        <v>45</v>
      </c>
      <c r="T438" s="162" t="s">
        <v>798</v>
      </c>
      <c r="U438" s="167" t="s">
        <v>839</v>
      </c>
      <c r="X438" s="169">
        <v>45018</v>
      </c>
      <c r="Y438" s="170">
        <v>167</v>
      </c>
      <c r="Z438" s="170">
        <v>0</v>
      </c>
      <c r="AA438" s="170">
        <v>0</v>
      </c>
      <c r="AB438" s="170">
        <v>0</v>
      </c>
      <c r="AC438" s="171">
        <v>167</v>
      </c>
      <c r="AD438" s="172">
        <v>34009577.490699999</v>
      </c>
      <c r="AE438" s="173">
        <v>167</v>
      </c>
      <c r="AF438" s="174">
        <v>46357</v>
      </c>
    </row>
    <row r="439" spans="1:32" ht="20" x14ac:dyDescent="0.35">
      <c r="A439" s="162" t="s">
        <v>945</v>
      </c>
      <c r="B439" s="163" t="s">
        <v>946</v>
      </c>
      <c r="C439" s="154"/>
      <c r="D439" s="162" t="s">
        <v>193</v>
      </c>
      <c r="E439" s="164" t="s">
        <v>193</v>
      </c>
      <c r="F439" s="164" t="s">
        <v>946</v>
      </c>
      <c r="G439" s="164" t="s">
        <v>945</v>
      </c>
      <c r="H439" s="165">
        <v>27307</v>
      </c>
      <c r="I439" s="164" t="s">
        <v>20</v>
      </c>
      <c r="J439" s="164" t="s">
        <v>21</v>
      </c>
      <c r="K439" s="165">
        <v>42660</v>
      </c>
      <c r="L439" s="166" t="s">
        <v>195</v>
      </c>
      <c r="M439" s="154"/>
      <c r="N439" s="154"/>
      <c r="O439" s="164" t="s">
        <v>29</v>
      </c>
      <c r="P439" s="164">
        <v>51</v>
      </c>
      <c r="Q439" s="164">
        <v>9</v>
      </c>
      <c r="R439" s="167" t="s">
        <v>888</v>
      </c>
      <c r="S439" s="167" t="s">
        <v>45</v>
      </c>
      <c r="T439" s="162" t="s">
        <v>800</v>
      </c>
      <c r="U439" s="167" t="s">
        <v>801</v>
      </c>
      <c r="X439" s="169">
        <v>45018</v>
      </c>
      <c r="Y439" s="170">
        <v>26</v>
      </c>
      <c r="Z439" s="170">
        <v>0</v>
      </c>
      <c r="AA439" s="170">
        <v>0</v>
      </c>
      <c r="AB439" s="170">
        <v>0</v>
      </c>
      <c r="AC439" s="171">
        <v>26</v>
      </c>
      <c r="AD439" s="172">
        <v>5294904.2799899997</v>
      </c>
      <c r="AE439" s="173">
        <v>26</v>
      </c>
      <c r="AF439" s="174">
        <v>46357</v>
      </c>
    </row>
    <row r="440" spans="1:32" ht="20" x14ac:dyDescent="0.35">
      <c r="A440" s="162" t="s">
        <v>945</v>
      </c>
      <c r="B440" s="163" t="s">
        <v>946</v>
      </c>
      <c r="C440" s="154"/>
      <c r="D440" s="162" t="s">
        <v>193</v>
      </c>
      <c r="E440" s="164" t="s">
        <v>193</v>
      </c>
      <c r="F440" s="164" t="s">
        <v>946</v>
      </c>
      <c r="G440" s="164" t="s">
        <v>945</v>
      </c>
      <c r="H440" s="165">
        <v>27307</v>
      </c>
      <c r="I440" s="164" t="s">
        <v>20</v>
      </c>
      <c r="J440" s="164" t="s">
        <v>21</v>
      </c>
      <c r="K440" s="165">
        <v>42660</v>
      </c>
      <c r="L440" s="166" t="s">
        <v>195</v>
      </c>
      <c r="M440" s="154"/>
      <c r="N440" s="154"/>
      <c r="O440" s="164" t="s">
        <v>29</v>
      </c>
      <c r="P440" s="164">
        <v>51</v>
      </c>
      <c r="Q440" s="164">
        <v>9</v>
      </c>
      <c r="R440" s="167" t="s">
        <v>888</v>
      </c>
      <c r="S440" s="167" t="s">
        <v>45</v>
      </c>
      <c r="T440" s="162" t="s">
        <v>800</v>
      </c>
      <c r="U440" s="167" t="s">
        <v>802</v>
      </c>
      <c r="X440" s="169">
        <v>45018</v>
      </c>
      <c r="Y440" s="170">
        <v>98</v>
      </c>
      <c r="Z440" s="170">
        <v>0</v>
      </c>
      <c r="AA440" s="170">
        <v>0</v>
      </c>
      <c r="AB440" s="170">
        <v>0</v>
      </c>
      <c r="AC440" s="171">
        <v>98</v>
      </c>
      <c r="AD440" s="172">
        <v>19957716.132270001</v>
      </c>
      <c r="AE440" s="173">
        <v>98</v>
      </c>
      <c r="AF440" s="174">
        <v>46357</v>
      </c>
    </row>
    <row r="441" spans="1:32" ht="20" x14ac:dyDescent="0.35">
      <c r="A441" s="162" t="s">
        <v>945</v>
      </c>
      <c r="B441" s="163" t="s">
        <v>946</v>
      </c>
      <c r="C441" s="154"/>
      <c r="D441" s="162" t="s">
        <v>193</v>
      </c>
      <c r="E441" s="164" t="s">
        <v>193</v>
      </c>
      <c r="F441" s="164" t="s">
        <v>946</v>
      </c>
      <c r="G441" s="164" t="s">
        <v>945</v>
      </c>
      <c r="H441" s="165">
        <v>27307</v>
      </c>
      <c r="I441" s="164" t="s">
        <v>20</v>
      </c>
      <c r="J441" s="164" t="s">
        <v>21</v>
      </c>
      <c r="K441" s="165">
        <v>42660</v>
      </c>
      <c r="L441" s="166" t="s">
        <v>195</v>
      </c>
      <c r="M441" s="154"/>
      <c r="N441" s="154"/>
      <c r="O441" s="164" t="s">
        <v>29</v>
      </c>
      <c r="P441" s="164">
        <v>51</v>
      </c>
      <c r="Q441" s="164">
        <v>9</v>
      </c>
      <c r="R441" s="167" t="s">
        <v>888</v>
      </c>
      <c r="S441" s="167" t="s">
        <v>45</v>
      </c>
      <c r="T441" s="162" t="s">
        <v>800</v>
      </c>
      <c r="U441" s="167" t="s">
        <v>803</v>
      </c>
      <c r="X441" s="169">
        <v>45018</v>
      </c>
      <c r="Y441" s="170">
        <v>2</v>
      </c>
      <c r="Z441" s="170">
        <v>0</v>
      </c>
      <c r="AA441" s="170">
        <v>0</v>
      </c>
      <c r="AB441" s="170">
        <v>0</v>
      </c>
      <c r="AC441" s="171">
        <v>2</v>
      </c>
      <c r="AD441" s="172">
        <v>407300.32922999997</v>
      </c>
      <c r="AE441" s="173">
        <v>2</v>
      </c>
      <c r="AF441" s="174">
        <v>46357</v>
      </c>
    </row>
    <row r="442" spans="1:32" ht="20" x14ac:dyDescent="0.35">
      <c r="A442" s="162" t="s">
        <v>945</v>
      </c>
      <c r="B442" s="163" t="s">
        <v>946</v>
      </c>
      <c r="C442" s="154"/>
      <c r="D442" s="162" t="s">
        <v>193</v>
      </c>
      <c r="E442" s="164" t="s">
        <v>193</v>
      </c>
      <c r="F442" s="164" t="s">
        <v>946</v>
      </c>
      <c r="G442" s="164" t="s">
        <v>945</v>
      </c>
      <c r="H442" s="165">
        <v>27307</v>
      </c>
      <c r="I442" s="164" t="s">
        <v>20</v>
      </c>
      <c r="J442" s="164" t="s">
        <v>21</v>
      </c>
      <c r="K442" s="165">
        <v>42660</v>
      </c>
      <c r="L442" s="166" t="s">
        <v>195</v>
      </c>
      <c r="M442" s="154"/>
      <c r="N442" s="154"/>
      <c r="O442" s="164" t="s">
        <v>29</v>
      </c>
      <c r="P442" s="164">
        <v>51</v>
      </c>
      <c r="Q442" s="164">
        <v>9</v>
      </c>
      <c r="R442" s="167" t="s">
        <v>888</v>
      </c>
      <c r="S442" s="167" t="s">
        <v>45</v>
      </c>
      <c r="T442" s="162" t="s">
        <v>800</v>
      </c>
      <c r="U442" s="167" t="s">
        <v>804</v>
      </c>
      <c r="X442" s="169">
        <v>45018</v>
      </c>
      <c r="Y442" s="170">
        <v>5</v>
      </c>
      <c r="Z442" s="170">
        <v>0</v>
      </c>
      <c r="AA442" s="170">
        <v>0</v>
      </c>
      <c r="AB442" s="170">
        <v>0</v>
      </c>
      <c r="AC442" s="171">
        <v>5</v>
      </c>
      <c r="AD442" s="172">
        <v>1018250.82307</v>
      </c>
      <c r="AE442" s="173">
        <v>5</v>
      </c>
      <c r="AF442" s="174">
        <v>46357</v>
      </c>
    </row>
    <row r="443" spans="1:32" ht="20" x14ac:dyDescent="0.35">
      <c r="A443" s="162" t="s">
        <v>945</v>
      </c>
      <c r="B443" s="163" t="s">
        <v>946</v>
      </c>
      <c r="C443" s="154"/>
      <c r="D443" s="162" t="s">
        <v>193</v>
      </c>
      <c r="E443" s="164" t="s">
        <v>193</v>
      </c>
      <c r="F443" s="164" t="s">
        <v>946</v>
      </c>
      <c r="G443" s="164" t="s">
        <v>945</v>
      </c>
      <c r="H443" s="165">
        <v>27307</v>
      </c>
      <c r="I443" s="164" t="s">
        <v>20</v>
      </c>
      <c r="J443" s="164" t="s">
        <v>21</v>
      </c>
      <c r="K443" s="165">
        <v>42660</v>
      </c>
      <c r="L443" s="166" t="s">
        <v>195</v>
      </c>
      <c r="M443" s="154"/>
      <c r="N443" s="154"/>
      <c r="O443" s="164" t="s">
        <v>29</v>
      </c>
      <c r="P443" s="164">
        <v>51</v>
      </c>
      <c r="Q443" s="164">
        <v>9</v>
      </c>
      <c r="R443" s="167" t="s">
        <v>888</v>
      </c>
      <c r="S443" s="167" t="s">
        <v>45</v>
      </c>
      <c r="T443" s="162" t="s">
        <v>800</v>
      </c>
      <c r="U443" s="167" t="s">
        <v>840</v>
      </c>
      <c r="X443" s="169">
        <v>45018</v>
      </c>
      <c r="Y443" s="170">
        <v>2.4999999966690001</v>
      </c>
      <c r="Z443" s="170">
        <v>0.41666667000000002</v>
      </c>
      <c r="AA443" s="170">
        <v>0</v>
      </c>
      <c r="AB443" s="170">
        <v>0</v>
      </c>
      <c r="AC443" s="171">
        <v>2.9166666666690002</v>
      </c>
      <c r="AD443" s="172">
        <v>593979.64679000003</v>
      </c>
      <c r="AE443" s="173">
        <v>2.92</v>
      </c>
      <c r="AF443" s="174">
        <v>46357</v>
      </c>
    </row>
    <row r="444" spans="1:32" ht="20" x14ac:dyDescent="0.35">
      <c r="A444" s="162" t="s">
        <v>947</v>
      </c>
      <c r="B444" s="163" t="s">
        <v>948</v>
      </c>
      <c r="C444" s="154"/>
      <c r="D444" s="162" t="s">
        <v>196</v>
      </c>
      <c r="E444" s="164" t="s">
        <v>196</v>
      </c>
      <c r="F444" s="164" t="s">
        <v>948</v>
      </c>
      <c r="G444" s="164" t="s">
        <v>947</v>
      </c>
      <c r="H444" s="165">
        <v>25543</v>
      </c>
      <c r="I444" s="164" t="s">
        <v>20</v>
      </c>
      <c r="J444" s="164" t="s">
        <v>21</v>
      </c>
      <c r="K444" s="165">
        <v>42660</v>
      </c>
      <c r="L444" s="166" t="s">
        <v>198</v>
      </c>
      <c r="M444" s="154"/>
      <c r="N444" s="154"/>
      <c r="O444" s="164" t="s">
        <v>35</v>
      </c>
      <c r="P444" s="164">
        <v>56</v>
      </c>
      <c r="Q444" s="164">
        <v>9</v>
      </c>
      <c r="R444" s="167" t="s">
        <v>888</v>
      </c>
      <c r="S444" s="167" t="s">
        <v>45</v>
      </c>
      <c r="T444" s="162" t="s">
        <v>794</v>
      </c>
      <c r="U444" s="167" t="s">
        <v>819</v>
      </c>
      <c r="V444" s="162" t="s">
        <v>834</v>
      </c>
      <c r="W444" s="168">
        <v>9</v>
      </c>
      <c r="X444" s="169">
        <v>45018</v>
      </c>
      <c r="Y444" s="170">
        <v>6.7499999966599997</v>
      </c>
      <c r="Z444" s="170">
        <v>1.9166666699999999</v>
      </c>
      <c r="AA444" s="170">
        <v>0</v>
      </c>
      <c r="AB444" s="170">
        <v>0</v>
      </c>
      <c r="AC444" s="171">
        <v>8.6666666666599994</v>
      </c>
      <c r="AD444" s="172">
        <v>629595.09999000002</v>
      </c>
      <c r="AE444" s="173" t="s">
        <v>797</v>
      </c>
      <c r="AF444" s="173"/>
    </row>
    <row r="445" spans="1:32" ht="20" x14ac:dyDescent="0.35">
      <c r="A445" s="162" t="s">
        <v>947</v>
      </c>
      <c r="B445" s="163" t="s">
        <v>948</v>
      </c>
      <c r="C445" s="154"/>
      <c r="D445" s="162" t="s">
        <v>196</v>
      </c>
      <c r="E445" s="164" t="s">
        <v>196</v>
      </c>
      <c r="F445" s="164" t="s">
        <v>948</v>
      </c>
      <c r="G445" s="164" t="s">
        <v>947</v>
      </c>
      <c r="H445" s="165">
        <v>25543</v>
      </c>
      <c r="I445" s="164" t="s">
        <v>20</v>
      </c>
      <c r="J445" s="164" t="s">
        <v>21</v>
      </c>
      <c r="K445" s="165">
        <v>42660</v>
      </c>
      <c r="L445" s="166" t="s">
        <v>198</v>
      </c>
      <c r="M445" s="154"/>
      <c r="N445" s="154"/>
      <c r="O445" s="164" t="s">
        <v>35</v>
      </c>
      <c r="P445" s="164">
        <v>56</v>
      </c>
      <c r="Q445" s="164">
        <v>9</v>
      </c>
      <c r="R445" s="167" t="s">
        <v>888</v>
      </c>
      <c r="S445" s="167" t="s">
        <v>45</v>
      </c>
      <c r="T445" s="162" t="s">
        <v>798</v>
      </c>
      <c r="U445" s="167" t="s">
        <v>799</v>
      </c>
      <c r="X445" s="169">
        <v>45018</v>
      </c>
      <c r="Y445" s="170">
        <v>180</v>
      </c>
      <c r="Z445" s="170">
        <v>0</v>
      </c>
      <c r="AA445" s="170">
        <v>0</v>
      </c>
      <c r="AB445" s="170">
        <v>0</v>
      </c>
      <c r="AC445" s="171">
        <v>180</v>
      </c>
      <c r="AD445" s="172">
        <v>13076205.922979999</v>
      </c>
      <c r="AE445" s="173">
        <v>180</v>
      </c>
      <c r="AF445" s="174">
        <v>46357</v>
      </c>
    </row>
    <row r="446" spans="1:32" ht="20" x14ac:dyDescent="0.35">
      <c r="A446" s="162" t="s">
        <v>947</v>
      </c>
      <c r="B446" s="163" t="s">
        <v>948</v>
      </c>
      <c r="C446" s="154"/>
      <c r="D446" s="162" t="s">
        <v>196</v>
      </c>
      <c r="E446" s="164" t="s">
        <v>196</v>
      </c>
      <c r="F446" s="164" t="s">
        <v>948</v>
      </c>
      <c r="G446" s="164" t="s">
        <v>947</v>
      </c>
      <c r="H446" s="165">
        <v>25543</v>
      </c>
      <c r="I446" s="164" t="s">
        <v>20</v>
      </c>
      <c r="J446" s="164" t="s">
        <v>21</v>
      </c>
      <c r="K446" s="165">
        <v>42660</v>
      </c>
      <c r="L446" s="166" t="s">
        <v>198</v>
      </c>
      <c r="M446" s="154"/>
      <c r="N446" s="154"/>
      <c r="O446" s="164" t="s">
        <v>35</v>
      </c>
      <c r="P446" s="164">
        <v>56</v>
      </c>
      <c r="Q446" s="164">
        <v>9</v>
      </c>
      <c r="R446" s="167" t="s">
        <v>888</v>
      </c>
      <c r="S446" s="167" t="s">
        <v>45</v>
      </c>
      <c r="T446" s="162" t="s">
        <v>800</v>
      </c>
      <c r="U446" s="167" t="s">
        <v>801</v>
      </c>
      <c r="X446" s="169">
        <v>45018</v>
      </c>
      <c r="Y446" s="170">
        <v>26</v>
      </c>
      <c r="Z446" s="170">
        <v>0</v>
      </c>
      <c r="AA446" s="170">
        <v>0</v>
      </c>
      <c r="AB446" s="170">
        <v>0</v>
      </c>
      <c r="AC446" s="171">
        <v>26</v>
      </c>
      <c r="AD446" s="172">
        <v>1888785.29999</v>
      </c>
      <c r="AE446" s="173">
        <v>26</v>
      </c>
      <c r="AF446" s="174">
        <v>46357</v>
      </c>
    </row>
    <row r="447" spans="1:32" ht="20" x14ac:dyDescent="0.35">
      <c r="A447" s="162" t="s">
        <v>947</v>
      </c>
      <c r="B447" s="163" t="s">
        <v>948</v>
      </c>
      <c r="C447" s="154"/>
      <c r="D447" s="162" t="s">
        <v>196</v>
      </c>
      <c r="E447" s="164" t="s">
        <v>196</v>
      </c>
      <c r="F447" s="164" t="s">
        <v>948</v>
      </c>
      <c r="G447" s="164" t="s">
        <v>947</v>
      </c>
      <c r="H447" s="165">
        <v>25543</v>
      </c>
      <c r="I447" s="164" t="s">
        <v>20</v>
      </c>
      <c r="J447" s="164" t="s">
        <v>21</v>
      </c>
      <c r="K447" s="165">
        <v>42660</v>
      </c>
      <c r="L447" s="166" t="s">
        <v>198</v>
      </c>
      <c r="M447" s="154"/>
      <c r="N447" s="154"/>
      <c r="O447" s="164" t="s">
        <v>35</v>
      </c>
      <c r="P447" s="164">
        <v>56</v>
      </c>
      <c r="Q447" s="164">
        <v>9</v>
      </c>
      <c r="R447" s="167" t="s">
        <v>888</v>
      </c>
      <c r="S447" s="167" t="s">
        <v>45</v>
      </c>
      <c r="T447" s="162" t="s">
        <v>800</v>
      </c>
      <c r="U447" s="167" t="s">
        <v>802</v>
      </c>
      <c r="X447" s="169">
        <v>45018</v>
      </c>
      <c r="Y447" s="170">
        <v>98</v>
      </c>
      <c r="Z447" s="170">
        <v>0</v>
      </c>
      <c r="AA447" s="170">
        <v>0</v>
      </c>
      <c r="AB447" s="170">
        <v>0</v>
      </c>
      <c r="AC447" s="171">
        <v>98</v>
      </c>
      <c r="AD447" s="172">
        <v>7119267.6691800002</v>
      </c>
      <c r="AE447" s="173">
        <v>98</v>
      </c>
      <c r="AF447" s="174">
        <v>46357</v>
      </c>
    </row>
    <row r="448" spans="1:32" ht="20" x14ac:dyDescent="0.35">
      <c r="A448" s="162" t="s">
        <v>947</v>
      </c>
      <c r="B448" s="163" t="s">
        <v>948</v>
      </c>
      <c r="C448" s="154"/>
      <c r="D448" s="162" t="s">
        <v>196</v>
      </c>
      <c r="E448" s="164" t="s">
        <v>196</v>
      </c>
      <c r="F448" s="164" t="s">
        <v>948</v>
      </c>
      <c r="G448" s="164" t="s">
        <v>947</v>
      </c>
      <c r="H448" s="165">
        <v>25543</v>
      </c>
      <c r="I448" s="164" t="s">
        <v>20</v>
      </c>
      <c r="J448" s="164" t="s">
        <v>21</v>
      </c>
      <c r="K448" s="165">
        <v>42660</v>
      </c>
      <c r="L448" s="166" t="s">
        <v>198</v>
      </c>
      <c r="M448" s="154"/>
      <c r="N448" s="154"/>
      <c r="O448" s="164" t="s">
        <v>35</v>
      </c>
      <c r="P448" s="164">
        <v>56</v>
      </c>
      <c r="Q448" s="164">
        <v>9</v>
      </c>
      <c r="R448" s="167" t="s">
        <v>888</v>
      </c>
      <c r="S448" s="167" t="s">
        <v>45</v>
      </c>
      <c r="T448" s="162" t="s">
        <v>800</v>
      </c>
      <c r="U448" s="167" t="s">
        <v>803</v>
      </c>
      <c r="X448" s="169">
        <v>45018</v>
      </c>
      <c r="Y448" s="170">
        <v>2</v>
      </c>
      <c r="Z448" s="170">
        <v>0</v>
      </c>
      <c r="AA448" s="170">
        <v>0</v>
      </c>
      <c r="AB448" s="170">
        <v>0</v>
      </c>
      <c r="AC448" s="171">
        <v>2</v>
      </c>
      <c r="AD448" s="172">
        <v>145291.17692</v>
      </c>
      <c r="AE448" s="173">
        <v>2</v>
      </c>
      <c r="AF448" s="174">
        <v>46357</v>
      </c>
    </row>
    <row r="449" spans="1:32" ht="20" x14ac:dyDescent="0.35">
      <c r="A449" s="162" t="s">
        <v>947</v>
      </c>
      <c r="B449" s="163" t="s">
        <v>948</v>
      </c>
      <c r="C449" s="154"/>
      <c r="D449" s="162" t="s">
        <v>196</v>
      </c>
      <c r="E449" s="164" t="s">
        <v>196</v>
      </c>
      <c r="F449" s="164" t="s">
        <v>948</v>
      </c>
      <c r="G449" s="164" t="s">
        <v>947</v>
      </c>
      <c r="H449" s="165">
        <v>25543</v>
      </c>
      <c r="I449" s="164" t="s">
        <v>20</v>
      </c>
      <c r="J449" s="164" t="s">
        <v>21</v>
      </c>
      <c r="K449" s="165">
        <v>42660</v>
      </c>
      <c r="L449" s="166" t="s">
        <v>198</v>
      </c>
      <c r="M449" s="154"/>
      <c r="N449" s="154"/>
      <c r="O449" s="164" t="s">
        <v>35</v>
      </c>
      <c r="P449" s="164">
        <v>56</v>
      </c>
      <c r="Q449" s="164">
        <v>9</v>
      </c>
      <c r="R449" s="167" t="s">
        <v>888</v>
      </c>
      <c r="S449" s="167" t="s">
        <v>45</v>
      </c>
      <c r="T449" s="162" t="s">
        <v>800</v>
      </c>
      <c r="U449" s="167" t="s">
        <v>804</v>
      </c>
      <c r="X449" s="169">
        <v>45018</v>
      </c>
      <c r="Y449" s="170">
        <v>5</v>
      </c>
      <c r="Z449" s="170">
        <v>0</v>
      </c>
      <c r="AA449" s="170">
        <v>0</v>
      </c>
      <c r="AB449" s="170">
        <v>0</v>
      </c>
      <c r="AC449" s="171">
        <v>5</v>
      </c>
      <c r="AD449" s="172">
        <v>363227.94231000001</v>
      </c>
      <c r="AE449" s="173">
        <v>5</v>
      </c>
      <c r="AF449" s="174">
        <v>46357</v>
      </c>
    </row>
    <row r="450" spans="1:32" ht="20" x14ac:dyDescent="0.35">
      <c r="A450" s="162" t="s">
        <v>947</v>
      </c>
      <c r="B450" s="163" t="s">
        <v>948</v>
      </c>
      <c r="C450" s="154"/>
      <c r="D450" s="162" t="s">
        <v>196</v>
      </c>
      <c r="E450" s="164" t="s">
        <v>196</v>
      </c>
      <c r="F450" s="164" t="s">
        <v>948</v>
      </c>
      <c r="G450" s="164" t="s">
        <v>947</v>
      </c>
      <c r="H450" s="165">
        <v>25543</v>
      </c>
      <c r="I450" s="164" t="s">
        <v>20</v>
      </c>
      <c r="J450" s="164" t="s">
        <v>21</v>
      </c>
      <c r="K450" s="165">
        <v>42660</v>
      </c>
      <c r="L450" s="166" t="s">
        <v>198</v>
      </c>
      <c r="M450" s="154"/>
      <c r="N450" s="154"/>
      <c r="O450" s="164" t="s">
        <v>35</v>
      </c>
      <c r="P450" s="164">
        <v>56</v>
      </c>
      <c r="Q450" s="164">
        <v>9</v>
      </c>
      <c r="R450" s="167" t="s">
        <v>888</v>
      </c>
      <c r="S450" s="167" t="s">
        <v>45</v>
      </c>
      <c r="T450" s="162" t="s">
        <v>800</v>
      </c>
      <c r="U450" s="167" t="s">
        <v>805</v>
      </c>
      <c r="X450" s="169">
        <v>45018</v>
      </c>
      <c r="Y450" s="170">
        <v>-12.500000003330999</v>
      </c>
      <c r="Z450" s="170">
        <v>0.41666667000000002</v>
      </c>
      <c r="AA450" s="170">
        <v>0</v>
      </c>
      <c r="AB450" s="170">
        <v>0</v>
      </c>
      <c r="AC450" s="171">
        <v>-12.083333333331</v>
      </c>
      <c r="AD450" s="172">
        <v>-877800.86057000002</v>
      </c>
      <c r="AE450" s="173">
        <v>0</v>
      </c>
      <c r="AF450" s="174">
        <v>46357</v>
      </c>
    </row>
    <row r="451" spans="1:32" ht="20" x14ac:dyDescent="0.35">
      <c r="A451" s="162" t="s">
        <v>949</v>
      </c>
      <c r="B451" s="163" t="s">
        <v>950</v>
      </c>
      <c r="C451" s="154"/>
      <c r="D451" s="162" t="s">
        <v>199</v>
      </c>
      <c r="E451" s="164" t="s">
        <v>199</v>
      </c>
      <c r="F451" s="164" t="s">
        <v>950</v>
      </c>
      <c r="G451" s="164" t="s">
        <v>949</v>
      </c>
      <c r="H451" s="165">
        <v>31638</v>
      </c>
      <c r="I451" s="164" t="s">
        <v>20</v>
      </c>
      <c r="J451" s="164" t="s">
        <v>21</v>
      </c>
      <c r="K451" s="165">
        <v>42662</v>
      </c>
      <c r="L451" s="166" t="s">
        <v>201</v>
      </c>
      <c r="M451" s="154"/>
      <c r="N451" s="154"/>
      <c r="O451" s="164" t="s">
        <v>57</v>
      </c>
      <c r="P451" s="164">
        <v>39</v>
      </c>
      <c r="Q451" s="164">
        <v>9</v>
      </c>
      <c r="R451" s="167" t="s">
        <v>951</v>
      </c>
      <c r="S451" s="167" t="s">
        <v>848</v>
      </c>
      <c r="T451" s="162" t="s">
        <v>794</v>
      </c>
      <c r="U451" s="167" t="s">
        <v>833</v>
      </c>
      <c r="V451" s="162" t="s">
        <v>834</v>
      </c>
      <c r="W451" s="168">
        <v>9</v>
      </c>
      <c r="X451" s="169">
        <v>45383</v>
      </c>
      <c r="Y451" s="170">
        <v>19.750000000006001</v>
      </c>
      <c r="Z451" s="170">
        <v>2.25</v>
      </c>
      <c r="AA451" s="170">
        <v>-5</v>
      </c>
      <c r="AB451" s="170">
        <v>0</v>
      </c>
      <c r="AC451" s="171">
        <v>17.000000000006001</v>
      </c>
      <c r="AD451" s="172">
        <v>6795991.2038399996</v>
      </c>
      <c r="AE451" s="173" t="s">
        <v>797</v>
      </c>
      <c r="AF451" s="173"/>
    </row>
    <row r="452" spans="1:32" ht="20" x14ac:dyDescent="0.35">
      <c r="A452" s="162" t="s">
        <v>949</v>
      </c>
      <c r="B452" s="163" t="s">
        <v>950</v>
      </c>
      <c r="C452" s="154"/>
      <c r="D452" s="162" t="s">
        <v>199</v>
      </c>
      <c r="E452" s="164" t="s">
        <v>199</v>
      </c>
      <c r="F452" s="164" t="s">
        <v>950</v>
      </c>
      <c r="G452" s="164" t="s">
        <v>949</v>
      </c>
      <c r="H452" s="165">
        <v>31638</v>
      </c>
      <c r="I452" s="164" t="s">
        <v>20</v>
      </c>
      <c r="J452" s="164" t="s">
        <v>21</v>
      </c>
      <c r="K452" s="165">
        <v>42662</v>
      </c>
      <c r="L452" s="166" t="s">
        <v>201</v>
      </c>
      <c r="M452" s="154"/>
      <c r="N452" s="154"/>
      <c r="O452" s="164" t="s">
        <v>57</v>
      </c>
      <c r="P452" s="164">
        <v>39</v>
      </c>
      <c r="Q452" s="164">
        <v>9</v>
      </c>
      <c r="R452" s="167" t="s">
        <v>951</v>
      </c>
      <c r="S452" s="167" t="s">
        <v>848</v>
      </c>
      <c r="T452" s="162" t="s">
        <v>798</v>
      </c>
      <c r="U452" s="167" t="s">
        <v>799</v>
      </c>
      <c r="X452" s="169">
        <v>45383</v>
      </c>
      <c r="Y452" s="170">
        <v>176</v>
      </c>
      <c r="Z452" s="170">
        <v>0</v>
      </c>
      <c r="AA452" s="170">
        <v>0</v>
      </c>
      <c r="AB452" s="170">
        <v>0</v>
      </c>
      <c r="AC452" s="171">
        <v>176</v>
      </c>
      <c r="AD452" s="172">
        <v>70358497.169139996</v>
      </c>
      <c r="AE452" s="173">
        <v>176</v>
      </c>
      <c r="AF452" s="174">
        <v>46357</v>
      </c>
    </row>
    <row r="453" spans="1:32" ht="20" x14ac:dyDescent="0.35">
      <c r="A453" s="162" t="s">
        <v>949</v>
      </c>
      <c r="B453" s="163" t="s">
        <v>950</v>
      </c>
      <c r="C453" s="154"/>
      <c r="D453" s="162" t="s">
        <v>199</v>
      </c>
      <c r="E453" s="164" t="s">
        <v>199</v>
      </c>
      <c r="F453" s="164" t="s">
        <v>950</v>
      </c>
      <c r="G453" s="164" t="s">
        <v>949</v>
      </c>
      <c r="H453" s="165">
        <v>31638</v>
      </c>
      <c r="I453" s="164" t="s">
        <v>20</v>
      </c>
      <c r="J453" s="164" t="s">
        <v>21</v>
      </c>
      <c r="K453" s="165">
        <v>42662</v>
      </c>
      <c r="L453" s="166" t="s">
        <v>201</v>
      </c>
      <c r="M453" s="154"/>
      <c r="N453" s="154"/>
      <c r="O453" s="164" t="s">
        <v>57</v>
      </c>
      <c r="P453" s="164">
        <v>39</v>
      </c>
      <c r="Q453" s="164">
        <v>9</v>
      </c>
      <c r="R453" s="167" t="s">
        <v>951</v>
      </c>
      <c r="S453" s="167" t="s">
        <v>848</v>
      </c>
      <c r="T453" s="162" t="s">
        <v>800</v>
      </c>
      <c r="U453" s="167" t="s">
        <v>801</v>
      </c>
      <c r="X453" s="169">
        <v>45383</v>
      </c>
      <c r="Y453" s="170">
        <v>26</v>
      </c>
      <c r="Z453" s="170">
        <v>0</v>
      </c>
      <c r="AA453" s="170">
        <v>0</v>
      </c>
      <c r="AB453" s="170">
        <v>0</v>
      </c>
      <c r="AC453" s="171">
        <v>26</v>
      </c>
      <c r="AD453" s="172">
        <v>10393868.89999</v>
      </c>
      <c r="AE453" s="173">
        <v>26</v>
      </c>
      <c r="AF453" s="174">
        <v>46357</v>
      </c>
    </row>
    <row r="454" spans="1:32" ht="20" x14ac:dyDescent="0.35">
      <c r="A454" s="162" t="s">
        <v>949</v>
      </c>
      <c r="B454" s="163" t="s">
        <v>950</v>
      </c>
      <c r="C454" s="154"/>
      <c r="D454" s="162" t="s">
        <v>199</v>
      </c>
      <c r="E454" s="164" t="s">
        <v>199</v>
      </c>
      <c r="F454" s="164" t="s">
        <v>950</v>
      </c>
      <c r="G454" s="164" t="s">
        <v>949</v>
      </c>
      <c r="H454" s="165">
        <v>31638</v>
      </c>
      <c r="I454" s="164" t="s">
        <v>20</v>
      </c>
      <c r="J454" s="164" t="s">
        <v>21</v>
      </c>
      <c r="K454" s="165">
        <v>42662</v>
      </c>
      <c r="L454" s="166" t="s">
        <v>201</v>
      </c>
      <c r="M454" s="154"/>
      <c r="N454" s="154"/>
      <c r="O454" s="164" t="s">
        <v>57</v>
      </c>
      <c r="P454" s="164">
        <v>39</v>
      </c>
      <c r="Q454" s="164">
        <v>9</v>
      </c>
      <c r="R454" s="167" t="s">
        <v>951</v>
      </c>
      <c r="S454" s="167" t="s">
        <v>848</v>
      </c>
      <c r="T454" s="162" t="s">
        <v>800</v>
      </c>
      <c r="U454" s="167" t="s">
        <v>802</v>
      </c>
      <c r="X454" s="169">
        <v>45383</v>
      </c>
      <c r="Y454" s="170">
        <v>98</v>
      </c>
      <c r="Z454" s="170">
        <v>0</v>
      </c>
      <c r="AA454" s="170">
        <v>0</v>
      </c>
      <c r="AB454" s="170">
        <v>0</v>
      </c>
      <c r="AC454" s="171">
        <v>98</v>
      </c>
      <c r="AD454" s="172">
        <v>39176890.469180003</v>
      </c>
      <c r="AE454" s="173">
        <v>98</v>
      </c>
      <c r="AF454" s="174">
        <v>46357</v>
      </c>
    </row>
    <row r="455" spans="1:32" ht="20" x14ac:dyDescent="0.35">
      <c r="A455" s="162" t="s">
        <v>949</v>
      </c>
      <c r="B455" s="163" t="s">
        <v>950</v>
      </c>
      <c r="C455" s="154"/>
      <c r="D455" s="162" t="s">
        <v>199</v>
      </c>
      <c r="E455" s="164" t="s">
        <v>199</v>
      </c>
      <c r="F455" s="164" t="s">
        <v>950</v>
      </c>
      <c r="G455" s="164" t="s">
        <v>949</v>
      </c>
      <c r="H455" s="165">
        <v>31638</v>
      </c>
      <c r="I455" s="164" t="s">
        <v>20</v>
      </c>
      <c r="J455" s="164" t="s">
        <v>21</v>
      </c>
      <c r="K455" s="165">
        <v>42662</v>
      </c>
      <c r="L455" s="166" t="s">
        <v>201</v>
      </c>
      <c r="M455" s="154"/>
      <c r="N455" s="154"/>
      <c r="O455" s="164" t="s">
        <v>57</v>
      </c>
      <c r="P455" s="164">
        <v>39</v>
      </c>
      <c r="Q455" s="164">
        <v>9</v>
      </c>
      <c r="R455" s="167" t="s">
        <v>951</v>
      </c>
      <c r="S455" s="167" t="s">
        <v>848</v>
      </c>
      <c r="T455" s="162" t="s">
        <v>800</v>
      </c>
      <c r="U455" s="167" t="s">
        <v>803</v>
      </c>
      <c r="X455" s="169">
        <v>45383</v>
      </c>
      <c r="Y455" s="170">
        <v>2</v>
      </c>
      <c r="Z455" s="170">
        <v>0</v>
      </c>
      <c r="AA455" s="170">
        <v>0</v>
      </c>
      <c r="AB455" s="170">
        <v>0</v>
      </c>
      <c r="AC455" s="171">
        <v>2</v>
      </c>
      <c r="AD455" s="172">
        <v>799528.37691999995</v>
      </c>
      <c r="AE455" s="173">
        <v>2</v>
      </c>
      <c r="AF455" s="174">
        <v>46357</v>
      </c>
    </row>
    <row r="456" spans="1:32" ht="20" x14ac:dyDescent="0.35">
      <c r="A456" s="162" t="s">
        <v>949</v>
      </c>
      <c r="B456" s="163" t="s">
        <v>950</v>
      </c>
      <c r="C456" s="154"/>
      <c r="D456" s="162" t="s">
        <v>199</v>
      </c>
      <c r="E456" s="164" t="s">
        <v>199</v>
      </c>
      <c r="F456" s="164" t="s">
        <v>950</v>
      </c>
      <c r="G456" s="164" t="s">
        <v>949</v>
      </c>
      <c r="H456" s="165">
        <v>31638</v>
      </c>
      <c r="I456" s="164" t="s">
        <v>20</v>
      </c>
      <c r="J456" s="164" t="s">
        <v>21</v>
      </c>
      <c r="K456" s="165">
        <v>42662</v>
      </c>
      <c r="L456" s="166" t="s">
        <v>201</v>
      </c>
      <c r="M456" s="154"/>
      <c r="N456" s="154"/>
      <c r="O456" s="164" t="s">
        <v>57</v>
      </c>
      <c r="P456" s="164">
        <v>39</v>
      </c>
      <c r="Q456" s="164">
        <v>9</v>
      </c>
      <c r="R456" s="167" t="s">
        <v>951</v>
      </c>
      <c r="S456" s="167" t="s">
        <v>848</v>
      </c>
      <c r="T456" s="162" t="s">
        <v>800</v>
      </c>
      <c r="U456" s="167" t="s">
        <v>804</v>
      </c>
      <c r="X456" s="169">
        <v>45383</v>
      </c>
      <c r="Y456" s="170">
        <v>5</v>
      </c>
      <c r="Z456" s="170">
        <v>0</v>
      </c>
      <c r="AA456" s="170">
        <v>0</v>
      </c>
      <c r="AB456" s="170">
        <v>0</v>
      </c>
      <c r="AC456" s="171">
        <v>5</v>
      </c>
      <c r="AD456" s="172">
        <v>1998820.9423100001</v>
      </c>
      <c r="AE456" s="173">
        <v>5</v>
      </c>
      <c r="AF456" s="174">
        <v>46357</v>
      </c>
    </row>
    <row r="457" spans="1:32" ht="20" x14ac:dyDescent="0.35">
      <c r="A457" s="162" t="s">
        <v>949</v>
      </c>
      <c r="B457" s="163" t="s">
        <v>950</v>
      </c>
      <c r="C457" s="154"/>
      <c r="D457" s="162" t="s">
        <v>199</v>
      </c>
      <c r="E457" s="164" t="s">
        <v>199</v>
      </c>
      <c r="F457" s="164" t="s">
        <v>950</v>
      </c>
      <c r="G457" s="164" t="s">
        <v>949</v>
      </c>
      <c r="H457" s="165">
        <v>31638</v>
      </c>
      <c r="I457" s="164" t="s">
        <v>20</v>
      </c>
      <c r="J457" s="164" t="s">
        <v>21</v>
      </c>
      <c r="K457" s="165">
        <v>42662</v>
      </c>
      <c r="L457" s="166" t="s">
        <v>201</v>
      </c>
      <c r="M457" s="154"/>
      <c r="N457" s="154"/>
      <c r="O457" s="164" t="s">
        <v>57</v>
      </c>
      <c r="P457" s="164">
        <v>39</v>
      </c>
      <c r="Q457" s="164">
        <v>9</v>
      </c>
      <c r="R457" s="167" t="s">
        <v>951</v>
      </c>
      <c r="S457" s="167" t="s">
        <v>848</v>
      </c>
      <c r="T457" s="162" t="s">
        <v>800</v>
      </c>
      <c r="U457" s="167" t="s">
        <v>805</v>
      </c>
      <c r="X457" s="169">
        <v>45383</v>
      </c>
      <c r="Y457" s="170">
        <v>2.4999999966690001</v>
      </c>
      <c r="Z457" s="170">
        <v>0.41666667000000002</v>
      </c>
      <c r="AA457" s="170">
        <v>0</v>
      </c>
      <c r="AB457" s="170">
        <v>0</v>
      </c>
      <c r="AC457" s="171">
        <v>2.9166666666690002</v>
      </c>
      <c r="AD457" s="172">
        <v>1165978.88301</v>
      </c>
      <c r="AE457" s="173">
        <v>2.92</v>
      </c>
      <c r="AF457" s="174">
        <v>46357</v>
      </c>
    </row>
    <row r="458" spans="1:32" ht="20" x14ac:dyDescent="0.35">
      <c r="A458" s="162" t="s">
        <v>639</v>
      </c>
      <c r="B458" s="163" t="s">
        <v>952</v>
      </c>
      <c r="C458" s="154"/>
      <c r="D458" s="162" t="s">
        <v>202</v>
      </c>
      <c r="E458" s="164" t="s">
        <v>202</v>
      </c>
      <c r="F458" s="164" t="s">
        <v>952</v>
      </c>
      <c r="G458" s="164" t="s">
        <v>639</v>
      </c>
      <c r="H458" s="165">
        <v>34280</v>
      </c>
      <c r="I458" s="164" t="s">
        <v>20</v>
      </c>
      <c r="J458" s="164" t="s">
        <v>21</v>
      </c>
      <c r="K458" s="165">
        <v>42679</v>
      </c>
      <c r="L458" s="166" t="s">
        <v>128</v>
      </c>
      <c r="M458" s="154"/>
      <c r="N458" s="154"/>
      <c r="O458" s="164" t="s">
        <v>204</v>
      </c>
      <c r="P458" s="164">
        <v>32</v>
      </c>
      <c r="Q458" s="164">
        <v>9</v>
      </c>
      <c r="R458" s="167" t="s">
        <v>873</v>
      </c>
      <c r="S458" s="167" t="s">
        <v>24</v>
      </c>
      <c r="T458" s="162" t="s">
        <v>794</v>
      </c>
      <c r="U458" s="167" t="s">
        <v>819</v>
      </c>
      <c r="V458" s="162" t="s">
        <v>834</v>
      </c>
      <c r="W458" s="168">
        <v>9</v>
      </c>
      <c r="X458" s="169">
        <v>45018</v>
      </c>
      <c r="Y458" s="170">
        <v>24.086666663326</v>
      </c>
      <c r="Z458" s="170">
        <v>1.9166666699999999</v>
      </c>
      <c r="AA458" s="170">
        <v>-23</v>
      </c>
      <c r="AB458" s="170">
        <v>0</v>
      </c>
      <c r="AC458" s="171">
        <v>3.0033333333260002</v>
      </c>
      <c r="AD458" s="172">
        <v>215858.22203999999</v>
      </c>
      <c r="AE458" s="173" t="s">
        <v>797</v>
      </c>
      <c r="AF458" s="173"/>
    </row>
    <row r="459" spans="1:32" x14ac:dyDescent="0.35">
      <c r="A459" s="162" t="s">
        <v>639</v>
      </c>
      <c r="B459" s="163" t="s">
        <v>952</v>
      </c>
      <c r="C459" s="154"/>
      <c r="D459" s="162" t="s">
        <v>202</v>
      </c>
      <c r="E459" s="164" t="s">
        <v>202</v>
      </c>
      <c r="F459" s="164" t="s">
        <v>952</v>
      </c>
      <c r="G459" s="164" t="s">
        <v>639</v>
      </c>
      <c r="H459" s="165">
        <v>34280</v>
      </c>
      <c r="I459" s="164" t="s">
        <v>20</v>
      </c>
      <c r="J459" s="164" t="s">
        <v>21</v>
      </c>
      <c r="K459" s="165">
        <v>42679</v>
      </c>
      <c r="L459" s="166" t="s">
        <v>128</v>
      </c>
      <c r="M459" s="154"/>
      <c r="N459" s="154"/>
      <c r="O459" s="164" t="s">
        <v>204</v>
      </c>
      <c r="P459" s="164">
        <v>32</v>
      </c>
      <c r="Q459" s="164">
        <v>9</v>
      </c>
      <c r="R459" s="167" t="s">
        <v>873</v>
      </c>
      <c r="S459" s="167" t="s">
        <v>24</v>
      </c>
      <c r="T459" s="162" t="s">
        <v>798</v>
      </c>
      <c r="U459" s="167" t="s">
        <v>799</v>
      </c>
      <c r="X459" s="169">
        <v>45018</v>
      </c>
      <c r="Y459" s="170">
        <v>179</v>
      </c>
      <c r="Z459" s="170">
        <v>0</v>
      </c>
      <c r="AA459" s="170">
        <v>0</v>
      </c>
      <c r="AB459" s="170">
        <v>0</v>
      </c>
      <c r="AC459" s="171">
        <v>179</v>
      </c>
      <c r="AD459" s="172">
        <v>12865245.864220001</v>
      </c>
      <c r="AE459" s="173">
        <v>179</v>
      </c>
      <c r="AF459" s="174">
        <v>46357</v>
      </c>
    </row>
    <row r="460" spans="1:32" x14ac:dyDescent="0.35">
      <c r="A460" s="162" t="s">
        <v>639</v>
      </c>
      <c r="B460" s="163" t="s">
        <v>952</v>
      </c>
      <c r="C460" s="154"/>
      <c r="D460" s="162" t="s">
        <v>202</v>
      </c>
      <c r="E460" s="164" t="s">
        <v>202</v>
      </c>
      <c r="F460" s="164" t="s">
        <v>952</v>
      </c>
      <c r="G460" s="164" t="s">
        <v>639</v>
      </c>
      <c r="H460" s="165">
        <v>34280</v>
      </c>
      <c r="I460" s="164" t="s">
        <v>20</v>
      </c>
      <c r="J460" s="164" t="s">
        <v>21</v>
      </c>
      <c r="K460" s="165">
        <v>42679</v>
      </c>
      <c r="L460" s="166" t="s">
        <v>128</v>
      </c>
      <c r="M460" s="154"/>
      <c r="N460" s="154"/>
      <c r="O460" s="164" t="s">
        <v>204</v>
      </c>
      <c r="P460" s="164">
        <v>32</v>
      </c>
      <c r="Q460" s="164">
        <v>9</v>
      </c>
      <c r="R460" s="167" t="s">
        <v>873</v>
      </c>
      <c r="S460" s="167" t="s">
        <v>24</v>
      </c>
      <c r="T460" s="162" t="s">
        <v>800</v>
      </c>
      <c r="U460" s="167" t="s">
        <v>801</v>
      </c>
      <c r="X460" s="169">
        <v>45018</v>
      </c>
      <c r="Y460" s="170">
        <v>26</v>
      </c>
      <c r="Z460" s="170">
        <v>0</v>
      </c>
      <c r="AA460" s="170">
        <v>0</v>
      </c>
      <c r="AB460" s="170">
        <v>0</v>
      </c>
      <c r="AC460" s="171">
        <v>26</v>
      </c>
      <c r="AD460" s="172">
        <v>1868694.93</v>
      </c>
      <c r="AE460" s="173">
        <v>26</v>
      </c>
      <c r="AF460" s="174">
        <v>46357</v>
      </c>
    </row>
    <row r="461" spans="1:32" x14ac:dyDescent="0.35">
      <c r="A461" s="162" t="s">
        <v>639</v>
      </c>
      <c r="B461" s="163" t="s">
        <v>952</v>
      </c>
      <c r="C461" s="154"/>
      <c r="D461" s="162" t="s">
        <v>202</v>
      </c>
      <c r="E461" s="164" t="s">
        <v>202</v>
      </c>
      <c r="F461" s="164" t="s">
        <v>952</v>
      </c>
      <c r="G461" s="164" t="s">
        <v>639</v>
      </c>
      <c r="H461" s="165">
        <v>34280</v>
      </c>
      <c r="I461" s="164" t="s">
        <v>20</v>
      </c>
      <c r="J461" s="164" t="s">
        <v>21</v>
      </c>
      <c r="K461" s="165">
        <v>42679</v>
      </c>
      <c r="L461" s="166" t="s">
        <v>128</v>
      </c>
      <c r="M461" s="154"/>
      <c r="N461" s="154"/>
      <c r="O461" s="164" t="s">
        <v>204</v>
      </c>
      <c r="P461" s="164">
        <v>32</v>
      </c>
      <c r="Q461" s="164">
        <v>9</v>
      </c>
      <c r="R461" s="167" t="s">
        <v>873</v>
      </c>
      <c r="S461" s="167" t="s">
        <v>24</v>
      </c>
      <c r="T461" s="162" t="s">
        <v>800</v>
      </c>
      <c r="U461" s="167" t="s">
        <v>802</v>
      </c>
      <c r="X461" s="169">
        <v>45018</v>
      </c>
      <c r="Y461" s="170">
        <v>98</v>
      </c>
      <c r="Z461" s="170">
        <v>0</v>
      </c>
      <c r="AA461" s="170">
        <v>0</v>
      </c>
      <c r="AB461" s="170">
        <v>0</v>
      </c>
      <c r="AC461" s="171">
        <v>98</v>
      </c>
      <c r="AD461" s="172">
        <v>7043542.4284499995</v>
      </c>
      <c r="AE461" s="173">
        <v>98</v>
      </c>
      <c r="AF461" s="174">
        <v>46357</v>
      </c>
    </row>
    <row r="462" spans="1:32" x14ac:dyDescent="0.35">
      <c r="A462" s="162" t="s">
        <v>639</v>
      </c>
      <c r="B462" s="163" t="s">
        <v>952</v>
      </c>
      <c r="C462" s="154"/>
      <c r="D462" s="162" t="s">
        <v>202</v>
      </c>
      <c r="E462" s="164" t="s">
        <v>202</v>
      </c>
      <c r="F462" s="164" t="s">
        <v>952</v>
      </c>
      <c r="G462" s="164" t="s">
        <v>639</v>
      </c>
      <c r="H462" s="165">
        <v>34280</v>
      </c>
      <c r="I462" s="164" t="s">
        <v>20</v>
      </c>
      <c r="J462" s="164" t="s">
        <v>21</v>
      </c>
      <c r="K462" s="165">
        <v>42679</v>
      </c>
      <c r="L462" s="166" t="s">
        <v>128</v>
      </c>
      <c r="M462" s="154"/>
      <c r="N462" s="154"/>
      <c r="O462" s="164" t="s">
        <v>204</v>
      </c>
      <c r="P462" s="164">
        <v>32</v>
      </c>
      <c r="Q462" s="164">
        <v>9</v>
      </c>
      <c r="R462" s="167" t="s">
        <v>873</v>
      </c>
      <c r="S462" s="167" t="s">
        <v>24</v>
      </c>
      <c r="T462" s="162" t="s">
        <v>800</v>
      </c>
      <c r="U462" s="167" t="s">
        <v>803</v>
      </c>
      <c r="X462" s="169">
        <v>45018</v>
      </c>
      <c r="Y462" s="170">
        <v>2</v>
      </c>
      <c r="Z462" s="170">
        <v>0</v>
      </c>
      <c r="AA462" s="170">
        <v>0</v>
      </c>
      <c r="AB462" s="170">
        <v>0</v>
      </c>
      <c r="AC462" s="171">
        <v>2</v>
      </c>
      <c r="AD462" s="172">
        <v>143745.76384999999</v>
      </c>
      <c r="AE462" s="173">
        <v>2</v>
      </c>
      <c r="AF462" s="174">
        <v>46357</v>
      </c>
    </row>
    <row r="463" spans="1:32" x14ac:dyDescent="0.35">
      <c r="A463" s="162" t="s">
        <v>639</v>
      </c>
      <c r="B463" s="163" t="s">
        <v>952</v>
      </c>
      <c r="C463" s="154"/>
      <c r="D463" s="162" t="s">
        <v>202</v>
      </c>
      <c r="E463" s="164" t="s">
        <v>202</v>
      </c>
      <c r="F463" s="164" t="s">
        <v>952</v>
      </c>
      <c r="G463" s="164" t="s">
        <v>639</v>
      </c>
      <c r="H463" s="165">
        <v>34280</v>
      </c>
      <c r="I463" s="164" t="s">
        <v>20</v>
      </c>
      <c r="J463" s="164" t="s">
        <v>21</v>
      </c>
      <c r="K463" s="165">
        <v>42679</v>
      </c>
      <c r="L463" s="166" t="s">
        <v>128</v>
      </c>
      <c r="M463" s="154"/>
      <c r="N463" s="154"/>
      <c r="O463" s="164" t="s">
        <v>204</v>
      </c>
      <c r="P463" s="164">
        <v>32</v>
      </c>
      <c r="Q463" s="164">
        <v>9</v>
      </c>
      <c r="R463" s="167" t="s">
        <v>873</v>
      </c>
      <c r="S463" s="167" t="s">
        <v>24</v>
      </c>
      <c r="T463" s="162" t="s">
        <v>800</v>
      </c>
      <c r="U463" s="167" t="s">
        <v>804</v>
      </c>
      <c r="X463" s="169">
        <v>45018</v>
      </c>
      <c r="Y463" s="170">
        <v>5</v>
      </c>
      <c r="Z463" s="170">
        <v>0</v>
      </c>
      <c r="AA463" s="170">
        <v>0</v>
      </c>
      <c r="AB463" s="170">
        <v>0</v>
      </c>
      <c r="AC463" s="171">
        <v>5</v>
      </c>
      <c r="AD463" s="172">
        <v>359364.40960999997</v>
      </c>
      <c r="AE463" s="173">
        <v>5</v>
      </c>
      <c r="AF463" s="174">
        <v>46357</v>
      </c>
    </row>
    <row r="464" spans="1:32" x14ac:dyDescent="0.35">
      <c r="A464" s="162" t="s">
        <v>639</v>
      </c>
      <c r="B464" s="163" t="s">
        <v>952</v>
      </c>
      <c r="C464" s="154"/>
      <c r="D464" s="162" t="s">
        <v>202</v>
      </c>
      <c r="E464" s="164" t="s">
        <v>202</v>
      </c>
      <c r="F464" s="164" t="s">
        <v>952</v>
      </c>
      <c r="G464" s="164" t="s">
        <v>639</v>
      </c>
      <c r="H464" s="165">
        <v>34280</v>
      </c>
      <c r="I464" s="164" t="s">
        <v>20</v>
      </c>
      <c r="J464" s="164" t="s">
        <v>21</v>
      </c>
      <c r="K464" s="165">
        <v>42679</v>
      </c>
      <c r="L464" s="166" t="s">
        <v>128</v>
      </c>
      <c r="M464" s="154"/>
      <c r="N464" s="154"/>
      <c r="O464" s="164" t="s">
        <v>204</v>
      </c>
      <c r="P464" s="164">
        <v>32</v>
      </c>
      <c r="Q464" s="164">
        <v>9</v>
      </c>
      <c r="R464" s="167" t="s">
        <v>873</v>
      </c>
      <c r="S464" s="167" t="s">
        <v>24</v>
      </c>
      <c r="T464" s="162" t="s">
        <v>800</v>
      </c>
      <c r="U464" s="167" t="s">
        <v>805</v>
      </c>
      <c r="X464" s="169">
        <v>45018</v>
      </c>
      <c r="Y464" s="170">
        <v>2.4999999966690001</v>
      </c>
      <c r="Z464" s="170">
        <v>0.41666667000000002</v>
      </c>
      <c r="AA464" s="170">
        <v>0</v>
      </c>
      <c r="AB464" s="170">
        <v>0</v>
      </c>
      <c r="AC464" s="171">
        <v>2.9166666666690002</v>
      </c>
      <c r="AD464" s="172">
        <v>209629.23894000001</v>
      </c>
      <c r="AE464" s="173">
        <v>2.92</v>
      </c>
      <c r="AF464" s="174">
        <v>46357</v>
      </c>
    </row>
    <row r="465" spans="1:32" ht="20" x14ac:dyDescent="0.35">
      <c r="A465" s="162" t="s">
        <v>953</v>
      </c>
      <c r="B465" s="163" t="s">
        <v>954</v>
      </c>
      <c r="C465" s="154"/>
      <c r="D465" s="162" t="s">
        <v>205</v>
      </c>
      <c r="E465" s="164" t="s">
        <v>205</v>
      </c>
      <c r="F465" s="164" t="s">
        <v>954</v>
      </c>
      <c r="G465" s="164" t="s">
        <v>953</v>
      </c>
      <c r="H465" s="165">
        <v>26447</v>
      </c>
      <c r="I465" s="164" t="s">
        <v>20</v>
      </c>
      <c r="J465" s="164" t="s">
        <v>21</v>
      </c>
      <c r="K465" s="165">
        <v>42679</v>
      </c>
      <c r="L465" s="166" t="s">
        <v>207</v>
      </c>
      <c r="M465" s="154"/>
      <c r="N465" s="154"/>
      <c r="O465" s="164" t="s">
        <v>204</v>
      </c>
      <c r="P465" s="164">
        <v>54</v>
      </c>
      <c r="Q465" s="164">
        <v>9</v>
      </c>
      <c r="R465" s="167" t="s">
        <v>866</v>
      </c>
      <c r="S465" s="167" t="s">
        <v>24</v>
      </c>
      <c r="T465" s="162" t="s">
        <v>794</v>
      </c>
      <c r="U465" s="167" t="s">
        <v>819</v>
      </c>
      <c r="V465" s="162" t="s">
        <v>834</v>
      </c>
      <c r="W465" s="168">
        <v>9</v>
      </c>
      <c r="X465" s="169">
        <v>45018</v>
      </c>
      <c r="Y465" s="170">
        <v>13.586666663326</v>
      </c>
      <c r="Z465" s="170">
        <v>1.9166666699999999</v>
      </c>
      <c r="AA465" s="170">
        <v>0</v>
      </c>
      <c r="AB465" s="170">
        <v>0</v>
      </c>
      <c r="AC465" s="171">
        <v>15.503333333325999</v>
      </c>
      <c r="AD465" s="172">
        <v>1041083.0956999999</v>
      </c>
      <c r="AE465" s="173" t="s">
        <v>797</v>
      </c>
      <c r="AF465" s="173"/>
    </row>
    <row r="466" spans="1:32" x14ac:dyDescent="0.35">
      <c r="A466" s="162" t="s">
        <v>953</v>
      </c>
      <c r="B466" s="163" t="s">
        <v>954</v>
      </c>
      <c r="C466" s="154"/>
      <c r="D466" s="162" t="s">
        <v>205</v>
      </c>
      <c r="E466" s="164" t="s">
        <v>205</v>
      </c>
      <c r="F466" s="164" t="s">
        <v>954</v>
      </c>
      <c r="G466" s="164" t="s">
        <v>953</v>
      </c>
      <c r="H466" s="165">
        <v>26447</v>
      </c>
      <c r="I466" s="164" t="s">
        <v>20</v>
      </c>
      <c r="J466" s="164" t="s">
        <v>21</v>
      </c>
      <c r="K466" s="165">
        <v>42679</v>
      </c>
      <c r="L466" s="166" t="s">
        <v>207</v>
      </c>
      <c r="M466" s="154"/>
      <c r="N466" s="154"/>
      <c r="O466" s="164" t="s">
        <v>204</v>
      </c>
      <c r="P466" s="164">
        <v>54</v>
      </c>
      <c r="Q466" s="164">
        <v>9</v>
      </c>
      <c r="R466" s="167" t="s">
        <v>866</v>
      </c>
      <c r="S466" s="167" t="s">
        <v>24</v>
      </c>
      <c r="T466" s="162" t="s">
        <v>798</v>
      </c>
      <c r="U466" s="167" t="s">
        <v>799</v>
      </c>
      <c r="X466" s="169">
        <v>45018</v>
      </c>
      <c r="Y466" s="170">
        <v>180</v>
      </c>
      <c r="Z466" s="170">
        <v>0</v>
      </c>
      <c r="AA466" s="170">
        <v>0</v>
      </c>
      <c r="AB466" s="170">
        <v>0</v>
      </c>
      <c r="AC466" s="171">
        <v>180</v>
      </c>
      <c r="AD466" s="172">
        <v>12087397.800000001</v>
      </c>
      <c r="AE466" s="173">
        <v>180</v>
      </c>
      <c r="AF466" s="174">
        <v>46357</v>
      </c>
    </row>
    <row r="467" spans="1:32" x14ac:dyDescent="0.35">
      <c r="A467" s="162" t="s">
        <v>953</v>
      </c>
      <c r="B467" s="163" t="s">
        <v>954</v>
      </c>
      <c r="C467" s="154"/>
      <c r="D467" s="162" t="s">
        <v>205</v>
      </c>
      <c r="E467" s="164" t="s">
        <v>205</v>
      </c>
      <c r="F467" s="164" t="s">
        <v>954</v>
      </c>
      <c r="G467" s="164" t="s">
        <v>953</v>
      </c>
      <c r="H467" s="165">
        <v>26447</v>
      </c>
      <c r="I467" s="164" t="s">
        <v>20</v>
      </c>
      <c r="J467" s="164" t="s">
        <v>21</v>
      </c>
      <c r="K467" s="165">
        <v>42679</v>
      </c>
      <c r="L467" s="166" t="s">
        <v>207</v>
      </c>
      <c r="M467" s="154"/>
      <c r="N467" s="154"/>
      <c r="O467" s="164" t="s">
        <v>204</v>
      </c>
      <c r="P467" s="164">
        <v>54</v>
      </c>
      <c r="Q467" s="164">
        <v>9</v>
      </c>
      <c r="R467" s="167" t="s">
        <v>866</v>
      </c>
      <c r="S467" s="167" t="s">
        <v>24</v>
      </c>
      <c r="T467" s="162" t="s">
        <v>800</v>
      </c>
      <c r="U467" s="167" t="s">
        <v>801</v>
      </c>
      <c r="X467" s="169">
        <v>45018</v>
      </c>
      <c r="Y467" s="170">
        <v>21</v>
      </c>
      <c r="Z467" s="170">
        <v>0</v>
      </c>
      <c r="AA467" s="170">
        <v>0</v>
      </c>
      <c r="AB467" s="170">
        <v>0</v>
      </c>
      <c r="AC467" s="171">
        <v>21</v>
      </c>
      <c r="AD467" s="172">
        <v>1410196.41</v>
      </c>
      <c r="AE467" s="173">
        <v>21</v>
      </c>
      <c r="AF467" s="174">
        <v>46357</v>
      </c>
    </row>
    <row r="468" spans="1:32" x14ac:dyDescent="0.35">
      <c r="A468" s="162" t="s">
        <v>953</v>
      </c>
      <c r="B468" s="163" t="s">
        <v>954</v>
      </c>
      <c r="C468" s="154"/>
      <c r="D468" s="162" t="s">
        <v>205</v>
      </c>
      <c r="E468" s="164" t="s">
        <v>205</v>
      </c>
      <c r="F468" s="164" t="s">
        <v>954</v>
      </c>
      <c r="G468" s="164" t="s">
        <v>953</v>
      </c>
      <c r="H468" s="165">
        <v>26447</v>
      </c>
      <c r="I468" s="164" t="s">
        <v>20</v>
      </c>
      <c r="J468" s="164" t="s">
        <v>21</v>
      </c>
      <c r="K468" s="165">
        <v>42679</v>
      </c>
      <c r="L468" s="166" t="s">
        <v>207</v>
      </c>
      <c r="M468" s="154"/>
      <c r="N468" s="154"/>
      <c r="O468" s="164" t="s">
        <v>204</v>
      </c>
      <c r="P468" s="164">
        <v>54</v>
      </c>
      <c r="Q468" s="164">
        <v>9</v>
      </c>
      <c r="R468" s="167" t="s">
        <v>866</v>
      </c>
      <c r="S468" s="167" t="s">
        <v>24</v>
      </c>
      <c r="T468" s="162" t="s">
        <v>800</v>
      </c>
      <c r="U468" s="167" t="s">
        <v>802</v>
      </c>
      <c r="X468" s="169">
        <v>45018</v>
      </c>
      <c r="Y468" s="170">
        <v>98</v>
      </c>
      <c r="Z468" s="170">
        <v>0</v>
      </c>
      <c r="AA468" s="170">
        <v>0</v>
      </c>
      <c r="AB468" s="170">
        <v>0</v>
      </c>
      <c r="AC468" s="171">
        <v>98</v>
      </c>
      <c r="AD468" s="172">
        <v>6580916.5800000001</v>
      </c>
      <c r="AE468" s="173">
        <v>98</v>
      </c>
      <c r="AF468" s="174">
        <v>46357</v>
      </c>
    </row>
    <row r="469" spans="1:32" x14ac:dyDescent="0.35">
      <c r="A469" s="162" t="s">
        <v>953</v>
      </c>
      <c r="B469" s="163" t="s">
        <v>954</v>
      </c>
      <c r="C469" s="154"/>
      <c r="D469" s="162" t="s">
        <v>205</v>
      </c>
      <c r="E469" s="164" t="s">
        <v>205</v>
      </c>
      <c r="F469" s="164" t="s">
        <v>954</v>
      </c>
      <c r="G469" s="164" t="s">
        <v>953</v>
      </c>
      <c r="H469" s="165">
        <v>26447</v>
      </c>
      <c r="I469" s="164" t="s">
        <v>20</v>
      </c>
      <c r="J469" s="164" t="s">
        <v>21</v>
      </c>
      <c r="K469" s="165">
        <v>42679</v>
      </c>
      <c r="L469" s="166" t="s">
        <v>207</v>
      </c>
      <c r="M469" s="154"/>
      <c r="N469" s="154"/>
      <c r="O469" s="164" t="s">
        <v>204</v>
      </c>
      <c r="P469" s="164">
        <v>54</v>
      </c>
      <c r="Q469" s="164">
        <v>9</v>
      </c>
      <c r="R469" s="167" t="s">
        <v>866</v>
      </c>
      <c r="S469" s="167" t="s">
        <v>24</v>
      </c>
      <c r="T469" s="162" t="s">
        <v>800</v>
      </c>
      <c r="U469" s="167" t="s">
        <v>803</v>
      </c>
      <c r="X469" s="169">
        <v>45018</v>
      </c>
      <c r="Y469" s="170">
        <v>2</v>
      </c>
      <c r="Z469" s="170">
        <v>0</v>
      </c>
      <c r="AA469" s="170">
        <v>0</v>
      </c>
      <c r="AB469" s="170">
        <v>0</v>
      </c>
      <c r="AC469" s="171">
        <v>2</v>
      </c>
      <c r="AD469" s="172">
        <v>134304.42000000001</v>
      </c>
      <c r="AE469" s="173">
        <v>2</v>
      </c>
      <c r="AF469" s="174">
        <v>46357</v>
      </c>
    </row>
    <row r="470" spans="1:32" x14ac:dyDescent="0.35">
      <c r="A470" s="162" t="s">
        <v>953</v>
      </c>
      <c r="B470" s="163" t="s">
        <v>954</v>
      </c>
      <c r="C470" s="154"/>
      <c r="D470" s="162" t="s">
        <v>205</v>
      </c>
      <c r="E470" s="164" t="s">
        <v>205</v>
      </c>
      <c r="F470" s="164" t="s">
        <v>954</v>
      </c>
      <c r="G470" s="164" t="s">
        <v>953</v>
      </c>
      <c r="H470" s="165">
        <v>26447</v>
      </c>
      <c r="I470" s="164" t="s">
        <v>20</v>
      </c>
      <c r="J470" s="164" t="s">
        <v>21</v>
      </c>
      <c r="K470" s="165">
        <v>42679</v>
      </c>
      <c r="L470" s="166" t="s">
        <v>207</v>
      </c>
      <c r="M470" s="154"/>
      <c r="N470" s="154"/>
      <c r="O470" s="164" t="s">
        <v>204</v>
      </c>
      <c r="P470" s="164">
        <v>54</v>
      </c>
      <c r="Q470" s="164">
        <v>9</v>
      </c>
      <c r="R470" s="167" t="s">
        <v>866</v>
      </c>
      <c r="S470" s="167" t="s">
        <v>24</v>
      </c>
      <c r="T470" s="162" t="s">
        <v>800</v>
      </c>
      <c r="U470" s="167" t="s">
        <v>804</v>
      </c>
      <c r="X470" s="169">
        <v>45018</v>
      </c>
      <c r="Y470" s="170">
        <v>5</v>
      </c>
      <c r="Z470" s="170">
        <v>0</v>
      </c>
      <c r="AA470" s="170">
        <v>0</v>
      </c>
      <c r="AB470" s="170">
        <v>0</v>
      </c>
      <c r="AC470" s="171">
        <v>5</v>
      </c>
      <c r="AD470" s="172">
        <v>335761.05</v>
      </c>
      <c r="AE470" s="173">
        <v>5</v>
      </c>
      <c r="AF470" s="174">
        <v>46357</v>
      </c>
    </row>
    <row r="471" spans="1:32" x14ac:dyDescent="0.35">
      <c r="A471" s="162" t="s">
        <v>953</v>
      </c>
      <c r="B471" s="163" t="s">
        <v>954</v>
      </c>
      <c r="C471" s="154"/>
      <c r="D471" s="162" t="s">
        <v>205</v>
      </c>
      <c r="E471" s="164" t="s">
        <v>205</v>
      </c>
      <c r="F471" s="164" t="s">
        <v>954</v>
      </c>
      <c r="G471" s="164" t="s">
        <v>953</v>
      </c>
      <c r="H471" s="165">
        <v>26447</v>
      </c>
      <c r="I471" s="164" t="s">
        <v>20</v>
      </c>
      <c r="J471" s="164" t="s">
        <v>21</v>
      </c>
      <c r="K471" s="165">
        <v>42679</v>
      </c>
      <c r="L471" s="166" t="s">
        <v>207</v>
      </c>
      <c r="M471" s="154"/>
      <c r="N471" s="154"/>
      <c r="O471" s="164" t="s">
        <v>204</v>
      </c>
      <c r="P471" s="164">
        <v>54</v>
      </c>
      <c r="Q471" s="164">
        <v>9</v>
      </c>
      <c r="R471" s="167" t="s">
        <v>866</v>
      </c>
      <c r="S471" s="167" t="s">
        <v>24</v>
      </c>
      <c r="T471" s="162" t="s">
        <v>800</v>
      </c>
      <c r="U471" s="167" t="s">
        <v>805</v>
      </c>
      <c r="X471" s="169">
        <v>45018</v>
      </c>
      <c r="Y471" s="170">
        <v>2.4999999966690001</v>
      </c>
      <c r="Z471" s="170">
        <v>0.41666667000000002</v>
      </c>
      <c r="AA471" s="170">
        <v>0</v>
      </c>
      <c r="AB471" s="170">
        <v>0</v>
      </c>
      <c r="AC471" s="171">
        <v>2.9166666666690002</v>
      </c>
      <c r="AD471" s="172">
        <v>195860.61249999999</v>
      </c>
      <c r="AE471" s="173">
        <v>2.92</v>
      </c>
      <c r="AF471" s="174">
        <v>46357</v>
      </c>
    </row>
    <row r="472" spans="1:32" ht="20" x14ac:dyDescent="0.35">
      <c r="A472" s="162" t="s">
        <v>955</v>
      </c>
      <c r="B472" s="163" t="s">
        <v>956</v>
      </c>
      <c r="C472" s="154"/>
      <c r="D472" s="162" t="s">
        <v>208</v>
      </c>
      <c r="E472" s="164" t="s">
        <v>208</v>
      </c>
      <c r="F472" s="164" t="s">
        <v>956</v>
      </c>
      <c r="G472" s="164" t="s">
        <v>955</v>
      </c>
      <c r="H472" s="165">
        <v>27917</v>
      </c>
      <c r="I472" s="164" t="s">
        <v>20</v>
      </c>
      <c r="J472" s="164" t="s">
        <v>21</v>
      </c>
      <c r="K472" s="165">
        <v>42679</v>
      </c>
      <c r="L472" s="166" t="s">
        <v>210</v>
      </c>
      <c r="M472" s="154"/>
      <c r="N472" s="154"/>
      <c r="O472" s="164" t="s">
        <v>29</v>
      </c>
      <c r="P472" s="164">
        <v>50</v>
      </c>
      <c r="Q472" s="164">
        <v>9</v>
      </c>
      <c r="R472" s="167" t="s">
        <v>847</v>
      </c>
      <c r="S472" s="167" t="s">
        <v>848</v>
      </c>
      <c r="T472" s="162" t="s">
        <v>794</v>
      </c>
      <c r="U472" s="167" t="s">
        <v>795</v>
      </c>
      <c r="V472" s="162" t="s">
        <v>838</v>
      </c>
      <c r="W472" s="168">
        <v>9</v>
      </c>
      <c r="X472" s="169">
        <v>45018</v>
      </c>
      <c r="Y472" s="170">
        <v>19.586666669997001</v>
      </c>
      <c r="Z472" s="170">
        <v>2.0833333299999999</v>
      </c>
      <c r="AA472" s="170">
        <v>0</v>
      </c>
      <c r="AB472" s="170">
        <v>0</v>
      </c>
      <c r="AC472" s="171">
        <v>21.669999999997</v>
      </c>
      <c r="AD472" s="172">
        <v>5174121.5462300004</v>
      </c>
      <c r="AE472" s="173" t="s">
        <v>797</v>
      </c>
      <c r="AF472" s="173"/>
    </row>
    <row r="473" spans="1:32" x14ac:dyDescent="0.35">
      <c r="A473" s="162" t="s">
        <v>955</v>
      </c>
      <c r="B473" s="163" t="s">
        <v>956</v>
      </c>
      <c r="C473" s="154"/>
      <c r="D473" s="162" t="s">
        <v>208</v>
      </c>
      <c r="E473" s="164" t="s">
        <v>208</v>
      </c>
      <c r="F473" s="164" t="s">
        <v>956</v>
      </c>
      <c r="G473" s="164" t="s">
        <v>955</v>
      </c>
      <c r="H473" s="165">
        <v>27917</v>
      </c>
      <c r="I473" s="164" t="s">
        <v>20</v>
      </c>
      <c r="J473" s="164" t="s">
        <v>21</v>
      </c>
      <c r="K473" s="165">
        <v>42679</v>
      </c>
      <c r="L473" s="166" t="s">
        <v>210</v>
      </c>
      <c r="M473" s="154"/>
      <c r="N473" s="154"/>
      <c r="O473" s="164" t="s">
        <v>29</v>
      </c>
      <c r="P473" s="164">
        <v>50</v>
      </c>
      <c r="Q473" s="164">
        <v>9</v>
      </c>
      <c r="R473" s="167" t="s">
        <v>847</v>
      </c>
      <c r="S473" s="167" t="s">
        <v>848</v>
      </c>
      <c r="T473" s="162" t="s">
        <v>798</v>
      </c>
      <c r="U473" s="167" t="s">
        <v>839</v>
      </c>
      <c r="X473" s="169">
        <v>45018</v>
      </c>
      <c r="Y473" s="170">
        <v>180</v>
      </c>
      <c r="Z473" s="170">
        <v>0</v>
      </c>
      <c r="AA473" s="170">
        <v>0</v>
      </c>
      <c r="AB473" s="170">
        <v>0</v>
      </c>
      <c r="AC473" s="171">
        <v>180</v>
      </c>
      <c r="AD473" s="172">
        <v>42978397.707539998</v>
      </c>
      <c r="AE473" s="173">
        <v>180</v>
      </c>
      <c r="AF473" s="174">
        <v>46357</v>
      </c>
    </row>
    <row r="474" spans="1:32" x14ac:dyDescent="0.35">
      <c r="A474" s="162" t="s">
        <v>955</v>
      </c>
      <c r="B474" s="163" t="s">
        <v>956</v>
      </c>
      <c r="C474" s="154"/>
      <c r="D474" s="162" t="s">
        <v>208</v>
      </c>
      <c r="E474" s="164" t="s">
        <v>208</v>
      </c>
      <c r="F474" s="164" t="s">
        <v>956</v>
      </c>
      <c r="G474" s="164" t="s">
        <v>955</v>
      </c>
      <c r="H474" s="165">
        <v>27917</v>
      </c>
      <c r="I474" s="164" t="s">
        <v>20</v>
      </c>
      <c r="J474" s="164" t="s">
        <v>21</v>
      </c>
      <c r="K474" s="165">
        <v>42679</v>
      </c>
      <c r="L474" s="166" t="s">
        <v>210</v>
      </c>
      <c r="M474" s="154"/>
      <c r="N474" s="154"/>
      <c r="O474" s="164" t="s">
        <v>29</v>
      </c>
      <c r="P474" s="164">
        <v>50</v>
      </c>
      <c r="Q474" s="164">
        <v>9</v>
      </c>
      <c r="R474" s="167" t="s">
        <v>847</v>
      </c>
      <c r="S474" s="167" t="s">
        <v>848</v>
      </c>
      <c r="T474" s="162" t="s">
        <v>800</v>
      </c>
      <c r="U474" s="167" t="s">
        <v>801</v>
      </c>
      <c r="X474" s="169">
        <v>45018</v>
      </c>
      <c r="Y474" s="170">
        <v>26</v>
      </c>
      <c r="Z474" s="170">
        <v>0</v>
      </c>
      <c r="AA474" s="170">
        <v>0</v>
      </c>
      <c r="AB474" s="170">
        <v>0</v>
      </c>
      <c r="AC474" s="171">
        <v>26</v>
      </c>
      <c r="AD474" s="172">
        <v>6207990.7799800001</v>
      </c>
      <c r="AE474" s="173">
        <v>26</v>
      </c>
      <c r="AF474" s="174">
        <v>46357</v>
      </c>
    </row>
    <row r="475" spans="1:32" x14ac:dyDescent="0.35">
      <c r="A475" s="162" t="s">
        <v>955</v>
      </c>
      <c r="B475" s="163" t="s">
        <v>956</v>
      </c>
      <c r="C475" s="154"/>
      <c r="D475" s="162" t="s">
        <v>208</v>
      </c>
      <c r="E475" s="164" t="s">
        <v>208</v>
      </c>
      <c r="F475" s="164" t="s">
        <v>956</v>
      </c>
      <c r="G475" s="164" t="s">
        <v>955</v>
      </c>
      <c r="H475" s="165">
        <v>27917</v>
      </c>
      <c r="I475" s="164" t="s">
        <v>20</v>
      </c>
      <c r="J475" s="164" t="s">
        <v>21</v>
      </c>
      <c r="K475" s="165">
        <v>42679</v>
      </c>
      <c r="L475" s="166" t="s">
        <v>210</v>
      </c>
      <c r="M475" s="154"/>
      <c r="N475" s="154"/>
      <c r="O475" s="164" t="s">
        <v>29</v>
      </c>
      <c r="P475" s="164">
        <v>50</v>
      </c>
      <c r="Q475" s="164">
        <v>9</v>
      </c>
      <c r="R475" s="167" t="s">
        <v>847</v>
      </c>
      <c r="S475" s="167" t="s">
        <v>848</v>
      </c>
      <c r="T475" s="162" t="s">
        <v>800</v>
      </c>
      <c r="U475" s="167" t="s">
        <v>802</v>
      </c>
      <c r="X475" s="169">
        <v>45018</v>
      </c>
      <c r="Y475" s="170">
        <v>98</v>
      </c>
      <c r="Z475" s="170">
        <v>0</v>
      </c>
      <c r="AA475" s="170">
        <v>0</v>
      </c>
      <c r="AB475" s="170">
        <v>0</v>
      </c>
      <c r="AC475" s="171">
        <v>98</v>
      </c>
      <c r="AD475" s="172">
        <v>23399349.862989999</v>
      </c>
      <c r="AE475" s="173">
        <v>98</v>
      </c>
      <c r="AF475" s="174">
        <v>46357</v>
      </c>
    </row>
    <row r="476" spans="1:32" x14ac:dyDescent="0.35">
      <c r="A476" s="162" t="s">
        <v>955</v>
      </c>
      <c r="B476" s="163" t="s">
        <v>956</v>
      </c>
      <c r="C476" s="154"/>
      <c r="D476" s="162" t="s">
        <v>208</v>
      </c>
      <c r="E476" s="164" t="s">
        <v>208</v>
      </c>
      <c r="F476" s="164" t="s">
        <v>956</v>
      </c>
      <c r="G476" s="164" t="s">
        <v>955</v>
      </c>
      <c r="H476" s="165">
        <v>27917</v>
      </c>
      <c r="I476" s="164" t="s">
        <v>20</v>
      </c>
      <c r="J476" s="164" t="s">
        <v>21</v>
      </c>
      <c r="K476" s="165">
        <v>42679</v>
      </c>
      <c r="L476" s="166" t="s">
        <v>210</v>
      </c>
      <c r="M476" s="154"/>
      <c r="N476" s="154"/>
      <c r="O476" s="164" t="s">
        <v>29</v>
      </c>
      <c r="P476" s="164">
        <v>50</v>
      </c>
      <c r="Q476" s="164">
        <v>9</v>
      </c>
      <c r="R476" s="167" t="s">
        <v>847</v>
      </c>
      <c r="S476" s="167" t="s">
        <v>848</v>
      </c>
      <c r="T476" s="162" t="s">
        <v>800</v>
      </c>
      <c r="U476" s="167" t="s">
        <v>803</v>
      </c>
      <c r="X476" s="169">
        <v>45018</v>
      </c>
      <c r="Y476" s="170">
        <v>2</v>
      </c>
      <c r="Z476" s="170">
        <v>0</v>
      </c>
      <c r="AA476" s="170">
        <v>0</v>
      </c>
      <c r="AB476" s="170">
        <v>0</v>
      </c>
      <c r="AC476" s="171">
        <v>2</v>
      </c>
      <c r="AD476" s="172">
        <v>477537.75231000001</v>
      </c>
      <c r="AE476" s="173">
        <v>2</v>
      </c>
      <c r="AF476" s="174">
        <v>46357</v>
      </c>
    </row>
    <row r="477" spans="1:32" x14ac:dyDescent="0.35">
      <c r="A477" s="162" t="s">
        <v>955</v>
      </c>
      <c r="B477" s="163" t="s">
        <v>956</v>
      </c>
      <c r="C477" s="154"/>
      <c r="D477" s="162" t="s">
        <v>208</v>
      </c>
      <c r="E477" s="164" t="s">
        <v>208</v>
      </c>
      <c r="F477" s="164" t="s">
        <v>956</v>
      </c>
      <c r="G477" s="164" t="s">
        <v>955</v>
      </c>
      <c r="H477" s="165">
        <v>27917</v>
      </c>
      <c r="I477" s="164" t="s">
        <v>20</v>
      </c>
      <c r="J477" s="164" t="s">
        <v>21</v>
      </c>
      <c r="K477" s="165">
        <v>42679</v>
      </c>
      <c r="L477" s="166" t="s">
        <v>210</v>
      </c>
      <c r="M477" s="154"/>
      <c r="N477" s="154"/>
      <c r="O477" s="164" t="s">
        <v>29</v>
      </c>
      <c r="P477" s="164">
        <v>50</v>
      </c>
      <c r="Q477" s="164">
        <v>9</v>
      </c>
      <c r="R477" s="167" t="s">
        <v>847</v>
      </c>
      <c r="S477" s="167" t="s">
        <v>848</v>
      </c>
      <c r="T477" s="162" t="s">
        <v>800</v>
      </c>
      <c r="U477" s="167" t="s">
        <v>804</v>
      </c>
      <c r="X477" s="169">
        <v>45018</v>
      </c>
      <c r="Y477" s="170">
        <v>5</v>
      </c>
      <c r="Z477" s="170">
        <v>0</v>
      </c>
      <c r="AA477" s="170">
        <v>0</v>
      </c>
      <c r="AB477" s="170">
        <v>0</v>
      </c>
      <c r="AC477" s="171">
        <v>5</v>
      </c>
      <c r="AD477" s="172">
        <v>1193844.3807600001</v>
      </c>
      <c r="AE477" s="173">
        <v>5</v>
      </c>
      <c r="AF477" s="174">
        <v>46357</v>
      </c>
    </row>
    <row r="478" spans="1:32" x14ac:dyDescent="0.35">
      <c r="A478" s="162" t="s">
        <v>955</v>
      </c>
      <c r="B478" s="163" t="s">
        <v>956</v>
      </c>
      <c r="C478" s="154"/>
      <c r="D478" s="162" t="s">
        <v>208</v>
      </c>
      <c r="E478" s="164" t="s">
        <v>208</v>
      </c>
      <c r="F478" s="164" t="s">
        <v>956</v>
      </c>
      <c r="G478" s="164" t="s">
        <v>955</v>
      </c>
      <c r="H478" s="165">
        <v>27917</v>
      </c>
      <c r="I478" s="164" t="s">
        <v>20</v>
      </c>
      <c r="J478" s="164" t="s">
        <v>21</v>
      </c>
      <c r="K478" s="165">
        <v>42679</v>
      </c>
      <c r="L478" s="166" t="s">
        <v>210</v>
      </c>
      <c r="M478" s="154"/>
      <c r="N478" s="154"/>
      <c r="O478" s="164" t="s">
        <v>29</v>
      </c>
      <c r="P478" s="164">
        <v>50</v>
      </c>
      <c r="Q478" s="164">
        <v>9</v>
      </c>
      <c r="R478" s="167" t="s">
        <v>847</v>
      </c>
      <c r="S478" s="167" t="s">
        <v>848</v>
      </c>
      <c r="T478" s="162" t="s">
        <v>800</v>
      </c>
      <c r="U478" s="167" t="s">
        <v>840</v>
      </c>
      <c r="X478" s="169">
        <v>45018</v>
      </c>
      <c r="Y478" s="170">
        <v>2.4999999966690001</v>
      </c>
      <c r="Z478" s="170">
        <v>0.41666667000000002</v>
      </c>
      <c r="AA478" s="170">
        <v>0</v>
      </c>
      <c r="AB478" s="170">
        <v>0</v>
      </c>
      <c r="AC478" s="171">
        <v>2.9166666666690002</v>
      </c>
      <c r="AD478" s="172">
        <v>696409.22210999997</v>
      </c>
      <c r="AE478" s="173">
        <v>2.92</v>
      </c>
      <c r="AF478" s="174">
        <v>46357</v>
      </c>
    </row>
    <row r="479" spans="1:32" ht="20" x14ac:dyDescent="0.35">
      <c r="A479" s="162" t="s">
        <v>953</v>
      </c>
      <c r="B479" s="163" t="s">
        <v>957</v>
      </c>
      <c r="C479" s="154"/>
      <c r="D479" s="162" t="s">
        <v>211</v>
      </c>
      <c r="E479" s="164" t="s">
        <v>211</v>
      </c>
      <c r="F479" s="164" t="s">
        <v>957</v>
      </c>
      <c r="G479" s="164" t="s">
        <v>953</v>
      </c>
      <c r="H479" s="165">
        <v>30130</v>
      </c>
      <c r="I479" s="164" t="s">
        <v>48</v>
      </c>
      <c r="J479" s="164" t="s">
        <v>21</v>
      </c>
      <c r="K479" s="165">
        <v>42679</v>
      </c>
      <c r="L479" s="166" t="s">
        <v>213</v>
      </c>
      <c r="M479" s="154"/>
      <c r="N479" s="154"/>
      <c r="O479" s="164" t="s">
        <v>129</v>
      </c>
      <c r="P479" s="164">
        <v>44</v>
      </c>
      <c r="Q479" s="164">
        <v>9</v>
      </c>
      <c r="R479" s="167" t="s">
        <v>958</v>
      </c>
      <c r="S479" s="167" t="s">
        <v>844</v>
      </c>
      <c r="T479" s="162" t="s">
        <v>794</v>
      </c>
      <c r="U479" s="167" t="s">
        <v>819</v>
      </c>
      <c r="V479" s="162" t="s">
        <v>834</v>
      </c>
      <c r="W479" s="168">
        <v>9</v>
      </c>
      <c r="X479" s="169">
        <v>45018</v>
      </c>
      <c r="Y479" s="170">
        <v>21.749999996667999</v>
      </c>
      <c r="Z479" s="170">
        <v>1.9166666699999999</v>
      </c>
      <c r="AA479" s="170">
        <v>0</v>
      </c>
      <c r="AB479" s="170">
        <v>0</v>
      </c>
      <c r="AC479" s="171">
        <v>23.666666666668</v>
      </c>
      <c r="AD479" s="172">
        <v>2482532.2220399999</v>
      </c>
      <c r="AE479" s="173" t="s">
        <v>797</v>
      </c>
      <c r="AF479" s="173"/>
    </row>
    <row r="480" spans="1:32" x14ac:dyDescent="0.35">
      <c r="A480" s="162" t="s">
        <v>953</v>
      </c>
      <c r="B480" s="163" t="s">
        <v>957</v>
      </c>
      <c r="C480" s="154"/>
      <c r="D480" s="162" t="s">
        <v>211</v>
      </c>
      <c r="E480" s="164" t="s">
        <v>211</v>
      </c>
      <c r="F480" s="164" t="s">
        <v>957</v>
      </c>
      <c r="G480" s="164" t="s">
        <v>953</v>
      </c>
      <c r="H480" s="165">
        <v>30130</v>
      </c>
      <c r="I480" s="164" t="s">
        <v>48</v>
      </c>
      <c r="J480" s="164" t="s">
        <v>21</v>
      </c>
      <c r="K480" s="165">
        <v>42679</v>
      </c>
      <c r="L480" s="166" t="s">
        <v>213</v>
      </c>
      <c r="M480" s="154"/>
      <c r="N480" s="154"/>
      <c r="O480" s="164" t="s">
        <v>129</v>
      </c>
      <c r="P480" s="164">
        <v>44</v>
      </c>
      <c r="Q480" s="164">
        <v>9</v>
      </c>
      <c r="R480" s="167" t="s">
        <v>958</v>
      </c>
      <c r="S480" s="167" t="s">
        <v>844</v>
      </c>
      <c r="T480" s="162" t="s">
        <v>798</v>
      </c>
      <c r="U480" s="167" t="s">
        <v>799</v>
      </c>
      <c r="X480" s="169">
        <v>45018</v>
      </c>
      <c r="Y480" s="170">
        <v>180</v>
      </c>
      <c r="Z480" s="170">
        <v>0</v>
      </c>
      <c r="AA480" s="170">
        <v>0</v>
      </c>
      <c r="AB480" s="170">
        <v>0</v>
      </c>
      <c r="AC480" s="171">
        <v>180</v>
      </c>
      <c r="AD480" s="172">
        <v>18881230.984560002</v>
      </c>
      <c r="AE480" s="173">
        <v>180</v>
      </c>
      <c r="AF480" s="174">
        <v>46357</v>
      </c>
    </row>
    <row r="481" spans="1:32" x14ac:dyDescent="0.35">
      <c r="A481" s="162" t="s">
        <v>953</v>
      </c>
      <c r="B481" s="163" t="s">
        <v>957</v>
      </c>
      <c r="C481" s="154"/>
      <c r="D481" s="162" t="s">
        <v>211</v>
      </c>
      <c r="E481" s="164" t="s">
        <v>211</v>
      </c>
      <c r="F481" s="164" t="s">
        <v>957</v>
      </c>
      <c r="G481" s="164" t="s">
        <v>953</v>
      </c>
      <c r="H481" s="165">
        <v>30130</v>
      </c>
      <c r="I481" s="164" t="s">
        <v>48</v>
      </c>
      <c r="J481" s="164" t="s">
        <v>21</v>
      </c>
      <c r="K481" s="165">
        <v>42679</v>
      </c>
      <c r="L481" s="166" t="s">
        <v>213</v>
      </c>
      <c r="M481" s="154"/>
      <c r="N481" s="154"/>
      <c r="O481" s="164" t="s">
        <v>129</v>
      </c>
      <c r="P481" s="164">
        <v>44</v>
      </c>
      <c r="Q481" s="164">
        <v>9</v>
      </c>
      <c r="R481" s="167" t="s">
        <v>958</v>
      </c>
      <c r="S481" s="167" t="s">
        <v>844</v>
      </c>
      <c r="T481" s="162" t="s">
        <v>800</v>
      </c>
      <c r="U481" s="167" t="s">
        <v>801</v>
      </c>
      <c r="X481" s="169">
        <v>45018</v>
      </c>
      <c r="Y481" s="170">
        <v>26</v>
      </c>
      <c r="Z481" s="170">
        <v>0</v>
      </c>
      <c r="AA481" s="170">
        <v>0</v>
      </c>
      <c r="AB481" s="170">
        <v>0</v>
      </c>
      <c r="AC481" s="171">
        <v>26</v>
      </c>
      <c r="AD481" s="172">
        <v>2727288.9199899998</v>
      </c>
      <c r="AE481" s="173">
        <v>26</v>
      </c>
      <c r="AF481" s="174">
        <v>46357</v>
      </c>
    </row>
    <row r="482" spans="1:32" x14ac:dyDescent="0.35">
      <c r="A482" s="162" t="s">
        <v>953</v>
      </c>
      <c r="B482" s="163" t="s">
        <v>957</v>
      </c>
      <c r="C482" s="154"/>
      <c r="D482" s="162" t="s">
        <v>211</v>
      </c>
      <c r="E482" s="164" t="s">
        <v>211</v>
      </c>
      <c r="F482" s="164" t="s">
        <v>957</v>
      </c>
      <c r="G482" s="164" t="s">
        <v>953</v>
      </c>
      <c r="H482" s="165">
        <v>30130</v>
      </c>
      <c r="I482" s="164" t="s">
        <v>48</v>
      </c>
      <c r="J482" s="164" t="s">
        <v>21</v>
      </c>
      <c r="K482" s="165">
        <v>42679</v>
      </c>
      <c r="L482" s="166" t="s">
        <v>213</v>
      </c>
      <c r="M482" s="154"/>
      <c r="N482" s="154"/>
      <c r="O482" s="164" t="s">
        <v>129</v>
      </c>
      <c r="P482" s="164">
        <v>44</v>
      </c>
      <c r="Q482" s="164">
        <v>9</v>
      </c>
      <c r="R482" s="167" t="s">
        <v>958</v>
      </c>
      <c r="S482" s="167" t="s">
        <v>844</v>
      </c>
      <c r="T482" s="162" t="s">
        <v>800</v>
      </c>
      <c r="U482" s="167" t="s">
        <v>802</v>
      </c>
      <c r="X482" s="169">
        <v>45018</v>
      </c>
      <c r="Y482" s="170">
        <v>98</v>
      </c>
      <c r="Z482" s="170">
        <v>0</v>
      </c>
      <c r="AA482" s="170">
        <v>0</v>
      </c>
      <c r="AB482" s="170">
        <v>0</v>
      </c>
      <c r="AC482" s="171">
        <v>98</v>
      </c>
      <c r="AD482" s="172">
        <v>10279781.313820001</v>
      </c>
      <c r="AE482" s="173">
        <v>98</v>
      </c>
      <c r="AF482" s="174">
        <v>46357</v>
      </c>
    </row>
    <row r="483" spans="1:32" x14ac:dyDescent="0.35">
      <c r="A483" s="162" t="s">
        <v>953</v>
      </c>
      <c r="B483" s="163" t="s">
        <v>957</v>
      </c>
      <c r="C483" s="154"/>
      <c r="D483" s="162" t="s">
        <v>211</v>
      </c>
      <c r="E483" s="164" t="s">
        <v>211</v>
      </c>
      <c r="F483" s="164" t="s">
        <v>957</v>
      </c>
      <c r="G483" s="164" t="s">
        <v>953</v>
      </c>
      <c r="H483" s="165">
        <v>30130</v>
      </c>
      <c r="I483" s="164" t="s">
        <v>48</v>
      </c>
      <c r="J483" s="164" t="s">
        <v>21</v>
      </c>
      <c r="K483" s="165">
        <v>42679</v>
      </c>
      <c r="L483" s="166" t="s">
        <v>213</v>
      </c>
      <c r="M483" s="154"/>
      <c r="N483" s="154"/>
      <c r="O483" s="164" t="s">
        <v>129</v>
      </c>
      <c r="P483" s="164">
        <v>44</v>
      </c>
      <c r="Q483" s="164">
        <v>9</v>
      </c>
      <c r="R483" s="167" t="s">
        <v>958</v>
      </c>
      <c r="S483" s="167" t="s">
        <v>844</v>
      </c>
      <c r="T483" s="162" t="s">
        <v>800</v>
      </c>
      <c r="U483" s="167" t="s">
        <v>803</v>
      </c>
      <c r="X483" s="169">
        <v>45018</v>
      </c>
      <c r="Y483" s="170">
        <v>2</v>
      </c>
      <c r="Z483" s="170">
        <v>0</v>
      </c>
      <c r="AA483" s="170">
        <v>0</v>
      </c>
      <c r="AB483" s="170">
        <v>0</v>
      </c>
      <c r="AC483" s="171">
        <v>2</v>
      </c>
      <c r="AD483" s="172">
        <v>209791.45538</v>
      </c>
      <c r="AE483" s="173">
        <v>2</v>
      </c>
      <c r="AF483" s="174">
        <v>46357</v>
      </c>
    </row>
    <row r="484" spans="1:32" x14ac:dyDescent="0.35">
      <c r="A484" s="162" t="s">
        <v>953</v>
      </c>
      <c r="B484" s="163" t="s">
        <v>957</v>
      </c>
      <c r="C484" s="154"/>
      <c r="D484" s="162" t="s">
        <v>211</v>
      </c>
      <c r="E484" s="164" t="s">
        <v>211</v>
      </c>
      <c r="F484" s="164" t="s">
        <v>957</v>
      </c>
      <c r="G484" s="164" t="s">
        <v>953</v>
      </c>
      <c r="H484" s="165">
        <v>30130</v>
      </c>
      <c r="I484" s="164" t="s">
        <v>48</v>
      </c>
      <c r="J484" s="164" t="s">
        <v>21</v>
      </c>
      <c r="K484" s="165">
        <v>42679</v>
      </c>
      <c r="L484" s="166" t="s">
        <v>213</v>
      </c>
      <c r="M484" s="154"/>
      <c r="N484" s="154"/>
      <c r="O484" s="164" t="s">
        <v>129</v>
      </c>
      <c r="P484" s="164">
        <v>44</v>
      </c>
      <c r="Q484" s="164">
        <v>9</v>
      </c>
      <c r="R484" s="167" t="s">
        <v>958</v>
      </c>
      <c r="S484" s="167" t="s">
        <v>844</v>
      </c>
      <c r="T484" s="162" t="s">
        <v>800</v>
      </c>
      <c r="U484" s="167" t="s">
        <v>804</v>
      </c>
      <c r="X484" s="169">
        <v>45018</v>
      </c>
      <c r="Y484" s="170">
        <v>5</v>
      </c>
      <c r="Z484" s="170">
        <v>0</v>
      </c>
      <c r="AA484" s="170">
        <v>0</v>
      </c>
      <c r="AB484" s="170">
        <v>0</v>
      </c>
      <c r="AC484" s="171">
        <v>5</v>
      </c>
      <c r="AD484" s="172">
        <v>524478.63846000005</v>
      </c>
      <c r="AE484" s="173">
        <v>5</v>
      </c>
      <c r="AF484" s="174">
        <v>46357</v>
      </c>
    </row>
    <row r="485" spans="1:32" x14ac:dyDescent="0.35">
      <c r="A485" s="162" t="s">
        <v>953</v>
      </c>
      <c r="B485" s="163" t="s">
        <v>957</v>
      </c>
      <c r="C485" s="154"/>
      <c r="D485" s="162" t="s">
        <v>211</v>
      </c>
      <c r="E485" s="164" t="s">
        <v>211</v>
      </c>
      <c r="F485" s="164" t="s">
        <v>957</v>
      </c>
      <c r="G485" s="164" t="s">
        <v>953</v>
      </c>
      <c r="H485" s="165">
        <v>30130</v>
      </c>
      <c r="I485" s="164" t="s">
        <v>48</v>
      </c>
      <c r="J485" s="164" t="s">
        <v>21</v>
      </c>
      <c r="K485" s="165">
        <v>42679</v>
      </c>
      <c r="L485" s="166" t="s">
        <v>213</v>
      </c>
      <c r="M485" s="154"/>
      <c r="N485" s="154"/>
      <c r="O485" s="164" t="s">
        <v>129</v>
      </c>
      <c r="P485" s="164">
        <v>44</v>
      </c>
      <c r="Q485" s="164">
        <v>9</v>
      </c>
      <c r="R485" s="167" t="s">
        <v>958</v>
      </c>
      <c r="S485" s="167" t="s">
        <v>844</v>
      </c>
      <c r="T485" s="162" t="s">
        <v>800</v>
      </c>
      <c r="U485" s="167" t="s">
        <v>805</v>
      </c>
      <c r="X485" s="169">
        <v>45018</v>
      </c>
      <c r="Y485" s="170">
        <v>2.4999999966690001</v>
      </c>
      <c r="Z485" s="170">
        <v>0.41666667000000002</v>
      </c>
      <c r="AA485" s="170">
        <v>0</v>
      </c>
      <c r="AB485" s="170">
        <v>0</v>
      </c>
      <c r="AC485" s="171">
        <v>2.9166666666690002</v>
      </c>
      <c r="AD485" s="172">
        <v>305945.87244000001</v>
      </c>
      <c r="AE485" s="173">
        <v>2.92</v>
      </c>
      <c r="AF485" s="174">
        <v>46357</v>
      </c>
    </row>
    <row r="486" spans="1:32" ht="20" x14ac:dyDescent="0.35">
      <c r="A486" s="162" t="s">
        <v>652</v>
      </c>
      <c r="B486" s="163" t="s">
        <v>959</v>
      </c>
      <c r="C486" s="154"/>
      <c r="D486" s="162" t="s">
        <v>214</v>
      </c>
      <c r="E486" s="164" t="s">
        <v>214</v>
      </c>
      <c r="F486" s="164" t="s">
        <v>959</v>
      </c>
      <c r="G486" s="164" t="s">
        <v>652</v>
      </c>
      <c r="H486" s="165">
        <v>32600</v>
      </c>
      <c r="I486" s="164" t="s">
        <v>20</v>
      </c>
      <c r="J486" s="164" t="s">
        <v>21</v>
      </c>
      <c r="K486" s="165">
        <v>42679</v>
      </c>
      <c r="L486" s="166" t="s">
        <v>216</v>
      </c>
      <c r="M486" s="154"/>
      <c r="N486" s="154"/>
      <c r="O486" s="164" t="s">
        <v>65</v>
      </c>
      <c r="P486" s="164">
        <v>37</v>
      </c>
      <c r="Q486" s="164">
        <v>9</v>
      </c>
      <c r="R486" s="167" t="s">
        <v>888</v>
      </c>
      <c r="S486" s="167" t="s">
        <v>45</v>
      </c>
      <c r="T486" s="162" t="s">
        <v>794</v>
      </c>
      <c r="U486" s="167" t="s">
        <v>795</v>
      </c>
      <c r="V486" s="162" t="s">
        <v>838</v>
      </c>
      <c r="W486" s="168">
        <v>9</v>
      </c>
      <c r="X486" s="169">
        <v>45018</v>
      </c>
      <c r="Y486" s="170">
        <v>24.086666669997001</v>
      </c>
      <c r="Z486" s="170">
        <v>2.0833333299999999</v>
      </c>
      <c r="AA486" s="170">
        <v>0</v>
      </c>
      <c r="AB486" s="170">
        <v>0</v>
      </c>
      <c r="AC486" s="171">
        <v>26.169999999997</v>
      </c>
      <c r="AD486" s="172">
        <v>4786761.46392</v>
      </c>
      <c r="AE486" s="173" t="s">
        <v>797</v>
      </c>
      <c r="AF486" s="173"/>
    </row>
    <row r="487" spans="1:32" ht="20" x14ac:dyDescent="0.35">
      <c r="A487" s="162" t="s">
        <v>652</v>
      </c>
      <c r="B487" s="163" t="s">
        <v>959</v>
      </c>
      <c r="C487" s="154"/>
      <c r="D487" s="162" t="s">
        <v>214</v>
      </c>
      <c r="E487" s="164" t="s">
        <v>214</v>
      </c>
      <c r="F487" s="164" t="s">
        <v>959</v>
      </c>
      <c r="G487" s="164" t="s">
        <v>652</v>
      </c>
      <c r="H487" s="165">
        <v>32600</v>
      </c>
      <c r="I487" s="164" t="s">
        <v>20</v>
      </c>
      <c r="J487" s="164" t="s">
        <v>21</v>
      </c>
      <c r="K487" s="165">
        <v>42679</v>
      </c>
      <c r="L487" s="166" t="s">
        <v>216</v>
      </c>
      <c r="M487" s="154"/>
      <c r="N487" s="154"/>
      <c r="O487" s="164" t="s">
        <v>65</v>
      </c>
      <c r="P487" s="164">
        <v>37</v>
      </c>
      <c r="Q487" s="164">
        <v>9</v>
      </c>
      <c r="R487" s="167" t="s">
        <v>888</v>
      </c>
      <c r="S487" s="167" t="s">
        <v>45</v>
      </c>
      <c r="T487" s="162" t="s">
        <v>798</v>
      </c>
      <c r="U487" s="167" t="s">
        <v>839</v>
      </c>
      <c r="X487" s="169">
        <v>45018</v>
      </c>
      <c r="Y487" s="170">
        <v>180</v>
      </c>
      <c r="Z487" s="170">
        <v>0</v>
      </c>
      <c r="AA487" s="170">
        <v>0</v>
      </c>
      <c r="AB487" s="170">
        <v>0</v>
      </c>
      <c r="AC487" s="171">
        <v>180</v>
      </c>
      <c r="AD487" s="172">
        <v>32923846.522980001</v>
      </c>
      <c r="AE487" s="173">
        <v>180</v>
      </c>
      <c r="AF487" s="174">
        <v>46357</v>
      </c>
    </row>
    <row r="488" spans="1:32" ht="20" x14ac:dyDescent="0.35">
      <c r="A488" s="162" t="s">
        <v>652</v>
      </c>
      <c r="B488" s="163" t="s">
        <v>959</v>
      </c>
      <c r="C488" s="154"/>
      <c r="D488" s="162" t="s">
        <v>214</v>
      </c>
      <c r="E488" s="164" t="s">
        <v>214</v>
      </c>
      <c r="F488" s="164" t="s">
        <v>959</v>
      </c>
      <c r="G488" s="164" t="s">
        <v>652</v>
      </c>
      <c r="H488" s="165">
        <v>32600</v>
      </c>
      <c r="I488" s="164" t="s">
        <v>20</v>
      </c>
      <c r="J488" s="164" t="s">
        <v>21</v>
      </c>
      <c r="K488" s="165">
        <v>42679</v>
      </c>
      <c r="L488" s="166" t="s">
        <v>216</v>
      </c>
      <c r="M488" s="154"/>
      <c r="N488" s="154"/>
      <c r="O488" s="164" t="s">
        <v>65</v>
      </c>
      <c r="P488" s="164">
        <v>37</v>
      </c>
      <c r="Q488" s="164">
        <v>9</v>
      </c>
      <c r="R488" s="167" t="s">
        <v>888</v>
      </c>
      <c r="S488" s="167" t="s">
        <v>45</v>
      </c>
      <c r="T488" s="162" t="s">
        <v>800</v>
      </c>
      <c r="U488" s="167" t="s">
        <v>801</v>
      </c>
      <c r="X488" s="169">
        <v>45018</v>
      </c>
      <c r="Y488" s="170">
        <v>26</v>
      </c>
      <c r="Z488" s="170">
        <v>0</v>
      </c>
      <c r="AA488" s="170">
        <v>0</v>
      </c>
      <c r="AB488" s="170">
        <v>0</v>
      </c>
      <c r="AC488" s="171">
        <v>26</v>
      </c>
      <c r="AD488" s="172">
        <v>4755666.7199900001</v>
      </c>
      <c r="AE488" s="173">
        <v>26</v>
      </c>
      <c r="AF488" s="174">
        <v>46357</v>
      </c>
    </row>
    <row r="489" spans="1:32" ht="20" x14ac:dyDescent="0.35">
      <c r="A489" s="162" t="s">
        <v>652</v>
      </c>
      <c r="B489" s="163" t="s">
        <v>959</v>
      </c>
      <c r="C489" s="154"/>
      <c r="D489" s="162" t="s">
        <v>214</v>
      </c>
      <c r="E489" s="164" t="s">
        <v>214</v>
      </c>
      <c r="F489" s="164" t="s">
        <v>959</v>
      </c>
      <c r="G489" s="164" t="s">
        <v>652</v>
      </c>
      <c r="H489" s="165">
        <v>32600</v>
      </c>
      <c r="I489" s="164" t="s">
        <v>20</v>
      </c>
      <c r="J489" s="164" t="s">
        <v>21</v>
      </c>
      <c r="K489" s="165">
        <v>42679</v>
      </c>
      <c r="L489" s="166" t="s">
        <v>216</v>
      </c>
      <c r="M489" s="154"/>
      <c r="N489" s="154"/>
      <c r="O489" s="164" t="s">
        <v>65</v>
      </c>
      <c r="P489" s="164">
        <v>37</v>
      </c>
      <c r="Q489" s="164">
        <v>9</v>
      </c>
      <c r="R489" s="167" t="s">
        <v>888</v>
      </c>
      <c r="S489" s="167" t="s">
        <v>45</v>
      </c>
      <c r="T489" s="162" t="s">
        <v>800</v>
      </c>
      <c r="U489" s="167" t="s">
        <v>802</v>
      </c>
      <c r="X489" s="169">
        <v>45018</v>
      </c>
      <c r="Y489" s="170">
        <v>98</v>
      </c>
      <c r="Z489" s="170">
        <v>0</v>
      </c>
      <c r="AA489" s="170">
        <v>0</v>
      </c>
      <c r="AB489" s="170">
        <v>0</v>
      </c>
      <c r="AC489" s="171">
        <v>98</v>
      </c>
      <c r="AD489" s="172">
        <v>17925205.329179998</v>
      </c>
      <c r="AE489" s="173">
        <v>98</v>
      </c>
      <c r="AF489" s="174">
        <v>46357</v>
      </c>
    </row>
    <row r="490" spans="1:32" ht="20" x14ac:dyDescent="0.35">
      <c r="A490" s="162" t="s">
        <v>652</v>
      </c>
      <c r="B490" s="163" t="s">
        <v>959</v>
      </c>
      <c r="C490" s="154"/>
      <c r="D490" s="162" t="s">
        <v>214</v>
      </c>
      <c r="E490" s="164" t="s">
        <v>214</v>
      </c>
      <c r="F490" s="164" t="s">
        <v>959</v>
      </c>
      <c r="G490" s="164" t="s">
        <v>652</v>
      </c>
      <c r="H490" s="165">
        <v>32600</v>
      </c>
      <c r="I490" s="164" t="s">
        <v>20</v>
      </c>
      <c r="J490" s="164" t="s">
        <v>21</v>
      </c>
      <c r="K490" s="165">
        <v>42679</v>
      </c>
      <c r="L490" s="166" t="s">
        <v>216</v>
      </c>
      <c r="M490" s="154"/>
      <c r="N490" s="154"/>
      <c r="O490" s="164" t="s">
        <v>65</v>
      </c>
      <c r="P490" s="164">
        <v>37</v>
      </c>
      <c r="Q490" s="164">
        <v>9</v>
      </c>
      <c r="R490" s="167" t="s">
        <v>888</v>
      </c>
      <c r="S490" s="167" t="s">
        <v>45</v>
      </c>
      <c r="T490" s="162" t="s">
        <v>800</v>
      </c>
      <c r="U490" s="167" t="s">
        <v>803</v>
      </c>
      <c r="X490" s="169">
        <v>45018</v>
      </c>
      <c r="Y490" s="170">
        <v>2</v>
      </c>
      <c r="Z490" s="170">
        <v>0</v>
      </c>
      <c r="AA490" s="170">
        <v>0</v>
      </c>
      <c r="AB490" s="170">
        <v>0</v>
      </c>
      <c r="AC490" s="171">
        <v>2</v>
      </c>
      <c r="AD490" s="172">
        <v>365820.51692000002</v>
      </c>
      <c r="AE490" s="173">
        <v>2</v>
      </c>
      <c r="AF490" s="174">
        <v>46357</v>
      </c>
    </row>
    <row r="491" spans="1:32" ht="20" x14ac:dyDescent="0.35">
      <c r="A491" s="162" t="s">
        <v>652</v>
      </c>
      <c r="B491" s="163" t="s">
        <v>959</v>
      </c>
      <c r="C491" s="154"/>
      <c r="D491" s="162" t="s">
        <v>214</v>
      </c>
      <c r="E491" s="164" t="s">
        <v>214</v>
      </c>
      <c r="F491" s="164" t="s">
        <v>959</v>
      </c>
      <c r="G491" s="164" t="s">
        <v>652</v>
      </c>
      <c r="H491" s="165">
        <v>32600</v>
      </c>
      <c r="I491" s="164" t="s">
        <v>20</v>
      </c>
      <c r="J491" s="164" t="s">
        <v>21</v>
      </c>
      <c r="K491" s="165">
        <v>42679</v>
      </c>
      <c r="L491" s="166" t="s">
        <v>216</v>
      </c>
      <c r="M491" s="154"/>
      <c r="N491" s="154"/>
      <c r="O491" s="164" t="s">
        <v>65</v>
      </c>
      <c r="P491" s="164">
        <v>37</v>
      </c>
      <c r="Q491" s="164">
        <v>9</v>
      </c>
      <c r="R491" s="167" t="s">
        <v>888</v>
      </c>
      <c r="S491" s="167" t="s">
        <v>45</v>
      </c>
      <c r="T491" s="162" t="s">
        <v>800</v>
      </c>
      <c r="U491" s="167" t="s">
        <v>804</v>
      </c>
      <c r="X491" s="169">
        <v>45018</v>
      </c>
      <c r="Y491" s="170">
        <v>5</v>
      </c>
      <c r="Z491" s="170">
        <v>0</v>
      </c>
      <c r="AA491" s="170">
        <v>0</v>
      </c>
      <c r="AB491" s="170">
        <v>0</v>
      </c>
      <c r="AC491" s="171">
        <v>5</v>
      </c>
      <c r="AD491" s="172">
        <v>914551.29229999997</v>
      </c>
      <c r="AE491" s="173">
        <v>5</v>
      </c>
      <c r="AF491" s="174">
        <v>46357</v>
      </c>
    </row>
    <row r="492" spans="1:32" ht="20" x14ac:dyDescent="0.35">
      <c r="A492" s="162" t="s">
        <v>652</v>
      </c>
      <c r="B492" s="163" t="s">
        <v>959</v>
      </c>
      <c r="C492" s="154"/>
      <c r="D492" s="162" t="s">
        <v>214</v>
      </c>
      <c r="E492" s="164" t="s">
        <v>214</v>
      </c>
      <c r="F492" s="164" t="s">
        <v>959</v>
      </c>
      <c r="G492" s="164" t="s">
        <v>652</v>
      </c>
      <c r="H492" s="165">
        <v>32600</v>
      </c>
      <c r="I492" s="164" t="s">
        <v>20</v>
      </c>
      <c r="J492" s="164" t="s">
        <v>21</v>
      </c>
      <c r="K492" s="165">
        <v>42679</v>
      </c>
      <c r="L492" s="166" t="s">
        <v>216</v>
      </c>
      <c r="M492" s="154"/>
      <c r="N492" s="154"/>
      <c r="O492" s="164" t="s">
        <v>65</v>
      </c>
      <c r="P492" s="164">
        <v>37</v>
      </c>
      <c r="Q492" s="164">
        <v>9</v>
      </c>
      <c r="R492" s="167" t="s">
        <v>888</v>
      </c>
      <c r="S492" s="167" t="s">
        <v>45</v>
      </c>
      <c r="T492" s="162" t="s">
        <v>800</v>
      </c>
      <c r="U492" s="167" t="s">
        <v>840</v>
      </c>
      <c r="X492" s="169">
        <v>45018</v>
      </c>
      <c r="Y492" s="170">
        <v>2.4999999966690001</v>
      </c>
      <c r="Z492" s="170">
        <v>0.41666667000000002</v>
      </c>
      <c r="AA492" s="170">
        <v>0</v>
      </c>
      <c r="AB492" s="170">
        <v>0</v>
      </c>
      <c r="AC492" s="171">
        <v>2.9166666666690002</v>
      </c>
      <c r="AD492" s="172">
        <v>533488.25384999998</v>
      </c>
      <c r="AE492" s="173">
        <v>2.92</v>
      </c>
      <c r="AF492" s="174">
        <v>46357</v>
      </c>
    </row>
    <row r="493" spans="1:32" ht="20" x14ac:dyDescent="0.35">
      <c r="A493" s="162" t="s">
        <v>960</v>
      </c>
      <c r="B493" s="163" t="s">
        <v>961</v>
      </c>
      <c r="C493" s="154"/>
      <c r="D493" s="162" t="s">
        <v>217</v>
      </c>
      <c r="E493" s="164" t="s">
        <v>217</v>
      </c>
      <c r="F493" s="164" t="s">
        <v>961</v>
      </c>
      <c r="G493" s="164" t="s">
        <v>960</v>
      </c>
      <c r="H493" s="165">
        <v>31105</v>
      </c>
      <c r="I493" s="164" t="s">
        <v>48</v>
      </c>
      <c r="J493" s="164" t="s">
        <v>21</v>
      </c>
      <c r="K493" s="165">
        <v>42690</v>
      </c>
      <c r="L493" s="166" t="s">
        <v>219</v>
      </c>
      <c r="M493" s="154"/>
      <c r="N493" s="154"/>
      <c r="O493" s="164" t="s">
        <v>44</v>
      </c>
      <c r="P493" s="164">
        <v>41</v>
      </c>
      <c r="Q493" s="164">
        <v>9</v>
      </c>
      <c r="R493" s="167" t="s">
        <v>962</v>
      </c>
      <c r="S493" s="167" t="s">
        <v>893</v>
      </c>
      <c r="T493" s="162" t="s">
        <v>794</v>
      </c>
      <c r="U493" s="167" t="s">
        <v>795</v>
      </c>
      <c r="V493" s="162" t="s">
        <v>838</v>
      </c>
      <c r="W493" s="168">
        <v>9</v>
      </c>
      <c r="X493" s="169">
        <v>45018</v>
      </c>
      <c r="Y493" s="170">
        <v>28.586666669997001</v>
      </c>
      <c r="Z493" s="170">
        <v>2.0833333299999999</v>
      </c>
      <c r="AA493" s="170">
        <v>0</v>
      </c>
      <c r="AB493" s="170">
        <v>0</v>
      </c>
      <c r="AC493" s="171">
        <v>30.669999999997</v>
      </c>
      <c r="AD493" s="172">
        <v>4729158.0312400004</v>
      </c>
      <c r="AE493" s="173" t="s">
        <v>797</v>
      </c>
      <c r="AF493" s="173"/>
    </row>
    <row r="494" spans="1:32" ht="20" x14ac:dyDescent="0.35">
      <c r="A494" s="162" t="s">
        <v>960</v>
      </c>
      <c r="B494" s="163" t="s">
        <v>961</v>
      </c>
      <c r="C494" s="154"/>
      <c r="D494" s="162" t="s">
        <v>217</v>
      </c>
      <c r="E494" s="164" t="s">
        <v>217</v>
      </c>
      <c r="F494" s="164" t="s">
        <v>961</v>
      </c>
      <c r="G494" s="164" t="s">
        <v>960</v>
      </c>
      <c r="H494" s="165">
        <v>31105</v>
      </c>
      <c r="I494" s="164" t="s">
        <v>48</v>
      </c>
      <c r="J494" s="164" t="s">
        <v>21</v>
      </c>
      <c r="K494" s="165">
        <v>42690</v>
      </c>
      <c r="L494" s="166" t="s">
        <v>219</v>
      </c>
      <c r="M494" s="154"/>
      <c r="N494" s="154"/>
      <c r="O494" s="164" t="s">
        <v>44</v>
      </c>
      <c r="P494" s="164">
        <v>41</v>
      </c>
      <c r="Q494" s="164">
        <v>9</v>
      </c>
      <c r="R494" s="167" t="s">
        <v>962</v>
      </c>
      <c r="S494" s="167" t="s">
        <v>893</v>
      </c>
      <c r="T494" s="162" t="s">
        <v>798</v>
      </c>
      <c r="U494" s="167" t="s">
        <v>839</v>
      </c>
      <c r="X494" s="169">
        <v>45018</v>
      </c>
      <c r="Y494" s="170">
        <v>180</v>
      </c>
      <c r="Z494" s="170">
        <v>0</v>
      </c>
      <c r="AA494" s="170">
        <v>0</v>
      </c>
      <c r="AB494" s="170">
        <v>0</v>
      </c>
      <c r="AC494" s="171">
        <v>180</v>
      </c>
      <c r="AD494" s="172">
        <v>27755084.6307</v>
      </c>
      <c r="AE494" s="173">
        <v>180</v>
      </c>
      <c r="AF494" s="174">
        <v>46357</v>
      </c>
    </row>
    <row r="495" spans="1:32" ht="20" x14ac:dyDescent="0.35">
      <c r="A495" s="162" t="s">
        <v>960</v>
      </c>
      <c r="B495" s="163" t="s">
        <v>961</v>
      </c>
      <c r="C495" s="154"/>
      <c r="D495" s="162" t="s">
        <v>217</v>
      </c>
      <c r="E495" s="164" t="s">
        <v>217</v>
      </c>
      <c r="F495" s="164" t="s">
        <v>961</v>
      </c>
      <c r="G495" s="164" t="s">
        <v>960</v>
      </c>
      <c r="H495" s="165">
        <v>31105</v>
      </c>
      <c r="I495" s="164" t="s">
        <v>48</v>
      </c>
      <c r="J495" s="164" t="s">
        <v>21</v>
      </c>
      <c r="K495" s="165">
        <v>42690</v>
      </c>
      <c r="L495" s="166" t="s">
        <v>219</v>
      </c>
      <c r="M495" s="154"/>
      <c r="N495" s="154"/>
      <c r="O495" s="164" t="s">
        <v>44</v>
      </c>
      <c r="P495" s="164">
        <v>41</v>
      </c>
      <c r="Q495" s="164">
        <v>9</v>
      </c>
      <c r="R495" s="167" t="s">
        <v>962</v>
      </c>
      <c r="S495" s="167" t="s">
        <v>893</v>
      </c>
      <c r="T495" s="162" t="s">
        <v>800</v>
      </c>
      <c r="U495" s="167" t="s">
        <v>801</v>
      </c>
      <c r="X495" s="169">
        <v>45018</v>
      </c>
      <c r="Y495" s="170">
        <v>26</v>
      </c>
      <c r="Z495" s="170">
        <v>0</v>
      </c>
      <c r="AA495" s="170">
        <v>0</v>
      </c>
      <c r="AB495" s="170">
        <v>0</v>
      </c>
      <c r="AC495" s="171">
        <v>26</v>
      </c>
      <c r="AD495" s="172">
        <v>4009067.7799900002</v>
      </c>
      <c r="AE495" s="173">
        <v>26</v>
      </c>
      <c r="AF495" s="174">
        <v>46357</v>
      </c>
    </row>
    <row r="496" spans="1:32" ht="20" x14ac:dyDescent="0.35">
      <c r="A496" s="162" t="s">
        <v>960</v>
      </c>
      <c r="B496" s="163" t="s">
        <v>961</v>
      </c>
      <c r="C496" s="154"/>
      <c r="D496" s="162" t="s">
        <v>217</v>
      </c>
      <c r="E496" s="164" t="s">
        <v>217</v>
      </c>
      <c r="F496" s="164" t="s">
        <v>961</v>
      </c>
      <c r="G496" s="164" t="s">
        <v>960</v>
      </c>
      <c r="H496" s="165">
        <v>31105</v>
      </c>
      <c r="I496" s="164" t="s">
        <v>48</v>
      </c>
      <c r="J496" s="164" t="s">
        <v>21</v>
      </c>
      <c r="K496" s="165">
        <v>42690</v>
      </c>
      <c r="L496" s="166" t="s">
        <v>219</v>
      </c>
      <c r="M496" s="154"/>
      <c r="N496" s="154"/>
      <c r="O496" s="164" t="s">
        <v>44</v>
      </c>
      <c r="P496" s="164">
        <v>41</v>
      </c>
      <c r="Q496" s="164">
        <v>9</v>
      </c>
      <c r="R496" s="167" t="s">
        <v>962</v>
      </c>
      <c r="S496" s="167" t="s">
        <v>893</v>
      </c>
      <c r="T496" s="162" t="s">
        <v>800</v>
      </c>
      <c r="U496" s="167" t="s">
        <v>802</v>
      </c>
      <c r="X496" s="169">
        <v>45018</v>
      </c>
      <c r="Y496" s="170">
        <v>98</v>
      </c>
      <c r="Z496" s="170">
        <v>0</v>
      </c>
      <c r="AA496" s="170">
        <v>0</v>
      </c>
      <c r="AB496" s="170">
        <v>0</v>
      </c>
      <c r="AC496" s="171">
        <v>98</v>
      </c>
      <c r="AD496" s="172">
        <v>15111101.632270001</v>
      </c>
      <c r="AE496" s="173">
        <v>98</v>
      </c>
      <c r="AF496" s="174">
        <v>46357</v>
      </c>
    </row>
    <row r="497" spans="1:32" ht="20" x14ac:dyDescent="0.35">
      <c r="A497" s="162" t="s">
        <v>960</v>
      </c>
      <c r="B497" s="163" t="s">
        <v>961</v>
      </c>
      <c r="C497" s="154"/>
      <c r="D497" s="162" t="s">
        <v>217</v>
      </c>
      <c r="E497" s="164" t="s">
        <v>217</v>
      </c>
      <c r="F497" s="164" t="s">
        <v>961</v>
      </c>
      <c r="G497" s="164" t="s">
        <v>960</v>
      </c>
      <c r="H497" s="165">
        <v>31105</v>
      </c>
      <c r="I497" s="164" t="s">
        <v>48</v>
      </c>
      <c r="J497" s="164" t="s">
        <v>21</v>
      </c>
      <c r="K497" s="165">
        <v>42690</v>
      </c>
      <c r="L497" s="166" t="s">
        <v>219</v>
      </c>
      <c r="M497" s="154"/>
      <c r="N497" s="154"/>
      <c r="O497" s="164" t="s">
        <v>44</v>
      </c>
      <c r="P497" s="164">
        <v>41</v>
      </c>
      <c r="Q497" s="164">
        <v>9</v>
      </c>
      <c r="R497" s="167" t="s">
        <v>962</v>
      </c>
      <c r="S497" s="167" t="s">
        <v>893</v>
      </c>
      <c r="T497" s="162" t="s">
        <v>800</v>
      </c>
      <c r="U497" s="167" t="s">
        <v>803</v>
      </c>
      <c r="X497" s="169">
        <v>45018</v>
      </c>
      <c r="Y497" s="170">
        <v>2</v>
      </c>
      <c r="Z497" s="170">
        <v>0</v>
      </c>
      <c r="AA497" s="170">
        <v>0</v>
      </c>
      <c r="AB497" s="170">
        <v>0</v>
      </c>
      <c r="AC497" s="171">
        <v>2</v>
      </c>
      <c r="AD497" s="172">
        <v>308389.82922999997</v>
      </c>
      <c r="AE497" s="173">
        <v>2</v>
      </c>
      <c r="AF497" s="174">
        <v>46357</v>
      </c>
    </row>
    <row r="498" spans="1:32" ht="20" x14ac:dyDescent="0.35">
      <c r="A498" s="162" t="s">
        <v>960</v>
      </c>
      <c r="B498" s="163" t="s">
        <v>961</v>
      </c>
      <c r="C498" s="154"/>
      <c r="D498" s="162" t="s">
        <v>217</v>
      </c>
      <c r="E498" s="164" t="s">
        <v>217</v>
      </c>
      <c r="F498" s="164" t="s">
        <v>961</v>
      </c>
      <c r="G498" s="164" t="s">
        <v>960</v>
      </c>
      <c r="H498" s="165">
        <v>31105</v>
      </c>
      <c r="I498" s="164" t="s">
        <v>48</v>
      </c>
      <c r="J498" s="164" t="s">
        <v>21</v>
      </c>
      <c r="K498" s="165">
        <v>42690</v>
      </c>
      <c r="L498" s="166" t="s">
        <v>219</v>
      </c>
      <c r="M498" s="154"/>
      <c r="N498" s="154"/>
      <c r="O498" s="164" t="s">
        <v>44</v>
      </c>
      <c r="P498" s="164">
        <v>41</v>
      </c>
      <c r="Q498" s="164">
        <v>9</v>
      </c>
      <c r="R498" s="167" t="s">
        <v>962</v>
      </c>
      <c r="S498" s="167" t="s">
        <v>893</v>
      </c>
      <c r="T498" s="162" t="s">
        <v>800</v>
      </c>
      <c r="U498" s="167" t="s">
        <v>804</v>
      </c>
      <c r="X498" s="169">
        <v>45018</v>
      </c>
      <c r="Y498" s="170">
        <v>5</v>
      </c>
      <c r="Z498" s="170">
        <v>0</v>
      </c>
      <c r="AA498" s="170">
        <v>0</v>
      </c>
      <c r="AB498" s="170">
        <v>0</v>
      </c>
      <c r="AC498" s="171">
        <v>5</v>
      </c>
      <c r="AD498" s="172">
        <v>770974.57307000004</v>
      </c>
      <c r="AE498" s="173">
        <v>5</v>
      </c>
      <c r="AF498" s="174">
        <v>46357</v>
      </c>
    </row>
    <row r="499" spans="1:32" ht="20" x14ac:dyDescent="0.35">
      <c r="A499" s="162" t="s">
        <v>960</v>
      </c>
      <c r="B499" s="163" t="s">
        <v>961</v>
      </c>
      <c r="C499" s="154"/>
      <c r="D499" s="162" t="s">
        <v>217</v>
      </c>
      <c r="E499" s="164" t="s">
        <v>217</v>
      </c>
      <c r="F499" s="164" t="s">
        <v>961</v>
      </c>
      <c r="G499" s="164" t="s">
        <v>960</v>
      </c>
      <c r="H499" s="165">
        <v>31105</v>
      </c>
      <c r="I499" s="164" t="s">
        <v>48</v>
      </c>
      <c r="J499" s="164" t="s">
        <v>21</v>
      </c>
      <c r="K499" s="165">
        <v>42690</v>
      </c>
      <c r="L499" s="166" t="s">
        <v>219</v>
      </c>
      <c r="M499" s="154"/>
      <c r="N499" s="154"/>
      <c r="O499" s="164" t="s">
        <v>44</v>
      </c>
      <c r="P499" s="164">
        <v>41</v>
      </c>
      <c r="Q499" s="164">
        <v>9</v>
      </c>
      <c r="R499" s="167" t="s">
        <v>962</v>
      </c>
      <c r="S499" s="167" t="s">
        <v>893</v>
      </c>
      <c r="T499" s="162" t="s">
        <v>800</v>
      </c>
      <c r="U499" s="167" t="s">
        <v>840</v>
      </c>
      <c r="X499" s="169">
        <v>45018</v>
      </c>
      <c r="Y499" s="170">
        <v>2.4999999966690001</v>
      </c>
      <c r="Z499" s="170">
        <v>0.41666667000000002</v>
      </c>
      <c r="AA499" s="170">
        <v>0</v>
      </c>
      <c r="AB499" s="170">
        <v>0</v>
      </c>
      <c r="AC499" s="171">
        <v>2.9166666666690002</v>
      </c>
      <c r="AD499" s="172">
        <v>449735.16762999998</v>
      </c>
      <c r="AE499" s="173">
        <v>2.92</v>
      </c>
      <c r="AF499" s="174">
        <v>46357</v>
      </c>
    </row>
    <row r="500" spans="1:32" ht="20" x14ac:dyDescent="0.35">
      <c r="A500" s="162" t="s">
        <v>963</v>
      </c>
      <c r="B500" s="163" t="s">
        <v>964</v>
      </c>
      <c r="C500" s="154"/>
      <c r="D500" s="162" t="s">
        <v>220</v>
      </c>
      <c r="E500" s="164" t="s">
        <v>220</v>
      </c>
      <c r="F500" s="164" t="s">
        <v>964</v>
      </c>
      <c r="G500" s="164" t="s">
        <v>963</v>
      </c>
      <c r="H500" s="165">
        <v>33072</v>
      </c>
      <c r="I500" s="164" t="s">
        <v>20</v>
      </c>
      <c r="J500" s="164" t="s">
        <v>82</v>
      </c>
      <c r="K500" s="165">
        <v>42711</v>
      </c>
      <c r="L500" s="166" t="s">
        <v>222</v>
      </c>
      <c r="M500" s="154"/>
      <c r="N500" s="154"/>
      <c r="O500" s="164" t="s">
        <v>29</v>
      </c>
      <c r="P500" s="164">
        <v>36</v>
      </c>
      <c r="Q500" s="164">
        <v>9</v>
      </c>
      <c r="R500" s="167" t="s">
        <v>888</v>
      </c>
      <c r="S500" s="167" t="s">
        <v>45</v>
      </c>
      <c r="T500" s="162" t="s">
        <v>794</v>
      </c>
      <c r="U500" s="167" t="s">
        <v>795</v>
      </c>
      <c r="V500" s="162" t="s">
        <v>838</v>
      </c>
      <c r="W500" s="168">
        <v>9</v>
      </c>
      <c r="X500" s="169">
        <v>45018</v>
      </c>
      <c r="Y500" s="170">
        <v>22.583333336664001</v>
      </c>
      <c r="Z500" s="170">
        <v>2.0833333299999999</v>
      </c>
      <c r="AA500" s="170">
        <v>0</v>
      </c>
      <c r="AB500" s="170">
        <v>0</v>
      </c>
      <c r="AC500" s="171">
        <v>24.666666666664</v>
      </c>
      <c r="AD500" s="172">
        <v>6451912.1992100002</v>
      </c>
      <c r="AE500" s="173" t="s">
        <v>797</v>
      </c>
      <c r="AF500" s="173"/>
    </row>
    <row r="501" spans="1:32" ht="20" x14ac:dyDescent="0.35">
      <c r="A501" s="162" t="s">
        <v>963</v>
      </c>
      <c r="B501" s="163" t="s">
        <v>964</v>
      </c>
      <c r="C501" s="154"/>
      <c r="D501" s="162" t="s">
        <v>220</v>
      </c>
      <c r="E501" s="164" t="s">
        <v>220</v>
      </c>
      <c r="F501" s="164" t="s">
        <v>964</v>
      </c>
      <c r="G501" s="164" t="s">
        <v>963</v>
      </c>
      <c r="H501" s="165">
        <v>33072</v>
      </c>
      <c r="I501" s="164" t="s">
        <v>20</v>
      </c>
      <c r="J501" s="164" t="s">
        <v>82</v>
      </c>
      <c r="K501" s="165">
        <v>42711</v>
      </c>
      <c r="L501" s="166" t="s">
        <v>222</v>
      </c>
      <c r="M501" s="154"/>
      <c r="N501" s="154"/>
      <c r="O501" s="164" t="s">
        <v>29</v>
      </c>
      <c r="P501" s="164">
        <v>36</v>
      </c>
      <c r="Q501" s="164">
        <v>9</v>
      </c>
      <c r="R501" s="167" t="s">
        <v>888</v>
      </c>
      <c r="S501" s="167" t="s">
        <v>45</v>
      </c>
      <c r="T501" s="162" t="s">
        <v>798</v>
      </c>
      <c r="U501" s="167" t="s">
        <v>839</v>
      </c>
      <c r="X501" s="169">
        <v>45018</v>
      </c>
      <c r="Y501" s="170">
        <v>180</v>
      </c>
      <c r="Z501" s="170">
        <v>0</v>
      </c>
      <c r="AA501" s="170">
        <v>0</v>
      </c>
      <c r="AB501" s="170">
        <v>0</v>
      </c>
      <c r="AC501" s="171">
        <v>180</v>
      </c>
      <c r="AD501" s="172">
        <v>47081521.453680001</v>
      </c>
      <c r="AE501" s="173">
        <v>180</v>
      </c>
      <c r="AF501" s="174">
        <v>46357</v>
      </c>
    </row>
    <row r="502" spans="1:32" ht="20" x14ac:dyDescent="0.35">
      <c r="A502" s="162" t="s">
        <v>963</v>
      </c>
      <c r="B502" s="163" t="s">
        <v>964</v>
      </c>
      <c r="C502" s="154"/>
      <c r="D502" s="162" t="s">
        <v>220</v>
      </c>
      <c r="E502" s="164" t="s">
        <v>220</v>
      </c>
      <c r="F502" s="164" t="s">
        <v>964</v>
      </c>
      <c r="G502" s="164" t="s">
        <v>963</v>
      </c>
      <c r="H502" s="165">
        <v>33072</v>
      </c>
      <c r="I502" s="164" t="s">
        <v>20</v>
      </c>
      <c r="J502" s="164" t="s">
        <v>82</v>
      </c>
      <c r="K502" s="165">
        <v>42711</v>
      </c>
      <c r="L502" s="166" t="s">
        <v>222</v>
      </c>
      <c r="M502" s="154"/>
      <c r="N502" s="154"/>
      <c r="O502" s="164" t="s">
        <v>29</v>
      </c>
      <c r="P502" s="164">
        <v>36</v>
      </c>
      <c r="Q502" s="164">
        <v>9</v>
      </c>
      <c r="R502" s="167" t="s">
        <v>888</v>
      </c>
      <c r="S502" s="167" t="s">
        <v>45</v>
      </c>
      <c r="T502" s="162" t="s">
        <v>800</v>
      </c>
      <c r="U502" s="167" t="s">
        <v>801</v>
      </c>
      <c r="X502" s="169">
        <v>45018</v>
      </c>
      <c r="Y502" s="170">
        <v>26</v>
      </c>
      <c r="Z502" s="170">
        <v>0</v>
      </c>
      <c r="AA502" s="170">
        <v>0</v>
      </c>
      <c r="AB502" s="170">
        <v>0</v>
      </c>
      <c r="AC502" s="171">
        <v>26</v>
      </c>
      <c r="AD502" s="172">
        <v>6800664.2099799998</v>
      </c>
      <c r="AE502" s="173">
        <v>26</v>
      </c>
      <c r="AF502" s="174">
        <v>46357</v>
      </c>
    </row>
    <row r="503" spans="1:32" ht="20" x14ac:dyDescent="0.35">
      <c r="A503" s="162" t="s">
        <v>963</v>
      </c>
      <c r="B503" s="163" t="s">
        <v>964</v>
      </c>
      <c r="C503" s="154"/>
      <c r="D503" s="162" t="s">
        <v>220</v>
      </c>
      <c r="E503" s="164" t="s">
        <v>220</v>
      </c>
      <c r="F503" s="164" t="s">
        <v>964</v>
      </c>
      <c r="G503" s="164" t="s">
        <v>963</v>
      </c>
      <c r="H503" s="165">
        <v>33072</v>
      </c>
      <c r="I503" s="164" t="s">
        <v>20</v>
      </c>
      <c r="J503" s="164" t="s">
        <v>82</v>
      </c>
      <c r="K503" s="165">
        <v>42711</v>
      </c>
      <c r="L503" s="166" t="s">
        <v>222</v>
      </c>
      <c r="M503" s="154"/>
      <c r="N503" s="154"/>
      <c r="O503" s="164" t="s">
        <v>29</v>
      </c>
      <c r="P503" s="164">
        <v>36</v>
      </c>
      <c r="Q503" s="164">
        <v>9</v>
      </c>
      <c r="R503" s="167" t="s">
        <v>888</v>
      </c>
      <c r="S503" s="167" t="s">
        <v>45</v>
      </c>
      <c r="T503" s="162" t="s">
        <v>800</v>
      </c>
      <c r="U503" s="167" t="s">
        <v>802</v>
      </c>
      <c r="X503" s="169">
        <v>45018</v>
      </c>
      <c r="Y503" s="170">
        <v>98</v>
      </c>
      <c r="Z503" s="170">
        <v>0</v>
      </c>
      <c r="AA503" s="170">
        <v>0</v>
      </c>
      <c r="AB503" s="170">
        <v>0</v>
      </c>
      <c r="AC503" s="171">
        <v>98</v>
      </c>
      <c r="AD503" s="172">
        <v>25633272.791450001</v>
      </c>
      <c r="AE503" s="173">
        <v>98</v>
      </c>
      <c r="AF503" s="174">
        <v>46357</v>
      </c>
    </row>
    <row r="504" spans="1:32" ht="20" x14ac:dyDescent="0.35">
      <c r="A504" s="162" t="s">
        <v>963</v>
      </c>
      <c r="B504" s="163" t="s">
        <v>964</v>
      </c>
      <c r="C504" s="154"/>
      <c r="D504" s="162" t="s">
        <v>220</v>
      </c>
      <c r="E504" s="164" t="s">
        <v>220</v>
      </c>
      <c r="F504" s="164" t="s">
        <v>964</v>
      </c>
      <c r="G504" s="164" t="s">
        <v>963</v>
      </c>
      <c r="H504" s="165">
        <v>33072</v>
      </c>
      <c r="I504" s="164" t="s">
        <v>20</v>
      </c>
      <c r="J504" s="164" t="s">
        <v>82</v>
      </c>
      <c r="K504" s="165">
        <v>42711</v>
      </c>
      <c r="L504" s="166" t="s">
        <v>222</v>
      </c>
      <c r="M504" s="154"/>
      <c r="N504" s="154"/>
      <c r="O504" s="164" t="s">
        <v>29</v>
      </c>
      <c r="P504" s="164">
        <v>36</v>
      </c>
      <c r="Q504" s="164">
        <v>9</v>
      </c>
      <c r="R504" s="167" t="s">
        <v>888</v>
      </c>
      <c r="S504" s="167" t="s">
        <v>45</v>
      </c>
      <c r="T504" s="162" t="s">
        <v>800</v>
      </c>
      <c r="U504" s="167" t="s">
        <v>803</v>
      </c>
      <c r="X504" s="169">
        <v>45018</v>
      </c>
      <c r="Y504" s="170">
        <v>2</v>
      </c>
      <c r="Z504" s="170">
        <v>0</v>
      </c>
      <c r="AA504" s="170">
        <v>0</v>
      </c>
      <c r="AB504" s="170">
        <v>0</v>
      </c>
      <c r="AC504" s="171">
        <v>2</v>
      </c>
      <c r="AD504" s="172">
        <v>523128.01614999998</v>
      </c>
      <c r="AE504" s="173">
        <v>2</v>
      </c>
      <c r="AF504" s="174">
        <v>46357</v>
      </c>
    </row>
    <row r="505" spans="1:32" ht="20" x14ac:dyDescent="0.35">
      <c r="A505" s="162" t="s">
        <v>963</v>
      </c>
      <c r="B505" s="163" t="s">
        <v>964</v>
      </c>
      <c r="C505" s="154"/>
      <c r="D505" s="162" t="s">
        <v>220</v>
      </c>
      <c r="E505" s="164" t="s">
        <v>220</v>
      </c>
      <c r="F505" s="164" t="s">
        <v>964</v>
      </c>
      <c r="G505" s="164" t="s">
        <v>963</v>
      </c>
      <c r="H505" s="165">
        <v>33072</v>
      </c>
      <c r="I505" s="164" t="s">
        <v>20</v>
      </c>
      <c r="J505" s="164" t="s">
        <v>82</v>
      </c>
      <c r="K505" s="165">
        <v>42711</v>
      </c>
      <c r="L505" s="166" t="s">
        <v>222</v>
      </c>
      <c r="M505" s="154"/>
      <c r="N505" s="154"/>
      <c r="O505" s="164" t="s">
        <v>29</v>
      </c>
      <c r="P505" s="164">
        <v>36</v>
      </c>
      <c r="Q505" s="164">
        <v>9</v>
      </c>
      <c r="R505" s="167" t="s">
        <v>888</v>
      </c>
      <c r="S505" s="167" t="s">
        <v>45</v>
      </c>
      <c r="T505" s="162" t="s">
        <v>800</v>
      </c>
      <c r="U505" s="167" t="s">
        <v>804</v>
      </c>
      <c r="X505" s="169">
        <v>45018</v>
      </c>
      <c r="Y505" s="170">
        <v>5</v>
      </c>
      <c r="Z505" s="170">
        <v>0</v>
      </c>
      <c r="AA505" s="170">
        <v>0</v>
      </c>
      <c r="AB505" s="170">
        <v>0</v>
      </c>
      <c r="AC505" s="171">
        <v>5</v>
      </c>
      <c r="AD505" s="172">
        <v>1307820.0403799999</v>
      </c>
      <c r="AE505" s="173">
        <v>5</v>
      </c>
      <c r="AF505" s="174">
        <v>46357</v>
      </c>
    </row>
    <row r="506" spans="1:32" ht="20" x14ac:dyDescent="0.35">
      <c r="A506" s="162" t="s">
        <v>963</v>
      </c>
      <c r="B506" s="163" t="s">
        <v>964</v>
      </c>
      <c r="C506" s="154"/>
      <c r="D506" s="162" t="s">
        <v>220</v>
      </c>
      <c r="E506" s="164" t="s">
        <v>220</v>
      </c>
      <c r="F506" s="164" t="s">
        <v>964</v>
      </c>
      <c r="G506" s="164" t="s">
        <v>963</v>
      </c>
      <c r="H506" s="165">
        <v>33072</v>
      </c>
      <c r="I506" s="164" t="s">
        <v>20</v>
      </c>
      <c r="J506" s="164" t="s">
        <v>82</v>
      </c>
      <c r="K506" s="165">
        <v>42711</v>
      </c>
      <c r="L506" s="166" t="s">
        <v>222</v>
      </c>
      <c r="M506" s="154"/>
      <c r="N506" s="154"/>
      <c r="O506" s="164" t="s">
        <v>29</v>
      </c>
      <c r="P506" s="164">
        <v>36</v>
      </c>
      <c r="Q506" s="164">
        <v>9</v>
      </c>
      <c r="R506" s="167" t="s">
        <v>888</v>
      </c>
      <c r="S506" s="167" t="s">
        <v>45</v>
      </c>
      <c r="T506" s="162" t="s">
        <v>800</v>
      </c>
      <c r="U506" s="167" t="s">
        <v>840</v>
      </c>
      <c r="X506" s="169">
        <v>45018</v>
      </c>
      <c r="Y506" s="170">
        <v>2.4999999966690001</v>
      </c>
      <c r="Z506" s="170">
        <v>0.41666667000000002</v>
      </c>
      <c r="AA506" s="170">
        <v>0</v>
      </c>
      <c r="AB506" s="170">
        <v>0</v>
      </c>
      <c r="AC506" s="171">
        <v>2.9166666666690002</v>
      </c>
      <c r="AD506" s="172">
        <v>762895.02356</v>
      </c>
      <c r="AE506" s="173">
        <v>2.92</v>
      </c>
      <c r="AF506" s="174">
        <v>46357</v>
      </c>
    </row>
    <row r="507" spans="1:32" ht="20" x14ac:dyDescent="0.35">
      <c r="A507" s="162" t="s">
        <v>652</v>
      </c>
      <c r="B507" s="163" t="s">
        <v>965</v>
      </c>
      <c r="C507" s="154"/>
      <c r="D507" s="162" t="s">
        <v>223</v>
      </c>
      <c r="E507" s="164" t="s">
        <v>223</v>
      </c>
      <c r="F507" s="164" t="s">
        <v>965</v>
      </c>
      <c r="G507" s="164" t="s">
        <v>652</v>
      </c>
      <c r="H507" s="165">
        <v>32373</v>
      </c>
      <c r="I507" s="164" t="s">
        <v>20</v>
      </c>
      <c r="J507" s="164" t="s">
        <v>68</v>
      </c>
      <c r="K507" s="165">
        <v>42711</v>
      </c>
      <c r="L507" s="166" t="s">
        <v>225</v>
      </c>
      <c r="M507" s="154"/>
      <c r="N507" s="154"/>
      <c r="O507" s="164" t="s">
        <v>23</v>
      </c>
      <c r="P507" s="164">
        <v>37</v>
      </c>
      <c r="Q507" s="164">
        <v>9</v>
      </c>
      <c r="R507" s="167" t="s">
        <v>966</v>
      </c>
      <c r="S507" s="167" t="s">
        <v>848</v>
      </c>
      <c r="T507" s="162" t="s">
        <v>794</v>
      </c>
      <c r="U507" s="167" t="s">
        <v>833</v>
      </c>
      <c r="V507" s="162" t="s">
        <v>834</v>
      </c>
      <c r="W507" s="168">
        <v>9</v>
      </c>
      <c r="X507" s="169">
        <v>45931.041666666701</v>
      </c>
      <c r="Y507" s="170">
        <v>18.75</v>
      </c>
      <c r="Z507" s="170">
        <v>2.25</v>
      </c>
      <c r="AA507" s="170">
        <v>0</v>
      </c>
      <c r="AB507" s="170">
        <v>0</v>
      </c>
      <c r="AC507" s="171">
        <v>21</v>
      </c>
      <c r="AD507" s="172">
        <v>7058557.0246000001</v>
      </c>
      <c r="AE507" s="173" t="s">
        <v>797</v>
      </c>
      <c r="AF507" s="173"/>
    </row>
    <row r="508" spans="1:32" ht="20" x14ac:dyDescent="0.35">
      <c r="A508" s="162" t="s">
        <v>652</v>
      </c>
      <c r="B508" s="163" t="s">
        <v>965</v>
      </c>
      <c r="C508" s="154"/>
      <c r="D508" s="162" t="s">
        <v>223</v>
      </c>
      <c r="E508" s="164" t="s">
        <v>223</v>
      </c>
      <c r="F508" s="164" t="s">
        <v>965</v>
      </c>
      <c r="G508" s="164" t="s">
        <v>652</v>
      </c>
      <c r="H508" s="165">
        <v>32373</v>
      </c>
      <c r="I508" s="164" t="s">
        <v>20</v>
      </c>
      <c r="J508" s="164" t="s">
        <v>68</v>
      </c>
      <c r="K508" s="165">
        <v>42711</v>
      </c>
      <c r="L508" s="166" t="s">
        <v>225</v>
      </c>
      <c r="M508" s="154"/>
      <c r="N508" s="154"/>
      <c r="O508" s="164" t="s">
        <v>23</v>
      </c>
      <c r="P508" s="164">
        <v>37</v>
      </c>
      <c r="Q508" s="164">
        <v>9</v>
      </c>
      <c r="R508" s="167" t="s">
        <v>966</v>
      </c>
      <c r="S508" s="167" t="s">
        <v>848</v>
      </c>
      <c r="T508" s="162" t="s">
        <v>798</v>
      </c>
      <c r="U508" s="167" t="s">
        <v>799</v>
      </c>
      <c r="X508" s="169">
        <v>45931.041666666701</v>
      </c>
      <c r="Y508" s="170">
        <v>180</v>
      </c>
      <c r="Z508" s="170">
        <v>0</v>
      </c>
      <c r="AA508" s="170">
        <v>0</v>
      </c>
      <c r="AB508" s="170">
        <v>0</v>
      </c>
      <c r="AC508" s="171">
        <v>180</v>
      </c>
      <c r="AD508" s="172">
        <v>60501917.35368</v>
      </c>
      <c r="AE508" s="173">
        <v>180</v>
      </c>
      <c r="AF508" s="174">
        <v>46357</v>
      </c>
    </row>
    <row r="509" spans="1:32" ht="20" x14ac:dyDescent="0.35">
      <c r="A509" s="162" t="s">
        <v>652</v>
      </c>
      <c r="B509" s="163" t="s">
        <v>965</v>
      </c>
      <c r="C509" s="154"/>
      <c r="D509" s="162" t="s">
        <v>223</v>
      </c>
      <c r="E509" s="164" t="s">
        <v>223</v>
      </c>
      <c r="F509" s="164" t="s">
        <v>965</v>
      </c>
      <c r="G509" s="164" t="s">
        <v>652</v>
      </c>
      <c r="H509" s="165">
        <v>32373</v>
      </c>
      <c r="I509" s="164" t="s">
        <v>20</v>
      </c>
      <c r="J509" s="164" t="s">
        <v>68</v>
      </c>
      <c r="K509" s="165">
        <v>42711</v>
      </c>
      <c r="L509" s="166" t="s">
        <v>225</v>
      </c>
      <c r="M509" s="154"/>
      <c r="N509" s="154"/>
      <c r="O509" s="164" t="s">
        <v>23</v>
      </c>
      <c r="P509" s="164">
        <v>37</v>
      </c>
      <c r="Q509" s="164">
        <v>9</v>
      </c>
      <c r="R509" s="167" t="s">
        <v>966</v>
      </c>
      <c r="S509" s="167" t="s">
        <v>848</v>
      </c>
      <c r="T509" s="162" t="s">
        <v>800</v>
      </c>
      <c r="U509" s="167" t="s">
        <v>801</v>
      </c>
      <c r="X509" s="169">
        <v>45931.041666666701</v>
      </c>
      <c r="Y509" s="170">
        <v>26</v>
      </c>
      <c r="Z509" s="170">
        <v>0</v>
      </c>
      <c r="AA509" s="170">
        <v>0</v>
      </c>
      <c r="AB509" s="170">
        <v>0</v>
      </c>
      <c r="AC509" s="171">
        <v>26</v>
      </c>
      <c r="AD509" s="172">
        <v>8739165.8399800006</v>
      </c>
      <c r="AE509" s="173">
        <v>26</v>
      </c>
      <c r="AF509" s="174">
        <v>46357</v>
      </c>
    </row>
    <row r="510" spans="1:32" ht="20" x14ac:dyDescent="0.35">
      <c r="A510" s="162" t="s">
        <v>652</v>
      </c>
      <c r="B510" s="163" t="s">
        <v>965</v>
      </c>
      <c r="C510" s="154"/>
      <c r="D510" s="162" t="s">
        <v>223</v>
      </c>
      <c r="E510" s="164" t="s">
        <v>223</v>
      </c>
      <c r="F510" s="164" t="s">
        <v>965</v>
      </c>
      <c r="G510" s="164" t="s">
        <v>652</v>
      </c>
      <c r="H510" s="165">
        <v>32373</v>
      </c>
      <c r="I510" s="164" t="s">
        <v>20</v>
      </c>
      <c r="J510" s="164" t="s">
        <v>68</v>
      </c>
      <c r="K510" s="165">
        <v>42711</v>
      </c>
      <c r="L510" s="166" t="s">
        <v>225</v>
      </c>
      <c r="M510" s="154"/>
      <c r="N510" s="154"/>
      <c r="O510" s="164" t="s">
        <v>23</v>
      </c>
      <c r="P510" s="164">
        <v>37</v>
      </c>
      <c r="Q510" s="164">
        <v>9</v>
      </c>
      <c r="R510" s="167" t="s">
        <v>966</v>
      </c>
      <c r="S510" s="167" t="s">
        <v>848</v>
      </c>
      <c r="T510" s="162" t="s">
        <v>800</v>
      </c>
      <c r="U510" s="167" t="s">
        <v>802</v>
      </c>
      <c r="X510" s="169">
        <v>45931.041666666701</v>
      </c>
      <c r="Y510" s="170">
        <v>98</v>
      </c>
      <c r="Z510" s="170">
        <v>0</v>
      </c>
      <c r="AA510" s="170">
        <v>0</v>
      </c>
      <c r="AB510" s="170">
        <v>0</v>
      </c>
      <c r="AC510" s="171">
        <v>98</v>
      </c>
      <c r="AD510" s="172">
        <v>32939932.78145</v>
      </c>
      <c r="AE510" s="173">
        <v>98</v>
      </c>
      <c r="AF510" s="174">
        <v>46357</v>
      </c>
    </row>
    <row r="511" spans="1:32" ht="20" x14ac:dyDescent="0.35">
      <c r="A511" s="162" t="s">
        <v>652</v>
      </c>
      <c r="B511" s="163" t="s">
        <v>965</v>
      </c>
      <c r="C511" s="154"/>
      <c r="D511" s="162" t="s">
        <v>223</v>
      </c>
      <c r="E511" s="164" t="s">
        <v>223</v>
      </c>
      <c r="F511" s="164" t="s">
        <v>965</v>
      </c>
      <c r="G511" s="164" t="s">
        <v>652</v>
      </c>
      <c r="H511" s="165">
        <v>32373</v>
      </c>
      <c r="I511" s="164" t="s">
        <v>20</v>
      </c>
      <c r="J511" s="164" t="s">
        <v>68</v>
      </c>
      <c r="K511" s="165">
        <v>42711</v>
      </c>
      <c r="L511" s="166" t="s">
        <v>225</v>
      </c>
      <c r="M511" s="154"/>
      <c r="N511" s="154"/>
      <c r="O511" s="164" t="s">
        <v>23</v>
      </c>
      <c r="P511" s="164">
        <v>37</v>
      </c>
      <c r="Q511" s="164">
        <v>9</v>
      </c>
      <c r="R511" s="167" t="s">
        <v>966</v>
      </c>
      <c r="S511" s="167" t="s">
        <v>848</v>
      </c>
      <c r="T511" s="162" t="s">
        <v>800</v>
      </c>
      <c r="U511" s="167" t="s">
        <v>803</v>
      </c>
      <c r="X511" s="169">
        <v>45931.041666666701</v>
      </c>
      <c r="Y511" s="170">
        <v>2</v>
      </c>
      <c r="Z511" s="170">
        <v>0</v>
      </c>
      <c r="AA511" s="170">
        <v>0</v>
      </c>
      <c r="AB511" s="170">
        <v>0</v>
      </c>
      <c r="AC511" s="171">
        <v>2</v>
      </c>
      <c r="AD511" s="172">
        <v>672243.52615000005</v>
      </c>
      <c r="AE511" s="173">
        <v>2</v>
      </c>
      <c r="AF511" s="174">
        <v>46357</v>
      </c>
    </row>
    <row r="512" spans="1:32" ht="20" x14ac:dyDescent="0.35">
      <c r="A512" s="162" t="s">
        <v>652</v>
      </c>
      <c r="B512" s="163" t="s">
        <v>965</v>
      </c>
      <c r="C512" s="154"/>
      <c r="D512" s="162" t="s">
        <v>223</v>
      </c>
      <c r="E512" s="164" t="s">
        <v>223</v>
      </c>
      <c r="F512" s="164" t="s">
        <v>965</v>
      </c>
      <c r="G512" s="164" t="s">
        <v>652</v>
      </c>
      <c r="H512" s="165">
        <v>32373</v>
      </c>
      <c r="I512" s="164" t="s">
        <v>20</v>
      </c>
      <c r="J512" s="164" t="s">
        <v>68</v>
      </c>
      <c r="K512" s="165">
        <v>42711</v>
      </c>
      <c r="L512" s="166" t="s">
        <v>225</v>
      </c>
      <c r="M512" s="154"/>
      <c r="N512" s="154"/>
      <c r="O512" s="164" t="s">
        <v>23</v>
      </c>
      <c r="P512" s="164">
        <v>37</v>
      </c>
      <c r="Q512" s="164">
        <v>9</v>
      </c>
      <c r="R512" s="167" t="s">
        <v>966</v>
      </c>
      <c r="S512" s="167" t="s">
        <v>848</v>
      </c>
      <c r="T512" s="162" t="s">
        <v>800</v>
      </c>
      <c r="U512" s="167" t="s">
        <v>804</v>
      </c>
      <c r="X512" s="169">
        <v>45931.041666666701</v>
      </c>
      <c r="Y512" s="170">
        <v>5</v>
      </c>
      <c r="Z512" s="170">
        <v>0</v>
      </c>
      <c r="AA512" s="170">
        <v>0</v>
      </c>
      <c r="AB512" s="170">
        <v>0</v>
      </c>
      <c r="AC512" s="171">
        <v>5</v>
      </c>
      <c r="AD512" s="172">
        <v>1680608.81538</v>
      </c>
      <c r="AE512" s="173">
        <v>5</v>
      </c>
      <c r="AF512" s="174">
        <v>46357</v>
      </c>
    </row>
    <row r="513" spans="1:32" ht="20" x14ac:dyDescent="0.35">
      <c r="A513" s="162" t="s">
        <v>652</v>
      </c>
      <c r="B513" s="163" t="s">
        <v>965</v>
      </c>
      <c r="C513" s="154"/>
      <c r="D513" s="162" t="s">
        <v>223</v>
      </c>
      <c r="E513" s="164" t="s">
        <v>223</v>
      </c>
      <c r="F513" s="164" t="s">
        <v>965</v>
      </c>
      <c r="G513" s="164" t="s">
        <v>652</v>
      </c>
      <c r="H513" s="165">
        <v>32373</v>
      </c>
      <c r="I513" s="164" t="s">
        <v>20</v>
      </c>
      <c r="J513" s="164" t="s">
        <v>68</v>
      </c>
      <c r="K513" s="165">
        <v>42711</v>
      </c>
      <c r="L513" s="166" t="s">
        <v>225</v>
      </c>
      <c r="M513" s="154"/>
      <c r="N513" s="154"/>
      <c r="O513" s="164" t="s">
        <v>23</v>
      </c>
      <c r="P513" s="164">
        <v>37</v>
      </c>
      <c r="Q513" s="164">
        <v>9</v>
      </c>
      <c r="R513" s="167" t="s">
        <v>966</v>
      </c>
      <c r="S513" s="167" t="s">
        <v>848</v>
      </c>
      <c r="T513" s="162" t="s">
        <v>800</v>
      </c>
      <c r="U513" s="167" t="s">
        <v>805</v>
      </c>
      <c r="X513" s="169">
        <v>45931.041666666701</v>
      </c>
      <c r="Y513" s="170">
        <v>2.4999999966690001</v>
      </c>
      <c r="Z513" s="170">
        <v>0.41666667000000002</v>
      </c>
      <c r="AA513" s="170">
        <v>0</v>
      </c>
      <c r="AB513" s="170">
        <v>0</v>
      </c>
      <c r="AC513" s="171">
        <v>2.9166666666690002</v>
      </c>
      <c r="AD513" s="172">
        <v>980355.14231000002</v>
      </c>
      <c r="AE513" s="173">
        <v>2.92</v>
      </c>
      <c r="AF513" s="174">
        <v>46357</v>
      </c>
    </row>
    <row r="514" spans="1:32" ht="20" x14ac:dyDescent="0.35">
      <c r="A514" s="162" t="s">
        <v>967</v>
      </c>
      <c r="B514" s="163" t="s">
        <v>956</v>
      </c>
      <c r="C514" s="154"/>
      <c r="D514" s="162" t="s">
        <v>226</v>
      </c>
      <c r="E514" s="164" t="s">
        <v>226</v>
      </c>
      <c r="F514" s="164" t="s">
        <v>956</v>
      </c>
      <c r="G514" s="164" t="s">
        <v>967</v>
      </c>
      <c r="H514" s="165">
        <v>28924</v>
      </c>
      <c r="I514" s="164" t="s">
        <v>20</v>
      </c>
      <c r="J514" s="164" t="s">
        <v>21</v>
      </c>
      <c r="K514" s="165">
        <v>42711</v>
      </c>
      <c r="L514" s="166" t="s">
        <v>228</v>
      </c>
      <c r="M514" s="154"/>
      <c r="N514" s="154"/>
      <c r="O514" s="164" t="s">
        <v>145</v>
      </c>
      <c r="P514" s="164">
        <v>47</v>
      </c>
      <c r="Q514" s="164">
        <v>9</v>
      </c>
      <c r="R514" s="167" t="s">
        <v>968</v>
      </c>
      <c r="S514" s="167" t="s">
        <v>837</v>
      </c>
      <c r="T514" s="162" t="s">
        <v>794</v>
      </c>
      <c r="U514" s="167" t="s">
        <v>795</v>
      </c>
      <c r="V514" s="162" t="s">
        <v>838</v>
      </c>
      <c r="W514" s="168">
        <v>9</v>
      </c>
      <c r="X514" s="169">
        <v>45627</v>
      </c>
      <c r="Y514" s="170">
        <v>27.333333336665</v>
      </c>
      <c r="Z514" s="170">
        <v>2.0833333299999999</v>
      </c>
      <c r="AA514" s="170">
        <v>0</v>
      </c>
      <c r="AB514" s="170">
        <v>0</v>
      </c>
      <c r="AC514" s="171">
        <v>29.416666666665002</v>
      </c>
      <c r="AD514" s="172">
        <v>3468913.2933999998</v>
      </c>
      <c r="AE514" s="173" t="s">
        <v>797</v>
      </c>
      <c r="AF514" s="173"/>
    </row>
    <row r="515" spans="1:32" ht="20" x14ac:dyDescent="0.35">
      <c r="A515" s="162" t="s">
        <v>967</v>
      </c>
      <c r="B515" s="163" t="s">
        <v>956</v>
      </c>
      <c r="C515" s="154"/>
      <c r="D515" s="162" t="s">
        <v>226</v>
      </c>
      <c r="E515" s="164" t="s">
        <v>226</v>
      </c>
      <c r="F515" s="164" t="s">
        <v>956</v>
      </c>
      <c r="G515" s="164" t="s">
        <v>967</v>
      </c>
      <c r="H515" s="165">
        <v>28924</v>
      </c>
      <c r="I515" s="164" t="s">
        <v>20</v>
      </c>
      <c r="J515" s="164" t="s">
        <v>21</v>
      </c>
      <c r="K515" s="165">
        <v>42711</v>
      </c>
      <c r="L515" s="166" t="s">
        <v>228</v>
      </c>
      <c r="M515" s="154"/>
      <c r="N515" s="154"/>
      <c r="O515" s="164" t="s">
        <v>145</v>
      </c>
      <c r="P515" s="164">
        <v>47</v>
      </c>
      <c r="Q515" s="164">
        <v>9</v>
      </c>
      <c r="R515" s="167" t="s">
        <v>968</v>
      </c>
      <c r="S515" s="167" t="s">
        <v>837</v>
      </c>
      <c r="T515" s="162" t="s">
        <v>798</v>
      </c>
      <c r="U515" s="167" t="s">
        <v>839</v>
      </c>
      <c r="X515" s="169">
        <v>45627</v>
      </c>
      <c r="Y515" s="170">
        <v>177</v>
      </c>
      <c r="Z515" s="170">
        <v>0</v>
      </c>
      <c r="AA515" s="170">
        <v>0</v>
      </c>
      <c r="AB515" s="170">
        <v>0</v>
      </c>
      <c r="AC515" s="171">
        <v>177</v>
      </c>
      <c r="AD515" s="172">
        <v>20872441.459449999</v>
      </c>
      <c r="AE515" s="173">
        <v>177</v>
      </c>
      <c r="AF515" s="174">
        <v>46357</v>
      </c>
    </row>
    <row r="516" spans="1:32" ht="20" x14ac:dyDescent="0.35">
      <c r="A516" s="162" t="s">
        <v>967</v>
      </c>
      <c r="B516" s="163" t="s">
        <v>956</v>
      </c>
      <c r="C516" s="154"/>
      <c r="D516" s="162" t="s">
        <v>226</v>
      </c>
      <c r="E516" s="164" t="s">
        <v>226</v>
      </c>
      <c r="F516" s="164" t="s">
        <v>956</v>
      </c>
      <c r="G516" s="164" t="s">
        <v>967</v>
      </c>
      <c r="H516" s="165">
        <v>28924</v>
      </c>
      <c r="I516" s="164" t="s">
        <v>20</v>
      </c>
      <c r="J516" s="164" t="s">
        <v>21</v>
      </c>
      <c r="K516" s="165">
        <v>42711</v>
      </c>
      <c r="L516" s="166" t="s">
        <v>228</v>
      </c>
      <c r="M516" s="154"/>
      <c r="N516" s="154"/>
      <c r="O516" s="164" t="s">
        <v>145</v>
      </c>
      <c r="P516" s="164">
        <v>47</v>
      </c>
      <c r="Q516" s="164">
        <v>9</v>
      </c>
      <c r="R516" s="167" t="s">
        <v>968</v>
      </c>
      <c r="S516" s="167" t="s">
        <v>837</v>
      </c>
      <c r="T516" s="162" t="s">
        <v>800</v>
      </c>
      <c r="U516" s="167" t="s">
        <v>801</v>
      </c>
      <c r="X516" s="169">
        <v>45627</v>
      </c>
      <c r="Y516" s="170">
        <v>26</v>
      </c>
      <c r="Z516" s="170">
        <v>0</v>
      </c>
      <c r="AA516" s="170">
        <v>0</v>
      </c>
      <c r="AB516" s="170">
        <v>0</v>
      </c>
      <c r="AC516" s="171">
        <v>26</v>
      </c>
      <c r="AD516" s="172">
        <v>3066008.3499799999</v>
      </c>
      <c r="AE516" s="173">
        <v>26</v>
      </c>
      <c r="AF516" s="174">
        <v>46357</v>
      </c>
    </row>
    <row r="517" spans="1:32" ht="20" x14ac:dyDescent="0.35">
      <c r="A517" s="162" t="s">
        <v>967</v>
      </c>
      <c r="B517" s="163" t="s">
        <v>956</v>
      </c>
      <c r="C517" s="154"/>
      <c r="D517" s="162" t="s">
        <v>226</v>
      </c>
      <c r="E517" s="164" t="s">
        <v>226</v>
      </c>
      <c r="F517" s="164" t="s">
        <v>956</v>
      </c>
      <c r="G517" s="164" t="s">
        <v>967</v>
      </c>
      <c r="H517" s="165">
        <v>28924</v>
      </c>
      <c r="I517" s="164" t="s">
        <v>20</v>
      </c>
      <c r="J517" s="164" t="s">
        <v>21</v>
      </c>
      <c r="K517" s="165">
        <v>42711</v>
      </c>
      <c r="L517" s="166" t="s">
        <v>228</v>
      </c>
      <c r="M517" s="154"/>
      <c r="N517" s="154"/>
      <c r="O517" s="164" t="s">
        <v>145</v>
      </c>
      <c r="P517" s="164">
        <v>47</v>
      </c>
      <c r="Q517" s="164">
        <v>9</v>
      </c>
      <c r="R517" s="167" t="s">
        <v>968</v>
      </c>
      <c r="S517" s="167" t="s">
        <v>837</v>
      </c>
      <c r="T517" s="162" t="s">
        <v>800</v>
      </c>
      <c r="U517" s="167" t="s">
        <v>802</v>
      </c>
      <c r="X517" s="169">
        <v>45627</v>
      </c>
      <c r="Y517" s="170">
        <v>98</v>
      </c>
      <c r="Z517" s="170">
        <v>0</v>
      </c>
      <c r="AA517" s="170">
        <v>0</v>
      </c>
      <c r="AB517" s="170">
        <v>0</v>
      </c>
      <c r="AC517" s="171">
        <v>98</v>
      </c>
      <c r="AD517" s="172">
        <v>11556493.01145</v>
      </c>
      <c r="AE517" s="173">
        <v>98</v>
      </c>
      <c r="AF517" s="174">
        <v>46357</v>
      </c>
    </row>
    <row r="518" spans="1:32" ht="20" x14ac:dyDescent="0.35">
      <c r="A518" s="162" t="s">
        <v>967</v>
      </c>
      <c r="B518" s="163" t="s">
        <v>956</v>
      </c>
      <c r="C518" s="154"/>
      <c r="D518" s="162" t="s">
        <v>226</v>
      </c>
      <c r="E518" s="164" t="s">
        <v>226</v>
      </c>
      <c r="F518" s="164" t="s">
        <v>956</v>
      </c>
      <c r="G518" s="164" t="s">
        <v>967</v>
      </c>
      <c r="H518" s="165">
        <v>28924</v>
      </c>
      <c r="I518" s="164" t="s">
        <v>20</v>
      </c>
      <c r="J518" s="164" t="s">
        <v>21</v>
      </c>
      <c r="K518" s="165">
        <v>42711</v>
      </c>
      <c r="L518" s="166" t="s">
        <v>228</v>
      </c>
      <c r="M518" s="154"/>
      <c r="N518" s="154"/>
      <c r="O518" s="164" t="s">
        <v>145</v>
      </c>
      <c r="P518" s="164">
        <v>47</v>
      </c>
      <c r="Q518" s="164">
        <v>9</v>
      </c>
      <c r="R518" s="167" t="s">
        <v>968</v>
      </c>
      <c r="S518" s="167" t="s">
        <v>837</v>
      </c>
      <c r="T518" s="162" t="s">
        <v>800</v>
      </c>
      <c r="U518" s="167" t="s">
        <v>803</v>
      </c>
      <c r="X518" s="169">
        <v>45627</v>
      </c>
      <c r="Y518" s="170">
        <v>2</v>
      </c>
      <c r="Z518" s="170">
        <v>0</v>
      </c>
      <c r="AA518" s="170">
        <v>0</v>
      </c>
      <c r="AB518" s="170">
        <v>0</v>
      </c>
      <c r="AC518" s="171">
        <v>2</v>
      </c>
      <c r="AD518" s="172">
        <v>235846.79615000001</v>
      </c>
      <c r="AE518" s="173">
        <v>2</v>
      </c>
      <c r="AF518" s="174">
        <v>46357</v>
      </c>
    </row>
    <row r="519" spans="1:32" ht="20" x14ac:dyDescent="0.35">
      <c r="A519" s="162" t="s">
        <v>967</v>
      </c>
      <c r="B519" s="163" t="s">
        <v>956</v>
      </c>
      <c r="C519" s="154"/>
      <c r="D519" s="162" t="s">
        <v>226</v>
      </c>
      <c r="E519" s="164" t="s">
        <v>226</v>
      </c>
      <c r="F519" s="164" t="s">
        <v>956</v>
      </c>
      <c r="G519" s="164" t="s">
        <v>967</v>
      </c>
      <c r="H519" s="165">
        <v>28924</v>
      </c>
      <c r="I519" s="164" t="s">
        <v>20</v>
      </c>
      <c r="J519" s="164" t="s">
        <v>21</v>
      </c>
      <c r="K519" s="165">
        <v>42711</v>
      </c>
      <c r="L519" s="166" t="s">
        <v>228</v>
      </c>
      <c r="M519" s="154"/>
      <c r="N519" s="154"/>
      <c r="O519" s="164" t="s">
        <v>145</v>
      </c>
      <c r="P519" s="164">
        <v>47</v>
      </c>
      <c r="Q519" s="164">
        <v>9</v>
      </c>
      <c r="R519" s="167" t="s">
        <v>968</v>
      </c>
      <c r="S519" s="167" t="s">
        <v>837</v>
      </c>
      <c r="T519" s="162" t="s">
        <v>800</v>
      </c>
      <c r="U519" s="167" t="s">
        <v>804</v>
      </c>
      <c r="X519" s="169">
        <v>45627</v>
      </c>
      <c r="Y519" s="170">
        <v>5</v>
      </c>
      <c r="Z519" s="170">
        <v>0</v>
      </c>
      <c r="AA519" s="170">
        <v>0</v>
      </c>
      <c r="AB519" s="170">
        <v>0</v>
      </c>
      <c r="AC519" s="171">
        <v>5</v>
      </c>
      <c r="AD519" s="172">
        <v>589616.99037999997</v>
      </c>
      <c r="AE519" s="173">
        <v>5</v>
      </c>
      <c r="AF519" s="174">
        <v>46357</v>
      </c>
    </row>
    <row r="520" spans="1:32" ht="20" x14ac:dyDescent="0.35">
      <c r="A520" s="162" t="s">
        <v>967</v>
      </c>
      <c r="B520" s="163" t="s">
        <v>956</v>
      </c>
      <c r="C520" s="154"/>
      <c r="D520" s="162" t="s">
        <v>226</v>
      </c>
      <c r="E520" s="164" t="s">
        <v>226</v>
      </c>
      <c r="F520" s="164" t="s">
        <v>956</v>
      </c>
      <c r="G520" s="164" t="s">
        <v>967</v>
      </c>
      <c r="H520" s="165">
        <v>28924</v>
      </c>
      <c r="I520" s="164" t="s">
        <v>20</v>
      </c>
      <c r="J520" s="164" t="s">
        <v>21</v>
      </c>
      <c r="K520" s="165">
        <v>42711</v>
      </c>
      <c r="L520" s="166" t="s">
        <v>228</v>
      </c>
      <c r="M520" s="154"/>
      <c r="N520" s="154"/>
      <c r="O520" s="164" t="s">
        <v>145</v>
      </c>
      <c r="P520" s="164">
        <v>47</v>
      </c>
      <c r="Q520" s="164">
        <v>9</v>
      </c>
      <c r="R520" s="167" t="s">
        <v>968</v>
      </c>
      <c r="S520" s="167" t="s">
        <v>837</v>
      </c>
      <c r="T520" s="162" t="s">
        <v>800</v>
      </c>
      <c r="U520" s="167" t="s">
        <v>840</v>
      </c>
      <c r="X520" s="169">
        <v>45627</v>
      </c>
      <c r="Y520" s="170">
        <v>2.4999999966690001</v>
      </c>
      <c r="Z520" s="170">
        <v>0.41666667000000002</v>
      </c>
      <c r="AA520" s="170">
        <v>0</v>
      </c>
      <c r="AB520" s="170">
        <v>0</v>
      </c>
      <c r="AC520" s="171">
        <v>2.9166666666690002</v>
      </c>
      <c r="AD520" s="172">
        <v>343943.24439000001</v>
      </c>
      <c r="AE520" s="173">
        <v>2.92</v>
      </c>
      <c r="AF520" s="174">
        <v>46357</v>
      </c>
    </row>
    <row r="521" spans="1:32" ht="20" x14ac:dyDescent="0.35">
      <c r="A521" s="162" t="s">
        <v>969</v>
      </c>
      <c r="B521" s="163" t="s">
        <v>914</v>
      </c>
      <c r="C521" s="154"/>
      <c r="D521" s="162" t="s">
        <v>229</v>
      </c>
      <c r="E521" s="164" t="s">
        <v>229</v>
      </c>
      <c r="F521" s="164" t="s">
        <v>914</v>
      </c>
      <c r="G521" s="164" t="s">
        <v>969</v>
      </c>
      <c r="H521" s="165">
        <v>30328</v>
      </c>
      <c r="I521" s="164" t="s">
        <v>20</v>
      </c>
      <c r="J521" s="164" t="s">
        <v>21</v>
      </c>
      <c r="K521" s="165">
        <v>42711</v>
      </c>
      <c r="L521" s="166" t="s">
        <v>231</v>
      </c>
      <c r="M521" s="154"/>
      <c r="N521" s="154"/>
      <c r="O521" s="164" t="s">
        <v>23</v>
      </c>
      <c r="P521" s="164">
        <v>43</v>
      </c>
      <c r="Q521" s="164">
        <v>9</v>
      </c>
      <c r="R521" s="167" t="s">
        <v>970</v>
      </c>
      <c r="S521" s="167" t="s">
        <v>893</v>
      </c>
      <c r="T521" s="162" t="s">
        <v>794</v>
      </c>
      <c r="U521" s="167" t="s">
        <v>833</v>
      </c>
      <c r="V521" s="162" t="s">
        <v>834</v>
      </c>
      <c r="W521" s="168">
        <v>9</v>
      </c>
      <c r="X521" s="169">
        <v>45018</v>
      </c>
      <c r="Y521" s="170">
        <v>22.913333333343999</v>
      </c>
      <c r="Z521" s="170">
        <v>2.25</v>
      </c>
      <c r="AA521" s="170">
        <v>0</v>
      </c>
      <c r="AB521" s="170">
        <v>0</v>
      </c>
      <c r="AC521" s="171">
        <v>25.163333333343999</v>
      </c>
      <c r="AD521" s="172">
        <v>12995970.371719999</v>
      </c>
      <c r="AE521" s="173" t="s">
        <v>797</v>
      </c>
      <c r="AF521" s="173"/>
    </row>
    <row r="522" spans="1:32" ht="20" x14ac:dyDescent="0.35">
      <c r="A522" s="162" t="s">
        <v>969</v>
      </c>
      <c r="B522" s="163" t="s">
        <v>914</v>
      </c>
      <c r="C522" s="154"/>
      <c r="D522" s="162" t="s">
        <v>229</v>
      </c>
      <c r="E522" s="164" t="s">
        <v>229</v>
      </c>
      <c r="F522" s="164" t="s">
        <v>914</v>
      </c>
      <c r="G522" s="164" t="s">
        <v>969</v>
      </c>
      <c r="H522" s="165">
        <v>30328</v>
      </c>
      <c r="I522" s="164" t="s">
        <v>20</v>
      </c>
      <c r="J522" s="164" t="s">
        <v>21</v>
      </c>
      <c r="K522" s="165">
        <v>42711</v>
      </c>
      <c r="L522" s="166" t="s">
        <v>231</v>
      </c>
      <c r="M522" s="154"/>
      <c r="N522" s="154"/>
      <c r="O522" s="164" t="s">
        <v>23</v>
      </c>
      <c r="P522" s="164">
        <v>43</v>
      </c>
      <c r="Q522" s="164">
        <v>9</v>
      </c>
      <c r="R522" s="167" t="s">
        <v>970</v>
      </c>
      <c r="S522" s="167" t="s">
        <v>893</v>
      </c>
      <c r="T522" s="162" t="s">
        <v>798</v>
      </c>
      <c r="U522" s="167" t="s">
        <v>799</v>
      </c>
      <c r="X522" s="169">
        <v>45018</v>
      </c>
      <c r="Y522" s="170">
        <v>180</v>
      </c>
      <c r="Z522" s="170">
        <v>0</v>
      </c>
      <c r="AA522" s="170">
        <v>0</v>
      </c>
      <c r="AB522" s="170">
        <v>0</v>
      </c>
      <c r="AC522" s="171">
        <v>180</v>
      </c>
      <c r="AD522" s="172">
        <v>92963624.330699995</v>
      </c>
      <c r="AE522" s="173">
        <v>180</v>
      </c>
      <c r="AF522" s="174">
        <v>46357</v>
      </c>
    </row>
    <row r="523" spans="1:32" ht="20" x14ac:dyDescent="0.35">
      <c r="A523" s="162" t="s">
        <v>969</v>
      </c>
      <c r="B523" s="163" t="s">
        <v>914</v>
      </c>
      <c r="C523" s="154"/>
      <c r="D523" s="162" t="s">
        <v>229</v>
      </c>
      <c r="E523" s="164" t="s">
        <v>229</v>
      </c>
      <c r="F523" s="164" t="s">
        <v>914</v>
      </c>
      <c r="G523" s="164" t="s">
        <v>969</v>
      </c>
      <c r="H523" s="165">
        <v>30328</v>
      </c>
      <c r="I523" s="164" t="s">
        <v>20</v>
      </c>
      <c r="J523" s="164" t="s">
        <v>21</v>
      </c>
      <c r="K523" s="165">
        <v>42711</v>
      </c>
      <c r="L523" s="166" t="s">
        <v>231</v>
      </c>
      <c r="M523" s="154"/>
      <c r="N523" s="154"/>
      <c r="O523" s="164" t="s">
        <v>23</v>
      </c>
      <c r="P523" s="164">
        <v>43</v>
      </c>
      <c r="Q523" s="164">
        <v>9</v>
      </c>
      <c r="R523" s="167" t="s">
        <v>970</v>
      </c>
      <c r="S523" s="167" t="s">
        <v>893</v>
      </c>
      <c r="T523" s="162" t="s">
        <v>800</v>
      </c>
      <c r="U523" s="167" t="s">
        <v>801</v>
      </c>
      <c r="X523" s="169">
        <v>45018</v>
      </c>
      <c r="Y523" s="170">
        <v>26</v>
      </c>
      <c r="Z523" s="170">
        <v>0</v>
      </c>
      <c r="AA523" s="170">
        <v>0</v>
      </c>
      <c r="AB523" s="170">
        <v>0</v>
      </c>
      <c r="AC523" s="171">
        <v>26</v>
      </c>
      <c r="AD523" s="172">
        <v>13428079.06999</v>
      </c>
      <c r="AE523" s="173">
        <v>26</v>
      </c>
      <c r="AF523" s="174">
        <v>46357</v>
      </c>
    </row>
    <row r="524" spans="1:32" ht="20" x14ac:dyDescent="0.35">
      <c r="A524" s="162" t="s">
        <v>969</v>
      </c>
      <c r="B524" s="163" t="s">
        <v>914</v>
      </c>
      <c r="C524" s="154"/>
      <c r="D524" s="162" t="s">
        <v>229</v>
      </c>
      <c r="E524" s="164" t="s">
        <v>229</v>
      </c>
      <c r="F524" s="164" t="s">
        <v>914</v>
      </c>
      <c r="G524" s="164" t="s">
        <v>969</v>
      </c>
      <c r="H524" s="165">
        <v>30328</v>
      </c>
      <c r="I524" s="164" t="s">
        <v>20</v>
      </c>
      <c r="J524" s="164" t="s">
        <v>21</v>
      </c>
      <c r="K524" s="165">
        <v>42711</v>
      </c>
      <c r="L524" s="166" t="s">
        <v>231</v>
      </c>
      <c r="M524" s="154"/>
      <c r="N524" s="154"/>
      <c r="O524" s="164" t="s">
        <v>23</v>
      </c>
      <c r="P524" s="164">
        <v>43</v>
      </c>
      <c r="Q524" s="164">
        <v>9</v>
      </c>
      <c r="R524" s="167" t="s">
        <v>970</v>
      </c>
      <c r="S524" s="167" t="s">
        <v>893</v>
      </c>
      <c r="T524" s="162" t="s">
        <v>800</v>
      </c>
      <c r="U524" s="167" t="s">
        <v>802</v>
      </c>
      <c r="X524" s="169">
        <v>45018</v>
      </c>
      <c r="Y524" s="170">
        <v>98</v>
      </c>
      <c r="Z524" s="170">
        <v>0</v>
      </c>
      <c r="AA524" s="170">
        <v>0</v>
      </c>
      <c r="AB524" s="170">
        <v>0</v>
      </c>
      <c r="AC524" s="171">
        <v>98</v>
      </c>
      <c r="AD524" s="172">
        <v>50613528.802270003</v>
      </c>
      <c r="AE524" s="173">
        <v>98</v>
      </c>
      <c r="AF524" s="174">
        <v>46357</v>
      </c>
    </row>
    <row r="525" spans="1:32" ht="20" x14ac:dyDescent="0.35">
      <c r="A525" s="162" t="s">
        <v>969</v>
      </c>
      <c r="B525" s="163" t="s">
        <v>914</v>
      </c>
      <c r="C525" s="154"/>
      <c r="D525" s="162" t="s">
        <v>229</v>
      </c>
      <c r="E525" s="164" t="s">
        <v>229</v>
      </c>
      <c r="F525" s="164" t="s">
        <v>914</v>
      </c>
      <c r="G525" s="164" t="s">
        <v>969</v>
      </c>
      <c r="H525" s="165">
        <v>30328</v>
      </c>
      <c r="I525" s="164" t="s">
        <v>20</v>
      </c>
      <c r="J525" s="164" t="s">
        <v>21</v>
      </c>
      <c r="K525" s="165">
        <v>42711</v>
      </c>
      <c r="L525" s="166" t="s">
        <v>231</v>
      </c>
      <c r="M525" s="154"/>
      <c r="N525" s="154"/>
      <c r="O525" s="164" t="s">
        <v>23</v>
      </c>
      <c r="P525" s="164">
        <v>43</v>
      </c>
      <c r="Q525" s="164">
        <v>9</v>
      </c>
      <c r="R525" s="167" t="s">
        <v>970</v>
      </c>
      <c r="S525" s="167" t="s">
        <v>893</v>
      </c>
      <c r="T525" s="162" t="s">
        <v>800</v>
      </c>
      <c r="U525" s="167" t="s">
        <v>803</v>
      </c>
      <c r="X525" s="169">
        <v>45018</v>
      </c>
      <c r="Y525" s="170">
        <v>0</v>
      </c>
      <c r="Z525" s="170">
        <v>0</v>
      </c>
      <c r="AA525" s="170">
        <v>0</v>
      </c>
      <c r="AB525" s="170">
        <v>0</v>
      </c>
      <c r="AC525" s="171">
        <v>0</v>
      </c>
      <c r="AD525" s="172">
        <v>0</v>
      </c>
      <c r="AE525" s="173">
        <v>0</v>
      </c>
      <c r="AF525" s="174">
        <v>46357</v>
      </c>
    </row>
    <row r="526" spans="1:32" ht="20" x14ac:dyDescent="0.35">
      <c r="A526" s="162" t="s">
        <v>969</v>
      </c>
      <c r="B526" s="163" t="s">
        <v>914</v>
      </c>
      <c r="C526" s="154"/>
      <c r="D526" s="162" t="s">
        <v>229</v>
      </c>
      <c r="E526" s="164" t="s">
        <v>229</v>
      </c>
      <c r="F526" s="164" t="s">
        <v>914</v>
      </c>
      <c r="G526" s="164" t="s">
        <v>969</v>
      </c>
      <c r="H526" s="165">
        <v>30328</v>
      </c>
      <c r="I526" s="164" t="s">
        <v>20</v>
      </c>
      <c r="J526" s="164" t="s">
        <v>21</v>
      </c>
      <c r="K526" s="165">
        <v>42711</v>
      </c>
      <c r="L526" s="166" t="s">
        <v>231</v>
      </c>
      <c r="M526" s="154"/>
      <c r="N526" s="154"/>
      <c r="O526" s="164" t="s">
        <v>23</v>
      </c>
      <c r="P526" s="164">
        <v>43</v>
      </c>
      <c r="Q526" s="164">
        <v>9</v>
      </c>
      <c r="R526" s="167" t="s">
        <v>970</v>
      </c>
      <c r="S526" s="167" t="s">
        <v>893</v>
      </c>
      <c r="T526" s="162" t="s">
        <v>800</v>
      </c>
      <c r="U526" s="167" t="s">
        <v>804</v>
      </c>
      <c r="X526" s="169">
        <v>45018</v>
      </c>
      <c r="Y526" s="170">
        <v>5</v>
      </c>
      <c r="Z526" s="170">
        <v>0</v>
      </c>
      <c r="AA526" s="170">
        <v>0</v>
      </c>
      <c r="AB526" s="170">
        <v>0</v>
      </c>
      <c r="AC526" s="171">
        <v>5</v>
      </c>
      <c r="AD526" s="172">
        <v>2582322.8980700001</v>
      </c>
      <c r="AE526" s="173">
        <v>5</v>
      </c>
      <c r="AF526" s="174">
        <v>46357</v>
      </c>
    </row>
    <row r="527" spans="1:32" ht="20" x14ac:dyDescent="0.35">
      <c r="A527" s="162" t="s">
        <v>969</v>
      </c>
      <c r="B527" s="163" t="s">
        <v>914</v>
      </c>
      <c r="C527" s="154"/>
      <c r="D527" s="162" t="s">
        <v>229</v>
      </c>
      <c r="E527" s="164" t="s">
        <v>229</v>
      </c>
      <c r="F527" s="164" t="s">
        <v>914</v>
      </c>
      <c r="G527" s="164" t="s">
        <v>969</v>
      </c>
      <c r="H527" s="165">
        <v>30328</v>
      </c>
      <c r="I527" s="164" t="s">
        <v>20</v>
      </c>
      <c r="J527" s="164" t="s">
        <v>21</v>
      </c>
      <c r="K527" s="165">
        <v>42711</v>
      </c>
      <c r="L527" s="166" t="s">
        <v>231</v>
      </c>
      <c r="M527" s="154"/>
      <c r="N527" s="154"/>
      <c r="O527" s="164" t="s">
        <v>23</v>
      </c>
      <c r="P527" s="164">
        <v>43</v>
      </c>
      <c r="Q527" s="164">
        <v>9</v>
      </c>
      <c r="R527" s="167" t="s">
        <v>970</v>
      </c>
      <c r="S527" s="167" t="s">
        <v>893</v>
      </c>
      <c r="T527" s="162" t="s">
        <v>800</v>
      </c>
      <c r="U527" s="167" t="s">
        <v>805</v>
      </c>
      <c r="X527" s="169">
        <v>45018</v>
      </c>
      <c r="Y527" s="170">
        <v>2.4999999966690001</v>
      </c>
      <c r="Z527" s="170">
        <v>0.41666667000000002</v>
      </c>
      <c r="AA527" s="170">
        <v>0</v>
      </c>
      <c r="AB527" s="170">
        <v>0</v>
      </c>
      <c r="AC527" s="171">
        <v>2.9166666666690002</v>
      </c>
      <c r="AD527" s="172">
        <v>1506355.02388</v>
      </c>
      <c r="AE527" s="173">
        <v>2.92</v>
      </c>
      <c r="AF527" s="174">
        <v>46357</v>
      </c>
    </row>
    <row r="528" spans="1:32" ht="20" x14ac:dyDescent="0.35">
      <c r="A528" s="162" t="s">
        <v>653</v>
      </c>
      <c r="B528" s="163" t="s">
        <v>971</v>
      </c>
      <c r="C528" s="154"/>
      <c r="D528" s="162" t="s">
        <v>233</v>
      </c>
      <c r="E528" s="164" t="s">
        <v>233</v>
      </c>
      <c r="F528" s="164" t="s">
        <v>971</v>
      </c>
      <c r="G528" s="164" t="s">
        <v>653</v>
      </c>
      <c r="H528" s="165">
        <v>28210</v>
      </c>
      <c r="I528" s="164" t="s">
        <v>20</v>
      </c>
      <c r="J528" s="164" t="s">
        <v>21</v>
      </c>
      <c r="K528" s="165">
        <v>42786</v>
      </c>
      <c r="L528" s="166" t="s">
        <v>125</v>
      </c>
      <c r="M528" s="154"/>
      <c r="N528" s="154"/>
      <c r="O528" s="164" t="s">
        <v>44</v>
      </c>
      <c r="P528" s="164">
        <v>49</v>
      </c>
      <c r="Q528" s="164">
        <v>9</v>
      </c>
      <c r="R528" s="167" t="s">
        <v>888</v>
      </c>
      <c r="S528" s="167" t="s">
        <v>45</v>
      </c>
      <c r="T528" s="162" t="s">
        <v>794</v>
      </c>
      <c r="U528" s="167" t="s">
        <v>795</v>
      </c>
      <c r="V528" s="162" t="s">
        <v>838</v>
      </c>
      <c r="W528" s="168">
        <v>9</v>
      </c>
      <c r="X528" s="169">
        <v>45018</v>
      </c>
      <c r="Y528" s="170">
        <v>20.836666669997999</v>
      </c>
      <c r="Z528" s="170">
        <v>2.0833333299999999</v>
      </c>
      <c r="AA528" s="170">
        <v>0</v>
      </c>
      <c r="AB528" s="170">
        <v>0</v>
      </c>
      <c r="AC528" s="171">
        <v>22.919999999998002</v>
      </c>
      <c r="AD528" s="172">
        <v>3718648.5592499999</v>
      </c>
      <c r="AE528" s="173" t="s">
        <v>797</v>
      </c>
      <c r="AF528" s="173"/>
    </row>
    <row r="529" spans="1:32" ht="20" x14ac:dyDescent="0.35">
      <c r="A529" s="162" t="s">
        <v>653</v>
      </c>
      <c r="B529" s="163" t="s">
        <v>971</v>
      </c>
      <c r="C529" s="154"/>
      <c r="D529" s="162" t="s">
        <v>233</v>
      </c>
      <c r="E529" s="164" t="s">
        <v>233</v>
      </c>
      <c r="F529" s="164" t="s">
        <v>971</v>
      </c>
      <c r="G529" s="164" t="s">
        <v>653</v>
      </c>
      <c r="H529" s="165">
        <v>28210</v>
      </c>
      <c r="I529" s="164" t="s">
        <v>20</v>
      </c>
      <c r="J529" s="164" t="s">
        <v>21</v>
      </c>
      <c r="K529" s="165">
        <v>42786</v>
      </c>
      <c r="L529" s="166" t="s">
        <v>125</v>
      </c>
      <c r="M529" s="154"/>
      <c r="N529" s="154"/>
      <c r="O529" s="164" t="s">
        <v>44</v>
      </c>
      <c r="P529" s="164">
        <v>49</v>
      </c>
      <c r="Q529" s="164">
        <v>9</v>
      </c>
      <c r="R529" s="167" t="s">
        <v>888</v>
      </c>
      <c r="S529" s="167" t="s">
        <v>45</v>
      </c>
      <c r="T529" s="162" t="s">
        <v>798</v>
      </c>
      <c r="U529" s="167" t="s">
        <v>839</v>
      </c>
      <c r="X529" s="169">
        <v>45018</v>
      </c>
      <c r="Y529" s="170">
        <v>180</v>
      </c>
      <c r="Z529" s="170">
        <v>0</v>
      </c>
      <c r="AA529" s="170">
        <v>0</v>
      </c>
      <c r="AB529" s="170">
        <v>0</v>
      </c>
      <c r="AC529" s="171">
        <v>180</v>
      </c>
      <c r="AD529" s="172">
        <v>29204046.276840001</v>
      </c>
      <c r="AE529" s="173">
        <v>180</v>
      </c>
      <c r="AF529" s="174">
        <v>46357</v>
      </c>
    </row>
    <row r="530" spans="1:32" ht="20" x14ac:dyDescent="0.35">
      <c r="A530" s="162" t="s">
        <v>653</v>
      </c>
      <c r="B530" s="163" t="s">
        <v>971</v>
      </c>
      <c r="C530" s="154"/>
      <c r="D530" s="162" t="s">
        <v>233</v>
      </c>
      <c r="E530" s="164" t="s">
        <v>233</v>
      </c>
      <c r="F530" s="164" t="s">
        <v>971</v>
      </c>
      <c r="G530" s="164" t="s">
        <v>653</v>
      </c>
      <c r="H530" s="165">
        <v>28210</v>
      </c>
      <c r="I530" s="164" t="s">
        <v>20</v>
      </c>
      <c r="J530" s="164" t="s">
        <v>21</v>
      </c>
      <c r="K530" s="165">
        <v>42786</v>
      </c>
      <c r="L530" s="166" t="s">
        <v>125</v>
      </c>
      <c r="M530" s="154"/>
      <c r="N530" s="154"/>
      <c r="O530" s="164" t="s">
        <v>44</v>
      </c>
      <c r="P530" s="164">
        <v>49</v>
      </c>
      <c r="Q530" s="164">
        <v>9</v>
      </c>
      <c r="R530" s="167" t="s">
        <v>888</v>
      </c>
      <c r="S530" s="167" t="s">
        <v>45</v>
      </c>
      <c r="T530" s="162" t="s">
        <v>800</v>
      </c>
      <c r="U530" s="167" t="s">
        <v>801</v>
      </c>
      <c r="X530" s="169">
        <v>45018</v>
      </c>
      <c r="Y530" s="170">
        <v>26</v>
      </c>
      <c r="Z530" s="170">
        <v>0</v>
      </c>
      <c r="AA530" s="170">
        <v>0</v>
      </c>
      <c r="AB530" s="170">
        <v>0</v>
      </c>
      <c r="AC530" s="171">
        <v>26</v>
      </c>
      <c r="AD530" s="172">
        <v>4218362.2399899997</v>
      </c>
      <c r="AE530" s="173">
        <v>26</v>
      </c>
      <c r="AF530" s="174">
        <v>46357</v>
      </c>
    </row>
    <row r="531" spans="1:32" ht="20" x14ac:dyDescent="0.35">
      <c r="A531" s="162" t="s">
        <v>653</v>
      </c>
      <c r="B531" s="163" t="s">
        <v>971</v>
      </c>
      <c r="C531" s="154"/>
      <c r="D531" s="162" t="s">
        <v>233</v>
      </c>
      <c r="E531" s="164" t="s">
        <v>233</v>
      </c>
      <c r="F531" s="164" t="s">
        <v>971</v>
      </c>
      <c r="G531" s="164" t="s">
        <v>653</v>
      </c>
      <c r="H531" s="165">
        <v>28210</v>
      </c>
      <c r="I531" s="164" t="s">
        <v>20</v>
      </c>
      <c r="J531" s="164" t="s">
        <v>21</v>
      </c>
      <c r="K531" s="165">
        <v>42786</v>
      </c>
      <c r="L531" s="166" t="s">
        <v>125</v>
      </c>
      <c r="M531" s="154"/>
      <c r="N531" s="154"/>
      <c r="O531" s="164" t="s">
        <v>44</v>
      </c>
      <c r="P531" s="164">
        <v>49</v>
      </c>
      <c r="Q531" s="164">
        <v>9</v>
      </c>
      <c r="R531" s="167" t="s">
        <v>888</v>
      </c>
      <c r="S531" s="167" t="s">
        <v>45</v>
      </c>
      <c r="T531" s="162" t="s">
        <v>800</v>
      </c>
      <c r="U531" s="167" t="s">
        <v>802</v>
      </c>
      <c r="X531" s="169">
        <v>45018</v>
      </c>
      <c r="Y531" s="170">
        <v>98</v>
      </c>
      <c r="Z531" s="170">
        <v>0</v>
      </c>
      <c r="AA531" s="170">
        <v>0</v>
      </c>
      <c r="AB531" s="170">
        <v>0</v>
      </c>
      <c r="AC531" s="171">
        <v>98</v>
      </c>
      <c r="AD531" s="172">
        <v>15899980.75072</v>
      </c>
      <c r="AE531" s="173">
        <v>98</v>
      </c>
      <c r="AF531" s="174">
        <v>46357</v>
      </c>
    </row>
    <row r="532" spans="1:32" ht="20" x14ac:dyDescent="0.35">
      <c r="A532" s="162" t="s">
        <v>653</v>
      </c>
      <c r="B532" s="163" t="s">
        <v>971</v>
      </c>
      <c r="C532" s="154"/>
      <c r="D532" s="162" t="s">
        <v>233</v>
      </c>
      <c r="E532" s="164" t="s">
        <v>233</v>
      </c>
      <c r="F532" s="164" t="s">
        <v>971</v>
      </c>
      <c r="G532" s="164" t="s">
        <v>653</v>
      </c>
      <c r="H532" s="165">
        <v>28210</v>
      </c>
      <c r="I532" s="164" t="s">
        <v>20</v>
      </c>
      <c r="J532" s="164" t="s">
        <v>21</v>
      </c>
      <c r="K532" s="165">
        <v>42786</v>
      </c>
      <c r="L532" s="166" t="s">
        <v>125</v>
      </c>
      <c r="M532" s="154"/>
      <c r="N532" s="154"/>
      <c r="O532" s="164" t="s">
        <v>44</v>
      </c>
      <c r="P532" s="164">
        <v>49</v>
      </c>
      <c r="Q532" s="164">
        <v>9</v>
      </c>
      <c r="R532" s="167" t="s">
        <v>888</v>
      </c>
      <c r="S532" s="167" t="s">
        <v>45</v>
      </c>
      <c r="T532" s="162" t="s">
        <v>800</v>
      </c>
      <c r="U532" s="167" t="s">
        <v>803</v>
      </c>
      <c r="X532" s="169">
        <v>45018</v>
      </c>
      <c r="Y532" s="170">
        <v>2</v>
      </c>
      <c r="Z532" s="170">
        <v>0</v>
      </c>
      <c r="AA532" s="170">
        <v>0</v>
      </c>
      <c r="AB532" s="170">
        <v>0</v>
      </c>
      <c r="AC532" s="171">
        <v>2</v>
      </c>
      <c r="AD532" s="172">
        <v>324489.40308000002</v>
      </c>
      <c r="AE532" s="173">
        <v>2</v>
      </c>
      <c r="AF532" s="174">
        <v>46357</v>
      </c>
    </row>
    <row r="533" spans="1:32" ht="20" x14ac:dyDescent="0.35">
      <c r="A533" s="162" t="s">
        <v>653</v>
      </c>
      <c r="B533" s="163" t="s">
        <v>971</v>
      </c>
      <c r="C533" s="154"/>
      <c r="D533" s="162" t="s">
        <v>233</v>
      </c>
      <c r="E533" s="164" t="s">
        <v>233</v>
      </c>
      <c r="F533" s="164" t="s">
        <v>971</v>
      </c>
      <c r="G533" s="164" t="s">
        <v>653</v>
      </c>
      <c r="H533" s="165">
        <v>28210</v>
      </c>
      <c r="I533" s="164" t="s">
        <v>20</v>
      </c>
      <c r="J533" s="164" t="s">
        <v>21</v>
      </c>
      <c r="K533" s="165">
        <v>42786</v>
      </c>
      <c r="L533" s="166" t="s">
        <v>125</v>
      </c>
      <c r="M533" s="154"/>
      <c r="N533" s="154"/>
      <c r="O533" s="164" t="s">
        <v>44</v>
      </c>
      <c r="P533" s="164">
        <v>49</v>
      </c>
      <c r="Q533" s="164">
        <v>9</v>
      </c>
      <c r="R533" s="167" t="s">
        <v>888</v>
      </c>
      <c r="S533" s="167" t="s">
        <v>45</v>
      </c>
      <c r="T533" s="162" t="s">
        <v>800</v>
      </c>
      <c r="U533" s="167" t="s">
        <v>804</v>
      </c>
      <c r="X533" s="169">
        <v>45018</v>
      </c>
      <c r="Y533" s="170">
        <v>5</v>
      </c>
      <c r="Z533" s="170">
        <v>0</v>
      </c>
      <c r="AA533" s="170">
        <v>0</v>
      </c>
      <c r="AB533" s="170">
        <v>0</v>
      </c>
      <c r="AC533" s="171">
        <v>5</v>
      </c>
      <c r="AD533" s="172">
        <v>811223.50769</v>
      </c>
      <c r="AE533" s="173">
        <v>5</v>
      </c>
      <c r="AF533" s="174">
        <v>46357</v>
      </c>
    </row>
    <row r="534" spans="1:32" ht="20" x14ac:dyDescent="0.35">
      <c r="A534" s="162" t="s">
        <v>653</v>
      </c>
      <c r="B534" s="163" t="s">
        <v>971</v>
      </c>
      <c r="C534" s="154"/>
      <c r="D534" s="162" t="s">
        <v>233</v>
      </c>
      <c r="E534" s="164" t="s">
        <v>233</v>
      </c>
      <c r="F534" s="164" t="s">
        <v>971</v>
      </c>
      <c r="G534" s="164" t="s">
        <v>653</v>
      </c>
      <c r="H534" s="165">
        <v>28210</v>
      </c>
      <c r="I534" s="164" t="s">
        <v>20</v>
      </c>
      <c r="J534" s="164" t="s">
        <v>21</v>
      </c>
      <c r="K534" s="165">
        <v>42786</v>
      </c>
      <c r="L534" s="166" t="s">
        <v>125</v>
      </c>
      <c r="M534" s="154"/>
      <c r="N534" s="154"/>
      <c r="O534" s="164" t="s">
        <v>44</v>
      </c>
      <c r="P534" s="164">
        <v>49</v>
      </c>
      <c r="Q534" s="164">
        <v>9</v>
      </c>
      <c r="R534" s="167" t="s">
        <v>888</v>
      </c>
      <c r="S534" s="167" t="s">
        <v>45</v>
      </c>
      <c r="T534" s="162" t="s">
        <v>800</v>
      </c>
      <c r="U534" s="167" t="s">
        <v>840</v>
      </c>
      <c r="X534" s="169">
        <v>45018</v>
      </c>
      <c r="Y534" s="170">
        <v>2.4999999966690001</v>
      </c>
      <c r="Z534" s="170">
        <v>0.41666667000000002</v>
      </c>
      <c r="AA534" s="170">
        <v>0</v>
      </c>
      <c r="AB534" s="170">
        <v>0</v>
      </c>
      <c r="AC534" s="171">
        <v>2.9166666666690002</v>
      </c>
      <c r="AD534" s="172">
        <v>473213.71282000002</v>
      </c>
      <c r="AE534" s="173">
        <v>2.92</v>
      </c>
      <c r="AF534" s="174">
        <v>46357</v>
      </c>
    </row>
    <row r="535" spans="1:32" ht="20" x14ac:dyDescent="0.35">
      <c r="A535" s="162" t="s">
        <v>655</v>
      </c>
      <c r="B535" s="163" t="s">
        <v>972</v>
      </c>
      <c r="C535" s="154"/>
      <c r="D535" s="162" t="s">
        <v>235</v>
      </c>
      <c r="E535" s="164" t="s">
        <v>235</v>
      </c>
      <c r="F535" s="164" t="s">
        <v>972</v>
      </c>
      <c r="G535" s="164" t="s">
        <v>655</v>
      </c>
      <c r="H535" s="165">
        <v>30546</v>
      </c>
      <c r="I535" s="164" t="s">
        <v>20</v>
      </c>
      <c r="J535" s="164" t="s">
        <v>21</v>
      </c>
      <c r="K535" s="165">
        <v>42788</v>
      </c>
      <c r="L535" s="166" t="s">
        <v>171</v>
      </c>
      <c r="M535" s="154"/>
      <c r="N535" s="154"/>
      <c r="O535" s="164" t="s">
        <v>44</v>
      </c>
      <c r="P535" s="164">
        <v>42</v>
      </c>
      <c r="Q535" s="164">
        <v>9</v>
      </c>
      <c r="R535" s="167" t="s">
        <v>888</v>
      </c>
      <c r="S535" s="167" t="s">
        <v>45</v>
      </c>
      <c r="T535" s="162" t="s">
        <v>794</v>
      </c>
      <c r="U535" s="167" t="s">
        <v>795</v>
      </c>
      <c r="V535" s="162" t="s">
        <v>838</v>
      </c>
      <c r="W535" s="168">
        <v>9</v>
      </c>
      <c r="X535" s="169">
        <v>45018</v>
      </c>
      <c r="Y535" s="170">
        <v>18.836666669997999</v>
      </c>
      <c r="Z535" s="170">
        <v>2.0833333299999999</v>
      </c>
      <c r="AA535" s="170">
        <v>0</v>
      </c>
      <c r="AB535" s="170">
        <v>0</v>
      </c>
      <c r="AC535" s="171">
        <v>20.919999999998002</v>
      </c>
      <c r="AD535" s="172">
        <v>3519824.4938599998</v>
      </c>
      <c r="AE535" s="173" t="s">
        <v>797</v>
      </c>
      <c r="AF535" s="173"/>
    </row>
    <row r="536" spans="1:32" ht="20" x14ac:dyDescent="0.35">
      <c r="A536" s="162" t="s">
        <v>655</v>
      </c>
      <c r="B536" s="163" t="s">
        <v>972</v>
      </c>
      <c r="C536" s="154"/>
      <c r="D536" s="162" t="s">
        <v>235</v>
      </c>
      <c r="E536" s="164" t="s">
        <v>235</v>
      </c>
      <c r="F536" s="164" t="s">
        <v>972</v>
      </c>
      <c r="G536" s="164" t="s">
        <v>655</v>
      </c>
      <c r="H536" s="165">
        <v>30546</v>
      </c>
      <c r="I536" s="164" t="s">
        <v>20</v>
      </c>
      <c r="J536" s="164" t="s">
        <v>21</v>
      </c>
      <c r="K536" s="165">
        <v>42788</v>
      </c>
      <c r="L536" s="166" t="s">
        <v>171</v>
      </c>
      <c r="M536" s="154"/>
      <c r="N536" s="154"/>
      <c r="O536" s="164" t="s">
        <v>44</v>
      </c>
      <c r="P536" s="164">
        <v>42</v>
      </c>
      <c r="Q536" s="164">
        <v>9</v>
      </c>
      <c r="R536" s="167" t="s">
        <v>888</v>
      </c>
      <c r="S536" s="167" t="s">
        <v>45</v>
      </c>
      <c r="T536" s="162" t="s">
        <v>798</v>
      </c>
      <c r="U536" s="167" t="s">
        <v>839</v>
      </c>
      <c r="X536" s="169">
        <v>45018</v>
      </c>
      <c r="Y536" s="170">
        <v>180</v>
      </c>
      <c r="Z536" s="170">
        <v>0</v>
      </c>
      <c r="AA536" s="170">
        <v>0</v>
      </c>
      <c r="AB536" s="170">
        <v>0</v>
      </c>
      <c r="AC536" s="171">
        <v>180</v>
      </c>
      <c r="AD536" s="172">
        <v>30285296.79228</v>
      </c>
      <c r="AE536" s="173">
        <v>180</v>
      </c>
      <c r="AF536" s="174">
        <v>46357</v>
      </c>
    </row>
    <row r="537" spans="1:32" ht="20" x14ac:dyDescent="0.35">
      <c r="A537" s="162" t="s">
        <v>655</v>
      </c>
      <c r="B537" s="163" t="s">
        <v>972</v>
      </c>
      <c r="C537" s="154"/>
      <c r="D537" s="162" t="s">
        <v>235</v>
      </c>
      <c r="E537" s="164" t="s">
        <v>235</v>
      </c>
      <c r="F537" s="164" t="s">
        <v>972</v>
      </c>
      <c r="G537" s="164" t="s">
        <v>655</v>
      </c>
      <c r="H537" s="165">
        <v>30546</v>
      </c>
      <c r="I537" s="164" t="s">
        <v>20</v>
      </c>
      <c r="J537" s="164" t="s">
        <v>21</v>
      </c>
      <c r="K537" s="165">
        <v>42788</v>
      </c>
      <c r="L537" s="166" t="s">
        <v>171</v>
      </c>
      <c r="M537" s="154"/>
      <c r="N537" s="154"/>
      <c r="O537" s="164" t="s">
        <v>44</v>
      </c>
      <c r="P537" s="164">
        <v>42</v>
      </c>
      <c r="Q537" s="164">
        <v>9</v>
      </c>
      <c r="R537" s="167" t="s">
        <v>888</v>
      </c>
      <c r="S537" s="167" t="s">
        <v>45</v>
      </c>
      <c r="T537" s="162" t="s">
        <v>800</v>
      </c>
      <c r="U537" s="167" t="s">
        <v>801</v>
      </c>
      <c r="X537" s="169">
        <v>45018</v>
      </c>
      <c r="Y537" s="170">
        <v>26</v>
      </c>
      <c r="Z537" s="170">
        <v>0</v>
      </c>
      <c r="AA537" s="170">
        <v>0</v>
      </c>
      <c r="AB537" s="170">
        <v>0</v>
      </c>
      <c r="AC537" s="171">
        <v>26</v>
      </c>
      <c r="AD537" s="172">
        <v>4374542.87</v>
      </c>
      <c r="AE537" s="173">
        <v>26</v>
      </c>
      <c r="AF537" s="174">
        <v>46357</v>
      </c>
    </row>
    <row r="538" spans="1:32" ht="20" x14ac:dyDescent="0.35">
      <c r="A538" s="162" t="s">
        <v>655</v>
      </c>
      <c r="B538" s="163" t="s">
        <v>972</v>
      </c>
      <c r="C538" s="154"/>
      <c r="D538" s="162" t="s">
        <v>235</v>
      </c>
      <c r="E538" s="164" t="s">
        <v>235</v>
      </c>
      <c r="F538" s="164" t="s">
        <v>972</v>
      </c>
      <c r="G538" s="164" t="s">
        <v>655</v>
      </c>
      <c r="H538" s="165">
        <v>30546</v>
      </c>
      <c r="I538" s="164" t="s">
        <v>20</v>
      </c>
      <c r="J538" s="164" t="s">
        <v>21</v>
      </c>
      <c r="K538" s="165">
        <v>42788</v>
      </c>
      <c r="L538" s="166" t="s">
        <v>171</v>
      </c>
      <c r="M538" s="154"/>
      <c r="N538" s="154"/>
      <c r="O538" s="164" t="s">
        <v>44</v>
      </c>
      <c r="P538" s="164">
        <v>42</v>
      </c>
      <c r="Q538" s="164">
        <v>9</v>
      </c>
      <c r="R538" s="167" t="s">
        <v>888</v>
      </c>
      <c r="S538" s="167" t="s">
        <v>45</v>
      </c>
      <c r="T538" s="162" t="s">
        <v>800</v>
      </c>
      <c r="U538" s="167" t="s">
        <v>802</v>
      </c>
      <c r="X538" s="169">
        <v>45018</v>
      </c>
      <c r="Y538" s="170">
        <v>98</v>
      </c>
      <c r="Z538" s="170">
        <v>0</v>
      </c>
      <c r="AA538" s="170">
        <v>0</v>
      </c>
      <c r="AB538" s="170">
        <v>0</v>
      </c>
      <c r="AC538" s="171">
        <v>98</v>
      </c>
      <c r="AD538" s="172">
        <v>16488661.58691</v>
      </c>
      <c r="AE538" s="173">
        <v>98</v>
      </c>
      <c r="AF538" s="174">
        <v>46357</v>
      </c>
    </row>
    <row r="539" spans="1:32" ht="20" x14ac:dyDescent="0.35">
      <c r="A539" s="162" t="s">
        <v>655</v>
      </c>
      <c r="B539" s="163" t="s">
        <v>972</v>
      </c>
      <c r="C539" s="154"/>
      <c r="D539" s="162" t="s">
        <v>235</v>
      </c>
      <c r="E539" s="164" t="s">
        <v>235</v>
      </c>
      <c r="F539" s="164" t="s">
        <v>972</v>
      </c>
      <c r="G539" s="164" t="s">
        <v>655</v>
      </c>
      <c r="H539" s="165">
        <v>30546</v>
      </c>
      <c r="I539" s="164" t="s">
        <v>20</v>
      </c>
      <c r="J539" s="164" t="s">
        <v>21</v>
      </c>
      <c r="K539" s="165">
        <v>42788</v>
      </c>
      <c r="L539" s="166" t="s">
        <v>171</v>
      </c>
      <c r="M539" s="154"/>
      <c r="N539" s="154"/>
      <c r="O539" s="164" t="s">
        <v>44</v>
      </c>
      <c r="P539" s="164">
        <v>42</v>
      </c>
      <c r="Q539" s="164">
        <v>9</v>
      </c>
      <c r="R539" s="167" t="s">
        <v>888</v>
      </c>
      <c r="S539" s="167" t="s">
        <v>45</v>
      </c>
      <c r="T539" s="162" t="s">
        <v>800</v>
      </c>
      <c r="U539" s="167" t="s">
        <v>803</v>
      </c>
      <c r="X539" s="169">
        <v>45018</v>
      </c>
      <c r="Y539" s="170">
        <v>2</v>
      </c>
      <c r="Z539" s="170">
        <v>0</v>
      </c>
      <c r="AA539" s="170">
        <v>0</v>
      </c>
      <c r="AB539" s="170">
        <v>0</v>
      </c>
      <c r="AC539" s="171">
        <v>2</v>
      </c>
      <c r="AD539" s="172">
        <v>336503.29768999998</v>
      </c>
      <c r="AE539" s="173">
        <v>2</v>
      </c>
      <c r="AF539" s="174">
        <v>46357</v>
      </c>
    </row>
    <row r="540" spans="1:32" ht="20" x14ac:dyDescent="0.35">
      <c r="A540" s="162" t="s">
        <v>655</v>
      </c>
      <c r="B540" s="163" t="s">
        <v>972</v>
      </c>
      <c r="C540" s="154"/>
      <c r="D540" s="162" t="s">
        <v>235</v>
      </c>
      <c r="E540" s="164" t="s">
        <v>235</v>
      </c>
      <c r="F540" s="164" t="s">
        <v>972</v>
      </c>
      <c r="G540" s="164" t="s">
        <v>655</v>
      </c>
      <c r="H540" s="165">
        <v>30546</v>
      </c>
      <c r="I540" s="164" t="s">
        <v>20</v>
      </c>
      <c r="J540" s="164" t="s">
        <v>21</v>
      </c>
      <c r="K540" s="165">
        <v>42788</v>
      </c>
      <c r="L540" s="166" t="s">
        <v>171</v>
      </c>
      <c r="M540" s="154"/>
      <c r="N540" s="154"/>
      <c r="O540" s="164" t="s">
        <v>44</v>
      </c>
      <c r="P540" s="164">
        <v>42</v>
      </c>
      <c r="Q540" s="164">
        <v>9</v>
      </c>
      <c r="R540" s="167" t="s">
        <v>888</v>
      </c>
      <c r="S540" s="167" t="s">
        <v>45</v>
      </c>
      <c r="T540" s="162" t="s">
        <v>800</v>
      </c>
      <c r="U540" s="167" t="s">
        <v>804</v>
      </c>
      <c r="X540" s="169">
        <v>45018</v>
      </c>
      <c r="Y540" s="170">
        <v>5</v>
      </c>
      <c r="Z540" s="170">
        <v>0</v>
      </c>
      <c r="AA540" s="170">
        <v>0</v>
      </c>
      <c r="AB540" s="170">
        <v>0</v>
      </c>
      <c r="AC540" s="171">
        <v>5</v>
      </c>
      <c r="AD540" s="172">
        <v>841258.24422999995</v>
      </c>
      <c r="AE540" s="173">
        <v>5</v>
      </c>
      <c r="AF540" s="174">
        <v>46357</v>
      </c>
    </row>
    <row r="541" spans="1:32" ht="20" x14ac:dyDescent="0.35">
      <c r="A541" s="162" t="s">
        <v>655</v>
      </c>
      <c r="B541" s="163" t="s">
        <v>972</v>
      </c>
      <c r="C541" s="154"/>
      <c r="D541" s="162" t="s">
        <v>235</v>
      </c>
      <c r="E541" s="164" t="s">
        <v>235</v>
      </c>
      <c r="F541" s="164" t="s">
        <v>972</v>
      </c>
      <c r="G541" s="164" t="s">
        <v>655</v>
      </c>
      <c r="H541" s="165">
        <v>30546</v>
      </c>
      <c r="I541" s="164" t="s">
        <v>20</v>
      </c>
      <c r="J541" s="164" t="s">
        <v>21</v>
      </c>
      <c r="K541" s="165">
        <v>42788</v>
      </c>
      <c r="L541" s="166" t="s">
        <v>171</v>
      </c>
      <c r="M541" s="154"/>
      <c r="N541" s="154"/>
      <c r="O541" s="164" t="s">
        <v>44</v>
      </c>
      <c r="P541" s="164">
        <v>42</v>
      </c>
      <c r="Q541" s="164">
        <v>9</v>
      </c>
      <c r="R541" s="167" t="s">
        <v>888</v>
      </c>
      <c r="S541" s="167" t="s">
        <v>45</v>
      </c>
      <c r="T541" s="162" t="s">
        <v>800</v>
      </c>
      <c r="U541" s="167" t="s">
        <v>840</v>
      </c>
      <c r="X541" s="169">
        <v>45018</v>
      </c>
      <c r="Y541" s="170">
        <v>2.4999999966690001</v>
      </c>
      <c r="Z541" s="170">
        <v>0.41666667000000002</v>
      </c>
      <c r="AA541" s="170">
        <v>0</v>
      </c>
      <c r="AB541" s="170">
        <v>0</v>
      </c>
      <c r="AC541" s="171">
        <v>2.9166666666690002</v>
      </c>
      <c r="AD541" s="172">
        <v>490733.97580000001</v>
      </c>
      <c r="AE541" s="173">
        <v>2.92</v>
      </c>
      <c r="AF541" s="174">
        <v>46357</v>
      </c>
    </row>
    <row r="542" spans="1:32" ht="20" x14ac:dyDescent="0.35">
      <c r="A542" s="162" t="s">
        <v>973</v>
      </c>
      <c r="B542" s="163" t="s">
        <v>974</v>
      </c>
      <c r="C542" s="154"/>
      <c r="D542" s="162" t="s">
        <v>237</v>
      </c>
      <c r="E542" s="164" t="s">
        <v>237</v>
      </c>
      <c r="F542" s="164" t="s">
        <v>974</v>
      </c>
      <c r="G542" s="164" t="s">
        <v>973</v>
      </c>
      <c r="H542" s="165">
        <v>28560</v>
      </c>
      <c r="I542" s="164" t="s">
        <v>20</v>
      </c>
      <c r="J542" s="164" t="s">
        <v>68</v>
      </c>
      <c r="K542" s="165">
        <v>42800</v>
      </c>
      <c r="L542" s="166" t="s">
        <v>239</v>
      </c>
      <c r="M542" s="154"/>
      <c r="N542" s="154"/>
      <c r="O542" s="164" t="s">
        <v>57</v>
      </c>
      <c r="P542" s="164">
        <v>48</v>
      </c>
      <c r="Q542" s="164">
        <v>9</v>
      </c>
      <c r="R542" s="167" t="s">
        <v>847</v>
      </c>
      <c r="S542" s="167" t="s">
        <v>848</v>
      </c>
      <c r="T542" s="162" t="s">
        <v>794</v>
      </c>
      <c r="U542" s="167" t="s">
        <v>833</v>
      </c>
      <c r="V542" s="162" t="s">
        <v>834</v>
      </c>
      <c r="W542" s="168">
        <v>9</v>
      </c>
      <c r="X542" s="169">
        <v>45383</v>
      </c>
      <c r="Y542" s="170">
        <v>28.413333333341001</v>
      </c>
      <c r="Z542" s="170">
        <v>2.25</v>
      </c>
      <c r="AA542" s="170">
        <v>0</v>
      </c>
      <c r="AB542" s="170">
        <v>0</v>
      </c>
      <c r="AC542" s="171">
        <v>30.663333333341001</v>
      </c>
      <c r="AD542" s="172">
        <v>10162648.88723</v>
      </c>
      <c r="AE542" s="173" t="s">
        <v>797</v>
      </c>
      <c r="AF542" s="173"/>
    </row>
    <row r="543" spans="1:32" ht="20" x14ac:dyDescent="0.35">
      <c r="A543" s="162" t="s">
        <v>973</v>
      </c>
      <c r="B543" s="163" t="s">
        <v>974</v>
      </c>
      <c r="C543" s="154"/>
      <c r="D543" s="162" t="s">
        <v>237</v>
      </c>
      <c r="E543" s="164" t="s">
        <v>237</v>
      </c>
      <c r="F543" s="164" t="s">
        <v>974</v>
      </c>
      <c r="G543" s="164" t="s">
        <v>973</v>
      </c>
      <c r="H543" s="165">
        <v>28560</v>
      </c>
      <c r="I543" s="164" t="s">
        <v>20</v>
      </c>
      <c r="J543" s="164" t="s">
        <v>68</v>
      </c>
      <c r="K543" s="165">
        <v>42800</v>
      </c>
      <c r="L543" s="166" t="s">
        <v>239</v>
      </c>
      <c r="M543" s="154"/>
      <c r="N543" s="154"/>
      <c r="O543" s="164" t="s">
        <v>57</v>
      </c>
      <c r="P543" s="164">
        <v>48</v>
      </c>
      <c r="Q543" s="164">
        <v>9</v>
      </c>
      <c r="R543" s="167" t="s">
        <v>847</v>
      </c>
      <c r="S543" s="167" t="s">
        <v>848</v>
      </c>
      <c r="T543" s="162" t="s">
        <v>798</v>
      </c>
      <c r="U543" s="167" t="s">
        <v>799</v>
      </c>
      <c r="X543" s="169">
        <v>45383</v>
      </c>
      <c r="Y543" s="170">
        <v>180</v>
      </c>
      <c r="Z543" s="170">
        <v>0</v>
      </c>
      <c r="AA543" s="170">
        <v>0</v>
      </c>
      <c r="AB543" s="170">
        <v>0</v>
      </c>
      <c r="AC543" s="171">
        <v>180</v>
      </c>
      <c r="AD543" s="172">
        <v>59656814.861400001</v>
      </c>
      <c r="AE543" s="173">
        <v>180</v>
      </c>
      <c r="AF543" s="174">
        <v>46357</v>
      </c>
    </row>
    <row r="544" spans="1:32" ht="20" x14ac:dyDescent="0.35">
      <c r="A544" s="162" t="s">
        <v>973</v>
      </c>
      <c r="B544" s="163" t="s">
        <v>974</v>
      </c>
      <c r="C544" s="154"/>
      <c r="D544" s="162" t="s">
        <v>237</v>
      </c>
      <c r="E544" s="164" t="s">
        <v>237</v>
      </c>
      <c r="F544" s="164" t="s">
        <v>974</v>
      </c>
      <c r="G544" s="164" t="s">
        <v>973</v>
      </c>
      <c r="H544" s="165">
        <v>28560</v>
      </c>
      <c r="I544" s="164" t="s">
        <v>20</v>
      </c>
      <c r="J544" s="164" t="s">
        <v>68</v>
      </c>
      <c r="K544" s="165">
        <v>42800</v>
      </c>
      <c r="L544" s="166" t="s">
        <v>239</v>
      </c>
      <c r="M544" s="154"/>
      <c r="N544" s="154"/>
      <c r="O544" s="164" t="s">
        <v>57</v>
      </c>
      <c r="P544" s="164">
        <v>48</v>
      </c>
      <c r="Q544" s="164">
        <v>9</v>
      </c>
      <c r="R544" s="167" t="s">
        <v>847</v>
      </c>
      <c r="S544" s="167" t="s">
        <v>848</v>
      </c>
      <c r="T544" s="162" t="s">
        <v>800</v>
      </c>
      <c r="U544" s="167" t="s">
        <v>801</v>
      </c>
      <c r="X544" s="169">
        <v>45383</v>
      </c>
      <c r="Y544" s="170">
        <v>26</v>
      </c>
      <c r="Z544" s="170">
        <v>0</v>
      </c>
      <c r="AA544" s="170">
        <v>0</v>
      </c>
      <c r="AB544" s="170">
        <v>0</v>
      </c>
      <c r="AC544" s="171">
        <v>26</v>
      </c>
      <c r="AD544" s="172">
        <v>8617095.4799799994</v>
      </c>
      <c r="AE544" s="173">
        <v>26</v>
      </c>
      <c r="AF544" s="174">
        <v>46357</v>
      </c>
    </row>
    <row r="545" spans="1:32" ht="20" x14ac:dyDescent="0.35">
      <c r="A545" s="162" t="s">
        <v>973</v>
      </c>
      <c r="B545" s="163" t="s">
        <v>974</v>
      </c>
      <c r="C545" s="154"/>
      <c r="D545" s="162" t="s">
        <v>237</v>
      </c>
      <c r="E545" s="164" t="s">
        <v>237</v>
      </c>
      <c r="F545" s="164" t="s">
        <v>974</v>
      </c>
      <c r="G545" s="164" t="s">
        <v>973</v>
      </c>
      <c r="H545" s="165">
        <v>28560</v>
      </c>
      <c r="I545" s="164" t="s">
        <v>20</v>
      </c>
      <c r="J545" s="164" t="s">
        <v>68</v>
      </c>
      <c r="K545" s="165">
        <v>42800</v>
      </c>
      <c r="L545" s="166" t="s">
        <v>239</v>
      </c>
      <c r="M545" s="154"/>
      <c r="N545" s="154"/>
      <c r="O545" s="164" t="s">
        <v>57</v>
      </c>
      <c r="P545" s="164">
        <v>48</v>
      </c>
      <c r="Q545" s="164">
        <v>9</v>
      </c>
      <c r="R545" s="167" t="s">
        <v>847</v>
      </c>
      <c r="S545" s="167" t="s">
        <v>848</v>
      </c>
      <c r="T545" s="162" t="s">
        <v>800</v>
      </c>
      <c r="U545" s="167" t="s">
        <v>802</v>
      </c>
      <c r="X545" s="169">
        <v>45383</v>
      </c>
      <c r="Y545" s="170">
        <v>98</v>
      </c>
      <c r="Z545" s="170">
        <v>0</v>
      </c>
      <c r="AA545" s="170">
        <v>0</v>
      </c>
      <c r="AB545" s="170">
        <v>0</v>
      </c>
      <c r="AC545" s="171">
        <v>98</v>
      </c>
      <c r="AD545" s="172">
        <v>32479821.424539998</v>
      </c>
      <c r="AE545" s="173">
        <v>98</v>
      </c>
      <c r="AF545" s="174">
        <v>46357</v>
      </c>
    </row>
    <row r="546" spans="1:32" ht="20" x14ac:dyDescent="0.35">
      <c r="A546" s="162" t="s">
        <v>973</v>
      </c>
      <c r="B546" s="163" t="s">
        <v>974</v>
      </c>
      <c r="C546" s="154"/>
      <c r="D546" s="162" t="s">
        <v>237</v>
      </c>
      <c r="E546" s="164" t="s">
        <v>237</v>
      </c>
      <c r="F546" s="164" t="s">
        <v>974</v>
      </c>
      <c r="G546" s="164" t="s">
        <v>973</v>
      </c>
      <c r="H546" s="165">
        <v>28560</v>
      </c>
      <c r="I546" s="164" t="s">
        <v>20</v>
      </c>
      <c r="J546" s="164" t="s">
        <v>68</v>
      </c>
      <c r="K546" s="165">
        <v>42800</v>
      </c>
      <c r="L546" s="166" t="s">
        <v>239</v>
      </c>
      <c r="M546" s="154"/>
      <c r="N546" s="154"/>
      <c r="O546" s="164" t="s">
        <v>57</v>
      </c>
      <c r="P546" s="164">
        <v>48</v>
      </c>
      <c r="Q546" s="164">
        <v>9</v>
      </c>
      <c r="R546" s="167" t="s">
        <v>847</v>
      </c>
      <c r="S546" s="167" t="s">
        <v>848</v>
      </c>
      <c r="T546" s="162" t="s">
        <v>800</v>
      </c>
      <c r="U546" s="167" t="s">
        <v>803</v>
      </c>
      <c r="X546" s="169">
        <v>45383</v>
      </c>
      <c r="Y546" s="170">
        <v>2</v>
      </c>
      <c r="Z546" s="170">
        <v>0</v>
      </c>
      <c r="AA546" s="170">
        <v>0</v>
      </c>
      <c r="AB546" s="170">
        <v>0</v>
      </c>
      <c r="AC546" s="171">
        <v>2</v>
      </c>
      <c r="AD546" s="172">
        <v>662853.49846000003</v>
      </c>
      <c r="AE546" s="173">
        <v>2</v>
      </c>
      <c r="AF546" s="174">
        <v>46357</v>
      </c>
    </row>
    <row r="547" spans="1:32" ht="20" x14ac:dyDescent="0.35">
      <c r="A547" s="162" t="s">
        <v>973</v>
      </c>
      <c r="B547" s="163" t="s">
        <v>974</v>
      </c>
      <c r="C547" s="154"/>
      <c r="D547" s="162" t="s">
        <v>237</v>
      </c>
      <c r="E547" s="164" t="s">
        <v>237</v>
      </c>
      <c r="F547" s="164" t="s">
        <v>974</v>
      </c>
      <c r="G547" s="164" t="s">
        <v>973</v>
      </c>
      <c r="H547" s="165">
        <v>28560</v>
      </c>
      <c r="I547" s="164" t="s">
        <v>20</v>
      </c>
      <c r="J547" s="164" t="s">
        <v>68</v>
      </c>
      <c r="K547" s="165">
        <v>42800</v>
      </c>
      <c r="L547" s="166" t="s">
        <v>239</v>
      </c>
      <c r="M547" s="154"/>
      <c r="N547" s="154"/>
      <c r="O547" s="164" t="s">
        <v>57</v>
      </c>
      <c r="P547" s="164">
        <v>48</v>
      </c>
      <c r="Q547" s="164">
        <v>9</v>
      </c>
      <c r="R547" s="167" t="s">
        <v>847</v>
      </c>
      <c r="S547" s="167" t="s">
        <v>848</v>
      </c>
      <c r="T547" s="162" t="s">
        <v>800</v>
      </c>
      <c r="U547" s="167" t="s">
        <v>804</v>
      </c>
      <c r="X547" s="169">
        <v>45383</v>
      </c>
      <c r="Y547" s="170">
        <v>5</v>
      </c>
      <c r="Z547" s="170">
        <v>0</v>
      </c>
      <c r="AA547" s="170">
        <v>0</v>
      </c>
      <c r="AB547" s="170">
        <v>0</v>
      </c>
      <c r="AC547" s="171">
        <v>5</v>
      </c>
      <c r="AD547" s="172">
        <v>1657133.74615</v>
      </c>
      <c r="AE547" s="173">
        <v>5</v>
      </c>
      <c r="AF547" s="174">
        <v>46357</v>
      </c>
    </row>
    <row r="548" spans="1:32" ht="20" x14ac:dyDescent="0.35">
      <c r="A548" s="162" t="s">
        <v>973</v>
      </c>
      <c r="B548" s="163" t="s">
        <v>974</v>
      </c>
      <c r="C548" s="154"/>
      <c r="D548" s="162" t="s">
        <v>237</v>
      </c>
      <c r="E548" s="164" t="s">
        <v>237</v>
      </c>
      <c r="F548" s="164" t="s">
        <v>974</v>
      </c>
      <c r="G548" s="164" t="s">
        <v>973</v>
      </c>
      <c r="H548" s="165">
        <v>28560</v>
      </c>
      <c r="I548" s="164" t="s">
        <v>20</v>
      </c>
      <c r="J548" s="164" t="s">
        <v>68</v>
      </c>
      <c r="K548" s="165">
        <v>42800</v>
      </c>
      <c r="L548" s="166" t="s">
        <v>239</v>
      </c>
      <c r="M548" s="154"/>
      <c r="N548" s="154"/>
      <c r="O548" s="164" t="s">
        <v>57</v>
      </c>
      <c r="P548" s="164">
        <v>48</v>
      </c>
      <c r="Q548" s="164">
        <v>9</v>
      </c>
      <c r="R548" s="167" t="s">
        <v>847</v>
      </c>
      <c r="S548" s="167" t="s">
        <v>848</v>
      </c>
      <c r="T548" s="162" t="s">
        <v>800</v>
      </c>
      <c r="U548" s="167" t="s">
        <v>805</v>
      </c>
      <c r="X548" s="169">
        <v>45383</v>
      </c>
      <c r="Y548" s="170">
        <v>2.4999999966690001</v>
      </c>
      <c r="Z548" s="170">
        <v>0.41666667000000002</v>
      </c>
      <c r="AA548" s="170">
        <v>0</v>
      </c>
      <c r="AB548" s="170">
        <v>0</v>
      </c>
      <c r="AC548" s="171">
        <v>2.9166666666690002</v>
      </c>
      <c r="AD548" s="172">
        <v>966661.35192000004</v>
      </c>
      <c r="AE548" s="173">
        <v>2.92</v>
      </c>
      <c r="AF548" s="174">
        <v>46357</v>
      </c>
    </row>
    <row r="549" spans="1:32" ht="20" x14ac:dyDescent="0.35">
      <c r="A549" s="162" t="s">
        <v>975</v>
      </c>
      <c r="B549" s="163" t="s">
        <v>976</v>
      </c>
      <c r="C549" s="154"/>
      <c r="D549" s="162" t="s">
        <v>240</v>
      </c>
      <c r="E549" s="164" t="s">
        <v>240</v>
      </c>
      <c r="F549" s="164" t="s">
        <v>976</v>
      </c>
      <c r="G549" s="164" t="s">
        <v>975</v>
      </c>
      <c r="H549" s="165">
        <v>30115</v>
      </c>
      <c r="I549" s="164" t="s">
        <v>48</v>
      </c>
      <c r="J549" s="164" t="s">
        <v>21</v>
      </c>
      <c r="K549" s="165">
        <v>42858</v>
      </c>
      <c r="L549" s="166" t="s">
        <v>242</v>
      </c>
      <c r="M549" s="154"/>
      <c r="N549" s="154"/>
      <c r="O549" s="164" t="s">
        <v>65</v>
      </c>
      <c r="P549" s="164">
        <v>44</v>
      </c>
      <c r="Q549" s="164">
        <v>9</v>
      </c>
      <c r="R549" s="167" t="s">
        <v>958</v>
      </c>
      <c r="S549" s="167" t="s">
        <v>844</v>
      </c>
      <c r="T549" s="162" t="s">
        <v>794</v>
      </c>
      <c r="U549" s="167" t="s">
        <v>795</v>
      </c>
      <c r="V549" s="162" t="s">
        <v>838</v>
      </c>
      <c r="W549" s="168">
        <v>9</v>
      </c>
      <c r="X549" s="169">
        <v>45018</v>
      </c>
      <c r="Y549" s="170">
        <v>26.166666669999</v>
      </c>
      <c r="Z549" s="170">
        <v>2.0833333299999999</v>
      </c>
      <c r="AA549" s="170">
        <v>0</v>
      </c>
      <c r="AB549" s="170">
        <v>0</v>
      </c>
      <c r="AC549" s="171">
        <v>28.249999999999002</v>
      </c>
      <c r="AD549" s="172">
        <v>7338829.4502699999</v>
      </c>
      <c r="AE549" s="173" t="s">
        <v>797</v>
      </c>
      <c r="AF549" s="173"/>
    </row>
    <row r="550" spans="1:32" x14ac:dyDescent="0.35">
      <c r="A550" s="162" t="s">
        <v>975</v>
      </c>
      <c r="B550" s="163" t="s">
        <v>976</v>
      </c>
      <c r="C550" s="154"/>
      <c r="D550" s="162" t="s">
        <v>240</v>
      </c>
      <c r="E550" s="164" t="s">
        <v>240</v>
      </c>
      <c r="F550" s="164" t="s">
        <v>976</v>
      </c>
      <c r="G550" s="164" t="s">
        <v>975</v>
      </c>
      <c r="H550" s="165">
        <v>30115</v>
      </c>
      <c r="I550" s="164" t="s">
        <v>48</v>
      </c>
      <c r="J550" s="164" t="s">
        <v>21</v>
      </c>
      <c r="K550" s="165">
        <v>42858</v>
      </c>
      <c r="L550" s="166" t="s">
        <v>242</v>
      </c>
      <c r="M550" s="154"/>
      <c r="N550" s="154"/>
      <c r="O550" s="164" t="s">
        <v>65</v>
      </c>
      <c r="P550" s="164">
        <v>44</v>
      </c>
      <c r="Q550" s="164">
        <v>9</v>
      </c>
      <c r="R550" s="167" t="s">
        <v>958</v>
      </c>
      <c r="S550" s="167" t="s">
        <v>844</v>
      </c>
      <c r="T550" s="162" t="s">
        <v>798</v>
      </c>
      <c r="U550" s="167" t="s">
        <v>839</v>
      </c>
      <c r="X550" s="169">
        <v>45018</v>
      </c>
      <c r="Y550" s="170">
        <v>179</v>
      </c>
      <c r="Z550" s="170">
        <v>0</v>
      </c>
      <c r="AA550" s="170">
        <v>0</v>
      </c>
      <c r="AB550" s="170">
        <v>0</v>
      </c>
      <c r="AC550" s="171">
        <v>179</v>
      </c>
      <c r="AD550" s="172">
        <v>46500901.649520002</v>
      </c>
      <c r="AE550" s="173">
        <v>179</v>
      </c>
      <c r="AF550" s="174">
        <v>46357</v>
      </c>
    </row>
    <row r="551" spans="1:32" x14ac:dyDescent="0.35">
      <c r="A551" s="162" t="s">
        <v>975</v>
      </c>
      <c r="B551" s="163" t="s">
        <v>976</v>
      </c>
      <c r="C551" s="154"/>
      <c r="D551" s="162" t="s">
        <v>240</v>
      </c>
      <c r="E551" s="164" t="s">
        <v>240</v>
      </c>
      <c r="F551" s="164" t="s">
        <v>976</v>
      </c>
      <c r="G551" s="164" t="s">
        <v>975</v>
      </c>
      <c r="H551" s="165">
        <v>30115</v>
      </c>
      <c r="I551" s="164" t="s">
        <v>48</v>
      </c>
      <c r="J551" s="164" t="s">
        <v>21</v>
      </c>
      <c r="K551" s="165">
        <v>42858</v>
      </c>
      <c r="L551" s="166" t="s">
        <v>242</v>
      </c>
      <c r="M551" s="154"/>
      <c r="N551" s="154"/>
      <c r="O551" s="164" t="s">
        <v>65</v>
      </c>
      <c r="P551" s="164">
        <v>44</v>
      </c>
      <c r="Q551" s="164">
        <v>9</v>
      </c>
      <c r="R551" s="167" t="s">
        <v>958</v>
      </c>
      <c r="S551" s="167" t="s">
        <v>844</v>
      </c>
      <c r="T551" s="162" t="s">
        <v>800</v>
      </c>
      <c r="U551" s="167" t="s">
        <v>801</v>
      </c>
      <c r="X551" s="169">
        <v>45018</v>
      </c>
      <c r="Y551" s="170">
        <v>26</v>
      </c>
      <c r="Z551" s="170">
        <v>0</v>
      </c>
      <c r="AA551" s="170">
        <v>0</v>
      </c>
      <c r="AB551" s="170">
        <v>0</v>
      </c>
      <c r="AC551" s="171">
        <v>26</v>
      </c>
      <c r="AD551" s="172">
        <v>6754320.9099899996</v>
      </c>
      <c r="AE551" s="173">
        <v>26</v>
      </c>
      <c r="AF551" s="174">
        <v>46357</v>
      </c>
    </row>
    <row r="552" spans="1:32" x14ac:dyDescent="0.35">
      <c r="A552" s="162" t="s">
        <v>975</v>
      </c>
      <c r="B552" s="163" t="s">
        <v>976</v>
      </c>
      <c r="C552" s="154"/>
      <c r="D552" s="162" t="s">
        <v>240</v>
      </c>
      <c r="E552" s="164" t="s">
        <v>240</v>
      </c>
      <c r="F552" s="164" t="s">
        <v>976</v>
      </c>
      <c r="G552" s="164" t="s">
        <v>975</v>
      </c>
      <c r="H552" s="165">
        <v>30115</v>
      </c>
      <c r="I552" s="164" t="s">
        <v>48</v>
      </c>
      <c r="J552" s="164" t="s">
        <v>21</v>
      </c>
      <c r="K552" s="165">
        <v>42858</v>
      </c>
      <c r="L552" s="166" t="s">
        <v>242</v>
      </c>
      <c r="M552" s="154"/>
      <c r="N552" s="154"/>
      <c r="O552" s="164" t="s">
        <v>65</v>
      </c>
      <c r="P552" s="164">
        <v>44</v>
      </c>
      <c r="Q552" s="164">
        <v>9</v>
      </c>
      <c r="R552" s="167" t="s">
        <v>958</v>
      </c>
      <c r="S552" s="167" t="s">
        <v>844</v>
      </c>
      <c r="T552" s="162" t="s">
        <v>800</v>
      </c>
      <c r="U552" s="167" t="s">
        <v>802</v>
      </c>
      <c r="X552" s="169">
        <v>45018</v>
      </c>
      <c r="Y552" s="170">
        <v>98</v>
      </c>
      <c r="Z552" s="170">
        <v>0</v>
      </c>
      <c r="AA552" s="170">
        <v>0</v>
      </c>
      <c r="AB552" s="170">
        <v>0</v>
      </c>
      <c r="AC552" s="171">
        <v>98</v>
      </c>
      <c r="AD552" s="172">
        <v>25458594.19918</v>
      </c>
      <c r="AE552" s="173">
        <v>98</v>
      </c>
      <c r="AF552" s="174">
        <v>46357</v>
      </c>
    </row>
    <row r="553" spans="1:32" x14ac:dyDescent="0.35">
      <c r="A553" s="162" t="s">
        <v>975</v>
      </c>
      <c r="B553" s="163" t="s">
        <v>976</v>
      </c>
      <c r="C553" s="154"/>
      <c r="D553" s="162" t="s">
        <v>240</v>
      </c>
      <c r="E553" s="164" t="s">
        <v>240</v>
      </c>
      <c r="F553" s="164" t="s">
        <v>976</v>
      </c>
      <c r="G553" s="164" t="s">
        <v>975</v>
      </c>
      <c r="H553" s="165">
        <v>30115</v>
      </c>
      <c r="I553" s="164" t="s">
        <v>48</v>
      </c>
      <c r="J553" s="164" t="s">
        <v>21</v>
      </c>
      <c r="K553" s="165">
        <v>42858</v>
      </c>
      <c r="L553" s="166" t="s">
        <v>242</v>
      </c>
      <c r="M553" s="154"/>
      <c r="N553" s="154"/>
      <c r="O553" s="164" t="s">
        <v>65</v>
      </c>
      <c r="P553" s="164">
        <v>44</v>
      </c>
      <c r="Q553" s="164">
        <v>9</v>
      </c>
      <c r="R553" s="167" t="s">
        <v>958</v>
      </c>
      <c r="S553" s="167" t="s">
        <v>844</v>
      </c>
      <c r="T553" s="162" t="s">
        <v>800</v>
      </c>
      <c r="U553" s="167" t="s">
        <v>803</v>
      </c>
      <c r="X553" s="169">
        <v>45018</v>
      </c>
      <c r="Y553" s="170">
        <v>2</v>
      </c>
      <c r="Z553" s="170">
        <v>0</v>
      </c>
      <c r="AA553" s="170">
        <v>0</v>
      </c>
      <c r="AB553" s="170">
        <v>0</v>
      </c>
      <c r="AC553" s="171">
        <v>2</v>
      </c>
      <c r="AD553" s="172">
        <v>519563.14692000003</v>
      </c>
      <c r="AE553" s="173">
        <v>2</v>
      </c>
      <c r="AF553" s="174">
        <v>46357</v>
      </c>
    </row>
    <row r="554" spans="1:32" x14ac:dyDescent="0.35">
      <c r="A554" s="162" t="s">
        <v>975</v>
      </c>
      <c r="B554" s="163" t="s">
        <v>976</v>
      </c>
      <c r="C554" s="154"/>
      <c r="D554" s="162" t="s">
        <v>240</v>
      </c>
      <c r="E554" s="164" t="s">
        <v>240</v>
      </c>
      <c r="F554" s="164" t="s">
        <v>976</v>
      </c>
      <c r="G554" s="164" t="s">
        <v>975</v>
      </c>
      <c r="H554" s="165">
        <v>30115</v>
      </c>
      <c r="I554" s="164" t="s">
        <v>48</v>
      </c>
      <c r="J554" s="164" t="s">
        <v>21</v>
      </c>
      <c r="K554" s="165">
        <v>42858</v>
      </c>
      <c r="L554" s="166" t="s">
        <v>242</v>
      </c>
      <c r="M554" s="154"/>
      <c r="N554" s="154"/>
      <c r="O554" s="164" t="s">
        <v>65</v>
      </c>
      <c r="P554" s="164">
        <v>44</v>
      </c>
      <c r="Q554" s="164">
        <v>9</v>
      </c>
      <c r="R554" s="167" t="s">
        <v>958</v>
      </c>
      <c r="S554" s="167" t="s">
        <v>844</v>
      </c>
      <c r="T554" s="162" t="s">
        <v>800</v>
      </c>
      <c r="U554" s="167" t="s">
        <v>804</v>
      </c>
      <c r="X554" s="169">
        <v>45018</v>
      </c>
      <c r="Y554" s="170">
        <v>5</v>
      </c>
      <c r="Z554" s="170">
        <v>0</v>
      </c>
      <c r="AA554" s="170">
        <v>0</v>
      </c>
      <c r="AB554" s="170">
        <v>0</v>
      </c>
      <c r="AC554" s="171">
        <v>5</v>
      </c>
      <c r="AD554" s="172">
        <v>1298907.8673</v>
      </c>
      <c r="AE554" s="173">
        <v>5</v>
      </c>
      <c r="AF554" s="174">
        <v>46357</v>
      </c>
    </row>
    <row r="555" spans="1:32" x14ac:dyDescent="0.35">
      <c r="A555" s="162" t="s">
        <v>975</v>
      </c>
      <c r="B555" s="163" t="s">
        <v>976</v>
      </c>
      <c r="C555" s="154"/>
      <c r="D555" s="162" t="s">
        <v>240</v>
      </c>
      <c r="E555" s="164" t="s">
        <v>240</v>
      </c>
      <c r="F555" s="164" t="s">
        <v>976</v>
      </c>
      <c r="G555" s="164" t="s">
        <v>975</v>
      </c>
      <c r="H555" s="165">
        <v>30115</v>
      </c>
      <c r="I555" s="164" t="s">
        <v>48</v>
      </c>
      <c r="J555" s="164" t="s">
        <v>21</v>
      </c>
      <c r="K555" s="165">
        <v>42858</v>
      </c>
      <c r="L555" s="166" t="s">
        <v>242</v>
      </c>
      <c r="M555" s="154"/>
      <c r="N555" s="154"/>
      <c r="O555" s="164" t="s">
        <v>65</v>
      </c>
      <c r="P555" s="164">
        <v>44</v>
      </c>
      <c r="Q555" s="164">
        <v>9</v>
      </c>
      <c r="R555" s="167" t="s">
        <v>958</v>
      </c>
      <c r="S555" s="167" t="s">
        <v>844</v>
      </c>
      <c r="T555" s="162" t="s">
        <v>800</v>
      </c>
      <c r="U555" s="167" t="s">
        <v>840</v>
      </c>
      <c r="X555" s="169">
        <v>45018</v>
      </c>
      <c r="Y555" s="170">
        <v>2.4999999966690001</v>
      </c>
      <c r="Z555" s="170">
        <v>0.41666667000000002</v>
      </c>
      <c r="AA555" s="170">
        <v>0</v>
      </c>
      <c r="AB555" s="170">
        <v>0</v>
      </c>
      <c r="AC555" s="171">
        <v>2.9166666666690002</v>
      </c>
      <c r="AD555" s="172">
        <v>757696.25592999998</v>
      </c>
      <c r="AE555" s="173">
        <v>2.92</v>
      </c>
      <c r="AF555" s="174">
        <v>46357</v>
      </c>
    </row>
    <row r="556" spans="1:32" ht="20" x14ac:dyDescent="0.35">
      <c r="A556" s="162" t="s">
        <v>977</v>
      </c>
      <c r="B556" s="163" t="s">
        <v>978</v>
      </c>
      <c r="C556" s="154"/>
      <c r="D556" s="162" t="s">
        <v>243</v>
      </c>
      <c r="E556" s="164" t="s">
        <v>243</v>
      </c>
      <c r="F556" s="164" t="s">
        <v>978</v>
      </c>
      <c r="G556" s="164" t="s">
        <v>977</v>
      </c>
      <c r="H556" s="165">
        <v>26862</v>
      </c>
      <c r="I556" s="164" t="s">
        <v>20</v>
      </c>
      <c r="J556" s="164" t="s">
        <v>21</v>
      </c>
      <c r="K556" s="165">
        <v>43190</v>
      </c>
      <c r="L556" s="166" t="s">
        <v>34</v>
      </c>
      <c r="M556" s="154"/>
      <c r="N556" s="154"/>
      <c r="O556" s="164" t="s">
        <v>35</v>
      </c>
      <c r="P556" s="164">
        <v>53</v>
      </c>
      <c r="Q556" s="164">
        <v>8</v>
      </c>
      <c r="R556" s="167" t="s">
        <v>843</v>
      </c>
      <c r="S556" s="167" t="s">
        <v>844</v>
      </c>
      <c r="T556" s="162" t="s">
        <v>794</v>
      </c>
      <c r="U556" s="167" t="s">
        <v>819</v>
      </c>
      <c r="V556" s="162" t="s">
        <v>979</v>
      </c>
      <c r="W556" s="168">
        <v>8</v>
      </c>
      <c r="X556" s="169">
        <v>45018</v>
      </c>
      <c r="Y556" s="170">
        <v>4.3333333366610001</v>
      </c>
      <c r="Z556" s="170">
        <v>1.8333333300000001</v>
      </c>
      <c r="AA556" s="170">
        <v>0</v>
      </c>
      <c r="AB556" s="170">
        <v>0</v>
      </c>
      <c r="AC556" s="171">
        <v>6.1666666666610004</v>
      </c>
      <c r="AD556" s="172">
        <v>444531.50737000001</v>
      </c>
      <c r="AE556" s="173" t="s">
        <v>797</v>
      </c>
      <c r="AF556" s="173"/>
    </row>
    <row r="557" spans="1:32" ht="20" x14ac:dyDescent="0.35">
      <c r="A557" s="162" t="s">
        <v>977</v>
      </c>
      <c r="B557" s="163" t="s">
        <v>978</v>
      </c>
      <c r="C557" s="154"/>
      <c r="D557" s="162" t="s">
        <v>243</v>
      </c>
      <c r="E557" s="164" t="s">
        <v>243</v>
      </c>
      <c r="F557" s="164" t="s">
        <v>978</v>
      </c>
      <c r="G557" s="164" t="s">
        <v>977</v>
      </c>
      <c r="H557" s="165">
        <v>26862</v>
      </c>
      <c r="I557" s="164" t="s">
        <v>20</v>
      </c>
      <c r="J557" s="164" t="s">
        <v>21</v>
      </c>
      <c r="K557" s="165">
        <v>43190</v>
      </c>
      <c r="L557" s="166" t="s">
        <v>34</v>
      </c>
      <c r="M557" s="154"/>
      <c r="N557" s="154"/>
      <c r="O557" s="164" t="s">
        <v>35</v>
      </c>
      <c r="P557" s="164">
        <v>53</v>
      </c>
      <c r="Q557" s="164">
        <v>8</v>
      </c>
      <c r="R557" s="167" t="s">
        <v>843</v>
      </c>
      <c r="S557" s="167" t="s">
        <v>844</v>
      </c>
      <c r="T557" s="162" t="s">
        <v>798</v>
      </c>
      <c r="U557" s="167" t="s">
        <v>799</v>
      </c>
      <c r="X557" s="169">
        <v>45018</v>
      </c>
      <c r="Y557" s="170">
        <v>180</v>
      </c>
      <c r="Z557" s="170">
        <v>0</v>
      </c>
      <c r="AA557" s="170">
        <v>0</v>
      </c>
      <c r="AB557" s="170">
        <v>0</v>
      </c>
      <c r="AC557" s="171">
        <v>180</v>
      </c>
      <c r="AD557" s="172">
        <v>12975514.26912</v>
      </c>
      <c r="AE557" s="173">
        <v>180</v>
      </c>
      <c r="AF557" s="174">
        <v>46357</v>
      </c>
    </row>
    <row r="558" spans="1:32" ht="20" x14ac:dyDescent="0.35">
      <c r="A558" s="162" t="s">
        <v>977</v>
      </c>
      <c r="B558" s="163" t="s">
        <v>978</v>
      </c>
      <c r="C558" s="154"/>
      <c r="D558" s="162" t="s">
        <v>243</v>
      </c>
      <c r="E558" s="164" t="s">
        <v>243</v>
      </c>
      <c r="F558" s="164" t="s">
        <v>978</v>
      </c>
      <c r="G558" s="164" t="s">
        <v>977</v>
      </c>
      <c r="H558" s="165">
        <v>26862</v>
      </c>
      <c r="I558" s="164" t="s">
        <v>20</v>
      </c>
      <c r="J558" s="164" t="s">
        <v>21</v>
      </c>
      <c r="K558" s="165">
        <v>43190</v>
      </c>
      <c r="L558" s="166" t="s">
        <v>34</v>
      </c>
      <c r="M558" s="154"/>
      <c r="N558" s="154"/>
      <c r="O558" s="164" t="s">
        <v>35</v>
      </c>
      <c r="P558" s="164">
        <v>53</v>
      </c>
      <c r="Q558" s="164">
        <v>8</v>
      </c>
      <c r="R558" s="167" t="s">
        <v>843</v>
      </c>
      <c r="S558" s="167" t="s">
        <v>844</v>
      </c>
      <c r="T558" s="162" t="s">
        <v>800</v>
      </c>
      <c r="U558" s="167" t="s">
        <v>801</v>
      </c>
      <c r="X558" s="169">
        <v>45018</v>
      </c>
      <c r="Y558" s="170">
        <v>20</v>
      </c>
      <c r="Z558" s="170">
        <v>0</v>
      </c>
      <c r="AA558" s="170">
        <v>0</v>
      </c>
      <c r="AB558" s="170">
        <v>0</v>
      </c>
      <c r="AC558" s="171">
        <v>20</v>
      </c>
      <c r="AD558" s="172">
        <v>1441723.8076800001</v>
      </c>
      <c r="AE558" s="173">
        <v>20</v>
      </c>
      <c r="AF558" s="174">
        <v>46357</v>
      </c>
    </row>
    <row r="559" spans="1:32" ht="20" x14ac:dyDescent="0.35">
      <c r="A559" s="162" t="s">
        <v>977</v>
      </c>
      <c r="B559" s="163" t="s">
        <v>978</v>
      </c>
      <c r="C559" s="154"/>
      <c r="D559" s="162" t="s">
        <v>243</v>
      </c>
      <c r="E559" s="164" t="s">
        <v>243</v>
      </c>
      <c r="F559" s="164" t="s">
        <v>978</v>
      </c>
      <c r="G559" s="164" t="s">
        <v>977</v>
      </c>
      <c r="H559" s="165">
        <v>26862</v>
      </c>
      <c r="I559" s="164" t="s">
        <v>20</v>
      </c>
      <c r="J559" s="164" t="s">
        <v>21</v>
      </c>
      <c r="K559" s="165">
        <v>43190</v>
      </c>
      <c r="L559" s="166" t="s">
        <v>34</v>
      </c>
      <c r="M559" s="154"/>
      <c r="N559" s="154"/>
      <c r="O559" s="164" t="s">
        <v>35</v>
      </c>
      <c r="P559" s="164">
        <v>53</v>
      </c>
      <c r="Q559" s="164">
        <v>8</v>
      </c>
      <c r="R559" s="167" t="s">
        <v>843</v>
      </c>
      <c r="S559" s="167" t="s">
        <v>844</v>
      </c>
      <c r="T559" s="162" t="s">
        <v>800</v>
      </c>
      <c r="U559" s="167" t="s">
        <v>802</v>
      </c>
      <c r="X559" s="169">
        <v>45018</v>
      </c>
      <c r="Y559" s="170">
        <v>98</v>
      </c>
      <c r="Z559" s="170">
        <v>0</v>
      </c>
      <c r="AA559" s="170">
        <v>0</v>
      </c>
      <c r="AB559" s="170">
        <v>0</v>
      </c>
      <c r="AC559" s="171">
        <v>98</v>
      </c>
      <c r="AD559" s="172">
        <v>7064446.6576300003</v>
      </c>
      <c r="AE559" s="173">
        <v>98</v>
      </c>
      <c r="AF559" s="174">
        <v>46357</v>
      </c>
    </row>
    <row r="560" spans="1:32" ht="20" x14ac:dyDescent="0.35">
      <c r="A560" s="162" t="s">
        <v>977</v>
      </c>
      <c r="B560" s="163" t="s">
        <v>978</v>
      </c>
      <c r="C560" s="154"/>
      <c r="D560" s="162" t="s">
        <v>243</v>
      </c>
      <c r="E560" s="164" t="s">
        <v>243</v>
      </c>
      <c r="F560" s="164" t="s">
        <v>978</v>
      </c>
      <c r="G560" s="164" t="s">
        <v>977</v>
      </c>
      <c r="H560" s="165">
        <v>26862</v>
      </c>
      <c r="I560" s="164" t="s">
        <v>20</v>
      </c>
      <c r="J560" s="164" t="s">
        <v>21</v>
      </c>
      <c r="K560" s="165">
        <v>43190</v>
      </c>
      <c r="L560" s="166" t="s">
        <v>34</v>
      </c>
      <c r="M560" s="154"/>
      <c r="N560" s="154"/>
      <c r="O560" s="164" t="s">
        <v>35</v>
      </c>
      <c r="P560" s="164">
        <v>53</v>
      </c>
      <c r="Q560" s="164">
        <v>8</v>
      </c>
      <c r="R560" s="167" t="s">
        <v>843</v>
      </c>
      <c r="S560" s="167" t="s">
        <v>844</v>
      </c>
      <c r="T560" s="162" t="s">
        <v>800</v>
      </c>
      <c r="U560" s="167" t="s">
        <v>803</v>
      </c>
      <c r="X560" s="169">
        <v>45018</v>
      </c>
      <c r="Y560" s="170">
        <v>2</v>
      </c>
      <c r="Z560" s="170">
        <v>0</v>
      </c>
      <c r="AA560" s="170">
        <v>0</v>
      </c>
      <c r="AB560" s="170">
        <v>0</v>
      </c>
      <c r="AC560" s="171">
        <v>2</v>
      </c>
      <c r="AD560" s="172">
        <v>144172.38076999999</v>
      </c>
      <c r="AE560" s="173">
        <v>2</v>
      </c>
      <c r="AF560" s="174">
        <v>46357</v>
      </c>
    </row>
    <row r="561" spans="1:32" ht="20" x14ac:dyDescent="0.35">
      <c r="A561" s="162" t="s">
        <v>977</v>
      </c>
      <c r="B561" s="163" t="s">
        <v>978</v>
      </c>
      <c r="C561" s="154"/>
      <c r="D561" s="162" t="s">
        <v>243</v>
      </c>
      <c r="E561" s="164" t="s">
        <v>243</v>
      </c>
      <c r="F561" s="164" t="s">
        <v>978</v>
      </c>
      <c r="G561" s="164" t="s">
        <v>977</v>
      </c>
      <c r="H561" s="165">
        <v>26862</v>
      </c>
      <c r="I561" s="164" t="s">
        <v>20</v>
      </c>
      <c r="J561" s="164" t="s">
        <v>21</v>
      </c>
      <c r="K561" s="165">
        <v>43190</v>
      </c>
      <c r="L561" s="166" t="s">
        <v>34</v>
      </c>
      <c r="M561" s="154"/>
      <c r="N561" s="154"/>
      <c r="O561" s="164" t="s">
        <v>35</v>
      </c>
      <c r="P561" s="164">
        <v>53</v>
      </c>
      <c r="Q561" s="164">
        <v>8</v>
      </c>
      <c r="R561" s="167" t="s">
        <v>843</v>
      </c>
      <c r="S561" s="167" t="s">
        <v>844</v>
      </c>
      <c r="T561" s="162" t="s">
        <v>800</v>
      </c>
      <c r="U561" s="167" t="s">
        <v>804</v>
      </c>
      <c r="X561" s="169">
        <v>45018</v>
      </c>
      <c r="Y561" s="170">
        <v>5</v>
      </c>
      <c r="Z561" s="170">
        <v>0</v>
      </c>
      <c r="AA561" s="170">
        <v>0</v>
      </c>
      <c r="AB561" s="170">
        <v>0</v>
      </c>
      <c r="AC561" s="171">
        <v>5</v>
      </c>
      <c r="AD561" s="172">
        <v>360430.95192000002</v>
      </c>
      <c r="AE561" s="173">
        <v>5</v>
      </c>
      <c r="AF561" s="174">
        <v>46357</v>
      </c>
    </row>
    <row r="562" spans="1:32" ht="20" x14ac:dyDescent="0.35">
      <c r="A562" s="162" t="s">
        <v>977</v>
      </c>
      <c r="B562" s="163" t="s">
        <v>978</v>
      </c>
      <c r="C562" s="154"/>
      <c r="D562" s="162" t="s">
        <v>243</v>
      </c>
      <c r="E562" s="164" t="s">
        <v>243</v>
      </c>
      <c r="F562" s="164" t="s">
        <v>978</v>
      </c>
      <c r="G562" s="164" t="s">
        <v>977</v>
      </c>
      <c r="H562" s="165">
        <v>26862</v>
      </c>
      <c r="I562" s="164" t="s">
        <v>20</v>
      </c>
      <c r="J562" s="164" t="s">
        <v>21</v>
      </c>
      <c r="K562" s="165">
        <v>43190</v>
      </c>
      <c r="L562" s="166" t="s">
        <v>34</v>
      </c>
      <c r="M562" s="154"/>
      <c r="N562" s="154"/>
      <c r="O562" s="164" t="s">
        <v>35</v>
      </c>
      <c r="P562" s="164">
        <v>53</v>
      </c>
      <c r="Q562" s="164">
        <v>8</v>
      </c>
      <c r="R562" s="167" t="s">
        <v>843</v>
      </c>
      <c r="S562" s="167" t="s">
        <v>844</v>
      </c>
      <c r="T562" s="162" t="s">
        <v>800</v>
      </c>
      <c r="U562" s="167" t="s">
        <v>805</v>
      </c>
      <c r="X562" s="169">
        <v>45018</v>
      </c>
      <c r="Y562" s="170">
        <v>2.4999999966690001</v>
      </c>
      <c r="Z562" s="170">
        <v>0.41666667000000002</v>
      </c>
      <c r="AA562" s="170">
        <v>0</v>
      </c>
      <c r="AB562" s="170">
        <v>0</v>
      </c>
      <c r="AC562" s="171">
        <v>2.9166666666690002</v>
      </c>
      <c r="AD562" s="172">
        <v>210251.38862000001</v>
      </c>
      <c r="AE562" s="173">
        <v>2.92</v>
      </c>
      <c r="AF562" s="174">
        <v>46357</v>
      </c>
    </row>
    <row r="563" spans="1:32" ht="30" x14ac:dyDescent="0.35">
      <c r="A563" s="162" t="s">
        <v>980</v>
      </c>
      <c r="B563" s="163" t="s">
        <v>981</v>
      </c>
      <c r="C563" s="154"/>
      <c r="D563" s="162" t="s">
        <v>245</v>
      </c>
      <c r="E563" s="164" t="s">
        <v>245</v>
      </c>
      <c r="F563" s="164" t="s">
        <v>981</v>
      </c>
      <c r="G563" s="164" t="s">
        <v>980</v>
      </c>
      <c r="H563" s="165">
        <v>32874</v>
      </c>
      <c r="I563" s="164" t="s">
        <v>20</v>
      </c>
      <c r="J563" s="164" t="s">
        <v>21</v>
      </c>
      <c r="K563" s="165">
        <v>43283</v>
      </c>
      <c r="L563" s="166" t="s">
        <v>168</v>
      </c>
      <c r="M563" s="154"/>
      <c r="N563" s="154"/>
      <c r="O563" s="164" t="s">
        <v>44</v>
      </c>
      <c r="P563" s="164">
        <v>36</v>
      </c>
      <c r="Q563" s="164">
        <v>8</v>
      </c>
      <c r="R563" s="167" t="s">
        <v>931</v>
      </c>
      <c r="S563" s="167" t="s">
        <v>848</v>
      </c>
      <c r="T563" s="162" t="s">
        <v>794</v>
      </c>
      <c r="U563" s="167" t="s">
        <v>795</v>
      </c>
      <c r="V563" s="162" t="s">
        <v>982</v>
      </c>
      <c r="W563" s="168">
        <v>8</v>
      </c>
      <c r="X563" s="169">
        <v>45018</v>
      </c>
      <c r="Y563" s="170">
        <v>17</v>
      </c>
      <c r="Z563" s="170">
        <v>2</v>
      </c>
      <c r="AA563" s="170">
        <v>0</v>
      </c>
      <c r="AB563" s="170">
        <v>0</v>
      </c>
      <c r="AC563" s="171">
        <v>19</v>
      </c>
      <c r="AD563" s="172">
        <v>3054545.9469099999</v>
      </c>
      <c r="AE563" s="173" t="s">
        <v>797</v>
      </c>
      <c r="AF563" s="173"/>
    </row>
    <row r="564" spans="1:32" ht="30" x14ac:dyDescent="0.35">
      <c r="A564" s="162" t="s">
        <v>980</v>
      </c>
      <c r="B564" s="163" t="s">
        <v>981</v>
      </c>
      <c r="C564" s="154"/>
      <c r="D564" s="162" t="s">
        <v>245</v>
      </c>
      <c r="E564" s="164" t="s">
        <v>245</v>
      </c>
      <c r="F564" s="164" t="s">
        <v>981</v>
      </c>
      <c r="G564" s="164" t="s">
        <v>980</v>
      </c>
      <c r="H564" s="165">
        <v>32874</v>
      </c>
      <c r="I564" s="164" t="s">
        <v>20</v>
      </c>
      <c r="J564" s="164" t="s">
        <v>21</v>
      </c>
      <c r="K564" s="165">
        <v>43283</v>
      </c>
      <c r="L564" s="166" t="s">
        <v>168</v>
      </c>
      <c r="M564" s="154"/>
      <c r="N564" s="154"/>
      <c r="O564" s="164" t="s">
        <v>44</v>
      </c>
      <c r="P564" s="164">
        <v>36</v>
      </c>
      <c r="Q564" s="164">
        <v>8</v>
      </c>
      <c r="R564" s="167" t="s">
        <v>931</v>
      </c>
      <c r="S564" s="167" t="s">
        <v>848</v>
      </c>
      <c r="T564" s="162" t="s">
        <v>798</v>
      </c>
      <c r="U564" s="167" t="s">
        <v>839</v>
      </c>
      <c r="X564" s="169">
        <v>45018</v>
      </c>
      <c r="Y564" s="170">
        <v>180</v>
      </c>
      <c r="Z564" s="170">
        <v>0</v>
      </c>
      <c r="AA564" s="170">
        <v>0</v>
      </c>
      <c r="AB564" s="170">
        <v>0</v>
      </c>
      <c r="AC564" s="171">
        <v>180</v>
      </c>
      <c r="AD564" s="172">
        <v>28937803.707540002</v>
      </c>
      <c r="AE564" s="173">
        <v>180</v>
      </c>
      <c r="AF564" s="174">
        <v>46357</v>
      </c>
    </row>
    <row r="565" spans="1:32" ht="30" x14ac:dyDescent="0.35">
      <c r="A565" s="162" t="s">
        <v>980</v>
      </c>
      <c r="B565" s="163" t="s">
        <v>981</v>
      </c>
      <c r="C565" s="154"/>
      <c r="D565" s="162" t="s">
        <v>245</v>
      </c>
      <c r="E565" s="164" t="s">
        <v>245</v>
      </c>
      <c r="F565" s="164" t="s">
        <v>981</v>
      </c>
      <c r="G565" s="164" t="s">
        <v>980</v>
      </c>
      <c r="H565" s="165">
        <v>32874</v>
      </c>
      <c r="I565" s="164" t="s">
        <v>20</v>
      </c>
      <c r="J565" s="164" t="s">
        <v>21</v>
      </c>
      <c r="K565" s="165">
        <v>43283</v>
      </c>
      <c r="L565" s="166" t="s">
        <v>168</v>
      </c>
      <c r="M565" s="154"/>
      <c r="N565" s="154"/>
      <c r="O565" s="164" t="s">
        <v>44</v>
      </c>
      <c r="P565" s="164">
        <v>36</v>
      </c>
      <c r="Q565" s="164">
        <v>8</v>
      </c>
      <c r="R565" s="167" t="s">
        <v>931</v>
      </c>
      <c r="S565" s="167" t="s">
        <v>848</v>
      </c>
      <c r="T565" s="162" t="s">
        <v>800</v>
      </c>
      <c r="U565" s="167" t="s">
        <v>801</v>
      </c>
      <c r="X565" s="169">
        <v>45018</v>
      </c>
      <c r="Y565" s="170">
        <v>26</v>
      </c>
      <c r="Z565" s="170">
        <v>0</v>
      </c>
      <c r="AA565" s="170">
        <v>-1</v>
      </c>
      <c r="AB565" s="170">
        <v>0</v>
      </c>
      <c r="AC565" s="171">
        <v>25</v>
      </c>
      <c r="AD565" s="172">
        <v>4019139.4038200001</v>
      </c>
      <c r="AE565" s="173">
        <v>25</v>
      </c>
      <c r="AF565" s="174">
        <v>46357</v>
      </c>
    </row>
    <row r="566" spans="1:32" ht="30" x14ac:dyDescent="0.35">
      <c r="A566" s="162" t="s">
        <v>980</v>
      </c>
      <c r="B566" s="163" t="s">
        <v>981</v>
      </c>
      <c r="C566" s="154"/>
      <c r="D566" s="162" t="s">
        <v>245</v>
      </c>
      <c r="E566" s="164" t="s">
        <v>245</v>
      </c>
      <c r="F566" s="164" t="s">
        <v>981</v>
      </c>
      <c r="G566" s="164" t="s">
        <v>980</v>
      </c>
      <c r="H566" s="165">
        <v>32874</v>
      </c>
      <c r="I566" s="164" t="s">
        <v>20</v>
      </c>
      <c r="J566" s="164" t="s">
        <v>21</v>
      </c>
      <c r="K566" s="165">
        <v>43283</v>
      </c>
      <c r="L566" s="166" t="s">
        <v>168</v>
      </c>
      <c r="M566" s="154"/>
      <c r="N566" s="154"/>
      <c r="O566" s="164" t="s">
        <v>44</v>
      </c>
      <c r="P566" s="164">
        <v>36</v>
      </c>
      <c r="Q566" s="164">
        <v>8</v>
      </c>
      <c r="R566" s="167" t="s">
        <v>931</v>
      </c>
      <c r="S566" s="167" t="s">
        <v>848</v>
      </c>
      <c r="T566" s="162" t="s">
        <v>800</v>
      </c>
      <c r="U566" s="167" t="s">
        <v>802</v>
      </c>
      <c r="X566" s="169">
        <v>45018</v>
      </c>
      <c r="Y566" s="170">
        <v>98</v>
      </c>
      <c r="Z566" s="170">
        <v>0</v>
      </c>
      <c r="AA566" s="170">
        <v>0</v>
      </c>
      <c r="AB566" s="170">
        <v>0</v>
      </c>
      <c r="AC566" s="171">
        <v>98</v>
      </c>
      <c r="AD566" s="172">
        <v>15755026.462990001</v>
      </c>
      <c r="AE566" s="173">
        <v>98</v>
      </c>
      <c r="AF566" s="174">
        <v>46357</v>
      </c>
    </row>
    <row r="567" spans="1:32" ht="30" x14ac:dyDescent="0.35">
      <c r="A567" s="162" t="s">
        <v>980</v>
      </c>
      <c r="B567" s="163" t="s">
        <v>981</v>
      </c>
      <c r="C567" s="154"/>
      <c r="D567" s="162" t="s">
        <v>245</v>
      </c>
      <c r="E567" s="164" t="s">
        <v>245</v>
      </c>
      <c r="F567" s="164" t="s">
        <v>981</v>
      </c>
      <c r="G567" s="164" t="s">
        <v>980</v>
      </c>
      <c r="H567" s="165">
        <v>32874</v>
      </c>
      <c r="I567" s="164" t="s">
        <v>20</v>
      </c>
      <c r="J567" s="164" t="s">
        <v>21</v>
      </c>
      <c r="K567" s="165">
        <v>43283</v>
      </c>
      <c r="L567" s="166" t="s">
        <v>168</v>
      </c>
      <c r="M567" s="154"/>
      <c r="N567" s="154"/>
      <c r="O567" s="164" t="s">
        <v>44</v>
      </c>
      <c r="P567" s="164">
        <v>36</v>
      </c>
      <c r="Q567" s="164">
        <v>8</v>
      </c>
      <c r="R567" s="167" t="s">
        <v>931</v>
      </c>
      <c r="S567" s="167" t="s">
        <v>848</v>
      </c>
      <c r="T567" s="162" t="s">
        <v>800</v>
      </c>
      <c r="U567" s="167" t="s">
        <v>803</v>
      </c>
      <c r="X567" s="169">
        <v>45018</v>
      </c>
      <c r="Y567" s="170">
        <v>2</v>
      </c>
      <c r="Z567" s="170">
        <v>0</v>
      </c>
      <c r="AA567" s="170">
        <v>0</v>
      </c>
      <c r="AB567" s="170">
        <v>0</v>
      </c>
      <c r="AC567" s="171">
        <v>2</v>
      </c>
      <c r="AD567" s="172">
        <v>321531.15230999998</v>
      </c>
      <c r="AE567" s="173">
        <v>2</v>
      </c>
      <c r="AF567" s="174">
        <v>46357</v>
      </c>
    </row>
    <row r="568" spans="1:32" ht="30" x14ac:dyDescent="0.35">
      <c r="A568" s="162" t="s">
        <v>980</v>
      </c>
      <c r="B568" s="163" t="s">
        <v>981</v>
      </c>
      <c r="C568" s="154"/>
      <c r="D568" s="162" t="s">
        <v>245</v>
      </c>
      <c r="E568" s="164" t="s">
        <v>245</v>
      </c>
      <c r="F568" s="164" t="s">
        <v>981</v>
      </c>
      <c r="G568" s="164" t="s">
        <v>980</v>
      </c>
      <c r="H568" s="165">
        <v>32874</v>
      </c>
      <c r="I568" s="164" t="s">
        <v>20</v>
      </c>
      <c r="J568" s="164" t="s">
        <v>21</v>
      </c>
      <c r="K568" s="165">
        <v>43283</v>
      </c>
      <c r="L568" s="166" t="s">
        <v>168</v>
      </c>
      <c r="M568" s="154"/>
      <c r="N568" s="154"/>
      <c r="O568" s="164" t="s">
        <v>44</v>
      </c>
      <c r="P568" s="164">
        <v>36</v>
      </c>
      <c r="Q568" s="164">
        <v>8</v>
      </c>
      <c r="R568" s="167" t="s">
        <v>931</v>
      </c>
      <c r="S568" s="167" t="s">
        <v>848</v>
      </c>
      <c r="T568" s="162" t="s">
        <v>800</v>
      </c>
      <c r="U568" s="167" t="s">
        <v>804</v>
      </c>
      <c r="X568" s="169">
        <v>45018</v>
      </c>
      <c r="Y568" s="170">
        <v>5</v>
      </c>
      <c r="Z568" s="170">
        <v>0</v>
      </c>
      <c r="AA568" s="170">
        <v>0</v>
      </c>
      <c r="AB568" s="170">
        <v>0</v>
      </c>
      <c r="AC568" s="171">
        <v>5</v>
      </c>
      <c r="AD568" s="172">
        <v>803827.88077000005</v>
      </c>
      <c r="AE568" s="173">
        <v>5</v>
      </c>
      <c r="AF568" s="174">
        <v>46357</v>
      </c>
    </row>
    <row r="569" spans="1:32" ht="30" x14ac:dyDescent="0.35">
      <c r="A569" s="162" t="s">
        <v>980</v>
      </c>
      <c r="B569" s="163" t="s">
        <v>981</v>
      </c>
      <c r="C569" s="154"/>
      <c r="D569" s="162" t="s">
        <v>245</v>
      </c>
      <c r="E569" s="164" t="s">
        <v>245</v>
      </c>
      <c r="F569" s="164" t="s">
        <v>981</v>
      </c>
      <c r="G569" s="164" t="s">
        <v>980</v>
      </c>
      <c r="H569" s="165">
        <v>32874</v>
      </c>
      <c r="I569" s="164" t="s">
        <v>20</v>
      </c>
      <c r="J569" s="164" t="s">
        <v>21</v>
      </c>
      <c r="K569" s="165">
        <v>43283</v>
      </c>
      <c r="L569" s="166" t="s">
        <v>168</v>
      </c>
      <c r="M569" s="154"/>
      <c r="N569" s="154"/>
      <c r="O569" s="164" t="s">
        <v>44</v>
      </c>
      <c r="P569" s="164">
        <v>36</v>
      </c>
      <c r="Q569" s="164">
        <v>8</v>
      </c>
      <c r="R569" s="167" t="s">
        <v>931</v>
      </c>
      <c r="S569" s="167" t="s">
        <v>848</v>
      </c>
      <c r="T569" s="162" t="s">
        <v>800</v>
      </c>
      <c r="U569" s="167" t="s">
        <v>840</v>
      </c>
      <c r="X569" s="169">
        <v>45018</v>
      </c>
      <c r="Y569" s="170">
        <v>2.4999999966690001</v>
      </c>
      <c r="Z569" s="170">
        <v>0.41666667000000002</v>
      </c>
      <c r="AA569" s="170">
        <v>0</v>
      </c>
      <c r="AB569" s="170">
        <v>0</v>
      </c>
      <c r="AC569" s="171">
        <v>2.9166666666690002</v>
      </c>
      <c r="AD569" s="172">
        <v>468899.59710999997</v>
      </c>
      <c r="AE569" s="173">
        <v>2.92</v>
      </c>
      <c r="AF569" s="174">
        <v>46357</v>
      </c>
    </row>
    <row r="570" spans="1:32" ht="20" x14ac:dyDescent="0.35">
      <c r="A570" s="162" t="s">
        <v>983</v>
      </c>
      <c r="B570" s="163" t="s">
        <v>984</v>
      </c>
      <c r="C570" s="154"/>
      <c r="D570" s="162" t="s">
        <v>247</v>
      </c>
      <c r="E570" s="164" t="s">
        <v>247</v>
      </c>
      <c r="F570" s="164" t="s">
        <v>984</v>
      </c>
      <c r="G570" s="164" t="s">
        <v>983</v>
      </c>
      <c r="H570" s="165">
        <v>30077</v>
      </c>
      <c r="I570" s="164" t="s">
        <v>20</v>
      </c>
      <c r="J570" s="164" t="s">
        <v>21</v>
      </c>
      <c r="K570" s="165">
        <v>43313</v>
      </c>
      <c r="L570" s="166" t="s">
        <v>249</v>
      </c>
      <c r="M570" s="154"/>
      <c r="N570" s="154"/>
      <c r="O570" s="164" t="s">
        <v>250</v>
      </c>
      <c r="P570" s="164">
        <v>44</v>
      </c>
      <c r="Q570" s="164">
        <v>7</v>
      </c>
      <c r="R570" s="167" t="s">
        <v>985</v>
      </c>
      <c r="S570" s="167" t="s">
        <v>844</v>
      </c>
      <c r="T570" s="162" t="s">
        <v>794</v>
      </c>
      <c r="U570" s="167" t="s">
        <v>833</v>
      </c>
      <c r="V570" s="162" t="s">
        <v>979</v>
      </c>
      <c r="W570" s="168">
        <v>7</v>
      </c>
      <c r="X570" s="169">
        <v>45018</v>
      </c>
      <c r="Y570" s="170">
        <v>25.666666663335999</v>
      </c>
      <c r="Z570" s="170">
        <v>2.1666666700000001</v>
      </c>
      <c r="AA570" s="170">
        <v>0</v>
      </c>
      <c r="AB570" s="170">
        <v>0</v>
      </c>
      <c r="AC570" s="171">
        <v>27.833333333336</v>
      </c>
      <c r="AD570" s="172">
        <v>41182713.856859997</v>
      </c>
      <c r="AE570" s="173" t="s">
        <v>797</v>
      </c>
      <c r="AF570" s="173"/>
    </row>
    <row r="571" spans="1:32" ht="20" x14ac:dyDescent="0.35">
      <c r="A571" s="162" t="s">
        <v>983</v>
      </c>
      <c r="B571" s="163" t="s">
        <v>984</v>
      </c>
      <c r="C571" s="154"/>
      <c r="D571" s="162" t="s">
        <v>247</v>
      </c>
      <c r="E571" s="164" t="s">
        <v>247</v>
      </c>
      <c r="F571" s="164" t="s">
        <v>984</v>
      </c>
      <c r="G571" s="164" t="s">
        <v>983</v>
      </c>
      <c r="H571" s="165">
        <v>30077</v>
      </c>
      <c r="I571" s="164" t="s">
        <v>20</v>
      </c>
      <c r="J571" s="164" t="s">
        <v>21</v>
      </c>
      <c r="K571" s="165">
        <v>43313</v>
      </c>
      <c r="L571" s="166" t="s">
        <v>249</v>
      </c>
      <c r="M571" s="154"/>
      <c r="N571" s="154"/>
      <c r="O571" s="164" t="s">
        <v>250</v>
      </c>
      <c r="P571" s="164">
        <v>44</v>
      </c>
      <c r="Q571" s="164">
        <v>7</v>
      </c>
      <c r="R571" s="167" t="s">
        <v>985</v>
      </c>
      <c r="S571" s="167" t="s">
        <v>844</v>
      </c>
      <c r="T571" s="162" t="s">
        <v>798</v>
      </c>
      <c r="U571" s="167" t="s">
        <v>799</v>
      </c>
      <c r="X571" s="169">
        <v>45018</v>
      </c>
      <c r="Y571" s="170">
        <v>180</v>
      </c>
      <c r="Z571" s="170">
        <v>0</v>
      </c>
      <c r="AA571" s="170">
        <v>0</v>
      </c>
      <c r="AB571" s="170">
        <v>0</v>
      </c>
      <c r="AC571" s="171">
        <v>180</v>
      </c>
      <c r="AD571" s="172">
        <v>266331323.14614001</v>
      </c>
      <c r="AE571" s="173">
        <v>180</v>
      </c>
      <c r="AF571" s="174">
        <v>46357</v>
      </c>
    </row>
    <row r="572" spans="1:32" ht="20" x14ac:dyDescent="0.35">
      <c r="A572" s="162" t="s">
        <v>983</v>
      </c>
      <c r="B572" s="163" t="s">
        <v>984</v>
      </c>
      <c r="C572" s="154"/>
      <c r="D572" s="162" t="s">
        <v>247</v>
      </c>
      <c r="E572" s="164" t="s">
        <v>247</v>
      </c>
      <c r="F572" s="164" t="s">
        <v>984</v>
      </c>
      <c r="G572" s="164" t="s">
        <v>983</v>
      </c>
      <c r="H572" s="165">
        <v>30077</v>
      </c>
      <c r="I572" s="164" t="s">
        <v>20</v>
      </c>
      <c r="J572" s="164" t="s">
        <v>21</v>
      </c>
      <c r="K572" s="165">
        <v>43313</v>
      </c>
      <c r="L572" s="166" t="s">
        <v>249</v>
      </c>
      <c r="M572" s="154"/>
      <c r="N572" s="154"/>
      <c r="O572" s="164" t="s">
        <v>250</v>
      </c>
      <c r="P572" s="164">
        <v>44</v>
      </c>
      <c r="Q572" s="164">
        <v>7</v>
      </c>
      <c r="R572" s="167" t="s">
        <v>985</v>
      </c>
      <c r="S572" s="167" t="s">
        <v>844</v>
      </c>
      <c r="T572" s="162" t="s">
        <v>800</v>
      </c>
      <c r="U572" s="167" t="s">
        <v>801</v>
      </c>
      <c r="X572" s="169">
        <v>45018</v>
      </c>
      <c r="Y572" s="170">
        <v>26</v>
      </c>
      <c r="Z572" s="170">
        <v>0</v>
      </c>
      <c r="AA572" s="170">
        <v>0</v>
      </c>
      <c r="AB572" s="170">
        <v>0</v>
      </c>
      <c r="AC572" s="171">
        <v>26</v>
      </c>
      <c r="AD572" s="172">
        <v>38470080.009999998</v>
      </c>
      <c r="AE572" s="173">
        <v>26</v>
      </c>
      <c r="AF572" s="174">
        <v>46357</v>
      </c>
    </row>
    <row r="573" spans="1:32" ht="20" x14ac:dyDescent="0.35">
      <c r="A573" s="162" t="s">
        <v>983</v>
      </c>
      <c r="B573" s="163" t="s">
        <v>984</v>
      </c>
      <c r="C573" s="154"/>
      <c r="D573" s="162" t="s">
        <v>247</v>
      </c>
      <c r="E573" s="164" t="s">
        <v>247</v>
      </c>
      <c r="F573" s="164" t="s">
        <v>984</v>
      </c>
      <c r="G573" s="164" t="s">
        <v>983</v>
      </c>
      <c r="H573" s="165">
        <v>30077</v>
      </c>
      <c r="I573" s="164" t="s">
        <v>20</v>
      </c>
      <c r="J573" s="164" t="s">
        <v>21</v>
      </c>
      <c r="K573" s="165">
        <v>43313</v>
      </c>
      <c r="L573" s="166" t="s">
        <v>249</v>
      </c>
      <c r="M573" s="154"/>
      <c r="N573" s="154"/>
      <c r="O573" s="164" t="s">
        <v>250</v>
      </c>
      <c r="P573" s="164">
        <v>44</v>
      </c>
      <c r="Q573" s="164">
        <v>7</v>
      </c>
      <c r="R573" s="167" t="s">
        <v>985</v>
      </c>
      <c r="S573" s="167" t="s">
        <v>844</v>
      </c>
      <c r="T573" s="162" t="s">
        <v>800</v>
      </c>
      <c r="U573" s="167" t="s">
        <v>802</v>
      </c>
      <c r="X573" s="169">
        <v>45018</v>
      </c>
      <c r="Y573" s="170">
        <v>98</v>
      </c>
      <c r="Z573" s="170">
        <v>0</v>
      </c>
      <c r="AA573" s="170">
        <v>0</v>
      </c>
      <c r="AB573" s="170">
        <v>0</v>
      </c>
      <c r="AC573" s="171">
        <v>98</v>
      </c>
      <c r="AD573" s="172">
        <v>145002609.26844999</v>
      </c>
      <c r="AE573" s="173">
        <v>98</v>
      </c>
      <c r="AF573" s="174">
        <v>46357</v>
      </c>
    </row>
    <row r="574" spans="1:32" ht="20" x14ac:dyDescent="0.35">
      <c r="A574" s="162" t="s">
        <v>983</v>
      </c>
      <c r="B574" s="163" t="s">
        <v>984</v>
      </c>
      <c r="C574" s="154"/>
      <c r="D574" s="162" t="s">
        <v>247</v>
      </c>
      <c r="E574" s="164" t="s">
        <v>247</v>
      </c>
      <c r="F574" s="164" t="s">
        <v>984</v>
      </c>
      <c r="G574" s="164" t="s">
        <v>983</v>
      </c>
      <c r="H574" s="165">
        <v>30077</v>
      </c>
      <c r="I574" s="164" t="s">
        <v>20</v>
      </c>
      <c r="J574" s="164" t="s">
        <v>21</v>
      </c>
      <c r="K574" s="165">
        <v>43313</v>
      </c>
      <c r="L574" s="166" t="s">
        <v>249</v>
      </c>
      <c r="M574" s="154"/>
      <c r="N574" s="154"/>
      <c r="O574" s="164" t="s">
        <v>250</v>
      </c>
      <c r="P574" s="164">
        <v>44</v>
      </c>
      <c r="Q574" s="164">
        <v>7</v>
      </c>
      <c r="R574" s="167" t="s">
        <v>985</v>
      </c>
      <c r="S574" s="167" t="s">
        <v>844</v>
      </c>
      <c r="T574" s="162" t="s">
        <v>800</v>
      </c>
      <c r="U574" s="167" t="s">
        <v>803</v>
      </c>
      <c r="X574" s="169">
        <v>45018</v>
      </c>
      <c r="Y574" s="170">
        <v>2</v>
      </c>
      <c r="Z574" s="170">
        <v>0</v>
      </c>
      <c r="AA574" s="170">
        <v>0</v>
      </c>
      <c r="AB574" s="170">
        <v>0</v>
      </c>
      <c r="AC574" s="171">
        <v>2</v>
      </c>
      <c r="AD574" s="172">
        <v>2959236.9238499999</v>
      </c>
      <c r="AE574" s="173">
        <v>2</v>
      </c>
      <c r="AF574" s="174">
        <v>46357</v>
      </c>
    </row>
    <row r="575" spans="1:32" ht="20" x14ac:dyDescent="0.35">
      <c r="A575" s="162" t="s">
        <v>983</v>
      </c>
      <c r="B575" s="163" t="s">
        <v>984</v>
      </c>
      <c r="C575" s="154"/>
      <c r="D575" s="162" t="s">
        <v>247</v>
      </c>
      <c r="E575" s="164" t="s">
        <v>247</v>
      </c>
      <c r="F575" s="164" t="s">
        <v>984</v>
      </c>
      <c r="G575" s="164" t="s">
        <v>983</v>
      </c>
      <c r="H575" s="165">
        <v>30077</v>
      </c>
      <c r="I575" s="164" t="s">
        <v>20</v>
      </c>
      <c r="J575" s="164" t="s">
        <v>21</v>
      </c>
      <c r="K575" s="165">
        <v>43313</v>
      </c>
      <c r="L575" s="166" t="s">
        <v>249</v>
      </c>
      <c r="M575" s="154"/>
      <c r="N575" s="154"/>
      <c r="O575" s="164" t="s">
        <v>250</v>
      </c>
      <c r="P575" s="164">
        <v>44</v>
      </c>
      <c r="Q575" s="164">
        <v>7</v>
      </c>
      <c r="R575" s="167" t="s">
        <v>985</v>
      </c>
      <c r="S575" s="167" t="s">
        <v>844</v>
      </c>
      <c r="T575" s="162" t="s">
        <v>800</v>
      </c>
      <c r="U575" s="167" t="s">
        <v>804</v>
      </c>
      <c r="X575" s="169">
        <v>45018</v>
      </c>
      <c r="Y575" s="170">
        <v>5</v>
      </c>
      <c r="Z575" s="170">
        <v>0</v>
      </c>
      <c r="AA575" s="170">
        <v>0</v>
      </c>
      <c r="AB575" s="170">
        <v>0</v>
      </c>
      <c r="AC575" s="171">
        <v>5</v>
      </c>
      <c r="AD575" s="172">
        <v>7398092.3096099999</v>
      </c>
      <c r="AE575" s="173">
        <v>5</v>
      </c>
      <c r="AF575" s="174">
        <v>46357</v>
      </c>
    </row>
    <row r="576" spans="1:32" ht="20" x14ac:dyDescent="0.35">
      <c r="A576" s="162" t="s">
        <v>983</v>
      </c>
      <c r="B576" s="163" t="s">
        <v>984</v>
      </c>
      <c r="C576" s="154"/>
      <c r="D576" s="162" t="s">
        <v>247</v>
      </c>
      <c r="E576" s="164" t="s">
        <v>247</v>
      </c>
      <c r="F576" s="164" t="s">
        <v>984</v>
      </c>
      <c r="G576" s="164" t="s">
        <v>983</v>
      </c>
      <c r="H576" s="165">
        <v>30077</v>
      </c>
      <c r="I576" s="164" t="s">
        <v>20</v>
      </c>
      <c r="J576" s="164" t="s">
        <v>21</v>
      </c>
      <c r="K576" s="165">
        <v>43313</v>
      </c>
      <c r="L576" s="166" t="s">
        <v>249</v>
      </c>
      <c r="M576" s="154"/>
      <c r="N576" s="154"/>
      <c r="O576" s="164" t="s">
        <v>250</v>
      </c>
      <c r="P576" s="164">
        <v>44</v>
      </c>
      <c r="Q576" s="164">
        <v>7</v>
      </c>
      <c r="R576" s="167" t="s">
        <v>985</v>
      </c>
      <c r="S576" s="167" t="s">
        <v>844</v>
      </c>
      <c r="T576" s="162" t="s">
        <v>800</v>
      </c>
      <c r="U576" s="167" t="s">
        <v>805</v>
      </c>
      <c r="X576" s="169">
        <v>45018</v>
      </c>
      <c r="Y576" s="170">
        <v>2.4999999966690001</v>
      </c>
      <c r="Z576" s="170">
        <v>0.41666667000000002</v>
      </c>
      <c r="AA576" s="170">
        <v>0</v>
      </c>
      <c r="AB576" s="170">
        <v>0</v>
      </c>
      <c r="AC576" s="171">
        <v>2.9166666666690002</v>
      </c>
      <c r="AD576" s="172">
        <v>4315553.8472800003</v>
      </c>
      <c r="AE576" s="173">
        <v>2.92</v>
      </c>
      <c r="AF576" s="174">
        <v>46357</v>
      </c>
    </row>
    <row r="577" spans="1:32" ht="20" x14ac:dyDescent="0.35">
      <c r="A577" s="162" t="s">
        <v>854</v>
      </c>
      <c r="B577" s="163" t="s">
        <v>981</v>
      </c>
      <c r="C577" s="154"/>
      <c r="D577" s="162" t="s">
        <v>251</v>
      </c>
      <c r="E577" s="164" t="s">
        <v>251</v>
      </c>
      <c r="F577" s="164" t="s">
        <v>981</v>
      </c>
      <c r="G577" s="164" t="s">
        <v>854</v>
      </c>
      <c r="H577" s="165">
        <v>31303</v>
      </c>
      <c r="I577" s="164" t="s">
        <v>20</v>
      </c>
      <c r="J577" s="164" t="s">
        <v>21</v>
      </c>
      <c r="K577" s="165">
        <v>43374</v>
      </c>
      <c r="L577" s="166" t="s">
        <v>253</v>
      </c>
      <c r="M577" s="154"/>
      <c r="N577" s="154"/>
      <c r="O577" s="164" t="s">
        <v>57</v>
      </c>
      <c r="P577" s="164">
        <v>40</v>
      </c>
      <c r="Q577" s="164">
        <v>7</v>
      </c>
      <c r="R577" s="167" t="s">
        <v>986</v>
      </c>
      <c r="S577" s="167" t="s">
        <v>832</v>
      </c>
      <c r="T577" s="162" t="s">
        <v>794</v>
      </c>
      <c r="U577" s="167" t="s">
        <v>833</v>
      </c>
      <c r="V577" s="162" t="s">
        <v>979</v>
      </c>
      <c r="W577" s="168">
        <v>7</v>
      </c>
      <c r="X577" s="169">
        <v>45171</v>
      </c>
      <c r="Y577" s="170">
        <v>3.0933333300029999</v>
      </c>
      <c r="Z577" s="170">
        <v>2.1666666700000001</v>
      </c>
      <c r="AA577" s="170">
        <v>0</v>
      </c>
      <c r="AB577" s="170">
        <v>0</v>
      </c>
      <c r="AC577" s="171">
        <v>5.2600000000030001</v>
      </c>
      <c r="AD577" s="172">
        <v>1756407.1626899999</v>
      </c>
      <c r="AE577" s="173" t="s">
        <v>797</v>
      </c>
      <c r="AF577" s="173"/>
    </row>
    <row r="578" spans="1:32" ht="20" x14ac:dyDescent="0.35">
      <c r="A578" s="162" t="s">
        <v>854</v>
      </c>
      <c r="B578" s="163" t="s">
        <v>981</v>
      </c>
      <c r="C578" s="154"/>
      <c r="D578" s="162" t="s">
        <v>251</v>
      </c>
      <c r="E578" s="164" t="s">
        <v>251</v>
      </c>
      <c r="F578" s="164" t="s">
        <v>981</v>
      </c>
      <c r="G578" s="164" t="s">
        <v>854</v>
      </c>
      <c r="H578" s="165">
        <v>31303</v>
      </c>
      <c r="I578" s="164" t="s">
        <v>20</v>
      </c>
      <c r="J578" s="164" t="s">
        <v>21</v>
      </c>
      <c r="K578" s="165">
        <v>43374</v>
      </c>
      <c r="L578" s="166" t="s">
        <v>253</v>
      </c>
      <c r="M578" s="154"/>
      <c r="N578" s="154"/>
      <c r="O578" s="164" t="s">
        <v>57</v>
      </c>
      <c r="P578" s="164">
        <v>40</v>
      </c>
      <c r="Q578" s="164">
        <v>7</v>
      </c>
      <c r="R578" s="167" t="s">
        <v>986</v>
      </c>
      <c r="S578" s="167" t="s">
        <v>832</v>
      </c>
      <c r="T578" s="162" t="s">
        <v>798</v>
      </c>
      <c r="U578" s="167" t="s">
        <v>799</v>
      </c>
      <c r="X578" s="169">
        <v>45171</v>
      </c>
      <c r="Y578" s="170">
        <v>180</v>
      </c>
      <c r="Z578" s="170">
        <v>0</v>
      </c>
      <c r="AA578" s="170">
        <v>0</v>
      </c>
      <c r="AB578" s="170">
        <v>0</v>
      </c>
      <c r="AC578" s="171">
        <v>180</v>
      </c>
      <c r="AD578" s="172">
        <v>60105188.076839998</v>
      </c>
      <c r="AE578" s="173">
        <v>180</v>
      </c>
      <c r="AF578" s="174">
        <v>46357</v>
      </c>
    </row>
    <row r="579" spans="1:32" ht="20" x14ac:dyDescent="0.35">
      <c r="A579" s="162" t="s">
        <v>854</v>
      </c>
      <c r="B579" s="163" t="s">
        <v>981</v>
      </c>
      <c r="C579" s="154"/>
      <c r="D579" s="162" t="s">
        <v>251</v>
      </c>
      <c r="E579" s="164" t="s">
        <v>251</v>
      </c>
      <c r="F579" s="164" t="s">
        <v>981</v>
      </c>
      <c r="G579" s="164" t="s">
        <v>854</v>
      </c>
      <c r="H579" s="165">
        <v>31303</v>
      </c>
      <c r="I579" s="164" t="s">
        <v>20</v>
      </c>
      <c r="J579" s="164" t="s">
        <v>21</v>
      </c>
      <c r="K579" s="165">
        <v>43374</v>
      </c>
      <c r="L579" s="166" t="s">
        <v>253</v>
      </c>
      <c r="M579" s="154"/>
      <c r="N579" s="154"/>
      <c r="O579" s="164" t="s">
        <v>57</v>
      </c>
      <c r="P579" s="164">
        <v>40</v>
      </c>
      <c r="Q579" s="164">
        <v>7</v>
      </c>
      <c r="R579" s="167" t="s">
        <v>986</v>
      </c>
      <c r="S579" s="167" t="s">
        <v>832</v>
      </c>
      <c r="T579" s="162" t="s">
        <v>800</v>
      </c>
      <c r="U579" s="167" t="s">
        <v>801</v>
      </c>
      <c r="X579" s="169">
        <v>45171</v>
      </c>
      <c r="Y579" s="170">
        <v>26</v>
      </c>
      <c r="Z579" s="170">
        <v>0</v>
      </c>
      <c r="AA579" s="170">
        <v>0</v>
      </c>
      <c r="AB579" s="170">
        <v>0</v>
      </c>
      <c r="AC579" s="171">
        <v>26</v>
      </c>
      <c r="AD579" s="172">
        <v>8681860.4999899995</v>
      </c>
      <c r="AE579" s="173">
        <v>26</v>
      </c>
      <c r="AF579" s="174">
        <v>46357</v>
      </c>
    </row>
    <row r="580" spans="1:32" ht="20" x14ac:dyDescent="0.35">
      <c r="A580" s="162" t="s">
        <v>854</v>
      </c>
      <c r="B580" s="163" t="s">
        <v>981</v>
      </c>
      <c r="C580" s="154"/>
      <c r="D580" s="162" t="s">
        <v>251</v>
      </c>
      <c r="E580" s="164" t="s">
        <v>251</v>
      </c>
      <c r="F580" s="164" t="s">
        <v>981</v>
      </c>
      <c r="G580" s="164" t="s">
        <v>854</v>
      </c>
      <c r="H580" s="165">
        <v>31303</v>
      </c>
      <c r="I580" s="164" t="s">
        <v>20</v>
      </c>
      <c r="J580" s="164" t="s">
        <v>21</v>
      </c>
      <c r="K580" s="165">
        <v>43374</v>
      </c>
      <c r="L580" s="166" t="s">
        <v>253</v>
      </c>
      <c r="M580" s="154"/>
      <c r="N580" s="154"/>
      <c r="O580" s="164" t="s">
        <v>57</v>
      </c>
      <c r="P580" s="164">
        <v>40</v>
      </c>
      <c r="Q580" s="164">
        <v>7</v>
      </c>
      <c r="R580" s="167" t="s">
        <v>986</v>
      </c>
      <c r="S580" s="167" t="s">
        <v>832</v>
      </c>
      <c r="T580" s="162" t="s">
        <v>800</v>
      </c>
      <c r="U580" s="167" t="s">
        <v>802</v>
      </c>
      <c r="X580" s="169">
        <v>45171</v>
      </c>
      <c r="Y580" s="170">
        <v>98</v>
      </c>
      <c r="Z580" s="170">
        <v>0</v>
      </c>
      <c r="AA580" s="170">
        <v>0</v>
      </c>
      <c r="AB580" s="170">
        <v>0</v>
      </c>
      <c r="AC580" s="171">
        <v>98</v>
      </c>
      <c r="AD580" s="172">
        <v>32723935.730719998</v>
      </c>
      <c r="AE580" s="173">
        <v>98</v>
      </c>
      <c r="AF580" s="174">
        <v>46357</v>
      </c>
    </row>
    <row r="581" spans="1:32" ht="20" x14ac:dyDescent="0.35">
      <c r="A581" s="162" t="s">
        <v>854</v>
      </c>
      <c r="B581" s="163" t="s">
        <v>981</v>
      </c>
      <c r="C581" s="154"/>
      <c r="D581" s="162" t="s">
        <v>251</v>
      </c>
      <c r="E581" s="164" t="s">
        <v>251</v>
      </c>
      <c r="F581" s="164" t="s">
        <v>981</v>
      </c>
      <c r="G581" s="164" t="s">
        <v>854</v>
      </c>
      <c r="H581" s="165">
        <v>31303</v>
      </c>
      <c r="I581" s="164" t="s">
        <v>20</v>
      </c>
      <c r="J581" s="164" t="s">
        <v>21</v>
      </c>
      <c r="K581" s="165">
        <v>43374</v>
      </c>
      <c r="L581" s="166" t="s">
        <v>253</v>
      </c>
      <c r="M581" s="154"/>
      <c r="N581" s="154"/>
      <c r="O581" s="164" t="s">
        <v>57</v>
      </c>
      <c r="P581" s="164">
        <v>40</v>
      </c>
      <c r="Q581" s="164">
        <v>7</v>
      </c>
      <c r="R581" s="167" t="s">
        <v>986</v>
      </c>
      <c r="S581" s="167" t="s">
        <v>832</v>
      </c>
      <c r="T581" s="162" t="s">
        <v>800</v>
      </c>
      <c r="U581" s="167" t="s">
        <v>803</v>
      </c>
      <c r="X581" s="169">
        <v>45171</v>
      </c>
      <c r="Y581" s="170">
        <v>2</v>
      </c>
      <c r="Z581" s="170">
        <v>0</v>
      </c>
      <c r="AA581" s="170">
        <v>0</v>
      </c>
      <c r="AB581" s="170">
        <v>0</v>
      </c>
      <c r="AC581" s="171">
        <v>2</v>
      </c>
      <c r="AD581" s="172">
        <v>667835.42307999998</v>
      </c>
      <c r="AE581" s="173">
        <v>2</v>
      </c>
      <c r="AF581" s="174">
        <v>46357</v>
      </c>
    </row>
    <row r="582" spans="1:32" ht="20" x14ac:dyDescent="0.35">
      <c r="A582" s="162" t="s">
        <v>854</v>
      </c>
      <c r="B582" s="163" t="s">
        <v>981</v>
      </c>
      <c r="C582" s="154"/>
      <c r="D582" s="162" t="s">
        <v>251</v>
      </c>
      <c r="E582" s="164" t="s">
        <v>251</v>
      </c>
      <c r="F582" s="164" t="s">
        <v>981</v>
      </c>
      <c r="G582" s="164" t="s">
        <v>854</v>
      </c>
      <c r="H582" s="165">
        <v>31303</v>
      </c>
      <c r="I582" s="164" t="s">
        <v>20</v>
      </c>
      <c r="J582" s="164" t="s">
        <v>21</v>
      </c>
      <c r="K582" s="165">
        <v>43374</v>
      </c>
      <c r="L582" s="166" t="s">
        <v>253</v>
      </c>
      <c r="M582" s="154"/>
      <c r="N582" s="154"/>
      <c r="O582" s="164" t="s">
        <v>57</v>
      </c>
      <c r="P582" s="164">
        <v>40</v>
      </c>
      <c r="Q582" s="164">
        <v>7</v>
      </c>
      <c r="R582" s="167" t="s">
        <v>986</v>
      </c>
      <c r="S582" s="167" t="s">
        <v>832</v>
      </c>
      <c r="T582" s="162" t="s">
        <v>800</v>
      </c>
      <c r="U582" s="167" t="s">
        <v>804</v>
      </c>
      <c r="X582" s="169">
        <v>45171</v>
      </c>
      <c r="Y582" s="170">
        <v>5</v>
      </c>
      <c r="Z582" s="170">
        <v>0</v>
      </c>
      <c r="AA582" s="170">
        <v>0</v>
      </c>
      <c r="AB582" s="170">
        <v>0</v>
      </c>
      <c r="AC582" s="171">
        <v>5</v>
      </c>
      <c r="AD582" s="172">
        <v>1669588.5576899999</v>
      </c>
      <c r="AE582" s="173">
        <v>5</v>
      </c>
      <c r="AF582" s="174">
        <v>46357</v>
      </c>
    </row>
    <row r="583" spans="1:32" ht="20" x14ac:dyDescent="0.35">
      <c r="A583" s="162" t="s">
        <v>854</v>
      </c>
      <c r="B583" s="163" t="s">
        <v>981</v>
      </c>
      <c r="C583" s="154"/>
      <c r="D583" s="162" t="s">
        <v>251</v>
      </c>
      <c r="E583" s="164" t="s">
        <v>251</v>
      </c>
      <c r="F583" s="164" t="s">
        <v>981</v>
      </c>
      <c r="G583" s="164" t="s">
        <v>854</v>
      </c>
      <c r="H583" s="165">
        <v>31303</v>
      </c>
      <c r="I583" s="164" t="s">
        <v>20</v>
      </c>
      <c r="J583" s="164" t="s">
        <v>21</v>
      </c>
      <c r="K583" s="165">
        <v>43374</v>
      </c>
      <c r="L583" s="166" t="s">
        <v>253</v>
      </c>
      <c r="M583" s="154"/>
      <c r="N583" s="154"/>
      <c r="O583" s="164" t="s">
        <v>57</v>
      </c>
      <c r="P583" s="164">
        <v>40</v>
      </c>
      <c r="Q583" s="164">
        <v>7</v>
      </c>
      <c r="R583" s="167" t="s">
        <v>986</v>
      </c>
      <c r="S583" s="167" t="s">
        <v>832</v>
      </c>
      <c r="T583" s="162" t="s">
        <v>800</v>
      </c>
      <c r="U583" s="167" t="s">
        <v>805</v>
      </c>
      <c r="X583" s="169">
        <v>45171</v>
      </c>
      <c r="Y583" s="170">
        <v>-2.5000000033309999</v>
      </c>
      <c r="Z583" s="170">
        <v>0.41666667000000002</v>
      </c>
      <c r="AA583" s="170">
        <v>0</v>
      </c>
      <c r="AB583" s="170">
        <v>0</v>
      </c>
      <c r="AC583" s="171">
        <v>-2.0833333333309998</v>
      </c>
      <c r="AD583" s="172">
        <v>-695661.89904000005</v>
      </c>
      <c r="AE583" s="173">
        <v>0</v>
      </c>
      <c r="AF583" s="174">
        <v>46357</v>
      </c>
    </row>
    <row r="584" spans="1:32" ht="20" x14ac:dyDescent="0.35">
      <c r="A584" s="162" t="s">
        <v>987</v>
      </c>
      <c r="B584" s="163" t="s">
        <v>988</v>
      </c>
      <c r="C584" s="154"/>
      <c r="D584" s="162" t="s">
        <v>255</v>
      </c>
      <c r="E584" s="164" t="s">
        <v>255</v>
      </c>
      <c r="F584" s="164" t="s">
        <v>988</v>
      </c>
      <c r="G584" s="164" t="s">
        <v>987</v>
      </c>
      <c r="H584" s="165">
        <v>30898</v>
      </c>
      <c r="I584" s="164" t="s">
        <v>20</v>
      </c>
      <c r="J584" s="164" t="s">
        <v>21</v>
      </c>
      <c r="K584" s="165">
        <v>43360</v>
      </c>
      <c r="L584" s="166" t="s">
        <v>257</v>
      </c>
      <c r="M584" s="154"/>
      <c r="N584" s="154"/>
      <c r="O584" s="164" t="s">
        <v>29</v>
      </c>
      <c r="P584" s="164">
        <v>41</v>
      </c>
      <c r="Q584" s="164">
        <v>7</v>
      </c>
      <c r="R584" s="167" t="s">
        <v>951</v>
      </c>
      <c r="S584" s="167" t="s">
        <v>848</v>
      </c>
      <c r="T584" s="162" t="s">
        <v>794</v>
      </c>
      <c r="U584" s="167" t="s">
        <v>795</v>
      </c>
      <c r="V584" s="162" t="s">
        <v>982</v>
      </c>
      <c r="W584" s="168">
        <v>7</v>
      </c>
      <c r="X584" s="169">
        <v>45018</v>
      </c>
      <c r="Y584" s="170">
        <v>5.5833333333389996</v>
      </c>
      <c r="Z584" s="170">
        <v>2</v>
      </c>
      <c r="AA584" s="170">
        <v>0</v>
      </c>
      <c r="AB584" s="170">
        <v>0</v>
      </c>
      <c r="AC584" s="171">
        <v>7.5833333333389996</v>
      </c>
      <c r="AD584" s="172">
        <v>1987381.8008300001</v>
      </c>
      <c r="AE584" s="173" t="s">
        <v>797</v>
      </c>
      <c r="AF584" s="173"/>
    </row>
    <row r="585" spans="1:32" ht="20" x14ac:dyDescent="0.35">
      <c r="A585" s="162" t="s">
        <v>987</v>
      </c>
      <c r="B585" s="163" t="s">
        <v>988</v>
      </c>
      <c r="C585" s="154"/>
      <c r="D585" s="162" t="s">
        <v>255</v>
      </c>
      <c r="E585" s="164" t="s">
        <v>255</v>
      </c>
      <c r="F585" s="164" t="s">
        <v>988</v>
      </c>
      <c r="G585" s="164" t="s">
        <v>987</v>
      </c>
      <c r="H585" s="165">
        <v>30898</v>
      </c>
      <c r="I585" s="164" t="s">
        <v>20</v>
      </c>
      <c r="J585" s="164" t="s">
        <v>21</v>
      </c>
      <c r="K585" s="165">
        <v>43360</v>
      </c>
      <c r="L585" s="166" t="s">
        <v>257</v>
      </c>
      <c r="M585" s="154"/>
      <c r="N585" s="154"/>
      <c r="O585" s="164" t="s">
        <v>29</v>
      </c>
      <c r="P585" s="164">
        <v>41</v>
      </c>
      <c r="Q585" s="164">
        <v>7</v>
      </c>
      <c r="R585" s="167" t="s">
        <v>951</v>
      </c>
      <c r="S585" s="167" t="s">
        <v>848</v>
      </c>
      <c r="T585" s="162" t="s">
        <v>798</v>
      </c>
      <c r="U585" s="167" t="s">
        <v>839</v>
      </c>
      <c r="X585" s="169">
        <v>45018</v>
      </c>
      <c r="Y585" s="170">
        <v>180</v>
      </c>
      <c r="Z585" s="170">
        <v>0</v>
      </c>
      <c r="AA585" s="170">
        <v>0</v>
      </c>
      <c r="AB585" s="170">
        <v>0</v>
      </c>
      <c r="AC585" s="171">
        <v>180</v>
      </c>
      <c r="AD585" s="172">
        <v>47173018.569119997</v>
      </c>
      <c r="AE585" s="173">
        <v>180</v>
      </c>
      <c r="AF585" s="174">
        <v>46357</v>
      </c>
    </row>
    <row r="586" spans="1:32" ht="20" x14ac:dyDescent="0.35">
      <c r="A586" s="162" t="s">
        <v>987</v>
      </c>
      <c r="B586" s="163" t="s">
        <v>988</v>
      </c>
      <c r="C586" s="154"/>
      <c r="D586" s="162" t="s">
        <v>255</v>
      </c>
      <c r="E586" s="164" t="s">
        <v>255</v>
      </c>
      <c r="F586" s="164" t="s">
        <v>988</v>
      </c>
      <c r="G586" s="164" t="s">
        <v>987</v>
      </c>
      <c r="H586" s="165">
        <v>30898</v>
      </c>
      <c r="I586" s="164" t="s">
        <v>20</v>
      </c>
      <c r="J586" s="164" t="s">
        <v>21</v>
      </c>
      <c r="K586" s="165">
        <v>43360</v>
      </c>
      <c r="L586" s="166" t="s">
        <v>257</v>
      </c>
      <c r="M586" s="154"/>
      <c r="N586" s="154"/>
      <c r="O586" s="164" t="s">
        <v>29</v>
      </c>
      <c r="P586" s="164">
        <v>41</v>
      </c>
      <c r="Q586" s="164">
        <v>7</v>
      </c>
      <c r="R586" s="167" t="s">
        <v>951</v>
      </c>
      <c r="S586" s="167" t="s">
        <v>848</v>
      </c>
      <c r="T586" s="162" t="s">
        <v>800</v>
      </c>
      <c r="U586" s="167" t="s">
        <v>801</v>
      </c>
      <c r="X586" s="169">
        <v>45018</v>
      </c>
      <c r="Y586" s="170">
        <v>26</v>
      </c>
      <c r="Z586" s="170">
        <v>0</v>
      </c>
      <c r="AA586" s="170">
        <v>0</v>
      </c>
      <c r="AB586" s="170">
        <v>0</v>
      </c>
      <c r="AC586" s="171">
        <v>26</v>
      </c>
      <c r="AD586" s="172">
        <v>6813880.4599799998</v>
      </c>
      <c r="AE586" s="173">
        <v>26</v>
      </c>
      <c r="AF586" s="174">
        <v>46357</v>
      </c>
    </row>
    <row r="587" spans="1:32" ht="20" x14ac:dyDescent="0.35">
      <c r="A587" s="162" t="s">
        <v>987</v>
      </c>
      <c r="B587" s="163" t="s">
        <v>988</v>
      </c>
      <c r="C587" s="154"/>
      <c r="D587" s="162" t="s">
        <v>255</v>
      </c>
      <c r="E587" s="164" t="s">
        <v>255</v>
      </c>
      <c r="F587" s="164" t="s">
        <v>988</v>
      </c>
      <c r="G587" s="164" t="s">
        <v>987</v>
      </c>
      <c r="H587" s="165">
        <v>30898</v>
      </c>
      <c r="I587" s="164" t="s">
        <v>20</v>
      </c>
      <c r="J587" s="164" t="s">
        <v>21</v>
      </c>
      <c r="K587" s="165">
        <v>43360</v>
      </c>
      <c r="L587" s="166" t="s">
        <v>257</v>
      </c>
      <c r="M587" s="154"/>
      <c r="N587" s="154"/>
      <c r="O587" s="164" t="s">
        <v>29</v>
      </c>
      <c r="P587" s="164">
        <v>41</v>
      </c>
      <c r="Q587" s="164">
        <v>7</v>
      </c>
      <c r="R587" s="167" t="s">
        <v>951</v>
      </c>
      <c r="S587" s="167" t="s">
        <v>848</v>
      </c>
      <c r="T587" s="162" t="s">
        <v>800</v>
      </c>
      <c r="U587" s="167" t="s">
        <v>802</v>
      </c>
      <c r="X587" s="169">
        <v>45018</v>
      </c>
      <c r="Y587" s="170">
        <v>98</v>
      </c>
      <c r="Z587" s="170">
        <v>0</v>
      </c>
      <c r="AA587" s="170">
        <v>0</v>
      </c>
      <c r="AB587" s="170">
        <v>0</v>
      </c>
      <c r="AC587" s="171">
        <v>98</v>
      </c>
      <c r="AD587" s="172">
        <v>25683087.887630001</v>
      </c>
      <c r="AE587" s="173">
        <v>98</v>
      </c>
      <c r="AF587" s="174">
        <v>46357</v>
      </c>
    </row>
    <row r="588" spans="1:32" ht="20" x14ac:dyDescent="0.35">
      <c r="A588" s="162" t="s">
        <v>987</v>
      </c>
      <c r="B588" s="163" t="s">
        <v>988</v>
      </c>
      <c r="C588" s="154"/>
      <c r="D588" s="162" t="s">
        <v>255</v>
      </c>
      <c r="E588" s="164" t="s">
        <v>255</v>
      </c>
      <c r="F588" s="164" t="s">
        <v>988</v>
      </c>
      <c r="G588" s="164" t="s">
        <v>987</v>
      </c>
      <c r="H588" s="165">
        <v>30898</v>
      </c>
      <c r="I588" s="164" t="s">
        <v>20</v>
      </c>
      <c r="J588" s="164" t="s">
        <v>21</v>
      </c>
      <c r="K588" s="165">
        <v>43360</v>
      </c>
      <c r="L588" s="166" t="s">
        <v>257</v>
      </c>
      <c r="M588" s="154"/>
      <c r="N588" s="154"/>
      <c r="O588" s="164" t="s">
        <v>29</v>
      </c>
      <c r="P588" s="164">
        <v>41</v>
      </c>
      <c r="Q588" s="164">
        <v>7</v>
      </c>
      <c r="R588" s="167" t="s">
        <v>951</v>
      </c>
      <c r="S588" s="167" t="s">
        <v>848</v>
      </c>
      <c r="T588" s="162" t="s">
        <v>800</v>
      </c>
      <c r="U588" s="167" t="s">
        <v>803</v>
      </c>
      <c r="X588" s="169">
        <v>45018</v>
      </c>
      <c r="Y588" s="170">
        <v>2</v>
      </c>
      <c r="Z588" s="170">
        <v>0</v>
      </c>
      <c r="AA588" s="170">
        <v>0</v>
      </c>
      <c r="AB588" s="170">
        <v>0</v>
      </c>
      <c r="AC588" s="171">
        <v>2</v>
      </c>
      <c r="AD588" s="172">
        <v>524144.65077000001</v>
      </c>
      <c r="AE588" s="173">
        <v>2</v>
      </c>
      <c r="AF588" s="174">
        <v>46357</v>
      </c>
    </row>
    <row r="589" spans="1:32" ht="20" x14ac:dyDescent="0.35">
      <c r="A589" s="162" t="s">
        <v>987</v>
      </c>
      <c r="B589" s="163" t="s">
        <v>988</v>
      </c>
      <c r="C589" s="154"/>
      <c r="D589" s="162" t="s">
        <v>255</v>
      </c>
      <c r="E589" s="164" t="s">
        <v>255</v>
      </c>
      <c r="F589" s="164" t="s">
        <v>988</v>
      </c>
      <c r="G589" s="164" t="s">
        <v>987</v>
      </c>
      <c r="H589" s="165">
        <v>30898</v>
      </c>
      <c r="I589" s="164" t="s">
        <v>20</v>
      </c>
      <c r="J589" s="164" t="s">
        <v>21</v>
      </c>
      <c r="K589" s="165">
        <v>43360</v>
      </c>
      <c r="L589" s="166" t="s">
        <v>257</v>
      </c>
      <c r="M589" s="154"/>
      <c r="N589" s="154"/>
      <c r="O589" s="164" t="s">
        <v>29</v>
      </c>
      <c r="P589" s="164">
        <v>41</v>
      </c>
      <c r="Q589" s="164">
        <v>7</v>
      </c>
      <c r="R589" s="167" t="s">
        <v>951</v>
      </c>
      <c r="S589" s="167" t="s">
        <v>848</v>
      </c>
      <c r="T589" s="162" t="s">
        <v>800</v>
      </c>
      <c r="U589" s="167" t="s">
        <v>804</v>
      </c>
      <c r="X589" s="169">
        <v>45018</v>
      </c>
      <c r="Y589" s="170">
        <v>5</v>
      </c>
      <c r="Z589" s="170">
        <v>0</v>
      </c>
      <c r="AA589" s="170">
        <v>0</v>
      </c>
      <c r="AB589" s="170">
        <v>0</v>
      </c>
      <c r="AC589" s="171">
        <v>5</v>
      </c>
      <c r="AD589" s="172">
        <v>1310361.62692</v>
      </c>
      <c r="AE589" s="173">
        <v>5</v>
      </c>
      <c r="AF589" s="174">
        <v>46357</v>
      </c>
    </row>
    <row r="590" spans="1:32" ht="20" x14ac:dyDescent="0.35">
      <c r="A590" s="162" t="s">
        <v>987</v>
      </c>
      <c r="B590" s="163" t="s">
        <v>988</v>
      </c>
      <c r="C590" s="154"/>
      <c r="D590" s="162" t="s">
        <v>255</v>
      </c>
      <c r="E590" s="164" t="s">
        <v>255</v>
      </c>
      <c r="F590" s="164" t="s">
        <v>988</v>
      </c>
      <c r="G590" s="164" t="s">
        <v>987</v>
      </c>
      <c r="H590" s="165">
        <v>30898</v>
      </c>
      <c r="I590" s="164" t="s">
        <v>20</v>
      </c>
      <c r="J590" s="164" t="s">
        <v>21</v>
      </c>
      <c r="K590" s="165">
        <v>43360</v>
      </c>
      <c r="L590" s="166" t="s">
        <v>257</v>
      </c>
      <c r="M590" s="154"/>
      <c r="N590" s="154"/>
      <c r="O590" s="164" t="s">
        <v>29</v>
      </c>
      <c r="P590" s="164">
        <v>41</v>
      </c>
      <c r="Q590" s="164">
        <v>7</v>
      </c>
      <c r="R590" s="167" t="s">
        <v>951</v>
      </c>
      <c r="S590" s="167" t="s">
        <v>848</v>
      </c>
      <c r="T590" s="162" t="s">
        <v>800</v>
      </c>
      <c r="U590" s="167" t="s">
        <v>840</v>
      </c>
      <c r="X590" s="169">
        <v>45018</v>
      </c>
      <c r="Y590" s="170">
        <v>2.4999999966690001</v>
      </c>
      <c r="Z590" s="170">
        <v>0.41666667000000002</v>
      </c>
      <c r="AA590" s="170">
        <v>0</v>
      </c>
      <c r="AB590" s="170">
        <v>0</v>
      </c>
      <c r="AC590" s="171">
        <v>2.9166666666690002</v>
      </c>
      <c r="AD590" s="172">
        <v>764377.61569999997</v>
      </c>
      <c r="AE590" s="173">
        <v>2.92</v>
      </c>
      <c r="AF590" s="174">
        <v>46357</v>
      </c>
    </row>
    <row r="591" spans="1:32" ht="20" x14ac:dyDescent="0.35">
      <c r="A591" s="162" t="s">
        <v>989</v>
      </c>
      <c r="B591" s="163" t="s">
        <v>990</v>
      </c>
      <c r="C591" s="154"/>
      <c r="D591" s="162" t="s">
        <v>258</v>
      </c>
      <c r="E591" s="164" t="s">
        <v>258</v>
      </c>
      <c r="F591" s="164" t="s">
        <v>990</v>
      </c>
      <c r="G591" s="164" t="s">
        <v>989</v>
      </c>
      <c r="H591" s="165">
        <v>32435</v>
      </c>
      <c r="I591" s="164" t="s">
        <v>20</v>
      </c>
      <c r="J591" s="164" t="s">
        <v>21</v>
      </c>
      <c r="K591" s="165">
        <v>43570</v>
      </c>
      <c r="L591" s="166" t="s">
        <v>201</v>
      </c>
      <c r="M591" s="154"/>
      <c r="N591" s="154"/>
      <c r="O591" s="164" t="s">
        <v>57</v>
      </c>
      <c r="P591" s="164">
        <v>37</v>
      </c>
      <c r="Q591" s="164">
        <v>7</v>
      </c>
      <c r="R591" s="167" t="s">
        <v>847</v>
      </c>
      <c r="S591" s="167" t="s">
        <v>848</v>
      </c>
      <c r="T591" s="162" t="s">
        <v>794</v>
      </c>
      <c r="U591" s="167" t="s">
        <v>833</v>
      </c>
      <c r="V591" s="162" t="s">
        <v>979</v>
      </c>
      <c r="W591" s="168">
        <v>7</v>
      </c>
      <c r="X591" s="169">
        <v>45383</v>
      </c>
      <c r="Y591" s="170">
        <v>7.9999999966680004</v>
      </c>
      <c r="Z591" s="170">
        <v>2.1666666700000001</v>
      </c>
      <c r="AA591" s="170">
        <v>0</v>
      </c>
      <c r="AB591" s="170">
        <v>0</v>
      </c>
      <c r="AC591" s="171">
        <v>10.166666666668</v>
      </c>
      <c r="AD591" s="172">
        <v>3819091.3706399999</v>
      </c>
      <c r="AE591" s="173" t="s">
        <v>797</v>
      </c>
      <c r="AF591" s="173"/>
    </row>
    <row r="592" spans="1:32" x14ac:dyDescent="0.35">
      <c r="A592" s="162" t="s">
        <v>989</v>
      </c>
      <c r="B592" s="163" t="s">
        <v>990</v>
      </c>
      <c r="C592" s="154"/>
      <c r="D592" s="162" t="s">
        <v>258</v>
      </c>
      <c r="E592" s="164" t="s">
        <v>258</v>
      </c>
      <c r="F592" s="164" t="s">
        <v>990</v>
      </c>
      <c r="G592" s="164" t="s">
        <v>989</v>
      </c>
      <c r="H592" s="165">
        <v>32435</v>
      </c>
      <c r="I592" s="164" t="s">
        <v>20</v>
      </c>
      <c r="J592" s="164" t="s">
        <v>21</v>
      </c>
      <c r="K592" s="165">
        <v>43570</v>
      </c>
      <c r="L592" s="166" t="s">
        <v>201</v>
      </c>
      <c r="M592" s="154"/>
      <c r="N592" s="154"/>
      <c r="O592" s="164" t="s">
        <v>57</v>
      </c>
      <c r="P592" s="164">
        <v>37</v>
      </c>
      <c r="Q592" s="164">
        <v>7</v>
      </c>
      <c r="R592" s="167" t="s">
        <v>847</v>
      </c>
      <c r="S592" s="167" t="s">
        <v>848</v>
      </c>
      <c r="T592" s="162" t="s">
        <v>798</v>
      </c>
      <c r="U592" s="167" t="s">
        <v>799</v>
      </c>
      <c r="X592" s="169">
        <v>45383</v>
      </c>
      <c r="Y592" s="170">
        <v>175</v>
      </c>
      <c r="Z592" s="170">
        <v>0</v>
      </c>
      <c r="AA592" s="170">
        <v>0</v>
      </c>
      <c r="AB592" s="170">
        <v>0</v>
      </c>
      <c r="AC592" s="171">
        <v>175</v>
      </c>
      <c r="AD592" s="172">
        <v>65738458.019149996</v>
      </c>
      <c r="AE592" s="173">
        <v>175</v>
      </c>
      <c r="AF592" s="174">
        <v>46357</v>
      </c>
    </row>
    <row r="593" spans="1:32" x14ac:dyDescent="0.35">
      <c r="A593" s="162" t="s">
        <v>989</v>
      </c>
      <c r="B593" s="163" t="s">
        <v>990</v>
      </c>
      <c r="C593" s="154"/>
      <c r="D593" s="162" t="s">
        <v>258</v>
      </c>
      <c r="E593" s="164" t="s">
        <v>258</v>
      </c>
      <c r="F593" s="164" t="s">
        <v>990</v>
      </c>
      <c r="G593" s="164" t="s">
        <v>989</v>
      </c>
      <c r="H593" s="165">
        <v>32435</v>
      </c>
      <c r="I593" s="164" t="s">
        <v>20</v>
      </c>
      <c r="J593" s="164" t="s">
        <v>21</v>
      </c>
      <c r="K593" s="165">
        <v>43570</v>
      </c>
      <c r="L593" s="166" t="s">
        <v>201</v>
      </c>
      <c r="M593" s="154"/>
      <c r="N593" s="154"/>
      <c r="O593" s="164" t="s">
        <v>57</v>
      </c>
      <c r="P593" s="164">
        <v>37</v>
      </c>
      <c r="Q593" s="164">
        <v>7</v>
      </c>
      <c r="R593" s="167" t="s">
        <v>847</v>
      </c>
      <c r="S593" s="167" t="s">
        <v>848</v>
      </c>
      <c r="T593" s="162" t="s">
        <v>800</v>
      </c>
      <c r="U593" s="167" t="s">
        <v>801</v>
      </c>
      <c r="X593" s="169">
        <v>45383</v>
      </c>
      <c r="Y593" s="170">
        <v>26</v>
      </c>
      <c r="Z593" s="170">
        <v>0</v>
      </c>
      <c r="AA593" s="170">
        <v>0</v>
      </c>
      <c r="AB593" s="170">
        <v>0</v>
      </c>
      <c r="AC593" s="171">
        <v>26</v>
      </c>
      <c r="AD593" s="172">
        <v>9766856.6199900005</v>
      </c>
      <c r="AE593" s="173">
        <v>26</v>
      </c>
      <c r="AF593" s="174">
        <v>46357</v>
      </c>
    </row>
    <row r="594" spans="1:32" x14ac:dyDescent="0.35">
      <c r="A594" s="162" t="s">
        <v>989</v>
      </c>
      <c r="B594" s="163" t="s">
        <v>990</v>
      </c>
      <c r="C594" s="154"/>
      <c r="D594" s="162" t="s">
        <v>258</v>
      </c>
      <c r="E594" s="164" t="s">
        <v>258</v>
      </c>
      <c r="F594" s="164" t="s">
        <v>990</v>
      </c>
      <c r="G594" s="164" t="s">
        <v>989</v>
      </c>
      <c r="H594" s="165">
        <v>32435</v>
      </c>
      <c r="I594" s="164" t="s">
        <v>20</v>
      </c>
      <c r="J594" s="164" t="s">
        <v>21</v>
      </c>
      <c r="K594" s="165">
        <v>43570</v>
      </c>
      <c r="L594" s="166" t="s">
        <v>201</v>
      </c>
      <c r="M594" s="154"/>
      <c r="N594" s="154"/>
      <c r="O594" s="164" t="s">
        <v>57</v>
      </c>
      <c r="P594" s="164">
        <v>37</v>
      </c>
      <c r="Q594" s="164">
        <v>7</v>
      </c>
      <c r="R594" s="167" t="s">
        <v>847</v>
      </c>
      <c r="S594" s="167" t="s">
        <v>848</v>
      </c>
      <c r="T594" s="162" t="s">
        <v>800</v>
      </c>
      <c r="U594" s="167" t="s">
        <v>802</v>
      </c>
      <c r="X594" s="169">
        <v>45383</v>
      </c>
      <c r="Y594" s="170">
        <v>98</v>
      </c>
      <c r="Z594" s="170">
        <v>0</v>
      </c>
      <c r="AA594" s="170">
        <v>0</v>
      </c>
      <c r="AB594" s="170">
        <v>0</v>
      </c>
      <c r="AC594" s="171">
        <v>98</v>
      </c>
      <c r="AD594" s="172">
        <v>36813536.490719996</v>
      </c>
      <c r="AE594" s="173">
        <v>98</v>
      </c>
      <c r="AF594" s="174">
        <v>46357</v>
      </c>
    </row>
    <row r="595" spans="1:32" x14ac:dyDescent="0.35">
      <c r="A595" s="162" t="s">
        <v>989</v>
      </c>
      <c r="B595" s="163" t="s">
        <v>990</v>
      </c>
      <c r="C595" s="154"/>
      <c r="D595" s="162" t="s">
        <v>258</v>
      </c>
      <c r="E595" s="164" t="s">
        <v>258</v>
      </c>
      <c r="F595" s="164" t="s">
        <v>990</v>
      </c>
      <c r="G595" s="164" t="s">
        <v>989</v>
      </c>
      <c r="H595" s="165">
        <v>32435</v>
      </c>
      <c r="I595" s="164" t="s">
        <v>20</v>
      </c>
      <c r="J595" s="164" t="s">
        <v>21</v>
      </c>
      <c r="K595" s="165">
        <v>43570</v>
      </c>
      <c r="L595" s="166" t="s">
        <v>201</v>
      </c>
      <c r="M595" s="154"/>
      <c r="N595" s="154"/>
      <c r="O595" s="164" t="s">
        <v>57</v>
      </c>
      <c r="P595" s="164">
        <v>37</v>
      </c>
      <c r="Q595" s="164">
        <v>7</v>
      </c>
      <c r="R595" s="167" t="s">
        <v>847</v>
      </c>
      <c r="S595" s="167" t="s">
        <v>848</v>
      </c>
      <c r="T595" s="162" t="s">
        <v>800</v>
      </c>
      <c r="U595" s="167" t="s">
        <v>803</v>
      </c>
      <c r="X595" s="169">
        <v>45383</v>
      </c>
      <c r="Y595" s="170">
        <v>2</v>
      </c>
      <c r="Z595" s="170">
        <v>0</v>
      </c>
      <c r="AA595" s="170">
        <v>0</v>
      </c>
      <c r="AB595" s="170">
        <v>0</v>
      </c>
      <c r="AC595" s="171">
        <v>2</v>
      </c>
      <c r="AD595" s="172">
        <v>751296.66307999997</v>
      </c>
      <c r="AE595" s="173">
        <v>2</v>
      </c>
      <c r="AF595" s="174">
        <v>46357</v>
      </c>
    </row>
    <row r="596" spans="1:32" x14ac:dyDescent="0.35">
      <c r="A596" s="162" t="s">
        <v>989</v>
      </c>
      <c r="B596" s="163" t="s">
        <v>990</v>
      </c>
      <c r="C596" s="154"/>
      <c r="D596" s="162" t="s">
        <v>258</v>
      </c>
      <c r="E596" s="164" t="s">
        <v>258</v>
      </c>
      <c r="F596" s="164" t="s">
        <v>990</v>
      </c>
      <c r="G596" s="164" t="s">
        <v>989</v>
      </c>
      <c r="H596" s="165">
        <v>32435</v>
      </c>
      <c r="I596" s="164" t="s">
        <v>20</v>
      </c>
      <c r="J596" s="164" t="s">
        <v>21</v>
      </c>
      <c r="K596" s="165">
        <v>43570</v>
      </c>
      <c r="L596" s="166" t="s">
        <v>201</v>
      </c>
      <c r="M596" s="154"/>
      <c r="N596" s="154"/>
      <c r="O596" s="164" t="s">
        <v>57</v>
      </c>
      <c r="P596" s="164">
        <v>37</v>
      </c>
      <c r="Q596" s="164">
        <v>7</v>
      </c>
      <c r="R596" s="167" t="s">
        <v>847</v>
      </c>
      <c r="S596" s="167" t="s">
        <v>848</v>
      </c>
      <c r="T596" s="162" t="s">
        <v>800</v>
      </c>
      <c r="U596" s="167" t="s">
        <v>804</v>
      </c>
      <c r="X596" s="169">
        <v>45383</v>
      </c>
      <c r="Y596" s="170">
        <v>5</v>
      </c>
      <c r="Z596" s="170">
        <v>0</v>
      </c>
      <c r="AA596" s="170">
        <v>0</v>
      </c>
      <c r="AB596" s="170">
        <v>0</v>
      </c>
      <c r="AC596" s="171">
        <v>5</v>
      </c>
      <c r="AD596" s="172">
        <v>1878241.65769</v>
      </c>
      <c r="AE596" s="173">
        <v>5</v>
      </c>
      <c r="AF596" s="174">
        <v>46357</v>
      </c>
    </row>
    <row r="597" spans="1:32" x14ac:dyDescent="0.35">
      <c r="A597" s="162" t="s">
        <v>989</v>
      </c>
      <c r="B597" s="163" t="s">
        <v>990</v>
      </c>
      <c r="C597" s="154"/>
      <c r="D597" s="162" t="s">
        <v>258</v>
      </c>
      <c r="E597" s="164" t="s">
        <v>258</v>
      </c>
      <c r="F597" s="164" t="s">
        <v>990</v>
      </c>
      <c r="G597" s="164" t="s">
        <v>989</v>
      </c>
      <c r="H597" s="165">
        <v>32435</v>
      </c>
      <c r="I597" s="164" t="s">
        <v>20</v>
      </c>
      <c r="J597" s="164" t="s">
        <v>21</v>
      </c>
      <c r="K597" s="165">
        <v>43570</v>
      </c>
      <c r="L597" s="166" t="s">
        <v>201</v>
      </c>
      <c r="M597" s="154"/>
      <c r="N597" s="154"/>
      <c r="O597" s="164" t="s">
        <v>57</v>
      </c>
      <c r="P597" s="164">
        <v>37</v>
      </c>
      <c r="Q597" s="164">
        <v>7</v>
      </c>
      <c r="R597" s="167" t="s">
        <v>847</v>
      </c>
      <c r="S597" s="167" t="s">
        <v>848</v>
      </c>
      <c r="T597" s="162" t="s">
        <v>800</v>
      </c>
      <c r="U597" s="167" t="s">
        <v>805</v>
      </c>
      <c r="X597" s="169">
        <v>45383</v>
      </c>
      <c r="Y597" s="170">
        <v>2.4999999966690001</v>
      </c>
      <c r="Z597" s="170">
        <v>0.41666667000000002</v>
      </c>
      <c r="AA597" s="170">
        <v>0</v>
      </c>
      <c r="AB597" s="170">
        <v>0</v>
      </c>
      <c r="AC597" s="171">
        <v>2.9166666666690002</v>
      </c>
      <c r="AD597" s="172">
        <v>1095640.9669900001</v>
      </c>
      <c r="AE597" s="173">
        <v>2.92</v>
      </c>
      <c r="AF597" s="174">
        <v>46357</v>
      </c>
    </row>
    <row r="598" spans="1:32" ht="20" x14ac:dyDescent="0.35">
      <c r="A598" s="162" t="s">
        <v>991</v>
      </c>
      <c r="B598" s="163" t="s">
        <v>992</v>
      </c>
      <c r="C598" s="154"/>
      <c r="D598" s="162" t="s">
        <v>260</v>
      </c>
      <c r="E598" s="164" t="s">
        <v>260</v>
      </c>
      <c r="F598" s="164" t="s">
        <v>992</v>
      </c>
      <c r="G598" s="164" t="s">
        <v>991</v>
      </c>
      <c r="H598" s="165">
        <v>33329</v>
      </c>
      <c r="I598" s="164" t="s">
        <v>20</v>
      </c>
      <c r="J598" s="164" t="s">
        <v>21</v>
      </c>
      <c r="K598" s="165">
        <v>43647</v>
      </c>
      <c r="L598" s="166" t="s">
        <v>262</v>
      </c>
      <c r="M598" s="154"/>
      <c r="N598" s="154"/>
      <c r="O598" s="164" t="s">
        <v>29</v>
      </c>
      <c r="P598" s="164">
        <v>35</v>
      </c>
      <c r="Q598" s="164">
        <v>7</v>
      </c>
      <c r="R598" s="167" t="s">
        <v>958</v>
      </c>
      <c r="S598" s="167" t="s">
        <v>844</v>
      </c>
      <c r="T598" s="162" t="s">
        <v>794</v>
      </c>
      <c r="U598" s="167" t="s">
        <v>795</v>
      </c>
      <c r="V598" s="162" t="s">
        <v>982</v>
      </c>
      <c r="W598" s="168">
        <v>7</v>
      </c>
      <c r="X598" s="169">
        <v>45018</v>
      </c>
      <c r="Y598" s="170">
        <v>20</v>
      </c>
      <c r="Z598" s="170">
        <v>2</v>
      </c>
      <c r="AA598" s="170">
        <v>0</v>
      </c>
      <c r="AB598" s="170">
        <v>0</v>
      </c>
      <c r="AC598" s="171">
        <v>22</v>
      </c>
      <c r="AD598" s="172">
        <v>5815086.4792200001</v>
      </c>
      <c r="AE598" s="173" t="s">
        <v>797</v>
      </c>
      <c r="AF598" s="173"/>
    </row>
    <row r="599" spans="1:32" x14ac:dyDescent="0.35">
      <c r="A599" s="162" t="s">
        <v>991</v>
      </c>
      <c r="B599" s="163" t="s">
        <v>992</v>
      </c>
      <c r="C599" s="154"/>
      <c r="D599" s="162" t="s">
        <v>260</v>
      </c>
      <c r="E599" s="164" t="s">
        <v>260</v>
      </c>
      <c r="F599" s="164" t="s">
        <v>992</v>
      </c>
      <c r="G599" s="164" t="s">
        <v>991</v>
      </c>
      <c r="H599" s="165">
        <v>33329</v>
      </c>
      <c r="I599" s="164" t="s">
        <v>20</v>
      </c>
      <c r="J599" s="164" t="s">
        <v>21</v>
      </c>
      <c r="K599" s="165">
        <v>43647</v>
      </c>
      <c r="L599" s="166" t="s">
        <v>262</v>
      </c>
      <c r="M599" s="154"/>
      <c r="N599" s="154"/>
      <c r="O599" s="164" t="s">
        <v>29</v>
      </c>
      <c r="P599" s="164">
        <v>35</v>
      </c>
      <c r="Q599" s="164">
        <v>7</v>
      </c>
      <c r="R599" s="167" t="s">
        <v>958</v>
      </c>
      <c r="S599" s="167" t="s">
        <v>844</v>
      </c>
      <c r="T599" s="162" t="s">
        <v>798</v>
      </c>
      <c r="U599" s="167" t="s">
        <v>839</v>
      </c>
      <c r="X599" s="169">
        <v>45018</v>
      </c>
      <c r="Y599" s="170">
        <v>180</v>
      </c>
      <c r="Z599" s="170">
        <v>0</v>
      </c>
      <c r="AA599" s="170">
        <v>0</v>
      </c>
      <c r="AB599" s="170">
        <v>0</v>
      </c>
      <c r="AC599" s="171">
        <v>180</v>
      </c>
      <c r="AD599" s="172">
        <v>47577980.284560002</v>
      </c>
      <c r="AE599" s="173">
        <v>180</v>
      </c>
      <c r="AF599" s="174">
        <v>46357</v>
      </c>
    </row>
    <row r="600" spans="1:32" x14ac:dyDescent="0.35">
      <c r="A600" s="162" t="s">
        <v>991</v>
      </c>
      <c r="B600" s="163" t="s">
        <v>992</v>
      </c>
      <c r="C600" s="154"/>
      <c r="D600" s="162" t="s">
        <v>260</v>
      </c>
      <c r="E600" s="164" t="s">
        <v>260</v>
      </c>
      <c r="F600" s="164" t="s">
        <v>992</v>
      </c>
      <c r="G600" s="164" t="s">
        <v>991</v>
      </c>
      <c r="H600" s="165">
        <v>33329</v>
      </c>
      <c r="I600" s="164" t="s">
        <v>20</v>
      </c>
      <c r="J600" s="164" t="s">
        <v>21</v>
      </c>
      <c r="K600" s="165">
        <v>43647</v>
      </c>
      <c r="L600" s="166" t="s">
        <v>262</v>
      </c>
      <c r="M600" s="154"/>
      <c r="N600" s="154"/>
      <c r="O600" s="164" t="s">
        <v>29</v>
      </c>
      <c r="P600" s="164">
        <v>35</v>
      </c>
      <c r="Q600" s="164">
        <v>7</v>
      </c>
      <c r="R600" s="167" t="s">
        <v>958</v>
      </c>
      <c r="S600" s="167" t="s">
        <v>844</v>
      </c>
      <c r="T600" s="162" t="s">
        <v>800</v>
      </c>
      <c r="U600" s="167" t="s">
        <v>801</v>
      </c>
      <c r="X600" s="169">
        <v>45018</v>
      </c>
      <c r="Y600" s="170">
        <v>26</v>
      </c>
      <c r="Z600" s="170">
        <v>0</v>
      </c>
      <c r="AA600" s="170">
        <v>0</v>
      </c>
      <c r="AB600" s="170">
        <v>0</v>
      </c>
      <c r="AC600" s="171">
        <v>26</v>
      </c>
      <c r="AD600" s="172">
        <v>6872374.9299900001</v>
      </c>
      <c r="AE600" s="173">
        <v>26</v>
      </c>
      <c r="AF600" s="174">
        <v>46357</v>
      </c>
    </row>
    <row r="601" spans="1:32" x14ac:dyDescent="0.35">
      <c r="A601" s="162" t="s">
        <v>991</v>
      </c>
      <c r="B601" s="163" t="s">
        <v>992</v>
      </c>
      <c r="C601" s="154"/>
      <c r="D601" s="162" t="s">
        <v>260</v>
      </c>
      <c r="E601" s="164" t="s">
        <v>260</v>
      </c>
      <c r="F601" s="164" t="s">
        <v>992</v>
      </c>
      <c r="G601" s="164" t="s">
        <v>991</v>
      </c>
      <c r="H601" s="165">
        <v>33329</v>
      </c>
      <c r="I601" s="164" t="s">
        <v>20</v>
      </c>
      <c r="J601" s="164" t="s">
        <v>21</v>
      </c>
      <c r="K601" s="165">
        <v>43647</v>
      </c>
      <c r="L601" s="166" t="s">
        <v>262</v>
      </c>
      <c r="M601" s="154"/>
      <c r="N601" s="154"/>
      <c r="O601" s="164" t="s">
        <v>29</v>
      </c>
      <c r="P601" s="164">
        <v>35</v>
      </c>
      <c r="Q601" s="164">
        <v>7</v>
      </c>
      <c r="R601" s="167" t="s">
        <v>958</v>
      </c>
      <c r="S601" s="167" t="s">
        <v>844</v>
      </c>
      <c r="T601" s="162" t="s">
        <v>800</v>
      </c>
      <c r="U601" s="167" t="s">
        <v>802</v>
      </c>
      <c r="X601" s="169">
        <v>45018</v>
      </c>
      <c r="Y601" s="170">
        <v>98</v>
      </c>
      <c r="Z601" s="170">
        <v>0</v>
      </c>
      <c r="AA601" s="170">
        <v>0</v>
      </c>
      <c r="AB601" s="170">
        <v>0</v>
      </c>
      <c r="AC601" s="171">
        <v>98</v>
      </c>
      <c r="AD601" s="172">
        <v>25903567.043820001</v>
      </c>
      <c r="AE601" s="173">
        <v>98</v>
      </c>
      <c r="AF601" s="174">
        <v>46357</v>
      </c>
    </row>
    <row r="602" spans="1:32" x14ac:dyDescent="0.35">
      <c r="A602" s="162" t="s">
        <v>991</v>
      </c>
      <c r="B602" s="163" t="s">
        <v>992</v>
      </c>
      <c r="C602" s="154"/>
      <c r="D602" s="162" t="s">
        <v>260</v>
      </c>
      <c r="E602" s="164" t="s">
        <v>260</v>
      </c>
      <c r="F602" s="164" t="s">
        <v>992</v>
      </c>
      <c r="G602" s="164" t="s">
        <v>991</v>
      </c>
      <c r="H602" s="165">
        <v>33329</v>
      </c>
      <c r="I602" s="164" t="s">
        <v>20</v>
      </c>
      <c r="J602" s="164" t="s">
        <v>21</v>
      </c>
      <c r="K602" s="165">
        <v>43647</v>
      </c>
      <c r="L602" s="166" t="s">
        <v>262</v>
      </c>
      <c r="M602" s="154"/>
      <c r="N602" s="154"/>
      <c r="O602" s="164" t="s">
        <v>29</v>
      </c>
      <c r="P602" s="164">
        <v>35</v>
      </c>
      <c r="Q602" s="164">
        <v>7</v>
      </c>
      <c r="R602" s="167" t="s">
        <v>958</v>
      </c>
      <c r="S602" s="167" t="s">
        <v>844</v>
      </c>
      <c r="T602" s="162" t="s">
        <v>800</v>
      </c>
      <c r="U602" s="167" t="s">
        <v>803</v>
      </c>
      <c r="X602" s="169">
        <v>45018</v>
      </c>
      <c r="Y602" s="170">
        <v>2</v>
      </c>
      <c r="Z602" s="170">
        <v>0</v>
      </c>
      <c r="AA602" s="170">
        <v>0</v>
      </c>
      <c r="AB602" s="170">
        <v>0</v>
      </c>
      <c r="AC602" s="171">
        <v>2</v>
      </c>
      <c r="AD602" s="172">
        <v>528644.22537999996</v>
      </c>
      <c r="AE602" s="173">
        <v>2</v>
      </c>
      <c r="AF602" s="174">
        <v>46357</v>
      </c>
    </row>
    <row r="603" spans="1:32" x14ac:dyDescent="0.35">
      <c r="A603" s="162" t="s">
        <v>991</v>
      </c>
      <c r="B603" s="163" t="s">
        <v>992</v>
      </c>
      <c r="C603" s="154"/>
      <c r="D603" s="162" t="s">
        <v>260</v>
      </c>
      <c r="E603" s="164" t="s">
        <v>260</v>
      </c>
      <c r="F603" s="164" t="s">
        <v>992</v>
      </c>
      <c r="G603" s="164" t="s">
        <v>991</v>
      </c>
      <c r="H603" s="165">
        <v>33329</v>
      </c>
      <c r="I603" s="164" t="s">
        <v>20</v>
      </c>
      <c r="J603" s="164" t="s">
        <v>21</v>
      </c>
      <c r="K603" s="165">
        <v>43647</v>
      </c>
      <c r="L603" s="166" t="s">
        <v>262</v>
      </c>
      <c r="M603" s="154"/>
      <c r="N603" s="154"/>
      <c r="O603" s="164" t="s">
        <v>29</v>
      </c>
      <c r="P603" s="164">
        <v>35</v>
      </c>
      <c r="Q603" s="164">
        <v>7</v>
      </c>
      <c r="R603" s="167" t="s">
        <v>958</v>
      </c>
      <c r="S603" s="167" t="s">
        <v>844</v>
      </c>
      <c r="T603" s="162" t="s">
        <v>800</v>
      </c>
      <c r="U603" s="167" t="s">
        <v>804</v>
      </c>
      <c r="X603" s="169">
        <v>45018</v>
      </c>
      <c r="Y603" s="170">
        <v>5</v>
      </c>
      <c r="Z603" s="170">
        <v>0</v>
      </c>
      <c r="AA603" s="170">
        <v>0</v>
      </c>
      <c r="AB603" s="170">
        <v>0</v>
      </c>
      <c r="AC603" s="171">
        <v>5</v>
      </c>
      <c r="AD603" s="172">
        <v>1321610.5634600001</v>
      </c>
      <c r="AE603" s="173">
        <v>5</v>
      </c>
      <c r="AF603" s="174">
        <v>46357</v>
      </c>
    </row>
    <row r="604" spans="1:32" x14ac:dyDescent="0.35">
      <c r="A604" s="162" t="s">
        <v>991</v>
      </c>
      <c r="B604" s="163" t="s">
        <v>992</v>
      </c>
      <c r="C604" s="154"/>
      <c r="D604" s="162" t="s">
        <v>260</v>
      </c>
      <c r="E604" s="164" t="s">
        <v>260</v>
      </c>
      <c r="F604" s="164" t="s">
        <v>992</v>
      </c>
      <c r="G604" s="164" t="s">
        <v>991</v>
      </c>
      <c r="H604" s="165">
        <v>33329</v>
      </c>
      <c r="I604" s="164" t="s">
        <v>20</v>
      </c>
      <c r="J604" s="164" t="s">
        <v>21</v>
      </c>
      <c r="K604" s="165">
        <v>43647</v>
      </c>
      <c r="L604" s="166" t="s">
        <v>262</v>
      </c>
      <c r="M604" s="154"/>
      <c r="N604" s="154"/>
      <c r="O604" s="164" t="s">
        <v>29</v>
      </c>
      <c r="P604" s="164">
        <v>35</v>
      </c>
      <c r="Q604" s="164">
        <v>7</v>
      </c>
      <c r="R604" s="167" t="s">
        <v>958</v>
      </c>
      <c r="S604" s="167" t="s">
        <v>844</v>
      </c>
      <c r="T604" s="162" t="s">
        <v>800</v>
      </c>
      <c r="U604" s="167" t="s">
        <v>840</v>
      </c>
      <c r="X604" s="169">
        <v>45018</v>
      </c>
      <c r="Y604" s="170">
        <v>2.4999999966690001</v>
      </c>
      <c r="Z604" s="170">
        <v>0.41666667000000002</v>
      </c>
      <c r="AA604" s="170">
        <v>0</v>
      </c>
      <c r="AB604" s="170">
        <v>0</v>
      </c>
      <c r="AC604" s="171">
        <v>2.9166666666690002</v>
      </c>
      <c r="AD604" s="172">
        <v>770939.49534999998</v>
      </c>
      <c r="AE604" s="173">
        <v>2.92</v>
      </c>
      <c r="AF604" s="174">
        <v>46357</v>
      </c>
    </row>
    <row r="605" spans="1:32" ht="20" x14ac:dyDescent="0.35">
      <c r="A605" s="162" t="s">
        <v>993</v>
      </c>
      <c r="B605" s="163" t="s">
        <v>994</v>
      </c>
      <c r="C605" s="154"/>
      <c r="D605" s="162" t="s">
        <v>263</v>
      </c>
      <c r="E605" s="164" t="s">
        <v>263</v>
      </c>
      <c r="F605" s="164" t="s">
        <v>994</v>
      </c>
      <c r="G605" s="164" t="s">
        <v>993</v>
      </c>
      <c r="H605" s="165">
        <v>34084</v>
      </c>
      <c r="I605" s="164" t="s">
        <v>48</v>
      </c>
      <c r="J605" s="164" t="s">
        <v>21</v>
      </c>
      <c r="K605" s="165">
        <v>43711</v>
      </c>
      <c r="L605" s="166" t="s">
        <v>265</v>
      </c>
      <c r="M605" s="154"/>
      <c r="N605" s="154"/>
      <c r="O605" s="164" t="s">
        <v>44</v>
      </c>
      <c r="P605" s="164">
        <v>33</v>
      </c>
      <c r="Q605" s="164">
        <v>6</v>
      </c>
      <c r="R605" s="167" t="s">
        <v>968</v>
      </c>
      <c r="S605" s="167" t="s">
        <v>837</v>
      </c>
      <c r="T605" s="162" t="s">
        <v>794</v>
      </c>
      <c r="U605" s="167" t="s">
        <v>795</v>
      </c>
      <c r="V605" s="162" t="s">
        <v>982</v>
      </c>
      <c r="W605" s="168">
        <v>6</v>
      </c>
      <c r="X605" s="169">
        <v>45018</v>
      </c>
      <c r="Y605" s="170">
        <v>21</v>
      </c>
      <c r="Z605" s="170">
        <v>2</v>
      </c>
      <c r="AA605" s="170">
        <v>0</v>
      </c>
      <c r="AB605" s="170">
        <v>0</v>
      </c>
      <c r="AC605" s="171">
        <v>23</v>
      </c>
      <c r="AD605" s="172">
        <v>3538134.2484599999</v>
      </c>
      <c r="AE605" s="173" t="s">
        <v>797</v>
      </c>
      <c r="AF605" s="173"/>
    </row>
    <row r="606" spans="1:32" ht="20" x14ac:dyDescent="0.35">
      <c r="A606" s="162" t="s">
        <v>993</v>
      </c>
      <c r="B606" s="163" t="s">
        <v>994</v>
      </c>
      <c r="C606" s="154"/>
      <c r="D606" s="162" t="s">
        <v>263</v>
      </c>
      <c r="E606" s="164" t="s">
        <v>263</v>
      </c>
      <c r="F606" s="164" t="s">
        <v>994</v>
      </c>
      <c r="G606" s="164" t="s">
        <v>993</v>
      </c>
      <c r="H606" s="165">
        <v>34084</v>
      </c>
      <c r="I606" s="164" t="s">
        <v>48</v>
      </c>
      <c r="J606" s="164" t="s">
        <v>21</v>
      </c>
      <c r="K606" s="165">
        <v>43711</v>
      </c>
      <c r="L606" s="166" t="s">
        <v>265</v>
      </c>
      <c r="M606" s="154"/>
      <c r="N606" s="154"/>
      <c r="O606" s="164" t="s">
        <v>44</v>
      </c>
      <c r="P606" s="164">
        <v>33</v>
      </c>
      <c r="Q606" s="164">
        <v>6</v>
      </c>
      <c r="R606" s="167" t="s">
        <v>968</v>
      </c>
      <c r="S606" s="167" t="s">
        <v>837</v>
      </c>
      <c r="T606" s="162" t="s">
        <v>798</v>
      </c>
      <c r="U606" s="167" t="s">
        <v>839</v>
      </c>
      <c r="X606" s="169">
        <v>45018</v>
      </c>
      <c r="Y606" s="170">
        <v>180</v>
      </c>
      <c r="Z606" s="170">
        <v>0</v>
      </c>
      <c r="AA606" s="170">
        <v>0</v>
      </c>
      <c r="AB606" s="170">
        <v>0</v>
      </c>
      <c r="AC606" s="171">
        <v>180</v>
      </c>
      <c r="AD606" s="172">
        <v>27689746.29228</v>
      </c>
      <c r="AE606" s="173">
        <v>180</v>
      </c>
      <c r="AF606" s="174">
        <v>46357</v>
      </c>
    </row>
    <row r="607" spans="1:32" ht="20" x14ac:dyDescent="0.35">
      <c r="A607" s="162" t="s">
        <v>993</v>
      </c>
      <c r="B607" s="163" t="s">
        <v>994</v>
      </c>
      <c r="C607" s="154"/>
      <c r="D607" s="162" t="s">
        <v>263</v>
      </c>
      <c r="E607" s="164" t="s">
        <v>263</v>
      </c>
      <c r="F607" s="164" t="s">
        <v>994</v>
      </c>
      <c r="G607" s="164" t="s">
        <v>993</v>
      </c>
      <c r="H607" s="165">
        <v>34084</v>
      </c>
      <c r="I607" s="164" t="s">
        <v>48</v>
      </c>
      <c r="J607" s="164" t="s">
        <v>21</v>
      </c>
      <c r="K607" s="165">
        <v>43711</v>
      </c>
      <c r="L607" s="166" t="s">
        <v>265</v>
      </c>
      <c r="M607" s="154"/>
      <c r="N607" s="154"/>
      <c r="O607" s="164" t="s">
        <v>44</v>
      </c>
      <c r="P607" s="164">
        <v>33</v>
      </c>
      <c r="Q607" s="164">
        <v>6</v>
      </c>
      <c r="R607" s="167" t="s">
        <v>968</v>
      </c>
      <c r="S607" s="167" t="s">
        <v>837</v>
      </c>
      <c r="T607" s="162" t="s">
        <v>800</v>
      </c>
      <c r="U607" s="167" t="s">
        <v>801</v>
      </c>
      <c r="X607" s="169">
        <v>45018</v>
      </c>
      <c r="Y607" s="170">
        <v>26</v>
      </c>
      <c r="Z607" s="170">
        <v>0</v>
      </c>
      <c r="AA607" s="170">
        <v>0</v>
      </c>
      <c r="AB607" s="170">
        <v>0</v>
      </c>
      <c r="AC607" s="171">
        <v>26</v>
      </c>
      <c r="AD607" s="172">
        <v>3999630.02</v>
      </c>
      <c r="AE607" s="173">
        <v>26</v>
      </c>
      <c r="AF607" s="174">
        <v>46357</v>
      </c>
    </row>
    <row r="608" spans="1:32" ht="20" x14ac:dyDescent="0.35">
      <c r="A608" s="162" t="s">
        <v>993</v>
      </c>
      <c r="B608" s="163" t="s">
        <v>994</v>
      </c>
      <c r="C608" s="154"/>
      <c r="D608" s="162" t="s">
        <v>263</v>
      </c>
      <c r="E608" s="164" t="s">
        <v>263</v>
      </c>
      <c r="F608" s="164" t="s">
        <v>994</v>
      </c>
      <c r="G608" s="164" t="s">
        <v>993</v>
      </c>
      <c r="H608" s="165">
        <v>34084</v>
      </c>
      <c r="I608" s="164" t="s">
        <v>48</v>
      </c>
      <c r="J608" s="164" t="s">
        <v>21</v>
      </c>
      <c r="K608" s="165">
        <v>43711</v>
      </c>
      <c r="L608" s="166" t="s">
        <v>265</v>
      </c>
      <c r="M608" s="154"/>
      <c r="N608" s="154"/>
      <c r="O608" s="164" t="s">
        <v>44</v>
      </c>
      <c r="P608" s="164">
        <v>33</v>
      </c>
      <c r="Q608" s="164">
        <v>6</v>
      </c>
      <c r="R608" s="167" t="s">
        <v>968</v>
      </c>
      <c r="S608" s="167" t="s">
        <v>837</v>
      </c>
      <c r="T608" s="162" t="s">
        <v>800</v>
      </c>
      <c r="U608" s="167" t="s">
        <v>802</v>
      </c>
      <c r="X608" s="169">
        <v>45018</v>
      </c>
      <c r="Y608" s="170">
        <v>98</v>
      </c>
      <c r="Z608" s="170">
        <v>0</v>
      </c>
      <c r="AA608" s="170">
        <v>0</v>
      </c>
      <c r="AB608" s="170">
        <v>0</v>
      </c>
      <c r="AC608" s="171">
        <v>98</v>
      </c>
      <c r="AD608" s="172">
        <v>15075528.536909999</v>
      </c>
      <c r="AE608" s="173">
        <v>98</v>
      </c>
      <c r="AF608" s="174">
        <v>46357</v>
      </c>
    </row>
    <row r="609" spans="1:32" ht="20" x14ac:dyDescent="0.35">
      <c r="A609" s="162" t="s">
        <v>993</v>
      </c>
      <c r="B609" s="163" t="s">
        <v>994</v>
      </c>
      <c r="C609" s="154"/>
      <c r="D609" s="162" t="s">
        <v>263</v>
      </c>
      <c r="E609" s="164" t="s">
        <v>263</v>
      </c>
      <c r="F609" s="164" t="s">
        <v>994</v>
      </c>
      <c r="G609" s="164" t="s">
        <v>993</v>
      </c>
      <c r="H609" s="165">
        <v>34084</v>
      </c>
      <c r="I609" s="164" t="s">
        <v>48</v>
      </c>
      <c r="J609" s="164" t="s">
        <v>21</v>
      </c>
      <c r="K609" s="165">
        <v>43711</v>
      </c>
      <c r="L609" s="166" t="s">
        <v>265</v>
      </c>
      <c r="M609" s="154"/>
      <c r="N609" s="154"/>
      <c r="O609" s="164" t="s">
        <v>44</v>
      </c>
      <c r="P609" s="164">
        <v>33</v>
      </c>
      <c r="Q609" s="164">
        <v>6</v>
      </c>
      <c r="R609" s="167" t="s">
        <v>968</v>
      </c>
      <c r="S609" s="167" t="s">
        <v>837</v>
      </c>
      <c r="T609" s="162" t="s">
        <v>800</v>
      </c>
      <c r="U609" s="167" t="s">
        <v>803</v>
      </c>
      <c r="X609" s="169">
        <v>45018</v>
      </c>
      <c r="Y609" s="170">
        <v>2</v>
      </c>
      <c r="Z609" s="170">
        <v>0</v>
      </c>
      <c r="AA609" s="170">
        <v>0</v>
      </c>
      <c r="AB609" s="170">
        <v>0</v>
      </c>
      <c r="AC609" s="171">
        <v>2</v>
      </c>
      <c r="AD609" s="172">
        <v>307663.84769000002</v>
      </c>
      <c r="AE609" s="173">
        <v>2</v>
      </c>
      <c r="AF609" s="174">
        <v>46357</v>
      </c>
    </row>
    <row r="610" spans="1:32" ht="20" x14ac:dyDescent="0.35">
      <c r="A610" s="162" t="s">
        <v>993</v>
      </c>
      <c r="B610" s="163" t="s">
        <v>994</v>
      </c>
      <c r="C610" s="154"/>
      <c r="D610" s="162" t="s">
        <v>263</v>
      </c>
      <c r="E610" s="164" t="s">
        <v>263</v>
      </c>
      <c r="F610" s="164" t="s">
        <v>994</v>
      </c>
      <c r="G610" s="164" t="s">
        <v>993</v>
      </c>
      <c r="H610" s="165">
        <v>34084</v>
      </c>
      <c r="I610" s="164" t="s">
        <v>48</v>
      </c>
      <c r="J610" s="164" t="s">
        <v>21</v>
      </c>
      <c r="K610" s="165">
        <v>43711</v>
      </c>
      <c r="L610" s="166" t="s">
        <v>265</v>
      </c>
      <c r="M610" s="154"/>
      <c r="N610" s="154"/>
      <c r="O610" s="164" t="s">
        <v>44</v>
      </c>
      <c r="P610" s="164">
        <v>33</v>
      </c>
      <c r="Q610" s="164">
        <v>6</v>
      </c>
      <c r="R610" s="167" t="s">
        <v>968</v>
      </c>
      <c r="S610" s="167" t="s">
        <v>837</v>
      </c>
      <c r="T610" s="162" t="s">
        <v>800</v>
      </c>
      <c r="U610" s="167" t="s">
        <v>804</v>
      </c>
      <c r="X610" s="169">
        <v>45018</v>
      </c>
      <c r="Y610" s="170">
        <v>5</v>
      </c>
      <c r="Z610" s="170">
        <v>0</v>
      </c>
      <c r="AA610" s="170">
        <v>0</v>
      </c>
      <c r="AB610" s="170">
        <v>0</v>
      </c>
      <c r="AC610" s="171">
        <v>5</v>
      </c>
      <c r="AD610" s="172">
        <v>769159.61922999995</v>
      </c>
      <c r="AE610" s="173">
        <v>5</v>
      </c>
      <c r="AF610" s="174">
        <v>46357</v>
      </c>
    </row>
    <row r="611" spans="1:32" ht="20" x14ac:dyDescent="0.35">
      <c r="A611" s="162" t="s">
        <v>993</v>
      </c>
      <c r="B611" s="163" t="s">
        <v>994</v>
      </c>
      <c r="C611" s="154"/>
      <c r="D611" s="162" t="s">
        <v>263</v>
      </c>
      <c r="E611" s="164" t="s">
        <v>263</v>
      </c>
      <c r="F611" s="164" t="s">
        <v>994</v>
      </c>
      <c r="G611" s="164" t="s">
        <v>993</v>
      </c>
      <c r="H611" s="165">
        <v>34084</v>
      </c>
      <c r="I611" s="164" t="s">
        <v>48</v>
      </c>
      <c r="J611" s="164" t="s">
        <v>21</v>
      </c>
      <c r="K611" s="165">
        <v>43711</v>
      </c>
      <c r="L611" s="166" t="s">
        <v>265</v>
      </c>
      <c r="M611" s="154"/>
      <c r="N611" s="154"/>
      <c r="O611" s="164" t="s">
        <v>44</v>
      </c>
      <c r="P611" s="164">
        <v>33</v>
      </c>
      <c r="Q611" s="164">
        <v>6</v>
      </c>
      <c r="R611" s="167" t="s">
        <v>968</v>
      </c>
      <c r="S611" s="167" t="s">
        <v>837</v>
      </c>
      <c r="T611" s="162" t="s">
        <v>800</v>
      </c>
      <c r="U611" s="167" t="s">
        <v>840</v>
      </c>
      <c r="X611" s="169">
        <v>45018</v>
      </c>
      <c r="Y611" s="170">
        <v>2.4999999966690001</v>
      </c>
      <c r="Z611" s="170">
        <v>0.41666667000000002</v>
      </c>
      <c r="AA611" s="170">
        <v>0</v>
      </c>
      <c r="AB611" s="170">
        <v>0</v>
      </c>
      <c r="AC611" s="171">
        <v>2.9166666666690002</v>
      </c>
      <c r="AD611" s="172">
        <v>448676.44455000001</v>
      </c>
      <c r="AE611" s="173">
        <v>2.92</v>
      </c>
      <c r="AF611" s="174">
        <v>46357</v>
      </c>
    </row>
    <row r="612" spans="1:32" ht="20" x14ac:dyDescent="0.35">
      <c r="A612" s="162" t="s">
        <v>995</v>
      </c>
      <c r="B612" s="163" t="s">
        <v>996</v>
      </c>
      <c r="C612" s="154"/>
      <c r="D612" s="162" t="s">
        <v>266</v>
      </c>
      <c r="E612" s="164" t="s">
        <v>266</v>
      </c>
      <c r="F612" s="164" t="s">
        <v>996</v>
      </c>
      <c r="G612" s="164" t="s">
        <v>995</v>
      </c>
      <c r="H612" s="165">
        <v>32229</v>
      </c>
      <c r="I612" s="164" t="s">
        <v>20</v>
      </c>
      <c r="J612" s="164" t="s">
        <v>21</v>
      </c>
      <c r="K612" s="165">
        <v>43748</v>
      </c>
      <c r="L612" s="166" t="s">
        <v>268</v>
      </c>
      <c r="M612" s="154"/>
      <c r="N612" s="154"/>
      <c r="O612" s="164" t="s">
        <v>44</v>
      </c>
      <c r="P612" s="164">
        <v>38</v>
      </c>
      <c r="Q612" s="164">
        <v>6</v>
      </c>
      <c r="R612" s="167" t="s">
        <v>847</v>
      </c>
      <c r="S612" s="167" t="s">
        <v>848</v>
      </c>
      <c r="T612" s="162" t="s">
        <v>794</v>
      </c>
      <c r="U612" s="167" t="s">
        <v>795</v>
      </c>
      <c r="V612" s="162" t="s">
        <v>982</v>
      </c>
      <c r="W612" s="168">
        <v>6</v>
      </c>
      <c r="X612" s="169">
        <v>45018</v>
      </c>
      <c r="Y612" s="170">
        <v>21.250000000004</v>
      </c>
      <c r="Z612" s="170">
        <v>2</v>
      </c>
      <c r="AA612" s="170">
        <v>0</v>
      </c>
      <c r="AB612" s="170">
        <v>0</v>
      </c>
      <c r="AC612" s="171">
        <v>23.250000000004</v>
      </c>
      <c r="AD612" s="172">
        <v>3650876.2923900001</v>
      </c>
      <c r="AE612" s="173" t="s">
        <v>797</v>
      </c>
      <c r="AF612" s="173"/>
    </row>
    <row r="613" spans="1:32" x14ac:dyDescent="0.35">
      <c r="A613" s="162" t="s">
        <v>995</v>
      </c>
      <c r="B613" s="163" t="s">
        <v>996</v>
      </c>
      <c r="C613" s="154"/>
      <c r="D613" s="162" t="s">
        <v>266</v>
      </c>
      <c r="E613" s="164" t="s">
        <v>266</v>
      </c>
      <c r="F613" s="164" t="s">
        <v>996</v>
      </c>
      <c r="G613" s="164" t="s">
        <v>995</v>
      </c>
      <c r="H613" s="165">
        <v>32229</v>
      </c>
      <c r="I613" s="164" t="s">
        <v>20</v>
      </c>
      <c r="J613" s="164" t="s">
        <v>21</v>
      </c>
      <c r="K613" s="165">
        <v>43748</v>
      </c>
      <c r="L613" s="166" t="s">
        <v>268</v>
      </c>
      <c r="M613" s="154"/>
      <c r="N613" s="154"/>
      <c r="O613" s="164" t="s">
        <v>44</v>
      </c>
      <c r="P613" s="164">
        <v>38</v>
      </c>
      <c r="Q613" s="164">
        <v>6</v>
      </c>
      <c r="R613" s="167" t="s">
        <v>847</v>
      </c>
      <c r="S613" s="167" t="s">
        <v>848</v>
      </c>
      <c r="T613" s="162" t="s">
        <v>798</v>
      </c>
      <c r="U613" s="167" t="s">
        <v>839</v>
      </c>
      <c r="X613" s="169">
        <v>45018</v>
      </c>
      <c r="Y613" s="170">
        <v>180</v>
      </c>
      <c r="Z613" s="170">
        <v>0</v>
      </c>
      <c r="AA613" s="170">
        <v>0</v>
      </c>
      <c r="AB613" s="170">
        <v>0</v>
      </c>
      <c r="AC613" s="171">
        <v>180</v>
      </c>
      <c r="AD613" s="172">
        <v>28264848.715259999</v>
      </c>
      <c r="AE613" s="173">
        <v>180</v>
      </c>
      <c r="AF613" s="174">
        <v>46357</v>
      </c>
    </row>
    <row r="614" spans="1:32" x14ac:dyDescent="0.35">
      <c r="A614" s="162" t="s">
        <v>995</v>
      </c>
      <c r="B614" s="163" t="s">
        <v>996</v>
      </c>
      <c r="C614" s="154"/>
      <c r="D614" s="162" t="s">
        <v>266</v>
      </c>
      <c r="E614" s="164" t="s">
        <v>266</v>
      </c>
      <c r="F614" s="164" t="s">
        <v>996</v>
      </c>
      <c r="G614" s="164" t="s">
        <v>995</v>
      </c>
      <c r="H614" s="165">
        <v>32229</v>
      </c>
      <c r="I614" s="164" t="s">
        <v>20</v>
      </c>
      <c r="J614" s="164" t="s">
        <v>21</v>
      </c>
      <c r="K614" s="165">
        <v>43748</v>
      </c>
      <c r="L614" s="166" t="s">
        <v>268</v>
      </c>
      <c r="M614" s="154"/>
      <c r="N614" s="154"/>
      <c r="O614" s="164" t="s">
        <v>44</v>
      </c>
      <c r="P614" s="164">
        <v>38</v>
      </c>
      <c r="Q614" s="164">
        <v>6</v>
      </c>
      <c r="R614" s="167" t="s">
        <v>847</v>
      </c>
      <c r="S614" s="167" t="s">
        <v>848</v>
      </c>
      <c r="T614" s="162" t="s">
        <v>800</v>
      </c>
      <c r="U614" s="167" t="s">
        <v>801</v>
      </c>
      <c r="X614" s="169">
        <v>45018</v>
      </c>
      <c r="Y614" s="170">
        <v>26</v>
      </c>
      <c r="Z614" s="170">
        <v>0</v>
      </c>
      <c r="AA614" s="170">
        <v>0</v>
      </c>
      <c r="AB614" s="170">
        <v>0</v>
      </c>
      <c r="AC614" s="171">
        <v>26</v>
      </c>
      <c r="AD614" s="172">
        <v>4082700.36998</v>
      </c>
      <c r="AE614" s="173">
        <v>26</v>
      </c>
      <c r="AF614" s="174">
        <v>46357</v>
      </c>
    </row>
    <row r="615" spans="1:32" x14ac:dyDescent="0.35">
      <c r="A615" s="162" t="s">
        <v>995</v>
      </c>
      <c r="B615" s="163" t="s">
        <v>996</v>
      </c>
      <c r="C615" s="154"/>
      <c r="D615" s="162" t="s">
        <v>266</v>
      </c>
      <c r="E615" s="164" t="s">
        <v>266</v>
      </c>
      <c r="F615" s="164" t="s">
        <v>996</v>
      </c>
      <c r="G615" s="164" t="s">
        <v>995</v>
      </c>
      <c r="H615" s="165">
        <v>32229</v>
      </c>
      <c r="I615" s="164" t="s">
        <v>20</v>
      </c>
      <c r="J615" s="164" t="s">
        <v>21</v>
      </c>
      <c r="K615" s="165">
        <v>43748</v>
      </c>
      <c r="L615" s="166" t="s">
        <v>268</v>
      </c>
      <c r="M615" s="154"/>
      <c r="N615" s="154"/>
      <c r="O615" s="164" t="s">
        <v>44</v>
      </c>
      <c r="P615" s="164">
        <v>38</v>
      </c>
      <c r="Q615" s="164">
        <v>6</v>
      </c>
      <c r="R615" s="167" t="s">
        <v>847</v>
      </c>
      <c r="S615" s="167" t="s">
        <v>848</v>
      </c>
      <c r="T615" s="162" t="s">
        <v>800</v>
      </c>
      <c r="U615" s="167" t="s">
        <v>802</v>
      </c>
      <c r="X615" s="169">
        <v>45018</v>
      </c>
      <c r="Y615" s="170">
        <v>98</v>
      </c>
      <c r="Z615" s="170">
        <v>0</v>
      </c>
      <c r="AA615" s="170">
        <v>0</v>
      </c>
      <c r="AB615" s="170">
        <v>0</v>
      </c>
      <c r="AC615" s="171">
        <v>98</v>
      </c>
      <c r="AD615" s="172">
        <v>15388639.85609</v>
      </c>
      <c r="AE615" s="173">
        <v>98</v>
      </c>
      <c r="AF615" s="174">
        <v>46357</v>
      </c>
    </row>
    <row r="616" spans="1:32" x14ac:dyDescent="0.35">
      <c r="A616" s="162" t="s">
        <v>995</v>
      </c>
      <c r="B616" s="163" t="s">
        <v>996</v>
      </c>
      <c r="C616" s="154"/>
      <c r="D616" s="162" t="s">
        <v>266</v>
      </c>
      <c r="E616" s="164" t="s">
        <v>266</v>
      </c>
      <c r="F616" s="164" t="s">
        <v>996</v>
      </c>
      <c r="G616" s="164" t="s">
        <v>995</v>
      </c>
      <c r="H616" s="165">
        <v>32229</v>
      </c>
      <c r="I616" s="164" t="s">
        <v>20</v>
      </c>
      <c r="J616" s="164" t="s">
        <v>21</v>
      </c>
      <c r="K616" s="165">
        <v>43748</v>
      </c>
      <c r="L616" s="166" t="s">
        <v>268</v>
      </c>
      <c r="M616" s="154"/>
      <c r="N616" s="154"/>
      <c r="O616" s="164" t="s">
        <v>44</v>
      </c>
      <c r="P616" s="164">
        <v>38</v>
      </c>
      <c r="Q616" s="164">
        <v>6</v>
      </c>
      <c r="R616" s="167" t="s">
        <v>847</v>
      </c>
      <c r="S616" s="167" t="s">
        <v>848</v>
      </c>
      <c r="T616" s="162" t="s">
        <v>800</v>
      </c>
      <c r="U616" s="167" t="s">
        <v>803</v>
      </c>
      <c r="X616" s="169">
        <v>45018</v>
      </c>
      <c r="Y616" s="170">
        <v>2</v>
      </c>
      <c r="Z616" s="170">
        <v>0</v>
      </c>
      <c r="AA616" s="170">
        <v>0</v>
      </c>
      <c r="AB616" s="170">
        <v>0</v>
      </c>
      <c r="AC616" s="171">
        <v>2</v>
      </c>
      <c r="AD616" s="172">
        <v>314053.87461</v>
      </c>
      <c r="AE616" s="173">
        <v>2</v>
      </c>
      <c r="AF616" s="174">
        <v>46357</v>
      </c>
    </row>
    <row r="617" spans="1:32" x14ac:dyDescent="0.35">
      <c r="A617" s="162" t="s">
        <v>995</v>
      </c>
      <c r="B617" s="163" t="s">
        <v>996</v>
      </c>
      <c r="C617" s="154"/>
      <c r="D617" s="162" t="s">
        <v>266</v>
      </c>
      <c r="E617" s="164" t="s">
        <v>266</v>
      </c>
      <c r="F617" s="164" t="s">
        <v>996</v>
      </c>
      <c r="G617" s="164" t="s">
        <v>995</v>
      </c>
      <c r="H617" s="165">
        <v>32229</v>
      </c>
      <c r="I617" s="164" t="s">
        <v>20</v>
      </c>
      <c r="J617" s="164" t="s">
        <v>21</v>
      </c>
      <c r="K617" s="165">
        <v>43748</v>
      </c>
      <c r="L617" s="166" t="s">
        <v>268</v>
      </c>
      <c r="M617" s="154"/>
      <c r="N617" s="154"/>
      <c r="O617" s="164" t="s">
        <v>44</v>
      </c>
      <c r="P617" s="164">
        <v>38</v>
      </c>
      <c r="Q617" s="164">
        <v>6</v>
      </c>
      <c r="R617" s="167" t="s">
        <v>847</v>
      </c>
      <c r="S617" s="167" t="s">
        <v>848</v>
      </c>
      <c r="T617" s="162" t="s">
        <v>800</v>
      </c>
      <c r="U617" s="167" t="s">
        <v>804</v>
      </c>
      <c r="X617" s="169">
        <v>45018</v>
      </c>
      <c r="Y617" s="170">
        <v>5</v>
      </c>
      <c r="Z617" s="170">
        <v>0</v>
      </c>
      <c r="AA617" s="170">
        <v>0</v>
      </c>
      <c r="AB617" s="170">
        <v>0</v>
      </c>
      <c r="AC617" s="171">
        <v>5</v>
      </c>
      <c r="AD617" s="172">
        <v>785134.68652999995</v>
      </c>
      <c r="AE617" s="173">
        <v>5</v>
      </c>
      <c r="AF617" s="174">
        <v>46357</v>
      </c>
    </row>
    <row r="618" spans="1:32" x14ac:dyDescent="0.35">
      <c r="A618" s="162" t="s">
        <v>995</v>
      </c>
      <c r="B618" s="163" t="s">
        <v>996</v>
      </c>
      <c r="C618" s="154"/>
      <c r="D618" s="162" t="s">
        <v>266</v>
      </c>
      <c r="E618" s="164" t="s">
        <v>266</v>
      </c>
      <c r="F618" s="164" t="s">
        <v>996</v>
      </c>
      <c r="G618" s="164" t="s">
        <v>995</v>
      </c>
      <c r="H618" s="165">
        <v>32229</v>
      </c>
      <c r="I618" s="164" t="s">
        <v>20</v>
      </c>
      <c r="J618" s="164" t="s">
        <v>21</v>
      </c>
      <c r="K618" s="165">
        <v>43748</v>
      </c>
      <c r="L618" s="166" t="s">
        <v>268</v>
      </c>
      <c r="M618" s="154"/>
      <c r="N618" s="154"/>
      <c r="O618" s="164" t="s">
        <v>44</v>
      </c>
      <c r="P618" s="164">
        <v>38</v>
      </c>
      <c r="Q618" s="164">
        <v>6</v>
      </c>
      <c r="R618" s="167" t="s">
        <v>847</v>
      </c>
      <c r="S618" s="167" t="s">
        <v>848</v>
      </c>
      <c r="T618" s="162" t="s">
        <v>800</v>
      </c>
      <c r="U618" s="167" t="s">
        <v>840</v>
      </c>
      <c r="X618" s="169">
        <v>45018</v>
      </c>
      <c r="Y618" s="170">
        <v>2.4999999966690001</v>
      </c>
      <c r="Z618" s="170">
        <v>0.41666667000000002</v>
      </c>
      <c r="AA618" s="170">
        <v>0</v>
      </c>
      <c r="AB618" s="170">
        <v>0</v>
      </c>
      <c r="AC618" s="171">
        <v>2.9166666666690002</v>
      </c>
      <c r="AD618" s="172">
        <v>457995.23381000001</v>
      </c>
      <c r="AE618" s="173">
        <v>2.92</v>
      </c>
      <c r="AF618" s="174">
        <v>46357</v>
      </c>
    </row>
    <row r="619" spans="1:32" ht="20" x14ac:dyDescent="0.35">
      <c r="A619" s="162" t="s">
        <v>997</v>
      </c>
      <c r="B619" s="163" t="s">
        <v>998</v>
      </c>
      <c r="C619" s="154"/>
      <c r="D619" s="162" t="s">
        <v>269</v>
      </c>
      <c r="E619" s="164" t="s">
        <v>269</v>
      </c>
      <c r="F619" s="164" t="s">
        <v>998</v>
      </c>
      <c r="G619" s="164" t="s">
        <v>997</v>
      </c>
      <c r="H619" s="165">
        <v>27164</v>
      </c>
      <c r="I619" s="164" t="s">
        <v>20</v>
      </c>
      <c r="J619" s="164" t="s">
        <v>68</v>
      </c>
      <c r="K619" s="165">
        <v>43831</v>
      </c>
      <c r="L619" s="166" t="s">
        <v>271</v>
      </c>
      <c r="M619" s="154"/>
      <c r="N619" s="154"/>
      <c r="O619" s="164" t="s">
        <v>65</v>
      </c>
      <c r="P619" s="164">
        <v>52</v>
      </c>
      <c r="Q619" s="164">
        <v>6</v>
      </c>
      <c r="R619" s="167" t="s">
        <v>966</v>
      </c>
      <c r="S619" s="167" t="s">
        <v>848</v>
      </c>
      <c r="T619" s="162" t="s">
        <v>794</v>
      </c>
      <c r="U619" s="167" t="s">
        <v>795</v>
      </c>
      <c r="V619" s="162" t="s">
        <v>982</v>
      </c>
      <c r="W619" s="168">
        <v>6</v>
      </c>
      <c r="X619" s="169">
        <v>45018</v>
      </c>
      <c r="Y619" s="170">
        <v>33</v>
      </c>
      <c r="Z619" s="170">
        <v>2</v>
      </c>
      <c r="AA619" s="170">
        <v>0</v>
      </c>
      <c r="AB619" s="170">
        <v>2</v>
      </c>
      <c r="AC619" s="171">
        <v>33</v>
      </c>
      <c r="AD619" s="172">
        <v>7582045.5784600005</v>
      </c>
      <c r="AE619" s="173" t="s">
        <v>797</v>
      </c>
      <c r="AF619" s="173"/>
    </row>
    <row r="620" spans="1:32" ht="20" x14ac:dyDescent="0.35">
      <c r="A620" s="162" t="s">
        <v>997</v>
      </c>
      <c r="B620" s="163" t="s">
        <v>998</v>
      </c>
      <c r="C620" s="154"/>
      <c r="D620" s="162" t="s">
        <v>269</v>
      </c>
      <c r="E620" s="164" t="s">
        <v>269</v>
      </c>
      <c r="F620" s="164" t="s">
        <v>998</v>
      </c>
      <c r="G620" s="164" t="s">
        <v>997</v>
      </c>
      <c r="H620" s="165">
        <v>27164</v>
      </c>
      <c r="I620" s="164" t="s">
        <v>20</v>
      </c>
      <c r="J620" s="164" t="s">
        <v>68</v>
      </c>
      <c r="K620" s="165">
        <v>43831</v>
      </c>
      <c r="L620" s="166" t="s">
        <v>271</v>
      </c>
      <c r="M620" s="154"/>
      <c r="N620" s="154"/>
      <c r="O620" s="164" t="s">
        <v>65</v>
      </c>
      <c r="P620" s="164">
        <v>52</v>
      </c>
      <c r="Q620" s="164">
        <v>6</v>
      </c>
      <c r="R620" s="167" t="s">
        <v>966</v>
      </c>
      <c r="S620" s="167" t="s">
        <v>848</v>
      </c>
      <c r="T620" s="162" t="s">
        <v>798</v>
      </c>
      <c r="U620" s="167" t="s">
        <v>839</v>
      </c>
      <c r="X620" s="169">
        <v>45018</v>
      </c>
      <c r="Y620" s="170">
        <v>180</v>
      </c>
      <c r="Z620" s="170">
        <v>0</v>
      </c>
      <c r="AA620" s="170">
        <v>0</v>
      </c>
      <c r="AB620" s="170">
        <v>0</v>
      </c>
      <c r="AC620" s="171">
        <v>180</v>
      </c>
      <c r="AD620" s="172">
        <v>41356612.246140003</v>
      </c>
      <c r="AE620" s="173">
        <v>180</v>
      </c>
      <c r="AF620" s="174">
        <v>46357</v>
      </c>
    </row>
    <row r="621" spans="1:32" ht="20" x14ac:dyDescent="0.35">
      <c r="A621" s="162" t="s">
        <v>997</v>
      </c>
      <c r="B621" s="163" t="s">
        <v>998</v>
      </c>
      <c r="C621" s="154"/>
      <c r="D621" s="162" t="s">
        <v>269</v>
      </c>
      <c r="E621" s="164" t="s">
        <v>269</v>
      </c>
      <c r="F621" s="164" t="s">
        <v>998</v>
      </c>
      <c r="G621" s="164" t="s">
        <v>997</v>
      </c>
      <c r="H621" s="165">
        <v>27164</v>
      </c>
      <c r="I621" s="164" t="s">
        <v>20</v>
      </c>
      <c r="J621" s="164" t="s">
        <v>68</v>
      </c>
      <c r="K621" s="165">
        <v>43831</v>
      </c>
      <c r="L621" s="166" t="s">
        <v>271</v>
      </c>
      <c r="M621" s="154"/>
      <c r="N621" s="154"/>
      <c r="O621" s="164" t="s">
        <v>65</v>
      </c>
      <c r="P621" s="164">
        <v>52</v>
      </c>
      <c r="Q621" s="164">
        <v>6</v>
      </c>
      <c r="R621" s="167" t="s">
        <v>966</v>
      </c>
      <c r="S621" s="167" t="s">
        <v>848</v>
      </c>
      <c r="T621" s="162" t="s">
        <v>800</v>
      </c>
      <c r="U621" s="167" t="s">
        <v>801</v>
      </c>
      <c r="X621" s="169">
        <v>45018</v>
      </c>
      <c r="Y621" s="170">
        <v>26</v>
      </c>
      <c r="Z621" s="170">
        <v>0</v>
      </c>
      <c r="AA621" s="170">
        <v>0</v>
      </c>
      <c r="AB621" s="170">
        <v>0</v>
      </c>
      <c r="AC621" s="171">
        <v>26</v>
      </c>
      <c r="AD621" s="172">
        <v>5973732.8799999999</v>
      </c>
      <c r="AE621" s="173">
        <v>26</v>
      </c>
      <c r="AF621" s="174">
        <v>46357</v>
      </c>
    </row>
    <row r="622" spans="1:32" ht="20" x14ac:dyDescent="0.35">
      <c r="A622" s="162" t="s">
        <v>997</v>
      </c>
      <c r="B622" s="163" t="s">
        <v>998</v>
      </c>
      <c r="C622" s="154"/>
      <c r="D622" s="162" t="s">
        <v>269</v>
      </c>
      <c r="E622" s="164" t="s">
        <v>269</v>
      </c>
      <c r="F622" s="164" t="s">
        <v>998</v>
      </c>
      <c r="G622" s="164" t="s">
        <v>997</v>
      </c>
      <c r="H622" s="165">
        <v>27164</v>
      </c>
      <c r="I622" s="164" t="s">
        <v>20</v>
      </c>
      <c r="J622" s="164" t="s">
        <v>68</v>
      </c>
      <c r="K622" s="165">
        <v>43831</v>
      </c>
      <c r="L622" s="166" t="s">
        <v>271</v>
      </c>
      <c r="M622" s="154"/>
      <c r="N622" s="154"/>
      <c r="O622" s="164" t="s">
        <v>65</v>
      </c>
      <c r="P622" s="164">
        <v>52</v>
      </c>
      <c r="Q622" s="164">
        <v>6</v>
      </c>
      <c r="R622" s="167" t="s">
        <v>966</v>
      </c>
      <c r="S622" s="167" t="s">
        <v>848</v>
      </c>
      <c r="T622" s="162" t="s">
        <v>800</v>
      </c>
      <c r="U622" s="167" t="s">
        <v>802</v>
      </c>
      <c r="X622" s="169">
        <v>45018</v>
      </c>
      <c r="Y622" s="170">
        <v>98</v>
      </c>
      <c r="Z622" s="170">
        <v>0</v>
      </c>
      <c r="AA622" s="170">
        <v>0</v>
      </c>
      <c r="AB622" s="170">
        <v>0</v>
      </c>
      <c r="AC622" s="171">
        <v>98</v>
      </c>
      <c r="AD622" s="172">
        <v>22516377.778450001</v>
      </c>
      <c r="AE622" s="173">
        <v>98</v>
      </c>
      <c r="AF622" s="174">
        <v>46357</v>
      </c>
    </row>
    <row r="623" spans="1:32" ht="20" x14ac:dyDescent="0.35">
      <c r="A623" s="162" t="s">
        <v>997</v>
      </c>
      <c r="B623" s="163" t="s">
        <v>998</v>
      </c>
      <c r="C623" s="154"/>
      <c r="D623" s="162" t="s">
        <v>269</v>
      </c>
      <c r="E623" s="164" t="s">
        <v>269</v>
      </c>
      <c r="F623" s="164" t="s">
        <v>998</v>
      </c>
      <c r="G623" s="164" t="s">
        <v>997</v>
      </c>
      <c r="H623" s="165">
        <v>27164</v>
      </c>
      <c r="I623" s="164" t="s">
        <v>20</v>
      </c>
      <c r="J623" s="164" t="s">
        <v>68</v>
      </c>
      <c r="K623" s="165">
        <v>43831</v>
      </c>
      <c r="L623" s="166" t="s">
        <v>271</v>
      </c>
      <c r="M623" s="154"/>
      <c r="N623" s="154"/>
      <c r="O623" s="164" t="s">
        <v>65</v>
      </c>
      <c r="P623" s="164">
        <v>52</v>
      </c>
      <c r="Q623" s="164">
        <v>6</v>
      </c>
      <c r="R623" s="167" t="s">
        <v>966</v>
      </c>
      <c r="S623" s="167" t="s">
        <v>848</v>
      </c>
      <c r="T623" s="162" t="s">
        <v>800</v>
      </c>
      <c r="U623" s="167" t="s">
        <v>803</v>
      </c>
      <c r="X623" s="169">
        <v>45018</v>
      </c>
      <c r="Y623" s="170">
        <v>2</v>
      </c>
      <c r="Z623" s="170">
        <v>0</v>
      </c>
      <c r="AA623" s="170">
        <v>0</v>
      </c>
      <c r="AB623" s="170">
        <v>0</v>
      </c>
      <c r="AC623" s="171">
        <v>2</v>
      </c>
      <c r="AD623" s="172">
        <v>459517.91385000001</v>
      </c>
      <c r="AE623" s="173">
        <v>2</v>
      </c>
      <c r="AF623" s="174">
        <v>46357</v>
      </c>
    </row>
    <row r="624" spans="1:32" ht="20" x14ac:dyDescent="0.35">
      <c r="A624" s="162" t="s">
        <v>997</v>
      </c>
      <c r="B624" s="163" t="s">
        <v>998</v>
      </c>
      <c r="C624" s="154"/>
      <c r="D624" s="162" t="s">
        <v>269</v>
      </c>
      <c r="E624" s="164" t="s">
        <v>269</v>
      </c>
      <c r="F624" s="164" t="s">
        <v>998</v>
      </c>
      <c r="G624" s="164" t="s">
        <v>997</v>
      </c>
      <c r="H624" s="165">
        <v>27164</v>
      </c>
      <c r="I624" s="164" t="s">
        <v>20</v>
      </c>
      <c r="J624" s="164" t="s">
        <v>68</v>
      </c>
      <c r="K624" s="165">
        <v>43831</v>
      </c>
      <c r="L624" s="166" t="s">
        <v>271</v>
      </c>
      <c r="M624" s="154"/>
      <c r="N624" s="154"/>
      <c r="O624" s="164" t="s">
        <v>65</v>
      </c>
      <c r="P624" s="164">
        <v>52</v>
      </c>
      <c r="Q624" s="164">
        <v>6</v>
      </c>
      <c r="R624" s="167" t="s">
        <v>966</v>
      </c>
      <c r="S624" s="167" t="s">
        <v>848</v>
      </c>
      <c r="T624" s="162" t="s">
        <v>800</v>
      </c>
      <c r="U624" s="167" t="s">
        <v>804</v>
      </c>
      <c r="X624" s="169">
        <v>45018</v>
      </c>
      <c r="Y624" s="170">
        <v>5</v>
      </c>
      <c r="Z624" s="170">
        <v>0</v>
      </c>
      <c r="AA624" s="170">
        <v>0</v>
      </c>
      <c r="AB624" s="170">
        <v>0</v>
      </c>
      <c r="AC624" s="171">
        <v>5</v>
      </c>
      <c r="AD624" s="172">
        <v>1148794.78462</v>
      </c>
      <c r="AE624" s="173">
        <v>5</v>
      </c>
      <c r="AF624" s="174">
        <v>46357</v>
      </c>
    </row>
    <row r="625" spans="1:32" ht="20" x14ac:dyDescent="0.35">
      <c r="A625" s="162" t="s">
        <v>997</v>
      </c>
      <c r="B625" s="163" t="s">
        <v>998</v>
      </c>
      <c r="C625" s="154"/>
      <c r="D625" s="162" t="s">
        <v>269</v>
      </c>
      <c r="E625" s="164" t="s">
        <v>269</v>
      </c>
      <c r="F625" s="164" t="s">
        <v>998</v>
      </c>
      <c r="G625" s="164" t="s">
        <v>997</v>
      </c>
      <c r="H625" s="165">
        <v>27164</v>
      </c>
      <c r="I625" s="164" t="s">
        <v>20</v>
      </c>
      <c r="J625" s="164" t="s">
        <v>68</v>
      </c>
      <c r="K625" s="165">
        <v>43831</v>
      </c>
      <c r="L625" s="166" t="s">
        <v>271</v>
      </c>
      <c r="M625" s="154"/>
      <c r="N625" s="154"/>
      <c r="O625" s="164" t="s">
        <v>65</v>
      </c>
      <c r="P625" s="164">
        <v>52</v>
      </c>
      <c r="Q625" s="164">
        <v>6</v>
      </c>
      <c r="R625" s="167" t="s">
        <v>966</v>
      </c>
      <c r="S625" s="167" t="s">
        <v>848</v>
      </c>
      <c r="T625" s="162" t="s">
        <v>800</v>
      </c>
      <c r="U625" s="167" t="s">
        <v>840</v>
      </c>
      <c r="X625" s="169">
        <v>45018</v>
      </c>
      <c r="Y625" s="170">
        <v>2.4999999966690001</v>
      </c>
      <c r="Z625" s="170">
        <v>0.41666667000000002</v>
      </c>
      <c r="AA625" s="170">
        <v>0</v>
      </c>
      <c r="AB625" s="170">
        <v>0</v>
      </c>
      <c r="AC625" s="171">
        <v>2.9166666666690002</v>
      </c>
      <c r="AD625" s="172">
        <v>670130.29102999996</v>
      </c>
      <c r="AE625" s="173">
        <v>2.92</v>
      </c>
      <c r="AF625" s="174">
        <v>46357</v>
      </c>
    </row>
    <row r="626" spans="1:32" ht="20" x14ac:dyDescent="0.35">
      <c r="A626" s="162" t="s">
        <v>999</v>
      </c>
      <c r="B626" s="163" t="s">
        <v>1000</v>
      </c>
      <c r="C626" s="154"/>
      <c r="D626" s="162" t="s">
        <v>273</v>
      </c>
      <c r="E626" s="164" t="s">
        <v>273</v>
      </c>
      <c r="F626" s="164" t="s">
        <v>1000</v>
      </c>
      <c r="G626" s="164" t="s">
        <v>999</v>
      </c>
      <c r="H626" s="165">
        <v>24105</v>
      </c>
      <c r="I626" s="164" t="s">
        <v>20</v>
      </c>
      <c r="J626" s="164" t="s">
        <v>68</v>
      </c>
      <c r="K626" s="165">
        <v>44048</v>
      </c>
      <c r="L626" s="166" t="s">
        <v>275</v>
      </c>
      <c r="M626" s="154"/>
      <c r="N626" s="154"/>
      <c r="O626" s="164" t="s">
        <v>44</v>
      </c>
      <c r="P626" s="164">
        <v>60</v>
      </c>
      <c r="Q626" s="164">
        <v>5</v>
      </c>
      <c r="R626" s="167" t="s">
        <v>968</v>
      </c>
      <c r="S626" s="167" t="s">
        <v>837</v>
      </c>
      <c r="T626" s="162" t="s">
        <v>794</v>
      </c>
      <c r="U626" s="167" t="s">
        <v>795</v>
      </c>
      <c r="V626" s="162" t="s">
        <v>796</v>
      </c>
      <c r="W626" s="168">
        <v>5</v>
      </c>
      <c r="X626" s="169">
        <v>45018</v>
      </c>
      <c r="Y626" s="170">
        <v>9.4166666633439995</v>
      </c>
      <c r="Z626" s="170">
        <v>1.9166666699999999</v>
      </c>
      <c r="AA626" s="170">
        <v>0</v>
      </c>
      <c r="AB626" s="170">
        <v>0</v>
      </c>
      <c r="AC626" s="171">
        <v>11.333333333343999</v>
      </c>
      <c r="AD626" s="172">
        <v>2290377.2030699998</v>
      </c>
      <c r="AE626" s="173" t="s">
        <v>797</v>
      </c>
      <c r="AF626" s="173"/>
    </row>
    <row r="627" spans="1:32" ht="20" x14ac:dyDescent="0.35">
      <c r="A627" s="162" t="s">
        <v>999</v>
      </c>
      <c r="B627" s="163" t="s">
        <v>1000</v>
      </c>
      <c r="C627" s="154"/>
      <c r="D627" s="162" t="s">
        <v>273</v>
      </c>
      <c r="E627" s="164" t="s">
        <v>273</v>
      </c>
      <c r="F627" s="164" t="s">
        <v>1000</v>
      </c>
      <c r="G627" s="164" t="s">
        <v>999</v>
      </c>
      <c r="H627" s="165">
        <v>24105</v>
      </c>
      <c r="I627" s="164" t="s">
        <v>20</v>
      </c>
      <c r="J627" s="164" t="s">
        <v>68</v>
      </c>
      <c r="K627" s="165">
        <v>44048</v>
      </c>
      <c r="L627" s="166" t="s">
        <v>275</v>
      </c>
      <c r="M627" s="154"/>
      <c r="N627" s="154"/>
      <c r="O627" s="164" t="s">
        <v>44</v>
      </c>
      <c r="P627" s="164">
        <v>60</v>
      </c>
      <c r="Q627" s="164">
        <v>5</v>
      </c>
      <c r="R627" s="167" t="s">
        <v>968</v>
      </c>
      <c r="S627" s="167" t="s">
        <v>837</v>
      </c>
      <c r="T627" s="162" t="s">
        <v>798</v>
      </c>
      <c r="U627" s="167" t="s">
        <v>839</v>
      </c>
      <c r="X627" s="169">
        <v>45018</v>
      </c>
      <c r="Y627" s="170">
        <v>180</v>
      </c>
      <c r="Z627" s="170">
        <v>0</v>
      </c>
      <c r="AA627" s="170">
        <v>0</v>
      </c>
      <c r="AB627" s="170">
        <v>0</v>
      </c>
      <c r="AC627" s="171">
        <v>180</v>
      </c>
      <c r="AD627" s="172">
        <v>36376579.107539997</v>
      </c>
      <c r="AE627" s="173">
        <v>180</v>
      </c>
      <c r="AF627" s="174">
        <v>46357</v>
      </c>
    </row>
    <row r="628" spans="1:32" ht="20" x14ac:dyDescent="0.35">
      <c r="A628" s="162" t="s">
        <v>999</v>
      </c>
      <c r="B628" s="163" t="s">
        <v>1000</v>
      </c>
      <c r="C628" s="154"/>
      <c r="D628" s="162" t="s">
        <v>273</v>
      </c>
      <c r="E628" s="164" t="s">
        <v>273</v>
      </c>
      <c r="F628" s="164" t="s">
        <v>1000</v>
      </c>
      <c r="G628" s="164" t="s">
        <v>999</v>
      </c>
      <c r="H628" s="165">
        <v>24105</v>
      </c>
      <c r="I628" s="164" t="s">
        <v>20</v>
      </c>
      <c r="J628" s="164" t="s">
        <v>68</v>
      </c>
      <c r="K628" s="165">
        <v>44048</v>
      </c>
      <c r="L628" s="166" t="s">
        <v>275</v>
      </c>
      <c r="M628" s="154"/>
      <c r="N628" s="154"/>
      <c r="O628" s="164" t="s">
        <v>44</v>
      </c>
      <c r="P628" s="164">
        <v>60</v>
      </c>
      <c r="Q628" s="164">
        <v>5</v>
      </c>
      <c r="R628" s="167" t="s">
        <v>968</v>
      </c>
      <c r="S628" s="167" t="s">
        <v>837</v>
      </c>
      <c r="T628" s="162" t="s">
        <v>800</v>
      </c>
      <c r="U628" s="167" t="s">
        <v>801</v>
      </c>
      <c r="X628" s="169">
        <v>45018</v>
      </c>
      <c r="Y628" s="170">
        <v>26</v>
      </c>
      <c r="Z628" s="170">
        <v>0</v>
      </c>
      <c r="AA628" s="170">
        <v>0</v>
      </c>
      <c r="AB628" s="170">
        <v>0</v>
      </c>
      <c r="AC628" s="171">
        <v>26</v>
      </c>
      <c r="AD628" s="172">
        <v>5254394.7599799996</v>
      </c>
      <c r="AE628" s="173">
        <v>26</v>
      </c>
      <c r="AF628" s="174">
        <v>46357</v>
      </c>
    </row>
    <row r="629" spans="1:32" ht="20" x14ac:dyDescent="0.35">
      <c r="A629" s="162" t="s">
        <v>999</v>
      </c>
      <c r="B629" s="163" t="s">
        <v>1000</v>
      </c>
      <c r="C629" s="154"/>
      <c r="D629" s="162" t="s">
        <v>273</v>
      </c>
      <c r="E629" s="164" t="s">
        <v>273</v>
      </c>
      <c r="F629" s="164" t="s">
        <v>1000</v>
      </c>
      <c r="G629" s="164" t="s">
        <v>999</v>
      </c>
      <c r="H629" s="165">
        <v>24105</v>
      </c>
      <c r="I629" s="164" t="s">
        <v>20</v>
      </c>
      <c r="J629" s="164" t="s">
        <v>68</v>
      </c>
      <c r="K629" s="165">
        <v>44048</v>
      </c>
      <c r="L629" s="166" t="s">
        <v>275</v>
      </c>
      <c r="M629" s="154"/>
      <c r="N629" s="154"/>
      <c r="O629" s="164" t="s">
        <v>44</v>
      </c>
      <c r="P629" s="164">
        <v>60</v>
      </c>
      <c r="Q629" s="164">
        <v>5</v>
      </c>
      <c r="R629" s="167" t="s">
        <v>968</v>
      </c>
      <c r="S629" s="167" t="s">
        <v>837</v>
      </c>
      <c r="T629" s="162" t="s">
        <v>800</v>
      </c>
      <c r="U629" s="167" t="s">
        <v>802</v>
      </c>
      <c r="X629" s="169">
        <v>45018</v>
      </c>
      <c r="Y629" s="170">
        <v>96</v>
      </c>
      <c r="Z629" s="170">
        <v>0</v>
      </c>
      <c r="AA629" s="170">
        <v>0</v>
      </c>
      <c r="AB629" s="170">
        <v>0</v>
      </c>
      <c r="AC629" s="171">
        <v>96</v>
      </c>
      <c r="AD629" s="172">
        <v>19400842.19069</v>
      </c>
      <c r="AE629" s="173">
        <v>96</v>
      </c>
      <c r="AF629" s="174">
        <v>46357</v>
      </c>
    </row>
    <row r="630" spans="1:32" ht="20" x14ac:dyDescent="0.35">
      <c r="A630" s="162" t="s">
        <v>999</v>
      </c>
      <c r="B630" s="163" t="s">
        <v>1000</v>
      </c>
      <c r="C630" s="154"/>
      <c r="D630" s="162" t="s">
        <v>273</v>
      </c>
      <c r="E630" s="164" t="s">
        <v>273</v>
      </c>
      <c r="F630" s="164" t="s">
        <v>1000</v>
      </c>
      <c r="G630" s="164" t="s">
        <v>999</v>
      </c>
      <c r="H630" s="165">
        <v>24105</v>
      </c>
      <c r="I630" s="164" t="s">
        <v>20</v>
      </c>
      <c r="J630" s="164" t="s">
        <v>68</v>
      </c>
      <c r="K630" s="165">
        <v>44048</v>
      </c>
      <c r="L630" s="166" t="s">
        <v>275</v>
      </c>
      <c r="M630" s="154"/>
      <c r="N630" s="154"/>
      <c r="O630" s="164" t="s">
        <v>44</v>
      </c>
      <c r="P630" s="164">
        <v>60</v>
      </c>
      <c r="Q630" s="164">
        <v>5</v>
      </c>
      <c r="R630" s="167" t="s">
        <v>968</v>
      </c>
      <c r="S630" s="167" t="s">
        <v>837</v>
      </c>
      <c r="T630" s="162" t="s">
        <v>800</v>
      </c>
      <c r="U630" s="167" t="s">
        <v>803</v>
      </c>
      <c r="X630" s="169">
        <v>45018</v>
      </c>
      <c r="Y630" s="170">
        <v>2</v>
      </c>
      <c r="Z630" s="170">
        <v>0</v>
      </c>
      <c r="AA630" s="170">
        <v>0</v>
      </c>
      <c r="AB630" s="170">
        <v>0</v>
      </c>
      <c r="AC630" s="171">
        <v>2</v>
      </c>
      <c r="AD630" s="172">
        <v>404184.21230999997</v>
      </c>
      <c r="AE630" s="173">
        <v>2</v>
      </c>
      <c r="AF630" s="174">
        <v>46357</v>
      </c>
    </row>
    <row r="631" spans="1:32" ht="20" x14ac:dyDescent="0.35">
      <c r="A631" s="162" t="s">
        <v>999</v>
      </c>
      <c r="B631" s="163" t="s">
        <v>1000</v>
      </c>
      <c r="C631" s="154"/>
      <c r="D631" s="162" t="s">
        <v>273</v>
      </c>
      <c r="E631" s="164" t="s">
        <v>273</v>
      </c>
      <c r="F631" s="164" t="s">
        <v>1000</v>
      </c>
      <c r="G631" s="164" t="s">
        <v>999</v>
      </c>
      <c r="H631" s="165">
        <v>24105</v>
      </c>
      <c r="I631" s="164" t="s">
        <v>20</v>
      </c>
      <c r="J631" s="164" t="s">
        <v>68</v>
      </c>
      <c r="K631" s="165">
        <v>44048</v>
      </c>
      <c r="L631" s="166" t="s">
        <v>275</v>
      </c>
      <c r="M631" s="154"/>
      <c r="N631" s="154"/>
      <c r="O631" s="164" t="s">
        <v>44</v>
      </c>
      <c r="P631" s="164">
        <v>60</v>
      </c>
      <c r="Q631" s="164">
        <v>5</v>
      </c>
      <c r="R631" s="167" t="s">
        <v>968</v>
      </c>
      <c r="S631" s="167" t="s">
        <v>837</v>
      </c>
      <c r="T631" s="162" t="s">
        <v>800</v>
      </c>
      <c r="U631" s="167" t="s">
        <v>804</v>
      </c>
      <c r="X631" s="169">
        <v>45018</v>
      </c>
      <c r="Y631" s="170">
        <v>5</v>
      </c>
      <c r="Z631" s="170">
        <v>0</v>
      </c>
      <c r="AA631" s="170">
        <v>0</v>
      </c>
      <c r="AB631" s="170">
        <v>0</v>
      </c>
      <c r="AC631" s="171">
        <v>5</v>
      </c>
      <c r="AD631" s="172">
        <v>1010460.53077</v>
      </c>
      <c r="AE631" s="173">
        <v>5</v>
      </c>
      <c r="AF631" s="174">
        <v>46357</v>
      </c>
    </row>
    <row r="632" spans="1:32" ht="20" x14ac:dyDescent="0.35">
      <c r="A632" s="162" t="s">
        <v>999</v>
      </c>
      <c r="B632" s="163" t="s">
        <v>1000</v>
      </c>
      <c r="C632" s="154"/>
      <c r="D632" s="162" t="s">
        <v>273</v>
      </c>
      <c r="E632" s="164" t="s">
        <v>273</v>
      </c>
      <c r="F632" s="164" t="s">
        <v>1000</v>
      </c>
      <c r="G632" s="164" t="s">
        <v>999</v>
      </c>
      <c r="H632" s="165">
        <v>24105</v>
      </c>
      <c r="I632" s="164" t="s">
        <v>20</v>
      </c>
      <c r="J632" s="164" t="s">
        <v>68</v>
      </c>
      <c r="K632" s="165">
        <v>44048</v>
      </c>
      <c r="L632" s="166" t="s">
        <v>275</v>
      </c>
      <c r="M632" s="154"/>
      <c r="N632" s="154"/>
      <c r="O632" s="164" t="s">
        <v>44</v>
      </c>
      <c r="P632" s="164">
        <v>60</v>
      </c>
      <c r="Q632" s="164">
        <v>5</v>
      </c>
      <c r="R632" s="167" t="s">
        <v>968</v>
      </c>
      <c r="S632" s="167" t="s">
        <v>837</v>
      </c>
      <c r="T632" s="162" t="s">
        <v>800</v>
      </c>
      <c r="U632" s="167" t="s">
        <v>840</v>
      </c>
      <c r="X632" s="169">
        <v>45018</v>
      </c>
      <c r="Y632" s="170">
        <v>2.4999999966690001</v>
      </c>
      <c r="Z632" s="170">
        <v>0.41666667000000002</v>
      </c>
      <c r="AA632" s="170">
        <v>0</v>
      </c>
      <c r="AB632" s="170">
        <v>0</v>
      </c>
      <c r="AC632" s="171">
        <v>2.9166666666690002</v>
      </c>
      <c r="AD632" s="172">
        <v>589435.30961</v>
      </c>
      <c r="AE632" s="173">
        <v>2.92</v>
      </c>
      <c r="AF632" s="174">
        <v>46357</v>
      </c>
    </row>
    <row r="633" spans="1:32" ht="20" x14ac:dyDescent="0.35">
      <c r="A633" s="162" t="s">
        <v>670</v>
      </c>
      <c r="B633" s="163" t="s">
        <v>1001</v>
      </c>
      <c r="C633" s="154"/>
      <c r="D633" s="162" t="s">
        <v>276</v>
      </c>
      <c r="E633" s="164" t="s">
        <v>276</v>
      </c>
      <c r="F633" s="164" t="s">
        <v>1001</v>
      </c>
      <c r="G633" s="164" t="s">
        <v>670</v>
      </c>
      <c r="H633" s="165">
        <v>32111</v>
      </c>
      <c r="I633" s="164" t="s">
        <v>20</v>
      </c>
      <c r="J633" s="164" t="s">
        <v>68</v>
      </c>
      <c r="K633" s="165">
        <v>44059</v>
      </c>
      <c r="L633" s="166" t="s">
        <v>144</v>
      </c>
      <c r="M633" s="154"/>
      <c r="N633" s="154"/>
      <c r="O633" s="164" t="s">
        <v>145</v>
      </c>
      <c r="P633" s="164">
        <v>38</v>
      </c>
      <c r="Q633" s="164">
        <v>5</v>
      </c>
      <c r="R633" s="167" t="s">
        <v>869</v>
      </c>
      <c r="S633" s="167" t="s">
        <v>24</v>
      </c>
      <c r="T633" s="162" t="s">
        <v>794</v>
      </c>
      <c r="U633" s="167" t="s">
        <v>795</v>
      </c>
      <c r="V633" s="162" t="s">
        <v>796</v>
      </c>
      <c r="W633" s="168">
        <v>5</v>
      </c>
      <c r="X633" s="169">
        <v>45018</v>
      </c>
      <c r="Y633" s="170">
        <v>16.916666663343999</v>
      </c>
      <c r="Z633" s="170">
        <v>1.9166666699999999</v>
      </c>
      <c r="AA633" s="170">
        <v>-4</v>
      </c>
      <c r="AB633" s="170">
        <v>0</v>
      </c>
      <c r="AC633" s="171">
        <v>14.833333333343999</v>
      </c>
      <c r="AD633" s="172">
        <v>2209782.1638400001</v>
      </c>
      <c r="AE633" s="173" t="s">
        <v>797</v>
      </c>
      <c r="AF633" s="173"/>
    </row>
    <row r="634" spans="1:32" ht="20" x14ac:dyDescent="0.35">
      <c r="A634" s="162" t="s">
        <v>670</v>
      </c>
      <c r="B634" s="163" t="s">
        <v>1001</v>
      </c>
      <c r="C634" s="154"/>
      <c r="D634" s="162" t="s">
        <v>276</v>
      </c>
      <c r="E634" s="164" t="s">
        <v>276</v>
      </c>
      <c r="F634" s="164" t="s">
        <v>1001</v>
      </c>
      <c r="G634" s="164" t="s">
        <v>670</v>
      </c>
      <c r="H634" s="165">
        <v>32111</v>
      </c>
      <c r="I634" s="164" t="s">
        <v>20</v>
      </c>
      <c r="J634" s="164" t="s">
        <v>68</v>
      </c>
      <c r="K634" s="165">
        <v>44059</v>
      </c>
      <c r="L634" s="166" t="s">
        <v>144</v>
      </c>
      <c r="M634" s="154"/>
      <c r="N634" s="154"/>
      <c r="O634" s="164" t="s">
        <v>145</v>
      </c>
      <c r="P634" s="164">
        <v>38</v>
      </c>
      <c r="Q634" s="164">
        <v>5</v>
      </c>
      <c r="R634" s="167" t="s">
        <v>869</v>
      </c>
      <c r="S634" s="167" t="s">
        <v>24</v>
      </c>
      <c r="T634" s="162" t="s">
        <v>798</v>
      </c>
      <c r="U634" s="167" t="s">
        <v>839</v>
      </c>
      <c r="X634" s="169">
        <v>45018</v>
      </c>
      <c r="Y634" s="170">
        <v>180</v>
      </c>
      <c r="Z634" s="170">
        <v>0</v>
      </c>
      <c r="AA634" s="170">
        <v>0</v>
      </c>
      <c r="AB634" s="170">
        <v>0</v>
      </c>
      <c r="AC634" s="171">
        <v>180</v>
      </c>
      <c r="AD634" s="172">
        <v>26815334.122979999</v>
      </c>
      <c r="AE634" s="173">
        <v>180</v>
      </c>
      <c r="AF634" s="174">
        <v>46357</v>
      </c>
    </row>
    <row r="635" spans="1:32" ht="20" x14ac:dyDescent="0.35">
      <c r="A635" s="162" t="s">
        <v>670</v>
      </c>
      <c r="B635" s="163" t="s">
        <v>1001</v>
      </c>
      <c r="C635" s="154"/>
      <c r="D635" s="162" t="s">
        <v>276</v>
      </c>
      <c r="E635" s="164" t="s">
        <v>276</v>
      </c>
      <c r="F635" s="164" t="s">
        <v>1001</v>
      </c>
      <c r="G635" s="164" t="s">
        <v>670</v>
      </c>
      <c r="H635" s="165">
        <v>32111</v>
      </c>
      <c r="I635" s="164" t="s">
        <v>20</v>
      </c>
      <c r="J635" s="164" t="s">
        <v>68</v>
      </c>
      <c r="K635" s="165">
        <v>44059</v>
      </c>
      <c r="L635" s="166" t="s">
        <v>144</v>
      </c>
      <c r="M635" s="154"/>
      <c r="N635" s="154"/>
      <c r="O635" s="164" t="s">
        <v>145</v>
      </c>
      <c r="P635" s="164">
        <v>38</v>
      </c>
      <c r="Q635" s="164">
        <v>5</v>
      </c>
      <c r="R635" s="167" t="s">
        <v>869</v>
      </c>
      <c r="S635" s="167" t="s">
        <v>24</v>
      </c>
      <c r="T635" s="162" t="s">
        <v>800</v>
      </c>
      <c r="U635" s="167" t="s">
        <v>801</v>
      </c>
      <c r="X635" s="169">
        <v>45018</v>
      </c>
      <c r="Y635" s="170">
        <v>26</v>
      </c>
      <c r="Z635" s="170">
        <v>0</v>
      </c>
      <c r="AA635" s="170">
        <v>0</v>
      </c>
      <c r="AB635" s="170">
        <v>0</v>
      </c>
      <c r="AC635" s="171">
        <v>26</v>
      </c>
      <c r="AD635" s="172">
        <v>3873326.03999</v>
      </c>
      <c r="AE635" s="173">
        <v>26</v>
      </c>
      <c r="AF635" s="174">
        <v>46357</v>
      </c>
    </row>
    <row r="636" spans="1:32" ht="20" x14ac:dyDescent="0.35">
      <c r="A636" s="162" t="s">
        <v>670</v>
      </c>
      <c r="B636" s="163" t="s">
        <v>1001</v>
      </c>
      <c r="C636" s="154"/>
      <c r="D636" s="162" t="s">
        <v>276</v>
      </c>
      <c r="E636" s="164" t="s">
        <v>276</v>
      </c>
      <c r="F636" s="164" t="s">
        <v>1001</v>
      </c>
      <c r="G636" s="164" t="s">
        <v>670</v>
      </c>
      <c r="H636" s="165">
        <v>32111</v>
      </c>
      <c r="I636" s="164" t="s">
        <v>20</v>
      </c>
      <c r="J636" s="164" t="s">
        <v>68</v>
      </c>
      <c r="K636" s="165">
        <v>44059</v>
      </c>
      <c r="L636" s="166" t="s">
        <v>144</v>
      </c>
      <c r="M636" s="154"/>
      <c r="N636" s="154"/>
      <c r="O636" s="164" t="s">
        <v>145</v>
      </c>
      <c r="P636" s="164">
        <v>38</v>
      </c>
      <c r="Q636" s="164">
        <v>5</v>
      </c>
      <c r="R636" s="167" t="s">
        <v>869</v>
      </c>
      <c r="S636" s="167" t="s">
        <v>24</v>
      </c>
      <c r="T636" s="162" t="s">
        <v>800</v>
      </c>
      <c r="U636" s="167" t="s">
        <v>802</v>
      </c>
      <c r="X636" s="169">
        <v>45018</v>
      </c>
      <c r="Y636" s="170">
        <v>98</v>
      </c>
      <c r="Z636" s="170">
        <v>0</v>
      </c>
      <c r="AA636" s="170">
        <v>0</v>
      </c>
      <c r="AB636" s="170">
        <v>0</v>
      </c>
      <c r="AC636" s="171">
        <v>98</v>
      </c>
      <c r="AD636" s="172">
        <v>14599459.68918</v>
      </c>
      <c r="AE636" s="173">
        <v>98</v>
      </c>
      <c r="AF636" s="174">
        <v>46357</v>
      </c>
    </row>
    <row r="637" spans="1:32" ht="20" x14ac:dyDescent="0.35">
      <c r="A637" s="162" t="s">
        <v>670</v>
      </c>
      <c r="B637" s="163" t="s">
        <v>1001</v>
      </c>
      <c r="C637" s="154"/>
      <c r="D637" s="162" t="s">
        <v>276</v>
      </c>
      <c r="E637" s="164" t="s">
        <v>276</v>
      </c>
      <c r="F637" s="164" t="s">
        <v>1001</v>
      </c>
      <c r="G637" s="164" t="s">
        <v>670</v>
      </c>
      <c r="H637" s="165">
        <v>32111</v>
      </c>
      <c r="I637" s="164" t="s">
        <v>20</v>
      </c>
      <c r="J637" s="164" t="s">
        <v>68</v>
      </c>
      <c r="K637" s="165">
        <v>44059</v>
      </c>
      <c r="L637" s="166" t="s">
        <v>144</v>
      </c>
      <c r="M637" s="154"/>
      <c r="N637" s="154"/>
      <c r="O637" s="164" t="s">
        <v>145</v>
      </c>
      <c r="P637" s="164">
        <v>38</v>
      </c>
      <c r="Q637" s="164">
        <v>5</v>
      </c>
      <c r="R637" s="167" t="s">
        <v>869</v>
      </c>
      <c r="S637" s="167" t="s">
        <v>24</v>
      </c>
      <c r="T637" s="162" t="s">
        <v>800</v>
      </c>
      <c r="U637" s="167" t="s">
        <v>803</v>
      </c>
      <c r="X637" s="169">
        <v>45018</v>
      </c>
      <c r="Y637" s="170">
        <v>2</v>
      </c>
      <c r="Z637" s="170">
        <v>0</v>
      </c>
      <c r="AA637" s="170">
        <v>0</v>
      </c>
      <c r="AB637" s="170">
        <v>0</v>
      </c>
      <c r="AC637" s="171">
        <v>2</v>
      </c>
      <c r="AD637" s="172">
        <v>297948.15691999998</v>
      </c>
      <c r="AE637" s="173">
        <v>2</v>
      </c>
      <c r="AF637" s="174">
        <v>46357</v>
      </c>
    </row>
    <row r="638" spans="1:32" ht="20" x14ac:dyDescent="0.35">
      <c r="A638" s="162" t="s">
        <v>670</v>
      </c>
      <c r="B638" s="163" t="s">
        <v>1001</v>
      </c>
      <c r="C638" s="154"/>
      <c r="D638" s="162" t="s">
        <v>276</v>
      </c>
      <c r="E638" s="164" t="s">
        <v>276</v>
      </c>
      <c r="F638" s="164" t="s">
        <v>1001</v>
      </c>
      <c r="G638" s="164" t="s">
        <v>670</v>
      </c>
      <c r="H638" s="165">
        <v>32111</v>
      </c>
      <c r="I638" s="164" t="s">
        <v>20</v>
      </c>
      <c r="J638" s="164" t="s">
        <v>68</v>
      </c>
      <c r="K638" s="165">
        <v>44059</v>
      </c>
      <c r="L638" s="166" t="s">
        <v>144</v>
      </c>
      <c r="M638" s="154"/>
      <c r="N638" s="154"/>
      <c r="O638" s="164" t="s">
        <v>145</v>
      </c>
      <c r="P638" s="164">
        <v>38</v>
      </c>
      <c r="Q638" s="164">
        <v>5</v>
      </c>
      <c r="R638" s="167" t="s">
        <v>869</v>
      </c>
      <c r="S638" s="167" t="s">
        <v>24</v>
      </c>
      <c r="T638" s="162" t="s">
        <v>800</v>
      </c>
      <c r="U638" s="167" t="s">
        <v>804</v>
      </c>
      <c r="X638" s="169">
        <v>45018</v>
      </c>
      <c r="Y638" s="170">
        <v>5</v>
      </c>
      <c r="Z638" s="170">
        <v>0</v>
      </c>
      <c r="AA638" s="170">
        <v>0</v>
      </c>
      <c r="AB638" s="170">
        <v>0</v>
      </c>
      <c r="AC638" s="171">
        <v>5</v>
      </c>
      <c r="AD638" s="172">
        <v>744870.39229999995</v>
      </c>
      <c r="AE638" s="173">
        <v>5</v>
      </c>
      <c r="AF638" s="174">
        <v>46357</v>
      </c>
    </row>
    <row r="639" spans="1:32" ht="20" x14ac:dyDescent="0.35">
      <c r="A639" s="162" t="s">
        <v>670</v>
      </c>
      <c r="B639" s="163" t="s">
        <v>1001</v>
      </c>
      <c r="C639" s="154"/>
      <c r="D639" s="162" t="s">
        <v>276</v>
      </c>
      <c r="E639" s="164" t="s">
        <v>276</v>
      </c>
      <c r="F639" s="164" t="s">
        <v>1001</v>
      </c>
      <c r="G639" s="164" t="s">
        <v>670</v>
      </c>
      <c r="H639" s="165">
        <v>32111</v>
      </c>
      <c r="I639" s="164" t="s">
        <v>20</v>
      </c>
      <c r="J639" s="164" t="s">
        <v>68</v>
      </c>
      <c r="K639" s="165">
        <v>44059</v>
      </c>
      <c r="L639" s="166" t="s">
        <v>144</v>
      </c>
      <c r="M639" s="154"/>
      <c r="N639" s="154"/>
      <c r="O639" s="164" t="s">
        <v>145</v>
      </c>
      <c r="P639" s="164">
        <v>38</v>
      </c>
      <c r="Q639" s="164">
        <v>5</v>
      </c>
      <c r="R639" s="167" t="s">
        <v>869</v>
      </c>
      <c r="S639" s="167" t="s">
        <v>24</v>
      </c>
      <c r="T639" s="162" t="s">
        <v>800</v>
      </c>
      <c r="U639" s="167" t="s">
        <v>840</v>
      </c>
      <c r="X639" s="169">
        <v>45018</v>
      </c>
      <c r="Y639" s="170">
        <v>2.4999999966690001</v>
      </c>
      <c r="Z639" s="170">
        <v>0.41666667000000002</v>
      </c>
      <c r="AA639" s="170">
        <v>0</v>
      </c>
      <c r="AB639" s="170">
        <v>0</v>
      </c>
      <c r="AC639" s="171">
        <v>2.9166666666690002</v>
      </c>
      <c r="AD639" s="172">
        <v>434507.72884</v>
      </c>
      <c r="AE639" s="173">
        <v>2.92</v>
      </c>
      <c r="AF639" s="174">
        <v>46357</v>
      </c>
    </row>
    <row r="640" spans="1:32" ht="20" x14ac:dyDescent="0.35">
      <c r="A640" s="162" t="s">
        <v>1002</v>
      </c>
      <c r="B640" s="163" t="s">
        <v>1003</v>
      </c>
      <c r="C640" s="154"/>
      <c r="D640" s="162" t="s">
        <v>278</v>
      </c>
      <c r="E640" s="164" t="s">
        <v>278</v>
      </c>
      <c r="F640" s="164" t="s">
        <v>1003</v>
      </c>
      <c r="G640" s="164" t="s">
        <v>1002</v>
      </c>
      <c r="H640" s="165">
        <v>28872</v>
      </c>
      <c r="I640" s="164" t="s">
        <v>20</v>
      </c>
      <c r="J640" s="164" t="s">
        <v>68</v>
      </c>
      <c r="K640" s="165">
        <v>44105</v>
      </c>
      <c r="L640" s="166" t="s">
        <v>280</v>
      </c>
      <c r="M640" s="154"/>
      <c r="N640" s="154"/>
      <c r="O640" s="164" t="s">
        <v>44</v>
      </c>
      <c r="P640" s="164">
        <v>47</v>
      </c>
      <c r="Q640" s="164">
        <v>5</v>
      </c>
      <c r="R640" s="167" t="s">
        <v>843</v>
      </c>
      <c r="S640" s="167" t="s">
        <v>844</v>
      </c>
      <c r="T640" s="162" t="s">
        <v>794</v>
      </c>
      <c r="U640" s="167" t="s">
        <v>795</v>
      </c>
      <c r="V640" s="162" t="s">
        <v>796</v>
      </c>
      <c r="W640" s="168">
        <v>5</v>
      </c>
      <c r="X640" s="169">
        <v>45018</v>
      </c>
      <c r="Y640" s="170">
        <v>25.749999996667999</v>
      </c>
      <c r="Z640" s="170">
        <v>1.9166666699999999</v>
      </c>
      <c r="AA640" s="170">
        <v>0</v>
      </c>
      <c r="AB640" s="170">
        <v>0</v>
      </c>
      <c r="AC640" s="171">
        <v>27.666666666668</v>
      </c>
      <c r="AD640" s="172">
        <v>4608009.6529400004</v>
      </c>
      <c r="AE640" s="173" t="s">
        <v>797</v>
      </c>
      <c r="AF640" s="173"/>
    </row>
    <row r="641" spans="1:32" ht="20" x14ac:dyDescent="0.35">
      <c r="A641" s="162" t="s">
        <v>1002</v>
      </c>
      <c r="B641" s="163" t="s">
        <v>1003</v>
      </c>
      <c r="C641" s="154"/>
      <c r="D641" s="162" t="s">
        <v>278</v>
      </c>
      <c r="E641" s="164" t="s">
        <v>278</v>
      </c>
      <c r="F641" s="164" t="s">
        <v>1003</v>
      </c>
      <c r="G641" s="164" t="s">
        <v>1002</v>
      </c>
      <c r="H641" s="165">
        <v>28872</v>
      </c>
      <c r="I641" s="164" t="s">
        <v>20</v>
      </c>
      <c r="J641" s="164" t="s">
        <v>68</v>
      </c>
      <c r="K641" s="165">
        <v>44105</v>
      </c>
      <c r="L641" s="166" t="s">
        <v>280</v>
      </c>
      <c r="M641" s="154"/>
      <c r="N641" s="154"/>
      <c r="O641" s="164" t="s">
        <v>44</v>
      </c>
      <c r="P641" s="164">
        <v>47</v>
      </c>
      <c r="Q641" s="164">
        <v>5</v>
      </c>
      <c r="R641" s="167" t="s">
        <v>843</v>
      </c>
      <c r="S641" s="167" t="s">
        <v>844</v>
      </c>
      <c r="T641" s="162" t="s">
        <v>798</v>
      </c>
      <c r="U641" s="167" t="s">
        <v>839</v>
      </c>
      <c r="X641" s="169">
        <v>45018</v>
      </c>
      <c r="Y641" s="170">
        <v>180</v>
      </c>
      <c r="Z641" s="170">
        <v>0</v>
      </c>
      <c r="AA641" s="170">
        <v>0</v>
      </c>
      <c r="AB641" s="170">
        <v>0</v>
      </c>
      <c r="AC641" s="171">
        <v>180</v>
      </c>
      <c r="AD641" s="172">
        <v>29979821.83842</v>
      </c>
      <c r="AE641" s="173">
        <v>180</v>
      </c>
      <c r="AF641" s="174">
        <v>46357</v>
      </c>
    </row>
    <row r="642" spans="1:32" ht="20" x14ac:dyDescent="0.35">
      <c r="A642" s="162" t="s">
        <v>1002</v>
      </c>
      <c r="B642" s="163" t="s">
        <v>1003</v>
      </c>
      <c r="C642" s="154"/>
      <c r="D642" s="162" t="s">
        <v>278</v>
      </c>
      <c r="E642" s="164" t="s">
        <v>278</v>
      </c>
      <c r="F642" s="164" t="s">
        <v>1003</v>
      </c>
      <c r="G642" s="164" t="s">
        <v>1002</v>
      </c>
      <c r="H642" s="165">
        <v>28872</v>
      </c>
      <c r="I642" s="164" t="s">
        <v>20</v>
      </c>
      <c r="J642" s="164" t="s">
        <v>68</v>
      </c>
      <c r="K642" s="165">
        <v>44105</v>
      </c>
      <c r="L642" s="166" t="s">
        <v>280</v>
      </c>
      <c r="M642" s="154"/>
      <c r="N642" s="154"/>
      <c r="O642" s="164" t="s">
        <v>44</v>
      </c>
      <c r="P642" s="164">
        <v>47</v>
      </c>
      <c r="Q642" s="164">
        <v>5</v>
      </c>
      <c r="R642" s="167" t="s">
        <v>843</v>
      </c>
      <c r="S642" s="167" t="s">
        <v>844</v>
      </c>
      <c r="T642" s="162" t="s">
        <v>800</v>
      </c>
      <c r="U642" s="167" t="s">
        <v>801</v>
      </c>
      <c r="X642" s="169">
        <v>45018</v>
      </c>
      <c r="Y642" s="170">
        <v>26</v>
      </c>
      <c r="Z642" s="170">
        <v>0</v>
      </c>
      <c r="AA642" s="170">
        <v>0</v>
      </c>
      <c r="AB642" s="170">
        <v>0</v>
      </c>
      <c r="AC642" s="171">
        <v>26</v>
      </c>
      <c r="AD642" s="172">
        <v>4330418.7099900004</v>
      </c>
      <c r="AE642" s="173">
        <v>26</v>
      </c>
      <c r="AF642" s="174">
        <v>46357</v>
      </c>
    </row>
    <row r="643" spans="1:32" ht="20" x14ac:dyDescent="0.35">
      <c r="A643" s="162" t="s">
        <v>1002</v>
      </c>
      <c r="B643" s="163" t="s">
        <v>1003</v>
      </c>
      <c r="C643" s="154"/>
      <c r="D643" s="162" t="s">
        <v>278</v>
      </c>
      <c r="E643" s="164" t="s">
        <v>278</v>
      </c>
      <c r="F643" s="164" t="s">
        <v>1003</v>
      </c>
      <c r="G643" s="164" t="s">
        <v>1002</v>
      </c>
      <c r="H643" s="165">
        <v>28872</v>
      </c>
      <c r="I643" s="164" t="s">
        <v>20</v>
      </c>
      <c r="J643" s="164" t="s">
        <v>68</v>
      </c>
      <c r="K643" s="165">
        <v>44105</v>
      </c>
      <c r="L643" s="166" t="s">
        <v>280</v>
      </c>
      <c r="M643" s="154"/>
      <c r="N643" s="154"/>
      <c r="O643" s="164" t="s">
        <v>44</v>
      </c>
      <c r="P643" s="164">
        <v>47</v>
      </c>
      <c r="Q643" s="164">
        <v>5</v>
      </c>
      <c r="R643" s="167" t="s">
        <v>843</v>
      </c>
      <c r="S643" s="167" t="s">
        <v>844</v>
      </c>
      <c r="T643" s="162" t="s">
        <v>800</v>
      </c>
      <c r="U643" s="167" t="s">
        <v>802</v>
      </c>
      <c r="X643" s="169">
        <v>45018</v>
      </c>
      <c r="Y643" s="170">
        <v>98</v>
      </c>
      <c r="Z643" s="170">
        <v>0</v>
      </c>
      <c r="AA643" s="170">
        <v>0</v>
      </c>
      <c r="AB643" s="170">
        <v>0</v>
      </c>
      <c r="AC643" s="171">
        <v>98</v>
      </c>
      <c r="AD643" s="172">
        <v>16322347.445359999</v>
      </c>
      <c r="AE643" s="173">
        <v>98</v>
      </c>
      <c r="AF643" s="174">
        <v>46357</v>
      </c>
    </row>
    <row r="644" spans="1:32" ht="20" x14ac:dyDescent="0.35">
      <c r="A644" s="162" t="s">
        <v>1002</v>
      </c>
      <c r="B644" s="163" t="s">
        <v>1003</v>
      </c>
      <c r="C644" s="154"/>
      <c r="D644" s="162" t="s">
        <v>278</v>
      </c>
      <c r="E644" s="164" t="s">
        <v>278</v>
      </c>
      <c r="F644" s="164" t="s">
        <v>1003</v>
      </c>
      <c r="G644" s="164" t="s">
        <v>1002</v>
      </c>
      <c r="H644" s="165">
        <v>28872</v>
      </c>
      <c r="I644" s="164" t="s">
        <v>20</v>
      </c>
      <c r="J644" s="164" t="s">
        <v>68</v>
      </c>
      <c r="K644" s="165">
        <v>44105</v>
      </c>
      <c r="L644" s="166" t="s">
        <v>280</v>
      </c>
      <c r="M644" s="154"/>
      <c r="N644" s="154"/>
      <c r="O644" s="164" t="s">
        <v>44</v>
      </c>
      <c r="P644" s="164">
        <v>47</v>
      </c>
      <c r="Q644" s="164">
        <v>5</v>
      </c>
      <c r="R644" s="167" t="s">
        <v>843</v>
      </c>
      <c r="S644" s="167" t="s">
        <v>844</v>
      </c>
      <c r="T644" s="162" t="s">
        <v>800</v>
      </c>
      <c r="U644" s="167" t="s">
        <v>803</v>
      </c>
      <c r="X644" s="169">
        <v>45018</v>
      </c>
      <c r="Y644" s="170">
        <v>2</v>
      </c>
      <c r="Z644" s="170">
        <v>0</v>
      </c>
      <c r="AA644" s="170">
        <v>0</v>
      </c>
      <c r="AB644" s="170">
        <v>0</v>
      </c>
      <c r="AC644" s="171">
        <v>2</v>
      </c>
      <c r="AD644" s="172">
        <v>333109.13153999997</v>
      </c>
      <c r="AE644" s="173">
        <v>2</v>
      </c>
      <c r="AF644" s="174">
        <v>46357</v>
      </c>
    </row>
    <row r="645" spans="1:32" ht="20" x14ac:dyDescent="0.35">
      <c r="A645" s="162" t="s">
        <v>1002</v>
      </c>
      <c r="B645" s="163" t="s">
        <v>1003</v>
      </c>
      <c r="C645" s="154"/>
      <c r="D645" s="162" t="s">
        <v>278</v>
      </c>
      <c r="E645" s="164" t="s">
        <v>278</v>
      </c>
      <c r="F645" s="164" t="s">
        <v>1003</v>
      </c>
      <c r="G645" s="164" t="s">
        <v>1002</v>
      </c>
      <c r="H645" s="165">
        <v>28872</v>
      </c>
      <c r="I645" s="164" t="s">
        <v>20</v>
      </c>
      <c r="J645" s="164" t="s">
        <v>68</v>
      </c>
      <c r="K645" s="165">
        <v>44105</v>
      </c>
      <c r="L645" s="166" t="s">
        <v>280</v>
      </c>
      <c r="M645" s="154"/>
      <c r="N645" s="154"/>
      <c r="O645" s="164" t="s">
        <v>44</v>
      </c>
      <c r="P645" s="164">
        <v>47</v>
      </c>
      <c r="Q645" s="164">
        <v>5</v>
      </c>
      <c r="R645" s="167" t="s">
        <v>843</v>
      </c>
      <c r="S645" s="167" t="s">
        <v>844</v>
      </c>
      <c r="T645" s="162" t="s">
        <v>800</v>
      </c>
      <c r="U645" s="167" t="s">
        <v>804</v>
      </c>
      <c r="X645" s="169">
        <v>45018</v>
      </c>
      <c r="Y645" s="170">
        <v>5</v>
      </c>
      <c r="Z645" s="170">
        <v>0</v>
      </c>
      <c r="AA645" s="170">
        <v>0</v>
      </c>
      <c r="AB645" s="170">
        <v>0</v>
      </c>
      <c r="AC645" s="171">
        <v>5</v>
      </c>
      <c r="AD645" s="172">
        <v>832772.82885000005</v>
      </c>
      <c r="AE645" s="173">
        <v>5</v>
      </c>
      <c r="AF645" s="174">
        <v>46357</v>
      </c>
    </row>
    <row r="646" spans="1:32" ht="20" x14ac:dyDescent="0.35">
      <c r="A646" s="162" t="s">
        <v>1002</v>
      </c>
      <c r="B646" s="163" t="s">
        <v>1003</v>
      </c>
      <c r="C646" s="154"/>
      <c r="D646" s="162" t="s">
        <v>278</v>
      </c>
      <c r="E646" s="164" t="s">
        <v>278</v>
      </c>
      <c r="F646" s="164" t="s">
        <v>1003</v>
      </c>
      <c r="G646" s="164" t="s">
        <v>1002</v>
      </c>
      <c r="H646" s="165">
        <v>28872</v>
      </c>
      <c r="I646" s="164" t="s">
        <v>20</v>
      </c>
      <c r="J646" s="164" t="s">
        <v>68</v>
      </c>
      <c r="K646" s="165">
        <v>44105</v>
      </c>
      <c r="L646" s="166" t="s">
        <v>280</v>
      </c>
      <c r="M646" s="154"/>
      <c r="N646" s="154"/>
      <c r="O646" s="164" t="s">
        <v>44</v>
      </c>
      <c r="P646" s="164">
        <v>47</v>
      </c>
      <c r="Q646" s="164">
        <v>5</v>
      </c>
      <c r="R646" s="167" t="s">
        <v>843</v>
      </c>
      <c r="S646" s="167" t="s">
        <v>844</v>
      </c>
      <c r="T646" s="162" t="s">
        <v>800</v>
      </c>
      <c r="U646" s="167" t="s">
        <v>840</v>
      </c>
      <c r="X646" s="169">
        <v>45018</v>
      </c>
      <c r="Y646" s="170">
        <v>2.4999999966690001</v>
      </c>
      <c r="Z646" s="170">
        <v>0.41666667000000002</v>
      </c>
      <c r="AA646" s="170">
        <v>0</v>
      </c>
      <c r="AB646" s="170">
        <v>0</v>
      </c>
      <c r="AC646" s="171">
        <v>2.9166666666690002</v>
      </c>
      <c r="AD646" s="172">
        <v>485784.15016000002</v>
      </c>
      <c r="AE646" s="173">
        <v>2.92</v>
      </c>
      <c r="AF646" s="174">
        <v>46357</v>
      </c>
    </row>
    <row r="647" spans="1:32" ht="20" x14ac:dyDescent="0.35">
      <c r="A647" s="162" t="s">
        <v>1004</v>
      </c>
      <c r="B647" s="163" t="s">
        <v>1005</v>
      </c>
      <c r="C647" s="154"/>
      <c r="D647" s="162" t="s">
        <v>281</v>
      </c>
      <c r="E647" s="164" t="s">
        <v>281</v>
      </c>
      <c r="F647" s="164" t="s">
        <v>1005</v>
      </c>
      <c r="G647" s="164" t="s">
        <v>1004</v>
      </c>
      <c r="H647" s="165">
        <v>28062</v>
      </c>
      <c r="I647" s="164" t="s">
        <v>20</v>
      </c>
      <c r="J647" s="164" t="s">
        <v>68</v>
      </c>
      <c r="K647" s="165">
        <v>44105</v>
      </c>
      <c r="L647" s="166" t="s">
        <v>34</v>
      </c>
      <c r="M647" s="154"/>
      <c r="N647" s="154"/>
      <c r="O647" s="164" t="s">
        <v>35</v>
      </c>
      <c r="P647" s="164">
        <v>49</v>
      </c>
      <c r="Q647" s="164">
        <v>5</v>
      </c>
      <c r="R647" s="167" t="s">
        <v>843</v>
      </c>
      <c r="S647" s="167" t="s">
        <v>844</v>
      </c>
      <c r="T647" s="162" t="s">
        <v>794</v>
      </c>
      <c r="U647" s="167" t="s">
        <v>819</v>
      </c>
      <c r="V647" s="162" t="s">
        <v>820</v>
      </c>
      <c r="W647" s="168">
        <v>5</v>
      </c>
      <c r="X647" s="169">
        <v>45018</v>
      </c>
      <c r="Y647" s="170">
        <v>24.250000000002</v>
      </c>
      <c r="Z647" s="170">
        <v>1.75</v>
      </c>
      <c r="AA647" s="170">
        <v>0</v>
      </c>
      <c r="AB647" s="170">
        <v>0</v>
      </c>
      <c r="AC647" s="171">
        <v>26.000000000002</v>
      </c>
      <c r="AD647" s="172">
        <v>1870521.61</v>
      </c>
      <c r="AE647" s="173" t="s">
        <v>797</v>
      </c>
      <c r="AF647" s="173"/>
    </row>
    <row r="648" spans="1:32" ht="20" x14ac:dyDescent="0.35">
      <c r="A648" s="162" t="s">
        <v>1004</v>
      </c>
      <c r="B648" s="163" t="s">
        <v>1005</v>
      </c>
      <c r="C648" s="154"/>
      <c r="D648" s="162" t="s">
        <v>281</v>
      </c>
      <c r="E648" s="164" t="s">
        <v>281</v>
      </c>
      <c r="F648" s="164" t="s">
        <v>1005</v>
      </c>
      <c r="G648" s="164" t="s">
        <v>1004</v>
      </c>
      <c r="H648" s="165">
        <v>28062</v>
      </c>
      <c r="I648" s="164" t="s">
        <v>20</v>
      </c>
      <c r="J648" s="164" t="s">
        <v>68</v>
      </c>
      <c r="K648" s="165">
        <v>44105</v>
      </c>
      <c r="L648" s="166" t="s">
        <v>34</v>
      </c>
      <c r="M648" s="154"/>
      <c r="N648" s="154"/>
      <c r="O648" s="164" t="s">
        <v>35</v>
      </c>
      <c r="P648" s="164">
        <v>49</v>
      </c>
      <c r="Q648" s="164">
        <v>5</v>
      </c>
      <c r="R648" s="167" t="s">
        <v>843</v>
      </c>
      <c r="S648" s="167" t="s">
        <v>844</v>
      </c>
      <c r="T648" s="162" t="s">
        <v>798</v>
      </c>
      <c r="U648" s="167" t="s">
        <v>799</v>
      </c>
      <c r="X648" s="169">
        <v>45018</v>
      </c>
      <c r="Y648" s="170">
        <v>180</v>
      </c>
      <c r="Z648" s="170">
        <v>0</v>
      </c>
      <c r="AA648" s="170">
        <v>0</v>
      </c>
      <c r="AB648" s="170">
        <v>0</v>
      </c>
      <c r="AC648" s="171">
        <v>180</v>
      </c>
      <c r="AD648" s="172">
        <v>12949764.992280001</v>
      </c>
      <c r="AE648" s="173">
        <v>180</v>
      </c>
      <c r="AF648" s="174">
        <v>46357</v>
      </c>
    </row>
    <row r="649" spans="1:32" ht="20" x14ac:dyDescent="0.35">
      <c r="A649" s="162" t="s">
        <v>1004</v>
      </c>
      <c r="B649" s="163" t="s">
        <v>1005</v>
      </c>
      <c r="C649" s="154"/>
      <c r="D649" s="162" t="s">
        <v>281</v>
      </c>
      <c r="E649" s="164" t="s">
        <v>281</v>
      </c>
      <c r="F649" s="164" t="s">
        <v>1005</v>
      </c>
      <c r="G649" s="164" t="s">
        <v>1004</v>
      </c>
      <c r="H649" s="165">
        <v>28062</v>
      </c>
      <c r="I649" s="164" t="s">
        <v>20</v>
      </c>
      <c r="J649" s="164" t="s">
        <v>68</v>
      </c>
      <c r="K649" s="165">
        <v>44105</v>
      </c>
      <c r="L649" s="166" t="s">
        <v>34</v>
      </c>
      <c r="M649" s="154"/>
      <c r="N649" s="154"/>
      <c r="O649" s="164" t="s">
        <v>35</v>
      </c>
      <c r="P649" s="164">
        <v>49</v>
      </c>
      <c r="Q649" s="164">
        <v>5</v>
      </c>
      <c r="R649" s="167" t="s">
        <v>843</v>
      </c>
      <c r="S649" s="167" t="s">
        <v>844</v>
      </c>
      <c r="T649" s="162" t="s">
        <v>800</v>
      </c>
      <c r="U649" s="167" t="s">
        <v>801</v>
      </c>
      <c r="X649" s="169">
        <v>45018</v>
      </c>
      <c r="Y649" s="170">
        <v>26</v>
      </c>
      <c r="Z649" s="170">
        <v>0</v>
      </c>
      <c r="AA649" s="170">
        <v>0</v>
      </c>
      <c r="AB649" s="170">
        <v>0</v>
      </c>
      <c r="AC649" s="171">
        <v>26</v>
      </c>
      <c r="AD649" s="172">
        <v>1870521.61</v>
      </c>
      <c r="AE649" s="173">
        <v>26</v>
      </c>
      <c r="AF649" s="174">
        <v>46357</v>
      </c>
    </row>
    <row r="650" spans="1:32" ht="20" x14ac:dyDescent="0.35">
      <c r="A650" s="162" t="s">
        <v>1004</v>
      </c>
      <c r="B650" s="163" t="s">
        <v>1005</v>
      </c>
      <c r="C650" s="154"/>
      <c r="D650" s="162" t="s">
        <v>281</v>
      </c>
      <c r="E650" s="164" t="s">
        <v>281</v>
      </c>
      <c r="F650" s="164" t="s">
        <v>1005</v>
      </c>
      <c r="G650" s="164" t="s">
        <v>1004</v>
      </c>
      <c r="H650" s="165">
        <v>28062</v>
      </c>
      <c r="I650" s="164" t="s">
        <v>20</v>
      </c>
      <c r="J650" s="164" t="s">
        <v>68</v>
      </c>
      <c r="K650" s="165">
        <v>44105</v>
      </c>
      <c r="L650" s="166" t="s">
        <v>34</v>
      </c>
      <c r="M650" s="154"/>
      <c r="N650" s="154"/>
      <c r="O650" s="164" t="s">
        <v>35</v>
      </c>
      <c r="P650" s="164">
        <v>49</v>
      </c>
      <c r="Q650" s="164">
        <v>5</v>
      </c>
      <c r="R650" s="167" t="s">
        <v>843</v>
      </c>
      <c r="S650" s="167" t="s">
        <v>844</v>
      </c>
      <c r="T650" s="162" t="s">
        <v>800</v>
      </c>
      <c r="U650" s="167" t="s">
        <v>802</v>
      </c>
      <c r="X650" s="169">
        <v>45018</v>
      </c>
      <c r="Y650" s="170">
        <v>98</v>
      </c>
      <c r="Z650" s="170">
        <v>0</v>
      </c>
      <c r="AA650" s="170">
        <v>0</v>
      </c>
      <c r="AB650" s="170">
        <v>0</v>
      </c>
      <c r="AC650" s="171">
        <v>98</v>
      </c>
      <c r="AD650" s="172">
        <v>7050427.6069099996</v>
      </c>
      <c r="AE650" s="173">
        <v>98</v>
      </c>
      <c r="AF650" s="174">
        <v>46357</v>
      </c>
    </row>
    <row r="651" spans="1:32" ht="20" x14ac:dyDescent="0.35">
      <c r="A651" s="162" t="s">
        <v>1004</v>
      </c>
      <c r="B651" s="163" t="s">
        <v>1005</v>
      </c>
      <c r="C651" s="154"/>
      <c r="D651" s="162" t="s">
        <v>281</v>
      </c>
      <c r="E651" s="164" t="s">
        <v>281</v>
      </c>
      <c r="F651" s="164" t="s">
        <v>1005</v>
      </c>
      <c r="G651" s="164" t="s">
        <v>1004</v>
      </c>
      <c r="H651" s="165">
        <v>28062</v>
      </c>
      <c r="I651" s="164" t="s">
        <v>20</v>
      </c>
      <c r="J651" s="164" t="s">
        <v>68</v>
      </c>
      <c r="K651" s="165">
        <v>44105</v>
      </c>
      <c r="L651" s="166" t="s">
        <v>34</v>
      </c>
      <c r="M651" s="154"/>
      <c r="N651" s="154"/>
      <c r="O651" s="164" t="s">
        <v>35</v>
      </c>
      <c r="P651" s="164">
        <v>49</v>
      </c>
      <c r="Q651" s="164">
        <v>5</v>
      </c>
      <c r="R651" s="167" t="s">
        <v>843</v>
      </c>
      <c r="S651" s="167" t="s">
        <v>844</v>
      </c>
      <c r="T651" s="162" t="s">
        <v>800</v>
      </c>
      <c r="U651" s="167" t="s">
        <v>803</v>
      </c>
      <c r="X651" s="169">
        <v>45018</v>
      </c>
      <c r="Y651" s="170">
        <v>2</v>
      </c>
      <c r="Z651" s="170">
        <v>0</v>
      </c>
      <c r="AA651" s="170">
        <v>0</v>
      </c>
      <c r="AB651" s="170">
        <v>0</v>
      </c>
      <c r="AC651" s="171">
        <v>2</v>
      </c>
      <c r="AD651" s="172">
        <v>143886.27768999999</v>
      </c>
      <c r="AE651" s="173">
        <v>2</v>
      </c>
      <c r="AF651" s="174">
        <v>46357</v>
      </c>
    </row>
    <row r="652" spans="1:32" ht="20" x14ac:dyDescent="0.35">
      <c r="A652" s="162" t="s">
        <v>1004</v>
      </c>
      <c r="B652" s="163" t="s">
        <v>1005</v>
      </c>
      <c r="C652" s="154"/>
      <c r="D652" s="162" t="s">
        <v>281</v>
      </c>
      <c r="E652" s="164" t="s">
        <v>281</v>
      </c>
      <c r="F652" s="164" t="s">
        <v>1005</v>
      </c>
      <c r="G652" s="164" t="s">
        <v>1004</v>
      </c>
      <c r="H652" s="165">
        <v>28062</v>
      </c>
      <c r="I652" s="164" t="s">
        <v>20</v>
      </c>
      <c r="J652" s="164" t="s">
        <v>68</v>
      </c>
      <c r="K652" s="165">
        <v>44105</v>
      </c>
      <c r="L652" s="166" t="s">
        <v>34</v>
      </c>
      <c r="M652" s="154"/>
      <c r="N652" s="154"/>
      <c r="O652" s="164" t="s">
        <v>35</v>
      </c>
      <c r="P652" s="164">
        <v>49</v>
      </c>
      <c r="Q652" s="164">
        <v>5</v>
      </c>
      <c r="R652" s="167" t="s">
        <v>843</v>
      </c>
      <c r="S652" s="167" t="s">
        <v>844</v>
      </c>
      <c r="T652" s="162" t="s">
        <v>800</v>
      </c>
      <c r="U652" s="167" t="s">
        <v>804</v>
      </c>
      <c r="X652" s="169">
        <v>45018</v>
      </c>
      <c r="Y652" s="170">
        <v>5</v>
      </c>
      <c r="Z652" s="170">
        <v>0</v>
      </c>
      <c r="AA652" s="170">
        <v>0</v>
      </c>
      <c r="AB652" s="170">
        <v>0</v>
      </c>
      <c r="AC652" s="171">
        <v>5</v>
      </c>
      <c r="AD652" s="172">
        <v>359715.69423000002</v>
      </c>
      <c r="AE652" s="173">
        <v>5</v>
      </c>
      <c r="AF652" s="174">
        <v>46357</v>
      </c>
    </row>
    <row r="653" spans="1:32" ht="20" x14ac:dyDescent="0.35">
      <c r="A653" s="162" t="s">
        <v>1004</v>
      </c>
      <c r="B653" s="163" t="s">
        <v>1005</v>
      </c>
      <c r="C653" s="154"/>
      <c r="D653" s="162" t="s">
        <v>281</v>
      </c>
      <c r="E653" s="164" t="s">
        <v>281</v>
      </c>
      <c r="F653" s="164" t="s">
        <v>1005</v>
      </c>
      <c r="G653" s="164" t="s">
        <v>1004</v>
      </c>
      <c r="H653" s="165">
        <v>28062</v>
      </c>
      <c r="I653" s="164" t="s">
        <v>20</v>
      </c>
      <c r="J653" s="164" t="s">
        <v>68</v>
      </c>
      <c r="K653" s="165">
        <v>44105</v>
      </c>
      <c r="L653" s="166" t="s">
        <v>34</v>
      </c>
      <c r="M653" s="154"/>
      <c r="N653" s="154"/>
      <c r="O653" s="164" t="s">
        <v>35</v>
      </c>
      <c r="P653" s="164">
        <v>49</v>
      </c>
      <c r="Q653" s="164">
        <v>5</v>
      </c>
      <c r="R653" s="167" t="s">
        <v>843</v>
      </c>
      <c r="S653" s="167" t="s">
        <v>844</v>
      </c>
      <c r="T653" s="162" t="s">
        <v>800</v>
      </c>
      <c r="U653" s="167" t="s">
        <v>805</v>
      </c>
      <c r="X653" s="169">
        <v>45018</v>
      </c>
      <c r="Y653" s="170">
        <v>2.4999999966690001</v>
      </c>
      <c r="Z653" s="170">
        <v>0.41666667000000002</v>
      </c>
      <c r="AA653" s="170">
        <v>0</v>
      </c>
      <c r="AB653" s="170">
        <v>0</v>
      </c>
      <c r="AC653" s="171">
        <v>2.9166666666690002</v>
      </c>
      <c r="AD653" s="172">
        <v>209834.15497</v>
      </c>
      <c r="AE653" s="173">
        <v>2.92</v>
      </c>
      <c r="AF653" s="174">
        <v>46357</v>
      </c>
    </row>
    <row r="654" spans="1:32" ht="20" x14ac:dyDescent="0.35">
      <c r="A654" s="162" t="s">
        <v>1006</v>
      </c>
      <c r="B654" s="163" t="s">
        <v>1007</v>
      </c>
      <c r="C654" s="154"/>
      <c r="D654" s="162" t="s">
        <v>283</v>
      </c>
      <c r="E654" s="164" t="s">
        <v>283</v>
      </c>
      <c r="F654" s="164" t="s">
        <v>1007</v>
      </c>
      <c r="G654" s="164" t="s">
        <v>1006</v>
      </c>
      <c r="H654" s="165">
        <v>30120</v>
      </c>
      <c r="I654" s="164" t="s">
        <v>20</v>
      </c>
      <c r="J654" s="164" t="s">
        <v>68</v>
      </c>
      <c r="K654" s="165">
        <v>44105</v>
      </c>
      <c r="L654" s="166" t="s">
        <v>1008</v>
      </c>
      <c r="M654" s="154"/>
      <c r="N654" s="154"/>
      <c r="O654" s="164" t="s">
        <v>70</v>
      </c>
      <c r="P654" s="164">
        <v>44</v>
      </c>
      <c r="Q654" s="164">
        <v>5</v>
      </c>
      <c r="R654" s="167" t="s">
        <v>1009</v>
      </c>
      <c r="S654" s="167" t="s">
        <v>844</v>
      </c>
      <c r="T654" s="162" t="s">
        <v>794</v>
      </c>
      <c r="U654" s="167" t="s">
        <v>833</v>
      </c>
      <c r="V654" s="162" t="s">
        <v>820</v>
      </c>
      <c r="W654" s="168">
        <v>5</v>
      </c>
      <c r="X654" s="169">
        <v>45018</v>
      </c>
      <c r="Y654" s="170">
        <v>26.166666669994999</v>
      </c>
      <c r="Z654" s="170">
        <v>2.0833333299999999</v>
      </c>
      <c r="AA654" s="170">
        <v>-15</v>
      </c>
      <c r="AB654" s="170">
        <v>0</v>
      </c>
      <c r="AC654" s="171">
        <v>13.249999999995</v>
      </c>
      <c r="AD654" s="172">
        <v>7881942.7611499997</v>
      </c>
      <c r="AE654" s="173" t="s">
        <v>797</v>
      </c>
      <c r="AF654" s="173"/>
    </row>
    <row r="655" spans="1:32" ht="20" x14ac:dyDescent="0.35">
      <c r="A655" s="162" t="s">
        <v>1006</v>
      </c>
      <c r="B655" s="163" t="s">
        <v>1007</v>
      </c>
      <c r="C655" s="154"/>
      <c r="D655" s="162" t="s">
        <v>283</v>
      </c>
      <c r="E655" s="164" t="s">
        <v>283</v>
      </c>
      <c r="F655" s="164" t="s">
        <v>1007</v>
      </c>
      <c r="G655" s="164" t="s">
        <v>1006</v>
      </c>
      <c r="H655" s="165">
        <v>30120</v>
      </c>
      <c r="I655" s="164" t="s">
        <v>20</v>
      </c>
      <c r="J655" s="164" t="s">
        <v>68</v>
      </c>
      <c r="K655" s="165">
        <v>44105</v>
      </c>
      <c r="L655" s="166" t="s">
        <v>1008</v>
      </c>
      <c r="M655" s="154"/>
      <c r="N655" s="154"/>
      <c r="O655" s="164" t="s">
        <v>70</v>
      </c>
      <c r="P655" s="164">
        <v>44</v>
      </c>
      <c r="Q655" s="164">
        <v>5</v>
      </c>
      <c r="R655" s="167" t="s">
        <v>1009</v>
      </c>
      <c r="S655" s="167" t="s">
        <v>844</v>
      </c>
      <c r="T655" s="162" t="s">
        <v>798</v>
      </c>
      <c r="U655" s="167" t="s">
        <v>799</v>
      </c>
      <c r="X655" s="169">
        <v>45018</v>
      </c>
      <c r="Y655" s="170">
        <v>180</v>
      </c>
      <c r="Z655" s="170">
        <v>0</v>
      </c>
      <c r="AA655" s="170">
        <v>0</v>
      </c>
      <c r="AB655" s="170">
        <v>0</v>
      </c>
      <c r="AC655" s="171">
        <v>180</v>
      </c>
      <c r="AD655" s="172">
        <v>107075448.8307</v>
      </c>
      <c r="AE655" s="173">
        <v>180</v>
      </c>
      <c r="AF655" s="174">
        <v>46357</v>
      </c>
    </row>
    <row r="656" spans="1:32" ht="20" x14ac:dyDescent="0.35">
      <c r="A656" s="162" t="s">
        <v>1006</v>
      </c>
      <c r="B656" s="163" t="s">
        <v>1007</v>
      </c>
      <c r="C656" s="154"/>
      <c r="D656" s="162" t="s">
        <v>283</v>
      </c>
      <c r="E656" s="164" t="s">
        <v>283</v>
      </c>
      <c r="F656" s="164" t="s">
        <v>1007</v>
      </c>
      <c r="G656" s="164" t="s">
        <v>1006</v>
      </c>
      <c r="H656" s="165">
        <v>30120</v>
      </c>
      <c r="I656" s="164" t="s">
        <v>20</v>
      </c>
      <c r="J656" s="164" t="s">
        <v>68</v>
      </c>
      <c r="K656" s="165">
        <v>44105</v>
      </c>
      <c r="L656" s="166" t="s">
        <v>1008</v>
      </c>
      <c r="M656" s="154"/>
      <c r="N656" s="154"/>
      <c r="O656" s="164" t="s">
        <v>70</v>
      </c>
      <c r="P656" s="164">
        <v>44</v>
      </c>
      <c r="Q656" s="164">
        <v>5</v>
      </c>
      <c r="R656" s="167" t="s">
        <v>1009</v>
      </c>
      <c r="S656" s="167" t="s">
        <v>844</v>
      </c>
      <c r="T656" s="162" t="s">
        <v>800</v>
      </c>
      <c r="U656" s="167" t="s">
        <v>801</v>
      </c>
      <c r="X656" s="169">
        <v>45018</v>
      </c>
      <c r="Y656" s="170">
        <v>26</v>
      </c>
      <c r="Z656" s="170">
        <v>0</v>
      </c>
      <c r="AA656" s="170">
        <v>0</v>
      </c>
      <c r="AB656" s="170">
        <v>0</v>
      </c>
      <c r="AC656" s="171">
        <v>26</v>
      </c>
      <c r="AD656" s="172">
        <v>15466453.71999</v>
      </c>
      <c r="AE656" s="173">
        <v>26</v>
      </c>
      <c r="AF656" s="174">
        <v>46357</v>
      </c>
    </row>
    <row r="657" spans="1:32" ht="20" x14ac:dyDescent="0.35">
      <c r="A657" s="162" t="s">
        <v>1006</v>
      </c>
      <c r="B657" s="163" t="s">
        <v>1007</v>
      </c>
      <c r="C657" s="154"/>
      <c r="D657" s="162" t="s">
        <v>283</v>
      </c>
      <c r="E657" s="164" t="s">
        <v>283</v>
      </c>
      <c r="F657" s="164" t="s">
        <v>1007</v>
      </c>
      <c r="G657" s="164" t="s">
        <v>1006</v>
      </c>
      <c r="H657" s="165">
        <v>30120</v>
      </c>
      <c r="I657" s="164" t="s">
        <v>20</v>
      </c>
      <c r="J657" s="164" t="s">
        <v>68</v>
      </c>
      <c r="K657" s="165">
        <v>44105</v>
      </c>
      <c r="L657" s="166" t="s">
        <v>1008</v>
      </c>
      <c r="M657" s="154"/>
      <c r="N657" s="154"/>
      <c r="O657" s="164" t="s">
        <v>70</v>
      </c>
      <c r="P657" s="164">
        <v>44</v>
      </c>
      <c r="Q657" s="164">
        <v>5</v>
      </c>
      <c r="R657" s="167" t="s">
        <v>1009</v>
      </c>
      <c r="S657" s="167" t="s">
        <v>844</v>
      </c>
      <c r="T657" s="162" t="s">
        <v>800</v>
      </c>
      <c r="U657" s="167" t="s">
        <v>802</v>
      </c>
      <c r="X657" s="169">
        <v>45018</v>
      </c>
      <c r="Y657" s="170">
        <v>98</v>
      </c>
      <c r="Z657" s="170">
        <v>0</v>
      </c>
      <c r="AA657" s="170">
        <v>0</v>
      </c>
      <c r="AB657" s="170">
        <v>0</v>
      </c>
      <c r="AC657" s="171">
        <v>98</v>
      </c>
      <c r="AD657" s="172">
        <v>58296633.252269998</v>
      </c>
      <c r="AE657" s="173">
        <v>98</v>
      </c>
      <c r="AF657" s="174">
        <v>46357</v>
      </c>
    </row>
    <row r="658" spans="1:32" ht="20" x14ac:dyDescent="0.35">
      <c r="A658" s="162" t="s">
        <v>1006</v>
      </c>
      <c r="B658" s="163" t="s">
        <v>1007</v>
      </c>
      <c r="C658" s="154"/>
      <c r="D658" s="162" t="s">
        <v>283</v>
      </c>
      <c r="E658" s="164" t="s">
        <v>283</v>
      </c>
      <c r="F658" s="164" t="s">
        <v>1007</v>
      </c>
      <c r="G658" s="164" t="s">
        <v>1006</v>
      </c>
      <c r="H658" s="165">
        <v>30120</v>
      </c>
      <c r="I658" s="164" t="s">
        <v>20</v>
      </c>
      <c r="J658" s="164" t="s">
        <v>68</v>
      </c>
      <c r="K658" s="165">
        <v>44105</v>
      </c>
      <c r="L658" s="166" t="s">
        <v>1008</v>
      </c>
      <c r="M658" s="154"/>
      <c r="N658" s="154"/>
      <c r="O658" s="164" t="s">
        <v>70</v>
      </c>
      <c r="P658" s="164">
        <v>44</v>
      </c>
      <c r="Q658" s="164">
        <v>5</v>
      </c>
      <c r="R658" s="167" t="s">
        <v>1009</v>
      </c>
      <c r="S658" s="167" t="s">
        <v>844</v>
      </c>
      <c r="T658" s="162" t="s">
        <v>800</v>
      </c>
      <c r="U658" s="167" t="s">
        <v>803</v>
      </c>
      <c r="X658" s="169">
        <v>45018</v>
      </c>
      <c r="Y658" s="170">
        <v>2</v>
      </c>
      <c r="Z658" s="170">
        <v>0</v>
      </c>
      <c r="AA658" s="170">
        <v>0</v>
      </c>
      <c r="AB658" s="170">
        <v>0</v>
      </c>
      <c r="AC658" s="171">
        <v>2</v>
      </c>
      <c r="AD658" s="172">
        <v>1189727.2092299999</v>
      </c>
      <c r="AE658" s="173">
        <v>2</v>
      </c>
      <c r="AF658" s="174">
        <v>46357</v>
      </c>
    </row>
    <row r="659" spans="1:32" ht="20" x14ac:dyDescent="0.35">
      <c r="A659" s="162" t="s">
        <v>1006</v>
      </c>
      <c r="B659" s="163" t="s">
        <v>1007</v>
      </c>
      <c r="C659" s="154"/>
      <c r="D659" s="162" t="s">
        <v>283</v>
      </c>
      <c r="E659" s="164" t="s">
        <v>283</v>
      </c>
      <c r="F659" s="164" t="s">
        <v>1007</v>
      </c>
      <c r="G659" s="164" t="s">
        <v>1006</v>
      </c>
      <c r="H659" s="165">
        <v>30120</v>
      </c>
      <c r="I659" s="164" t="s">
        <v>20</v>
      </c>
      <c r="J659" s="164" t="s">
        <v>68</v>
      </c>
      <c r="K659" s="165">
        <v>44105</v>
      </c>
      <c r="L659" s="166" t="s">
        <v>1008</v>
      </c>
      <c r="M659" s="154"/>
      <c r="N659" s="154"/>
      <c r="O659" s="164" t="s">
        <v>70</v>
      </c>
      <c r="P659" s="164">
        <v>44</v>
      </c>
      <c r="Q659" s="164">
        <v>5</v>
      </c>
      <c r="R659" s="167" t="s">
        <v>1009</v>
      </c>
      <c r="S659" s="167" t="s">
        <v>844</v>
      </c>
      <c r="T659" s="162" t="s">
        <v>800</v>
      </c>
      <c r="U659" s="167" t="s">
        <v>804</v>
      </c>
      <c r="X659" s="169">
        <v>45018</v>
      </c>
      <c r="Y659" s="170">
        <v>5</v>
      </c>
      <c r="Z659" s="170">
        <v>0</v>
      </c>
      <c r="AA659" s="170">
        <v>0</v>
      </c>
      <c r="AB659" s="170">
        <v>0</v>
      </c>
      <c r="AC659" s="171">
        <v>5</v>
      </c>
      <c r="AD659" s="172">
        <v>2974318.0230700001</v>
      </c>
      <c r="AE659" s="173">
        <v>5</v>
      </c>
      <c r="AF659" s="174">
        <v>46357</v>
      </c>
    </row>
    <row r="660" spans="1:32" ht="20" x14ac:dyDescent="0.35">
      <c r="A660" s="162" t="s">
        <v>1006</v>
      </c>
      <c r="B660" s="163" t="s">
        <v>1007</v>
      </c>
      <c r="C660" s="154"/>
      <c r="D660" s="162" t="s">
        <v>283</v>
      </c>
      <c r="E660" s="164" t="s">
        <v>283</v>
      </c>
      <c r="F660" s="164" t="s">
        <v>1007</v>
      </c>
      <c r="G660" s="164" t="s">
        <v>1006</v>
      </c>
      <c r="H660" s="165">
        <v>30120</v>
      </c>
      <c r="I660" s="164" t="s">
        <v>20</v>
      </c>
      <c r="J660" s="164" t="s">
        <v>68</v>
      </c>
      <c r="K660" s="165">
        <v>44105</v>
      </c>
      <c r="L660" s="166" t="s">
        <v>1008</v>
      </c>
      <c r="M660" s="154"/>
      <c r="N660" s="154"/>
      <c r="O660" s="164" t="s">
        <v>70</v>
      </c>
      <c r="P660" s="164">
        <v>44</v>
      </c>
      <c r="Q660" s="164">
        <v>5</v>
      </c>
      <c r="R660" s="167" t="s">
        <v>1009</v>
      </c>
      <c r="S660" s="167" t="s">
        <v>844</v>
      </c>
      <c r="T660" s="162" t="s">
        <v>800</v>
      </c>
      <c r="U660" s="167" t="s">
        <v>805</v>
      </c>
      <c r="X660" s="169">
        <v>45018</v>
      </c>
      <c r="Y660" s="170">
        <v>2.4999999966690001</v>
      </c>
      <c r="Z660" s="170">
        <v>0.41666667000000002</v>
      </c>
      <c r="AA660" s="170">
        <v>0</v>
      </c>
      <c r="AB660" s="170">
        <v>0</v>
      </c>
      <c r="AC660" s="171">
        <v>2.9166666666690002</v>
      </c>
      <c r="AD660" s="172">
        <v>1735018.8467999999</v>
      </c>
      <c r="AE660" s="173">
        <v>2.92</v>
      </c>
      <c r="AF660" s="174">
        <v>46357</v>
      </c>
    </row>
    <row r="661" spans="1:32" ht="20" x14ac:dyDescent="0.35">
      <c r="A661" s="162" t="s">
        <v>1010</v>
      </c>
      <c r="B661" s="163" t="s">
        <v>1011</v>
      </c>
      <c r="C661" s="154"/>
      <c r="D661" s="162" t="s">
        <v>286</v>
      </c>
      <c r="E661" s="164" t="s">
        <v>286</v>
      </c>
      <c r="F661" s="164" t="s">
        <v>1011</v>
      </c>
      <c r="G661" s="164" t="s">
        <v>1010</v>
      </c>
      <c r="H661" s="165">
        <v>31598</v>
      </c>
      <c r="I661" s="164" t="s">
        <v>20</v>
      </c>
      <c r="J661" s="164" t="s">
        <v>68</v>
      </c>
      <c r="K661" s="165">
        <v>44102</v>
      </c>
      <c r="L661" s="166" t="s">
        <v>288</v>
      </c>
      <c r="M661" s="154"/>
      <c r="N661" s="154"/>
      <c r="O661" s="164" t="s">
        <v>50</v>
      </c>
      <c r="P661" s="164">
        <v>40</v>
      </c>
      <c r="Q661" s="164">
        <v>5</v>
      </c>
      <c r="R661" s="167" t="s">
        <v>1012</v>
      </c>
      <c r="S661" s="167" t="s">
        <v>848</v>
      </c>
      <c r="T661" s="162" t="s">
        <v>794</v>
      </c>
      <c r="U661" s="167" t="s">
        <v>833</v>
      </c>
      <c r="V661" s="162" t="s">
        <v>820</v>
      </c>
      <c r="W661" s="168">
        <v>5</v>
      </c>
      <c r="X661" s="169">
        <v>45018</v>
      </c>
      <c r="Y661" s="170">
        <v>30.166666669999</v>
      </c>
      <c r="Z661" s="170">
        <v>2.0833333299999999</v>
      </c>
      <c r="AA661" s="170">
        <v>0</v>
      </c>
      <c r="AB661" s="170">
        <v>0</v>
      </c>
      <c r="AC661" s="171">
        <v>32.249999999998998</v>
      </c>
      <c r="AD661" s="172">
        <v>16445805.510570001</v>
      </c>
      <c r="AE661" s="173" t="s">
        <v>797</v>
      </c>
      <c r="AF661" s="173"/>
    </row>
    <row r="662" spans="1:32" ht="20" x14ac:dyDescent="0.35">
      <c r="A662" s="162" t="s">
        <v>1010</v>
      </c>
      <c r="B662" s="163" t="s">
        <v>1011</v>
      </c>
      <c r="C662" s="154"/>
      <c r="D662" s="162" t="s">
        <v>286</v>
      </c>
      <c r="E662" s="164" t="s">
        <v>286</v>
      </c>
      <c r="F662" s="164" t="s">
        <v>1011</v>
      </c>
      <c r="G662" s="164" t="s">
        <v>1010</v>
      </c>
      <c r="H662" s="165">
        <v>31598</v>
      </c>
      <c r="I662" s="164" t="s">
        <v>20</v>
      </c>
      <c r="J662" s="164" t="s">
        <v>68</v>
      </c>
      <c r="K662" s="165">
        <v>44102</v>
      </c>
      <c r="L662" s="166" t="s">
        <v>288</v>
      </c>
      <c r="M662" s="154"/>
      <c r="N662" s="154"/>
      <c r="O662" s="164" t="s">
        <v>50</v>
      </c>
      <c r="P662" s="164">
        <v>40</v>
      </c>
      <c r="Q662" s="164">
        <v>5</v>
      </c>
      <c r="R662" s="167" t="s">
        <v>1012</v>
      </c>
      <c r="S662" s="167" t="s">
        <v>848</v>
      </c>
      <c r="T662" s="162" t="s">
        <v>798</v>
      </c>
      <c r="U662" s="167" t="s">
        <v>799</v>
      </c>
      <c r="X662" s="169">
        <v>45018</v>
      </c>
      <c r="Y662" s="170">
        <v>180</v>
      </c>
      <c r="Z662" s="170">
        <v>0</v>
      </c>
      <c r="AA662" s="170">
        <v>0</v>
      </c>
      <c r="AB662" s="170">
        <v>0</v>
      </c>
      <c r="AC662" s="171">
        <v>180</v>
      </c>
      <c r="AD662" s="172">
        <v>91790542.384560004</v>
      </c>
      <c r="AE662" s="173">
        <v>180</v>
      </c>
      <c r="AF662" s="174">
        <v>46357</v>
      </c>
    </row>
    <row r="663" spans="1:32" ht="20" x14ac:dyDescent="0.35">
      <c r="A663" s="162" t="s">
        <v>1010</v>
      </c>
      <c r="B663" s="163" t="s">
        <v>1011</v>
      </c>
      <c r="C663" s="154"/>
      <c r="D663" s="162" t="s">
        <v>286</v>
      </c>
      <c r="E663" s="164" t="s">
        <v>286</v>
      </c>
      <c r="F663" s="164" t="s">
        <v>1011</v>
      </c>
      <c r="G663" s="164" t="s">
        <v>1010</v>
      </c>
      <c r="H663" s="165">
        <v>31598</v>
      </c>
      <c r="I663" s="164" t="s">
        <v>20</v>
      </c>
      <c r="J663" s="164" t="s">
        <v>68</v>
      </c>
      <c r="K663" s="165">
        <v>44102</v>
      </c>
      <c r="L663" s="166" t="s">
        <v>288</v>
      </c>
      <c r="M663" s="154"/>
      <c r="N663" s="154"/>
      <c r="O663" s="164" t="s">
        <v>50</v>
      </c>
      <c r="P663" s="164">
        <v>40</v>
      </c>
      <c r="Q663" s="164">
        <v>5</v>
      </c>
      <c r="R663" s="167" t="s">
        <v>1012</v>
      </c>
      <c r="S663" s="167" t="s">
        <v>848</v>
      </c>
      <c r="T663" s="162" t="s">
        <v>800</v>
      </c>
      <c r="U663" s="167" t="s">
        <v>801</v>
      </c>
      <c r="X663" s="169">
        <v>45018</v>
      </c>
      <c r="Y663" s="170">
        <v>26</v>
      </c>
      <c r="Z663" s="170">
        <v>0</v>
      </c>
      <c r="AA663" s="170">
        <v>0</v>
      </c>
      <c r="AB663" s="170">
        <v>0</v>
      </c>
      <c r="AC663" s="171">
        <v>26</v>
      </c>
      <c r="AD663" s="172">
        <v>13258633.89999</v>
      </c>
      <c r="AE663" s="173">
        <v>26</v>
      </c>
      <c r="AF663" s="174">
        <v>46357</v>
      </c>
    </row>
    <row r="664" spans="1:32" ht="20" x14ac:dyDescent="0.35">
      <c r="A664" s="162" t="s">
        <v>1010</v>
      </c>
      <c r="B664" s="163" t="s">
        <v>1011</v>
      </c>
      <c r="C664" s="154"/>
      <c r="D664" s="162" t="s">
        <v>286</v>
      </c>
      <c r="E664" s="164" t="s">
        <v>286</v>
      </c>
      <c r="F664" s="164" t="s">
        <v>1011</v>
      </c>
      <c r="G664" s="164" t="s">
        <v>1010</v>
      </c>
      <c r="H664" s="165">
        <v>31598</v>
      </c>
      <c r="I664" s="164" t="s">
        <v>20</v>
      </c>
      <c r="J664" s="164" t="s">
        <v>68</v>
      </c>
      <c r="K664" s="165">
        <v>44102</v>
      </c>
      <c r="L664" s="166" t="s">
        <v>288</v>
      </c>
      <c r="M664" s="154"/>
      <c r="N664" s="154"/>
      <c r="O664" s="164" t="s">
        <v>50</v>
      </c>
      <c r="P664" s="164">
        <v>40</v>
      </c>
      <c r="Q664" s="164">
        <v>5</v>
      </c>
      <c r="R664" s="167" t="s">
        <v>1012</v>
      </c>
      <c r="S664" s="167" t="s">
        <v>848</v>
      </c>
      <c r="T664" s="162" t="s">
        <v>800</v>
      </c>
      <c r="U664" s="167" t="s">
        <v>802</v>
      </c>
      <c r="X664" s="169">
        <v>45018</v>
      </c>
      <c r="Y664" s="170">
        <v>98</v>
      </c>
      <c r="Z664" s="170">
        <v>0</v>
      </c>
      <c r="AA664" s="170">
        <v>0</v>
      </c>
      <c r="AB664" s="170">
        <v>0</v>
      </c>
      <c r="AC664" s="171">
        <v>98</v>
      </c>
      <c r="AD664" s="172">
        <v>49974850.853820004</v>
      </c>
      <c r="AE664" s="173">
        <v>98</v>
      </c>
      <c r="AF664" s="174">
        <v>46357</v>
      </c>
    </row>
    <row r="665" spans="1:32" ht="20" x14ac:dyDescent="0.35">
      <c r="A665" s="162" t="s">
        <v>1010</v>
      </c>
      <c r="B665" s="163" t="s">
        <v>1011</v>
      </c>
      <c r="C665" s="154"/>
      <c r="D665" s="162" t="s">
        <v>286</v>
      </c>
      <c r="E665" s="164" t="s">
        <v>286</v>
      </c>
      <c r="F665" s="164" t="s">
        <v>1011</v>
      </c>
      <c r="G665" s="164" t="s">
        <v>1010</v>
      </c>
      <c r="H665" s="165">
        <v>31598</v>
      </c>
      <c r="I665" s="164" t="s">
        <v>20</v>
      </c>
      <c r="J665" s="164" t="s">
        <v>68</v>
      </c>
      <c r="K665" s="165">
        <v>44102</v>
      </c>
      <c r="L665" s="166" t="s">
        <v>288</v>
      </c>
      <c r="M665" s="154"/>
      <c r="N665" s="154"/>
      <c r="O665" s="164" t="s">
        <v>50</v>
      </c>
      <c r="P665" s="164">
        <v>40</v>
      </c>
      <c r="Q665" s="164">
        <v>5</v>
      </c>
      <c r="R665" s="167" t="s">
        <v>1012</v>
      </c>
      <c r="S665" s="167" t="s">
        <v>848</v>
      </c>
      <c r="T665" s="162" t="s">
        <v>800</v>
      </c>
      <c r="U665" s="167" t="s">
        <v>803</v>
      </c>
      <c r="X665" s="169">
        <v>45018</v>
      </c>
      <c r="Y665" s="170">
        <v>2</v>
      </c>
      <c r="Z665" s="170">
        <v>0</v>
      </c>
      <c r="AA665" s="170">
        <v>0</v>
      </c>
      <c r="AB665" s="170">
        <v>0</v>
      </c>
      <c r="AC665" s="171">
        <v>2</v>
      </c>
      <c r="AD665" s="172">
        <v>1019894.91538</v>
      </c>
      <c r="AE665" s="173">
        <v>2</v>
      </c>
      <c r="AF665" s="174">
        <v>46357</v>
      </c>
    </row>
    <row r="666" spans="1:32" ht="20" x14ac:dyDescent="0.35">
      <c r="A666" s="162" t="s">
        <v>1010</v>
      </c>
      <c r="B666" s="163" t="s">
        <v>1011</v>
      </c>
      <c r="C666" s="154"/>
      <c r="D666" s="162" t="s">
        <v>286</v>
      </c>
      <c r="E666" s="164" t="s">
        <v>286</v>
      </c>
      <c r="F666" s="164" t="s">
        <v>1011</v>
      </c>
      <c r="G666" s="164" t="s">
        <v>1010</v>
      </c>
      <c r="H666" s="165">
        <v>31598</v>
      </c>
      <c r="I666" s="164" t="s">
        <v>20</v>
      </c>
      <c r="J666" s="164" t="s">
        <v>68</v>
      </c>
      <c r="K666" s="165">
        <v>44102</v>
      </c>
      <c r="L666" s="166" t="s">
        <v>288</v>
      </c>
      <c r="M666" s="154"/>
      <c r="N666" s="154"/>
      <c r="O666" s="164" t="s">
        <v>50</v>
      </c>
      <c r="P666" s="164">
        <v>40</v>
      </c>
      <c r="Q666" s="164">
        <v>5</v>
      </c>
      <c r="R666" s="167" t="s">
        <v>1012</v>
      </c>
      <c r="S666" s="167" t="s">
        <v>848</v>
      </c>
      <c r="T666" s="162" t="s">
        <v>800</v>
      </c>
      <c r="U666" s="167" t="s">
        <v>804</v>
      </c>
      <c r="X666" s="169">
        <v>45018</v>
      </c>
      <c r="Y666" s="170">
        <v>5</v>
      </c>
      <c r="Z666" s="170">
        <v>0</v>
      </c>
      <c r="AA666" s="170">
        <v>0</v>
      </c>
      <c r="AB666" s="170">
        <v>0</v>
      </c>
      <c r="AC666" s="171">
        <v>5</v>
      </c>
      <c r="AD666" s="172">
        <v>2549737.28846</v>
      </c>
      <c r="AE666" s="173">
        <v>5</v>
      </c>
      <c r="AF666" s="174">
        <v>46357</v>
      </c>
    </row>
    <row r="667" spans="1:32" ht="20" x14ac:dyDescent="0.35">
      <c r="A667" s="162" t="s">
        <v>1010</v>
      </c>
      <c r="B667" s="163" t="s">
        <v>1011</v>
      </c>
      <c r="C667" s="154"/>
      <c r="D667" s="162" t="s">
        <v>286</v>
      </c>
      <c r="E667" s="164" t="s">
        <v>286</v>
      </c>
      <c r="F667" s="164" t="s">
        <v>1011</v>
      </c>
      <c r="G667" s="164" t="s">
        <v>1010</v>
      </c>
      <c r="H667" s="165">
        <v>31598</v>
      </c>
      <c r="I667" s="164" t="s">
        <v>20</v>
      </c>
      <c r="J667" s="164" t="s">
        <v>68</v>
      </c>
      <c r="K667" s="165">
        <v>44102</v>
      </c>
      <c r="L667" s="166" t="s">
        <v>288</v>
      </c>
      <c r="M667" s="154"/>
      <c r="N667" s="154"/>
      <c r="O667" s="164" t="s">
        <v>50</v>
      </c>
      <c r="P667" s="164">
        <v>40</v>
      </c>
      <c r="Q667" s="164">
        <v>5</v>
      </c>
      <c r="R667" s="167" t="s">
        <v>1012</v>
      </c>
      <c r="S667" s="167" t="s">
        <v>848</v>
      </c>
      <c r="T667" s="162" t="s">
        <v>800</v>
      </c>
      <c r="U667" s="167" t="s">
        <v>805</v>
      </c>
      <c r="X667" s="169">
        <v>45018</v>
      </c>
      <c r="Y667" s="170">
        <v>2.4999999966690001</v>
      </c>
      <c r="Z667" s="170">
        <v>0.41666667000000002</v>
      </c>
      <c r="AA667" s="170">
        <v>0</v>
      </c>
      <c r="AB667" s="170">
        <v>0</v>
      </c>
      <c r="AC667" s="171">
        <v>2.9166666666690002</v>
      </c>
      <c r="AD667" s="172">
        <v>1487346.7516000001</v>
      </c>
      <c r="AE667" s="173">
        <v>2.92</v>
      </c>
      <c r="AF667" s="174">
        <v>46357</v>
      </c>
    </row>
    <row r="668" spans="1:32" ht="20" x14ac:dyDescent="0.35">
      <c r="A668" s="162" t="s">
        <v>1013</v>
      </c>
      <c r="B668" s="163" t="s">
        <v>1014</v>
      </c>
      <c r="C668" s="154"/>
      <c r="D668" s="162" t="s">
        <v>289</v>
      </c>
      <c r="E668" s="164" t="s">
        <v>289</v>
      </c>
      <c r="F668" s="164" t="s">
        <v>1014</v>
      </c>
      <c r="G668" s="164" t="s">
        <v>1013</v>
      </c>
      <c r="H668" s="165">
        <v>31542</v>
      </c>
      <c r="I668" s="164" t="s">
        <v>48</v>
      </c>
      <c r="J668" s="164" t="s">
        <v>68</v>
      </c>
      <c r="K668" s="165">
        <v>44123</v>
      </c>
      <c r="L668" s="166" t="s">
        <v>291</v>
      </c>
      <c r="M668" s="154"/>
      <c r="N668" s="154"/>
      <c r="O668" s="164" t="s">
        <v>23</v>
      </c>
      <c r="P668" s="164">
        <v>40</v>
      </c>
      <c r="Q668" s="164">
        <v>5</v>
      </c>
      <c r="R668" s="167" t="s">
        <v>919</v>
      </c>
      <c r="S668" s="167" t="s">
        <v>848</v>
      </c>
      <c r="T668" s="162" t="s">
        <v>794</v>
      </c>
      <c r="U668" s="167" t="s">
        <v>833</v>
      </c>
      <c r="V668" s="162" t="s">
        <v>820</v>
      </c>
      <c r="W668" s="168">
        <v>5</v>
      </c>
      <c r="X668" s="169">
        <v>45324</v>
      </c>
      <c r="Y668" s="170">
        <v>32.083333336666001</v>
      </c>
      <c r="Z668" s="170">
        <v>2.0833333299999999</v>
      </c>
      <c r="AA668" s="170">
        <v>0</v>
      </c>
      <c r="AB668" s="170">
        <v>0</v>
      </c>
      <c r="AC668" s="171">
        <v>34.166666666666003</v>
      </c>
      <c r="AD668" s="172">
        <v>13506402.239739999</v>
      </c>
      <c r="AE668" s="173" t="s">
        <v>797</v>
      </c>
      <c r="AF668" s="173"/>
    </row>
    <row r="669" spans="1:32" ht="20" x14ac:dyDescent="0.35">
      <c r="A669" s="162" t="s">
        <v>1013</v>
      </c>
      <c r="B669" s="163" t="s">
        <v>1014</v>
      </c>
      <c r="C669" s="154"/>
      <c r="D669" s="162" t="s">
        <v>289</v>
      </c>
      <c r="E669" s="164" t="s">
        <v>289</v>
      </c>
      <c r="F669" s="164" t="s">
        <v>1014</v>
      </c>
      <c r="G669" s="164" t="s">
        <v>1013</v>
      </c>
      <c r="H669" s="165">
        <v>31542</v>
      </c>
      <c r="I669" s="164" t="s">
        <v>48</v>
      </c>
      <c r="J669" s="164" t="s">
        <v>68</v>
      </c>
      <c r="K669" s="165">
        <v>44123</v>
      </c>
      <c r="L669" s="166" t="s">
        <v>291</v>
      </c>
      <c r="M669" s="154"/>
      <c r="N669" s="154"/>
      <c r="O669" s="164" t="s">
        <v>23</v>
      </c>
      <c r="P669" s="164">
        <v>40</v>
      </c>
      <c r="Q669" s="164">
        <v>5</v>
      </c>
      <c r="R669" s="167" t="s">
        <v>919</v>
      </c>
      <c r="S669" s="167" t="s">
        <v>848</v>
      </c>
      <c r="T669" s="162" t="s">
        <v>798</v>
      </c>
      <c r="U669" s="167" t="s">
        <v>799</v>
      </c>
      <c r="X669" s="169">
        <v>45324</v>
      </c>
      <c r="Y669" s="170">
        <v>180</v>
      </c>
      <c r="Z669" s="170">
        <v>0</v>
      </c>
      <c r="AA669" s="170">
        <v>0</v>
      </c>
      <c r="AB669" s="170">
        <v>0</v>
      </c>
      <c r="AC669" s="171">
        <v>180</v>
      </c>
      <c r="AD669" s="172">
        <v>71155680.09228</v>
      </c>
      <c r="AE669" s="173">
        <v>180</v>
      </c>
      <c r="AF669" s="174">
        <v>46357</v>
      </c>
    </row>
    <row r="670" spans="1:32" ht="20" x14ac:dyDescent="0.35">
      <c r="A670" s="162" t="s">
        <v>1013</v>
      </c>
      <c r="B670" s="163" t="s">
        <v>1014</v>
      </c>
      <c r="C670" s="154"/>
      <c r="D670" s="162" t="s">
        <v>289</v>
      </c>
      <c r="E670" s="164" t="s">
        <v>289</v>
      </c>
      <c r="F670" s="164" t="s">
        <v>1014</v>
      </c>
      <c r="G670" s="164" t="s">
        <v>1013</v>
      </c>
      <c r="H670" s="165">
        <v>31542</v>
      </c>
      <c r="I670" s="164" t="s">
        <v>48</v>
      </c>
      <c r="J670" s="164" t="s">
        <v>68</v>
      </c>
      <c r="K670" s="165">
        <v>44123</v>
      </c>
      <c r="L670" s="166" t="s">
        <v>291</v>
      </c>
      <c r="M670" s="154"/>
      <c r="N670" s="154"/>
      <c r="O670" s="164" t="s">
        <v>23</v>
      </c>
      <c r="P670" s="164">
        <v>40</v>
      </c>
      <c r="Q670" s="164">
        <v>5</v>
      </c>
      <c r="R670" s="167" t="s">
        <v>919</v>
      </c>
      <c r="S670" s="167" t="s">
        <v>848</v>
      </c>
      <c r="T670" s="162" t="s">
        <v>800</v>
      </c>
      <c r="U670" s="167" t="s">
        <v>801</v>
      </c>
      <c r="X670" s="169">
        <v>45324</v>
      </c>
      <c r="Y670" s="170">
        <v>26</v>
      </c>
      <c r="Z670" s="170">
        <v>0</v>
      </c>
      <c r="AA670" s="170">
        <v>0</v>
      </c>
      <c r="AB670" s="170">
        <v>0</v>
      </c>
      <c r="AC670" s="171">
        <v>26</v>
      </c>
      <c r="AD670" s="172">
        <v>10278042.68</v>
      </c>
      <c r="AE670" s="173">
        <v>26</v>
      </c>
      <c r="AF670" s="174">
        <v>46357</v>
      </c>
    </row>
    <row r="671" spans="1:32" ht="20" x14ac:dyDescent="0.35">
      <c r="A671" s="162" t="s">
        <v>1013</v>
      </c>
      <c r="B671" s="163" t="s">
        <v>1014</v>
      </c>
      <c r="C671" s="154"/>
      <c r="D671" s="162" t="s">
        <v>289</v>
      </c>
      <c r="E671" s="164" t="s">
        <v>289</v>
      </c>
      <c r="F671" s="164" t="s">
        <v>1014</v>
      </c>
      <c r="G671" s="164" t="s">
        <v>1013</v>
      </c>
      <c r="H671" s="165">
        <v>31542</v>
      </c>
      <c r="I671" s="164" t="s">
        <v>48</v>
      </c>
      <c r="J671" s="164" t="s">
        <v>68</v>
      </c>
      <c r="K671" s="165">
        <v>44123</v>
      </c>
      <c r="L671" s="166" t="s">
        <v>291</v>
      </c>
      <c r="M671" s="154"/>
      <c r="N671" s="154"/>
      <c r="O671" s="164" t="s">
        <v>23</v>
      </c>
      <c r="P671" s="164">
        <v>40</v>
      </c>
      <c r="Q671" s="164">
        <v>5</v>
      </c>
      <c r="R671" s="167" t="s">
        <v>919</v>
      </c>
      <c r="S671" s="167" t="s">
        <v>848</v>
      </c>
      <c r="T671" s="162" t="s">
        <v>800</v>
      </c>
      <c r="U671" s="167" t="s">
        <v>802</v>
      </c>
      <c r="X671" s="169">
        <v>45324</v>
      </c>
      <c r="Y671" s="170">
        <v>98</v>
      </c>
      <c r="Z671" s="170">
        <v>0</v>
      </c>
      <c r="AA671" s="170">
        <v>0</v>
      </c>
      <c r="AB671" s="170">
        <v>0</v>
      </c>
      <c r="AC671" s="171">
        <v>98</v>
      </c>
      <c r="AD671" s="172">
        <v>38740314.716909997</v>
      </c>
      <c r="AE671" s="173">
        <v>98</v>
      </c>
      <c r="AF671" s="174">
        <v>46357</v>
      </c>
    </row>
    <row r="672" spans="1:32" ht="20" x14ac:dyDescent="0.35">
      <c r="A672" s="162" t="s">
        <v>1013</v>
      </c>
      <c r="B672" s="163" t="s">
        <v>1014</v>
      </c>
      <c r="C672" s="154"/>
      <c r="D672" s="162" t="s">
        <v>289</v>
      </c>
      <c r="E672" s="164" t="s">
        <v>289</v>
      </c>
      <c r="F672" s="164" t="s">
        <v>1014</v>
      </c>
      <c r="G672" s="164" t="s">
        <v>1013</v>
      </c>
      <c r="H672" s="165">
        <v>31542</v>
      </c>
      <c r="I672" s="164" t="s">
        <v>48</v>
      </c>
      <c r="J672" s="164" t="s">
        <v>68</v>
      </c>
      <c r="K672" s="165">
        <v>44123</v>
      </c>
      <c r="L672" s="166" t="s">
        <v>291</v>
      </c>
      <c r="M672" s="154"/>
      <c r="N672" s="154"/>
      <c r="O672" s="164" t="s">
        <v>23</v>
      </c>
      <c r="P672" s="164">
        <v>40</v>
      </c>
      <c r="Q672" s="164">
        <v>5</v>
      </c>
      <c r="R672" s="167" t="s">
        <v>919</v>
      </c>
      <c r="S672" s="167" t="s">
        <v>848</v>
      </c>
      <c r="T672" s="162" t="s">
        <v>800</v>
      </c>
      <c r="U672" s="167" t="s">
        <v>803</v>
      </c>
      <c r="X672" s="169">
        <v>45324</v>
      </c>
      <c r="Y672" s="170">
        <v>2</v>
      </c>
      <c r="Z672" s="170">
        <v>0</v>
      </c>
      <c r="AA672" s="170">
        <v>0</v>
      </c>
      <c r="AB672" s="170">
        <v>0</v>
      </c>
      <c r="AC672" s="171">
        <v>2</v>
      </c>
      <c r="AD672" s="172">
        <v>790618.66769000003</v>
      </c>
      <c r="AE672" s="173">
        <v>2</v>
      </c>
      <c r="AF672" s="174">
        <v>46357</v>
      </c>
    </row>
    <row r="673" spans="1:32" ht="20" x14ac:dyDescent="0.35">
      <c r="A673" s="162" t="s">
        <v>1013</v>
      </c>
      <c r="B673" s="163" t="s">
        <v>1014</v>
      </c>
      <c r="C673" s="154"/>
      <c r="D673" s="162" t="s">
        <v>289</v>
      </c>
      <c r="E673" s="164" t="s">
        <v>289</v>
      </c>
      <c r="F673" s="164" t="s">
        <v>1014</v>
      </c>
      <c r="G673" s="164" t="s">
        <v>1013</v>
      </c>
      <c r="H673" s="165">
        <v>31542</v>
      </c>
      <c r="I673" s="164" t="s">
        <v>48</v>
      </c>
      <c r="J673" s="164" t="s">
        <v>68</v>
      </c>
      <c r="K673" s="165">
        <v>44123</v>
      </c>
      <c r="L673" s="166" t="s">
        <v>291</v>
      </c>
      <c r="M673" s="154"/>
      <c r="N673" s="154"/>
      <c r="O673" s="164" t="s">
        <v>23</v>
      </c>
      <c r="P673" s="164">
        <v>40</v>
      </c>
      <c r="Q673" s="164">
        <v>5</v>
      </c>
      <c r="R673" s="167" t="s">
        <v>919</v>
      </c>
      <c r="S673" s="167" t="s">
        <v>848</v>
      </c>
      <c r="T673" s="162" t="s">
        <v>800</v>
      </c>
      <c r="U673" s="167" t="s">
        <v>804</v>
      </c>
      <c r="X673" s="169">
        <v>45324</v>
      </c>
      <c r="Y673" s="170">
        <v>5</v>
      </c>
      <c r="Z673" s="170">
        <v>0</v>
      </c>
      <c r="AA673" s="170">
        <v>0</v>
      </c>
      <c r="AB673" s="170">
        <v>0</v>
      </c>
      <c r="AC673" s="171">
        <v>5</v>
      </c>
      <c r="AD673" s="172">
        <v>1976546.6692300001</v>
      </c>
      <c r="AE673" s="173">
        <v>5</v>
      </c>
      <c r="AF673" s="174">
        <v>46357</v>
      </c>
    </row>
    <row r="674" spans="1:32" ht="20" x14ac:dyDescent="0.35">
      <c r="A674" s="162" t="s">
        <v>1013</v>
      </c>
      <c r="B674" s="163" t="s">
        <v>1014</v>
      </c>
      <c r="C674" s="154"/>
      <c r="D674" s="162" t="s">
        <v>289</v>
      </c>
      <c r="E674" s="164" t="s">
        <v>289</v>
      </c>
      <c r="F674" s="164" t="s">
        <v>1014</v>
      </c>
      <c r="G674" s="164" t="s">
        <v>1013</v>
      </c>
      <c r="H674" s="165">
        <v>31542</v>
      </c>
      <c r="I674" s="164" t="s">
        <v>48</v>
      </c>
      <c r="J674" s="164" t="s">
        <v>68</v>
      </c>
      <c r="K674" s="165">
        <v>44123</v>
      </c>
      <c r="L674" s="166" t="s">
        <v>291</v>
      </c>
      <c r="M674" s="154"/>
      <c r="N674" s="154"/>
      <c r="O674" s="164" t="s">
        <v>23</v>
      </c>
      <c r="P674" s="164">
        <v>40</v>
      </c>
      <c r="Q674" s="164">
        <v>5</v>
      </c>
      <c r="R674" s="167" t="s">
        <v>919</v>
      </c>
      <c r="S674" s="167" t="s">
        <v>848</v>
      </c>
      <c r="T674" s="162" t="s">
        <v>800</v>
      </c>
      <c r="U674" s="167" t="s">
        <v>805</v>
      </c>
      <c r="X674" s="169">
        <v>45324</v>
      </c>
      <c r="Y674" s="170">
        <v>2.4999999966690001</v>
      </c>
      <c r="Z674" s="170">
        <v>0.41666667000000002</v>
      </c>
      <c r="AA674" s="170">
        <v>0</v>
      </c>
      <c r="AB674" s="170">
        <v>0</v>
      </c>
      <c r="AC674" s="171">
        <v>2.9166666666690002</v>
      </c>
      <c r="AD674" s="172">
        <v>1152985.5570499999</v>
      </c>
      <c r="AE674" s="173">
        <v>2.92</v>
      </c>
      <c r="AF674" s="174">
        <v>46357</v>
      </c>
    </row>
    <row r="675" spans="1:32" ht="20" x14ac:dyDescent="0.35">
      <c r="A675" s="162" t="s">
        <v>1015</v>
      </c>
      <c r="B675" s="163" t="s">
        <v>1016</v>
      </c>
      <c r="C675" s="154"/>
      <c r="D675" s="162" t="s">
        <v>292</v>
      </c>
      <c r="E675" s="164" t="s">
        <v>292</v>
      </c>
      <c r="F675" s="164" t="s">
        <v>1016</v>
      </c>
      <c r="G675" s="164" t="s">
        <v>1015</v>
      </c>
      <c r="H675" s="165">
        <v>29501</v>
      </c>
      <c r="I675" s="164" t="s">
        <v>20</v>
      </c>
      <c r="J675" s="164" t="s">
        <v>82</v>
      </c>
      <c r="K675" s="165">
        <v>44120</v>
      </c>
      <c r="L675" s="166" t="s">
        <v>294</v>
      </c>
      <c r="M675" s="154"/>
      <c r="N675" s="154"/>
      <c r="O675" s="164" t="s">
        <v>295</v>
      </c>
      <c r="P675" s="164">
        <v>45</v>
      </c>
      <c r="Q675" s="164">
        <v>5</v>
      </c>
      <c r="R675" s="167" t="s">
        <v>1017</v>
      </c>
      <c r="S675" s="167" t="s">
        <v>844</v>
      </c>
      <c r="T675" s="162" t="s">
        <v>794</v>
      </c>
      <c r="U675" s="167" t="s">
        <v>833</v>
      </c>
      <c r="V675" s="162" t="s">
        <v>820</v>
      </c>
      <c r="W675" s="168">
        <v>5</v>
      </c>
      <c r="X675" s="169">
        <v>45018</v>
      </c>
      <c r="Y675" s="170">
        <v>24.750000003322</v>
      </c>
      <c r="Z675" s="170">
        <v>2.0833333299999999</v>
      </c>
      <c r="AA675" s="170">
        <v>-15</v>
      </c>
      <c r="AB675" s="170">
        <v>0</v>
      </c>
      <c r="AC675" s="171">
        <v>11.833333333322001</v>
      </c>
      <c r="AD675" s="172">
        <v>11895927.042540001</v>
      </c>
      <c r="AE675" s="173" t="s">
        <v>797</v>
      </c>
      <c r="AF675" s="173"/>
    </row>
    <row r="676" spans="1:32" ht="20" x14ac:dyDescent="0.35">
      <c r="A676" s="162" t="s">
        <v>1015</v>
      </c>
      <c r="B676" s="163" t="s">
        <v>1016</v>
      </c>
      <c r="C676" s="154"/>
      <c r="D676" s="162" t="s">
        <v>292</v>
      </c>
      <c r="E676" s="164" t="s">
        <v>292</v>
      </c>
      <c r="F676" s="164" t="s">
        <v>1016</v>
      </c>
      <c r="G676" s="164" t="s">
        <v>1015</v>
      </c>
      <c r="H676" s="165">
        <v>29501</v>
      </c>
      <c r="I676" s="164" t="s">
        <v>20</v>
      </c>
      <c r="J676" s="164" t="s">
        <v>82</v>
      </c>
      <c r="K676" s="165">
        <v>44120</v>
      </c>
      <c r="L676" s="166" t="s">
        <v>294</v>
      </c>
      <c r="M676" s="154"/>
      <c r="N676" s="154"/>
      <c r="O676" s="164" t="s">
        <v>295</v>
      </c>
      <c r="P676" s="164">
        <v>45</v>
      </c>
      <c r="Q676" s="164">
        <v>5</v>
      </c>
      <c r="R676" s="167" t="s">
        <v>1017</v>
      </c>
      <c r="S676" s="167" t="s">
        <v>844</v>
      </c>
      <c r="T676" s="162" t="s">
        <v>798</v>
      </c>
      <c r="U676" s="167" t="s">
        <v>799</v>
      </c>
      <c r="X676" s="169">
        <v>45018</v>
      </c>
      <c r="Y676" s="170">
        <v>180</v>
      </c>
      <c r="Z676" s="170">
        <v>0</v>
      </c>
      <c r="AA676" s="170">
        <v>0</v>
      </c>
      <c r="AB676" s="170">
        <v>0</v>
      </c>
      <c r="AC676" s="171">
        <v>180</v>
      </c>
      <c r="AD676" s="172">
        <v>180952129.66139999</v>
      </c>
      <c r="AE676" s="173">
        <v>180</v>
      </c>
      <c r="AF676" s="174">
        <v>46357</v>
      </c>
    </row>
    <row r="677" spans="1:32" ht="20" x14ac:dyDescent="0.35">
      <c r="A677" s="162" t="s">
        <v>1015</v>
      </c>
      <c r="B677" s="163" t="s">
        <v>1016</v>
      </c>
      <c r="C677" s="154"/>
      <c r="D677" s="162" t="s">
        <v>292</v>
      </c>
      <c r="E677" s="164" t="s">
        <v>292</v>
      </c>
      <c r="F677" s="164" t="s">
        <v>1016</v>
      </c>
      <c r="G677" s="164" t="s">
        <v>1015</v>
      </c>
      <c r="H677" s="165">
        <v>29501</v>
      </c>
      <c r="I677" s="164" t="s">
        <v>20</v>
      </c>
      <c r="J677" s="164" t="s">
        <v>82</v>
      </c>
      <c r="K677" s="165">
        <v>44120</v>
      </c>
      <c r="L677" s="166" t="s">
        <v>294</v>
      </c>
      <c r="M677" s="154"/>
      <c r="N677" s="154"/>
      <c r="O677" s="164" t="s">
        <v>295</v>
      </c>
      <c r="P677" s="164">
        <v>45</v>
      </c>
      <c r="Q677" s="164">
        <v>5</v>
      </c>
      <c r="R677" s="167" t="s">
        <v>1017</v>
      </c>
      <c r="S677" s="167" t="s">
        <v>844</v>
      </c>
      <c r="T677" s="162" t="s">
        <v>800</v>
      </c>
      <c r="U677" s="167" t="s">
        <v>801</v>
      </c>
      <c r="X677" s="169">
        <v>45018</v>
      </c>
      <c r="Y677" s="170">
        <v>26</v>
      </c>
      <c r="Z677" s="170">
        <v>0</v>
      </c>
      <c r="AA677" s="170">
        <v>0</v>
      </c>
      <c r="AB677" s="170">
        <v>0</v>
      </c>
      <c r="AC677" s="171">
        <v>26</v>
      </c>
      <c r="AD677" s="172">
        <v>26137529.839979999</v>
      </c>
      <c r="AE677" s="173">
        <v>26</v>
      </c>
      <c r="AF677" s="174">
        <v>46357</v>
      </c>
    </row>
    <row r="678" spans="1:32" ht="20" x14ac:dyDescent="0.35">
      <c r="A678" s="162" t="s">
        <v>1015</v>
      </c>
      <c r="B678" s="163" t="s">
        <v>1016</v>
      </c>
      <c r="C678" s="154"/>
      <c r="D678" s="162" t="s">
        <v>292</v>
      </c>
      <c r="E678" s="164" t="s">
        <v>292</v>
      </c>
      <c r="F678" s="164" t="s">
        <v>1016</v>
      </c>
      <c r="G678" s="164" t="s">
        <v>1015</v>
      </c>
      <c r="H678" s="165">
        <v>29501</v>
      </c>
      <c r="I678" s="164" t="s">
        <v>20</v>
      </c>
      <c r="J678" s="164" t="s">
        <v>82</v>
      </c>
      <c r="K678" s="165">
        <v>44120</v>
      </c>
      <c r="L678" s="166" t="s">
        <v>294</v>
      </c>
      <c r="M678" s="154"/>
      <c r="N678" s="154"/>
      <c r="O678" s="164" t="s">
        <v>295</v>
      </c>
      <c r="P678" s="164">
        <v>45</v>
      </c>
      <c r="Q678" s="164">
        <v>5</v>
      </c>
      <c r="R678" s="167" t="s">
        <v>1017</v>
      </c>
      <c r="S678" s="167" t="s">
        <v>844</v>
      </c>
      <c r="T678" s="162" t="s">
        <v>800</v>
      </c>
      <c r="U678" s="167" t="s">
        <v>802</v>
      </c>
      <c r="X678" s="169">
        <v>45018</v>
      </c>
      <c r="Y678" s="170">
        <v>98</v>
      </c>
      <c r="Z678" s="170">
        <v>0</v>
      </c>
      <c r="AA678" s="170">
        <v>0</v>
      </c>
      <c r="AB678" s="170">
        <v>0</v>
      </c>
      <c r="AC678" s="171">
        <v>98</v>
      </c>
      <c r="AD678" s="172">
        <v>98518381.704539999</v>
      </c>
      <c r="AE678" s="173">
        <v>98</v>
      </c>
      <c r="AF678" s="174">
        <v>46357</v>
      </c>
    </row>
    <row r="679" spans="1:32" ht="20" x14ac:dyDescent="0.35">
      <c r="A679" s="162" t="s">
        <v>1015</v>
      </c>
      <c r="B679" s="163" t="s">
        <v>1016</v>
      </c>
      <c r="C679" s="154"/>
      <c r="D679" s="162" t="s">
        <v>292</v>
      </c>
      <c r="E679" s="164" t="s">
        <v>292</v>
      </c>
      <c r="F679" s="164" t="s">
        <v>1016</v>
      </c>
      <c r="G679" s="164" t="s">
        <v>1015</v>
      </c>
      <c r="H679" s="165">
        <v>29501</v>
      </c>
      <c r="I679" s="164" t="s">
        <v>20</v>
      </c>
      <c r="J679" s="164" t="s">
        <v>82</v>
      </c>
      <c r="K679" s="165">
        <v>44120</v>
      </c>
      <c r="L679" s="166" t="s">
        <v>294</v>
      </c>
      <c r="M679" s="154"/>
      <c r="N679" s="154"/>
      <c r="O679" s="164" t="s">
        <v>295</v>
      </c>
      <c r="P679" s="164">
        <v>45</v>
      </c>
      <c r="Q679" s="164">
        <v>5</v>
      </c>
      <c r="R679" s="167" t="s">
        <v>1017</v>
      </c>
      <c r="S679" s="167" t="s">
        <v>844</v>
      </c>
      <c r="T679" s="162" t="s">
        <v>800</v>
      </c>
      <c r="U679" s="167" t="s">
        <v>803</v>
      </c>
      <c r="X679" s="169">
        <v>45018</v>
      </c>
      <c r="Y679" s="170">
        <v>2</v>
      </c>
      <c r="Z679" s="170">
        <v>0</v>
      </c>
      <c r="AA679" s="170">
        <v>0</v>
      </c>
      <c r="AB679" s="170">
        <v>0</v>
      </c>
      <c r="AC679" s="171">
        <v>2</v>
      </c>
      <c r="AD679" s="172">
        <v>2010579.2184599999</v>
      </c>
      <c r="AE679" s="173">
        <v>2</v>
      </c>
      <c r="AF679" s="174">
        <v>46357</v>
      </c>
    </row>
    <row r="680" spans="1:32" ht="20" x14ac:dyDescent="0.35">
      <c r="A680" s="162" t="s">
        <v>1015</v>
      </c>
      <c r="B680" s="163" t="s">
        <v>1016</v>
      </c>
      <c r="C680" s="154"/>
      <c r="D680" s="162" t="s">
        <v>292</v>
      </c>
      <c r="E680" s="164" t="s">
        <v>292</v>
      </c>
      <c r="F680" s="164" t="s">
        <v>1016</v>
      </c>
      <c r="G680" s="164" t="s">
        <v>1015</v>
      </c>
      <c r="H680" s="165">
        <v>29501</v>
      </c>
      <c r="I680" s="164" t="s">
        <v>20</v>
      </c>
      <c r="J680" s="164" t="s">
        <v>82</v>
      </c>
      <c r="K680" s="165">
        <v>44120</v>
      </c>
      <c r="L680" s="166" t="s">
        <v>294</v>
      </c>
      <c r="M680" s="154"/>
      <c r="N680" s="154"/>
      <c r="O680" s="164" t="s">
        <v>295</v>
      </c>
      <c r="P680" s="164">
        <v>45</v>
      </c>
      <c r="Q680" s="164">
        <v>5</v>
      </c>
      <c r="R680" s="167" t="s">
        <v>1017</v>
      </c>
      <c r="S680" s="167" t="s">
        <v>844</v>
      </c>
      <c r="T680" s="162" t="s">
        <v>800</v>
      </c>
      <c r="U680" s="167" t="s">
        <v>804</v>
      </c>
      <c r="X680" s="169">
        <v>45018</v>
      </c>
      <c r="Y680" s="170">
        <v>5</v>
      </c>
      <c r="Z680" s="170">
        <v>0</v>
      </c>
      <c r="AA680" s="170">
        <v>0</v>
      </c>
      <c r="AB680" s="170">
        <v>0</v>
      </c>
      <c r="AC680" s="171">
        <v>5</v>
      </c>
      <c r="AD680" s="172">
        <v>5026448.0461499998</v>
      </c>
      <c r="AE680" s="173">
        <v>5</v>
      </c>
      <c r="AF680" s="174">
        <v>46357</v>
      </c>
    </row>
    <row r="681" spans="1:32" ht="20" x14ac:dyDescent="0.35">
      <c r="A681" s="162" t="s">
        <v>1015</v>
      </c>
      <c r="B681" s="163" t="s">
        <v>1016</v>
      </c>
      <c r="C681" s="154"/>
      <c r="D681" s="162" t="s">
        <v>292</v>
      </c>
      <c r="E681" s="164" t="s">
        <v>292</v>
      </c>
      <c r="F681" s="164" t="s">
        <v>1016</v>
      </c>
      <c r="G681" s="164" t="s">
        <v>1015</v>
      </c>
      <c r="H681" s="165">
        <v>29501</v>
      </c>
      <c r="I681" s="164" t="s">
        <v>20</v>
      </c>
      <c r="J681" s="164" t="s">
        <v>82</v>
      </c>
      <c r="K681" s="165">
        <v>44120</v>
      </c>
      <c r="L681" s="166" t="s">
        <v>294</v>
      </c>
      <c r="M681" s="154"/>
      <c r="N681" s="154"/>
      <c r="O681" s="164" t="s">
        <v>295</v>
      </c>
      <c r="P681" s="164">
        <v>45</v>
      </c>
      <c r="Q681" s="164">
        <v>5</v>
      </c>
      <c r="R681" s="167" t="s">
        <v>1017</v>
      </c>
      <c r="S681" s="167" t="s">
        <v>844</v>
      </c>
      <c r="T681" s="162" t="s">
        <v>800</v>
      </c>
      <c r="U681" s="167" t="s">
        <v>805</v>
      </c>
      <c r="X681" s="169">
        <v>45018</v>
      </c>
      <c r="Y681" s="170">
        <v>2.4999999966690001</v>
      </c>
      <c r="Z681" s="170">
        <v>0.41666667000000002</v>
      </c>
      <c r="AA681" s="170">
        <v>0</v>
      </c>
      <c r="AB681" s="170">
        <v>0</v>
      </c>
      <c r="AC681" s="171">
        <v>2.9166666666690002</v>
      </c>
      <c r="AD681" s="172">
        <v>2932094.6935899998</v>
      </c>
      <c r="AE681" s="173">
        <v>2.92</v>
      </c>
      <c r="AF681" s="174">
        <v>46357</v>
      </c>
    </row>
    <row r="682" spans="1:32" ht="20" x14ac:dyDescent="0.35">
      <c r="A682" s="162" t="s">
        <v>1018</v>
      </c>
      <c r="B682" s="163" t="s">
        <v>1019</v>
      </c>
      <c r="C682" s="154"/>
      <c r="D682" s="162" t="s">
        <v>297</v>
      </c>
      <c r="E682" s="164" t="s">
        <v>297</v>
      </c>
      <c r="F682" s="164" t="s">
        <v>1019</v>
      </c>
      <c r="G682" s="164" t="s">
        <v>1018</v>
      </c>
      <c r="H682" s="165">
        <v>31590</v>
      </c>
      <c r="I682" s="164" t="s">
        <v>20</v>
      </c>
      <c r="J682" s="164" t="s">
        <v>82</v>
      </c>
      <c r="K682" s="165">
        <v>44166</v>
      </c>
      <c r="L682" s="166" t="s">
        <v>299</v>
      </c>
      <c r="M682" s="154"/>
      <c r="N682" s="154"/>
      <c r="O682" s="164" t="s">
        <v>23</v>
      </c>
      <c r="P682" s="164">
        <v>40</v>
      </c>
      <c r="Q682" s="164">
        <v>5</v>
      </c>
      <c r="R682" s="167" t="s">
        <v>1020</v>
      </c>
      <c r="S682" s="167" t="s">
        <v>844</v>
      </c>
      <c r="T682" s="162" t="s">
        <v>794</v>
      </c>
      <c r="U682" s="167" t="s">
        <v>833</v>
      </c>
      <c r="V682" s="162" t="s">
        <v>820</v>
      </c>
      <c r="W682" s="168">
        <v>5</v>
      </c>
      <c r="X682" s="169">
        <v>45018</v>
      </c>
      <c r="Y682" s="170">
        <v>36.000000003333</v>
      </c>
      <c r="Z682" s="170">
        <v>2.0833333299999999</v>
      </c>
      <c r="AA682" s="170">
        <v>0</v>
      </c>
      <c r="AB682" s="170">
        <v>2.083333333333</v>
      </c>
      <c r="AC682" s="171">
        <v>36</v>
      </c>
      <c r="AD682" s="172">
        <v>18205142.109230001</v>
      </c>
      <c r="AE682" s="173" t="s">
        <v>797</v>
      </c>
      <c r="AF682" s="173"/>
    </row>
    <row r="683" spans="1:32" ht="20" x14ac:dyDescent="0.35">
      <c r="A683" s="162" t="s">
        <v>1018</v>
      </c>
      <c r="B683" s="163" t="s">
        <v>1019</v>
      </c>
      <c r="C683" s="154"/>
      <c r="D683" s="162" t="s">
        <v>297</v>
      </c>
      <c r="E683" s="164" t="s">
        <v>297</v>
      </c>
      <c r="F683" s="164" t="s">
        <v>1019</v>
      </c>
      <c r="G683" s="164" t="s">
        <v>1018</v>
      </c>
      <c r="H683" s="165">
        <v>31590</v>
      </c>
      <c r="I683" s="164" t="s">
        <v>20</v>
      </c>
      <c r="J683" s="164" t="s">
        <v>82</v>
      </c>
      <c r="K683" s="165">
        <v>44166</v>
      </c>
      <c r="L683" s="166" t="s">
        <v>299</v>
      </c>
      <c r="M683" s="154"/>
      <c r="N683" s="154"/>
      <c r="O683" s="164" t="s">
        <v>23</v>
      </c>
      <c r="P683" s="164">
        <v>40</v>
      </c>
      <c r="Q683" s="164">
        <v>5</v>
      </c>
      <c r="R683" s="167" t="s">
        <v>1020</v>
      </c>
      <c r="S683" s="167" t="s">
        <v>844</v>
      </c>
      <c r="T683" s="162" t="s">
        <v>798</v>
      </c>
      <c r="U683" s="167" t="s">
        <v>799</v>
      </c>
      <c r="X683" s="169">
        <v>45018</v>
      </c>
      <c r="Y683" s="170">
        <v>180</v>
      </c>
      <c r="Z683" s="170">
        <v>0</v>
      </c>
      <c r="AA683" s="170">
        <v>0</v>
      </c>
      <c r="AB683" s="170">
        <v>0</v>
      </c>
      <c r="AC683" s="171">
        <v>180</v>
      </c>
      <c r="AD683" s="172">
        <v>91025710.54614</v>
      </c>
      <c r="AE683" s="173">
        <v>180</v>
      </c>
      <c r="AF683" s="174">
        <v>46357</v>
      </c>
    </row>
    <row r="684" spans="1:32" ht="20" x14ac:dyDescent="0.35">
      <c r="A684" s="162" t="s">
        <v>1018</v>
      </c>
      <c r="B684" s="163" t="s">
        <v>1019</v>
      </c>
      <c r="C684" s="154"/>
      <c r="D684" s="162" t="s">
        <v>297</v>
      </c>
      <c r="E684" s="164" t="s">
        <v>297</v>
      </c>
      <c r="F684" s="164" t="s">
        <v>1019</v>
      </c>
      <c r="G684" s="164" t="s">
        <v>1018</v>
      </c>
      <c r="H684" s="165">
        <v>31590</v>
      </c>
      <c r="I684" s="164" t="s">
        <v>20</v>
      </c>
      <c r="J684" s="164" t="s">
        <v>82</v>
      </c>
      <c r="K684" s="165">
        <v>44166</v>
      </c>
      <c r="L684" s="166" t="s">
        <v>299</v>
      </c>
      <c r="M684" s="154"/>
      <c r="N684" s="154"/>
      <c r="O684" s="164" t="s">
        <v>23</v>
      </c>
      <c r="P684" s="164">
        <v>40</v>
      </c>
      <c r="Q684" s="164">
        <v>5</v>
      </c>
      <c r="R684" s="167" t="s">
        <v>1020</v>
      </c>
      <c r="S684" s="167" t="s">
        <v>844</v>
      </c>
      <c r="T684" s="162" t="s">
        <v>800</v>
      </c>
      <c r="U684" s="167" t="s">
        <v>801</v>
      </c>
      <c r="X684" s="169">
        <v>45018</v>
      </c>
      <c r="Y684" s="170">
        <v>26</v>
      </c>
      <c r="Z684" s="170">
        <v>0</v>
      </c>
      <c r="AA684" s="170">
        <v>0</v>
      </c>
      <c r="AB684" s="170">
        <v>0</v>
      </c>
      <c r="AC684" s="171">
        <v>26</v>
      </c>
      <c r="AD684" s="172">
        <v>13148158.189999999</v>
      </c>
      <c r="AE684" s="173">
        <v>26</v>
      </c>
      <c r="AF684" s="174">
        <v>46357</v>
      </c>
    </row>
    <row r="685" spans="1:32" ht="20" x14ac:dyDescent="0.35">
      <c r="A685" s="162" t="s">
        <v>1018</v>
      </c>
      <c r="B685" s="163" t="s">
        <v>1019</v>
      </c>
      <c r="C685" s="154"/>
      <c r="D685" s="162" t="s">
        <v>297</v>
      </c>
      <c r="E685" s="164" t="s">
        <v>297</v>
      </c>
      <c r="F685" s="164" t="s">
        <v>1019</v>
      </c>
      <c r="G685" s="164" t="s">
        <v>1018</v>
      </c>
      <c r="H685" s="165">
        <v>31590</v>
      </c>
      <c r="I685" s="164" t="s">
        <v>20</v>
      </c>
      <c r="J685" s="164" t="s">
        <v>82</v>
      </c>
      <c r="K685" s="165">
        <v>44166</v>
      </c>
      <c r="L685" s="166" t="s">
        <v>299</v>
      </c>
      <c r="M685" s="154"/>
      <c r="N685" s="154"/>
      <c r="O685" s="164" t="s">
        <v>23</v>
      </c>
      <c r="P685" s="164">
        <v>40</v>
      </c>
      <c r="Q685" s="164">
        <v>5</v>
      </c>
      <c r="R685" s="167" t="s">
        <v>1020</v>
      </c>
      <c r="S685" s="167" t="s">
        <v>844</v>
      </c>
      <c r="T685" s="162" t="s">
        <v>800</v>
      </c>
      <c r="U685" s="167" t="s">
        <v>802</v>
      </c>
      <c r="X685" s="169">
        <v>45018</v>
      </c>
      <c r="Y685" s="170">
        <v>98</v>
      </c>
      <c r="Z685" s="170">
        <v>0</v>
      </c>
      <c r="AA685" s="170">
        <v>0</v>
      </c>
      <c r="AB685" s="170">
        <v>0</v>
      </c>
      <c r="AC685" s="171">
        <v>98</v>
      </c>
      <c r="AD685" s="172">
        <v>49558442.40845</v>
      </c>
      <c r="AE685" s="173">
        <v>98</v>
      </c>
      <c r="AF685" s="174">
        <v>46357</v>
      </c>
    </row>
    <row r="686" spans="1:32" ht="20" x14ac:dyDescent="0.35">
      <c r="A686" s="162" t="s">
        <v>1018</v>
      </c>
      <c r="B686" s="163" t="s">
        <v>1019</v>
      </c>
      <c r="C686" s="154"/>
      <c r="D686" s="162" t="s">
        <v>297</v>
      </c>
      <c r="E686" s="164" t="s">
        <v>297</v>
      </c>
      <c r="F686" s="164" t="s">
        <v>1019</v>
      </c>
      <c r="G686" s="164" t="s">
        <v>1018</v>
      </c>
      <c r="H686" s="165">
        <v>31590</v>
      </c>
      <c r="I686" s="164" t="s">
        <v>20</v>
      </c>
      <c r="J686" s="164" t="s">
        <v>82</v>
      </c>
      <c r="K686" s="165">
        <v>44166</v>
      </c>
      <c r="L686" s="166" t="s">
        <v>299</v>
      </c>
      <c r="M686" s="154"/>
      <c r="N686" s="154"/>
      <c r="O686" s="164" t="s">
        <v>23</v>
      </c>
      <c r="P686" s="164">
        <v>40</v>
      </c>
      <c r="Q686" s="164">
        <v>5</v>
      </c>
      <c r="R686" s="167" t="s">
        <v>1020</v>
      </c>
      <c r="S686" s="167" t="s">
        <v>844</v>
      </c>
      <c r="T686" s="162" t="s">
        <v>800</v>
      </c>
      <c r="U686" s="167" t="s">
        <v>803</v>
      </c>
      <c r="X686" s="169">
        <v>45018</v>
      </c>
      <c r="Y686" s="170">
        <v>2</v>
      </c>
      <c r="Z686" s="170">
        <v>0</v>
      </c>
      <c r="AA686" s="170">
        <v>0</v>
      </c>
      <c r="AB686" s="170">
        <v>0</v>
      </c>
      <c r="AC686" s="171">
        <v>2</v>
      </c>
      <c r="AD686" s="172">
        <v>1011396.78385</v>
      </c>
      <c r="AE686" s="173">
        <v>2</v>
      </c>
      <c r="AF686" s="174">
        <v>46357</v>
      </c>
    </row>
    <row r="687" spans="1:32" ht="20" x14ac:dyDescent="0.35">
      <c r="A687" s="162" t="s">
        <v>1018</v>
      </c>
      <c r="B687" s="163" t="s">
        <v>1019</v>
      </c>
      <c r="C687" s="154"/>
      <c r="D687" s="162" t="s">
        <v>297</v>
      </c>
      <c r="E687" s="164" t="s">
        <v>297</v>
      </c>
      <c r="F687" s="164" t="s">
        <v>1019</v>
      </c>
      <c r="G687" s="164" t="s">
        <v>1018</v>
      </c>
      <c r="H687" s="165">
        <v>31590</v>
      </c>
      <c r="I687" s="164" t="s">
        <v>20</v>
      </c>
      <c r="J687" s="164" t="s">
        <v>82</v>
      </c>
      <c r="K687" s="165">
        <v>44166</v>
      </c>
      <c r="L687" s="166" t="s">
        <v>299</v>
      </c>
      <c r="M687" s="154"/>
      <c r="N687" s="154"/>
      <c r="O687" s="164" t="s">
        <v>23</v>
      </c>
      <c r="P687" s="164">
        <v>40</v>
      </c>
      <c r="Q687" s="164">
        <v>5</v>
      </c>
      <c r="R687" s="167" t="s">
        <v>1020</v>
      </c>
      <c r="S687" s="167" t="s">
        <v>844</v>
      </c>
      <c r="T687" s="162" t="s">
        <v>800</v>
      </c>
      <c r="U687" s="167" t="s">
        <v>804</v>
      </c>
      <c r="X687" s="169">
        <v>45018</v>
      </c>
      <c r="Y687" s="170">
        <v>5</v>
      </c>
      <c r="Z687" s="170">
        <v>0</v>
      </c>
      <c r="AA687" s="170">
        <v>0</v>
      </c>
      <c r="AB687" s="170">
        <v>0</v>
      </c>
      <c r="AC687" s="171">
        <v>5</v>
      </c>
      <c r="AD687" s="172">
        <v>2528491.9596199999</v>
      </c>
      <c r="AE687" s="173">
        <v>5</v>
      </c>
      <c r="AF687" s="174">
        <v>46357</v>
      </c>
    </row>
    <row r="688" spans="1:32" ht="20" x14ac:dyDescent="0.35">
      <c r="A688" s="162" t="s">
        <v>1018</v>
      </c>
      <c r="B688" s="163" t="s">
        <v>1019</v>
      </c>
      <c r="C688" s="154"/>
      <c r="D688" s="162" t="s">
        <v>297</v>
      </c>
      <c r="E688" s="164" t="s">
        <v>297</v>
      </c>
      <c r="F688" s="164" t="s">
        <v>1019</v>
      </c>
      <c r="G688" s="164" t="s">
        <v>1018</v>
      </c>
      <c r="H688" s="165">
        <v>31590</v>
      </c>
      <c r="I688" s="164" t="s">
        <v>20</v>
      </c>
      <c r="J688" s="164" t="s">
        <v>82</v>
      </c>
      <c r="K688" s="165">
        <v>44166</v>
      </c>
      <c r="L688" s="166" t="s">
        <v>299</v>
      </c>
      <c r="M688" s="154"/>
      <c r="N688" s="154"/>
      <c r="O688" s="164" t="s">
        <v>23</v>
      </c>
      <c r="P688" s="164">
        <v>40</v>
      </c>
      <c r="Q688" s="164">
        <v>5</v>
      </c>
      <c r="R688" s="167" t="s">
        <v>1020</v>
      </c>
      <c r="S688" s="167" t="s">
        <v>844</v>
      </c>
      <c r="T688" s="162" t="s">
        <v>800</v>
      </c>
      <c r="U688" s="167" t="s">
        <v>805</v>
      </c>
      <c r="X688" s="169">
        <v>45018</v>
      </c>
      <c r="Y688" s="170">
        <v>2.4999999966690001</v>
      </c>
      <c r="Z688" s="170">
        <v>0.41666667000000002</v>
      </c>
      <c r="AA688" s="170">
        <v>0</v>
      </c>
      <c r="AB688" s="170">
        <v>0</v>
      </c>
      <c r="AC688" s="171">
        <v>2.9166666666690002</v>
      </c>
      <c r="AD688" s="172">
        <v>1474953.6431100001</v>
      </c>
      <c r="AE688" s="173">
        <v>2.92</v>
      </c>
      <c r="AF688" s="174">
        <v>46357</v>
      </c>
    </row>
    <row r="689" spans="1:32" ht="20" x14ac:dyDescent="0.35">
      <c r="A689" s="162" t="s">
        <v>1021</v>
      </c>
      <c r="B689" s="163" t="s">
        <v>1022</v>
      </c>
      <c r="C689" s="154"/>
      <c r="D689" s="162" t="s">
        <v>300</v>
      </c>
      <c r="E689" s="164" t="s">
        <v>300</v>
      </c>
      <c r="F689" s="164" t="s">
        <v>1022</v>
      </c>
      <c r="G689" s="164" t="s">
        <v>1021</v>
      </c>
      <c r="H689" s="165">
        <v>27867</v>
      </c>
      <c r="I689" s="164" t="s">
        <v>20</v>
      </c>
      <c r="J689" s="164" t="s">
        <v>82</v>
      </c>
      <c r="K689" s="165">
        <v>44172</v>
      </c>
      <c r="L689" s="166" t="s">
        <v>302</v>
      </c>
      <c r="M689" s="154"/>
      <c r="N689" s="154"/>
      <c r="O689" s="164" t="s">
        <v>70</v>
      </c>
      <c r="P689" s="164">
        <v>50</v>
      </c>
      <c r="Q689" s="164">
        <v>5</v>
      </c>
      <c r="R689" s="167" t="s">
        <v>966</v>
      </c>
      <c r="S689" s="167" t="s">
        <v>848</v>
      </c>
      <c r="T689" s="162" t="s">
        <v>794</v>
      </c>
      <c r="U689" s="167" t="s">
        <v>833</v>
      </c>
      <c r="V689" s="162" t="s">
        <v>820</v>
      </c>
      <c r="W689" s="168">
        <v>5</v>
      </c>
      <c r="X689" s="169">
        <v>45018</v>
      </c>
      <c r="Y689" s="170">
        <v>36.000000003333</v>
      </c>
      <c r="Z689" s="170">
        <v>2.0833333299999999</v>
      </c>
      <c r="AA689" s="170">
        <v>0</v>
      </c>
      <c r="AB689" s="170">
        <v>2.083333333333</v>
      </c>
      <c r="AC689" s="171">
        <v>36</v>
      </c>
      <c r="AD689" s="172">
        <v>27245324.56151</v>
      </c>
      <c r="AE689" s="173" t="s">
        <v>797</v>
      </c>
      <c r="AF689" s="173"/>
    </row>
    <row r="690" spans="1:32" ht="20" x14ac:dyDescent="0.35">
      <c r="A690" s="162" t="s">
        <v>1021</v>
      </c>
      <c r="B690" s="163" t="s">
        <v>1022</v>
      </c>
      <c r="C690" s="154"/>
      <c r="D690" s="162" t="s">
        <v>300</v>
      </c>
      <c r="E690" s="164" t="s">
        <v>300</v>
      </c>
      <c r="F690" s="164" t="s">
        <v>1022</v>
      </c>
      <c r="G690" s="164" t="s">
        <v>1021</v>
      </c>
      <c r="H690" s="165">
        <v>27867</v>
      </c>
      <c r="I690" s="164" t="s">
        <v>20</v>
      </c>
      <c r="J690" s="164" t="s">
        <v>82</v>
      </c>
      <c r="K690" s="165">
        <v>44172</v>
      </c>
      <c r="L690" s="166" t="s">
        <v>302</v>
      </c>
      <c r="M690" s="154"/>
      <c r="N690" s="154"/>
      <c r="O690" s="164" t="s">
        <v>70</v>
      </c>
      <c r="P690" s="164">
        <v>50</v>
      </c>
      <c r="Q690" s="164">
        <v>5</v>
      </c>
      <c r="R690" s="167" t="s">
        <v>966</v>
      </c>
      <c r="S690" s="167" t="s">
        <v>848</v>
      </c>
      <c r="T690" s="162" t="s">
        <v>798</v>
      </c>
      <c r="U690" s="167" t="s">
        <v>799</v>
      </c>
      <c r="X690" s="169">
        <v>45018</v>
      </c>
      <c r="Y690" s="170">
        <v>180</v>
      </c>
      <c r="Z690" s="170">
        <v>0</v>
      </c>
      <c r="AA690" s="170">
        <v>0</v>
      </c>
      <c r="AB690" s="170">
        <v>0</v>
      </c>
      <c r="AC690" s="171">
        <v>180</v>
      </c>
      <c r="AD690" s="172">
        <v>136226622.80754</v>
      </c>
      <c r="AE690" s="173">
        <v>180</v>
      </c>
      <c r="AF690" s="174">
        <v>46357</v>
      </c>
    </row>
    <row r="691" spans="1:32" ht="20" x14ac:dyDescent="0.35">
      <c r="A691" s="162" t="s">
        <v>1021</v>
      </c>
      <c r="B691" s="163" t="s">
        <v>1022</v>
      </c>
      <c r="C691" s="154"/>
      <c r="D691" s="162" t="s">
        <v>300</v>
      </c>
      <c r="E691" s="164" t="s">
        <v>300</v>
      </c>
      <c r="F691" s="164" t="s">
        <v>1022</v>
      </c>
      <c r="G691" s="164" t="s">
        <v>1021</v>
      </c>
      <c r="H691" s="165">
        <v>27867</v>
      </c>
      <c r="I691" s="164" t="s">
        <v>20</v>
      </c>
      <c r="J691" s="164" t="s">
        <v>82</v>
      </c>
      <c r="K691" s="165">
        <v>44172</v>
      </c>
      <c r="L691" s="166" t="s">
        <v>302</v>
      </c>
      <c r="M691" s="154"/>
      <c r="N691" s="154"/>
      <c r="O691" s="164" t="s">
        <v>70</v>
      </c>
      <c r="P691" s="164">
        <v>50</v>
      </c>
      <c r="Q691" s="164">
        <v>5</v>
      </c>
      <c r="R691" s="167" t="s">
        <v>966</v>
      </c>
      <c r="S691" s="167" t="s">
        <v>848</v>
      </c>
      <c r="T691" s="162" t="s">
        <v>800</v>
      </c>
      <c r="U691" s="167" t="s">
        <v>801</v>
      </c>
      <c r="X691" s="169">
        <v>45018</v>
      </c>
      <c r="Y691" s="170">
        <v>26</v>
      </c>
      <c r="Z691" s="170">
        <v>0</v>
      </c>
      <c r="AA691" s="170">
        <v>0</v>
      </c>
      <c r="AB691" s="170">
        <v>0</v>
      </c>
      <c r="AC691" s="171">
        <v>26</v>
      </c>
      <c r="AD691" s="172">
        <v>19677178.84998</v>
      </c>
      <c r="AE691" s="173">
        <v>26</v>
      </c>
      <c r="AF691" s="174">
        <v>46357</v>
      </c>
    </row>
    <row r="692" spans="1:32" ht="20" x14ac:dyDescent="0.35">
      <c r="A692" s="162" t="s">
        <v>1021</v>
      </c>
      <c r="B692" s="163" t="s">
        <v>1022</v>
      </c>
      <c r="C692" s="154"/>
      <c r="D692" s="162" t="s">
        <v>300</v>
      </c>
      <c r="E692" s="164" t="s">
        <v>300</v>
      </c>
      <c r="F692" s="164" t="s">
        <v>1022</v>
      </c>
      <c r="G692" s="164" t="s">
        <v>1021</v>
      </c>
      <c r="H692" s="165">
        <v>27867</v>
      </c>
      <c r="I692" s="164" t="s">
        <v>20</v>
      </c>
      <c r="J692" s="164" t="s">
        <v>82</v>
      </c>
      <c r="K692" s="165">
        <v>44172</v>
      </c>
      <c r="L692" s="166" t="s">
        <v>302</v>
      </c>
      <c r="M692" s="154"/>
      <c r="N692" s="154"/>
      <c r="O692" s="164" t="s">
        <v>70</v>
      </c>
      <c r="P692" s="164">
        <v>50</v>
      </c>
      <c r="Q692" s="164">
        <v>5</v>
      </c>
      <c r="R692" s="167" t="s">
        <v>966</v>
      </c>
      <c r="S692" s="167" t="s">
        <v>848</v>
      </c>
      <c r="T692" s="162" t="s">
        <v>800</v>
      </c>
      <c r="U692" s="167" t="s">
        <v>802</v>
      </c>
      <c r="X692" s="169">
        <v>45018</v>
      </c>
      <c r="Y692" s="170">
        <v>98</v>
      </c>
      <c r="Z692" s="170">
        <v>0</v>
      </c>
      <c r="AA692" s="170">
        <v>0</v>
      </c>
      <c r="AB692" s="170">
        <v>0</v>
      </c>
      <c r="AC692" s="171">
        <v>98</v>
      </c>
      <c r="AD692" s="172">
        <v>74167827.972990006</v>
      </c>
      <c r="AE692" s="173">
        <v>98</v>
      </c>
      <c r="AF692" s="174">
        <v>46357</v>
      </c>
    </row>
    <row r="693" spans="1:32" ht="20" x14ac:dyDescent="0.35">
      <c r="A693" s="162" t="s">
        <v>1021</v>
      </c>
      <c r="B693" s="163" t="s">
        <v>1022</v>
      </c>
      <c r="C693" s="154"/>
      <c r="D693" s="162" t="s">
        <v>300</v>
      </c>
      <c r="E693" s="164" t="s">
        <v>300</v>
      </c>
      <c r="F693" s="164" t="s">
        <v>1022</v>
      </c>
      <c r="G693" s="164" t="s">
        <v>1021</v>
      </c>
      <c r="H693" s="165">
        <v>27867</v>
      </c>
      <c r="I693" s="164" t="s">
        <v>20</v>
      </c>
      <c r="J693" s="164" t="s">
        <v>82</v>
      </c>
      <c r="K693" s="165">
        <v>44172</v>
      </c>
      <c r="L693" s="166" t="s">
        <v>302</v>
      </c>
      <c r="M693" s="154"/>
      <c r="N693" s="154"/>
      <c r="O693" s="164" t="s">
        <v>70</v>
      </c>
      <c r="P693" s="164">
        <v>50</v>
      </c>
      <c r="Q693" s="164">
        <v>5</v>
      </c>
      <c r="R693" s="167" t="s">
        <v>966</v>
      </c>
      <c r="S693" s="167" t="s">
        <v>848</v>
      </c>
      <c r="T693" s="162" t="s">
        <v>800</v>
      </c>
      <c r="U693" s="167" t="s">
        <v>803</v>
      </c>
      <c r="X693" s="169">
        <v>45018</v>
      </c>
      <c r="Y693" s="170">
        <v>2</v>
      </c>
      <c r="Z693" s="170">
        <v>0</v>
      </c>
      <c r="AA693" s="170">
        <v>0</v>
      </c>
      <c r="AB693" s="170">
        <v>0</v>
      </c>
      <c r="AC693" s="171">
        <v>2</v>
      </c>
      <c r="AD693" s="172">
        <v>1513629.14231</v>
      </c>
      <c r="AE693" s="173">
        <v>2</v>
      </c>
      <c r="AF693" s="174">
        <v>46357</v>
      </c>
    </row>
    <row r="694" spans="1:32" ht="20" x14ac:dyDescent="0.35">
      <c r="A694" s="162" t="s">
        <v>1021</v>
      </c>
      <c r="B694" s="163" t="s">
        <v>1022</v>
      </c>
      <c r="C694" s="154"/>
      <c r="D694" s="162" t="s">
        <v>300</v>
      </c>
      <c r="E694" s="164" t="s">
        <v>300</v>
      </c>
      <c r="F694" s="164" t="s">
        <v>1022</v>
      </c>
      <c r="G694" s="164" t="s">
        <v>1021</v>
      </c>
      <c r="H694" s="165">
        <v>27867</v>
      </c>
      <c r="I694" s="164" t="s">
        <v>20</v>
      </c>
      <c r="J694" s="164" t="s">
        <v>82</v>
      </c>
      <c r="K694" s="165">
        <v>44172</v>
      </c>
      <c r="L694" s="166" t="s">
        <v>302</v>
      </c>
      <c r="M694" s="154"/>
      <c r="N694" s="154"/>
      <c r="O694" s="164" t="s">
        <v>70</v>
      </c>
      <c r="P694" s="164">
        <v>50</v>
      </c>
      <c r="Q694" s="164">
        <v>5</v>
      </c>
      <c r="R694" s="167" t="s">
        <v>966</v>
      </c>
      <c r="S694" s="167" t="s">
        <v>848</v>
      </c>
      <c r="T694" s="162" t="s">
        <v>800</v>
      </c>
      <c r="U694" s="167" t="s">
        <v>804</v>
      </c>
      <c r="X694" s="169">
        <v>45018</v>
      </c>
      <c r="Y694" s="170">
        <v>5</v>
      </c>
      <c r="Z694" s="170">
        <v>0</v>
      </c>
      <c r="AA694" s="170">
        <v>0</v>
      </c>
      <c r="AB694" s="170">
        <v>0</v>
      </c>
      <c r="AC694" s="171">
        <v>5</v>
      </c>
      <c r="AD694" s="172">
        <v>3784072.8557600002</v>
      </c>
      <c r="AE694" s="173">
        <v>5</v>
      </c>
      <c r="AF694" s="174">
        <v>46357</v>
      </c>
    </row>
    <row r="695" spans="1:32" ht="20" x14ac:dyDescent="0.35">
      <c r="A695" s="162" t="s">
        <v>1021</v>
      </c>
      <c r="B695" s="163" t="s">
        <v>1022</v>
      </c>
      <c r="C695" s="154"/>
      <c r="D695" s="162" t="s">
        <v>300</v>
      </c>
      <c r="E695" s="164" t="s">
        <v>300</v>
      </c>
      <c r="F695" s="164" t="s">
        <v>1022</v>
      </c>
      <c r="G695" s="164" t="s">
        <v>1021</v>
      </c>
      <c r="H695" s="165">
        <v>27867</v>
      </c>
      <c r="I695" s="164" t="s">
        <v>20</v>
      </c>
      <c r="J695" s="164" t="s">
        <v>82</v>
      </c>
      <c r="K695" s="165">
        <v>44172</v>
      </c>
      <c r="L695" s="166" t="s">
        <v>302</v>
      </c>
      <c r="M695" s="154"/>
      <c r="N695" s="154"/>
      <c r="O695" s="164" t="s">
        <v>70</v>
      </c>
      <c r="P695" s="164">
        <v>50</v>
      </c>
      <c r="Q695" s="164">
        <v>5</v>
      </c>
      <c r="R695" s="167" t="s">
        <v>966</v>
      </c>
      <c r="S695" s="167" t="s">
        <v>848</v>
      </c>
      <c r="T695" s="162" t="s">
        <v>800</v>
      </c>
      <c r="U695" s="167" t="s">
        <v>805</v>
      </c>
      <c r="X695" s="169">
        <v>45018</v>
      </c>
      <c r="Y695" s="170">
        <v>-0.50000000333100003</v>
      </c>
      <c r="Z695" s="170">
        <v>0.41666667000000002</v>
      </c>
      <c r="AA695" s="170">
        <v>0</v>
      </c>
      <c r="AB695" s="170">
        <v>0</v>
      </c>
      <c r="AC695" s="171">
        <v>-8.3333333331000001E-2</v>
      </c>
      <c r="AD695" s="172">
        <v>-63067.880929999999</v>
      </c>
      <c r="AE695" s="173">
        <v>0</v>
      </c>
      <c r="AF695" s="174">
        <v>46357</v>
      </c>
    </row>
    <row r="696" spans="1:32" ht="20" x14ac:dyDescent="0.35">
      <c r="A696" s="162" t="s">
        <v>1023</v>
      </c>
      <c r="B696" s="163" t="s">
        <v>1024</v>
      </c>
      <c r="C696" s="154"/>
      <c r="D696" s="162" t="s">
        <v>303</v>
      </c>
      <c r="E696" s="164" t="s">
        <v>303</v>
      </c>
      <c r="F696" s="164" t="s">
        <v>1024</v>
      </c>
      <c r="G696" s="164" t="s">
        <v>1023</v>
      </c>
      <c r="H696" s="165">
        <v>32273</v>
      </c>
      <c r="I696" s="164" t="s">
        <v>48</v>
      </c>
      <c r="J696" s="164" t="s">
        <v>68</v>
      </c>
      <c r="K696" s="165">
        <v>44228</v>
      </c>
      <c r="L696" s="166" t="s">
        <v>305</v>
      </c>
      <c r="M696" s="154"/>
      <c r="N696" s="154"/>
      <c r="O696" s="164" t="s">
        <v>129</v>
      </c>
      <c r="P696" s="164">
        <v>38</v>
      </c>
      <c r="Q696" s="164">
        <v>5</v>
      </c>
      <c r="R696" s="167" t="s">
        <v>1025</v>
      </c>
      <c r="S696" s="167" t="s">
        <v>848</v>
      </c>
      <c r="T696" s="162" t="s">
        <v>794</v>
      </c>
      <c r="U696" s="167" t="s">
        <v>819</v>
      </c>
      <c r="V696" s="162" t="s">
        <v>820</v>
      </c>
      <c r="W696" s="168">
        <v>5</v>
      </c>
      <c r="X696" s="169">
        <v>45018</v>
      </c>
      <c r="Y696" s="170">
        <v>30</v>
      </c>
      <c r="Z696" s="170">
        <v>1.75</v>
      </c>
      <c r="AA696" s="170">
        <v>0</v>
      </c>
      <c r="AB696" s="170">
        <v>1.75</v>
      </c>
      <c r="AC696" s="171">
        <v>30</v>
      </c>
      <c r="AD696" s="172">
        <v>3584508.5884500002</v>
      </c>
      <c r="AE696" s="173" t="s">
        <v>797</v>
      </c>
      <c r="AF696" s="173"/>
    </row>
    <row r="697" spans="1:32" ht="20" x14ac:dyDescent="0.35">
      <c r="A697" s="162" t="s">
        <v>1023</v>
      </c>
      <c r="B697" s="163" t="s">
        <v>1024</v>
      </c>
      <c r="C697" s="154"/>
      <c r="D697" s="162" t="s">
        <v>303</v>
      </c>
      <c r="E697" s="164" t="s">
        <v>303</v>
      </c>
      <c r="F697" s="164" t="s">
        <v>1024</v>
      </c>
      <c r="G697" s="164" t="s">
        <v>1023</v>
      </c>
      <c r="H697" s="165">
        <v>32273</v>
      </c>
      <c r="I697" s="164" t="s">
        <v>48</v>
      </c>
      <c r="J697" s="164" t="s">
        <v>68</v>
      </c>
      <c r="K697" s="165">
        <v>44228</v>
      </c>
      <c r="L697" s="166" t="s">
        <v>305</v>
      </c>
      <c r="M697" s="154"/>
      <c r="N697" s="154"/>
      <c r="O697" s="164" t="s">
        <v>129</v>
      </c>
      <c r="P697" s="164">
        <v>38</v>
      </c>
      <c r="Q697" s="164">
        <v>5</v>
      </c>
      <c r="R697" s="167" t="s">
        <v>1025</v>
      </c>
      <c r="S697" s="167" t="s">
        <v>848</v>
      </c>
      <c r="T697" s="162" t="s">
        <v>798</v>
      </c>
      <c r="U697" s="167" t="s">
        <v>799</v>
      </c>
      <c r="X697" s="169">
        <v>45018</v>
      </c>
      <c r="Y697" s="170">
        <v>177</v>
      </c>
      <c r="Z697" s="170">
        <v>0</v>
      </c>
      <c r="AA697" s="170">
        <v>0</v>
      </c>
      <c r="AB697" s="170">
        <v>0</v>
      </c>
      <c r="AC697" s="171">
        <v>177</v>
      </c>
      <c r="AD697" s="172">
        <v>21148600.67185</v>
      </c>
      <c r="AE697" s="173">
        <v>177</v>
      </c>
      <c r="AF697" s="174">
        <v>46357</v>
      </c>
    </row>
    <row r="698" spans="1:32" ht="20" x14ac:dyDescent="0.35">
      <c r="A698" s="162" t="s">
        <v>1023</v>
      </c>
      <c r="B698" s="163" t="s">
        <v>1024</v>
      </c>
      <c r="C698" s="154"/>
      <c r="D698" s="162" t="s">
        <v>303</v>
      </c>
      <c r="E698" s="164" t="s">
        <v>303</v>
      </c>
      <c r="F698" s="164" t="s">
        <v>1024</v>
      </c>
      <c r="G698" s="164" t="s">
        <v>1023</v>
      </c>
      <c r="H698" s="165">
        <v>32273</v>
      </c>
      <c r="I698" s="164" t="s">
        <v>48</v>
      </c>
      <c r="J698" s="164" t="s">
        <v>68</v>
      </c>
      <c r="K698" s="165">
        <v>44228</v>
      </c>
      <c r="L698" s="166" t="s">
        <v>305</v>
      </c>
      <c r="M698" s="154"/>
      <c r="N698" s="154"/>
      <c r="O698" s="164" t="s">
        <v>129</v>
      </c>
      <c r="P698" s="164">
        <v>38</v>
      </c>
      <c r="Q698" s="164">
        <v>5</v>
      </c>
      <c r="R698" s="167" t="s">
        <v>1025</v>
      </c>
      <c r="S698" s="167" t="s">
        <v>848</v>
      </c>
      <c r="T698" s="162" t="s">
        <v>800</v>
      </c>
      <c r="U698" s="167" t="s">
        <v>801</v>
      </c>
      <c r="X698" s="169">
        <v>45018</v>
      </c>
      <c r="Y698" s="170">
        <v>26</v>
      </c>
      <c r="Z698" s="170">
        <v>0</v>
      </c>
      <c r="AA698" s="170">
        <v>0</v>
      </c>
      <c r="AB698" s="170">
        <v>0</v>
      </c>
      <c r="AC698" s="171">
        <v>26</v>
      </c>
      <c r="AD698" s="172">
        <v>3106574.1099899998</v>
      </c>
      <c r="AE698" s="173">
        <v>26</v>
      </c>
      <c r="AF698" s="174">
        <v>46357</v>
      </c>
    </row>
    <row r="699" spans="1:32" ht="20" x14ac:dyDescent="0.35">
      <c r="A699" s="162" t="s">
        <v>1023</v>
      </c>
      <c r="B699" s="163" t="s">
        <v>1024</v>
      </c>
      <c r="C699" s="154"/>
      <c r="D699" s="162" t="s">
        <v>303</v>
      </c>
      <c r="E699" s="164" t="s">
        <v>303</v>
      </c>
      <c r="F699" s="164" t="s">
        <v>1024</v>
      </c>
      <c r="G699" s="164" t="s">
        <v>1023</v>
      </c>
      <c r="H699" s="165">
        <v>32273</v>
      </c>
      <c r="I699" s="164" t="s">
        <v>48</v>
      </c>
      <c r="J699" s="164" t="s">
        <v>68</v>
      </c>
      <c r="K699" s="165">
        <v>44228</v>
      </c>
      <c r="L699" s="166" t="s">
        <v>305</v>
      </c>
      <c r="M699" s="154"/>
      <c r="N699" s="154"/>
      <c r="O699" s="164" t="s">
        <v>129</v>
      </c>
      <c r="P699" s="164">
        <v>38</v>
      </c>
      <c r="Q699" s="164">
        <v>5</v>
      </c>
      <c r="R699" s="167" t="s">
        <v>1025</v>
      </c>
      <c r="S699" s="167" t="s">
        <v>848</v>
      </c>
      <c r="T699" s="162" t="s">
        <v>800</v>
      </c>
      <c r="U699" s="167" t="s">
        <v>802</v>
      </c>
      <c r="X699" s="169">
        <v>45018</v>
      </c>
      <c r="Y699" s="170">
        <v>98</v>
      </c>
      <c r="Z699" s="170">
        <v>0</v>
      </c>
      <c r="AA699" s="170">
        <v>0</v>
      </c>
      <c r="AB699" s="170">
        <v>0</v>
      </c>
      <c r="AC699" s="171">
        <v>98</v>
      </c>
      <c r="AD699" s="172">
        <v>11709394.722270001</v>
      </c>
      <c r="AE699" s="173">
        <v>98</v>
      </c>
      <c r="AF699" s="174">
        <v>46357</v>
      </c>
    </row>
    <row r="700" spans="1:32" ht="20" x14ac:dyDescent="0.35">
      <c r="A700" s="162" t="s">
        <v>1023</v>
      </c>
      <c r="B700" s="163" t="s">
        <v>1024</v>
      </c>
      <c r="C700" s="154"/>
      <c r="D700" s="162" t="s">
        <v>303</v>
      </c>
      <c r="E700" s="164" t="s">
        <v>303</v>
      </c>
      <c r="F700" s="164" t="s">
        <v>1024</v>
      </c>
      <c r="G700" s="164" t="s">
        <v>1023</v>
      </c>
      <c r="H700" s="165">
        <v>32273</v>
      </c>
      <c r="I700" s="164" t="s">
        <v>48</v>
      </c>
      <c r="J700" s="164" t="s">
        <v>68</v>
      </c>
      <c r="K700" s="165">
        <v>44228</v>
      </c>
      <c r="L700" s="166" t="s">
        <v>305</v>
      </c>
      <c r="M700" s="154"/>
      <c r="N700" s="154"/>
      <c r="O700" s="164" t="s">
        <v>129</v>
      </c>
      <c r="P700" s="164">
        <v>38</v>
      </c>
      <c r="Q700" s="164">
        <v>5</v>
      </c>
      <c r="R700" s="167" t="s">
        <v>1025</v>
      </c>
      <c r="S700" s="167" t="s">
        <v>848</v>
      </c>
      <c r="T700" s="162" t="s">
        <v>800</v>
      </c>
      <c r="U700" s="167" t="s">
        <v>803</v>
      </c>
      <c r="X700" s="169">
        <v>45018</v>
      </c>
      <c r="Y700" s="170">
        <v>2</v>
      </c>
      <c r="Z700" s="170">
        <v>0</v>
      </c>
      <c r="AA700" s="170">
        <v>0</v>
      </c>
      <c r="AB700" s="170">
        <v>0</v>
      </c>
      <c r="AC700" s="171">
        <v>2</v>
      </c>
      <c r="AD700" s="172">
        <v>238967.23923000001</v>
      </c>
      <c r="AE700" s="173">
        <v>2</v>
      </c>
      <c r="AF700" s="174">
        <v>46357</v>
      </c>
    </row>
    <row r="701" spans="1:32" ht="20" x14ac:dyDescent="0.35">
      <c r="A701" s="162" t="s">
        <v>1023</v>
      </c>
      <c r="B701" s="163" t="s">
        <v>1024</v>
      </c>
      <c r="C701" s="154"/>
      <c r="D701" s="162" t="s">
        <v>303</v>
      </c>
      <c r="E701" s="164" t="s">
        <v>303</v>
      </c>
      <c r="F701" s="164" t="s">
        <v>1024</v>
      </c>
      <c r="G701" s="164" t="s">
        <v>1023</v>
      </c>
      <c r="H701" s="165">
        <v>32273</v>
      </c>
      <c r="I701" s="164" t="s">
        <v>48</v>
      </c>
      <c r="J701" s="164" t="s">
        <v>68</v>
      </c>
      <c r="K701" s="165">
        <v>44228</v>
      </c>
      <c r="L701" s="166" t="s">
        <v>305</v>
      </c>
      <c r="M701" s="154"/>
      <c r="N701" s="154"/>
      <c r="O701" s="164" t="s">
        <v>129</v>
      </c>
      <c r="P701" s="164">
        <v>38</v>
      </c>
      <c r="Q701" s="164">
        <v>5</v>
      </c>
      <c r="R701" s="167" t="s">
        <v>1025</v>
      </c>
      <c r="S701" s="167" t="s">
        <v>848</v>
      </c>
      <c r="T701" s="162" t="s">
        <v>800</v>
      </c>
      <c r="U701" s="167" t="s">
        <v>804</v>
      </c>
      <c r="X701" s="169">
        <v>45018</v>
      </c>
      <c r="Y701" s="170">
        <v>5</v>
      </c>
      <c r="Z701" s="170">
        <v>0</v>
      </c>
      <c r="AA701" s="170">
        <v>0</v>
      </c>
      <c r="AB701" s="170">
        <v>0</v>
      </c>
      <c r="AC701" s="171">
        <v>5</v>
      </c>
      <c r="AD701" s="172">
        <v>597418.09806999995</v>
      </c>
      <c r="AE701" s="173">
        <v>5</v>
      </c>
      <c r="AF701" s="174">
        <v>46357</v>
      </c>
    </row>
    <row r="702" spans="1:32" ht="20" x14ac:dyDescent="0.35">
      <c r="A702" s="162" t="s">
        <v>1023</v>
      </c>
      <c r="B702" s="163" t="s">
        <v>1024</v>
      </c>
      <c r="C702" s="154"/>
      <c r="D702" s="162" t="s">
        <v>303</v>
      </c>
      <c r="E702" s="164" t="s">
        <v>303</v>
      </c>
      <c r="F702" s="164" t="s">
        <v>1024</v>
      </c>
      <c r="G702" s="164" t="s">
        <v>1023</v>
      </c>
      <c r="H702" s="165">
        <v>32273</v>
      </c>
      <c r="I702" s="164" t="s">
        <v>48</v>
      </c>
      <c r="J702" s="164" t="s">
        <v>68</v>
      </c>
      <c r="K702" s="165">
        <v>44228</v>
      </c>
      <c r="L702" s="166" t="s">
        <v>305</v>
      </c>
      <c r="M702" s="154"/>
      <c r="N702" s="154"/>
      <c r="O702" s="164" t="s">
        <v>129</v>
      </c>
      <c r="P702" s="164">
        <v>38</v>
      </c>
      <c r="Q702" s="164">
        <v>5</v>
      </c>
      <c r="R702" s="167" t="s">
        <v>1025</v>
      </c>
      <c r="S702" s="167" t="s">
        <v>848</v>
      </c>
      <c r="T702" s="162" t="s">
        <v>800</v>
      </c>
      <c r="U702" s="167" t="s">
        <v>805</v>
      </c>
      <c r="X702" s="169">
        <v>45018</v>
      </c>
      <c r="Y702" s="170">
        <v>2.4999999966690001</v>
      </c>
      <c r="Z702" s="170">
        <v>0.41666667000000002</v>
      </c>
      <c r="AA702" s="170">
        <v>0</v>
      </c>
      <c r="AB702" s="170">
        <v>0</v>
      </c>
      <c r="AC702" s="171">
        <v>2.9166666666690002</v>
      </c>
      <c r="AD702" s="172">
        <v>348493.89053999999</v>
      </c>
      <c r="AE702" s="173">
        <v>2.92</v>
      </c>
      <c r="AF702" s="174">
        <v>46357</v>
      </c>
    </row>
    <row r="703" spans="1:32" ht="20" x14ac:dyDescent="0.35">
      <c r="A703" s="162" t="s">
        <v>1026</v>
      </c>
      <c r="B703" s="163" t="s">
        <v>1027</v>
      </c>
      <c r="C703" s="154"/>
      <c r="D703" s="162" t="s">
        <v>306</v>
      </c>
      <c r="E703" s="164" t="s">
        <v>306</v>
      </c>
      <c r="F703" s="164" t="s">
        <v>1027</v>
      </c>
      <c r="G703" s="164" t="s">
        <v>1026</v>
      </c>
      <c r="H703" s="165">
        <v>31685</v>
      </c>
      <c r="I703" s="164" t="s">
        <v>20</v>
      </c>
      <c r="J703" s="164" t="s">
        <v>68</v>
      </c>
      <c r="K703" s="165">
        <v>44228</v>
      </c>
      <c r="L703" s="166" t="s">
        <v>308</v>
      </c>
      <c r="M703" s="154"/>
      <c r="N703" s="154"/>
      <c r="O703" s="164" t="s">
        <v>29</v>
      </c>
      <c r="P703" s="164">
        <v>39</v>
      </c>
      <c r="Q703" s="164">
        <v>5</v>
      </c>
      <c r="R703" s="167" t="s">
        <v>1025</v>
      </c>
      <c r="S703" s="167" t="s">
        <v>848</v>
      </c>
      <c r="T703" s="162" t="s">
        <v>794</v>
      </c>
      <c r="U703" s="167" t="s">
        <v>795</v>
      </c>
      <c r="V703" s="162" t="s">
        <v>796</v>
      </c>
      <c r="W703" s="168">
        <v>5</v>
      </c>
      <c r="X703" s="169">
        <v>45324</v>
      </c>
      <c r="Y703" s="170">
        <v>32.999999996667</v>
      </c>
      <c r="Z703" s="170">
        <v>1.9166666699999999</v>
      </c>
      <c r="AA703" s="170">
        <v>0</v>
      </c>
      <c r="AB703" s="170">
        <v>1.916666666667</v>
      </c>
      <c r="AC703" s="171">
        <v>33</v>
      </c>
      <c r="AD703" s="172">
        <v>9457428.0519200005</v>
      </c>
      <c r="AE703" s="173" t="s">
        <v>797</v>
      </c>
      <c r="AF703" s="173"/>
    </row>
    <row r="704" spans="1:32" ht="20" x14ac:dyDescent="0.35">
      <c r="A704" s="162" t="s">
        <v>1026</v>
      </c>
      <c r="B704" s="163" t="s">
        <v>1027</v>
      </c>
      <c r="C704" s="154"/>
      <c r="D704" s="162" t="s">
        <v>306</v>
      </c>
      <c r="E704" s="164" t="s">
        <v>306</v>
      </c>
      <c r="F704" s="164" t="s">
        <v>1027</v>
      </c>
      <c r="G704" s="164" t="s">
        <v>1026</v>
      </c>
      <c r="H704" s="165">
        <v>31685</v>
      </c>
      <c r="I704" s="164" t="s">
        <v>20</v>
      </c>
      <c r="J704" s="164" t="s">
        <v>68</v>
      </c>
      <c r="K704" s="165">
        <v>44228</v>
      </c>
      <c r="L704" s="166" t="s">
        <v>308</v>
      </c>
      <c r="M704" s="154"/>
      <c r="N704" s="154"/>
      <c r="O704" s="164" t="s">
        <v>29</v>
      </c>
      <c r="P704" s="164">
        <v>39</v>
      </c>
      <c r="Q704" s="164">
        <v>5</v>
      </c>
      <c r="R704" s="167" t="s">
        <v>1025</v>
      </c>
      <c r="S704" s="167" t="s">
        <v>848</v>
      </c>
      <c r="T704" s="162" t="s">
        <v>798</v>
      </c>
      <c r="U704" s="167" t="s">
        <v>839</v>
      </c>
      <c r="X704" s="169">
        <v>45324</v>
      </c>
      <c r="Y704" s="170">
        <v>180</v>
      </c>
      <c r="Z704" s="170">
        <v>0</v>
      </c>
      <c r="AA704" s="170">
        <v>0</v>
      </c>
      <c r="AB704" s="170">
        <v>0</v>
      </c>
      <c r="AC704" s="171">
        <v>180</v>
      </c>
      <c r="AD704" s="172">
        <v>51585971.192280002</v>
      </c>
      <c r="AE704" s="173">
        <v>180</v>
      </c>
      <c r="AF704" s="174">
        <v>46357</v>
      </c>
    </row>
    <row r="705" spans="1:32" ht="20" x14ac:dyDescent="0.35">
      <c r="A705" s="162" t="s">
        <v>1026</v>
      </c>
      <c r="B705" s="163" t="s">
        <v>1027</v>
      </c>
      <c r="C705" s="154"/>
      <c r="D705" s="162" t="s">
        <v>306</v>
      </c>
      <c r="E705" s="164" t="s">
        <v>306</v>
      </c>
      <c r="F705" s="164" t="s">
        <v>1027</v>
      </c>
      <c r="G705" s="164" t="s">
        <v>1026</v>
      </c>
      <c r="H705" s="165">
        <v>31685</v>
      </c>
      <c r="I705" s="164" t="s">
        <v>20</v>
      </c>
      <c r="J705" s="164" t="s">
        <v>68</v>
      </c>
      <c r="K705" s="165">
        <v>44228</v>
      </c>
      <c r="L705" s="166" t="s">
        <v>308</v>
      </c>
      <c r="M705" s="154"/>
      <c r="N705" s="154"/>
      <c r="O705" s="164" t="s">
        <v>29</v>
      </c>
      <c r="P705" s="164">
        <v>39</v>
      </c>
      <c r="Q705" s="164">
        <v>5</v>
      </c>
      <c r="R705" s="167" t="s">
        <v>1025</v>
      </c>
      <c r="S705" s="167" t="s">
        <v>848</v>
      </c>
      <c r="T705" s="162" t="s">
        <v>800</v>
      </c>
      <c r="U705" s="167" t="s">
        <v>801</v>
      </c>
      <c r="X705" s="169">
        <v>45324</v>
      </c>
      <c r="Y705" s="170">
        <v>26</v>
      </c>
      <c r="Z705" s="170">
        <v>0</v>
      </c>
      <c r="AA705" s="170">
        <v>0</v>
      </c>
      <c r="AB705" s="170">
        <v>0</v>
      </c>
      <c r="AC705" s="171">
        <v>26</v>
      </c>
      <c r="AD705" s="172">
        <v>7451306.9500000002</v>
      </c>
      <c r="AE705" s="173">
        <v>26</v>
      </c>
      <c r="AF705" s="174">
        <v>46357</v>
      </c>
    </row>
    <row r="706" spans="1:32" ht="20" x14ac:dyDescent="0.35">
      <c r="A706" s="162" t="s">
        <v>1026</v>
      </c>
      <c r="B706" s="163" t="s">
        <v>1027</v>
      </c>
      <c r="C706" s="154"/>
      <c r="D706" s="162" t="s">
        <v>306</v>
      </c>
      <c r="E706" s="164" t="s">
        <v>306</v>
      </c>
      <c r="F706" s="164" t="s">
        <v>1027</v>
      </c>
      <c r="G706" s="164" t="s">
        <v>1026</v>
      </c>
      <c r="H706" s="165">
        <v>31685</v>
      </c>
      <c r="I706" s="164" t="s">
        <v>20</v>
      </c>
      <c r="J706" s="164" t="s">
        <v>68</v>
      </c>
      <c r="K706" s="165">
        <v>44228</v>
      </c>
      <c r="L706" s="166" t="s">
        <v>308</v>
      </c>
      <c r="M706" s="154"/>
      <c r="N706" s="154"/>
      <c r="O706" s="164" t="s">
        <v>29</v>
      </c>
      <c r="P706" s="164">
        <v>39</v>
      </c>
      <c r="Q706" s="164">
        <v>5</v>
      </c>
      <c r="R706" s="167" t="s">
        <v>1025</v>
      </c>
      <c r="S706" s="167" t="s">
        <v>848</v>
      </c>
      <c r="T706" s="162" t="s">
        <v>800</v>
      </c>
      <c r="U706" s="167" t="s">
        <v>802</v>
      </c>
      <c r="X706" s="169">
        <v>45324</v>
      </c>
      <c r="Y706" s="170">
        <v>98</v>
      </c>
      <c r="Z706" s="170">
        <v>0</v>
      </c>
      <c r="AA706" s="170">
        <v>0</v>
      </c>
      <c r="AB706" s="170">
        <v>0</v>
      </c>
      <c r="AC706" s="171">
        <v>98</v>
      </c>
      <c r="AD706" s="172">
        <v>28085695.426910002</v>
      </c>
      <c r="AE706" s="173">
        <v>98</v>
      </c>
      <c r="AF706" s="174">
        <v>46357</v>
      </c>
    </row>
    <row r="707" spans="1:32" ht="20" x14ac:dyDescent="0.35">
      <c r="A707" s="162" t="s">
        <v>1026</v>
      </c>
      <c r="B707" s="163" t="s">
        <v>1027</v>
      </c>
      <c r="C707" s="154"/>
      <c r="D707" s="162" t="s">
        <v>306</v>
      </c>
      <c r="E707" s="164" t="s">
        <v>306</v>
      </c>
      <c r="F707" s="164" t="s">
        <v>1027</v>
      </c>
      <c r="G707" s="164" t="s">
        <v>1026</v>
      </c>
      <c r="H707" s="165">
        <v>31685</v>
      </c>
      <c r="I707" s="164" t="s">
        <v>20</v>
      </c>
      <c r="J707" s="164" t="s">
        <v>68</v>
      </c>
      <c r="K707" s="165">
        <v>44228</v>
      </c>
      <c r="L707" s="166" t="s">
        <v>308</v>
      </c>
      <c r="M707" s="154"/>
      <c r="N707" s="154"/>
      <c r="O707" s="164" t="s">
        <v>29</v>
      </c>
      <c r="P707" s="164">
        <v>39</v>
      </c>
      <c r="Q707" s="164">
        <v>5</v>
      </c>
      <c r="R707" s="167" t="s">
        <v>1025</v>
      </c>
      <c r="S707" s="167" t="s">
        <v>848</v>
      </c>
      <c r="T707" s="162" t="s">
        <v>800</v>
      </c>
      <c r="U707" s="167" t="s">
        <v>803</v>
      </c>
      <c r="X707" s="169">
        <v>45324</v>
      </c>
      <c r="Y707" s="170">
        <v>2</v>
      </c>
      <c r="Z707" s="170">
        <v>0</v>
      </c>
      <c r="AA707" s="170">
        <v>0</v>
      </c>
      <c r="AB707" s="170">
        <v>0</v>
      </c>
      <c r="AC707" s="171">
        <v>2</v>
      </c>
      <c r="AD707" s="172">
        <v>573177.45768999995</v>
      </c>
      <c r="AE707" s="173">
        <v>2</v>
      </c>
      <c r="AF707" s="174">
        <v>46357</v>
      </c>
    </row>
    <row r="708" spans="1:32" ht="20" x14ac:dyDescent="0.35">
      <c r="A708" s="162" t="s">
        <v>1026</v>
      </c>
      <c r="B708" s="163" t="s">
        <v>1027</v>
      </c>
      <c r="C708" s="154"/>
      <c r="D708" s="162" t="s">
        <v>306</v>
      </c>
      <c r="E708" s="164" t="s">
        <v>306</v>
      </c>
      <c r="F708" s="164" t="s">
        <v>1027</v>
      </c>
      <c r="G708" s="164" t="s">
        <v>1026</v>
      </c>
      <c r="H708" s="165">
        <v>31685</v>
      </c>
      <c r="I708" s="164" t="s">
        <v>20</v>
      </c>
      <c r="J708" s="164" t="s">
        <v>68</v>
      </c>
      <c r="K708" s="165">
        <v>44228</v>
      </c>
      <c r="L708" s="166" t="s">
        <v>308</v>
      </c>
      <c r="M708" s="154"/>
      <c r="N708" s="154"/>
      <c r="O708" s="164" t="s">
        <v>29</v>
      </c>
      <c r="P708" s="164">
        <v>39</v>
      </c>
      <c r="Q708" s="164">
        <v>5</v>
      </c>
      <c r="R708" s="167" t="s">
        <v>1025</v>
      </c>
      <c r="S708" s="167" t="s">
        <v>848</v>
      </c>
      <c r="T708" s="162" t="s">
        <v>800</v>
      </c>
      <c r="U708" s="167" t="s">
        <v>804</v>
      </c>
      <c r="X708" s="169">
        <v>45324</v>
      </c>
      <c r="Y708" s="170">
        <v>5</v>
      </c>
      <c r="Z708" s="170">
        <v>0</v>
      </c>
      <c r="AA708" s="170">
        <v>0</v>
      </c>
      <c r="AB708" s="170">
        <v>0</v>
      </c>
      <c r="AC708" s="171">
        <v>5</v>
      </c>
      <c r="AD708" s="172">
        <v>1432943.64423</v>
      </c>
      <c r="AE708" s="173">
        <v>5</v>
      </c>
      <c r="AF708" s="174">
        <v>46357</v>
      </c>
    </row>
    <row r="709" spans="1:32" ht="20" x14ac:dyDescent="0.35">
      <c r="A709" s="162" t="s">
        <v>1026</v>
      </c>
      <c r="B709" s="163" t="s">
        <v>1027</v>
      </c>
      <c r="C709" s="154"/>
      <c r="D709" s="162" t="s">
        <v>306</v>
      </c>
      <c r="E709" s="164" t="s">
        <v>306</v>
      </c>
      <c r="F709" s="164" t="s">
        <v>1027</v>
      </c>
      <c r="G709" s="164" t="s">
        <v>1026</v>
      </c>
      <c r="H709" s="165">
        <v>31685</v>
      </c>
      <c r="I709" s="164" t="s">
        <v>20</v>
      </c>
      <c r="J709" s="164" t="s">
        <v>68</v>
      </c>
      <c r="K709" s="165">
        <v>44228</v>
      </c>
      <c r="L709" s="166" t="s">
        <v>308</v>
      </c>
      <c r="M709" s="154"/>
      <c r="N709" s="154"/>
      <c r="O709" s="164" t="s">
        <v>29</v>
      </c>
      <c r="P709" s="164">
        <v>39</v>
      </c>
      <c r="Q709" s="164">
        <v>5</v>
      </c>
      <c r="R709" s="167" t="s">
        <v>1025</v>
      </c>
      <c r="S709" s="167" t="s">
        <v>848</v>
      </c>
      <c r="T709" s="162" t="s">
        <v>800</v>
      </c>
      <c r="U709" s="167" t="s">
        <v>840</v>
      </c>
      <c r="X709" s="169">
        <v>45324</v>
      </c>
      <c r="Y709" s="170">
        <v>2.4999999966690001</v>
      </c>
      <c r="Z709" s="170">
        <v>0.41666667000000002</v>
      </c>
      <c r="AA709" s="170">
        <v>0</v>
      </c>
      <c r="AB709" s="170">
        <v>0</v>
      </c>
      <c r="AC709" s="171">
        <v>2.9166666666690002</v>
      </c>
      <c r="AD709" s="172">
        <v>835883.79246999999</v>
      </c>
      <c r="AE709" s="173">
        <v>2.92</v>
      </c>
      <c r="AF709" s="174">
        <v>46357</v>
      </c>
    </row>
    <row r="710" spans="1:32" ht="20" x14ac:dyDescent="0.35">
      <c r="A710" s="162" t="s">
        <v>1028</v>
      </c>
      <c r="B710" s="163" t="s">
        <v>1029</v>
      </c>
      <c r="C710" s="154"/>
      <c r="D710" s="162" t="s">
        <v>309</v>
      </c>
      <c r="E710" s="164" t="s">
        <v>309</v>
      </c>
      <c r="F710" s="164" t="s">
        <v>1029</v>
      </c>
      <c r="G710" s="164" t="s">
        <v>1028</v>
      </c>
      <c r="H710" s="165">
        <v>31626</v>
      </c>
      <c r="I710" s="164" t="s">
        <v>20</v>
      </c>
      <c r="J710" s="164" t="s">
        <v>68</v>
      </c>
      <c r="K710" s="165">
        <v>44270</v>
      </c>
      <c r="L710" s="166" t="s">
        <v>311</v>
      </c>
      <c r="M710" s="154"/>
      <c r="N710" s="154"/>
      <c r="O710" s="164" t="s">
        <v>29</v>
      </c>
      <c r="P710" s="164">
        <v>39</v>
      </c>
      <c r="Q710" s="164">
        <v>5</v>
      </c>
      <c r="R710" s="167" t="s">
        <v>888</v>
      </c>
      <c r="S710" s="167" t="s">
        <v>45</v>
      </c>
      <c r="T710" s="162" t="s">
        <v>794</v>
      </c>
      <c r="U710" s="167" t="s">
        <v>795</v>
      </c>
      <c r="V710" s="162" t="s">
        <v>796</v>
      </c>
      <c r="W710" s="168">
        <v>5</v>
      </c>
      <c r="X710" s="169">
        <v>45018</v>
      </c>
      <c r="Y710" s="170">
        <v>14.333333330006001</v>
      </c>
      <c r="Z710" s="170">
        <v>1.9166666699999999</v>
      </c>
      <c r="AA710" s="170">
        <v>0</v>
      </c>
      <c r="AB710" s="170">
        <v>0</v>
      </c>
      <c r="AC710" s="171">
        <v>16.250000000006001</v>
      </c>
      <c r="AD710" s="172">
        <v>4587322.4937500004</v>
      </c>
      <c r="AE710" s="173" t="s">
        <v>797</v>
      </c>
      <c r="AF710" s="173"/>
    </row>
    <row r="711" spans="1:32" ht="20" x14ac:dyDescent="0.35">
      <c r="A711" s="162" t="s">
        <v>1028</v>
      </c>
      <c r="B711" s="163" t="s">
        <v>1029</v>
      </c>
      <c r="C711" s="154"/>
      <c r="D711" s="162" t="s">
        <v>309</v>
      </c>
      <c r="E711" s="164" t="s">
        <v>309</v>
      </c>
      <c r="F711" s="164" t="s">
        <v>1029</v>
      </c>
      <c r="G711" s="164" t="s">
        <v>1028</v>
      </c>
      <c r="H711" s="165">
        <v>31626</v>
      </c>
      <c r="I711" s="164" t="s">
        <v>20</v>
      </c>
      <c r="J711" s="164" t="s">
        <v>68</v>
      </c>
      <c r="K711" s="165">
        <v>44270</v>
      </c>
      <c r="L711" s="166" t="s">
        <v>311</v>
      </c>
      <c r="M711" s="154"/>
      <c r="N711" s="154"/>
      <c r="O711" s="164" t="s">
        <v>29</v>
      </c>
      <c r="P711" s="164">
        <v>39</v>
      </c>
      <c r="Q711" s="164">
        <v>5</v>
      </c>
      <c r="R711" s="167" t="s">
        <v>888</v>
      </c>
      <c r="S711" s="167" t="s">
        <v>45</v>
      </c>
      <c r="T711" s="162" t="s">
        <v>798</v>
      </c>
      <c r="U711" s="167" t="s">
        <v>839</v>
      </c>
      <c r="X711" s="169">
        <v>45018</v>
      </c>
      <c r="Y711" s="170">
        <v>180</v>
      </c>
      <c r="Z711" s="170">
        <v>0</v>
      </c>
      <c r="AA711" s="170">
        <v>0</v>
      </c>
      <c r="AB711" s="170">
        <v>0</v>
      </c>
      <c r="AC711" s="171">
        <v>180</v>
      </c>
      <c r="AD711" s="172">
        <v>50813418.392279997</v>
      </c>
      <c r="AE711" s="173">
        <v>180</v>
      </c>
      <c r="AF711" s="174">
        <v>46357</v>
      </c>
    </row>
    <row r="712" spans="1:32" ht="20" x14ac:dyDescent="0.35">
      <c r="A712" s="162" t="s">
        <v>1028</v>
      </c>
      <c r="B712" s="163" t="s">
        <v>1029</v>
      </c>
      <c r="C712" s="154"/>
      <c r="D712" s="162" t="s">
        <v>309</v>
      </c>
      <c r="E712" s="164" t="s">
        <v>309</v>
      </c>
      <c r="F712" s="164" t="s">
        <v>1029</v>
      </c>
      <c r="G712" s="164" t="s">
        <v>1028</v>
      </c>
      <c r="H712" s="165">
        <v>31626</v>
      </c>
      <c r="I712" s="164" t="s">
        <v>20</v>
      </c>
      <c r="J712" s="164" t="s">
        <v>68</v>
      </c>
      <c r="K712" s="165">
        <v>44270</v>
      </c>
      <c r="L712" s="166" t="s">
        <v>311</v>
      </c>
      <c r="M712" s="154"/>
      <c r="N712" s="154"/>
      <c r="O712" s="164" t="s">
        <v>29</v>
      </c>
      <c r="P712" s="164">
        <v>39</v>
      </c>
      <c r="Q712" s="164">
        <v>5</v>
      </c>
      <c r="R712" s="167" t="s">
        <v>888</v>
      </c>
      <c r="S712" s="167" t="s">
        <v>45</v>
      </c>
      <c r="T712" s="162" t="s">
        <v>800</v>
      </c>
      <c r="U712" s="167" t="s">
        <v>801</v>
      </c>
      <c r="X712" s="169">
        <v>45018</v>
      </c>
      <c r="Y712" s="170">
        <v>26</v>
      </c>
      <c r="Z712" s="170">
        <v>0</v>
      </c>
      <c r="AA712" s="170">
        <v>0</v>
      </c>
      <c r="AB712" s="170">
        <v>0</v>
      </c>
      <c r="AC712" s="171">
        <v>26</v>
      </c>
      <c r="AD712" s="172">
        <v>7339715.9900000002</v>
      </c>
      <c r="AE712" s="173">
        <v>26</v>
      </c>
      <c r="AF712" s="174">
        <v>46357</v>
      </c>
    </row>
    <row r="713" spans="1:32" ht="20" x14ac:dyDescent="0.35">
      <c r="A713" s="162" t="s">
        <v>1028</v>
      </c>
      <c r="B713" s="163" t="s">
        <v>1029</v>
      </c>
      <c r="C713" s="154"/>
      <c r="D713" s="162" t="s">
        <v>309</v>
      </c>
      <c r="E713" s="164" t="s">
        <v>309</v>
      </c>
      <c r="F713" s="164" t="s">
        <v>1029</v>
      </c>
      <c r="G713" s="164" t="s">
        <v>1028</v>
      </c>
      <c r="H713" s="165">
        <v>31626</v>
      </c>
      <c r="I713" s="164" t="s">
        <v>20</v>
      </c>
      <c r="J713" s="164" t="s">
        <v>68</v>
      </c>
      <c r="K713" s="165">
        <v>44270</v>
      </c>
      <c r="L713" s="166" t="s">
        <v>311</v>
      </c>
      <c r="M713" s="154"/>
      <c r="N713" s="154"/>
      <c r="O713" s="164" t="s">
        <v>29</v>
      </c>
      <c r="P713" s="164">
        <v>39</v>
      </c>
      <c r="Q713" s="164">
        <v>5</v>
      </c>
      <c r="R713" s="167" t="s">
        <v>888</v>
      </c>
      <c r="S713" s="167" t="s">
        <v>45</v>
      </c>
      <c r="T713" s="162" t="s">
        <v>800</v>
      </c>
      <c r="U713" s="167" t="s">
        <v>802</v>
      </c>
      <c r="X713" s="169">
        <v>45018</v>
      </c>
      <c r="Y713" s="170">
        <v>98</v>
      </c>
      <c r="Z713" s="170">
        <v>0</v>
      </c>
      <c r="AA713" s="170">
        <v>0</v>
      </c>
      <c r="AB713" s="170">
        <v>0</v>
      </c>
      <c r="AC713" s="171">
        <v>98</v>
      </c>
      <c r="AD713" s="172">
        <v>27665083.34691</v>
      </c>
      <c r="AE713" s="173">
        <v>98</v>
      </c>
      <c r="AF713" s="174">
        <v>46357</v>
      </c>
    </row>
    <row r="714" spans="1:32" ht="20" x14ac:dyDescent="0.35">
      <c r="A714" s="162" t="s">
        <v>1028</v>
      </c>
      <c r="B714" s="163" t="s">
        <v>1029</v>
      </c>
      <c r="C714" s="154"/>
      <c r="D714" s="162" t="s">
        <v>309</v>
      </c>
      <c r="E714" s="164" t="s">
        <v>309</v>
      </c>
      <c r="F714" s="164" t="s">
        <v>1029</v>
      </c>
      <c r="G714" s="164" t="s">
        <v>1028</v>
      </c>
      <c r="H714" s="165">
        <v>31626</v>
      </c>
      <c r="I714" s="164" t="s">
        <v>20</v>
      </c>
      <c r="J714" s="164" t="s">
        <v>68</v>
      </c>
      <c r="K714" s="165">
        <v>44270</v>
      </c>
      <c r="L714" s="166" t="s">
        <v>311</v>
      </c>
      <c r="M714" s="154"/>
      <c r="N714" s="154"/>
      <c r="O714" s="164" t="s">
        <v>29</v>
      </c>
      <c r="P714" s="164">
        <v>39</v>
      </c>
      <c r="Q714" s="164">
        <v>5</v>
      </c>
      <c r="R714" s="167" t="s">
        <v>888</v>
      </c>
      <c r="S714" s="167" t="s">
        <v>45</v>
      </c>
      <c r="T714" s="162" t="s">
        <v>800</v>
      </c>
      <c r="U714" s="167" t="s">
        <v>803</v>
      </c>
      <c r="X714" s="169">
        <v>45018</v>
      </c>
      <c r="Y714" s="170">
        <v>2</v>
      </c>
      <c r="Z714" s="170">
        <v>0</v>
      </c>
      <c r="AA714" s="170">
        <v>0</v>
      </c>
      <c r="AB714" s="170">
        <v>0</v>
      </c>
      <c r="AC714" s="171">
        <v>2</v>
      </c>
      <c r="AD714" s="172">
        <v>564593.53769000003</v>
      </c>
      <c r="AE714" s="173">
        <v>2</v>
      </c>
      <c r="AF714" s="174">
        <v>46357</v>
      </c>
    </row>
    <row r="715" spans="1:32" ht="20" x14ac:dyDescent="0.35">
      <c r="A715" s="162" t="s">
        <v>1028</v>
      </c>
      <c r="B715" s="163" t="s">
        <v>1029</v>
      </c>
      <c r="C715" s="154"/>
      <c r="D715" s="162" t="s">
        <v>309</v>
      </c>
      <c r="E715" s="164" t="s">
        <v>309</v>
      </c>
      <c r="F715" s="164" t="s">
        <v>1029</v>
      </c>
      <c r="G715" s="164" t="s">
        <v>1028</v>
      </c>
      <c r="H715" s="165">
        <v>31626</v>
      </c>
      <c r="I715" s="164" t="s">
        <v>20</v>
      </c>
      <c r="J715" s="164" t="s">
        <v>68</v>
      </c>
      <c r="K715" s="165">
        <v>44270</v>
      </c>
      <c r="L715" s="166" t="s">
        <v>311</v>
      </c>
      <c r="M715" s="154"/>
      <c r="N715" s="154"/>
      <c r="O715" s="164" t="s">
        <v>29</v>
      </c>
      <c r="P715" s="164">
        <v>39</v>
      </c>
      <c r="Q715" s="164">
        <v>5</v>
      </c>
      <c r="R715" s="167" t="s">
        <v>888</v>
      </c>
      <c r="S715" s="167" t="s">
        <v>45</v>
      </c>
      <c r="T715" s="162" t="s">
        <v>800</v>
      </c>
      <c r="U715" s="167" t="s">
        <v>804</v>
      </c>
      <c r="X715" s="169">
        <v>45018</v>
      </c>
      <c r="Y715" s="170">
        <v>2</v>
      </c>
      <c r="Z715" s="170">
        <v>0</v>
      </c>
      <c r="AA715" s="170">
        <v>0</v>
      </c>
      <c r="AB715" s="170">
        <v>0</v>
      </c>
      <c r="AC715" s="171">
        <v>2</v>
      </c>
      <c r="AD715" s="172">
        <v>564593.53769000003</v>
      </c>
      <c r="AE715" s="173">
        <v>2</v>
      </c>
      <c r="AF715" s="174">
        <v>46357</v>
      </c>
    </row>
    <row r="716" spans="1:32" ht="20" x14ac:dyDescent="0.35">
      <c r="A716" s="162" t="s">
        <v>1028</v>
      </c>
      <c r="B716" s="163" t="s">
        <v>1029</v>
      </c>
      <c r="C716" s="154"/>
      <c r="D716" s="162" t="s">
        <v>309</v>
      </c>
      <c r="E716" s="164" t="s">
        <v>309</v>
      </c>
      <c r="F716" s="164" t="s">
        <v>1029</v>
      </c>
      <c r="G716" s="164" t="s">
        <v>1028</v>
      </c>
      <c r="H716" s="165">
        <v>31626</v>
      </c>
      <c r="I716" s="164" t="s">
        <v>20</v>
      </c>
      <c r="J716" s="164" t="s">
        <v>68</v>
      </c>
      <c r="K716" s="165">
        <v>44270</v>
      </c>
      <c r="L716" s="166" t="s">
        <v>311</v>
      </c>
      <c r="M716" s="154"/>
      <c r="N716" s="154"/>
      <c r="O716" s="164" t="s">
        <v>29</v>
      </c>
      <c r="P716" s="164">
        <v>39</v>
      </c>
      <c r="Q716" s="164">
        <v>5</v>
      </c>
      <c r="R716" s="167" t="s">
        <v>888</v>
      </c>
      <c r="S716" s="167" t="s">
        <v>45</v>
      </c>
      <c r="T716" s="162" t="s">
        <v>800</v>
      </c>
      <c r="U716" s="167" t="s">
        <v>840</v>
      </c>
      <c r="X716" s="169">
        <v>45018</v>
      </c>
      <c r="Y716" s="170">
        <v>2.4999999966690001</v>
      </c>
      <c r="Z716" s="170">
        <v>0.41666667000000002</v>
      </c>
      <c r="AA716" s="170">
        <v>0</v>
      </c>
      <c r="AB716" s="170">
        <v>0</v>
      </c>
      <c r="AC716" s="171">
        <v>2.9166666666690002</v>
      </c>
      <c r="AD716" s="172">
        <v>823365.57579999999</v>
      </c>
      <c r="AE716" s="173">
        <v>2.92</v>
      </c>
      <c r="AF716" s="174">
        <v>46357</v>
      </c>
    </row>
    <row r="717" spans="1:32" ht="20" x14ac:dyDescent="0.35">
      <c r="A717" s="162" t="s">
        <v>1030</v>
      </c>
      <c r="B717" s="163" t="s">
        <v>1031</v>
      </c>
      <c r="C717" s="154"/>
      <c r="D717" s="162" t="s">
        <v>312</v>
      </c>
      <c r="E717" s="164" t="s">
        <v>312</v>
      </c>
      <c r="F717" s="164" t="s">
        <v>1031</v>
      </c>
      <c r="G717" s="164" t="s">
        <v>1030</v>
      </c>
      <c r="H717" s="165">
        <v>32406</v>
      </c>
      <c r="I717" s="164" t="s">
        <v>48</v>
      </c>
      <c r="J717" s="164" t="s">
        <v>68</v>
      </c>
      <c r="K717" s="165">
        <v>44298</v>
      </c>
      <c r="L717" s="166" t="s">
        <v>314</v>
      </c>
      <c r="M717" s="154"/>
      <c r="N717" s="154"/>
      <c r="O717" s="164" t="s">
        <v>29</v>
      </c>
      <c r="P717" s="164">
        <v>37</v>
      </c>
      <c r="Q717" s="164">
        <v>5</v>
      </c>
      <c r="R717" s="167" t="s">
        <v>1032</v>
      </c>
      <c r="S717" s="167" t="s">
        <v>844</v>
      </c>
      <c r="T717" s="162" t="s">
        <v>794</v>
      </c>
      <c r="U717" s="167" t="s">
        <v>795</v>
      </c>
      <c r="V717" s="162" t="s">
        <v>796</v>
      </c>
      <c r="W717" s="168">
        <v>5</v>
      </c>
      <c r="X717" s="169">
        <v>45018</v>
      </c>
      <c r="Y717" s="170">
        <v>25.749999996671999</v>
      </c>
      <c r="Z717" s="170">
        <v>1.9166666699999999</v>
      </c>
      <c r="AA717" s="170">
        <v>0</v>
      </c>
      <c r="AB717" s="170">
        <v>0</v>
      </c>
      <c r="AC717" s="171">
        <v>27.666666666672</v>
      </c>
      <c r="AD717" s="172">
        <v>7665283.7407600004</v>
      </c>
      <c r="AE717" s="173" t="s">
        <v>797</v>
      </c>
      <c r="AF717" s="173"/>
    </row>
    <row r="718" spans="1:32" ht="20" x14ac:dyDescent="0.35">
      <c r="A718" s="162" t="s">
        <v>1030</v>
      </c>
      <c r="B718" s="163" t="s">
        <v>1031</v>
      </c>
      <c r="C718" s="154"/>
      <c r="D718" s="162" t="s">
        <v>312</v>
      </c>
      <c r="E718" s="164" t="s">
        <v>312</v>
      </c>
      <c r="F718" s="164" t="s">
        <v>1031</v>
      </c>
      <c r="G718" s="164" t="s">
        <v>1030</v>
      </c>
      <c r="H718" s="165">
        <v>32406</v>
      </c>
      <c r="I718" s="164" t="s">
        <v>48</v>
      </c>
      <c r="J718" s="164" t="s">
        <v>68</v>
      </c>
      <c r="K718" s="165">
        <v>44298</v>
      </c>
      <c r="L718" s="166" t="s">
        <v>314</v>
      </c>
      <c r="M718" s="154"/>
      <c r="N718" s="154"/>
      <c r="O718" s="164" t="s">
        <v>29</v>
      </c>
      <c r="P718" s="164">
        <v>37</v>
      </c>
      <c r="Q718" s="164">
        <v>5</v>
      </c>
      <c r="R718" s="167" t="s">
        <v>1032</v>
      </c>
      <c r="S718" s="167" t="s">
        <v>844</v>
      </c>
      <c r="T718" s="162" t="s">
        <v>798</v>
      </c>
      <c r="U718" s="167" t="s">
        <v>839</v>
      </c>
      <c r="X718" s="169">
        <v>45018</v>
      </c>
      <c r="Y718" s="170">
        <v>180</v>
      </c>
      <c r="Z718" s="170">
        <v>0</v>
      </c>
      <c r="AA718" s="170">
        <v>0</v>
      </c>
      <c r="AB718" s="170">
        <v>0</v>
      </c>
      <c r="AC718" s="171">
        <v>180</v>
      </c>
      <c r="AD718" s="172">
        <v>49870520.72298</v>
      </c>
      <c r="AE718" s="173">
        <v>180</v>
      </c>
      <c r="AF718" s="174">
        <v>46357</v>
      </c>
    </row>
    <row r="719" spans="1:32" ht="20" x14ac:dyDescent="0.35">
      <c r="A719" s="162" t="s">
        <v>1030</v>
      </c>
      <c r="B719" s="163" t="s">
        <v>1031</v>
      </c>
      <c r="C719" s="154"/>
      <c r="D719" s="162" t="s">
        <v>312</v>
      </c>
      <c r="E719" s="164" t="s">
        <v>312</v>
      </c>
      <c r="F719" s="164" t="s">
        <v>1031</v>
      </c>
      <c r="G719" s="164" t="s">
        <v>1030</v>
      </c>
      <c r="H719" s="165">
        <v>32406</v>
      </c>
      <c r="I719" s="164" t="s">
        <v>48</v>
      </c>
      <c r="J719" s="164" t="s">
        <v>68</v>
      </c>
      <c r="K719" s="165">
        <v>44298</v>
      </c>
      <c r="L719" s="166" t="s">
        <v>314</v>
      </c>
      <c r="M719" s="154"/>
      <c r="N719" s="154"/>
      <c r="O719" s="164" t="s">
        <v>29</v>
      </c>
      <c r="P719" s="164">
        <v>37</v>
      </c>
      <c r="Q719" s="164">
        <v>5</v>
      </c>
      <c r="R719" s="167" t="s">
        <v>1032</v>
      </c>
      <c r="S719" s="167" t="s">
        <v>844</v>
      </c>
      <c r="T719" s="162" t="s">
        <v>800</v>
      </c>
      <c r="U719" s="167" t="s">
        <v>801</v>
      </c>
      <c r="X719" s="169">
        <v>45018</v>
      </c>
      <c r="Y719" s="170">
        <v>26</v>
      </c>
      <c r="Z719" s="170">
        <v>0</v>
      </c>
      <c r="AA719" s="170">
        <v>0</v>
      </c>
      <c r="AB719" s="170">
        <v>0</v>
      </c>
      <c r="AC719" s="171">
        <v>26</v>
      </c>
      <c r="AD719" s="172">
        <v>7203519.6599899996</v>
      </c>
      <c r="AE719" s="173">
        <v>26</v>
      </c>
      <c r="AF719" s="174">
        <v>46357</v>
      </c>
    </row>
    <row r="720" spans="1:32" ht="20" x14ac:dyDescent="0.35">
      <c r="A720" s="162" t="s">
        <v>1030</v>
      </c>
      <c r="B720" s="163" t="s">
        <v>1031</v>
      </c>
      <c r="C720" s="154"/>
      <c r="D720" s="162" t="s">
        <v>312</v>
      </c>
      <c r="E720" s="164" t="s">
        <v>312</v>
      </c>
      <c r="F720" s="164" t="s">
        <v>1031</v>
      </c>
      <c r="G720" s="164" t="s">
        <v>1030</v>
      </c>
      <c r="H720" s="165">
        <v>32406</v>
      </c>
      <c r="I720" s="164" t="s">
        <v>48</v>
      </c>
      <c r="J720" s="164" t="s">
        <v>68</v>
      </c>
      <c r="K720" s="165">
        <v>44298</v>
      </c>
      <c r="L720" s="166" t="s">
        <v>314</v>
      </c>
      <c r="M720" s="154"/>
      <c r="N720" s="154"/>
      <c r="O720" s="164" t="s">
        <v>29</v>
      </c>
      <c r="P720" s="164">
        <v>37</v>
      </c>
      <c r="Q720" s="164">
        <v>5</v>
      </c>
      <c r="R720" s="167" t="s">
        <v>1032</v>
      </c>
      <c r="S720" s="167" t="s">
        <v>844</v>
      </c>
      <c r="T720" s="162" t="s">
        <v>800</v>
      </c>
      <c r="U720" s="167" t="s">
        <v>802</v>
      </c>
      <c r="X720" s="169">
        <v>45018</v>
      </c>
      <c r="Y720" s="170">
        <v>98</v>
      </c>
      <c r="Z720" s="170">
        <v>0</v>
      </c>
      <c r="AA720" s="170">
        <v>0</v>
      </c>
      <c r="AB720" s="170">
        <v>0</v>
      </c>
      <c r="AC720" s="171">
        <v>98</v>
      </c>
      <c r="AD720" s="172">
        <v>27151727.94918</v>
      </c>
      <c r="AE720" s="173">
        <v>98</v>
      </c>
      <c r="AF720" s="174">
        <v>46357</v>
      </c>
    </row>
    <row r="721" spans="1:32" ht="20" x14ac:dyDescent="0.35">
      <c r="A721" s="162" t="s">
        <v>1030</v>
      </c>
      <c r="B721" s="163" t="s">
        <v>1031</v>
      </c>
      <c r="C721" s="154"/>
      <c r="D721" s="162" t="s">
        <v>312</v>
      </c>
      <c r="E721" s="164" t="s">
        <v>312</v>
      </c>
      <c r="F721" s="164" t="s">
        <v>1031</v>
      </c>
      <c r="G721" s="164" t="s">
        <v>1030</v>
      </c>
      <c r="H721" s="165">
        <v>32406</v>
      </c>
      <c r="I721" s="164" t="s">
        <v>48</v>
      </c>
      <c r="J721" s="164" t="s">
        <v>68</v>
      </c>
      <c r="K721" s="165">
        <v>44298</v>
      </c>
      <c r="L721" s="166" t="s">
        <v>314</v>
      </c>
      <c r="M721" s="154"/>
      <c r="N721" s="154"/>
      <c r="O721" s="164" t="s">
        <v>29</v>
      </c>
      <c r="P721" s="164">
        <v>37</v>
      </c>
      <c r="Q721" s="164">
        <v>5</v>
      </c>
      <c r="R721" s="167" t="s">
        <v>1032</v>
      </c>
      <c r="S721" s="167" t="s">
        <v>844</v>
      </c>
      <c r="T721" s="162" t="s">
        <v>800</v>
      </c>
      <c r="U721" s="167" t="s">
        <v>803</v>
      </c>
      <c r="X721" s="169">
        <v>45018</v>
      </c>
      <c r="Y721" s="170">
        <v>2</v>
      </c>
      <c r="Z721" s="170">
        <v>0</v>
      </c>
      <c r="AA721" s="170">
        <v>0</v>
      </c>
      <c r="AB721" s="170">
        <v>0</v>
      </c>
      <c r="AC721" s="171">
        <v>2</v>
      </c>
      <c r="AD721" s="172">
        <v>554116.89691999997</v>
      </c>
      <c r="AE721" s="173">
        <v>2</v>
      </c>
      <c r="AF721" s="174">
        <v>46357</v>
      </c>
    </row>
    <row r="722" spans="1:32" ht="20" x14ac:dyDescent="0.35">
      <c r="A722" s="162" t="s">
        <v>1030</v>
      </c>
      <c r="B722" s="163" t="s">
        <v>1031</v>
      </c>
      <c r="C722" s="154"/>
      <c r="D722" s="162" t="s">
        <v>312</v>
      </c>
      <c r="E722" s="164" t="s">
        <v>312</v>
      </c>
      <c r="F722" s="164" t="s">
        <v>1031</v>
      </c>
      <c r="G722" s="164" t="s">
        <v>1030</v>
      </c>
      <c r="H722" s="165">
        <v>32406</v>
      </c>
      <c r="I722" s="164" t="s">
        <v>48</v>
      </c>
      <c r="J722" s="164" t="s">
        <v>68</v>
      </c>
      <c r="K722" s="165">
        <v>44298</v>
      </c>
      <c r="L722" s="166" t="s">
        <v>314</v>
      </c>
      <c r="M722" s="154"/>
      <c r="N722" s="154"/>
      <c r="O722" s="164" t="s">
        <v>29</v>
      </c>
      <c r="P722" s="164">
        <v>37</v>
      </c>
      <c r="Q722" s="164">
        <v>5</v>
      </c>
      <c r="R722" s="167" t="s">
        <v>1032</v>
      </c>
      <c r="S722" s="167" t="s">
        <v>844</v>
      </c>
      <c r="T722" s="162" t="s">
        <v>800</v>
      </c>
      <c r="U722" s="167" t="s">
        <v>804</v>
      </c>
      <c r="X722" s="169">
        <v>45018</v>
      </c>
      <c r="Y722" s="170">
        <v>5</v>
      </c>
      <c r="Z722" s="170">
        <v>0</v>
      </c>
      <c r="AA722" s="170">
        <v>0</v>
      </c>
      <c r="AB722" s="170">
        <v>0</v>
      </c>
      <c r="AC722" s="171">
        <v>5</v>
      </c>
      <c r="AD722" s="172">
        <v>1385292.2423</v>
      </c>
      <c r="AE722" s="173">
        <v>5</v>
      </c>
      <c r="AF722" s="174">
        <v>46357</v>
      </c>
    </row>
    <row r="723" spans="1:32" ht="20" x14ac:dyDescent="0.35">
      <c r="A723" s="162" t="s">
        <v>1030</v>
      </c>
      <c r="B723" s="163" t="s">
        <v>1031</v>
      </c>
      <c r="C723" s="154"/>
      <c r="D723" s="162" t="s">
        <v>312</v>
      </c>
      <c r="E723" s="164" t="s">
        <v>312</v>
      </c>
      <c r="F723" s="164" t="s">
        <v>1031</v>
      </c>
      <c r="G723" s="164" t="s">
        <v>1030</v>
      </c>
      <c r="H723" s="165">
        <v>32406</v>
      </c>
      <c r="I723" s="164" t="s">
        <v>48</v>
      </c>
      <c r="J723" s="164" t="s">
        <v>68</v>
      </c>
      <c r="K723" s="165">
        <v>44298</v>
      </c>
      <c r="L723" s="166" t="s">
        <v>314</v>
      </c>
      <c r="M723" s="154"/>
      <c r="N723" s="154"/>
      <c r="O723" s="164" t="s">
        <v>29</v>
      </c>
      <c r="P723" s="164">
        <v>37</v>
      </c>
      <c r="Q723" s="164">
        <v>5</v>
      </c>
      <c r="R723" s="167" t="s">
        <v>1032</v>
      </c>
      <c r="S723" s="167" t="s">
        <v>844</v>
      </c>
      <c r="T723" s="162" t="s">
        <v>800</v>
      </c>
      <c r="U723" s="167" t="s">
        <v>840</v>
      </c>
      <c r="X723" s="169">
        <v>45018</v>
      </c>
      <c r="Y723" s="170">
        <v>2.4999999966690001</v>
      </c>
      <c r="Z723" s="170">
        <v>0.41666667000000002</v>
      </c>
      <c r="AA723" s="170">
        <v>0</v>
      </c>
      <c r="AB723" s="170">
        <v>0</v>
      </c>
      <c r="AC723" s="171">
        <v>2.9166666666690002</v>
      </c>
      <c r="AD723" s="172">
        <v>808087.14135000005</v>
      </c>
      <c r="AE723" s="173">
        <v>2.92</v>
      </c>
      <c r="AF723" s="174">
        <v>46357</v>
      </c>
    </row>
    <row r="724" spans="1:32" ht="20" x14ac:dyDescent="0.35">
      <c r="A724" s="162" t="s">
        <v>1033</v>
      </c>
      <c r="B724" s="163" t="s">
        <v>1034</v>
      </c>
      <c r="C724" s="154"/>
      <c r="D724" s="162" t="s">
        <v>315</v>
      </c>
      <c r="E724" s="164" t="s">
        <v>315</v>
      </c>
      <c r="F724" s="164" t="s">
        <v>1034</v>
      </c>
      <c r="G724" s="164" t="s">
        <v>1033</v>
      </c>
      <c r="H724" s="165">
        <v>29891</v>
      </c>
      <c r="I724" s="164" t="s">
        <v>20</v>
      </c>
      <c r="J724" s="164" t="s">
        <v>94</v>
      </c>
      <c r="K724" s="165">
        <v>44301</v>
      </c>
      <c r="L724" s="166" t="s">
        <v>317</v>
      </c>
      <c r="M724" s="154"/>
      <c r="N724" s="154"/>
      <c r="O724" s="164" t="s">
        <v>295</v>
      </c>
      <c r="P724" s="164">
        <v>44</v>
      </c>
      <c r="Q724" s="164">
        <v>5</v>
      </c>
      <c r="R724" s="167" t="s">
        <v>1035</v>
      </c>
      <c r="S724" s="167" t="s">
        <v>832</v>
      </c>
      <c r="T724" s="162" t="s">
        <v>794</v>
      </c>
      <c r="U724" s="167" t="s">
        <v>833</v>
      </c>
      <c r="V724" s="162" t="s">
        <v>820</v>
      </c>
      <c r="W724" s="168">
        <v>5</v>
      </c>
      <c r="X724" s="169">
        <v>45018</v>
      </c>
      <c r="Y724" s="170">
        <v>18.250000003324001</v>
      </c>
      <c r="Z724" s="170">
        <v>2.0833333299999999</v>
      </c>
      <c r="AA724" s="170">
        <v>-10</v>
      </c>
      <c r="AB724" s="170">
        <v>0</v>
      </c>
      <c r="AC724" s="171">
        <v>10.333333333323999</v>
      </c>
      <c r="AD724" s="172">
        <v>10907322.171530001</v>
      </c>
      <c r="AE724" s="173" t="s">
        <v>797</v>
      </c>
      <c r="AF724" s="173"/>
    </row>
    <row r="725" spans="1:32" ht="20" x14ac:dyDescent="0.35">
      <c r="A725" s="162" t="s">
        <v>1033</v>
      </c>
      <c r="B725" s="163" t="s">
        <v>1034</v>
      </c>
      <c r="C725" s="154"/>
      <c r="D725" s="162" t="s">
        <v>315</v>
      </c>
      <c r="E725" s="164" t="s">
        <v>315</v>
      </c>
      <c r="F725" s="164" t="s">
        <v>1034</v>
      </c>
      <c r="G725" s="164" t="s">
        <v>1033</v>
      </c>
      <c r="H725" s="165">
        <v>29891</v>
      </c>
      <c r="I725" s="164" t="s">
        <v>20</v>
      </c>
      <c r="J725" s="164" t="s">
        <v>94</v>
      </c>
      <c r="K725" s="165">
        <v>44301</v>
      </c>
      <c r="L725" s="166" t="s">
        <v>317</v>
      </c>
      <c r="M725" s="154"/>
      <c r="N725" s="154"/>
      <c r="O725" s="164" t="s">
        <v>295</v>
      </c>
      <c r="P725" s="164">
        <v>44</v>
      </c>
      <c r="Q725" s="164">
        <v>5</v>
      </c>
      <c r="R725" s="167" t="s">
        <v>1035</v>
      </c>
      <c r="S725" s="167" t="s">
        <v>832</v>
      </c>
      <c r="T725" s="162" t="s">
        <v>798</v>
      </c>
      <c r="U725" s="167" t="s">
        <v>799</v>
      </c>
      <c r="X725" s="169">
        <v>45018</v>
      </c>
      <c r="Y725" s="170">
        <v>180</v>
      </c>
      <c r="Z725" s="170">
        <v>0</v>
      </c>
      <c r="AA725" s="170">
        <v>0</v>
      </c>
      <c r="AB725" s="170">
        <v>0</v>
      </c>
      <c r="AC725" s="171">
        <v>180</v>
      </c>
      <c r="AD725" s="172">
        <v>189998515.24614</v>
      </c>
      <c r="AE725" s="173">
        <v>180</v>
      </c>
      <c r="AF725" s="174">
        <v>46357</v>
      </c>
    </row>
    <row r="726" spans="1:32" ht="20" x14ac:dyDescent="0.35">
      <c r="A726" s="162" t="s">
        <v>1033</v>
      </c>
      <c r="B726" s="163" t="s">
        <v>1034</v>
      </c>
      <c r="C726" s="154"/>
      <c r="D726" s="162" t="s">
        <v>315</v>
      </c>
      <c r="E726" s="164" t="s">
        <v>315</v>
      </c>
      <c r="F726" s="164" t="s">
        <v>1034</v>
      </c>
      <c r="G726" s="164" t="s">
        <v>1033</v>
      </c>
      <c r="H726" s="165">
        <v>29891</v>
      </c>
      <c r="I726" s="164" t="s">
        <v>20</v>
      </c>
      <c r="J726" s="164" t="s">
        <v>94</v>
      </c>
      <c r="K726" s="165">
        <v>44301</v>
      </c>
      <c r="L726" s="166" t="s">
        <v>317</v>
      </c>
      <c r="M726" s="154"/>
      <c r="N726" s="154"/>
      <c r="O726" s="164" t="s">
        <v>295</v>
      </c>
      <c r="P726" s="164">
        <v>44</v>
      </c>
      <c r="Q726" s="164">
        <v>5</v>
      </c>
      <c r="R726" s="167" t="s">
        <v>1035</v>
      </c>
      <c r="S726" s="167" t="s">
        <v>832</v>
      </c>
      <c r="T726" s="162" t="s">
        <v>800</v>
      </c>
      <c r="U726" s="167" t="s">
        <v>801</v>
      </c>
      <c r="X726" s="169">
        <v>45018</v>
      </c>
      <c r="Y726" s="170">
        <v>21</v>
      </c>
      <c r="Z726" s="170">
        <v>0</v>
      </c>
      <c r="AA726" s="170">
        <v>0</v>
      </c>
      <c r="AB726" s="170">
        <v>0</v>
      </c>
      <c r="AC726" s="171">
        <v>21</v>
      </c>
      <c r="AD726" s="172">
        <v>22166493.445379999</v>
      </c>
      <c r="AE726" s="173">
        <v>21</v>
      </c>
      <c r="AF726" s="174">
        <v>46357</v>
      </c>
    </row>
    <row r="727" spans="1:32" ht="20" x14ac:dyDescent="0.35">
      <c r="A727" s="162" t="s">
        <v>1033</v>
      </c>
      <c r="B727" s="163" t="s">
        <v>1034</v>
      </c>
      <c r="C727" s="154"/>
      <c r="D727" s="162" t="s">
        <v>315</v>
      </c>
      <c r="E727" s="164" t="s">
        <v>315</v>
      </c>
      <c r="F727" s="164" t="s">
        <v>1034</v>
      </c>
      <c r="G727" s="164" t="s">
        <v>1033</v>
      </c>
      <c r="H727" s="165">
        <v>29891</v>
      </c>
      <c r="I727" s="164" t="s">
        <v>20</v>
      </c>
      <c r="J727" s="164" t="s">
        <v>94</v>
      </c>
      <c r="K727" s="165">
        <v>44301</v>
      </c>
      <c r="L727" s="166" t="s">
        <v>317</v>
      </c>
      <c r="M727" s="154"/>
      <c r="N727" s="154"/>
      <c r="O727" s="164" t="s">
        <v>295</v>
      </c>
      <c r="P727" s="164">
        <v>44</v>
      </c>
      <c r="Q727" s="164">
        <v>5</v>
      </c>
      <c r="R727" s="167" t="s">
        <v>1035</v>
      </c>
      <c r="S727" s="167" t="s">
        <v>832</v>
      </c>
      <c r="T727" s="162" t="s">
        <v>800</v>
      </c>
      <c r="U727" s="167" t="s">
        <v>802</v>
      </c>
      <c r="X727" s="169">
        <v>45018</v>
      </c>
      <c r="Y727" s="170">
        <v>98</v>
      </c>
      <c r="Z727" s="170">
        <v>0</v>
      </c>
      <c r="AA727" s="170">
        <v>0</v>
      </c>
      <c r="AB727" s="170">
        <v>0</v>
      </c>
      <c r="AC727" s="171">
        <v>98</v>
      </c>
      <c r="AD727" s="172">
        <v>103443636.07844999</v>
      </c>
      <c r="AE727" s="173">
        <v>98</v>
      </c>
      <c r="AF727" s="174">
        <v>46357</v>
      </c>
    </row>
    <row r="728" spans="1:32" ht="20" x14ac:dyDescent="0.35">
      <c r="A728" s="162" t="s">
        <v>1033</v>
      </c>
      <c r="B728" s="163" t="s">
        <v>1034</v>
      </c>
      <c r="C728" s="154"/>
      <c r="D728" s="162" t="s">
        <v>315</v>
      </c>
      <c r="E728" s="164" t="s">
        <v>315</v>
      </c>
      <c r="F728" s="164" t="s">
        <v>1034</v>
      </c>
      <c r="G728" s="164" t="s">
        <v>1033</v>
      </c>
      <c r="H728" s="165">
        <v>29891</v>
      </c>
      <c r="I728" s="164" t="s">
        <v>20</v>
      </c>
      <c r="J728" s="164" t="s">
        <v>94</v>
      </c>
      <c r="K728" s="165">
        <v>44301</v>
      </c>
      <c r="L728" s="166" t="s">
        <v>317</v>
      </c>
      <c r="M728" s="154"/>
      <c r="N728" s="154"/>
      <c r="O728" s="164" t="s">
        <v>295</v>
      </c>
      <c r="P728" s="164">
        <v>44</v>
      </c>
      <c r="Q728" s="164">
        <v>5</v>
      </c>
      <c r="R728" s="167" t="s">
        <v>1035</v>
      </c>
      <c r="S728" s="167" t="s">
        <v>832</v>
      </c>
      <c r="T728" s="162" t="s">
        <v>800</v>
      </c>
      <c r="U728" s="167" t="s">
        <v>803</v>
      </c>
      <c r="X728" s="169">
        <v>45018</v>
      </c>
      <c r="Y728" s="170">
        <v>2</v>
      </c>
      <c r="Z728" s="170">
        <v>0</v>
      </c>
      <c r="AA728" s="170">
        <v>0</v>
      </c>
      <c r="AB728" s="170">
        <v>0</v>
      </c>
      <c r="AC728" s="171">
        <v>2</v>
      </c>
      <c r="AD728" s="172">
        <v>2111094.6138499998</v>
      </c>
      <c r="AE728" s="173">
        <v>2</v>
      </c>
      <c r="AF728" s="174">
        <v>46357</v>
      </c>
    </row>
    <row r="729" spans="1:32" ht="20" x14ac:dyDescent="0.35">
      <c r="A729" s="162" t="s">
        <v>1033</v>
      </c>
      <c r="B729" s="163" t="s">
        <v>1034</v>
      </c>
      <c r="C729" s="154"/>
      <c r="D729" s="162" t="s">
        <v>315</v>
      </c>
      <c r="E729" s="164" t="s">
        <v>315</v>
      </c>
      <c r="F729" s="164" t="s">
        <v>1034</v>
      </c>
      <c r="G729" s="164" t="s">
        <v>1033</v>
      </c>
      <c r="H729" s="165">
        <v>29891</v>
      </c>
      <c r="I729" s="164" t="s">
        <v>20</v>
      </c>
      <c r="J729" s="164" t="s">
        <v>94</v>
      </c>
      <c r="K729" s="165">
        <v>44301</v>
      </c>
      <c r="L729" s="166" t="s">
        <v>317</v>
      </c>
      <c r="M729" s="154"/>
      <c r="N729" s="154"/>
      <c r="O729" s="164" t="s">
        <v>295</v>
      </c>
      <c r="P729" s="164">
        <v>44</v>
      </c>
      <c r="Q729" s="164">
        <v>5</v>
      </c>
      <c r="R729" s="167" t="s">
        <v>1035</v>
      </c>
      <c r="S729" s="167" t="s">
        <v>832</v>
      </c>
      <c r="T729" s="162" t="s">
        <v>800</v>
      </c>
      <c r="U729" s="167" t="s">
        <v>804</v>
      </c>
      <c r="X729" s="169">
        <v>45018</v>
      </c>
      <c r="Y729" s="170">
        <v>5</v>
      </c>
      <c r="Z729" s="170">
        <v>0</v>
      </c>
      <c r="AA729" s="170">
        <v>0</v>
      </c>
      <c r="AB729" s="170">
        <v>0</v>
      </c>
      <c r="AC729" s="171">
        <v>5</v>
      </c>
      <c r="AD729" s="172">
        <v>5277736.5346100004</v>
      </c>
      <c r="AE729" s="173">
        <v>5</v>
      </c>
      <c r="AF729" s="174">
        <v>46357</v>
      </c>
    </row>
    <row r="730" spans="1:32" ht="20" x14ac:dyDescent="0.35">
      <c r="A730" s="162" t="s">
        <v>1033</v>
      </c>
      <c r="B730" s="163" t="s">
        <v>1034</v>
      </c>
      <c r="C730" s="154"/>
      <c r="D730" s="162" t="s">
        <v>315</v>
      </c>
      <c r="E730" s="164" t="s">
        <v>315</v>
      </c>
      <c r="F730" s="164" t="s">
        <v>1034</v>
      </c>
      <c r="G730" s="164" t="s">
        <v>1033</v>
      </c>
      <c r="H730" s="165">
        <v>29891</v>
      </c>
      <c r="I730" s="164" t="s">
        <v>20</v>
      </c>
      <c r="J730" s="164" t="s">
        <v>94</v>
      </c>
      <c r="K730" s="165">
        <v>44301</v>
      </c>
      <c r="L730" s="166" t="s">
        <v>317</v>
      </c>
      <c r="M730" s="154"/>
      <c r="N730" s="154"/>
      <c r="O730" s="164" t="s">
        <v>295</v>
      </c>
      <c r="P730" s="164">
        <v>44</v>
      </c>
      <c r="Q730" s="164">
        <v>5</v>
      </c>
      <c r="R730" s="167" t="s">
        <v>1035</v>
      </c>
      <c r="S730" s="167" t="s">
        <v>832</v>
      </c>
      <c r="T730" s="162" t="s">
        <v>800</v>
      </c>
      <c r="U730" s="167" t="s">
        <v>805</v>
      </c>
      <c r="X730" s="169">
        <v>45018</v>
      </c>
      <c r="Y730" s="170">
        <v>2.4999999966690001</v>
      </c>
      <c r="Z730" s="170">
        <v>0.41666667000000002</v>
      </c>
      <c r="AA730" s="170">
        <v>0</v>
      </c>
      <c r="AB730" s="170">
        <v>0</v>
      </c>
      <c r="AC730" s="171">
        <v>2.9166666666690002</v>
      </c>
      <c r="AD730" s="172">
        <v>3078679.6451900001</v>
      </c>
      <c r="AE730" s="173">
        <v>2.92</v>
      </c>
      <c r="AF730" s="174">
        <v>46357</v>
      </c>
    </row>
    <row r="731" spans="1:32" ht="20" x14ac:dyDescent="0.35">
      <c r="A731" s="162" t="s">
        <v>1036</v>
      </c>
      <c r="B731" s="163" t="s">
        <v>927</v>
      </c>
      <c r="C731" s="154"/>
      <c r="D731" s="162" t="s">
        <v>318</v>
      </c>
      <c r="E731" s="164" t="s">
        <v>318</v>
      </c>
      <c r="F731" s="164" t="s">
        <v>927</v>
      </c>
      <c r="G731" s="164" t="s">
        <v>1036</v>
      </c>
      <c r="H731" s="165">
        <v>33407</v>
      </c>
      <c r="I731" s="164" t="s">
        <v>20</v>
      </c>
      <c r="J731" s="164" t="s">
        <v>68</v>
      </c>
      <c r="K731" s="165">
        <v>44348</v>
      </c>
      <c r="L731" s="166" t="s">
        <v>228</v>
      </c>
      <c r="M731" s="154"/>
      <c r="N731" s="154"/>
      <c r="O731" s="164" t="s">
        <v>145</v>
      </c>
      <c r="P731" s="164">
        <v>35</v>
      </c>
      <c r="Q731" s="164">
        <v>5</v>
      </c>
      <c r="R731" s="167" t="s">
        <v>968</v>
      </c>
      <c r="S731" s="167" t="s">
        <v>837</v>
      </c>
      <c r="T731" s="162" t="s">
        <v>794</v>
      </c>
      <c r="U731" s="167" t="s">
        <v>795</v>
      </c>
      <c r="V731" s="162" t="s">
        <v>796</v>
      </c>
      <c r="W731" s="168">
        <v>5</v>
      </c>
      <c r="X731" s="169">
        <v>45689</v>
      </c>
      <c r="Y731" s="170">
        <v>15.916666663334</v>
      </c>
      <c r="Z731" s="170">
        <v>1.9166666699999999</v>
      </c>
      <c r="AA731" s="170">
        <v>0</v>
      </c>
      <c r="AB731" s="170">
        <v>0</v>
      </c>
      <c r="AC731" s="171">
        <v>17.833333333334</v>
      </c>
      <c r="AD731" s="172">
        <v>2072569.91692</v>
      </c>
      <c r="AE731" s="173" t="s">
        <v>797</v>
      </c>
      <c r="AF731" s="173"/>
    </row>
    <row r="732" spans="1:32" ht="20" x14ac:dyDescent="0.35">
      <c r="A732" s="162" t="s">
        <v>1036</v>
      </c>
      <c r="B732" s="163" t="s">
        <v>927</v>
      </c>
      <c r="C732" s="154"/>
      <c r="D732" s="162" t="s">
        <v>318</v>
      </c>
      <c r="E732" s="164" t="s">
        <v>318</v>
      </c>
      <c r="F732" s="164" t="s">
        <v>927</v>
      </c>
      <c r="G732" s="164" t="s">
        <v>1036</v>
      </c>
      <c r="H732" s="165">
        <v>33407</v>
      </c>
      <c r="I732" s="164" t="s">
        <v>20</v>
      </c>
      <c r="J732" s="164" t="s">
        <v>68</v>
      </c>
      <c r="K732" s="165">
        <v>44348</v>
      </c>
      <c r="L732" s="166" t="s">
        <v>228</v>
      </c>
      <c r="M732" s="154"/>
      <c r="N732" s="154"/>
      <c r="O732" s="164" t="s">
        <v>145</v>
      </c>
      <c r="P732" s="164">
        <v>35</v>
      </c>
      <c r="Q732" s="164">
        <v>5</v>
      </c>
      <c r="R732" s="167" t="s">
        <v>968</v>
      </c>
      <c r="S732" s="167" t="s">
        <v>837</v>
      </c>
      <c r="T732" s="162" t="s">
        <v>798</v>
      </c>
      <c r="U732" s="167" t="s">
        <v>839</v>
      </c>
      <c r="X732" s="169">
        <v>45689</v>
      </c>
      <c r="Y732" s="170">
        <v>180</v>
      </c>
      <c r="Z732" s="170">
        <v>0</v>
      </c>
      <c r="AA732" s="170">
        <v>0</v>
      </c>
      <c r="AB732" s="170">
        <v>0</v>
      </c>
      <c r="AC732" s="171">
        <v>180</v>
      </c>
      <c r="AD732" s="172">
        <v>20919397.29228</v>
      </c>
      <c r="AE732" s="173">
        <v>180</v>
      </c>
      <c r="AF732" s="174">
        <v>46357</v>
      </c>
    </row>
    <row r="733" spans="1:32" ht="20" x14ac:dyDescent="0.35">
      <c r="A733" s="162" t="s">
        <v>1036</v>
      </c>
      <c r="B733" s="163" t="s">
        <v>927</v>
      </c>
      <c r="C733" s="154"/>
      <c r="D733" s="162" t="s">
        <v>318</v>
      </c>
      <c r="E733" s="164" t="s">
        <v>318</v>
      </c>
      <c r="F733" s="164" t="s">
        <v>927</v>
      </c>
      <c r="G733" s="164" t="s">
        <v>1036</v>
      </c>
      <c r="H733" s="165">
        <v>33407</v>
      </c>
      <c r="I733" s="164" t="s">
        <v>20</v>
      </c>
      <c r="J733" s="164" t="s">
        <v>68</v>
      </c>
      <c r="K733" s="165">
        <v>44348</v>
      </c>
      <c r="L733" s="166" t="s">
        <v>228</v>
      </c>
      <c r="M733" s="154"/>
      <c r="N733" s="154"/>
      <c r="O733" s="164" t="s">
        <v>145</v>
      </c>
      <c r="P733" s="164">
        <v>35</v>
      </c>
      <c r="Q733" s="164">
        <v>5</v>
      </c>
      <c r="R733" s="167" t="s">
        <v>968</v>
      </c>
      <c r="S733" s="167" t="s">
        <v>837</v>
      </c>
      <c r="T733" s="162" t="s">
        <v>800</v>
      </c>
      <c r="U733" s="167" t="s">
        <v>801</v>
      </c>
      <c r="X733" s="169">
        <v>45689</v>
      </c>
      <c r="Y733" s="170">
        <v>12</v>
      </c>
      <c r="Z733" s="170">
        <v>0</v>
      </c>
      <c r="AA733" s="170">
        <v>0</v>
      </c>
      <c r="AB733" s="170">
        <v>0</v>
      </c>
      <c r="AC733" s="171">
        <v>12</v>
      </c>
      <c r="AD733" s="172">
        <v>1394626.48615</v>
      </c>
      <c r="AE733" s="173">
        <v>12</v>
      </c>
      <c r="AF733" s="174">
        <v>46357</v>
      </c>
    </row>
    <row r="734" spans="1:32" ht="20" x14ac:dyDescent="0.35">
      <c r="A734" s="162" t="s">
        <v>1036</v>
      </c>
      <c r="B734" s="163" t="s">
        <v>927</v>
      </c>
      <c r="C734" s="154"/>
      <c r="D734" s="162" t="s">
        <v>318</v>
      </c>
      <c r="E734" s="164" t="s">
        <v>318</v>
      </c>
      <c r="F734" s="164" t="s">
        <v>927</v>
      </c>
      <c r="G734" s="164" t="s">
        <v>1036</v>
      </c>
      <c r="H734" s="165">
        <v>33407</v>
      </c>
      <c r="I734" s="164" t="s">
        <v>20</v>
      </c>
      <c r="J734" s="164" t="s">
        <v>68</v>
      </c>
      <c r="K734" s="165">
        <v>44348</v>
      </c>
      <c r="L734" s="166" t="s">
        <v>228</v>
      </c>
      <c r="M734" s="154"/>
      <c r="N734" s="154"/>
      <c r="O734" s="164" t="s">
        <v>145</v>
      </c>
      <c r="P734" s="164">
        <v>35</v>
      </c>
      <c r="Q734" s="164">
        <v>5</v>
      </c>
      <c r="R734" s="167" t="s">
        <v>968</v>
      </c>
      <c r="S734" s="167" t="s">
        <v>837</v>
      </c>
      <c r="T734" s="162" t="s">
        <v>800</v>
      </c>
      <c r="U734" s="167" t="s">
        <v>802</v>
      </c>
      <c r="X734" s="169">
        <v>45689</v>
      </c>
      <c r="Y734" s="170">
        <v>98</v>
      </c>
      <c r="Z734" s="170">
        <v>0</v>
      </c>
      <c r="AA734" s="170">
        <v>0</v>
      </c>
      <c r="AB734" s="170">
        <v>0</v>
      </c>
      <c r="AC734" s="171">
        <v>98</v>
      </c>
      <c r="AD734" s="172">
        <v>11389449.636910001</v>
      </c>
      <c r="AE734" s="173">
        <v>98</v>
      </c>
      <c r="AF734" s="174">
        <v>46357</v>
      </c>
    </row>
    <row r="735" spans="1:32" ht="20" x14ac:dyDescent="0.35">
      <c r="A735" s="162" t="s">
        <v>1036</v>
      </c>
      <c r="B735" s="163" t="s">
        <v>927</v>
      </c>
      <c r="C735" s="154"/>
      <c r="D735" s="162" t="s">
        <v>318</v>
      </c>
      <c r="E735" s="164" t="s">
        <v>318</v>
      </c>
      <c r="F735" s="164" t="s">
        <v>927</v>
      </c>
      <c r="G735" s="164" t="s">
        <v>1036</v>
      </c>
      <c r="H735" s="165">
        <v>33407</v>
      </c>
      <c r="I735" s="164" t="s">
        <v>20</v>
      </c>
      <c r="J735" s="164" t="s">
        <v>68</v>
      </c>
      <c r="K735" s="165">
        <v>44348</v>
      </c>
      <c r="L735" s="166" t="s">
        <v>228</v>
      </c>
      <c r="M735" s="154"/>
      <c r="N735" s="154"/>
      <c r="O735" s="164" t="s">
        <v>145</v>
      </c>
      <c r="P735" s="164">
        <v>35</v>
      </c>
      <c r="Q735" s="164">
        <v>5</v>
      </c>
      <c r="R735" s="167" t="s">
        <v>968</v>
      </c>
      <c r="S735" s="167" t="s">
        <v>837</v>
      </c>
      <c r="T735" s="162" t="s">
        <v>800</v>
      </c>
      <c r="U735" s="167" t="s">
        <v>803</v>
      </c>
      <c r="X735" s="169">
        <v>45689</v>
      </c>
      <c r="Y735" s="170">
        <v>2</v>
      </c>
      <c r="Z735" s="170">
        <v>0</v>
      </c>
      <c r="AA735" s="170">
        <v>0</v>
      </c>
      <c r="AB735" s="170">
        <v>0</v>
      </c>
      <c r="AC735" s="171">
        <v>2</v>
      </c>
      <c r="AD735" s="172">
        <v>232437.74768999999</v>
      </c>
      <c r="AE735" s="173">
        <v>2</v>
      </c>
      <c r="AF735" s="174">
        <v>46357</v>
      </c>
    </row>
    <row r="736" spans="1:32" ht="20" x14ac:dyDescent="0.35">
      <c r="A736" s="162" t="s">
        <v>1036</v>
      </c>
      <c r="B736" s="163" t="s">
        <v>927</v>
      </c>
      <c r="C736" s="154"/>
      <c r="D736" s="162" t="s">
        <v>318</v>
      </c>
      <c r="E736" s="164" t="s">
        <v>318</v>
      </c>
      <c r="F736" s="164" t="s">
        <v>927</v>
      </c>
      <c r="G736" s="164" t="s">
        <v>1036</v>
      </c>
      <c r="H736" s="165">
        <v>33407</v>
      </c>
      <c r="I736" s="164" t="s">
        <v>20</v>
      </c>
      <c r="J736" s="164" t="s">
        <v>68</v>
      </c>
      <c r="K736" s="165">
        <v>44348</v>
      </c>
      <c r="L736" s="166" t="s">
        <v>228</v>
      </c>
      <c r="M736" s="154"/>
      <c r="N736" s="154"/>
      <c r="O736" s="164" t="s">
        <v>145</v>
      </c>
      <c r="P736" s="164">
        <v>35</v>
      </c>
      <c r="Q736" s="164">
        <v>5</v>
      </c>
      <c r="R736" s="167" t="s">
        <v>968</v>
      </c>
      <c r="S736" s="167" t="s">
        <v>837</v>
      </c>
      <c r="T736" s="162" t="s">
        <v>800</v>
      </c>
      <c r="U736" s="167" t="s">
        <v>804</v>
      </c>
      <c r="X736" s="169">
        <v>45689</v>
      </c>
      <c r="Y736" s="170">
        <v>5</v>
      </c>
      <c r="Z736" s="170">
        <v>0</v>
      </c>
      <c r="AA736" s="170">
        <v>0</v>
      </c>
      <c r="AB736" s="170">
        <v>0</v>
      </c>
      <c r="AC736" s="171">
        <v>5</v>
      </c>
      <c r="AD736" s="172">
        <v>581094.36922999995</v>
      </c>
      <c r="AE736" s="173">
        <v>5</v>
      </c>
      <c r="AF736" s="174">
        <v>46357</v>
      </c>
    </row>
    <row r="737" spans="1:32" ht="20" x14ac:dyDescent="0.35">
      <c r="A737" s="162" t="s">
        <v>1036</v>
      </c>
      <c r="B737" s="163" t="s">
        <v>927</v>
      </c>
      <c r="C737" s="154"/>
      <c r="D737" s="162" t="s">
        <v>318</v>
      </c>
      <c r="E737" s="164" t="s">
        <v>318</v>
      </c>
      <c r="F737" s="164" t="s">
        <v>927</v>
      </c>
      <c r="G737" s="164" t="s">
        <v>1036</v>
      </c>
      <c r="H737" s="165">
        <v>33407</v>
      </c>
      <c r="I737" s="164" t="s">
        <v>20</v>
      </c>
      <c r="J737" s="164" t="s">
        <v>68</v>
      </c>
      <c r="K737" s="165">
        <v>44348</v>
      </c>
      <c r="L737" s="166" t="s">
        <v>228</v>
      </c>
      <c r="M737" s="154"/>
      <c r="N737" s="154"/>
      <c r="O737" s="164" t="s">
        <v>145</v>
      </c>
      <c r="P737" s="164">
        <v>35</v>
      </c>
      <c r="Q737" s="164">
        <v>5</v>
      </c>
      <c r="R737" s="167" t="s">
        <v>968</v>
      </c>
      <c r="S737" s="167" t="s">
        <v>837</v>
      </c>
      <c r="T737" s="162" t="s">
        <v>800</v>
      </c>
      <c r="U737" s="167" t="s">
        <v>840</v>
      </c>
      <c r="X737" s="169">
        <v>45689</v>
      </c>
      <c r="Y737" s="170">
        <v>2.4999999966690001</v>
      </c>
      <c r="Z737" s="170">
        <v>0.41666667000000002</v>
      </c>
      <c r="AA737" s="170">
        <v>0</v>
      </c>
      <c r="AB737" s="170">
        <v>0</v>
      </c>
      <c r="AC737" s="171">
        <v>2.9166666666690002</v>
      </c>
      <c r="AD737" s="172">
        <v>338971.71538000001</v>
      </c>
      <c r="AE737" s="173">
        <v>2.92</v>
      </c>
      <c r="AF737" s="174">
        <v>46357</v>
      </c>
    </row>
    <row r="738" spans="1:32" ht="20" x14ac:dyDescent="0.35">
      <c r="A738" s="162" t="s">
        <v>1037</v>
      </c>
      <c r="B738" s="163" t="s">
        <v>956</v>
      </c>
      <c r="C738" s="154"/>
      <c r="D738" s="162" t="s">
        <v>320</v>
      </c>
      <c r="E738" s="164" t="s">
        <v>320</v>
      </c>
      <c r="F738" s="164" t="s">
        <v>956</v>
      </c>
      <c r="G738" s="164" t="s">
        <v>1037</v>
      </c>
      <c r="H738" s="165">
        <v>29730</v>
      </c>
      <c r="I738" s="164" t="s">
        <v>20</v>
      </c>
      <c r="J738" s="164" t="s">
        <v>68</v>
      </c>
      <c r="K738" s="165">
        <v>44368</v>
      </c>
      <c r="L738" s="166" t="s">
        <v>322</v>
      </c>
      <c r="M738" s="154"/>
      <c r="N738" s="154"/>
      <c r="O738" s="164" t="s">
        <v>23</v>
      </c>
      <c r="P738" s="164">
        <v>45</v>
      </c>
      <c r="Q738" s="164">
        <v>5</v>
      </c>
      <c r="R738" s="167" t="s">
        <v>966</v>
      </c>
      <c r="S738" s="167" t="s">
        <v>848</v>
      </c>
      <c r="T738" s="162" t="s">
        <v>794</v>
      </c>
      <c r="U738" s="167" t="s">
        <v>833</v>
      </c>
      <c r="V738" s="162" t="s">
        <v>820</v>
      </c>
      <c r="W738" s="168">
        <v>5</v>
      </c>
      <c r="X738" s="169">
        <v>45324</v>
      </c>
      <c r="Y738" s="170">
        <v>33.250000003331998</v>
      </c>
      <c r="Z738" s="170">
        <v>2.0833333299999999</v>
      </c>
      <c r="AA738" s="170">
        <v>0</v>
      </c>
      <c r="AB738" s="170">
        <v>0</v>
      </c>
      <c r="AC738" s="171">
        <v>35.333333333332</v>
      </c>
      <c r="AD738" s="172">
        <v>13719712.32333</v>
      </c>
      <c r="AE738" s="173" t="s">
        <v>797</v>
      </c>
      <c r="AF738" s="173"/>
    </row>
    <row r="739" spans="1:32" ht="20" x14ac:dyDescent="0.35">
      <c r="A739" s="162" t="s">
        <v>1037</v>
      </c>
      <c r="B739" s="163" t="s">
        <v>956</v>
      </c>
      <c r="C739" s="154"/>
      <c r="D739" s="162" t="s">
        <v>320</v>
      </c>
      <c r="E739" s="164" t="s">
        <v>320</v>
      </c>
      <c r="F739" s="164" t="s">
        <v>956</v>
      </c>
      <c r="G739" s="164" t="s">
        <v>1037</v>
      </c>
      <c r="H739" s="165">
        <v>29730</v>
      </c>
      <c r="I739" s="164" t="s">
        <v>20</v>
      </c>
      <c r="J739" s="164" t="s">
        <v>68</v>
      </c>
      <c r="K739" s="165">
        <v>44368</v>
      </c>
      <c r="L739" s="166" t="s">
        <v>322</v>
      </c>
      <c r="M739" s="154"/>
      <c r="N739" s="154"/>
      <c r="O739" s="164" t="s">
        <v>23</v>
      </c>
      <c r="P739" s="164">
        <v>45</v>
      </c>
      <c r="Q739" s="164">
        <v>5</v>
      </c>
      <c r="R739" s="167" t="s">
        <v>966</v>
      </c>
      <c r="S739" s="167" t="s">
        <v>848</v>
      </c>
      <c r="T739" s="162" t="s">
        <v>798</v>
      </c>
      <c r="U739" s="167" t="s">
        <v>799</v>
      </c>
      <c r="X739" s="169">
        <v>45324</v>
      </c>
      <c r="Y739" s="170">
        <v>180</v>
      </c>
      <c r="Z739" s="170">
        <v>0</v>
      </c>
      <c r="AA739" s="170">
        <v>0</v>
      </c>
      <c r="AB739" s="170">
        <v>0</v>
      </c>
      <c r="AC739" s="171">
        <v>180</v>
      </c>
      <c r="AD739" s="172">
        <v>69892874.099999994</v>
      </c>
      <c r="AE739" s="173">
        <v>180</v>
      </c>
      <c r="AF739" s="174">
        <v>46357</v>
      </c>
    </row>
    <row r="740" spans="1:32" ht="20" x14ac:dyDescent="0.35">
      <c r="A740" s="162" t="s">
        <v>1037</v>
      </c>
      <c r="B740" s="163" t="s">
        <v>956</v>
      </c>
      <c r="C740" s="154"/>
      <c r="D740" s="162" t="s">
        <v>320</v>
      </c>
      <c r="E740" s="164" t="s">
        <v>320</v>
      </c>
      <c r="F740" s="164" t="s">
        <v>956</v>
      </c>
      <c r="G740" s="164" t="s">
        <v>1037</v>
      </c>
      <c r="H740" s="165">
        <v>29730</v>
      </c>
      <c r="I740" s="164" t="s">
        <v>20</v>
      </c>
      <c r="J740" s="164" t="s">
        <v>68</v>
      </c>
      <c r="K740" s="165">
        <v>44368</v>
      </c>
      <c r="L740" s="166" t="s">
        <v>322</v>
      </c>
      <c r="M740" s="154"/>
      <c r="N740" s="154"/>
      <c r="O740" s="164" t="s">
        <v>23</v>
      </c>
      <c r="P740" s="164">
        <v>45</v>
      </c>
      <c r="Q740" s="164">
        <v>5</v>
      </c>
      <c r="R740" s="167" t="s">
        <v>966</v>
      </c>
      <c r="S740" s="167" t="s">
        <v>848</v>
      </c>
      <c r="T740" s="162" t="s">
        <v>800</v>
      </c>
      <c r="U740" s="167" t="s">
        <v>801</v>
      </c>
      <c r="X740" s="169">
        <v>45324</v>
      </c>
      <c r="Y740" s="170">
        <v>26</v>
      </c>
      <c r="Z740" s="170">
        <v>0</v>
      </c>
      <c r="AA740" s="170">
        <v>0</v>
      </c>
      <c r="AB740" s="170">
        <v>0</v>
      </c>
      <c r="AC740" s="171">
        <v>26</v>
      </c>
      <c r="AD740" s="172">
        <v>10095637.369999999</v>
      </c>
      <c r="AE740" s="173">
        <v>26</v>
      </c>
      <c r="AF740" s="174">
        <v>46357</v>
      </c>
    </row>
    <row r="741" spans="1:32" ht="20" x14ac:dyDescent="0.35">
      <c r="A741" s="162" t="s">
        <v>1037</v>
      </c>
      <c r="B741" s="163" t="s">
        <v>956</v>
      </c>
      <c r="C741" s="154"/>
      <c r="D741" s="162" t="s">
        <v>320</v>
      </c>
      <c r="E741" s="164" t="s">
        <v>320</v>
      </c>
      <c r="F741" s="164" t="s">
        <v>956</v>
      </c>
      <c r="G741" s="164" t="s">
        <v>1037</v>
      </c>
      <c r="H741" s="165">
        <v>29730</v>
      </c>
      <c r="I741" s="164" t="s">
        <v>20</v>
      </c>
      <c r="J741" s="164" t="s">
        <v>68</v>
      </c>
      <c r="K741" s="165">
        <v>44368</v>
      </c>
      <c r="L741" s="166" t="s">
        <v>322</v>
      </c>
      <c r="M741" s="154"/>
      <c r="N741" s="154"/>
      <c r="O741" s="164" t="s">
        <v>23</v>
      </c>
      <c r="P741" s="164">
        <v>45</v>
      </c>
      <c r="Q741" s="164">
        <v>5</v>
      </c>
      <c r="R741" s="167" t="s">
        <v>966</v>
      </c>
      <c r="S741" s="167" t="s">
        <v>848</v>
      </c>
      <c r="T741" s="162" t="s">
        <v>800</v>
      </c>
      <c r="U741" s="167" t="s">
        <v>802</v>
      </c>
      <c r="X741" s="169">
        <v>45324</v>
      </c>
      <c r="Y741" s="170">
        <v>98</v>
      </c>
      <c r="Z741" s="170">
        <v>0</v>
      </c>
      <c r="AA741" s="170">
        <v>0</v>
      </c>
      <c r="AB741" s="170">
        <v>0</v>
      </c>
      <c r="AC741" s="171">
        <v>98</v>
      </c>
      <c r="AD741" s="172">
        <v>38052787.009999998</v>
      </c>
      <c r="AE741" s="173">
        <v>98</v>
      </c>
      <c r="AF741" s="174">
        <v>46357</v>
      </c>
    </row>
    <row r="742" spans="1:32" ht="20" x14ac:dyDescent="0.35">
      <c r="A742" s="162" t="s">
        <v>1037</v>
      </c>
      <c r="B742" s="163" t="s">
        <v>956</v>
      </c>
      <c r="C742" s="154"/>
      <c r="D742" s="162" t="s">
        <v>320</v>
      </c>
      <c r="E742" s="164" t="s">
        <v>320</v>
      </c>
      <c r="F742" s="164" t="s">
        <v>956</v>
      </c>
      <c r="G742" s="164" t="s">
        <v>1037</v>
      </c>
      <c r="H742" s="165">
        <v>29730</v>
      </c>
      <c r="I742" s="164" t="s">
        <v>20</v>
      </c>
      <c r="J742" s="164" t="s">
        <v>68</v>
      </c>
      <c r="K742" s="165">
        <v>44368</v>
      </c>
      <c r="L742" s="166" t="s">
        <v>322</v>
      </c>
      <c r="M742" s="154"/>
      <c r="N742" s="154"/>
      <c r="O742" s="164" t="s">
        <v>23</v>
      </c>
      <c r="P742" s="164">
        <v>45</v>
      </c>
      <c r="Q742" s="164">
        <v>5</v>
      </c>
      <c r="R742" s="167" t="s">
        <v>966</v>
      </c>
      <c r="S742" s="167" t="s">
        <v>848</v>
      </c>
      <c r="T742" s="162" t="s">
        <v>800</v>
      </c>
      <c r="U742" s="167" t="s">
        <v>803</v>
      </c>
      <c r="X742" s="169">
        <v>45324</v>
      </c>
      <c r="Y742" s="170">
        <v>2</v>
      </c>
      <c r="Z742" s="170">
        <v>0</v>
      </c>
      <c r="AA742" s="170">
        <v>0</v>
      </c>
      <c r="AB742" s="170">
        <v>0</v>
      </c>
      <c r="AC742" s="171">
        <v>2</v>
      </c>
      <c r="AD742" s="172">
        <v>776587.49</v>
      </c>
      <c r="AE742" s="173">
        <v>2</v>
      </c>
      <c r="AF742" s="174">
        <v>46357</v>
      </c>
    </row>
    <row r="743" spans="1:32" ht="20" x14ac:dyDescent="0.35">
      <c r="A743" s="162" t="s">
        <v>1037</v>
      </c>
      <c r="B743" s="163" t="s">
        <v>956</v>
      </c>
      <c r="C743" s="154"/>
      <c r="D743" s="162" t="s">
        <v>320</v>
      </c>
      <c r="E743" s="164" t="s">
        <v>320</v>
      </c>
      <c r="F743" s="164" t="s">
        <v>956</v>
      </c>
      <c r="G743" s="164" t="s">
        <v>1037</v>
      </c>
      <c r="H743" s="165">
        <v>29730</v>
      </c>
      <c r="I743" s="164" t="s">
        <v>20</v>
      </c>
      <c r="J743" s="164" t="s">
        <v>68</v>
      </c>
      <c r="K743" s="165">
        <v>44368</v>
      </c>
      <c r="L743" s="166" t="s">
        <v>322</v>
      </c>
      <c r="M743" s="154"/>
      <c r="N743" s="154"/>
      <c r="O743" s="164" t="s">
        <v>23</v>
      </c>
      <c r="P743" s="164">
        <v>45</v>
      </c>
      <c r="Q743" s="164">
        <v>5</v>
      </c>
      <c r="R743" s="167" t="s">
        <v>966</v>
      </c>
      <c r="S743" s="167" t="s">
        <v>848</v>
      </c>
      <c r="T743" s="162" t="s">
        <v>800</v>
      </c>
      <c r="U743" s="167" t="s">
        <v>804</v>
      </c>
      <c r="X743" s="169">
        <v>45324</v>
      </c>
      <c r="Y743" s="170">
        <v>5</v>
      </c>
      <c r="Z743" s="170">
        <v>0</v>
      </c>
      <c r="AA743" s="170">
        <v>0</v>
      </c>
      <c r="AB743" s="170">
        <v>0</v>
      </c>
      <c r="AC743" s="171">
        <v>5</v>
      </c>
      <c r="AD743" s="172">
        <v>1941468.7250000001</v>
      </c>
      <c r="AE743" s="173">
        <v>5</v>
      </c>
      <c r="AF743" s="174">
        <v>46357</v>
      </c>
    </row>
    <row r="744" spans="1:32" ht="20" x14ac:dyDescent="0.35">
      <c r="A744" s="162" t="s">
        <v>1037</v>
      </c>
      <c r="B744" s="163" t="s">
        <v>956</v>
      </c>
      <c r="C744" s="154"/>
      <c r="D744" s="162" t="s">
        <v>320</v>
      </c>
      <c r="E744" s="164" t="s">
        <v>320</v>
      </c>
      <c r="F744" s="164" t="s">
        <v>956</v>
      </c>
      <c r="G744" s="164" t="s">
        <v>1037</v>
      </c>
      <c r="H744" s="165">
        <v>29730</v>
      </c>
      <c r="I744" s="164" t="s">
        <v>20</v>
      </c>
      <c r="J744" s="164" t="s">
        <v>68</v>
      </c>
      <c r="K744" s="165">
        <v>44368</v>
      </c>
      <c r="L744" s="166" t="s">
        <v>322</v>
      </c>
      <c r="M744" s="154"/>
      <c r="N744" s="154"/>
      <c r="O744" s="164" t="s">
        <v>23</v>
      </c>
      <c r="P744" s="164">
        <v>45</v>
      </c>
      <c r="Q744" s="164">
        <v>5</v>
      </c>
      <c r="R744" s="167" t="s">
        <v>966</v>
      </c>
      <c r="S744" s="167" t="s">
        <v>848</v>
      </c>
      <c r="T744" s="162" t="s">
        <v>800</v>
      </c>
      <c r="U744" s="167" t="s">
        <v>805</v>
      </c>
      <c r="X744" s="169">
        <v>45324</v>
      </c>
      <c r="Y744" s="170">
        <v>2.4999999966690001</v>
      </c>
      <c r="Z744" s="170">
        <v>0.41666667000000002</v>
      </c>
      <c r="AA744" s="170">
        <v>0</v>
      </c>
      <c r="AB744" s="170">
        <v>0</v>
      </c>
      <c r="AC744" s="171">
        <v>2.9166666666690002</v>
      </c>
      <c r="AD744" s="172">
        <v>1132523.42292</v>
      </c>
      <c r="AE744" s="173">
        <v>2.92</v>
      </c>
      <c r="AF744" s="174">
        <v>46357</v>
      </c>
    </row>
    <row r="745" spans="1:32" ht="20" x14ac:dyDescent="0.35">
      <c r="A745" s="162" t="s">
        <v>610</v>
      </c>
      <c r="B745" s="163" t="s">
        <v>1038</v>
      </c>
      <c r="C745" s="154"/>
      <c r="D745" s="162" t="s">
        <v>323</v>
      </c>
      <c r="E745" s="164" t="s">
        <v>323</v>
      </c>
      <c r="F745" s="164" t="s">
        <v>1038</v>
      </c>
      <c r="G745" s="164" t="s">
        <v>610</v>
      </c>
      <c r="H745" s="165">
        <v>33256</v>
      </c>
      <c r="I745" s="164" t="s">
        <v>20</v>
      </c>
      <c r="J745" s="164" t="s">
        <v>68</v>
      </c>
      <c r="K745" s="165">
        <v>44409</v>
      </c>
      <c r="L745" s="166" t="s">
        <v>325</v>
      </c>
      <c r="M745" s="154"/>
      <c r="N745" s="154"/>
      <c r="O745" s="164" t="s">
        <v>44</v>
      </c>
      <c r="P745" s="164">
        <v>35</v>
      </c>
      <c r="Q745" s="164">
        <v>4</v>
      </c>
      <c r="R745" s="167" t="s">
        <v>903</v>
      </c>
      <c r="S745" s="167" t="s">
        <v>115</v>
      </c>
      <c r="T745" s="162" t="s">
        <v>794</v>
      </c>
      <c r="U745" s="167" t="s">
        <v>795</v>
      </c>
      <c r="V745" s="162" t="s">
        <v>796</v>
      </c>
      <c r="W745" s="168">
        <v>4</v>
      </c>
      <c r="X745" s="169">
        <v>45413</v>
      </c>
      <c r="Y745" s="170">
        <v>10.253333330007001</v>
      </c>
      <c r="Z745" s="170">
        <v>1.9166666699999999</v>
      </c>
      <c r="AA745" s="170">
        <v>0</v>
      </c>
      <c r="AB745" s="170">
        <v>0</v>
      </c>
      <c r="AC745" s="171">
        <v>12.170000000007001</v>
      </c>
      <c r="AD745" s="172">
        <v>1785457.7464300001</v>
      </c>
      <c r="AE745" s="173" t="s">
        <v>797</v>
      </c>
      <c r="AF745" s="173"/>
    </row>
    <row r="746" spans="1:32" ht="20" x14ac:dyDescent="0.35">
      <c r="A746" s="162" t="s">
        <v>610</v>
      </c>
      <c r="B746" s="163" t="s">
        <v>1038</v>
      </c>
      <c r="C746" s="154"/>
      <c r="D746" s="162" t="s">
        <v>323</v>
      </c>
      <c r="E746" s="164" t="s">
        <v>323</v>
      </c>
      <c r="F746" s="164" t="s">
        <v>1038</v>
      </c>
      <c r="G746" s="164" t="s">
        <v>610</v>
      </c>
      <c r="H746" s="165">
        <v>33256</v>
      </c>
      <c r="I746" s="164" t="s">
        <v>20</v>
      </c>
      <c r="J746" s="164" t="s">
        <v>68</v>
      </c>
      <c r="K746" s="165">
        <v>44409</v>
      </c>
      <c r="L746" s="166" t="s">
        <v>325</v>
      </c>
      <c r="M746" s="154"/>
      <c r="N746" s="154"/>
      <c r="O746" s="164" t="s">
        <v>44</v>
      </c>
      <c r="P746" s="164">
        <v>35</v>
      </c>
      <c r="Q746" s="164">
        <v>4</v>
      </c>
      <c r="R746" s="167" t="s">
        <v>903</v>
      </c>
      <c r="S746" s="167" t="s">
        <v>115</v>
      </c>
      <c r="T746" s="162" t="s">
        <v>798</v>
      </c>
      <c r="U746" s="167" t="s">
        <v>839</v>
      </c>
      <c r="X746" s="169">
        <v>45413</v>
      </c>
      <c r="Y746" s="170">
        <v>180</v>
      </c>
      <c r="Z746" s="170">
        <v>0</v>
      </c>
      <c r="AA746" s="170">
        <v>0</v>
      </c>
      <c r="AB746" s="170">
        <v>0</v>
      </c>
      <c r="AC746" s="171">
        <v>180</v>
      </c>
      <c r="AD746" s="172">
        <v>26407756.315260001</v>
      </c>
      <c r="AE746" s="173">
        <v>180</v>
      </c>
      <c r="AF746" s="174">
        <v>46357</v>
      </c>
    </row>
    <row r="747" spans="1:32" ht="20" x14ac:dyDescent="0.35">
      <c r="A747" s="162" t="s">
        <v>610</v>
      </c>
      <c r="B747" s="163" t="s">
        <v>1038</v>
      </c>
      <c r="C747" s="154"/>
      <c r="D747" s="162" t="s">
        <v>323</v>
      </c>
      <c r="E747" s="164" t="s">
        <v>323</v>
      </c>
      <c r="F747" s="164" t="s">
        <v>1038</v>
      </c>
      <c r="G747" s="164" t="s">
        <v>610</v>
      </c>
      <c r="H747" s="165">
        <v>33256</v>
      </c>
      <c r="I747" s="164" t="s">
        <v>20</v>
      </c>
      <c r="J747" s="164" t="s">
        <v>68</v>
      </c>
      <c r="K747" s="165">
        <v>44409</v>
      </c>
      <c r="L747" s="166" t="s">
        <v>325</v>
      </c>
      <c r="M747" s="154"/>
      <c r="N747" s="154"/>
      <c r="O747" s="164" t="s">
        <v>44</v>
      </c>
      <c r="P747" s="164">
        <v>35</v>
      </c>
      <c r="Q747" s="164">
        <v>4</v>
      </c>
      <c r="R747" s="167" t="s">
        <v>903</v>
      </c>
      <c r="S747" s="167" t="s">
        <v>115</v>
      </c>
      <c r="T747" s="162" t="s">
        <v>800</v>
      </c>
      <c r="U747" s="167" t="s">
        <v>801</v>
      </c>
      <c r="X747" s="169">
        <v>45413</v>
      </c>
      <c r="Y747" s="170">
        <v>26</v>
      </c>
      <c r="Z747" s="170">
        <v>0</v>
      </c>
      <c r="AA747" s="170">
        <v>0</v>
      </c>
      <c r="AB747" s="170">
        <v>0</v>
      </c>
      <c r="AC747" s="171">
        <v>26</v>
      </c>
      <c r="AD747" s="172">
        <v>3814453.6899799998</v>
      </c>
      <c r="AE747" s="173">
        <v>26</v>
      </c>
      <c r="AF747" s="174">
        <v>46357</v>
      </c>
    </row>
    <row r="748" spans="1:32" ht="20" x14ac:dyDescent="0.35">
      <c r="A748" s="162" t="s">
        <v>610</v>
      </c>
      <c r="B748" s="163" t="s">
        <v>1038</v>
      </c>
      <c r="C748" s="154"/>
      <c r="D748" s="162" t="s">
        <v>323</v>
      </c>
      <c r="E748" s="164" t="s">
        <v>323</v>
      </c>
      <c r="F748" s="164" t="s">
        <v>1038</v>
      </c>
      <c r="G748" s="164" t="s">
        <v>610</v>
      </c>
      <c r="H748" s="165">
        <v>33256</v>
      </c>
      <c r="I748" s="164" t="s">
        <v>20</v>
      </c>
      <c r="J748" s="164" t="s">
        <v>68</v>
      </c>
      <c r="K748" s="165">
        <v>44409</v>
      </c>
      <c r="L748" s="166" t="s">
        <v>325</v>
      </c>
      <c r="M748" s="154"/>
      <c r="N748" s="154"/>
      <c r="O748" s="164" t="s">
        <v>44</v>
      </c>
      <c r="P748" s="164">
        <v>35</v>
      </c>
      <c r="Q748" s="164">
        <v>4</v>
      </c>
      <c r="R748" s="167" t="s">
        <v>903</v>
      </c>
      <c r="S748" s="167" t="s">
        <v>115</v>
      </c>
      <c r="T748" s="162" t="s">
        <v>800</v>
      </c>
      <c r="U748" s="167" t="s">
        <v>802</v>
      </c>
      <c r="X748" s="169">
        <v>45413</v>
      </c>
      <c r="Y748" s="170">
        <v>98</v>
      </c>
      <c r="Z748" s="170">
        <v>0</v>
      </c>
      <c r="AA748" s="170">
        <v>0</v>
      </c>
      <c r="AB748" s="170">
        <v>0</v>
      </c>
      <c r="AC748" s="171">
        <v>98</v>
      </c>
      <c r="AD748" s="172">
        <v>14377556.216089999</v>
      </c>
      <c r="AE748" s="173">
        <v>98</v>
      </c>
      <c r="AF748" s="174">
        <v>46357</v>
      </c>
    </row>
    <row r="749" spans="1:32" ht="20" x14ac:dyDescent="0.35">
      <c r="A749" s="162" t="s">
        <v>610</v>
      </c>
      <c r="B749" s="163" t="s">
        <v>1038</v>
      </c>
      <c r="C749" s="154"/>
      <c r="D749" s="162" t="s">
        <v>323</v>
      </c>
      <c r="E749" s="164" t="s">
        <v>323</v>
      </c>
      <c r="F749" s="164" t="s">
        <v>1038</v>
      </c>
      <c r="G749" s="164" t="s">
        <v>610</v>
      </c>
      <c r="H749" s="165">
        <v>33256</v>
      </c>
      <c r="I749" s="164" t="s">
        <v>20</v>
      </c>
      <c r="J749" s="164" t="s">
        <v>68</v>
      </c>
      <c r="K749" s="165">
        <v>44409</v>
      </c>
      <c r="L749" s="166" t="s">
        <v>325</v>
      </c>
      <c r="M749" s="154"/>
      <c r="N749" s="154"/>
      <c r="O749" s="164" t="s">
        <v>44</v>
      </c>
      <c r="P749" s="164">
        <v>35</v>
      </c>
      <c r="Q749" s="164">
        <v>4</v>
      </c>
      <c r="R749" s="167" t="s">
        <v>903</v>
      </c>
      <c r="S749" s="167" t="s">
        <v>115</v>
      </c>
      <c r="T749" s="162" t="s">
        <v>800</v>
      </c>
      <c r="U749" s="167" t="s">
        <v>803</v>
      </c>
      <c r="X749" s="169">
        <v>45413</v>
      </c>
      <c r="Y749" s="170">
        <v>0</v>
      </c>
      <c r="Z749" s="170">
        <v>0</v>
      </c>
      <c r="AA749" s="170">
        <v>0</v>
      </c>
      <c r="AB749" s="170">
        <v>0</v>
      </c>
      <c r="AC749" s="171">
        <v>0</v>
      </c>
      <c r="AD749" s="172">
        <v>0</v>
      </c>
      <c r="AE749" s="173">
        <v>0</v>
      </c>
      <c r="AF749" s="174">
        <v>46357</v>
      </c>
    </row>
    <row r="750" spans="1:32" ht="20" x14ac:dyDescent="0.35">
      <c r="A750" s="162" t="s">
        <v>610</v>
      </c>
      <c r="B750" s="163" t="s">
        <v>1038</v>
      </c>
      <c r="C750" s="154"/>
      <c r="D750" s="162" t="s">
        <v>323</v>
      </c>
      <c r="E750" s="164" t="s">
        <v>323</v>
      </c>
      <c r="F750" s="164" t="s">
        <v>1038</v>
      </c>
      <c r="G750" s="164" t="s">
        <v>610</v>
      </c>
      <c r="H750" s="165">
        <v>33256</v>
      </c>
      <c r="I750" s="164" t="s">
        <v>20</v>
      </c>
      <c r="J750" s="164" t="s">
        <v>68</v>
      </c>
      <c r="K750" s="165">
        <v>44409</v>
      </c>
      <c r="L750" s="166" t="s">
        <v>325</v>
      </c>
      <c r="M750" s="154"/>
      <c r="N750" s="154"/>
      <c r="O750" s="164" t="s">
        <v>44</v>
      </c>
      <c r="P750" s="164">
        <v>35</v>
      </c>
      <c r="Q750" s="164">
        <v>4</v>
      </c>
      <c r="R750" s="167" t="s">
        <v>903</v>
      </c>
      <c r="S750" s="167" t="s">
        <v>115</v>
      </c>
      <c r="T750" s="162" t="s">
        <v>800</v>
      </c>
      <c r="U750" s="167" t="s">
        <v>804</v>
      </c>
      <c r="X750" s="169">
        <v>45413</v>
      </c>
      <c r="Y750" s="170">
        <v>5</v>
      </c>
      <c r="Z750" s="170">
        <v>0</v>
      </c>
      <c r="AA750" s="170">
        <v>0</v>
      </c>
      <c r="AB750" s="170">
        <v>0</v>
      </c>
      <c r="AC750" s="171">
        <v>5</v>
      </c>
      <c r="AD750" s="172">
        <v>733548.78653000004</v>
      </c>
      <c r="AE750" s="173">
        <v>5</v>
      </c>
      <c r="AF750" s="174">
        <v>46357</v>
      </c>
    </row>
    <row r="751" spans="1:32" ht="20" x14ac:dyDescent="0.35">
      <c r="A751" s="162" t="s">
        <v>610</v>
      </c>
      <c r="B751" s="163" t="s">
        <v>1038</v>
      </c>
      <c r="C751" s="154"/>
      <c r="D751" s="162" t="s">
        <v>323</v>
      </c>
      <c r="E751" s="164" t="s">
        <v>323</v>
      </c>
      <c r="F751" s="164" t="s">
        <v>1038</v>
      </c>
      <c r="G751" s="164" t="s">
        <v>610</v>
      </c>
      <c r="H751" s="165">
        <v>33256</v>
      </c>
      <c r="I751" s="164" t="s">
        <v>20</v>
      </c>
      <c r="J751" s="164" t="s">
        <v>68</v>
      </c>
      <c r="K751" s="165">
        <v>44409</v>
      </c>
      <c r="L751" s="166" t="s">
        <v>325</v>
      </c>
      <c r="M751" s="154"/>
      <c r="N751" s="154"/>
      <c r="O751" s="164" t="s">
        <v>44</v>
      </c>
      <c r="P751" s="164">
        <v>35</v>
      </c>
      <c r="Q751" s="164">
        <v>4</v>
      </c>
      <c r="R751" s="167" t="s">
        <v>903</v>
      </c>
      <c r="S751" s="167" t="s">
        <v>115</v>
      </c>
      <c r="T751" s="162" t="s">
        <v>800</v>
      </c>
      <c r="U751" s="167" t="s">
        <v>840</v>
      </c>
      <c r="X751" s="169">
        <v>45413</v>
      </c>
      <c r="Y751" s="170">
        <v>2.4999999966690001</v>
      </c>
      <c r="Z751" s="170">
        <v>0.41666667000000002</v>
      </c>
      <c r="AA751" s="170">
        <v>0</v>
      </c>
      <c r="AB751" s="170">
        <v>0</v>
      </c>
      <c r="AC751" s="171">
        <v>2.9166666666690002</v>
      </c>
      <c r="AD751" s="172">
        <v>427903.45880999998</v>
      </c>
      <c r="AE751" s="173">
        <v>2.92</v>
      </c>
      <c r="AF751" s="174">
        <v>46357</v>
      </c>
    </row>
    <row r="752" spans="1:32" ht="20" x14ac:dyDescent="0.35">
      <c r="A752" s="162" t="s">
        <v>641</v>
      </c>
      <c r="B752" s="163" t="s">
        <v>914</v>
      </c>
      <c r="C752" s="154"/>
      <c r="D752" s="162" t="s">
        <v>326</v>
      </c>
      <c r="E752" s="164" t="s">
        <v>326</v>
      </c>
      <c r="F752" s="164" t="s">
        <v>914</v>
      </c>
      <c r="G752" s="164" t="s">
        <v>641</v>
      </c>
      <c r="H752" s="165">
        <v>33567</v>
      </c>
      <c r="I752" s="164" t="s">
        <v>20</v>
      </c>
      <c r="J752" s="164" t="s">
        <v>68</v>
      </c>
      <c r="K752" s="165">
        <v>44409</v>
      </c>
      <c r="L752" s="166" t="s">
        <v>144</v>
      </c>
      <c r="M752" s="154"/>
      <c r="N752" s="154"/>
      <c r="O752" s="164" t="s">
        <v>145</v>
      </c>
      <c r="P752" s="164">
        <v>34</v>
      </c>
      <c r="Q752" s="164">
        <v>4</v>
      </c>
      <c r="R752" s="167" t="s">
        <v>873</v>
      </c>
      <c r="S752" s="167" t="s">
        <v>24</v>
      </c>
      <c r="T752" s="162" t="s">
        <v>794</v>
      </c>
      <c r="U752" s="167" t="s">
        <v>795</v>
      </c>
      <c r="V752" s="162" t="s">
        <v>796</v>
      </c>
      <c r="W752" s="168">
        <v>4</v>
      </c>
      <c r="X752" s="169">
        <v>45383</v>
      </c>
      <c r="Y752" s="170">
        <v>23.576666663339999</v>
      </c>
      <c r="Z752" s="170">
        <v>1.9166666699999999</v>
      </c>
      <c r="AA752" s="170">
        <v>0</v>
      </c>
      <c r="AB752" s="170">
        <v>0</v>
      </c>
      <c r="AC752" s="171">
        <v>25.493333333340001</v>
      </c>
      <c r="AD752" s="172">
        <v>3072275.6679199999</v>
      </c>
      <c r="AE752" s="173" t="s">
        <v>797</v>
      </c>
      <c r="AF752" s="173"/>
    </row>
    <row r="753" spans="1:32" ht="20" x14ac:dyDescent="0.35">
      <c r="A753" s="162" t="s">
        <v>641</v>
      </c>
      <c r="B753" s="163" t="s">
        <v>914</v>
      </c>
      <c r="C753" s="154"/>
      <c r="D753" s="162" t="s">
        <v>326</v>
      </c>
      <c r="E753" s="164" t="s">
        <v>326</v>
      </c>
      <c r="F753" s="164" t="s">
        <v>914</v>
      </c>
      <c r="G753" s="164" t="s">
        <v>641</v>
      </c>
      <c r="H753" s="165">
        <v>33567</v>
      </c>
      <c r="I753" s="164" t="s">
        <v>20</v>
      </c>
      <c r="J753" s="164" t="s">
        <v>68</v>
      </c>
      <c r="K753" s="165">
        <v>44409</v>
      </c>
      <c r="L753" s="166" t="s">
        <v>144</v>
      </c>
      <c r="M753" s="154"/>
      <c r="N753" s="154"/>
      <c r="O753" s="164" t="s">
        <v>145</v>
      </c>
      <c r="P753" s="164">
        <v>34</v>
      </c>
      <c r="Q753" s="164">
        <v>4</v>
      </c>
      <c r="R753" s="167" t="s">
        <v>873</v>
      </c>
      <c r="S753" s="167" t="s">
        <v>24</v>
      </c>
      <c r="T753" s="162" t="s">
        <v>798</v>
      </c>
      <c r="U753" s="167" t="s">
        <v>839</v>
      </c>
      <c r="X753" s="169">
        <v>45383</v>
      </c>
      <c r="Y753" s="170">
        <v>180</v>
      </c>
      <c r="Z753" s="170">
        <v>0</v>
      </c>
      <c r="AA753" s="170">
        <v>0</v>
      </c>
      <c r="AB753" s="170">
        <v>0</v>
      </c>
      <c r="AC753" s="171">
        <v>180</v>
      </c>
      <c r="AD753" s="172">
        <v>21692322.96912</v>
      </c>
      <c r="AE753" s="173">
        <v>180</v>
      </c>
      <c r="AF753" s="174">
        <v>46357</v>
      </c>
    </row>
    <row r="754" spans="1:32" ht="20" x14ac:dyDescent="0.35">
      <c r="A754" s="162" t="s">
        <v>641</v>
      </c>
      <c r="B754" s="163" t="s">
        <v>914</v>
      </c>
      <c r="C754" s="154"/>
      <c r="D754" s="162" t="s">
        <v>326</v>
      </c>
      <c r="E754" s="164" t="s">
        <v>326</v>
      </c>
      <c r="F754" s="164" t="s">
        <v>914</v>
      </c>
      <c r="G754" s="164" t="s">
        <v>641</v>
      </c>
      <c r="H754" s="165">
        <v>33567</v>
      </c>
      <c r="I754" s="164" t="s">
        <v>20</v>
      </c>
      <c r="J754" s="164" t="s">
        <v>68</v>
      </c>
      <c r="K754" s="165">
        <v>44409</v>
      </c>
      <c r="L754" s="166" t="s">
        <v>144</v>
      </c>
      <c r="M754" s="154"/>
      <c r="N754" s="154"/>
      <c r="O754" s="164" t="s">
        <v>145</v>
      </c>
      <c r="P754" s="164">
        <v>34</v>
      </c>
      <c r="Q754" s="164">
        <v>4</v>
      </c>
      <c r="R754" s="167" t="s">
        <v>873</v>
      </c>
      <c r="S754" s="167" t="s">
        <v>24</v>
      </c>
      <c r="T754" s="162" t="s">
        <v>800</v>
      </c>
      <c r="U754" s="167" t="s">
        <v>801</v>
      </c>
      <c r="X754" s="169">
        <v>45383</v>
      </c>
      <c r="Y754" s="170">
        <v>26</v>
      </c>
      <c r="Z754" s="170">
        <v>0</v>
      </c>
      <c r="AA754" s="170">
        <v>0</v>
      </c>
      <c r="AB754" s="170">
        <v>0</v>
      </c>
      <c r="AC754" s="171">
        <v>26</v>
      </c>
      <c r="AD754" s="172">
        <v>3133335.5399799999</v>
      </c>
      <c r="AE754" s="173">
        <v>26</v>
      </c>
      <c r="AF754" s="174">
        <v>46357</v>
      </c>
    </row>
    <row r="755" spans="1:32" ht="20" x14ac:dyDescent="0.35">
      <c r="A755" s="162" t="s">
        <v>641</v>
      </c>
      <c r="B755" s="163" t="s">
        <v>914</v>
      </c>
      <c r="C755" s="154"/>
      <c r="D755" s="162" t="s">
        <v>326</v>
      </c>
      <c r="E755" s="164" t="s">
        <v>326</v>
      </c>
      <c r="F755" s="164" t="s">
        <v>914</v>
      </c>
      <c r="G755" s="164" t="s">
        <v>641</v>
      </c>
      <c r="H755" s="165">
        <v>33567</v>
      </c>
      <c r="I755" s="164" t="s">
        <v>20</v>
      </c>
      <c r="J755" s="164" t="s">
        <v>68</v>
      </c>
      <c r="K755" s="165">
        <v>44409</v>
      </c>
      <c r="L755" s="166" t="s">
        <v>144</v>
      </c>
      <c r="M755" s="154"/>
      <c r="N755" s="154"/>
      <c r="O755" s="164" t="s">
        <v>145</v>
      </c>
      <c r="P755" s="164">
        <v>34</v>
      </c>
      <c r="Q755" s="164">
        <v>4</v>
      </c>
      <c r="R755" s="167" t="s">
        <v>873</v>
      </c>
      <c r="S755" s="167" t="s">
        <v>24</v>
      </c>
      <c r="T755" s="162" t="s">
        <v>800</v>
      </c>
      <c r="U755" s="167" t="s">
        <v>802</v>
      </c>
      <c r="X755" s="169">
        <v>45383</v>
      </c>
      <c r="Y755" s="170">
        <v>98</v>
      </c>
      <c r="Z755" s="170">
        <v>0</v>
      </c>
      <c r="AA755" s="170">
        <v>0</v>
      </c>
      <c r="AB755" s="170">
        <v>0</v>
      </c>
      <c r="AC755" s="171">
        <v>98</v>
      </c>
      <c r="AD755" s="172">
        <v>11810264.727630001</v>
      </c>
      <c r="AE755" s="173">
        <v>98</v>
      </c>
      <c r="AF755" s="174">
        <v>46357</v>
      </c>
    </row>
    <row r="756" spans="1:32" ht="20" x14ac:dyDescent="0.35">
      <c r="A756" s="162" t="s">
        <v>641</v>
      </c>
      <c r="B756" s="163" t="s">
        <v>914</v>
      </c>
      <c r="C756" s="154"/>
      <c r="D756" s="162" t="s">
        <v>326</v>
      </c>
      <c r="E756" s="164" t="s">
        <v>326</v>
      </c>
      <c r="F756" s="164" t="s">
        <v>914</v>
      </c>
      <c r="G756" s="164" t="s">
        <v>641</v>
      </c>
      <c r="H756" s="165">
        <v>33567</v>
      </c>
      <c r="I756" s="164" t="s">
        <v>20</v>
      </c>
      <c r="J756" s="164" t="s">
        <v>68</v>
      </c>
      <c r="K756" s="165">
        <v>44409</v>
      </c>
      <c r="L756" s="166" t="s">
        <v>144</v>
      </c>
      <c r="M756" s="154"/>
      <c r="N756" s="154"/>
      <c r="O756" s="164" t="s">
        <v>145</v>
      </c>
      <c r="P756" s="164">
        <v>34</v>
      </c>
      <c r="Q756" s="164">
        <v>4</v>
      </c>
      <c r="R756" s="167" t="s">
        <v>873</v>
      </c>
      <c r="S756" s="167" t="s">
        <v>24</v>
      </c>
      <c r="T756" s="162" t="s">
        <v>800</v>
      </c>
      <c r="U756" s="167" t="s">
        <v>803</v>
      </c>
      <c r="X756" s="169">
        <v>45383</v>
      </c>
      <c r="Y756" s="170">
        <v>2</v>
      </c>
      <c r="Z756" s="170">
        <v>0</v>
      </c>
      <c r="AA756" s="170">
        <v>0</v>
      </c>
      <c r="AB756" s="170">
        <v>0</v>
      </c>
      <c r="AC756" s="171">
        <v>2</v>
      </c>
      <c r="AD756" s="172">
        <v>241025.81077000001</v>
      </c>
      <c r="AE756" s="173">
        <v>2</v>
      </c>
      <c r="AF756" s="174">
        <v>46357</v>
      </c>
    </row>
    <row r="757" spans="1:32" ht="20" x14ac:dyDescent="0.35">
      <c r="A757" s="162" t="s">
        <v>641</v>
      </c>
      <c r="B757" s="163" t="s">
        <v>914</v>
      </c>
      <c r="C757" s="154"/>
      <c r="D757" s="162" t="s">
        <v>326</v>
      </c>
      <c r="E757" s="164" t="s">
        <v>326</v>
      </c>
      <c r="F757" s="164" t="s">
        <v>914</v>
      </c>
      <c r="G757" s="164" t="s">
        <v>641</v>
      </c>
      <c r="H757" s="165">
        <v>33567</v>
      </c>
      <c r="I757" s="164" t="s">
        <v>20</v>
      </c>
      <c r="J757" s="164" t="s">
        <v>68</v>
      </c>
      <c r="K757" s="165">
        <v>44409</v>
      </c>
      <c r="L757" s="166" t="s">
        <v>144</v>
      </c>
      <c r="M757" s="154"/>
      <c r="N757" s="154"/>
      <c r="O757" s="164" t="s">
        <v>145</v>
      </c>
      <c r="P757" s="164">
        <v>34</v>
      </c>
      <c r="Q757" s="164">
        <v>4</v>
      </c>
      <c r="R757" s="167" t="s">
        <v>873</v>
      </c>
      <c r="S757" s="167" t="s">
        <v>24</v>
      </c>
      <c r="T757" s="162" t="s">
        <v>800</v>
      </c>
      <c r="U757" s="167" t="s">
        <v>804</v>
      </c>
      <c r="X757" s="169">
        <v>45383</v>
      </c>
      <c r="Y757" s="170">
        <v>5</v>
      </c>
      <c r="Z757" s="170">
        <v>0</v>
      </c>
      <c r="AA757" s="170">
        <v>0</v>
      </c>
      <c r="AB757" s="170">
        <v>0</v>
      </c>
      <c r="AC757" s="171">
        <v>5</v>
      </c>
      <c r="AD757" s="172">
        <v>602564.52691999997</v>
      </c>
      <c r="AE757" s="173">
        <v>5</v>
      </c>
      <c r="AF757" s="174">
        <v>46357</v>
      </c>
    </row>
    <row r="758" spans="1:32" ht="20" x14ac:dyDescent="0.35">
      <c r="A758" s="162" t="s">
        <v>641</v>
      </c>
      <c r="B758" s="163" t="s">
        <v>914</v>
      </c>
      <c r="C758" s="154"/>
      <c r="D758" s="162" t="s">
        <v>326</v>
      </c>
      <c r="E758" s="164" t="s">
        <v>326</v>
      </c>
      <c r="F758" s="164" t="s">
        <v>914</v>
      </c>
      <c r="G758" s="164" t="s">
        <v>641</v>
      </c>
      <c r="H758" s="165">
        <v>33567</v>
      </c>
      <c r="I758" s="164" t="s">
        <v>20</v>
      </c>
      <c r="J758" s="164" t="s">
        <v>68</v>
      </c>
      <c r="K758" s="165">
        <v>44409</v>
      </c>
      <c r="L758" s="166" t="s">
        <v>144</v>
      </c>
      <c r="M758" s="154"/>
      <c r="N758" s="154"/>
      <c r="O758" s="164" t="s">
        <v>145</v>
      </c>
      <c r="P758" s="164">
        <v>34</v>
      </c>
      <c r="Q758" s="164">
        <v>4</v>
      </c>
      <c r="R758" s="167" t="s">
        <v>873</v>
      </c>
      <c r="S758" s="167" t="s">
        <v>24</v>
      </c>
      <c r="T758" s="162" t="s">
        <v>800</v>
      </c>
      <c r="U758" s="167" t="s">
        <v>840</v>
      </c>
      <c r="X758" s="169">
        <v>45383</v>
      </c>
      <c r="Y758" s="170">
        <v>2.4999999966690001</v>
      </c>
      <c r="Z758" s="170">
        <v>0.41666667000000002</v>
      </c>
      <c r="AA758" s="170">
        <v>0</v>
      </c>
      <c r="AB758" s="170">
        <v>0</v>
      </c>
      <c r="AC758" s="171">
        <v>2.9166666666690002</v>
      </c>
      <c r="AD758" s="172">
        <v>351495.97404</v>
      </c>
      <c r="AE758" s="173">
        <v>2.92</v>
      </c>
      <c r="AF758" s="174">
        <v>46357</v>
      </c>
    </row>
    <row r="759" spans="1:32" ht="20" x14ac:dyDescent="0.35">
      <c r="A759" s="162" t="s">
        <v>637</v>
      </c>
      <c r="B759" s="163" t="s">
        <v>1039</v>
      </c>
      <c r="C759" s="154"/>
      <c r="D759" s="162" t="s">
        <v>328</v>
      </c>
      <c r="E759" s="164" t="s">
        <v>328</v>
      </c>
      <c r="F759" s="164" t="s">
        <v>1039</v>
      </c>
      <c r="G759" s="164" t="s">
        <v>637</v>
      </c>
      <c r="H759" s="165">
        <v>26801</v>
      </c>
      <c r="I759" s="164" t="s">
        <v>20</v>
      </c>
      <c r="J759" s="164" t="s">
        <v>68</v>
      </c>
      <c r="K759" s="165">
        <v>44409</v>
      </c>
      <c r="L759" s="166" t="s">
        <v>128</v>
      </c>
      <c r="M759" s="154"/>
      <c r="N759" s="154"/>
      <c r="O759" s="164" t="s">
        <v>35</v>
      </c>
      <c r="P759" s="164">
        <v>53</v>
      </c>
      <c r="Q759" s="164">
        <v>4</v>
      </c>
      <c r="R759" s="167" t="s">
        <v>873</v>
      </c>
      <c r="S759" s="167" t="s">
        <v>24</v>
      </c>
      <c r="T759" s="162" t="s">
        <v>794</v>
      </c>
      <c r="U759" s="167" t="s">
        <v>819</v>
      </c>
      <c r="V759" s="162" t="s">
        <v>820</v>
      </c>
      <c r="W759" s="168">
        <v>4</v>
      </c>
      <c r="X759" s="169">
        <v>45018</v>
      </c>
      <c r="Y759" s="170">
        <v>16.916666666672</v>
      </c>
      <c r="Z759" s="170">
        <v>1.75</v>
      </c>
      <c r="AA759" s="170">
        <v>0</v>
      </c>
      <c r="AB759" s="170">
        <v>0</v>
      </c>
      <c r="AC759" s="171">
        <v>18.666666666672</v>
      </c>
      <c r="AD759" s="172">
        <v>1359895.6430599999</v>
      </c>
      <c r="AE759" s="173" t="s">
        <v>797</v>
      </c>
      <c r="AF759" s="173"/>
    </row>
    <row r="760" spans="1:32" ht="20" x14ac:dyDescent="0.35">
      <c r="A760" s="162" t="s">
        <v>637</v>
      </c>
      <c r="B760" s="163" t="s">
        <v>1039</v>
      </c>
      <c r="C760" s="154"/>
      <c r="D760" s="162" t="s">
        <v>328</v>
      </c>
      <c r="E760" s="164" t="s">
        <v>328</v>
      </c>
      <c r="F760" s="164" t="s">
        <v>1039</v>
      </c>
      <c r="G760" s="164" t="s">
        <v>637</v>
      </c>
      <c r="H760" s="165">
        <v>26801</v>
      </c>
      <c r="I760" s="164" t="s">
        <v>20</v>
      </c>
      <c r="J760" s="164" t="s">
        <v>68</v>
      </c>
      <c r="K760" s="165">
        <v>44409</v>
      </c>
      <c r="L760" s="166" t="s">
        <v>128</v>
      </c>
      <c r="M760" s="154"/>
      <c r="N760" s="154"/>
      <c r="O760" s="164" t="s">
        <v>35</v>
      </c>
      <c r="P760" s="164">
        <v>53</v>
      </c>
      <c r="Q760" s="164">
        <v>4</v>
      </c>
      <c r="R760" s="167" t="s">
        <v>873</v>
      </c>
      <c r="S760" s="167" t="s">
        <v>24</v>
      </c>
      <c r="T760" s="162" t="s">
        <v>798</v>
      </c>
      <c r="U760" s="167" t="s">
        <v>799</v>
      </c>
      <c r="X760" s="169">
        <v>45018</v>
      </c>
      <c r="Y760" s="170">
        <v>180</v>
      </c>
      <c r="Z760" s="170">
        <v>0</v>
      </c>
      <c r="AA760" s="170">
        <v>0</v>
      </c>
      <c r="AB760" s="170">
        <v>0</v>
      </c>
      <c r="AC760" s="171">
        <v>180</v>
      </c>
      <c r="AD760" s="172">
        <v>13113279.41526</v>
      </c>
      <c r="AE760" s="173">
        <v>180</v>
      </c>
      <c r="AF760" s="174">
        <v>46357</v>
      </c>
    </row>
    <row r="761" spans="1:32" ht="20" x14ac:dyDescent="0.35">
      <c r="A761" s="162" t="s">
        <v>637</v>
      </c>
      <c r="B761" s="163" t="s">
        <v>1039</v>
      </c>
      <c r="C761" s="154"/>
      <c r="D761" s="162" t="s">
        <v>328</v>
      </c>
      <c r="E761" s="164" t="s">
        <v>328</v>
      </c>
      <c r="F761" s="164" t="s">
        <v>1039</v>
      </c>
      <c r="G761" s="164" t="s">
        <v>637</v>
      </c>
      <c r="H761" s="165">
        <v>26801</v>
      </c>
      <c r="I761" s="164" t="s">
        <v>20</v>
      </c>
      <c r="J761" s="164" t="s">
        <v>68</v>
      </c>
      <c r="K761" s="165">
        <v>44409</v>
      </c>
      <c r="L761" s="166" t="s">
        <v>128</v>
      </c>
      <c r="M761" s="154"/>
      <c r="N761" s="154"/>
      <c r="O761" s="164" t="s">
        <v>35</v>
      </c>
      <c r="P761" s="164">
        <v>53</v>
      </c>
      <c r="Q761" s="164">
        <v>4</v>
      </c>
      <c r="R761" s="167" t="s">
        <v>873</v>
      </c>
      <c r="S761" s="167" t="s">
        <v>24</v>
      </c>
      <c r="T761" s="162" t="s">
        <v>800</v>
      </c>
      <c r="U761" s="167" t="s">
        <v>801</v>
      </c>
      <c r="X761" s="169">
        <v>45018</v>
      </c>
      <c r="Y761" s="170">
        <v>26</v>
      </c>
      <c r="Z761" s="170">
        <v>0</v>
      </c>
      <c r="AA761" s="170">
        <v>0</v>
      </c>
      <c r="AB761" s="170">
        <v>0</v>
      </c>
      <c r="AC761" s="171">
        <v>26</v>
      </c>
      <c r="AD761" s="172">
        <v>1894140.35998</v>
      </c>
      <c r="AE761" s="173">
        <v>26</v>
      </c>
      <c r="AF761" s="174">
        <v>46357</v>
      </c>
    </row>
    <row r="762" spans="1:32" ht="20" x14ac:dyDescent="0.35">
      <c r="A762" s="162" t="s">
        <v>637</v>
      </c>
      <c r="B762" s="163" t="s">
        <v>1039</v>
      </c>
      <c r="C762" s="154"/>
      <c r="D762" s="162" t="s">
        <v>328</v>
      </c>
      <c r="E762" s="164" t="s">
        <v>328</v>
      </c>
      <c r="F762" s="164" t="s">
        <v>1039</v>
      </c>
      <c r="G762" s="164" t="s">
        <v>637</v>
      </c>
      <c r="H762" s="165">
        <v>26801</v>
      </c>
      <c r="I762" s="164" t="s">
        <v>20</v>
      </c>
      <c r="J762" s="164" t="s">
        <v>68</v>
      </c>
      <c r="K762" s="165">
        <v>44409</v>
      </c>
      <c r="L762" s="166" t="s">
        <v>128</v>
      </c>
      <c r="M762" s="154"/>
      <c r="N762" s="154"/>
      <c r="O762" s="164" t="s">
        <v>35</v>
      </c>
      <c r="P762" s="164">
        <v>53</v>
      </c>
      <c r="Q762" s="164">
        <v>4</v>
      </c>
      <c r="R762" s="167" t="s">
        <v>873</v>
      </c>
      <c r="S762" s="167" t="s">
        <v>24</v>
      </c>
      <c r="T762" s="162" t="s">
        <v>800</v>
      </c>
      <c r="U762" s="167" t="s">
        <v>802</v>
      </c>
      <c r="X762" s="169">
        <v>45018</v>
      </c>
      <c r="Y762" s="170">
        <v>98</v>
      </c>
      <c r="Z762" s="170">
        <v>0</v>
      </c>
      <c r="AA762" s="170">
        <v>0</v>
      </c>
      <c r="AB762" s="170">
        <v>0</v>
      </c>
      <c r="AC762" s="171">
        <v>98</v>
      </c>
      <c r="AD762" s="172">
        <v>7139452.1260900004</v>
      </c>
      <c r="AE762" s="173">
        <v>98</v>
      </c>
      <c r="AF762" s="174">
        <v>46357</v>
      </c>
    </row>
    <row r="763" spans="1:32" ht="20" x14ac:dyDescent="0.35">
      <c r="A763" s="162" t="s">
        <v>637</v>
      </c>
      <c r="B763" s="163" t="s">
        <v>1039</v>
      </c>
      <c r="C763" s="154"/>
      <c r="D763" s="162" t="s">
        <v>328</v>
      </c>
      <c r="E763" s="164" t="s">
        <v>328</v>
      </c>
      <c r="F763" s="164" t="s">
        <v>1039</v>
      </c>
      <c r="G763" s="164" t="s">
        <v>637</v>
      </c>
      <c r="H763" s="165">
        <v>26801</v>
      </c>
      <c r="I763" s="164" t="s">
        <v>20</v>
      </c>
      <c r="J763" s="164" t="s">
        <v>68</v>
      </c>
      <c r="K763" s="165">
        <v>44409</v>
      </c>
      <c r="L763" s="166" t="s">
        <v>128</v>
      </c>
      <c r="M763" s="154"/>
      <c r="N763" s="154"/>
      <c r="O763" s="164" t="s">
        <v>35</v>
      </c>
      <c r="P763" s="164">
        <v>53</v>
      </c>
      <c r="Q763" s="164">
        <v>4</v>
      </c>
      <c r="R763" s="167" t="s">
        <v>873</v>
      </c>
      <c r="S763" s="167" t="s">
        <v>24</v>
      </c>
      <c r="T763" s="162" t="s">
        <v>800</v>
      </c>
      <c r="U763" s="167" t="s">
        <v>803</v>
      </c>
      <c r="X763" s="169">
        <v>45018</v>
      </c>
      <c r="Y763" s="170">
        <v>2</v>
      </c>
      <c r="Z763" s="170">
        <v>0</v>
      </c>
      <c r="AA763" s="170">
        <v>0</v>
      </c>
      <c r="AB763" s="170">
        <v>0</v>
      </c>
      <c r="AC763" s="171">
        <v>2</v>
      </c>
      <c r="AD763" s="172">
        <v>145703.10461000001</v>
      </c>
      <c r="AE763" s="173">
        <v>2</v>
      </c>
      <c r="AF763" s="174">
        <v>46357</v>
      </c>
    </row>
    <row r="764" spans="1:32" ht="20" x14ac:dyDescent="0.35">
      <c r="A764" s="162" t="s">
        <v>637</v>
      </c>
      <c r="B764" s="163" t="s">
        <v>1039</v>
      </c>
      <c r="C764" s="154"/>
      <c r="D764" s="162" t="s">
        <v>328</v>
      </c>
      <c r="E764" s="164" t="s">
        <v>328</v>
      </c>
      <c r="F764" s="164" t="s">
        <v>1039</v>
      </c>
      <c r="G764" s="164" t="s">
        <v>637</v>
      </c>
      <c r="H764" s="165">
        <v>26801</v>
      </c>
      <c r="I764" s="164" t="s">
        <v>20</v>
      </c>
      <c r="J764" s="164" t="s">
        <v>68</v>
      </c>
      <c r="K764" s="165">
        <v>44409</v>
      </c>
      <c r="L764" s="166" t="s">
        <v>128</v>
      </c>
      <c r="M764" s="154"/>
      <c r="N764" s="154"/>
      <c r="O764" s="164" t="s">
        <v>35</v>
      </c>
      <c r="P764" s="164">
        <v>53</v>
      </c>
      <c r="Q764" s="164">
        <v>4</v>
      </c>
      <c r="R764" s="167" t="s">
        <v>873</v>
      </c>
      <c r="S764" s="167" t="s">
        <v>24</v>
      </c>
      <c r="T764" s="162" t="s">
        <v>800</v>
      </c>
      <c r="U764" s="167" t="s">
        <v>804</v>
      </c>
      <c r="X764" s="169">
        <v>45018</v>
      </c>
      <c r="Y764" s="170">
        <v>5</v>
      </c>
      <c r="Z764" s="170">
        <v>0</v>
      </c>
      <c r="AA764" s="170">
        <v>0</v>
      </c>
      <c r="AB764" s="170">
        <v>0</v>
      </c>
      <c r="AC764" s="171">
        <v>5</v>
      </c>
      <c r="AD764" s="172">
        <v>364257.76153999998</v>
      </c>
      <c r="AE764" s="173">
        <v>5</v>
      </c>
      <c r="AF764" s="174">
        <v>46357</v>
      </c>
    </row>
    <row r="765" spans="1:32" ht="20" x14ac:dyDescent="0.35">
      <c r="A765" s="162" t="s">
        <v>637</v>
      </c>
      <c r="B765" s="163" t="s">
        <v>1039</v>
      </c>
      <c r="C765" s="154"/>
      <c r="D765" s="162" t="s">
        <v>328</v>
      </c>
      <c r="E765" s="164" t="s">
        <v>328</v>
      </c>
      <c r="F765" s="164" t="s">
        <v>1039</v>
      </c>
      <c r="G765" s="164" t="s">
        <v>637</v>
      </c>
      <c r="H765" s="165">
        <v>26801</v>
      </c>
      <c r="I765" s="164" t="s">
        <v>20</v>
      </c>
      <c r="J765" s="164" t="s">
        <v>68</v>
      </c>
      <c r="K765" s="165">
        <v>44409</v>
      </c>
      <c r="L765" s="166" t="s">
        <v>128</v>
      </c>
      <c r="M765" s="154"/>
      <c r="N765" s="154"/>
      <c r="O765" s="164" t="s">
        <v>35</v>
      </c>
      <c r="P765" s="164">
        <v>53</v>
      </c>
      <c r="Q765" s="164">
        <v>4</v>
      </c>
      <c r="R765" s="167" t="s">
        <v>873</v>
      </c>
      <c r="S765" s="167" t="s">
        <v>24</v>
      </c>
      <c r="T765" s="162" t="s">
        <v>800</v>
      </c>
      <c r="U765" s="167" t="s">
        <v>805</v>
      </c>
      <c r="X765" s="169">
        <v>45018</v>
      </c>
      <c r="Y765" s="170">
        <v>2.4999999966690001</v>
      </c>
      <c r="Z765" s="170">
        <v>0.41666667000000002</v>
      </c>
      <c r="AA765" s="170">
        <v>0</v>
      </c>
      <c r="AB765" s="170">
        <v>0</v>
      </c>
      <c r="AC765" s="171">
        <v>2.9166666666690002</v>
      </c>
      <c r="AD765" s="172">
        <v>212483.69422999999</v>
      </c>
      <c r="AE765" s="173">
        <v>2.92</v>
      </c>
      <c r="AF765" s="174">
        <v>46357</v>
      </c>
    </row>
    <row r="766" spans="1:32" ht="20" x14ac:dyDescent="0.35">
      <c r="A766" s="162" t="s">
        <v>635</v>
      </c>
      <c r="B766" s="163" t="s">
        <v>914</v>
      </c>
      <c r="C766" s="154"/>
      <c r="D766" s="162" t="s">
        <v>330</v>
      </c>
      <c r="E766" s="164" t="s">
        <v>330</v>
      </c>
      <c r="F766" s="164" t="s">
        <v>914</v>
      </c>
      <c r="G766" s="164" t="s">
        <v>635</v>
      </c>
      <c r="H766" s="165">
        <v>32519</v>
      </c>
      <c r="I766" s="164" t="s">
        <v>20</v>
      </c>
      <c r="J766" s="164" t="s">
        <v>68</v>
      </c>
      <c r="K766" s="165">
        <v>44409</v>
      </c>
      <c r="L766" s="166" t="s">
        <v>332</v>
      </c>
      <c r="M766" s="154"/>
      <c r="N766" s="154"/>
      <c r="O766" s="164" t="s">
        <v>44</v>
      </c>
      <c r="P766" s="164">
        <v>37</v>
      </c>
      <c r="Q766" s="164">
        <v>4</v>
      </c>
      <c r="R766" s="167" t="s">
        <v>876</v>
      </c>
      <c r="S766" s="167" t="s">
        <v>877</v>
      </c>
      <c r="T766" s="162" t="s">
        <v>794</v>
      </c>
      <c r="U766" s="167" t="s">
        <v>795</v>
      </c>
      <c r="V766" s="162" t="s">
        <v>796</v>
      </c>
      <c r="W766" s="168">
        <v>4</v>
      </c>
      <c r="X766" s="169">
        <v>45931.041666666701</v>
      </c>
      <c r="Y766" s="170">
        <v>20.423333330003</v>
      </c>
      <c r="Z766" s="170">
        <v>1.9166666699999999</v>
      </c>
      <c r="AA766" s="170">
        <v>-6</v>
      </c>
      <c r="AB766" s="170">
        <v>0</v>
      </c>
      <c r="AC766" s="171">
        <v>16.340000000002998</v>
      </c>
      <c r="AD766" s="172">
        <v>1685768.1554700001</v>
      </c>
      <c r="AE766" s="173" t="s">
        <v>797</v>
      </c>
      <c r="AF766" s="173"/>
    </row>
    <row r="767" spans="1:32" ht="20" x14ac:dyDescent="0.35">
      <c r="A767" s="162" t="s">
        <v>635</v>
      </c>
      <c r="B767" s="163" t="s">
        <v>914</v>
      </c>
      <c r="C767" s="154"/>
      <c r="D767" s="162" t="s">
        <v>330</v>
      </c>
      <c r="E767" s="164" t="s">
        <v>330</v>
      </c>
      <c r="F767" s="164" t="s">
        <v>914</v>
      </c>
      <c r="G767" s="164" t="s">
        <v>635</v>
      </c>
      <c r="H767" s="165">
        <v>32519</v>
      </c>
      <c r="I767" s="164" t="s">
        <v>20</v>
      </c>
      <c r="J767" s="164" t="s">
        <v>68</v>
      </c>
      <c r="K767" s="165">
        <v>44409</v>
      </c>
      <c r="L767" s="166" t="s">
        <v>332</v>
      </c>
      <c r="M767" s="154"/>
      <c r="N767" s="154"/>
      <c r="O767" s="164" t="s">
        <v>44</v>
      </c>
      <c r="P767" s="164">
        <v>37</v>
      </c>
      <c r="Q767" s="164">
        <v>4</v>
      </c>
      <c r="R767" s="167" t="s">
        <v>876</v>
      </c>
      <c r="S767" s="167" t="s">
        <v>877</v>
      </c>
      <c r="T767" s="162" t="s">
        <v>798</v>
      </c>
      <c r="U767" s="167" t="s">
        <v>839</v>
      </c>
      <c r="X767" s="169">
        <v>45931.041666666701</v>
      </c>
      <c r="Y767" s="170">
        <v>180</v>
      </c>
      <c r="Z767" s="170">
        <v>0</v>
      </c>
      <c r="AA767" s="170">
        <v>0</v>
      </c>
      <c r="AB767" s="170">
        <v>0</v>
      </c>
      <c r="AC767" s="171">
        <v>180</v>
      </c>
      <c r="AD767" s="172">
        <v>18570273.438420001</v>
      </c>
      <c r="AE767" s="173">
        <v>180</v>
      </c>
      <c r="AF767" s="174">
        <v>46357</v>
      </c>
    </row>
    <row r="768" spans="1:32" ht="20" x14ac:dyDescent="0.35">
      <c r="A768" s="162" t="s">
        <v>635</v>
      </c>
      <c r="B768" s="163" t="s">
        <v>914</v>
      </c>
      <c r="C768" s="154"/>
      <c r="D768" s="162" t="s">
        <v>330</v>
      </c>
      <c r="E768" s="164" t="s">
        <v>330</v>
      </c>
      <c r="F768" s="164" t="s">
        <v>914</v>
      </c>
      <c r="G768" s="164" t="s">
        <v>635</v>
      </c>
      <c r="H768" s="165">
        <v>32519</v>
      </c>
      <c r="I768" s="164" t="s">
        <v>20</v>
      </c>
      <c r="J768" s="164" t="s">
        <v>68</v>
      </c>
      <c r="K768" s="165">
        <v>44409</v>
      </c>
      <c r="L768" s="166" t="s">
        <v>332</v>
      </c>
      <c r="M768" s="154"/>
      <c r="N768" s="154"/>
      <c r="O768" s="164" t="s">
        <v>44</v>
      </c>
      <c r="P768" s="164">
        <v>37</v>
      </c>
      <c r="Q768" s="164">
        <v>4</v>
      </c>
      <c r="R768" s="167" t="s">
        <v>876</v>
      </c>
      <c r="S768" s="167" t="s">
        <v>877</v>
      </c>
      <c r="T768" s="162" t="s">
        <v>800</v>
      </c>
      <c r="U768" s="167" t="s">
        <v>801</v>
      </c>
      <c r="X768" s="169">
        <v>45931.041666666701</v>
      </c>
      <c r="Y768" s="170">
        <v>26</v>
      </c>
      <c r="Z768" s="170">
        <v>0</v>
      </c>
      <c r="AA768" s="170">
        <v>-2</v>
      </c>
      <c r="AB768" s="170">
        <v>0</v>
      </c>
      <c r="AC768" s="171">
        <v>24</v>
      </c>
      <c r="AD768" s="172">
        <v>2476036.4584599999</v>
      </c>
      <c r="AE768" s="173">
        <v>24</v>
      </c>
      <c r="AF768" s="174">
        <v>46357</v>
      </c>
    </row>
    <row r="769" spans="1:32" ht="20" x14ac:dyDescent="0.35">
      <c r="A769" s="162" t="s">
        <v>635</v>
      </c>
      <c r="B769" s="163" t="s">
        <v>914</v>
      </c>
      <c r="C769" s="154"/>
      <c r="D769" s="162" t="s">
        <v>330</v>
      </c>
      <c r="E769" s="164" t="s">
        <v>330</v>
      </c>
      <c r="F769" s="164" t="s">
        <v>914</v>
      </c>
      <c r="G769" s="164" t="s">
        <v>635</v>
      </c>
      <c r="H769" s="165">
        <v>32519</v>
      </c>
      <c r="I769" s="164" t="s">
        <v>20</v>
      </c>
      <c r="J769" s="164" t="s">
        <v>68</v>
      </c>
      <c r="K769" s="165">
        <v>44409</v>
      </c>
      <c r="L769" s="166" t="s">
        <v>332</v>
      </c>
      <c r="M769" s="154"/>
      <c r="N769" s="154"/>
      <c r="O769" s="164" t="s">
        <v>44</v>
      </c>
      <c r="P769" s="164">
        <v>37</v>
      </c>
      <c r="Q769" s="164">
        <v>4</v>
      </c>
      <c r="R769" s="167" t="s">
        <v>876</v>
      </c>
      <c r="S769" s="167" t="s">
        <v>877</v>
      </c>
      <c r="T769" s="162" t="s">
        <v>800</v>
      </c>
      <c r="U769" s="167" t="s">
        <v>802</v>
      </c>
      <c r="X769" s="169">
        <v>45931.041666666701</v>
      </c>
      <c r="Y769" s="170">
        <v>98</v>
      </c>
      <c r="Z769" s="170">
        <v>0</v>
      </c>
      <c r="AA769" s="170">
        <v>0</v>
      </c>
      <c r="AB769" s="170">
        <v>0</v>
      </c>
      <c r="AC769" s="171">
        <v>98</v>
      </c>
      <c r="AD769" s="172">
        <v>10110482.205359999</v>
      </c>
      <c r="AE769" s="173">
        <v>98</v>
      </c>
      <c r="AF769" s="174">
        <v>46357</v>
      </c>
    </row>
    <row r="770" spans="1:32" ht="20" x14ac:dyDescent="0.35">
      <c r="A770" s="162" t="s">
        <v>635</v>
      </c>
      <c r="B770" s="163" t="s">
        <v>914</v>
      </c>
      <c r="C770" s="154"/>
      <c r="D770" s="162" t="s">
        <v>330</v>
      </c>
      <c r="E770" s="164" t="s">
        <v>330</v>
      </c>
      <c r="F770" s="164" t="s">
        <v>914</v>
      </c>
      <c r="G770" s="164" t="s">
        <v>635</v>
      </c>
      <c r="H770" s="165">
        <v>32519</v>
      </c>
      <c r="I770" s="164" t="s">
        <v>20</v>
      </c>
      <c r="J770" s="164" t="s">
        <v>68</v>
      </c>
      <c r="K770" s="165">
        <v>44409</v>
      </c>
      <c r="L770" s="166" t="s">
        <v>332</v>
      </c>
      <c r="M770" s="154"/>
      <c r="N770" s="154"/>
      <c r="O770" s="164" t="s">
        <v>44</v>
      </c>
      <c r="P770" s="164">
        <v>37</v>
      </c>
      <c r="Q770" s="164">
        <v>4</v>
      </c>
      <c r="R770" s="167" t="s">
        <v>876</v>
      </c>
      <c r="S770" s="167" t="s">
        <v>877</v>
      </c>
      <c r="T770" s="162" t="s">
        <v>800</v>
      </c>
      <c r="U770" s="167" t="s">
        <v>803</v>
      </c>
      <c r="X770" s="169">
        <v>45931.041666666701</v>
      </c>
      <c r="Y770" s="170">
        <v>2</v>
      </c>
      <c r="Z770" s="170">
        <v>0</v>
      </c>
      <c r="AA770" s="170">
        <v>0</v>
      </c>
      <c r="AB770" s="170">
        <v>0</v>
      </c>
      <c r="AC770" s="171">
        <v>2</v>
      </c>
      <c r="AD770" s="172">
        <v>206336.37153999999</v>
      </c>
      <c r="AE770" s="173">
        <v>2</v>
      </c>
      <c r="AF770" s="174">
        <v>46357</v>
      </c>
    </row>
    <row r="771" spans="1:32" ht="20" x14ac:dyDescent="0.35">
      <c r="A771" s="162" t="s">
        <v>635</v>
      </c>
      <c r="B771" s="163" t="s">
        <v>914</v>
      </c>
      <c r="C771" s="154"/>
      <c r="D771" s="162" t="s">
        <v>330</v>
      </c>
      <c r="E771" s="164" t="s">
        <v>330</v>
      </c>
      <c r="F771" s="164" t="s">
        <v>914</v>
      </c>
      <c r="G771" s="164" t="s">
        <v>635</v>
      </c>
      <c r="H771" s="165">
        <v>32519</v>
      </c>
      <c r="I771" s="164" t="s">
        <v>20</v>
      </c>
      <c r="J771" s="164" t="s">
        <v>68</v>
      </c>
      <c r="K771" s="165">
        <v>44409</v>
      </c>
      <c r="L771" s="166" t="s">
        <v>332</v>
      </c>
      <c r="M771" s="154"/>
      <c r="N771" s="154"/>
      <c r="O771" s="164" t="s">
        <v>44</v>
      </c>
      <c r="P771" s="164">
        <v>37</v>
      </c>
      <c r="Q771" s="164">
        <v>4</v>
      </c>
      <c r="R771" s="167" t="s">
        <v>876</v>
      </c>
      <c r="S771" s="167" t="s">
        <v>877</v>
      </c>
      <c r="T771" s="162" t="s">
        <v>800</v>
      </c>
      <c r="U771" s="167" t="s">
        <v>804</v>
      </c>
      <c r="X771" s="169">
        <v>45931.041666666701</v>
      </c>
      <c r="Y771" s="170">
        <v>5</v>
      </c>
      <c r="Z771" s="170">
        <v>0</v>
      </c>
      <c r="AA771" s="170">
        <v>0</v>
      </c>
      <c r="AB771" s="170">
        <v>0</v>
      </c>
      <c r="AC771" s="171">
        <v>5</v>
      </c>
      <c r="AD771" s="172">
        <v>515840.92884000001</v>
      </c>
      <c r="AE771" s="173">
        <v>5</v>
      </c>
      <c r="AF771" s="174">
        <v>46357</v>
      </c>
    </row>
    <row r="772" spans="1:32" ht="20" x14ac:dyDescent="0.35">
      <c r="A772" s="162" t="s">
        <v>635</v>
      </c>
      <c r="B772" s="163" t="s">
        <v>914</v>
      </c>
      <c r="C772" s="154"/>
      <c r="D772" s="162" t="s">
        <v>330</v>
      </c>
      <c r="E772" s="164" t="s">
        <v>330</v>
      </c>
      <c r="F772" s="164" t="s">
        <v>914</v>
      </c>
      <c r="G772" s="164" t="s">
        <v>635</v>
      </c>
      <c r="H772" s="165">
        <v>32519</v>
      </c>
      <c r="I772" s="164" t="s">
        <v>20</v>
      </c>
      <c r="J772" s="164" t="s">
        <v>68</v>
      </c>
      <c r="K772" s="165">
        <v>44409</v>
      </c>
      <c r="L772" s="166" t="s">
        <v>332</v>
      </c>
      <c r="M772" s="154"/>
      <c r="N772" s="154"/>
      <c r="O772" s="164" t="s">
        <v>44</v>
      </c>
      <c r="P772" s="164">
        <v>37</v>
      </c>
      <c r="Q772" s="164">
        <v>4</v>
      </c>
      <c r="R772" s="167" t="s">
        <v>876</v>
      </c>
      <c r="S772" s="167" t="s">
        <v>877</v>
      </c>
      <c r="T772" s="162" t="s">
        <v>800</v>
      </c>
      <c r="U772" s="167" t="s">
        <v>840</v>
      </c>
      <c r="X772" s="169">
        <v>45931.041666666701</v>
      </c>
      <c r="Y772" s="170">
        <v>2.4999999966690001</v>
      </c>
      <c r="Z772" s="170">
        <v>0.41666667000000002</v>
      </c>
      <c r="AA772" s="170">
        <v>0</v>
      </c>
      <c r="AB772" s="170">
        <v>0</v>
      </c>
      <c r="AC772" s="171">
        <v>2.9166666666690002</v>
      </c>
      <c r="AD772" s="172">
        <v>300907.20848999999</v>
      </c>
      <c r="AE772" s="173">
        <v>2.92</v>
      </c>
      <c r="AF772" s="174">
        <v>46357</v>
      </c>
    </row>
    <row r="773" spans="1:32" ht="20" x14ac:dyDescent="0.35">
      <c r="A773" s="162" t="s">
        <v>657</v>
      </c>
      <c r="B773" s="163" t="s">
        <v>1040</v>
      </c>
      <c r="C773" s="154"/>
      <c r="D773" s="162" t="s">
        <v>333</v>
      </c>
      <c r="E773" s="164" t="s">
        <v>333</v>
      </c>
      <c r="F773" s="164" t="s">
        <v>1040</v>
      </c>
      <c r="G773" s="164" t="s">
        <v>657</v>
      </c>
      <c r="H773" s="165">
        <v>25275</v>
      </c>
      <c r="I773" s="164" t="s">
        <v>20</v>
      </c>
      <c r="J773" s="164" t="s">
        <v>68</v>
      </c>
      <c r="K773" s="165">
        <v>44396</v>
      </c>
      <c r="L773" s="166" t="s">
        <v>216</v>
      </c>
      <c r="M773" s="154"/>
      <c r="N773" s="154"/>
      <c r="O773" s="164" t="s">
        <v>65</v>
      </c>
      <c r="P773" s="164">
        <v>57</v>
      </c>
      <c r="Q773" s="164">
        <v>5</v>
      </c>
      <c r="R773" s="167" t="s">
        <v>888</v>
      </c>
      <c r="S773" s="167" t="s">
        <v>45</v>
      </c>
      <c r="T773" s="162" t="s">
        <v>794</v>
      </c>
      <c r="U773" s="167" t="s">
        <v>795</v>
      </c>
      <c r="V773" s="162" t="s">
        <v>796</v>
      </c>
      <c r="W773" s="168">
        <v>5</v>
      </c>
      <c r="X773" s="169">
        <v>45018</v>
      </c>
      <c r="Y773" s="170">
        <v>24.499999996669999</v>
      </c>
      <c r="Z773" s="170">
        <v>1.9166666699999999</v>
      </c>
      <c r="AA773" s="170">
        <v>0</v>
      </c>
      <c r="AB773" s="170">
        <v>0</v>
      </c>
      <c r="AC773" s="171">
        <v>26.41666666667</v>
      </c>
      <c r="AD773" s="172">
        <v>5126290.4360100003</v>
      </c>
      <c r="AE773" s="173" t="s">
        <v>797</v>
      </c>
      <c r="AF773" s="173"/>
    </row>
    <row r="774" spans="1:32" ht="20" x14ac:dyDescent="0.35">
      <c r="A774" s="162" t="s">
        <v>657</v>
      </c>
      <c r="B774" s="163" t="s">
        <v>1040</v>
      </c>
      <c r="C774" s="154"/>
      <c r="D774" s="162" t="s">
        <v>333</v>
      </c>
      <c r="E774" s="164" t="s">
        <v>333</v>
      </c>
      <c r="F774" s="164" t="s">
        <v>1040</v>
      </c>
      <c r="G774" s="164" t="s">
        <v>657</v>
      </c>
      <c r="H774" s="165">
        <v>25275</v>
      </c>
      <c r="I774" s="164" t="s">
        <v>20</v>
      </c>
      <c r="J774" s="164" t="s">
        <v>68</v>
      </c>
      <c r="K774" s="165">
        <v>44396</v>
      </c>
      <c r="L774" s="166" t="s">
        <v>216</v>
      </c>
      <c r="M774" s="154"/>
      <c r="N774" s="154"/>
      <c r="O774" s="164" t="s">
        <v>65</v>
      </c>
      <c r="P774" s="164">
        <v>57</v>
      </c>
      <c r="Q774" s="164">
        <v>5</v>
      </c>
      <c r="R774" s="167" t="s">
        <v>888</v>
      </c>
      <c r="S774" s="167" t="s">
        <v>45</v>
      </c>
      <c r="T774" s="162" t="s">
        <v>798</v>
      </c>
      <c r="U774" s="167" t="s">
        <v>839</v>
      </c>
      <c r="X774" s="169">
        <v>45018</v>
      </c>
      <c r="Y774" s="170">
        <v>180</v>
      </c>
      <c r="Z774" s="170">
        <v>0</v>
      </c>
      <c r="AA774" s="170">
        <v>0</v>
      </c>
      <c r="AB774" s="170">
        <v>0</v>
      </c>
      <c r="AC774" s="171">
        <v>180</v>
      </c>
      <c r="AD774" s="172">
        <v>34929928.522979997</v>
      </c>
      <c r="AE774" s="173">
        <v>180</v>
      </c>
      <c r="AF774" s="174">
        <v>46357</v>
      </c>
    </row>
    <row r="775" spans="1:32" ht="20" x14ac:dyDescent="0.35">
      <c r="A775" s="162" t="s">
        <v>657</v>
      </c>
      <c r="B775" s="163" t="s">
        <v>1040</v>
      </c>
      <c r="C775" s="154"/>
      <c r="D775" s="162" t="s">
        <v>333</v>
      </c>
      <c r="E775" s="164" t="s">
        <v>333</v>
      </c>
      <c r="F775" s="164" t="s">
        <v>1040</v>
      </c>
      <c r="G775" s="164" t="s">
        <v>657</v>
      </c>
      <c r="H775" s="165">
        <v>25275</v>
      </c>
      <c r="I775" s="164" t="s">
        <v>20</v>
      </c>
      <c r="J775" s="164" t="s">
        <v>68</v>
      </c>
      <c r="K775" s="165">
        <v>44396</v>
      </c>
      <c r="L775" s="166" t="s">
        <v>216</v>
      </c>
      <c r="M775" s="154"/>
      <c r="N775" s="154"/>
      <c r="O775" s="164" t="s">
        <v>65</v>
      </c>
      <c r="P775" s="164">
        <v>57</v>
      </c>
      <c r="Q775" s="164">
        <v>5</v>
      </c>
      <c r="R775" s="167" t="s">
        <v>888</v>
      </c>
      <c r="S775" s="167" t="s">
        <v>45</v>
      </c>
      <c r="T775" s="162" t="s">
        <v>800</v>
      </c>
      <c r="U775" s="167" t="s">
        <v>801</v>
      </c>
      <c r="X775" s="169">
        <v>45018</v>
      </c>
      <c r="Y775" s="170">
        <v>26</v>
      </c>
      <c r="Z775" s="170">
        <v>0</v>
      </c>
      <c r="AA775" s="170">
        <v>0</v>
      </c>
      <c r="AB775" s="170">
        <v>0</v>
      </c>
      <c r="AC775" s="171">
        <v>26</v>
      </c>
      <c r="AD775" s="172">
        <v>5045434.1199899996</v>
      </c>
      <c r="AE775" s="173">
        <v>26</v>
      </c>
      <c r="AF775" s="174">
        <v>46357</v>
      </c>
    </row>
    <row r="776" spans="1:32" ht="20" x14ac:dyDescent="0.35">
      <c r="A776" s="162" t="s">
        <v>657</v>
      </c>
      <c r="B776" s="163" t="s">
        <v>1040</v>
      </c>
      <c r="C776" s="154"/>
      <c r="D776" s="162" t="s">
        <v>333</v>
      </c>
      <c r="E776" s="164" t="s">
        <v>333</v>
      </c>
      <c r="F776" s="164" t="s">
        <v>1040</v>
      </c>
      <c r="G776" s="164" t="s">
        <v>657</v>
      </c>
      <c r="H776" s="165">
        <v>25275</v>
      </c>
      <c r="I776" s="164" t="s">
        <v>20</v>
      </c>
      <c r="J776" s="164" t="s">
        <v>68</v>
      </c>
      <c r="K776" s="165">
        <v>44396</v>
      </c>
      <c r="L776" s="166" t="s">
        <v>216</v>
      </c>
      <c r="M776" s="154"/>
      <c r="N776" s="154"/>
      <c r="O776" s="164" t="s">
        <v>65</v>
      </c>
      <c r="P776" s="164">
        <v>57</v>
      </c>
      <c r="Q776" s="164">
        <v>5</v>
      </c>
      <c r="R776" s="167" t="s">
        <v>888</v>
      </c>
      <c r="S776" s="167" t="s">
        <v>45</v>
      </c>
      <c r="T776" s="162" t="s">
        <v>800</v>
      </c>
      <c r="U776" s="167" t="s">
        <v>802</v>
      </c>
      <c r="X776" s="169">
        <v>45018</v>
      </c>
      <c r="Y776" s="170">
        <v>98</v>
      </c>
      <c r="Z776" s="170">
        <v>0</v>
      </c>
      <c r="AA776" s="170">
        <v>0</v>
      </c>
      <c r="AB776" s="170">
        <v>0</v>
      </c>
      <c r="AC776" s="171">
        <v>98</v>
      </c>
      <c r="AD776" s="172">
        <v>19017405.529180001</v>
      </c>
      <c r="AE776" s="173">
        <v>98</v>
      </c>
      <c r="AF776" s="174">
        <v>46357</v>
      </c>
    </row>
    <row r="777" spans="1:32" ht="20" x14ac:dyDescent="0.35">
      <c r="A777" s="162" t="s">
        <v>657</v>
      </c>
      <c r="B777" s="163" t="s">
        <v>1040</v>
      </c>
      <c r="C777" s="154"/>
      <c r="D777" s="162" t="s">
        <v>333</v>
      </c>
      <c r="E777" s="164" t="s">
        <v>333</v>
      </c>
      <c r="F777" s="164" t="s">
        <v>1040</v>
      </c>
      <c r="G777" s="164" t="s">
        <v>657</v>
      </c>
      <c r="H777" s="165">
        <v>25275</v>
      </c>
      <c r="I777" s="164" t="s">
        <v>20</v>
      </c>
      <c r="J777" s="164" t="s">
        <v>68</v>
      </c>
      <c r="K777" s="165">
        <v>44396</v>
      </c>
      <c r="L777" s="166" t="s">
        <v>216</v>
      </c>
      <c r="M777" s="154"/>
      <c r="N777" s="154"/>
      <c r="O777" s="164" t="s">
        <v>65</v>
      </c>
      <c r="P777" s="164">
        <v>57</v>
      </c>
      <c r="Q777" s="164">
        <v>5</v>
      </c>
      <c r="R777" s="167" t="s">
        <v>888</v>
      </c>
      <c r="S777" s="167" t="s">
        <v>45</v>
      </c>
      <c r="T777" s="162" t="s">
        <v>800</v>
      </c>
      <c r="U777" s="167" t="s">
        <v>803</v>
      </c>
      <c r="X777" s="169">
        <v>45018</v>
      </c>
      <c r="Y777" s="170">
        <v>2</v>
      </c>
      <c r="Z777" s="170">
        <v>0</v>
      </c>
      <c r="AA777" s="170">
        <v>0</v>
      </c>
      <c r="AB777" s="170">
        <v>0</v>
      </c>
      <c r="AC777" s="171">
        <v>2</v>
      </c>
      <c r="AD777" s="172">
        <v>388110.31692000001</v>
      </c>
      <c r="AE777" s="173">
        <v>2</v>
      </c>
      <c r="AF777" s="174">
        <v>46357</v>
      </c>
    </row>
    <row r="778" spans="1:32" ht="20" x14ac:dyDescent="0.35">
      <c r="A778" s="162" t="s">
        <v>657</v>
      </c>
      <c r="B778" s="163" t="s">
        <v>1040</v>
      </c>
      <c r="C778" s="154"/>
      <c r="D778" s="162" t="s">
        <v>333</v>
      </c>
      <c r="E778" s="164" t="s">
        <v>333</v>
      </c>
      <c r="F778" s="164" t="s">
        <v>1040</v>
      </c>
      <c r="G778" s="164" t="s">
        <v>657</v>
      </c>
      <c r="H778" s="165">
        <v>25275</v>
      </c>
      <c r="I778" s="164" t="s">
        <v>20</v>
      </c>
      <c r="J778" s="164" t="s">
        <v>68</v>
      </c>
      <c r="K778" s="165">
        <v>44396</v>
      </c>
      <c r="L778" s="166" t="s">
        <v>216</v>
      </c>
      <c r="M778" s="154"/>
      <c r="N778" s="154"/>
      <c r="O778" s="164" t="s">
        <v>65</v>
      </c>
      <c r="P778" s="164">
        <v>57</v>
      </c>
      <c r="Q778" s="164">
        <v>5</v>
      </c>
      <c r="R778" s="167" t="s">
        <v>888</v>
      </c>
      <c r="S778" s="167" t="s">
        <v>45</v>
      </c>
      <c r="T778" s="162" t="s">
        <v>800</v>
      </c>
      <c r="U778" s="167" t="s">
        <v>804</v>
      </c>
      <c r="X778" s="169">
        <v>45018</v>
      </c>
      <c r="Y778" s="170">
        <v>5</v>
      </c>
      <c r="Z778" s="170">
        <v>0</v>
      </c>
      <c r="AA778" s="170">
        <v>0</v>
      </c>
      <c r="AB778" s="170">
        <v>0</v>
      </c>
      <c r="AC778" s="171">
        <v>5</v>
      </c>
      <c r="AD778" s="172">
        <v>970275.79231000005</v>
      </c>
      <c r="AE778" s="173">
        <v>5</v>
      </c>
      <c r="AF778" s="174">
        <v>46357</v>
      </c>
    </row>
    <row r="779" spans="1:32" ht="20" x14ac:dyDescent="0.35">
      <c r="A779" s="162" t="s">
        <v>657</v>
      </c>
      <c r="B779" s="163" t="s">
        <v>1040</v>
      </c>
      <c r="C779" s="154"/>
      <c r="D779" s="162" t="s">
        <v>333</v>
      </c>
      <c r="E779" s="164" t="s">
        <v>333</v>
      </c>
      <c r="F779" s="164" t="s">
        <v>1040</v>
      </c>
      <c r="G779" s="164" t="s">
        <v>657</v>
      </c>
      <c r="H779" s="165">
        <v>25275</v>
      </c>
      <c r="I779" s="164" t="s">
        <v>20</v>
      </c>
      <c r="J779" s="164" t="s">
        <v>68</v>
      </c>
      <c r="K779" s="165">
        <v>44396</v>
      </c>
      <c r="L779" s="166" t="s">
        <v>216</v>
      </c>
      <c r="M779" s="154"/>
      <c r="N779" s="154"/>
      <c r="O779" s="164" t="s">
        <v>65</v>
      </c>
      <c r="P779" s="164">
        <v>57</v>
      </c>
      <c r="Q779" s="164">
        <v>5</v>
      </c>
      <c r="R779" s="167" t="s">
        <v>888</v>
      </c>
      <c r="S779" s="167" t="s">
        <v>45</v>
      </c>
      <c r="T779" s="162" t="s">
        <v>800</v>
      </c>
      <c r="U779" s="167" t="s">
        <v>840</v>
      </c>
      <c r="X779" s="169">
        <v>45018</v>
      </c>
      <c r="Y779" s="170">
        <v>2.4999999966690001</v>
      </c>
      <c r="Z779" s="170">
        <v>0.41666667000000002</v>
      </c>
      <c r="AA779" s="170">
        <v>0</v>
      </c>
      <c r="AB779" s="170">
        <v>0</v>
      </c>
      <c r="AC779" s="171">
        <v>2.9166666666690002</v>
      </c>
      <c r="AD779" s="172">
        <v>565994.21218000003</v>
      </c>
      <c r="AE779" s="173">
        <v>2.92</v>
      </c>
      <c r="AF779" s="174">
        <v>46357</v>
      </c>
    </row>
    <row r="780" spans="1:32" ht="20" x14ac:dyDescent="0.35">
      <c r="A780" s="162" t="s">
        <v>659</v>
      </c>
      <c r="B780" s="163" t="s">
        <v>1041</v>
      </c>
      <c r="C780" s="154"/>
      <c r="D780" s="162" t="s">
        <v>335</v>
      </c>
      <c r="E780" s="164" t="s">
        <v>335</v>
      </c>
      <c r="F780" s="164" t="s">
        <v>1041</v>
      </c>
      <c r="G780" s="164" t="s">
        <v>659</v>
      </c>
      <c r="H780" s="165">
        <v>31273</v>
      </c>
      <c r="I780" s="164" t="s">
        <v>20</v>
      </c>
      <c r="J780" s="164" t="s">
        <v>68</v>
      </c>
      <c r="K780" s="165">
        <v>44396</v>
      </c>
      <c r="L780" s="166" t="s">
        <v>337</v>
      </c>
      <c r="M780" s="154"/>
      <c r="N780" s="154"/>
      <c r="O780" s="164" t="s">
        <v>44</v>
      </c>
      <c r="P780" s="164">
        <v>40</v>
      </c>
      <c r="Q780" s="164">
        <v>5</v>
      </c>
      <c r="R780" s="167" t="s">
        <v>888</v>
      </c>
      <c r="S780" s="167" t="s">
        <v>45</v>
      </c>
      <c r="T780" s="162" t="s">
        <v>794</v>
      </c>
      <c r="U780" s="167" t="s">
        <v>795</v>
      </c>
      <c r="V780" s="162" t="s">
        <v>796</v>
      </c>
      <c r="W780" s="168">
        <v>5</v>
      </c>
      <c r="X780" s="169">
        <v>45018</v>
      </c>
      <c r="Y780" s="170">
        <v>22.499999996669999</v>
      </c>
      <c r="Z780" s="170">
        <v>1.9166666699999999</v>
      </c>
      <c r="AA780" s="170">
        <v>0</v>
      </c>
      <c r="AB780" s="170">
        <v>0</v>
      </c>
      <c r="AC780" s="171">
        <v>24.41666666667</v>
      </c>
      <c r="AD780" s="172">
        <v>4454513.7280000001</v>
      </c>
      <c r="AE780" s="173" t="s">
        <v>797</v>
      </c>
      <c r="AF780" s="173"/>
    </row>
    <row r="781" spans="1:32" ht="20" x14ac:dyDescent="0.35">
      <c r="A781" s="162" t="s">
        <v>659</v>
      </c>
      <c r="B781" s="163" t="s">
        <v>1041</v>
      </c>
      <c r="C781" s="154"/>
      <c r="D781" s="162" t="s">
        <v>335</v>
      </c>
      <c r="E781" s="164" t="s">
        <v>335</v>
      </c>
      <c r="F781" s="164" t="s">
        <v>1041</v>
      </c>
      <c r="G781" s="164" t="s">
        <v>659</v>
      </c>
      <c r="H781" s="165">
        <v>31273</v>
      </c>
      <c r="I781" s="164" t="s">
        <v>20</v>
      </c>
      <c r="J781" s="164" t="s">
        <v>68</v>
      </c>
      <c r="K781" s="165">
        <v>44396</v>
      </c>
      <c r="L781" s="166" t="s">
        <v>337</v>
      </c>
      <c r="M781" s="154"/>
      <c r="N781" s="154"/>
      <c r="O781" s="164" t="s">
        <v>44</v>
      </c>
      <c r="P781" s="164">
        <v>40</v>
      </c>
      <c r="Q781" s="164">
        <v>5</v>
      </c>
      <c r="R781" s="167" t="s">
        <v>888</v>
      </c>
      <c r="S781" s="167" t="s">
        <v>45</v>
      </c>
      <c r="T781" s="162" t="s">
        <v>798</v>
      </c>
      <c r="U781" s="167" t="s">
        <v>839</v>
      </c>
      <c r="X781" s="169">
        <v>45018</v>
      </c>
      <c r="Y781" s="170">
        <v>180</v>
      </c>
      <c r="Z781" s="170">
        <v>0</v>
      </c>
      <c r="AA781" s="170">
        <v>0</v>
      </c>
      <c r="AB781" s="170">
        <v>0</v>
      </c>
      <c r="AC781" s="171">
        <v>180</v>
      </c>
      <c r="AD781" s="172">
        <v>32838736.01526</v>
      </c>
      <c r="AE781" s="173">
        <v>180</v>
      </c>
      <c r="AF781" s="174">
        <v>46357</v>
      </c>
    </row>
    <row r="782" spans="1:32" ht="20" x14ac:dyDescent="0.35">
      <c r="A782" s="162" t="s">
        <v>659</v>
      </c>
      <c r="B782" s="163" t="s">
        <v>1041</v>
      </c>
      <c r="C782" s="154"/>
      <c r="D782" s="162" t="s">
        <v>335</v>
      </c>
      <c r="E782" s="164" t="s">
        <v>335</v>
      </c>
      <c r="F782" s="164" t="s">
        <v>1041</v>
      </c>
      <c r="G782" s="164" t="s">
        <v>659</v>
      </c>
      <c r="H782" s="165">
        <v>31273</v>
      </c>
      <c r="I782" s="164" t="s">
        <v>20</v>
      </c>
      <c r="J782" s="164" t="s">
        <v>68</v>
      </c>
      <c r="K782" s="165">
        <v>44396</v>
      </c>
      <c r="L782" s="166" t="s">
        <v>337</v>
      </c>
      <c r="M782" s="154"/>
      <c r="N782" s="154"/>
      <c r="O782" s="164" t="s">
        <v>44</v>
      </c>
      <c r="P782" s="164">
        <v>40</v>
      </c>
      <c r="Q782" s="164">
        <v>5</v>
      </c>
      <c r="R782" s="167" t="s">
        <v>888</v>
      </c>
      <c r="S782" s="167" t="s">
        <v>45</v>
      </c>
      <c r="T782" s="162" t="s">
        <v>800</v>
      </c>
      <c r="U782" s="167" t="s">
        <v>801</v>
      </c>
      <c r="X782" s="169">
        <v>45018</v>
      </c>
      <c r="Y782" s="170">
        <v>26</v>
      </c>
      <c r="Z782" s="170">
        <v>0</v>
      </c>
      <c r="AA782" s="170">
        <v>0</v>
      </c>
      <c r="AB782" s="170">
        <v>0</v>
      </c>
      <c r="AC782" s="171">
        <v>26</v>
      </c>
      <c r="AD782" s="172">
        <v>4743372.9799800003</v>
      </c>
      <c r="AE782" s="173">
        <v>26</v>
      </c>
      <c r="AF782" s="174">
        <v>46357</v>
      </c>
    </row>
    <row r="783" spans="1:32" ht="20" x14ac:dyDescent="0.35">
      <c r="A783" s="162" t="s">
        <v>659</v>
      </c>
      <c r="B783" s="163" t="s">
        <v>1041</v>
      </c>
      <c r="C783" s="154"/>
      <c r="D783" s="162" t="s">
        <v>335</v>
      </c>
      <c r="E783" s="164" t="s">
        <v>335</v>
      </c>
      <c r="F783" s="164" t="s">
        <v>1041</v>
      </c>
      <c r="G783" s="164" t="s">
        <v>659</v>
      </c>
      <c r="H783" s="165">
        <v>31273</v>
      </c>
      <c r="I783" s="164" t="s">
        <v>20</v>
      </c>
      <c r="J783" s="164" t="s">
        <v>68</v>
      </c>
      <c r="K783" s="165">
        <v>44396</v>
      </c>
      <c r="L783" s="166" t="s">
        <v>337</v>
      </c>
      <c r="M783" s="154"/>
      <c r="N783" s="154"/>
      <c r="O783" s="164" t="s">
        <v>44</v>
      </c>
      <c r="P783" s="164">
        <v>40</v>
      </c>
      <c r="Q783" s="164">
        <v>5</v>
      </c>
      <c r="R783" s="167" t="s">
        <v>888</v>
      </c>
      <c r="S783" s="167" t="s">
        <v>45</v>
      </c>
      <c r="T783" s="162" t="s">
        <v>800</v>
      </c>
      <c r="U783" s="167" t="s">
        <v>802</v>
      </c>
      <c r="X783" s="169">
        <v>45018</v>
      </c>
      <c r="Y783" s="170">
        <v>98</v>
      </c>
      <c r="Z783" s="170">
        <v>0</v>
      </c>
      <c r="AA783" s="170">
        <v>0</v>
      </c>
      <c r="AB783" s="170">
        <v>0</v>
      </c>
      <c r="AC783" s="171">
        <v>98</v>
      </c>
      <c r="AD783" s="172">
        <v>17878867.386089999</v>
      </c>
      <c r="AE783" s="173">
        <v>98</v>
      </c>
      <c r="AF783" s="174">
        <v>46357</v>
      </c>
    </row>
    <row r="784" spans="1:32" ht="20" x14ac:dyDescent="0.35">
      <c r="A784" s="162" t="s">
        <v>659</v>
      </c>
      <c r="B784" s="163" t="s">
        <v>1041</v>
      </c>
      <c r="C784" s="154"/>
      <c r="D784" s="162" t="s">
        <v>335</v>
      </c>
      <c r="E784" s="164" t="s">
        <v>335</v>
      </c>
      <c r="F784" s="164" t="s">
        <v>1041</v>
      </c>
      <c r="G784" s="164" t="s">
        <v>659</v>
      </c>
      <c r="H784" s="165">
        <v>31273</v>
      </c>
      <c r="I784" s="164" t="s">
        <v>20</v>
      </c>
      <c r="J784" s="164" t="s">
        <v>68</v>
      </c>
      <c r="K784" s="165">
        <v>44396</v>
      </c>
      <c r="L784" s="166" t="s">
        <v>337</v>
      </c>
      <c r="M784" s="154"/>
      <c r="N784" s="154"/>
      <c r="O784" s="164" t="s">
        <v>44</v>
      </c>
      <c r="P784" s="164">
        <v>40</v>
      </c>
      <c r="Q784" s="164">
        <v>5</v>
      </c>
      <c r="R784" s="167" t="s">
        <v>888</v>
      </c>
      <c r="S784" s="167" t="s">
        <v>45</v>
      </c>
      <c r="T784" s="162" t="s">
        <v>800</v>
      </c>
      <c r="U784" s="167" t="s">
        <v>803</v>
      </c>
      <c r="X784" s="169">
        <v>45018</v>
      </c>
      <c r="Y784" s="170">
        <v>2</v>
      </c>
      <c r="Z784" s="170">
        <v>0</v>
      </c>
      <c r="AA784" s="170">
        <v>0</v>
      </c>
      <c r="AB784" s="170">
        <v>0</v>
      </c>
      <c r="AC784" s="171">
        <v>2</v>
      </c>
      <c r="AD784" s="172">
        <v>364874.84460999997</v>
      </c>
      <c r="AE784" s="173">
        <v>2</v>
      </c>
      <c r="AF784" s="174">
        <v>46357</v>
      </c>
    </row>
    <row r="785" spans="1:32" ht="20" x14ac:dyDescent="0.35">
      <c r="A785" s="162" t="s">
        <v>659</v>
      </c>
      <c r="B785" s="163" t="s">
        <v>1041</v>
      </c>
      <c r="C785" s="154"/>
      <c r="D785" s="162" t="s">
        <v>335</v>
      </c>
      <c r="E785" s="164" t="s">
        <v>335</v>
      </c>
      <c r="F785" s="164" t="s">
        <v>1041</v>
      </c>
      <c r="G785" s="164" t="s">
        <v>659</v>
      </c>
      <c r="H785" s="165">
        <v>31273</v>
      </c>
      <c r="I785" s="164" t="s">
        <v>20</v>
      </c>
      <c r="J785" s="164" t="s">
        <v>68</v>
      </c>
      <c r="K785" s="165">
        <v>44396</v>
      </c>
      <c r="L785" s="166" t="s">
        <v>337</v>
      </c>
      <c r="M785" s="154"/>
      <c r="N785" s="154"/>
      <c r="O785" s="164" t="s">
        <v>44</v>
      </c>
      <c r="P785" s="164">
        <v>40</v>
      </c>
      <c r="Q785" s="164">
        <v>5</v>
      </c>
      <c r="R785" s="167" t="s">
        <v>888</v>
      </c>
      <c r="S785" s="167" t="s">
        <v>45</v>
      </c>
      <c r="T785" s="162" t="s">
        <v>800</v>
      </c>
      <c r="U785" s="167" t="s">
        <v>804</v>
      </c>
      <c r="X785" s="169">
        <v>45018</v>
      </c>
      <c r="Y785" s="170">
        <v>5</v>
      </c>
      <c r="Z785" s="170">
        <v>0</v>
      </c>
      <c r="AA785" s="170">
        <v>0</v>
      </c>
      <c r="AB785" s="170">
        <v>0</v>
      </c>
      <c r="AC785" s="171">
        <v>5</v>
      </c>
      <c r="AD785" s="172">
        <v>912187.11153999995</v>
      </c>
      <c r="AE785" s="173">
        <v>5</v>
      </c>
      <c r="AF785" s="174">
        <v>46357</v>
      </c>
    </row>
    <row r="786" spans="1:32" ht="20" x14ac:dyDescent="0.35">
      <c r="A786" s="162" t="s">
        <v>659</v>
      </c>
      <c r="B786" s="163" t="s">
        <v>1041</v>
      </c>
      <c r="C786" s="154"/>
      <c r="D786" s="162" t="s">
        <v>335</v>
      </c>
      <c r="E786" s="164" t="s">
        <v>335</v>
      </c>
      <c r="F786" s="164" t="s">
        <v>1041</v>
      </c>
      <c r="G786" s="164" t="s">
        <v>659</v>
      </c>
      <c r="H786" s="165">
        <v>31273</v>
      </c>
      <c r="I786" s="164" t="s">
        <v>20</v>
      </c>
      <c r="J786" s="164" t="s">
        <v>68</v>
      </c>
      <c r="K786" s="165">
        <v>44396</v>
      </c>
      <c r="L786" s="166" t="s">
        <v>337</v>
      </c>
      <c r="M786" s="154"/>
      <c r="N786" s="154"/>
      <c r="O786" s="164" t="s">
        <v>44</v>
      </c>
      <c r="P786" s="164">
        <v>40</v>
      </c>
      <c r="Q786" s="164">
        <v>5</v>
      </c>
      <c r="R786" s="167" t="s">
        <v>888</v>
      </c>
      <c r="S786" s="167" t="s">
        <v>45</v>
      </c>
      <c r="T786" s="162" t="s">
        <v>800</v>
      </c>
      <c r="U786" s="167" t="s">
        <v>840</v>
      </c>
      <c r="X786" s="169">
        <v>45018</v>
      </c>
      <c r="Y786" s="170">
        <v>2.4999999966690001</v>
      </c>
      <c r="Z786" s="170">
        <v>0.41666667000000002</v>
      </c>
      <c r="AA786" s="170">
        <v>0</v>
      </c>
      <c r="AB786" s="170">
        <v>0</v>
      </c>
      <c r="AC786" s="171">
        <v>2.9166666666690002</v>
      </c>
      <c r="AD786" s="172">
        <v>532109.14839999995</v>
      </c>
      <c r="AE786" s="173">
        <v>2.92</v>
      </c>
      <c r="AF786" s="174">
        <v>46357</v>
      </c>
    </row>
    <row r="787" spans="1:32" ht="20" x14ac:dyDescent="0.35">
      <c r="A787" s="162" t="s">
        <v>1042</v>
      </c>
      <c r="B787" s="163" t="s">
        <v>1043</v>
      </c>
      <c r="C787" s="154"/>
      <c r="D787" s="162" t="s">
        <v>338</v>
      </c>
      <c r="E787" s="164" t="s">
        <v>338</v>
      </c>
      <c r="F787" s="164" t="s">
        <v>1043</v>
      </c>
      <c r="G787" s="164" t="s">
        <v>1042</v>
      </c>
      <c r="H787" s="165">
        <v>33784</v>
      </c>
      <c r="I787" s="164" t="s">
        <v>20</v>
      </c>
      <c r="J787" s="164" t="s">
        <v>68</v>
      </c>
      <c r="K787" s="165">
        <v>44564</v>
      </c>
      <c r="L787" s="166" t="s">
        <v>148</v>
      </c>
      <c r="M787" s="154"/>
      <c r="N787" s="154"/>
      <c r="O787" s="164" t="s">
        <v>65</v>
      </c>
      <c r="P787" s="164">
        <v>34</v>
      </c>
      <c r="Q787" s="164">
        <v>4</v>
      </c>
      <c r="R787" s="167" t="s">
        <v>919</v>
      </c>
      <c r="S787" s="167" t="s">
        <v>848</v>
      </c>
      <c r="T787" s="162" t="s">
        <v>794</v>
      </c>
      <c r="U787" s="167" t="s">
        <v>795</v>
      </c>
      <c r="V787" s="162" t="s">
        <v>796</v>
      </c>
      <c r="W787" s="168">
        <v>4</v>
      </c>
      <c r="X787" s="169">
        <v>45293</v>
      </c>
      <c r="Y787" s="170">
        <v>27.999999996671001</v>
      </c>
      <c r="Z787" s="170">
        <v>1.9166666699999999</v>
      </c>
      <c r="AA787" s="170">
        <v>0</v>
      </c>
      <c r="AB787" s="170">
        <v>0</v>
      </c>
      <c r="AC787" s="171">
        <v>29.916666666670999</v>
      </c>
      <c r="AD787" s="172">
        <v>6016567.8848799998</v>
      </c>
      <c r="AE787" s="173" t="s">
        <v>797</v>
      </c>
      <c r="AF787" s="173"/>
    </row>
    <row r="788" spans="1:32" ht="20" x14ac:dyDescent="0.35">
      <c r="A788" s="162" t="s">
        <v>1042</v>
      </c>
      <c r="B788" s="163" t="s">
        <v>1043</v>
      </c>
      <c r="C788" s="154"/>
      <c r="D788" s="162" t="s">
        <v>338</v>
      </c>
      <c r="E788" s="164" t="s">
        <v>338</v>
      </c>
      <c r="F788" s="164" t="s">
        <v>1043</v>
      </c>
      <c r="G788" s="164" t="s">
        <v>1042</v>
      </c>
      <c r="H788" s="165">
        <v>33784</v>
      </c>
      <c r="I788" s="164" t="s">
        <v>20</v>
      </c>
      <c r="J788" s="164" t="s">
        <v>68</v>
      </c>
      <c r="K788" s="165">
        <v>44564</v>
      </c>
      <c r="L788" s="166" t="s">
        <v>148</v>
      </c>
      <c r="M788" s="154"/>
      <c r="N788" s="154"/>
      <c r="O788" s="164" t="s">
        <v>65</v>
      </c>
      <c r="P788" s="164">
        <v>34</v>
      </c>
      <c r="Q788" s="164">
        <v>4</v>
      </c>
      <c r="R788" s="167" t="s">
        <v>919</v>
      </c>
      <c r="S788" s="167" t="s">
        <v>848</v>
      </c>
      <c r="T788" s="162" t="s">
        <v>798</v>
      </c>
      <c r="U788" s="167" t="s">
        <v>839</v>
      </c>
      <c r="X788" s="169">
        <v>45293</v>
      </c>
      <c r="Y788" s="170">
        <v>180</v>
      </c>
      <c r="Z788" s="170">
        <v>0</v>
      </c>
      <c r="AA788" s="170">
        <v>0</v>
      </c>
      <c r="AB788" s="170">
        <v>0</v>
      </c>
      <c r="AC788" s="171">
        <v>180</v>
      </c>
      <c r="AD788" s="172">
        <v>36199962.761399999</v>
      </c>
      <c r="AE788" s="173">
        <v>180</v>
      </c>
      <c r="AF788" s="174">
        <v>46357</v>
      </c>
    </row>
    <row r="789" spans="1:32" ht="20" x14ac:dyDescent="0.35">
      <c r="A789" s="162" t="s">
        <v>1042</v>
      </c>
      <c r="B789" s="163" t="s">
        <v>1043</v>
      </c>
      <c r="C789" s="154"/>
      <c r="D789" s="162" t="s">
        <v>338</v>
      </c>
      <c r="E789" s="164" t="s">
        <v>338</v>
      </c>
      <c r="F789" s="164" t="s">
        <v>1043</v>
      </c>
      <c r="G789" s="164" t="s">
        <v>1042</v>
      </c>
      <c r="H789" s="165">
        <v>33784</v>
      </c>
      <c r="I789" s="164" t="s">
        <v>20</v>
      </c>
      <c r="J789" s="164" t="s">
        <v>68</v>
      </c>
      <c r="K789" s="165">
        <v>44564</v>
      </c>
      <c r="L789" s="166" t="s">
        <v>148</v>
      </c>
      <c r="M789" s="154"/>
      <c r="N789" s="154"/>
      <c r="O789" s="164" t="s">
        <v>65</v>
      </c>
      <c r="P789" s="164">
        <v>34</v>
      </c>
      <c r="Q789" s="164">
        <v>4</v>
      </c>
      <c r="R789" s="167" t="s">
        <v>919</v>
      </c>
      <c r="S789" s="167" t="s">
        <v>848</v>
      </c>
      <c r="T789" s="162" t="s">
        <v>800</v>
      </c>
      <c r="U789" s="167" t="s">
        <v>801</v>
      </c>
      <c r="X789" s="169">
        <v>45293</v>
      </c>
      <c r="Y789" s="170">
        <v>26</v>
      </c>
      <c r="Z789" s="170">
        <v>0</v>
      </c>
      <c r="AA789" s="170">
        <v>0</v>
      </c>
      <c r="AB789" s="170">
        <v>0</v>
      </c>
      <c r="AC789" s="171">
        <v>26</v>
      </c>
      <c r="AD789" s="172">
        <v>5228883.5099799996</v>
      </c>
      <c r="AE789" s="173">
        <v>26</v>
      </c>
      <c r="AF789" s="174">
        <v>46357</v>
      </c>
    </row>
    <row r="790" spans="1:32" ht="20" x14ac:dyDescent="0.35">
      <c r="A790" s="162" t="s">
        <v>1042</v>
      </c>
      <c r="B790" s="163" t="s">
        <v>1043</v>
      </c>
      <c r="C790" s="154"/>
      <c r="D790" s="162" t="s">
        <v>338</v>
      </c>
      <c r="E790" s="164" t="s">
        <v>338</v>
      </c>
      <c r="F790" s="164" t="s">
        <v>1043</v>
      </c>
      <c r="G790" s="164" t="s">
        <v>1042</v>
      </c>
      <c r="H790" s="165">
        <v>33784</v>
      </c>
      <c r="I790" s="164" t="s">
        <v>20</v>
      </c>
      <c r="J790" s="164" t="s">
        <v>68</v>
      </c>
      <c r="K790" s="165">
        <v>44564</v>
      </c>
      <c r="L790" s="166" t="s">
        <v>148</v>
      </c>
      <c r="M790" s="154"/>
      <c r="N790" s="154"/>
      <c r="O790" s="164" t="s">
        <v>65</v>
      </c>
      <c r="P790" s="164">
        <v>34</v>
      </c>
      <c r="Q790" s="164">
        <v>4</v>
      </c>
      <c r="R790" s="167" t="s">
        <v>919</v>
      </c>
      <c r="S790" s="167" t="s">
        <v>848</v>
      </c>
      <c r="T790" s="162" t="s">
        <v>800</v>
      </c>
      <c r="U790" s="167" t="s">
        <v>802</v>
      </c>
      <c r="X790" s="169">
        <v>45293</v>
      </c>
      <c r="Y790" s="170">
        <v>98</v>
      </c>
      <c r="Z790" s="170">
        <v>0</v>
      </c>
      <c r="AA790" s="170">
        <v>0</v>
      </c>
      <c r="AB790" s="170">
        <v>0</v>
      </c>
      <c r="AC790" s="171">
        <v>98</v>
      </c>
      <c r="AD790" s="172">
        <v>19708868.61454</v>
      </c>
      <c r="AE790" s="173">
        <v>98</v>
      </c>
      <c r="AF790" s="174">
        <v>46357</v>
      </c>
    </row>
    <row r="791" spans="1:32" ht="20" x14ac:dyDescent="0.35">
      <c r="A791" s="162" t="s">
        <v>1042</v>
      </c>
      <c r="B791" s="163" t="s">
        <v>1043</v>
      </c>
      <c r="C791" s="154"/>
      <c r="D791" s="162" t="s">
        <v>338</v>
      </c>
      <c r="E791" s="164" t="s">
        <v>338</v>
      </c>
      <c r="F791" s="164" t="s">
        <v>1043</v>
      </c>
      <c r="G791" s="164" t="s">
        <v>1042</v>
      </c>
      <c r="H791" s="165">
        <v>33784</v>
      </c>
      <c r="I791" s="164" t="s">
        <v>20</v>
      </c>
      <c r="J791" s="164" t="s">
        <v>68</v>
      </c>
      <c r="K791" s="165">
        <v>44564</v>
      </c>
      <c r="L791" s="166" t="s">
        <v>148</v>
      </c>
      <c r="M791" s="154"/>
      <c r="N791" s="154"/>
      <c r="O791" s="164" t="s">
        <v>65</v>
      </c>
      <c r="P791" s="164">
        <v>34</v>
      </c>
      <c r="Q791" s="164">
        <v>4</v>
      </c>
      <c r="R791" s="167" t="s">
        <v>919</v>
      </c>
      <c r="S791" s="167" t="s">
        <v>848</v>
      </c>
      <c r="T791" s="162" t="s">
        <v>800</v>
      </c>
      <c r="U791" s="167" t="s">
        <v>803</v>
      </c>
      <c r="X791" s="169">
        <v>45293</v>
      </c>
      <c r="Y791" s="170">
        <v>2</v>
      </c>
      <c r="Z791" s="170">
        <v>0</v>
      </c>
      <c r="AA791" s="170">
        <v>0</v>
      </c>
      <c r="AB791" s="170">
        <v>0</v>
      </c>
      <c r="AC791" s="171">
        <v>2</v>
      </c>
      <c r="AD791" s="172">
        <v>402221.80845999997</v>
      </c>
      <c r="AE791" s="173">
        <v>2</v>
      </c>
      <c r="AF791" s="174">
        <v>46357</v>
      </c>
    </row>
    <row r="792" spans="1:32" ht="20" x14ac:dyDescent="0.35">
      <c r="A792" s="162" t="s">
        <v>1042</v>
      </c>
      <c r="B792" s="163" t="s">
        <v>1043</v>
      </c>
      <c r="C792" s="154"/>
      <c r="D792" s="162" t="s">
        <v>338</v>
      </c>
      <c r="E792" s="164" t="s">
        <v>338</v>
      </c>
      <c r="F792" s="164" t="s">
        <v>1043</v>
      </c>
      <c r="G792" s="164" t="s">
        <v>1042</v>
      </c>
      <c r="H792" s="165">
        <v>33784</v>
      </c>
      <c r="I792" s="164" t="s">
        <v>20</v>
      </c>
      <c r="J792" s="164" t="s">
        <v>68</v>
      </c>
      <c r="K792" s="165">
        <v>44564</v>
      </c>
      <c r="L792" s="166" t="s">
        <v>148</v>
      </c>
      <c r="M792" s="154"/>
      <c r="N792" s="154"/>
      <c r="O792" s="164" t="s">
        <v>65</v>
      </c>
      <c r="P792" s="164">
        <v>34</v>
      </c>
      <c r="Q792" s="164">
        <v>4</v>
      </c>
      <c r="R792" s="167" t="s">
        <v>919</v>
      </c>
      <c r="S792" s="167" t="s">
        <v>848</v>
      </c>
      <c r="T792" s="162" t="s">
        <v>800</v>
      </c>
      <c r="U792" s="167" t="s">
        <v>804</v>
      </c>
      <c r="X792" s="169">
        <v>45293</v>
      </c>
      <c r="Y792" s="170">
        <v>5</v>
      </c>
      <c r="Z792" s="170">
        <v>0</v>
      </c>
      <c r="AA792" s="170">
        <v>0</v>
      </c>
      <c r="AB792" s="170">
        <v>0</v>
      </c>
      <c r="AC792" s="171">
        <v>5</v>
      </c>
      <c r="AD792" s="172">
        <v>1005554.52115</v>
      </c>
      <c r="AE792" s="173">
        <v>5</v>
      </c>
      <c r="AF792" s="174">
        <v>46357</v>
      </c>
    </row>
    <row r="793" spans="1:32" ht="20" x14ac:dyDescent="0.35">
      <c r="A793" s="162" t="s">
        <v>1042</v>
      </c>
      <c r="B793" s="163" t="s">
        <v>1043</v>
      </c>
      <c r="C793" s="154"/>
      <c r="D793" s="162" t="s">
        <v>338</v>
      </c>
      <c r="E793" s="164" t="s">
        <v>338</v>
      </c>
      <c r="F793" s="164" t="s">
        <v>1043</v>
      </c>
      <c r="G793" s="164" t="s">
        <v>1042</v>
      </c>
      <c r="H793" s="165">
        <v>33784</v>
      </c>
      <c r="I793" s="164" t="s">
        <v>20</v>
      </c>
      <c r="J793" s="164" t="s">
        <v>68</v>
      </c>
      <c r="K793" s="165">
        <v>44564</v>
      </c>
      <c r="L793" s="166" t="s">
        <v>148</v>
      </c>
      <c r="M793" s="154"/>
      <c r="N793" s="154"/>
      <c r="O793" s="164" t="s">
        <v>65</v>
      </c>
      <c r="P793" s="164">
        <v>34</v>
      </c>
      <c r="Q793" s="164">
        <v>4</v>
      </c>
      <c r="R793" s="167" t="s">
        <v>919</v>
      </c>
      <c r="S793" s="167" t="s">
        <v>848</v>
      </c>
      <c r="T793" s="162" t="s">
        <v>800</v>
      </c>
      <c r="U793" s="167" t="s">
        <v>840</v>
      </c>
      <c r="X793" s="169">
        <v>45293</v>
      </c>
      <c r="Y793" s="170">
        <v>2.4999999966690001</v>
      </c>
      <c r="Z793" s="170">
        <v>0.41666667000000002</v>
      </c>
      <c r="AA793" s="170">
        <v>0</v>
      </c>
      <c r="AB793" s="170">
        <v>0</v>
      </c>
      <c r="AC793" s="171">
        <v>2.9166666666690002</v>
      </c>
      <c r="AD793" s="172">
        <v>586573.47066999995</v>
      </c>
      <c r="AE793" s="173">
        <v>2.92</v>
      </c>
      <c r="AF793" s="174">
        <v>46357</v>
      </c>
    </row>
    <row r="794" spans="1:32" ht="20" x14ac:dyDescent="0.35">
      <c r="A794" s="162" t="s">
        <v>644</v>
      </c>
      <c r="B794" s="163" t="s">
        <v>1044</v>
      </c>
      <c r="C794" s="154"/>
      <c r="D794" s="162" t="s">
        <v>340</v>
      </c>
      <c r="E794" s="164" t="s">
        <v>340</v>
      </c>
      <c r="F794" s="164" t="s">
        <v>1044</v>
      </c>
      <c r="G794" s="164" t="s">
        <v>644</v>
      </c>
      <c r="H794" s="165">
        <v>34015</v>
      </c>
      <c r="I794" s="164" t="s">
        <v>20</v>
      </c>
      <c r="J794" s="164" t="s">
        <v>68</v>
      </c>
      <c r="K794" s="165">
        <v>44652</v>
      </c>
      <c r="L794" s="166" t="s">
        <v>342</v>
      </c>
      <c r="M794" s="154"/>
      <c r="N794" s="154"/>
      <c r="O794" s="164" t="s">
        <v>129</v>
      </c>
      <c r="P794" s="164">
        <v>33</v>
      </c>
      <c r="Q794" s="164">
        <v>4</v>
      </c>
      <c r="R794" s="167" t="s">
        <v>873</v>
      </c>
      <c r="S794" s="167" t="s">
        <v>24</v>
      </c>
      <c r="T794" s="162" t="s">
        <v>794</v>
      </c>
      <c r="U794" s="167" t="s">
        <v>819</v>
      </c>
      <c r="V794" s="162" t="s">
        <v>820</v>
      </c>
      <c r="W794" s="168">
        <v>4</v>
      </c>
      <c r="X794" s="169">
        <v>45018</v>
      </c>
      <c r="Y794" s="170">
        <v>14.250000000008001</v>
      </c>
      <c r="Z794" s="170">
        <v>1.75</v>
      </c>
      <c r="AA794" s="170">
        <v>0</v>
      </c>
      <c r="AB794" s="170">
        <v>0</v>
      </c>
      <c r="AC794" s="171">
        <v>16.000000000008001</v>
      </c>
      <c r="AD794" s="172">
        <v>1229739.5507700001</v>
      </c>
      <c r="AE794" s="173" t="s">
        <v>797</v>
      </c>
      <c r="AF794" s="173"/>
    </row>
    <row r="795" spans="1:32" ht="20" x14ac:dyDescent="0.35">
      <c r="A795" s="162" t="s">
        <v>644</v>
      </c>
      <c r="B795" s="163" t="s">
        <v>1044</v>
      </c>
      <c r="C795" s="154"/>
      <c r="D795" s="162" t="s">
        <v>340</v>
      </c>
      <c r="E795" s="164" t="s">
        <v>340</v>
      </c>
      <c r="F795" s="164" t="s">
        <v>1044</v>
      </c>
      <c r="G795" s="164" t="s">
        <v>644</v>
      </c>
      <c r="H795" s="165">
        <v>34015</v>
      </c>
      <c r="I795" s="164" t="s">
        <v>20</v>
      </c>
      <c r="J795" s="164" t="s">
        <v>68</v>
      </c>
      <c r="K795" s="165">
        <v>44652</v>
      </c>
      <c r="L795" s="166" t="s">
        <v>342</v>
      </c>
      <c r="M795" s="154"/>
      <c r="N795" s="154"/>
      <c r="O795" s="164" t="s">
        <v>129</v>
      </c>
      <c r="P795" s="164">
        <v>33</v>
      </c>
      <c r="Q795" s="164">
        <v>4</v>
      </c>
      <c r="R795" s="167" t="s">
        <v>873</v>
      </c>
      <c r="S795" s="167" t="s">
        <v>24</v>
      </c>
      <c r="T795" s="162" t="s">
        <v>798</v>
      </c>
      <c r="U795" s="167" t="s">
        <v>799</v>
      </c>
      <c r="X795" s="169">
        <v>45018</v>
      </c>
      <c r="Y795" s="170">
        <v>180</v>
      </c>
      <c r="Z795" s="170">
        <v>0</v>
      </c>
      <c r="AA795" s="170">
        <v>0</v>
      </c>
      <c r="AB795" s="170">
        <v>0</v>
      </c>
      <c r="AC795" s="171">
        <v>180</v>
      </c>
      <c r="AD795" s="172">
        <v>13834569.946140001</v>
      </c>
      <c r="AE795" s="173">
        <v>180</v>
      </c>
      <c r="AF795" s="174">
        <v>46357</v>
      </c>
    </row>
    <row r="796" spans="1:32" ht="20" x14ac:dyDescent="0.35">
      <c r="A796" s="162" t="s">
        <v>644</v>
      </c>
      <c r="B796" s="163" t="s">
        <v>1044</v>
      </c>
      <c r="C796" s="154"/>
      <c r="D796" s="162" t="s">
        <v>340</v>
      </c>
      <c r="E796" s="164" t="s">
        <v>340</v>
      </c>
      <c r="F796" s="164" t="s">
        <v>1044</v>
      </c>
      <c r="G796" s="164" t="s">
        <v>644</v>
      </c>
      <c r="H796" s="165">
        <v>34015</v>
      </c>
      <c r="I796" s="164" t="s">
        <v>20</v>
      </c>
      <c r="J796" s="164" t="s">
        <v>68</v>
      </c>
      <c r="K796" s="165">
        <v>44652</v>
      </c>
      <c r="L796" s="166" t="s">
        <v>342</v>
      </c>
      <c r="M796" s="154"/>
      <c r="N796" s="154"/>
      <c r="O796" s="164" t="s">
        <v>129</v>
      </c>
      <c r="P796" s="164">
        <v>33</v>
      </c>
      <c r="Q796" s="164">
        <v>4</v>
      </c>
      <c r="R796" s="167" t="s">
        <v>873</v>
      </c>
      <c r="S796" s="167" t="s">
        <v>24</v>
      </c>
      <c r="T796" s="162" t="s">
        <v>800</v>
      </c>
      <c r="U796" s="167" t="s">
        <v>801</v>
      </c>
      <c r="X796" s="169">
        <v>45018</v>
      </c>
      <c r="Y796" s="170">
        <v>26</v>
      </c>
      <c r="Z796" s="170">
        <v>0</v>
      </c>
      <c r="AA796" s="170">
        <v>0</v>
      </c>
      <c r="AB796" s="170">
        <v>0</v>
      </c>
      <c r="AC796" s="171">
        <v>26</v>
      </c>
      <c r="AD796" s="172">
        <v>1998326.77</v>
      </c>
      <c r="AE796" s="173">
        <v>26</v>
      </c>
      <c r="AF796" s="174">
        <v>46357</v>
      </c>
    </row>
    <row r="797" spans="1:32" ht="20" x14ac:dyDescent="0.35">
      <c r="A797" s="162" t="s">
        <v>644</v>
      </c>
      <c r="B797" s="163" t="s">
        <v>1044</v>
      </c>
      <c r="C797" s="154"/>
      <c r="D797" s="162" t="s">
        <v>340</v>
      </c>
      <c r="E797" s="164" t="s">
        <v>340</v>
      </c>
      <c r="F797" s="164" t="s">
        <v>1044</v>
      </c>
      <c r="G797" s="164" t="s">
        <v>644</v>
      </c>
      <c r="H797" s="165">
        <v>34015</v>
      </c>
      <c r="I797" s="164" t="s">
        <v>20</v>
      </c>
      <c r="J797" s="164" t="s">
        <v>68</v>
      </c>
      <c r="K797" s="165">
        <v>44652</v>
      </c>
      <c r="L797" s="166" t="s">
        <v>342</v>
      </c>
      <c r="M797" s="154"/>
      <c r="N797" s="154"/>
      <c r="O797" s="164" t="s">
        <v>129</v>
      </c>
      <c r="P797" s="164">
        <v>33</v>
      </c>
      <c r="Q797" s="164">
        <v>4</v>
      </c>
      <c r="R797" s="167" t="s">
        <v>873</v>
      </c>
      <c r="S797" s="167" t="s">
        <v>24</v>
      </c>
      <c r="T797" s="162" t="s">
        <v>800</v>
      </c>
      <c r="U797" s="167" t="s">
        <v>802</v>
      </c>
      <c r="X797" s="169">
        <v>45018</v>
      </c>
      <c r="Y797" s="170">
        <v>98</v>
      </c>
      <c r="Z797" s="170">
        <v>0</v>
      </c>
      <c r="AA797" s="170">
        <v>0</v>
      </c>
      <c r="AB797" s="170">
        <v>0</v>
      </c>
      <c r="AC797" s="171">
        <v>98</v>
      </c>
      <c r="AD797" s="172">
        <v>7532154.7484499998</v>
      </c>
      <c r="AE797" s="173">
        <v>98</v>
      </c>
      <c r="AF797" s="174">
        <v>46357</v>
      </c>
    </row>
    <row r="798" spans="1:32" ht="20" x14ac:dyDescent="0.35">
      <c r="A798" s="162" t="s">
        <v>644</v>
      </c>
      <c r="B798" s="163" t="s">
        <v>1044</v>
      </c>
      <c r="C798" s="154"/>
      <c r="D798" s="162" t="s">
        <v>340</v>
      </c>
      <c r="E798" s="164" t="s">
        <v>340</v>
      </c>
      <c r="F798" s="164" t="s">
        <v>1044</v>
      </c>
      <c r="G798" s="164" t="s">
        <v>644</v>
      </c>
      <c r="H798" s="165">
        <v>34015</v>
      </c>
      <c r="I798" s="164" t="s">
        <v>20</v>
      </c>
      <c r="J798" s="164" t="s">
        <v>68</v>
      </c>
      <c r="K798" s="165">
        <v>44652</v>
      </c>
      <c r="L798" s="166" t="s">
        <v>342</v>
      </c>
      <c r="M798" s="154"/>
      <c r="N798" s="154"/>
      <c r="O798" s="164" t="s">
        <v>129</v>
      </c>
      <c r="P798" s="164">
        <v>33</v>
      </c>
      <c r="Q798" s="164">
        <v>4</v>
      </c>
      <c r="R798" s="167" t="s">
        <v>873</v>
      </c>
      <c r="S798" s="167" t="s">
        <v>24</v>
      </c>
      <c r="T798" s="162" t="s">
        <v>800</v>
      </c>
      <c r="U798" s="167" t="s">
        <v>803</v>
      </c>
      <c r="X798" s="169">
        <v>45018</v>
      </c>
      <c r="Y798" s="170">
        <v>2</v>
      </c>
      <c r="Z798" s="170">
        <v>0</v>
      </c>
      <c r="AA798" s="170">
        <v>0</v>
      </c>
      <c r="AB798" s="170">
        <v>0</v>
      </c>
      <c r="AC798" s="171">
        <v>2</v>
      </c>
      <c r="AD798" s="172">
        <v>153717.44385000001</v>
      </c>
      <c r="AE798" s="173">
        <v>2</v>
      </c>
      <c r="AF798" s="174">
        <v>46357</v>
      </c>
    </row>
    <row r="799" spans="1:32" ht="20" x14ac:dyDescent="0.35">
      <c r="A799" s="162" t="s">
        <v>644</v>
      </c>
      <c r="B799" s="163" t="s">
        <v>1044</v>
      </c>
      <c r="C799" s="154"/>
      <c r="D799" s="162" t="s">
        <v>340</v>
      </c>
      <c r="E799" s="164" t="s">
        <v>340</v>
      </c>
      <c r="F799" s="164" t="s">
        <v>1044</v>
      </c>
      <c r="G799" s="164" t="s">
        <v>644</v>
      </c>
      <c r="H799" s="165">
        <v>34015</v>
      </c>
      <c r="I799" s="164" t="s">
        <v>20</v>
      </c>
      <c r="J799" s="164" t="s">
        <v>68</v>
      </c>
      <c r="K799" s="165">
        <v>44652</v>
      </c>
      <c r="L799" s="166" t="s">
        <v>342</v>
      </c>
      <c r="M799" s="154"/>
      <c r="N799" s="154"/>
      <c r="O799" s="164" t="s">
        <v>129</v>
      </c>
      <c r="P799" s="164">
        <v>33</v>
      </c>
      <c r="Q799" s="164">
        <v>4</v>
      </c>
      <c r="R799" s="167" t="s">
        <v>873</v>
      </c>
      <c r="S799" s="167" t="s">
        <v>24</v>
      </c>
      <c r="T799" s="162" t="s">
        <v>800</v>
      </c>
      <c r="U799" s="167" t="s">
        <v>804</v>
      </c>
      <c r="X799" s="169">
        <v>45018</v>
      </c>
      <c r="Y799" s="170">
        <v>5</v>
      </c>
      <c r="Z799" s="170">
        <v>0</v>
      </c>
      <c r="AA799" s="170">
        <v>0</v>
      </c>
      <c r="AB799" s="170">
        <v>0</v>
      </c>
      <c r="AC799" s="171">
        <v>5</v>
      </c>
      <c r="AD799" s="172">
        <v>384293.60962</v>
      </c>
      <c r="AE799" s="173">
        <v>5</v>
      </c>
      <c r="AF799" s="174">
        <v>46357</v>
      </c>
    </row>
    <row r="800" spans="1:32" ht="20" x14ac:dyDescent="0.35">
      <c r="A800" s="162" t="s">
        <v>644</v>
      </c>
      <c r="B800" s="163" t="s">
        <v>1044</v>
      </c>
      <c r="C800" s="154"/>
      <c r="D800" s="162" t="s">
        <v>340</v>
      </c>
      <c r="E800" s="164" t="s">
        <v>340</v>
      </c>
      <c r="F800" s="164" t="s">
        <v>1044</v>
      </c>
      <c r="G800" s="164" t="s">
        <v>644</v>
      </c>
      <c r="H800" s="165">
        <v>34015</v>
      </c>
      <c r="I800" s="164" t="s">
        <v>20</v>
      </c>
      <c r="J800" s="164" t="s">
        <v>68</v>
      </c>
      <c r="K800" s="165">
        <v>44652</v>
      </c>
      <c r="L800" s="166" t="s">
        <v>342</v>
      </c>
      <c r="M800" s="154"/>
      <c r="N800" s="154"/>
      <c r="O800" s="164" t="s">
        <v>129</v>
      </c>
      <c r="P800" s="164">
        <v>33</v>
      </c>
      <c r="Q800" s="164">
        <v>4</v>
      </c>
      <c r="R800" s="167" t="s">
        <v>873</v>
      </c>
      <c r="S800" s="167" t="s">
        <v>24</v>
      </c>
      <c r="T800" s="162" t="s">
        <v>800</v>
      </c>
      <c r="U800" s="167" t="s">
        <v>805</v>
      </c>
      <c r="X800" s="169">
        <v>45018</v>
      </c>
      <c r="Y800" s="170">
        <v>2.4999999966690001</v>
      </c>
      <c r="Z800" s="170">
        <v>0.41666667000000002</v>
      </c>
      <c r="AA800" s="170">
        <v>0</v>
      </c>
      <c r="AB800" s="170">
        <v>0</v>
      </c>
      <c r="AC800" s="171">
        <v>2.9166666666690002</v>
      </c>
      <c r="AD800" s="172">
        <v>224171.27228</v>
      </c>
      <c r="AE800" s="173">
        <v>2.92</v>
      </c>
      <c r="AF800" s="174">
        <v>46357</v>
      </c>
    </row>
    <row r="801" spans="1:32" ht="20" x14ac:dyDescent="0.35">
      <c r="A801" s="162" t="s">
        <v>661</v>
      </c>
      <c r="B801" s="163" t="s">
        <v>1045</v>
      </c>
      <c r="C801" s="154"/>
      <c r="D801" s="162" t="s">
        <v>343</v>
      </c>
      <c r="E801" s="164" t="s">
        <v>343</v>
      </c>
      <c r="F801" s="164" t="s">
        <v>1045</v>
      </c>
      <c r="G801" s="164" t="s">
        <v>661</v>
      </c>
      <c r="H801" s="165">
        <v>32893</v>
      </c>
      <c r="I801" s="164" t="s">
        <v>20</v>
      </c>
      <c r="J801" s="164" t="s">
        <v>68</v>
      </c>
      <c r="K801" s="165">
        <v>44652</v>
      </c>
      <c r="L801" s="166" t="s">
        <v>345</v>
      </c>
      <c r="M801" s="154"/>
      <c r="N801" s="154"/>
      <c r="O801" s="164" t="s">
        <v>65</v>
      </c>
      <c r="P801" s="164">
        <v>36</v>
      </c>
      <c r="Q801" s="164">
        <v>4</v>
      </c>
      <c r="R801" s="167" t="s">
        <v>888</v>
      </c>
      <c r="S801" s="167" t="s">
        <v>45</v>
      </c>
      <c r="T801" s="162" t="s">
        <v>794</v>
      </c>
      <c r="U801" s="167" t="s">
        <v>795</v>
      </c>
      <c r="V801" s="162" t="s">
        <v>796</v>
      </c>
      <c r="W801" s="168">
        <v>4</v>
      </c>
      <c r="X801" s="169">
        <v>45413</v>
      </c>
      <c r="Y801" s="170">
        <v>2.5866666633349999</v>
      </c>
      <c r="Z801" s="170">
        <v>1.9166666699999999</v>
      </c>
      <c r="AA801" s="170">
        <v>-3</v>
      </c>
      <c r="AB801" s="170">
        <v>0</v>
      </c>
      <c r="AC801" s="171">
        <v>1.5033333333350001</v>
      </c>
      <c r="AD801" s="172">
        <v>222538.55360000001</v>
      </c>
      <c r="AE801" s="173" t="s">
        <v>797</v>
      </c>
      <c r="AF801" s="173"/>
    </row>
    <row r="802" spans="1:32" ht="20" x14ac:dyDescent="0.35">
      <c r="A802" s="162" t="s">
        <v>661</v>
      </c>
      <c r="B802" s="163" t="s">
        <v>1045</v>
      </c>
      <c r="C802" s="154"/>
      <c r="D802" s="162" t="s">
        <v>343</v>
      </c>
      <c r="E802" s="164" t="s">
        <v>343</v>
      </c>
      <c r="F802" s="164" t="s">
        <v>1045</v>
      </c>
      <c r="G802" s="164" t="s">
        <v>661</v>
      </c>
      <c r="H802" s="165">
        <v>32893</v>
      </c>
      <c r="I802" s="164" t="s">
        <v>20</v>
      </c>
      <c r="J802" s="164" t="s">
        <v>68</v>
      </c>
      <c r="K802" s="165">
        <v>44652</v>
      </c>
      <c r="L802" s="166" t="s">
        <v>345</v>
      </c>
      <c r="M802" s="154"/>
      <c r="N802" s="154"/>
      <c r="O802" s="164" t="s">
        <v>65</v>
      </c>
      <c r="P802" s="164">
        <v>36</v>
      </c>
      <c r="Q802" s="164">
        <v>4</v>
      </c>
      <c r="R802" s="167" t="s">
        <v>888</v>
      </c>
      <c r="S802" s="167" t="s">
        <v>45</v>
      </c>
      <c r="T802" s="162" t="s">
        <v>798</v>
      </c>
      <c r="U802" s="167" t="s">
        <v>839</v>
      </c>
      <c r="X802" s="169">
        <v>45413</v>
      </c>
      <c r="Y802" s="170">
        <v>180</v>
      </c>
      <c r="Z802" s="170">
        <v>0</v>
      </c>
      <c r="AA802" s="170">
        <v>0</v>
      </c>
      <c r="AB802" s="170">
        <v>0</v>
      </c>
      <c r="AC802" s="171">
        <v>180</v>
      </c>
      <c r="AD802" s="172">
        <v>26645414.399999999</v>
      </c>
      <c r="AE802" s="173">
        <v>180</v>
      </c>
      <c r="AF802" s="174">
        <v>46357</v>
      </c>
    </row>
    <row r="803" spans="1:32" ht="20" x14ac:dyDescent="0.35">
      <c r="A803" s="162" t="s">
        <v>661</v>
      </c>
      <c r="B803" s="163" t="s">
        <v>1045</v>
      </c>
      <c r="C803" s="154"/>
      <c r="D803" s="162" t="s">
        <v>343</v>
      </c>
      <c r="E803" s="164" t="s">
        <v>343</v>
      </c>
      <c r="F803" s="164" t="s">
        <v>1045</v>
      </c>
      <c r="G803" s="164" t="s">
        <v>661</v>
      </c>
      <c r="H803" s="165">
        <v>32893</v>
      </c>
      <c r="I803" s="164" t="s">
        <v>20</v>
      </c>
      <c r="J803" s="164" t="s">
        <v>68</v>
      </c>
      <c r="K803" s="165">
        <v>44652</v>
      </c>
      <c r="L803" s="166" t="s">
        <v>345</v>
      </c>
      <c r="M803" s="154"/>
      <c r="N803" s="154"/>
      <c r="O803" s="164" t="s">
        <v>65</v>
      </c>
      <c r="P803" s="164">
        <v>36</v>
      </c>
      <c r="Q803" s="164">
        <v>4</v>
      </c>
      <c r="R803" s="167" t="s">
        <v>888</v>
      </c>
      <c r="S803" s="167" t="s">
        <v>45</v>
      </c>
      <c r="T803" s="162" t="s">
        <v>800</v>
      </c>
      <c r="U803" s="167" t="s">
        <v>801</v>
      </c>
      <c r="X803" s="169">
        <v>45413</v>
      </c>
      <c r="Y803" s="170">
        <v>26</v>
      </c>
      <c r="Z803" s="170">
        <v>0</v>
      </c>
      <c r="AA803" s="170">
        <v>0</v>
      </c>
      <c r="AB803" s="170">
        <v>0</v>
      </c>
      <c r="AC803" s="171">
        <v>26</v>
      </c>
      <c r="AD803" s="172">
        <v>3848782.08</v>
      </c>
      <c r="AE803" s="173">
        <v>26</v>
      </c>
      <c r="AF803" s="174">
        <v>46357</v>
      </c>
    </row>
    <row r="804" spans="1:32" ht="20" x14ac:dyDescent="0.35">
      <c r="A804" s="162" t="s">
        <v>661</v>
      </c>
      <c r="B804" s="163" t="s">
        <v>1045</v>
      </c>
      <c r="C804" s="154"/>
      <c r="D804" s="162" t="s">
        <v>343</v>
      </c>
      <c r="E804" s="164" t="s">
        <v>343</v>
      </c>
      <c r="F804" s="164" t="s">
        <v>1045</v>
      </c>
      <c r="G804" s="164" t="s">
        <v>661</v>
      </c>
      <c r="H804" s="165">
        <v>32893</v>
      </c>
      <c r="I804" s="164" t="s">
        <v>20</v>
      </c>
      <c r="J804" s="164" t="s">
        <v>68</v>
      </c>
      <c r="K804" s="165">
        <v>44652</v>
      </c>
      <c r="L804" s="166" t="s">
        <v>345</v>
      </c>
      <c r="M804" s="154"/>
      <c r="N804" s="154"/>
      <c r="O804" s="164" t="s">
        <v>65</v>
      </c>
      <c r="P804" s="164">
        <v>36</v>
      </c>
      <c r="Q804" s="164">
        <v>4</v>
      </c>
      <c r="R804" s="167" t="s">
        <v>888</v>
      </c>
      <c r="S804" s="167" t="s">
        <v>45</v>
      </c>
      <c r="T804" s="162" t="s">
        <v>800</v>
      </c>
      <c r="U804" s="167" t="s">
        <v>802</v>
      </c>
      <c r="X804" s="169">
        <v>45413</v>
      </c>
      <c r="Y804" s="170">
        <v>98</v>
      </c>
      <c r="Z804" s="170">
        <v>0</v>
      </c>
      <c r="AA804" s="170">
        <v>0</v>
      </c>
      <c r="AB804" s="170">
        <v>0</v>
      </c>
      <c r="AC804" s="171">
        <v>98</v>
      </c>
      <c r="AD804" s="172">
        <v>14506947.84</v>
      </c>
      <c r="AE804" s="173">
        <v>98</v>
      </c>
      <c r="AF804" s="174">
        <v>46357</v>
      </c>
    </row>
    <row r="805" spans="1:32" ht="20" x14ac:dyDescent="0.35">
      <c r="A805" s="162" t="s">
        <v>661</v>
      </c>
      <c r="B805" s="163" t="s">
        <v>1045</v>
      </c>
      <c r="C805" s="154"/>
      <c r="D805" s="162" t="s">
        <v>343</v>
      </c>
      <c r="E805" s="164" t="s">
        <v>343</v>
      </c>
      <c r="F805" s="164" t="s">
        <v>1045</v>
      </c>
      <c r="G805" s="164" t="s">
        <v>661</v>
      </c>
      <c r="H805" s="165">
        <v>32893</v>
      </c>
      <c r="I805" s="164" t="s">
        <v>20</v>
      </c>
      <c r="J805" s="164" t="s">
        <v>68</v>
      </c>
      <c r="K805" s="165">
        <v>44652</v>
      </c>
      <c r="L805" s="166" t="s">
        <v>345</v>
      </c>
      <c r="M805" s="154"/>
      <c r="N805" s="154"/>
      <c r="O805" s="164" t="s">
        <v>65</v>
      </c>
      <c r="P805" s="164">
        <v>36</v>
      </c>
      <c r="Q805" s="164">
        <v>4</v>
      </c>
      <c r="R805" s="167" t="s">
        <v>888</v>
      </c>
      <c r="S805" s="167" t="s">
        <v>45</v>
      </c>
      <c r="T805" s="162" t="s">
        <v>800</v>
      </c>
      <c r="U805" s="167" t="s">
        <v>803</v>
      </c>
      <c r="X805" s="169">
        <v>45413</v>
      </c>
      <c r="Y805" s="170">
        <v>2</v>
      </c>
      <c r="Z805" s="170">
        <v>0</v>
      </c>
      <c r="AA805" s="170">
        <v>0</v>
      </c>
      <c r="AB805" s="170">
        <v>0</v>
      </c>
      <c r="AC805" s="171">
        <v>2</v>
      </c>
      <c r="AD805" s="172">
        <v>296060.15999999997</v>
      </c>
      <c r="AE805" s="173">
        <v>2</v>
      </c>
      <c r="AF805" s="174">
        <v>46357</v>
      </c>
    </row>
    <row r="806" spans="1:32" ht="20" x14ac:dyDescent="0.35">
      <c r="A806" s="162" t="s">
        <v>661</v>
      </c>
      <c r="B806" s="163" t="s">
        <v>1045</v>
      </c>
      <c r="C806" s="154"/>
      <c r="D806" s="162" t="s">
        <v>343</v>
      </c>
      <c r="E806" s="164" t="s">
        <v>343</v>
      </c>
      <c r="F806" s="164" t="s">
        <v>1045</v>
      </c>
      <c r="G806" s="164" t="s">
        <v>661</v>
      </c>
      <c r="H806" s="165">
        <v>32893</v>
      </c>
      <c r="I806" s="164" t="s">
        <v>20</v>
      </c>
      <c r="J806" s="164" t="s">
        <v>68</v>
      </c>
      <c r="K806" s="165">
        <v>44652</v>
      </c>
      <c r="L806" s="166" t="s">
        <v>345</v>
      </c>
      <c r="M806" s="154"/>
      <c r="N806" s="154"/>
      <c r="O806" s="164" t="s">
        <v>65</v>
      </c>
      <c r="P806" s="164">
        <v>36</v>
      </c>
      <c r="Q806" s="164">
        <v>4</v>
      </c>
      <c r="R806" s="167" t="s">
        <v>888</v>
      </c>
      <c r="S806" s="167" t="s">
        <v>45</v>
      </c>
      <c r="T806" s="162" t="s">
        <v>800</v>
      </c>
      <c r="U806" s="167" t="s">
        <v>804</v>
      </c>
      <c r="X806" s="169">
        <v>45413</v>
      </c>
      <c r="Y806" s="170">
        <v>5</v>
      </c>
      <c r="Z806" s="170">
        <v>0</v>
      </c>
      <c r="AA806" s="170">
        <v>0</v>
      </c>
      <c r="AB806" s="170">
        <v>0</v>
      </c>
      <c r="AC806" s="171">
        <v>5</v>
      </c>
      <c r="AD806" s="172">
        <v>740150.4</v>
      </c>
      <c r="AE806" s="173">
        <v>5</v>
      </c>
      <c r="AF806" s="174">
        <v>46357</v>
      </c>
    </row>
    <row r="807" spans="1:32" ht="20" x14ac:dyDescent="0.35">
      <c r="A807" s="162" t="s">
        <v>661</v>
      </c>
      <c r="B807" s="163" t="s">
        <v>1045</v>
      </c>
      <c r="C807" s="154"/>
      <c r="D807" s="162" t="s">
        <v>343</v>
      </c>
      <c r="E807" s="164" t="s">
        <v>343</v>
      </c>
      <c r="F807" s="164" t="s">
        <v>1045</v>
      </c>
      <c r="G807" s="164" t="s">
        <v>661</v>
      </c>
      <c r="H807" s="165">
        <v>32893</v>
      </c>
      <c r="I807" s="164" t="s">
        <v>20</v>
      </c>
      <c r="J807" s="164" t="s">
        <v>68</v>
      </c>
      <c r="K807" s="165">
        <v>44652</v>
      </c>
      <c r="L807" s="166" t="s">
        <v>345</v>
      </c>
      <c r="M807" s="154"/>
      <c r="N807" s="154"/>
      <c r="O807" s="164" t="s">
        <v>65</v>
      </c>
      <c r="P807" s="164">
        <v>36</v>
      </c>
      <c r="Q807" s="164">
        <v>4</v>
      </c>
      <c r="R807" s="167" t="s">
        <v>888</v>
      </c>
      <c r="S807" s="167" t="s">
        <v>45</v>
      </c>
      <c r="T807" s="162" t="s">
        <v>800</v>
      </c>
      <c r="U807" s="167" t="s">
        <v>840</v>
      </c>
      <c r="X807" s="169">
        <v>45413</v>
      </c>
      <c r="Y807" s="170">
        <v>2.4999999966690001</v>
      </c>
      <c r="Z807" s="170">
        <v>0.41666667000000002</v>
      </c>
      <c r="AA807" s="170">
        <v>0</v>
      </c>
      <c r="AB807" s="170">
        <v>0</v>
      </c>
      <c r="AC807" s="171">
        <v>2.9166666666690002</v>
      </c>
      <c r="AD807" s="172">
        <v>431754.4</v>
      </c>
      <c r="AE807" s="173">
        <v>2.92</v>
      </c>
      <c r="AF807" s="174">
        <v>46357</v>
      </c>
    </row>
    <row r="808" spans="1:32" ht="20" x14ac:dyDescent="0.35">
      <c r="A808" s="162" t="s">
        <v>671</v>
      </c>
      <c r="B808" s="163" t="s">
        <v>1046</v>
      </c>
      <c r="C808" s="154"/>
      <c r="D808" s="162" t="s">
        <v>346</v>
      </c>
      <c r="E808" s="164" t="s">
        <v>346</v>
      </c>
      <c r="F808" s="164" t="s">
        <v>1046</v>
      </c>
      <c r="G808" s="164" t="s">
        <v>671</v>
      </c>
      <c r="H808" s="165">
        <v>30317</v>
      </c>
      <c r="I808" s="164" t="s">
        <v>20</v>
      </c>
      <c r="J808" s="164" t="s">
        <v>68</v>
      </c>
      <c r="K808" s="165">
        <v>44704</v>
      </c>
      <c r="L808" s="166" t="s">
        <v>348</v>
      </c>
      <c r="M808" s="154"/>
      <c r="N808" s="154"/>
      <c r="O808" s="164" t="s">
        <v>35</v>
      </c>
      <c r="P808" s="164">
        <v>43</v>
      </c>
      <c r="Q808" s="164">
        <v>4</v>
      </c>
      <c r="R808" s="167" t="s">
        <v>1047</v>
      </c>
      <c r="S808" s="167" t="s">
        <v>45</v>
      </c>
      <c r="T808" s="162" t="s">
        <v>794</v>
      </c>
      <c r="U808" s="167" t="s">
        <v>819</v>
      </c>
      <c r="V808" s="162" t="s">
        <v>820</v>
      </c>
      <c r="W808" s="168">
        <v>4</v>
      </c>
      <c r="X808" s="169">
        <v>45018</v>
      </c>
      <c r="Y808" s="170">
        <v>23.166666666674999</v>
      </c>
      <c r="Z808" s="170">
        <v>1.75</v>
      </c>
      <c r="AA808" s="170">
        <v>0</v>
      </c>
      <c r="AB808" s="170">
        <v>0</v>
      </c>
      <c r="AC808" s="171">
        <v>24.916666666674999</v>
      </c>
      <c r="AD808" s="172">
        <v>1577589.55956</v>
      </c>
      <c r="AE808" s="173" t="s">
        <v>797</v>
      </c>
      <c r="AF808" s="173"/>
    </row>
    <row r="809" spans="1:32" ht="20" x14ac:dyDescent="0.35">
      <c r="A809" s="162" t="s">
        <v>671</v>
      </c>
      <c r="B809" s="163" t="s">
        <v>1046</v>
      </c>
      <c r="C809" s="154"/>
      <c r="D809" s="162" t="s">
        <v>346</v>
      </c>
      <c r="E809" s="164" t="s">
        <v>346</v>
      </c>
      <c r="F809" s="164" t="s">
        <v>1046</v>
      </c>
      <c r="G809" s="164" t="s">
        <v>671</v>
      </c>
      <c r="H809" s="165">
        <v>30317</v>
      </c>
      <c r="I809" s="164" t="s">
        <v>20</v>
      </c>
      <c r="J809" s="164" t="s">
        <v>68</v>
      </c>
      <c r="K809" s="165">
        <v>44704</v>
      </c>
      <c r="L809" s="166" t="s">
        <v>348</v>
      </c>
      <c r="M809" s="154"/>
      <c r="N809" s="154"/>
      <c r="O809" s="164" t="s">
        <v>35</v>
      </c>
      <c r="P809" s="164">
        <v>43</v>
      </c>
      <c r="Q809" s="164">
        <v>4</v>
      </c>
      <c r="R809" s="167" t="s">
        <v>1047</v>
      </c>
      <c r="S809" s="167" t="s">
        <v>45</v>
      </c>
      <c r="T809" s="162" t="s">
        <v>798</v>
      </c>
      <c r="U809" s="167" t="s">
        <v>799</v>
      </c>
      <c r="X809" s="169">
        <v>45018</v>
      </c>
      <c r="Y809" s="170">
        <v>180</v>
      </c>
      <c r="Z809" s="170">
        <v>0</v>
      </c>
      <c r="AA809" s="170">
        <v>0</v>
      </c>
      <c r="AB809" s="170">
        <v>0</v>
      </c>
      <c r="AC809" s="171">
        <v>180</v>
      </c>
      <c r="AD809" s="172">
        <v>11396633.60754</v>
      </c>
      <c r="AE809" s="173">
        <v>180</v>
      </c>
      <c r="AF809" s="174">
        <v>46357</v>
      </c>
    </row>
    <row r="810" spans="1:32" ht="20" x14ac:dyDescent="0.35">
      <c r="A810" s="162" t="s">
        <v>671</v>
      </c>
      <c r="B810" s="163" t="s">
        <v>1046</v>
      </c>
      <c r="C810" s="154"/>
      <c r="D810" s="162" t="s">
        <v>346</v>
      </c>
      <c r="E810" s="164" t="s">
        <v>346</v>
      </c>
      <c r="F810" s="164" t="s">
        <v>1046</v>
      </c>
      <c r="G810" s="164" t="s">
        <v>671</v>
      </c>
      <c r="H810" s="165">
        <v>30317</v>
      </c>
      <c r="I810" s="164" t="s">
        <v>20</v>
      </c>
      <c r="J810" s="164" t="s">
        <v>68</v>
      </c>
      <c r="K810" s="165">
        <v>44704</v>
      </c>
      <c r="L810" s="166" t="s">
        <v>348</v>
      </c>
      <c r="M810" s="154"/>
      <c r="N810" s="154"/>
      <c r="O810" s="164" t="s">
        <v>35</v>
      </c>
      <c r="P810" s="164">
        <v>43</v>
      </c>
      <c r="Q810" s="164">
        <v>4</v>
      </c>
      <c r="R810" s="167" t="s">
        <v>1047</v>
      </c>
      <c r="S810" s="167" t="s">
        <v>45</v>
      </c>
      <c r="T810" s="162" t="s">
        <v>800</v>
      </c>
      <c r="U810" s="167" t="s">
        <v>801</v>
      </c>
      <c r="X810" s="169">
        <v>45018</v>
      </c>
      <c r="Y810" s="170">
        <v>26</v>
      </c>
      <c r="Z810" s="170">
        <v>0</v>
      </c>
      <c r="AA810" s="170">
        <v>0</v>
      </c>
      <c r="AB810" s="170">
        <v>0</v>
      </c>
      <c r="AC810" s="171">
        <v>26</v>
      </c>
      <c r="AD810" s="172">
        <v>1646180.40998</v>
      </c>
      <c r="AE810" s="173">
        <v>26</v>
      </c>
      <c r="AF810" s="174">
        <v>46357</v>
      </c>
    </row>
    <row r="811" spans="1:32" ht="20" x14ac:dyDescent="0.35">
      <c r="A811" s="162" t="s">
        <v>671</v>
      </c>
      <c r="B811" s="163" t="s">
        <v>1046</v>
      </c>
      <c r="C811" s="154"/>
      <c r="D811" s="162" t="s">
        <v>346</v>
      </c>
      <c r="E811" s="164" t="s">
        <v>346</v>
      </c>
      <c r="F811" s="164" t="s">
        <v>1046</v>
      </c>
      <c r="G811" s="164" t="s">
        <v>671</v>
      </c>
      <c r="H811" s="165">
        <v>30317</v>
      </c>
      <c r="I811" s="164" t="s">
        <v>20</v>
      </c>
      <c r="J811" s="164" t="s">
        <v>68</v>
      </c>
      <c r="K811" s="165">
        <v>44704</v>
      </c>
      <c r="L811" s="166" t="s">
        <v>348</v>
      </c>
      <c r="M811" s="154"/>
      <c r="N811" s="154"/>
      <c r="O811" s="164" t="s">
        <v>35</v>
      </c>
      <c r="P811" s="164">
        <v>43</v>
      </c>
      <c r="Q811" s="164">
        <v>4</v>
      </c>
      <c r="R811" s="167" t="s">
        <v>1047</v>
      </c>
      <c r="S811" s="167" t="s">
        <v>45</v>
      </c>
      <c r="T811" s="162" t="s">
        <v>800</v>
      </c>
      <c r="U811" s="167" t="s">
        <v>802</v>
      </c>
      <c r="X811" s="169">
        <v>45018</v>
      </c>
      <c r="Y811" s="170">
        <v>98</v>
      </c>
      <c r="Z811" s="170">
        <v>0</v>
      </c>
      <c r="AA811" s="170">
        <v>0</v>
      </c>
      <c r="AB811" s="170">
        <v>0</v>
      </c>
      <c r="AC811" s="171">
        <v>98</v>
      </c>
      <c r="AD811" s="172">
        <v>6204833.8529899996</v>
      </c>
      <c r="AE811" s="173">
        <v>98</v>
      </c>
      <c r="AF811" s="174">
        <v>46357</v>
      </c>
    </row>
    <row r="812" spans="1:32" ht="20" x14ac:dyDescent="0.35">
      <c r="A812" s="162" t="s">
        <v>671</v>
      </c>
      <c r="B812" s="163" t="s">
        <v>1046</v>
      </c>
      <c r="C812" s="154"/>
      <c r="D812" s="162" t="s">
        <v>346</v>
      </c>
      <c r="E812" s="164" t="s">
        <v>346</v>
      </c>
      <c r="F812" s="164" t="s">
        <v>1046</v>
      </c>
      <c r="G812" s="164" t="s">
        <v>671</v>
      </c>
      <c r="H812" s="165">
        <v>30317</v>
      </c>
      <c r="I812" s="164" t="s">
        <v>20</v>
      </c>
      <c r="J812" s="164" t="s">
        <v>68</v>
      </c>
      <c r="K812" s="165">
        <v>44704</v>
      </c>
      <c r="L812" s="166" t="s">
        <v>348</v>
      </c>
      <c r="M812" s="154"/>
      <c r="N812" s="154"/>
      <c r="O812" s="164" t="s">
        <v>35</v>
      </c>
      <c r="P812" s="164">
        <v>43</v>
      </c>
      <c r="Q812" s="164">
        <v>4</v>
      </c>
      <c r="R812" s="167" t="s">
        <v>1047</v>
      </c>
      <c r="S812" s="167" t="s">
        <v>45</v>
      </c>
      <c r="T812" s="162" t="s">
        <v>800</v>
      </c>
      <c r="U812" s="167" t="s">
        <v>803</v>
      </c>
      <c r="X812" s="169">
        <v>45018</v>
      </c>
      <c r="Y812" s="170">
        <v>2</v>
      </c>
      <c r="Z812" s="170">
        <v>0</v>
      </c>
      <c r="AA812" s="170">
        <v>0</v>
      </c>
      <c r="AB812" s="170">
        <v>0</v>
      </c>
      <c r="AC812" s="171">
        <v>2</v>
      </c>
      <c r="AD812" s="172">
        <v>126629.26231000001</v>
      </c>
      <c r="AE812" s="173">
        <v>2</v>
      </c>
      <c r="AF812" s="174">
        <v>46357</v>
      </c>
    </row>
    <row r="813" spans="1:32" ht="20" x14ac:dyDescent="0.35">
      <c r="A813" s="162" t="s">
        <v>671</v>
      </c>
      <c r="B813" s="163" t="s">
        <v>1046</v>
      </c>
      <c r="C813" s="154"/>
      <c r="D813" s="162" t="s">
        <v>346</v>
      </c>
      <c r="E813" s="164" t="s">
        <v>346</v>
      </c>
      <c r="F813" s="164" t="s">
        <v>1046</v>
      </c>
      <c r="G813" s="164" t="s">
        <v>671</v>
      </c>
      <c r="H813" s="165">
        <v>30317</v>
      </c>
      <c r="I813" s="164" t="s">
        <v>20</v>
      </c>
      <c r="J813" s="164" t="s">
        <v>68</v>
      </c>
      <c r="K813" s="165">
        <v>44704</v>
      </c>
      <c r="L813" s="166" t="s">
        <v>348</v>
      </c>
      <c r="M813" s="154"/>
      <c r="N813" s="154"/>
      <c r="O813" s="164" t="s">
        <v>35</v>
      </c>
      <c r="P813" s="164">
        <v>43</v>
      </c>
      <c r="Q813" s="164">
        <v>4</v>
      </c>
      <c r="R813" s="167" t="s">
        <v>1047</v>
      </c>
      <c r="S813" s="167" t="s">
        <v>45</v>
      </c>
      <c r="T813" s="162" t="s">
        <v>800</v>
      </c>
      <c r="U813" s="167" t="s">
        <v>804</v>
      </c>
      <c r="X813" s="169">
        <v>45018</v>
      </c>
      <c r="Y813" s="170">
        <v>5</v>
      </c>
      <c r="Z813" s="170">
        <v>0</v>
      </c>
      <c r="AA813" s="170">
        <v>0</v>
      </c>
      <c r="AB813" s="170">
        <v>0</v>
      </c>
      <c r="AC813" s="171">
        <v>5</v>
      </c>
      <c r="AD813" s="172">
        <v>316573.15577000001</v>
      </c>
      <c r="AE813" s="173">
        <v>5</v>
      </c>
      <c r="AF813" s="174">
        <v>46357</v>
      </c>
    </row>
    <row r="814" spans="1:32" ht="20" x14ac:dyDescent="0.35">
      <c r="A814" s="162" t="s">
        <v>671</v>
      </c>
      <c r="B814" s="163" t="s">
        <v>1046</v>
      </c>
      <c r="C814" s="154"/>
      <c r="D814" s="162" t="s">
        <v>346</v>
      </c>
      <c r="E814" s="164" t="s">
        <v>346</v>
      </c>
      <c r="F814" s="164" t="s">
        <v>1046</v>
      </c>
      <c r="G814" s="164" t="s">
        <v>671</v>
      </c>
      <c r="H814" s="165">
        <v>30317</v>
      </c>
      <c r="I814" s="164" t="s">
        <v>20</v>
      </c>
      <c r="J814" s="164" t="s">
        <v>68</v>
      </c>
      <c r="K814" s="165">
        <v>44704</v>
      </c>
      <c r="L814" s="166" t="s">
        <v>348</v>
      </c>
      <c r="M814" s="154"/>
      <c r="N814" s="154"/>
      <c r="O814" s="164" t="s">
        <v>35</v>
      </c>
      <c r="P814" s="164">
        <v>43</v>
      </c>
      <c r="Q814" s="164">
        <v>4</v>
      </c>
      <c r="R814" s="167" t="s">
        <v>1047</v>
      </c>
      <c r="S814" s="167" t="s">
        <v>45</v>
      </c>
      <c r="T814" s="162" t="s">
        <v>800</v>
      </c>
      <c r="U814" s="167" t="s">
        <v>805</v>
      </c>
      <c r="X814" s="169">
        <v>45018</v>
      </c>
      <c r="Y814" s="170">
        <v>2.4999999966690001</v>
      </c>
      <c r="Z814" s="170">
        <v>0.41666667000000002</v>
      </c>
      <c r="AA814" s="170">
        <v>0</v>
      </c>
      <c r="AB814" s="170">
        <v>0</v>
      </c>
      <c r="AC814" s="171">
        <v>2.9166666666690002</v>
      </c>
      <c r="AD814" s="172">
        <v>184667.67420000001</v>
      </c>
      <c r="AE814" s="173">
        <v>2.92</v>
      </c>
      <c r="AF814" s="174">
        <v>46357</v>
      </c>
    </row>
    <row r="815" spans="1:32" ht="20" x14ac:dyDescent="0.35">
      <c r="A815" s="162" t="s">
        <v>673</v>
      </c>
      <c r="B815" s="163" t="s">
        <v>1048</v>
      </c>
      <c r="C815" s="154"/>
      <c r="D815" s="162" t="s">
        <v>349</v>
      </c>
      <c r="E815" s="164" t="s">
        <v>349</v>
      </c>
      <c r="F815" s="164" t="s">
        <v>1048</v>
      </c>
      <c r="G815" s="164" t="s">
        <v>673</v>
      </c>
      <c r="H815" s="165">
        <v>35114</v>
      </c>
      <c r="I815" s="164" t="s">
        <v>20</v>
      </c>
      <c r="J815" s="164" t="s">
        <v>68</v>
      </c>
      <c r="K815" s="165">
        <v>45446</v>
      </c>
      <c r="L815" s="166" t="s">
        <v>351</v>
      </c>
      <c r="M815" s="154"/>
      <c r="N815" s="154"/>
      <c r="O815" s="164" t="s">
        <v>65</v>
      </c>
      <c r="P815" s="164">
        <v>30</v>
      </c>
      <c r="Q815" s="164">
        <v>2</v>
      </c>
      <c r="R815" s="167" t="s">
        <v>1047</v>
      </c>
      <c r="S815" s="167" t="s">
        <v>45</v>
      </c>
      <c r="T815" s="162" t="s">
        <v>794</v>
      </c>
      <c r="U815" s="167" t="s">
        <v>795</v>
      </c>
      <c r="V815" s="162" t="s">
        <v>1049</v>
      </c>
      <c r="W815" s="168">
        <v>2</v>
      </c>
      <c r="X815" s="169">
        <v>45446.083333333299</v>
      </c>
      <c r="Y815" s="170">
        <v>25.711111113325</v>
      </c>
      <c r="Z815" s="170">
        <v>1.8333333300000001</v>
      </c>
      <c r="AA815" s="170">
        <v>0</v>
      </c>
      <c r="AB815" s="170">
        <v>0</v>
      </c>
      <c r="AC815" s="171">
        <v>27.544444443324998</v>
      </c>
      <c r="AD815" s="172">
        <v>4632521.5487500001</v>
      </c>
      <c r="AE815" s="173" t="s">
        <v>797</v>
      </c>
      <c r="AF815" s="173"/>
    </row>
    <row r="816" spans="1:32" ht="20" x14ac:dyDescent="0.35">
      <c r="A816" s="162" t="s">
        <v>673</v>
      </c>
      <c r="B816" s="163" t="s">
        <v>1048</v>
      </c>
      <c r="C816" s="154"/>
      <c r="D816" s="162" t="s">
        <v>349</v>
      </c>
      <c r="E816" s="164" t="s">
        <v>349</v>
      </c>
      <c r="F816" s="164" t="s">
        <v>1048</v>
      </c>
      <c r="G816" s="164" t="s">
        <v>673</v>
      </c>
      <c r="H816" s="165">
        <v>35114</v>
      </c>
      <c r="I816" s="164" t="s">
        <v>20</v>
      </c>
      <c r="J816" s="164" t="s">
        <v>68</v>
      </c>
      <c r="K816" s="165">
        <v>45446</v>
      </c>
      <c r="L816" s="166" t="s">
        <v>351</v>
      </c>
      <c r="M816" s="154"/>
      <c r="N816" s="154"/>
      <c r="O816" s="164" t="s">
        <v>65</v>
      </c>
      <c r="P816" s="164">
        <v>30</v>
      </c>
      <c r="Q816" s="164">
        <v>2</v>
      </c>
      <c r="R816" s="167" t="s">
        <v>1047</v>
      </c>
      <c r="S816" s="167" t="s">
        <v>45</v>
      </c>
      <c r="T816" s="162" t="s">
        <v>798</v>
      </c>
      <c r="U816" s="167" t="s">
        <v>839</v>
      </c>
      <c r="X816" s="169">
        <v>45446.083333333299</v>
      </c>
      <c r="Y816" s="170">
        <v>162</v>
      </c>
      <c r="Z816" s="170">
        <v>0</v>
      </c>
      <c r="AA816" s="170">
        <v>0</v>
      </c>
      <c r="AB816" s="170">
        <v>0</v>
      </c>
      <c r="AC816" s="171">
        <v>162</v>
      </c>
      <c r="AD816" s="172">
        <v>27245729.80373</v>
      </c>
      <c r="AE816" s="173">
        <v>162</v>
      </c>
      <c r="AF816" s="174">
        <v>46357</v>
      </c>
    </row>
    <row r="817" spans="1:32" ht="20" x14ac:dyDescent="0.35">
      <c r="A817" s="162" t="s">
        <v>673</v>
      </c>
      <c r="B817" s="163" t="s">
        <v>1048</v>
      </c>
      <c r="C817" s="154"/>
      <c r="D817" s="162" t="s">
        <v>349</v>
      </c>
      <c r="E817" s="164" t="s">
        <v>349</v>
      </c>
      <c r="F817" s="164" t="s">
        <v>1048</v>
      </c>
      <c r="G817" s="164" t="s">
        <v>673</v>
      </c>
      <c r="H817" s="165">
        <v>35114</v>
      </c>
      <c r="I817" s="164" t="s">
        <v>20</v>
      </c>
      <c r="J817" s="164" t="s">
        <v>68</v>
      </c>
      <c r="K817" s="165">
        <v>45446</v>
      </c>
      <c r="L817" s="166" t="s">
        <v>351</v>
      </c>
      <c r="M817" s="154"/>
      <c r="N817" s="154"/>
      <c r="O817" s="164" t="s">
        <v>65</v>
      </c>
      <c r="P817" s="164">
        <v>30</v>
      </c>
      <c r="Q817" s="164">
        <v>2</v>
      </c>
      <c r="R817" s="167" t="s">
        <v>1047</v>
      </c>
      <c r="S817" s="167" t="s">
        <v>45</v>
      </c>
      <c r="T817" s="162" t="s">
        <v>800</v>
      </c>
      <c r="U817" s="167" t="s">
        <v>801</v>
      </c>
      <c r="X817" s="169">
        <v>45446.083333333299</v>
      </c>
      <c r="Y817" s="170">
        <v>26</v>
      </c>
      <c r="Z817" s="170">
        <v>0</v>
      </c>
      <c r="AA817" s="170">
        <v>0</v>
      </c>
      <c r="AB817" s="170">
        <v>0</v>
      </c>
      <c r="AC817" s="171">
        <v>26</v>
      </c>
      <c r="AD817" s="172">
        <v>4372771.44998</v>
      </c>
      <c r="AE817" s="173">
        <v>26</v>
      </c>
      <c r="AF817" s="174">
        <v>46357</v>
      </c>
    </row>
    <row r="818" spans="1:32" ht="20" x14ac:dyDescent="0.35">
      <c r="A818" s="162" t="s">
        <v>673</v>
      </c>
      <c r="B818" s="163" t="s">
        <v>1048</v>
      </c>
      <c r="C818" s="154"/>
      <c r="D818" s="162" t="s">
        <v>349</v>
      </c>
      <c r="E818" s="164" t="s">
        <v>349</v>
      </c>
      <c r="F818" s="164" t="s">
        <v>1048</v>
      </c>
      <c r="G818" s="164" t="s">
        <v>673</v>
      </c>
      <c r="H818" s="165">
        <v>35114</v>
      </c>
      <c r="I818" s="164" t="s">
        <v>20</v>
      </c>
      <c r="J818" s="164" t="s">
        <v>68</v>
      </c>
      <c r="K818" s="165">
        <v>45446</v>
      </c>
      <c r="L818" s="166" t="s">
        <v>351</v>
      </c>
      <c r="M818" s="154"/>
      <c r="N818" s="154"/>
      <c r="O818" s="164" t="s">
        <v>65</v>
      </c>
      <c r="P818" s="164">
        <v>30</v>
      </c>
      <c r="Q818" s="164">
        <v>2</v>
      </c>
      <c r="R818" s="167" t="s">
        <v>1047</v>
      </c>
      <c r="S818" s="167" t="s">
        <v>45</v>
      </c>
      <c r="T818" s="162" t="s">
        <v>800</v>
      </c>
      <c r="U818" s="167" t="s">
        <v>802</v>
      </c>
      <c r="X818" s="169">
        <v>45446.083333333299</v>
      </c>
      <c r="Y818" s="170">
        <v>98</v>
      </c>
      <c r="Z818" s="170">
        <v>0</v>
      </c>
      <c r="AA818" s="170">
        <v>0</v>
      </c>
      <c r="AB818" s="170">
        <v>0</v>
      </c>
      <c r="AC818" s="171">
        <v>98</v>
      </c>
      <c r="AD818" s="172">
        <v>16481984.69609</v>
      </c>
      <c r="AE818" s="173">
        <v>98</v>
      </c>
      <c r="AF818" s="174">
        <v>46357</v>
      </c>
    </row>
    <row r="819" spans="1:32" ht="20" x14ac:dyDescent="0.35">
      <c r="A819" s="162" t="s">
        <v>673</v>
      </c>
      <c r="B819" s="163" t="s">
        <v>1048</v>
      </c>
      <c r="C819" s="154"/>
      <c r="D819" s="162" t="s">
        <v>349</v>
      </c>
      <c r="E819" s="164" t="s">
        <v>349</v>
      </c>
      <c r="F819" s="164" t="s">
        <v>1048</v>
      </c>
      <c r="G819" s="164" t="s">
        <v>673</v>
      </c>
      <c r="H819" s="165">
        <v>35114</v>
      </c>
      <c r="I819" s="164" t="s">
        <v>20</v>
      </c>
      <c r="J819" s="164" t="s">
        <v>68</v>
      </c>
      <c r="K819" s="165">
        <v>45446</v>
      </c>
      <c r="L819" s="166" t="s">
        <v>351</v>
      </c>
      <c r="M819" s="154"/>
      <c r="N819" s="154"/>
      <c r="O819" s="164" t="s">
        <v>65</v>
      </c>
      <c r="P819" s="164">
        <v>30</v>
      </c>
      <c r="Q819" s="164">
        <v>2</v>
      </c>
      <c r="R819" s="167" t="s">
        <v>1047</v>
      </c>
      <c r="S819" s="167" t="s">
        <v>45</v>
      </c>
      <c r="T819" s="162" t="s">
        <v>800</v>
      </c>
      <c r="U819" s="167" t="s">
        <v>803</v>
      </c>
      <c r="X819" s="169">
        <v>45446.083333333299</v>
      </c>
      <c r="Y819" s="170">
        <v>2</v>
      </c>
      <c r="Z819" s="170">
        <v>0</v>
      </c>
      <c r="AA819" s="170">
        <v>0</v>
      </c>
      <c r="AB819" s="170">
        <v>0</v>
      </c>
      <c r="AC819" s="171">
        <v>2</v>
      </c>
      <c r="AD819" s="172">
        <v>336367.03460999997</v>
      </c>
      <c r="AE819" s="173">
        <v>2</v>
      </c>
      <c r="AF819" s="174">
        <v>46357</v>
      </c>
    </row>
    <row r="820" spans="1:32" ht="20" x14ac:dyDescent="0.35">
      <c r="A820" s="162" t="s">
        <v>673</v>
      </c>
      <c r="B820" s="163" t="s">
        <v>1048</v>
      </c>
      <c r="C820" s="154"/>
      <c r="D820" s="162" t="s">
        <v>349</v>
      </c>
      <c r="E820" s="164" t="s">
        <v>349</v>
      </c>
      <c r="F820" s="164" t="s">
        <v>1048</v>
      </c>
      <c r="G820" s="164" t="s">
        <v>673</v>
      </c>
      <c r="H820" s="165">
        <v>35114</v>
      </c>
      <c r="I820" s="164" t="s">
        <v>20</v>
      </c>
      <c r="J820" s="164" t="s">
        <v>68</v>
      </c>
      <c r="K820" s="165">
        <v>45446</v>
      </c>
      <c r="L820" s="166" t="s">
        <v>351</v>
      </c>
      <c r="M820" s="154"/>
      <c r="N820" s="154"/>
      <c r="O820" s="164" t="s">
        <v>65</v>
      </c>
      <c r="P820" s="164">
        <v>30</v>
      </c>
      <c r="Q820" s="164">
        <v>2</v>
      </c>
      <c r="R820" s="167" t="s">
        <v>1047</v>
      </c>
      <c r="S820" s="167" t="s">
        <v>45</v>
      </c>
      <c r="T820" s="162" t="s">
        <v>800</v>
      </c>
      <c r="U820" s="167" t="s">
        <v>804</v>
      </c>
      <c r="X820" s="169">
        <v>45446.083333333299</v>
      </c>
      <c r="Y820" s="170">
        <v>5</v>
      </c>
      <c r="Z820" s="170">
        <v>0</v>
      </c>
      <c r="AA820" s="170">
        <v>0</v>
      </c>
      <c r="AB820" s="170">
        <v>0</v>
      </c>
      <c r="AC820" s="171">
        <v>5</v>
      </c>
      <c r="AD820" s="172">
        <v>840917.58654000005</v>
      </c>
      <c r="AE820" s="173">
        <v>5</v>
      </c>
      <c r="AF820" s="174">
        <v>46357</v>
      </c>
    </row>
    <row r="821" spans="1:32" ht="20" x14ac:dyDescent="0.35">
      <c r="A821" s="162" t="s">
        <v>673</v>
      </c>
      <c r="B821" s="163" t="s">
        <v>1048</v>
      </c>
      <c r="C821" s="154"/>
      <c r="D821" s="162" t="s">
        <v>349</v>
      </c>
      <c r="E821" s="164" t="s">
        <v>349</v>
      </c>
      <c r="F821" s="164" t="s">
        <v>1048</v>
      </c>
      <c r="G821" s="164" t="s">
        <v>673</v>
      </c>
      <c r="H821" s="165">
        <v>35114</v>
      </c>
      <c r="I821" s="164" t="s">
        <v>20</v>
      </c>
      <c r="J821" s="164" t="s">
        <v>68</v>
      </c>
      <c r="K821" s="165">
        <v>45446</v>
      </c>
      <c r="L821" s="166" t="s">
        <v>351</v>
      </c>
      <c r="M821" s="154"/>
      <c r="N821" s="154"/>
      <c r="O821" s="164" t="s">
        <v>65</v>
      </c>
      <c r="P821" s="164">
        <v>30</v>
      </c>
      <c r="Q821" s="164">
        <v>2</v>
      </c>
      <c r="R821" s="167" t="s">
        <v>1047</v>
      </c>
      <c r="S821" s="167" t="s">
        <v>45</v>
      </c>
      <c r="T821" s="162" t="s">
        <v>800</v>
      </c>
      <c r="U821" s="167" t="s">
        <v>840</v>
      </c>
      <c r="X821" s="169">
        <v>45446.083333333299</v>
      </c>
      <c r="Y821" s="170">
        <v>2.4999999966690001</v>
      </c>
      <c r="Z821" s="170">
        <v>0.41666667000000002</v>
      </c>
      <c r="AA821" s="170">
        <v>0</v>
      </c>
      <c r="AB821" s="170">
        <v>0</v>
      </c>
      <c r="AC821" s="171">
        <v>2.9166666666690002</v>
      </c>
      <c r="AD821" s="172">
        <v>490535.25881000003</v>
      </c>
      <c r="AE821" s="173">
        <v>2.92</v>
      </c>
      <c r="AF821" s="174">
        <v>46357</v>
      </c>
    </row>
    <row r="822" spans="1:32" ht="20" x14ac:dyDescent="0.35">
      <c r="A822" s="162" t="s">
        <v>1050</v>
      </c>
      <c r="B822" s="163" t="s">
        <v>1051</v>
      </c>
      <c r="C822" s="154"/>
      <c r="D822" s="162" t="s">
        <v>352</v>
      </c>
      <c r="E822" s="164" t="s">
        <v>352</v>
      </c>
      <c r="F822" s="164" t="s">
        <v>1051</v>
      </c>
      <c r="G822" s="164" t="s">
        <v>1050</v>
      </c>
      <c r="H822" s="165">
        <v>35574</v>
      </c>
      <c r="I822" s="164" t="s">
        <v>48</v>
      </c>
      <c r="J822" s="164" t="s">
        <v>68</v>
      </c>
      <c r="K822" s="165">
        <v>44746</v>
      </c>
      <c r="L822" s="166" t="s">
        <v>354</v>
      </c>
      <c r="M822" s="154"/>
      <c r="N822" s="154"/>
      <c r="O822" s="164" t="s">
        <v>29</v>
      </c>
      <c r="P822" s="164">
        <v>29</v>
      </c>
      <c r="Q822" s="164">
        <v>4</v>
      </c>
      <c r="R822" s="167" t="s">
        <v>1012</v>
      </c>
      <c r="S822" s="167" t="s">
        <v>848</v>
      </c>
      <c r="T822" s="162" t="s">
        <v>794</v>
      </c>
      <c r="U822" s="167" t="s">
        <v>795</v>
      </c>
      <c r="V822" s="162" t="s">
        <v>796</v>
      </c>
      <c r="W822" s="168">
        <v>4</v>
      </c>
      <c r="X822" s="169">
        <v>45018</v>
      </c>
      <c r="Y822" s="170">
        <v>12.833333330002</v>
      </c>
      <c r="Z822" s="170">
        <v>1.9166666699999999</v>
      </c>
      <c r="AA822" s="170">
        <v>0</v>
      </c>
      <c r="AB822" s="170">
        <v>0</v>
      </c>
      <c r="AC822" s="171">
        <v>14.750000000002</v>
      </c>
      <c r="AD822" s="172">
        <v>3979959.38625</v>
      </c>
      <c r="AE822" s="173" t="s">
        <v>797</v>
      </c>
      <c r="AF822" s="173"/>
    </row>
    <row r="823" spans="1:32" ht="20" x14ac:dyDescent="0.35">
      <c r="A823" s="162" t="s">
        <v>1050</v>
      </c>
      <c r="B823" s="163" t="s">
        <v>1051</v>
      </c>
      <c r="C823" s="154"/>
      <c r="D823" s="162" t="s">
        <v>352</v>
      </c>
      <c r="E823" s="164" t="s">
        <v>352</v>
      </c>
      <c r="F823" s="164" t="s">
        <v>1051</v>
      </c>
      <c r="G823" s="164" t="s">
        <v>1050</v>
      </c>
      <c r="H823" s="165">
        <v>35574</v>
      </c>
      <c r="I823" s="164" t="s">
        <v>48</v>
      </c>
      <c r="J823" s="164" t="s">
        <v>68</v>
      </c>
      <c r="K823" s="165">
        <v>44746</v>
      </c>
      <c r="L823" s="166" t="s">
        <v>354</v>
      </c>
      <c r="M823" s="154"/>
      <c r="N823" s="154"/>
      <c r="O823" s="164" t="s">
        <v>29</v>
      </c>
      <c r="P823" s="164">
        <v>29</v>
      </c>
      <c r="Q823" s="164">
        <v>4</v>
      </c>
      <c r="R823" s="167" t="s">
        <v>1012</v>
      </c>
      <c r="S823" s="167" t="s">
        <v>848</v>
      </c>
      <c r="T823" s="162" t="s">
        <v>798</v>
      </c>
      <c r="U823" s="167" t="s">
        <v>839</v>
      </c>
      <c r="X823" s="169">
        <v>45018</v>
      </c>
      <c r="Y823" s="170">
        <v>180</v>
      </c>
      <c r="Z823" s="170">
        <v>0</v>
      </c>
      <c r="AA823" s="170">
        <v>0</v>
      </c>
      <c r="AB823" s="170">
        <v>0</v>
      </c>
      <c r="AC823" s="171">
        <v>180</v>
      </c>
      <c r="AD823" s="172">
        <v>48568995.899999999</v>
      </c>
      <c r="AE823" s="173">
        <v>180</v>
      </c>
      <c r="AF823" s="174">
        <v>46357</v>
      </c>
    </row>
    <row r="824" spans="1:32" ht="20" x14ac:dyDescent="0.35">
      <c r="A824" s="162" t="s">
        <v>1050</v>
      </c>
      <c r="B824" s="163" t="s">
        <v>1051</v>
      </c>
      <c r="C824" s="154"/>
      <c r="D824" s="162" t="s">
        <v>352</v>
      </c>
      <c r="E824" s="164" t="s">
        <v>352</v>
      </c>
      <c r="F824" s="164" t="s">
        <v>1051</v>
      </c>
      <c r="G824" s="164" t="s">
        <v>1050</v>
      </c>
      <c r="H824" s="165">
        <v>35574</v>
      </c>
      <c r="I824" s="164" t="s">
        <v>48</v>
      </c>
      <c r="J824" s="164" t="s">
        <v>68</v>
      </c>
      <c r="K824" s="165">
        <v>44746</v>
      </c>
      <c r="L824" s="166" t="s">
        <v>354</v>
      </c>
      <c r="M824" s="154"/>
      <c r="N824" s="154"/>
      <c r="O824" s="164" t="s">
        <v>29</v>
      </c>
      <c r="P824" s="164">
        <v>29</v>
      </c>
      <c r="Q824" s="164">
        <v>4</v>
      </c>
      <c r="R824" s="167" t="s">
        <v>1012</v>
      </c>
      <c r="S824" s="167" t="s">
        <v>848</v>
      </c>
      <c r="T824" s="162" t="s">
        <v>800</v>
      </c>
      <c r="U824" s="167" t="s">
        <v>801</v>
      </c>
      <c r="X824" s="169">
        <v>45018</v>
      </c>
      <c r="Y824" s="170">
        <v>26</v>
      </c>
      <c r="Z824" s="170">
        <v>0</v>
      </c>
      <c r="AA824" s="170">
        <v>0</v>
      </c>
      <c r="AB824" s="170">
        <v>0</v>
      </c>
      <c r="AC824" s="171">
        <v>26</v>
      </c>
      <c r="AD824" s="172">
        <v>7015521.6299999999</v>
      </c>
      <c r="AE824" s="173">
        <v>26</v>
      </c>
      <c r="AF824" s="174">
        <v>46357</v>
      </c>
    </row>
    <row r="825" spans="1:32" ht="20" x14ac:dyDescent="0.35">
      <c r="A825" s="162" t="s">
        <v>1050</v>
      </c>
      <c r="B825" s="163" t="s">
        <v>1051</v>
      </c>
      <c r="C825" s="154"/>
      <c r="D825" s="162" t="s">
        <v>352</v>
      </c>
      <c r="E825" s="164" t="s">
        <v>352</v>
      </c>
      <c r="F825" s="164" t="s">
        <v>1051</v>
      </c>
      <c r="G825" s="164" t="s">
        <v>1050</v>
      </c>
      <c r="H825" s="165">
        <v>35574</v>
      </c>
      <c r="I825" s="164" t="s">
        <v>48</v>
      </c>
      <c r="J825" s="164" t="s">
        <v>68</v>
      </c>
      <c r="K825" s="165">
        <v>44746</v>
      </c>
      <c r="L825" s="166" t="s">
        <v>354</v>
      </c>
      <c r="M825" s="154"/>
      <c r="N825" s="154"/>
      <c r="O825" s="164" t="s">
        <v>29</v>
      </c>
      <c r="P825" s="164">
        <v>29</v>
      </c>
      <c r="Q825" s="164">
        <v>4</v>
      </c>
      <c r="R825" s="167" t="s">
        <v>1012</v>
      </c>
      <c r="S825" s="167" t="s">
        <v>848</v>
      </c>
      <c r="T825" s="162" t="s">
        <v>800</v>
      </c>
      <c r="U825" s="167" t="s">
        <v>802</v>
      </c>
      <c r="X825" s="169">
        <v>45018</v>
      </c>
      <c r="Y825" s="170">
        <v>18</v>
      </c>
      <c r="Z825" s="170">
        <v>0</v>
      </c>
      <c r="AA825" s="170">
        <v>0</v>
      </c>
      <c r="AB825" s="170">
        <v>0</v>
      </c>
      <c r="AC825" s="171">
        <v>18</v>
      </c>
      <c r="AD825" s="172">
        <v>4856899.59</v>
      </c>
      <c r="AE825" s="173">
        <v>18</v>
      </c>
      <c r="AF825" s="174">
        <v>46357</v>
      </c>
    </row>
    <row r="826" spans="1:32" ht="20" x14ac:dyDescent="0.35">
      <c r="A826" s="162" t="s">
        <v>1050</v>
      </c>
      <c r="B826" s="163" t="s">
        <v>1051</v>
      </c>
      <c r="C826" s="154"/>
      <c r="D826" s="162" t="s">
        <v>352</v>
      </c>
      <c r="E826" s="164" t="s">
        <v>352</v>
      </c>
      <c r="F826" s="164" t="s">
        <v>1051</v>
      </c>
      <c r="G826" s="164" t="s">
        <v>1050</v>
      </c>
      <c r="H826" s="165">
        <v>35574</v>
      </c>
      <c r="I826" s="164" t="s">
        <v>48</v>
      </c>
      <c r="J826" s="164" t="s">
        <v>68</v>
      </c>
      <c r="K826" s="165">
        <v>44746</v>
      </c>
      <c r="L826" s="166" t="s">
        <v>354</v>
      </c>
      <c r="M826" s="154"/>
      <c r="N826" s="154"/>
      <c r="O826" s="164" t="s">
        <v>29</v>
      </c>
      <c r="P826" s="164">
        <v>29</v>
      </c>
      <c r="Q826" s="164">
        <v>4</v>
      </c>
      <c r="R826" s="167" t="s">
        <v>1012</v>
      </c>
      <c r="S826" s="167" t="s">
        <v>848</v>
      </c>
      <c r="T826" s="162" t="s">
        <v>800</v>
      </c>
      <c r="U826" s="167" t="s">
        <v>803</v>
      </c>
      <c r="X826" s="169">
        <v>45018</v>
      </c>
      <c r="Y826" s="170">
        <v>2</v>
      </c>
      <c r="Z826" s="170">
        <v>0</v>
      </c>
      <c r="AA826" s="170">
        <v>0</v>
      </c>
      <c r="AB826" s="170">
        <v>0</v>
      </c>
      <c r="AC826" s="171">
        <v>2</v>
      </c>
      <c r="AD826" s="172">
        <v>539655.51</v>
      </c>
      <c r="AE826" s="173">
        <v>2</v>
      </c>
      <c r="AF826" s="174">
        <v>46357</v>
      </c>
    </row>
    <row r="827" spans="1:32" ht="20" x14ac:dyDescent="0.35">
      <c r="A827" s="162" t="s">
        <v>1050</v>
      </c>
      <c r="B827" s="163" t="s">
        <v>1051</v>
      </c>
      <c r="C827" s="154"/>
      <c r="D827" s="162" t="s">
        <v>352</v>
      </c>
      <c r="E827" s="164" t="s">
        <v>352</v>
      </c>
      <c r="F827" s="164" t="s">
        <v>1051</v>
      </c>
      <c r="G827" s="164" t="s">
        <v>1050</v>
      </c>
      <c r="H827" s="165">
        <v>35574</v>
      </c>
      <c r="I827" s="164" t="s">
        <v>48</v>
      </c>
      <c r="J827" s="164" t="s">
        <v>68</v>
      </c>
      <c r="K827" s="165">
        <v>44746</v>
      </c>
      <c r="L827" s="166" t="s">
        <v>354</v>
      </c>
      <c r="M827" s="154"/>
      <c r="N827" s="154"/>
      <c r="O827" s="164" t="s">
        <v>29</v>
      </c>
      <c r="P827" s="164">
        <v>29</v>
      </c>
      <c r="Q827" s="164">
        <v>4</v>
      </c>
      <c r="R827" s="167" t="s">
        <v>1012</v>
      </c>
      <c r="S827" s="167" t="s">
        <v>848</v>
      </c>
      <c r="T827" s="162" t="s">
        <v>800</v>
      </c>
      <c r="U827" s="167" t="s">
        <v>804</v>
      </c>
      <c r="X827" s="169">
        <v>45018</v>
      </c>
      <c r="Y827" s="170">
        <v>5</v>
      </c>
      <c r="Z827" s="170">
        <v>0</v>
      </c>
      <c r="AA827" s="170">
        <v>0</v>
      </c>
      <c r="AB827" s="170">
        <v>0</v>
      </c>
      <c r="AC827" s="171">
        <v>5</v>
      </c>
      <c r="AD827" s="172">
        <v>1349138.7749999999</v>
      </c>
      <c r="AE827" s="173">
        <v>5</v>
      </c>
      <c r="AF827" s="174">
        <v>46357</v>
      </c>
    </row>
    <row r="828" spans="1:32" ht="20" x14ac:dyDescent="0.35">
      <c r="A828" s="162" t="s">
        <v>1050</v>
      </c>
      <c r="B828" s="163" t="s">
        <v>1051</v>
      </c>
      <c r="C828" s="154"/>
      <c r="D828" s="162" t="s">
        <v>352</v>
      </c>
      <c r="E828" s="164" t="s">
        <v>352</v>
      </c>
      <c r="F828" s="164" t="s">
        <v>1051</v>
      </c>
      <c r="G828" s="164" t="s">
        <v>1050</v>
      </c>
      <c r="H828" s="165">
        <v>35574</v>
      </c>
      <c r="I828" s="164" t="s">
        <v>48</v>
      </c>
      <c r="J828" s="164" t="s">
        <v>68</v>
      </c>
      <c r="K828" s="165">
        <v>44746</v>
      </c>
      <c r="L828" s="166" t="s">
        <v>354</v>
      </c>
      <c r="M828" s="154"/>
      <c r="N828" s="154"/>
      <c r="O828" s="164" t="s">
        <v>29</v>
      </c>
      <c r="P828" s="164">
        <v>29</v>
      </c>
      <c r="Q828" s="164">
        <v>4</v>
      </c>
      <c r="R828" s="167" t="s">
        <v>1012</v>
      </c>
      <c r="S828" s="167" t="s">
        <v>848</v>
      </c>
      <c r="T828" s="162" t="s">
        <v>800</v>
      </c>
      <c r="U828" s="167" t="s">
        <v>840</v>
      </c>
      <c r="X828" s="169">
        <v>45018</v>
      </c>
      <c r="Y828" s="170">
        <v>2.4999999966690001</v>
      </c>
      <c r="Z828" s="170">
        <v>0.41666667000000002</v>
      </c>
      <c r="AA828" s="170">
        <v>0</v>
      </c>
      <c r="AB828" s="170">
        <v>0</v>
      </c>
      <c r="AC828" s="171">
        <v>2.9166666666690002</v>
      </c>
      <c r="AD828" s="172">
        <v>786997.61875000002</v>
      </c>
      <c r="AE828" s="173">
        <v>2.92</v>
      </c>
      <c r="AF828" s="174">
        <v>46357</v>
      </c>
    </row>
    <row r="829" spans="1:32" ht="20" x14ac:dyDescent="0.35">
      <c r="A829" s="162" t="s">
        <v>1052</v>
      </c>
      <c r="B829" s="163" t="s">
        <v>1053</v>
      </c>
      <c r="C829" s="154"/>
      <c r="D829" s="162" t="s">
        <v>355</v>
      </c>
      <c r="E829" s="164" t="s">
        <v>355</v>
      </c>
      <c r="F829" s="164" t="s">
        <v>1053</v>
      </c>
      <c r="G829" s="164" t="s">
        <v>1052</v>
      </c>
      <c r="H829" s="165">
        <v>28626</v>
      </c>
      <c r="I829" s="164" t="s">
        <v>20</v>
      </c>
      <c r="J829" s="164" t="s">
        <v>68</v>
      </c>
      <c r="K829" s="165">
        <v>44746</v>
      </c>
      <c r="L829" s="166" t="s">
        <v>357</v>
      </c>
      <c r="M829" s="154"/>
      <c r="N829" s="154"/>
      <c r="O829" s="164" t="s">
        <v>44</v>
      </c>
      <c r="P829" s="164">
        <v>48</v>
      </c>
      <c r="Q829" s="164">
        <v>4</v>
      </c>
      <c r="R829" s="167" t="s">
        <v>1025</v>
      </c>
      <c r="S829" s="167" t="s">
        <v>848</v>
      </c>
      <c r="T829" s="162" t="s">
        <v>794</v>
      </c>
      <c r="U829" s="167" t="s">
        <v>795</v>
      </c>
      <c r="V829" s="162" t="s">
        <v>796</v>
      </c>
      <c r="W829" s="168">
        <v>4</v>
      </c>
      <c r="X829" s="169">
        <v>45171</v>
      </c>
      <c r="Y829" s="170">
        <v>32.999999996667</v>
      </c>
      <c r="Z829" s="170">
        <v>1.9166666699999999</v>
      </c>
      <c r="AA829" s="170">
        <v>0</v>
      </c>
      <c r="AB829" s="170">
        <v>1.916666666667</v>
      </c>
      <c r="AC829" s="171">
        <v>33</v>
      </c>
      <c r="AD829" s="172">
        <v>4925147.3953799997</v>
      </c>
      <c r="AE829" s="173" t="s">
        <v>797</v>
      </c>
      <c r="AF829" s="173"/>
    </row>
    <row r="830" spans="1:32" ht="20" x14ac:dyDescent="0.35">
      <c r="A830" s="162" t="s">
        <v>1052</v>
      </c>
      <c r="B830" s="163" t="s">
        <v>1053</v>
      </c>
      <c r="C830" s="154"/>
      <c r="D830" s="162" t="s">
        <v>355</v>
      </c>
      <c r="E830" s="164" t="s">
        <v>355</v>
      </c>
      <c r="F830" s="164" t="s">
        <v>1053</v>
      </c>
      <c r="G830" s="164" t="s">
        <v>1052</v>
      </c>
      <c r="H830" s="165">
        <v>28626</v>
      </c>
      <c r="I830" s="164" t="s">
        <v>20</v>
      </c>
      <c r="J830" s="164" t="s">
        <v>68</v>
      </c>
      <c r="K830" s="165">
        <v>44746</v>
      </c>
      <c r="L830" s="166" t="s">
        <v>357</v>
      </c>
      <c r="M830" s="154"/>
      <c r="N830" s="154"/>
      <c r="O830" s="164" t="s">
        <v>44</v>
      </c>
      <c r="P830" s="164">
        <v>48</v>
      </c>
      <c r="Q830" s="164">
        <v>4</v>
      </c>
      <c r="R830" s="167" t="s">
        <v>1025</v>
      </c>
      <c r="S830" s="167" t="s">
        <v>848</v>
      </c>
      <c r="T830" s="162" t="s">
        <v>798</v>
      </c>
      <c r="U830" s="167" t="s">
        <v>839</v>
      </c>
      <c r="X830" s="169">
        <v>45171</v>
      </c>
      <c r="Y830" s="170">
        <v>180</v>
      </c>
      <c r="Z830" s="170">
        <v>0</v>
      </c>
      <c r="AA830" s="170">
        <v>0</v>
      </c>
      <c r="AB830" s="170">
        <v>0</v>
      </c>
      <c r="AC830" s="171">
        <v>180</v>
      </c>
      <c r="AD830" s="172">
        <v>26864440.33842</v>
      </c>
      <c r="AE830" s="173">
        <v>180</v>
      </c>
      <c r="AF830" s="174">
        <v>46357</v>
      </c>
    </row>
    <row r="831" spans="1:32" ht="20" x14ac:dyDescent="0.35">
      <c r="A831" s="162" t="s">
        <v>1052</v>
      </c>
      <c r="B831" s="163" t="s">
        <v>1053</v>
      </c>
      <c r="C831" s="154"/>
      <c r="D831" s="162" t="s">
        <v>355</v>
      </c>
      <c r="E831" s="164" t="s">
        <v>355</v>
      </c>
      <c r="F831" s="164" t="s">
        <v>1053</v>
      </c>
      <c r="G831" s="164" t="s">
        <v>1052</v>
      </c>
      <c r="H831" s="165">
        <v>28626</v>
      </c>
      <c r="I831" s="164" t="s">
        <v>20</v>
      </c>
      <c r="J831" s="164" t="s">
        <v>68</v>
      </c>
      <c r="K831" s="165">
        <v>44746</v>
      </c>
      <c r="L831" s="166" t="s">
        <v>357</v>
      </c>
      <c r="M831" s="154"/>
      <c r="N831" s="154"/>
      <c r="O831" s="164" t="s">
        <v>44</v>
      </c>
      <c r="P831" s="164">
        <v>48</v>
      </c>
      <c r="Q831" s="164">
        <v>4</v>
      </c>
      <c r="R831" s="167" t="s">
        <v>1025</v>
      </c>
      <c r="S831" s="167" t="s">
        <v>848</v>
      </c>
      <c r="T831" s="162" t="s">
        <v>800</v>
      </c>
      <c r="U831" s="167" t="s">
        <v>801</v>
      </c>
      <c r="X831" s="169">
        <v>45171</v>
      </c>
      <c r="Y831" s="170">
        <v>26</v>
      </c>
      <c r="Z831" s="170">
        <v>0</v>
      </c>
      <c r="AA831" s="170">
        <v>0</v>
      </c>
      <c r="AB831" s="170">
        <v>0</v>
      </c>
      <c r="AC831" s="171">
        <v>26</v>
      </c>
      <c r="AD831" s="172">
        <v>3880419.1599900001</v>
      </c>
      <c r="AE831" s="173">
        <v>26</v>
      </c>
      <c r="AF831" s="174">
        <v>46357</v>
      </c>
    </row>
    <row r="832" spans="1:32" ht="20" x14ac:dyDescent="0.35">
      <c r="A832" s="162" t="s">
        <v>1052</v>
      </c>
      <c r="B832" s="163" t="s">
        <v>1053</v>
      </c>
      <c r="C832" s="154"/>
      <c r="D832" s="162" t="s">
        <v>355</v>
      </c>
      <c r="E832" s="164" t="s">
        <v>355</v>
      </c>
      <c r="F832" s="164" t="s">
        <v>1053</v>
      </c>
      <c r="G832" s="164" t="s">
        <v>1052</v>
      </c>
      <c r="H832" s="165">
        <v>28626</v>
      </c>
      <c r="I832" s="164" t="s">
        <v>20</v>
      </c>
      <c r="J832" s="164" t="s">
        <v>68</v>
      </c>
      <c r="K832" s="165">
        <v>44746</v>
      </c>
      <c r="L832" s="166" t="s">
        <v>357</v>
      </c>
      <c r="M832" s="154"/>
      <c r="N832" s="154"/>
      <c r="O832" s="164" t="s">
        <v>44</v>
      </c>
      <c r="P832" s="164">
        <v>48</v>
      </c>
      <c r="Q832" s="164">
        <v>4</v>
      </c>
      <c r="R832" s="167" t="s">
        <v>1025</v>
      </c>
      <c r="S832" s="167" t="s">
        <v>848</v>
      </c>
      <c r="T832" s="162" t="s">
        <v>800</v>
      </c>
      <c r="U832" s="167" t="s">
        <v>802</v>
      </c>
      <c r="X832" s="169">
        <v>45171</v>
      </c>
      <c r="Y832" s="170">
        <v>98</v>
      </c>
      <c r="Z832" s="170">
        <v>0</v>
      </c>
      <c r="AA832" s="170">
        <v>0</v>
      </c>
      <c r="AB832" s="170">
        <v>0</v>
      </c>
      <c r="AC832" s="171">
        <v>98</v>
      </c>
      <c r="AD832" s="172">
        <v>14626195.295360001</v>
      </c>
      <c r="AE832" s="173">
        <v>98</v>
      </c>
      <c r="AF832" s="174">
        <v>46357</v>
      </c>
    </row>
    <row r="833" spans="1:32" ht="20" x14ac:dyDescent="0.35">
      <c r="A833" s="162" t="s">
        <v>1052</v>
      </c>
      <c r="B833" s="163" t="s">
        <v>1053</v>
      </c>
      <c r="C833" s="154"/>
      <c r="D833" s="162" t="s">
        <v>355</v>
      </c>
      <c r="E833" s="164" t="s">
        <v>355</v>
      </c>
      <c r="F833" s="164" t="s">
        <v>1053</v>
      </c>
      <c r="G833" s="164" t="s">
        <v>1052</v>
      </c>
      <c r="H833" s="165">
        <v>28626</v>
      </c>
      <c r="I833" s="164" t="s">
        <v>20</v>
      </c>
      <c r="J833" s="164" t="s">
        <v>68</v>
      </c>
      <c r="K833" s="165">
        <v>44746</v>
      </c>
      <c r="L833" s="166" t="s">
        <v>357</v>
      </c>
      <c r="M833" s="154"/>
      <c r="N833" s="154"/>
      <c r="O833" s="164" t="s">
        <v>44</v>
      </c>
      <c r="P833" s="164">
        <v>48</v>
      </c>
      <c r="Q833" s="164">
        <v>4</v>
      </c>
      <c r="R833" s="167" t="s">
        <v>1025</v>
      </c>
      <c r="S833" s="167" t="s">
        <v>848</v>
      </c>
      <c r="T833" s="162" t="s">
        <v>800</v>
      </c>
      <c r="U833" s="167" t="s">
        <v>803</v>
      </c>
      <c r="X833" s="169">
        <v>45171</v>
      </c>
      <c r="Y833" s="170">
        <v>2</v>
      </c>
      <c r="Z833" s="170">
        <v>0</v>
      </c>
      <c r="AA833" s="170">
        <v>0</v>
      </c>
      <c r="AB833" s="170">
        <v>0</v>
      </c>
      <c r="AC833" s="171">
        <v>2</v>
      </c>
      <c r="AD833" s="172">
        <v>298493.78154</v>
      </c>
      <c r="AE833" s="173">
        <v>2</v>
      </c>
      <c r="AF833" s="174">
        <v>46357</v>
      </c>
    </row>
    <row r="834" spans="1:32" ht="20" x14ac:dyDescent="0.35">
      <c r="A834" s="162" t="s">
        <v>1052</v>
      </c>
      <c r="B834" s="163" t="s">
        <v>1053</v>
      </c>
      <c r="C834" s="154"/>
      <c r="D834" s="162" t="s">
        <v>355</v>
      </c>
      <c r="E834" s="164" t="s">
        <v>355</v>
      </c>
      <c r="F834" s="164" t="s">
        <v>1053</v>
      </c>
      <c r="G834" s="164" t="s">
        <v>1052</v>
      </c>
      <c r="H834" s="165">
        <v>28626</v>
      </c>
      <c r="I834" s="164" t="s">
        <v>20</v>
      </c>
      <c r="J834" s="164" t="s">
        <v>68</v>
      </c>
      <c r="K834" s="165">
        <v>44746</v>
      </c>
      <c r="L834" s="166" t="s">
        <v>357</v>
      </c>
      <c r="M834" s="154"/>
      <c r="N834" s="154"/>
      <c r="O834" s="164" t="s">
        <v>44</v>
      </c>
      <c r="P834" s="164">
        <v>48</v>
      </c>
      <c r="Q834" s="164">
        <v>4</v>
      </c>
      <c r="R834" s="167" t="s">
        <v>1025</v>
      </c>
      <c r="S834" s="167" t="s">
        <v>848</v>
      </c>
      <c r="T834" s="162" t="s">
        <v>800</v>
      </c>
      <c r="U834" s="167" t="s">
        <v>804</v>
      </c>
      <c r="X834" s="169">
        <v>45171</v>
      </c>
      <c r="Y834" s="170">
        <v>5</v>
      </c>
      <c r="Z834" s="170">
        <v>0</v>
      </c>
      <c r="AA834" s="170">
        <v>0</v>
      </c>
      <c r="AB834" s="170">
        <v>0</v>
      </c>
      <c r="AC834" s="171">
        <v>5</v>
      </c>
      <c r="AD834" s="172">
        <v>746234.45383999997</v>
      </c>
      <c r="AE834" s="173">
        <v>5</v>
      </c>
      <c r="AF834" s="174">
        <v>46357</v>
      </c>
    </row>
    <row r="835" spans="1:32" ht="20" x14ac:dyDescent="0.35">
      <c r="A835" s="162" t="s">
        <v>1052</v>
      </c>
      <c r="B835" s="163" t="s">
        <v>1053</v>
      </c>
      <c r="C835" s="154"/>
      <c r="D835" s="162" t="s">
        <v>355</v>
      </c>
      <c r="E835" s="164" t="s">
        <v>355</v>
      </c>
      <c r="F835" s="164" t="s">
        <v>1053</v>
      </c>
      <c r="G835" s="164" t="s">
        <v>1052</v>
      </c>
      <c r="H835" s="165">
        <v>28626</v>
      </c>
      <c r="I835" s="164" t="s">
        <v>20</v>
      </c>
      <c r="J835" s="164" t="s">
        <v>68</v>
      </c>
      <c r="K835" s="165">
        <v>44746</v>
      </c>
      <c r="L835" s="166" t="s">
        <v>357</v>
      </c>
      <c r="M835" s="154"/>
      <c r="N835" s="154"/>
      <c r="O835" s="164" t="s">
        <v>44</v>
      </c>
      <c r="P835" s="164">
        <v>48</v>
      </c>
      <c r="Q835" s="164">
        <v>4</v>
      </c>
      <c r="R835" s="167" t="s">
        <v>1025</v>
      </c>
      <c r="S835" s="167" t="s">
        <v>848</v>
      </c>
      <c r="T835" s="162" t="s">
        <v>800</v>
      </c>
      <c r="U835" s="167" t="s">
        <v>840</v>
      </c>
      <c r="X835" s="169">
        <v>45171</v>
      </c>
      <c r="Y835" s="170">
        <v>2.4999999966690001</v>
      </c>
      <c r="Z835" s="170">
        <v>0.41666667000000002</v>
      </c>
      <c r="AA835" s="170">
        <v>0</v>
      </c>
      <c r="AB835" s="170">
        <v>0</v>
      </c>
      <c r="AC835" s="171">
        <v>2.9166666666690002</v>
      </c>
      <c r="AD835" s="172">
        <v>435303.43141000002</v>
      </c>
      <c r="AE835" s="173">
        <v>2.92</v>
      </c>
      <c r="AF835" s="174">
        <v>46357</v>
      </c>
    </row>
    <row r="836" spans="1:32" ht="20" x14ac:dyDescent="0.35">
      <c r="A836" s="162" t="s">
        <v>1054</v>
      </c>
      <c r="B836" s="163" t="s">
        <v>1055</v>
      </c>
      <c r="C836" s="154"/>
      <c r="D836" s="162" t="s">
        <v>358</v>
      </c>
      <c r="E836" s="164" t="s">
        <v>358</v>
      </c>
      <c r="F836" s="164" t="s">
        <v>1055</v>
      </c>
      <c r="G836" s="164" t="s">
        <v>1054</v>
      </c>
      <c r="H836" s="165">
        <v>32694</v>
      </c>
      <c r="I836" s="164" t="s">
        <v>20</v>
      </c>
      <c r="J836" s="164" t="s">
        <v>68</v>
      </c>
      <c r="K836" s="165">
        <v>44775</v>
      </c>
      <c r="L836" s="166" t="s">
        <v>201</v>
      </c>
      <c r="M836" s="154"/>
      <c r="N836" s="154"/>
      <c r="O836" s="164" t="s">
        <v>57</v>
      </c>
      <c r="P836" s="164">
        <v>37</v>
      </c>
      <c r="Q836" s="164">
        <v>3</v>
      </c>
      <c r="R836" s="167" t="s">
        <v>1056</v>
      </c>
      <c r="S836" s="167" t="s">
        <v>848</v>
      </c>
      <c r="T836" s="162" t="s">
        <v>794</v>
      </c>
      <c r="U836" s="167" t="s">
        <v>833</v>
      </c>
      <c r="V836" s="162" t="s">
        <v>820</v>
      </c>
      <c r="W836" s="168">
        <v>3</v>
      </c>
      <c r="X836" s="169">
        <v>45383</v>
      </c>
      <c r="Y836" s="170">
        <v>18.916666669996001</v>
      </c>
      <c r="Z836" s="170">
        <v>2.0833333299999999</v>
      </c>
      <c r="AA836" s="170">
        <v>0</v>
      </c>
      <c r="AB836" s="170">
        <v>0</v>
      </c>
      <c r="AC836" s="171">
        <v>20.999999999996</v>
      </c>
      <c r="AD836" s="172">
        <v>10218337.128450001</v>
      </c>
      <c r="AE836" s="173" t="s">
        <v>797</v>
      </c>
      <c r="AF836" s="173"/>
    </row>
    <row r="837" spans="1:32" ht="20" x14ac:dyDescent="0.35">
      <c r="A837" s="162" t="s">
        <v>1054</v>
      </c>
      <c r="B837" s="163" t="s">
        <v>1055</v>
      </c>
      <c r="C837" s="154"/>
      <c r="D837" s="162" t="s">
        <v>358</v>
      </c>
      <c r="E837" s="164" t="s">
        <v>358</v>
      </c>
      <c r="F837" s="164" t="s">
        <v>1055</v>
      </c>
      <c r="G837" s="164" t="s">
        <v>1054</v>
      </c>
      <c r="H837" s="165">
        <v>32694</v>
      </c>
      <c r="I837" s="164" t="s">
        <v>20</v>
      </c>
      <c r="J837" s="164" t="s">
        <v>68</v>
      </c>
      <c r="K837" s="165">
        <v>44775</v>
      </c>
      <c r="L837" s="166" t="s">
        <v>201</v>
      </c>
      <c r="M837" s="154"/>
      <c r="N837" s="154"/>
      <c r="O837" s="164" t="s">
        <v>57</v>
      </c>
      <c r="P837" s="164">
        <v>37</v>
      </c>
      <c r="Q837" s="164">
        <v>3</v>
      </c>
      <c r="R837" s="167" t="s">
        <v>1056</v>
      </c>
      <c r="S837" s="167" t="s">
        <v>848</v>
      </c>
      <c r="T837" s="162" t="s">
        <v>798</v>
      </c>
      <c r="U837" s="167" t="s">
        <v>799</v>
      </c>
      <c r="X837" s="169">
        <v>45383</v>
      </c>
      <c r="Y837" s="170">
        <v>180</v>
      </c>
      <c r="Z837" s="170">
        <v>0</v>
      </c>
      <c r="AA837" s="170">
        <v>0</v>
      </c>
      <c r="AB837" s="170">
        <v>0</v>
      </c>
      <c r="AC837" s="171">
        <v>180</v>
      </c>
      <c r="AD837" s="172">
        <v>87585746.815259993</v>
      </c>
      <c r="AE837" s="173">
        <v>180</v>
      </c>
      <c r="AF837" s="174">
        <v>46357</v>
      </c>
    </row>
    <row r="838" spans="1:32" ht="20" x14ac:dyDescent="0.35">
      <c r="A838" s="162" t="s">
        <v>1054</v>
      </c>
      <c r="B838" s="163" t="s">
        <v>1055</v>
      </c>
      <c r="C838" s="154"/>
      <c r="D838" s="162" t="s">
        <v>358</v>
      </c>
      <c r="E838" s="164" t="s">
        <v>358</v>
      </c>
      <c r="F838" s="164" t="s">
        <v>1055</v>
      </c>
      <c r="G838" s="164" t="s">
        <v>1054</v>
      </c>
      <c r="H838" s="165">
        <v>32694</v>
      </c>
      <c r="I838" s="164" t="s">
        <v>20</v>
      </c>
      <c r="J838" s="164" t="s">
        <v>68</v>
      </c>
      <c r="K838" s="165">
        <v>44775</v>
      </c>
      <c r="L838" s="166" t="s">
        <v>201</v>
      </c>
      <c r="M838" s="154"/>
      <c r="N838" s="154"/>
      <c r="O838" s="164" t="s">
        <v>57</v>
      </c>
      <c r="P838" s="164">
        <v>37</v>
      </c>
      <c r="Q838" s="164">
        <v>3</v>
      </c>
      <c r="R838" s="167" t="s">
        <v>1056</v>
      </c>
      <c r="S838" s="167" t="s">
        <v>848</v>
      </c>
      <c r="T838" s="162" t="s">
        <v>800</v>
      </c>
      <c r="U838" s="167" t="s">
        <v>801</v>
      </c>
      <c r="X838" s="169">
        <v>45383</v>
      </c>
      <c r="Y838" s="170">
        <v>26</v>
      </c>
      <c r="Z838" s="170">
        <v>0</v>
      </c>
      <c r="AA838" s="170">
        <v>0</v>
      </c>
      <c r="AB838" s="170">
        <v>0</v>
      </c>
      <c r="AC838" s="171">
        <v>26</v>
      </c>
      <c r="AD838" s="172">
        <v>12651274.53998</v>
      </c>
      <c r="AE838" s="173">
        <v>26</v>
      </c>
      <c r="AF838" s="174">
        <v>46357</v>
      </c>
    </row>
    <row r="839" spans="1:32" ht="20" x14ac:dyDescent="0.35">
      <c r="A839" s="162" t="s">
        <v>1054</v>
      </c>
      <c r="B839" s="163" t="s">
        <v>1055</v>
      </c>
      <c r="C839" s="154"/>
      <c r="D839" s="162" t="s">
        <v>358</v>
      </c>
      <c r="E839" s="164" t="s">
        <v>358</v>
      </c>
      <c r="F839" s="164" t="s">
        <v>1055</v>
      </c>
      <c r="G839" s="164" t="s">
        <v>1054</v>
      </c>
      <c r="H839" s="165">
        <v>32694</v>
      </c>
      <c r="I839" s="164" t="s">
        <v>20</v>
      </c>
      <c r="J839" s="164" t="s">
        <v>68</v>
      </c>
      <c r="K839" s="165">
        <v>44775</v>
      </c>
      <c r="L839" s="166" t="s">
        <v>201</v>
      </c>
      <c r="M839" s="154"/>
      <c r="N839" s="154"/>
      <c r="O839" s="164" t="s">
        <v>57</v>
      </c>
      <c r="P839" s="164">
        <v>37</v>
      </c>
      <c r="Q839" s="164">
        <v>3</v>
      </c>
      <c r="R839" s="167" t="s">
        <v>1056</v>
      </c>
      <c r="S839" s="167" t="s">
        <v>848</v>
      </c>
      <c r="T839" s="162" t="s">
        <v>800</v>
      </c>
      <c r="U839" s="167" t="s">
        <v>802</v>
      </c>
      <c r="X839" s="169">
        <v>45383</v>
      </c>
      <c r="Y839" s="170">
        <v>98</v>
      </c>
      <c r="Z839" s="170">
        <v>0</v>
      </c>
      <c r="AA839" s="170">
        <v>0</v>
      </c>
      <c r="AB839" s="170">
        <v>0</v>
      </c>
      <c r="AC839" s="171">
        <v>98</v>
      </c>
      <c r="AD839" s="172">
        <v>47685573.266089998</v>
      </c>
      <c r="AE839" s="173">
        <v>98</v>
      </c>
      <c r="AF839" s="174">
        <v>46357</v>
      </c>
    </row>
    <row r="840" spans="1:32" ht="20" x14ac:dyDescent="0.35">
      <c r="A840" s="162" t="s">
        <v>1054</v>
      </c>
      <c r="B840" s="163" t="s">
        <v>1055</v>
      </c>
      <c r="C840" s="154"/>
      <c r="D840" s="162" t="s">
        <v>358</v>
      </c>
      <c r="E840" s="164" t="s">
        <v>358</v>
      </c>
      <c r="F840" s="164" t="s">
        <v>1055</v>
      </c>
      <c r="G840" s="164" t="s">
        <v>1054</v>
      </c>
      <c r="H840" s="165">
        <v>32694</v>
      </c>
      <c r="I840" s="164" t="s">
        <v>20</v>
      </c>
      <c r="J840" s="164" t="s">
        <v>68</v>
      </c>
      <c r="K840" s="165">
        <v>44775</v>
      </c>
      <c r="L840" s="166" t="s">
        <v>201</v>
      </c>
      <c r="M840" s="154"/>
      <c r="N840" s="154"/>
      <c r="O840" s="164" t="s">
        <v>57</v>
      </c>
      <c r="P840" s="164">
        <v>37</v>
      </c>
      <c r="Q840" s="164">
        <v>3</v>
      </c>
      <c r="R840" s="167" t="s">
        <v>1056</v>
      </c>
      <c r="S840" s="167" t="s">
        <v>848</v>
      </c>
      <c r="T840" s="162" t="s">
        <v>800</v>
      </c>
      <c r="U840" s="167" t="s">
        <v>803</v>
      </c>
      <c r="X840" s="169">
        <v>45383</v>
      </c>
      <c r="Y840" s="170">
        <v>2</v>
      </c>
      <c r="Z840" s="170">
        <v>0</v>
      </c>
      <c r="AA840" s="170">
        <v>0</v>
      </c>
      <c r="AB840" s="170">
        <v>0</v>
      </c>
      <c r="AC840" s="171">
        <v>2</v>
      </c>
      <c r="AD840" s="172">
        <v>973174.96461000002</v>
      </c>
      <c r="AE840" s="173">
        <v>2</v>
      </c>
      <c r="AF840" s="174">
        <v>46357</v>
      </c>
    </row>
    <row r="841" spans="1:32" ht="20" x14ac:dyDescent="0.35">
      <c r="A841" s="162" t="s">
        <v>1054</v>
      </c>
      <c r="B841" s="163" t="s">
        <v>1055</v>
      </c>
      <c r="C841" s="154"/>
      <c r="D841" s="162" t="s">
        <v>358</v>
      </c>
      <c r="E841" s="164" t="s">
        <v>358</v>
      </c>
      <c r="F841" s="164" t="s">
        <v>1055</v>
      </c>
      <c r="G841" s="164" t="s">
        <v>1054</v>
      </c>
      <c r="H841" s="165">
        <v>32694</v>
      </c>
      <c r="I841" s="164" t="s">
        <v>20</v>
      </c>
      <c r="J841" s="164" t="s">
        <v>68</v>
      </c>
      <c r="K841" s="165">
        <v>44775</v>
      </c>
      <c r="L841" s="166" t="s">
        <v>201</v>
      </c>
      <c r="M841" s="154"/>
      <c r="N841" s="154"/>
      <c r="O841" s="164" t="s">
        <v>57</v>
      </c>
      <c r="P841" s="164">
        <v>37</v>
      </c>
      <c r="Q841" s="164">
        <v>3</v>
      </c>
      <c r="R841" s="167" t="s">
        <v>1056</v>
      </c>
      <c r="S841" s="167" t="s">
        <v>848</v>
      </c>
      <c r="T841" s="162" t="s">
        <v>800</v>
      </c>
      <c r="U841" s="167" t="s">
        <v>804</v>
      </c>
      <c r="X841" s="169">
        <v>45383</v>
      </c>
      <c r="Y841" s="170">
        <v>5</v>
      </c>
      <c r="Z841" s="170">
        <v>0</v>
      </c>
      <c r="AA841" s="170">
        <v>0</v>
      </c>
      <c r="AB841" s="170">
        <v>0</v>
      </c>
      <c r="AC841" s="171">
        <v>5</v>
      </c>
      <c r="AD841" s="172">
        <v>2432937.4115300002</v>
      </c>
      <c r="AE841" s="173">
        <v>5</v>
      </c>
      <c r="AF841" s="174">
        <v>46357</v>
      </c>
    </row>
    <row r="842" spans="1:32" ht="20" x14ac:dyDescent="0.35">
      <c r="A842" s="162" t="s">
        <v>1054</v>
      </c>
      <c r="B842" s="163" t="s">
        <v>1055</v>
      </c>
      <c r="C842" s="154"/>
      <c r="D842" s="162" t="s">
        <v>358</v>
      </c>
      <c r="E842" s="164" t="s">
        <v>358</v>
      </c>
      <c r="F842" s="164" t="s">
        <v>1055</v>
      </c>
      <c r="G842" s="164" t="s">
        <v>1054</v>
      </c>
      <c r="H842" s="165">
        <v>32694</v>
      </c>
      <c r="I842" s="164" t="s">
        <v>20</v>
      </c>
      <c r="J842" s="164" t="s">
        <v>68</v>
      </c>
      <c r="K842" s="165">
        <v>44775</v>
      </c>
      <c r="L842" s="166" t="s">
        <v>201</v>
      </c>
      <c r="M842" s="154"/>
      <c r="N842" s="154"/>
      <c r="O842" s="164" t="s">
        <v>57</v>
      </c>
      <c r="P842" s="164">
        <v>37</v>
      </c>
      <c r="Q842" s="164">
        <v>3</v>
      </c>
      <c r="R842" s="167" t="s">
        <v>1056</v>
      </c>
      <c r="S842" s="167" t="s">
        <v>848</v>
      </c>
      <c r="T842" s="162" t="s">
        <v>800</v>
      </c>
      <c r="U842" s="167" t="s">
        <v>805</v>
      </c>
      <c r="X842" s="169">
        <v>45383</v>
      </c>
      <c r="Y842" s="170">
        <v>2.4999999966690001</v>
      </c>
      <c r="Z842" s="170">
        <v>0.41666667000000002</v>
      </c>
      <c r="AA842" s="170">
        <v>0</v>
      </c>
      <c r="AB842" s="170">
        <v>0</v>
      </c>
      <c r="AC842" s="171">
        <v>2.9166666666690002</v>
      </c>
      <c r="AD842" s="172">
        <v>1419213.49006</v>
      </c>
      <c r="AE842" s="173">
        <v>2.92</v>
      </c>
      <c r="AF842" s="174">
        <v>46357</v>
      </c>
    </row>
    <row r="843" spans="1:32" ht="20" x14ac:dyDescent="0.35">
      <c r="A843" s="162" t="s">
        <v>1057</v>
      </c>
      <c r="B843" s="163" t="s">
        <v>1058</v>
      </c>
      <c r="C843" s="154"/>
      <c r="D843" s="162" t="s">
        <v>360</v>
      </c>
      <c r="E843" s="164" t="s">
        <v>360</v>
      </c>
      <c r="F843" s="164" t="s">
        <v>1058</v>
      </c>
      <c r="G843" s="164" t="s">
        <v>1057</v>
      </c>
      <c r="H843" s="165">
        <v>32373</v>
      </c>
      <c r="I843" s="164" t="s">
        <v>20</v>
      </c>
      <c r="J843" s="164" t="s">
        <v>21</v>
      </c>
      <c r="K843" s="165">
        <v>44775</v>
      </c>
      <c r="L843" s="166" t="s">
        <v>39</v>
      </c>
      <c r="M843" s="154"/>
      <c r="N843" s="154"/>
      <c r="O843" s="164" t="s">
        <v>29</v>
      </c>
      <c r="P843" s="164">
        <v>37</v>
      </c>
      <c r="Q843" s="164">
        <v>3</v>
      </c>
      <c r="R843" s="167" t="s">
        <v>847</v>
      </c>
      <c r="S843" s="167" t="s">
        <v>848</v>
      </c>
      <c r="T843" s="162" t="s">
        <v>794</v>
      </c>
      <c r="U843" s="167" t="s">
        <v>795</v>
      </c>
      <c r="V843" s="162" t="s">
        <v>796</v>
      </c>
      <c r="W843" s="168">
        <v>3</v>
      </c>
      <c r="X843" s="169">
        <v>45018</v>
      </c>
      <c r="Y843" s="170">
        <v>11.086666663328</v>
      </c>
      <c r="Z843" s="170">
        <v>1.9166666699999999</v>
      </c>
      <c r="AA843" s="170">
        <v>0</v>
      </c>
      <c r="AB843" s="170">
        <v>0</v>
      </c>
      <c r="AC843" s="171">
        <v>13.003333333327999</v>
      </c>
      <c r="AD843" s="172">
        <v>3100635.7560000001</v>
      </c>
      <c r="AE843" s="173" t="s">
        <v>797</v>
      </c>
      <c r="AF843" s="173"/>
    </row>
    <row r="844" spans="1:32" x14ac:dyDescent="0.35">
      <c r="A844" s="162" t="s">
        <v>1057</v>
      </c>
      <c r="B844" s="163" t="s">
        <v>1058</v>
      </c>
      <c r="C844" s="154"/>
      <c r="D844" s="162" t="s">
        <v>360</v>
      </c>
      <c r="E844" s="164" t="s">
        <v>360</v>
      </c>
      <c r="F844" s="164" t="s">
        <v>1058</v>
      </c>
      <c r="G844" s="164" t="s">
        <v>1057</v>
      </c>
      <c r="H844" s="165">
        <v>32373</v>
      </c>
      <c r="I844" s="164" t="s">
        <v>20</v>
      </c>
      <c r="J844" s="164" t="s">
        <v>21</v>
      </c>
      <c r="K844" s="165">
        <v>44775</v>
      </c>
      <c r="L844" s="166" t="s">
        <v>39</v>
      </c>
      <c r="M844" s="154"/>
      <c r="N844" s="154"/>
      <c r="O844" s="164" t="s">
        <v>29</v>
      </c>
      <c r="P844" s="164">
        <v>37</v>
      </c>
      <c r="Q844" s="164">
        <v>3</v>
      </c>
      <c r="R844" s="167" t="s">
        <v>847</v>
      </c>
      <c r="S844" s="167" t="s">
        <v>848</v>
      </c>
      <c r="T844" s="162" t="s">
        <v>798</v>
      </c>
      <c r="U844" s="167" t="s">
        <v>839</v>
      </c>
      <c r="X844" s="169">
        <v>45018</v>
      </c>
      <c r="Y844" s="170">
        <v>180</v>
      </c>
      <c r="Z844" s="170">
        <v>0</v>
      </c>
      <c r="AA844" s="170">
        <v>0</v>
      </c>
      <c r="AB844" s="170">
        <v>0</v>
      </c>
      <c r="AC844" s="171">
        <v>180</v>
      </c>
      <c r="AD844" s="172">
        <v>42920874.346139997</v>
      </c>
      <c r="AE844" s="173">
        <v>180</v>
      </c>
      <c r="AF844" s="174">
        <v>46357</v>
      </c>
    </row>
    <row r="845" spans="1:32" x14ac:dyDescent="0.35">
      <c r="A845" s="162" t="s">
        <v>1057</v>
      </c>
      <c r="B845" s="163" t="s">
        <v>1058</v>
      </c>
      <c r="C845" s="154"/>
      <c r="D845" s="162" t="s">
        <v>360</v>
      </c>
      <c r="E845" s="164" t="s">
        <v>360</v>
      </c>
      <c r="F845" s="164" t="s">
        <v>1058</v>
      </c>
      <c r="G845" s="164" t="s">
        <v>1057</v>
      </c>
      <c r="H845" s="165">
        <v>32373</v>
      </c>
      <c r="I845" s="164" t="s">
        <v>20</v>
      </c>
      <c r="J845" s="164" t="s">
        <v>21</v>
      </c>
      <c r="K845" s="165">
        <v>44775</v>
      </c>
      <c r="L845" s="166" t="s">
        <v>39</v>
      </c>
      <c r="M845" s="154"/>
      <c r="N845" s="154"/>
      <c r="O845" s="164" t="s">
        <v>29</v>
      </c>
      <c r="P845" s="164">
        <v>37</v>
      </c>
      <c r="Q845" s="164">
        <v>3</v>
      </c>
      <c r="R845" s="167" t="s">
        <v>847</v>
      </c>
      <c r="S845" s="167" t="s">
        <v>848</v>
      </c>
      <c r="T845" s="162" t="s">
        <v>800</v>
      </c>
      <c r="U845" s="167" t="s">
        <v>801</v>
      </c>
      <c r="X845" s="169">
        <v>45018</v>
      </c>
      <c r="Y845" s="170">
        <v>26</v>
      </c>
      <c r="Z845" s="170">
        <v>0</v>
      </c>
      <c r="AA845" s="170">
        <v>0</v>
      </c>
      <c r="AB845" s="170">
        <v>0</v>
      </c>
      <c r="AC845" s="171">
        <v>26</v>
      </c>
      <c r="AD845" s="172">
        <v>6199681.8499999996</v>
      </c>
      <c r="AE845" s="173">
        <v>26</v>
      </c>
      <c r="AF845" s="174">
        <v>46357</v>
      </c>
    </row>
    <row r="846" spans="1:32" x14ac:dyDescent="0.35">
      <c r="A846" s="162" t="s">
        <v>1057</v>
      </c>
      <c r="B846" s="163" t="s">
        <v>1058</v>
      </c>
      <c r="C846" s="154"/>
      <c r="D846" s="162" t="s">
        <v>360</v>
      </c>
      <c r="E846" s="164" t="s">
        <v>360</v>
      </c>
      <c r="F846" s="164" t="s">
        <v>1058</v>
      </c>
      <c r="G846" s="164" t="s">
        <v>1057</v>
      </c>
      <c r="H846" s="165">
        <v>32373</v>
      </c>
      <c r="I846" s="164" t="s">
        <v>20</v>
      </c>
      <c r="J846" s="164" t="s">
        <v>21</v>
      </c>
      <c r="K846" s="165">
        <v>44775</v>
      </c>
      <c r="L846" s="166" t="s">
        <v>39</v>
      </c>
      <c r="M846" s="154"/>
      <c r="N846" s="154"/>
      <c r="O846" s="164" t="s">
        <v>29</v>
      </c>
      <c r="P846" s="164">
        <v>37</v>
      </c>
      <c r="Q846" s="164">
        <v>3</v>
      </c>
      <c r="R846" s="167" t="s">
        <v>847</v>
      </c>
      <c r="S846" s="167" t="s">
        <v>848</v>
      </c>
      <c r="T846" s="162" t="s">
        <v>800</v>
      </c>
      <c r="U846" s="167" t="s">
        <v>802</v>
      </c>
      <c r="X846" s="169">
        <v>45018</v>
      </c>
      <c r="Y846" s="170">
        <v>98</v>
      </c>
      <c r="Z846" s="170">
        <v>0</v>
      </c>
      <c r="AA846" s="170">
        <v>0</v>
      </c>
      <c r="AB846" s="170">
        <v>0</v>
      </c>
      <c r="AC846" s="171">
        <v>98</v>
      </c>
      <c r="AD846" s="172">
        <v>23368031.58845</v>
      </c>
      <c r="AE846" s="173">
        <v>98</v>
      </c>
      <c r="AF846" s="174">
        <v>46357</v>
      </c>
    </row>
    <row r="847" spans="1:32" x14ac:dyDescent="0.35">
      <c r="A847" s="162" t="s">
        <v>1057</v>
      </c>
      <c r="B847" s="163" t="s">
        <v>1058</v>
      </c>
      <c r="C847" s="154"/>
      <c r="D847" s="162" t="s">
        <v>360</v>
      </c>
      <c r="E847" s="164" t="s">
        <v>360</v>
      </c>
      <c r="F847" s="164" t="s">
        <v>1058</v>
      </c>
      <c r="G847" s="164" t="s">
        <v>1057</v>
      </c>
      <c r="H847" s="165">
        <v>32373</v>
      </c>
      <c r="I847" s="164" t="s">
        <v>20</v>
      </c>
      <c r="J847" s="164" t="s">
        <v>21</v>
      </c>
      <c r="K847" s="165">
        <v>44775</v>
      </c>
      <c r="L847" s="166" t="s">
        <v>39</v>
      </c>
      <c r="M847" s="154"/>
      <c r="N847" s="154"/>
      <c r="O847" s="164" t="s">
        <v>29</v>
      </c>
      <c r="P847" s="164">
        <v>37</v>
      </c>
      <c r="Q847" s="164">
        <v>3</v>
      </c>
      <c r="R847" s="167" t="s">
        <v>847</v>
      </c>
      <c r="S847" s="167" t="s">
        <v>848</v>
      </c>
      <c r="T847" s="162" t="s">
        <v>800</v>
      </c>
      <c r="U847" s="167" t="s">
        <v>803</v>
      </c>
      <c r="X847" s="169">
        <v>45018</v>
      </c>
      <c r="Y847" s="170">
        <v>2</v>
      </c>
      <c r="Z847" s="170">
        <v>0</v>
      </c>
      <c r="AA847" s="170">
        <v>0</v>
      </c>
      <c r="AB847" s="170">
        <v>0</v>
      </c>
      <c r="AC847" s="171">
        <v>2</v>
      </c>
      <c r="AD847" s="172">
        <v>476898.60385000001</v>
      </c>
      <c r="AE847" s="173">
        <v>2</v>
      </c>
      <c r="AF847" s="174">
        <v>46357</v>
      </c>
    </row>
    <row r="848" spans="1:32" x14ac:dyDescent="0.35">
      <c r="A848" s="162" t="s">
        <v>1057</v>
      </c>
      <c r="B848" s="163" t="s">
        <v>1058</v>
      </c>
      <c r="C848" s="154"/>
      <c r="D848" s="162" t="s">
        <v>360</v>
      </c>
      <c r="E848" s="164" t="s">
        <v>360</v>
      </c>
      <c r="F848" s="164" t="s">
        <v>1058</v>
      </c>
      <c r="G848" s="164" t="s">
        <v>1057</v>
      </c>
      <c r="H848" s="165">
        <v>32373</v>
      </c>
      <c r="I848" s="164" t="s">
        <v>20</v>
      </c>
      <c r="J848" s="164" t="s">
        <v>21</v>
      </c>
      <c r="K848" s="165">
        <v>44775</v>
      </c>
      <c r="L848" s="166" t="s">
        <v>39</v>
      </c>
      <c r="M848" s="154"/>
      <c r="N848" s="154"/>
      <c r="O848" s="164" t="s">
        <v>29</v>
      </c>
      <c r="P848" s="164">
        <v>37</v>
      </c>
      <c r="Q848" s="164">
        <v>3</v>
      </c>
      <c r="R848" s="167" t="s">
        <v>847</v>
      </c>
      <c r="S848" s="167" t="s">
        <v>848</v>
      </c>
      <c r="T848" s="162" t="s">
        <v>800</v>
      </c>
      <c r="U848" s="167" t="s">
        <v>804</v>
      </c>
      <c r="X848" s="169">
        <v>45018</v>
      </c>
      <c r="Y848" s="170">
        <v>5</v>
      </c>
      <c r="Z848" s="170">
        <v>0</v>
      </c>
      <c r="AA848" s="170">
        <v>0</v>
      </c>
      <c r="AB848" s="170">
        <v>0</v>
      </c>
      <c r="AC848" s="171">
        <v>5</v>
      </c>
      <c r="AD848" s="172">
        <v>1192246.5096100001</v>
      </c>
      <c r="AE848" s="173">
        <v>5</v>
      </c>
      <c r="AF848" s="174">
        <v>46357</v>
      </c>
    </row>
    <row r="849" spans="1:32" x14ac:dyDescent="0.35">
      <c r="A849" s="162" t="s">
        <v>1057</v>
      </c>
      <c r="B849" s="163" t="s">
        <v>1058</v>
      </c>
      <c r="C849" s="154"/>
      <c r="D849" s="162" t="s">
        <v>360</v>
      </c>
      <c r="E849" s="164" t="s">
        <v>360</v>
      </c>
      <c r="F849" s="164" t="s">
        <v>1058</v>
      </c>
      <c r="G849" s="164" t="s">
        <v>1057</v>
      </c>
      <c r="H849" s="165">
        <v>32373</v>
      </c>
      <c r="I849" s="164" t="s">
        <v>20</v>
      </c>
      <c r="J849" s="164" t="s">
        <v>21</v>
      </c>
      <c r="K849" s="165">
        <v>44775</v>
      </c>
      <c r="L849" s="166" t="s">
        <v>39</v>
      </c>
      <c r="M849" s="154"/>
      <c r="N849" s="154"/>
      <c r="O849" s="164" t="s">
        <v>29</v>
      </c>
      <c r="P849" s="164">
        <v>37</v>
      </c>
      <c r="Q849" s="164">
        <v>3</v>
      </c>
      <c r="R849" s="167" t="s">
        <v>847</v>
      </c>
      <c r="S849" s="167" t="s">
        <v>848</v>
      </c>
      <c r="T849" s="162" t="s">
        <v>800</v>
      </c>
      <c r="U849" s="167" t="s">
        <v>840</v>
      </c>
      <c r="X849" s="169">
        <v>45018</v>
      </c>
      <c r="Y849" s="170">
        <v>2.4999999966690001</v>
      </c>
      <c r="Z849" s="170">
        <v>0.41666667000000002</v>
      </c>
      <c r="AA849" s="170">
        <v>0</v>
      </c>
      <c r="AB849" s="170">
        <v>0</v>
      </c>
      <c r="AC849" s="171">
        <v>2.9166666666690002</v>
      </c>
      <c r="AD849" s="172">
        <v>695477.13060999999</v>
      </c>
      <c r="AE849" s="173">
        <v>2.92</v>
      </c>
      <c r="AF849" s="174">
        <v>46357</v>
      </c>
    </row>
    <row r="850" spans="1:32" ht="20" x14ac:dyDescent="0.35">
      <c r="A850" s="162" t="s">
        <v>1059</v>
      </c>
      <c r="B850" s="163" t="s">
        <v>1060</v>
      </c>
      <c r="C850" s="154"/>
      <c r="D850" s="162" t="s">
        <v>362</v>
      </c>
      <c r="E850" s="164" t="s">
        <v>362</v>
      </c>
      <c r="F850" s="164" t="s">
        <v>1060</v>
      </c>
      <c r="G850" s="164" t="s">
        <v>1059</v>
      </c>
      <c r="H850" s="165">
        <v>29317</v>
      </c>
      <c r="I850" s="164" t="s">
        <v>20</v>
      </c>
      <c r="J850" s="164" t="s">
        <v>68</v>
      </c>
      <c r="K850" s="165">
        <v>44809</v>
      </c>
      <c r="L850" s="166" t="s">
        <v>364</v>
      </c>
      <c r="M850" s="154"/>
      <c r="N850" s="154"/>
      <c r="O850" s="164" t="s">
        <v>44</v>
      </c>
      <c r="P850" s="164">
        <v>46</v>
      </c>
      <c r="Q850" s="164">
        <v>3</v>
      </c>
      <c r="R850" s="167" t="s">
        <v>1061</v>
      </c>
      <c r="S850" s="167" t="s">
        <v>832</v>
      </c>
      <c r="T850" s="162" t="s">
        <v>794</v>
      </c>
      <c r="U850" s="167" t="s">
        <v>795</v>
      </c>
      <c r="V850" s="162" t="s">
        <v>796</v>
      </c>
      <c r="W850" s="168">
        <v>3</v>
      </c>
      <c r="X850" s="169">
        <v>45018</v>
      </c>
      <c r="Y850" s="170">
        <v>7.8333333299939998</v>
      </c>
      <c r="Z850" s="170">
        <v>1.9166666699999999</v>
      </c>
      <c r="AA850" s="170">
        <v>0</v>
      </c>
      <c r="AB850" s="170">
        <v>0</v>
      </c>
      <c r="AC850" s="171">
        <v>9.7499999999939995</v>
      </c>
      <c r="AD850" s="172">
        <v>1517060.78624</v>
      </c>
      <c r="AE850" s="173" t="s">
        <v>797</v>
      </c>
      <c r="AF850" s="173"/>
    </row>
    <row r="851" spans="1:32" ht="20" x14ac:dyDescent="0.35">
      <c r="A851" s="162" t="s">
        <v>1059</v>
      </c>
      <c r="B851" s="163" t="s">
        <v>1060</v>
      </c>
      <c r="C851" s="154"/>
      <c r="D851" s="162" t="s">
        <v>362</v>
      </c>
      <c r="E851" s="164" t="s">
        <v>362</v>
      </c>
      <c r="F851" s="164" t="s">
        <v>1060</v>
      </c>
      <c r="G851" s="164" t="s">
        <v>1059</v>
      </c>
      <c r="H851" s="165">
        <v>29317</v>
      </c>
      <c r="I851" s="164" t="s">
        <v>20</v>
      </c>
      <c r="J851" s="164" t="s">
        <v>68</v>
      </c>
      <c r="K851" s="165">
        <v>44809</v>
      </c>
      <c r="L851" s="166" t="s">
        <v>364</v>
      </c>
      <c r="M851" s="154"/>
      <c r="N851" s="154"/>
      <c r="O851" s="164" t="s">
        <v>44</v>
      </c>
      <c r="P851" s="164">
        <v>46</v>
      </c>
      <c r="Q851" s="164">
        <v>3</v>
      </c>
      <c r="R851" s="167" t="s">
        <v>1061</v>
      </c>
      <c r="S851" s="167" t="s">
        <v>832</v>
      </c>
      <c r="T851" s="162" t="s">
        <v>798</v>
      </c>
      <c r="U851" s="167" t="s">
        <v>839</v>
      </c>
      <c r="X851" s="169">
        <v>45018</v>
      </c>
      <c r="Y851" s="170">
        <v>180</v>
      </c>
      <c r="Z851" s="170">
        <v>0</v>
      </c>
      <c r="AA851" s="170">
        <v>0</v>
      </c>
      <c r="AB851" s="170">
        <v>0</v>
      </c>
      <c r="AC851" s="171">
        <v>180</v>
      </c>
      <c r="AD851" s="172">
        <v>28007276.053679999</v>
      </c>
      <c r="AE851" s="173">
        <v>180</v>
      </c>
      <c r="AF851" s="174">
        <v>46357</v>
      </c>
    </row>
    <row r="852" spans="1:32" ht="20" x14ac:dyDescent="0.35">
      <c r="A852" s="162" t="s">
        <v>1059</v>
      </c>
      <c r="B852" s="163" t="s">
        <v>1060</v>
      </c>
      <c r="C852" s="154"/>
      <c r="D852" s="162" t="s">
        <v>362</v>
      </c>
      <c r="E852" s="164" t="s">
        <v>362</v>
      </c>
      <c r="F852" s="164" t="s">
        <v>1060</v>
      </c>
      <c r="G852" s="164" t="s">
        <v>1059</v>
      </c>
      <c r="H852" s="165">
        <v>29317</v>
      </c>
      <c r="I852" s="164" t="s">
        <v>20</v>
      </c>
      <c r="J852" s="164" t="s">
        <v>68</v>
      </c>
      <c r="K852" s="165">
        <v>44809</v>
      </c>
      <c r="L852" s="166" t="s">
        <v>364</v>
      </c>
      <c r="M852" s="154"/>
      <c r="N852" s="154"/>
      <c r="O852" s="164" t="s">
        <v>44</v>
      </c>
      <c r="P852" s="164">
        <v>46</v>
      </c>
      <c r="Q852" s="164">
        <v>3</v>
      </c>
      <c r="R852" s="167" t="s">
        <v>1061</v>
      </c>
      <c r="S852" s="167" t="s">
        <v>832</v>
      </c>
      <c r="T852" s="162" t="s">
        <v>800</v>
      </c>
      <c r="U852" s="167" t="s">
        <v>801</v>
      </c>
      <c r="X852" s="169">
        <v>45018</v>
      </c>
      <c r="Y852" s="170">
        <v>26</v>
      </c>
      <c r="Z852" s="170">
        <v>0</v>
      </c>
      <c r="AA852" s="170">
        <v>0</v>
      </c>
      <c r="AB852" s="170">
        <v>0</v>
      </c>
      <c r="AC852" s="171">
        <v>26</v>
      </c>
      <c r="AD852" s="172">
        <v>4045495.42998</v>
      </c>
      <c r="AE852" s="173">
        <v>26</v>
      </c>
      <c r="AF852" s="174">
        <v>46357</v>
      </c>
    </row>
    <row r="853" spans="1:32" ht="20" x14ac:dyDescent="0.35">
      <c r="A853" s="162" t="s">
        <v>1059</v>
      </c>
      <c r="B853" s="163" t="s">
        <v>1060</v>
      </c>
      <c r="C853" s="154"/>
      <c r="D853" s="162" t="s">
        <v>362</v>
      </c>
      <c r="E853" s="164" t="s">
        <v>362</v>
      </c>
      <c r="F853" s="164" t="s">
        <v>1060</v>
      </c>
      <c r="G853" s="164" t="s">
        <v>1059</v>
      </c>
      <c r="H853" s="165">
        <v>29317</v>
      </c>
      <c r="I853" s="164" t="s">
        <v>20</v>
      </c>
      <c r="J853" s="164" t="s">
        <v>68</v>
      </c>
      <c r="K853" s="165">
        <v>44809</v>
      </c>
      <c r="L853" s="166" t="s">
        <v>364</v>
      </c>
      <c r="M853" s="154"/>
      <c r="N853" s="154"/>
      <c r="O853" s="164" t="s">
        <v>44</v>
      </c>
      <c r="P853" s="164">
        <v>46</v>
      </c>
      <c r="Q853" s="164">
        <v>3</v>
      </c>
      <c r="R853" s="167" t="s">
        <v>1061</v>
      </c>
      <c r="S853" s="167" t="s">
        <v>832</v>
      </c>
      <c r="T853" s="162" t="s">
        <v>800</v>
      </c>
      <c r="U853" s="167" t="s">
        <v>802</v>
      </c>
      <c r="X853" s="169">
        <v>45018</v>
      </c>
      <c r="Y853" s="170">
        <v>98</v>
      </c>
      <c r="Z853" s="170">
        <v>0</v>
      </c>
      <c r="AA853" s="170">
        <v>0</v>
      </c>
      <c r="AB853" s="170">
        <v>0</v>
      </c>
      <c r="AC853" s="171">
        <v>98</v>
      </c>
      <c r="AD853" s="172">
        <v>15248405.85145</v>
      </c>
      <c r="AE853" s="173">
        <v>98</v>
      </c>
      <c r="AF853" s="174">
        <v>46357</v>
      </c>
    </row>
    <row r="854" spans="1:32" ht="20" x14ac:dyDescent="0.35">
      <c r="A854" s="162" t="s">
        <v>1059</v>
      </c>
      <c r="B854" s="163" t="s">
        <v>1060</v>
      </c>
      <c r="C854" s="154"/>
      <c r="D854" s="162" t="s">
        <v>362</v>
      </c>
      <c r="E854" s="164" t="s">
        <v>362</v>
      </c>
      <c r="F854" s="164" t="s">
        <v>1060</v>
      </c>
      <c r="G854" s="164" t="s">
        <v>1059</v>
      </c>
      <c r="H854" s="165">
        <v>29317</v>
      </c>
      <c r="I854" s="164" t="s">
        <v>20</v>
      </c>
      <c r="J854" s="164" t="s">
        <v>68</v>
      </c>
      <c r="K854" s="165">
        <v>44809</v>
      </c>
      <c r="L854" s="166" t="s">
        <v>364</v>
      </c>
      <c r="M854" s="154"/>
      <c r="N854" s="154"/>
      <c r="O854" s="164" t="s">
        <v>44</v>
      </c>
      <c r="P854" s="164">
        <v>46</v>
      </c>
      <c r="Q854" s="164">
        <v>3</v>
      </c>
      <c r="R854" s="167" t="s">
        <v>1061</v>
      </c>
      <c r="S854" s="167" t="s">
        <v>832</v>
      </c>
      <c r="T854" s="162" t="s">
        <v>800</v>
      </c>
      <c r="U854" s="167" t="s">
        <v>803</v>
      </c>
      <c r="X854" s="169">
        <v>45018</v>
      </c>
      <c r="Y854" s="170">
        <v>2</v>
      </c>
      <c r="Z854" s="170">
        <v>0</v>
      </c>
      <c r="AA854" s="170">
        <v>0</v>
      </c>
      <c r="AB854" s="170">
        <v>0</v>
      </c>
      <c r="AC854" s="171">
        <v>2</v>
      </c>
      <c r="AD854" s="172">
        <v>311191.95614999998</v>
      </c>
      <c r="AE854" s="173">
        <v>2</v>
      </c>
      <c r="AF854" s="174">
        <v>46357</v>
      </c>
    </row>
    <row r="855" spans="1:32" ht="20" x14ac:dyDescent="0.35">
      <c r="A855" s="162" t="s">
        <v>1059</v>
      </c>
      <c r="B855" s="163" t="s">
        <v>1060</v>
      </c>
      <c r="C855" s="154"/>
      <c r="D855" s="162" t="s">
        <v>362</v>
      </c>
      <c r="E855" s="164" t="s">
        <v>362</v>
      </c>
      <c r="F855" s="164" t="s">
        <v>1060</v>
      </c>
      <c r="G855" s="164" t="s">
        <v>1059</v>
      </c>
      <c r="H855" s="165">
        <v>29317</v>
      </c>
      <c r="I855" s="164" t="s">
        <v>20</v>
      </c>
      <c r="J855" s="164" t="s">
        <v>68</v>
      </c>
      <c r="K855" s="165">
        <v>44809</v>
      </c>
      <c r="L855" s="166" t="s">
        <v>364</v>
      </c>
      <c r="M855" s="154"/>
      <c r="N855" s="154"/>
      <c r="O855" s="164" t="s">
        <v>44</v>
      </c>
      <c r="P855" s="164">
        <v>46</v>
      </c>
      <c r="Q855" s="164">
        <v>3</v>
      </c>
      <c r="R855" s="167" t="s">
        <v>1061</v>
      </c>
      <c r="S855" s="167" t="s">
        <v>832</v>
      </c>
      <c r="T855" s="162" t="s">
        <v>800</v>
      </c>
      <c r="U855" s="167" t="s">
        <v>804</v>
      </c>
      <c r="X855" s="169">
        <v>45018</v>
      </c>
      <c r="Y855" s="170">
        <v>5</v>
      </c>
      <c r="Z855" s="170">
        <v>0</v>
      </c>
      <c r="AA855" s="170">
        <v>0</v>
      </c>
      <c r="AB855" s="170">
        <v>0</v>
      </c>
      <c r="AC855" s="171">
        <v>5</v>
      </c>
      <c r="AD855" s="172">
        <v>777979.89038</v>
      </c>
      <c r="AE855" s="173">
        <v>5</v>
      </c>
      <c r="AF855" s="174">
        <v>46357</v>
      </c>
    </row>
    <row r="856" spans="1:32" ht="20" x14ac:dyDescent="0.35">
      <c r="A856" s="162" t="s">
        <v>1059</v>
      </c>
      <c r="B856" s="163" t="s">
        <v>1060</v>
      </c>
      <c r="C856" s="154"/>
      <c r="D856" s="162" t="s">
        <v>362</v>
      </c>
      <c r="E856" s="164" t="s">
        <v>362</v>
      </c>
      <c r="F856" s="164" t="s">
        <v>1060</v>
      </c>
      <c r="G856" s="164" t="s">
        <v>1059</v>
      </c>
      <c r="H856" s="165">
        <v>29317</v>
      </c>
      <c r="I856" s="164" t="s">
        <v>20</v>
      </c>
      <c r="J856" s="164" t="s">
        <v>68</v>
      </c>
      <c r="K856" s="165">
        <v>44809</v>
      </c>
      <c r="L856" s="166" t="s">
        <v>364</v>
      </c>
      <c r="M856" s="154"/>
      <c r="N856" s="154"/>
      <c r="O856" s="164" t="s">
        <v>44</v>
      </c>
      <c r="P856" s="164">
        <v>46</v>
      </c>
      <c r="Q856" s="164">
        <v>3</v>
      </c>
      <c r="R856" s="167" t="s">
        <v>1061</v>
      </c>
      <c r="S856" s="167" t="s">
        <v>832</v>
      </c>
      <c r="T856" s="162" t="s">
        <v>800</v>
      </c>
      <c r="U856" s="167" t="s">
        <v>840</v>
      </c>
      <c r="X856" s="169">
        <v>45018</v>
      </c>
      <c r="Y856" s="170">
        <v>2.4999999966690001</v>
      </c>
      <c r="Z856" s="170">
        <v>0.41666667000000002</v>
      </c>
      <c r="AA856" s="170">
        <v>0</v>
      </c>
      <c r="AB856" s="170">
        <v>0</v>
      </c>
      <c r="AC856" s="171">
        <v>2.9166666666690002</v>
      </c>
      <c r="AD856" s="172">
        <v>453821.60272000002</v>
      </c>
      <c r="AE856" s="173">
        <v>2.92</v>
      </c>
      <c r="AF856" s="174">
        <v>46357</v>
      </c>
    </row>
    <row r="857" spans="1:32" ht="20" x14ac:dyDescent="0.35">
      <c r="A857" s="162" t="s">
        <v>1062</v>
      </c>
      <c r="B857" s="163" t="s">
        <v>1063</v>
      </c>
      <c r="C857" s="154"/>
      <c r="D857" s="162" t="s">
        <v>365</v>
      </c>
      <c r="E857" s="164" t="s">
        <v>365</v>
      </c>
      <c r="F857" s="164" t="s">
        <v>1063</v>
      </c>
      <c r="G857" s="164" t="s">
        <v>1062</v>
      </c>
      <c r="H857" s="165">
        <v>34545</v>
      </c>
      <c r="I857" s="164" t="s">
        <v>20</v>
      </c>
      <c r="J857" s="164" t="s">
        <v>68</v>
      </c>
      <c r="K857" s="165">
        <v>44819</v>
      </c>
      <c r="L857" s="166" t="s">
        <v>367</v>
      </c>
      <c r="M857" s="154"/>
      <c r="N857" s="154"/>
      <c r="O857" s="164" t="s">
        <v>23</v>
      </c>
      <c r="P857" s="164">
        <v>32</v>
      </c>
      <c r="Q857" s="164">
        <v>3</v>
      </c>
      <c r="R857" s="167" t="s">
        <v>1064</v>
      </c>
      <c r="S857" s="167" t="s">
        <v>832</v>
      </c>
      <c r="T857" s="162" t="s">
        <v>794</v>
      </c>
      <c r="U857" s="167" t="s">
        <v>833</v>
      </c>
      <c r="V857" s="162" t="s">
        <v>820</v>
      </c>
      <c r="W857" s="168">
        <v>3</v>
      </c>
      <c r="X857" s="169">
        <v>45018</v>
      </c>
      <c r="Y857" s="170">
        <v>30.333333336662999</v>
      </c>
      <c r="Z857" s="170">
        <v>2.0833333299999999</v>
      </c>
      <c r="AA857" s="170">
        <v>-2</v>
      </c>
      <c r="AB857" s="170">
        <v>0</v>
      </c>
      <c r="AC857" s="171">
        <v>30.416666666663001</v>
      </c>
      <c r="AD857" s="172">
        <v>14684812.991</v>
      </c>
      <c r="AE857" s="173" t="s">
        <v>797</v>
      </c>
      <c r="AF857" s="173"/>
    </row>
    <row r="858" spans="1:32" ht="20" x14ac:dyDescent="0.35">
      <c r="A858" s="162" t="s">
        <v>1062</v>
      </c>
      <c r="B858" s="163" t="s">
        <v>1063</v>
      </c>
      <c r="C858" s="154"/>
      <c r="D858" s="162" t="s">
        <v>365</v>
      </c>
      <c r="E858" s="164" t="s">
        <v>365</v>
      </c>
      <c r="F858" s="164" t="s">
        <v>1063</v>
      </c>
      <c r="G858" s="164" t="s">
        <v>1062</v>
      </c>
      <c r="H858" s="165">
        <v>34545</v>
      </c>
      <c r="I858" s="164" t="s">
        <v>20</v>
      </c>
      <c r="J858" s="164" t="s">
        <v>68</v>
      </c>
      <c r="K858" s="165">
        <v>44819</v>
      </c>
      <c r="L858" s="166" t="s">
        <v>367</v>
      </c>
      <c r="M858" s="154"/>
      <c r="N858" s="154"/>
      <c r="O858" s="164" t="s">
        <v>23</v>
      </c>
      <c r="P858" s="164">
        <v>32</v>
      </c>
      <c r="Q858" s="164">
        <v>3</v>
      </c>
      <c r="R858" s="167" t="s">
        <v>1064</v>
      </c>
      <c r="S858" s="167" t="s">
        <v>832</v>
      </c>
      <c r="T858" s="162" t="s">
        <v>798</v>
      </c>
      <c r="U858" s="167" t="s">
        <v>799</v>
      </c>
      <c r="X858" s="169">
        <v>45018</v>
      </c>
      <c r="Y858" s="170">
        <v>180</v>
      </c>
      <c r="Z858" s="170">
        <v>0</v>
      </c>
      <c r="AA858" s="170">
        <v>0</v>
      </c>
      <c r="AB858" s="170">
        <v>0</v>
      </c>
      <c r="AC858" s="171">
        <v>180</v>
      </c>
      <c r="AD858" s="172">
        <v>86901907.015259996</v>
      </c>
      <c r="AE858" s="173">
        <v>180</v>
      </c>
      <c r="AF858" s="174">
        <v>46357</v>
      </c>
    </row>
    <row r="859" spans="1:32" ht="20" x14ac:dyDescent="0.35">
      <c r="A859" s="162" t="s">
        <v>1062</v>
      </c>
      <c r="B859" s="163" t="s">
        <v>1063</v>
      </c>
      <c r="C859" s="154"/>
      <c r="D859" s="162" t="s">
        <v>365</v>
      </c>
      <c r="E859" s="164" t="s">
        <v>365</v>
      </c>
      <c r="F859" s="164" t="s">
        <v>1063</v>
      </c>
      <c r="G859" s="164" t="s">
        <v>1062</v>
      </c>
      <c r="H859" s="165">
        <v>34545</v>
      </c>
      <c r="I859" s="164" t="s">
        <v>20</v>
      </c>
      <c r="J859" s="164" t="s">
        <v>68</v>
      </c>
      <c r="K859" s="165">
        <v>44819</v>
      </c>
      <c r="L859" s="166" t="s">
        <v>367</v>
      </c>
      <c r="M859" s="154"/>
      <c r="N859" s="154"/>
      <c r="O859" s="164" t="s">
        <v>23</v>
      </c>
      <c r="P859" s="164">
        <v>32</v>
      </c>
      <c r="Q859" s="164">
        <v>3</v>
      </c>
      <c r="R859" s="167" t="s">
        <v>1064</v>
      </c>
      <c r="S859" s="167" t="s">
        <v>832</v>
      </c>
      <c r="T859" s="162" t="s">
        <v>800</v>
      </c>
      <c r="U859" s="167" t="s">
        <v>801</v>
      </c>
      <c r="X859" s="169">
        <v>45018</v>
      </c>
      <c r="Y859" s="170">
        <v>26</v>
      </c>
      <c r="Z859" s="170">
        <v>0</v>
      </c>
      <c r="AA859" s="170">
        <v>0</v>
      </c>
      <c r="AB859" s="170">
        <v>0</v>
      </c>
      <c r="AC859" s="171">
        <v>26</v>
      </c>
      <c r="AD859" s="172">
        <v>12552497.67998</v>
      </c>
      <c r="AE859" s="173">
        <v>26</v>
      </c>
      <c r="AF859" s="174">
        <v>46357</v>
      </c>
    </row>
    <row r="860" spans="1:32" ht="20" x14ac:dyDescent="0.35">
      <c r="A860" s="162" t="s">
        <v>1062</v>
      </c>
      <c r="B860" s="163" t="s">
        <v>1063</v>
      </c>
      <c r="C860" s="154"/>
      <c r="D860" s="162" t="s">
        <v>365</v>
      </c>
      <c r="E860" s="164" t="s">
        <v>365</v>
      </c>
      <c r="F860" s="164" t="s">
        <v>1063</v>
      </c>
      <c r="G860" s="164" t="s">
        <v>1062</v>
      </c>
      <c r="H860" s="165">
        <v>34545</v>
      </c>
      <c r="I860" s="164" t="s">
        <v>20</v>
      </c>
      <c r="J860" s="164" t="s">
        <v>68</v>
      </c>
      <c r="K860" s="165">
        <v>44819</v>
      </c>
      <c r="L860" s="166" t="s">
        <v>367</v>
      </c>
      <c r="M860" s="154"/>
      <c r="N860" s="154"/>
      <c r="O860" s="164" t="s">
        <v>23</v>
      </c>
      <c r="P860" s="164">
        <v>32</v>
      </c>
      <c r="Q860" s="164">
        <v>3</v>
      </c>
      <c r="R860" s="167" t="s">
        <v>1064</v>
      </c>
      <c r="S860" s="167" t="s">
        <v>832</v>
      </c>
      <c r="T860" s="162" t="s">
        <v>800</v>
      </c>
      <c r="U860" s="167" t="s">
        <v>802</v>
      </c>
      <c r="X860" s="169">
        <v>45018</v>
      </c>
      <c r="Y860" s="170">
        <v>98</v>
      </c>
      <c r="Z860" s="170">
        <v>0</v>
      </c>
      <c r="AA860" s="170">
        <v>0</v>
      </c>
      <c r="AB860" s="170">
        <v>0</v>
      </c>
      <c r="AC860" s="171">
        <v>98</v>
      </c>
      <c r="AD860" s="172">
        <v>47313260.486089997</v>
      </c>
      <c r="AE860" s="173">
        <v>98</v>
      </c>
      <c r="AF860" s="174">
        <v>46357</v>
      </c>
    </row>
    <row r="861" spans="1:32" ht="20" x14ac:dyDescent="0.35">
      <c r="A861" s="162" t="s">
        <v>1062</v>
      </c>
      <c r="B861" s="163" t="s">
        <v>1063</v>
      </c>
      <c r="C861" s="154"/>
      <c r="D861" s="162" t="s">
        <v>365</v>
      </c>
      <c r="E861" s="164" t="s">
        <v>365</v>
      </c>
      <c r="F861" s="164" t="s">
        <v>1063</v>
      </c>
      <c r="G861" s="164" t="s">
        <v>1062</v>
      </c>
      <c r="H861" s="165">
        <v>34545</v>
      </c>
      <c r="I861" s="164" t="s">
        <v>20</v>
      </c>
      <c r="J861" s="164" t="s">
        <v>68</v>
      </c>
      <c r="K861" s="165">
        <v>44819</v>
      </c>
      <c r="L861" s="166" t="s">
        <v>367</v>
      </c>
      <c r="M861" s="154"/>
      <c r="N861" s="154"/>
      <c r="O861" s="164" t="s">
        <v>23</v>
      </c>
      <c r="P861" s="164">
        <v>32</v>
      </c>
      <c r="Q861" s="164">
        <v>3</v>
      </c>
      <c r="R861" s="167" t="s">
        <v>1064</v>
      </c>
      <c r="S861" s="167" t="s">
        <v>832</v>
      </c>
      <c r="T861" s="162" t="s">
        <v>800</v>
      </c>
      <c r="U861" s="167" t="s">
        <v>803</v>
      </c>
      <c r="X861" s="169">
        <v>45018</v>
      </c>
      <c r="Y861" s="170">
        <v>2</v>
      </c>
      <c r="Z861" s="170">
        <v>0</v>
      </c>
      <c r="AA861" s="170">
        <v>0</v>
      </c>
      <c r="AB861" s="170">
        <v>0</v>
      </c>
      <c r="AC861" s="171">
        <v>2</v>
      </c>
      <c r="AD861" s="172">
        <v>965576.74461000005</v>
      </c>
      <c r="AE861" s="173">
        <v>2</v>
      </c>
      <c r="AF861" s="174">
        <v>46357</v>
      </c>
    </row>
    <row r="862" spans="1:32" ht="20" x14ac:dyDescent="0.35">
      <c r="A862" s="162" t="s">
        <v>1062</v>
      </c>
      <c r="B862" s="163" t="s">
        <v>1063</v>
      </c>
      <c r="C862" s="154"/>
      <c r="D862" s="162" t="s">
        <v>365</v>
      </c>
      <c r="E862" s="164" t="s">
        <v>365</v>
      </c>
      <c r="F862" s="164" t="s">
        <v>1063</v>
      </c>
      <c r="G862" s="164" t="s">
        <v>1062</v>
      </c>
      <c r="H862" s="165">
        <v>34545</v>
      </c>
      <c r="I862" s="164" t="s">
        <v>20</v>
      </c>
      <c r="J862" s="164" t="s">
        <v>68</v>
      </c>
      <c r="K862" s="165">
        <v>44819</v>
      </c>
      <c r="L862" s="166" t="s">
        <v>367</v>
      </c>
      <c r="M862" s="154"/>
      <c r="N862" s="154"/>
      <c r="O862" s="164" t="s">
        <v>23</v>
      </c>
      <c r="P862" s="164">
        <v>32</v>
      </c>
      <c r="Q862" s="164">
        <v>3</v>
      </c>
      <c r="R862" s="167" t="s">
        <v>1064</v>
      </c>
      <c r="S862" s="167" t="s">
        <v>832</v>
      </c>
      <c r="T862" s="162" t="s">
        <v>800</v>
      </c>
      <c r="U862" s="167" t="s">
        <v>804</v>
      </c>
      <c r="X862" s="169">
        <v>45018</v>
      </c>
      <c r="Y862" s="170">
        <v>5</v>
      </c>
      <c r="Z862" s="170">
        <v>0</v>
      </c>
      <c r="AA862" s="170">
        <v>0</v>
      </c>
      <c r="AB862" s="170">
        <v>0</v>
      </c>
      <c r="AC862" s="171">
        <v>5</v>
      </c>
      <c r="AD862" s="172">
        <v>2413941.8615299999</v>
      </c>
      <c r="AE862" s="173">
        <v>5</v>
      </c>
      <c r="AF862" s="174">
        <v>46357</v>
      </c>
    </row>
    <row r="863" spans="1:32" ht="20" x14ac:dyDescent="0.35">
      <c r="A863" s="162" t="s">
        <v>1062</v>
      </c>
      <c r="B863" s="163" t="s">
        <v>1063</v>
      </c>
      <c r="C863" s="154"/>
      <c r="D863" s="162" t="s">
        <v>365</v>
      </c>
      <c r="E863" s="164" t="s">
        <v>365</v>
      </c>
      <c r="F863" s="164" t="s">
        <v>1063</v>
      </c>
      <c r="G863" s="164" t="s">
        <v>1062</v>
      </c>
      <c r="H863" s="165">
        <v>34545</v>
      </c>
      <c r="I863" s="164" t="s">
        <v>20</v>
      </c>
      <c r="J863" s="164" t="s">
        <v>68</v>
      </c>
      <c r="K863" s="165">
        <v>44819</v>
      </c>
      <c r="L863" s="166" t="s">
        <v>367</v>
      </c>
      <c r="M863" s="154"/>
      <c r="N863" s="154"/>
      <c r="O863" s="164" t="s">
        <v>23</v>
      </c>
      <c r="P863" s="164">
        <v>32</v>
      </c>
      <c r="Q863" s="164">
        <v>3</v>
      </c>
      <c r="R863" s="167" t="s">
        <v>1064</v>
      </c>
      <c r="S863" s="167" t="s">
        <v>832</v>
      </c>
      <c r="T863" s="162" t="s">
        <v>800</v>
      </c>
      <c r="U863" s="167" t="s">
        <v>805</v>
      </c>
      <c r="X863" s="169">
        <v>45018</v>
      </c>
      <c r="Y863" s="170">
        <v>2.4999999966690001</v>
      </c>
      <c r="Z863" s="170">
        <v>0.41666667000000002</v>
      </c>
      <c r="AA863" s="170">
        <v>0</v>
      </c>
      <c r="AB863" s="170">
        <v>0</v>
      </c>
      <c r="AC863" s="171">
        <v>2.9166666666690002</v>
      </c>
      <c r="AD863" s="172">
        <v>1408132.7525599999</v>
      </c>
      <c r="AE863" s="173">
        <v>2.92</v>
      </c>
      <c r="AF863" s="174">
        <v>46357</v>
      </c>
    </row>
    <row r="864" spans="1:32" ht="20" x14ac:dyDescent="0.35">
      <c r="A864" s="162" t="s">
        <v>676</v>
      </c>
      <c r="B864" s="163" t="s">
        <v>1065</v>
      </c>
      <c r="C864" s="154"/>
      <c r="D864" s="162" t="s">
        <v>368</v>
      </c>
      <c r="E864" s="164" t="s">
        <v>368</v>
      </c>
      <c r="F864" s="164" t="s">
        <v>1065</v>
      </c>
      <c r="G864" s="164" t="s">
        <v>676</v>
      </c>
      <c r="H864" s="165">
        <v>29902</v>
      </c>
      <c r="I864" s="164" t="s">
        <v>20</v>
      </c>
      <c r="J864" s="164" t="s">
        <v>68</v>
      </c>
      <c r="K864" s="165">
        <v>44835</v>
      </c>
      <c r="L864" s="166" t="s">
        <v>370</v>
      </c>
      <c r="M864" s="154"/>
      <c r="N864" s="154"/>
      <c r="O864" s="164" t="s">
        <v>165</v>
      </c>
      <c r="P864" s="164">
        <v>44</v>
      </c>
      <c r="Q864" s="164">
        <v>3</v>
      </c>
      <c r="R864" s="167" t="s">
        <v>986</v>
      </c>
      <c r="S864" s="167" t="s">
        <v>832</v>
      </c>
      <c r="T864" s="162" t="s">
        <v>794</v>
      </c>
      <c r="U864" s="167" t="s">
        <v>819</v>
      </c>
      <c r="V864" s="162" t="s">
        <v>820</v>
      </c>
      <c r="W864" s="168">
        <v>3</v>
      </c>
      <c r="X864" s="169">
        <v>45018</v>
      </c>
      <c r="Y864" s="170">
        <v>22.750000000010001</v>
      </c>
      <c r="Z864" s="170">
        <v>1.75</v>
      </c>
      <c r="AA864" s="170">
        <v>0</v>
      </c>
      <c r="AB864" s="170">
        <v>0</v>
      </c>
      <c r="AC864" s="171">
        <v>24.500000000010001</v>
      </c>
      <c r="AD864" s="172">
        <v>2824772.5328600002</v>
      </c>
      <c r="AE864" s="173" t="s">
        <v>797</v>
      </c>
      <c r="AF864" s="173"/>
    </row>
    <row r="865" spans="1:32" ht="20" x14ac:dyDescent="0.35">
      <c r="A865" s="162" t="s">
        <v>676</v>
      </c>
      <c r="B865" s="163" t="s">
        <v>1065</v>
      </c>
      <c r="C865" s="154"/>
      <c r="D865" s="162" t="s">
        <v>368</v>
      </c>
      <c r="E865" s="164" t="s">
        <v>368</v>
      </c>
      <c r="F865" s="164" t="s">
        <v>1065</v>
      </c>
      <c r="G865" s="164" t="s">
        <v>676</v>
      </c>
      <c r="H865" s="165">
        <v>29902</v>
      </c>
      <c r="I865" s="164" t="s">
        <v>20</v>
      </c>
      <c r="J865" s="164" t="s">
        <v>68</v>
      </c>
      <c r="K865" s="165">
        <v>44835</v>
      </c>
      <c r="L865" s="166" t="s">
        <v>370</v>
      </c>
      <c r="M865" s="154"/>
      <c r="N865" s="154"/>
      <c r="O865" s="164" t="s">
        <v>165</v>
      </c>
      <c r="P865" s="164">
        <v>44</v>
      </c>
      <c r="Q865" s="164">
        <v>3</v>
      </c>
      <c r="R865" s="167" t="s">
        <v>986</v>
      </c>
      <c r="S865" s="167" t="s">
        <v>832</v>
      </c>
      <c r="T865" s="162" t="s">
        <v>798</v>
      </c>
      <c r="U865" s="167" t="s">
        <v>799</v>
      </c>
      <c r="X865" s="169">
        <v>45018</v>
      </c>
      <c r="Y865" s="170">
        <v>180</v>
      </c>
      <c r="Z865" s="170">
        <v>0</v>
      </c>
      <c r="AA865" s="170">
        <v>0</v>
      </c>
      <c r="AB865" s="170">
        <v>0</v>
      </c>
      <c r="AC865" s="171">
        <v>180</v>
      </c>
      <c r="AD865" s="172">
        <v>20753430.85368</v>
      </c>
      <c r="AE865" s="173">
        <v>180</v>
      </c>
      <c r="AF865" s="174">
        <v>46357</v>
      </c>
    </row>
    <row r="866" spans="1:32" ht="20" x14ac:dyDescent="0.35">
      <c r="A866" s="162" t="s">
        <v>676</v>
      </c>
      <c r="B866" s="163" t="s">
        <v>1065</v>
      </c>
      <c r="C866" s="154"/>
      <c r="D866" s="162" t="s">
        <v>368</v>
      </c>
      <c r="E866" s="164" t="s">
        <v>368</v>
      </c>
      <c r="F866" s="164" t="s">
        <v>1065</v>
      </c>
      <c r="G866" s="164" t="s">
        <v>676</v>
      </c>
      <c r="H866" s="165">
        <v>29902</v>
      </c>
      <c r="I866" s="164" t="s">
        <v>20</v>
      </c>
      <c r="J866" s="164" t="s">
        <v>68</v>
      </c>
      <c r="K866" s="165">
        <v>44835</v>
      </c>
      <c r="L866" s="166" t="s">
        <v>370</v>
      </c>
      <c r="M866" s="154"/>
      <c r="N866" s="154"/>
      <c r="O866" s="164" t="s">
        <v>165</v>
      </c>
      <c r="P866" s="164">
        <v>44</v>
      </c>
      <c r="Q866" s="164">
        <v>3</v>
      </c>
      <c r="R866" s="167" t="s">
        <v>986</v>
      </c>
      <c r="S866" s="167" t="s">
        <v>832</v>
      </c>
      <c r="T866" s="162" t="s">
        <v>800</v>
      </c>
      <c r="U866" s="167" t="s">
        <v>801</v>
      </c>
      <c r="X866" s="169">
        <v>45018</v>
      </c>
      <c r="Y866" s="170">
        <v>26</v>
      </c>
      <c r="Z866" s="170">
        <v>0</v>
      </c>
      <c r="AA866" s="170">
        <v>0</v>
      </c>
      <c r="AB866" s="170">
        <v>0</v>
      </c>
      <c r="AC866" s="171">
        <v>26</v>
      </c>
      <c r="AD866" s="172">
        <v>2997717.7899799999</v>
      </c>
      <c r="AE866" s="173">
        <v>26</v>
      </c>
      <c r="AF866" s="174">
        <v>46357</v>
      </c>
    </row>
    <row r="867" spans="1:32" ht="20" x14ac:dyDescent="0.35">
      <c r="A867" s="162" t="s">
        <v>676</v>
      </c>
      <c r="B867" s="163" t="s">
        <v>1065</v>
      </c>
      <c r="C867" s="154"/>
      <c r="D867" s="162" t="s">
        <v>368</v>
      </c>
      <c r="E867" s="164" t="s">
        <v>368</v>
      </c>
      <c r="F867" s="164" t="s">
        <v>1065</v>
      </c>
      <c r="G867" s="164" t="s">
        <v>676</v>
      </c>
      <c r="H867" s="165">
        <v>29902</v>
      </c>
      <c r="I867" s="164" t="s">
        <v>20</v>
      </c>
      <c r="J867" s="164" t="s">
        <v>68</v>
      </c>
      <c r="K867" s="165">
        <v>44835</v>
      </c>
      <c r="L867" s="166" t="s">
        <v>370</v>
      </c>
      <c r="M867" s="154"/>
      <c r="N867" s="154"/>
      <c r="O867" s="164" t="s">
        <v>165</v>
      </c>
      <c r="P867" s="164">
        <v>44</v>
      </c>
      <c r="Q867" s="164">
        <v>3</v>
      </c>
      <c r="R867" s="167" t="s">
        <v>986</v>
      </c>
      <c r="S867" s="167" t="s">
        <v>832</v>
      </c>
      <c r="T867" s="162" t="s">
        <v>800</v>
      </c>
      <c r="U867" s="167" t="s">
        <v>802</v>
      </c>
      <c r="X867" s="169">
        <v>45018</v>
      </c>
      <c r="Y867" s="170">
        <v>98</v>
      </c>
      <c r="Z867" s="170">
        <v>0</v>
      </c>
      <c r="AA867" s="170">
        <v>0</v>
      </c>
      <c r="AB867" s="170">
        <v>0</v>
      </c>
      <c r="AC867" s="171">
        <v>98</v>
      </c>
      <c r="AD867" s="172">
        <v>11299090.131449999</v>
      </c>
      <c r="AE867" s="173">
        <v>98</v>
      </c>
      <c r="AF867" s="174">
        <v>46357</v>
      </c>
    </row>
    <row r="868" spans="1:32" ht="20" x14ac:dyDescent="0.35">
      <c r="A868" s="162" t="s">
        <v>676</v>
      </c>
      <c r="B868" s="163" t="s">
        <v>1065</v>
      </c>
      <c r="C868" s="154"/>
      <c r="D868" s="162" t="s">
        <v>368</v>
      </c>
      <c r="E868" s="164" t="s">
        <v>368</v>
      </c>
      <c r="F868" s="164" t="s">
        <v>1065</v>
      </c>
      <c r="G868" s="164" t="s">
        <v>676</v>
      </c>
      <c r="H868" s="165">
        <v>29902</v>
      </c>
      <c r="I868" s="164" t="s">
        <v>20</v>
      </c>
      <c r="J868" s="164" t="s">
        <v>68</v>
      </c>
      <c r="K868" s="165">
        <v>44835</v>
      </c>
      <c r="L868" s="166" t="s">
        <v>370</v>
      </c>
      <c r="M868" s="154"/>
      <c r="N868" s="154"/>
      <c r="O868" s="164" t="s">
        <v>165</v>
      </c>
      <c r="P868" s="164">
        <v>44</v>
      </c>
      <c r="Q868" s="164">
        <v>3</v>
      </c>
      <c r="R868" s="167" t="s">
        <v>986</v>
      </c>
      <c r="S868" s="167" t="s">
        <v>832</v>
      </c>
      <c r="T868" s="162" t="s">
        <v>800</v>
      </c>
      <c r="U868" s="167" t="s">
        <v>803</v>
      </c>
      <c r="X868" s="169">
        <v>45018</v>
      </c>
      <c r="Y868" s="170">
        <v>2</v>
      </c>
      <c r="Z868" s="170">
        <v>0</v>
      </c>
      <c r="AA868" s="170">
        <v>0</v>
      </c>
      <c r="AB868" s="170">
        <v>0</v>
      </c>
      <c r="AC868" s="171">
        <v>2</v>
      </c>
      <c r="AD868" s="172">
        <v>230593.67615000001</v>
      </c>
      <c r="AE868" s="173">
        <v>2</v>
      </c>
      <c r="AF868" s="174">
        <v>46357</v>
      </c>
    </row>
    <row r="869" spans="1:32" ht="20" x14ac:dyDescent="0.35">
      <c r="A869" s="162" t="s">
        <v>676</v>
      </c>
      <c r="B869" s="163" t="s">
        <v>1065</v>
      </c>
      <c r="C869" s="154"/>
      <c r="D869" s="162" t="s">
        <v>368</v>
      </c>
      <c r="E869" s="164" t="s">
        <v>368</v>
      </c>
      <c r="F869" s="164" t="s">
        <v>1065</v>
      </c>
      <c r="G869" s="164" t="s">
        <v>676</v>
      </c>
      <c r="H869" s="165">
        <v>29902</v>
      </c>
      <c r="I869" s="164" t="s">
        <v>20</v>
      </c>
      <c r="J869" s="164" t="s">
        <v>68</v>
      </c>
      <c r="K869" s="165">
        <v>44835</v>
      </c>
      <c r="L869" s="166" t="s">
        <v>370</v>
      </c>
      <c r="M869" s="154"/>
      <c r="N869" s="154"/>
      <c r="O869" s="164" t="s">
        <v>165</v>
      </c>
      <c r="P869" s="164">
        <v>44</v>
      </c>
      <c r="Q869" s="164">
        <v>3</v>
      </c>
      <c r="R869" s="167" t="s">
        <v>986</v>
      </c>
      <c r="S869" s="167" t="s">
        <v>832</v>
      </c>
      <c r="T869" s="162" t="s">
        <v>800</v>
      </c>
      <c r="U869" s="167" t="s">
        <v>804</v>
      </c>
      <c r="X869" s="169">
        <v>45018</v>
      </c>
      <c r="Y869" s="170">
        <v>5</v>
      </c>
      <c r="Z869" s="170">
        <v>0</v>
      </c>
      <c r="AA869" s="170">
        <v>0</v>
      </c>
      <c r="AB869" s="170">
        <v>0</v>
      </c>
      <c r="AC869" s="171">
        <v>5</v>
      </c>
      <c r="AD869" s="172">
        <v>576484.19038000004</v>
      </c>
      <c r="AE869" s="173">
        <v>5</v>
      </c>
      <c r="AF869" s="174">
        <v>46357</v>
      </c>
    </row>
    <row r="870" spans="1:32" ht="20" x14ac:dyDescent="0.35">
      <c r="A870" s="162" t="s">
        <v>676</v>
      </c>
      <c r="B870" s="163" t="s">
        <v>1065</v>
      </c>
      <c r="C870" s="154"/>
      <c r="D870" s="162" t="s">
        <v>368</v>
      </c>
      <c r="E870" s="164" t="s">
        <v>368</v>
      </c>
      <c r="F870" s="164" t="s">
        <v>1065</v>
      </c>
      <c r="G870" s="164" t="s">
        <v>676</v>
      </c>
      <c r="H870" s="165">
        <v>29902</v>
      </c>
      <c r="I870" s="164" t="s">
        <v>20</v>
      </c>
      <c r="J870" s="164" t="s">
        <v>68</v>
      </c>
      <c r="K870" s="165">
        <v>44835</v>
      </c>
      <c r="L870" s="166" t="s">
        <v>370</v>
      </c>
      <c r="M870" s="154"/>
      <c r="N870" s="154"/>
      <c r="O870" s="164" t="s">
        <v>165</v>
      </c>
      <c r="P870" s="164">
        <v>44</v>
      </c>
      <c r="Q870" s="164">
        <v>3</v>
      </c>
      <c r="R870" s="167" t="s">
        <v>986</v>
      </c>
      <c r="S870" s="167" t="s">
        <v>832</v>
      </c>
      <c r="T870" s="162" t="s">
        <v>800</v>
      </c>
      <c r="U870" s="167" t="s">
        <v>805</v>
      </c>
      <c r="X870" s="169">
        <v>45018</v>
      </c>
      <c r="Y870" s="170">
        <v>2.4999999966690001</v>
      </c>
      <c r="Z870" s="170">
        <v>0.41666667000000002</v>
      </c>
      <c r="AA870" s="170">
        <v>0</v>
      </c>
      <c r="AB870" s="170">
        <v>0</v>
      </c>
      <c r="AC870" s="171">
        <v>2.9166666666690002</v>
      </c>
      <c r="AD870" s="172">
        <v>336282.44439000002</v>
      </c>
      <c r="AE870" s="173">
        <v>2.92</v>
      </c>
      <c r="AF870" s="174">
        <v>46357</v>
      </c>
    </row>
    <row r="871" spans="1:32" ht="20" x14ac:dyDescent="0.35">
      <c r="A871" s="162" t="s">
        <v>623</v>
      </c>
      <c r="B871" s="163" t="s">
        <v>1066</v>
      </c>
      <c r="C871" s="154"/>
      <c r="D871" s="162" t="s">
        <v>371</v>
      </c>
      <c r="E871" s="164" t="s">
        <v>371</v>
      </c>
      <c r="F871" s="164" t="s">
        <v>1066</v>
      </c>
      <c r="G871" s="164" t="s">
        <v>623</v>
      </c>
      <c r="H871" s="165">
        <v>32865</v>
      </c>
      <c r="I871" s="164" t="s">
        <v>20</v>
      </c>
      <c r="J871" s="164" t="s">
        <v>68</v>
      </c>
      <c r="K871" s="165">
        <v>44858</v>
      </c>
      <c r="L871" s="166" t="s">
        <v>144</v>
      </c>
      <c r="M871" s="154"/>
      <c r="N871" s="154"/>
      <c r="O871" s="164" t="s">
        <v>145</v>
      </c>
      <c r="P871" s="164">
        <v>36</v>
      </c>
      <c r="Q871" s="164">
        <v>3</v>
      </c>
      <c r="R871" s="167" t="s">
        <v>866</v>
      </c>
      <c r="S871" s="167" t="s">
        <v>24</v>
      </c>
      <c r="T871" s="162" t="s">
        <v>794</v>
      </c>
      <c r="U871" s="167" t="s">
        <v>795</v>
      </c>
      <c r="V871" s="162" t="s">
        <v>796</v>
      </c>
      <c r="W871" s="168">
        <v>3</v>
      </c>
      <c r="X871" s="169">
        <v>45018</v>
      </c>
      <c r="Y871" s="170">
        <v>20.749999996660002</v>
      </c>
      <c r="Z871" s="170">
        <v>1.9166666699999999</v>
      </c>
      <c r="AA871" s="170">
        <v>0</v>
      </c>
      <c r="AB871" s="170">
        <v>0</v>
      </c>
      <c r="AC871" s="171">
        <v>22.666666666659999</v>
      </c>
      <c r="AD871" s="172">
        <v>2999124.3251200002</v>
      </c>
      <c r="AE871" s="173" t="s">
        <v>797</v>
      </c>
      <c r="AF871" s="173"/>
    </row>
    <row r="872" spans="1:32" ht="20" x14ac:dyDescent="0.35">
      <c r="A872" s="162" t="s">
        <v>623</v>
      </c>
      <c r="B872" s="163" t="s">
        <v>1066</v>
      </c>
      <c r="C872" s="154"/>
      <c r="D872" s="162" t="s">
        <v>371</v>
      </c>
      <c r="E872" s="164" t="s">
        <v>371</v>
      </c>
      <c r="F872" s="164" t="s">
        <v>1066</v>
      </c>
      <c r="G872" s="164" t="s">
        <v>623</v>
      </c>
      <c r="H872" s="165">
        <v>32865</v>
      </c>
      <c r="I872" s="164" t="s">
        <v>20</v>
      </c>
      <c r="J872" s="164" t="s">
        <v>68</v>
      </c>
      <c r="K872" s="165">
        <v>44858</v>
      </c>
      <c r="L872" s="166" t="s">
        <v>144</v>
      </c>
      <c r="M872" s="154"/>
      <c r="N872" s="154"/>
      <c r="O872" s="164" t="s">
        <v>145</v>
      </c>
      <c r="P872" s="164">
        <v>36</v>
      </c>
      <c r="Q872" s="164">
        <v>3</v>
      </c>
      <c r="R872" s="167" t="s">
        <v>866</v>
      </c>
      <c r="S872" s="167" t="s">
        <v>24</v>
      </c>
      <c r="T872" s="162" t="s">
        <v>798</v>
      </c>
      <c r="U872" s="167" t="s">
        <v>839</v>
      </c>
      <c r="X872" s="169">
        <v>45018</v>
      </c>
      <c r="Y872" s="170">
        <v>180</v>
      </c>
      <c r="Z872" s="170">
        <v>0</v>
      </c>
      <c r="AA872" s="170">
        <v>0</v>
      </c>
      <c r="AB872" s="170">
        <v>0</v>
      </c>
      <c r="AC872" s="171">
        <v>180</v>
      </c>
      <c r="AD872" s="172">
        <v>23816575.522980001</v>
      </c>
      <c r="AE872" s="173">
        <v>180</v>
      </c>
      <c r="AF872" s="174">
        <v>46357</v>
      </c>
    </row>
    <row r="873" spans="1:32" ht="20" x14ac:dyDescent="0.35">
      <c r="A873" s="162" t="s">
        <v>623</v>
      </c>
      <c r="B873" s="163" t="s">
        <v>1066</v>
      </c>
      <c r="C873" s="154"/>
      <c r="D873" s="162" t="s">
        <v>371</v>
      </c>
      <c r="E873" s="164" t="s">
        <v>371</v>
      </c>
      <c r="F873" s="164" t="s">
        <v>1066</v>
      </c>
      <c r="G873" s="164" t="s">
        <v>623</v>
      </c>
      <c r="H873" s="165">
        <v>32865</v>
      </c>
      <c r="I873" s="164" t="s">
        <v>20</v>
      </c>
      <c r="J873" s="164" t="s">
        <v>68</v>
      </c>
      <c r="K873" s="165">
        <v>44858</v>
      </c>
      <c r="L873" s="166" t="s">
        <v>144</v>
      </c>
      <c r="M873" s="154"/>
      <c r="N873" s="154"/>
      <c r="O873" s="164" t="s">
        <v>145</v>
      </c>
      <c r="P873" s="164">
        <v>36</v>
      </c>
      <c r="Q873" s="164">
        <v>3</v>
      </c>
      <c r="R873" s="167" t="s">
        <v>866</v>
      </c>
      <c r="S873" s="167" t="s">
        <v>24</v>
      </c>
      <c r="T873" s="162" t="s">
        <v>800</v>
      </c>
      <c r="U873" s="167" t="s">
        <v>801</v>
      </c>
      <c r="X873" s="169">
        <v>45018</v>
      </c>
      <c r="Y873" s="170">
        <v>26</v>
      </c>
      <c r="Z873" s="170">
        <v>0</v>
      </c>
      <c r="AA873" s="170">
        <v>0</v>
      </c>
      <c r="AB873" s="170">
        <v>0</v>
      </c>
      <c r="AC873" s="171">
        <v>26</v>
      </c>
      <c r="AD873" s="172">
        <v>3440172.0199899999</v>
      </c>
      <c r="AE873" s="173">
        <v>26</v>
      </c>
      <c r="AF873" s="174">
        <v>46357</v>
      </c>
    </row>
    <row r="874" spans="1:32" ht="20" x14ac:dyDescent="0.35">
      <c r="A874" s="162" t="s">
        <v>623</v>
      </c>
      <c r="B874" s="163" t="s">
        <v>1066</v>
      </c>
      <c r="C874" s="154"/>
      <c r="D874" s="162" t="s">
        <v>371</v>
      </c>
      <c r="E874" s="164" t="s">
        <v>371</v>
      </c>
      <c r="F874" s="164" t="s">
        <v>1066</v>
      </c>
      <c r="G874" s="164" t="s">
        <v>623</v>
      </c>
      <c r="H874" s="165">
        <v>32865</v>
      </c>
      <c r="I874" s="164" t="s">
        <v>20</v>
      </c>
      <c r="J874" s="164" t="s">
        <v>68</v>
      </c>
      <c r="K874" s="165">
        <v>44858</v>
      </c>
      <c r="L874" s="166" t="s">
        <v>144</v>
      </c>
      <c r="M874" s="154"/>
      <c r="N874" s="154"/>
      <c r="O874" s="164" t="s">
        <v>145</v>
      </c>
      <c r="P874" s="164">
        <v>36</v>
      </c>
      <c r="Q874" s="164">
        <v>3</v>
      </c>
      <c r="R874" s="167" t="s">
        <v>866</v>
      </c>
      <c r="S874" s="167" t="s">
        <v>24</v>
      </c>
      <c r="T874" s="162" t="s">
        <v>800</v>
      </c>
      <c r="U874" s="167" t="s">
        <v>802</v>
      </c>
      <c r="X874" s="169">
        <v>45018</v>
      </c>
      <c r="Y874" s="170">
        <v>98</v>
      </c>
      <c r="Z874" s="170">
        <v>0</v>
      </c>
      <c r="AA874" s="170">
        <v>0</v>
      </c>
      <c r="AB874" s="170">
        <v>0</v>
      </c>
      <c r="AC874" s="171">
        <v>98</v>
      </c>
      <c r="AD874" s="172">
        <v>12966802.229180001</v>
      </c>
      <c r="AE874" s="173">
        <v>98</v>
      </c>
      <c r="AF874" s="174">
        <v>46357</v>
      </c>
    </row>
    <row r="875" spans="1:32" ht="20" x14ac:dyDescent="0.35">
      <c r="A875" s="162" t="s">
        <v>623</v>
      </c>
      <c r="B875" s="163" t="s">
        <v>1066</v>
      </c>
      <c r="C875" s="154"/>
      <c r="D875" s="162" t="s">
        <v>371</v>
      </c>
      <c r="E875" s="164" t="s">
        <v>371</v>
      </c>
      <c r="F875" s="164" t="s">
        <v>1066</v>
      </c>
      <c r="G875" s="164" t="s">
        <v>623</v>
      </c>
      <c r="H875" s="165">
        <v>32865</v>
      </c>
      <c r="I875" s="164" t="s">
        <v>20</v>
      </c>
      <c r="J875" s="164" t="s">
        <v>68</v>
      </c>
      <c r="K875" s="165">
        <v>44858</v>
      </c>
      <c r="L875" s="166" t="s">
        <v>144</v>
      </c>
      <c r="M875" s="154"/>
      <c r="N875" s="154"/>
      <c r="O875" s="164" t="s">
        <v>145</v>
      </c>
      <c r="P875" s="164">
        <v>36</v>
      </c>
      <c r="Q875" s="164">
        <v>3</v>
      </c>
      <c r="R875" s="167" t="s">
        <v>866</v>
      </c>
      <c r="S875" s="167" t="s">
        <v>24</v>
      </c>
      <c r="T875" s="162" t="s">
        <v>800</v>
      </c>
      <c r="U875" s="167" t="s">
        <v>803</v>
      </c>
      <c r="X875" s="169">
        <v>45018</v>
      </c>
      <c r="Y875" s="170">
        <v>2</v>
      </c>
      <c r="Z875" s="170">
        <v>0</v>
      </c>
      <c r="AA875" s="170">
        <v>0</v>
      </c>
      <c r="AB875" s="170">
        <v>0</v>
      </c>
      <c r="AC875" s="171">
        <v>2</v>
      </c>
      <c r="AD875" s="172">
        <v>264628.61692</v>
      </c>
      <c r="AE875" s="173">
        <v>2</v>
      </c>
      <c r="AF875" s="174">
        <v>46357</v>
      </c>
    </row>
    <row r="876" spans="1:32" ht="20" x14ac:dyDescent="0.35">
      <c r="A876" s="162" t="s">
        <v>623</v>
      </c>
      <c r="B876" s="163" t="s">
        <v>1066</v>
      </c>
      <c r="C876" s="154"/>
      <c r="D876" s="162" t="s">
        <v>371</v>
      </c>
      <c r="E876" s="164" t="s">
        <v>371</v>
      </c>
      <c r="F876" s="164" t="s">
        <v>1066</v>
      </c>
      <c r="G876" s="164" t="s">
        <v>623</v>
      </c>
      <c r="H876" s="165">
        <v>32865</v>
      </c>
      <c r="I876" s="164" t="s">
        <v>20</v>
      </c>
      <c r="J876" s="164" t="s">
        <v>68</v>
      </c>
      <c r="K876" s="165">
        <v>44858</v>
      </c>
      <c r="L876" s="166" t="s">
        <v>144</v>
      </c>
      <c r="M876" s="154"/>
      <c r="N876" s="154"/>
      <c r="O876" s="164" t="s">
        <v>145</v>
      </c>
      <c r="P876" s="164">
        <v>36</v>
      </c>
      <c r="Q876" s="164">
        <v>3</v>
      </c>
      <c r="R876" s="167" t="s">
        <v>866</v>
      </c>
      <c r="S876" s="167" t="s">
        <v>24</v>
      </c>
      <c r="T876" s="162" t="s">
        <v>800</v>
      </c>
      <c r="U876" s="167" t="s">
        <v>804</v>
      </c>
      <c r="X876" s="169">
        <v>45018</v>
      </c>
      <c r="Y876" s="170">
        <v>5</v>
      </c>
      <c r="Z876" s="170">
        <v>0</v>
      </c>
      <c r="AA876" s="170">
        <v>0</v>
      </c>
      <c r="AB876" s="170">
        <v>0</v>
      </c>
      <c r="AC876" s="171">
        <v>5</v>
      </c>
      <c r="AD876" s="172">
        <v>661571.54231000005</v>
      </c>
      <c r="AE876" s="173">
        <v>5</v>
      </c>
      <c r="AF876" s="174">
        <v>46357</v>
      </c>
    </row>
    <row r="877" spans="1:32" ht="20" x14ac:dyDescent="0.35">
      <c r="A877" s="162" t="s">
        <v>623</v>
      </c>
      <c r="B877" s="163" t="s">
        <v>1066</v>
      </c>
      <c r="C877" s="154"/>
      <c r="D877" s="162" t="s">
        <v>371</v>
      </c>
      <c r="E877" s="164" t="s">
        <v>371</v>
      </c>
      <c r="F877" s="164" t="s">
        <v>1066</v>
      </c>
      <c r="G877" s="164" t="s">
        <v>623</v>
      </c>
      <c r="H877" s="165">
        <v>32865</v>
      </c>
      <c r="I877" s="164" t="s">
        <v>20</v>
      </c>
      <c r="J877" s="164" t="s">
        <v>68</v>
      </c>
      <c r="K877" s="165">
        <v>44858</v>
      </c>
      <c r="L877" s="166" t="s">
        <v>144</v>
      </c>
      <c r="M877" s="154"/>
      <c r="N877" s="154"/>
      <c r="O877" s="164" t="s">
        <v>145</v>
      </c>
      <c r="P877" s="164">
        <v>36</v>
      </c>
      <c r="Q877" s="164">
        <v>3</v>
      </c>
      <c r="R877" s="167" t="s">
        <v>866</v>
      </c>
      <c r="S877" s="167" t="s">
        <v>24</v>
      </c>
      <c r="T877" s="162" t="s">
        <v>800</v>
      </c>
      <c r="U877" s="167" t="s">
        <v>840</v>
      </c>
      <c r="X877" s="169">
        <v>45018</v>
      </c>
      <c r="Y877" s="170">
        <v>2.4999999966690001</v>
      </c>
      <c r="Z877" s="170">
        <v>0.41666667000000002</v>
      </c>
      <c r="AA877" s="170">
        <v>0</v>
      </c>
      <c r="AB877" s="170">
        <v>0</v>
      </c>
      <c r="AC877" s="171">
        <v>2.9166666666690002</v>
      </c>
      <c r="AD877" s="172">
        <v>385916.73301000003</v>
      </c>
      <c r="AE877" s="173">
        <v>2.92</v>
      </c>
      <c r="AF877" s="174">
        <v>46357</v>
      </c>
    </row>
    <row r="878" spans="1:32" ht="20" x14ac:dyDescent="0.35">
      <c r="A878" s="162" t="s">
        <v>625</v>
      </c>
      <c r="B878" s="163" t="s">
        <v>1067</v>
      </c>
      <c r="C878" s="154"/>
      <c r="D878" s="162" t="s">
        <v>373</v>
      </c>
      <c r="E878" s="164" t="s">
        <v>373</v>
      </c>
      <c r="F878" s="164" t="s">
        <v>1067</v>
      </c>
      <c r="G878" s="164" t="s">
        <v>625</v>
      </c>
      <c r="H878" s="165">
        <v>31767</v>
      </c>
      <c r="I878" s="164" t="s">
        <v>20</v>
      </c>
      <c r="J878" s="164" t="s">
        <v>68</v>
      </c>
      <c r="K878" s="165">
        <v>44858</v>
      </c>
      <c r="L878" s="166" t="s">
        <v>144</v>
      </c>
      <c r="M878" s="154"/>
      <c r="N878" s="154"/>
      <c r="O878" s="164" t="s">
        <v>145</v>
      </c>
      <c r="P878" s="164">
        <v>39</v>
      </c>
      <c r="Q878" s="164">
        <v>3</v>
      </c>
      <c r="R878" s="167" t="s">
        <v>866</v>
      </c>
      <c r="S878" s="167" t="s">
        <v>24</v>
      </c>
      <c r="T878" s="162" t="s">
        <v>794</v>
      </c>
      <c r="U878" s="167" t="s">
        <v>795</v>
      </c>
      <c r="V878" s="162" t="s">
        <v>796</v>
      </c>
      <c r="W878" s="168">
        <v>3</v>
      </c>
      <c r="X878" s="169">
        <v>45018</v>
      </c>
      <c r="Y878" s="170">
        <v>5.7499999966599997</v>
      </c>
      <c r="Z878" s="170">
        <v>1.9166666699999999</v>
      </c>
      <c r="AA878" s="170">
        <v>0</v>
      </c>
      <c r="AB878" s="170">
        <v>0</v>
      </c>
      <c r="AC878" s="171">
        <v>7.6666666666600003</v>
      </c>
      <c r="AD878" s="172">
        <v>986840.06704999995</v>
      </c>
      <c r="AE878" s="173" t="s">
        <v>797</v>
      </c>
      <c r="AF878" s="173"/>
    </row>
    <row r="879" spans="1:32" ht="20" x14ac:dyDescent="0.35">
      <c r="A879" s="162" t="s">
        <v>625</v>
      </c>
      <c r="B879" s="163" t="s">
        <v>1067</v>
      </c>
      <c r="C879" s="154"/>
      <c r="D879" s="162" t="s">
        <v>373</v>
      </c>
      <c r="E879" s="164" t="s">
        <v>373</v>
      </c>
      <c r="F879" s="164" t="s">
        <v>1067</v>
      </c>
      <c r="G879" s="164" t="s">
        <v>625</v>
      </c>
      <c r="H879" s="165">
        <v>31767</v>
      </c>
      <c r="I879" s="164" t="s">
        <v>20</v>
      </c>
      <c r="J879" s="164" t="s">
        <v>68</v>
      </c>
      <c r="K879" s="165">
        <v>44858</v>
      </c>
      <c r="L879" s="166" t="s">
        <v>144</v>
      </c>
      <c r="M879" s="154"/>
      <c r="N879" s="154"/>
      <c r="O879" s="164" t="s">
        <v>145</v>
      </c>
      <c r="P879" s="164">
        <v>39</v>
      </c>
      <c r="Q879" s="164">
        <v>3</v>
      </c>
      <c r="R879" s="167" t="s">
        <v>866</v>
      </c>
      <c r="S879" s="167" t="s">
        <v>24</v>
      </c>
      <c r="T879" s="162" t="s">
        <v>798</v>
      </c>
      <c r="U879" s="167" t="s">
        <v>839</v>
      </c>
      <c r="X879" s="169">
        <v>45018</v>
      </c>
      <c r="Y879" s="170">
        <v>179</v>
      </c>
      <c r="Z879" s="170">
        <v>0</v>
      </c>
      <c r="AA879" s="170">
        <v>0</v>
      </c>
      <c r="AB879" s="170">
        <v>0</v>
      </c>
      <c r="AC879" s="171">
        <v>179</v>
      </c>
      <c r="AD879" s="172">
        <v>23040570.261080001</v>
      </c>
      <c r="AE879" s="173">
        <v>179</v>
      </c>
      <c r="AF879" s="174">
        <v>46357</v>
      </c>
    </row>
    <row r="880" spans="1:32" ht="20" x14ac:dyDescent="0.35">
      <c r="A880" s="162" t="s">
        <v>625</v>
      </c>
      <c r="B880" s="163" t="s">
        <v>1067</v>
      </c>
      <c r="C880" s="154"/>
      <c r="D880" s="162" t="s">
        <v>373</v>
      </c>
      <c r="E880" s="164" t="s">
        <v>373</v>
      </c>
      <c r="F880" s="164" t="s">
        <v>1067</v>
      </c>
      <c r="G880" s="164" t="s">
        <v>625</v>
      </c>
      <c r="H880" s="165">
        <v>31767</v>
      </c>
      <c r="I880" s="164" t="s">
        <v>20</v>
      </c>
      <c r="J880" s="164" t="s">
        <v>68</v>
      </c>
      <c r="K880" s="165">
        <v>44858</v>
      </c>
      <c r="L880" s="166" t="s">
        <v>144</v>
      </c>
      <c r="M880" s="154"/>
      <c r="N880" s="154"/>
      <c r="O880" s="164" t="s">
        <v>145</v>
      </c>
      <c r="P880" s="164">
        <v>39</v>
      </c>
      <c r="Q880" s="164">
        <v>3</v>
      </c>
      <c r="R880" s="167" t="s">
        <v>866</v>
      </c>
      <c r="S880" s="167" t="s">
        <v>24</v>
      </c>
      <c r="T880" s="162" t="s">
        <v>800</v>
      </c>
      <c r="U880" s="167" t="s">
        <v>801</v>
      </c>
      <c r="X880" s="169">
        <v>45018</v>
      </c>
      <c r="Y880" s="170">
        <v>26</v>
      </c>
      <c r="Z880" s="170">
        <v>0</v>
      </c>
      <c r="AA880" s="170">
        <v>0</v>
      </c>
      <c r="AB880" s="170">
        <v>0</v>
      </c>
      <c r="AC880" s="171">
        <v>26</v>
      </c>
      <c r="AD880" s="172">
        <v>3346675.0099900002</v>
      </c>
      <c r="AE880" s="173">
        <v>26</v>
      </c>
      <c r="AF880" s="174">
        <v>46357</v>
      </c>
    </row>
    <row r="881" spans="1:32" ht="20" x14ac:dyDescent="0.35">
      <c r="A881" s="162" t="s">
        <v>625</v>
      </c>
      <c r="B881" s="163" t="s">
        <v>1067</v>
      </c>
      <c r="C881" s="154"/>
      <c r="D881" s="162" t="s">
        <v>373</v>
      </c>
      <c r="E881" s="164" t="s">
        <v>373</v>
      </c>
      <c r="F881" s="164" t="s">
        <v>1067</v>
      </c>
      <c r="G881" s="164" t="s">
        <v>625</v>
      </c>
      <c r="H881" s="165">
        <v>31767</v>
      </c>
      <c r="I881" s="164" t="s">
        <v>20</v>
      </c>
      <c r="J881" s="164" t="s">
        <v>68</v>
      </c>
      <c r="K881" s="165">
        <v>44858</v>
      </c>
      <c r="L881" s="166" t="s">
        <v>144</v>
      </c>
      <c r="M881" s="154"/>
      <c r="N881" s="154"/>
      <c r="O881" s="164" t="s">
        <v>145</v>
      </c>
      <c r="P881" s="164">
        <v>39</v>
      </c>
      <c r="Q881" s="164">
        <v>3</v>
      </c>
      <c r="R881" s="167" t="s">
        <v>866</v>
      </c>
      <c r="S881" s="167" t="s">
        <v>24</v>
      </c>
      <c r="T881" s="162" t="s">
        <v>800</v>
      </c>
      <c r="U881" s="167" t="s">
        <v>802</v>
      </c>
      <c r="X881" s="169">
        <v>45018</v>
      </c>
      <c r="Y881" s="170">
        <v>98</v>
      </c>
      <c r="Z881" s="170">
        <v>0</v>
      </c>
      <c r="AA881" s="170">
        <v>0</v>
      </c>
      <c r="AB881" s="170">
        <v>0</v>
      </c>
      <c r="AC881" s="171">
        <v>98</v>
      </c>
      <c r="AD881" s="172">
        <v>12614390.42227</v>
      </c>
      <c r="AE881" s="173">
        <v>98</v>
      </c>
      <c r="AF881" s="174">
        <v>46357</v>
      </c>
    </row>
    <row r="882" spans="1:32" ht="20" x14ac:dyDescent="0.35">
      <c r="A882" s="162" t="s">
        <v>625</v>
      </c>
      <c r="B882" s="163" t="s">
        <v>1067</v>
      </c>
      <c r="C882" s="154"/>
      <c r="D882" s="162" t="s">
        <v>373</v>
      </c>
      <c r="E882" s="164" t="s">
        <v>373</v>
      </c>
      <c r="F882" s="164" t="s">
        <v>1067</v>
      </c>
      <c r="G882" s="164" t="s">
        <v>625</v>
      </c>
      <c r="H882" s="165">
        <v>31767</v>
      </c>
      <c r="I882" s="164" t="s">
        <v>20</v>
      </c>
      <c r="J882" s="164" t="s">
        <v>68</v>
      </c>
      <c r="K882" s="165">
        <v>44858</v>
      </c>
      <c r="L882" s="166" t="s">
        <v>144</v>
      </c>
      <c r="M882" s="154"/>
      <c r="N882" s="154"/>
      <c r="O882" s="164" t="s">
        <v>145</v>
      </c>
      <c r="P882" s="164">
        <v>39</v>
      </c>
      <c r="Q882" s="164">
        <v>3</v>
      </c>
      <c r="R882" s="167" t="s">
        <v>866</v>
      </c>
      <c r="S882" s="167" t="s">
        <v>24</v>
      </c>
      <c r="T882" s="162" t="s">
        <v>800</v>
      </c>
      <c r="U882" s="167" t="s">
        <v>803</v>
      </c>
      <c r="X882" s="169">
        <v>45018</v>
      </c>
      <c r="Y882" s="170">
        <v>2</v>
      </c>
      <c r="Z882" s="170">
        <v>0</v>
      </c>
      <c r="AA882" s="170">
        <v>0</v>
      </c>
      <c r="AB882" s="170">
        <v>0</v>
      </c>
      <c r="AC882" s="171">
        <v>2</v>
      </c>
      <c r="AD882" s="172">
        <v>257436.53922999999</v>
      </c>
      <c r="AE882" s="173">
        <v>2</v>
      </c>
      <c r="AF882" s="174">
        <v>46357</v>
      </c>
    </row>
    <row r="883" spans="1:32" ht="20" x14ac:dyDescent="0.35">
      <c r="A883" s="162" t="s">
        <v>625</v>
      </c>
      <c r="B883" s="163" t="s">
        <v>1067</v>
      </c>
      <c r="C883" s="154"/>
      <c r="D883" s="162" t="s">
        <v>373</v>
      </c>
      <c r="E883" s="164" t="s">
        <v>373</v>
      </c>
      <c r="F883" s="164" t="s">
        <v>1067</v>
      </c>
      <c r="G883" s="164" t="s">
        <v>625</v>
      </c>
      <c r="H883" s="165">
        <v>31767</v>
      </c>
      <c r="I883" s="164" t="s">
        <v>20</v>
      </c>
      <c r="J883" s="164" t="s">
        <v>68</v>
      </c>
      <c r="K883" s="165">
        <v>44858</v>
      </c>
      <c r="L883" s="166" t="s">
        <v>144</v>
      </c>
      <c r="M883" s="154"/>
      <c r="N883" s="154"/>
      <c r="O883" s="164" t="s">
        <v>145</v>
      </c>
      <c r="P883" s="164">
        <v>39</v>
      </c>
      <c r="Q883" s="164">
        <v>3</v>
      </c>
      <c r="R883" s="167" t="s">
        <v>866</v>
      </c>
      <c r="S883" s="167" t="s">
        <v>24</v>
      </c>
      <c r="T883" s="162" t="s">
        <v>800</v>
      </c>
      <c r="U883" s="167" t="s">
        <v>804</v>
      </c>
      <c r="X883" s="169">
        <v>45018</v>
      </c>
      <c r="Y883" s="170">
        <v>5</v>
      </c>
      <c r="Z883" s="170">
        <v>0</v>
      </c>
      <c r="AA883" s="170">
        <v>0</v>
      </c>
      <c r="AB883" s="170">
        <v>0</v>
      </c>
      <c r="AC883" s="171">
        <v>5</v>
      </c>
      <c r="AD883" s="172">
        <v>643591.34806999995</v>
      </c>
      <c r="AE883" s="173">
        <v>5</v>
      </c>
      <c r="AF883" s="174">
        <v>46357</v>
      </c>
    </row>
    <row r="884" spans="1:32" ht="20" x14ac:dyDescent="0.35">
      <c r="A884" s="162" t="s">
        <v>625</v>
      </c>
      <c r="B884" s="163" t="s">
        <v>1067</v>
      </c>
      <c r="C884" s="154"/>
      <c r="D884" s="162" t="s">
        <v>373</v>
      </c>
      <c r="E884" s="164" t="s">
        <v>373</v>
      </c>
      <c r="F884" s="164" t="s">
        <v>1067</v>
      </c>
      <c r="G884" s="164" t="s">
        <v>625</v>
      </c>
      <c r="H884" s="165">
        <v>31767</v>
      </c>
      <c r="I884" s="164" t="s">
        <v>20</v>
      </c>
      <c r="J884" s="164" t="s">
        <v>68</v>
      </c>
      <c r="K884" s="165">
        <v>44858</v>
      </c>
      <c r="L884" s="166" t="s">
        <v>144</v>
      </c>
      <c r="M884" s="154"/>
      <c r="N884" s="154"/>
      <c r="O884" s="164" t="s">
        <v>145</v>
      </c>
      <c r="P884" s="164">
        <v>39</v>
      </c>
      <c r="Q884" s="164">
        <v>3</v>
      </c>
      <c r="R884" s="167" t="s">
        <v>866</v>
      </c>
      <c r="S884" s="167" t="s">
        <v>24</v>
      </c>
      <c r="T884" s="162" t="s">
        <v>800</v>
      </c>
      <c r="U884" s="167" t="s">
        <v>840</v>
      </c>
      <c r="X884" s="169">
        <v>45018</v>
      </c>
      <c r="Y884" s="170">
        <v>-7.500000003327</v>
      </c>
      <c r="Z884" s="170">
        <v>0.41666667000000002</v>
      </c>
      <c r="AA884" s="170">
        <v>0</v>
      </c>
      <c r="AB884" s="170">
        <v>0</v>
      </c>
      <c r="AC884" s="171">
        <v>-7.0833333333270003</v>
      </c>
      <c r="AD884" s="172">
        <v>-911754.40977000003</v>
      </c>
      <c r="AE884" s="173">
        <v>0</v>
      </c>
      <c r="AF884" s="174">
        <v>46357</v>
      </c>
    </row>
    <row r="885" spans="1:32" ht="20" x14ac:dyDescent="0.35">
      <c r="A885" s="162" t="s">
        <v>627</v>
      </c>
      <c r="B885" s="163" t="s">
        <v>918</v>
      </c>
      <c r="C885" s="154"/>
      <c r="D885" s="162" t="s">
        <v>375</v>
      </c>
      <c r="E885" s="164" t="s">
        <v>375</v>
      </c>
      <c r="F885" s="164" t="s">
        <v>918</v>
      </c>
      <c r="G885" s="164" t="s">
        <v>627</v>
      </c>
      <c r="H885" s="165">
        <v>34103</v>
      </c>
      <c r="I885" s="164" t="s">
        <v>20</v>
      </c>
      <c r="J885" s="164" t="s">
        <v>68</v>
      </c>
      <c r="K885" s="165">
        <v>44858</v>
      </c>
      <c r="L885" s="166" t="s">
        <v>144</v>
      </c>
      <c r="M885" s="154"/>
      <c r="N885" s="154"/>
      <c r="O885" s="164" t="s">
        <v>145</v>
      </c>
      <c r="P885" s="164">
        <v>33</v>
      </c>
      <c r="Q885" s="164">
        <v>3</v>
      </c>
      <c r="R885" s="167" t="s">
        <v>866</v>
      </c>
      <c r="S885" s="167" t="s">
        <v>24</v>
      </c>
      <c r="T885" s="162" t="s">
        <v>794</v>
      </c>
      <c r="U885" s="167" t="s">
        <v>795</v>
      </c>
      <c r="V885" s="162" t="s">
        <v>796</v>
      </c>
      <c r="W885" s="168">
        <v>3</v>
      </c>
      <c r="X885" s="169">
        <v>45018</v>
      </c>
      <c r="Y885" s="170">
        <v>20.749999996660002</v>
      </c>
      <c r="Z885" s="170">
        <v>1.9166666699999999</v>
      </c>
      <c r="AA885" s="170">
        <v>0</v>
      </c>
      <c r="AB885" s="170">
        <v>0</v>
      </c>
      <c r="AC885" s="171">
        <v>22.666666666659999</v>
      </c>
      <c r="AD885" s="172">
        <v>2884975.4276800002</v>
      </c>
      <c r="AE885" s="173" t="s">
        <v>797</v>
      </c>
      <c r="AF885" s="173"/>
    </row>
    <row r="886" spans="1:32" ht="20" x14ac:dyDescent="0.35">
      <c r="A886" s="162" t="s">
        <v>627</v>
      </c>
      <c r="B886" s="163" t="s">
        <v>918</v>
      </c>
      <c r="C886" s="154"/>
      <c r="D886" s="162" t="s">
        <v>375</v>
      </c>
      <c r="E886" s="164" t="s">
        <v>375</v>
      </c>
      <c r="F886" s="164" t="s">
        <v>918</v>
      </c>
      <c r="G886" s="164" t="s">
        <v>627</v>
      </c>
      <c r="H886" s="165">
        <v>34103</v>
      </c>
      <c r="I886" s="164" t="s">
        <v>20</v>
      </c>
      <c r="J886" s="164" t="s">
        <v>68</v>
      </c>
      <c r="K886" s="165">
        <v>44858</v>
      </c>
      <c r="L886" s="166" t="s">
        <v>144</v>
      </c>
      <c r="M886" s="154"/>
      <c r="N886" s="154"/>
      <c r="O886" s="164" t="s">
        <v>145</v>
      </c>
      <c r="P886" s="164">
        <v>33</v>
      </c>
      <c r="Q886" s="164">
        <v>3</v>
      </c>
      <c r="R886" s="167" t="s">
        <v>866</v>
      </c>
      <c r="S886" s="167" t="s">
        <v>24</v>
      </c>
      <c r="T886" s="162" t="s">
        <v>798</v>
      </c>
      <c r="U886" s="167" t="s">
        <v>839</v>
      </c>
      <c r="X886" s="169">
        <v>45018</v>
      </c>
      <c r="Y886" s="170">
        <v>180</v>
      </c>
      <c r="Z886" s="170">
        <v>0</v>
      </c>
      <c r="AA886" s="170">
        <v>0</v>
      </c>
      <c r="AB886" s="170">
        <v>0</v>
      </c>
      <c r="AC886" s="171">
        <v>180</v>
      </c>
      <c r="AD886" s="172">
        <v>22910098.984560002</v>
      </c>
      <c r="AE886" s="173">
        <v>180</v>
      </c>
      <c r="AF886" s="174">
        <v>46357</v>
      </c>
    </row>
    <row r="887" spans="1:32" ht="20" x14ac:dyDescent="0.35">
      <c r="A887" s="162" t="s">
        <v>627</v>
      </c>
      <c r="B887" s="163" t="s">
        <v>918</v>
      </c>
      <c r="C887" s="154"/>
      <c r="D887" s="162" t="s">
        <v>375</v>
      </c>
      <c r="E887" s="164" t="s">
        <v>375</v>
      </c>
      <c r="F887" s="164" t="s">
        <v>918</v>
      </c>
      <c r="G887" s="164" t="s">
        <v>627</v>
      </c>
      <c r="H887" s="165">
        <v>34103</v>
      </c>
      <c r="I887" s="164" t="s">
        <v>20</v>
      </c>
      <c r="J887" s="164" t="s">
        <v>68</v>
      </c>
      <c r="K887" s="165">
        <v>44858</v>
      </c>
      <c r="L887" s="166" t="s">
        <v>144</v>
      </c>
      <c r="M887" s="154"/>
      <c r="N887" s="154"/>
      <c r="O887" s="164" t="s">
        <v>145</v>
      </c>
      <c r="P887" s="164">
        <v>33</v>
      </c>
      <c r="Q887" s="164">
        <v>3</v>
      </c>
      <c r="R887" s="167" t="s">
        <v>866</v>
      </c>
      <c r="S887" s="167" t="s">
        <v>24</v>
      </c>
      <c r="T887" s="162" t="s">
        <v>800</v>
      </c>
      <c r="U887" s="167" t="s">
        <v>801</v>
      </c>
      <c r="X887" s="169">
        <v>45018</v>
      </c>
      <c r="Y887" s="170">
        <v>26</v>
      </c>
      <c r="Z887" s="170">
        <v>0</v>
      </c>
      <c r="AA887" s="170">
        <v>0</v>
      </c>
      <c r="AB887" s="170">
        <v>0</v>
      </c>
      <c r="AC887" s="171">
        <v>26</v>
      </c>
      <c r="AD887" s="172">
        <v>3309236.5199899999</v>
      </c>
      <c r="AE887" s="173">
        <v>26</v>
      </c>
      <c r="AF887" s="174">
        <v>46357</v>
      </c>
    </row>
    <row r="888" spans="1:32" ht="20" x14ac:dyDescent="0.35">
      <c r="A888" s="162" t="s">
        <v>627</v>
      </c>
      <c r="B888" s="163" t="s">
        <v>918</v>
      </c>
      <c r="C888" s="154"/>
      <c r="D888" s="162" t="s">
        <v>375</v>
      </c>
      <c r="E888" s="164" t="s">
        <v>375</v>
      </c>
      <c r="F888" s="164" t="s">
        <v>918</v>
      </c>
      <c r="G888" s="164" t="s">
        <v>627</v>
      </c>
      <c r="H888" s="165">
        <v>34103</v>
      </c>
      <c r="I888" s="164" t="s">
        <v>20</v>
      </c>
      <c r="J888" s="164" t="s">
        <v>68</v>
      </c>
      <c r="K888" s="165">
        <v>44858</v>
      </c>
      <c r="L888" s="166" t="s">
        <v>144</v>
      </c>
      <c r="M888" s="154"/>
      <c r="N888" s="154"/>
      <c r="O888" s="164" t="s">
        <v>145</v>
      </c>
      <c r="P888" s="164">
        <v>33</v>
      </c>
      <c r="Q888" s="164">
        <v>3</v>
      </c>
      <c r="R888" s="167" t="s">
        <v>866</v>
      </c>
      <c r="S888" s="167" t="s">
        <v>24</v>
      </c>
      <c r="T888" s="162" t="s">
        <v>800</v>
      </c>
      <c r="U888" s="167" t="s">
        <v>802</v>
      </c>
      <c r="X888" s="169">
        <v>45018</v>
      </c>
      <c r="Y888" s="170">
        <v>98</v>
      </c>
      <c r="Z888" s="170">
        <v>0</v>
      </c>
      <c r="AA888" s="170">
        <v>0</v>
      </c>
      <c r="AB888" s="170">
        <v>0</v>
      </c>
      <c r="AC888" s="171">
        <v>98</v>
      </c>
      <c r="AD888" s="172">
        <v>12473276.11382</v>
      </c>
      <c r="AE888" s="173">
        <v>98</v>
      </c>
      <c r="AF888" s="174">
        <v>46357</v>
      </c>
    </row>
    <row r="889" spans="1:32" ht="20" x14ac:dyDescent="0.35">
      <c r="A889" s="162" t="s">
        <v>627</v>
      </c>
      <c r="B889" s="163" t="s">
        <v>918</v>
      </c>
      <c r="C889" s="154"/>
      <c r="D889" s="162" t="s">
        <v>375</v>
      </c>
      <c r="E889" s="164" t="s">
        <v>375</v>
      </c>
      <c r="F889" s="164" t="s">
        <v>918</v>
      </c>
      <c r="G889" s="164" t="s">
        <v>627</v>
      </c>
      <c r="H889" s="165">
        <v>34103</v>
      </c>
      <c r="I889" s="164" t="s">
        <v>20</v>
      </c>
      <c r="J889" s="164" t="s">
        <v>68</v>
      </c>
      <c r="K889" s="165">
        <v>44858</v>
      </c>
      <c r="L889" s="166" t="s">
        <v>144</v>
      </c>
      <c r="M889" s="154"/>
      <c r="N889" s="154"/>
      <c r="O889" s="164" t="s">
        <v>145</v>
      </c>
      <c r="P889" s="164">
        <v>33</v>
      </c>
      <c r="Q889" s="164">
        <v>3</v>
      </c>
      <c r="R889" s="167" t="s">
        <v>866</v>
      </c>
      <c r="S889" s="167" t="s">
        <v>24</v>
      </c>
      <c r="T889" s="162" t="s">
        <v>800</v>
      </c>
      <c r="U889" s="167" t="s">
        <v>803</v>
      </c>
      <c r="X889" s="169">
        <v>45018</v>
      </c>
      <c r="Y889" s="170">
        <v>2</v>
      </c>
      <c r="Z889" s="170">
        <v>0</v>
      </c>
      <c r="AA889" s="170">
        <v>0</v>
      </c>
      <c r="AB889" s="170">
        <v>0</v>
      </c>
      <c r="AC889" s="171">
        <v>2</v>
      </c>
      <c r="AD889" s="172">
        <v>254556.65538000001</v>
      </c>
      <c r="AE889" s="173">
        <v>2</v>
      </c>
      <c r="AF889" s="174">
        <v>46357</v>
      </c>
    </row>
    <row r="890" spans="1:32" ht="20" x14ac:dyDescent="0.35">
      <c r="A890" s="162" t="s">
        <v>627</v>
      </c>
      <c r="B890" s="163" t="s">
        <v>918</v>
      </c>
      <c r="C890" s="154"/>
      <c r="D890" s="162" t="s">
        <v>375</v>
      </c>
      <c r="E890" s="164" t="s">
        <v>375</v>
      </c>
      <c r="F890" s="164" t="s">
        <v>918</v>
      </c>
      <c r="G890" s="164" t="s">
        <v>627</v>
      </c>
      <c r="H890" s="165">
        <v>34103</v>
      </c>
      <c r="I890" s="164" t="s">
        <v>20</v>
      </c>
      <c r="J890" s="164" t="s">
        <v>68</v>
      </c>
      <c r="K890" s="165">
        <v>44858</v>
      </c>
      <c r="L890" s="166" t="s">
        <v>144</v>
      </c>
      <c r="M890" s="154"/>
      <c r="N890" s="154"/>
      <c r="O890" s="164" t="s">
        <v>145</v>
      </c>
      <c r="P890" s="164">
        <v>33</v>
      </c>
      <c r="Q890" s="164">
        <v>3</v>
      </c>
      <c r="R890" s="167" t="s">
        <v>866</v>
      </c>
      <c r="S890" s="167" t="s">
        <v>24</v>
      </c>
      <c r="T890" s="162" t="s">
        <v>800</v>
      </c>
      <c r="U890" s="167" t="s">
        <v>804</v>
      </c>
      <c r="X890" s="169">
        <v>45018</v>
      </c>
      <c r="Y890" s="170">
        <v>5</v>
      </c>
      <c r="Z890" s="170">
        <v>0</v>
      </c>
      <c r="AA890" s="170">
        <v>0</v>
      </c>
      <c r="AB890" s="170">
        <v>0</v>
      </c>
      <c r="AC890" s="171">
        <v>5</v>
      </c>
      <c r="AD890" s="172">
        <v>636391.63846000005</v>
      </c>
      <c r="AE890" s="173">
        <v>5</v>
      </c>
      <c r="AF890" s="174">
        <v>46357</v>
      </c>
    </row>
    <row r="891" spans="1:32" ht="20" x14ac:dyDescent="0.35">
      <c r="A891" s="162" t="s">
        <v>627</v>
      </c>
      <c r="B891" s="163" t="s">
        <v>918</v>
      </c>
      <c r="C891" s="154"/>
      <c r="D891" s="162" t="s">
        <v>375</v>
      </c>
      <c r="E891" s="164" t="s">
        <v>375</v>
      </c>
      <c r="F891" s="164" t="s">
        <v>918</v>
      </c>
      <c r="G891" s="164" t="s">
        <v>627</v>
      </c>
      <c r="H891" s="165">
        <v>34103</v>
      </c>
      <c r="I891" s="164" t="s">
        <v>20</v>
      </c>
      <c r="J891" s="164" t="s">
        <v>68</v>
      </c>
      <c r="K891" s="165">
        <v>44858</v>
      </c>
      <c r="L891" s="166" t="s">
        <v>144</v>
      </c>
      <c r="M891" s="154"/>
      <c r="N891" s="154"/>
      <c r="O891" s="164" t="s">
        <v>145</v>
      </c>
      <c r="P891" s="164">
        <v>33</v>
      </c>
      <c r="Q891" s="164">
        <v>3</v>
      </c>
      <c r="R891" s="167" t="s">
        <v>866</v>
      </c>
      <c r="S891" s="167" t="s">
        <v>24</v>
      </c>
      <c r="T891" s="162" t="s">
        <v>800</v>
      </c>
      <c r="U891" s="167" t="s">
        <v>840</v>
      </c>
      <c r="X891" s="169">
        <v>45018</v>
      </c>
      <c r="Y891" s="170">
        <v>2.4999999966690001</v>
      </c>
      <c r="Z891" s="170">
        <v>0.41666667000000002</v>
      </c>
      <c r="AA891" s="170">
        <v>0</v>
      </c>
      <c r="AB891" s="170">
        <v>0</v>
      </c>
      <c r="AC891" s="171">
        <v>2.9166666666690002</v>
      </c>
      <c r="AD891" s="172">
        <v>371228.45577</v>
      </c>
      <c r="AE891" s="173">
        <v>2.92</v>
      </c>
      <c r="AF891" s="174">
        <v>46357</v>
      </c>
    </row>
    <row r="892" spans="1:32" ht="20" x14ac:dyDescent="0.35">
      <c r="A892" s="162" t="s">
        <v>1068</v>
      </c>
      <c r="B892" s="163" t="s">
        <v>1069</v>
      </c>
      <c r="C892" s="154"/>
      <c r="D892" s="162" t="s">
        <v>377</v>
      </c>
      <c r="E892" s="164" t="s">
        <v>377</v>
      </c>
      <c r="F892" s="164" t="s">
        <v>1069</v>
      </c>
      <c r="G892" s="164" t="s">
        <v>1068</v>
      </c>
      <c r="H892" s="165">
        <v>35522</v>
      </c>
      <c r="I892" s="164" t="s">
        <v>48</v>
      </c>
      <c r="J892" s="164" t="s">
        <v>68</v>
      </c>
      <c r="K892" s="165">
        <v>44865</v>
      </c>
      <c r="L892" s="166" t="s">
        <v>262</v>
      </c>
      <c r="M892" s="154"/>
      <c r="N892" s="154"/>
      <c r="O892" s="164" t="s">
        <v>57</v>
      </c>
      <c r="P892" s="164">
        <v>29</v>
      </c>
      <c r="Q892" s="164">
        <v>3</v>
      </c>
      <c r="R892" s="167" t="s">
        <v>958</v>
      </c>
      <c r="S892" s="167" t="s">
        <v>844</v>
      </c>
      <c r="T892" s="162" t="s">
        <v>794</v>
      </c>
      <c r="U892" s="167" t="s">
        <v>833</v>
      </c>
      <c r="V892" s="162" t="s">
        <v>820</v>
      </c>
      <c r="W892" s="168">
        <v>3</v>
      </c>
      <c r="X892" s="169">
        <v>45018</v>
      </c>
      <c r="Y892" s="170">
        <v>31.750000003330001</v>
      </c>
      <c r="Z892" s="170">
        <v>2.0833333299999999</v>
      </c>
      <c r="AA892" s="170">
        <v>0</v>
      </c>
      <c r="AB892" s="170">
        <v>0</v>
      </c>
      <c r="AC892" s="171">
        <v>33.833333333330003</v>
      </c>
      <c r="AD892" s="172">
        <v>10525072.936969999</v>
      </c>
      <c r="AE892" s="173" t="s">
        <v>797</v>
      </c>
      <c r="AF892" s="173"/>
    </row>
    <row r="893" spans="1:32" ht="20" x14ac:dyDescent="0.35">
      <c r="A893" s="162" t="s">
        <v>1068</v>
      </c>
      <c r="B893" s="163" t="s">
        <v>1069</v>
      </c>
      <c r="C893" s="154"/>
      <c r="D893" s="162" t="s">
        <v>377</v>
      </c>
      <c r="E893" s="164" t="s">
        <v>377</v>
      </c>
      <c r="F893" s="164" t="s">
        <v>1069</v>
      </c>
      <c r="G893" s="164" t="s">
        <v>1068</v>
      </c>
      <c r="H893" s="165">
        <v>35522</v>
      </c>
      <c r="I893" s="164" t="s">
        <v>48</v>
      </c>
      <c r="J893" s="164" t="s">
        <v>68</v>
      </c>
      <c r="K893" s="165">
        <v>44865</v>
      </c>
      <c r="L893" s="166" t="s">
        <v>262</v>
      </c>
      <c r="M893" s="154"/>
      <c r="N893" s="154"/>
      <c r="O893" s="164" t="s">
        <v>57</v>
      </c>
      <c r="P893" s="164">
        <v>29</v>
      </c>
      <c r="Q893" s="164">
        <v>3</v>
      </c>
      <c r="R893" s="167" t="s">
        <v>958</v>
      </c>
      <c r="S893" s="167" t="s">
        <v>844</v>
      </c>
      <c r="T893" s="162" t="s">
        <v>798</v>
      </c>
      <c r="U893" s="167" t="s">
        <v>799</v>
      </c>
      <c r="X893" s="169">
        <v>45018</v>
      </c>
      <c r="Y893" s="170">
        <v>180</v>
      </c>
      <c r="Z893" s="170">
        <v>0</v>
      </c>
      <c r="AA893" s="170">
        <v>0</v>
      </c>
      <c r="AB893" s="170">
        <v>0</v>
      </c>
      <c r="AC893" s="171">
        <v>180</v>
      </c>
      <c r="AD893" s="172">
        <v>55995461.930699997</v>
      </c>
      <c r="AE893" s="173">
        <v>180</v>
      </c>
      <c r="AF893" s="174">
        <v>46357</v>
      </c>
    </row>
    <row r="894" spans="1:32" ht="20" x14ac:dyDescent="0.35">
      <c r="A894" s="162" t="s">
        <v>1068</v>
      </c>
      <c r="B894" s="163" t="s">
        <v>1069</v>
      </c>
      <c r="C894" s="154"/>
      <c r="D894" s="162" t="s">
        <v>377</v>
      </c>
      <c r="E894" s="164" t="s">
        <v>377</v>
      </c>
      <c r="F894" s="164" t="s">
        <v>1069</v>
      </c>
      <c r="G894" s="164" t="s">
        <v>1068</v>
      </c>
      <c r="H894" s="165">
        <v>35522</v>
      </c>
      <c r="I894" s="164" t="s">
        <v>48</v>
      </c>
      <c r="J894" s="164" t="s">
        <v>68</v>
      </c>
      <c r="K894" s="165">
        <v>44865</v>
      </c>
      <c r="L894" s="166" t="s">
        <v>262</v>
      </c>
      <c r="M894" s="154"/>
      <c r="N894" s="154"/>
      <c r="O894" s="164" t="s">
        <v>57</v>
      </c>
      <c r="P894" s="164">
        <v>29</v>
      </c>
      <c r="Q894" s="164">
        <v>3</v>
      </c>
      <c r="R894" s="167" t="s">
        <v>958</v>
      </c>
      <c r="S894" s="167" t="s">
        <v>844</v>
      </c>
      <c r="T894" s="162" t="s">
        <v>800</v>
      </c>
      <c r="U894" s="167" t="s">
        <v>801</v>
      </c>
      <c r="X894" s="169">
        <v>45018</v>
      </c>
      <c r="Y894" s="170">
        <v>22</v>
      </c>
      <c r="Z894" s="170">
        <v>0</v>
      </c>
      <c r="AA894" s="170">
        <v>0</v>
      </c>
      <c r="AB894" s="170">
        <v>0</v>
      </c>
      <c r="AC894" s="171">
        <v>22</v>
      </c>
      <c r="AD894" s="172">
        <v>6843889.79153</v>
      </c>
      <c r="AE894" s="173">
        <v>22</v>
      </c>
      <c r="AF894" s="174">
        <v>46357</v>
      </c>
    </row>
    <row r="895" spans="1:32" ht="20" x14ac:dyDescent="0.35">
      <c r="A895" s="162" t="s">
        <v>1068</v>
      </c>
      <c r="B895" s="163" t="s">
        <v>1069</v>
      </c>
      <c r="C895" s="154"/>
      <c r="D895" s="162" t="s">
        <v>377</v>
      </c>
      <c r="E895" s="164" t="s">
        <v>377</v>
      </c>
      <c r="F895" s="164" t="s">
        <v>1069</v>
      </c>
      <c r="G895" s="164" t="s">
        <v>1068</v>
      </c>
      <c r="H895" s="165">
        <v>35522</v>
      </c>
      <c r="I895" s="164" t="s">
        <v>48</v>
      </c>
      <c r="J895" s="164" t="s">
        <v>68</v>
      </c>
      <c r="K895" s="165">
        <v>44865</v>
      </c>
      <c r="L895" s="166" t="s">
        <v>262</v>
      </c>
      <c r="M895" s="154"/>
      <c r="N895" s="154"/>
      <c r="O895" s="164" t="s">
        <v>57</v>
      </c>
      <c r="P895" s="164">
        <v>29</v>
      </c>
      <c r="Q895" s="164">
        <v>3</v>
      </c>
      <c r="R895" s="167" t="s">
        <v>958</v>
      </c>
      <c r="S895" s="167" t="s">
        <v>844</v>
      </c>
      <c r="T895" s="162" t="s">
        <v>800</v>
      </c>
      <c r="U895" s="167" t="s">
        <v>802</v>
      </c>
      <c r="X895" s="169">
        <v>45018</v>
      </c>
      <c r="Y895" s="170">
        <v>98</v>
      </c>
      <c r="Z895" s="170">
        <v>0</v>
      </c>
      <c r="AA895" s="170">
        <v>0</v>
      </c>
      <c r="AB895" s="170">
        <v>0</v>
      </c>
      <c r="AC895" s="171">
        <v>98</v>
      </c>
      <c r="AD895" s="172">
        <v>30486418.162269998</v>
      </c>
      <c r="AE895" s="173">
        <v>98</v>
      </c>
      <c r="AF895" s="174">
        <v>46357</v>
      </c>
    </row>
    <row r="896" spans="1:32" ht="20" x14ac:dyDescent="0.35">
      <c r="A896" s="162" t="s">
        <v>1068</v>
      </c>
      <c r="B896" s="163" t="s">
        <v>1069</v>
      </c>
      <c r="C896" s="154"/>
      <c r="D896" s="162" t="s">
        <v>377</v>
      </c>
      <c r="E896" s="164" t="s">
        <v>377</v>
      </c>
      <c r="F896" s="164" t="s">
        <v>1069</v>
      </c>
      <c r="G896" s="164" t="s">
        <v>1068</v>
      </c>
      <c r="H896" s="165">
        <v>35522</v>
      </c>
      <c r="I896" s="164" t="s">
        <v>48</v>
      </c>
      <c r="J896" s="164" t="s">
        <v>68</v>
      </c>
      <c r="K896" s="165">
        <v>44865</v>
      </c>
      <c r="L896" s="166" t="s">
        <v>262</v>
      </c>
      <c r="M896" s="154"/>
      <c r="N896" s="154"/>
      <c r="O896" s="164" t="s">
        <v>57</v>
      </c>
      <c r="P896" s="164">
        <v>29</v>
      </c>
      <c r="Q896" s="164">
        <v>3</v>
      </c>
      <c r="R896" s="167" t="s">
        <v>958</v>
      </c>
      <c r="S896" s="167" t="s">
        <v>844</v>
      </c>
      <c r="T896" s="162" t="s">
        <v>800</v>
      </c>
      <c r="U896" s="167" t="s">
        <v>803</v>
      </c>
      <c r="X896" s="169">
        <v>45018</v>
      </c>
      <c r="Y896" s="170">
        <v>2</v>
      </c>
      <c r="Z896" s="170">
        <v>0</v>
      </c>
      <c r="AA896" s="170">
        <v>0</v>
      </c>
      <c r="AB896" s="170">
        <v>0</v>
      </c>
      <c r="AC896" s="171">
        <v>2</v>
      </c>
      <c r="AD896" s="172">
        <v>622171.79923</v>
      </c>
      <c r="AE896" s="173">
        <v>2</v>
      </c>
      <c r="AF896" s="174">
        <v>46357</v>
      </c>
    </row>
    <row r="897" spans="1:32" ht="20" x14ac:dyDescent="0.35">
      <c r="A897" s="162" t="s">
        <v>1068</v>
      </c>
      <c r="B897" s="163" t="s">
        <v>1069</v>
      </c>
      <c r="C897" s="154"/>
      <c r="D897" s="162" t="s">
        <v>377</v>
      </c>
      <c r="E897" s="164" t="s">
        <v>377</v>
      </c>
      <c r="F897" s="164" t="s">
        <v>1069</v>
      </c>
      <c r="G897" s="164" t="s">
        <v>1068</v>
      </c>
      <c r="H897" s="165">
        <v>35522</v>
      </c>
      <c r="I897" s="164" t="s">
        <v>48</v>
      </c>
      <c r="J897" s="164" t="s">
        <v>68</v>
      </c>
      <c r="K897" s="165">
        <v>44865</v>
      </c>
      <c r="L897" s="166" t="s">
        <v>262</v>
      </c>
      <c r="M897" s="154"/>
      <c r="N897" s="154"/>
      <c r="O897" s="164" t="s">
        <v>57</v>
      </c>
      <c r="P897" s="164">
        <v>29</v>
      </c>
      <c r="Q897" s="164">
        <v>3</v>
      </c>
      <c r="R897" s="167" t="s">
        <v>958</v>
      </c>
      <c r="S897" s="167" t="s">
        <v>844</v>
      </c>
      <c r="T897" s="162" t="s">
        <v>800</v>
      </c>
      <c r="U897" s="167" t="s">
        <v>804</v>
      </c>
      <c r="X897" s="169">
        <v>45018</v>
      </c>
      <c r="Y897" s="170">
        <v>5</v>
      </c>
      <c r="Z897" s="170">
        <v>0</v>
      </c>
      <c r="AA897" s="170">
        <v>0</v>
      </c>
      <c r="AB897" s="170">
        <v>0</v>
      </c>
      <c r="AC897" s="171">
        <v>5</v>
      </c>
      <c r="AD897" s="172">
        <v>1555429.49808</v>
      </c>
      <c r="AE897" s="173">
        <v>5</v>
      </c>
      <c r="AF897" s="174">
        <v>46357</v>
      </c>
    </row>
    <row r="898" spans="1:32" ht="20" x14ac:dyDescent="0.35">
      <c r="A898" s="162" t="s">
        <v>1068</v>
      </c>
      <c r="B898" s="163" t="s">
        <v>1069</v>
      </c>
      <c r="C898" s="154"/>
      <c r="D898" s="162" t="s">
        <v>377</v>
      </c>
      <c r="E898" s="164" t="s">
        <v>377</v>
      </c>
      <c r="F898" s="164" t="s">
        <v>1069</v>
      </c>
      <c r="G898" s="164" t="s">
        <v>1068</v>
      </c>
      <c r="H898" s="165">
        <v>35522</v>
      </c>
      <c r="I898" s="164" t="s">
        <v>48</v>
      </c>
      <c r="J898" s="164" t="s">
        <v>68</v>
      </c>
      <c r="K898" s="165">
        <v>44865</v>
      </c>
      <c r="L898" s="166" t="s">
        <v>262</v>
      </c>
      <c r="M898" s="154"/>
      <c r="N898" s="154"/>
      <c r="O898" s="164" t="s">
        <v>57</v>
      </c>
      <c r="P898" s="164">
        <v>29</v>
      </c>
      <c r="Q898" s="164">
        <v>3</v>
      </c>
      <c r="R898" s="167" t="s">
        <v>958</v>
      </c>
      <c r="S898" s="167" t="s">
        <v>844</v>
      </c>
      <c r="T898" s="162" t="s">
        <v>800</v>
      </c>
      <c r="U898" s="167" t="s">
        <v>805</v>
      </c>
      <c r="X898" s="169">
        <v>45018</v>
      </c>
      <c r="Y898" s="170">
        <v>2.4999999966690001</v>
      </c>
      <c r="Z898" s="170">
        <v>0.41666667000000002</v>
      </c>
      <c r="AA898" s="170">
        <v>0</v>
      </c>
      <c r="AB898" s="170">
        <v>0</v>
      </c>
      <c r="AC898" s="171">
        <v>2.9166666666690002</v>
      </c>
      <c r="AD898" s="172">
        <v>907333.87387999997</v>
      </c>
      <c r="AE898" s="173">
        <v>2.92</v>
      </c>
      <c r="AF898" s="174">
        <v>46357</v>
      </c>
    </row>
    <row r="899" spans="1:32" ht="20" x14ac:dyDescent="0.35">
      <c r="A899" s="162" t="s">
        <v>1070</v>
      </c>
      <c r="B899" s="163" t="s">
        <v>1071</v>
      </c>
      <c r="C899" s="154"/>
      <c r="D899" s="162" t="s">
        <v>379</v>
      </c>
      <c r="E899" s="164" t="s">
        <v>379</v>
      </c>
      <c r="F899" s="164" t="s">
        <v>1071</v>
      </c>
      <c r="G899" s="164" t="s">
        <v>1070</v>
      </c>
      <c r="H899" s="165">
        <v>28711</v>
      </c>
      <c r="I899" s="164" t="s">
        <v>20</v>
      </c>
      <c r="J899" s="164" t="s">
        <v>68</v>
      </c>
      <c r="K899" s="165">
        <v>44896</v>
      </c>
      <c r="L899" s="166" t="s">
        <v>381</v>
      </c>
      <c r="M899" s="154"/>
      <c r="N899" s="154"/>
      <c r="O899" s="164" t="s">
        <v>23</v>
      </c>
      <c r="P899" s="164">
        <v>47</v>
      </c>
      <c r="Q899" s="164">
        <v>3</v>
      </c>
      <c r="R899" s="167" t="s">
        <v>1056</v>
      </c>
      <c r="S899" s="167" t="s">
        <v>848</v>
      </c>
      <c r="T899" s="162" t="s">
        <v>794</v>
      </c>
      <c r="U899" s="167" t="s">
        <v>833</v>
      </c>
      <c r="V899" s="162" t="s">
        <v>820</v>
      </c>
      <c r="W899" s="168">
        <v>3</v>
      </c>
      <c r="X899" s="169">
        <v>45018</v>
      </c>
      <c r="Y899" s="170">
        <v>18.583333336664001</v>
      </c>
      <c r="Z899" s="170">
        <v>2.0833333299999999</v>
      </c>
      <c r="AA899" s="170">
        <v>0</v>
      </c>
      <c r="AB899" s="170">
        <v>0</v>
      </c>
      <c r="AC899" s="171">
        <v>20.666666666664</v>
      </c>
      <c r="AD899" s="172">
        <v>15174810.61204</v>
      </c>
      <c r="AE899" s="173" t="s">
        <v>797</v>
      </c>
      <c r="AF899" s="173"/>
    </row>
    <row r="900" spans="1:32" ht="20" x14ac:dyDescent="0.35">
      <c r="A900" s="162" t="s">
        <v>1070</v>
      </c>
      <c r="B900" s="163" t="s">
        <v>1071</v>
      </c>
      <c r="C900" s="154"/>
      <c r="D900" s="162" t="s">
        <v>379</v>
      </c>
      <c r="E900" s="164" t="s">
        <v>379</v>
      </c>
      <c r="F900" s="164" t="s">
        <v>1071</v>
      </c>
      <c r="G900" s="164" t="s">
        <v>1070</v>
      </c>
      <c r="H900" s="165">
        <v>28711</v>
      </c>
      <c r="I900" s="164" t="s">
        <v>20</v>
      </c>
      <c r="J900" s="164" t="s">
        <v>68</v>
      </c>
      <c r="K900" s="165">
        <v>44896</v>
      </c>
      <c r="L900" s="166" t="s">
        <v>381</v>
      </c>
      <c r="M900" s="154"/>
      <c r="N900" s="154"/>
      <c r="O900" s="164" t="s">
        <v>23</v>
      </c>
      <c r="P900" s="164">
        <v>47</v>
      </c>
      <c r="Q900" s="164">
        <v>3</v>
      </c>
      <c r="R900" s="167" t="s">
        <v>1056</v>
      </c>
      <c r="S900" s="167" t="s">
        <v>848</v>
      </c>
      <c r="T900" s="162" t="s">
        <v>798</v>
      </c>
      <c r="U900" s="167" t="s">
        <v>799</v>
      </c>
      <c r="X900" s="169">
        <v>45018</v>
      </c>
      <c r="Y900" s="170">
        <v>175</v>
      </c>
      <c r="Z900" s="170">
        <v>0</v>
      </c>
      <c r="AA900" s="170">
        <v>0</v>
      </c>
      <c r="AB900" s="170">
        <v>0</v>
      </c>
      <c r="AC900" s="171">
        <v>175</v>
      </c>
      <c r="AD900" s="172">
        <v>128496380.18262</v>
      </c>
      <c r="AE900" s="173">
        <v>175</v>
      </c>
      <c r="AF900" s="174">
        <v>46357</v>
      </c>
    </row>
    <row r="901" spans="1:32" ht="20" x14ac:dyDescent="0.35">
      <c r="A901" s="162" t="s">
        <v>1070</v>
      </c>
      <c r="B901" s="163" t="s">
        <v>1071</v>
      </c>
      <c r="C901" s="154"/>
      <c r="D901" s="162" t="s">
        <v>379</v>
      </c>
      <c r="E901" s="164" t="s">
        <v>379</v>
      </c>
      <c r="F901" s="164" t="s">
        <v>1071</v>
      </c>
      <c r="G901" s="164" t="s">
        <v>1070</v>
      </c>
      <c r="H901" s="165">
        <v>28711</v>
      </c>
      <c r="I901" s="164" t="s">
        <v>20</v>
      </c>
      <c r="J901" s="164" t="s">
        <v>68</v>
      </c>
      <c r="K901" s="165">
        <v>44896</v>
      </c>
      <c r="L901" s="166" t="s">
        <v>381</v>
      </c>
      <c r="M901" s="154"/>
      <c r="N901" s="154"/>
      <c r="O901" s="164" t="s">
        <v>23</v>
      </c>
      <c r="P901" s="164">
        <v>47</v>
      </c>
      <c r="Q901" s="164">
        <v>3</v>
      </c>
      <c r="R901" s="167" t="s">
        <v>1056</v>
      </c>
      <c r="S901" s="167" t="s">
        <v>848</v>
      </c>
      <c r="T901" s="162" t="s">
        <v>800</v>
      </c>
      <c r="U901" s="167" t="s">
        <v>801</v>
      </c>
      <c r="X901" s="169">
        <v>45018</v>
      </c>
      <c r="Y901" s="170">
        <v>26</v>
      </c>
      <c r="Z901" s="170">
        <v>0</v>
      </c>
      <c r="AA901" s="170">
        <v>-4</v>
      </c>
      <c r="AB901" s="170">
        <v>0</v>
      </c>
      <c r="AC901" s="171">
        <v>22</v>
      </c>
      <c r="AD901" s="172">
        <v>16153830.651529999</v>
      </c>
      <c r="AE901" s="173">
        <v>22</v>
      </c>
      <c r="AF901" s="174">
        <v>46357</v>
      </c>
    </row>
    <row r="902" spans="1:32" ht="20" x14ac:dyDescent="0.35">
      <c r="A902" s="162" t="s">
        <v>1070</v>
      </c>
      <c r="B902" s="163" t="s">
        <v>1071</v>
      </c>
      <c r="C902" s="154"/>
      <c r="D902" s="162" t="s">
        <v>379</v>
      </c>
      <c r="E902" s="164" t="s">
        <v>379</v>
      </c>
      <c r="F902" s="164" t="s">
        <v>1071</v>
      </c>
      <c r="G902" s="164" t="s">
        <v>1070</v>
      </c>
      <c r="H902" s="165">
        <v>28711</v>
      </c>
      <c r="I902" s="164" t="s">
        <v>20</v>
      </c>
      <c r="J902" s="164" t="s">
        <v>68</v>
      </c>
      <c r="K902" s="165">
        <v>44896</v>
      </c>
      <c r="L902" s="166" t="s">
        <v>381</v>
      </c>
      <c r="M902" s="154"/>
      <c r="N902" s="154"/>
      <c r="O902" s="164" t="s">
        <v>23</v>
      </c>
      <c r="P902" s="164">
        <v>47</v>
      </c>
      <c r="Q902" s="164">
        <v>3</v>
      </c>
      <c r="R902" s="167" t="s">
        <v>1056</v>
      </c>
      <c r="S902" s="167" t="s">
        <v>848</v>
      </c>
      <c r="T902" s="162" t="s">
        <v>800</v>
      </c>
      <c r="U902" s="167" t="s">
        <v>802</v>
      </c>
      <c r="X902" s="169">
        <v>45018</v>
      </c>
      <c r="Y902" s="170">
        <v>98</v>
      </c>
      <c r="Z902" s="170">
        <v>0</v>
      </c>
      <c r="AA902" s="170">
        <v>0</v>
      </c>
      <c r="AB902" s="170">
        <v>0</v>
      </c>
      <c r="AC902" s="171">
        <v>98</v>
      </c>
      <c r="AD902" s="172">
        <v>71957972.902270004</v>
      </c>
      <c r="AE902" s="173">
        <v>98</v>
      </c>
      <c r="AF902" s="174">
        <v>46357</v>
      </c>
    </row>
    <row r="903" spans="1:32" ht="20" x14ac:dyDescent="0.35">
      <c r="A903" s="162" t="s">
        <v>1070</v>
      </c>
      <c r="B903" s="163" t="s">
        <v>1071</v>
      </c>
      <c r="C903" s="154"/>
      <c r="D903" s="162" t="s">
        <v>379</v>
      </c>
      <c r="E903" s="164" t="s">
        <v>379</v>
      </c>
      <c r="F903" s="164" t="s">
        <v>1071</v>
      </c>
      <c r="G903" s="164" t="s">
        <v>1070</v>
      </c>
      <c r="H903" s="165">
        <v>28711</v>
      </c>
      <c r="I903" s="164" t="s">
        <v>20</v>
      </c>
      <c r="J903" s="164" t="s">
        <v>68</v>
      </c>
      <c r="K903" s="165">
        <v>44896</v>
      </c>
      <c r="L903" s="166" t="s">
        <v>381</v>
      </c>
      <c r="M903" s="154"/>
      <c r="N903" s="154"/>
      <c r="O903" s="164" t="s">
        <v>23</v>
      </c>
      <c r="P903" s="164">
        <v>47</v>
      </c>
      <c r="Q903" s="164">
        <v>3</v>
      </c>
      <c r="R903" s="167" t="s">
        <v>1056</v>
      </c>
      <c r="S903" s="167" t="s">
        <v>848</v>
      </c>
      <c r="T903" s="162" t="s">
        <v>800</v>
      </c>
      <c r="U903" s="167" t="s">
        <v>803</v>
      </c>
      <c r="X903" s="169">
        <v>45018</v>
      </c>
      <c r="Y903" s="170">
        <v>2</v>
      </c>
      <c r="Z903" s="170">
        <v>0</v>
      </c>
      <c r="AA903" s="170">
        <v>0</v>
      </c>
      <c r="AB903" s="170">
        <v>0</v>
      </c>
      <c r="AC903" s="171">
        <v>2</v>
      </c>
      <c r="AD903" s="172">
        <v>1468530.05923</v>
      </c>
      <c r="AE903" s="173">
        <v>2</v>
      </c>
      <c r="AF903" s="174">
        <v>46357</v>
      </c>
    </row>
    <row r="904" spans="1:32" ht="20" x14ac:dyDescent="0.35">
      <c r="A904" s="162" t="s">
        <v>1070</v>
      </c>
      <c r="B904" s="163" t="s">
        <v>1071</v>
      </c>
      <c r="C904" s="154"/>
      <c r="D904" s="162" t="s">
        <v>379</v>
      </c>
      <c r="E904" s="164" t="s">
        <v>379</v>
      </c>
      <c r="F904" s="164" t="s">
        <v>1071</v>
      </c>
      <c r="G904" s="164" t="s">
        <v>1070</v>
      </c>
      <c r="H904" s="165">
        <v>28711</v>
      </c>
      <c r="I904" s="164" t="s">
        <v>20</v>
      </c>
      <c r="J904" s="164" t="s">
        <v>68</v>
      </c>
      <c r="K904" s="165">
        <v>44896</v>
      </c>
      <c r="L904" s="166" t="s">
        <v>381</v>
      </c>
      <c r="M904" s="154"/>
      <c r="N904" s="154"/>
      <c r="O904" s="164" t="s">
        <v>23</v>
      </c>
      <c r="P904" s="164">
        <v>47</v>
      </c>
      <c r="Q904" s="164">
        <v>3</v>
      </c>
      <c r="R904" s="167" t="s">
        <v>1056</v>
      </c>
      <c r="S904" s="167" t="s">
        <v>848</v>
      </c>
      <c r="T904" s="162" t="s">
        <v>800</v>
      </c>
      <c r="U904" s="167" t="s">
        <v>804</v>
      </c>
      <c r="X904" s="169">
        <v>45018</v>
      </c>
      <c r="Y904" s="170">
        <v>3</v>
      </c>
      <c r="Z904" s="170">
        <v>0</v>
      </c>
      <c r="AA904" s="170">
        <v>0</v>
      </c>
      <c r="AB904" s="170">
        <v>0</v>
      </c>
      <c r="AC904" s="171">
        <v>3</v>
      </c>
      <c r="AD904" s="172">
        <v>2202795.0888499999</v>
      </c>
      <c r="AE904" s="173">
        <v>3</v>
      </c>
      <c r="AF904" s="174">
        <v>46357</v>
      </c>
    </row>
    <row r="905" spans="1:32" ht="20" x14ac:dyDescent="0.35">
      <c r="A905" s="162" t="s">
        <v>1070</v>
      </c>
      <c r="B905" s="163" t="s">
        <v>1071</v>
      </c>
      <c r="C905" s="154"/>
      <c r="D905" s="162" t="s">
        <v>379</v>
      </c>
      <c r="E905" s="164" t="s">
        <v>379</v>
      </c>
      <c r="F905" s="164" t="s">
        <v>1071</v>
      </c>
      <c r="G905" s="164" t="s">
        <v>1070</v>
      </c>
      <c r="H905" s="165">
        <v>28711</v>
      </c>
      <c r="I905" s="164" t="s">
        <v>20</v>
      </c>
      <c r="J905" s="164" t="s">
        <v>68</v>
      </c>
      <c r="K905" s="165">
        <v>44896</v>
      </c>
      <c r="L905" s="166" t="s">
        <v>381</v>
      </c>
      <c r="M905" s="154"/>
      <c r="N905" s="154"/>
      <c r="O905" s="164" t="s">
        <v>23</v>
      </c>
      <c r="P905" s="164">
        <v>47</v>
      </c>
      <c r="Q905" s="164">
        <v>3</v>
      </c>
      <c r="R905" s="167" t="s">
        <v>1056</v>
      </c>
      <c r="S905" s="167" t="s">
        <v>848</v>
      </c>
      <c r="T905" s="162" t="s">
        <v>800</v>
      </c>
      <c r="U905" s="167" t="s">
        <v>805</v>
      </c>
      <c r="X905" s="169">
        <v>45018</v>
      </c>
      <c r="Y905" s="170">
        <v>2.4999999966690001</v>
      </c>
      <c r="Z905" s="170">
        <v>0.41666667000000002</v>
      </c>
      <c r="AA905" s="170">
        <v>0</v>
      </c>
      <c r="AB905" s="170">
        <v>0</v>
      </c>
      <c r="AC905" s="171">
        <v>2.9166666666690002</v>
      </c>
      <c r="AD905" s="172">
        <v>2141606.3363800002</v>
      </c>
      <c r="AE905" s="173">
        <v>2.92</v>
      </c>
      <c r="AF905" s="174">
        <v>46357</v>
      </c>
    </row>
    <row r="906" spans="1:32" ht="20" x14ac:dyDescent="0.35">
      <c r="A906" s="162" t="s">
        <v>1072</v>
      </c>
      <c r="B906" s="163" t="s">
        <v>1073</v>
      </c>
      <c r="C906" s="154"/>
      <c r="D906" s="162" t="s">
        <v>382</v>
      </c>
      <c r="E906" s="164" t="s">
        <v>382</v>
      </c>
      <c r="F906" s="164" t="s">
        <v>1073</v>
      </c>
      <c r="G906" s="164" t="s">
        <v>1072</v>
      </c>
      <c r="H906" s="165">
        <v>31779</v>
      </c>
      <c r="I906" s="164" t="s">
        <v>20</v>
      </c>
      <c r="J906" s="164" t="s">
        <v>68</v>
      </c>
      <c r="K906" s="165">
        <v>44935</v>
      </c>
      <c r="L906" s="166" t="s">
        <v>101</v>
      </c>
      <c r="M906" s="154"/>
      <c r="N906" s="154"/>
      <c r="O906" s="164" t="s">
        <v>44</v>
      </c>
      <c r="P906" s="164">
        <v>39</v>
      </c>
      <c r="Q906" s="164">
        <v>3</v>
      </c>
      <c r="R906" s="167" t="s">
        <v>970</v>
      </c>
      <c r="S906" s="167" t="s">
        <v>893</v>
      </c>
      <c r="T906" s="162" t="s">
        <v>794</v>
      </c>
      <c r="U906" s="167" t="s">
        <v>795</v>
      </c>
      <c r="V906" s="162" t="s">
        <v>796</v>
      </c>
      <c r="W906" s="168">
        <v>3</v>
      </c>
      <c r="X906" s="169">
        <v>45018</v>
      </c>
      <c r="Y906" s="170">
        <v>11.499999996658</v>
      </c>
      <c r="Z906" s="170">
        <v>1.9166666699999999</v>
      </c>
      <c r="AA906" s="170">
        <v>0</v>
      </c>
      <c r="AB906" s="170">
        <v>0</v>
      </c>
      <c r="AC906" s="171">
        <v>13.416666666657999</v>
      </c>
      <c r="AD906" s="172">
        <v>3384921.78455</v>
      </c>
      <c r="AE906" s="173" t="s">
        <v>797</v>
      </c>
      <c r="AF906" s="173"/>
    </row>
    <row r="907" spans="1:32" ht="20" x14ac:dyDescent="0.35">
      <c r="A907" s="162" t="s">
        <v>1072</v>
      </c>
      <c r="B907" s="163" t="s">
        <v>1073</v>
      </c>
      <c r="C907" s="154"/>
      <c r="D907" s="162" t="s">
        <v>382</v>
      </c>
      <c r="E907" s="164" t="s">
        <v>382</v>
      </c>
      <c r="F907" s="164" t="s">
        <v>1073</v>
      </c>
      <c r="G907" s="164" t="s">
        <v>1072</v>
      </c>
      <c r="H907" s="165">
        <v>31779</v>
      </c>
      <c r="I907" s="164" t="s">
        <v>20</v>
      </c>
      <c r="J907" s="164" t="s">
        <v>68</v>
      </c>
      <c r="K907" s="165">
        <v>44935</v>
      </c>
      <c r="L907" s="166" t="s">
        <v>101</v>
      </c>
      <c r="M907" s="154"/>
      <c r="N907" s="154"/>
      <c r="O907" s="164" t="s">
        <v>44</v>
      </c>
      <c r="P907" s="164">
        <v>39</v>
      </c>
      <c r="Q907" s="164">
        <v>3</v>
      </c>
      <c r="R907" s="167" t="s">
        <v>970</v>
      </c>
      <c r="S907" s="167" t="s">
        <v>893</v>
      </c>
      <c r="T907" s="162" t="s">
        <v>798</v>
      </c>
      <c r="U907" s="167" t="s">
        <v>839</v>
      </c>
      <c r="X907" s="169">
        <v>45018</v>
      </c>
      <c r="Y907" s="170">
        <v>179</v>
      </c>
      <c r="Z907" s="170">
        <v>0</v>
      </c>
      <c r="AA907" s="170">
        <v>0</v>
      </c>
      <c r="AB907" s="170">
        <v>0</v>
      </c>
      <c r="AC907" s="171">
        <v>179</v>
      </c>
      <c r="AD907" s="172">
        <v>45160322.939219996</v>
      </c>
      <c r="AE907" s="173">
        <v>179</v>
      </c>
      <c r="AF907" s="174">
        <v>46357</v>
      </c>
    </row>
    <row r="908" spans="1:32" ht="20" x14ac:dyDescent="0.35">
      <c r="A908" s="162" t="s">
        <v>1072</v>
      </c>
      <c r="B908" s="163" t="s">
        <v>1073</v>
      </c>
      <c r="C908" s="154"/>
      <c r="D908" s="162" t="s">
        <v>382</v>
      </c>
      <c r="E908" s="164" t="s">
        <v>382</v>
      </c>
      <c r="F908" s="164" t="s">
        <v>1073</v>
      </c>
      <c r="G908" s="164" t="s">
        <v>1072</v>
      </c>
      <c r="H908" s="165">
        <v>31779</v>
      </c>
      <c r="I908" s="164" t="s">
        <v>20</v>
      </c>
      <c r="J908" s="164" t="s">
        <v>68</v>
      </c>
      <c r="K908" s="165">
        <v>44935</v>
      </c>
      <c r="L908" s="166" t="s">
        <v>101</v>
      </c>
      <c r="M908" s="154"/>
      <c r="N908" s="154"/>
      <c r="O908" s="164" t="s">
        <v>44</v>
      </c>
      <c r="P908" s="164">
        <v>39</v>
      </c>
      <c r="Q908" s="164">
        <v>3</v>
      </c>
      <c r="R908" s="167" t="s">
        <v>970</v>
      </c>
      <c r="S908" s="167" t="s">
        <v>893</v>
      </c>
      <c r="T908" s="162" t="s">
        <v>800</v>
      </c>
      <c r="U908" s="167" t="s">
        <v>801</v>
      </c>
      <c r="X908" s="169">
        <v>45018</v>
      </c>
      <c r="Y908" s="170">
        <v>26</v>
      </c>
      <c r="Z908" s="170">
        <v>0</v>
      </c>
      <c r="AA908" s="170">
        <v>0</v>
      </c>
      <c r="AB908" s="170">
        <v>0</v>
      </c>
      <c r="AC908" s="171">
        <v>26</v>
      </c>
      <c r="AD908" s="172">
        <v>6559599.9800000004</v>
      </c>
      <c r="AE908" s="173">
        <v>26</v>
      </c>
      <c r="AF908" s="174">
        <v>46357</v>
      </c>
    </row>
    <row r="909" spans="1:32" ht="20" x14ac:dyDescent="0.35">
      <c r="A909" s="162" t="s">
        <v>1072</v>
      </c>
      <c r="B909" s="163" t="s">
        <v>1073</v>
      </c>
      <c r="C909" s="154"/>
      <c r="D909" s="162" t="s">
        <v>382</v>
      </c>
      <c r="E909" s="164" t="s">
        <v>382</v>
      </c>
      <c r="F909" s="164" t="s">
        <v>1073</v>
      </c>
      <c r="G909" s="164" t="s">
        <v>1072</v>
      </c>
      <c r="H909" s="165">
        <v>31779</v>
      </c>
      <c r="I909" s="164" t="s">
        <v>20</v>
      </c>
      <c r="J909" s="164" t="s">
        <v>68</v>
      </c>
      <c r="K909" s="165">
        <v>44935</v>
      </c>
      <c r="L909" s="166" t="s">
        <v>101</v>
      </c>
      <c r="M909" s="154"/>
      <c r="N909" s="154"/>
      <c r="O909" s="164" t="s">
        <v>44</v>
      </c>
      <c r="P909" s="164">
        <v>39</v>
      </c>
      <c r="Q909" s="164">
        <v>3</v>
      </c>
      <c r="R909" s="167" t="s">
        <v>970</v>
      </c>
      <c r="S909" s="167" t="s">
        <v>893</v>
      </c>
      <c r="T909" s="162" t="s">
        <v>800</v>
      </c>
      <c r="U909" s="167" t="s">
        <v>802</v>
      </c>
      <c r="X909" s="169">
        <v>45018</v>
      </c>
      <c r="Y909" s="170">
        <v>98</v>
      </c>
      <c r="Z909" s="170">
        <v>0</v>
      </c>
      <c r="AA909" s="170">
        <v>0</v>
      </c>
      <c r="AB909" s="170">
        <v>0</v>
      </c>
      <c r="AC909" s="171">
        <v>98</v>
      </c>
      <c r="AD909" s="172">
        <v>24724646.078450002</v>
      </c>
      <c r="AE909" s="173">
        <v>98</v>
      </c>
      <c r="AF909" s="174">
        <v>46357</v>
      </c>
    </row>
    <row r="910" spans="1:32" ht="20" x14ac:dyDescent="0.35">
      <c r="A910" s="162" t="s">
        <v>1072</v>
      </c>
      <c r="B910" s="163" t="s">
        <v>1073</v>
      </c>
      <c r="C910" s="154"/>
      <c r="D910" s="162" t="s">
        <v>382</v>
      </c>
      <c r="E910" s="164" t="s">
        <v>382</v>
      </c>
      <c r="F910" s="164" t="s">
        <v>1073</v>
      </c>
      <c r="G910" s="164" t="s">
        <v>1072</v>
      </c>
      <c r="H910" s="165">
        <v>31779</v>
      </c>
      <c r="I910" s="164" t="s">
        <v>20</v>
      </c>
      <c r="J910" s="164" t="s">
        <v>68</v>
      </c>
      <c r="K910" s="165">
        <v>44935</v>
      </c>
      <c r="L910" s="166" t="s">
        <v>101</v>
      </c>
      <c r="M910" s="154"/>
      <c r="N910" s="154"/>
      <c r="O910" s="164" t="s">
        <v>44</v>
      </c>
      <c r="P910" s="164">
        <v>39</v>
      </c>
      <c r="Q910" s="164">
        <v>3</v>
      </c>
      <c r="R910" s="167" t="s">
        <v>970</v>
      </c>
      <c r="S910" s="167" t="s">
        <v>893</v>
      </c>
      <c r="T910" s="162" t="s">
        <v>800</v>
      </c>
      <c r="U910" s="167" t="s">
        <v>803</v>
      </c>
      <c r="X910" s="169">
        <v>45018</v>
      </c>
      <c r="Y910" s="170">
        <v>2</v>
      </c>
      <c r="Z910" s="170">
        <v>0</v>
      </c>
      <c r="AA910" s="170">
        <v>0</v>
      </c>
      <c r="AB910" s="170">
        <v>0</v>
      </c>
      <c r="AC910" s="171">
        <v>2</v>
      </c>
      <c r="AD910" s="172">
        <v>504584.61385000002</v>
      </c>
      <c r="AE910" s="173">
        <v>2</v>
      </c>
      <c r="AF910" s="174">
        <v>46357</v>
      </c>
    </row>
    <row r="911" spans="1:32" ht="20" x14ac:dyDescent="0.35">
      <c r="A911" s="162" t="s">
        <v>1072</v>
      </c>
      <c r="B911" s="163" t="s">
        <v>1073</v>
      </c>
      <c r="C911" s="154"/>
      <c r="D911" s="162" t="s">
        <v>382</v>
      </c>
      <c r="E911" s="164" t="s">
        <v>382</v>
      </c>
      <c r="F911" s="164" t="s">
        <v>1073</v>
      </c>
      <c r="G911" s="164" t="s">
        <v>1072</v>
      </c>
      <c r="H911" s="165">
        <v>31779</v>
      </c>
      <c r="I911" s="164" t="s">
        <v>20</v>
      </c>
      <c r="J911" s="164" t="s">
        <v>68</v>
      </c>
      <c r="K911" s="165">
        <v>44935</v>
      </c>
      <c r="L911" s="166" t="s">
        <v>101</v>
      </c>
      <c r="M911" s="154"/>
      <c r="N911" s="154"/>
      <c r="O911" s="164" t="s">
        <v>44</v>
      </c>
      <c r="P911" s="164">
        <v>39</v>
      </c>
      <c r="Q911" s="164">
        <v>3</v>
      </c>
      <c r="R911" s="167" t="s">
        <v>970</v>
      </c>
      <c r="S911" s="167" t="s">
        <v>893</v>
      </c>
      <c r="T911" s="162" t="s">
        <v>800</v>
      </c>
      <c r="U911" s="167" t="s">
        <v>804</v>
      </c>
      <c r="X911" s="169">
        <v>45018</v>
      </c>
      <c r="Y911" s="170">
        <v>5</v>
      </c>
      <c r="Z911" s="170">
        <v>0</v>
      </c>
      <c r="AA911" s="170">
        <v>0</v>
      </c>
      <c r="AB911" s="170">
        <v>0</v>
      </c>
      <c r="AC911" s="171">
        <v>5</v>
      </c>
      <c r="AD911" s="172">
        <v>1261461.53462</v>
      </c>
      <c r="AE911" s="173">
        <v>5</v>
      </c>
      <c r="AF911" s="174">
        <v>46357</v>
      </c>
    </row>
    <row r="912" spans="1:32" ht="20" x14ac:dyDescent="0.35">
      <c r="A912" s="162" t="s">
        <v>1072</v>
      </c>
      <c r="B912" s="163" t="s">
        <v>1073</v>
      </c>
      <c r="C912" s="154"/>
      <c r="D912" s="162" t="s">
        <v>382</v>
      </c>
      <c r="E912" s="164" t="s">
        <v>382</v>
      </c>
      <c r="F912" s="164" t="s">
        <v>1073</v>
      </c>
      <c r="G912" s="164" t="s">
        <v>1072</v>
      </c>
      <c r="H912" s="165">
        <v>31779</v>
      </c>
      <c r="I912" s="164" t="s">
        <v>20</v>
      </c>
      <c r="J912" s="164" t="s">
        <v>68</v>
      </c>
      <c r="K912" s="165">
        <v>44935</v>
      </c>
      <c r="L912" s="166" t="s">
        <v>101</v>
      </c>
      <c r="M912" s="154"/>
      <c r="N912" s="154"/>
      <c r="O912" s="164" t="s">
        <v>44</v>
      </c>
      <c r="P912" s="164">
        <v>39</v>
      </c>
      <c r="Q912" s="164">
        <v>3</v>
      </c>
      <c r="R912" s="167" t="s">
        <v>970</v>
      </c>
      <c r="S912" s="167" t="s">
        <v>893</v>
      </c>
      <c r="T912" s="162" t="s">
        <v>800</v>
      </c>
      <c r="U912" s="167" t="s">
        <v>840</v>
      </c>
      <c r="X912" s="169">
        <v>45018</v>
      </c>
      <c r="Y912" s="170">
        <v>2.4999999966690001</v>
      </c>
      <c r="Z912" s="170">
        <v>0.41666667000000002</v>
      </c>
      <c r="AA912" s="170">
        <v>0</v>
      </c>
      <c r="AB912" s="170">
        <v>0</v>
      </c>
      <c r="AC912" s="171">
        <v>2.9166666666690002</v>
      </c>
      <c r="AD912" s="172">
        <v>735852.56186000002</v>
      </c>
      <c r="AE912" s="173">
        <v>2.92</v>
      </c>
      <c r="AF912" s="174">
        <v>46357</v>
      </c>
    </row>
    <row r="913" spans="1:32" ht="20" x14ac:dyDescent="0.35">
      <c r="A913" s="162" t="s">
        <v>1074</v>
      </c>
      <c r="B913" s="163" t="s">
        <v>1075</v>
      </c>
      <c r="C913" s="154"/>
      <c r="D913" s="162" t="s">
        <v>384</v>
      </c>
      <c r="E913" s="164" t="s">
        <v>384</v>
      </c>
      <c r="F913" s="164" t="s">
        <v>1075</v>
      </c>
      <c r="G913" s="164" t="s">
        <v>1074</v>
      </c>
      <c r="H913" s="165">
        <v>35969</v>
      </c>
      <c r="I913" s="164" t="s">
        <v>48</v>
      </c>
      <c r="J913" s="164" t="s">
        <v>68</v>
      </c>
      <c r="K913" s="165">
        <v>45017</v>
      </c>
      <c r="L913" s="166" t="s">
        <v>386</v>
      </c>
      <c r="M913" s="154"/>
      <c r="N913" s="154"/>
      <c r="O913" s="164" t="s">
        <v>44</v>
      </c>
      <c r="P913" s="164">
        <v>28</v>
      </c>
      <c r="Q913" s="164">
        <v>3</v>
      </c>
      <c r="R913" s="167" t="s">
        <v>958</v>
      </c>
      <c r="S913" s="167" t="s">
        <v>844</v>
      </c>
      <c r="T913" s="162" t="s">
        <v>794</v>
      </c>
      <c r="U913" s="167" t="s">
        <v>795</v>
      </c>
      <c r="V913" s="162" t="s">
        <v>796</v>
      </c>
      <c r="W913" s="168">
        <v>3</v>
      </c>
      <c r="X913" s="169">
        <v>45018</v>
      </c>
      <c r="Y913" s="170">
        <v>27.749999993323001</v>
      </c>
      <c r="Z913" s="170">
        <v>1.9166666699999999</v>
      </c>
      <c r="AA913" s="170">
        <v>0</v>
      </c>
      <c r="AB913" s="170">
        <v>0</v>
      </c>
      <c r="AC913" s="171">
        <v>29.666666663322999</v>
      </c>
      <c r="AD913" s="172">
        <v>4251460.22578</v>
      </c>
      <c r="AE913" s="173" t="s">
        <v>797</v>
      </c>
      <c r="AF913" s="173"/>
    </row>
    <row r="914" spans="1:32" ht="20" x14ac:dyDescent="0.35">
      <c r="A914" s="162" t="s">
        <v>1074</v>
      </c>
      <c r="B914" s="163" t="s">
        <v>1075</v>
      </c>
      <c r="C914" s="154"/>
      <c r="D914" s="162" t="s">
        <v>384</v>
      </c>
      <c r="E914" s="164" t="s">
        <v>384</v>
      </c>
      <c r="F914" s="164" t="s">
        <v>1075</v>
      </c>
      <c r="G914" s="164" t="s">
        <v>1074</v>
      </c>
      <c r="H914" s="165">
        <v>35969</v>
      </c>
      <c r="I914" s="164" t="s">
        <v>48</v>
      </c>
      <c r="J914" s="164" t="s">
        <v>68</v>
      </c>
      <c r="K914" s="165">
        <v>45017</v>
      </c>
      <c r="L914" s="166" t="s">
        <v>386</v>
      </c>
      <c r="M914" s="154"/>
      <c r="N914" s="154"/>
      <c r="O914" s="164" t="s">
        <v>44</v>
      </c>
      <c r="P914" s="164">
        <v>28</v>
      </c>
      <c r="Q914" s="164">
        <v>3</v>
      </c>
      <c r="R914" s="167" t="s">
        <v>958</v>
      </c>
      <c r="S914" s="167" t="s">
        <v>844</v>
      </c>
      <c r="T914" s="162" t="s">
        <v>798</v>
      </c>
      <c r="U914" s="167" t="s">
        <v>839</v>
      </c>
      <c r="X914" s="169">
        <v>45018</v>
      </c>
      <c r="Y914" s="170">
        <v>180</v>
      </c>
      <c r="Z914" s="170">
        <v>0</v>
      </c>
      <c r="AA914" s="170">
        <v>0</v>
      </c>
      <c r="AB914" s="170">
        <v>0</v>
      </c>
      <c r="AC914" s="171">
        <v>180</v>
      </c>
      <c r="AD914" s="172">
        <v>25795376.65368</v>
      </c>
      <c r="AE914" s="173">
        <v>180</v>
      </c>
      <c r="AF914" s="174">
        <v>46357</v>
      </c>
    </row>
    <row r="915" spans="1:32" ht="20" x14ac:dyDescent="0.35">
      <c r="A915" s="162" t="s">
        <v>1074</v>
      </c>
      <c r="B915" s="163" t="s">
        <v>1075</v>
      </c>
      <c r="C915" s="154"/>
      <c r="D915" s="162" t="s">
        <v>384</v>
      </c>
      <c r="E915" s="164" t="s">
        <v>384</v>
      </c>
      <c r="F915" s="164" t="s">
        <v>1075</v>
      </c>
      <c r="G915" s="164" t="s">
        <v>1074</v>
      </c>
      <c r="H915" s="165">
        <v>35969</v>
      </c>
      <c r="I915" s="164" t="s">
        <v>48</v>
      </c>
      <c r="J915" s="164" t="s">
        <v>68</v>
      </c>
      <c r="K915" s="165">
        <v>45017</v>
      </c>
      <c r="L915" s="166" t="s">
        <v>386</v>
      </c>
      <c r="M915" s="154"/>
      <c r="N915" s="154"/>
      <c r="O915" s="164" t="s">
        <v>44</v>
      </c>
      <c r="P915" s="164">
        <v>28</v>
      </c>
      <c r="Q915" s="164">
        <v>3</v>
      </c>
      <c r="R915" s="167" t="s">
        <v>958</v>
      </c>
      <c r="S915" s="167" t="s">
        <v>844</v>
      </c>
      <c r="T915" s="162" t="s">
        <v>800</v>
      </c>
      <c r="U915" s="167" t="s">
        <v>801</v>
      </c>
      <c r="X915" s="169">
        <v>45018</v>
      </c>
      <c r="Y915" s="170">
        <v>26</v>
      </c>
      <c r="Z915" s="170">
        <v>0</v>
      </c>
      <c r="AA915" s="170">
        <v>0</v>
      </c>
      <c r="AB915" s="170">
        <v>0</v>
      </c>
      <c r="AC915" s="171">
        <v>26</v>
      </c>
      <c r="AD915" s="172">
        <v>3725998.8499799999</v>
      </c>
      <c r="AE915" s="173">
        <v>26</v>
      </c>
      <c r="AF915" s="174">
        <v>46357</v>
      </c>
    </row>
    <row r="916" spans="1:32" ht="20" x14ac:dyDescent="0.35">
      <c r="A916" s="162" t="s">
        <v>1074</v>
      </c>
      <c r="B916" s="163" t="s">
        <v>1075</v>
      </c>
      <c r="C916" s="154"/>
      <c r="D916" s="162" t="s">
        <v>384</v>
      </c>
      <c r="E916" s="164" t="s">
        <v>384</v>
      </c>
      <c r="F916" s="164" t="s">
        <v>1075</v>
      </c>
      <c r="G916" s="164" t="s">
        <v>1074</v>
      </c>
      <c r="H916" s="165">
        <v>35969</v>
      </c>
      <c r="I916" s="164" t="s">
        <v>48</v>
      </c>
      <c r="J916" s="164" t="s">
        <v>68</v>
      </c>
      <c r="K916" s="165">
        <v>45017</v>
      </c>
      <c r="L916" s="166" t="s">
        <v>386</v>
      </c>
      <c r="M916" s="154"/>
      <c r="N916" s="154"/>
      <c r="O916" s="164" t="s">
        <v>44</v>
      </c>
      <c r="P916" s="164">
        <v>28</v>
      </c>
      <c r="Q916" s="164">
        <v>3</v>
      </c>
      <c r="R916" s="167" t="s">
        <v>958</v>
      </c>
      <c r="S916" s="167" t="s">
        <v>844</v>
      </c>
      <c r="T916" s="162" t="s">
        <v>800</v>
      </c>
      <c r="U916" s="167" t="s">
        <v>802</v>
      </c>
      <c r="X916" s="169">
        <v>45018</v>
      </c>
      <c r="Y916" s="170">
        <v>93</v>
      </c>
      <c r="Z916" s="170">
        <v>0</v>
      </c>
      <c r="AA916" s="170">
        <v>0</v>
      </c>
      <c r="AB916" s="170">
        <v>0</v>
      </c>
      <c r="AC916" s="171">
        <v>93</v>
      </c>
      <c r="AD916" s="172">
        <v>13327611.27107</v>
      </c>
      <c r="AE916" s="173">
        <v>93</v>
      </c>
      <c r="AF916" s="174">
        <v>46357</v>
      </c>
    </row>
    <row r="917" spans="1:32" ht="20" x14ac:dyDescent="0.35">
      <c r="A917" s="162" t="s">
        <v>1074</v>
      </c>
      <c r="B917" s="163" t="s">
        <v>1075</v>
      </c>
      <c r="C917" s="154"/>
      <c r="D917" s="162" t="s">
        <v>384</v>
      </c>
      <c r="E917" s="164" t="s">
        <v>384</v>
      </c>
      <c r="F917" s="164" t="s">
        <v>1075</v>
      </c>
      <c r="G917" s="164" t="s">
        <v>1074</v>
      </c>
      <c r="H917" s="165">
        <v>35969</v>
      </c>
      <c r="I917" s="164" t="s">
        <v>48</v>
      </c>
      <c r="J917" s="164" t="s">
        <v>68</v>
      </c>
      <c r="K917" s="165">
        <v>45017</v>
      </c>
      <c r="L917" s="166" t="s">
        <v>386</v>
      </c>
      <c r="M917" s="154"/>
      <c r="N917" s="154"/>
      <c r="O917" s="164" t="s">
        <v>44</v>
      </c>
      <c r="P917" s="164">
        <v>28</v>
      </c>
      <c r="Q917" s="164">
        <v>3</v>
      </c>
      <c r="R917" s="167" t="s">
        <v>958</v>
      </c>
      <c r="S917" s="167" t="s">
        <v>844</v>
      </c>
      <c r="T917" s="162" t="s">
        <v>800</v>
      </c>
      <c r="U917" s="167" t="s">
        <v>803</v>
      </c>
      <c r="X917" s="169">
        <v>45018</v>
      </c>
      <c r="Y917" s="170">
        <v>2</v>
      </c>
      <c r="Z917" s="170">
        <v>0</v>
      </c>
      <c r="AA917" s="170">
        <v>0</v>
      </c>
      <c r="AB917" s="170">
        <v>0</v>
      </c>
      <c r="AC917" s="171">
        <v>2</v>
      </c>
      <c r="AD917" s="172">
        <v>286615.29615000001</v>
      </c>
      <c r="AE917" s="173">
        <v>2</v>
      </c>
      <c r="AF917" s="174">
        <v>46357</v>
      </c>
    </row>
    <row r="918" spans="1:32" ht="20" x14ac:dyDescent="0.35">
      <c r="A918" s="162" t="s">
        <v>1074</v>
      </c>
      <c r="B918" s="163" t="s">
        <v>1075</v>
      </c>
      <c r="C918" s="154"/>
      <c r="D918" s="162" t="s">
        <v>384</v>
      </c>
      <c r="E918" s="164" t="s">
        <v>384</v>
      </c>
      <c r="F918" s="164" t="s">
        <v>1075</v>
      </c>
      <c r="G918" s="164" t="s">
        <v>1074</v>
      </c>
      <c r="H918" s="165">
        <v>35969</v>
      </c>
      <c r="I918" s="164" t="s">
        <v>48</v>
      </c>
      <c r="J918" s="164" t="s">
        <v>68</v>
      </c>
      <c r="K918" s="165">
        <v>45017</v>
      </c>
      <c r="L918" s="166" t="s">
        <v>386</v>
      </c>
      <c r="M918" s="154"/>
      <c r="N918" s="154"/>
      <c r="O918" s="164" t="s">
        <v>44</v>
      </c>
      <c r="P918" s="164">
        <v>28</v>
      </c>
      <c r="Q918" s="164">
        <v>3</v>
      </c>
      <c r="R918" s="167" t="s">
        <v>958</v>
      </c>
      <c r="S918" s="167" t="s">
        <v>844</v>
      </c>
      <c r="T918" s="162" t="s">
        <v>800</v>
      </c>
      <c r="U918" s="167" t="s">
        <v>804</v>
      </c>
      <c r="X918" s="169">
        <v>45018</v>
      </c>
      <c r="Y918" s="170">
        <v>5</v>
      </c>
      <c r="Z918" s="170">
        <v>0</v>
      </c>
      <c r="AA918" s="170">
        <v>0</v>
      </c>
      <c r="AB918" s="170">
        <v>0</v>
      </c>
      <c r="AC918" s="171">
        <v>5</v>
      </c>
      <c r="AD918" s="172">
        <v>716538.24037999997</v>
      </c>
      <c r="AE918" s="173">
        <v>5</v>
      </c>
      <c r="AF918" s="174">
        <v>46357</v>
      </c>
    </row>
    <row r="919" spans="1:32" ht="20" x14ac:dyDescent="0.35">
      <c r="A919" s="162" t="s">
        <v>1074</v>
      </c>
      <c r="B919" s="163" t="s">
        <v>1075</v>
      </c>
      <c r="C919" s="154"/>
      <c r="D919" s="162" t="s">
        <v>384</v>
      </c>
      <c r="E919" s="164" t="s">
        <v>384</v>
      </c>
      <c r="F919" s="164" t="s">
        <v>1075</v>
      </c>
      <c r="G919" s="164" t="s">
        <v>1074</v>
      </c>
      <c r="H919" s="165">
        <v>35969</v>
      </c>
      <c r="I919" s="164" t="s">
        <v>48</v>
      </c>
      <c r="J919" s="164" t="s">
        <v>68</v>
      </c>
      <c r="K919" s="165">
        <v>45017</v>
      </c>
      <c r="L919" s="166" t="s">
        <v>386</v>
      </c>
      <c r="M919" s="154"/>
      <c r="N919" s="154"/>
      <c r="O919" s="164" t="s">
        <v>44</v>
      </c>
      <c r="P919" s="164">
        <v>28</v>
      </c>
      <c r="Q919" s="164">
        <v>3</v>
      </c>
      <c r="R919" s="167" t="s">
        <v>958</v>
      </c>
      <c r="S919" s="167" t="s">
        <v>844</v>
      </c>
      <c r="T919" s="162" t="s">
        <v>800</v>
      </c>
      <c r="U919" s="167" t="s">
        <v>840</v>
      </c>
      <c r="X919" s="169">
        <v>45018</v>
      </c>
      <c r="Y919" s="170">
        <v>2.4999999966690001</v>
      </c>
      <c r="Z919" s="170">
        <v>0.41666667000000002</v>
      </c>
      <c r="AA919" s="170">
        <v>0</v>
      </c>
      <c r="AB919" s="170">
        <v>0</v>
      </c>
      <c r="AC919" s="171">
        <v>2.9166666666690002</v>
      </c>
      <c r="AD919" s="172">
        <v>417980.64022</v>
      </c>
      <c r="AE919" s="173">
        <v>2.92</v>
      </c>
      <c r="AF919" s="174">
        <v>46357</v>
      </c>
    </row>
    <row r="920" spans="1:32" ht="20" x14ac:dyDescent="0.35">
      <c r="A920" s="162" t="s">
        <v>1076</v>
      </c>
      <c r="B920" s="163" t="s">
        <v>1077</v>
      </c>
      <c r="C920" s="154"/>
      <c r="D920" s="162" t="s">
        <v>387</v>
      </c>
      <c r="E920" s="164" t="s">
        <v>387</v>
      </c>
      <c r="F920" s="164" t="s">
        <v>1077</v>
      </c>
      <c r="G920" s="164" t="s">
        <v>1076</v>
      </c>
      <c r="H920" s="165">
        <v>31613</v>
      </c>
      <c r="I920" s="164" t="s">
        <v>20</v>
      </c>
      <c r="J920" s="164" t="s">
        <v>389</v>
      </c>
      <c r="K920" s="165">
        <v>45110</v>
      </c>
      <c r="L920" s="166" t="s">
        <v>390</v>
      </c>
      <c r="M920" s="154"/>
      <c r="N920" s="154"/>
      <c r="O920" s="164" t="s">
        <v>391</v>
      </c>
      <c r="P920" s="164">
        <v>40</v>
      </c>
      <c r="Q920" s="164">
        <v>3</v>
      </c>
      <c r="R920" s="167" t="s">
        <v>1064</v>
      </c>
      <c r="S920" s="167" t="s">
        <v>832</v>
      </c>
      <c r="T920" s="162" t="s">
        <v>794</v>
      </c>
      <c r="U920" s="167" t="s">
        <v>833</v>
      </c>
      <c r="V920" s="162" t="s">
        <v>820</v>
      </c>
      <c r="W920" s="168">
        <v>3</v>
      </c>
      <c r="X920" s="169">
        <v>45110</v>
      </c>
      <c r="Y920" s="170">
        <v>19.870967743333001</v>
      </c>
      <c r="Z920" s="170">
        <v>2.0833333299999999</v>
      </c>
      <c r="AA920" s="170">
        <v>0</v>
      </c>
      <c r="AB920" s="170">
        <v>0</v>
      </c>
      <c r="AC920" s="171">
        <v>21.954301073332999</v>
      </c>
      <c r="AD920" s="172">
        <v>33400659.91203</v>
      </c>
      <c r="AE920" s="173" t="s">
        <v>797</v>
      </c>
      <c r="AF920" s="173"/>
    </row>
    <row r="921" spans="1:32" x14ac:dyDescent="0.35">
      <c r="A921" s="162" t="s">
        <v>1076</v>
      </c>
      <c r="B921" s="163" t="s">
        <v>1077</v>
      </c>
      <c r="C921" s="154"/>
      <c r="D921" s="162" t="s">
        <v>387</v>
      </c>
      <c r="E921" s="164" t="s">
        <v>387</v>
      </c>
      <c r="F921" s="164" t="s">
        <v>1077</v>
      </c>
      <c r="G921" s="164" t="s">
        <v>1076</v>
      </c>
      <c r="H921" s="165">
        <v>31613</v>
      </c>
      <c r="I921" s="164" t="s">
        <v>20</v>
      </c>
      <c r="J921" s="164" t="s">
        <v>389</v>
      </c>
      <c r="K921" s="165">
        <v>45110</v>
      </c>
      <c r="L921" s="166" t="s">
        <v>390</v>
      </c>
      <c r="M921" s="154"/>
      <c r="N921" s="154"/>
      <c r="O921" s="164" t="s">
        <v>391</v>
      </c>
      <c r="P921" s="164">
        <v>40</v>
      </c>
      <c r="Q921" s="164">
        <v>3</v>
      </c>
      <c r="R921" s="167" t="s">
        <v>1064</v>
      </c>
      <c r="S921" s="167" t="s">
        <v>832</v>
      </c>
      <c r="T921" s="162" t="s">
        <v>798</v>
      </c>
      <c r="U921" s="167" t="s">
        <v>799</v>
      </c>
      <c r="X921" s="169">
        <v>45110</v>
      </c>
      <c r="Y921" s="170">
        <v>178</v>
      </c>
      <c r="Z921" s="170">
        <v>0</v>
      </c>
      <c r="AA921" s="170">
        <v>0</v>
      </c>
      <c r="AB921" s="170">
        <v>0</v>
      </c>
      <c r="AC921" s="171">
        <v>178</v>
      </c>
      <c r="AD921" s="172">
        <v>270804223.94147003</v>
      </c>
      <c r="AE921" s="173">
        <v>178</v>
      </c>
      <c r="AF921" s="174">
        <v>46357</v>
      </c>
    </row>
    <row r="922" spans="1:32" x14ac:dyDescent="0.35">
      <c r="A922" s="162" t="s">
        <v>1076</v>
      </c>
      <c r="B922" s="163" t="s">
        <v>1077</v>
      </c>
      <c r="C922" s="154"/>
      <c r="D922" s="162" t="s">
        <v>387</v>
      </c>
      <c r="E922" s="164" t="s">
        <v>387</v>
      </c>
      <c r="F922" s="164" t="s">
        <v>1077</v>
      </c>
      <c r="G922" s="164" t="s">
        <v>1076</v>
      </c>
      <c r="H922" s="165">
        <v>31613</v>
      </c>
      <c r="I922" s="164" t="s">
        <v>20</v>
      </c>
      <c r="J922" s="164" t="s">
        <v>389</v>
      </c>
      <c r="K922" s="165">
        <v>45110</v>
      </c>
      <c r="L922" s="166" t="s">
        <v>390</v>
      </c>
      <c r="M922" s="154"/>
      <c r="N922" s="154"/>
      <c r="O922" s="164" t="s">
        <v>391</v>
      </c>
      <c r="P922" s="164">
        <v>40</v>
      </c>
      <c r="Q922" s="164">
        <v>3</v>
      </c>
      <c r="R922" s="167" t="s">
        <v>1064</v>
      </c>
      <c r="S922" s="167" t="s">
        <v>832</v>
      </c>
      <c r="T922" s="162" t="s">
        <v>800</v>
      </c>
      <c r="U922" s="167" t="s">
        <v>801</v>
      </c>
      <c r="X922" s="169">
        <v>45110</v>
      </c>
      <c r="Y922" s="170">
        <v>26</v>
      </c>
      <c r="Z922" s="170">
        <v>0</v>
      </c>
      <c r="AA922" s="170">
        <v>0</v>
      </c>
      <c r="AB922" s="170">
        <v>0</v>
      </c>
      <c r="AC922" s="171">
        <v>26</v>
      </c>
      <c r="AD922" s="172">
        <v>39555673.159989998</v>
      </c>
      <c r="AE922" s="173">
        <v>26</v>
      </c>
      <c r="AF922" s="174">
        <v>46357</v>
      </c>
    </row>
    <row r="923" spans="1:32" x14ac:dyDescent="0.35">
      <c r="A923" s="162" t="s">
        <v>1076</v>
      </c>
      <c r="B923" s="163" t="s">
        <v>1077</v>
      </c>
      <c r="C923" s="154"/>
      <c r="D923" s="162" t="s">
        <v>387</v>
      </c>
      <c r="E923" s="164" t="s">
        <v>387</v>
      </c>
      <c r="F923" s="164" t="s">
        <v>1077</v>
      </c>
      <c r="G923" s="164" t="s">
        <v>1076</v>
      </c>
      <c r="H923" s="165">
        <v>31613</v>
      </c>
      <c r="I923" s="164" t="s">
        <v>20</v>
      </c>
      <c r="J923" s="164" t="s">
        <v>389</v>
      </c>
      <c r="K923" s="165">
        <v>45110</v>
      </c>
      <c r="L923" s="166" t="s">
        <v>390</v>
      </c>
      <c r="M923" s="154"/>
      <c r="N923" s="154"/>
      <c r="O923" s="164" t="s">
        <v>391</v>
      </c>
      <c r="P923" s="164">
        <v>40</v>
      </c>
      <c r="Q923" s="164">
        <v>3</v>
      </c>
      <c r="R923" s="167" t="s">
        <v>1064</v>
      </c>
      <c r="S923" s="167" t="s">
        <v>832</v>
      </c>
      <c r="T923" s="162" t="s">
        <v>800</v>
      </c>
      <c r="U923" s="167" t="s">
        <v>802</v>
      </c>
      <c r="X923" s="169">
        <v>45110</v>
      </c>
      <c r="Y923" s="170">
        <v>98</v>
      </c>
      <c r="Z923" s="170">
        <v>0</v>
      </c>
      <c r="AA923" s="170">
        <v>0</v>
      </c>
      <c r="AB923" s="170">
        <v>0</v>
      </c>
      <c r="AC923" s="171">
        <v>98</v>
      </c>
      <c r="AD923" s="172">
        <v>149094460.37226999</v>
      </c>
      <c r="AE923" s="173">
        <v>98</v>
      </c>
      <c r="AF923" s="174">
        <v>46357</v>
      </c>
    </row>
    <row r="924" spans="1:32" x14ac:dyDescent="0.35">
      <c r="A924" s="162" t="s">
        <v>1076</v>
      </c>
      <c r="B924" s="163" t="s">
        <v>1077</v>
      </c>
      <c r="C924" s="154"/>
      <c r="D924" s="162" t="s">
        <v>387</v>
      </c>
      <c r="E924" s="164" t="s">
        <v>387</v>
      </c>
      <c r="F924" s="164" t="s">
        <v>1077</v>
      </c>
      <c r="G924" s="164" t="s">
        <v>1076</v>
      </c>
      <c r="H924" s="165">
        <v>31613</v>
      </c>
      <c r="I924" s="164" t="s">
        <v>20</v>
      </c>
      <c r="J924" s="164" t="s">
        <v>389</v>
      </c>
      <c r="K924" s="165">
        <v>45110</v>
      </c>
      <c r="L924" s="166" t="s">
        <v>390</v>
      </c>
      <c r="M924" s="154"/>
      <c r="N924" s="154"/>
      <c r="O924" s="164" t="s">
        <v>391</v>
      </c>
      <c r="P924" s="164">
        <v>40</v>
      </c>
      <c r="Q924" s="164">
        <v>3</v>
      </c>
      <c r="R924" s="167" t="s">
        <v>1064</v>
      </c>
      <c r="S924" s="167" t="s">
        <v>832</v>
      </c>
      <c r="T924" s="162" t="s">
        <v>800</v>
      </c>
      <c r="U924" s="167" t="s">
        <v>803</v>
      </c>
      <c r="X924" s="169">
        <v>45110</v>
      </c>
      <c r="Y924" s="170">
        <v>2</v>
      </c>
      <c r="Z924" s="170">
        <v>0</v>
      </c>
      <c r="AA924" s="170">
        <v>0</v>
      </c>
      <c r="AB924" s="170">
        <v>0</v>
      </c>
      <c r="AC924" s="171">
        <v>2</v>
      </c>
      <c r="AD924" s="172">
        <v>3042744.08923</v>
      </c>
      <c r="AE924" s="173">
        <v>2</v>
      </c>
      <c r="AF924" s="174">
        <v>46357</v>
      </c>
    </row>
    <row r="925" spans="1:32" x14ac:dyDescent="0.35">
      <c r="A925" s="162" t="s">
        <v>1076</v>
      </c>
      <c r="B925" s="163" t="s">
        <v>1077</v>
      </c>
      <c r="C925" s="154"/>
      <c r="D925" s="162" t="s">
        <v>387</v>
      </c>
      <c r="E925" s="164" t="s">
        <v>387</v>
      </c>
      <c r="F925" s="164" t="s">
        <v>1077</v>
      </c>
      <c r="G925" s="164" t="s">
        <v>1076</v>
      </c>
      <c r="H925" s="165">
        <v>31613</v>
      </c>
      <c r="I925" s="164" t="s">
        <v>20</v>
      </c>
      <c r="J925" s="164" t="s">
        <v>389</v>
      </c>
      <c r="K925" s="165">
        <v>45110</v>
      </c>
      <c r="L925" s="166" t="s">
        <v>390</v>
      </c>
      <c r="M925" s="154"/>
      <c r="N925" s="154"/>
      <c r="O925" s="164" t="s">
        <v>391</v>
      </c>
      <c r="P925" s="164">
        <v>40</v>
      </c>
      <c r="Q925" s="164">
        <v>3</v>
      </c>
      <c r="R925" s="167" t="s">
        <v>1064</v>
      </c>
      <c r="S925" s="167" t="s">
        <v>832</v>
      </c>
      <c r="T925" s="162" t="s">
        <v>800</v>
      </c>
      <c r="U925" s="167" t="s">
        <v>804</v>
      </c>
      <c r="X925" s="169">
        <v>45110</v>
      </c>
      <c r="Y925" s="170">
        <v>0</v>
      </c>
      <c r="Z925" s="170">
        <v>0</v>
      </c>
      <c r="AA925" s="170">
        <v>0</v>
      </c>
      <c r="AB925" s="170">
        <v>0</v>
      </c>
      <c r="AC925" s="171">
        <v>0</v>
      </c>
      <c r="AD925" s="172">
        <v>0</v>
      </c>
      <c r="AE925" s="173">
        <v>0</v>
      </c>
      <c r="AF925" s="174">
        <v>46357</v>
      </c>
    </row>
    <row r="926" spans="1:32" x14ac:dyDescent="0.35">
      <c r="A926" s="162" t="s">
        <v>1076</v>
      </c>
      <c r="B926" s="163" t="s">
        <v>1077</v>
      </c>
      <c r="C926" s="154"/>
      <c r="D926" s="162" t="s">
        <v>387</v>
      </c>
      <c r="E926" s="164" t="s">
        <v>387</v>
      </c>
      <c r="F926" s="164" t="s">
        <v>1077</v>
      </c>
      <c r="G926" s="164" t="s">
        <v>1076</v>
      </c>
      <c r="H926" s="165">
        <v>31613</v>
      </c>
      <c r="I926" s="164" t="s">
        <v>20</v>
      </c>
      <c r="J926" s="164" t="s">
        <v>389</v>
      </c>
      <c r="K926" s="165">
        <v>45110</v>
      </c>
      <c r="L926" s="166" t="s">
        <v>390</v>
      </c>
      <c r="M926" s="154"/>
      <c r="N926" s="154"/>
      <c r="O926" s="164" t="s">
        <v>391</v>
      </c>
      <c r="P926" s="164">
        <v>40</v>
      </c>
      <c r="Q926" s="164">
        <v>3</v>
      </c>
      <c r="R926" s="167" t="s">
        <v>1064</v>
      </c>
      <c r="S926" s="167" t="s">
        <v>832</v>
      </c>
      <c r="T926" s="162" t="s">
        <v>800</v>
      </c>
      <c r="U926" s="167" t="s">
        <v>805</v>
      </c>
      <c r="X926" s="169">
        <v>45110</v>
      </c>
      <c r="Y926" s="170">
        <v>2.4999999966690001</v>
      </c>
      <c r="Z926" s="170">
        <v>0.41666667000000002</v>
      </c>
      <c r="AA926" s="170">
        <v>0</v>
      </c>
      <c r="AB926" s="170">
        <v>0</v>
      </c>
      <c r="AC926" s="171">
        <v>2.9166666666690002</v>
      </c>
      <c r="AD926" s="172">
        <v>4437335.1301300004</v>
      </c>
      <c r="AE926" s="173">
        <v>2.92</v>
      </c>
      <c r="AF926" s="174">
        <v>46357</v>
      </c>
    </row>
    <row r="927" spans="1:32" ht="20" x14ac:dyDescent="0.35">
      <c r="A927" s="162" t="s">
        <v>1078</v>
      </c>
      <c r="B927" s="163" t="s">
        <v>910</v>
      </c>
      <c r="C927" s="154"/>
      <c r="D927" s="162" t="s">
        <v>392</v>
      </c>
      <c r="E927" s="164" t="s">
        <v>392</v>
      </c>
      <c r="F927" s="164" t="s">
        <v>910</v>
      </c>
      <c r="G927" s="164" t="s">
        <v>1078</v>
      </c>
      <c r="H927" s="165">
        <v>33937</v>
      </c>
      <c r="I927" s="164" t="s">
        <v>20</v>
      </c>
      <c r="J927" s="164" t="s">
        <v>68</v>
      </c>
      <c r="K927" s="165">
        <v>45139</v>
      </c>
      <c r="L927" s="166" t="s">
        <v>394</v>
      </c>
      <c r="M927" s="154"/>
      <c r="N927" s="154"/>
      <c r="O927" s="164" t="s">
        <v>23</v>
      </c>
      <c r="P927" s="164">
        <v>33</v>
      </c>
      <c r="Q927" s="164">
        <v>2</v>
      </c>
      <c r="R927" s="167" t="s">
        <v>1079</v>
      </c>
      <c r="S927" s="167" t="s">
        <v>844</v>
      </c>
      <c r="T927" s="162" t="s">
        <v>794</v>
      </c>
      <c r="U927" s="167" t="s">
        <v>833</v>
      </c>
      <c r="V927" s="162" t="s">
        <v>828</v>
      </c>
      <c r="W927" s="168">
        <v>2</v>
      </c>
      <c r="X927" s="169">
        <v>45139</v>
      </c>
      <c r="Y927" s="170">
        <v>15</v>
      </c>
      <c r="Z927" s="170">
        <v>2</v>
      </c>
      <c r="AA927" s="170">
        <v>-3</v>
      </c>
      <c r="AB927" s="170">
        <v>0</v>
      </c>
      <c r="AC927" s="171">
        <v>14</v>
      </c>
      <c r="AD927" s="172">
        <v>8699602.0730600003</v>
      </c>
      <c r="AE927" s="173" t="s">
        <v>797</v>
      </c>
      <c r="AF927" s="173"/>
    </row>
    <row r="928" spans="1:32" ht="20" x14ac:dyDescent="0.35">
      <c r="A928" s="162" t="s">
        <v>1078</v>
      </c>
      <c r="B928" s="163" t="s">
        <v>910</v>
      </c>
      <c r="C928" s="154"/>
      <c r="D928" s="162" t="s">
        <v>392</v>
      </c>
      <c r="E928" s="164" t="s">
        <v>392</v>
      </c>
      <c r="F928" s="164" t="s">
        <v>910</v>
      </c>
      <c r="G928" s="164" t="s">
        <v>1078</v>
      </c>
      <c r="H928" s="165">
        <v>33937</v>
      </c>
      <c r="I928" s="164" t="s">
        <v>20</v>
      </c>
      <c r="J928" s="164" t="s">
        <v>68</v>
      </c>
      <c r="K928" s="165">
        <v>45139</v>
      </c>
      <c r="L928" s="166" t="s">
        <v>394</v>
      </c>
      <c r="M928" s="154"/>
      <c r="N928" s="154"/>
      <c r="O928" s="164" t="s">
        <v>23</v>
      </c>
      <c r="P928" s="164">
        <v>33</v>
      </c>
      <c r="Q928" s="164">
        <v>2</v>
      </c>
      <c r="R928" s="167" t="s">
        <v>1079</v>
      </c>
      <c r="S928" s="167" t="s">
        <v>844</v>
      </c>
      <c r="T928" s="162" t="s">
        <v>798</v>
      </c>
      <c r="U928" s="167" t="s">
        <v>799</v>
      </c>
      <c r="X928" s="169">
        <v>45139</v>
      </c>
      <c r="Y928" s="170">
        <v>180</v>
      </c>
      <c r="Z928" s="170">
        <v>0</v>
      </c>
      <c r="AA928" s="170">
        <v>0</v>
      </c>
      <c r="AB928" s="170">
        <v>0</v>
      </c>
      <c r="AC928" s="171">
        <v>180</v>
      </c>
      <c r="AD928" s="172">
        <v>111852026.65368</v>
      </c>
      <c r="AE928" s="173">
        <v>180</v>
      </c>
      <c r="AF928" s="174">
        <v>46357</v>
      </c>
    </row>
    <row r="929" spans="1:32" ht="20" x14ac:dyDescent="0.35">
      <c r="A929" s="162" t="s">
        <v>1078</v>
      </c>
      <c r="B929" s="163" t="s">
        <v>910</v>
      </c>
      <c r="C929" s="154"/>
      <c r="D929" s="162" t="s">
        <v>392</v>
      </c>
      <c r="E929" s="164" t="s">
        <v>392</v>
      </c>
      <c r="F929" s="164" t="s">
        <v>910</v>
      </c>
      <c r="G929" s="164" t="s">
        <v>1078</v>
      </c>
      <c r="H929" s="165">
        <v>33937</v>
      </c>
      <c r="I929" s="164" t="s">
        <v>20</v>
      </c>
      <c r="J929" s="164" t="s">
        <v>68</v>
      </c>
      <c r="K929" s="165">
        <v>45139</v>
      </c>
      <c r="L929" s="166" t="s">
        <v>394</v>
      </c>
      <c r="M929" s="154"/>
      <c r="N929" s="154"/>
      <c r="O929" s="164" t="s">
        <v>23</v>
      </c>
      <c r="P929" s="164">
        <v>33</v>
      </c>
      <c r="Q929" s="164">
        <v>2</v>
      </c>
      <c r="R929" s="167" t="s">
        <v>1079</v>
      </c>
      <c r="S929" s="167" t="s">
        <v>844</v>
      </c>
      <c r="T929" s="162" t="s">
        <v>800</v>
      </c>
      <c r="U929" s="167" t="s">
        <v>801</v>
      </c>
      <c r="X929" s="169">
        <v>45139</v>
      </c>
      <c r="Y929" s="170">
        <v>26</v>
      </c>
      <c r="Z929" s="170">
        <v>0</v>
      </c>
      <c r="AA929" s="170">
        <v>0</v>
      </c>
      <c r="AB929" s="170">
        <v>0</v>
      </c>
      <c r="AC929" s="171">
        <v>26</v>
      </c>
      <c r="AD929" s="172">
        <v>16156403.84998</v>
      </c>
      <c r="AE929" s="173">
        <v>26</v>
      </c>
      <c r="AF929" s="174">
        <v>46357</v>
      </c>
    </row>
    <row r="930" spans="1:32" ht="20" x14ac:dyDescent="0.35">
      <c r="A930" s="162" t="s">
        <v>1078</v>
      </c>
      <c r="B930" s="163" t="s">
        <v>910</v>
      </c>
      <c r="C930" s="154"/>
      <c r="D930" s="162" t="s">
        <v>392</v>
      </c>
      <c r="E930" s="164" t="s">
        <v>392</v>
      </c>
      <c r="F930" s="164" t="s">
        <v>910</v>
      </c>
      <c r="G930" s="164" t="s">
        <v>1078</v>
      </c>
      <c r="H930" s="165">
        <v>33937</v>
      </c>
      <c r="I930" s="164" t="s">
        <v>20</v>
      </c>
      <c r="J930" s="164" t="s">
        <v>68</v>
      </c>
      <c r="K930" s="165">
        <v>45139</v>
      </c>
      <c r="L930" s="166" t="s">
        <v>394</v>
      </c>
      <c r="M930" s="154"/>
      <c r="N930" s="154"/>
      <c r="O930" s="164" t="s">
        <v>23</v>
      </c>
      <c r="P930" s="164">
        <v>33</v>
      </c>
      <c r="Q930" s="164">
        <v>2</v>
      </c>
      <c r="R930" s="167" t="s">
        <v>1079</v>
      </c>
      <c r="S930" s="167" t="s">
        <v>844</v>
      </c>
      <c r="T930" s="162" t="s">
        <v>800</v>
      </c>
      <c r="U930" s="167" t="s">
        <v>802</v>
      </c>
      <c r="X930" s="169">
        <v>45139</v>
      </c>
      <c r="Y930" s="170">
        <v>98</v>
      </c>
      <c r="Z930" s="170">
        <v>0</v>
      </c>
      <c r="AA930" s="170">
        <v>0</v>
      </c>
      <c r="AB930" s="170">
        <v>0</v>
      </c>
      <c r="AC930" s="171">
        <v>98</v>
      </c>
      <c r="AD930" s="172">
        <v>60897214.51145</v>
      </c>
      <c r="AE930" s="173">
        <v>98</v>
      </c>
      <c r="AF930" s="174">
        <v>46357</v>
      </c>
    </row>
    <row r="931" spans="1:32" ht="20" x14ac:dyDescent="0.35">
      <c r="A931" s="162" t="s">
        <v>1078</v>
      </c>
      <c r="B931" s="163" t="s">
        <v>910</v>
      </c>
      <c r="C931" s="154"/>
      <c r="D931" s="162" t="s">
        <v>392</v>
      </c>
      <c r="E931" s="164" t="s">
        <v>392</v>
      </c>
      <c r="F931" s="164" t="s">
        <v>910</v>
      </c>
      <c r="G931" s="164" t="s">
        <v>1078</v>
      </c>
      <c r="H931" s="165">
        <v>33937</v>
      </c>
      <c r="I931" s="164" t="s">
        <v>20</v>
      </c>
      <c r="J931" s="164" t="s">
        <v>68</v>
      </c>
      <c r="K931" s="165">
        <v>45139</v>
      </c>
      <c r="L931" s="166" t="s">
        <v>394</v>
      </c>
      <c r="M931" s="154"/>
      <c r="N931" s="154"/>
      <c r="O931" s="164" t="s">
        <v>23</v>
      </c>
      <c r="P931" s="164">
        <v>33</v>
      </c>
      <c r="Q931" s="164">
        <v>2</v>
      </c>
      <c r="R931" s="167" t="s">
        <v>1079</v>
      </c>
      <c r="S931" s="167" t="s">
        <v>844</v>
      </c>
      <c r="T931" s="162" t="s">
        <v>800</v>
      </c>
      <c r="U931" s="167" t="s">
        <v>803</v>
      </c>
      <c r="X931" s="169">
        <v>45139</v>
      </c>
      <c r="Y931" s="170">
        <v>2</v>
      </c>
      <c r="Z931" s="170">
        <v>0</v>
      </c>
      <c r="AA931" s="170">
        <v>0</v>
      </c>
      <c r="AB931" s="170">
        <v>0</v>
      </c>
      <c r="AC931" s="171">
        <v>2</v>
      </c>
      <c r="AD931" s="172">
        <v>1242800.2961500001</v>
      </c>
      <c r="AE931" s="173">
        <v>2</v>
      </c>
      <c r="AF931" s="174">
        <v>46357</v>
      </c>
    </row>
    <row r="932" spans="1:32" ht="20" x14ac:dyDescent="0.35">
      <c r="A932" s="162" t="s">
        <v>1078</v>
      </c>
      <c r="B932" s="163" t="s">
        <v>910</v>
      </c>
      <c r="C932" s="154"/>
      <c r="D932" s="162" t="s">
        <v>392</v>
      </c>
      <c r="E932" s="164" t="s">
        <v>392</v>
      </c>
      <c r="F932" s="164" t="s">
        <v>910</v>
      </c>
      <c r="G932" s="164" t="s">
        <v>1078</v>
      </c>
      <c r="H932" s="165">
        <v>33937</v>
      </c>
      <c r="I932" s="164" t="s">
        <v>20</v>
      </c>
      <c r="J932" s="164" t="s">
        <v>68</v>
      </c>
      <c r="K932" s="165">
        <v>45139</v>
      </c>
      <c r="L932" s="166" t="s">
        <v>394</v>
      </c>
      <c r="M932" s="154"/>
      <c r="N932" s="154"/>
      <c r="O932" s="164" t="s">
        <v>23</v>
      </c>
      <c r="P932" s="164">
        <v>33</v>
      </c>
      <c r="Q932" s="164">
        <v>2</v>
      </c>
      <c r="R932" s="167" t="s">
        <v>1079</v>
      </c>
      <c r="S932" s="167" t="s">
        <v>844</v>
      </c>
      <c r="T932" s="162" t="s">
        <v>800</v>
      </c>
      <c r="U932" s="167" t="s">
        <v>804</v>
      </c>
      <c r="X932" s="169">
        <v>45139</v>
      </c>
      <c r="Y932" s="170">
        <v>5</v>
      </c>
      <c r="Z932" s="170">
        <v>0</v>
      </c>
      <c r="AA932" s="170">
        <v>0</v>
      </c>
      <c r="AB932" s="170">
        <v>0</v>
      </c>
      <c r="AC932" s="171">
        <v>5</v>
      </c>
      <c r="AD932" s="172">
        <v>3107000.7403799999</v>
      </c>
      <c r="AE932" s="173">
        <v>5</v>
      </c>
      <c r="AF932" s="174">
        <v>46357</v>
      </c>
    </row>
    <row r="933" spans="1:32" ht="20" x14ac:dyDescent="0.35">
      <c r="A933" s="162" t="s">
        <v>1078</v>
      </c>
      <c r="B933" s="163" t="s">
        <v>910</v>
      </c>
      <c r="C933" s="154"/>
      <c r="D933" s="162" t="s">
        <v>392</v>
      </c>
      <c r="E933" s="164" t="s">
        <v>392</v>
      </c>
      <c r="F933" s="164" t="s">
        <v>910</v>
      </c>
      <c r="G933" s="164" t="s">
        <v>1078</v>
      </c>
      <c r="H933" s="165">
        <v>33937</v>
      </c>
      <c r="I933" s="164" t="s">
        <v>20</v>
      </c>
      <c r="J933" s="164" t="s">
        <v>68</v>
      </c>
      <c r="K933" s="165">
        <v>45139</v>
      </c>
      <c r="L933" s="166" t="s">
        <v>394</v>
      </c>
      <c r="M933" s="154"/>
      <c r="N933" s="154"/>
      <c r="O933" s="164" t="s">
        <v>23</v>
      </c>
      <c r="P933" s="164">
        <v>33</v>
      </c>
      <c r="Q933" s="164">
        <v>2</v>
      </c>
      <c r="R933" s="167" t="s">
        <v>1079</v>
      </c>
      <c r="S933" s="167" t="s">
        <v>844</v>
      </c>
      <c r="T933" s="162" t="s">
        <v>800</v>
      </c>
      <c r="U933" s="167" t="s">
        <v>805</v>
      </c>
      <c r="X933" s="169">
        <v>45139</v>
      </c>
      <c r="Y933" s="170">
        <v>2.4999999966690001</v>
      </c>
      <c r="Z933" s="170">
        <v>0.41666667000000002</v>
      </c>
      <c r="AA933" s="170">
        <v>0</v>
      </c>
      <c r="AB933" s="170">
        <v>0</v>
      </c>
      <c r="AC933" s="171">
        <v>2.9166666666690002</v>
      </c>
      <c r="AD933" s="172">
        <v>1812417.0985600001</v>
      </c>
      <c r="AE933" s="173">
        <v>2.92</v>
      </c>
      <c r="AF933" s="174">
        <v>46357</v>
      </c>
    </row>
    <row r="934" spans="1:32" ht="20" x14ac:dyDescent="0.35">
      <c r="A934" s="162" t="s">
        <v>1080</v>
      </c>
      <c r="B934" s="163" t="s">
        <v>1067</v>
      </c>
      <c r="C934" s="154"/>
      <c r="D934" s="162" t="s">
        <v>396</v>
      </c>
      <c r="E934" s="164" t="s">
        <v>396</v>
      </c>
      <c r="F934" s="164" t="s">
        <v>1067</v>
      </c>
      <c r="G934" s="164" t="s">
        <v>1080</v>
      </c>
      <c r="H934" s="165">
        <v>30279</v>
      </c>
      <c r="I934" s="164" t="s">
        <v>20</v>
      </c>
      <c r="J934" s="164" t="s">
        <v>68</v>
      </c>
      <c r="K934" s="165">
        <v>45148</v>
      </c>
      <c r="L934" s="166" t="s">
        <v>148</v>
      </c>
      <c r="M934" s="154"/>
      <c r="N934" s="154"/>
      <c r="O934" s="164" t="s">
        <v>65</v>
      </c>
      <c r="P934" s="164">
        <v>43</v>
      </c>
      <c r="Q934" s="164">
        <v>2</v>
      </c>
      <c r="R934" s="167" t="s">
        <v>919</v>
      </c>
      <c r="S934" s="167" t="s">
        <v>848</v>
      </c>
      <c r="T934" s="162" t="s">
        <v>794</v>
      </c>
      <c r="U934" s="167" t="s">
        <v>795</v>
      </c>
      <c r="V934" s="162" t="s">
        <v>1049</v>
      </c>
      <c r="W934" s="168">
        <v>2</v>
      </c>
      <c r="X934" s="169">
        <v>45444</v>
      </c>
      <c r="Y934" s="170">
        <v>23.666666669996999</v>
      </c>
      <c r="Z934" s="170">
        <v>1.8333333300000001</v>
      </c>
      <c r="AA934" s="170">
        <v>-11</v>
      </c>
      <c r="AB934" s="170">
        <v>0</v>
      </c>
      <c r="AC934" s="171">
        <v>14.499999999997</v>
      </c>
      <c r="AD934" s="172">
        <v>1744126.5438300001</v>
      </c>
      <c r="AE934" s="173" t="s">
        <v>797</v>
      </c>
      <c r="AF934" s="173"/>
    </row>
    <row r="935" spans="1:32" ht="20" x14ac:dyDescent="0.35">
      <c r="A935" s="162" t="s">
        <v>1080</v>
      </c>
      <c r="B935" s="163" t="s">
        <v>1067</v>
      </c>
      <c r="C935" s="154"/>
      <c r="D935" s="162" t="s">
        <v>396</v>
      </c>
      <c r="E935" s="164" t="s">
        <v>396</v>
      </c>
      <c r="F935" s="164" t="s">
        <v>1067</v>
      </c>
      <c r="G935" s="164" t="s">
        <v>1080</v>
      </c>
      <c r="H935" s="165">
        <v>30279</v>
      </c>
      <c r="I935" s="164" t="s">
        <v>20</v>
      </c>
      <c r="J935" s="164" t="s">
        <v>68</v>
      </c>
      <c r="K935" s="165">
        <v>45148</v>
      </c>
      <c r="L935" s="166" t="s">
        <v>148</v>
      </c>
      <c r="M935" s="154"/>
      <c r="N935" s="154"/>
      <c r="O935" s="164" t="s">
        <v>65</v>
      </c>
      <c r="P935" s="164">
        <v>43</v>
      </c>
      <c r="Q935" s="164">
        <v>2</v>
      </c>
      <c r="R935" s="167" t="s">
        <v>919</v>
      </c>
      <c r="S935" s="167" t="s">
        <v>848</v>
      </c>
      <c r="T935" s="162" t="s">
        <v>798</v>
      </c>
      <c r="U935" s="167" t="s">
        <v>839</v>
      </c>
      <c r="X935" s="169">
        <v>45444</v>
      </c>
      <c r="Y935" s="170">
        <v>180</v>
      </c>
      <c r="Z935" s="170">
        <v>0</v>
      </c>
      <c r="AA935" s="170">
        <v>0</v>
      </c>
      <c r="AB935" s="170">
        <v>0</v>
      </c>
      <c r="AC935" s="171">
        <v>180</v>
      </c>
      <c r="AD935" s="172">
        <v>21651226.0614</v>
      </c>
      <c r="AE935" s="173">
        <v>180</v>
      </c>
      <c r="AF935" s="174">
        <v>46357</v>
      </c>
    </row>
    <row r="936" spans="1:32" ht="20" x14ac:dyDescent="0.35">
      <c r="A936" s="162" t="s">
        <v>1080</v>
      </c>
      <c r="B936" s="163" t="s">
        <v>1067</v>
      </c>
      <c r="C936" s="154"/>
      <c r="D936" s="162" t="s">
        <v>396</v>
      </c>
      <c r="E936" s="164" t="s">
        <v>396</v>
      </c>
      <c r="F936" s="164" t="s">
        <v>1067</v>
      </c>
      <c r="G936" s="164" t="s">
        <v>1080</v>
      </c>
      <c r="H936" s="165">
        <v>30279</v>
      </c>
      <c r="I936" s="164" t="s">
        <v>20</v>
      </c>
      <c r="J936" s="164" t="s">
        <v>68</v>
      </c>
      <c r="K936" s="165">
        <v>45148</v>
      </c>
      <c r="L936" s="166" t="s">
        <v>148</v>
      </c>
      <c r="M936" s="154"/>
      <c r="N936" s="154"/>
      <c r="O936" s="164" t="s">
        <v>65</v>
      </c>
      <c r="P936" s="164">
        <v>43</v>
      </c>
      <c r="Q936" s="164">
        <v>2</v>
      </c>
      <c r="R936" s="167" t="s">
        <v>919</v>
      </c>
      <c r="S936" s="167" t="s">
        <v>848</v>
      </c>
      <c r="T936" s="162" t="s">
        <v>800</v>
      </c>
      <c r="U936" s="167" t="s">
        <v>801</v>
      </c>
      <c r="X936" s="169">
        <v>45444</v>
      </c>
      <c r="Y936" s="170">
        <v>25</v>
      </c>
      <c r="Z936" s="170">
        <v>0</v>
      </c>
      <c r="AA936" s="170">
        <v>0</v>
      </c>
      <c r="AB936" s="170">
        <v>0</v>
      </c>
      <c r="AC936" s="171">
        <v>25</v>
      </c>
      <c r="AD936" s="172">
        <v>3007114.7307500001</v>
      </c>
      <c r="AE936" s="173">
        <v>25</v>
      </c>
      <c r="AF936" s="174">
        <v>46357</v>
      </c>
    </row>
    <row r="937" spans="1:32" ht="20" x14ac:dyDescent="0.35">
      <c r="A937" s="162" t="s">
        <v>1080</v>
      </c>
      <c r="B937" s="163" t="s">
        <v>1067</v>
      </c>
      <c r="C937" s="154"/>
      <c r="D937" s="162" t="s">
        <v>396</v>
      </c>
      <c r="E937" s="164" t="s">
        <v>396</v>
      </c>
      <c r="F937" s="164" t="s">
        <v>1067</v>
      </c>
      <c r="G937" s="164" t="s">
        <v>1080</v>
      </c>
      <c r="H937" s="165">
        <v>30279</v>
      </c>
      <c r="I937" s="164" t="s">
        <v>20</v>
      </c>
      <c r="J937" s="164" t="s">
        <v>68</v>
      </c>
      <c r="K937" s="165">
        <v>45148</v>
      </c>
      <c r="L937" s="166" t="s">
        <v>148</v>
      </c>
      <c r="M937" s="154"/>
      <c r="N937" s="154"/>
      <c r="O937" s="164" t="s">
        <v>65</v>
      </c>
      <c r="P937" s="164">
        <v>43</v>
      </c>
      <c r="Q937" s="164">
        <v>2</v>
      </c>
      <c r="R937" s="167" t="s">
        <v>919</v>
      </c>
      <c r="S937" s="167" t="s">
        <v>848</v>
      </c>
      <c r="T937" s="162" t="s">
        <v>800</v>
      </c>
      <c r="U937" s="167" t="s">
        <v>802</v>
      </c>
      <c r="X937" s="169">
        <v>45444</v>
      </c>
      <c r="Y937" s="170">
        <v>98</v>
      </c>
      <c r="Z937" s="170">
        <v>0</v>
      </c>
      <c r="AA937" s="170">
        <v>0</v>
      </c>
      <c r="AB937" s="170">
        <v>0</v>
      </c>
      <c r="AC937" s="171">
        <v>98</v>
      </c>
      <c r="AD937" s="172">
        <v>11787889.74454</v>
      </c>
      <c r="AE937" s="173">
        <v>98</v>
      </c>
      <c r="AF937" s="174">
        <v>46357</v>
      </c>
    </row>
    <row r="938" spans="1:32" ht="20" x14ac:dyDescent="0.35">
      <c r="A938" s="162" t="s">
        <v>1080</v>
      </c>
      <c r="B938" s="163" t="s">
        <v>1067</v>
      </c>
      <c r="C938" s="154"/>
      <c r="D938" s="162" t="s">
        <v>396</v>
      </c>
      <c r="E938" s="164" t="s">
        <v>396</v>
      </c>
      <c r="F938" s="164" t="s">
        <v>1067</v>
      </c>
      <c r="G938" s="164" t="s">
        <v>1080</v>
      </c>
      <c r="H938" s="165">
        <v>30279</v>
      </c>
      <c r="I938" s="164" t="s">
        <v>20</v>
      </c>
      <c r="J938" s="164" t="s">
        <v>68</v>
      </c>
      <c r="K938" s="165">
        <v>45148</v>
      </c>
      <c r="L938" s="166" t="s">
        <v>148</v>
      </c>
      <c r="M938" s="154"/>
      <c r="N938" s="154"/>
      <c r="O938" s="164" t="s">
        <v>65</v>
      </c>
      <c r="P938" s="164">
        <v>43</v>
      </c>
      <c r="Q938" s="164">
        <v>2</v>
      </c>
      <c r="R938" s="167" t="s">
        <v>919</v>
      </c>
      <c r="S938" s="167" t="s">
        <v>848</v>
      </c>
      <c r="T938" s="162" t="s">
        <v>800</v>
      </c>
      <c r="U938" s="167" t="s">
        <v>803</v>
      </c>
      <c r="X938" s="169">
        <v>45444</v>
      </c>
      <c r="Y938" s="170">
        <v>2</v>
      </c>
      <c r="Z938" s="170">
        <v>0</v>
      </c>
      <c r="AA938" s="170">
        <v>0</v>
      </c>
      <c r="AB938" s="170">
        <v>0</v>
      </c>
      <c r="AC938" s="171">
        <v>2</v>
      </c>
      <c r="AD938" s="172">
        <v>240569.17846</v>
      </c>
      <c r="AE938" s="173">
        <v>2</v>
      </c>
      <c r="AF938" s="174">
        <v>46357</v>
      </c>
    </row>
    <row r="939" spans="1:32" ht="20" x14ac:dyDescent="0.35">
      <c r="A939" s="162" t="s">
        <v>1080</v>
      </c>
      <c r="B939" s="163" t="s">
        <v>1067</v>
      </c>
      <c r="C939" s="154"/>
      <c r="D939" s="162" t="s">
        <v>396</v>
      </c>
      <c r="E939" s="164" t="s">
        <v>396</v>
      </c>
      <c r="F939" s="164" t="s">
        <v>1067</v>
      </c>
      <c r="G939" s="164" t="s">
        <v>1080</v>
      </c>
      <c r="H939" s="165">
        <v>30279</v>
      </c>
      <c r="I939" s="164" t="s">
        <v>20</v>
      </c>
      <c r="J939" s="164" t="s">
        <v>68</v>
      </c>
      <c r="K939" s="165">
        <v>45148</v>
      </c>
      <c r="L939" s="166" t="s">
        <v>148</v>
      </c>
      <c r="M939" s="154"/>
      <c r="N939" s="154"/>
      <c r="O939" s="164" t="s">
        <v>65</v>
      </c>
      <c r="P939" s="164">
        <v>43</v>
      </c>
      <c r="Q939" s="164">
        <v>2</v>
      </c>
      <c r="R939" s="167" t="s">
        <v>919</v>
      </c>
      <c r="S939" s="167" t="s">
        <v>848</v>
      </c>
      <c r="T939" s="162" t="s">
        <v>800</v>
      </c>
      <c r="U939" s="167" t="s">
        <v>804</v>
      </c>
      <c r="X939" s="169">
        <v>45444</v>
      </c>
      <c r="Y939" s="170">
        <v>5</v>
      </c>
      <c r="Z939" s="170">
        <v>0</v>
      </c>
      <c r="AA939" s="170">
        <v>0</v>
      </c>
      <c r="AB939" s="170">
        <v>0</v>
      </c>
      <c r="AC939" s="171">
        <v>5</v>
      </c>
      <c r="AD939" s="172">
        <v>601422.94614999997</v>
      </c>
      <c r="AE939" s="173">
        <v>5</v>
      </c>
      <c r="AF939" s="174">
        <v>46357</v>
      </c>
    </row>
    <row r="940" spans="1:32" ht="20" x14ac:dyDescent="0.35">
      <c r="A940" s="162" t="s">
        <v>1080</v>
      </c>
      <c r="B940" s="163" t="s">
        <v>1067</v>
      </c>
      <c r="C940" s="154"/>
      <c r="D940" s="162" t="s">
        <v>396</v>
      </c>
      <c r="E940" s="164" t="s">
        <v>396</v>
      </c>
      <c r="F940" s="164" t="s">
        <v>1067</v>
      </c>
      <c r="G940" s="164" t="s">
        <v>1080</v>
      </c>
      <c r="H940" s="165">
        <v>30279</v>
      </c>
      <c r="I940" s="164" t="s">
        <v>20</v>
      </c>
      <c r="J940" s="164" t="s">
        <v>68</v>
      </c>
      <c r="K940" s="165">
        <v>45148</v>
      </c>
      <c r="L940" s="166" t="s">
        <v>148</v>
      </c>
      <c r="M940" s="154"/>
      <c r="N940" s="154"/>
      <c r="O940" s="164" t="s">
        <v>65</v>
      </c>
      <c r="P940" s="164">
        <v>43</v>
      </c>
      <c r="Q940" s="164">
        <v>2</v>
      </c>
      <c r="R940" s="167" t="s">
        <v>919</v>
      </c>
      <c r="S940" s="167" t="s">
        <v>848</v>
      </c>
      <c r="T940" s="162" t="s">
        <v>800</v>
      </c>
      <c r="U940" s="167" t="s">
        <v>840</v>
      </c>
      <c r="X940" s="169">
        <v>45444</v>
      </c>
      <c r="Y940" s="170">
        <v>1.4999999966690001</v>
      </c>
      <c r="Z940" s="170">
        <v>0.41666667000000002</v>
      </c>
      <c r="AA940" s="170">
        <v>0</v>
      </c>
      <c r="AB940" s="170">
        <v>0</v>
      </c>
      <c r="AC940" s="171">
        <v>1.916666666669</v>
      </c>
      <c r="AD940" s="172">
        <v>230545.46268999999</v>
      </c>
      <c r="AE940" s="173">
        <v>1.92</v>
      </c>
      <c r="AF940" s="174">
        <v>46357</v>
      </c>
    </row>
    <row r="941" spans="1:32" ht="20" x14ac:dyDescent="0.35">
      <c r="A941" s="162" t="s">
        <v>678</v>
      </c>
      <c r="B941" s="163" t="s">
        <v>1081</v>
      </c>
      <c r="C941" s="154"/>
      <c r="D941" s="162" t="s">
        <v>399</v>
      </c>
      <c r="E941" s="164" t="s">
        <v>399</v>
      </c>
      <c r="F941" s="164" t="s">
        <v>1081</v>
      </c>
      <c r="G941" s="164" t="s">
        <v>678</v>
      </c>
      <c r="H941" s="165">
        <v>34414</v>
      </c>
      <c r="I941" s="164" t="s">
        <v>20</v>
      </c>
      <c r="J941" s="164" t="s">
        <v>68</v>
      </c>
      <c r="K941" s="165">
        <v>45139</v>
      </c>
      <c r="L941" s="166" t="s">
        <v>401</v>
      </c>
      <c r="M941" s="154"/>
      <c r="N941" s="154"/>
      <c r="O941" s="164" t="s">
        <v>65</v>
      </c>
      <c r="P941" s="164">
        <v>32</v>
      </c>
      <c r="Q941" s="164">
        <v>2</v>
      </c>
      <c r="R941" s="167" t="s">
        <v>986</v>
      </c>
      <c r="S941" s="167" t="s">
        <v>832</v>
      </c>
      <c r="T941" s="162" t="s">
        <v>794</v>
      </c>
      <c r="U941" s="167" t="s">
        <v>795</v>
      </c>
      <c r="V941" s="162" t="s">
        <v>1049</v>
      </c>
      <c r="W941" s="168">
        <v>2</v>
      </c>
      <c r="X941" s="169">
        <v>45139</v>
      </c>
      <c r="Y941" s="170">
        <v>13.166666666655001</v>
      </c>
      <c r="Z941" s="170">
        <v>1.8333333300000001</v>
      </c>
      <c r="AA941" s="170">
        <v>0</v>
      </c>
      <c r="AB941" s="170">
        <v>0</v>
      </c>
      <c r="AC941" s="171">
        <v>14.999999996654999</v>
      </c>
      <c r="AD941" s="172">
        <v>3074775.4896900002</v>
      </c>
      <c r="AE941" s="173" t="s">
        <v>797</v>
      </c>
      <c r="AF941" s="173"/>
    </row>
    <row r="942" spans="1:32" ht="20" x14ac:dyDescent="0.35">
      <c r="A942" s="162" t="s">
        <v>678</v>
      </c>
      <c r="B942" s="163" t="s">
        <v>1081</v>
      </c>
      <c r="C942" s="154"/>
      <c r="D942" s="162" t="s">
        <v>399</v>
      </c>
      <c r="E942" s="164" t="s">
        <v>399</v>
      </c>
      <c r="F942" s="164" t="s">
        <v>1081</v>
      </c>
      <c r="G942" s="164" t="s">
        <v>678</v>
      </c>
      <c r="H942" s="165">
        <v>34414</v>
      </c>
      <c r="I942" s="164" t="s">
        <v>20</v>
      </c>
      <c r="J942" s="164" t="s">
        <v>68</v>
      </c>
      <c r="K942" s="165">
        <v>45139</v>
      </c>
      <c r="L942" s="166" t="s">
        <v>401</v>
      </c>
      <c r="M942" s="154"/>
      <c r="N942" s="154"/>
      <c r="O942" s="164" t="s">
        <v>65</v>
      </c>
      <c r="P942" s="164">
        <v>32</v>
      </c>
      <c r="Q942" s="164">
        <v>2</v>
      </c>
      <c r="R942" s="167" t="s">
        <v>986</v>
      </c>
      <c r="S942" s="167" t="s">
        <v>832</v>
      </c>
      <c r="T942" s="162" t="s">
        <v>798</v>
      </c>
      <c r="U942" s="167" t="s">
        <v>839</v>
      </c>
      <c r="X942" s="169">
        <v>45139</v>
      </c>
      <c r="Y942" s="170">
        <v>180</v>
      </c>
      <c r="Z942" s="170">
        <v>0</v>
      </c>
      <c r="AA942" s="170">
        <v>0</v>
      </c>
      <c r="AB942" s="170">
        <v>0</v>
      </c>
      <c r="AC942" s="171">
        <v>180</v>
      </c>
      <c r="AD942" s="172">
        <v>36897305.884559996</v>
      </c>
      <c r="AE942" s="173">
        <v>180</v>
      </c>
      <c r="AF942" s="174">
        <v>46357</v>
      </c>
    </row>
    <row r="943" spans="1:32" ht="20" x14ac:dyDescent="0.35">
      <c r="A943" s="162" t="s">
        <v>678</v>
      </c>
      <c r="B943" s="163" t="s">
        <v>1081</v>
      </c>
      <c r="C943" s="154"/>
      <c r="D943" s="162" t="s">
        <v>399</v>
      </c>
      <c r="E943" s="164" t="s">
        <v>399</v>
      </c>
      <c r="F943" s="164" t="s">
        <v>1081</v>
      </c>
      <c r="G943" s="164" t="s">
        <v>678</v>
      </c>
      <c r="H943" s="165">
        <v>34414</v>
      </c>
      <c r="I943" s="164" t="s">
        <v>20</v>
      </c>
      <c r="J943" s="164" t="s">
        <v>68</v>
      </c>
      <c r="K943" s="165">
        <v>45139</v>
      </c>
      <c r="L943" s="166" t="s">
        <v>401</v>
      </c>
      <c r="M943" s="154"/>
      <c r="N943" s="154"/>
      <c r="O943" s="164" t="s">
        <v>65</v>
      </c>
      <c r="P943" s="164">
        <v>32</v>
      </c>
      <c r="Q943" s="164">
        <v>2</v>
      </c>
      <c r="R943" s="167" t="s">
        <v>986</v>
      </c>
      <c r="S943" s="167" t="s">
        <v>832</v>
      </c>
      <c r="T943" s="162" t="s">
        <v>800</v>
      </c>
      <c r="U943" s="167" t="s">
        <v>801</v>
      </c>
      <c r="X943" s="169">
        <v>45139</v>
      </c>
      <c r="Y943" s="170">
        <v>26</v>
      </c>
      <c r="Z943" s="170">
        <v>0</v>
      </c>
      <c r="AA943" s="170">
        <v>0</v>
      </c>
      <c r="AB943" s="170">
        <v>0</v>
      </c>
      <c r="AC943" s="171">
        <v>26</v>
      </c>
      <c r="AD943" s="172">
        <v>5329610.84999</v>
      </c>
      <c r="AE943" s="173">
        <v>26</v>
      </c>
      <c r="AF943" s="174">
        <v>46357</v>
      </c>
    </row>
    <row r="944" spans="1:32" ht="20" x14ac:dyDescent="0.35">
      <c r="A944" s="162" t="s">
        <v>678</v>
      </c>
      <c r="B944" s="163" t="s">
        <v>1081</v>
      </c>
      <c r="C944" s="154"/>
      <c r="D944" s="162" t="s">
        <v>399</v>
      </c>
      <c r="E944" s="164" t="s">
        <v>399</v>
      </c>
      <c r="F944" s="164" t="s">
        <v>1081</v>
      </c>
      <c r="G944" s="164" t="s">
        <v>678</v>
      </c>
      <c r="H944" s="165">
        <v>34414</v>
      </c>
      <c r="I944" s="164" t="s">
        <v>20</v>
      </c>
      <c r="J944" s="164" t="s">
        <v>68</v>
      </c>
      <c r="K944" s="165">
        <v>45139</v>
      </c>
      <c r="L944" s="166" t="s">
        <v>401</v>
      </c>
      <c r="M944" s="154"/>
      <c r="N944" s="154"/>
      <c r="O944" s="164" t="s">
        <v>65</v>
      </c>
      <c r="P944" s="164">
        <v>32</v>
      </c>
      <c r="Q944" s="164">
        <v>2</v>
      </c>
      <c r="R944" s="167" t="s">
        <v>986</v>
      </c>
      <c r="S944" s="167" t="s">
        <v>832</v>
      </c>
      <c r="T944" s="162" t="s">
        <v>800</v>
      </c>
      <c r="U944" s="167" t="s">
        <v>802</v>
      </c>
      <c r="X944" s="169">
        <v>45139</v>
      </c>
      <c r="Y944" s="170">
        <v>98</v>
      </c>
      <c r="Z944" s="170">
        <v>0</v>
      </c>
      <c r="AA944" s="170">
        <v>0</v>
      </c>
      <c r="AB944" s="170">
        <v>0</v>
      </c>
      <c r="AC944" s="171">
        <v>98</v>
      </c>
      <c r="AD944" s="172">
        <v>20088533.203820001</v>
      </c>
      <c r="AE944" s="173">
        <v>98</v>
      </c>
      <c r="AF944" s="174">
        <v>46357</v>
      </c>
    </row>
    <row r="945" spans="1:32" ht="20" x14ac:dyDescent="0.35">
      <c r="A945" s="162" t="s">
        <v>678</v>
      </c>
      <c r="B945" s="163" t="s">
        <v>1081</v>
      </c>
      <c r="C945" s="154"/>
      <c r="D945" s="162" t="s">
        <v>399</v>
      </c>
      <c r="E945" s="164" t="s">
        <v>399</v>
      </c>
      <c r="F945" s="164" t="s">
        <v>1081</v>
      </c>
      <c r="G945" s="164" t="s">
        <v>678</v>
      </c>
      <c r="H945" s="165">
        <v>34414</v>
      </c>
      <c r="I945" s="164" t="s">
        <v>20</v>
      </c>
      <c r="J945" s="164" t="s">
        <v>68</v>
      </c>
      <c r="K945" s="165">
        <v>45139</v>
      </c>
      <c r="L945" s="166" t="s">
        <v>401</v>
      </c>
      <c r="M945" s="154"/>
      <c r="N945" s="154"/>
      <c r="O945" s="164" t="s">
        <v>65</v>
      </c>
      <c r="P945" s="164">
        <v>32</v>
      </c>
      <c r="Q945" s="164">
        <v>2</v>
      </c>
      <c r="R945" s="167" t="s">
        <v>986</v>
      </c>
      <c r="S945" s="167" t="s">
        <v>832</v>
      </c>
      <c r="T945" s="162" t="s">
        <v>800</v>
      </c>
      <c r="U945" s="167" t="s">
        <v>803</v>
      </c>
      <c r="X945" s="169">
        <v>45139</v>
      </c>
      <c r="Y945" s="170">
        <v>0</v>
      </c>
      <c r="Z945" s="170">
        <v>0</v>
      </c>
      <c r="AA945" s="170">
        <v>0</v>
      </c>
      <c r="AB945" s="170">
        <v>0</v>
      </c>
      <c r="AC945" s="171">
        <v>0</v>
      </c>
      <c r="AD945" s="172">
        <v>0</v>
      </c>
      <c r="AE945" s="173">
        <v>0</v>
      </c>
      <c r="AF945" s="174">
        <v>46357</v>
      </c>
    </row>
    <row r="946" spans="1:32" ht="20" x14ac:dyDescent="0.35">
      <c r="A946" s="162" t="s">
        <v>678</v>
      </c>
      <c r="B946" s="163" t="s">
        <v>1081</v>
      </c>
      <c r="C946" s="154"/>
      <c r="D946" s="162" t="s">
        <v>399</v>
      </c>
      <c r="E946" s="164" t="s">
        <v>399</v>
      </c>
      <c r="F946" s="164" t="s">
        <v>1081</v>
      </c>
      <c r="G946" s="164" t="s">
        <v>678</v>
      </c>
      <c r="H946" s="165">
        <v>34414</v>
      </c>
      <c r="I946" s="164" t="s">
        <v>20</v>
      </c>
      <c r="J946" s="164" t="s">
        <v>68</v>
      </c>
      <c r="K946" s="165">
        <v>45139</v>
      </c>
      <c r="L946" s="166" t="s">
        <v>401</v>
      </c>
      <c r="M946" s="154"/>
      <c r="N946" s="154"/>
      <c r="O946" s="164" t="s">
        <v>65</v>
      </c>
      <c r="P946" s="164">
        <v>32</v>
      </c>
      <c r="Q946" s="164">
        <v>2</v>
      </c>
      <c r="R946" s="167" t="s">
        <v>986</v>
      </c>
      <c r="S946" s="167" t="s">
        <v>832</v>
      </c>
      <c r="T946" s="162" t="s">
        <v>800</v>
      </c>
      <c r="U946" s="167" t="s">
        <v>804</v>
      </c>
      <c r="X946" s="169">
        <v>45139</v>
      </c>
      <c r="Y946" s="170">
        <v>5</v>
      </c>
      <c r="Z946" s="170">
        <v>0</v>
      </c>
      <c r="AA946" s="170">
        <v>0</v>
      </c>
      <c r="AB946" s="170">
        <v>0</v>
      </c>
      <c r="AC946" s="171">
        <v>5</v>
      </c>
      <c r="AD946" s="172">
        <v>1024925.16346</v>
      </c>
      <c r="AE946" s="173">
        <v>5</v>
      </c>
      <c r="AF946" s="174">
        <v>46357</v>
      </c>
    </row>
    <row r="947" spans="1:32" ht="20" x14ac:dyDescent="0.35">
      <c r="A947" s="162" t="s">
        <v>678</v>
      </c>
      <c r="B947" s="163" t="s">
        <v>1081</v>
      </c>
      <c r="C947" s="154"/>
      <c r="D947" s="162" t="s">
        <v>399</v>
      </c>
      <c r="E947" s="164" t="s">
        <v>399</v>
      </c>
      <c r="F947" s="164" t="s">
        <v>1081</v>
      </c>
      <c r="G947" s="164" t="s">
        <v>678</v>
      </c>
      <c r="H947" s="165">
        <v>34414</v>
      </c>
      <c r="I947" s="164" t="s">
        <v>20</v>
      </c>
      <c r="J947" s="164" t="s">
        <v>68</v>
      </c>
      <c r="K947" s="165">
        <v>45139</v>
      </c>
      <c r="L947" s="166" t="s">
        <v>401</v>
      </c>
      <c r="M947" s="154"/>
      <c r="N947" s="154"/>
      <c r="O947" s="164" t="s">
        <v>65</v>
      </c>
      <c r="P947" s="164">
        <v>32</v>
      </c>
      <c r="Q947" s="164">
        <v>2</v>
      </c>
      <c r="R947" s="167" t="s">
        <v>986</v>
      </c>
      <c r="S947" s="167" t="s">
        <v>832</v>
      </c>
      <c r="T947" s="162" t="s">
        <v>800</v>
      </c>
      <c r="U947" s="167" t="s">
        <v>840</v>
      </c>
      <c r="X947" s="169">
        <v>45139</v>
      </c>
      <c r="Y947" s="170">
        <v>2.4999999966690001</v>
      </c>
      <c r="Z947" s="170">
        <v>0.41666667000000002</v>
      </c>
      <c r="AA947" s="170">
        <v>0</v>
      </c>
      <c r="AB947" s="170">
        <v>0</v>
      </c>
      <c r="AC947" s="171">
        <v>2.9166666666690002</v>
      </c>
      <c r="AD947" s="172">
        <v>597873.01202000002</v>
      </c>
      <c r="AE947" s="173">
        <v>2.92</v>
      </c>
      <c r="AF947" s="174">
        <v>46357</v>
      </c>
    </row>
    <row r="948" spans="1:32" ht="20" x14ac:dyDescent="0.35">
      <c r="A948" s="162" t="s">
        <v>1082</v>
      </c>
      <c r="B948" s="163" t="s">
        <v>1027</v>
      </c>
      <c r="C948" s="154"/>
      <c r="D948" s="162" t="s">
        <v>402</v>
      </c>
      <c r="E948" s="164" t="s">
        <v>402</v>
      </c>
      <c r="F948" s="164" t="s">
        <v>1027</v>
      </c>
      <c r="G948" s="164" t="s">
        <v>1082</v>
      </c>
      <c r="H948" s="165">
        <v>30520</v>
      </c>
      <c r="I948" s="164" t="s">
        <v>20</v>
      </c>
      <c r="J948" s="164" t="s">
        <v>68</v>
      </c>
      <c r="K948" s="165">
        <v>45170</v>
      </c>
      <c r="L948" s="166" t="s">
        <v>404</v>
      </c>
      <c r="M948" s="154"/>
      <c r="N948" s="154"/>
      <c r="O948" s="164" t="s">
        <v>405</v>
      </c>
      <c r="P948" s="164">
        <v>43</v>
      </c>
      <c r="Q948" s="164">
        <v>2</v>
      </c>
      <c r="R948" s="167" t="s">
        <v>1009</v>
      </c>
      <c r="S948" s="167" t="s">
        <v>844</v>
      </c>
      <c r="T948" s="162" t="s">
        <v>794</v>
      </c>
      <c r="U948" s="167" t="s">
        <v>833</v>
      </c>
      <c r="V948" s="162" t="s">
        <v>828</v>
      </c>
      <c r="W948" s="168">
        <v>2</v>
      </c>
      <c r="X948" s="169">
        <v>45170</v>
      </c>
      <c r="Y948" s="170">
        <v>14</v>
      </c>
      <c r="Z948" s="170">
        <v>2</v>
      </c>
      <c r="AA948" s="170">
        <v>-3</v>
      </c>
      <c r="AB948" s="170">
        <v>0</v>
      </c>
      <c r="AC948" s="171">
        <v>13</v>
      </c>
      <c r="AD948" s="172">
        <v>63354054.614990003</v>
      </c>
      <c r="AE948" s="173" t="s">
        <v>797</v>
      </c>
      <c r="AF948" s="173"/>
    </row>
    <row r="949" spans="1:32" ht="20" x14ac:dyDescent="0.35">
      <c r="A949" s="162" t="s">
        <v>1082</v>
      </c>
      <c r="B949" s="163" t="s">
        <v>1027</v>
      </c>
      <c r="C949" s="154"/>
      <c r="D949" s="162" t="s">
        <v>402</v>
      </c>
      <c r="E949" s="164" t="s">
        <v>402</v>
      </c>
      <c r="F949" s="164" t="s">
        <v>1027</v>
      </c>
      <c r="G949" s="164" t="s">
        <v>1082</v>
      </c>
      <c r="H949" s="165">
        <v>30520</v>
      </c>
      <c r="I949" s="164" t="s">
        <v>20</v>
      </c>
      <c r="J949" s="164" t="s">
        <v>68</v>
      </c>
      <c r="K949" s="165">
        <v>45170</v>
      </c>
      <c r="L949" s="166" t="s">
        <v>404</v>
      </c>
      <c r="M949" s="154"/>
      <c r="N949" s="154"/>
      <c r="O949" s="164" t="s">
        <v>405</v>
      </c>
      <c r="P949" s="164">
        <v>43</v>
      </c>
      <c r="Q949" s="164">
        <v>2</v>
      </c>
      <c r="R949" s="167" t="s">
        <v>1009</v>
      </c>
      <c r="S949" s="167" t="s">
        <v>844</v>
      </c>
      <c r="T949" s="162" t="s">
        <v>798</v>
      </c>
      <c r="U949" s="167" t="s">
        <v>799</v>
      </c>
      <c r="X949" s="169">
        <v>45170</v>
      </c>
      <c r="Y949" s="170">
        <v>180</v>
      </c>
      <c r="Z949" s="170">
        <v>0</v>
      </c>
      <c r="AA949" s="170">
        <v>0</v>
      </c>
      <c r="AB949" s="170">
        <v>0</v>
      </c>
      <c r="AC949" s="171">
        <v>180</v>
      </c>
      <c r="AD949" s="172">
        <v>877209986.97684002</v>
      </c>
      <c r="AE949" s="173">
        <v>180</v>
      </c>
      <c r="AF949" s="174">
        <v>46357</v>
      </c>
    </row>
    <row r="950" spans="1:32" ht="20" x14ac:dyDescent="0.35">
      <c r="A950" s="162" t="s">
        <v>1082</v>
      </c>
      <c r="B950" s="163" t="s">
        <v>1027</v>
      </c>
      <c r="C950" s="154"/>
      <c r="D950" s="162" t="s">
        <v>402</v>
      </c>
      <c r="E950" s="164" t="s">
        <v>402</v>
      </c>
      <c r="F950" s="164" t="s">
        <v>1027</v>
      </c>
      <c r="G950" s="164" t="s">
        <v>1082</v>
      </c>
      <c r="H950" s="165">
        <v>30520</v>
      </c>
      <c r="I950" s="164" t="s">
        <v>20</v>
      </c>
      <c r="J950" s="164" t="s">
        <v>68</v>
      </c>
      <c r="K950" s="165">
        <v>45170</v>
      </c>
      <c r="L950" s="166" t="s">
        <v>404</v>
      </c>
      <c r="M950" s="154"/>
      <c r="N950" s="154"/>
      <c r="O950" s="164" t="s">
        <v>405</v>
      </c>
      <c r="P950" s="164">
        <v>43</v>
      </c>
      <c r="Q950" s="164">
        <v>2</v>
      </c>
      <c r="R950" s="167" t="s">
        <v>1009</v>
      </c>
      <c r="S950" s="167" t="s">
        <v>844</v>
      </c>
      <c r="T950" s="162" t="s">
        <v>800</v>
      </c>
      <c r="U950" s="167" t="s">
        <v>801</v>
      </c>
      <c r="X950" s="169">
        <v>45170</v>
      </c>
      <c r="Y950" s="170">
        <v>26</v>
      </c>
      <c r="Z950" s="170">
        <v>0</v>
      </c>
      <c r="AA950" s="170">
        <v>0</v>
      </c>
      <c r="AB950" s="170">
        <v>0</v>
      </c>
      <c r="AC950" s="171">
        <v>26</v>
      </c>
      <c r="AD950" s="172">
        <v>126708109.22999001</v>
      </c>
      <c r="AE950" s="173">
        <v>26</v>
      </c>
      <c r="AF950" s="174">
        <v>46357</v>
      </c>
    </row>
    <row r="951" spans="1:32" ht="20" x14ac:dyDescent="0.35">
      <c r="A951" s="162" t="s">
        <v>1082</v>
      </c>
      <c r="B951" s="163" t="s">
        <v>1027</v>
      </c>
      <c r="C951" s="154"/>
      <c r="D951" s="162" t="s">
        <v>402</v>
      </c>
      <c r="E951" s="164" t="s">
        <v>402</v>
      </c>
      <c r="F951" s="164" t="s">
        <v>1027</v>
      </c>
      <c r="G951" s="164" t="s">
        <v>1082</v>
      </c>
      <c r="H951" s="165">
        <v>30520</v>
      </c>
      <c r="I951" s="164" t="s">
        <v>20</v>
      </c>
      <c r="J951" s="164" t="s">
        <v>68</v>
      </c>
      <c r="K951" s="165">
        <v>45170</v>
      </c>
      <c r="L951" s="166" t="s">
        <v>404</v>
      </c>
      <c r="M951" s="154"/>
      <c r="N951" s="154"/>
      <c r="O951" s="164" t="s">
        <v>405</v>
      </c>
      <c r="P951" s="164">
        <v>43</v>
      </c>
      <c r="Q951" s="164">
        <v>2</v>
      </c>
      <c r="R951" s="167" t="s">
        <v>1009</v>
      </c>
      <c r="S951" s="167" t="s">
        <v>844</v>
      </c>
      <c r="T951" s="162" t="s">
        <v>800</v>
      </c>
      <c r="U951" s="167" t="s">
        <v>802</v>
      </c>
      <c r="X951" s="169">
        <v>45170</v>
      </c>
      <c r="Y951" s="170">
        <v>98</v>
      </c>
      <c r="Z951" s="170">
        <v>0</v>
      </c>
      <c r="AA951" s="170">
        <v>0</v>
      </c>
      <c r="AB951" s="170">
        <v>0</v>
      </c>
      <c r="AC951" s="171">
        <v>98</v>
      </c>
      <c r="AD951" s="172">
        <v>477592104.02072001</v>
      </c>
      <c r="AE951" s="173">
        <v>98</v>
      </c>
      <c r="AF951" s="174">
        <v>46357</v>
      </c>
    </row>
    <row r="952" spans="1:32" ht="20" x14ac:dyDescent="0.35">
      <c r="A952" s="162" t="s">
        <v>1082</v>
      </c>
      <c r="B952" s="163" t="s">
        <v>1027</v>
      </c>
      <c r="C952" s="154"/>
      <c r="D952" s="162" t="s">
        <v>402</v>
      </c>
      <c r="E952" s="164" t="s">
        <v>402</v>
      </c>
      <c r="F952" s="164" t="s">
        <v>1027</v>
      </c>
      <c r="G952" s="164" t="s">
        <v>1082</v>
      </c>
      <c r="H952" s="165">
        <v>30520</v>
      </c>
      <c r="I952" s="164" t="s">
        <v>20</v>
      </c>
      <c r="J952" s="164" t="s">
        <v>68</v>
      </c>
      <c r="K952" s="165">
        <v>45170</v>
      </c>
      <c r="L952" s="166" t="s">
        <v>404</v>
      </c>
      <c r="M952" s="154"/>
      <c r="N952" s="154"/>
      <c r="O952" s="164" t="s">
        <v>405</v>
      </c>
      <c r="P952" s="164">
        <v>43</v>
      </c>
      <c r="Q952" s="164">
        <v>2</v>
      </c>
      <c r="R952" s="167" t="s">
        <v>1009</v>
      </c>
      <c r="S952" s="167" t="s">
        <v>844</v>
      </c>
      <c r="T952" s="162" t="s">
        <v>800</v>
      </c>
      <c r="U952" s="167" t="s">
        <v>803</v>
      </c>
      <c r="X952" s="169">
        <v>45170</v>
      </c>
      <c r="Y952" s="170">
        <v>2</v>
      </c>
      <c r="Z952" s="170">
        <v>0</v>
      </c>
      <c r="AA952" s="170">
        <v>0</v>
      </c>
      <c r="AB952" s="170">
        <v>0</v>
      </c>
      <c r="AC952" s="171">
        <v>2</v>
      </c>
      <c r="AD952" s="172">
        <v>9746777.6330800001</v>
      </c>
      <c r="AE952" s="173">
        <v>2</v>
      </c>
      <c r="AF952" s="174">
        <v>46357</v>
      </c>
    </row>
    <row r="953" spans="1:32" ht="20" x14ac:dyDescent="0.35">
      <c r="A953" s="162" t="s">
        <v>1082</v>
      </c>
      <c r="B953" s="163" t="s">
        <v>1027</v>
      </c>
      <c r="C953" s="154"/>
      <c r="D953" s="162" t="s">
        <v>402</v>
      </c>
      <c r="E953" s="164" t="s">
        <v>402</v>
      </c>
      <c r="F953" s="164" t="s">
        <v>1027</v>
      </c>
      <c r="G953" s="164" t="s">
        <v>1082</v>
      </c>
      <c r="H953" s="165">
        <v>30520</v>
      </c>
      <c r="I953" s="164" t="s">
        <v>20</v>
      </c>
      <c r="J953" s="164" t="s">
        <v>68</v>
      </c>
      <c r="K953" s="165">
        <v>45170</v>
      </c>
      <c r="L953" s="166" t="s">
        <v>404</v>
      </c>
      <c r="M953" s="154"/>
      <c r="N953" s="154"/>
      <c r="O953" s="164" t="s">
        <v>405</v>
      </c>
      <c r="P953" s="164">
        <v>43</v>
      </c>
      <c r="Q953" s="164">
        <v>2</v>
      </c>
      <c r="R953" s="167" t="s">
        <v>1009</v>
      </c>
      <c r="S953" s="167" t="s">
        <v>844</v>
      </c>
      <c r="T953" s="162" t="s">
        <v>800</v>
      </c>
      <c r="U953" s="167" t="s">
        <v>804</v>
      </c>
      <c r="X953" s="169">
        <v>45170</v>
      </c>
      <c r="Y953" s="170">
        <v>5</v>
      </c>
      <c r="Z953" s="170">
        <v>0</v>
      </c>
      <c r="AA953" s="170">
        <v>0</v>
      </c>
      <c r="AB953" s="170">
        <v>0</v>
      </c>
      <c r="AC953" s="171">
        <v>5</v>
      </c>
      <c r="AD953" s="172">
        <v>24366944.082690001</v>
      </c>
      <c r="AE953" s="173">
        <v>5</v>
      </c>
      <c r="AF953" s="174">
        <v>46357</v>
      </c>
    </row>
    <row r="954" spans="1:32" ht="20" x14ac:dyDescent="0.35">
      <c r="A954" s="162" t="s">
        <v>1082</v>
      </c>
      <c r="B954" s="163" t="s">
        <v>1027</v>
      </c>
      <c r="C954" s="154"/>
      <c r="D954" s="162" t="s">
        <v>402</v>
      </c>
      <c r="E954" s="164" t="s">
        <v>402</v>
      </c>
      <c r="F954" s="164" t="s">
        <v>1027</v>
      </c>
      <c r="G954" s="164" t="s">
        <v>1082</v>
      </c>
      <c r="H954" s="165">
        <v>30520</v>
      </c>
      <c r="I954" s="164" t="s">
        <v>20</v>
      </c>
      <c r="J954" s="164" t="s">
        <v>68</v>
      </c>
      <c r="K954" s="165">
        <v>45170</v>
      </c>
      <c r="L954" s="166" t="s">
        <v>404</v>
      </c>
      <c r="M954" s="154"/>
      <c r="N954" s="154"/>
      <c r="O954" s="164" t="s">
        <v>405</v>
      </c>
      <c r="P954" s="164">
        <v>43</v>
      </c>
      <c r="Q954" s="164">
        <v>2</v>
      </c>
      <c r="R954" s="167" t="s">
        <v>1009</v>
      </c>
      <c r="S954" s="167" t="s">
        <v>844</v>
      </c>
      <c r="T954" s="162" t="s">
        <v>800</v>
      </c>
      <c r="U954" s="167" t="s">
        <v>805</v>
      </c>
      <c r="X954" s="169">
        <v>45170</v>
      </c>
      <c r="Y954" s="170">
        <v>2.4999999966690001</v>
      </c>
      <c r="Z954" s="170">
        <v>0.41666667000000002</v>
      </c>
      <c r="AA954" s="170">
        <v>0</v>
      </c>
      <c r="AB954" s="170">
        <v>0</v>
      </c>
      <c r="AC954" s="171">
        <v>2.9166666666690002</v>
      </c>
      <c r="AD954" s="172">
        <v>14214050.714910001</v>
      </c>
      <c r="AE954" s="173">
        <v>2.92</v>
      </c>
      <c r="AF954" s="174">
        <v>46357</v>
      </c>
    </row>
    <row r="955" spans="1:32" ht="20" x14ac:dyDescent="0.35">
      <c r="A955" s="162" t="s">
        <v>1083</v>
      </c>
      <c r="B955" s="163" t="s">
        <v>1084</v>
      </c>
      <c r="C955" s="154"/>
      <c r="D955" s="162" t="s">
        <v>406</v>
      </c>
      <c r="E955" s="164" t="s">
        <v>406</v>
      </c>
      <c r="F955" s="164" t="s">
        <v>1084</v>
      </c>
      <c r="G955" s="164" t="s">
        <v>1083</v>
      </c>
      <c r="H955" s="165">
        <v>35066</v>
      </c>
      <c r="I955" s="164" t="s">
        <v>20</v>
      </c>
      <c r="J955" s="164" t="s">
        <v>68</v>
      </c>
      <c r="K955" s="165">
        <v>45190</v>
      </c>
      <c r="L955" s="166" t="s">
        <v>408</v>
      </c>
      <c r="M955" s="154"/>
      <c r="N955" s="154"/>
      <c r="O955" s="164" t="s">
        <v>65</v>
      </c>
      <c r="P955" s="164">
        <v>30</v>
      </c>
      <c r="Q955" s="164">
        <v>2</v>
      </c>
      <c r="R955" s="167" t="s">
        <v>885</v>
      </c>
      <c r="S955" s="167" t="s">
        <v>844</v>
      </c>
      <c r="T955" s="162" t="s">
        <v>794</v>
      </c>
      <c r="U955" s="167" t="s">
        <v>795</v>
      </c>
      <c r="V955" s="162" t="s">
        <v>1049</v>
      </c>
      <c r="W955" s="168">
        <v>2</v>
      </c>
      <c r="X955" s="169">
        <v>45190</v>
      </c>
      <c r="Y955" s="170">
        <v>29.111111113322</v>
      </c>
      <c r="Z955" s="170">
        <v>1.8333333300000001</v>
      </c>
      <c r="AA955" s="170">
        <v>-5</v>
      </c>
      <c r="AB955" s="170">
        <v>0</v>
      </c>
      <c r="AC955" s="171">
        <v>25.944444443321999</v>
      </c>
      <c r="AD955" s="172">
        <v>5225519.2510500001</v>
      </c>
      <c r="AE955" s="173" t="s">
        <v>797</v>
      </c>
      <c r="AF955" s="173"/>
    </row>
    <row r="956" spans="1:32" ht="20" x14ac:dyDescent="0.35">
      <c r="A956" s="162" t="s">
        <v>1083</v>
      </c>
      <c r="B956" s="163" t="s">
        <v>1084</v>
      </c>
      <c r="C956" s="154"/>
      <c r="D956" s="162" t="s">
        <v>406</v>
      </c>
      <c r="E956" s="164" t="s">
        <v>406</v>
      </c>
      <c r="F956" s="164" t="s">
        <v>1084</v>
      </c>
      <c r="G956" s="164" t="s">
        <v>1083</v>
      </c>
      <c r="H956" s="165">
        <v>35066</v>
      </c>
      <c r="I956" s="164" t="s">
        <v>20</v>
      </c>
      <c r="J956" s="164" t="s">
        <v>68</v>
      </c>
      <c r="K956" s="165">
        <v>45190</v>
      </c>
      <c r="L956" s="166" t="s">
        <v>408</v>
      </c>
      <c r="M956" s="154"/>
      <c r="N956" s="154"/>
      <c r="O956" s="164" t="s">
        <v>65</v>
      </c>
      <c r="P956" s="164">
        <v>30</v>
      </c>
      <c r="Q956" s="164">
        <v>2</v>
      </c>
      <c r="R956" s="167" t="s">
        <v>885</v>
      </c>
      <c r="S956" s="167" t="s">
        <v>844</v>
      </c>
      <c r="T956" s="162" t="s">
        <v>798</v>
      </c>
      <c r="U956" s="167" t="s">
        <v>839</v>
      </c>
      <c r="X956" s="169">
        <v>45190</v>
      </c>
      <c r="Y956" s="170">
        <v>180</v>
      </c>
      <c r="Z956" s="170">
        <v>0</v>
      </c>
      <c r="AA956" s="170">
        <v>0</v>
      </c>
      <c r="AB956" s="170">
        <v>0</v>
      </c>
      <c r="AC956" s="171">
        <v>180</v>
      </c>
      <c r="AD956" s="172">
        <v>36254137.846139997</v>
      </c>
      <c r="AE956" s="173">
        <v>180</v>
      </c>
      <c r="AF956" s="174">
        <v>46357</v>
      </c>
    </row>
    <row r="957" spans="1:32" ht="20" x14ac:dyDescent="0.35">
      <c r="A957" s="162" t="s">
        <v>1083</v>
      </c>
      <c r="B957" s="163" t="s">
        <v>1084</v>
      </c>
      <c r="C957" s="154"/>
      <c r="D957" s="162" t="s">
        <v>406</v>
      </c>
      <c r="E957" s="164" t="s">
        <v>406</v>
      </c>
      <c r="F957" s="164" t="s">
        <v>1084</v>
      </c>
      <c r="G957" s="164" t="s">
        <v>1083</v>
      </c>
      <c r="H957" s="165">
        <v>35066</v>
      </c>
      <c r="I957" s="164" t="s">
        <v>20</v>
      </c>
      <c r="J957" s="164" t="s">
        <v>68</v>
      </c>
      <c r="K957" s="165">
        <v>45190</v>
      </c>
      <c r="L957" s="166" t="s">
        <v>408</v>
      </c>
      <c r="M957" s="154"/>
      <c r="N957" s="154"/>
      <c r="O957" s="164" t="s">
        <v>65</v>
      </c>
      <c r="P957" s="164">
        <v>30</v>
      </c>
      <c r="Q957" s="164">
        <v>2</v>
      </c>
      <c r="R957" s="167" t="s">
        <v>885</v>
      </c>
      <c r="S957" s="167" t="s">
        <v>844</v>
      </c>
      <c r="T957" s="162" t="s">
        <v>800</v>
      </c>
      <c r="U957" s="167" t="s">
        <v>801</v>
      </c>
      <c r="X957" s="169">
        <v>45190</v>
      </c>
      <c r="Y957" s="170">
        <v>24</v>
      </c>
      <c r="Z957" s="170">
        <v>0</v>
      </c>
      <c r="AA957" s="170">
        <v>0</v>
      </c>
      <c r="AB957" s="170">
        <v>0</v>
      </c>
      <c r="AC957" s="171">
        <v>24</v>
      </c>
      <c r="AD957" s="172">
        <v>4833885.0461499998</v>
      </c>
      <c r="AE957" s="173">
        <v>24</v>
      </c>
      <c r="AF957" s="174">
        <v>46357</v>
      </c>
    </row>
    <row r="958" spans="1:32" ht="20" x14ac:dyDescent="0.35">
      <c r="A958" s="162" t="s">
        <v>1083</v>
      </c>
      <c r="B958" s="163" t="s">
        <v>1084</v>
      </c>
      <c r="C958" s="154"/>
      <c r="D958" s="162" t="s">
        <v>406</v>
      </c>
      <c r="E958" s="164" t="s">
        <v>406</v>
      </c>
      <c r="F958" s="164" t="s">
        <v>1084</v>
      </c>
      <c r="G958" s="164" t="s">
        <v>1083</v>
      </c>
      <c r="H958" s="165">
        <v>35066</v>
      </c>
      <c r="I958" s="164" t="s">
        <v>20</v>
      </c>
      <c r="J958" s="164" t="s">
        <v>68</v>
      </c>
      <c r="K958" s="165">
        <v>45190</v>
      </c>
      <c r="L958" s="166" t="s">
        <v>408</v>
      </c>
      <c r="M958" s="154"/>
      <c r="N958" s="154"/>
      <c r="O958" s="164" t="s">
        <v>65</v>
      </c>
      <c r="P958" s="164">
        <v>30</v>
      </c>
      <c r="Q958" s="164">
        <v>2</v>
      </c>
      <c r="R958" s="167" t="s">
        <v>885</v>
      </c>
      <c r="S958" s="167" t="s">
        <v>844</v>
      </c>
      <c r="T958" s="162" t="s">
        <v>800</v>
      </c>
      <c r="U958" s="167" t="s">
        <v>802</v>
      </c>
      <c r="X958" s="169">
        <v>45190</v>
      </c>
      <c r="Y958" s="170">
        <v>98</v>
      </c>
      <c r="Z958" s="170">
        <v>0</v>
      </c>
      <c r="AA958" s="170">
        <v>0</v>
      </c>
      <c r="AB958" s="170">
        <v>0</v>
      </c>
      <c r="AC958" s="171">
        <v>98</v>
      </c>
      <c r="AD958" s="172">
        <v>19738363.938450001</v>
      </c>
      <c r="AE958" s="173">
        <v>98</v>
      </c>
      <c r="AF958" s="174">
        <v>46357</v>
      </c>
    </row>
    <row r="959" spans="1:32" ht="20" x14ac:dyDescent="0.35">
      <c r="A959" s="162" t="s">
        <v>1083</v>
      </c>
      <c r="B959" s="163" t="s">
        <v>1084</v>
      </c>
      <c r="C959" s="154"/>
      <c r="D959" s="162" t="s">
        <v>406</v>
      </c>
      <c r="E959" s="164" t="s">
        <v>406</v>
      </c>
      <c r="F959" s="164" t="s">
        <v>1084</v>
      </c>
      <c r="G959" s="164" t="s">
        <v>1083</v>
      </c>
      <c r="H959" s="165">
        <v>35066</v>
      </c>
      <c r="I959" s="164" t="s">
        <v>20</v>
      </c>
      <c r="J959" s="164" t="s">
        <v>68</v>
      </c>
      <c r="K959" s="165">
        <v>45190</v>
      </c>
      <c r="L959" s="166" t="s">
        <v>408</v>
      </c>
      <c r="M959" s="154"/>
      <c r="N959" s="154"/>
      <c r="O959" s="164" t="s">
        <v>65</v>
      </c>
      <c r="P959" s="164">
        <v>30</v>
      </c>
      <c r="Q959" s="164">
        <v>2</v>
      </c>
      <c r="R959" s="167" t="s">
        <v>885</v>
      </c>
      <c r="S959" s="167" t="s">
        <v>844</v>
      </c>
      <c r="T959" s="162" t="s">
        <v>800</v>
      </c>
      <c r="U959" s="167" t="s">
        <v>803</v>
      </c>
      <c r="X959" s="169">
        <v>45190</v>
      </c>
      <c r="Y959" s="170">
        <v>2</v>
      </c>
      <c r="Z959" s="170">
        <v>0</v>
      </c>
      <c r="AA959" s="170">
        <v>0</v>
      </c>
      <c r="AB959" s="170">
        <v>0</v>
      </c>
      <c r="AC959" s="171">
        <v>2</v>
      </c>
      <c r="AD959" s="172">
        <v>402823.75384999998</v>
      </c>
      <c r="AE959" s="173">
        <v>2</v>
      </c>
      <c r="AF959" s="174">
        <v>46357</v>
      </c>
    </row>
    <row r="960" spans="1:32" ht="20" x14ac:dyDescent="0.35">
      <c r="A960" s="162" t="s">
        <v>1083</v>
      </c>
      <c r="B960" s="163" t="s">
        <v>1084</v>
      </c>
      <c r="C960" s="154"/>
      <c r="D960" s="162" t="s">
        <v>406</v>
      </c>
      <c r="E960" s="164" t="s">
        <v>406</v>
      </c>
      <c r="F960" s="164" t="s">
        <v>1084</v>
      </c>
      <c r="G960" s="164" t="s">
        <v>1083</v>
      </c>
      <c r="H960" s="165">
        <v>35066</v>
      </c>
      <c r="I960" s="164" t="s">
        <v>20</v>
      </c>
      <c r="J960" s="164" t="s">
        <v>68</v>
      </c>
      <c r="K960" s="165">
        <v>45190</v>
      </c>
      <c r="L960" s="166" t="s">
        <v>408</v>
      </c>
      <c r="M960" s="154"/>
      <c r="N960" s="154"/>
      <c r="O960" s="164" t="s">
        <v>65</v>
      </c>
      <c r="P960" s="164">
        <v>30</v>
      </c>
      <c r="Q960" s="164">
        <v>2</v>
      </c>
      <c r="R960" s="167" t="s">
        <v>885</v>
      </c>
      <c r="S960" s="167" t="s">
        <v>844</v>
      </c>
      <c r="T960" s="162" t="s">
        <v>800</v>
      </c>
      <c r="U960" s="167" t="s">
        <v>804</v>
      </c>
      <c r="X960" s="169">
        <v>45190</v>
      </c>
      <c r="Y960" s="170">
        <v>5</v>
      </c>
      <c r="Z960" s="170">
        <v>0</v>
      </c>
      <c r="AA960" s="170">
        <v>0</v>
      </c>
      <c r="AB960" s="170">
        <v>0</v>
      </c>
      <c r="AC960" s="171">
        <v>5</v>
      </c>
      <c r="AD960" s="172">
        <v>1007059.38461</v>
      </c>
      <c r="AE960" s="173">
        <v>5</v>
      </c>
      <c r="AF960" s="174">
        <v>46357</v>
      </c>
    </row>
    <row r="961" spans="1:32" ht="20" x14ac:dyDescent="0.35">
      <c r="A961" s="162" t="s">
        <v>1083</v>
      </c>
      <c r="B961" s="163" t="s">
        <v>1084</v>
      </c>
      <c r="C961" s="154"/>
      <c r="D961" s="162" t="s">
        <v>406</v>
      </c>
      <c r="E961" s="164" t="s">
        <v>406</v>
      </c>
      <c r="F961" s="164" t="s">
        <v>1084</v>
      </c>
      <c r="G961" s="164" t="s">
        <v>1083</v>
      </c>
      <c r="H961" s="165">
        <v>35066</v>
      </c>
      <c r="I961" s="164" t="s">
        <v>20</v>
      </c>
      <c r="J961" s="164" t="s">
        <v>68</v>
      </c>
      <c r="K961" s="165">
        <v>45190</v>
      </c>
      <c r="L961" s="166" t="s">
        <v>408</v>
      </c>
      <c r="M961" s="154"/>
      <c r="N961" s="154"/>
      <c r="O961" s="164" t="s">
        <v>65</v>
      </c>
      <c r="P961" s="164">
        <v>30</v>
      </c>
      <c r="Q961" s="164">
        <v>2</v>
      </c>
      <c r="R961" s="167" t="s">
        <v>885</v>
      </c>
      <c r="S961" s="167" t="s">
        <v>844</v>
      </c>
      <c r="T961" s="162" t="s">
        <v>800</v>
      </c>
      <c r="U961" s="167" t="s">
        <v>840</v>
      </c>
      <c r="X961" s="169">
        <v>45190</v>
      </c>
      <c r="Y961" s="170">
        <v>2.4999999966690001</v>
      </c>
      <c r="Z961" s="170">
        <v>0.41666667000000002</v>
      </c>
      <c r="AA961" s="170">
        <v>0</v>
      </c>
      <c r="AB961" s="170">
        <v>0</v>
      </c>
      <c r="AC961" s="171">
        <v>2.9166666666690002</v>
      </c>
      <c r="AD961" s="172">
        <v>587451.30769000005</v>
      </c>
      <c r="AE961" s="173">
        <v>2.92</v>
      </c>
      <c r="AF961" s="174">
        <v>46357</v>
      </c>
    </row>
    <row r="962" spans="1:32" ht="20" x14ac:dyDescent="0.35">
      <c r="A962" s="162" t="s">
        <v>1085</v>
      </c>
      <c r="B962" s="163" t="s">
        <v>1086</v>
      </c>
      <c r="C962" s="154"/>
      <c r="D962" s="162" t="s">
        <v>409</v>
      </c>
      <c r="E962" s="164" t="s">
        <v>409</v>
      </c>
      <c r="F962" s="164" t="s">
        <v>1086</v>
      </c>
      <c r="G962" s="164" t="s">
        <v>1085</v>
      </c>
      <c r="H962" s="165">
        <v>32041</v>
      </c>
      <c r="I962" s="164" t="s">
        <v>20</v>
      </c>
      <c r="J962" s="164" t="s">
        <v>68</v>
      </c>
      <c r="K962" s="165">
        <v>45243</v>
      </c>
      <c r="L962" s="166" t="s">
        <v>411</v>
      </c>
      <c r="M962" s="154"/>
      <c r="N962" s="154"/>
      <c r="O962" s="164" t="s">
        <v>65</v>
      </c>
      <c r="P962" s="164">
        <v>38</v>
      </c>
      <c r="Q962" s="164">
        <v>2</v>
      </c>
      <c r="R962" s="167" t="s">
        <v>888</v>
      </c>
      <c r="S962" s="167" t="s">
        <v>45</v>
      </c>
      <c r="T962" s="162" t="s">
        <v>794</v>
      </c>
      <c r="U962" s="167" t="s">
        <v>795</v>
      </c>
      <c r="V962" s="162" t="s">
        <v>1049</v>
      </c>
      <c r="W962" s="168">
        <v>2</v>
      </c>
      <c r="X962" s="169">
        <v>45243</v>
      </c>
      <c r="Y962" s="170">
        <v>29.830000003323001</v>
      </c>
      <c r="Z962" s="170">
        <v>1.8333333300000001</v>
      </c>
      <c r="AA962" s="170">
        <v>0</v>
      </c>
      <c r="AB962" s="170">
        <v>0</v>
      </c>
      <c r="AC962" s="171">
        <v>31.663333333322999</v>
      </c>
      <c r="AD962" s="172">
        <v>5236003.7432899997</v>
      </c>
      <c r="AE962" s="173" t="s">
        <v>797</v>
      </c>
      <c r="AF962" s="173"/>
    </row>
    <row r="963" spans="1:32" ht="20" x14ac:dyDescent="0.35">
      <c r="A963" s="162" t="s">
        <v>1085</v>
      </c>
      <c r="B963" s="163" t="s">
        <v>1086</v>
      </c>
      <c r="C963" s="154"/>
      <c r="D963" s="162" t="s">
        <v>409</v>
      </c>
      <c r="E963" s="164" t="s">
        <v>409</v>
      </c>
      <c r="F963" s="164" t="s">
        <v>1086</v>
      </c>
      <c r="G963" s="164" t="s">
        <v>1085</v>
      </c>
      <c r="H963" s="165">
        <v>32041</v>
      </c>
      <c r="I963" s="164" t="s">
        <v>20</v>
      </c>
      <c r="J963" s="164" t="s">
        <v>68</v>
      </c>
      <c r="K963" s="165">
        <v>45243</v>
      </c>
      <c r="L963" s="166" t="s">
        <v>411</v>
      </c>
      <c r="M963" s="154"/>
      <c r="N963" s="154"/>
      <c r="O963" s="164" t="s">
        <v>65</v>
      </c>
      <c r="P963" s="164">
        <v>38</v>
      </c>
      <c r="Q963" s="164">
        <v>2</v>
      </c>
      <c r="R963" s="167" t="s">
        <v>888</v>
      </c>
      <c r="S963" s="167" t="s">
        <v>45</v>
      </c>
      <c r="T963" s="162" t="s">
        <v>798</v>
      </c>
      <c r="U963" s="167" t="s">
        <v>839</v>
      </c>
      <c r="X963" s="169">
        <v>45243</v>
      </c>
      <c r="Y963" s="170">
        <v>105</v>
      </c>
      <c r="Z963" s="170">
        <v>0</v>
      </c>
      <c r="AA963" s="170">
        <v>0</v>
      </c>
      <c r="AB963" s="170">
        <v>0</v>
      </c>
      <c r="AC963" s="171">
        <v>105</v>
      </c>
      <c r="AD963" s="172">
        <v>17363313.8134</v>
      </c>
      <c r="AE963" s="173">
        <v>105</v>
      </c>
      <c r="AF963" s="174">
        <v>46357</v>
      </c>
    </row>
    <row r="964" spans="1:32" ht="20" x14ac:dyDescent="0.35">
      <c r="A964" s="162" t="s">
        <v>1085</v>
      </c>
      <c r="B964" s="163" t="s">
        <v>1086</v>
      </c>
      <c r="C964" s="154"/>
      <c r="D964" s="162" t="s">
        <v>409</v>
      </c>
      <c r="E964" s="164" t="s">
        <v>409</v>
      </c>
      <c r="F964" s="164" t="s">
        <v>1086</v>
      </c>
      <c r="G964" s="164" t="s">
        <v>1085</v>
      </c>
      <c r="H964" s="165">
        <v>32041</v>
      </c>
      <c r="I964" s="164" t="s">
        <v>20</v>
      </c>
      <c r="J964" s="164" t="s">
        <v>68</v>
      </c>
      <c r="K964" s="165">
        <v>45243</v>
      </c>
      <c r="L964" s="166" t="s">
        <v>411</v>
      </c>
      <c r="M964" s="154"/>
      <c r="N964" s="154"/>
      <c r="O964" s="164" t="s">
        <v>65</v>
      </c>
      <c r="P964" s="164">
        <v>38</v>
      </c>
      <c r="Q964" s="164">
        <v>2</v>
      </c>
      <c r="R964" s="167" t="s">
        <v>888</v>
      </c>
      <c r="S964" s="167" t="s">
        <v>45</v>
      </c>
      <c r="T964" s="162" t="s">
        <v>800</v>
      </c>
      <c r="U964" s="167" t="s">
        <v>801</v>
      </c>
      <c r="X964" s="169">
        <v>45243</v>
      </c>
      <c r="Y964" s="170">
        <v>26</v>
      </c>
      <c r="Z964" s="170">
        <v>0</v>
      </c>
      <c r="AA964" s="170">
        <v>0</v>
      </c>
      <c r="AB964" s="170">
        <v>0</v>
      </c>
      <c r="AC964" s="171">
        <v>26</v>
      </c>
      <c r="AD964" s="172">
        <v>4299487.2299899999</v>
      </c>
      <c r="AE964" s="173">
        <v>26</v>
      </c>
      <c r="AF964" s="174">
        <v>46357</v>
      </c>
    </row>
    <row r="965" spans="1:32" ht="20" x14ac:dyDescent="0.35">
      <c r="A965" s="162" t="s">
        <v>1085</v>
      </c>
      <c r="B965" s="163" t="s">
        <v>1086</v>
      </c>
      <c r="C965" s="154"/>
      <c r="D965" s="162" t="s">
        <v>409</v>
      </c>
      <c r="E965" s="164" t="s">
        <v>409</v>
      </c>
      <c r="F965" s="164" t="s">
        <v>1086</v>
      </c>
      <c r="G965" s="164" t="s">
        <v>1085</v>
      </c>
      <c r="H965" s="165">
        <v>32041</v>
      </c>
      <c r="I965" s="164" t="s">
        <v>20</v>
      </c>
      <c r="J965" s="164" t="s">
        <v>68</v>
      </c>
      <c r="K965" s="165">
        <v>45243</v>
      </c>
      <c r="L965" s="166" t="s">
        <v>411</v>
      </c>
      <c r="M965" s="154"/>
      <c r="N965" s="154"/>
      <c r="O965" s="164" t="s">
        <v>65</v>
      </c>
      <c r="P965" s="164">
        <v>38</v>
      </c>
      <c r="Q965" s="164">
        <v>2</v>
      </c>
      <c r="R965" s="167" t="s">
        <v>888</v>
      </c>
      <c r="S965" s="167" t="s">
        <v>45</v>
      </c>
      <c r="T965" s="162" t="s">
        <v>800</v>
      </c>
      <c r="U965" s="167" t="s">
        <v>802</v>
      </c>
      <c r="X965" s="169">
        <v>45243</v>
      </c>
      <c r="Y965" s="170">
        <v>98</v>
      </c>
      <c r="Z965" s="170">
        <v>0</v>
      </c>
      <c r="AA965" s="170">
        <v>0</v>
      </c>
      <c r="AB965" s="170">
        <v>0</v>
      </c>
      <c r="AC965" s="171">
        <v>98</v>
      </c>
      <c r="AD965" s="172">
        <v>16205759.559180001</v>
      </c>
      <c r="AE965" s="173">
        <v>98</v>
      </c>
      <c r="AF965" s="174">
        <v>46357</v>
      </c>
    </row>
    <row r="966" spans="1:32" ht="20" x14ac:dyDescent="0.35">
      <c r="A966" s="162" t="s">
        <v>1085</v>
      </c>
      <c r="B966" s="163" t="s">
        <v>1086</v>
      </c>
      <c r="C966" s="154"/>
      <c r="D966" s="162" t="s">
        <v>409</v>
      </c>
      <c r="E966" s="164" t="s">
        <v>409</v>
      </c>
      <c r="F966" s="164" t="s">
        <v>1086</v>
      </c>
      <c r="G966" s="164" t="s">
        <v>1085</v>
      </c>
      <c r="H966" s="165">
        <v>32041</v>
      </c>
      <c r="I966" s="164" t="s">
        <v>20</v>
      </c>
      <c r="J966" s="164" t="s">
        <v>68</v>
      </c>
      <c r="K966" s="165">
        <v>45243</v>
      </c>
      <c r="L966" s="166" t="s">
        <v>411</v>
      </c>
      <c r="M966" s="154"/>
      <c r="N966" s="154"/>
      <c r="O966" s="164" t="s">
        <v>65</v>
      </c>
      <c r="P966" s="164">
        <v>38</v>
      </c>
      <c r="Q966" s="164">
        <v>2</v>
      </c>
      <c r="R966" s="167" t="s">
        <v>888</v>
      </c>
      <c r="S966" s="167" t="s">
        <v>45</v>
      </c>
      <c r="T966" s="162" t="s">
        <v>800</v>
      </c>
      <c r="U966" s="167" t="s">
        <v>803</v>
      </c>
      <c r="X966" s="169">
        <v>45243</v>
      </c>
      <c r="Y966" s="170">
        <v>2</v>
      </c>
      <c r="Z966" s="170">
        <v>0</v>
      </c>
      <c r="AA966" s="170">
        <v>0</v>
      </c>
      <c r="AB966" s="170">
        <v>0</v>
      </c>
      <c r="AC966" s="171">
        <v>2</v>
      </c>
      <c r="AD966" s="172">
        <v>330729.78691999998</v>
      </c>
      <c r="AE966" s="173">
        <v>2</v>
      </c>
      <c r="AF966" s="174">
        <v>46357</v>
      </c>
    </row>
    <row r="967" spans="1:32" ht="20" x14ac:dyDescent="0.35">
      <c r="A967" s="162" t="s">
        <v>1085</v>
      </c>
      <c r="B967" s="163" t="s">
        <v>1086</v>
      </c>
      <c r="C967" s="154"/>
      <c r="D967" s="162" t="s">
        <v>409</v>
      </c>
      <c r="E967" s="164" t="s">
        <v>409</v>
      </c>
      <c r="F967" s="164" t="s">
        <v>1086</v>
      </c>
      <c r="G967" s="164" t="s">
        <v>1085</v>
      </c>
      <c r="H967" s="165">
        <v>32041</v>
      </c>
      <c r="I967" s="164" t="s">
        <v>20</v>
      </c>
      <c r="J967" s="164" t="s">
        <v>68</v>
      </c>
      <c r="K967" s="165">
        <v>45243</v>
      </c>
      <c r="L967" s="166" t="s">
        <v>411</v>
      </c>
      <c r="M967" s="154"/>
      <c r="N967" s="154"/>
      <c r="O967" s="164" t="s">
        <v>65</v>
      </c>
      <c r="P967" s="164">
        <v>38</v>
      </c>
      <c r="Q967" s="164">
        <v>2</v>
      </c>
      <c r="R967" s="167" t="s">
        <v>888</v>
      </c>
      <c r="S967" s="167" t="s">
        <v>45</v>
      </c>
      <c r="T967" s="162" t="s">
        <v>800</v>
      </c>
      <c r="U967" s="167" t="s">
        <v>804</v>
      </c>
      <c r="X967" s="169">
        <v>45243</v>
      </c>
      <c r="Y967" s="170">
        <v>5</v>
      </c>
      <c r="Z967" s="170">
        <v>0</v>
      </c>
      <c r="AA967" s="170">
        <v>0</v>
      </c>
      <c r="AB967" s="170">
        <v>0</v>
      </c>
      <c r="AC967" s="171">
        <v>5</v>
      </c>
      <c r="AD967" s="172">
        <v>826824.46730000002</v>
      </c>
      <c r="AE967" s="173">
        <v>5</v>
      </c>
      <c r="AF967" s="174">
        <v>46357</v>
      </c>
    </row>
    <row r="968" spans="1:32" ht="20" x14ac:dyDescent="0.35">
      <c r="A968" s="162" t="s">
        <v>1085</v>
      </c>
      <c r="B968" s="163" t="s">
        <v>1086</v>
      </c>
      <c r="C968" s="154"/>
      <c r="D968" s="162" t="s">
        <v>409</v>
      </c>
      <c r="E968" s="164" t="s">
        <v>409</v>
      </c>
      <c r="F968" s="164" t="s">
        <v>1086</v>
      </c>
      <c r="G968" s="164" t="s">
        <v>1085</v>
      </c>
      <c r="H968" s="165">
        <v>32041</v>
      </c>
      <c r="I968" s="164" t="s">
        <v>20</v>
      </c>
      <c r="J968" s="164" t="s">
        <v>68</v>
      </c>
      <c r="K968" s="165">
        <v>45243</v>
      </c>
      <c r="L968" s="166" t="s">
        <v>411</v>
      </c>
      <c r="M968" s="154"/>
      <c r="N968" s="154"/>
      <c r="O968" s="164" t="s">
        <v>65</v>
      </c>
      <c r="P968" s="164">
        <v>38</v>
      </c>
      <c r="Q968" s="164">
        <v>2</v>
      </c>
      <c r="R968" s="167" t="s">
        <v>888</v>
      </c>
      <c r="S968" s="167" t="s">
        <v>45</v>
      </c>
      <c r="T968" s="162" t="s">
        <v>800</v>
      </c>
      <c r="U968" s="167" t="s">
        <v>840</v>
      </c>
      <c r="X968" s="169">
        <v>45243</v>
      </c>
      <c r="Y968" s="170">
        <v>2.4999999966690001</v>
      </c>
      <c r="Z968" s="170">
        <v>0.41666667000000002</v>
      </c>
      <c r="AA968" s="170">
        <v>0</v>
      </c>
      <c r="AB968" s="170">
        <v>0</v>
      </c>
      <c r="AC968" s="171">
        <v>2.9166666666690002</v>
      </c>
      <c r="AD968" s="172">
        <v>482314.27259000001</v>
      </c>
      <c r="AE968" s="173">
        <v>2.92</v>
      </c>
      <c r="AF968" s="174">
        <v>46357</v>
      </c>
    </row>
    <row r="969" spans="1:32" ht="20" x14ac:dyDescent="0.35">
      <c r="A969" s="162" t="s">
        <v>1087</v>
      </c>
      <c r="B969" s="163" t="s">
        <v>1088</v>
      </c>
      <c r="C969" s="154"/>
      <c r="D969" s="162" t="s">
        <v>412</v>
      </c>
      <c r="E969" s="164" t="s">
        <v>412</v>
      </c>
      <c r="F969" s="164" t="s">
        <v>1088</v>
      </c>
      <c r="G969" s="164" t="s">
        <v>1087</v>
      </c>
      <c r="H969" s="165">
        <v>32653</v>
      </c>
      <c r="I969" s="164" t="s">
        <v>20</v>
      </c>
      <c r="J969" s="164" t="s">
        <v>68</v>
      </c>
      <c r="K969" s="165">
        <v>45306</v>
      </c>
      <c r="L969" s="166" t="s">
        <v>1089</v>
      </c>
      <c r="M969" s="154"/>
      <c r="N969" s="154"/>
      <c r="O969" s="164" t="s">
        <v>57</v>
      </c>
      <c r="P969" s="164">
        <v>37</v>
      </c>
      <c r="Q969" s="164">
        <v>2</v>
      </c>
      <c r="R969" s="167" t="s">
        <v>831</v>
      </c>
      <c r="S969" s="167" t="s">
        <v>832</v>
      </c>
      <c r="T969" s="162" t="s">
        <v>794</v>
      </c>
      <c r="U969" s="167" t="s">
        <v>795</v>
      </c>
      <c r="V969" s="162" t="s">
        <v>1049</v>
      </c>
      <c r="W969" s="168">
        <v>2</v>
      </c>
      <c r="X969" s="169">
        <v>45306</v>
      </c>
      <c r="Y969" s="170">
        <v>19.172043009989999</v>
      </c>
      <c r="Z969" s="170">
        <v>1.8333333300000001</v>
      </c>
      <c r="AA969" s="170">
        <v>-2</v>
      </c>
      <c r="AB969" s="170">
        <v>0</v>
      </c>
      <c r="AC969" s="171">
        <v>19.005376339990001</v>
      </c>
      <c r="AD969" s="172">
        <v>6022811.48123</v>
      </c>
      <c r="AE969" s="173" t="s">
        <v>797</v>
      </c>
      <c r="AF969" s="173"/>
    </row>
    <row r="970" spans="1:32" ht="20" x14ac:dyDescent="0.35">
      <c r="A970" s="162" t="s">
        <v>1087</v>
      </c>
      <c r="B970" s="163" t="s">
        <v>1088</v>
      </c>
      <c r="C970" s="154"/>
      <c r="D970" s="162" t="s">
        <v>412</v>
      </c>
      <c r="E970" s="164" t="s">
        <v>412</v>
      </c>
      <c r="F970" s="164" t="s">
        <v>1088</v>
      </c>
      <c r="G970" s="164" t="s">
        <v>1087</v>
      </c>
      <c r="H970" s="165">
        <v>32653</v>
      </c>
      <c r="I970" s="164" t="s">
        <v>20</v>
      </c>
      <c r="J970" s="164" t="s">
        <v>68</v>
      </c>
      <c r="K970" s="165">
        <v>45306</v>
      </c>
      <c r="L970" s="166" t="s">
        <v>1089</v>
      </c>
      <c r="M970" s="154"/>
      <c r="N970" s="154"/>
      <c r="O970" s="164" t="s">
        <v>57</v>
      </c>
      <c r="P970" s="164">
        <v>37</v>
      </c>
      <c r="Q970" s="164">
        <v>2</v>
      </c>
      <c r="R970" s="167" t="s">
        <v>831</v>
      </c>
      <c r="S970" s="167" t="s">
        <v>832</v>
      </c>
      <c r="T970" s="162" t="s">
        <v>798</v>
      </c>
      <c r="U970" s="167" t="s">
        <v>839</v>
      </c>
      <c r="X970" s="169">
        <v>45306</v>
      </c>
      <c r="Y970" s="170">
        <v>180</v>
      </c>
      <c r="Z970" s="170">
        <v>0</v>
      </c>
      <c r="AA970" s="170">
        <v>0</v>
      </c>
      <c r="AB970" s="170">
        <v>0</v>
      </c>
      <c r="AC970" s="171">
        <v>180</v>
      </c>
      <c r="AD970" s="172">
        <v>57042073.107539997</v>
      </c>
      <c r="AE970" s="173">
        <v>180</v>
      </c>
      <c r="AF970" s="174">
        <v>46357</v>
      </c>
    </row>
    <row r="971" spans="1:32" ht="20" x14ac:dyDescent="0.35">
      <c r="A971" s="162" t="s">
        <v>1087</v>
      </c>
      <c r="B971" s="163" t="s">
        <v>1088</v>
      </c>
      <c r="C971" s="154"/>
      <c r="D971" s="162" t="s">
        <v>412</v>
      </c>
      <c r="E971" s="164" t="s">
        <v>412</v>
      </c>
      <c r="F971" s="164" t="s">
        <v>1088</v>
      </c>
      <c r="G971" s="164" t="s">
        <v>1087</v>
      </c>
      <c r="H971" s="165">
        <v>32653</v>
      </c>
      <c r="I971" s="164" t="s">
        <v>20</v>
      </c>
      <c r="J971" s="164" t="s">
        <v>68</v>
      </c>
      <c r="K971" s="165">
        <v>45306</v>
      </c>
      <c r="L971" s="166" t="s">
        <v>1089</v>
      </c>
      <c r="M971" s="154"/>
      <c r="N971" s="154"/>
      <c r="O971" s="164" t="s">
        <v>57</v>
      </c>
      <c r="P971" s="164">
        <v>37</v>
      </c>
      <c r="Q971" s="164">
        <v>2</v>
      </c>
      <c r="R971" s="167" t="s">
        <v>831</v>
      </c>
      <c r="S971" s="167" t="s">
        <v>832</v>
      </c>
      <c r="T971" s="162" t="s">
        <v>800</v>
      </c>
      <c r="U971" s="167" t="s">
        <v>801</v>
      </c>
      <c r="X971" s="169">
        <v>45306</v>
      </c>
      <c r="Y971" s="170">
        <v>26</v>
      </c>
      <c r="Z971" s="170">
        <v>0</v>
      </c>
      <c r="AA971" s="170">
        <v>0</v>
      </c>
      <c r="AB971" s="170">
        <v>0</v>
      </c>
      <c r="AC971" s="171">
        <v>26</v>
      </c>
      <c r="AD971" s="172">
        <v>8239410.5599800004</v>
      </c>
      <c r="AE971" s="173">
        <v>26</v>
      </c>
      <c r="AF971" s="174">
        <v>46357</v>
      </c>
    </row>
    <row r="972" spans="1:32" ht="20" x14ac:dyDescent="0.35">
      <c r="A972" s="162" t="s">
        <v>1087</v>
      </c>
      <c r="B972" s="163" t="s">
        <v>1088</v>
      </c>
      <c r="C972" s="154"/>
      <c r="D972" s="162" t="s">
        <v>412</v>
      </c>
      <c r="E972" s="164" t="s">
        <v>412</v>
      </c>
      <c r="F972" s="164" t="s">
        <v>1088</v>
      </c>
      <c r="G972" s="164" t="s">
        <v>1087</v>
      </c>
      <c r="H972" s="165">
        <v>32653</v>
      </c>
      <c r="I972" s="164" t="s">
        <v>20</v>
      </c>
      <c r="J972" s="164" t="s">
        <v>68</v>
      </c>
      <c r="K972" s="165">
        <v>45306</v>
      </c>
      <c r="L972" s="166" t="s">
        <v>1089</v>
      </c>
      <c r="M972" s="154"/>
      <c r="N972" s="154"/>
      <c r="O972" s="164" t="s">
        <v>57</v>
      </c>
      <c r="P972" s="164">
        <v>37</v>
      </c>
      <c r="Q972" s="164">
        <v>2</v>
      </c>
      <c r="R972" s="167" t="s">
        <v>831</v>
      </c>
      <c r="S972" s="167" t="s">
        <v>832</v>
      </c>
      <c r="T972" s="162" t="s">
        <v>800</v>
      </c>
      <c r="U972" s="167" t="s">
        <v>802</v>
      </c>
      <c r="X972" s="169">
        <v>45306</v>
      </c>
      <c r="Y972" s="170">
        <v>98</v>
      </c>
      <c r="Z972" s="170">
        <v>0</v>
      </c>
      <c r="AA972" s="170">
        <v>0</v>
      </c>
      <c r="AB972" s="170">
        <v>0</v>
      </c>
      <c r="AC972" s="171">
        <v>98</v>
      </c>
      <c r="AD972" s="172">
        <v>31056239.802990001</v>
      </c>
      <c r="AE972" s="173">
        <v>98</v>
      </c>
      <c r="AF972" s="174">
        <v>46357</v>
      </c>
    </row>
    <row r="973" spans="1:32" ht="20" x14ac:dyDescent="0.35">
      <c r="A973" s="162" t="s">
        <v>1087</v>
      </c>
      <c r="B973" s="163" t="s">
        <v>1088</v>
      </c>
      <c r="C973" s="154"/>
      <c r="D973" s="162" t="s">
        <v>412</v>
      </c>
      <c r="E973" s="164" t="s">
        <v>412</v>
      </c>
      <c r="F973" s="164" t="s">
        <v>1088</v>
      </c>
      <c r="G973" s="164" t="s">
        <v>1087</v>
      </c>
      <c r="H973" s="165">
        <v>32653</v>
      </c>
      <c r="I973" s="164" t="s">
        <v>20</v>
      </c>
      <c r="J973" s="164" t="s">
        <v>68</v>
      </c>
      <c r="K973" s="165">
        <v>45306</v>
      </c>
      <c r="L973" s="166" t="s">
        <v>1089</v>
      </c>
      <c r="M973" s="154"/>
      <c r="N973" s="154"/>
      <c r="O973" s="164" t="s">
        <v>57</v>
      </c>
      <c r="P973" s="164">
        <v>37</v>
      </c>
      <c r="Q973" s="164">
        <v>2</v>
      </c>
      <c r="R973" s="167" t="s">
        <v>831</v>
      </c>
      <c r="S973" s="167" t="s">
        <v>832</v>
      </c>
      <c r="T973" s="162" t="s">
        <v>800</v>
      </c>
      <c r="U973" s="167" t="s">
        <v>803</v>
      </c>
      <c r="X973" s="169">
        <v>45306</v>
      </c>
      <c r="Y973" s="170">
        <v>2</v>
      </c>
      <c r="Z973" s="170">
        <v>0</v>
      </c>
      <c r="AA973" s="170">
        <v>0</v>
      </c>
      <c r="AB973" s="170">
        <v>0</v>
      </c>
      <c r="AC973" s="171">
        <v>2</v>
      </c>
      <c r="AD973" s="172">
        <v>633800.81230999995</v>
      </c>
      <c r="AE973" s="173">
        <v>2</v>
      </c>
      <c r="AF973" s="174">
        <v>46357</v>
      </c>
    </row>
    <row r="974" spans="1:32" ht="20" x14ac:dyDescent="0.35">
      <c r="A974" s="162" t="s">
        <v>1087</v>
      </c>
      <c r="B974" s="163" t="s">
        <v>1088</v>
      </c>
      <c r="C974" s="154"/>
      <c r="D974" s="162" t="s">
        <v>412</v>
      </c>
      <c r="E974" s="164" t="s">
        <v>412</v>
      </c>
      <c r="F974" s="164" t="s">
        <v>1088</v>
      </c>
      <c r="G974" s="164" t="s">
        <v>1087</v>
      </c>
      <c r="H974" s="165">
        <v>32653</v>
      </c>
      <c r="I974" s="164" t="s">
        <v>20</v>
      </c>
      <c r="J974" s="164" t="s">
        <v>68</v>
      </c>
      <c r="K974" s="165">
        <v>45306</v>
      </c>
      <c r="L974" s="166" t="s">
        <v>1089</v>
      </c>
      <c r="M974" s="154"/>
      <c r="N974" s="154"/>
      <c r="O974" s="164" t="s">
        <v>57</v>
      </c>
      <c r="P974" s="164">
        <v>37</v>
      </c>
      <c r="Q974" s="164">
        <v>2</v>
      </c>
      <c r="R974" s="167" t="s">
        <v>831</v>
      </c>
      <c r="S974" s="167" t="s">
        <v>832</v>
      </c>
      <c r="T974" s="162" t="s">
        <v>800</v>
      </c>
      <c r="U974" s="167" t="s">
        <v>804</v>
      </c>
      <c r="X974" s="169">
        <v>45306</v>
      </c>
      <c r="Y974" s="170">
        <v>5</v>
      </c>
      <c r="Z974" s="170">
        <v>0</v>
      </c>
      <c r="AA974" s="170">
        <v>0</v>
      </c>
      <c r="AB974" s="170">
        <v>0</v>
      </c>
      <c r="AC974" s="171">
        <v>5</v>
      </c>
      <c r="AD974" s="172">
        <v>1584502.0307700001</v>
      </c>
      <c r="AE974" s="173">
        <v>5</v>
      </c>
      <c r="AF974" s="174">
        <v>46357</v>
      </c>
    </row>
    <row r="975" spans="1:32" ht="20" x14ac:dyDescent="0.35">
      <c r="A975" s="162" t="s">
        <v>1087</v>
      </c>
      <c r="B975" s="163" t="s">
        <v>1088</v>
      </c>
      <c r="C975" s="154"/>
      <c r="D975" s="162" t="s">
        <v>412</v>
      </c>
      <c r="E975" s="164" t="s">
        <v>412</v>
      </c>
      <c r="F975" s="164" t="s">
        <v>1088</v>
      </c>
      <c r="G975" s="164" t="s">
        <v>1087</v>
      </c>
      <c r="H975" s="165">
        <v>32653</v>
      </c>
      <c r="I975" s="164" t="s">
        <v>20</v>
      </c>
      <c r="J975" s="164" t="s">
        <v>68</v>
      </c>
      <c r="K975" s="165">
        <v>45306</v>
      </c>
      <c r="L975" s="166" t="s">
        <v>1089</v>
      </c>
      <c r="M975" s="154"/>
      <c r="N975" s="154"/>
      <c r="O975" s="164" t="s">
        <v>57</v>
      </c>
      <c r="P975" s="164">
        <v>37</v>
      </c>
      <c r="Q975" s="164">
        <v>2</v>
      </c>
      <c r="R975" s="167" t="s">
        <v>831</v>
      </c>
      <c r="S975" s="167" t="s">
        <v>832</v>
      </c>
      <c r="T975" s="162" t="s">
        <v>800</v>
      </c>
      <c r="U975" s="167" t="s">
        <v>840</v>
      </c>
      <c r="X975" s="169">
        <v>45306</v>
      </c>
      <c r="Y975" s="170">
        <v>2.4999999966690001</v>
      </c>
      <c r="Z975" s="170">
        <v>0.41666667000000002</v>
      </c>
      <c r="AA975" s="170">
        <v>0</v>
      </c>
      <c r="AB975" s="170">
        <v>0</v>
      </c>
      <c r="AC975" s="171">
        <v>2.9166666666690002</v>
      </c>
      <c r="AD975" s="172">
        <v>924292.85127999994</v>
      </c>
      <c r="AE975" s="173">
        <v>2.92</v>
      </c>
      <c r="AF975" s="174">
        <v>46357</v>
      </c>
    </row>
    <row r="976" spans="1:32" ht="20" x14ac:dyDescent="0.35">
      <c r="A976" s="162" t="s">
        <v>629</v>
      </c>
      <c r="B976" s="163" t="s">
        <v>1086</v>
      </c>
      <c r="C976" s="154"/>
      <c r="D976" s="162" t="s">
        <v>415</v>
      </c>
      <c r="E976" s="164" t="s">
        <v>415</v>
      </c>
      <c r="F976" s="164" t="s">
        <v>1086</v>
      </c>
      <c r="G976" s="164" t="s">
        <v>629</v>
      </c>
      <c r="H976" s="165">
        <v>35285</v>
      </c>
      <c r="I976" s="164" t="s">
        <v>20</v>
      </c>
      <c r="J976" s="164" t="s">
        <v>68</v>
      </c>
      <c r="K976" s="165">
        <v>45348</v>
      </c>
      <c r="L976" s="166" t="s">
        <v>144</v>
      </c>
      <c r="M976" s="154"/>
      <c r="N976" s="154"/>
      <c r="O976" s="164" t="s">
        <v>145</v>
      </c>
      <c r="P976" s="164">
        <v>29</v>
      </c>
      <c r="Q976" s="164">
        <v>2</v>
      </c>
      <c r="R976" s="167" t="s">
        <v>866</v>
      </c>
      <c r="S976" s="167" t="s">
        <v>24</v>
      </c>
      <c r="T976" s="162" t="s">
        <v>794</v>
      </c>
      <c r="U976" s="167" t="s">
        <v>795</v>
      </c>
      <c r="V976" s="162" t="s">
        <v>1049</v>
      </c>
      <c r="W976" s="168">
        <v>2</v>
      </c>
      <c r="X976" s="169">
        <v>45348</v>
      </c>
      <c r="Y976" s="170">
        <v>16.333333336656999</v>
      </c>
      <c r="Z976" s="170">
        <v>1.8333333300000001</v>
      </c>
      <c r="AA976" s="170">
        <v>0</v>
      </c>
      <c r="AB976" s="170">
        <v>0</v>
      </c>
      <c r="AC976" s="171">
        <v>18.166666666657001</v>
      </c>
      <c r="AD976" s="172">
        <v>2228383.5488399998</v>
      </c>
      <c r="AE976" s="173" t="s">
        <v>797</v>
      </c>
      <c r="AF976" s="173"/>
    </row>
    <row r="977" spans="1:32" ht="20" x14ac:dyDescent="0.35">
      <c r="A977" s="162" t="s">
        <v>629</v>
      </c>
      <c r="B977" s="163" t="s">
        <v>1086</v>
      </c>
      <c r="C977" s="154"/>
      <c r="D977" s="162" t="s">
        <v>415</v>
      </c>
      <c r="E977" s="164" t="s">
        <v>415</v>
      </c>
      <c r="F977" s="164" t="s">
        <v>1086</v>
      </c>
      <c r="G977" s="164" t="s">
        <v>629</v>
      </c>
      <c r="H977" s="165">
        <v>35285</v>
      </c>
      <c r="I977" s="164" t="s">
        <v>20</v>
      </c>
      <c r="J977" s="164" t="s">
        <v>68</v>
      </c>
      <c r="K977" s="165">
        <v>45348</v>
      </c>
      <c r="L977" s="166" t="s">
        <v>144</v>
      </c>
      <c r="M977" s="154"/>
      <c r="N977" s="154"/>
      <c r="O977" s="164" t="s">
        <v>145</v>
      </c>
      <c r="P977" s="164">
        <v>29</v>
      </c>
      <c r="Q977" s="164">
        <v>2</v>
      </c>
      <c r="R977" s="167" t="s">
        <v>866</v>
      </c>
      <c r="S977" s="167" t="s">
        <v>24</v>
      </c>
      <c r="T977" s="162" t="s">
        <v>798</v>
      </c>
      <c r="U977" s="167" t="s">
        <v>839</v>
      </c>
      <c r="X977" s="169">
        <v>45348</v>
      </c>
      <c r="Y977" s="170">
        <v>177</v>
      </c>
      <c r="Z977" s="170">
        <v>0</v>
      </c>
      <c r="AA977" s="170">
        <v>0</v>
      </c>
      <c r="AB977" s="170">
        <v>0</v>
      </c>
      <c r="AC977" s="171">
        <v>177</v>
      </c>
      <c r="AD977" s="172">
        <v>21711406.68685</v>
      </c>
      <c r="AE977" s="173">
        <v>177</v>
      </c>
      <c r="AF977" s="174">
        <v>46357</v>
      </c>
    </row>
    <row r="978" spans="1:32" ht="20" x14ac:dyDescent="0.35">
      <c r="A978" s="162" t="s">
        <v>629</v>
      </c>
      <c r="B978" s="163" t="s">
        <v>1086</v>
      </c>
      <c r="C978" s="154"/>
      <c r="D978" s="162" t="s">
        <v>415</v>
      </c>
      <c r="E978" s="164" t="s">
        <v>415</v>
      </c>
      <c r="F978" s="164" t="s">
        <v>1086</v>
      </c>
      <c r="G978" s="164" t="s">
        <v>629</v>
      </c>
      <c r="H978" s="165">
        <v>35285</v>
      </c>
      <c r="I978" s="164" t="s">
        <v>20</v>
      </c>
      <c r="J978" s="164" t="s">
        <v>68</v>
      </c>
      <c r="K978" s="165">
        <v>45348</v>
      </c>
      <c r="L978" s="166" t="s">
        <v>144</v>
      </c>
      <c r="M978" s="154"/>
      <c r="N978" s="154"/>
      <c r="O978" s="164" t="s">
        <v>145</v>
      </c>
      <c r="P978" s="164">
        <v>29</v>
      </c>
      <c r="Q978" s="164">
        <v>2</v>
      </c>
      <c r="R978" s="167" t="s">
        <v>866</v>
      </c>
      <c r="S978" s="167" t="s">
        <v>24</v>
      </c>
      <c r="T978" s="162" t="s">
        <v>800</v>
      </c>
      <c r="U978" s="167" t="s">
        <v>801</v>
      </c>
      <c r="X978" s="169">
        <v>45348</v>
      </c>
      <c r="Y978" s="170">
        <v>24</v>
      </c>
      <c r="Z978" s="170">
        <v>0</v>
      </c>
      <c r="AA978" s="170">
        <v>0</v>
      </c>
      <c r="AB978" s="170">
        <v>0</v>
      </c>
      <c r="AC978" s="171">
        <v>24</v>
      </c>
      <c r="AD978" s="172">
        <v>2943919.55076</v>
      </c>
      <c r="AE978" s="173">
        <v>24</v>
      </c>
      <c r="AF978" s="174">
        <v>46357</v>
      </c>
    </row>
    <row r="979" spans="1:32" ht="20" x14ac:dyDescent="0.35">
      <c r="A979" s="162" t="s">
        <v>629</v>
      </c>
      <c r="B979" s="163" t="s">
        <v>1086</v>
      </c>
      <c r="C979" s="154"/>
      <c r="D979" s="162" t="s">
        <v>415</v>
      </c>
      <c r="E979" s="164" t="s">
        <v>415</v>
      </c>
      <c r="F979" s="164" t="s">
        <v>1086</v>
      </c>
      <c r="G979" s="164" t="s">
        <v>629</v>
      </c>
      <c r="H979" s="165">
        <v>35285</v>
      </c>
      <c r="I979" s="164" t="s">
        <v>20</v>
      </c>
      <c r="J979" s="164" t="s">
        <v>68</v>
      </c>
      <c r="K979" s="165">
        <v>45348</v>
      </c>
      <c r="L979" s="166" t="s">
        <v>144</v>
      </c>
      <c r="M979" s="154"/>
      <c r="N979" s="154"/>
      <c r="O979" s="164" t="s">
        <v>145</v>
      </c>
      <c r="P979" s="164">
        <v>29</v>
      </c>
      <c r="Q979" s="164">
        <v>2</v>
      </c>
      <c r="R979" s="167" t="s">
        <v>866</v>
      </c>
      <c r="S979" s="167" t="s">
        <v>24</v>
      </c>
      <c r="T979" s="162" t="s">
        <v>800</v>
      </c>
      <c r="U979" s="167" t="s">
        <v>802</v>
      </c>
      <c r="X979" s="169">
        <v>45348</v>
      </c>
      <c r="Y979" s="170">
        <v>98</v>
      </c>
      <c r="Z979" s="170">
        <v>0</v>
      </c>
      <c r="AA979" s="170">
        <v>0</v>
      </c>
      <c r="AB979" s="170">
        <v>0</v>
      </c>
      <c r="AC979" s="171">
        <v>98</v>
      </c>
      <c r="AD979" s="172">
        <v>12021004.83227</v>
      </c>
      <c r="AE979" s="173">
        <v>98</v>
      </c>
      <c r="AF979" s="174">
        <v>46357</v>
      </c>
    </row>
    <row r="980" spans="1:32" ht="20" x14ac:dyDescent="0.35">
      <c r="A980" s="162" t="s">
        <v>629</v>
      </c>
      <c r="B980" s="163" t="s">
        <v>1086</v>
      </c>
      <c r="C980" s="154"/>
      <c r="D980" s="162" t="s">
        <v>415</v>
      </c>
      <c r="E980" s="164" t="s">
        <v>415</v>
      </c>
      <c r="F980" s="164" t="s">
        <v>1086</v>
      </c>
      <c r="G980" s="164" t="s">
        <v>629</v>
      </c>
      <c r="H980" s="165">
        <v>35285</v>
      </c>
      <c r="I980" s="164" t="s">
        <v>20</v>
      </c>
      <c r="J980" s="164" t="s">
        <v>68</v>
      </c>
      <c r="K980" s="165">
        <v>45348</v>
      </c>
      <c r="L980" s="166" t="s">
        <v>144</v>
      </c>
      <c r="M980" s="154"/>
      <c r="N980" s="154"/>
      <c r="O980" s="164" t="s">
        <v>145</v>
      </c>
      <c r="P980" s="164">
        <v>29</v>
      </c>
      <c r="Q980" s="164">
        <v>2</v>
      </c>
      <c r="R980" s="167" t="s">
        <v>866</v>
      </c>
      <c r="S980" s="167" t="s">
        <v>24</v>
      </c>
      <c r="T980" s="162" t="s">
        <v>800</v>
      </c>
      <c r="U980" s="167" t="s">
        <v>803</v>
      </c>
      <c r="X980" s="169">
        <v>45348</v>
      </c>
      <c r="Y980" s="170">
        <v>1</v>
      </c>
      <c r="Z980" s="170">
        <v>0</v>
      </c>
      <c r="AA980" s="170">
        <v>0</v>
      </c>
      <c r="AB980" s="170">
        <v>0</v>
      </c>
      <c r="AC980" s="171">
        <v>1</v>
      </c>
      <c r="AD980" s="172">
        <v>122663.31461</v>
      </c>
      <c r="AE980" s="173">
        <v>1</v>
      </c>
      <c r="AF980" s="174">
        <v>46357</v>
      </c>
    </row>
    <row r="981" spans="1:32" ht="20" x14ac:dyDescent="0.35">
      <c r="A981" s="162" t="s">
        <v>629</v>
      </c>
      <c r="B981" s="163" t="s">
        <v>1086</v>
      </c>
      <c r="C981" s="154"/>
      <c r="D981" s="162" t="s">
        <v>415</v>
      </c>
      <c r="E981" s="164" t="s">
        <v>415</v>
      </c>
      <c r="F981" s="164" t="s">
        <v>1086</v>
      </c>
      <c r="G981" s="164" t="s">
        <v>629</v>
      </c>
      <c r="H981" s="165">
        <v>35285</v>
      </c>
      <c r="I981" s="164" t="s">
        <v>20</v>
      </c>
      <c r="J981" s="164" t="s">
        <v>68</v>
      </c>
      <c r="K981" s="165">
        <v>45348</v>
      </c>
      <c r="L981" s="166" t="s">
        <v>144</v>
      </c>
      <c r="M981" s="154"/>
      <c r="N981" s="154"/>
      <c r="O981" s="164" t="s">
        <v>145</v>
      </c>
      <c r="P981" s="164">
        <v>29</v>
      </c>
      <c r="Q981" s="164">
        <v>2</v>
      </c>
      <c r="R981" s="167" t="s">
        <v>866</v>
      </c>
      <c r="S981" s="167" t="s">
        <v>24</v>
      </c>
      <c r="T981" s="162" t="s">
        <v>800</v>
      </c>
      <c r="U981" s="167" t="s">
        <v>804</v>
      </c>
      <c r="X981" s="169">
        <v>45348</v>
      </c>
      <c r="Y981" s="170">
        <v>5</v>
      </c>
      <c r="Z981" s="170">
        <v>0</v>
      </c>
      <c r="AA981" s="170">
        <v>0</v>
      </c>
      <c r="AB981" s="170">
        <v>0</v>
      </c>
      <c r="AC981" s="171">
        <v>5</v>
      </c>
      <c r="AD981" s="172">
        <v>613316.57307000004</v>
      </c>
      <c r="AE981" s="173">
        <v>5</v>
      </c>
      <c r="AF981" s="174">
        <v>46357</v>
      </c>
    </row>
    <row r="982" spans="1:32" ht="20" x14ac:dyDescent="0.35">
      <c r="A982" s="162" t="s">
        <v>629</v>
      </c>
      <c r="B982" s="163" t="s">
        <v>1086</v>
      </c>
      <c r="C982" s="154"/>
      <c r="D982" s="162" t="s">
        <v>415</v>
      </c>
      <c r="E982" s="164" t="s">
        <v>415</v>
      </c>
      <c r="F982" s="164" t="s">
        <v>1086</v>
      </c>
      <c r="G982" s="164" t="s">
        <v>629</v>
      </c>
      <c r="H982" s="165">
        <v>35285</v>
      </c>
      <c r="I982" s="164" t="s">
        <v>20</v>
      </c>
      <c r="J982" s="164" t="s">
        <v>68</v>
      </c>
      <c r="K982" s="165">
        <v>45348</v>
      </c>
      <c r="L982" s="166" t="s">
        <v>144</v>
      </c>
      <c r="M982" s="154"/>
      <c r="N982" s="154"/>
      <c r="O982" s="164" t="s">
        <v>145</v>
      </c>
      <c r="P982" s="164">
        <v>29</v>
      </c>
      <c r="Q982" s="164">
        <v>2</v>
      </c>
      <c r="R982" s="167" t="s">
        <v>866</v>
      </c>
      <c r="S982" s="167" t="s">
        <v>24</v>
      </c>
      <c r="T982" s="162" t="s">
        <v>800</v>
      </c>
      <c r="U982" s="167" t="s">
        <v>840</v>
      </c>
      <c r="X982" s="169">
        <v>45348</v>
      </c>
      <c r="Y982" s="170">
        <v>2.4999999966690001</v>
      </c>
      <c r="Z982" s="170">
        <v>0.41666667000000002</v>
      </c>
      <c r="AA982" s="170">
        <v>0</v>
      </c>
      <c r="AB982" s="170">
        <v>0</v>
      </c>
      <c r="AC982" s="171">
        <v>2.9166666666690002</v>
      </c>
      <c r="AD982" s="172">
        <v>357768.00095999998</v>
      </c>
      <c r="AE982" s="173">
        <v>2.92</v>
      </c>
      <c r="AF982" s="174">
        <v>46357</v>
      </c>
    </row>
    <row r="983" spans="1:32" ht="20" x14ac:dyDescent="0.35">
      <c r="A983" s="162" t="s">
        <v>1090</v>
      </c>
      <c r="B983" s="163" t="s">
        <v>1091</v>
      </c>
      <c r="C983" s="154"/>
      <c r="D983" s="162" t="s">
        <v>417</v>
      </c>
      <c r="E983" s="164" t="s">
        <v>417</v>
      </c>
      <c r="F983" s="164" t="s">
        <v>1091</v>
      </c>
      <c r="G983" s="164" t="s">
        <v>1090</v>
      </c>
      <c r="H983" s="165">
        <v>30022</v>
      </c>
      <c r="I983" s="164" t="s">
        <v>48</v>
      </c>
      <c r="J983" s="164" t="s">
        <v>68</v>
      </c>
      <c r="K983" s="165">
        <v>45397</v>
      </c>
      <c r="L983" s="166" t="s">
        <v>419</v>
      </c>
      <c r="M983" s="154"/>
      <c r="N983" s="154"/>
      <c r="O983" s="164" t="s">
        <v>295</v>
      </c>
      <c r="P983" s="164">
        <v>44</v>
      </c>
      <c r="Q983" s="164">
        <v>2</v>
      </c>
      <c r="R983" s="167" t="s">
        <v>1092</v>
      </c>
      <c r="S983" s="167" t="s">
        <v>844</v>
      </c>
      <c r="T983" s="162" t="s">
        <v>794</v>
      </c>
      <c r="U983" s="167" t="s">
        <v>833</v>
      </c>
      <c r="V983" s="162" t="s">
        <v>828</v>
      </c>
      <c r="W983" s="168">
        <v>2</v>
      </c>
      <c r="X983" s="169">
        <v>45397.041666666701</v>
      </c>
      <c r="Y983" s="170">
        <v>13.56666667</v>
      </c>
      <c r="Z983" s="170">
        <v>2</v>
      </c>
      <c r="AA983" s="170">
        <v>0</v>
      </c>
      <c r="AB983" s="170">
        <v>0</v>
      </c>
      <c r="AC983" s="171">
        <v>15.56666667</v>
      </c>
      <c r="AD983" s="172">
        <v>17344401.641380001</v>
      </c>
      <c r="AE983" s="173" t="s">
        <v>797</v>
      </c>
      <c r="AF983" s="173"/>
    </row>
    <row r="984" spans="1:32" ht="20" x14ac:dyDescent="0.35">
      <c r="A984" s="162" t="s">
        <v>1090</v>
      </c>
      <c r="B984" s="163" t="s">
        <v>1091</v>
      </c>
      <c r="C984" s="154"/>
      <c r="D984" s="162" t="s">
        <v>417</v>
      </c>
      <c r="E984" s="164" t="s">
        <v>417</v>
      </c>
      <c r="F984" s="164" t="s">
        <v>1091</v>
      </c>
      <c r="G984" s="164" t="s">
        <v>1090</v>
      </c>
      <c r="H984" s="165">
        <v>30022</v>
      </c>
      <c r="I984" s="164" t="s">
        <v>48</v>
      </c>
      <c r="J984" s="164" t="s">
        <v>68</v>
      </c>
      <c r="K984" s="165">
        <v>45397</v>
      </c>
      <c r="L984" s="166" t="s">
        <v>419</v>
      </c>
      <c r="M984" s="154"/>
      <c r="N984" s="154"/>
      <c r="O984" s="164" t="s">
        <v>295</v>
      </c>
      <c r="P984" s="164">
        <v>44</v>
      </c>
      <c r="Q984" s="164">
        <v>2</v>
      </c>
      <c r="R984" s="167" t="s">
        <v>1092</v>
      </c>
      <c r="S984" s="167" t="s">
        <v>844</v>
      </c>
      <c r="T984" s="162" t="s">
        <v>798</v>
      </c>
      <c r="U984" s="167" t="s">
        <v>799</v>
      </c>
      <c r="X984" s="169">
        <v>45397.041666666701</v>
      </c>
      <c r="Y984" s="170">
        <v>180</v>
      </c>
      <c r="Z984" s="170">
        <v>0</v>
      </c>
      <c r="AA984" s="170">
        <v>0</v>
      </c>
      <c r="AB984" s="170">
        <v>0</v>
      </c>
      <c r="AC984" s="171">
        <v>180</v>
      </c>
      <c r="AD984" s="172">
        <v>200556250.19999999</v>
      </c>
      <c r="AE984" s="173">
        <v>180</v>
      </c>
      <c r="AF984" s="174">
        <v>46357</v>
      </c>
    </row>
    <row r="985" spans="1:32" ht="20" x14ac:dyDescent="0.35">
      <c r="A985" s="162" t="s">
        <v>1090</v>
      </c>
      <c r="B985" s="163" t="s">
        <v>1091</v>
      </c>
      <c r="C985" s="154"/>
      <c r="D985" s="162" t="s">
        <v>417</v>
      </c>
      <c r="E985" s="164" t="s">
        <v>417</v>
      </c>
      <c r="F985" s="164" t="s">
        <v>1091</v>
      </c>
      <c r="G985" s="164" t="s">
        <v>1090</v>
      </c>
      <c r="H985" s="165">
        <v>30022</v>
      </c>
      <c r="I985" s="164" t="s">
        <v>48</v>
      </c>
      <c r="J985" s="164" t="s">
        <v>68</v>
      </c>
      <c r="K985" s="165">
        <v>45397</v>
      </c>
      <c r="L985" s="166" t="s">
        <v>419</v>
      </c>
      <c r="M985" s="154"/>
      <c r="N985" s="154"/>
      <c r="O985" s="164" t="s">
        <v>295</v>
      </c>
      <c r="P985" s="164">
        <v>44</v>
      </c>
      <c r="Q985" s="164">
        <v>2</v>
      </c>
      <c r="R985" s="167" t="s">
        <v>1092</v>
      </c>
      <c r="S985" s="167" t="s">
        <v>844</v>
      </c>
      <c r="T985" s="162" t="s">
        <v>800</v>
      </c>
      <c r="U985" s="167" t="s">
        <v>801</v>
      </c>
      <c r="X985" s="169">
        <v>45397.041666666701</v>
      </c>
      <c r="Y985" s="170">
        <v>26</v>
      </c>
      <c r="Z985" s="170">
        <v>0</v>
      </c>
      <c r="AA985" s="170">
        <v>0</v>
      </c>
      <c r="AB985" s="170">
        <v>0</v>
      </c>
      <c r="AC985" s="171">
        <v>26</v>
      </c>
      <c r="AD985" s="172">
        <v>28969236.140000001</v>
      </c>
      <c r="AE985" s="173">
        <v>26</v>
      </c>
      <c r="AF985" s="174">
        <v>46357</v>
      </c>
    </row>
    <row r="986" spans="1:32" ht="20" x14ac:dyDescent="0.35">
      <c r="A986" s="162" t="s">
        <v>1090</v>
      </c>
      <c r="B986" s="163" t="s">
        <v>1091</v>
      </c>
      <c r="C986" s="154"/>
      <c r="D986" s="162" t="s">
        <v>417</v>
      </c>
      <c r="E986" s="164" t="s">
        <v>417</v>
      </c>
      <c r="F986" s="164" t="s">
        <v>1091</v>
      </c>
      <c r="G986" s="164" t="s">
        <v>1090</v>
      </c>
      <c r="H986" s="165">
        <v>30022</v>
      </c>
      <c r="I986" s="164" t="s">
        <v>48</v>
      </c>
      <c r="J986" s="164" t="s">
        <v>68</v>
      </c>
      <c r="K986" s="165">
        <v>45397</v>
      </c>
      <c r="L986" s="166" t="s">
        <v>419</v>
      </c>
      <c r="M986" s="154"/>
      <c r="N986" s="154"/>
      <c r="O986" s="164" t="s">
        <v>295</v>
      </c>
      <c r="P986" s="164">
        <v>44</v>
      </c>
      <c r="Q986" s="164">
        <v>2</v>
      </c>
      <c r="R986" s="167" t="s">
        <v>1092</v>
      </c>
      <c r="S986" s="167" t="s">
        <v>844</v>
      </c>
      <c r="T986" s="162" t="s">
        <v>800</v>
      </c>
      <c r="U986" s="167" t="s">
        <v>802</v>
      </c>
      <c r="X986" s="169">
        <v>45397.041666666701</v>
      </c>
      <c r="Y986" s="170">
        <v>98</v>
      </c>
      <c r="Z986" s="170">
        <v>0</v>
      </c>
      <c r="AA986" s="170">
        <v>0</v>
      </c>
      <c r="AB986" s="170">
        <v>0</v>
      </c>
      <c r="AC986" s="171">
        <v>98</v>
      </c>
      <c r="AD986" s="172">
        <v>109191736.22</v>
      </c>
      <c r="AE986" s="173">
        <v>98</v>
      </c>
      <c r="AF986" s="174">
        <v>46357</v>
      </c>
    </row>
    <row r="987" spans="1:32" ht="20" x14ac:dyDescent="0.35">
      <c r="A987" s="162" t="s">
        <v>1090</v>
      </c>
      <c r="B987" s="163" t="s">
        <v>1091</v>
      </c>
      <c r="C987" s="154"/>
      <c r="D987" s="162" t="s">
        <v>417</v>
      </c>
      <c r="E987" s="164" t="s">
        <v>417</v>
      </c>
      <c r="F987" s="164" t="s">
        <v>1091</v>
      </c>
      <c r="G987" s="164" t="s">
        <v>1090</v>
      </c>
      <c r="H987" s="165">
        <v>30022</v>
      </c>
      <c r="I987" s="164" t="s">
        <v>48</v>
      </c>
      <c r="J987" s="164" t="s">
        <v>68</v>
      </c>
      <c r="K987" s="165">
        <v>45397</v>
      </c>
      <c r="L987" s="166" t="s">
        <v>419</v>
      </c>
      <c r="M987" s="154"/>
      <c r="N987" s="154"/>
      <c r="O987" s="164" t="s">
        <v>295</v>
      </c>
      <c r="P987" s="164">
        <v>44</v>
      </c>
      <c r="Q987" s="164">
        <v>2</v>
      </c>
      <c r="R987" s="167" t="s">
        <v>1092</v>
      </c>
      <c r="S987" s="167" t="s">
        <v>844</v>
      </c>
      <c r="T987" s="162" t="s">
        <v>800</v>
      </c>
      <c r="U987" s="167" t="s">
        <v>803</v>
      </c>
      <c r="X987" s="169">
        <v>45397.041666666701</v>
      </c>
      <c r="Y987" s="170">
        <v>2</v>
      </c>
      <c r="Z987" s="170">
        <v>0</v>
      </c>
      <c r="AA987" s="170">
        <v>0</v>
      </c>
      <c r="AB987" s="170">
        <v>0</v>
      </c>
      <c r="AC987" s="171">
        <v>2</v>
      </c>
      <c r="AD987" s="172">
        <v>2228402.7799999998</v>
      </c>
      <c r="AE987" s="173">
        <v>2</v>
      </c>
      <c r="AF987" s="174">
        <v>46357</v>
      </c>
    </row>
    <row r="988" spans="1:32" ht="20" x14ac:dyDescent="0.35">
      <c r="A988" s="162" t="s">
        <v>1090</v>
      </c>
      <c r="B988" s="163" t="s">
        <v>1091</v>
      </c>
      <c r="C988" s="154"/>
      <c r="D988" s="162" t="s">
        <v>417</v>
      </c>
      <c r="E988" s="164" t="s">
        <v>417</v>
      </c>
      <c r="F988" s="164" t="s">
        <v>1091</v>
      </c>
      <c r="G988" s="164" t="s">
        <v>1090</v>
      </c>
      <c r="H988" s="165">
        <v>30022</v>
      </c>
      <c r="I988" s="164" t="s">
        <v>48</v>
      </c>
      <c r="J988" s="164" t="s">
        <v>68</v>
      </c>
      <c r="K988" s="165">
        <v>45397</v>
      </c>
      <c r="L988" s="166" t="s">
        <v>419</v>
      </c>
      <c r="M988" s="154"/>
      <c r="N988" s="154"/>
      <c r="O988" s="164" t="s">
        <v>295</v>
      </c>
      <c r="P988" s="164">
        <v>44</v>
      </c>
      <c r="Q988" s="164">
        <v>2</v>
      </c>
      <c r="R988" s="167" t="s">
        <v>1092</v>
      </c>
      <c r="S988" s="167" t="s">
        <v>844</v>
      </c>
      <c r="T988" s="162" t="s">
        <v>800</v>
      </c>
      <c r="U988" s="167" t="s">
        <v>804</v>
      </c>
      <c r="X988" s="169">
        <v>45397.041666666701</v>
      </c>
      <c r="Y988" s="170">
        <v>5</v>
      </c>
      <c r="Z988" s="170">
        <v>0</v>
      </c>
      <c r="AA988" s="170">
        <v>0</v>
      </c>
      <c r="AB988" s="170">
        <v>0</v>
      </c>
      <c r="AC988" s="171">
        <v>5</v>
      </c>
      <c r="AD988" s="172">
        <v>5571006.9500000002</v>
      </c>
      <c r="AE988" s="173">
        <v>5</v>
      </c>
      <c r="AF988" s="174">
        <v>46357</v>
      </c>
    </row>
    <row r="989" spans="1:32" ht="20" x14ac:dyDescent="0.35">
      <c r="A989" s="162" t="s">
        <v>1090</v>
      </c>
      <c r="B989" s="163" t="s">
        <v>1091</v>
      </c>
      <c r="C989" s="154"/>
      <c r="D989" s="162" t="s">
        <v>417</v>
      </c>
      <c r="E989" s="164" t="s">
        <v>417</v>
      </c>
      <c r="F989" s="164" t="s">
        <v>1091</v>
      </c>
      <c r="G989" s="164" t="s">
        <v>1090</v>
      </c>
      <c r="H989" s="165">
        <v>30022</v>
      </c>
      <c r="I989" s="164" t="s">
        <v>48</v>
      </c>
      <c r="J989" s="164" t="s">
        <v>68</v>
      </c>
      <c r="K989" s="165">
        <v>45397</v>
      </c>
      <c r="L989" s="166" t="s">
        <v>419</v>
      </c>
      <c r="M989" s="154"/>
      <c r="N989" s="154"/>
      <c r="O989" s="164" t="s">
        <v>295</v>
      </c>
      <c r="P989" s="164">
        <v>44</v>
      </c>
      <c r="Q989" s="164">
        <v>2</v>
      </c>
      <c r="R989" s="167" t="s">
        <v>1092</v>
      </c>
      <c r="S989" s="167" t="s">
        <v>844</v>
      </c>
      <c r="T989" s="162" t="s">
        <v>800</v>
      </c>
      <c r="U989" s="167" t="s">
        <v>805</v>
      </c>
      <c r="X989" s="169">
        <v>45397.041666666701</v>
      </c>
      <c r="Y989" s="170">
        <v>2.4999999966690001</v>
      </c>
      <c r="Z989" s="170">
        <v>0.41666667000000002</v>
      </c>
      <c r="AA989" s="170">
        <v>0</v>
      </c>
      <c r="AB989" s="170">
        <v>0</v>
      </c>
      <c r="AC989" s="171">
        <v>2.9166666666690002</v>
      </c>
      <c r="AD989" s="172">
        <v>3249754.0541699999</v>
      </c>
      <c r="AE989" s="173">
        <v>2.92</v>
      </c>
      <c r="AF989" s="174">
        <v>46357</v>
      </c>
    </row>
    <row r="990" spans="1:32" ht="20" x14ac:dyDescent="0.35">
      <c r="A990" s="162" t="s">
        <v>1093</v>
      </c>
      <c r="B990" s="163" t="s">
        <v>1094</v>
      </c>
      <c r="C990" s="154"/>
      <c r="D990" s="162" t="s">
        <v>420</v>
      </c>
      <c r="E990" s="164" t="s">
        <v>420</v>
      </c>
      <c r="F990" s="164" t="s">
        <v>1094</v>
      </c>
      <c r="G990" s="164" t="s">
        <v>1093</v>
      </c>
      <c r="H990" s="165">
        <v>36806</v>
      </c>
      <c r="I990" s="164" t="s">
        <v>48</v>
      </c>
      <c r="J990" s="164" t="s">
        <v>68</v>
      </c>
      <c r="K990" s="165">
        <v>45404</v>
      </c>
      <c r="L990" s="166" t="s">
        <v>422</v>
      </c>
      <c r="M990" s="154"/>
      <c r="N990" s="154"/>
      <c r="O990" s="164" t="s">
        <v>44</v>
      </c>
      <c r="P990" s="164">
        <v>25</v>
      </c>
      <c r="Q990" s="164">
        <v>2</v>
      </c>
      <c r="R990" s="167" t="s">
        <v>941</v>
      </c>
      <c r="S990" s="167" t="s">
        <v>844</v>
      </c>
      <c r="T990" s="162" t="s">
        <v>794</v>
      </c>
      <c r="U990" s="167" t="s">
        <v>795</v>
      </c>
      <c r="V990" s="162" t="s">
        <v>1049</v>
      </c>
      <c r="W990" s="168">
        <v>2</v>
      </c>
      <c r="X990" s="169">
        <v>45404.041666666701</v>
      </c>
      <c r="Y990" s="170">
        <v>19.216666669991</v>
      </c>
      <c r="Z990" s="170">
        <v>1.8333333300000001</v>
      </c>
      <c r="AA990" s="170">
        <v>0</v>
      </c>
      <c r="AB990" s="170">
        <v>0</v>
      </c>
      <c r="AC990" s="171">
        <v>21.049999999991002</v>
      </c>
      <c r="AD990" s="172">
        <v>2881147.7224400002</v>
      </c>
      <c r="AE990" s="173" t="s">
        <v>797</v>
      </c>
      <c r="AF990" s="173"/>
    </row>
    <row r="991" spans="1:32" ht="20" x14ac:dyDescent="0.35">
      <c r="A991" s="162" t="s">
        <v>1093</v>
      </c>
      <c r="B991" s="163" t="s">
        <v>1094</v>
      </c>
      <c r="C991" s="154"/>
      <c r="D991" s="162" t="s">
        <v>420</v>
      </c>
      <c r="E991" s="164" t="s">
        <v>420</v>
      </c>
      <c r="F991" s="164" t="s">
        <v>1094</v>
      </c>
      <c r="G991" s="164" t="s">
        <v>1093</v>
      </c>
      <c r="H991" s="165">
        <v>36806</v>
      </c>
      <c r="I991" s="164" t="s">
        <v>48</v>
      </c>
      <c r="J991" s="164" t="s">
        <v>68</v>
      </c>
      <c r="K991" s="165">
        <v>45404</v>
      </c>
      <c r="L991" s="166" t="s">
        <v>422</v>
      </c>
      <c r="M991" s="154"/>
      <c r="N991" s="154"/>
      <c r="O991" s="164" t="s">
        <v>44</v>
      </c>
      <c r="P991" s="164">
        <v>25</v>
      </c>
      <c r="Q991" s="164">
        <v>2</v>
      </c>
      <c r="R991" s="167" t="s">
        <v>941</v>
      </c>
      <c r="S991" s="167" t="s">
        <v>844</v>
      </c>
      <c r="T991" s="162" t="s">
        <v>798</v>
      </c>
      <c r="U991" s="167" t="s">
        <v>839</v>
      </c>
      <c r="X991" s="169">
        <v>45404.041666666701</v>
      </c>
      <c r="Y991" s="170">
        <v>180</v>
      </c>
      <c r="Z991" s="170">
        <v>0</v>
      </c>
      <c r="AA991" s="170">
        <v>0</v>
      </c>
      <c r="AB991" s="170">
        <v>0</v>
      </c>
      <c r="AC991" s="171">
        <v>180</v>
      </c>
      <c r="AD991" s="172">
        <v>24636892.638420001</v>
      </c>
      <c r="AE991" s="173">
        <v>180</v>
      </c>
      <c r="AF991" s="174">
        <v>46357</v>
      </c>
    </row>
    <row r="992" spans="1:32" ht="20" x14ac:dyDescent="0.35">
      <c r="A992" s="162" t="s">
        <v>1093</v>
      </c>
      <c r="B992" s="163" t="s">
        <v>1094</v>
      </c>
      <c r="C992" s="154"/>
      <c r="D992" s="162" t="s">
        <v>420</v>
      </c>
      <c r="E992" s="164" t="s">
        <v>420</v>
      </c>
      <c r="F992" s="164" t="s">
        <v>1094</v>
      </c>
      <c r="G992" s="164" t="s">
        <v>1093</v>
      </c>
      <c r="H992" s="165">
        <v>36806</v>
      </c>
      <c r="I992" s="164" t="s">
        <v>48</v>
      </c>
      <c r="J992" s="164" t="s">
        <v>68</v>
      </c>
      <c r="K992" s="165">
        <v>45404</v>
      </c>
      <c r="L992" s="166" t="s">
        <v>422</v>
      </c>
      <c r="M992" s="154"/>
      <c r="N992" s="154"/>
      <c r="O992" s="164" t="s">
        <v>44</v>
      </c>
      <c r="P992" s="164">
        <v>25</v>
      </c>
      <c r="Q992" s="164">
        <v>2</v>
      </c>
      <c r="R992" s="167" t="s">
        <v>941</v>
      </c>
      <c r="S992" s="167" t="s">
        <v>844</v>
      </c>
      <c r="T992" s="162" t="s">
        <v>800</v>
      </c>
      <c r="U992" s="167" t="s">
        <v>801</v>
      </c>
      <c r="X992" s="169">
        <v>45404.041666666701</v>
      </c>
      <c r="Y992" s="170">
        <v>24</v>
      </c>
      <c r="Z992" s="170">
        <v>0</v>
      </c>
      <c r="AA992" s="170">
        <v>0</v>
      </c>
      <c r="AB992" s="170">
        <v>0</v>
      </c>
      <c r="AC992" s="171">
        <v>24</v>
      </c>
      <c r="AD992" s="172">
        <v>3284919.0184599999</v>
      </c>
      <c r="AE992" s="173">
        <v>24</v>
      </c>
      <c r="AF992" s="174">
        <v>46357</v>
      </c>
    </row>
    <row r="993" spans="1:32" ht="20" x14ac:dyDescent="0.35">
      <c r="A993" s="162" t="s">
        <v>1093</v>
      </c>
      <c r="B993" s="163" t="s">
        <v>1094</v>
      </c>
      <c r="C993" s="154"/>
      <c r="D993" s="162" t="s">
        <v>420</v>
      </c>
      <c r="E993" s="164" t="s">
        <v>420</v>
      </c>
      <c r="F993" s="164" t="s">
        <v>1094</v>
      </c>
      <c r="G993" s="164" t="s">
        <v>1093</v>
      </c>
      <c r="H993" s="165">
        <v>36806</v>
      </c>
      <c r="I993" s="164" t="s">
        <v>48</v>
      </c>
      <c r="J993" s="164" t="s">
        <v>68</v>
      </c>
      <c r="K993" s="165">
        <v>45404</v>
      </c>
      <c r="L993" s="166" t="s">
        <v>422</v>
      </c>
      <c r="M993" s="154"/>
      <c r="N993" s="154"/>
      <c r="O993" s="164" t="s">
        <v>44</v>
      </c>
      <c r="P993" s="164">
        <v>25</v>
      </c>
      <c r="Q993" s="164">
        <v>2</v>
      </c>
      <c r="R993" s="167" t="s">
        <v>941</v>
      </c>
      <c r="S993" s="167" t="s">
        <v>844</v>
      </c>
      <c r="T993" s="162" t="s">
        <v>800</v>
      </c>
      <c r="U993" s="167" t="s">
        <v>802</v>
      </c>
      <c r="X993" s="169">
        <v>45404.041666666701</v>
      </c>
      <c r="Y993" s="170">
        <v>98</v>
      </c>
      <c r="Z993" s="170">
        <v>0</v>
      </c>
      <c r="AA993" s="170">
        <v>0</v>
      </c>
      <c r="AB993" s="170">
        <v>0</v>
      </c>
      <c r="AC993" s="171">
        <v>98</v>
      </c>
      <c r="AD993" s="172">
        <v>13413419.32536</v>
      </c>
      <c r="AE993" s="173">
        <v>98</v>
      </c>
      <c r="AF993" s="174">
        <v>46357</v>
      </c>
    </row>
    <row r="994" spans="1:32" ht="20" x14ac:dyDescent="0.35">
      <c r="A994" s="162" t="s">
        <v>1093</v>
      </c>
      <c r="B994" s="163" t="s">
        <v>1094</v>
      </c>
      <c r="C994" s="154"/>
      <c r="D994" s="162" t="s">
        <v>420</v>
      </c>
      <c r="E994" s="164" t="s">
        <v>420</v>
      </c>
      <c r="F994" s="164" t="s">
        <v>1094</v>
      </c>
      <c r="G994" s="164" t="s">
        <v>1093</v>
      </c>
      <c r="H994" s="165">
        <v>36806</v>
      </c>
      <c r="I994" s="164" t="s">
        <v>48</v>
      </c>
      <c r="J994" s="164" t="s">
        <v>68</v>
      </c>
      <c r="K994" s="165">
        <v>45404</v>
      </c>
      <c r="L994" s="166" t="s">
        <v>422</v>
      </c>
      <c r="M994" s="154"/>
      <c r="N994" s="154"/>
      <c r="O994" s="164" t="s">
        <v>44</v>
      </c>
      <c r="P994" s="164">
        <v>25</v>
      </c>
      <c r="Q994" s="164">
        <v>2</v>
      </c>
      <c r="R994" s="167" t="s">
        <v>941</v>
      </c>
      <c r="S994" s="167" t="s">
        <v>844</v>
      </c>
      <c r="T994" s="162" t="s">
        <v>800</v>
      </c>
      <c r="U994" s="167" t="s">
        <v>803</v>
      </c>
      <c r="X994" s="169">
        <v>45404.041666666701</v>
      </c>
      <c r="Y994" s="170">
        <v>2</v>
      </c>
      <c r="Z994" s="170">
        <v>0</v>
      </c>
      <c r="AA994" s="170">
        <v>0</v>
      </c>
      <c r="AB994" s="170">
        <v>0</v>
      </c>
      <c r="AC994" s="171">
        <v>2</v>
      </c>
      <c r="AD994" s="172">
        <v>273743.25154000003</v>
      </c>
      <c r="AE994" s="173">
        <v>2</v>
      </c>
      <c r="AF994" s="174">
        <v>46357</v>
      </c>
    </row>
    <row r="995" spans="1:32" ht="20" x14ac:dyDescent="0.35">
      <c r="A995" s="162" t="s">
        <v>1093</v>
      </c>
      <c r="B995" s="163" t="s">
        <v>1094</v>
      </c>
      <c r="C995" s="154"/>
      <c r="D995" s="162" t="s">
        <v>420</v>
      </c>
      <c r="E995" s="164" t="s">
        <v>420</v>
      </c>
      <c r="F995" s="164" t="s">
        <v>1094</v>
      </c>
      <c r="G995" s="164" t="s">
        <v>1093</v>
      </c>
      <c r="H995" s="165">
        <v>36806</v>
      </c>
      <c r="I995" s="164" t="s">
        <v>48</v>
      </c>
      <c r="J995" s="164" t="s">
        <v>68</v>
      </c>
      <c r="K995" s="165">
        <v>45404</v>
      </c>
      <c r="L995" s="166" t="s">
        <v>422</v>
      </c>
      <c r="M995" s="154"/>
      <c r="N995" s="154"/>
      <c r="O995" s="164" t="s">
        <v>44</v>
      </c>
      <c r="P995" s="164">
        <v>25</v>
      </c>
      <c r="Q995" s="164">
        <v>2</v>
      </c>
      <c r="R995" s="167" t="s">
        <v>941</v>
      </c>
      <c r="S995" s="167" t="s">
        <v>844</v>
      </c>
      <c r="T995" s="162" t="s">
        <v>800</v>
      </c>
      <c r="U995" s="167" t="s">
        <v>804</v>
      </c>
      <c r="X995" s="169">
        <v>45404.041666666701</v>
      </c>
      <c r="Y995" s="170">
        <v>5</v>
      </c>
      <c r="Z995" s="170">
        <v>0</v>
      </c>
      <c r="AA995" s="170">
        <v>0</v>
      </c>
      <c r="AB995" s="170">
        <v>0</v>
      </c>
      <c r="AC995" s="171">
        <v>5</v>
      </c>
      <c r="AD995" s="172">
        <v>684358.12884999998</v>
      </c>
      <c r="AE995" s="173">
        <v>5</v>
      </c>
      <c r="AF995" s="174">
        <v>46357</v>
      </c>
    </row>
    <row r="996" spans="1:32" ht="20" x14ac:dyDescent="0.35">
      <c r="A996" s="162" t="s">
        <v>1093</v>
      </c>
      <c r="B996" s="163" t="s">
        <v>1094</v>
      </c>
      <c r="C996" s="154"/>
      <c r="D996" s="162" t="s">
        <v>420</v>
      </c>
      <c r="E996" s="164" t="s">
        <v>420</v>
      </c>
      <c r="F996" s="164" t="s">
        <v>1094</v>
      </c>
      <c r="G996" s="164" t="s">
        <v>1093</v>
      </c>
      <c r="H996" s="165">
        <v>36806</v>
      </c>
      <c r="I996" s="164" t="s">
        <v>48</v>
      </c>
      <c r="J996" s="164" t="s">
        <v>68</v>
      </c>
      <c r="K996" s="165">
        <v>45404</v>
      </c>
      <c r="L996" s="166" t="s">
        <v>422</v>
      </c>
      <c r="M996" s="154"/>
      <c r="N996" s="154"/>
      <c r="O996" s="164" t="s">
        <v>44</v>
      </c>
      <c r="P996" s="164">
        <v>25</v>
      </c>
      <c r="Q996" s="164">
        <v>2</v>
      </c>
      <c r="R996" s="167" t="s">
        <v>941</v>
      </c>
      <c r="S996" s="167" t="s">
        <v>844</v>
      </c>
      <c r="T996" s="162" t="s">
        <v>800</v>
      </c>
      <c r="U996" s="167" t="s">
        <v>840</v>
      </c>
      <c r="X996" s="169">
        <v>45404.041666666701</v>
      </c>
      <c r="Y996" s="170">
        <v>2.4999999966690001</v>
      </c>
      <c r="Z996" s="170">
        <v>0.41666667000000002</v>
      </c>
      <c r="AA996" s="170">
        <v>0</v>
      </c>
      <c r="AB996" s="170">
        <v>0</v>
      </c>
      <c r="AC996" s="171">
        <v>2.9166666666690002</v>
      </c>
      <c r="AD996" s="172">
        <v>399208.90849</v>
      </c>
      <c r="AE996" s="173">
        <v>2.92</v>
      </c>
      <c r="AF996" s="174">
        <v>46357</v>
      </c>
    </row>
    <row r="997" spans="1:32" ht="20" x14ac:dyDescent="0.35">
      <c r="A997" s="162" t="s">
        <v>1095</v>
      </c>
      <c r="B997" s="163" t="s">
        <v>1096</v>
      </c>
      <c r="C997" s="154"/>
      <c r="D997" s="162" t="s">
        <v>423</v>
      </c>
      <c r="E997" s="164" t="s">
        <v>423</v>
      </c>
      <c r="F997" s="164" t="s">
        <v>1096</v>
      </c>
      <c r="G997" s="164" t="s">
        <v>1095</v>
      </c>
      <c r="H997" s="165">
        <v>36150</v>
      </c>
      <c r="I997" s="164" t="s">
        <v>48</v>
      </c>
      <c r="J997" s="164" t="s">
        <v>68</v>
      </c>
      <c r="K997" s="165">
        <v>45446</v>
      </c>
      <c r="L997" s="166" t="s">
        <v>425</v>
      </c>
      <c r="M997" s="154"/>
      <c r="N997" s="154"/>
      <c r="O997" s="164" t="s">
        <v>44</v>
      </c>
      <c r="P997" s="164">
        <v>27</v>
      </c>
      <c r="Q997" s="164">
        <v>2</v>
      </c>
      <c r="R997" s="167" t="s">
        <v>843</v>
      </c>
      <c r="S997" s="167" t="s">
        <v>844</v>
      </c>
      <c r="T997" s="162" t="s">
        <v>794</v>
      </c>
      <c r="U997" s="167" t="s">
        <v>795</v>
      </c>
      <c r="V997" s="162" t="s">
        <v>1049</v>
      </c>
      <c r="W997" s="168">
        <v>2</v>
      </c>
      <c r="X997" s="169">
        <v>46174</v>
      </c>
      <c r="Y997" s="170">
        <v>32.003333336666003</v>
      </c>
      <c r="Z997" s="170">
        <v>1.8333333300000001</v>
      </c>
      <c r="AA997" s="170">
        <v>-1</v>
      </c>
      <c r="AB997" s="170">
        <v>0</v>
      </c>
      <c r="AC997" s="171">
        <v>32.836666666665998</v>
      </c>
      <c r="AD997" s="172">
        <v>4868714.6808799999</v>
      </c>
      <c r="AE997" s="173" t="s">
        <v>797</v>
      </c>
      <c r="AF997" s="173"/>
    </row>
    <row r="998" spans="1:32" ht="20" x14ac:dyDescent="0.35">
      <c r="A998" s="162" t="s">
        <v>1095</v>
      </c>
      <c r="B998" s="163" t="s">
        <v>1096</v>
      </c>
      <c r="C998" s="154"/>
      <c r="D998" s="162" t="s">
        <v>423</v>
      </c>
      <c r="E998" s="164" t="s">
        <v>423</v>
      </c>
      <c r="F998" s="164" t="s">
        <v>1096</v>
      </c>
      <c r="G998" s="164" t="s">
        <v>1095</v>
      </c>
      <c r="H998" s="165">
        <v>36150</v>
      </c>
      <c r="I998" s="164" t="s">
        <v>48</v>
      </c>
      <c r="J998" s="164" t="s">
        <v>68</v>
      </c>
      <c r="K998" s="165">
        <v>45446</v>
      </c>
      <c r="L998" s="166" t="s">
        <v>425</v>
      </c>
      <c r="M998" s="154"/>
      <c r="N998" s="154"/>
      <c r="O998" s="164" t="s">
        <v>44</v>
      </c>
      <c r="P998" s="164">
        <v>27</v>
      </c>
      <c r="Q998" s="164">
        <v>2</v>
      </c>
      <c r="R998" s="167" t="s">
        <v>843</v>
      </c>
      <c r="S998" s="167" t="s">
        <v>844</v>
      </c>
      <c r="T998" s="162" t="s">
        <v>798</v>
      </c>
      <c r="U998" s="167" t="s">
        <v>839</v>
      </c>
      <c r="X998" s="169">
        <v>46174</v>
      </c>
      <c r="Y998" s="170">
        <v>0</v>
      </c>
      <c r="Z998" s="170">
        <v>0</v>
      </c>
      <c r="AA998" s="170">
        <v>0</v>
      </c>
      <c r="AB998" s="170">
        <v>0</v>
      </c>
      <c r="AC998" s="171">
        <v>0</v>
      </c>
      <c r="AD998" s="172">
        <v>0</v>
      </c>
      <c r="AE998" s="173">
        <v>0</v>
      </c>
      <c r="AF998" s="174">
        <v>46357</v>
      </c>
    </row>
    <row r="999" spans="1:32" ht="20" x14ac:dyDescent="0.35">
      <c r="A999" s="162" t="s">
        <v>1095</v>
      </c>
      <c r="B999" s="163" t="s">
        <v>1096</v>
      </c>
      <c r="C999" s="154"/>
      <c r="D999" s="162" t="s">
        <v>423</v>
      </c>
      <c r="E999" s="164" t="s">
        <v>423</v>
      </c>
      <c r="F999" s="164" t="s">
        <v>1096</v>
      </c>
      <c r="G999" s="164" t="s">
        <v>1095</v>
      </c>
      <c r="H999" s="165">
        <v>36150</v>
      </c>
      <c r="I999" s="164" t="s">
        <v>48</v>
      </c>
      <c r="J999" s="164" t="s">
        <v>68</v>
      </c>
      <c r="K999" s="165">
        <v>45446</v>
      </c>
      <c r="L999" s="166" t="s">
        <v>425</v>
      </c>
      <c r="M999" s="154"/>
      <c r="N999" s="154"/>
      <c r="O999" s="164" t="s">
        <v>44</v>
      </c>
      <c r="P999" s="164">
        <v>27</v>
      </c>
      <c r="Q999" s="164">
        <v>2</v>
      </c>
      <c r="R999" s="167" t="s">
        <v>843</v>
      </c>
      <c r="S999" s="167" t="s">
        <v>844</v>
      </c>
      <c r="T999" s="162" t="s">
        <v>800</v>
      </c>
      <c r="U999" s="167" t="s">
        <v>801</v>
      </c>
      <c r="X999" s="169">
        <v>46174</v>
      </c>
      <c r="Y999" s="170">
        <v>0</v>
      </c>
      <c r="Z999" s="170">
        <v>0</v>
      </c>
      <c r="AA999" s="170">
        <v>0</v>
      </c>
      <c r="AB999" s="170">
        <v>0</v>
      </c>
      <c r="AC999" s="171">
        <v>0</v>
      </c>
      <c r="AD999" s="172">
        <v>0</v>
      </c>
      <c r="AE999" s="173">
        <v>0</v>
      </c>
      <c r="AF999" s="174">
        <v>46357</v>
      </c>
    </row>
    <row r="1000" spans="1:32" ht="20" x14ac:dyDescent="0.35">
      <c r="A1000" s="162" t="s">
        <v>1095</v>
      </c>
      <c r="B1000" s="163" t="s">
        <v>1096</v>
      </c>
      <c r="C1000" s="154"/>
      <c r="D1000" s="162" t="s">
        <v>423</v>
      </c>
      <c r="E1000" s="164" t="s">
        <v>423</v>
      </c>
      <c r="F1000" s="164" t="s">
        <v>1096</v>
      </c>
      <c r="G1000" s="164" t="s">
        <v>1095</v>
      </c>
      <c r="H1000" s="165">
        <v>36150</v>
      </c>
      <c r="I1000" s="164" t="s">
        <v>48</v>
      </c>
      <c r="J1000" s="164" t="s">
        <v>68</v>
      </c>
      <c r="K1000" s="165">
        <v>45446</v>
      </c>
      <c r="L1000" s="166" t="s">
        <v>425</v>
      </c>
      <c r="M1000" s="154"/>
      <c r="N1000" s="154"/>
      <c r="O1000" s="164" t="s">
        <v>44</v>
      </c>
      <c r="P1000" s="164">
        <v>27</v>
      </c>
      <c r="Q1000" s="164">
        <v>2</v>
      </c>
      <c r="R1000" s="167" t="s">
        <v>843</v>
      </c>
      <c r="S1000" s="167" t="s">
        <v>844</v>
      </c>
      <c r="T1000" s="162" t="s">
        <v>800</v>
      </c>
      <c r="U1000" s="167" t="s">
        <v>802</v>
      </c>
      <c r="X1000" s="169">
        <v>46174</v>
      </c>
      <c r="Y1000" s="170">
        <v>0</v>
      </c>
      <c r="Z1000" s="170">
        <v>0</v>
      </c>
      <c r="AA1000" s="170">
        <v>0</v>
      </c>
      <c r="AB1000" s="170">
        <v>0</v>
      </c>
      <c r="AC1000" s="171">
        <v>0</v>
      </c>
      <c r="AD1000" s="172">
        <v>0</v>
      </c>
      <c r="AE1000" s="173">
        <v>0</v>
      </c>
      <c r="AF1000" s="174">
        <v>46357</v>
      </c>
    </row>
    <row r="1001" spans="1:32" ht="20" x14ac:dyDescent="0.35">
      <c r="A1001" s="162" t="s">
        <v>1095</v>
      </c>
      <c r="B1001" s="163" t="s">
        <v>1096</v>
      </c>
      <c r="C1001" s="154"/>
      <c r="D1001" s="162" t="s">
        <v>423</v>
      </c>
      <c r="E1001" s="164" t="s">
        <v>423</v>
      </c>
      <c r="F1001" s="164" t="s">
        <v>1096</v>
      </c>
      <c r="G1001" s="164" t="s">
        <v>1095</v>
      </c>
      <c r="H1001" s="165">
        <v>36150</v>
      </c>
      <c r="I1001" s="164" t="s">
        <v>48</v>
      </c>
      <c r="J1001" s="164" t="s">
        <v>68</v>
      </c>
      <c r="K1001" s="165">
        <v>45446</v>
      </c>
      <c r="L1001" s="166" t="s">
        <v>425</v>
      </c>
      <c r="M1001" s="154"/>
      <c r="N1001" s="154"/>
      <c r="O1001" s="164" t="s">
        <v>44</v>
      </c>
      <c r="P1001" s="164">
        <v>27</v>
      </c>
      <c r="Q1001" s="164">
        <v>2</v>
      </c>
      <c r="R1001" s="167" t="s">
        <v>843</v>
      </c>
      <c r="S1001" s="167" t="s">
        <v>844</v>
      </c>
      <c r="T1001" s="162" t="s">
        <v>800</v>
      </c>
      <c r="U1001" s="167" t="s">
        <v>803</v>
      </c>
      <c r="X1001" s="169">
        <v>46174</v>
      </c>
      <c r="Y1001" s="170">
        <v>0</v>
      </c>
      <c r="Z1001" s="170">
        <v>0</v>
      </c>
      <c r="AA1001" s="170">
        <v>0</v>
      </c>
      <c r="AB1001" s="170">
        <v>0</v>
      </c>
      <c r="AC1001" s="171">
        <v>0</v>
      </c>
      <c r="AD1001" s="172">
        <v>0</v>
      </c>
      <c r="AE1001" s="173">
        <v>0</v>
      </c>
      <c r="AF1001" s="174">
        <v>46357</v>
      </c>
    </row>
    <row r="1002" spans="1:32" ht="20" x14ac:dyDescent="0.35">
      <c r="A1002" s="162" t="s">
        <v>1095</v>
      </c>
      <c r="B1002" s="163" t="s">
        <v>1096</v>
      </c>
      <c r="C1002" s="154"/>
      <c r="D1002" s="162" t="s">
        <v>423</v>
      </c>
      <c r="E1002" s="164" t="s">
        <v>423</v>
      </c>
      <c r="F1002" s="164" t="s">
        <v>1096</v>
      </c>
      <c r="G1002" s="164" t="s">
        <v>1095</v>
      </c>
      <c r="H1002" s="165">
        <v>36150</v>
      </c>
      <c r="I1002" s="164" t="s">
        <v>48</v>
      </c>
      <c r="J1002" s="164" t="s">
        <v>68</v>
      </c>
      <c r="K1002" s="165">
        <v>45446</v>
      </c>
      <c r="L1002" s="166" t="s">
        <v>425</v>
      </c>
      <c r="M1002" s="154"/>
      <c r="N1002" s="154"/>
      <c r="O1002" s="164" t="s">
        <v>44</v>
      </c>
      <c r="P1002" s="164">
        <v>27</v>
      </c>
      <c r="Q1002" s="164">
        <v>2</v>
      </c>
      <c r="R1002" s="167" t="s">
        <v>843</v>
      </c>
      <c r="S1002" s="167" t="s">
        <v>844</v>
      </c>
      <c r="T1002" s="162" t="s">
        <v>800</v>
      </c>
      <c r="U1002" s="167" t="s">
        <v>804</v>
      </c>
      <c r="X1002" s="169">
        <v>46174</v>
      </c>
      <c r="Y1002" s="170">
        <v>0</v>
      </c>
      <c r="Z1002" s="170">
        <v>0</v>
      </c>
      <c r="AA1002" s="170">
        <v>0</v>
      </c>
      <c r="AB1002" s="170">
        <v>0</v>
      </c>
      <c r="AC1002" s="171">
        <v>0</v>
      </c>
      <c r="AD1002" s="172">
        <v>0</v>
      </c>
      <c r="AE1002" s="173">
        <v>0</v>
      </c>
      <c r="AF1002" s="174">
        <v>46357</v>
      </c>
    </row>
    <row r="1003" spans="1:32" ht="20" x14ac:dyDescent="0.35">
      <c r="A1003" s="162" t="s">
        <v>1095</v>
      </c>
      <c r="B1003" s="163" t="s">
        <v>1096</v>
      </c>
      <c r="C1003" s="154"/>
      <c r="D1003" s="162" t="s">
        <v>423</v>
      </c>
      <c r="E1003" s="164" t="s">
        <v>423</v>
      </c>
      <c r="F1003" s="164" t="s">
        <v>1096</v>
      </c>
      <c r="G1003" s="164" t="s">
        <v>1095</v>
      </c>
      <c r="H1003" s="165">
        <v>36150</v>
      </c>
      <c r="I1003" s="164" t="s">
        <v>48</v>
      </c>
      <c r="J1003" s="164" t="s">
        <v>68</v>
      </c>
      <c r="K1003" s="165">
        <v>45446</v>
      </c>
      <c r="L1003" s="166" t="s">
        <v>425</v>
      </c>
      <c r="M1003" s="154"/>
      <c r="N1003" s="154"/>
      <c r="O1003" s="164" t="s">
        <v>44</v>
      </c>
      <c r="P1003" s="164">
        <v>27</v>
      </c>
      <c r="Q1003" s="164">
        <v>2</v>
      </c>
      <c r="R1003" s="167" t="s">
        <v>843</v>
      </c>
      <c r="S1003" s="167" t="s">
        <v>844</v>
      </c>
      <c r="T1003" s="162" t="s">
        <v>800</v>
      </c>
      <c r="U1003" s="167" t="s">
        <v>840</v>
      </c>
      <c r="X1003" s="169">
        <v>46174</v>
      </c>
      <c r="Y1003" s="170">
        <v>0.41666666333399999</v>
      </c>
      <c r="Z1003" s="170">
        <v>0.41666667000000002</v>
      </c>
      <c r="AA1003" s="170">
        <v>0</v>
      </c>
      <c r="AB1003" s="170">
        <v>0</v>
      </c>
      <c r="AC1003" s="171">
        <v>0.83333333333399995</v>
      </c>
      <c r="AD1003" s="172">
        <v>123558.89455</v>
      </c>
      <c r="AE1003" s="173">
        <v>0.83</v>
      </c>
      <c r="AF1003" s="174">
        <v>46357</v>
      </c>
    </row>
    <row r="1004" spans="1:32" ht="20" x14ac:dyDescent="0.35">
      <c r="A1004" s="162" t="s">
        <v>1097</v>
      </c>
      <c r="B1004" s="163" t="s">
        <v>1098</v>
      </c>
      <c r="C1004" s="154"/>
      <c r="D1004" s="162" t="s">
        <v>426</v>
      </c>
      <c r="E1004" s="164" t="s">
        <v>426</v>
      </c>
      <c r="F1004" s="164" t="s">
        <v>1098</v>
      </c>
      <c r="G1004" s="164" t="s">
        <v>1097</v>
      </c>
      <c r="H1004" s="165">
        <v>36498</v>
      </c>
      <c r="I1004" s="164" t="s">
        <v>20</v>
      </c>
      <c r="J1004" s="164" t="s">
        <v>68</v>
      </c>
      <c r="K1004" s="165">
        <v>45446</v>
      </c>
      <c r="L1004" s="166" t="s">
        <v>428</v>
      </c>
      <c r="M1004" s="154"/>
      <c r="N1004" s="154"/>
      <c r="O1004" s="164" t="s">
        <v>44</v>
      </c>
      <c r="P1004" s="164">
        <v>26</v>
      </c>
      <c r="Q1004" s="164">
        <v>2</v>
      </c>
      <c r="R1004" s="167" t="s">
        <v>885</v>
      </c>
      <c r="S1004" s="167" t="s">
        <v>844</v>
      </c>
      <c r="T1004" s="162" t="s">
        <v>794</v>
      </c>
      <c r="U1004" s="167" t="s">
        <v>795</v>
      </c>
      <c r="V1004" s="162" t="s">
        <v>1049</v>
      </c>
      <c r="W1004" s="168">
        <v>2</v>
      </c>
      <c r="X1004" s="169">
        <v>46174</v>
      </c>
      <c r="Y1004" s="170">
        <v>14.383333336666</v>
      </c>
      <c r="Z1004" s="170">
        <v>1.8333333300000001</v>
      </c>
      <c r="AA1004" s="170">
        <v>0</v>
      </c>
      <c r="AB1004" s="170">
        <v>0</v>
      </c>
      <c r="AC1004" s="171">
        <v>16.216666666666001</v>
      </c>
      <c r="AD1004" s="172">
        <v>2559464.2875999999</v>
      </c>
      <c r="AE1004" s="173" t="s">
        <v>797</v>
      </c>
      <c r="AF1004" s="173"/>
    </row>
    <row r="1005" spans="1:32" ht="20" x14ac:dyDescent="0.35">
      <c r="A1005" s="162" t="s">
        <v>1097</v>
      </c>
      <c r="B1005" s="163" t="s">
        <v>1098</v>
      </c>
      <c r="C1005" s="154"/>
      <c r="D1005" s="162" t="s">
        <v>426</v>
      </c>
      <c r="E1005" s="164" t="s">
        <v>426</v>
      </c>
      <c r="F1005" s="164" t="s">
        <v>1098</v>
      </c>
      <c r="G1005" s="164" t="s">
        <v>1097</v>
      </c>
      <c r="H1005" s="165">
        <v>36498</v>
      </c>
      <c r="I1005" s="164" t="s">
        <v>20</v>
      </c>
      <c r="J1005" s="164" t="s">
        <v>68</v>
      </c>
      <c r="K1005" s="165">
        <v>45446</v>
      </c>
      <c r="L1005" s="166" t="s">
        <v>428</v>
      </c>
      <c r="M1005" s="154"/>
      <c r="N1005" s="154"/>
      <c r="O1005" s="164" t="s">
        <v>44</v>
      </c>
      <c r="P1005" s="164">
        <v>26</v>
      </c>
      <c r="Q1005" s="164">
        <v>2</v>
      </c>
      <c r="R1005" s="167" t="s">
        <v>885</v>
      </c>
      <c r="S1005" s="167" t="s">
        <v>844</v>
      </c>
      <c r="T1005" s="162" t="s">
        <v>798</v>
      </c>
      <c r="U1005" s="167" t="s">
        <v>839</v>
      </c>
      <c r="X1005" s="169">
        <v>46174</v>
      </c>
      <c r="Y1005" s="170">
        <v>0</v>
      </c>
      <c r="Z1005" s="170">
        <v>0</v>
      </c>
      <c r="AA1005" s="170">
        <v>0</v>
      </c>
      <c r="AB1005" s="170">
        <v>0</v>
      </c>
      <c r="AC1005" s="171">
        <v>0</v>
      </c>
      <c r="AD1005" s="172">
        <v>0</v>
      </c>
      <c r="AE1005" s="173">
        <v>0</v>
      </c>
      <c r="AF1005" s="174">
        <v>46357</v>
      </c>
    </row>
    <row r="1006" spans="1:32" ht="20" x14ac:dyDescent="0.35">
      <c r="A1006" s="162" t="s">
        <v>1097</v>
      </c>
      <c r="B1006" s="163" t="s">
        <v>1098</v>
      </c>
      <c r="C1006" s="154"/>
      <c r="D1006" s="162" t="s">
        <v>426</v>
      </c>
      <c r="E1006" s="164" t="s">
        <v>426</v>
      </c>
      <c r="F1006" s="164" t="s">
        <v>1098</v>
      </c>
      <c r="G1006" s="164" t="s">
        <v>1097</v>
      </c>
      <c r="H1006" s="165">
        <v>36498</v>
      </c>
      <c r="I1006" s="164" t="s">
        <v>20</v>
      </c>
      <c r="J1006" s="164" t="s">
        <v>68</v>
      </c>
      <c r="K1006" s="165">
        <v>45446</v>
      </c>
      <c r="L1006" s="166" t="s">
        <v>428</v>
      </c>
      <c r="M1006" s="154"/>
      <c r="N1006" s="154"/>
      <c r="O1006" s="164" t="s">
        <v>44</v>
      </c>
      <c r="P1006" s="164">
        <v>26</v>
      </c>
      <c r="Q1006" s="164">
        <v>2</v>
      </c>
      <c r="R1006" s="167" t="s">
        <v>885</v>
      </c>
      <c r="S1006" s="167" t="s">
        <v>844</v>
      </c>
      <c r="T1006" s="162" t="s">
        <v>800</v>
      </c>
      <c r="U1006" s="167" t="s">
        <v>801</v>
      </c>
      <c r="X1006" s="169">
        <v>46174</v>
      </c>
      <c r="Y1006" s="170">
        <v>0</v>
      </c>
      <c r="Z1006" s="170">
        <v>0</v>
      </c>
      <c r="AA1006" s="170">
        <v>0</v>
      </c>
      <c r="AB1006" s="170">
        <v>0</v>
      </c>
      <c r="AC1006" s="171">
        <v>0</v>
      </c>
      <c r="AD1006" s="172">
        <v>0</v>
      </c>
      <c r="AE1006" s="173">
        <v>0</v>
      </c>
      <c r="AF1006" s="174">
        <v>46357</v>
      </c>
    </row>
    <row r="1007" spans="1:32" ht="20" x14ac:dyDescent="0.35">
      <c r="A1007" s="162" t="s">
        <v>1097</v>
      </c>
      <c r="B1007" s="163" t="s">
        <v>1098</v>
      </c>
      <c r="C1007" s="154"/>
      <c r="D1007" s="162" t="s">
        <v>426</v>
      </c>
      <c r="E1007" s="164" t="s">
        <v>426</v>
      </c>
      <c r="F1007" s="164" t="s">
        <v>1098</v>
      </c>
      <c r="G1007" s="164" t="s">
        <v>1097</v>
      </c>
      <c r="H1007" s="165">
        <v>36498</v>
      </c>
      <c r="I1007" s="164" t="s">
        <v>20</v>
      </c>
      <c r="J1007" s="164" t="s">
        <v>68</v>
      </c>
      <c r="K1007" s="165">
        <v>45446</v>
      </c>
      <c r="L1007" s="166" t="s">
        <v>428</v>
      </c>
      <c r="M1007" s="154"/>
      <c r="N1007" s="154"/>
      <c r="O1007" s="164" t="s">
        <v>44</v>
      </c>
      <c r="P1007" s="164">
        <v>26</v>
      </c>
      <c r="Q1007" s="164">
        <v>2</v>
      </c>
      <c r="R1007" s="167" t="s">
        <v>885</v>
      </c>
      <c r="S1007" s="167" t="s">
        <v>844</v>
      </c>
      <c r="T1007" s="162" t="s">
        <v>800</v>
      </c>
      <c r="U1007" s="167" t="s">
        <v>802</v>
      </c>
      <c r="X1007" s="169">
        <v>46174</v>
      </c>
      <c r="Y1007" s="170">
        <v>0</v>
      </c>
      <c r="Z1007" s="170">
        <v>0</v>
      </c>
      <c r="AA1007" s="170">
        <v>0</v>
      </c>
      <c r="AB1007" s="170">
        <v>0</v>
      </c>
      <c r="AC1007" s="171">
        <v>0</v>
      </c>
      <c r="AD1007" s="172">
        <v>0</v>
      </c>
      <c r="AE1007" s="173">
        <v>0</v>
      </c>
      <c r="AF1007" s="174">
        <v>46357</v>
      </c>
    </row>
    <row r="1008" spans="1:32" ht="20" x14ac:dyDescent="0.35">
      <c r="A1008" s="162" t="s">
        <v>1097</v>
      </c>
      <c r="B1008" s="163" t="s">
        <v>1098</v>
      </c>
      <c r="C1008" s="154"/>
      <c r="D1008" s="162" t="s">
        <v>426</v>
      </c>
      <c r="E1008" s="164" t="s">
        <v>426</v>
      </c>
      <c r="F1008" s="164" t="s">
        <v>1098</v>
      </c>
      <c r="G1008" s="164" t="s">
        <v>1097</v>
      </c>
      <c r="H1008" s="165">
        <v>36498</v>
      </c>
      <c r="I1008" s="164" t="s">
        <v>20</v>
      </c>
      <c r="J1008" s="164" t="s">
        <v>68</v>
      </c>
      <c r="K1008" s="165">
        <v>45446</v>
      </c>
      <c r="L1008" s="166" t="s">
        <v>428</v>
      </c>
      <c r="M1008" s="154"/>
      <c r="N1008" s="154"/>
      <c r="O1008" s="164" t="s">
        <v>44</v>
      </c>
      <c r="P1008" s="164">
        <v>26</v>
      </c>
      <c r="Q1008" s="164">
        <v>2</v>
      </c>
      <c r="R1008" s="167" t="s">
        <v>885</v>
      </c>
      <c r="S1008" s="167" t="s">
        <v>844</v>
      </c>
      <c r="T1008" s="162" t="s">
        <v>800</v>
      </c>
      <c r="U1008" s="167" t="s">
        <v>803</v>
      </c>
      <c r="X1008" s="169">
        <v>46174</v>
      </c>
      <c r="Y1008" s="170">
        <v>0</v>
      </c>
      <c r="Z1008" s="170">
        <v>0</v>
      </c>
      <c r="AA1008" s="170">
        <v>0</v>
      </c>
      <c r="AB1008" s="170">
        <v>0</v>
      </c>
      <c r="AC1008" s="171">
        <v>0</v>
      </c>
      <c r="AD1008" s="172">
        <v>0</v>
      </c>
      <c r="AE1008" s="173">
        <v>0</v>
      </c>
      <c r="AF1008" s="174">
        <v>46357</v>
      </c>
    </row>
    <row r="1009" spans="1:32" ht="20" x14ac:dyDescent="0.35">
      <c r="A1009" s="162" t="s">
        <v>1097</v>
      </c>
      <c r="B1009" s="163" t="s">
        <v>1098</v>
      </c>
      <c r="C1009" s="154"/>
      <c r="D1009" s="162" t="s">
        <v>426</v>
      </c>
      <c r="E1009" s="164" t="s">
        <v>426</v>
      </c>
      <c r="F1009" s="164" t="s">
        <v>1098</v>
      </c>
      <c r="G1009" s="164" t="s">
        <v>1097</v>
      </c>
      <c r="H1009" s="165">
        <v>36498</v>
      </c>
      <c r="I1009" s="164" t="s">
        <v>20</v>
      </c>
      <c r="J1009" s="164" t="s">
        <v>68</v>
      </c>
      <c r="K1009" s="165">
        <v>45446</v>
      </c>
      <c r="L1009" s="166" t="s">
        <v>428</v>
      </c>
      <c r="M1009" s="154"/>
      <c r="N1009" s="154"/>
      <c r="O1009" s="164" t="s">
        <v>44</v>
      </c>
      <c r="P1009" s="164">
        <v>26</v>
      </c>
      <c r="Q1009" s="164">
        <v>2</v>
      </c>
      <c r="R1009" s="167" t="s">
        <v>885</v>
      </c>
      <c r="S1009" s="167" t="s">
        <v>844</v>
      </c>
      <c r="T1009" s="162" t="s">
        <v>800</v>
      </c>
      <c r="U1009" s="167" t="s">
        <v>804</v>
      </c>
      <c r="X1009" s="169">
        <v>46174</v>
      </c>
      <c r="Y1009" s="170">
        <v>0</v>
      </c>
      <c r="Z1009" s="170">
        <v>0</v>
      </c>
      <c r="AA1009" s="170">
        <v>0</v>
      </c>
      <c r="AB1009" s="170">
        <v>0</v>
      </c>
      <c r="AC1009" s="171">
        <v>0</v>
      </c>
      <c r="AD1009" s="172">
        <v>0</v>
      </c>
      <c r="AE1009" s="173">
        <v>0</v>
      </c>
      <c r="AF1009" s="174">
        <v>46357</v>
      </c>
    </row>
    <row r="1010" spans="1:32" ht="20" x14ac:dyDescent="0.35">
      <c r="A1010" s="162" t="s">
        <v>1097</v>
      </c>
      <c r="B1010" s="163" t="s">
        <v>1098</v>
      </c>
      <c r="C1010" s="154"/>
      <c r="D1010" s="162" t="s">
        <v>426</v>
      </c>
      <c r="E1010" s="164" t="s">
        <v>426</v>
      </c>
      <c r="F1010" s="164" t="s">
        <v>1098</v>
      </c>
      <c r="G1010" s="164" t="s">
        <v>1097</v>
      </c>
      <c r="H1010" s="165">
        <v>36498</v>
      </c>
      <c r="I1010" s="164" t="s">
        <v>20</v>
      </c>
      <c r="J1010" s="164" t="s">
        <v>68</v>
      </c>
      <c r="K1010" s="165">
        <v>45446</v>
      </c>
      <c r="L1010" s="166" t="s">
        <v>428</v>
      </c>
      <c r="M1010" s="154"/>
      <c r="N1010" s="154"/>
      <c r="O1010" s="164" t="s">
        <v>44</v>
      </c>
      <c r="P1010" s="164">
        <v>26</v>
      </c>
      <c r="Q1010" s="164">
        <v>2</v>
      </c>
      <c r="R1010" s="167" t="s">
        <v>885</v>
      </c>
      <c r="S1010" s="167" t="s">
        <v>844</v>
      </c>
      <c r="T1010" s="162" t="s">
        <v>800</v>
      </c>
      <c r="U1010" s="167" t="s">
        <v>840</v>
      </c>
      <c r="X1010" s="169">
        <v>46174</v>
      </c>
      <c r="Y1010" s="170">
        <v>0.41666666333399999</v>
      </c>
      <c r="Z1010" s="170">
        <v>0.41666667000000002</v>
      </c>
      <c r="AA1010" s="170">
        <v>0</v>
      </c>
      <c r="AB1010" s="170">
        <v>0</v>
      </c>
      <c r="AC1010" s="171">
        <v>0.83333333333399995</v>
      </c>
      <c r="AD1010" s="172">
        <v>131524.37244000001</v>
      </c>
      <c r="AE1010" s="173">
        <v>0.83</v>
      </c>
      <c r="AF1010" s="174">
        <v>46357</v>
      </c>
    </row>
    <row r="1011" spans="1:32" ht="20" x14ac:dyDescent="0.35">
      <c r="A1011" s="162" t="s">
        <v>1099</v>
      </c>
      <c r="B1011" s="163" t="s">
        <v>1100</v>
      </c>
      <c r="C1011" s="154"/>
      <c r="D1011" s="162" t="s">
        <v>429</v>
      </c>
      <c r="E1011" s="164" t="s">
        <v>429</v>
      </c>
      <c r="F1011" s="164" t="s">
        <v>1100</v>
      </c>
      <c r="G1011" s="164" t="s">
        <v>1099</v>
      </c>
      <c r="H1011" s="165">
        <v>36231</v>
      </c>
      <c r="I1011" s="164" t="s">
        <v>20</v>
      </c>
      <c r="J1011" s="164" t="s">
        <v>68</v>
      </c>
      <c r="K1011" s="165">
        <v>45446</v>
      </c>
      <c r="L1011" s="166" t="s">
        <v>431</v>
      </c>
      <c r="M1011" s="154"/>
      <c r="N1011" s="154"/>
      <c r="O1011" s="164" t="s">
        <v>44</v>
      </c>
      <c r="P1011" s="164">
        <v>27</v>
      </c>
      <c r="Q1011" s="164">
        <v>2</v>
      </c>
      <c r="R1011" s="167" t="s">
        <v>1020</v>
      </c>
      <c r="S1011" s="167" t="s">
        <v>844</v>
      </c>
      <c r="T1011" s="162" t="s">
        <v>794</v>
      </c>
      <c r="U1011" s="167" t="s">
        <v>795</v>
      </c>
      <c r="V1011" s="162" t="s">
        <v>1049</v>
      </c>
      <c r="W1011" s="168">
        <v>2</v>
      </c>
      <c r="X1011" s="169">
        <v>46174</v>
      </c>
      <c r="Y1011" s="170">
        <v>21.663333336666</v>
      </c>
      <c r="Z1011" s="170">
        <v>1.8333333300000001</v>
      </c>
      <c r="AA1011" s="170">
        <v>0</v>
      </c>
      <c r="AB1011" s="170">
        <v>0</v>
      </c>
      <c r="AC1011" s="171">
        <v>23.496666666665998</v>
      </c>
      <c r="AD1011" s="172">
        <v>3481857.87879</v>
      </c>
      <c r="AE1011" s="173" t="s">
        <v>797</v>
      </c>
      <c r="AF1011" s="173"/>
    </row>
    <row r="1012" spans="1:32" ht="20" x14ac:dyDescent="0.35">
      <c r="A1012" s="162" t="s">
        <v>1099</v>
      </c>
      <c r="B1012" s="163" t="s">
        <v>1100</v>
      </c>
      <c r="C1012" s="154"/>
      <c r="D1012" s="162" t="s">
        <v>429</v>
      </c>
      <c r="E1012" s="164" t="s">
        <v>429</v>
      </c>
      <c r="F1012" s="164" t="s">
        <v>1100</v>
      </c>
      <c r="G1012" s="164" t="s">
        <v>1099</v>
      </c>
      <c r="H1012" s="165">
        <v>36231</v>
      </c>
      <c r="I1012" s="164" t="s">
        <v>20</v>
      </c>
      <c r="J1012" s="164" t="s">
        <v>68</v>
      </c>
      <c r="K1012" s="165">
        <v>45446</v>
      </c>
      <c r="L1012" s="166" t="s">
        <v>431</v>
      </c>
      <c r="M1012" s="154"/>
      <c r="N1012" s="154"/>
      <c r="O1012" s="164" t="s">
        <v>44</v>
      </c>
      <c r="P1012" s="164">
        <v>27</v>
      </c>
      <c r="Q1012" s="164">
        <v>2</v>
      </c>
      <c r="R1012" s="167" t="s">
        <v>1020</v>
      </c>
      <c r="S1012" s="167" t="s">
        <v>844</v>
      </c>
      <c r="T1012" s="162" t="s">
        <v>798</v>
      </c>
      <c r="U1012" s="167" t="s">
        <v>839</v>
      </c>
      <c r="X1012" s="169">
        <v>46174</v>
      </c>
      <c r="Y1012" s="170">
        <v>0</v>
      </c>
      <c r="Z1012" s="170">
        <v>0</v>
      </c>
      <c r="AA1012" s="170">
        <v>0</v>
      </c>
      <c r="AB1012" s="170">
        <v>0</v>
      </c>
      <c r="AC1012" s="171">
        <v>0</v>
      </c>
      <c r="AD1012" s="172">
        <v>0</v>
      </c>
      <c r="AE1012" s="173">
        <v>0</v>
      </c>
      <c r="AF1012" s="174">
        <v>46357</v>
      </c>
    </row>
    <row r="1013" spans="1:32" ht="20" x14ac:dyDescent="0.35">
      <c r="A1013" s="162" t="s">
        <v>1099</v>
      </c>
      <c r="B1013" s="163" t="s">
        <v>1100</v>
      </c>
      <c r="C1013" s="154"/>
      <c r="D1013" s="162" t="s">
        <v>429</v>
      </c>
      <c r="E1013" s="164" t="s">
        <v>429</v>
      </c>
      <c r="F1013" s="164" t="s">
        <v>1100</v>
      </c>
      <c r="G1013" s="164" t="s">
        <v>1099</v>
      </c>
      <c r="H1013" s="165">
        <v>36231</v>
      </c>
      <c r="I1013" s="164" t="s">
        <v>20</v>
      </c>
      <c r="J1013" s="164" t="s">
        <v>68</v>
      </c>
      <c r="K1013" s="165">
        <v>45446</v>
      </c>
      <c r="L1013" s="166" t="s">
        <v>431</v>
      </c>
      <c r="M1013" s="154"/>
      <c r="N1013" s="154"/>
      <c r="O1013" s="164" t="s">
        <v>44</v>
      </c>
      <c r="P1013" s="164">
        <v>27</v>
      </c>
      <c r="Q1013" s="164">
        <v>2</v>
      </c>
      <c r="R1013" s="167" t="s">
        <v>1020</v>
      </c>
      <c r="S1013" s="167" t="s">
        <v>844</v>
      </c>
      <c r="T1013" s="162" t="s">
        <v>800</v>
      </c>
      <c r="U1013" s="167" t="s">
        <v>801</v>
      </c>
      <c r="X1013" s="169">
        <v>46174</v>
      </c>
      <c r="Y1013" s="170">
        <v>0</v>
      </c>
      <c r="Z1013" s="170">
        <v>0</v>
      </c>
      <c r="AA1013" s="170">
        <v>0</v>
      </c>
      <c r="AB1013" s="170">
        <v>0</v>
      </c>
      <c r="AC1013" s="171">
        <v>0</v>
      </c>
      <c r="AD1013" s="172">
        <v>0</v>
      </c>
      <c r="AE1013" s="173">
        <v>0</v>
      </c>
      <c r="AF1013" s="174">
        <v>46357</v>
      </c>
    </row>
    <row r="1014" spans="1:32" ht="20" x14ac:dyDescent="0.35">
      <c r="A1014" s="162" t="s">
        <v>1099</v>
      </c>
      <c r="B1014" s="163" t="s">
        <v>1100</v>
      </c>
      <c r="C1014" s="154"/>
      <c r="D1014" s="162" t="s">
        <v>429</v>
      </c>
      <c r="E1014" s="164" t="s">
        <v>429</v>
      </c>
      <c r="F1014" s="164" t="s">
        <v>1100</v>
      </c>
      <c r="G1014" s="164" t="s">
        <v>1099</v>
      </c>
      <c r="H1014" s="165">
        <v>36231</v>
      </c>
      <c r="I1014" s="164" t="s">
        <v>20</v>
      </c>
      <c r="J1014" s="164" t="s">
        <v>68</v>
      </c>
      <c r="K1014" s="165">
        <v>45446</v>
      </c>
      <c r="L1014" s="166" t="s">
        <v>431</v>
      </c>
      <c r="M1014" s="154"/>
      <c r="N1014" s="154"/>
      <c r="O1014" s="164" t="s">
        <v>44</v>
      </c>
      <c r="P1014" s="164">
        <v>27</v>
      </c>
      <c r="Q1014" s="164">
        <v>2</v>
      </c>
      <c r="R1014" s="167" t="s">
        <v>1020</v>
      </c>
      <c r="S1014" s="167" t="s">
        <v>844</v>
      </c>
      <c r="T1014" s="162" t="s">
        <v>800</v>
      </c>
      <c r="U1014" s="167" t="s">
        <v>802</v>
      </c>
      <c r="X1014" s="169">
        <v>46174</v>
      </c>
      <c r="Y1014" s="170">
        <v>0</v>
      </c>
      <c r="Z1014" s="170">
        <v>0</v>
      </c>
      <c r="AA1014" s="170">
        <v>0</v>
      </c>
      <c r="AB1014" s="170">
        <v>0</v>
      </c>
      <c r="AC1014" s="171">
        <v>0</v>
      </c>
      <c r="AD1014" s="172">
        <v>0</v>
      </c>
      <c r="AE1014" s="173">
        <v>0</v>
      </c>
      <c r="AF1014" s="174">
        <v>46357</v>
      </c>
    </row>
    <row r="1015" spans="1:32" ht="20" x14ac:dyDescent="0.35">
      <c r="A1015" s="162" t="s">
        <v>1099</v>
      </c>
      <c r="B1015" s="163" t="s">
        <v>1100</v>
      </c>
      <c r="C1015" s="154"/>
      <c r="D1015" s="162" t="s">
        <v>429</v>
      </c>
      <c r="E1015" s="164" t="s">
        <v>429</v>
      </c>
      <c r="F1015" s="164" t="s">
        <v>1100</v>
      </c>
      <c r="G1015" s="164" t="s">
        <v>1099</v>
      </c>
      <c r="H1015" s="165">
        <v>36231</v>
      </c>
      <c r="I1015" s="164" t="s">
        <v>20</v>
      </c>
      <c r="J1015" s="164" t="s">
        <v>68</v>
      </c>
      <c r="K1015" s="165">
        <v>45446</v>
      </c>
      <c r="L1015" s="166" t="s">
        <v>431</v>
      </c>
      <c r="M1015" s="154"/>
      <c r="N1015" s="154"/>
      <c r="O1015" s="164" t="s">
        <v>44</v>
      </c>
      <c r="P1015" s="164">
        <v>27</v>
      </c>
      <c r="Q1015" s="164">
        <v>2</v>
      </c>
      <c r="R1015" s="167" t="s">
        <v>1020</v>
      </c>
      <c r="S1015" s="167" t="s">
        <v>844</v>
      </c>
      <c r="T1015" s="162" t="s">
        <v>800</v>
      </c>
      <c r="U1015" s="167" t="s">
        <v>803</v>
      </c>
      <c r="X1015" s="169">
        <v>46174</v>
      </c>
      <c r="Y1015" s="170">
        <v>0</v>
      </c>
      <c r="Z1015" s="170">
        <v>0</v>
      </c>
      <c r="AA1015" s="170">
        <v>0</v>
      </c>
      <c r="AB1015" s="170">
        <v>0</v>
      </c>
      <c r="AC1015" s="171">
        <v>0</v>
      </c>
      <c r="AD1015" s="172">
        <v>0</v>
      </c>
      <c r="AE1015" s="173">
        <v>0</v>
      </c>
      <c r="AF1015" s="174">
        <v>46357</v>
      </c>
    </row>
    <row r="1016" spans="1:32" ht="20" x14ac:dyDescent="0.35">
      <c r="A1016" s="162" t="s">
        <v>1099</v>
      </c>
      <c r="B1016" s="163" t="s">
        <v>1100</v>
      </c>
      <c r="C1016" s="154"/>
      <c r="D1016" s="162" t="s">
        <v>429</v>
      </c>
      <c r="E1016" s="164" t="s">
        <v>429</v>
      </c>
      <c r="F1016" s="164" t="s">
        <v>1100</v>
      </c>
      <c r="G1016" s="164" t="s">
        <v>1099</v>
      </c>
      <c r="H1016" s="165">
        <v>36231</v>
      </c>
      <c r="I1016" s="164" t="s">
        <v>20</v>
      </c>
      <c r="J1016" s="164" t="s">
        <v>68</v>
      </c>
      <c r="K1016" s="165">
        <v>45446</v>
      </c>
      <c r="L1016" s="166" t="s">
        <v>431</v>
      </c>
      <c r="M1016" s="154"/>
      <c r="N1016" s="154"/>
      <c r="O1016" s="164" t="s">
        <v>44</v>
      </c>
      <c r="P1016" s="164">
        <v>27</v>
      </c>
      <c r="Q1016" s="164">
        <v>2</v>
      </c>
      <c r="R1016" s="167" t="s">
        <v>1020</v>
      </c>
      <c r="S1016" s="167" t="s">
        <v>844</v>
      </c>
      <c r="T1016" s="162" t="s">
        <v>800</v>
      </c>
      <c r="U1016" s="167" t="s">
        <v>804</v>
      </c>
      <c r="X1016" s="169">
        <v>46174</v>
      </c>
      <c r="Y1016" s="170">
        <v>0</v>
      </c>
      <c r="Z1016" s="170">
        <v>0</v>
      </c>
      <c r="AA1016" s="170">
        <v>0</v>
      </c>
      <c r="AB1016" s="170">
        <v>0</v>
      </c>
      <c r="AC1016" s="171">
        <v>0</v>
      </c>
      <c r="AD1016" s="172">
        <v>0</v>
      </c>
      <c r="AE1016" s="173">
        <v>0</v>
      </c>
      <c r="AF1016" s="174">
        <v>46357</v>
      </c>
    </row>
    <row r="1017" spans="1:32" ht="20" x14ac:dyDescent="0.35">
      <c r="A1017" s="162" t="s">
        <v>1099</v>
      </c>
      <c r="B1017" s="163" t="s">
        <v>1100</v>
      </c>
      <c r="C1017" s="154"/>
      <c r="D1017" s="162" t="s">
        <v>429</v>
      </c>
      <c r="E1017" s="164" t="s">
        <v>429</v>
      </c>
      <c r="F1017" s="164" t="s">
        <v>1100</v>
      </c>
      <c r="G1017" s="164" t="s">
        <v>1099</v>
      </c>
      <c r="H1017" s="165">
        <v>36231</v>
      </c>
      <c r="I1017" s="164" t="s">
        <v>20</v>
      </c>
      <c r="J1017" s="164" t="s">
        <v>68</v>
      </c>
      <c r="K1017" s="165">
        <v>45446</v>
      </c>
      <c r="L1017" s="166" t="s">
        <v>431</v>
      </c>
      <c r="M1017" s="154"/>
      <c r="N1017" s="154"/>
      <c r="O1017" s="164" t="s">
        <v>44</v>
      </c>
      <c r="P1017" s="164">
        <v>27</v>
      </c>
      <c r="Q1017" s="164">
        <v>2</v>
      </c>
      <c r="R1017" s="167" t="s">
        <v>1020</v>
      </c>
      <c r="S1017" s="167" t="s">
        <v>844</v>
      </c>
      <c r="T1017" s="162" t="s">
        <v>800</v>
      </c>
      <c r="U1017" s="167" t="s">
        <v>840</v>
      </c>
      <c r="X1017" s="169">
        <v>46174</v>
      </c>
      <c r="Y1017" s="170">
        <v>0.41666666333399999</v>
      </c>
      <c r="Z1017" s="170">
        <v>0.41666667000000002</v>
      </c>
      <c r="AA1017" s="170">
        <v>0</v>
      </c>
      <c r="AB1017" s="170">
        <v>0</v>
      </c>
      <c r="AC1017" s="171">
        <v>0.83333333333399995</v>
      </c>
      <c r="AD1017" s="172">
        <v>123487.65353</v>
      </c>
      <c r="AE1017" s="173">
        <v>0.83</v>
      </c>
      <c r="AF1017" s="174">
        <v>46357</v>
      </c>
    </row>
    <row r="1018" spans="1:32" ht="20" x14ac:dyDescent="0.35">
      <c r="A1018" s="162" t="s">
        <v>1101</v>
      </c>
      <c r="B1018" s="163" t="s">
        <v>1102</v>
      </c>
      <c r="C1018" s="154"/>
      <c r="D1018" s="162" t="s">
        <v>432</v>
      </c>
      <c r="E1018" s="164" t="s">
        <v>432</v>
      </c>
      <c r="F1018" s="164" t="s">
        <v>1102</v>
      </c>
      <c r="G1018" s="164" t="s">
        <v>1101</v>
      </c>
      <c r="H1018" s="165">
        <v>34268</v>
      </c>
      <c r="I1018" s="164" t="s">
        <v>20</v>
      </c>
      <c r="J1018" s="164" t="s">
        <v>68</v>
      </c>
      <c r="K1018" s="165">
        <v>45455</v>
      </c>
      <c r="L1018" s="166" t="s">
        <v>434</v>
      </c>
      <c r="M1018" s="154"/>
      <c r="N1018" s="154"/>
      <c r="O1018" s="164" t="s">
        <v>65</v>
      </c>
      <c r="P1018" s="164">
        <v>32</v>
      </c>
      <c r="Q1018" s="164">
        <v>2</v>
      </c>
      <c r="R1018" s="167" t="s">
        <v>1032</v>
      </c>
      <c r="S1018" s="167" t="s">
        <v>844</v>
      </c>
      <c r="T1018" s="162" t="s">
        <v>794</v>
      </c>
      <c r="U1018" s="167" t="s">
        <v>795</v>
      </c>
      <c r="V1018" s="162" t="s">
        <v>1049</v>
      </c>
      <c r="W1018" s="168">
        <v>2</v>
      </c>
      <c r="X1018" s="169">
        <v>45455.083333333299</v>
      </c>
      <c r="Y1018" s="170">
        <v>22.161111113324999</v>
      </c>
      <c r="Z1018" s="170">
        <v>1.8333333300000001</v>
      </c>
      <c r="AA1018" s="170">
        <v>-13</v>
      </c>
      <c r="AB1018" s="170">
        <v>0</v>
      </c>
      <c r="AC1018" s="171">
        <v>10.994444443324999</v>
      </c>
      <c r="AD1018" s="172">
        <v>1814419.49251</v>
      </c>
      <c r="AE1018" s="173" t="s">
        <v>797</v>
      </c>
      <c r="AF1018" s="173"/>
    </row>
    <row r="1019" spans="1:32" ht="20" x14ac:dyDescent="0.35">
      <c r="A1019" s="162" t="s">
        <v>1101</v>
      </c>
      <c r="B1019" s="163" t="s">
        <v>1102</v>
      </c>
      <c r="C1019" s="154"/>
      <c r="D1019" s="162" t="s">
        <v>432</v>
      </c>
      <c r="E1019" s="164" t="s">
        <v>432</v>
      </c>
      <c r="F1019" s="164" t="s">
        <v>1102</v>
      </c>
      <c r="G1019" s="164" t="s">
        <v>1101</v>
      </c>
      <c r="H1019" s="165">
        <v>34268</v>
      </c>
      <c r="I1019" s="164" t="s">
        <v>20</v>
      </c>
      <c r="J1019" s="164" t="s">
        <v>68</v>
      </c>
      <c r="K1019" s="165">
        <v>45455</v>
      </c>
      <c r="L1019" s="166" t="s">
        <v>434</v>
      </c>
      <c r="M1019" s="154"/>
      <c r="N1019" s="154"/>
      <c r="O1019" s="164" t="s">
        <v>65</v>
      </c>
      <c r="P1019" s="164">
        <v>32</v>
      </c>
      <c r="Q1019" s="164">
        <v>2</v>
      </c>
      <c r="R1019" s="167" t="s">
        <v>1032</v>
      </c>
      <c r="S1019" s="167" t="s">
        <v>844</v>
      </c>
      <c r="T1019" s="162" t="s">
        <v>798</v>
      </c>
      <c r="U1019" s="167" t="s">
        <v>839</v>
      </c>
      <c r="X1019" s="169">
        <v>45455.083333333299</v>
      </c>
      <c r="Y1019" s="170">
        <v>180</v>
      </c>
      <c r="Z1019" s="170">
        <v>0</v>
      </c>
      <c r="AA1019" s="170">
        <v>0</v>
      </c>
      <c r="AB1019" s="170">
        <v>0</v>
      </c>
      <c r="AC1019" s="171">
        <v>180</v>
      </c>
      <c r="AD1019" s="172">
        <v>29705503.569120001</v>
      </c>
      <c r="AE1019" s="173">
        <v>180</v>
      </c>
      <c r="AF1019" s="174">
        <v>46357</v>
      </c>
    </row>
    <row r="1020" spans="1:32" ht="20" x14ac:dyDescent="0.35">
      <c r="A1020" s="162" t="s">
        <v>1101</v>
      </c>
      <c r="B1020" s="163" t="s">
        <v>1102</v>
      </c>
      <c r="C1020" s="154"/>
      <c r="D1020" s="162" t="s">
        <v>432</v>
      </c>
      <c r="E1020" s="164" t="s">
        <v>432</v>
      </c>
      <c r="F1020" s="164" t="s">
        <v>1102</v>
      </c>
      <c r="G1020" s="164" t="s">
        <v>1101</v>
      </c>
      <c r="H1020" s="165">
        <v>34268</v>
      </c>
      <c r="I1020" s="164" t="s">
        <v>20</v>
      </c>
      <c r="J1020" s="164" t="s">
        <v>68</v>
      </c>
      <c r="K1020" s="165">
        <v>45455</v>
      </c>
      <c r="L1020" s="166" t="s">
        <v>434</v>
      </c>
      <c r="M1020" s="154"/>
      <c r="N1020" s="154"/>
      <c r="O1020" s="164" t="s">
        <v>65</v>
      </c>
      <c r="P1020" s="164">
        <v>32</v>
      </c>
      <c r="Q1020" s="164">
        <v>2</v>
      </c>
      <c r="R1020" s="167" t="s">
        <v>1032</v>
      </c>
      <c r="S1020" s="167" t="s">
        <v>844</v>
      </c>
      <c r="T1020" s="162" t="s">
        <v>800</v>
      </c>
      <c r="U1020" s="167" t="s">
        <v>801</v>
      </c>
      <c r="X1020" s="169">
        <v>45455.083333333299</v>
      </c>
      <c r="Y1020" s="170">
        <v>21</v>
      </c>
      <c r="Z1020" s="170">
        <v>0</v>
      </c>
      <c r="AA1020" s="170">
        <v>0</v>
      </c>
      <c r="AB1020" s="170">
        <v>0</v>
      </c>
      <c r="AC1020" s="171">
        <v>21</v>
      </c>
      <c r="AD1020" s="172">
        <v>3465642.0830600001</v>
      </c>
      <c r="AE1020" s="173">
        <v>21</v>
      </c>
      <c r="AF1020" s="174">
        <v>46357</v>
      </c>
    </row>
    <row r="1021" spans="1:32" ht="20" x14ac:dyDescent="0.35">
      <c r="A1021" s="162" t="s">
        <v>1101</v>
      </c>
      <c r="B1021" s="163" t="s">
        <v>1102</v>
      </c>
      <c r="C1021" s="154"/>
      <c r="D1021" s="162" t="s">
        <v>432</v>
      </c>
      <c r="E1021" s="164" t="s">
        <v>432</v>
      </c>
      <c r="F1021" s="164" t="s">
        <v>1102</v>
      </c>
      <c r="G1021" s="164" t="s">
        <v>1101</v>
      </c>
      <c r="H1021" s="165">
        <v>34268</v>
      </c>
      <c r="I1021" s="164" t="s">
        <v>20</v>
      </c>
      <c r="J1021" s="164" t="s">
        <v>68</v>
      </c>
      <c r="K1021" s="165">
        <v>45455</v>
      </c>
      <c r="L1021" s="166" t="s">
        <v>434</v>
      </c>
      <c r="M1021" s="154"/>
      <c r="N1021" s="154"/>
      <c r="O1021" s="164" t="s">
        <v>65</v>
      </c>
      <c r="P1021" s="164">
        <v>32</v>
      </c>
      <c r="Q1021" s="164">
        <v>2</v>
      </c>
      <c r="R1021" s="167" t="s">
        <v>1032</v>
      </c>
      <c r="S1021" s="167" t="s">
        <v>844</v>
      </c>
      <c r="T1021" s="162" t="s">
        <v>800</v>
      </c>
      <c r="U1021" s="167" t="s">
        <v>802</v>
      </c>
      <c r="X1021" s="169">
        <v>45455.083333333299</v>
      </c>
      <c r="Y1021" s="170">
        <v>98</v>
      </c>
      <c r="Z1021" s="170">
        <v>0</v>
      </c>
      <c r="AA1021" s="170">
        <v>0</v>
      </c>
      <c r="AB1021" s="170">
        <v>0</v>
      </c>
      <c r="AC1021" s="171">
        <v>98</v>
      </c>
      <c r="AD1021" s="172">
        <v>16172996.387630001</v>
      </c>
      <c r="AE1021" s="173">
        <v>98</v>
      </c>
      <c r="AF1021" s="174">
        <v>46357</v>
      </c>
    </row>
    <row r="1022" spans="1:32" ht="20" x14ac:dyDescent="0.35">
      <c r="A1022" s="162" t="s">
        <v>1101</v>
      </c>
      <c r="B1022" s="163" t="s">
        <v>1102</v>
      </c>
      <c r="C1022" s="154"/>
      <c r="D1022" s="162" t="s">
        <v>432</v>
      </c>
      <c r="E1022" s="164" t="s">
        <v>432</v>
      </c>
      <c r="F1022" s="164" t="s">
        <v>1102</v>
      </c>
      <c r="G1022" s="164" t="s">
        <v>1101</v>
      </c>
      <c r="H1022" s="165">
        <v>34268</v>
      </c>
      <c r="I1022" s="164" t="s">
        <v>20</v>
      </c>
      <c r="J1022" s="164" t="s">
        <v>68</v>
      </c>
      <c r="K1022" s="165">
        <v>45455</v>
      </c>
      <c r="L1022" s="166" t="s">
        <v>434</v>
      </c>
      <c r="M1022" s="154"/>
      <c r="N1022" s="154"/>
      <c r="O1022" s="164" t="s">
        <v>65</v>
      </c>
      <c r="P1022" s="164">
        <v>32</v>
      </c>
      <c r="Q1022" s="164">
        <v>2</v>
      </c>
      <c r="R1022" s="167" t="s">
        <v>1032</v>
      </c>
      <c r="S1022" s="167" t="s">
        <v>844</v>
      </c>
      <c r="T1022" s="162" t="s">
        <v>800</v>
      </c>
      <c r="U1022" s="167" t="s">
        <v>803</v>
      </c>
      <c r="X1022" s="169">
        <v>45455.083333333299</v>
      </c>
      <c r="Y1022" s="170">
        <v>2</v>
      </c>
      <c r="Z1022" s="170">
        <v>0</v>
      </c>
      <c r="AA1022" s="170">
        <v>0</v>
      </c>
      <c r="AB1022" s="170">
        <v>0</v>
      </c>
      <c r="AC1022" s="171">
        <v>2</v>
      </c>
      <c r="AD1022" s="172">
        <v>330061.15077000001</v>
      </c>
      <c r="AE1022" s="173">
        <v>2</v>
      </c>
      <c r="AF1022" s="174">
        <v>46357</v>
      </c>
    </row>
    <row r="1023" spans="1:32" ht="20" x14ac:dyDescent="0.35">
      <c r="A1023" s="162" t="s">
        <v>1101</v>
      </c>
      <c r="B1023" s="163" t="s">
        <v>1102</v>
      </c>
      <c r="C1023" s="154"/>
      <c r="D1023" s="162" t="s">
        <v>432</v>
      </c>
      <c r="E1023" s="164" t="s">
        <v>432</v>
      </c>
      <c r="F1023" s="164" t="s">
        <v>1102</v>
      </c>
      <c r="G1023" s="164" t="s">
        <v>1101</v>
      </c>
      <c r="H1023" s="165">
        <v>34268</v>
      </c>
      <c r="I1023" s="164" t="s">
        <v>20</v>
      </c>
      <c r="J1023" s="164" t="s">
        <v>68</v>
      </c>
      <c r="K1023" s="165">
        <v>45455</v>
      </c>
      <c r="L1023" s="166" t="s">
        <v>434</v>
      </c>
      <c r="M1023" s="154"/>
      <c r="N1023" s="154"/>
      <c r="O1023" s="164" t="s">
        <v>65</v>
      </c>
      <c r="P1023" s="164">
        <v>32</v>
      </c>
      <c r="Q1023" s="164">
        <v>2</v>
      </c>
      <c r="R1023" s="167" t="s">
        <v>1032</v>
      </c>
      <c r="S1023" s="167" t="s">
        <v>844</v>
      </c>
      <c r="T1023" s="162" t="s">
        <v>800</v>
      </c>
      <c r="U1023" s="167" t="s">
        <v>804</v>
      </c>
      <c r="X1023" s="169">
        <v>45455.083333333299</v>
      </c>
      <c r="Y1023" s="170">
        <v>5</v>
      </c>
      <c r="Z1023" s="170">
        <v>0</v>
      </c>
      <c r="AA1023" s="170">
        <v>0</v>
      </c>
      <c r="AB1023" s="170">
        <v>0</v>
      </c>
      <c r="AC1023" s="171">
        <v>5</v>
      </c>
      <c r="AD1023" s="172">
        <v>825152.87691999995</v>
      </c>
      <c r="AE1023" s="173">
        <v>5</v>
      </c>
      <c r="AF1023" s="174">
        <v>46357</v>
      </c>
    </row>
    <row r="1024" spans="1:32" ht="20" x14ac:dyDescent="0.35">
      <c r="A1024" s="162" t="s">
        <v>1101</v>
      </c>
      <c r="B1024" s="163" t="s">
        <v>1102</v>
      </c>
      <c r="C1024" s="154"/>
      <c r="D1024" s="162" t="s">
        <v>432</v>
      </c>
      <c r="E1024" s="164" t="s">
        <v>432</v>
      </c>
      <c r="F1024" s="164" t="s">
        <v>1102</v>
      </c>
      <c r="G1024" s="164" t="s">
        <v>1101</v>
      </c>
      <c r="H1024" s="165">
        <v>34268</v>
      </c>
      <c r="I1024" s="164" t="s">
        <v>20</v>
      </c>
      <c r="J1024" s="164" t="s">
        <v>68</v>
      </c>
      <c r="K1024" s="165">
        <v>45455</v>
      </c>
      <c r="L1024" s="166" t="s">
        <v>434</v>
      </c>
      <c r="M1024" s="154"/>
      <c r="N1024" s="154"/>
      <c r="O1024" s="164" t="s">
        <v>65</v>
      </c>
      <c r="P1024" s="164">
        <v>32</v>
      </c>
      <c r="Q1024" s="164">
        <v>2</v>
      </c>
      <c r="R1024" s="167" t="s">
        <v>1032</v>
      </c>
      <c r="S1024" s="167" t="s">
        <v>844</v>
      </c>
      <c r="T1024" s="162" t="s">
        <v>800</v>
      </c>
      <c r="U1024" s="167" t="s">
        <v>840</v>
      </c>
      <c r="X1024" s="169">
        <v>45455.083333333299</v>
      </c>
      <c r="Y1024" s="170">
        <v>2.4999999966690001</v>
      </c>
      <c r="Z1024" s="170">
        <v>0.41666667000000002</v>
      </c>
      <c r="AA1024" s="170">
        <v>0</v>
      </c>
      <c r="AB1024" s="170">
        <v>0</v>
      </c>
      <c r="AC1024" s="171">
        <v>2.9166666666690002</v>
      </c>
      <c r="AD1024" s="172">
        <v>481339.17820000002</v>
      </c>
      <c r="AE1024" s="173">
        <v>2.92</v>
      </c>
      <c r="AF1024" s="174">
        <v>46357</v>
      </c>
    </row>
    <row r="1025" spans="1:32" ht="20" x14ac:dyDescent="0.35">
      <c r="A1025" s="162" t="s">
        <v>612</v>
      </c>
      <c r="B1025" s="163" t="s">
        <v>981</v>
      </c>
      <c r="C1025" s="154"/>
      <c r="D1025" s="162" t="s">
        <v>435</v>
      </c>
      <c r="E1025" s="164" t="s">
        <v>435</v>
      </c>
      <c r="F1025" s="164" t="s">
        <v>981</v>
      </c>
      <c r="G1025" s="164" t="s">
        <v>612</v>
      </c>
      <c r="H1025" s="165">
        <v>35765</v>
      </c>
      <c r="I1025" s="164" t="s">
        <v>20</v>
      </c>
      <c r="J1025" s="164" t="s">
        <v>68</v>
      </c>
      <c r="K1025" s="165">
        <v>45446</v>
      </c>
      <c r="L1025" s="166" t="s">
        <v>160</v>
      </c>
      <c r="M1025" s="154"/>
      <c r="N1025" s="154"/>
      <c r="O1025" s="164" t="s">
        <v>161</v>
      </c>
      <c r="P1025" s="164">
        <v>28</v>
      </c>
      <c r="Q1025" s="164">
        <v>2</v>
      </c>
      <c r="R1025" s="167" t="s">
        <v>903</v>
      </c>
      <c r="S1025" s="167" t="s">
        <v>115</v>
      </c>
      <c r="T1025" s="162" t="s">
        <v>794</v>
      </c>
      <c r="U1025" s="167" t="s">
        <v>819</v>
      </c>
      <c r="V1025" s="162" t="s">
        <v>828</v>
      </c>
      <c r="W1025" s="168">
        <v>2</v>
      </c>
      <c r="X1025" s="169">
        <v>45446.083333333299</v>
      </c>
      <c r="Y1025" s="170">
        <v>14.555555556674999</v>
      </c>
      <c r="Z1025" s="170">
        <v>1.6666666699999999</v>
      </c>
      <c r="AA1025" s="170">
        <v>-1</v>
      </c>
      <c r="AB1025" s="170">
        <v>0</v>
      </c>
      <c r="AC1025" s="171">
        <v>15.222222226674999</v>
      </c>
      <c r="AD1025" s="172">
        <v>1474753.63714</v>
      </c>
      <c r="AE1025" s="173" t="s">
        <v>797</v>
      </c>
      <c r="AF1025" s="173"/>
    </row>
    <row r="1026" spans="1:32" ht="20" x14ac:dyDescent="0.35">
      <c r="A1026" s="162" t="s">
        <v>612</v>
      </c>
      <c r="B1026" s="163" t="s">
        <v>981</v>
      </c>
      <c r="C1026" s="154"/>
      <c r="D1026" s="162" t="s">
        <v>435</v>
      </c>
      <c r="E1026" s="164" t="s">
        <v>435</v>
      </c>
      <c r="F1026" s="164" t="s">
        <v>981</v>
      </c>
      <c r="G1026" s="164" t="s">
        <v>612</v>
      </c>
      <c r="H1026" s="165">
        <v>35765</v>
      </c>
      <c r="I1026" s="164" t="s">
        <v>20</v>
      </c>
      <c r="J1026" s="164" t="s">
        <v>68</v>
      </c>
      <c r="K1026" s="165">
        <v>45446</v>
      </c>
      <c r="L1026" s="166" t="s">
        <v>160</v>
      </c>
      <c r="M1026" s="154"/>
      <c r="N1026" s="154"/>
      <c r="O1026" s="164" t="s">
        <v>161</v>
      </c>
      <c r="P1026" s="164">
        <v>28</v>
      </c>
      <c r="Q1026" s="164">
        <v>2</v>
      </c>
      <c r="R1026" s="167" t="s">
        <v>903</v>
      </c>
      <c r="S1026" s="167" t="s">
        <v>115</v>
      </c>
      <c r="T1026" s="162" t="s">
        <v>798</v>
      </c>
      <c r="U1026" s="167" t="s">
        <v>799</v>
      </c>
      <c r="X1026" s="169">
        <v>45446.083333333299</v>
      </c>
      <c r="Y1026" s="170">
        <v>180</v>
      </c>
      <c r="Z1026" s="170">
        <v>0</v>
      </c>
      <c r="AA1026" s="170">
        <v>0</v>
      </c>
      <c r="AB1026" s="170">
        <v>0</v>
      </c>
      <c r="AC1026" s="171">
        <v>180</v>
      </c>
      <c r="AD1026" s="172">
        <v>17438692.638420001</v>
      </c>
      <c r="AE1026" s="173">
        <v>180</v>
      </c>
      <c r="AF1026" s="174">
        <v>46357</v>
      </c>
    </row>
    <row r="1027" spans="1:32" ht="20" x14ac:dyDescent="0.35">
      <c r="A1027" s="162" t="s">
        <v>612</v>
      </c>
      <c r="B1027" s="163" t="s">
        <v>981</v>
      </c>
      <c r="C1027" s="154"/>
      <c r="D1027" s="162" t="s">
        <v>435</v>
      </c>
      <c r="E1027" s="164" t="s">
        <v>435</v>
      </c>
      <c r="F1027" s="164" t="s">
        <v>981</v>
      </c>
      <c r="G1027" s="164" t="s">
        <v>612</v>
      </c>
      <c r="H1027" s="165">
        <v>35765</v>
      </c>
      <c r="I1027" s="164" t="s">
        <v>20</v>
      </c>
      <c r="J1027" s="164" t="s">
        <v>68</v>
      </c>
      <c r="K1027" s="165">
        <v>45446</v>
      </c>
      <c r="L1027" s="166" t="s">
        <v>160</v>
      </c>
      <c r="M1027" s="154"/>
      <c r="N1027" s="154"/>
      <c r="O1027" s="164" t="s">
        <v>161</v>
      </c>
      <c r="P1027" s="164">
        <v>28</v>
      </c>
      <c r="Q1027" s="164">
        <v>2</v>
      </c>
      <c r="R1027" s="167" t="s">
        <v>903</v>
      </c>
      <c r="S1027" s="167" t="s">
        <v>115</v>
      </c>
      <c r="T1027" s="162" t="s">
        <v>800</v>
      </c>
      <c r="U1027" s="167" t="s">
        <v>801</v>
      </c>
      <c r="X1027" s="169">
        <v>45446.083333333299</v>
      </c>
      <c r="Y1027" s="170">
        <v>26</v>
      </c>
      <c r="Z1027" s="170">
        <v>0</v>
      </c>
      <c r="AA1027" s="170">
        <v>0</v>
      </c>
      <c r="AB1027" s="170">
        <v>0</v>
      </c>
      <c r="AC1027" s="171">
        <v>26</v>
      </c>
      <c r="AD1027" s="172">
        <v>2518922.2699899999</v>
      </c>
      <c r="AE1027" s="173">
        <v>26</v>
      </c>
      <c r="AF1027" s="174">
        <v>46357</v>
      </c>
    </row>
    <row r="1028" spans="1:32" ht="20" x14ac:dyDescent="0.35">
      <c r="A1028" s="162" t="s">
        <v>612</v>
      </c>
      <c r="B1028" s="163" t="s">
        <v>981</v>
      </c>
      <c r="C1028" s="154"/>
      <c r="D1028" s="162" t="s">
        <v>435</v>
      </c>
      <c r="E1028" s="164" t="s">
        <v>435</v>
      </c>
      <c r="F1028" s="164" t="s">
        <v>981</v>
      </c>
      <c r="G1028" s="164" t="s">
        <v>612</v>
      </c>
      <c r="H1028" s="165">
        <v>35765</v>
      </c>
      <c r="I1028" s="164" t="s">
        <v>20</v>
      </c>
      <c r="J1028" s="164" t="s">
        <v>68</v>
      </c>
      <c r="K1028" s="165">
        <v>45446</v>
      </c>
      <c r="L1028" s="166" t="s">
        <v>160</v>
      </c>
      <c r="M1028" s="154"/>
      <c r="N1028" s="154"/>
      <c r="O1028" s="164" t="s">
        <v>161</v>
      </c>
      <c r="P1028" s="164">
        <v>28</v>
      </c>
      <c r="Q1028" s="164">
        <v>2</v>
      </c>
      <c r="R1028" s="167" t="s">
        <v>903</v>
      </c>
      <c r="S1028" s="167" t="s">
        <v>115</v>
      </c>
      <c r="T1028" s="162" t="s">
        <v>800</v>
      </c>
      <c r="U1028" s="167" t="s">
        <v>802</v>
      </c>
      <c r="X1028" s="169">
        <v>45446.083333333299</v>
      </c>
      <c r="Y1028" s="170">
        <v>98</v>
      </c>
      <c r="Z1028" s="170">
        <v>0</v>
      </c>
      <c r="AA1028" s="170">
        <v>0</v>
      </c>
      <c r="AB1028" s="170">
        <v>0</v>
      </c>
      <c r="AC1028" s="171">
        <v>98</v>
      </c>
      <c r="AD1028" s="172">
        <v>9494399.3253600001</v>
      </c>
      <c r="AE1028" s="173">
        <v>98</v>
      </c>
      <c r="AF1028" s="174">
        <v>46357</v>
      </c>
    </row>
    <row r="1029" spans="1:32" ht="20" x14ac:dyDescent="0.35">
      <c r="A1029" s="162" t="s">
        <v>612</v>
      </c>
      <c r="B1029" s="163" t="s">
        <v>981</v>
      </c>
      <c r="C1029" s="154"/>
      <c r="D1029" s="162" t="s">
        <v>435</v>
      </c>
      <c r="E1029" s="164" t="s">
        <v>435</v>
      </c>
      <c r="F1029" s="164" t="s">
        <v>981</v>
      </c>
      <c r="G1029" s="164" t="s">
        <v>612</v>
      </c>
      <c r="H1029" s="165">
        <v>35765</v>
      </c>
      <c r="I1029" s="164" t="s">
        <v>20</v>
      </c>
      <c r="J1029" s="164" t="s">
        <v>68</v>
      </c>
      <c r="K1029" s="165">
        <v>45446</v>
      </c>
      <c r="L1029" s="166" t="s">
        <v>160</v>
      </c>
      <c r="M1029" s="154"/>
      <c r="N1029" s="154"/>
      <c r="O1029" s="164" t="s">
        <v>161</v>
      </c>
      <c r="P1029" s="164">
        <v>28</v>
      </c>
      <c r="Q1029" s="164">
        <v>2</v>
      </c>
      <c r="R1029" s="167" t="s">
        <v>903</v>
      </c>
      <c r="S1029" s="167" t="s">
        <v>115</v>
      </c>
      <c r="T1029" s="162" t="s">
        <v>800</v>
      </c>
      <c r="U1029" s="167" t="s">
        <v>803</v>
      </c>
      <c r="X1029" s="169">
        <v>45446.083333333299</v>
      </c>
      <c r="Y1029" s="170">
        <v>2</v>
      </c>
      <c r="Z1029" s="170">
        <v>0</v>
      </c>
      <c r="AA1029" s="170">
        <v>0</v>
      </c>
      <c r="AB1029" s="170">
        <v>0</v>
      </c>
      <c r="AC1029" s="171">
        <v>2</v>
      </c>
      <c r="AD1029" s="172">
        <v>193763.25154</v>
      </c>
      <c r="AE1029" s="173">
        <v>2</v>
      </c>
      <c r="AF1029" s="174">
        <v>46357</v>
      </c>
    </row>
    <row r="1030" spans="1:32" ht="20" x14ac:dyDescent="0.35">
      <c r="A1030" s="162" t="s">
        <v>612</v>
      </c>
      <c r="B1030" s="163" t="s">
        <v>981</v>
      </c>
      <c r="C1030" s="154"/>
      <c r="D1030" s="162" t="s">
        <v>435</v>
      </c>
      <c r="E1030" s="164" t="s">
        <v>435</v>
      </c>
      <c r="F1030" s="164" t="s">
        <v>981</v>
      </c>
      <c r="G1030" s="164" t="s">
        <v>612</v>
      </c>
      <c r="H1030" s="165">
        <v>35765</v>
      </c>
      <c r="I1030" s="164" t="s">
        <v>20</v>
      </c>
      <c r="J1030" s="164" t="s">
        <v>68</v>
      </c>
      <c r="K1030" s="165">
        <v>45446</v>
      </c>
      <c r="L1030" s="166" t="s">
        <v>160</v>
      </c>
      <c r="M1030" s="154"/>
      <c r="N1030" s="154"/>
      <c r="O1030" s="164" t="s">
        <v>161</v>
      </c>
      <c r="P1030" s="164">
        <v>28</v>
      </c>
      <c r="Q1030" s="164">
        <v>2</v>
      </c>
      <c r="R1030" s="167" t="s">
        <v>903</v>
      </c>
      <c r="S1030" s="167" t="s">
        <v>115</v>
      </c>
      <c r="T1030" s="162" t="s">
        <v>800</v>
      </c>
      <c r="U1030" s="167" t="s">
        <v>804</v>
      </c>
      <c r="X1030" s="169">
        <v>45446.083333333299</v>
      </c>
      <c r="Y1030" s="170">
        <v>5</v>
      </c>
      <c r="Z1030" s="170">
        <v>0</v>
      </c>
      <c r="AA1030" s="170">
        <v>0</v>
      </c>
      <c r="AB1030" s="170">
        <v>0</v>
      </c>
      <c r="AC1030" s="171">
        <v>5</v>
      </c>
      <c r="AD1030" s="172">
        <v>484408.12884999998</v>
      </c>
      <c r="AE1030" s="173">
        <v>5</v>
      </c>
      <c r="AF1030" s="174">
        <v>46357</v>
      </c>
    </row>
    <row r="1031" spans="1:32" ht="20" x14ac:dyDescent="0.35">
      <c r="A1031" s="162" t="s">
        <v>612</v>
      </c>
      <c r="B1031" s="163" t="s">
        <v>981</v>
      </c>
      <c r="C1031" s="154"/>
      <c r="D1031" s="162" t="s">
        <v>435</v>
      </c>
      <c r="E1031" s="164" t="s">
        <v>435</v>
      </c>
      <c r="F1031" s="164" t="s">
        <v>981</v>
      </c>
      <c r="G1031" s="164" t="s">
        <v>612</v>
      </c>
      <c r="H1031" s="165">
        <v>35765</v>
      </c>
      <c r="I1031" s="164" t="s">
        <v>20</v>
      </c>
      <c r="J1031" s="164" t="s">
        <v>68</v>
      </c>
      <c r="K1031" s="165">
        <v>45446</v>
      </c>
      <c r="L1031" s="166" t="s">
        <v>160</v>
      </c>
      <c r="M1031" s="154"/>
      <c r="N1031" s="154"/>
      <c r="O1031" s="164" t="s">
        <v>161</v>
      </c>
      <c r="P1031" s="164">
        <v>28</v>
      </c>
      <c r="Q1031" s="164">
        <v>2</v>
      </c>
      <c r="R1031" s="167" t="s">
        <v>903</v>
      </c>
      <c r="S1031" s="167" t="s">
        <v>115</v>
      </c>
      <c r="T1031" s="162" t="s">
        <v>800</v>
      </c>
      <c r="U1031" s="167" t="s">
        <v>805</v>
      </c>
      <c r="X1031" s="169">
        <v>45446.083333333299</v>
      </c>
      <c r="Y1031" s="170">
        <v>2.4999999966690001</v>
      </c>
      <c r="Z1031" s="170">
        <v>0.41666667000000002</v>
      </c>
      <c r="AA1031" s="170">
        <v>0</v>
      </c>
      <c r="AB1031" s="170">
        <v>0</v>
      </c>
      <c r="AC1031" s="171">
        <v>2.9166666666690002</v>
      </c>
      <c r="AD1031" s="172">
        <v>282571.40849</v>
      </c>
      <c r="AE1031" s="173">
        <v>2.92</v>
      </c>
      <c r="AF1031" s="174">
        <v>46357</v>
      </c>
    </row>
    <row r="1032" spans="1:32" ht="20" x14ac:dyDescent="0.35">
      <c r="A1032" s="162" t="s">
        <v>1103</v>
      </c>
      <c r="B1032" s="163" t="s">
        <v>908</v>
      </c>
      <c r="C1032" s="154"/>
      <c r="D1032" s="162" t="s">
        <v>437</v>
      </c>
      <c r="E1032" s="164" t="s">
        <v>437</v>
      </c>
      <c r="F1032" s="164" t="s">
        <v>908</v>
      </c>
      <c r="G1032" s="164" t="s">
        <v>1103</v>
      </c>
      <c r="H1032" s="165">
        <v>34844</v>
      </c>
      <c r="I1032" s="164" t="s">
        <v>20</v>
      </c>
      <c r="J1032" s="164" t="s">
        <v>68</v>
      </c>
      <c r="K1032" s="165">
        <v>45530</v>
      </c>
      <c r="L1032" s="166" t="s">
        <v>439</v>
      </c>
      <c r="M1032" s="154"/>
      <c r="N1032" s="154"/>
      <c r="O1032" s="164" t="s">
        <v>57</v>
      </c>
      <c r="P1032" s="164">
        <v>31</v>
      </c>
      <c r="Q1032" s="164">
        <v>1</v>
      </c>
      <c r="R1032" s="167" t="s">
        <v>1079</v>
      </c>
      <c r="S1032" s="167" t="s">
        <v>844</v>
      </c>
      <c r="T1032" s="162" t="s">
        <v>794</v>
      </c>
      <c r="U1032" s="167" t="s">
        <v>833</v>
      </c>
      <c r="V1032" s="162" t="s">
        <v>828</v>
      </c>
      <c r="W1032" s="168">
        <v>1</v>
      </c>
      <c r="X1032" s="169">
        <v>45530.083333333299</v>
      </c>
      <c r="Y1032" s="170">
        <v>20</v>
      </c>
      <c r="Z1032" s="170">
        <v>2</v>
      </c>
      <c r="AA1032" s="170">
        <v>0</v>
      </c>
      <c r="AB1032" s="170">
        <v>0</v>
      </c>
      <c r="AC1032" s="171">
        <v>22</v>
      </c>
      <c r="AD1032" s="172">
        <v>5463670.9853699999</v>
      </c>
      <c r="AE1032" s="173" t="s">
        <v>797</v>
      </c>
      <c r="AF1032" s="173"/>
    </row>
    <row r="1033" spans="1:32" ht="20" x14ac:dyDescent="0.35">
      <c r="A1033" s="162" t="s">
        <v>1103</v>
      </c>
      <c r="B1033" s="163" t="s">
        <v>908</v>
      </c>
      <c r="C1033" s="154"/>
      <c r="D1033" s="162" t="s">
        <v>437</v>
      </c>
      <c r="E1033" s="164" t="s">
        <v>437</v>
      </c>
      <c r="F1033" s="164" t="s">
        <v>908</v>
      </c>
      <c r="G1033" s="164" t="s">
        <v>1103</v>
      </c>
      <c r="H1033" s="165">
        <v>34844</v>
      </c>
      <c r="I1033" s="164" t="s">
        <v>20</v>
      </c>
      <c r="J1033" s="164" t="s">
        <v>68</v>
      </c>
      <c r="K1033" s="165">
        <v>45530</v>
      </c>
      <c r="L1033" s="166" t="s">
        <v>439</v>
      </c>
      <c r="M1033" s="154"/>
      <c r="N1033" s="154"/>
      <c r="O1033" s="164" t="s">
        <v>57</v>
      </c>
      <c r="P1033" s="164">
        <v>31</v>
      </c>
      <c r="Q1033" s="164">
        <v>1</v>
      </c>
      <c r="R1033" s="167" t="s">
        <v>1079</v>
      </c>
      <c r="S1033" s="167" t="s">
        <v>844</v>
      </c>
      <c r="T1033" s="162" t="s">
        <v>798</v>
      </c>
      <c r="U1033" s="167" t="s">
        <v>799</v>
      </c>
      <c r="X1033" s="169">
        <v>45530.083333333299</v>
      </c>
      <c r="Y1033" s="170">
        <v>180</v>
      </c>
      <c r="Z1033" s="170">
        <v>0</v>
      </c>
      <c r="AA1033" s="170">
        <v>0</v>
      </c>
      <c r="AB1033" s="170">
        <v>0</v>
      </c>
      <c r="AC1033" s="171">
        <v>180</v>
      </c>
      <c r="AD1033" s="172">
        <v>44702762.607539997</v>
      </c>
      <c r="AE1033" s="173">
        <v>180</v>
      </c>
      <c r="AF1033" s="174">
        <v>46357</v>
      </c>
    </row>
    <row r="1034" spans="1:32" ht="20" x14ac:dyDescent="0.35">
      <c r="A1034" s="162" t="s">
        <v>1103</v>
      </c>
      <c r="B1034" s="163" t="s">
        <v>908</v>
      </c>
      <c r="C1034" s="154"/>
      <c r="D1034" s="162" t="s">
        <v>437</v>
      </c>
      <c r="E1034" s="164" t="s">
        <v>437</v>
      </c>
      <c r="F1034" s="164" t="s">
        <v>908</v>
      </c>
      <c r="G1034" s="164" t="s">
        <v>1103</v>
      </c>
      <c r="H1034" s="165">
        <v>34844</v>
      </c>
      <c r="I1034" s="164" t="s">
        <v>20</v>
      </c>
      <c r="J1034" s="164" t="s">
        <v>68</v>
      </c>
      <c r="K1034" s="165">
        <v>45530</v>
      </c>
      <c r="L1034" s="166" t="s">
        <v>439</v>
      </c>
      <c r="M1034" s="154"/>
      <c r="N1034" s="154"/>
      <c r="O1034" s="164" t="s">
        <v>57</v>
      </c>
      <c r="P1034" s="164">
        <v>31</v>
      </c>
      <c r="Q1034" s="164">
        <v>1</v>
      </c>
      <c r="R1034" s="167" t="s">
        <v>1079</v>
      </c>
      <c r="S1034" s="167" t="s">
        <v>844</v>
      </c>
      <c r="T1034" s="162" t="s">
        <v>800</v>
      </c>
      <c r="U1034" s="167" t="s">
        <v>801</v>
      </c>
      <c r="X1034" s="169">
        <v>45530.083333333299</v>
      </c>
      <c r="Y1034" s="170">
        <v>26</v>
      </c>
      <c r="Z1034" s="170">
        <v>0</v>
      </c>
      <c r="AA1034" s="170">
        <v>0</v>
      </c>
      <c r="AB1034" s="170">
        <v>0</v>
      </c>
      <c r="AC1034" s="171">
        <v>26</v>
      </c>
      <c r="AD1034" s="172">
        <v>6457065.7099799998</v>
      </c>
      <c r="AE1034" s="173">
        <v>26</v>
      </c>
      <c r="AF1034" s="174">
        <v>46357</v>
      </c>
    </row>
    <row r="1035" spans="1:32" ht="20" x14ac:dyDescent="0.35">
      <c r="A1035" s="162" t="s">
        <v>1103</v>
      </c>
      <c r="B1035" s="163" t="s">
        <v>908</v>
      </c>
      <c r="C1035" s="154"/>
      <c r="D1035" s="162" t="s">
        <v>437</v>
      </c>
      <c r="E1035" s="164" t="s">
        <v>437</v>
      </c>
      <c r="F1035" s="164" t="s">
        <v>908</v>
      </c>
      <c r="G1035" s="164" t="s">
        <v>1103</v>
      </c>
      <c r="H1035" s="165">
        <v>34844</v>
      </c>
      <c r="I1035" s="164" t="s">
        <v>20</v>
      </c>
      <c r="J1035" s="164" t="s">
        <v>68</v>
      </c>
      <c r="K1035" s="165">
        <v>45530</v>
      </c>
      <c r="L1035" s="166" t="s">
        <v>439</v>
      </c>
      <c r="M1035" s="154"/>
      <c r="N1035" s="154"/>
      <c r="O1035" s="164" t="s">
        <v>57</v>
      </c>
      <c r="P1035" s="164">
        <v>31</v>
      </c>
      <c r="Q1035" s="164">
        <v>1</v>
      </c>
      <c r="R1035" s="167" t="s">
        <v>1079</v>
      </c>
      <c r="S1035" s="167" t="s">
        <v>844</v>
      </c>
      <c r="T1035" s="162" t="s">
        <v>800</v>
      </c>
      <c r="U1035" s="167" t="s">
        <v>802</v>
      </c>
      <c r="X1035" s="169">
        <v>45530.083333333299</v>
      </c>
      <c r="Y1035" s="170">
        <v>98</v>
      </c>
      <c r="Z1035" s="170">
        <v>0</v>
      </c>
      <c r="AA1035" s="170">
        <v>0</v>
      </c>
      <c r="AB1035" s="170">
        <v>0</v>
      </c>
      <c r="AC1035" s="171">
        <v>98</v>
      </c>
      <c r="AD1035" s="172">
        <v>24338170.75299</v>
      </c>
      <c r="AE1035" s="173">
        <v>98</v>
      </c>
      <c r="AF1035" s="174">
        <v>46357</v>
      </c>
    </row>
    <row r="1036" spans="1:32" ht="20" x14ac:dyDescent="0.35">
      <c r="A1036" s="162" t="s">
        <v>1103</v>
      </c>
      <c r="B1036" s="163" t="s">
        <v>908</v>
      </c>
      <c r="C1036" s="154"/>
      <c r="D1036" s="162" t="s">
        <v>437</v>
      </c>
      <c r="E1036" s="164" t="s">
        <v>437</v>
      </c>
      <c r="F1036" s="164" t="s">
        <v>908</v>
      </c>
      <c r="G1036" s="164" t="s">
        <v>1103</v>
      </c>
      <c r="H1036" s="165">
        <v>34844</v>
      </c>
      <c r="I1036" s="164" t="s">
        <v>20</v>
      </c>
      <c r="J1036" s="164" t="s">
        <v>68</v>
      </c>
      <c r="K1036" s="165">
        <v>45530</v>
      </c>
      <c r="L1036" s="166" t="s">
        <v>439</v>
      </c>
      <c r="M1036" s="154"/>
      <c r="N1036" s="154"/>
      <c r="O1036" s="164" t="s">
        <v>57</v>
      </c>
      <c r="P1036" s="164">
        <v>31</v>
      </c>
      <c r="Q1036" s="164">
        <v>1</v>
      </c>
      <c r="R1036" s="167" t="s">
        <v>1079</v>
      </c>
      <c r="S1036" s="167" t="s">
        <v>844</v>
      </c>
      <c r="T1036" s="162" t="s">
        <v>800</v>
      </c>
      <c r="U1036" s="167" t="s">
        <v>803</v>
      </c>
      <c r="X1036" s="169">
        <v>45530.083333333299</v>
      </c>
      <c r="Y1036" s="170">
        <v>2</v>
      </c>
      <c r="Z1036" s="170">
        <v>0</v>
      </c>
      <c r="AA1036" s="170">
        <v>0</v>
      </c>
      <c r="AB1036" s="170">
        <v>0</v>
      </c>
      <c r="AC1036" s="171">
        <v>2</v>
      </c>
      <c r="AD1036" s="172">
        <v>496697.36231</v>
      </c>
      <c r="AE1036" s="173">
        <v>2</v>
      </c>
      <c r="AF1036" s="174">
        <v>46357</v>
      </c>
    </row>
    <row r="1037" spans="1:32" ht="20" x14ac:dyDescent="0.35">
      <c r="A1037" s="162" t="s">
        <v>1103</v>
      </c>
      <c r="B1037" s="163" t="s">
        <v>908</v>
      </c>
      <c r="C1037" s="154"/>
      <c r="D1037" s="162" t="s">
        <v>437</v>
      </c>
      <c r="E1037" s="164" t="s">
        <v>437</v>
      </c>
      <c r="F1037" s="164" t="s">
        <v>908</v>
      </c>
      <c r="G1037" s="164" t="s">
        <v>1103</v>
      </c>
      <c r="H1037" s="165">
        <v>34844</v>
      </c>
      <c r="I1037" s="164" t="s">
        <v>20</v>
      </c>
      <c r="J1037" s="164" t="s">
        <v>68</v>
      </c>
      <c r="K1037" s="165">
        <v>45530</v>
      </c>
      <c r="L1037" s="166" t="s">
        <v>439</v>
      </c>
      <c r="M1037" s="154"/>
      <c r="N1037" s="154"/>
      <c r="O1037" s="164" t="s">
        <v>57</v>
      </c>
      <c r="P1037" s="164">
        <v>31</v>
      </c>
      <c r="Q1037" s="164">
        <v>1</v>
      </c>
      <c r="R1037" s="167" t="s">
        <v>1079</v>
      </c>
      <c r="S1037" s="167" t="s">
        <v>844</v>
      </c>
      <c r="T1037" s="162" t="s">
        <v>800</v>
      </c>
      <c r="U1037" s="167" t="s">
        <v>804</v>
      </c>
      <c r="X1037" s="169">
        <v>45530.083333333299</v>
      </c>
      <c r="Y1037" s="170">
        <v>5</v>
      </c>
      <c r="Z1037" s="170">
        <v>0</v>
      </c>
      <c r="AA1037" s="170">
        <v>0</v>
      </c>
      <c r="AB1037" s="170">
        <v>0</v>
      </c>
      <c r="AC1037" s="171">
        <v>5</v>
      </c>
      <c r="AD1037" s="172">
        <v>1241743.4057700001</v>
      </c>
      <c r="AE1037" s="173">
        <v>5</v>
      </c>
      <c r="AF1037" s="174">
        <v>46357</v>
      </c>
    </row>
    <row r="1038" spans="1:32" ht="20" x14ac:dyDescent="0.35">
      <c r="A1038" s="162" t="s">
        <v>1103</v>
      </c>
      <c r="B1038" s="163" t="s">
        <v>908</v>
      </c>
      <c r="C1038" s="154"/>
      <c r="D1038" s="162" t="s">
        <v>437</v>
      </c>
      <c r="E1038" s="164" t="s">
        <v>437</v>
      </c>
      <c r="F1038" s="164" t="s">
        <v>908</v>
      </c>
      <c r="G1038" s="164" t="s">
        <v>1103</v>
      </c>
      <c r="H1038" s="165">
        <v>34844</v>
      </c>
      <c r="I1038" s="164" t="s">
        <v>20</v>
      </c>
      <c r="J1038" s="164" t="s">
        <v>68</v>
      </c>
      <c r="K1038" s="165">
        <v>45530</v>
      </c>
      <c r="L1038" s="166" t="s">
        <v>439</v>
      </c>
      <c r="M1038" s="154"/>
      <c r="N1038" s="154"/>
      <c r="O1038" s="164" t="s">
        <v>57</v>
      </c>
      <c r="P1038" s="164">
        <v>31</v>
      </c>
      <c r="Q1038" s="164">
        <v>1</v>
      </c>
      <c r="R1038" s="167" t="s">
        <v>1079</v>
      </c>
      <c r="S1038" s="167" t="s">
        <v>844</v>
      </c>
      <c r="T1038" s="162" t="s">
        <v>800</v>
      </c>
      <c r="U1038" s="167" t="s">
        <v>805</v>
      </c>
      <c r="X1038" s="169">
        <v>45530.083333333299</v>
      </c>
      <c r="Y1038" s="170">
        <v>2.4999999966690001</v>
      </c>
      <c r="Z1038" s="170">
        <v>0.41666667000000002</v>
      </c>
      <c r="AA1038" s="170">
        <v>0</v>
      </c>
      <c r="AB1038" s="170">
        <v>0</v>
      </c>
      <c r="AC1038" s="171">
        <v>2.9166666666690002</v>
      </c>
      <c r="AD1038" s="172">
        <v>724350.32002999994</v>
      </c>
      <c r="AE1038" s="173">
        <v>2.92</v>
      </c>
      <c r="AF1038" s="174">
        <v>46357</v>
      </c>
    </row>
    <row r="1039" spans="1:32" ht="20" x14ac:dyDescent="0.35">
      <c r="A1039" s="162" t="s">
        <v>1104</v>
      </c>
      <c r="B1039" s="163" t="s">
        <v>1105</v>
      </c>
      <c r="C1039" s="154"/>
      <c r="D1039" s="162" t="s">
        <v>440</v>
      </c>
      <c r="E1039" s="164" t="s">
        <v>440</v>
      </c>
      <c r="F1039" s="164" t="s">
        <v>1105</v>
      </c>
      <c r="G1039" s="164" t="s">
        <v>1104</v>
      </c>
      <c r="H1039" s="165">
        <v>34439</v>
      </c>
      <c r="I1039" s="164" t="s">
        <v>48</v>
      </c>
      <c r="J1039" s="164" t="s">
        <v>68</v>
      </c>
      <c r="K1039" s="165">
        <v>45544</v>
      </c>
      <c r="L1039" s="166" t="s">
        <v>442</v>
      </c>
      <c r="M1039" s="154"/>
      <c r="N1039" s="154"/>
      <c r="O1039" s="164" t="s">
        <v>29</v>
      </c>
      <c r="P1039" s="164">
        <v>32</v>
      </c>
      <c r="Q1039" s="164">
        <v>1</v>
      </c>
      <c r="R1039" s="167" t="s">
        <v>1017</v>
      </c>
      <c r="S1039" s="167" t="s">
        <v>844</v>
      </c>
      <c r="T1039" s="162" t="s">
        <v>794</v>
      </c>
      <c r="U1039" s="167" t="s">
        <v>795</v>
      </c>
      <c r="V1039" s="162" t="s">
        <v>1049</v>
      </c>
      <c r="W1039" s="168">
        <v>1</v>
      </c>
      <c r="X1039" s="169">
        <v>45544.083333333299</v>
      </c>
      <c r="Y1039" s="170">
        <v>13.844444443325999</v>
      </c>
      <c r="Z1039" s="170">
        <v>1.8333333300000001</v>
      </c>
      <c r="AA1039" s="170">
        <v>-5</v>
      </c>
      <c r="AB1039" s="170">
        <v>0</v>
      </c>
      <c r="AC1039" s="171">
        <v>10.677777773326</v>
      </c>
      <c r="AD1039" s="172">
        <v>2994088.29685</v>
      </c>
      <c r="AE1039" s="173" t="s">
        <v>797</v>
      </c>
      <c r="AF1039" s="173"/>
    </row>
    <row r="1040" spans="1:32" ht="20" x14ac:dyDescent="0.35">
      <c r="A1040" s="162" t="s">
        <v>1104</v>
      </c>
      <c r="B1040" s="163" t="s">
        <v>1105</v>
      </c>
      <c r="C1040" s="154"/>
      <c r="D1040" s="162" t="s">
        <v>440</v>
      </c>
      <c r="E1040" s="164" t="s">
        <v>440</v>
      </c>
      <c r="F1040" s="164" t="s">
        <v>1105</v>
      </c>
      <c r="G1040" s="164" t="s">
        <v>1104</v>
      </c>
      <c r="H1040" s="165">
        <v>34439</v>
      </c>
      <c r="I1040" s="164" t="s">
        <v>48</v>
      </c>
      <c r="J1040" s="164" t="s">
        <v>68</v>
      </c>
      <c r="K1040" s="165">
        <v>45544</v>
      </c>
      <c r="L1040" s="166" t="s">
        <v>442</v>
      </c>
      <c r="M1040" s="154"/>
      <c r="N1040" s="154"/>
      <c r="O1040" s="164" t="s">
        <v>29</v>
      </c>
      <c r="P1040" s="164">
        <v>32</v>
      </c>
      <c r="Q1040" s="164">
        <v>1</v>
      </c>
      <c r="R1040" s="167" t="s">
        <v>1017</v>
      </c>
      <c r="S1040" s="167" t="s">
        <v>844</v>
      </c>
      <c r="T1040" s="162" t="s">
        <v>798</v>
      </c>
      <c r="U1040" s="167" t="s">
        <v>839</v>
      </c>
      <c r="X1040" s="169">
        <v>45544.083333333299</v>
      </c>
      <c r="Y1040" s="170">
        <v>180</v>
      </c>
      <c r="Z1040" s="170">
        <v>0</v>
      </c>
      <c r="AA1040" s="170">
        <v>0</v>
      </c>
      <c r="AB1040" s="170">
        <v>0</v>
      </c>
      <c r="AC1040" s="171">
        <v>180</v>
      </c>
      <c r="AD1040" s="172">
        <v>50472664.338420004</v>
      </c>
      <c r="AE1040" s="173">
        <v>180</v>
      </c>
      <c r="AF1040" s="174">
        <v>46357</v>
      </c>
    </row>
    <row r="1041" spans="1:32" ht="20" x14ac:dyDescent="0.35">
      <c r="A1041" s="162" t="s">
        <v>1104</v>
      </c>
      <c r="B1041" s="163" t="s">
        <v>1105</v>
      </c>
      <c r="C1041" s="154"/>
      <c r="D1041" s="162" t="s">
        <v>440</v>
      </c>
      <c r="E1041" s="164" t="s">
        <v>440</v>
      </c>
      <c r="F1041" s="164" t="s">
        <v>1105</v>
      </c>
      <c r="G1041" s="164" t="s">
        <v>1104</v>
      </c>
      <c r="H1041" s="165">
        <v>34439</v>
      </c>
      <c r="I1041" s="164" t="s">
        <v>48</v>
      </c>
      <c r="J1041" s="164" t="s">
        <v>68</v>
      </c>
      <c r="K1041" s="165">
        <v>45544</v>
      </c>
      <c r="L1041" s="166" t="s">
        <v>442</v>
      </c>
      <c r="M1041" s="154"/>
      <c r="N1041" s="154"/>
      <c r="O1041" s="164" t="s">
        <v>29</v>
      </c>
      <c r="P1041" s="164">
        <v>32</v>
      </c>
      <c r="Q1041" s="164">
        <v>1</v>
      </c>
      <c r="R1041" s="167" t="s">
        <v>1017</v>
      </c>
      <c r="S1041" s="167" t="s">
        <v>844</v>
      </c>
      <c r="T1041" s="162" t="s">
        <v>800</v>
      </c>
      <c r="U1041" s="167" t="s">
        <v>801</v>
      </c>
      <c r="X1041" s="169">
        <v>45544.083333333299</v>
      </c>
      <c r="Y1041" s="170">
        <v>26</v>
      </c>
      <c r="Z1041" s="170">
        <v>0</v>
      </c>
      <c r="AA1041" s="170">
        <v>0</v>
      </c>
      <c r="AB1041" s="170">
        <v>0</v>
      </c>
      <c r="AC1041" s="171">
        <v>26</v>
      </c>
      <c r="AD1041" s="172">
        <v>7290495.9599900004</v>
      </c>
      <c r="AE1041" s="173">
        <v>26</v>
      </c>
      <c r="AF1041" s="174">
        <v>46357</v>
      </c>
    </row>
    <row r="1042" spans="1:32" ht="20" x14ac:dyDescent="0.35">
      <c r="A1042" s="162" t="s">
        <v>1104</v>
      </c>
      <c r="B1042" s="163" t="s">
        <v>1105</v>
      </c>
      <c r="C1042" s="154"/>
      <c r="D1042" s="162" t="s">
        <v>440</v>
      </c>
      <c r="E1042" s="164" t="s">
        <v>440</v>
      </c>
      <c r="F1042" s="164" t="s">
        <v>1105</v>
      </c>
      <c r="G1042" s="164" t="s">
        <v>1104</v>
      </c>
      <c r="H1042" s="165">
        <v>34439</v>
      </c>
      <c r="I1042" s="164" t="s">
        <v>48</v>
      </c>
      <c r="J1042" s="164" t="s">
        <v>68</v>
      </c>
      <c r="K1042" s="165">
        <v>45544</v>
      </c>
      <c r="L1042" s="166" t="s">
        <v>442</v>
      </c>
      <c r="M1042" s="154"/>
      <c r="N1042" s="154"/>
      <c r="O1042" s="164" t="s">
        <v>29</v>
      </c>
      <c r="P1042" s="164">
        <v>32</v>
      </c>
      <c r="Q1042" s="164">
        <v>1</v>
      </c>
      <c r="R1042" s="167" t="s">
        <v>1017</v>
      </c>
      <c r="S1042" s="167" t="s">
        <v>844</v>
      </c>
      <c r="T1042" s="162" t="s">
        <v>800</v>
      </c>
      <c r="U1042" s="167" t="s">
        <v>802</v>
      </c>
      <c r="X1042" s="169">
        <v>45544.083333333299</v>
      </c>
      <c r="Y1042" s="170">
        <v>98</v>
      </c>
      <c r="Z1042" s="170">
        <v>0</v>
      </c>
      <c r="AA1042" s="170">
        <v>0</v>
      </c>
      <c r="AB1042" s="170">
        <v>0</v>
      </c>
      <c r="AC1042" s="171">
        <v>98</v>
      </c>
      <c r="AD1042" s="172">
        <v>27479561.695360001</v>
      </c>
      <c r="AE1042" s="173">
        <v>98</v>
      </c>
      <c r="AF1042" s="174">
        <v>46357</v>
      </c>
    </row>
    <row r="1043" spans="1:32" ht="20" x14ac:dyDescent="0.35">
      <c r="A1043" s="162" t="s">
        <v>1104</v>
      </c>
      <c r="B1043" s="163" t="s">
        <v>1105</v>
      </c>
      <c r="C1043" s="154"/>
      <c r="D1043" s="162" t="s">
        <v>440</v>
      </c>
      <c r="E1043" s="164" t="s">
        <v>440</v>
      </c>
      <c r="F1043" s="164" t="s">
        <v>1105</v>
      </c>
      <c r="G1043" s="164" t="s">
        <v>1104</v>
      </c>
      <c r="H1043" s="165">
        <v>34439</v>
      </c>
      <c r="I1043" s="164" t="s">
        <v>48</v>
      </c>
      <c r="J1043" s="164" t="s">
        <v>68</v>
      </c>
      <c r="K1043" s="165">
        <v>45544</v>
      </c>
      <c r="L1043" s="166" t="s">
        <v>442</v>
      </c>
      <c r="M1043" s="154"/>
      <c r="N1043" s="154"/>
      <c r="O1043" s="164" t="s">
        <v>29</v>
      </c>
      <c r="P1043" s="164">
        <v>32</v>
      </c>
      <c r="Q1043" s="164">
        <v>1</v>
      </c>
      <c r="R1043" s="167" t="s">
        <v>1017</v>
      </c>
      <c r="S1043" s="167" t="s">
        <v>844</v>
      </c>
      <c r="T1043" s="162" t="s">
        <v>800</v>
      </c>
      <c r="U1043" s="167" t="s">
        <v>803</v>
      </c>
      <c r="X1043" s="169">
        <v>45544.083333333299</v>
      </c>
      <c r="Y1043" s="170">
        <v>2</v>
      </c>
      <c r="Z1043" s="170">
        <v>0</v>
      </c>
      <c r="AA1043" s="170">
        <v>0</v>
      </c>
      <c r="AB1043" s="170">
        <v>0</v>
      </c>
      <c r="AC1043" s="171">
        <v>2</v>
      </c>
      <c r="AD1043" s="172">
        <v>560807.38153999997</v>
      </c>
      <c r="AE1043" s="173">
        <v>2</v>
      </c>
      <c r="AF1043" s="174">
        <v>46357</v>
      </c>
    </row>
    <row r="1044" spans="1:32" ht="20" x14ac:dyDescent="0.35">
      <c r="A1044" s="162" t="s">
        <v>1104</v>
      </c>
      <c r="B1044" s="163" t="s">
        <v>1105</v>
      </c>
      <c r="C1044" s="154"/>
      <c r="D1044" s="162" t="s">
        <v>440</v>
      </c>
      <c r="E1044" s="164" t="s">
        <v>440</v>
      </c>
      <c r="F1044" s="164" t="s">
        <v>1105</v>
      </c>
      <c r="G1044" s="164" t="s">
        <v>1104</v>
      </c>
      <c r="H1044" s="165">
        <v>34439</v>
      </c>
      <c r="I1044" s="164" t="s">
        <v>48</v>
      </c>
      <c r="J1044" s="164" t="s">
        <v>68</v>
      </c>
      <c r="K1044" s="165">
        <v>45544</v>
      </c>
      <c r="L1044" s="166" t="s">
        <v>442</v>
      </c>
      <c r="M1044" s="154"/>
      <c r="N1044" s="154"/>
      <c r="O1044" s="164" t="s">
        <v>29</v>
      </c>
      <c r="P1044" s="164">
        <v>32</v>
      </c>
      <c r="Q1044" s="164">
        <v>1</v>
      </c>
      <c r="R1044" s="167" t="s">
        <v>1017</v>
      </c>
      <c r="S1044" s="167" t="s">
        <v>844</v>
      </c>
      <c r="T1044" s="162" t="s">
        <v>800</v>
      </c>
      <c r="U1044" s="167" t="s">
        <v>804</v>
      </c>
      <c r="X1044" s="169">
        <v>45544.083333333299</v>
      </c>
      <c r="Y1044" s="170">
        <v>5</v>
      </c>
      <c r="Z1044" s="170">
        <v>0</v>
      </c>
      <c r="AA1044" s="170">
        <v>0</v>
      </c>
      <c r="AB1044" s="170">
        <v>0</v>
      </c>
      <c r="AC1044" s="171">
        <v>5</v>
      </c>
      <c r="AD1044" s="172">
        <v>1402018.4538400001</v>
      </c>
      <c r="AE1044" s="173">
        <v>5</v>
      </c>
      <c r="AF1044" s="174">
        <v>46357</v>
      </c>
    </row>
    <row r="1045" spans="1:32" ht="20" x14ac:dyDescent="0.35">
      <c r="A1045" s="162" t="s">
        <v>1104</v>
      </c>
      <c r="B1045" s="163" t="s">
        <v>1105</v>
      </c>
      <c r="C1045" s="154"/>
      <c r="D1045" s="162" t="s">
        <v>440</v>
      </c>
      <c r="E1045" s="164" t="s">
        <v>440</v>
      </c>
      <c r="F1045" s="164" t="s">
        <v>1105</v>
      </c>
      <c r="G1045" s="164" t="s">
        <v>1104</v>
      </c>
      <c r="H1045" s="165">
        <v>34439</v>
      </c>
      <c r="I1045" s="164" t="s">
        <v>48</v>
      </c>
      <c r="J1045" s="164" t="s">
        <v>68</v>
      </c>
      <c r="K1045" s="165">
        <v>45544</v>
      </c>
      <c r="L1045" s="166" t="s">
        <v>442</v>
      </c>
      <c r="M1045" s="154"/>
      <c r="N1045" s="154"/>
      <c r="O1045" s="164" t="s">
        <v>29</v>
      </c>
      <c r="P1045" s="164">
        <v>32</v>
      </c>
      <c r="Q1045" s="164">
        <v>1</v>
      </c>
      <c r="R1045" s="167" t="s">
        <v>1017</v>
      </c>
      <c r="S1045" s="167" t="s">
        <v>844</v>
      </c>
      <c r="T1045" s="162" t="s">
        <v>800</v>
      </c>
      <c r="U1045" s="167" t="s">
        <v>840</v>
      </c>
      <c r="X1045" s="169">
        <v>45544.083333333299</v>
      </c>
      <c r="Y1045" s="170">
        <v>2.4999999966690001</v>
      </c>
      <c r="Z1045" s="170">
        <v>0.41666667000000002</v>
      </c>
      <c r="AA1045" s="170">
        <v>0</v>
      </c>
      <c r="AB1045" s="170">
        <v>0</v>
      </c>
      <c r="AC1045" s="171">
        <v>2.9166666666690002</v>
      </c>
      <c r="AD1045" s="172">
        <v>817844.09808000003</v>
      </c>
      <c r="AE1045" s="173">
        <v>2.92</v>
      </c>
      <c r="AF1045" s="174">
        <v>46357</v>
      </c>
    </row>
    <row r="1046" spans="1:32" ht="20" x14ac:dyDescent="0.35">
      <c r="A1046" s="162" t="s">
        <v>1106</v>
      </c>
      <c r="B1046" s="163" t="s">
        <v>1107</v>
      </c>
      <c r="C1046" s="154"/>
      <c r="D1046" s="162" t="s">
        <v>443</v>
      </c>
      <c r="E1046" s="164" t="s">
        <v>443</v>
      </c>
      <c r="F1046" s="164" t="s">
        <v>1107</v>
      </c>
      <c r="G1046" s="164" t="s">
        <v>1106</v>
      </c>
      <c r="H1046" s="165">
        <v>34128</v>
      </c>
      <c r="I1046" s="164" t="s">
        <v>20</v>
      </c>
      <c r="J1046" s="164" t="s">
        <v>68</v>
      </c>
      <c r="K1046" s="165">
        <v>45586</v>
      </c>
      <c r="L1046" s="166" t="s">
        <v>445</v>
      </c>
      <c r="M1046" s="154"/>
      <c r="N1046" s="154"/>
      <c r="O1046" s="164" t="s">
        <v>29</v>
      </c>
      <c r="P1046" s="164">
        <v>33</v>
      </c>
      <c r="Q1046" s="164">
        <v>1</v>
      </c>
      <c r="R1046" s="167" t="s">
        <v>888</v>
      </c>
      <c r="S1046" s="167" t="s">
        <v>45</v>
      </c>
      <c r="T1046" s="162" t="s">
        <v>794</v>
      </c>
      <c r="U1046" s="167" t="s">
        <v>795</v>
      </c>
      <c r="V1046" s="162" t="s">
        <v>1049</v>
      </c>
      <c r="W1046" s="168">
        <v>1</v>
      </c>
      <c r="X1046" s="169">
        <v>45586.083333333299</v>
      </c>
      <c r="Y1046" s="170">
        <v>17.317204299993001</v>
      </c>
      <c r="Z1046" s="170">
        <v>1.8333333300000001</v>
      </c>
      <c r="AA1046" s="170">
        <v>0</v>
      </c>
      <c r="AB1046" s="170">
        <v>0</v>
      </c>
      <c r="AC1046" s="171">
        <v>19.150537629993</v>
      </c>
      <c r="AD1046" s="172">
        <v>3848562.3761499999</v>
      </c>
      <c r="AE1046" s="173" t="s">
        <v>797</v>
      </c>
      <c r="AF1046" s="173"/>
    </row>
    <row r="1047" spans="1:32" ht="20" x14ac:dyDescent="0.35">
      <c r="A1047" s="162" t="s">
        <v>1106</v>
      </c>
      <c r="B1047" s="163" t="s">
        <v>1107</v>
      </c>
      <c r="C1047" s="154"/>
      <c r="D1047" s="162" t="s">
        <v>443</v>
      </c>
      <c r="E1047" s="164" t="s">
        <v>443</v>
      </c>
      <c r="F1047" s="164" t="s">
        <v>1107</v>
      </c>
      <c r="G1047" s="164" t="s">
        <v>1106</v>
      </c>
      <c r="H1047" s="165">
        <v>34128</v>
      </c>
      <c r="I1047" s="164" t="s">
        <v>20</v>
      </c>
      <c r="J1047" s="164" t="s">
        <v>68</v>
      </c>
      <c r="K1047" s="165">
        <v>45586</v>
      </c>
      <c r="L1047" s="166" t="s">
        <v>445</v>
      </c>
      <c r="M1047" s="154"/>
      <c r="N1047" s="154"/>
      <c r="O1047" s="164" t="s">
        <v>29</v>
      </c>
      <c r="P1047" s="164">
        <v>33</v>
      </c>
      <c r="Q1047" s="164">
        <v>1</v>
      </c>
      <c r="R1047" s="167" t="s">
        <v>888</v>
      </c>
      <c r="S1047" s="167" t="s">
        <v>45</v>
      </c>
      <c r="T1047" s="162" t="s">
        <v>798</v>
      </c>
      <c r="U1047" s="167" t="s">
        <v>839</v>
      </c>
      <c r="X1047" s="169">
        <v>45586.083333333299</v>
      </c>
      <c r="Y1047" s="170">
        <v>180</v>
      </c>
      <c r="Z1047" s="170">
        <v>0</v>
      </c>
      <c r="AA1047" s="170">
        <v>0</v>
      </c>
      <c r="AB1047" s="170">
        <v>0</v>
      </c>
      <c r="AC1047" s="171">
        <v>180</v>
      </c>
      <c r="AD1047" s="172">
        <v>36173461.084559999</v>
      </c>
      <c r="AE1047" s="173">
        <v>180</v>
      </c>
      <c r="AF1047" s="174">
        <v>46357</v>
      </c>
    </row>
    <row r="1048" spans="1:32" ht="20" x14ac:dyDescent="0.35">
      <c r="A1048" s="162" t="s">
        <v>1106</v>
      </c>
      <c r="B1048" s="163" t="s">
        <v>1107</v>
      </c>
      <c r="C1048" s="154"/>
      <c r="D1048" s="162" t="s">
        <v>443</v>
      </c>
      <c r="E1048" s="164" t="s">
        <v>443</v>
      </c>
      <c r="F1048" s="164" t="s">
        <v>1107</v>
      </c>
      <c r="G1048" s="164" t="s">
        <v>1106</v>
      </c>
      <c r="H1048" s="165">
        <v>34128</v>
      </c>
      <c r="I1048" s="164" t="s">
        <v>20</v>
      </c>
      <c r="J1048" s="164" t="s">
        <v>68</v>
      </c>
      <c r="K1048" s="165">
        <v>45586</v>
      </c>
      <c r="L1048" s="166" t="s">
        <v>445</v>
      </c>
      <c r="M1048" s="154"/>
      <c r="N1048" s="154"/>
      <c r="O1048" s="164" t="s">
        <v>29</v>
      </c>
      <c r="P1048" s="164">
        <v>33</v>
      </c>
      <c r="Q1048" s="164">
        <v>1</v>
      </c>
      <c r="R1048" s="167" t="s">
        <v>888</v>
      </c>
      <c r="S1048" s="167" t="s">
        <v>45</v>
      </c>
      <c r="T1048" s="162" t="s">
        <v>800</v>
      </c>
      <c r="U1048" s="167" t="s">
        <v>801</v>
      </c>
      <c r="X1048" s="169">
        <v>45586.083333333299</v>
      </c>
      <c r="Y1048" s="170">
        <v>26</v>
      </c>
      <c r="Z1048" s="170">
        <v>0</v>
      </c>
      <c r="AA1048" s="170">
        <v>0</v>
      </c>
      <c r="AB1048" s="170">
        <v>0</v>
      </c>
      <c r="AC1048" s="171">
        <v>26</v>
      </c>
      <c r="AD1048" s="172">
        <v>5225055.4899899997</v>
      </c>
      <c r="AE1048" s="173">
        <v>26</v>
      </c>
      <c r="AF1048" s="174">
        <v>46357</v>
      </c>
    </row>
    <row r="1049" spans="1:32" ht="20" x14ac:dyDescent="0.35">
      <c r="A1049" s="162" t="s">
        <v>1106</v>
      </c>
      <c r="B1049" s="163" t="s">
        <v>1107</v>
      </c>
      <c r="C1049" s="154"/>
      <c r="D1049" s="162" t="s">
        <v>443</v>
      </c>
      <c r="E1049" s="164" t="s">
        <v>443</v>
      </c>
      <c r="F1049" s="164" t="s">
        <v>1107</v>
      </c>
      <c r="G1049" s="164" t="s">
        <v>1106</v>
      </c>
      <c r="H1049" s="165">
        <v>34128</v>
      </c>
      <c r="I1049" s="164" t="s">
        <v>20</v>
      </c>
      <c r="J1049" s="164" t="s">
        <v>68</v>
      </c>
      <c r="K1049" s="165">
        <v>45586</v>
      </c>
      <c r="L1049" s="166" t="s">
        <v>445</v>
      </c>
      <c r="M1049" s="154"/>
      <c r="N1049" s="154"/>
      <c r="O1049" s="164" t="s">
        <v>29</v>
      </c>
      <c r="P1049" s="164">
        <v>33</v>
      </c>
      <c r="Q1049" s="164">
        <v>1</v>
      </c>
      <c r="R1049" s="167" t="s">
        <v>888</v>
      </c>
      <c r="S1049" s="167" t="s">
        <v>45</v>
      </c>
      <c r="T1049" s="162" t="s">
        <v>800</v>
      </c>
      <c r="U1049" s="167" t="s">
        <v>802</v>
      </c>
      <c r="X1049" s="169">
        <v>45586.083333333299</v>
      </c>
      <c r="Y1049" s="170">
        <v>98</v>
      </c>
      <c r="Z1049" s="170">
        <v>0</v>
      </c>
      <c r="AA1049" s="170">
        <v>0</v>
      </c>
      <c r="AB1049" s="170">
        <v>0</v>
      </c>
      <c r="AC1049" s="171">
        <v>98</v>
      </c>
      <c r="AD1049" s="172">
        <v>19694439.92382</v>
      </c>
      <c r="AE1049" s="173">
        <v>98</v>
      </c>
      <c r="AF1049" s="174">
        <v>46357</v>
      </c>
    </row>
    <row r="1050" spans="1:32" ht="20" x14ac:dyDescent="0.35">
      <c r="A1050" s="162" t="s">
        <v>1106</v>
      </c>
      <c r="B1050" s="163" t="s">
        <v>1107</v>
      </c>
      <c r="C1050" s="154"/>
      <c r="D1050" s="162" t="s">
        <v>443</v>
      </c>
      <c r="E1050" s="164" t="s">
        <v>443</v>
      </c>
      <c r="F1050" s="164" t="s">
        <v>1107</v>
      </c>
      <c r="G1050" s="164" t="s">
        <v>1106</v>
      </c>
      <c r="H1050" s="165">
        <v>34128</v>
      </c>
      <c r="I1050" s="164" t="s">
        <v>20</v>
      </c>
      <c r="J1050" s="164" t="s">
        <v>68</v>
      </c>
      <c r="K1050" s="165">
        <v>45586</v>
      </c>
      <c r="L1050" s="166" t="s">
        <v>445</v>
      </c>
      <c r="M1050" s="154"/>
      <c r="N1050" s="154"/>
      <c r="O1050" s="164" t="s">
        <v>29</v>
      </c>
      <c r="P1050" s="164">
        <v>33</v>
      </c>
      <c r="Q1050" s="164">
        <v>1</v>
      </c>
      <c r="R1050" s="167" t="s">
        <v>888</v>
      </c>
      <c r="S1050" s="167" t="s">
        <v>45</v>
      </c>
      <c r="T1050" s="162" t="s">
        <v>800</v>
      </c>
      <c r="U1050" s="167" t="s">
        <v>803</v>
      </c>
      <c r="X1050" s="169">
        <v>45586.083333333299</v>
      </c>
      <c r="Y1050" s="170">
        <v>2</v>
      </c>
      <c r="Z1050" s="170">
        <v>0</v>
      </c>
      <c r="AA1050" s="170">
        <v>0</v>
      </c>
      <c r="AB1050" s="170">
        <v>0</v>
      </c>
      <c r="AC1050" s="171">
        <v>2</v>
      </c>
      <c r="AD1050" s="172">
        <v>401927.34538000001</v>
      </c>
      <c r="AE1050" s="173">
        <v>2</v>
      </c>
      <c r="AF1050" s="174">
        <v>46357</v>
      </c>
    </row>
    <row r="1051" spans="1:32" ht="20" x14ac:dyDescent="0.35">
      <c r="A1051" s="162" t="s">
        <v>1106</v>
      </c>
      <c r="B1051" s="163" t="s">
        <v>1107</v>
      </c>
      <c r="C1051" s="154"/>
      <c r="D1051" s="162" t="s">
        <v>443</v>
      </c>
      <c r="E1051" s="164" t="s">
        <v>443</v>
      </c>
      <c r="F1051" s="164" t="s">
        <v>1107</v>
      </c>
      <c r="G1051" s="164" t="s">
        <v>1106</v>
      </c>
      <c r="H1051" s="165">
        <v>34128</v>
      </c>
      <c r="I1051" s="164" t="s">
        <v>20</v>
      </c>
      <c r="J1051" s="164" t="s">
        <v>68</v>
      </c>
      <c r="K1051" s="165">
        <v>45586</v>
      </c>
      <c r="L1051" s="166" t="s">
        <v>445</v>
      </c>
      <c r="M1051" s="154"/>
      <c r="N1051" s="154"/>
      <c r="O1051" s="164" t="s">
        <v>29</v>
      </c>
      <c r="P1051" s="164">
        <v>33</v>
      </c>
      <c r="Q1051" s="164">
        <v>1</v>
      </c>
      <c r="R1051" s="167" t="s">
        <v>888</v>
      </c>
      <c r="S1051" s="167" t="s">
        <v>45</v>
      </c>
      <c r="T1051" s="162" t="s">
        <v>800</v>
      </c>
      <c r="U1051" s="167" t="s">
        <v>804</v>
      </c>
      <c r="X1051" s="169">
        <v>45586.083333333299</v>
      </c>
      <c r="Y1051" s="170">
        <v>5</v>
      </c>
      <c r="Z1051" s="170">
        <v>0</v>
      </c>
      <c r="AA1051" s="170">
        <v>0</v>
      </c>
      <c r="AB1051" s="170">
        <v>0</v>
      </c>
      <c r="AC1051" s="171">
        <v>5</v>
      </c>
      <c r="AD1051" s="172">
        <v>1004818.36346</v>
      </c>
      <c r="AE1051" s="173">
        <v>5</v>
      </c>
      <c r="AF1051" s="174">
        <v>46357</v>
      </c>
    </row>
    <row r="1052" spans="1:32" ht="20" x14ac:dyDescent="0.35">
      <c r="A1052" s="162" t="s">
        <v>1106</v>
      </c>
      <c r="B1052" s="163" t="s">
        <v>1107</v>
      </c>
      <c r="C1052" s="154"/>
      <c r="D1052" s="162" t="s">
        <v>443</v>
      </c>
      <c r="E1052" s="164" t="s">
        <v>443</v>
      </c>
      <c r="F1052" s="164" t="s">
        <v>1107</v>
      </c>
      <c r="G1052" s="164" t="s">
        <v>1106</v>
      </c>
      <c r="H1052" s="165">
        <v>34128</v>
      </c>
      <c r="I1052" s="164" t="s">
        <v>20</v>
      </c>
      <c r="J1052" s="164" t="s">
        <v>68</v>
      </c>
      <c r="K1052" s="165">
        <v>45586</v>
      </c>
      <c r="L1052" s="166" t="s">
        <v>445</v>
      </c>
      <c r="M1052" s="154"/>
      <c r="N1052" s="154"/>
      <c r="O1052" s="164" t="s">
        <v>29</v>
      </c>
      <c r="P1052" s="164">
        <v>33</v>
      </c>
      <c r="Q1052" s="164">
        <v>1</v>
      </c>
      <c r="R1052" s="167" t="s">
        <v>888</v>
      </c>
      <c r="S1052" s="167" t="s">
        <v>45</v>
      </c>
      <c r="T1052" s="162" t="s">
        <v>800</v>
      </c>
      <c r="U1052" s="167" t="s">
        <v>840</v>
      </c>
      <c r="X1052" s="169">
        <v>45586.083333333299</v>
      </c>
      <c r="Y1052" s="170">
        <v>2.4999999966690001</v>
      </c>
      <c r="Z1052" s="170">
        <v>0.41666667000000002</v>
      </c>
      <c r="AA1052" s="170">
        <v>0</v>
      </c>
      <c r="AB1052" s="170">
        <v>0</v>
      </c>
      <c r="AC1052" s="171">
        <v>2.9166666666690002</v>
      </c>
      <c r="AD1052" s="172">
        <v>586144.04535000003</v>
      </c>
      <c r="AE1052" s="173">
        <v>2.92</v>
      </c>
      <c r="AF1052" s="174">
        <v>46357</v>
      </c>
    </row>
    <row r="1053" spans="1:32" ht="20" x14ac:dyDescent="0.35">
      <c r="A1053" s="162" t="s">
        <v>1108</v>
      </c>
      <c r="B1053" s="163" t="s">
        <v>1109</v>
      </c>
      <c r="C1053" s="154"/>
      <c r="D1053" s="162" t="s">
        <v>446</v>
      </c>
      <c r="E1053" s="164" t="s">
        <v>446</v>
      </c>
      <c r="F1053" s="164" t="s">
        <v>1109</v>
      </c>
      <c r="G1053" s="164" t="s">
        <v>1108</v>
      </c>
      <c r="H1053" s="165">
        <v>30463</v>
      </c>
      <c r="I1053" s="164" t="s">
        <v>20</v>
      </c>
      <c r="J1053" s="164" t="s">
        <v>389</v>
      </c>
      <c r="K1053" s="165">
        <v>45684</v>
      </c>
      <c r="L1053" s="166" t="s">
        <v>448</v>
      </c>
      <c r="M1053" s="154"/>
      <c r="N1053" s="154"/>
      <c r="O1053" s="164" t="s">
        <v>50</v>
      </c>
      <c r="P1053" s="164">
        <v>43</v>
      </c>
      <c r="Q1053" s="164">
        <v>1</v>
      </c>
      <c r="R1053" s="167" t="s">
        <v>888</v>
      </c>
      <c r="S1053" s="167" t="s">
        <v>45</v>
      </c>
      <c r="T1053" s="162" t="s">
        <v>794</v>
      </c>
      <c r="U1053" s="167" t="s">
        <v>833</v>
      </c>
      <c r="V1053" s="162" t="s">
        <v>828</v>
      </c>
      <c r="W1053" s="168">
        <v>1</v>
      </c>
      <c r="X1053" s="169">
        <v>45684.083333333299</v>
      </c>
      <c r="Y1053" s="170">
        <v>8</v>
      </c>
      <c r="Z1053" s="170">
        <v>2</v>
      </c>
      <c r="AA1053" s="170">
        <v>0</v>
      </c>
      <c r="AB1053" s="170">
        <v>0</v>
      </c>
      <c r="AC1053" s="171">
        <v>10</v>
      </c>
      <c r="AD1053" s="172">
        <v>5754770.9576899996</v>
      </c>
      <c r="AE1053" s="173" t="s">
        <v>797</v>
      </c>
      <c r="AF1053" s="173"/>
    </row>
    <row r="1054" spans="1:32" ht="20" x14ac:dyDescent="0.35">
      <c r="A1054" s="162" t="s">
        <v>1108</v>
      </c>
      <c r="B1054" s="163" t="s">
        <v>1109</v>
      </c>
      <c r="C1054" s="154"/>
      <c r="D1054" s="162" t="s">
        <v>446</v>
      </c>
      <c r="E1054" s="164" t="s">
        <v>446</v>
      </c>
      <c r="F1054" s="164" t="s">
        <v>1109</v>
      </c>
      <c r="G1054" s="164" t="s">
        <v>1108</v>
      </c>
      <c r="H1054" s="165">
        <v>30463</v>
      </c>
      <c r="I1054" s="164" t="s">
        <v>20</v>
      </c>
      <c r="J1054" s="164" t="s">
        <v>389</v>
      </c>
      <c r="K1054" s="165">
        <v>45684</v>
      </c>
      <c r="L1054" s="166" t="s">
        <v>448</v>
      </c>
      <c r="M1054" s="154"/>
      <c r="N1054" s="154"/>
      <c r="O1054" s="164" t="s">
        <v>50</v>
      </c>
      <c r="P1054" s="164">
        <v>43</v>
      </c>
      <c r="Q1054" s="164">
        <v>1</v>
      </c>
      <c r="R1054" s="167" t="s">
        <v>888</v>
      </c>
      <c r="S1054" s="167" t="s">
        <v>45</v>
      </c>
      <c r="T1054" s="162" t="s">
        <v>798</v>
      </c>
      <c r="U1054" s="167" t="s">
        <v>799</v>
      </c>
      <c r="X1054" s="169">
        <v>45684.083333333299</v>
      </c>
      <c r="Y1054" s="170">
        <v>180</v>
      </c>
      <c r="Z1054" s="170">
        <v>0</v>
      </c>
      <c r="AA1054" s="170">
        <v>0</v>
      </c>
      <c r="AB1054" s="170">
        <v>0</v>
      </c>
      <c r="AC1054" s="171">
        <v>180</v>
      </c>
      <c r="AD1054" s="172">
        <v>103585877.23841999</v>
      </c>
      <c r="AE1054" s="173">
        <v>180</v>
      </c>
      <c r="AF1054" s="174">
        <v>46357</v>
      </c>
    </row>
    <row r="1055" spans="1:32" ht="20" x14ac:dyDescent="0.35">
      <c r="A1055" s="162" t="s">
        <v>1108</v>
      </c>
      <c r="B1055" s="163" t="s">
        <v>1109</v>
      </c>
      <c r="C1055" s="154"/>
      <c r="D1055" s="162" t="s">
        <v>446</v>
      </c>
      <c r="E1055" s="164" t="s">
        <v>446</v>
      </c>
      <c r="F1055" s="164" t="s">
        <v>1109</v>
      </c>
      <c r="G1055" s="164" t="s">
        <v>1108</v>
      </c>
      <c r="H1055" s="165">
        <v>30463</v>
      </c>
      <c r="I1055" s="164" t="s">
        <v>20</v>
      </c>
      <c r="J1055" s="164" t="s">
        <v>389</v>
      </c>
      <c r="K1055" s="165">
        <v>45684</v>
      </c>
      <c r="L1055" s="166" t="s">
        <v>448</v>
      </c>
      <c r="M1055" s="154"/>
      <c r="N1055" s="154"/>
      <c r="O1055" s="164" t="s">
        <v>50</v>
      </c>
      <c r="P1055" s="164">
        <v>43</v>
      </c>
      <c r="Q1055" s="164">
        <v>1</v>
      </c>
      <c r="R1055" s="167" t="s">
        <v>888</v>
      </c>
      <c r="S1055" s="167" t="s">
        <v>45</v>
      </c>
      <c r="T1055" s="162" t="s">
        <v>800</v>
      </c>
      <c r="U1055" s="167" t="s">
        <v>801</v>
      </c>
      <c r="X1055" s="169">
        <v>45684.083333333299</v>
      </c>
      <c r="Y1055" s="170">
        <v>26</v>
      </c>
      <c r="Z1055" s="170">
        <v>0</v>
      </c>
      <c r="AA1055" s="170">
        <v>0</v>
      </c>
      <c r="AB1055" s="170">
        <v>0</v>
      </c>
      <c r="AC1055" s="171">
        <v>26</v>
      </c>
      <c r="AD1055" s="172">
        <v>14962404.48999</v>
      </c>
      <c r="AE1055" s="173">
        <v>26</v>
      </c>
      <c r="AF1055" s="174">
        <v>46357</v>
      </c>
    </row>
    <row r="1056" spans="1:32" ht="20" x14ac:dyDescent="0.35">
      <c r="A1056" s="162" t="s">
        <v>1108</v>
      </c>
      <c r="B1056" s="163" t="s">
        <v>1109</v>
      </c>
      <c r="C1056" s="154"/>
      <c r="D1056" s="162" t="s">
        <v>446</v>
      </c>
      <c r="E1056" s="164" t="s">
        <v>446</v>
      </c>
      <c r="F1056" s="164" t="s">
        <v>1109</v>
      </c>
      <c r="G1056" s="164" t="s">
        <v>1108</v>
      </c>
      <c r="H1056" s="165">
        <v>30463</v>
      </c>
      <c r="I1056" s="164" t="s">
        <v>20</v>
      </c>
      <c r="J1056" s="164" t="s">
        <v>389</v>
      </c>
      <c r="K1056" s="165">
        <v>45684</v>
      </c>
      <c r="L1056" s="166" t="s">
        <v>448</v>
      </c>
      <c r="M1056" s="154"/>
      <c r="N1056" s="154"/>
      <c r="O1056" s="164" t="s">
        <v>50</v>
      </c>
      <c r="P1056" s="164">
        <v>43</v>
      </c>
      <c r="Q1056" s="164">
        <v>1</v>
      </c>
      <c r="R1056" s="167" t="s">
        <v>888</v>
      </c>
      <c r="S1056" s="167" t="s">
        <v>45</v>
      </c>
      <c r="T1056" s="162" t="s">
        <v>800</v>
      </c>
      <c r="U1056" s="167" t="s">
        <v>802</v>
      </c>
      <c r="X1056" s="169">
        <v>45684.083333333299</v>
      </c>
      <c r="Y1056" s="170">
        <v>98</v>
      </c>
      <c r="Z1056" s="170">
        <v>0</v>
      </c>
      <c r="AA1056" s="170">
        <v>0</v>
      </c>
      <c r="AB1056" s="170">
        <v>0</v>
      </c>
      <c r="AC1056" s="171">
        <v>98</v>
      </c>
      <c r="AD1056" s="172">
        <v>56396755.385360003</v>
      </c>
      <c r="AE1056" s="173">
        <v>98</v>
      </c>
      <c r="AF1056" s="174">
        <v>46357</v>
      </c>
    </row>
    <row r="1057" spans="1:32" ht="20" x14ac:dyDescent="0.35">
      <c r="A1057" s="162" t="s">
        <v>1108</v>
      </c>
      <c r="B1057" s="163" t="s">
        <v>1109</v>
      </c>
      <c r="C1057" s="154"/>
      <c r="D1057" s="162" t="s">
        <v>446</v>
      </c>
      <c r="E1057" s="164" t="s">
        <v>446</v>
      </c>
      <c r="F1057" s="164" t="s">
        <v>1109</v>
      </c>
      <c r="G1057" s="164" t="s">
        <v>1108</v>
      </c>
      <c r="H1057" s="165">
        <v>30463</v>
      </c>
      <c r="I1057" s="164" t="s">
        <v>20</v>
      </c>
      <c r="J1057" s="164" t="s">
        <v>389</v>
      </c>
      <c r="K1057" s="165">
        <v>45684</v>
      </c>
      <c r="L1057" s="166" t="s">
        <v>448</v>
      </c>
      <c r="M1057" s="154"/>
      <c r="N1057" s="154"/>
      <c r="O1057" s="164" t="s">
        <v>50</v>
      </c>
      <c r="P1057" s="164">
        <v>43</v>
      </c>
      <c r="Q1057" s="164">
        <v>1</v>
      </c>
      <c r="R1057" s="167" t="s">
        <v>888</v>
      </c>
      <c r="S1057" s="167" t="s">
        <v>45</v>
      </c>
      <c r="T1057" s="162" t="s">
        <v>800</v>
      </c>
      <c r="U1057" s="167" t="s">
        <v>803</v>
      </c>
      <c r="X1057" s="169">
        <v>45684.083333333299</v>
      </c>
      <c r="Y1057" s="170">
        <v>2</v>
      </c>
      <c r="Z1057" s="170">
        <v>0</v>
      </c>
      <c r="AA1057" s="170">
        <v>0</v>
      </c>
      <c r="AB1057" s="170">
        <v>0</v>
      </c>
      <c r="AC1057" s="171">
        <v>2</v>
      </c>
      <c r="AD1057" s="172">
        <v>1150954.19154</v>
      </c>
      <c r="AE1057" s="173">
        <v>2</v>
      </c>
      <c r="AF1057" s="174">
        <v>46357</v>
      </c>
    </row>
    <row r="1058" spans="1:32" ht="20" x14ac:dyDescent="0.35">
      <c r="A1058" s="162" t="s">
        <v>1108</v>
      </c>
      <c r="B1058" s="163" t="s">
        <v>1109</v>
      </c>
      <c r="C1058" s="154"/>
      <c r="D1058" s="162" t="s">
        <v>446</v>
      </c>
      <c r="E1058" s="164" t="s">
        <v>446</v>
      </c>
      <c r="F1058" s="164" t="s">
        <v>1109</v>
      </c>
      <c r="G1058" s="164" t="s">
        <v>1108</v>
      </c>
      <c r="H1058" s="165">
        <v>30463</v>
      </c>
      <c r="I1058" s="164" t="s">
        <v>20</v>
      </c>
      <c r="J1058" s="164" t="s">
        <v>389</v>
      </c>
      <c r="K1058" s="165">
        <v>45684</v>
      </c>
      <c r="L1058" s="166" t="s">
        <v>448</v>
      </c>
      <c r="M1058" s="154"/>
      <c r="N1058" s="154"/>
      <c r="O1058" s="164" t="s">
        <v>50</v>
      </c>
      <c r="P1058" s="164">
        <v>43</v>
      </c>
      <c r="Q1058" s="164">
        <v>1</v>
      </c>
      <c r="R1058" s="167" t="s">
        <v>888</v>
      </c>
      <c r="S1058" s="167" t="s">
        <v>45</v>
      </c>
      <c r="T1058" s="162" t="s">
        <v>800</v>
      </c>
      <c r="U1058" s="167" t="s">
        <v>804</v>
      </c>
      <c r="X1058" s="169">
        <v>45684.083333333299</v>
      </c>
      <c r="Y1058" s="170">
        <v>1</v>
      </c>
      <c r="Z1058" s="170">
        <v>0</v>
      </c>
      <c r="AA1058" s="170">
        <v>0</v>
      </c>
      <c r="AB1058" s="170">
        <v>0</v>
      </c>
      <c r="AC1058" s="171">
        <v>1</v>
      </c>
      <c r="AD1058" s="172">
        <v>575477.09577000001</v>
      </c>
      <c r="AE1058" s="173">
        <v>1</v>
      </c>
      <c r="AF1058" s="174">
        <v>46357</v>
      </c>
    </row>
    <row r="1059" spans="1:32" ht="20" x14ac:dyDescent="0.35">
      <c r="A1059" s="162" t="s">
        <v>1108</v>
      </c>
      <c r="B1059" s="163" t="s">
        <v>1109</v>
      </c>
      <c r="C1059" s="154"/>
      <c r="D1059" s="162" t="s">
        <v>446</v>
      </c>
      <c r="E1059" s="164" t="s">
        <v>446</v>
      </c>
      <c r="F1059" s="164" t="s">
        <v>1109</v>
      </c>
      <c r="G1059" s="164" t="s">
        <v>1108</v>
      </c>
      <c r="H1059" s="165">
        <v>30463</v>
      </c>
      <c r="I1059" s="164" t="s">
        <v>20</v>
      </c>
      <c r="J1059" s="164" t="s">
        <v>389</v>
      </c>
      <c r="K1059" s="165">
        <v>45684</v>
      </c>
      <c r="L1059" s="166" t="s">
        <v>448</v>
      </c>
      <c r="M1059" s="154"/>
      <c r="N1059" s="154"/>
      <c r="O1059" s="164" t="s">
        <v>50</v>
      </c>
      <c r="P1059" s="164">
        <v>43</v>
      </c>
      <c r="Q1059" s="164">
        <v>1</v>
      </c>
      <c r="R1059" s="167" t="s">
        <v>888</v>
      </c>
      <c r="S1059" s="167" t="s">
        <v>45</v>
      </c>
      <c r="T1059" s="162" t="s">
        <v>800</v>
      </c>
      <c r="U1059" s="167" t="s">
        <v>805</v>
      </c>
      <c r="X1059" s="169">
        <v>45684.083333333299</v>
      </c>
      <c r="Y1059" s="170">
        <v>2.4999999966690001</v>
      </c>
      <c r="Z1059" s="170">
        <v>0.41666667000000002</v>
      </c>
      <c r="AA1059" s="170">
        <v>0</v>
      </c>
      <c r="AB1059" s="170">
        <v>0</v>
      </c>
      <c r="AC1059" s="171">
        <v>2.9166666666690002</v>
      </c>
      <c r="AD1059" s="172">
        <v>1678474.8626600001</v>
      </c>
      <c r="AE1059" s="173">
        <v>2.92</v>
      </c>
      <c r="AF1059" s="174">
        <v>46357</v>
      </c>
    </row>
    <row r="1060" spans="1:32" ht="20" x14ac:dyDescent="0.35">
      <c r="A1060" s="162" t="s">
        <v>663</v>
      </c>
      <c r="B1060" s="163" t="s">
        <v>1110</v>
      </c>
      <c r="C1060" s="154"/>
      <c r="D1060" s="162" t="s">
        <v>449</v>
      </c>
      <c r="E1060" s="164" t="s">
        <v>449</v>
      </c>
      <c r="F1060" s="164" t="s">
        <v>1110</v>
      </c>
      <c r="G1060" s="164" t="s">
        <v>663</v>
      </c>
      <c r="H1060" s="165">
        <v>34339</v>
      </c>
      <c r="I1060" s="164" t="s">
        <v>20</v>
      </c>
      <c r="J1060" s="164" t="s">
        <v>68</v>
      </c>
      <c r="K1060" s="165">
        <v>45705</v>
      </c>
      <c r="L1060" s="166" t="s">
        <v>348</v>
      </c>
      <c r="M1060" s="154"/>
      <c r="N1060" s="154"/>
      <c r="O1060" s="164" t="s">
        <v>35</v>
      </c>
      <c r="P1060" s="164">
        <v>32</v>
      </c>
      <c r="Q1060" s="164">
        <v>1</v>
      </c>
      <c r="R1060" s="167" t="s">
        <v>888</v>
      </c>
      <c r="S1060" s="167" t="s">
        <v>45</v>
      </c>
      <c r="T1060" s="162" t="s">
        <v>794</v>
      </c>
      <c r="U1060" s="167" t="s">
        <v>819</v>
      </c>
      <c r="V1060" s="162" t="s">
        <v>828</v>
      </c>
      <c r="W1060" s="168">
        <v>1</v>
      </c>
      <c r="X1060" s="169">
        <v>45705.083333333299</v>
      </c>
      <c r="Y1060" s="170">
        <v>5.3809523733390003</v>
      </c>
      <c r="Z1060" s="170">
        <v>1.6666666699999999</v>
      </c>
      <c r="AA1060" s="170">
        <v>0</v>
      </c>
      <c r="AB1060" s="170">
        <v>0</v>
      </c>
      <c r="AC1060" s="171">
        <v>7.047619043339</v>
      </c>
      <c r="AD1060" s="172">
        <v>480309.46586</v>
      </c>
      <c r="AE1060" s="173" t="s">
        <v>797</v>
      </c>
      <c r="AF1060" s="173"/>
    </row>
    <row r="1061" spans="1:32" ht="20" x14ac:dyDescent="0.35">
      <c r="A1061" s="162" t="s">
        <v>663</v>
      </c>
      <c r="B1061" s="163" t="s">
        <v>1110</v>
      </c>
      <c r="C1061" s="154"/>
      <c r="D1061" s="162" t="s">
        <v>449</v>
      </c>
      <c r="E1061" s="164" t="s">
        <v>449</v>
      </c>
      <c r="F1061" s="164" t="s">
        <v>1110</v>
      </c>
      <c r="G1061" s="164" t="s">
        <v>663</v>
      </c>
      <c r="H1061" s="165">
        <v>34339</v>
      </c>
      <c r="I1061" s="164" t="s">
        <v>20</v>
      </c>
      <c r="J1061" s="164" t="s">
        <v>68</v>
      </c>
      <c r="K1061" s="165">
        <v>45705</v>
      </c>
      <c r="L1061" s="166" t="s">
        <v>348</v>
      </c>
      <c r="M1061" s="154"/>
      <c r="N1061" s="154"/>
      <c r="O1061" s="164" t="s">
        <v>35</v>
      </c>
      <c r="P1061" s="164">
        <v>32</v>
      </c>
      <c r="Q1061" s="164">
        <v>1</v>
      </c>
      <c r="R1061" s="167" t="s">
        <v>888</v>
      </c>
      <c r="S1061" s="167" t="s">
        <v>45</v>
      </c>
      <c r="T1061" s="162" t="s">
        <v>798</v>
      </c>
      <c r="U1061" s="167" t="s">
        <v>799</v>
      </c>
      <c r="X1061" s="169">
        <v>45705.083333333299</v>
      </c>
      <c r="Y1061" s="170">
        <v>180</v>
      </c>
      <c r="Z1061" s="170">
        <v>0</v>
      </c>
      <c r="AA1061" s="170">
        <v>0</v>
      </c>
      <c r="AB1061" s="170">
        <v>0</v>
      </c>
      <c r="AC1061" s="171">
        <v>180</v>
      </c>
      <c r="AD1061" s="172">
        <v>12267363.392279999</v>
      </c>
      <c r="AE1061" s="173">
        <v>180</v>
      </c>
      <c r="AF1061" s="174">
        <v>46357</v>
      </c>
    </row>
    <row r="1062" spans="1:32" ht="20" x14ac:dyDescent="0.35">
      <c r="A1062" s="162" t="s">
        <v>663</v>
      </c>
      <c r="B1062" s="163" t="s">
        <v>1110</v>
      </c>
      <c r="C1062" s="154"/>
      <c r="D1062" s="162" t="s">
        <v>449</v>
      </c>
      <c r="E1062" s="164" t="s">
        <v>449</v>
      </c>
      <c r="F1062" s="164" t="s">
        <v>1110</v>
      </c>
      <c r="G1062" s="164" t="s">
        <v>663</v>
      </c>
      <c r="H1062" s="165">
        <v>34339</v>
      </c>
      <c r="I1062" s="164" t="s">
        <v>20</v>
      </c>
      <c r="J1062" s="164" t="s">
        <v>68</v>
      </c>
      <c r="K1062" s="165">
        <v>45705</v>
      </c>
      <c r="L1062" s="166" t="s">
        <v>348</v>
      </c>
      <c r="M1062" s="154"/>
      <c r="N1062" s="154"/>
      <c r="O1062" s="164" t="s">
        <v>35</v>
      </c>
      <c r="P1062" s="164">
        <v>32</v>
      </c>
      <c r="Q1062" s="164">
        <v>1</v>
      </c>
      <c r="R1062" s="167" t="s">
        <v>888</v>
      </c>
      <c r="S1062" s="167" t="s">
        <v>45</v>
      </c>
      <c r="T1062" s="162" t="s">
        <v>800</v>
      </c>
      <c r="U1062" s="167" t="s">
        <v>801</v>
      </c>
      <c r="X1062" s="169">
        <v>45705.083333333299</v>
      </c>
      <c r="Y1062" s="170">
        <v>26</v>
      </c>
      <c r="Z1062" s="170">
        <v>0</v>
      </c>
      <c r="AA1062" s="170">
        <v>0</v>
      </c>
      <c r="AB1062" s="170">
        <v>0</v>
      </c>
      <c r="AC1062" s="171">
        <v>26</v>
      </c>
      <c r="AD1062" s="172">
        <v>1771952.49</v>
      </c>
      <c r="AE1062" s="173">
        <v>26</v>
      </c>
      <c r="AF1062" s="174">
        <v>46357</v>
      </c>
    </row>
    <row r="1063" spans="1:32" ht="20" x14ac:dyDescent="0.35">
      <c r="A1063" s="162" t="s">
        <v>663</v>
      </c>
      <c r="B1063" s="163" t="s">
        <v>1110</v>
      </c>
      <c r="C1063" s="154"/>
      <c r="D1063" s="162" t="s">
        <v>449</v>
      </c>
      <c r="E1063" s="164" t="s">
        <v>449</v>
      </c>
      <c r="F1063" s="164" t="s">
        <v>1110</v>
      </c>
      <c r="G1063" s="164" t="s">
        <v>663</v>
      </c>
      <c r="H1063" s="165">
        <v>34339</v>
      </c>
      <c r="I1063" s="164" t="s">
        <v>20</v>
      </c>
      <c r="J1063" s="164" t="s">
        <v>68</v>
      </c>
      <c r="K1063" s="165">
        <v>45705</v>
      </c>
      <c r="L1063" s="166" t="s">
        <v>348</v>
      </c>
      <c r="M1063" s="154"/>
      <c r="N1063" s="154"/>
      <c r="O1063" s="164" t="s">
        <v>35</v>
      </c>
      <c r="P1063" s="164">
        <v>32</v>
      </c>
      <c r="Q1063" s="164">
        <v>1</v>
      </c>
      <c r="R1063" s="167" t="s">
        <v>888</v>
      </c>
      <c r="S1063" s="167" t="s">
        <v>45</v>
      </c>
      <c r="T1063" s="162" t="s">
        <v>800</v>
      </c>
      <c r="U1063" s="167" t="s">
        <v>802</v>
      </c>
      <c r="X1063" s="169">
        <v>45705.083333333299</v>
      </c>
      <c r="Y1063" s="170">
        <v>98</v>
      </c>
      <c r="Z1063" s="170">
        <v>0</v>
      </c>
      <c r="AA1063" s="170">
        <v>0</v>
      </c>
      <c r="AB1063" s="170">
        <v>0</v>
      </c>
      <c r="AC1063" s="171">
        <v>98</v>
      </c>
      <c r="AD1063" s="172">
        <v>6678897.8469099998</v>
      </c>
      <c r="AE1063" s="173">
        <v>98</v>
      </c>
      <c r="AF1063" s="174">
        <v>46357</v>
      </c>
    </row>
    <row r="1064" spans="1:32" ht="20" x14ac:dyDescent="0.35">
      <c r="A1064" s="162" t="s">
        <v>663</v>
      </c>
      <c r="B1064" s="163" t="s">
        <v>1110</v>
      </c>
      <c r="C1064" s="154"/>
      <c r="D1064" s="162" t="s">
        <v>449</v>
      </c>
      <c r="E1064" s="164" t="s">
        <v>449</v>
      </c>
      <c r="F1064" s="164" t="s">
        <v>1110</v>
      </c>
      <c r="G1064" s="164" t="s">
        <v>663</v>
      </c>
      <c r="H1064" s="165">
        <v>34339</v>
      </c>
      <c r="I1064" s="164" t="s">
        <v>20</v>
      </c>
      <c r="J1064" s="164" t="s">
        <v>68</v>
      </c>
      <c r="K1064" s="165">
        <v>45705</v>
      </c>
      <c r="L1064" s="166" t="s">
        <v>348</v>
      </c>
      <c r="M1064" s="154"/>
      <c r="N1064" s="154"/>
      <c r="O1064" s="164" t="s">
        <v>35</v>
      </c>
      <c r="P1064" s="164">
        <v>32</v>
      </c>
      <c r="Q1064" s="164">
        <v>1</v>
      </c>
      <c r="R1064" s="167" t="s">
        <v>888</v>
      </c>
      <c r="S1064" s="167" t="s">
        <v>45</v>
      </c>
      <c r="T1064" s="162" t="s">
        <v>800</v>
      </c>
      <c r="U1064" s="167" t="s">
        <v>803</v>
      </c>
      <c r="X1064" s="169">
        <v>45705.083333333299</v>
      </c>
      <c r="Y1064" s="170">
        <v>2</v>
      </c>
      <c r="Z1064" s="170">
        <v>0</v>
      </c>
      <c r="AA1064" s="170">
        <v>0</v>
      </c>
      <c r="AB1064" s="170">
        <v>0</v>
      </c>
      <c r="AC1064" s="171">
        <v>2</v>
      </c>
      <c r="AD1064" s="172">
        <v>136304.03769</v>
      </c>
      <c r="AE1064" s="173">
        <v>2</v>
      </c>
      <c r="AF1064" s="174">
        <v>46357</v>
      </c>
    </row>
    <row r="1065" spans="1:32" ht="20" x14ac:dyDescent="0.35">
      <c r="A1065" s="162" t="s">
        <v>663</v>
      </c>
      <c r="B1065" s="163" t="s">
        <v>1110</v>
      </c>
      <c r="C1065" s="154"/>
      <c r="D1065" s="162" t="s">
        <v>449</v>
      </c>
      <c r="E1065" s="164" t="s">
        <v>449</v>
      </c>
      <c r="F1065" s="164" t="s">
        <v>1110</v>
      </c>
      <c r="G1065" s="164" t="s">
        <v>663</v>
      </c>
      <c r="H1065" s="165">
        <v>34339</v>
      </c>
      <c r="I1065" s="164" t="s">
        <v>20</v>
      </c>
      <c r="J1065" s="164" t="s">
        <v>68</v>
      </c>
      <c r="K1065" s="165">
        <v>45705</v>
      </c>
      <c r="L1065" s="166" t="s">
        <v>348</v>
      </c>
      <c r="M1065" s="154"/>
      <c r="N1065" s="154"/>
      <c r="O1065" s="164" t="s">
        <v>35</v>
      </c>
      <c r="P1065" s="164">
        <v>32</v>
      </c>
      <c r="Q1065" s="164">
        <v>1</v>
      </c>
      <c r="R1065" s="167" t="s">
        <v>888</v>
      </c>
      <c r="S1065" s="167" t="s">
        <v>45</v>
      </c>
      <c r="T1065" s="162" t="s">
        <v>800</v>
      </c>
      <c r="U1065" s="167" t="s">
        <v>804</v>
      </c>
      <c r="X1065" s="169">
        <v>45705.083333333299</v>
      </c>
      <c r="Y1065" s="170">
        <v>5</v>
      </c>
      <c r="Z1065" s="170">
        <v>0</v>
      </c>
      <c r="AA1065" s="170">
        <v>0</v>
      </c>
      <c r="AB1065" s="170">
        <v>0</v>
      </c>
      <c r="AC1065" s="171">
        <v>5</v>
      </c>
      <c r="AD1065" s="172">
        <v>340760.09422999999</v>
      </c>
      <c r="AE1065" s="173">
        <v>5</v>
      </c>
      <c r="AF1065" s="174">
        <v>46357</v>
      </c>
    </row>
    <row r="1066" spans="1:32" ht="20" x14ac:dyDescent="0.35">
      <c r="A1066" s="162" t="s">
        <v>663</v>
      </c>
      <c r="B1066" s="163" t="s">
        <v>1110</v>
      </c>
      <c r="C1066" s="154"/>
      <c r="D1066" s="162" t="s">
        <v>449</v>
      </c>
      <c r="E1066" s="164" t="s">
        <v>449</v>
      </c>
      <c r="F1066" s="164" t="s">
        <v>1110</v>
      </c>
      <c r="G1066" s="164" t="s">
        <v>663</v>
      </c>
      <c r="H1066" s="165">
        <v>34339</v>
      </c>
      <c r="I1066" s="164" t="s">
        <v>20</v>
      </c>
      <c r="J1066" s="164" t="s">
        <v>68</v>
      </c>
      <c r="K1066" s="165">
        <v>45705</v>
      </c>
      <c r="L1066" s="166" t="s">
        <v>348</v>
      </c>
      <c r="M1066" s="154"/>
      <c r="N1066" s="154"/>
      <c r="O1066" s="164" t="s">
        <v>35</v>
      </c>
      <c r="P1066" s="164">
        <v>32</v>
      </c>
      <c r="Q1066" s="164">
        <v>1</v>
      </c>
      <c r="R1066" s="167" t="s">
        <v>888</v>
      </c>
      <c r="S1066" s="167" t="s">
        <v>45</v>
      </c>
      <c r="T1066" s="162" t="s">
        <v>800</v>
      </c>
      <c r="U1066" s="167" t="s">
        <v>805</v>
      </c>
      <c r="X1066" s="169">
        <v>45705.083333333299</v>
      </c>
      <c r="Y1066" s="170">
        <v>2.4999999966690001</v>
      </c>
      <c r="Z1066" s="170">
        <v>0.41666667000000002</v>
      </c>
      <c r="AA1066" s="170">
        <v>0</v>
      </c>
      <c r="AB1066" s="170">
        <v>0</v>
      </c>
      <c r="AC1066" s="171">
        <v>2.9166666666690002</v>
      </c>
      <c r="AD1066" s="172">
        <v>198776.72162999999</v>
      </c>
      <c r="AE1066" s="173">
        <v>2.92</v>
      </c>
      <c r="AF1066" s="174">
        <v>46357</v>
      </c>
    </row>
    <row r="1067" spans="1:32" ht="20" x14ac:dyDescent="0.35">
      <c r="A1067" s="162" t="s">
        <v>665</v>
      </c>
      <c r="B1067" s="163" t="s">
        <v>1111</v>
      </c>
      <c r="C1067" s="154"/>
      <c r="D1067" s="162" t="s">
        <v>451</v>
      </c>
      <c r="E1067" s="164" t="s">
        <v>451</v>
      </c>
      <c r="F1067" s="164" t="s">
        <v>1111</v>
      </c>
      <c r="G1067" s="164" t="s">
        <v>665</v>
      </c>
      <c r="H1067" s="165">
        <v>37476</v>
      </c>
      <c r="I1067" s="164" t="s">
        <v>20</v>
      </c>
      <c r="J1067" s="164" t="s">
        <v>68</v>
      </c>
      <c r="K1067" s="165">
        <v>45705</v>
      </c>
      <c r="L1067" s="166" t="s">
        <v>453</v>
      </c>
      <c r="M1067" s="154"/>
      <c r="N1067" s="154"/>
      <c r="O1067" s="164" t="s">
        <v>44</v>
      </c>
      <c r="P1067" s="164">
        <v>23</v>
      </c>
      <c r="Q1067" s="164">
        <v>1</v>
      </c>
      <c r="R1067" s="167" t="s">
        <v>888</v>
      </c>
      <c r="S1067" s="167" t="s">
        <v>45</v>
      </c>
      <c r="T1067" s="162" t="s">
        <v>794</v>
      </c>
      <c r="U1067" s="167" t="s">
        <v>795</v>
      </c>
      <c r="V1067" s="162" t="s">
        <v>1049</v>
      </c>
      <c r="W1067" s="168">
        <v>1</v>
      </c>
      <c r="X1067" s="169">
        <v>45705.083333333299</v>
      </c>
      <c r="Y1067" s="170">
        <v>9.1190476266610005</v>
      </c>
      <c r="Z1067" s="170">
        <v>1.8333333300000001</v>
      </c>
      <c r="AA1067" s="170">
        <v>0</v>
      </c>
      <c r="AB1067" s="170">
        <v>0</v>
      </c>
      <c r="AC1067" s="171">
        <v>10.952380956661001</v>
      </c>
      <c r="AD1067" s="172">
        <v>1541135.45628</v>
      </c>
      <c r="AE1067" s="173" t="s">
        <v>797</v>
      </c>
      <c r="AF1067" s="173"/>
    </row>
    <row r="1068" spans="1:32" ht="20" x14ac:dyDescent="0.35">
      <c r="A1068" s="162" t="s">
        <v>665</v>
      </c>
      <c r="B1068" s="163" t="s">
        <v>1111</v>
      </c>
      <c r="C1068" s="154"/>
      <c r="D1068" s="162" t="s">
        <v>451</v>
      </c>
      <c r="E1068" s="164" t="s">
        <v>451</v>
      </c>
      <c r="F1068" s="164" t="s">
        <v>1111</v>
      </c>
      <c r="G1068" s="164" t="s">
        <v>665</v>
      </c>
      <c r="H1068" s="165">
        <v>37476</v>
      </c>
      <c r="I1068" s="164" t="s">
        <v>20</v>
      </c>
      <c r="J1068" s="164" t="s">
        <v>68</v>
      </c>
      <c r="K1068" s="165">
        <v>45705</v>
      </c>
      <c r="L1068" s="166" t="s">
        <v>453</v>
      </c>
      <c r="M1068" s="154"/>
      <c r="N1068" s="154"/>
      <c r="O1068" s="164" t="s">
        <v>44</v>
      </c>
      <c r="P1068" s="164">
        <v>23</v>
      </c>
      <c r="Q1068" s="164">
        <v>1</v>
      </c>
      <c r="R1068" s="167" t="s">
        <v>888</v>
      </c>
      <c r="S1068" s="167" t="s">
        <v>45</v>
      </c>
      <c r="T1068" s="162" t="s">
        <v>798</v>
      </c>
      <c r="U1068" s="167" t="s">
        <v>839</v>
      </c>
      <c r="X1068" s="169">
        <v>45705.083333333299</v>
      </c>
      <c r="Y1068" s="170">
        <v>180</v>
      </c>
      <c r="Z1068" s="170">
        <v>0</v>
      </c>
      <c r="AA1068" s="170">
        <v>0</v>
      </c>
      <c r="AB1068" s="170">
        <v>0</v>
      </c>
      <c r="AC1068" s="171">
        <v>180</v>
      </c>
      <c r="AD1068" s="172">
        <v>25328226.184560001</v>
      </c>
      <c r="AE1068" s="173">
        <v>180</v>
      </c>
      <c r="AF1068" s="174">
        <v>46357</v>
      </c>
    </row>
    <row r="1069" spans="1:32" ht="20" x14ac:dyDescent="0.35">
      <c r="A1069" s="162" t="s">
        <v>665</v>
      </c>
      <c r="B1069" s="163" t="s">
        <v>1111</v>
      </c>
      <c r="C1069" s="154"/>
      <c r="D1069" s="162" t="s">
        <v>451</v>
      </c>
      <c r="E1069" s="164" t="s">
        <v>451</v>
      </c>
      <c r="F1069" s="164" t="s">
        <v>1111</v>
      </c>
      <c r="G1069" s="164" t="s">
        <v>665</v>
      </c>
      <c r="H1069" s="165">
        <v>37476</v>
      </c>
      <c r="I1069" s="164" t="s">
        <v>20</v>
      </c>
      <c r="J1069" s="164" t="s">
        <v>68</v>
      </c>
      <c r="K1069" s="165">
        <v>45705</v>
      </c>
      <c r="L1069" s="166" t="s">
        <v>453</v>
      </c>
      <c r="M1069" s="154"/>
      <c r="N1069" s="154"/>
      <c r="O1069" s="164" t="s">
        <v>44</v>
      </c>
      <c r="P1069" s="164">
        <v>23</v>
      </c>
      <c r="Q1069" s="164">
        <v>1</v>
      </c>
      <c r="R1069" s="167" t="s">
        <v>888</v>
      </c>
      <c r="S1069" s="167" t="s">
        <v>45</v>
      </c>
      <c r="T1069" s="162" t="s">
        <v>800</v>
      </c>
      <c r="U1069" s="167" t="s">
        <v>801</v>
      </c>
      <c r="X1069" s="169">
        <v>45705.083333333299</v>
      </c>
      <c r="Y1069" s="170">
        <v>26</v>
      </c>
      <c r="Z1069" s="170">
        <v>0</v>
      </c>
      <c r="AA1069" s="170">
        <v>0</v>
      </c>
      <c r="AB1069" s="170">
        <v>0</v>
      </c>
      <c r="AC1069" s="171">
        <v>26</v>
      </c>
      <c r="AD1069" s="172">
        <v>3658521.55999</v>
      </c>
      <c r="AE1069" s="173">
        <v>26</v>
      </c>
      <c r="AF1069" s="174">
        <v>46357</v>
      </c>
    </row>
    <row r="1070" spans="1:32" ht="20" x14ac:dyDescent="0.35">
      <c r="A1070" s="162" t="s">
        <v>665</v>
      </c>
      <c r="B1070" s="163" t="s">
        <v>1111</v>
      </c>
      <c r="C1070" s="154"/>
      <c r="D1070" s="162" t="s">
        <v>451</v>
      </c>
      <c r="E1070" s="164" t="s">
        <v>451</v>
      </c>
      <c r="F1070" s="164" t="s">
        <v>1111</v>
      </c>
      <c r="G1070" s="164" t="s">
        <v>665</v>
      </c>
      <c r="H1070" s="165">
        <v>37476</v>
      </c>
      <c r="I1070" s="164" t="s">
        <v>20</v>
      </c>
      <c r="J1070" s="164" t="s">
        <v>68</v>
      </c>
      <c r="K1070" s="165">
        <v>45705</v>
      </c>
      <c r="L1070" s="166" t="s">
        <v>453</v>
      </c>
      <c r="M1070" s="154"/>
      <c r="N1070" s="154"/>
      <c r="O1070" s="164" t="s">
        <v>44</v>
      </c>
      <c r="P1070" s="164">
        <v>23</v>
      </c>
      <c r="Q1070" s="164">
        <v>1</v>
      </c>
      <c r="R1070" s="167" t="s">
        <v>888</v>
      </c>
      <c r="S1070" s="167" t="s">
        <v>45</v>
      </c>
      <c r="T1070" s="162" t="s">
        <v>800</v>
      </c>
      <c r="U1070" s="167" t="s">
        <v>802</v>
      </c>
      <c r="X1070" s="169">
        <v>45705.083333333299</v>
      </c>
      <c r="Y1070" s="170">
        <v>98</v>
      </c>
      <c r="Z1070" s="170">
        <v>0</v>
      </c>
      <c r="AA1070" s="170">
        <v>0</v>
      </c>
      <c r="AB1070" s="170">
        <v>0</v>
      </c>
      <c r="AC1070" s="171">
        <v>98</v>
      </c>
      <c r="AD1070" s="172">
        <v>13789812.03382</v>
      </c>
      <c r="AE1070" s="173">
        <v>98</v>
      </c>
      <c r="AF1070" s="174">
        <v>46357</v>
      </c>
    </row>
    <row r="1071" spans="1:32" ht="20" x14ac:dyDescent="0.35">
      <c r="A1071" s="162" t="s">
        <v>665</v>
      </c>
      <c r="B1071" s="163" t="s">
        <v>1111</v>
      </c>
      <c r="C1071" s="154"/>
      <c r="D1071" s="162" t="s">
        <v>451</v>
      </c>
      <c r="E1071" s="164" t="s">
        <v>451</v>
      </c>
      <c r="F1071" s="164" t="s">
        <v>1111</v>
      </c>
      <c r="G1071" s="164" t="s">
        <v>665</v>
      </c>
      <c r="H1071" s="165">
        <v>37476</v>
      </c>
      <c r="I1071" s="164" t="s">
        <v>20</v>
      </c>
      <c r="J1071" s="164" t="s">
        <v>68</v>
      </c>
      <c r="K1071" s="165">
        <v>45705</v>
      </c>
      <c r="L1071" s="166" t="s">
        <v>453</v>
      </c>
      <c r="M1071" s="154"/>
      <c r="N1071" s="154"/>
      <c r="O1071" s="164" t="s">
        <v>44</v>
      </c>
      <c r="P1071" s="164">
        <v>23</v>
      </c>
      <c r="Q1071" s="164">
        <v>1</v>
      </c>
      <c r="R1071" s="167" t="s">
        <v>888</v>
      </c>
      <c r="S1071" s="167" t="s">
        <v>45</v>
      </c>
      <c r="T1071" s="162" t="s">
        <v>800</v>
      </c>
      <c r="U1071" s="167" t="s">
        <v>803</v>
      </c>
      <c r="X1071" s="169">
        <v>45705.083333333299</v>
      </c>
      <c r="Y1071" s="170">
        <v>2</v>
      </c>
      <c r="Z1071" s="170">
        <v>0</v>
      </c>
      <c r="AA1071" s="170">
        <v>0</v>
      </c>
      <c r="AB1071" s="170">
        <v>0</v>
      </c>
      <c r="AC1071" s="171">
        <v>2</v>
      </c>
      <c r="AD1071" s="172">
        <v>281424.73538000003</v>
      </c>
      <c r="AE1071" s="173">
        <v>2</v>
      </c>
      <c r="AF1071" s="174">
        <v>46357</v>
      </c>
    </row>
    <row r="1072" spans="1:32" ht="20" x14ac:dyDescent="0.35">
      <c r="A1072" s="162" t="s">
        <v>665</v>
      </c>
      <c r="B1072" s="163" t="s">
        <v>1111</v>
      </c>
      <c r="C1072" s="154"/>
      <c r="D1072" s="162" t="s">
        <v>451</v>
      </c>
      <c r="E1072" s="164" t="s">
        <v>451</v>
      </c>
      <c r="F1072" s="164" t="s">
        <v>1111</v>
      </c>
      <c r="G1072" s="164" t="s">
        <v>665</v>
      </c>
      <c r="H1072" s="165">
        <v>37476</v>
      </c>
      <c r="I1072" s="164" t="s">
        <v>20</v>
      </c>
      <c r="J1072" s="164" t="s">
        <v>68</v>
      </c>
      <c r="K1072" s="165">
        <v>45705</v>
      </c>
      <c r="L1072" s="166" t="s">
        <v>453</v>
      </c>
      <c r="M1072" s="154"/>
      <c r="N1072" s="154"/>
      <c r="O1072" s="164" t="s">
        <v>44</v>
      </c>
      <c r="P1072" s="164">
        <v>23</v>
      </c>
      <c r="Q1072" s="164">
        <v>1</v>
      </c>
      <c r="R1072" s="167" t="s">
        <v>888</v>
      </c>
      <c r="S1072" s="167" t="s">
        <v>45</v>
      </c>
      <c r="T1072" s="162" t="s">
        <v>800</v>
      </c>
      <c r="U1072" s="167" t="s">
        <v>804</v>
      </c>
      <c r="X1072" s="169">
        <v>45705.083333333299</v>
      </c>
      <c r="Y1072" s="170">
        <v>5</v>
      </c>
      <c r="Z1072" s="170">
        <v>0</v>
      </c>
      <c r="AA1072" s="170">
        <v>0</v>
      </c>
      <c r="AB1072" s="170">
        <v>0</v>
      </c>
      <c r="AC1072" s="171">
        <v>5</v>
      </c>
      <c r="AD1072" s="172">
        <v>703561.83846</v>
      </c>
      <c r="AE1072" s="173">
        <v>5</v>
      </c>
      <c r="AF1072" s="174">
        <v>46357</v>
      </c>
    </row>
    <row r="1073" spans="1:32" ht="20" x14ac:dyDescent="0.35">
      <c r="A1073" s="162" t="s">
        <v>665</v>
      </c>
      <c r="B1073" s="163" t="s">
        <v>1111</v>
      </c>
      <c r="C1073" s="154"/>
      <c r="D1073" s="162" t="s">
        <v>451</v>
      </c>
      <c r="E1073" s="164" t="s">
        <v>451</v>
      </c>
      <c r="F1073" s="164" t="s">
        <v>1111</v>
      </c>
      <c r="G1073" s="164" t="s">
        <v>665</v>
      </c>
      <c r="H1073" s="165">
        <v>37476</v>
      </c>
      <c r="I1073" s="164" t="s">
        <v>20</v>
      </c>
      <c r="J1073" s="164" t="s">
        <v>68</v>
      </c>
      <c r="K1073" s="165">
        <v>45705</v>
      </c>
      <c r="L1073" s="166" t="s">
        <v>453</v>
      </c>
      <c r="M1073" s="154"/>
      <c r="N1073" s="154"/>
      <c r="O1073" s="164" t="s">
        <v>44</v>
      </c>
      <c r="P1073" s="164">
        <v>23</v>
      </c>
      <c r="Q1073" s="164">
        <v>1</v>
      </c>
      <c r="R1073" s="167" t="s">
        <v>888</v>
      </c>
      <c r="S1073" s="167" t="s">
        <v>45</v>
      </c>
      <c r="T1073" s="162" t="s">
        <v>800</v>
      </c>
      <c r="U1073" s="167" t="s">
        <v>840</v>
      </c>
      <c r="X1073" s="169">
        <v>45705.083333333299</v>
      </c>
      <c r="Y1073" s="170">
        <v>2.4999999966690001</v>
      </c>
      <c r="Z1073" s="170">
        <v>0.41666667000000002</v>
      </c>
      <c r="AA1073" s="170">
        <v>0</v>
      </c>
      <c r="AB1073" s="170">
        <v>0</v>
      </c>
      <c r="AC1073" s="171">
        <v>2.9166666666690002</v>
      </c>
      <c r="AD1073" s="172">
        <v>410411.07244000002</v>
      </c>
      <c r="AE1073" s="173">
        <v>2.92</v>
      </c>
      <c r="AF1073" s="174">
        <v>46357</v>
      </c>
    </row>
    <row r="1074" spans="1:32" ht="20" x14ac:dyDescent="0.35">
      <c r="A1074" s="162" t="s">
        <v>1112</v>
      </c>
      <c r="B1074" s="163" t="s">
        <v>1113</v>
      </c>
      <c r="C1074" s="154"/>
      <c r="D1074" s="162" t="s">
        <v>454</v>
      </c>
      <c r="E1074" s="164" t="s">
        <v>454</v>
      </c>
      <c r="F1074" s="164" t="s">
        <v>1113</v>
      </c>
      <c r="G1074" s="164" t="s">
        <v>1112</v>
      </c>
      <c r="H1074" s="165">
        <v>36193</v>
      </c>
      <c r="I1074" s="164" t="s">
        <v>48</v>
      </c>
      <c r="J1074" s="164" t="s">
        <v>68</v>
      </c>
      <c r="K1074" s="165">
        <v>45726</v>
      </c>
      <c r="L1074" s="166" t="s">
        <v>456</v>
      </c>
      <c r="M1074" s="154"/>
      <c r="N1074" s="154"/>
      <c r="O1074" s="164" t="s">
        <v>129</v>
      </c>
      <c r="P1074" s="164">
        <v>27</v>
      </c>
      <c r="Q1074" s="164">
        <v>1</v>
      </c>
      <c r="R1074" s="167" t="s">
        <v>966</v>
      </c>
      <c r="S1074" s="167" t="s">
        <v>848</v>
      </c>
      <c r="T1074" s="162" t="s">
        <v>794</v>
      </c>
      <c r="U1074" s="167" t="s">
        <v>819</v>
      </c>
      <c r="V1074" s="162" t="s">
        <v>828</v>
      </c>
      <c r="W1074" s="168">
        <v>1</v>
      </c>
      <c r="X1074" s="169">
        <v>45726</v>
      </c>
      <c r="Y1074" s="170">
        <v>26.182795696671999</v>
      </c>
      <c r="Z1074" s="170">
        <v>1.6666666699999999</v>
      </c>
      <c r="AA1074" s="170">
        <v>0</v>
      </c>
      <c r="AB1074" s="170">
        <v>0</v>
      </c>
      <c r="AC1074" s="171">
        <v>27.849462366672</v>
      </c>
      <c r="AD1074" s="172">
        <v>2349236.2886199998</v>
      </c>
      <c r="AE1074" s="173" t="s">
        <v>797</v>
      </c>
      <c r="AF1074" s="173"/>
    </row>
    <row r="1075" spans="1:32" ht="20" x14ac:dyDescent="0.35">
      <c r="A1075" s="162" t="s">
        <v>1112</v>
      </c>
      <c r="B1075" s="163" t="s">
        <v>1113</v>
      </c>
      <c r="C1075" s="154"/>
      <c r="D1075" s="162" t="s">
        <v>454</v>
      </c>
      <c r="E1075" s="164" t="s">
        <v>454</v>
      </c>
      <c r="F1075" s="164" t="s">
        <v>1113</v>
      </c>
      <c r="G1075" s="164" t="s">
        <v>1112</v>
      </c>
      <c r="H1075" s="165">
        <v>36193</v>
      </c>
      <c r="I1075" s="164" t="s">
        <v>48</v>
      </c>
      <c r="J1075" s="164" t="s">
        <v>68</v>
      </c>
      <c r="K1075" s="165">
        <v>45726</v>
      </c>
      <c r="L1075" s="166" t="s">
        <v>456</v>
      </c>
      <c r="M1075" s="154"/>
      <c r="N1075" s="154"/>
      <c r="O1075" s="164" t="s">
        <v>129</v>
      </c>
      <c r="P1075" s="164">
        <v>27</v>
      </c>
      <c r="Q1075" s="164">
        <v>1</v>
      </c>
      <c r="R1075" s="167" t="s">
        <v>966</v>
      </c>
      <c r="S1075" s="167" t="s">
        <v>848</v>
      </c>
      <c r="T1075" s="162" t="s">
        <v>798</v>
      </c>
      <c r="U1075" s="167" t="s">
        <v>799</v>
      </c>
      <c r="X1075" s="169">
        <v>45726</v>
      </c>
      <c r="Y1075" s="170">
        <v>180</v>
      </c>
      <c r="Z1075" s="170">
        <v>0</v>
      </c>
      <c r="AA1075" s="170">
        <v>0</v>
      </c>
      <c r="AB1075" s="170">
        <v>0</v>
      </c>
      <c r="AC1075" s="171">
        <v>180</v>
      </c>
      <c r="AD1075" s="172">
        <v>15183866.976840001</v>
      </c>
      <c r="AE1075" s="173">
        <v>180</v>
      </c>
      <c r="AF1075" s="174">
        <v>46357</v>
      </c>
    </row>
    <row r="1076" spans="1:32" ht="20" x14ac:dyDescent="0.35">
      <c r="A1076" s="162" t="s">
        <v>1112</v>
      </c>
      <c r="B1076" s="163" t="s">
        <v>1113</v>
      </c>
      <c r="C1076" s="154"/>
      <c r="D1076" s="162" t="s">
        <v>454</v>
      </c>
      <c r="E1076" s="164" t="s">
        <v>454</v>
      </c>
      <c r="F1076" s="164" t="s">
        <v>1113</v>
      </c>
      <c r="G1076" s="164" t="s">
        <v>1112</v>
      </c>
      <c r="H1076" s="165">
        <v>36193</v>
      </c>
      <c r="I1076" s="164" t="s">
        <v>48</v>
      </c>
      <c r="J1076" s="164" t="s">
        <v>68</v>
      </c>
      <c r="K1076" s="165">
        <v>45726</v>
      </c>
      <c r="L1076" s="166" t="s">
        <v>456</v>
      </c>
      <c r="M1076" s="154"/>
      <c r="N1076" s="154"/>
      <c r="O1076" s="164" t="s">
        <v>129</v>
      </c>
      <c r="P1076" s="164">
        <v>27</v>
      </c>
      <c r="Q1076" s="164">
        <v>1</v>
      </c>
      <c r="R1076" s="167" t="s">
        <v>966</v>
      </c>
      <c r="S1076" s="167" t="s">
        <v>848</v>
      </c>
      <c r="T1076" s="162" t="s">
        <v>800</v>
      </c>
      <c r="U1076" s="167" t="s">
        <v>801</v>
      </c>
      <c r="X1076" s="169">
        <v>45726</v>
      </c>
      <c r="Y1076" s="170">
        <v>26</v>
      </c>
      <c r="Z1076" s="170">
        <v>0</v>
      </c>
      <c r="AA1076" s="170">
        <v>0</v>
      </c>
      <c r="AB1076" s="170">
        <v>0</v>
      </c>
      <c r="AC1076" s="171">
        <v>26</v>
      </c>
      <c r="AD1076" s="172">
        <v>2193225.2299899999</v>
      </c>
      <c r="AE1076" s="173">
        <v>26</v>
      </c>
      <c r="AF1076" s="174">
        <v>46357</v>
      </c>
    </row>
    <row r="1077" spans="1:32" ht="20" x14ac:dyDescent="0.35">
      <c r="A1077" s="162" t="s">
        <v>1112</v>
      </c>
      <c r="B1077" s="163" t="s">
        <v>1113</v>
      </c>
      <c r="C1077" s="154"/>
      <c r="D1077" s="162" t="s">
        <v>454</v>
      </c>
      <c r="E1077" s="164" t="s">
        <v>454</v>
      </c>
      <c r="F1077" s="164" t="s">
        <v>1113</v>
      </c>
      <c r="G1077" s="164" t="s">
        <v>1112</v>
      </c>
      <c r="H1077" s="165">
        <v>36193</v>
      </c>
      <c r="I1077" s="164" t="s">
        <v>48</v>
      </c>
      <c r="J1077" s="164" t="s">
        <v>68</v>
      </c>
      <c r="K1077" s="165">
        <v>45726</v>
      </c>
      <c r="L1077" s="166" t="s">
        <v>456</v>
      </c>
      <c r="M1077" s="154"/>
      <c r="N1077" s="154"/>
      <c r="O1077" s="164" t="s">
        <v>129</v>
      </c>
      <c r="P1077" s="164">
        <v>27</v>
      </c>
      <c r="Q1077" s="164">
        <v>1</v>
      </c>
      <c r="R1077" s="167" t="s">
        <v>966</v>
      </c>
      <c r="S1077" s="167" t="s">
        <v>848</v>
      </c>
      <c r="T1077" s="162" t="s">
        <v>800</v>
      </c>
      <c r="U1077" s="167" t="s">
        <v>802</v>
      </c>
      <c r="X1077" s="169">
        <v>45726</v>
      </c>
      <c r="Y1077" s="170">
        <v>98</v>
      </c>
      <c r="Z1077" s="170">
        <v>0</v>
      </c>
      <c r="AA1077" s="170">
        <v>0</v>
      </c>
      <c r="AB1077" s="170">
        <v>0</v>
      </c>
      <c r="AC1077" s="171">
        <v>98</v>
      </c>
      <c r="AD1077" s="172">
        <v>8266772.0207200004</v>
      </c>
      <c r="AE1077" s="173">
        <v>98</v>
      </c>
      <c r="AF1077" s="174">
        <v>46357</v>
      </c>
    </row>
    <row r="1078" spans="1:32" ht="20" x14ac:dyDescent="0.35">
      <c r="A1078" s="162" t="s">
        <v>1112</v>
      </c>
      <c r="B1078" s="163" t="s">
        <v>1113</v>
      </c>
      <c r="C1078" s="154"/>
      <c r="D1078" s="162" t="s">
        <v>454</v>
      </c>
      <c r="E1078" s="164" t="s">
        <v>454</v>
      </c>
      <c r="F1078" s="164" t="s">
        <v>1113</v>
      </c>
      <c r="G1078" s="164" t="s">
        <v>1112</v>
      </c>
      <c r="H1078" s="165">
        <v>36193</v>
      </c>
      <c r="I1078" s="164" t="s">
        <v>48</v>
      </c>
      <c r="J1078" s="164" t="s">
        <v>68</v>
      </c>
      <c r="K1078" s="165">
        <v>45726</v>
      </c>
      <c r="L1078" s="166" t="s">
        <v>456</v>
      </c>
      <c r="M1078" s="154"/>
      <c r="N1078" s="154"/>
      <c r="O1078" s="164" t="s">
        <v>129</v>
      </c>
      <c r="P1078" s="164">
        <v>27</v>
      </c>
      <c r="Q1078" s="164">
        <v>1</v>
      </c>
      <c r="R1078" s="167" t="s">
        <v>966</v>
      </c>
      <c r="S1078" s="167" t="s">
        <v>848</v>
      </c>
      <c r="T1078" s="162" t="s">
        <v>800</v>
      </c>
      <c r="U1078" s="167" t="s">
        <v>803</v>
      </c>
      <c r="X1078" s="169">
        <v>45726</v>
      </c>
      <c r="Y1078" s="170">
        <v>2</v>
      </c>
      <c r="Z1078" s="170">
        <v>0</v>
      </c>
      <c r="AA1078" s="170">
        <v>0</v>
      </c>
      <c r="AB1078" s="170">
        <v>0</v>
      </c>
      <c r="AC1078" s="171">
        <v>2</v>
      </c>
      <c r="AD1078" s="172">
        <v>168709.63308</v>
      </c>
      <c r="AE1078" s="173">
        <v>2</v>
      </c>
      <c r="AF1078" s="174">
        <v>46357</v>
      </c>
    </row>
    <row r="1079" spans="1:32" ht="20" x14ac:dyDescent="0.35">
      <c r="A1079" s="162" t="s">
        <v>1112</v>
      </c>
      <c r="B1079" s="163" t="s">
        <v>1113</v>
      </c>
      <c r="C1079" s="154"/>
      <c r="D1079" s="162" t="s">
        <v>454</v>
      </c>
      <c r="E1079" s="164" t="s">
        <v>454</v>
      </c>
      <c r="F1079" s="164" t="s">
        <v>1113</v>
      </c>
      <c r="G1079" s="164" t="s">
        <v>1112</v>
      </c>
      <c r="H1079" s="165">
        <v>36193</v>
      </c>
      <c r="I1079" s="164" t="s">
        <v>48</v>
      </c>
      <c r="J1079" s="164" t="s">
        <v>68</v>
      </c>
      <c r="K1079" s="165">
        <v>45726</v>
      </c>
      <c r="L1079" s="166" t="s">
        <v>456</v>
      </c>
      <c r="M1079" s="154"/>
      <c r="N1079" s="154"/>
      <c r="O1079" s="164" t="s">
        <v>129</v>
      </c>
      <c r="P1079" s="164">
        <v>27</v>
      </c>
      <c r="Q1079" s="164">
        <v>1</v>
      </c>
      <c r="R1079" s="167" t="s">
        <v>966</v>
      </c>
      <c r="S1079" s="167" t="s">
        <v>848</v>
      </c>
      <c r="T1079" s="162" t="s">
        <v>800</v>
      </c>
      <c r="U1079" s="167" t="s">
        <v>804</v>
      </c>
      <c r="X1079" s="169">
        <v>45726</v>
      </c>
      <c r="Y1079" s="170">
        <v>5</v>
      </c>
      <c r="Z1079" s="170">
        <v>0</v>
      </c>
      <c r="AA1079" s="170">
        <v>0</v>
      </c>
      <c r="AB1079" s="170">
        <v>0</v>
      </c>
      <c r="AC1079" s="171">
        <v>5</v>
      </c>
      <c r="AD1079" s="172">
        <v>421774.08269000001</v>
      </c>
      <c r="AE1079" s="173">
        <v>5</v>
      </c>
      <c r="AF1079" s="174">
        <v>46357</v>
      </c>
    </row>
    <row r="1080" spans="1:32" ht="20" x14ac:dyDescent="0.35">
      <c r="A1080" s="162" t="s">
        <v>1112</v>
      </c>
      <c r="B1080" s="163" t="s">
        <v>1113</v>
      </c>
      <c r="C1080" s="154"/>
      <c r="D1080" s="162" t="s">
        <v>454</v>
      </c>
      <c r="E1080" s="164" t="s">
        <v>454</v>
      </c>
      <c r="F1080" s="164" t="s">
        <v>1113</v>
      </c>
      <c r="G1080" s="164" t="s">
        <v>1112</v>
      </c>
      <c r="H1080" s="165">
        <v>36193</v>
      </c>
      <c r="I1080" s="164" t="s">
        <v>48</v>
      </c>
      <c r="J1080" s="164" t="s">
        <v>68</v>
      </c>
      <c r="K1080" s="165">
        <v>45726</v>
      </c>
      <c r="L1080" s="166" t="s">
        <v>456</v>
      </c>
      <c r="M1080" s="154"/>
      <c r="N1080" s="154"/>
      <c r="O1080" s="164" t="s">
        <v>129</v>
      </c>
      <c r="P1080" s="164">
        <v>27</v>
      </c>
      <c r="Q1080" s="164">
        <v>1</v>
      </c>
      <c r="R1080" s="167" t="s">
        <v>966</v>
      </c>
      <c r="S1080" s="167" t="s">
        <v>848</v>
      </c>
      <c r="T1080" s="162" t="s">
        <v>800</v>
      </c>
      <c r="U1080" s="167" t="s">
        <v>805</v>
      </c>
      <c r="X1080" s="169">
        <v>45726</v>
      </c>
      <c r="Y1080" s="170">
        <v>2.4999999966690001</v>
      </c>
      <c r="Z1080" s="170">
        <v>0.41666667000000002</v>
      </c>
      <c r="AA1080" s="170">
        <v>0</v>
      </c>
      <c r="AB1080" s="170">
        <v>0</v>
      </c>
      <c r="AC1080" s="171">
        <v>2.9166666666690002</v>
      </c>
      <c r="AD1080" s="172">
        <v>246034.88157</v>
      </c>
      <c r="AE1080" s="173">
        <v>2.92</v>
      </c>
      <c r="AF1080" s="174">
        <v>46357</v>
      </c>
    </row>
    <row r="1081" spans="1:32" ht="20" x14ac:dyDescent="0.35">
      <c r="A1081" s="162" t="s">
        <v>1114</v>
      </c>
      <c r="B1081" s="163" t="s">
        <v>1115</v>
      </c>
      <c r="C1081" s="154"/>
      <c r="D1081" s="162" t="s">
        <v>457</v>
      </c>
      <c r="E1081" s="164" t="s">
        <v>457</v>
      </c>
      <c r="F1081" s="164" t="s">
        <v>1115</v>
      </c>
      <c r="G1081" s="164" t="s">
        <v>1114</v>
      </c>
      <c r="H1081" s="165">
        <v>30946</v>
      </c>
      <c r="I1081" s="164" t="s">
        <v>20</v>
      </c>
      <c r="J1081" s="164" t="s">
        <v>68</v>
      </c>
      <c r="K1081" s="165">
        <v>45723</v>
      </c>
      <c r="L1081" s="166" t="s">
        <v>459</v>
      </c>
      <c r="M1081" s="154"/>
      <c r="N1081" s="154"/>
      <c r="O1081" s="164" t="s">
        <v>44</v>
      </c>
      <c r="P1081" s="164">
        <v>41</v>
      </c>
      <c r="Q1081" s="164">
        <v>1</v>
      </c>
      <c r="R1081" s="167" t="s">
        <v>847</v>
      </c>
      <c r="S1081" s="167" t="s">
        <v>848</v>
      </c>
      <c r="T1081" s="162" t="s">
        <v>794</v>
      </c>
      <c r="U1081" s="167" t="s">
        <v>795</v>
      </c>
      <c r="V1081" s="162" t="s">
        <v>1049</v>
      </c>
      <c r="W1081" s="168">
        <v>1</v>
      </c>
      <c r="X1081" s="169">
        <v>45723</v>
      </c>
      <c r="Y1081" s="170">
        <v>28.978494623328</v>
      </c>
      <c r="Z1081" s="170">
        <v>1.8333333300000001</v>
      </c>
      <c r="AA1081" s="170">
        <v>-4</v>
      </c>
      <c r="AB1081" s="170">
        <v>0</v>
      </c>
      <c r="AC1081" s="171">
        <v>26.811827953327999</v>
      </c>
      <c r="AD1081" s="172">
        <v>2526353.56366</v>
      </c>
      <c r="AE1081" s="173" t="s">
        <v>797</v>
      </c>
      <c r="AF1081" s="173"/>
    </row>
    <row r="1082" spans="1:32" ht="20" x14ac:dyDescent="0.35">
      <c r="A1082" s="162" t="s">
        <v>1114</v>
      </c>
      <c r="B1082" s="163" t="s">
        <v>1115</v>
      </c>
      <c r="C1082" s="154"/>
      <c r="D1082" s="162" t="s">
        <v>457</v>
      </c>
      <c r="E1082" s="164" t="s">
        <v>457</v>
      </c>
      <c r="F1082" s="164" t="s">
        <v>1115</v>
      </c>
      <c r="G1082" s="164" t="s">
        <v>1114</v>
      </c>
      <c r="H1082" s="165">
        <v>30946</v>
      </c>
      <c r="I1082" s="164" t="s">
        <v>20</v>
      </c>
      <c r="J1082" s="164" t="s">
        <v>68</v>
      </c>
      <c r="K1082" s="165">
        <v>45723</v>
      </c>
      <c r="L1082" s="166" t="s">
        <v>459</v>
      </c>
      <c r="M1082" s="154"/>
      <c r="N1082" s="154"/>
      <c r="O1082" s="164" t="s">
        <v>44</v>
      </c>
      <c r="P1082" s="164">
        <v>41</v>
      </c>
      <c r="Q1082" s="164">
        <v>1</v>
      </c>
      <c r="R1082" s="167" t="s">
        <v>847</v>
      </c>
      <c r="S1082" s="167" t="s">
        <v>848</v>
      </c>
      <c r="T1082" s="162" t="s">
        <v>798</v>
      </c>
      <c r="U1082" s="167" t="s">
        <v>839</v>
      </c>
      <c r="X1082" s="169">
        <v>45723</v>
      </c>
      <c r="Y1082" s="170">
        <v>180</v>
      </c>
      <c r="Z1082" s="170">
        <v>0</v>
      </c>
      <c r="AA1082" s="170">
        <v>0</v>
      </c>
      <c r="AB1082" s="170">
        <v>0</v>
      </c>
      <c r="AC1082" s="171">
        <v>180</v>
      </c>
      <c r="AD1082" s="172">
        <v>16960560.922979999</v>
      </c>
      <c r="AE1082" s="173">
        <v>180</v>
      </c>
      <c r="AF1082" s="174">
        <v>46357</v>
      </c>
    </row>
    <row r="1083" spans="1:32" ht="20" x14ac:dyDescent="0.35">
      <c r="A1083" s="162" t="s">
        <v>1114</v>
      </c>
      <c r="B1083" s="163" t="s">
        <v>1115</v>
      </c>
      <c r="C1083" s="154"/>
      <c r="D1083" s="162" t="s">
        <v>457</v>
      </c>
      <c r="E1083" s="164" t="s">
        <v>457</v>
      </c>
      <c r="F1083" s="164" t="s">
        <v>1115</v>
      </c>
      <c r="G1083" s="164" t="s">
        <v>1114</v>
      </c>
      <c r="H1083" s="165">
        <v>30946</v>
      </c>
      <c r="I1083" s="164" t="s">
        <v>20</v>
      </c>
      <c r="J1083" s="164" t="s">
        <v>68</v>
      </c>
      <c r="K1083" s="165">
        <v>45723</v>
      </c>
      <c r="L1083" s="166" t="s">
        <v>459</v>
      </c>
      <c r="M1083" s="154"/>
      <c r="N1083" s="154"/>
      <c r="O1083" s="164" t="s">
        <v>44</v>
      </c>
      <c r="P1083" s="164">
        <v>41</v>
      </c>
      <c r="Q1083" s="164">
        <v>1</v>
      </c>
      <c r="R1083" s="167" t="s">
        <v>847</v>
      </c>
      <c r="S1083" s="167" t="s">
        <v>848</v>
      </c>
      <c r="T1083" s="162" t="s">
        <v>800</v>
      </c>
      <c r="U1083" s="167" t="s">
        <v>801</v>
      </c>
      <c r="X1083" s="169">
        <v>45723</v>
      </c>
      <c r="Y1083" s="170">
        <v>26</v>
      </c>
      <c r="Z1083" s="170">
        <v>0</v>
      </c>
      <c r="AA1083" s="170">
        <v>0</v>
      </c>
      <c r="AB1083" s="170">
        <v>0</v>
      </c>
      <c r="AC1083" s="171">
        <v>26</v>
      </c>
      <c r="AD1083" s="172">
        <v>2449858.7999900002</v>
      </c>
      <c r="AE1083" s="173">
        <v>26</v>
      </c>
      <c r="AF1083" s="174">
        <v>46357</v>
      </c>
    </row>
    <row r="1084" spans="1:32" ht="20" x14ac:dyDescent="0.35">
      <c r="A1084" s="162" t="s">
        <v>1114</v>
      </c>
      <c r="B1084" s="163" t="s">
        <v>1115</v>
      </c>
      <c r="C1084" s="154"/>
      <c r="D1084" s="162" t="s">
        <v>457</v>
      </c>
      <c r="E1084" s="164" t="s">
        <v>457</v>
      </c>
      <c r="F1084" s="164" t="s">
        <v>1115</v>
      </c>
      <c r="G1084" s="164" t="s">
        <v>1114</v>
      </c>
      <c r="H1084" s="165">
        <v>30946</v>
      </c>
      <c r="I1084" s="164" t="s">
        <v>20</v>
      </c>
      <c r="J1084" s="164" t="s">
        <v>68</v>
      </c>
      <c r="K1084" s="165">
        <v>45723</v>
      </c>
      <c r="L1084" s="166" t="s">
        <v>459</v>
      </c>
      <c r="M1084" s="154"/>
      <c r="N1084" s="154"/>
      <c r="O1084" s="164" t="s">
        <v>44</v>
      </c>
      <c r="P1084" s="164">
        <v>41</v>
      </c>
      <c r="Q1084" s="164">
        <v>1</v>
      </c>
      <c r="R1084" s="167" t="s">
        <v>847</v>
      </c>
      <c r="S1084" s="167" t="s">
        <v>848</v>
      </c>
      <c r="T1084" s="162" t="s">
        <v>800</v>
      </c>
      <c r="U1084" s="167" t="s">
        <v>802</v>
      </c>
      <c r="X1084" s="169">
        <v>45723</v>
      </c>
      <c r="Y1084" s="170">
        <v>98</v>
      </c>
      <c r="Z1084" s="170">
        <v>0</v>
      </c>
      <c r="AA1084" s="170">
        <v>0</v>
      </c>
      <c r="AB1084" s="170">
        <v>0</v>
      </c>
      <c r="AC1084" s="171">
        <v>98</v>
      </c>
      <c r="AD1084" s="172">
        <v>9234083.1691800002</v>
      </c>
      <c r="AE1084" s="173">
        <v>98</v>
      </c>
      <c r="AF1084" s="174">
        <v>46357</v>
      </c>
    </row>
    <row r="1085" spans="1:32" ht="20" x14ac:dyDescent="0.35">
      <c r="A1085" s="162" t="s">
        <v>1114</v>
      </c>
      <c r="B1085" s="163" t="s">
        <v>1115</v>
      </c>
      <c r="C1085" s="154"/>
      <c r="D1085" s="162" t="s">
        <v>457</v>
      </c>
      <c r="E1085" s="164" t="s">
        <v>457</v>
      </c>
      <c r="F1085" s="164" t="s">
        <v>1115</v>
      </c>
      <c r="G1085" s="164" t="s">
        <v>1114</v>
      </c>
      <c r="H1085" s="165">
        <v>30946</v>
      </c>
      <c r="I1085" s="164" t="s">
        <v>20</v>
      </c>
      <c r="J1085" s="164" t="s">
        <v>68</v>
      </c>
      <c r="K1085" s="165">
        <v>45723</v>
      </c>
      <c r="L1085" s="166" t="s">
        <v>459</v>
      </c>
      <c r="M1085" s="154"/>
      <c r="N1085" s="154"/>
      <c r="O1085" s="164" t="s">
        <v>44</v>
      </c>
      <c r="P1085" s="164">
        <v>41</v>
      </c>
      <c r="Q1085" s="164">
        <v>1</v>
      </c>
      <c r="R1085" s="167" t="s">
        <v>847</v>
      </c>
      <c r="S1085" s="167" t="s">
        <v>848</v>
      </c>
      <c r="T1085" s="162" t="s">
        <v>800</v>
      </c>
      <c r="U1085" s="167" t="s">
        <v>803</v>
      </c>
      <c r="X1085" s="169">
        <v>45723</v>
      </c>
      <c r="Y1085" s="170">
        <v>2</v>
      </c>
      <c r="Z1085" s="170">
        <v>0</v>
      </c>
      <c r="AA1085" s="170">
        <v>0</v>
      </c>
      <c r="AB1085" s="170">
        <v>0</v>
      </c>
      <c r="AC1085" s="171">
        <v>2</v>
      </c>
      <c r="AD1085" s="172">
        <v>188450.67692</v>
      </c>
      <c r="AE1085" s="173">
        <v>2</v>
      </c>
      <c r="AF1085" s="174">
        <v>46357</v>
      </c>
    </row>
    <row r="1086" spans="1:32" ht="20" x14ac:dyDescent="0.35">
      <c r="A1086" s="162" t="s">
        <v>1114</v>
      </c>
      <c r="B1086" s="163" t="s">
        <v>1115</v>
      </c>
      <c r="C1086" s="154"/>
      <c r="D1086" s="162" t="s">
        <v>457</v>
      </c>
      <c r="E1086" s="164" t="s">
        <v>457</v>
      </c>
      <c r="F1086" s="164" t="s">
        <v>1115</v>
      </c>
      <c r="G1086" s="164" t="s">
        <v>1114</v>
      </c>
      <c r="H1086" s="165">
        <v>30946</v>
      </c>
      <c r="I1086" s="164" t="s">
        <v>20</v>
      </c>
      <c r="J1086" s="164" t="s">
        <v>68</v>
      </c>
      <c r="K1086" s="165">
        <v>45723</v>
      </c>
      <c r="L1086" s="166" t="s">
        <v>459</v>
      </c>
      <c r="M1086" s="154"/>
      <c r="N1086" s="154"/>
      <c r="O1086" s="164" t="s">
        <v>44</v>
      </c>
      <c r="P1086" s="164">
        <v>41</v>
      </c>
      <c r="Q1086" s="164">
        <v>1</v>
      </c>
      <c r="R1086" s="167" t="s">
        <v>847</v>
      </c>
      <c r="S1086" s="167" t="s">
        <v>848</v>
      </c>
      <c r="T1086" s="162" t="s">
        <v>800</v>
      </c>
      <c r="U1086" s="167" t="s">
        <v>804</v>
      </c>
      <c r="X1086" s="169">
        <v>45723</v>
      </c>
      <c r="Y1086" s="170">
        <v>5</v>
      </c>
      <c r="Z1086" s="170">
        <v>0</v>
      </c>
      <c r="AA1086" s="170">
        <v>0</v>
      </c>
      <c r="AB1086" s="170">
        <v>0</v>
      </c>
      <c r="AC1086" s="171">
        <v>5</v>
      </c>
      <c r="AD1086" s="172">
        <v>471126.69231000001</v>
      </c>
      <c r="AE1086" s="173">
        <v>5</v>
      </c>
      <c r="AF1086" s="174">
        <v>46357</v>
      </c>
    </row>
    <row r="1087" spans="1:32" ht="20" x14ac:dyDescent="0.35">
      <c r="A1087" s="162" t="s">
        <v>1114</v>
      </c>
      <c r="B1087" s="163" t="s">
        <v>1115</v>
      </c>
      <c r="C1087" s="154"/>
      <c r="D1087" s="162" t="s">
        <v>457</v>
      </c>
      <c r="E1087" s="164" t="s">
        <v>457</v>
      </c>
      <c r="F1087" s="164" t="s">
        <v>1115</v>
      </c>
      <c r="G1087" s="164" t="s">
        <v>1114</v>
      </c>
      <c r="H1087" s="165">
        <v>30946</v>
      </c>
      <c r="I1087" s="164" t="s">
        <v>20</v>
      </c>
      <c r="J1087" s="164" t="s">
        <v>68</v>
      </c>
      <c r="K1087" s="165">
        <v>45723</v>
      </c>
      <c r="L1087" s="166" t="s">
        <v>459</v>
      </c>
      <c r="M1087" s="154"/>
      <c r="N1087" s="154"/>
      <c r="O1087" s="164" t="s">
        <v>44</v>
      </c>
      <c r="P1087" s="164">
        <v>41</v>
      </c>
      <c r="Q1087" s="164">
        <v>1</v>
      </c>
      <c r="R1087" s="167" t="s">
        <v>847</v>
      </c>
      <c r="S1087" s="167" t="s">
        <v>848</v>
      </c>
      <c r="T1087" s="162" t="s">
        <v>800</v>
      </c>
      <c r="U1087" s="167" t="s">
        <v>840</v>
      </c>
      <c r="X1087" s="169">
        <v>45723</v>
      </c>
      <c r="Y1087" s="170">
        <v>-0.50000000333100003</v>
      </c>
      <c r="Z1087" s="170">
        <v>0.41666667000000002</v>
      </c>
      <c r="AA1087" s="170">
        <v>0</v>
      </c>
      <c r="AB1087" s="170">
        <v>0</v>
      </c>
      <c r="AC1087" s="171">
        <v>-8.3333333331000001E-2</v>
      </c>
      <c r="AD1087" s="172">
        <v>-7852.1115399999999</v>
      </c>
      <c r="AE1087" s="173">
        <v>0</v>
      </c>
      <c r="AF1087" s="174">
        <v>46357</v>
      </c>
    </row>
    <row r="1088" spans="1:32" ht="20" x14ac:dyDescent="0.35">
      <c r="A1088" s="162" t="s">
        <v>638</v>
      </c>
      <c r="B1088" s="163" t="s">
        <v>1116</v>
      </c>
      <c r="C1088" s="154"/>
      <c r="D1088" s="162" t="s">
        <v>460</v>
      </c>
      <c r="E1088" s="164" t="s">
        <v>460</v>
      </c>
      <c r="F1088" s="164" t="s">
        <v>1116</v>
      </c>
      <c r="G1088" s="164" t="s">
        <v>638</v>
      </c>
      <c r="H1088" s="165">
        <v>33031</v>
      </c>
      <c r="I1088" s="164" t="s">
        <v>20</v>
      </c>
      <c r="J1088" s="164" t="s">
        <v>68</v>
      </c>
      <c r="K1088" s="165">
        <v>45733</v>
      </c>
      <c r="L1088" s="166" t="s">
        <v>459</v>
      </c>
      <c r="M1088" s="154"/>
      <c r="N1088" s="154"/>
      <c r="O1088" s="164" t="s">
        <v>44</v>
      </c>
      <c r="P1088" s="164">
        <v>36</v>
      </c>
      <c r="Q1088" s="164">
        <v>1</v>
      </c>
      <c r="R1088" s="167" t="s">
        <v>847</v>
      </c>
      <c r="S1088" s="167" t="s">
        <v>848</v>
      </c>
      <c r="T1088" s="162" t="s">
        <v>794</v>
      </c>
      <c r="U1088" s="167" t="s">
        <v>795</v>
      </c>
      <c r="V1088" s="162" t="s">
        <v>1049</v>
      </c>
      <c r="W1088" s="168">
        <v>1</v>
      </c>
      <c r="X1088" s="169">
        <v>45733</v>
      </c>
      <c r="Y1088" s="170">
        <v>28.387096773328</v>
      </c>
      <c r="Z1088" s="170">
        <v>1.8333333300000001</v>
      </c>
      <c r="AA1088" s="170">
        <v>-14</v>
      </c>
      <c r="AB1088" s="170">
        <v>0</v>
      </c>
      <c r="AC1088" s="171">
        <v>16.220430103327999</v>
      </c>
      <c r="AD1088" s="172">
        <v>1614029.7185800001</v>
      </c>
      <c r="AE1088" s="173" t="s">
        <v>797</v>
      </c>
      <c r="AF1088" s="173"/>
    </row>
    <row r="1089" spans="1:32" ht="20" x14ac:dyDescent="0.35">
      <c r="A1089" s="162" t="s">
        <v>638</v>
      </c>
      <c r="B1089" s="163" t="s">
        <v>1116</v>
      </c>
      <c r="C1089" s="154"/>
      <c r="D1089" s="162" t="s">
        <v>460</v>
      </c>
      <c r="E1089" s="164" t="s">
        <v>460</v>
      </c>
      <c r="F1089" s="164" t="s">
        <v>1116</v>
      </c>
      <c r="G1089" s="164" t="s">
        <v>638</v>
      </c>
      <c r="H1089" s="165">
        <v>33031</v>
      </c>
      <c r="I1089" s="164" t="s">
        <v>20</v>
      </c>
      <c r="J1089" s="164" t="s">
        <v>68</v>
      </c>
      <c r="K1089" s="165">
        <v>45733</v>
      </c>
      <c r="L1089" s="166" t="s">
        <v>459</v>
      </c>
      <c r="M1089" s="154"/>
      <c r="N1089" s="154"/>
      <c r="O1089" s="164" t="s">
        <v>44</v>
      </c>
      <c r="P1089" s="164">
        <v>36</v>
      </c>
      <c r="Q1089" s="164">
        <v>1</v>
      </c>
      <c r="R1089" s="167" t="s">
        <v>847</v>
      </c>
      <c r="S1089" s="167" t="s">
        <v>848</v>
      </c>
      <c r="T1089" s="162" t="s">
        <v>798</v>
      </c>
      <c r="U1089" s="167" t="s">
        <v>839</v>
      </c>
      <c r="X1089" s="169">
        <v>45733</v>
      </c>
      <c r="Y1089" s="170">
        <v>180</v>
      </c>
      <c r="Z1089" s="170">
        <v>0</v>
      </c>
      <c r="AA1089" s="170">
        <v>0</v>
      </c>
      <c r="AB1089" s="170">
        <v>0</v>
      </c>
      <c r="AC1089" s="171">
        <v>180</v>
      </c>
      <c r="AD1089" s="172">
        <v>17911075.569120001</v>
      </c>
      <c r="AE1089" s="173">
        <v>180</v>
      </c>
      <c r="AF1089" s="174">
        <v>46357</v>
      </c>
    </row>
    <row r="1090" spans="1:32" ht="20" x14ac:dyDescent="0.35">
      <c r="A1090" s="162" t="s">
        <v>638</v>
      </c>
      <c r="B1090" s="163" t="s">
        <v>1116</v>
      </c>
      <c r="C1090" s="154"/>
      <c r="D1090" s="162" t="s">
        <v>460</v>
      </c>
      <c r="E1090" s="164" t="s">
        <v>460</v>
      </c>
      <c r="F1090" s="164" t="s">
        <v>1116</v>
      </c>
      <c r="G1090" s="164" t="s">
        <v>638</v>
      </c>
      <c r="H1090" s="165">
        <v>33031</v>
      </c>
      <c r="I1090" s="164" t="s">
        <v>20</v>
      </c>
      <c r="J1090" s="164" t="s">
        <v>68</v>
      </c>
      <c r="K1090" s="165">
        <v>45733</v>
      </c>
      <c r="L1090" s="166" t="s">
        <v>459</v>
      </c>
      <c r="M1090" s="154"/>
      <c r="N1090" s="154"/>
      <c r="O1090" s="164" t="s">
        <v>44</v>
      </c>
      <c r="P1090" s="164">
        <v>36</v>
      </c>
      <c r="Q1090" s="164">
        <v>1</v>
      </c>
      <c r="R1090" s="167" t="s">
        <v>847</v>
      </c>
      <c r="S1090" s="167" t="s">
        <v>848</v>
      </c>
      <c r="T1090" s="162" t="s">
        <v>800</v>
      </c>
      <c r="U1090" s="167" t="s">
        <v>801</v>
      </c>
      <c r="X1090" s="169">
        <v>45733</v>
      </c>
      <c r="Y1090" s="170">
        <v>25</v>
      </c>
      <c r="Z1090" s="170">
        <v>0</v>
      </c>
      <c r="AA1090" s="170">
        <v>0</v>
      </c>
      <c r="AB1090" s="170">
        <v>0</v>
      </c>
      <c r="AC1090" s="171">
        <v>25</v>
      </c>
      <c r="AD1090" s="172">
        <v>2487649.3846</v>
      </c>
      <c r="AE1090" s="173">
        <v>25</v>
      </c>
      <c r="AF1090" s="174">
        <v>46357</v>
      </c>
    </row>
    <row r="1091" spans="1:32" ht="20" x14ac:dyDescent="0.35">
      <c r="A1091" s="162" t="s">
        <v>638</v>
      </c>
      <c r="B1091" s="163" t="s">
        <v>1116</v>
      </c>
      <c r="C1091" s="154"/>
      <c r="D1091" s="162" t="s">
        <v>460</v>
      </c>
      <c r="E1091" s="164" t="s">
        <v>460</v>
      </c>
      <c r="F1091" s="164" t="s">
        <v>1116</v>
      </c>
      <c r="G1091" s="164" t="s">
        <v>638</v>
      </c>
      <c r="H1091" s="165">
        <v>33031</v>
      </c>
      <c r="I1091" s="164" t="s">
        <v>20</v>
      </c>
      <c r="J1091" s="164" t="s">
        <v>68</v>
      </c>
      <c r="K1091" s="165">
        <v>45733</v>
      </c>
      <c r="L1091" s="166" t="s">
        <v>459</v>
      </c>
      <c r="M1091" s="154"/>
      <c r="N1091" s="154"/>
      <c r="O1091" s="164" t="s">
        <v>44</v>
      </c>
      <c r="P1091" s="164">
        <v>36</v>
      </c>
      <c r="Q1091" s="164">
        <v>1</v>
      </c>
      <c r="R1091" s="167" t="s">
        <v>847</v>
      </c>
      <c r="S1091" s="167" t="s">
        <v>848</v>
      </c>
      <c r="T1091" s="162" t="s">
        <v>800</v>
      </c>
      <c r="U1091" s="167" t="s">
        <v>802</v>
      </c>
      <c r="X1091" s="169">
        <v>45733</v>
      </c>
      <c r="Y1091" s="170">
        <v>98</v>
      </c>
      <c r="Z1091" s="170">
        <v>0</v>
      </c>
      <c r="AA1091" s="170">
        <v>0</v>
      </c>
      <c r="AB1091" s="170">
        <v>0</v>
      </c>
      <c r="AC1091" s="171">
        <v>98</v>
      </c>
      <c r="AD1091" s="172">
        <v>9751585.58763</v>
      </c>
      <c r="AE1091" s="173">
        <v>98</v>
      </c>
      <c r="AF1091" s="174">
        <v>46357</v>
      </c>
    </row>
    <row r="1092" spans="1:32" ht="20" x14ac:dyDescent="0.35">
      <c r="A1092" s="162" t="s">
        <v>638</v>
      </c>
      <c r="B1092" s="163" t="s">
        <v>1116</v>
      </c>
      <c r="C1092" s="154"/>
      <c r="D1092" s="162" t="s">
        <v>460</v>
      </c>
      <c r="E1092" s="164" t="s">
        <v>460</v>
      </c>
      <c r="F1092" s="164" t="s">
        <v>1116</v>
      </c>
      <c r="G1092" s="164" t="s">
        <v>638</v>
      </c>
      <c r="H1092" s="165">
        <v>33031</v>
      </c>
      <c r="I1092" s="164" t="s">
        <v>20</v>
      </c>
      <c r="J1092" s="164" t="s">
        <v>68</v>
      </c>
      <c r="K1092" s="165">
        <v>45733</v>
      </c>
      <c r="L1092" s="166" t="s">
        <v>459</v>
      </c>
      <c r="M1092" s="154"/>
      <c r="N1092" s="154"/>
      <c r="O1092" s="164" t="s">
        <v>44</v>
      </c>
      <c r="P1092" s="164">
        <v>36</v>
      </c>
      <c r="Q1092" s="164">
        <v>1</v>
      </c>
      <c r="R1092" s="167" t="s">
        <v>847</v>
      </c>
      <c r="S1092" s="167" t="s">
        <v>848</v>
      </c>
      <c r="T1092" s="162" t="s">
        <v>800</v>
      </c>
      <c r="U1092" s="167" t="s">
        <v>803</v>
      </c>
      <c r="X1092" s="169">
        <v>45733</v>
      </c>
      <c r="Y1092" s="170">
        <v>2</v>
      </c>
      <c r="Z1092" s="170">
        <v>0</v>
      </c>
      <c r="AA1092" s="170">
        <v>0</v>
      </c>
      <c r="AB1092" s="170">
        <v>0</v>
      </c>
      <c r="AC1092" s="171">
        <v>2</v>
      </c>
      <c r="AD1092" s="172">
        <v>199011.95077</v>
      </c>
      <c r="AE1092" s="173">
        <v>2</v>
      </c>
      <c r="AF1092" s="174">
        <v>46357</v>
      </c>
    </row>
    <row r="1093" spans="1:32" ht="20" x14ac:dyDescent="0.35">
      <c r="A1093" s="162" t="s">
        <v>638</v>
      </c>
      <c r="B1093" s="163" t="s">
        <v>1116</v>
      </c>
      <c r="C1093" s="154"/>
      <c r="D1093" s="162" t="s">
        <v>460</v>
      </c>
      <c r="E1093" s="164" t="s">
        <v>460</v>
      </c>
      <c r="F1093" s="164" t="s">
        <v>1116</v>
      </c>
      <c r="G1093" s="164" t="s">
        <v>638</v>
      </c>
      <c r="H1093" s="165">
        <v>33031</v>
      </c>
      <c r="I1093" s="164" t="s">
        <v>20</v>
      </c>
      <c r="J1093" s="164" t="s">
        <v>68</v>
      </c>
      <c r="K1093" s="165">
        <v>45733</v>
      </c>
      <c r="L1093" s="166" t="s">
        <v>459</v>
      </c>
      <c r="M1093" s="154"/>
      <c r="N1093" s="154"/>
      <c r="O1093" s="164" t="s">
        <v>44</v>
      </c>
      <c r="P1093" s="164">
        <v>36</v>
      </c>
      <c r="Q1093" s="164">
        <v>1</v>
      </c>
      <c r="R1093" s="167" t="s">
        <v>847</v>
      </c>
      <c r="S1093" s="167" t="s">
        <v>848</v>
      </c>
      <c r="T1093" s="162" t="s">
        <v>800</v>
      </c>
      <c r="U1093" s="167" t="s">
        <v>804</v>
      </c>
      <c r="X1093" s="169">
        <v>45733</v>
      </c>
      <c r="Y1093" s="170">
        <v>5</v>
      </c>
      <c r="Z1093" s="170">
        <v>0</v>
      </c>
      <c r="AA1093" s="170">
        <v>0</v>
      </c>
      <c r="AB1093" s="170">
        <v>0</v>
      </c>
      <c r="AC1093" s="171">
        <v>5</v>
      </c>
      <c r="AD1093" s="172">
        <v>497529.87692000001</v>
      </c>
      <c r="AE1093" s="173">
        <v>5</v>
      </c>
      <c r="AF1093" s="174">
        <v>46357</v>
      </c>
    </row>
    <row r="1094" spans="1:32" ht="20" x14ac:dyDescent="0.35">
      <c r="A1094" s="162" t="s">
        <v>638</v>
      </c>
      <c r="B1094" s="163" t="s">
        <v>1116</v>
      </c>
      <c r="C1094" s="154"/>
      <c r="D1094" s="162" t="s">
        <v>460</v>
      </c>
      <c r="E1094" s="164" t="s">
        <v>460</v>
      </c>
      <c r="F1094" s="164" t="s">
        <v>1116</v>
      </c>
      <c r="G1094" s="164" t="s">
        <v>638</v>
      </c>
      <c r="H1094" s="165">
        <v>33031</v>
      </c>
      <c r="I1094" s="164" t="s">
        <v>20</v>
      </c>
      <c r="J1094" s="164" t="s">
        <v>68</v>
      </c>
      <c r="K1094" s="165">
        <v>45733</v>
      </c>
      <c r="L1094" s="166" t="s">
        <v>459</v>
      </c>
      <c r="M1094" s="154"/>
      <c r="N1094" s="154"/>
      <c r="O1094" s="164" t="s">
        <v>44</v>
      </c>
      <c r="P1094" s="164">
        <v>36</v>
      </c>
      <c r="Q1094" s="164">
        <v>1</v>
      </c>
      <c r="R1094" s="167" t="s">
        <v>847</v>
      </c>
      <c r="S1094" s="167" t="s">
        <v>848</v>
      </c>
      <c r="T1094" s="162" t="s">
        <v>800</v>
      </c>
      <c r="U1094" s="167" t="s">
        <v>840</v>
      </c>
      <c r="X1094" s="169">
        <v>45733</v>
      </c>
      <c r="Y1094" s="170">
        <v>2.4999999966690001</v>
      </c>
      <c r="Z1094" s="170">
        <v>0.41666667000000002</v>
      </c>
      <c r="AA1094" s="170">
        <v>0</v>
      </c>
      <c r="AB1094" s="170">
        <v>0</v>
      </c>
      <c r="AC1094" s="171">
        <v>2.9166666666690002</v>
      </c>
      <c r="AD1094" s="172">
        <v>290225.76153999998</v>
      </c>
      <c r="AE1094" s="173">
        <v>2.92</v>
      </c>
      <c r="AF1094" s="174">
        <v>46357</v>
      </c>
    </row>
    <row r="1095" spans="1:32" ht="20" x14ac:dyDescent="0.35">
      <c r="A1095" s="162" t="s">
        <v>1117</v>
      </c>
      <c r="B1095" s="163" t="s">
        <v>1118</v>
      </c>
      <c r="C1095" s="154"/>
      <c r="D1095" s="162" t="s">
        <v>462</v>
      </c>
      <c r="E1095" s="164" t="s">
        <v>462</v>
      </c>
      <c r="F1095" s="164" t="s">
        <v>1118</v>
      </c>
      <c r="G1095" s="164" t="s">
        <v>1117</v>
      </c>
      <c r="H1095" s="165">
        <v>33290</v>
      </c>
      <c r="I1095" s="164" t="s">
        <v>20</v>
      </c>
      <c r="J1095" s="164" t="s">
        <v>68</v>
      </c>
      <c r="K1095" s="165">
        <v>45733</v>
      </c>
      <c r="L1095" s="166" t="s">
        <v>464</v>
      </c>
      <c r="M1095" s="154"/>
      <c r="N1095" s="154"/>
      <c r="O1095" s="164" t="s">
        <v>44</v>
      </c>
      <c r="P1095" s="164">
        <v>35</v>
      </c>
      <c r="Q1095" s="164">
        <v>1</v>
      </c>
      <c r="R1095" s="167" t="s">
        <v>847</v>
      </c>
      <c r="S1095" s="167" t="s">
        <v>848</v>
      </c>
      <c r="T1095" s="162" t="s">
        <v>794</v>
      </c>
      <c r="U1095" s="167" t="s">
        <v>795</v>
      </c>
      <c r="V1095" s="162" t="s">
        <v>1049</v>
      </c>
      <c r="W1095" s="168">
        <v>1</v>
      </c>
      <c r="X1095" s="169">
        <v>45733</v>
      </c>
      <c r="Y1095" s="170">
        <v>28.387096773328</v>
      </c>
      <c r="Z1095" s="170">
        <v>1.8333333300000001</v>
      </c>
      <c r="AA1095" s="170">
        <v>0</v>
      </c>
      <c r="AB1095" s="170">
        <v>0</v>
      </c>
      <c r="AC1095" s="171">
        <v>30.220430103327999</v>
      </c>
      <c r="AD1095" s="172">
        <v>2870324.6768499999</v>
      </c>
      <c r="AE1095" s="173" t="s">
        <v>797</v>
      </c>
      <c r="AF1095" s="173"/>
    </row>
    <row r="1096" spans="1:32" ht="20" x14ac:dyDescent="0.35">
      <c r="A1096" s="162" t="s">
        <v>1117</v>
      </c>
      <c r="B1096" s="163" t="s">
        <v>1118</v>
      </c>
      <c r="C1096" s="154"/>
      <c r="D1096" s="162" t="s">
        <v>462</v>
      </c>
      <c r="E1096" s="164" t="s">
        <v>462</v>
      </c>
      <c r="F1096" s="164" t="s">
        <v>1118</v>
      </c>
      <c r="G1096" s="164" t="s">
        <v>1117</v>
      </c>
      <c r="H1096" s="165">
        <v>33290</v>
      </c>
      <c r="I1096" s="164" t="s">
        <v>20</v>
      </c>
      <c r="J1096" s="164" t="s">
        <v>68</v>
      </c>
      <c r="K1096" s="165">
        <v>45733</v>
      </c>
      <c r="L1096" s="166" t="s">
        <v>464</v>
      </c>
      <c r="M1096" s="154"/>
      <c r="N1096" s="154"/>
      <c r="O1096" s="164" t="s">
        <v>44</v>
      </c>
      <c r="P1096" s="164">
        <v>35</v>
      </c>
      <c r="Q1096" s="164">
        <v>1</v>
      </c>
      <c r="R1096" s="167" t="s">
        <v>847</v>
      </c>
      <c r="S1096" s="167" t="s">
        <v>848</v>
      </c>
      <c r="T1096" s="162" t="s">
        <v>798</v>
      </c>
      <c r="U1096" s="167" t="s">
        <v>839</v>
      </c>
      <c r="X1096" s="169">
        <v>45733</v>
      </c>
      <c r="Y1096" s="170">
        <v>180</v>
      </c>
      <c r="Z1096" s="170">
        <v>0</v>
      </c>
      <c r="AA1096" s="170">
        <v>0</v>
      </c>
      <c r="AB1096" s="170">
        <v>0</v>
      </c>
      <c r="AC1096" s="171">
        <v>180</v>
      </c>
      <c r="AD1096" s="172">
        <v>17096329.869120002</v>
      </c>
      <c r="AE1096" s="173">
        <v>180</v>
      </c>
      <c r="AF1096" s="174">
        <v>46357</v>
      </c>
    </row>
    <row r="1097" spans="1:32" ht="20" x14ac:dyDescent="0.35">
      <c r="A1097" s="162" t="s">
        <v>1117</v>
      </c>
      <c r="B1097" s="163" t="s">
        <v>1118</v>
      </c>
      <c r="C1097" s="154"/>
      <c r="D1097" s="162" t="s">
        <v>462</v>
      </c>
      <c r="E1097" s="164" t="s">
        <v>462</v>
      </c>
      <c r="F1097" s="164" t="s">
        <v>1118</v>
      </c>
      <c r="G1097" s="164" t="s">
        <v>1117</v>
      </c>
      <c r="H1097" s="165">
        <v>33290</v>
      </c>
      <c r="I1097" s="164" t="s">
        <v>20</v>
      </c>
      <c r="J1097" s="164" t="s">
        <v>68</v>
      </c>
      <c r="K1097" s="165">
        <v>45733</v>
      </c>
      <c r="L1097" s="166" t="s">
        <v>464</v>
      </c>
      <c r="M1097" s="154"/>
      <c r="N1097" s="154"/>
      <c r="O1097" s="164" t="s">
        <v>44</v>
      </c>
      <c r="P1097" s="164">
        <v>35</v>
      </c>
      <c r="Q1097" s="164">
        <v>1</v>
      </c>
      <c r="R1097" s="167" t="s">
        <v>847</v>
      </c>
      <c r="S1097" s="167" t="s">
        <v>848</v>
      </c>
      <c r="T1097" s="162" t="s">
        <v>800</v>
      </c>
      <c r="U1097" s="167" t="s">
        <v>801</v>
      </c>
      <c r="X1097" s="169">
        <v>45733</v>
      </c>
      <c r="Y1097" s="170">
        <v>26</v>
      </c>
      <c r="Z1097" s="170">
        <v>0</v>
      </c>
      <c r="AA1097" s="170">
        <v>0</v>
      </c>
      <c r="AB1097" s="170">
        <v>0</v>
      </c>
      <c r="AC1097" s="171">
        <v>26</v>
      </c>
      <c r="AD1097" s="172">
        <v>2469469.86998</v>
      </c>
      <c r="AE1097" s="173">
        <v>26</v>
      </c>
      <c r="AF1097" s="174">
        <v>46357</v>
      </c>
    </row>
    <row r="1098" spans="1:32" ht="20" x14ac:dyDescent="0.35">
      <c r="A1098" s="162" t="s">
        <v>1117</v>
      </c>
      <c r="B1098" s="163" t="s">
        <v>1118</v>
      </c>
      <c r="C1098" s="154"/>
      <c r="D1098" s="162" t="s">
        <v>462</v>
      </c>
      <c r="E1098" s="164" t="s">
        <v>462</v>
      </c>
      <c r="F1098" s="164" t="s">
        <v>1118</v>
      </c>
      <c r="G1098" s="164" t="s">
        <v>1117</v>
      </c>
      <c r="H1098" s="165">
        <v>33290</v>
      </c>
      <c r="I1098" s="164" t="s">
        <v>20</v>
      </c>
      <c r="J1098" s="164" t="s">
        <v>68</v>
      </c>
      <c r="K1098" s="165">
        <v>45733</v>
      </c>
      <c r="L1098" s="166" t="s">
        <v>464</v>
      </c>
      <c r="M1098" s="154"/>
      <c r="N1098" s="154"/>
      <c r="O1098" s="164" t="s">
        <v>44</v>
      </c>
      <c r="P1098" s="164">
        <v>35</v>
      </c>
      <c r="Q1098" s="164">
        <v>1</v>
      </c>
      <c r="R1098" s="167" t="s">
        <v>847</v>
      </c>
      <c r="S1098" s="167" t="s">
        <v>848</v>
      </c>
      <c r="T1098" s="162" t="s">
        <v>800</v>
      </c>
      <c r="U1098" s="167" t="s">
        <v>802</v>
      </c>
      <c r="X1098" s="169">
        <v>45733</v>
      </c>
      <c r="Y1098" s="170">
        <v>98</v>
      </c>
      <c r="Z1098" s="170">
        <v>0</v>
      </c>
      <c r="AA1098" s="170">
        <v>0</v>
      </c>
      <c r="AB1098" s="170">
        <v>0</v>
      </c>
      <c r="AC1098" s="171">
        <v>98</v>
      </c>
      <c r="AD1098" s="172">
        <v>9308001.8176300004</v>
      </c>
      <c r="AE1098" s="173">
        <v>98</v>
      </c>
      <c r="AF1098" s="174">
        <v>46357</v>
      </c>
    </row>
    <row r="1099" spans="1:32" ht="20" x14ac:dyDescent="0.35">
      <c r="A1099" s="162" t="s">
        <v>1117</v>
      </c>
      <c r="B1099" s="163" t="s">
        <v>1118</v>
      </c>
      <c r="C1099" s="154"/>
      <c r="D1099" s="162" t="s">
        <v>462</v>
      </c>
      <c r="E1099" s="164" t="s">
        <v>462</v>
      </c>
      <c r="F1099" s="164" t="s">
        <v>1118</v>
      </c>
      <c r="G1099" s="164" t="s">
        <v>1117</v>
      </c>
      <c r="H1099" s="165">
        <v>33290</v>
      </c>
      <c r="I1099" s="164" t="s">
        <v>20</v>
      </c>
      <c r="J1099" s="164" t="s">
        <v>68</v>
      </c>
      <c r="K1099" s="165">
        <v>45733</v>
      </c>
      <c r="L1099" s="166" t="s">
        <v>464</v>
      </c>
      <c r="M1099" s="154"/>
      <c r="N1099" s="154"/>
      <c r="O1099" s="164" t="s">
        <v>44</v>
      </c>
      <c r="P1099" s="164">
        <v>35</v>
      </c>
      <c r="Q1099" s="164">
        <v>1</v>
      </c>
      <c r="R1099" s="167" t="s">
        <v>847</v>
      </c>
      <c r="S1099" s="167" t="s">
        <v>848</v>
      </c>
      <c r="T1099" s="162" t="s">
        <v>800</v>
      </c>
      <c r="U1099" s="167" t="s">
        <v>803</v>
      </c>
      <c r="X1099" s="169">
        <v>45733</v>
      </c>
      <c r="Y1099" s="170">
        <v>2</v>
      </c>
      <c r="Z1099" s="170">
        <v>0</v>
      </c>
      <c r="AA1099" s="170">
        <v>0</v>
      </c>
      <c r="AB1099" s="170">
        <v>0</v>
      </c>
      <c r="AC1099" s="171">
        <v>2</v>
      </c>
      <c r="AD1099" s="172">
        <v>189959.22077000001</v>
      </c>
      <c r="AE1099" s="173">
        <v>2</v>
      </c>
      <c r="AF1099" s="174">
        <v>46357</v>
      </c>
    </row>
    <row r="1100" spans="1:32" ht="20" x14ac:dyDescent="0.35">
      <c r="A1100" s="162" t="s">
        <v>1117</v>
      </c>
      <c r="B1100" s="163" t="s">
        <v>1118</v>
      </c>
      <c r="C1100" s="154"/>
      <c r="D1100" s="162" t="s">
        <v>462</v>
      </c>
      <c r="E1100" s="164" t="s">
        <v>462</v>
      </c>
      <c r="F1100" s="164" t="s">
        <v>1118</v>
      </c>
      <c r="G1100" s="164" t="s">
        <v>1117</v>
      </c>
      <c r="H1100" s="165">
        <v>33290</v>
      </c>
      <c r="I1100" s="164" t="s">
        <v>20</v>
      </c>
      <c r="J1100" s="164" t="s">
        <v>68</v>
      </c>
      <c r="K1100" s="165">
        <v>45733</v>
      </c>
      <c r="L1100" s="166" t="s">
        <v>464</v>
      </c>
      <c r="M1100" s="154"/>
      <c r="N1100" s="154"/>
      <c r="O1100" s="164" t="s">
        <v>44</v>
      </c>
      <c r="P1100" s="164">
        <v>35</v>
      </c>
      <c r="Q1100" s="164">
        <v>1</v>
      </c>
      <c r="R1100" s="167" t="s">
        <v>847</v>
      </c>
      <c r="S1100" s="167" t="s">
        <v>848</v>
      </c>
      <c r="T1100" s="162" t="s">
        <v>800</v>
      </c>
      <c r="U1100" s="167" t="s">
        <v>804</v>
      </c>
      <c r="X1100" s="169">
        <v>45733</v>
      </c>
      <c r="Y1100" s="170">
        <v>5</v>
      </c>
      <c r="Z1100" s="170">
        <v>0</v>
      </c>
      <c r="AA1100" s="170">
        <v>0</v>
      </c>
      <c r="AB1100" s="170">
        <v>0</v>
      </c>
      <c r="AC1100" s="171">
        <v>5</v>
      </c>
      <c r="AD1100" s="172">
        <v>474898.05192</v>
      </c>
      <c r="AE1100" s="173">
        <v>5</v>
      </c>
      <c r="AF1100" s="174">
        <v>46357</v>
      </c>
    </row>
    <row r="1101" spans="1:32" ht="20" x14ac:dyDescent="0.35">
      <c r="A1101" s="162" t="s">
        <v>1117</v>
      </c>
      <c r="B1101" s="163" t="s">
        <v>1118</v>
      </c>
      <c r="C1101" s="154"/>
      <c r="D1101" s="162" t="s">
        <v>462</v>
      </c>
      <c r="E1101" s="164" t="s">
        <v>462</v>
      </c>
      <c r="F1101" s="164" t="s">
        <v>1118</v>
      </c>
      <c r="G1101" s="164" t="s">
        <v>1117</v>
      </c>
      <c r="H1101" s="165">
        <v>33290</v>
      </c>
      <c r="I1101" s="164" t="s">
        <v>20</v>
      </c>
      <c r="J1101" s="164" t="s">
        <v>68</v>
      </c>
      <c r="K1101" s="165">
        <v>45733</v>
      </c>
      <c r="L1101" s="166" t="s">
        <v>464</v>
      </c>
      <c r="M1101" s="154"/>
      <c r="N1101" s="154"/>
      <c r="O1101" s="164" t="s">
        <v>44</v>
      </c>
      <c r="P1101" s="164">
        <v>35</v>
      </c>
      <c r="Q1101" s="164">
        <v>1</v>
      </c>
      <c r="R1101" s="167" t="s">
        <v>847</v>
      </c>
      <c r="S1101" s="167" t="s">
        <v>848</v>
      </c>
      <c r="T1101" s="162" t="s">
        <v>800</v>
      </c>
      <c r="U1101" s="167" t="s">
        <v>840</v>
      </c>
      <c r="X1101" s="169">
        <v>45733</v>
      </c>
      <c r="Y1101" s="170">
        <v>2.4999999966690001</v>
      </c>
      <c r="Z1101" s="170">
        <v>0.41666667000000002</v>
      </c>
      <c r="AA1101" s="170">
        <v>0</v>
      </c>
      <c r="AB1101" s="170">
        <v>0</v>
      </c>
      <c r="AC1101" s="171">
        <v>2.9166666666690002</v>
      </c>
      <c r="AD1101" s="172">
        <v>277023.86362000002</v>
      </c>
      <c r="AE1101" s="173">
        <v>2.92</v>
      </c>
      <c r="AF1101" s="174">
        <v>46357</v>
      </c>
    </row>
    <row r="1102" spans="1:32" ht="20" x14ac:dyDescent="0.35">
      <c r="A1102" s="162" t="s">
        <v>1015</v>
      </c>
      <c r="B1102" s="163" t="s">
        <v>1119</v>
      </c>
      <c r="C1102" s="154"/>
      <c r="D1102" s="162" t="s">
        <v>465</v>
      </c>
      <c r="E1102" s="164" t="s">
        <v>465</v>
      </c>
      <c r="F1102" s="164" t="s">
        <v>1119</v>
      </c>
      <c r="G1102" s="164" t="s">
        <v>1015</v>
      </c>
      <c r="H1102" s="165">
        <v>32351</v>
      </c>
      <c r="I1102" s="164" t="s">
        <v>20</v>
      </c>
      <c r="J1102" s="164" t="s">
        <v>68</v>
      </c>
      <c r="K1102" s="165">
        <v>45740</v>
      </c>
      <c r="L1102" s="166" t="s">
        <v>467</v>
      </c>
      <c r="M1102" s="154"/>
      <c r="N1102" s="154"/>
      <c r="O1102" s="164" t="s">
        <v>29</v>
      </c>
      <c r="P1102" s="164">
        <v>38</v>
      </c>
      <c r="Q1102" s="164">
        <v>1</v>
      </c>
      <c r="R1102" s="167" t="s">
        <v>892</v>
      </c>
      <c r="S1102" s="167" t="s">
        <v>893</v>
      </c>
      <c r="T1102" s="162" t="s">
        <v>794</v>
      </c>
      <c r="U1102" s="167" t="s">
        <v>795</v>
      </c>
      <c r="V1102" s="162" t="s">
        <v>1049</v>
      </c>
      <c r="W1102" s="168">
        <v>1</v>
      </c>
      <c r="X1102" s="169">
        <v>45740</v>
      </c>
      <c r="Y1102" s="170">
        <v>20.973118283327999</v>
      </c>
      <c r="Z1102" s="170">
        <v>1.8333333300000001</v>
      </c>
      <c r="AA1102" s="170">
        <v>0</v>
      </c>
      <c r="AB1102" s="170">
        <v>0</v>
      </c>
      <c r="AC1102" s="171">
        <v>22.806451613328001</v>
      </c>
      <c r="AD1102" s="172">
        <v>6710733.46777</v>
      </c>
      <c r="AE1102" s="173" t="s">
        <v>797</v>
      </c>
      <c r="AF1102" s="173"/>
    </row>
    <row r="1103" spans="1:32" ht="20" x14ac:dyDescent="0.35">
      <c r="A1103" s="162" t="s">
        <v>1015</v>
      </c>
      <c r="B1103" s="163" t="s">
        <v>1119</v>
      </c>
      <c r="C1103" s="154"/>
      <c r="D1103" s="162" t="s">
        <v>465</v>
      </c>
      <c r="E1103" s="164" t="s">
        <v>465</v>
      </c>
      <c r="F1103" s="164" t="s">
        <v>1119</v>
      </c>
      <c r="G1103" s="164" t="s">
        <v>1015</v>
      </c>
      <c r="H1103" s="165">
        <v>32351</v>
      </c>
      <c r="I1103" s="164" t="s">
        <v>20</v>
      </c>
      <c r="J1103" s="164" t="s">
        <v>68</v>
      </c>
      <c r="K1103" s="165">
        <v>45740</v>
      </c>
      <c r="L1103" s="166" t="s">
        <v>467</v>
      </c>
      <c r="M1103" s="154"/>
      <c r="N1103" s="154"/>
      <c r="O1103" s="164" t="s">
        <v>29</v>
      </c>
      <c r="P1103" s="164">
        <v>38</v>
      </c>
      <c r="Q1103" s="164">
        <v>1</v>
      </c>
      <c r="R1103" s="167" t="s">
        <v>892</v>
      </c>
      <c r="S1103" s="167" t="s">
        <v>893</v>
      </c>
      <c r="T1103" s="162" t="s">
        <v>798</v>
      </c>
      <c r="U1103" s="167" t="s">
        <v>839</v>
      </c>
      <c r="X1103" s="169">
        <v>45740</v>
      </c>
      <c r="Y1103" s="170">
        <v>180</v>
      </c>
      <c r="Z1103" s="170">
        <v>0</v>
      </c>
      <c r="AA1103" s="170">
        <v>0</v>
      </c>
      <c r="AB1103" s="170">
        <v>0</v>
      </c>
      <c r="AC1103" s="171">
        <v>180</v>
      </c>
      <c r="AD1103" s="172">
        <v>52964487.622979999</v>
      </c>
      <c r="AE1103" s="173">
        <v>180</v>
      </c>
      <c r="AF1103" s="174">
        <v>46357</v>
      </c>
    </row>
    <row r="1104" spans="1:32" ht="20" x14ac:dyDescent="0.35">
      <c r="A1104" s="162" t="s">
        <v>1015</v>
      </c>
      <c r="B1104" s="163" t="s">
        <v>1119</v>
      </c>
      <c r="C1104" s="154"/>
      <c r="D1104" s="162" t="s">
        <v>465</v>
      </c>
      <c r="E1104" s="164" t="s">
        <v>465</v>
      </c>
      <c r="F1104" s="164" t="s">
        <v>1119</v>
      </c>
      <c r="G1104" s="164" t="s">
        <v>1015</v>
      </c>
      <c r="H1104" s="165">
        <v>32351</v>
      </c>
      <c r="I1104" s="164" t="s">
        <v>20</v>
      </c>
      <c r="J1104" s="164" t="s">
        <v>68</v>
      </c>
      <c r="K1104" s="165">
        <v>45740</v>
      </c>
      <c r="L1104" s="166" t="s">
        <v>467</v>
      </c>
      <c r="M1104" s="154"/>
      <c r="N1104" s="154"/>
      <c r="O1104" s="164" t="s">
        <v>29</v>
      </c>
      <c r="P1104" s="164">
        <v>38</v>
      </c>
      <c r="Q1104" s="164">
        <v>1</v>
      </c>
      <c r="R1104" s="167" t="s">
        <v>892</v>
      </c>
      <c r="S1104" s="167" t="s">
        <v>893</v>
      </c>
      <c r="T1104" s="162" t="s">
        <v>800</v>
      </c>
      <c r="U1104" s="167" t="s">
        <v>801</v>
      </c>
      <c r="X1104" s="169">
        <v>45740</v>
      </c>
      <c r="Y1104" s="170">
        <v>26</v>
      </c>
      <c r="Z1104" s="170">
        <v>0</v>
      </c>
      <c r="AA1104" s="170">
        <v>0</v>
      </c>
      <c r="AB1104" s="170">
        <v>0</v>
      </c>
      <c r="AC1104" s="171">
        <v>26</v>
      </c>
      <c r="AD1104" s="172">
        <v>7650425.9899899997</v>
      </c>
      <c r="AE1104" s="173">
        <v>26</v>
      </c>
      <c r="AF1104" s="174">
        <v>46357</v>
      </c>
    </row>
    <row r="1105" spans="1:32" ht="20" x14ac:dyDescent="0.35">
      <c r="A1105" s="162" t="s">
        <v>1015</v>
      </c>
      <c r="B1105" s="163" t="s">
        <v>1119</v>
      </c>
      <c r="C1105" s="154"/>
      <c r="D1105" s="162" t="s">
        <v>465</v>
      </c>
      <c r="E1105" s="164" t="s">
        <v>465</v>
      </c>
      <c r="F1105" s="164" t="s">
        <v>1119</v>
      </c>
      <c r="G1105" s="164" t="s">
        <v>1015</v>
      </c>
      <c r="H1105" s="165">
        <v>32351</v>
      </c>
      <c r="I1105" s="164" t="s">
        <v>20</v>
      </c>
      <c r="J1105" s="164" t="s">
        <v>68</v>
      </c>
      <c r="K1105" s="165">
        <v>45740</v>
      </c>
      <c r="L1105" s="166" t="s">
        <v>467</v>
      </c>
      <c r="M1105" s="154"/>
      <c r="N1105" s="154"/>
      <c r="O1105" s="164" t="s">
        <v>29</v>
      </c>
      <c r="P1105" s="164">
        <v>38</v>
      </c>
      <c r="Q1105" s="164">
        <v>1</v>
      </c>
      <c r="R1105" s="167" t="s">
        <v>892</v>
      </c>
      <c r="S1105" s="167" t="s">
        <v>893</v>
      </c>
      <c r="T1105" s="162" t="s">
        <v>800</v>
      </c>
      <c r="U1105" s="167" t="s">
        <v>802</v>
      </c>
      <c r="X1105" s="169">
        <v>45740</v>
      </c>
      <c r="Y1105" s="170">
        <v>98</v>
      </c>
      <c r="Z1105" s="170">
        <v>0</v>
      </c>
      <c r="AA1105" s="170">
        <v>0</v>
      </c>
      <c r="AB1105" s="170">
        <v>0</v>
      </c>
      <c r="AC1105" s="171">
        <v>98</v>
      </c>
      <c r="AD1105" s="172">
        <v>28836221.039179999</v>
      </c>
      <c r="AE1105" s="173">
        <v>98</v>
      </c>
      <c r="AF1105" s="174">
        <v>46357</v>
      </c>
    </row>
    <row r="1106" spans="1:32" ht="20" x14ac:dyDescent="0.35">
      <c r="A1106" s="162" t="s">
        <v>1015</v>
      </c>
      <c r="B1106" s="163" t="s">
        <v>1119</v>
      </c>
      <c r="C1106" s="154"/>
      <c r="D1106" s="162" t="s">
        <v>465</v>
      </c>
      <c r="E1106" s="164" t="s">
        <v>465</v>
      </c>
      <c r="F1106" s="164" t="s">
        <v>1119</v>
      </c>
      <c r="G1106" s="164" t="s">
        <v>1015</v>
      </c>
      <c r="H1106" s="165">
        <v>32351</v>
      </c>
      <c r="I1106" s="164" t="s">
        <v>20</v>
      </c>
      <c r="J1106" s="164" t="s">
        <v>68</v>
      </c>
      <c r="K1106" s="165">
        <v>45740</v>
      </c>
      <c r="L1106" s="166" t="s">
        <v>467</v>
      </c>
      <c r="M1106" s="154"/>
      <c r="N1106" s="154"/>
      <c r="O1106" s="164" t="s">
        <v>29</v>
      </c>
      <c r="P1106" s="164">
        <v>38</v>
      </c>
      <c r="Q1106" s="164">
        <v>1</v>
      </c>
      <c r="R1106" s="167" t="s">
        <v>892</v>
      </c>
      <c r="S1106" s="167" t="s">
        <v>893</v>
      </c>
      <c r="T1106" s="162" t="s">
        <v>800</v>
      </c>
      <c r="U1106" s="167" t="s">
        <v>803</v>
      </c>
      <c r="X1106" s="169">
        <v>45740</v>
      </c>
      <c r="Y1106" s="170">
        <v>2</v>
      </c>
      <c r="Z1106" s="170">
        <v>0</v>
      </c>
      <c r="AA1106" s="170">
        <v>0</v>
      </c>
      <c r="AB1106" s="170">
        <v>0</v>
      </c>
      <c r="AC1106" s="171">
        <v>2</v>
      </c>
      <c r="AD1106" s="172">
        <v>588494.30692</v>
      </c>
      <c r="AE1106" s="173">
        <v>2</v>
      </c>
      <c r="AF1106" s="174">
        <v>46357</v>
      </c>
    </row>
    <row r="1107" spans="1:32" ht="20" x14ac:dyDescent="0.35">
      <c r="A1107" s="162" t="s">
        <v>1015</v>
      </c>
      <c r="B1107" s="163" t="s">
        <v>1119</v>
      </c>
      <c r="C1107" s="154"/>
      <c r="D1107" s="162" t="s">
        <v>465</v>
      </c>
      <c r="E1107" s="164" t="s">
        <v>465</v>
      </c>
      <c r="F1107" s="164" t="s">
        <v>1119</v>
      </c>
      <c r="G1107" s="164" t="s">
        <v>1015</v>
      </c>
      <c r="H1107" s="165">
        <v>32351</v>
      </c>
      <c r="I1107" s="164" t="s">
        <v>20</v>
      </c>
      <c r="J1107" s="164" t="s">
        <v>68</v>
      </c>
      <c r="K1107" s="165">
        <v>45740</v>
      </c>
      <c r="L1107" s="166" t="s">
        <v>467</v>
      </c>
      <c r="M1107" s="154"/>
      <c r="N1107" s="154"/>
      <c r="O1107" s="164" t="s">
        <v>29</v>
      </c>
      <c r="P1107" s="164">
        <v>38</v>
      </c>
      <c r="Q1107" s="164">
        <v>1</v>
      </c>
      <c r="R1107" s="167" t="s">
        <v>892</v>
      </c>
      <c r="S1107" s="167" t="s">
        <v>893</v>
      </c>
      <c r="T1107" s="162" t="s">
        <v>800</v>
      </c>
      <c r="U1107" s="167" t="s">
        <v>804</v>
      </c>
      <c r="X1107" s="169">
        <v>45740</v>
      </c>
      <c r="Y1107" s="170">
        <v>5</v>
      </c>
      <c r="Z1107" s="170">
        <v>0</v>
      </c>
      <c r="AA1107" s="170">
        <v>0</v>
      </c>
      <c r="AB1107" s="170">
        <v>0</v>
      </c>
      <c r="AC1107" s="171">
        <v>5</v>
      </c>
      <c r="AD1107" s="172">
        <v>1471235.7672999999</v>
      </c>
      <c r="AE1107" s="173">
        <v>5</v>
      </c>
      <c r="AF1107" s="174">
        <v>46357</v>
      </c>
    </row>
    <row r="1108" spans="1:32" ht="20" x14ac:dyDescent="0.35">
      <c r="A1108" s="162" t="s">
        <v>1015</v>
      </c>
      <c r="B1108" s="163" t="s">
        <v>1119</v>
      </c>
      <c r="C1108" s="154"/>
      <c r="D1108" s="162" t="s">
        <v>465</v>
      </c>
      <c r="E1108" s="164" t="s">
        <v>465</v>
      </c>
      <c r="F1108" s="164" t="s">
        <v>1119</v>
      </c>
      <c r="G1108" s="164" t="s">
        <v>1015</v>
      </c>
      <c r="H1108" s="165">
        <v>32351</v>
      </c>
      <c r="I1108" s="164" t="s">
        <v>20</v>
      </c>
      <c r="J1108" s="164" t="s">
        <v>68</v>
      </c>
      <c r="K1108" s="165">
        <v>45740</v>
      </c>
      <c r="L1108" s="166" t="s">
        <v>467</v>
      </c>
      <c r="M1108" s="154"/>
      <c r="N1108" s="154"/>
      <c r="O1108" s="164" t="s">
        <v>29</v>
      </c>
      <c r="P1108" s="164">
        <v>38</v>
      </c>
      <c r="Q1108" s="164">
        <v>1</v>
      </c>
      <c r="R1108" s="167" t="s">
        <v>892</v>
      </c>
      <c r="S1108" s="167" t="s">
        <v>893</v>
      </c>
      <c r="T1108" s="162" t="s">
        <v>800</v>
      </c>
      <c r="U1108" s="167" t="s">
        <v>840</v>
      </c>
      <c r="X1108" s="169">
        <v>45740</v>
      </c>
      <c r="Y1108" s="170">
        <v>2.4999999966690001</v>
      </c>
      <c r="Z1108" s="170">
        <v>0.41666667000000002</v>
      </c>
      <c r="AA1108" s="170">
        <v>0</v>
      </c>
      <c r="AB1108" s="170">
        <v>0</v>
      </c>
      <c r="AC1108" s="171">
        <v>2.9166666666690002</v>
      </c>
      <c r="AD1108" s="172">
        <v>858220.86425999994</v>
      </c>
      <c r="AE1108" s="173">
        <v>2.92</v>
      </c>
      <c r="AF1108" s="174">
        <v>46357</v>
      </c>
    </row>
    <row r="1109" spans="1:32" ht="20" x14ac:dyDescent="0.35">
      <c r="A1109" s="162" t="s">
        <v>1120</v>
      </c>
      <c r="B1109" s="163" t="s">
        <v>972</v>
      </c>
      <c r="C1109" s="154"/>
      <c r="D1109" s="162" t="s">
        <v>468</v>
      </c>
      <c r="E1109" s="164" t="s">
        <v>468</v>
      </c>
      <c r="F1109" s="164" t="s">
        <v>972</v>
      </c>
      <c r="G1109" s="164" t="s">
        <v>1120</v>
      </c>
      <c r="H1109" s="165">
        <v>30476</v>
      </c>
      <c r="I1109" s="164" t="s">
        <v>20</v>
      </c>
      <c r="J1109" s="164" t="s">
        <v>68</v>
      </c>
      <c r="K1109" s="165">
        <v>45723</v>
      </c>
      <c r="L1109" s="166" t="s">
        <v>470</v>
      </c>
      <c r="M1109" s="154"/>
      <c r="N1109" s="154"/>
      <c r="O1109" s="164" t="s">
        <v>70</v>
      </c>
      <c r="P1109" s="164">
        <v>43</v>
      </c>
      <c r="Q1109" s="164">
        <v>1</v>
      </c>
      <c r="R1109" s="167" t="s">
        <v>1121</v>
      </c>
      <c r="S1109" s="167" t="s">
        <v>844</v>
      </c>
      <c r="T1109" s="162" t="s">
        <v>794</v>
      </c>
      <c r="U1109" s="167" t="s">
        <v>833</v>
      </c>
      <c r="V1109" s="162" t="s">
        <v>828</v>
      </c>
      <c r="W1109" s="168">
        <v>1</v>
      </c>
      <c r="X1109" s="169">
        <v>45723</v>
      </c>
      <c r="Y1109" s="170">
        <v>9.6129032300000006</v>
      </c>
      <c r="Z1109" s="170">
        <v>2</v>
      </c>
      <c r="AA1109" s="170">
        <v>0</v>
      </c>
      <c r="AB1109" s="170">
        <v>0</v>
      </c>
      <c r="AC1109" s="171">
        <v>11.612903230000001</v>
      </c>
      <c r="AD1109" s="172">
        <v>10881122.9399</v>
      </c>
      <c r="AE1109" s="173" t="s">
        <v>797</v>
      </c>
      <c r="AF1109" s="173"/>
    </row>
    <row r="1110" spans="1:32" ht="20" x14ac:dyDescent="0.35">
      <c r="A1110" s="162" t="s">
        <v>1120</v>
      </c>
      <c r="B1110" s="163" t="s">
        <v>972</v>
      </c>
      <c r="C1110" s="154"/>
      <c r="D1110" s="162" t="s">
        <v>468</v>
      </c>
      <c r="E1110" s="164" t="s">
        <v>468</v>
      </c>
      <c r="F1110" s="164" t="s">
        <v>972</v>
      </c>
      <c r="G1110" s="164" t="s">
        <v>1120</v>
      </c>
      <c r="H1110" s="165">
        <v>30476</v>
      </c>
      <c r="I1110" s="164" t="s">
        <v>20</v>
      </c>
      <c r="J1110" s="164" t="s">
        <v>68</v>
      </c>
      <c r="K1110" s="165">
        <v>45723</v>
      </c>
      <c r="L1110" s="166" t="s">
        <v>470</v>
      </c>
      <c r="M1110" s="154"/>
      <c r="N1110" s="154"/>
      <c r="O1110" s="164" t="s">
        <v>70</v>
      </c>
      <c r="P1110" s="164">
        <v>43</v>
      </c>
      <c r="Q1110" s="164">
        <v>1</v>
      </c>
      <c r="R1110" s="167" t="s">
        <v>1121</v>
      </c>
      <c r="S1110" s="167" t="s">
        <v>844</v>
      </c>
      <c r="T1110" s="162" t="s">
        <v>798</v>
      </c>
      <c r="U1110" s="167" t="s">
        <v>799</v>
      </c>
      <c r="X1110" s="169">
        <v>45723</v>
      </c>
      <c r="Y1110" s="170">
        <v>180</v>
      </c>
      <c r="Z1110" s="170">
        <v>0</v>
      </c>
      <c r="AA1110" s="170">
        <v>0</v>
      </c>
      <c r="AB1110" s="170">
        <v>0</v>
      </c>
      <c r="AC1110" s="171">
        <v>180</v>
      </c>
      <c r="AD1110" s="172">
        <v>168657405.50753999</v>
      </c>
      <c r="AE1110" s="173">
        <v>180</v>
      </c>
      <c r="AF1110" s="174">
        <v>46357</v>
      </c>
    </row>
    <row r="1111" spans="1:32" ht="20" x14ac:dyDescent="0.35">
      <c r="A1111" s="162" t="s">
        <v>1120</v>
      </c>
      <c r="B1111" s="163" t="s">
        <v>972</v>
      </c>
      <c r="C1111" s="154"/>
      <c r="D1111" s="162" t="s">
        <v>468</v>
      </c>
      <c r="E1111" s="164" t="s">
        <v>468</v>
      </c>
      <c r="F1111" s="164" t="s">
        <v>972</v>
      </c>
      <c r="G1111" s="164" t="s">
        <v>1120</v>
      </c>
      <c r="H1111" s="165">
        <v>30476</v>
      </c>
      <c r="I1111" s="164" t="s">
        <v>20</v>
      </c>
      <c r="J1111" s="164" t="s">
        <v>68</v>
      </c>
      <c r="K1111" s="165">
        <v>45723</v>
      </c>
      <c r="L1111" s="166" t="s">
        <v>470</v>
      </c>
      <c r="M1111" s="154"/>
      <c r="N1111" s="154"/>
      <c r="O1111" s="164" t="s">
        <v>70</v>
      </c>
      <c r="P1111" s="164">
        <v>43</v>
      </c>
      <c r="Q1111" s="164">
        <v>1</v>
      </c>
      <c r="R1111" s="167" t="s">
        <v>1121</v>
      </c>
      <c r="S1111" s="167" t="s">
        <v>844</v>
      </c>
      <c r="T1111" s="162" t="s">
        <v>800</v>
      </c>
      <c r="U1111" s="167" t="s">
        <v>801</v>
      </c>
      <c r="X1111" s="169">
        <v>45723</v>
      </c>
      <c r="Y1111" s="170">
        <v>26</v>
      </c>
      <c r="Z1111" s="170">
        <v>0</v>
      </c>
      <c r="AA1111" s="170">
        <v>0</v>
      </c>
      <c r="AB1111" s="170">
        <v>0</v>
      </c>
      <c r="AC1111" s="171">
        <v>26</v>
      </c>
      <c r="AD1111" s="172">
        <v>24361625.239980001</v>
      </c>
      <c r="AE1111" s="173">
        <v>26</v>
      </c>
      <c r="AF1111" s="174">
        <v>46357</v>
      </c>
    </row>
    <row r="1112" spans="1:32" ht="20" x14ac:dyDescent="0.35">
      <c r="A1112" s="162" t="s">
        <v>1120</v>
      </c>
      <c r="B1112" s="163" t="s">
        <v>972</v>
      </c>
      <c r="C1112" s="154"/>
      <c r="D1112" s="162" t="s">
        <v>468</v>
      </c>
      <c r="E1112" s="164" t="s">
        <v>468</v>
      </c>
      <c r="F1112" s="164" t="s">
        <v>972</v>
      </c>
      <c r="G1112" s="164" t="s">
        <v>1120</v>
      </c>
      <c r="H1112" s="165">
        <v>30476</v>
      </c>
      <c r="I1112" s="164" t="s">
        <v>20</v>
      </c>
      <c r="J1112" s="164" t="s">
        <v>68</v>
      </c>
      <c r="K1112" s="165">
        <v>45723</v>
      </c>
      <c r="L1112" s="166" t="s">
        <v>470</v>
      </c>
      <c r="M1112" s="154"/>
      <c r="N1112" s="154"/>
      <c r="O1112" s="164" t="s">
        <v>70</v>
      </c>
      <c r="P1112" s="164">
        <v>43</v>
      </c>
      <c r="Q1112" s="164">
        <v>1</v>
      </c>
      <c r="R1112" s="167" t="s">
        <v>1121</v>
      </c>
      <c r="S1112" s="167" t="s">
        <v>844</v>
      </c>
      <c r="T1112" s="162" t="s">
        <v>800</v>
      </c>
      <c r="U1112" s="167" t="s">
        <v>802</v>
      </c>
      <c r="X1112" s="169">
        <v>45723</v>
      </c>
      <c r="Y1112" s="170">
        <v>98</v>
      </c>
      <c r="Z1112" s="170">
        <v>0</v>
      </c>
      <c r="AA1112" s="170">
        <v>0</v>
      </c>
      <c r="AB1112" s="170">
        <v>0</v>
      </c>
      <c r="AC1112" s="171">
        <v>98</v>
      </c>
      <c r="AD1112" s="172">
        <v>91824587.442990005</v>
      </c>
      <c r="AE1112" s="173">
        <v>98</v>
      </c>
      <c r="AF1112" s="174">
        <v>46357</v>
      </c>
    </row>
    <row r="1113" spans="1:32" ht="20" x14ac:dyDescent="0.35">
      <c r="A1113" s="162" t="s">
        <v>1120</v>
      </c>
      <c r="B1113" s="163" t="s">
        <v>972</v>
      </c>
      <c r="C1113" s="154"/>
      <c r="D1113" s="162" t="s">
        <v>468</v>
      </c>
      <c r="E1113" s="164" t="s">
        <v>468</v>
      </c>
      <c r="F1113" s="164" t="s">
        <v>972</v>
      </c>
      <c r="G1113" s="164" t="s">
        <v>1120</v>
      </c>
      <c r="H1113" s="165">
        <v>30476</v>
      </c>
      <c r="I1113" s="164" t="s">
        <v>20</v>
      </c>
      <c r="J1113" s="164" t="s">
        <v>68</v>
      </c>
      <c r="K1113" s="165">
        <v>45723</v>
      </c>
      <c r="L1113" s="166" t="s">
        <v>470</v>
      </c>
      <c r="M1113" s="154"/>
      <c r="N1113" s="154"/>
      <c r="O1113" s="164" t="s">
        <v>70</v>
      </c>
      <c r="P1113" s="164">
        <v>43</v>
      </c>
      <c r="Q1113" s="164">
        <v>1</v>
      </c>
      <c r="R1113" s="167" t="s">
        <v>1121</v>
      </c>
      <c r="S1113" s="167" t="s">
        <v>844</v>
      </c>
      <c r="T1113" s="162" t="s">
        <v>800</v>
      </c>
      <c r="U1113" s="167" t="s">
        <v>803</v>
      </c>
      <c r="X1113" s="169">
        <v>45723</v>
      </c>
      <c r="Y1113" s="170">
        <v>2</v>
      </c>
      <c r="Z1113" s="170">
        <v>0</v>
      </c>
      <c r="AA1113" s="170">
        <v>0</v>
      </c>
      <c r="AB1113" s="170">
        <v>0</v>
      </c>
      <c r="AC1113" s="171">
        <v>2</v>
      </c>
      <c r="AD1113" s="172">
        <v>1873971.1723100001</v>
      </c>
      <c r="AE1113" s="173">
        <v>2</v>
      </c>
      <c r="AF1113" s="174">
        <v>46357</v>
      </c>
    </row>
    <row r="1114" spans="1:32" ht="20" x14ac:dyDescent="0.35">
      <c r="A1114" s="162" t="s">
        <v>1120</v>
      </c>
      <c r="B1114" s="163" t="s">
        <v>972</v>
      </c>
      <c r="C1114" s="154"/>
      <c r="D1114" s="162" t="s">
        <v>468</v>
      </c>
      <c r="E1114" s="164" t="s">
        <v>468</v>
      </c>
      <c r="F1114" s="164" t="s">
        <v>972</v>
      </c>
      <c r="G1114" s="164" t="s">
        <v>1120</v>
      </c>
      <c r="H1114" s="165">
        <v>30476</v>
      </c>
      <c r="I1114" s="164" t="s">
        <v>20</v>
      </c>
      <c r="J1114" s="164" t="s">
        <v>68</v>
      </c>
      <c r="K1114" s="165">
        <v>45723</v>
      </c>
      <c r="L1114" s="166" t="s">
        <v>470</v>
      </c>
      <c r="M1114" s="154"/>
      <c r="N1114" s="154"/>
      <c r="O1114" s="164" t="s">
        <v>70</v>
      </c>
      <c r="P1114" s="164">
        <v>43</v>
      </c>
      <c r="Q1114" s="164">
        <v>1</v>
      </c>
      <c r="R1114" s="167" t="s">
        <v>1121</v>
      </c>
      <c r="S1114" s="167" t="s">
        <v>844</v>
      </c>
      <c r="T1114" s="162" t="s">
        <v>800</v>
      </c>
      <c r="U1114" s="167" t="s">
        <v>804</v>
      </c>
      <c r="X1114" s="169">
        <v>45723</v>
      </c>
      <c r="Y1114" s="170">
        <v>5</v>
      </c>
      <c r="Z1114" s="170">
        <v>0</v>
      </c>
      <c r="AA1114" s="170">
        <v>0</v>
      </c>
      <c r="AB1114" s="170">
        <v>0</v>
      </c>
      <c r="AC1114" s="171">
        <v>5</v>
      </c>
      <c r="AD1114" s="172">
        <v>4684927.9307700004</v>
      </c>
      <c r="AE1114" s="173">
        <v>5</v>
      </c>
      <c r="AF1114" s="174">
        <v>46357</v>
      </c>
    </row>
    <row r="1115" spans="1:32" ht="20" x14ac:dyDescent="0.35">
      <c r="A1115" s="162" t="s">
        <v>1120</v>
      </c>
      <c r="B1115" s="163" t="s">
        <v>972</v>
      </c>
      <c r="C1115" s="154"/>
      <c r="D1115" s="162" t="s">
        <v>468</v>
      </c>
      <c r="E1115" s="164" t="s">
        <v>468</v>
      </c>
      <c r="F1115" s="164" t="s">
        <v>972</v>
      </c>
      <c r="G1115" s="164" t="s">
        <v>1120</v>
      </c>
      <c r="H1115" s="165">
        <v>30476</v>
      </c>
      <c r="I1115" s="164" t="s">
        <v>20</v>
      </c>
      <c r="J1115" s="164" t="s">
        <v>68</v>
      </c>
      <c r="K1115" s="165">
        <v>45723</v>
      </c>
      <c r="L1115" s="166" t="s">
        <v>470</v>
      </c>
      <c r="M1115" s="154"/>
      <c r="N1115" s="154"/>
      <c r="O1115" s="164" t="s">
        <v>70</v>
      </c>
      <c r="P1115" s="164">
        <v>43</v>
      </c>
      <c r="Q1115" s="164">
        <v>1</v>
      </c>
      <c r="R1115" s="167" t="s">
        <v>1121</v>
      </c>
      <c r="S1115" s="167" t="s">
        <v>844</v>
      </c>
      <c r="T1115" s="162" t="s">
        <v>800</v>
      </c>
      <c r="U1115" s="167" t="s">
        <v>805</v>
      </c>
      <c r="X1115" s="169">
        <v>45723</v>
      </c>
      <c r="Y1115" s="170">
        <v>2.4999999966690001</v>
      </c>
      <c r="Z1115" s="170">
        <v>0.41666667000000002</v>
      </c>
      <c r="AA1115" s="170">
        <v>0</v>
      </c>
      <c r="AB1115" s="170">
        <v>0</v>
      </c>
      <c r="AC1115" s="171">
        <v>2.9166666666690002</v>
      </c>
      <c r="AD1115" s="172">
        <v>2732874.62628</v>
      </c>
      <c r="AE1115" s="173">
        <v>2.92</v>
      </c>
      <c r="AF1115" s="174">
        <v>46357</v>
      </c>
    </row>
    <row r="1116" spans="1:32" ht="20" x14ac:dyDescent="0.35">
      <c r="A1116" s="162" t="s">
        <v>1122</v>
      </c>
      <c r="B1116" s="163" t="s">
        <v>1123</v>
      </c>
      <c r="C1116" s="154"/>
      <c r="D1116" s="162" t="s">
        <v>471</v>
      </c>
      <c r="E1116" s="164" t="s">
        <v>471</v>
      </c>
      <c r="F1116" s="164" t="s">
        <v>1123</v>
      </c>
      <c r="G1116" s="164" t="s">
        <v>1122</v>
      </c>
      <c r="H1116" s="165">
        <v>36151</v>
      </c>
      <c r="I1116" s="164" t="s">
        <v>48</v>
      </c>
      <c r="J1116" s="164" t="s">
        <v>68</v>
      </c>
      <c r="K1116" s="165">
        <v>45839</v>
      </c>
      <c r="L1116" s="166" t="s">
        <v>473</v>
      </c>
      <c r="M1116" s="154"/>
      <c r="N1116" s="154"/>
      <c r="O1116" s="164" t="s">
        <v>44</v>
      </c>
      <c r="P1116" s="164">
        <v>27</v>
      </c>
      <c r="Q1116" s="164">
        <v>1</v>
      </c>
      <c r="R1116" s="167" t="s">
        <v>1124</v>
      </c>
      <c r="S1116" s="167" t="s">
        <v>844</v>
      </c>
      <c r="T1116" s="162" t="s">
        <v>794</v>
      </c>
      <c r="U1116" s="167" t="s">
        <v>795</v>
      </c>
      <c r="V1116" s="162" t="s">
        <v>1049</v>
      </c>
      <c r="W1116" s="168">
        <v>1</v>
      </c>
      <c r="X1116" s="169">
        <v>45839</v>
      </c>
      <c r="Y1116" s="170">
        <v>21.999999999996</v>
      </c>
      <c r="Z1116" s="170">
        <v>1.8333333300000001</v>
      </c>
      <c r="AA1116" s="170">
        <v>0</v>
      </c>
      <c r="AB1116" s="170">
        <v>0</v>
      </c>
      <c r="AC1116" s="171">
        <v>23.833333329996002</v>
      </c>
      <c r="AD1116" s="172">
        <v>3076201.97456</v>
      </c>
      <c r="AE1116" s="173" t="s">
        <v>797</v>
      </c>
      <c r="AF1116" s="173"/>
    </row>
    <row r="1117" spans="1:32" ht="20" x14ac:dyDescent="0.35">
      <c r="A1117" s="162" t="s">
        <v>1122</v>
      </c>
      <c r="B1117" s="163" t="s">
        <v>1123</v>
      </c>
      <c r="C1117" s="154"/>
      <c r="D1117" s="162" t="s">
        <v>471</v>
      </c>
      <c r="E1117" s="164" t="s">
        <v>471</v>
      </c>
      <c r="F1117" s="164" t="s">
        <v>1123</v>
      </c>
      <c r="G1117" s="164" t="s">
        <v>1122</v>
      </c>
      <c r="H1117" s="165">
        <v>36151</v>
      </c>
      <c r="I1117" s="164" t="s">
        <v>48</v>
      </c>
      <c r="J1117" s="164" t="s">
        <v>68</v>
      </c>
      <c r="K1117" s="165">
        <v>45839</v>
      </c>
      <c r="L1117" s="166" t="s">
        <v>473</v>
      </c>
      <c r="M1117" s="154"/>
      <c r="N1117" s="154"/>
      <c r="O1117" s="164" t="s">
        <v>44</v>
      </c>
      <c r="P1117" s="164">
        <v>27</v>
      </c>
      <c r="Q1117" s="164">
        <v>1</v>
      </c>
      <c r="R1117" s="167" t="s">
        <v>1124</v>
      </c>
      <c r="S1117" s="167" t="s">
        <v>844</v>
      </c>
      <c r="T1117" s="162" t="s">
        <v>798</v>
      </c>
      <c r="U1117" s="167" t="s">
        <v>839</v>
      </c>
      <c r="X1117" s="169">
        <v>45839</v>
      </c>
      <c r="Y1117" s="170">
        <v>180</v>
      </c>
      <c r="Z1117" s="170">
        <v>0</v>
      </c>
      <c r="AA1117" s="170">
        <v>0</v>
      </c>
      <c r="AB1117" s="170">
        <v>0</v>
      </c>
      <c r="AC1117" s="171">
        <v>180</v>
      </c>
      <c r="AD1117" s="172">
        <v>23232854.076839998</v>
      </c>
      <c r="AE1117" s="173">
        <v>180</v>
      </c>
      <c r="AF1117" s="174">
        <v>46357</v>
      </c>
    </row>
    <row r="1118" spans="1:32" ht="20" x14ac:dyDescent="0.35">
      <c r="A1118" s="162" t="s">
        <v>1122</v>
      </c>
      <c r="B1118" s="163" t="s">
        <v>1123</v>
      </c>
      <c r="C1118" s="154"/>
      <c r="D1118" s="162" t="s">
        <v>471</v>
      </c>
      <c r="E1118" s="164" t="s">
        <v>471</v>
      </c>
      <c r="F1118" s="164" t="s">
        <v>1123</v>
      </c>
      <c r="G1118" s="164" t="s">
        <v>1122</v>
      </c>
      <c r="H1118" s="165">
        <v>36151</v>
      </c>
      <c r="I1118" s="164" t="s">
        <v>48</v>
      </c>
      <c r="J1118" s="164" t="s">
        <v>68</v>
      </c>
      <c r="K1118" s="165">
        <v>45839</v>
      </c>
      <c r="L1118" s="166" t="s">
        <v>473</v>
      </c>
      <c r="M1118" s="154"/>
      <c r="N1118" s="154"/>
      <c r="O1118" s="164" t="s">
        <v>44</v>
      </c>
      <c r="P1118" s="164">
        <v>27</v>
      </c>
      <c r="Q1118" s="164">
        <v>1</v>
      </c>
      <c r="R1118" s="167" t="s">
        <v>1124</v>
      </c>
      <c r="S1118" s="167" t="s">
        <v>844</v>
      </c>
      <c r="T1118" s="162" t="s">
        <v>800</v>
      </c>
      <c r="U1118" s="167" t="s">
        <v>801</v>
      </c>
      <c r="X1118" s="169">
        <v>45839</v>
      </c>
      <c r="Y1118" s="170">
        <v>26</v>
      </c>
      <c r="Z1118" s="170">
        <v>0</v>
      </c>
      <c r="AA1118" s="170">
        <v>0</v>
      </c>
      <c r="AB1118" s="170">
        <v>0</v>
      </c>
      <c r="AC1118" s="171">
        <v>26</v>
      </c>
      <c r="AD1118" s="172">
        <v>3355856.6999900001</v>
      </c>
      <c r="AE1118" s="173">
        <v>26</v>
      </c>
      <c r="AF1118" s="174">
        <v>46357</v>
      </c>
    </row>
    <row r="1119" spans="1:32" ht="20" x14ac:dyDescent="0.35">
      <c r="A1119" s="162" t="s">
        <v>1122</v>
      </c>
      <c r="B1119" s="163" t="s">
        <v>1123</v>
      </c>
      <c r="C1119" s="154"/>
      <c r="D1119" s="162" t="s">
        <v>471</v>
      </c>
      <c r="E1119" s="164" t="s">
        <v>471</v>
      </c>
      <c r="F1119" s="164" t="s">
        <v>1123</v>
      </c>
      <c r="G1119" s="164" t="s">
        <v>1122</v>
      </c>
      <c r="H1119" s="165">
        <v>36151</v>
      </c>
      <c r="I1119" s="164" t="s">
        <v>48</v>
      </c>
      <c r="J1119" s="164" t="s">
        <v>68</v>
      </c>
      <c r="K1119" s="165">
        <v>45839</v>
      </c>
      <c r="L1119" s="166" t="s">
        <v>473</v>
      </c>
      <c r="M1119" s="154"/>
      <c r="N1119" s="154"/>
      <c r="O1119" s="164" t="s">
        <v>44</v>
      </c>
      <c r="P1119" s="164">
        <v>27</v>
      </c>
      <c r="Q1119" s="164">
        <v>1</v>
      </c>
      <c r="R1119" s="167" t="s">
        <v>1124</v>
      </c>
      <c r="S1119" s="167" t="s">
        <v>844</v>
      </c>
      <c r="T1119" s="162" t="s">
        <v>800</v>
      </c>
      <c r="U1119" s="167" t="s">
        <v>802</v>
      </c>
      <c r="X1119" s="169">
        <v>45839</v>
      </c>
      <c r="Y1119" s="170">
        <v>98</v>
      </c>
      <c r="Z1119" s="170">
        <v>0</v>
      </c>
      <c r="AA1119" s="170">
        <v>0</v>
      </c>
      <c r="AB1119" s="170">
        <v>0</v>
      </c>
      <c r="AC1119" s="171">
        <v>98</v>
      </c>
      <c r="AD1119" s="172">
        <v>12648998.33072</v>
      </c>
      <c r="AE1119" s="173">
        <v>98</v>
      </c>
      <c r="AF1119" s="174">
        <v>46357</v>
      </c>
    </row>
    <row r="1120" spans="1:32" ht="20" x14ac:dyDescent="0.35">
      <c r="A1120" s="162" t="s">
        <v>1122</v>
      </c>
      <c r="B1120" s="163" t="s">
        <v>1123</v>
      </c>
      <c r="C1120" s="154"/>
      <c r="D1120" s="162" t="s">
        <v>471</v>
      </c>
      <c r="E1120" s="164" t="s">
        <v>471</v>
      </c>
      <c r="F1120" s="164" t="s">
        <v>1123</v>
      </c>
      <c r="G1120" s="164" t="s">
        <v>1122</v>
      </c>
      <c r="H1120" s="165">
        <v>36151</v>
      </c>
      <c r="I1120" s="164" t="s">
        <v>48</v>
      </c>
      <c r="J1120" s="164" t="s">
        <v>68</v>
      </c>
      <c r="K1120" s="165">
        <v>45839</v>
      </c>
      <c r="L1120" s="166" t="s">
        <v>473</v>
      </c>
      <c r="M1120" s="154"/>
      <c r="N1120" s="154"/>
      <c r="O1120" s="164" t="s">
        <v>44</v>
      </c>
      <c r="P1120" s="164">
        <v>27</v>
      </c>
      <c r="Q1120" s="164">
        <v>1</v>
      </c>
      <c r="R1120" s="167" t="s">
        <v>1124</v>
      </c>
      <c r="S1120" s="167" t="s">
        <v>844</v>
      </c>
      <c r="T1120" s="162" t="s">
        <v>800</v>
      </c>
      <c r="U1120" s="167" t="s">
        <v>803</v>
      </c>
      <c r="X1120" s="169">
        <v>45839</v>
      </c>
      <c r="Y1120" s="170">
        <v>2</v>
      </c>
      <c r="Z1120" s="170">
        <v>0</v>
      </c>
      <c r="AA1120" s="170">
        <v>0</v>
      </c>
      <c r="AB1120" s="170">
        <v>0</v>
      </c>
      <c r="AC1120" s="171">
        <v>2</v>
      </c>
      <c r="AD1120" s="172">
        <v>258142.82308</v>
      </c>
      <c r="AE1120" s="173">
        <v>2</v>
      </c>
      <c r="AF1120" s="174">
        <v>46357</v>
      </c>
    </row>
    <row r="1121" spans="1:32" ht="20" x14ac:dyDescent="0.35">
      <c r="A1121" s="162" t="s">
        <v>1122</v>
      </c>
      <c r="B1121" s="163" t="s">
        <v>1123</v>
      </c>
      <c r="C1121" s="154"/>
      <c r="D1121" s="162" t="s">
        <v>471</v>
      </c>
      <c r="E1121" s="164" t="s">
        <v>471</v>
      </c>
      <c r="F1121" s="164" t="s">
        <v>1123</v>
      </c>
      <c r="G1121" s="164" t="s">
        <v>1122</v>
      </c>
      <c r="H1121" s="165">
        <v>36151</v>
      </c>
      <c r="I1121" s="164" t="s">
        <v>48</v>
      </c>
      <c r="J1121" s="164" t="s">
        <v>68</v>
      </c>
      <c r="K1121" s="165">
        <v>45839</v>
      </c>
      <c r="L1121" s="166" t="s">
        <v>473</v>
      </c>
      <c r="M1121" s="154"/>
      <c r="N1121" s="154"/>
      <c r="O1121" s="164" t="s">
        <v>44</v>
      </c>
      <c r="P1121" s="164">
        <v>27</v>
      </c>
      <c r="Q1121" s="164">
        <v>1</v>
      </c>
      <c r="R1121" s="167" t="s">
        <v>1124</v>
      </c>
      <c r="S1121" s="167" t="s">
        <v>844</v>
      </c>
      <c r="T1121" s="162" t="s">
        <v>800</v>
      </c>
      <c r="U1121" s="167" t="s">
        <v>804</v>
      </c>
      <c r="X1121" s="169">
        <v>45839</v>
      </c>
      <c r="Y1121" s="170">
        <v>5</v>
      </c>
      <c r="Z1121" s="170">
        <v>0</v>
      </c>
      <c r="AA1121" s="170">
        <v>0</v>
      </c>
      <c r="AB1121" s="170">
        <v>0</v>
      </c>
      <c r="AC1121" s="171">
        <v>5</v>
      </c>
      <c r="AD1121" s="172">
        <v>645357.05769000005</v>
      </c>
      <c r="AE1121" s="173">
        <v>5</v>
      </c>
      <c r="AF1121" s="174">
        <v>46357</v>
      </c>
    </row>
    <row r="1122" spans="1:32" ht="20" x14ac:dyDescent="0.35">
      <c r="A1122" s="162" t="s">
        <v>1122</v>
      </c>
      <c r="B1122" s="163" t="s">
        <v>1123</v>
      </c>
      <c r="C1122" s="154"/>
      <c r="D1122" s="162" t="s">
        <v>471</v>
      </c>
      <c r="E1122" s="164" t="s">
        <v>471</v>
      </c>
      <c r="F1122" s="164" t="s">
        <v>1123</v>
      </c>
      <c r="G1122" s="164" t="s">
        <v>1122</v>
      </c>
      <c r="H1122" s="165">
        <v>36151</v>
      </c>
      <c r="I1122" s="164" t="s">
        <v>48</v>
      </c>
      <c r="J1122" s="164" t="s">
        <v>68</v>
      </c>
      <c r="K1122" s="165">
        <v>45839</v>
      </c>
      <c r="L1122" s="166" t="s">
        <v>473</v>
      </c>
      <c r="M1122" s="154"/>
      <c r="N1122" s="154"/>
      <c r="O1122" s="164" t="s">
        <v>44</v>
      </c>
      <c r="P1122" s="164">
        <v>27</v>
      </c>
      <c r="Q1122" s="164">
        <v>1</v>
      </c>
      <c r="R1122" s="167" t="s">
        <v>1124</v>
      </c>
      <c r="S1122" s="167" t="s">
        <v>844</v>
      </c>
      <c r="T1122" s="162" t="s">
        <v>800</v>
      </c>
      <c r="U1122" s="167" t="s">
        <v>840</v>
      </c>
      <c r="X1122" s="169">
        <v>45839</v>
      </c>
      <c r="Y1122" s="170">
        <v>2.4999999966690001</v>
      </c>
      <c r="Z1122" s="170">
        <v>0.41666667000000002</v>
      </c>
      <c r="AA1122" s="170">
        <v>0</v>
      </c>
      <c r="AB1122" s="170">
        <v>0</v>
      </c>
      <c r="AC1122" s="171">
        <v>2.9166666666690002</v>
      </c>
      <c r="AD1122" s="172">
        <v>376458.28365</v>
      </c>
      <c r="AE1122" s="173">
        <v>2.92</v>
      </c>
      <c r="AF1122" s="174">
        <v>46357</v>
      </c>
    </row>
    <row r="1123" spans="1:32" ht="20" x14ac:dyDescent="0.35">
      <c r="A1123" s="162" t="s">
        <v>1125</v>
      </c>
      <c r="B1123" s="163" t="s">
        <v>1046</v>
      </c>
      <c r="C1123" s="154"/>
      <c r="D1123" s="162" t="s">
        <v>474</v>
      </c>
      <c r="E1123" s="164" t="s">
        <v>474</v>
      </c>
      <c r="F1123" s="164" t="s">
        <v>1046</v>
      </c>
      <c r="G1123" s="164" t="s">
        <v>1125</v>
      </c>
      <c r="H1123" s="165">
        <v>30744</v>
      </c>
      <c r="I1123" s="164" t="s">
        <v>20</v>
      </c>
      <c r="J1123" s="164" t="s">
        <v>68</v>
      </c>
      <c r="K1123" s="165">
        <v>45847</v>
      </c>
      <c r="L1123" s="166" t="s">
        <v>476</v>
      </c>
      <c r="M1123" s="154"/>
      <c r="N1123" s="154"/>
      <c r="O1123" s="164" t="s">
        <v>23</v>
      </c>
      <c r="P1123" s="164">
        <v>42</v>
      </c>
      <c r="Q1123" s="164">
        <v>1</v>
      </c>
      <c r="R1123" s="167" t="s">
        <v>1009</v>
      </c>
      <c r="S1123" s="167" t="s">
        <v>844</v>
      </c>
      <c r="T1123" s="162" t="s">
        <v>794</v>
      </c>
      <c r="U1123" s="167" t="s">
        <v>833</v>
      </c>
      <c r="V1123" s="162" t="s">
        <v>828</v>
      </c>
      <c r="W1123" s="168">
        <v>1</v>
      </c>
      <c r="X1123" s="169">
        <v>45847</v>
      </c>
      <c r="Y1123" s="170">
        <v>23.483870970000002</v>
      </c>
      <c r="Z1123" s="170">
        <v>2</v>
      </c>
      <c r="AA1123" s="170">
        <v>0</v>
      </c>
      <c r="AB1123" s="170">
        <v>0</v>
      </c>
      <c r="AC1123" s="171">
        <v>25.483870970000002</v>
      </c>
      <c r="AD1123" s="172">
        <v>7748264.7398800002</v>
      </c>
      <c r="AE1123" s="173" t="s">
        <v>797</v>
      </c>
      <c r="AF1123" s="173"/>
    </row>
    <row r="1124" spans="1:32" ht="20" x14ac:dyDescent="0.35">
      <c r="A1124" s="162" t="s">
        <v>1125</v>
      </c>
      <c r="B1124" s="163" t="s">
        <v>1046</v>
      </c>
      <c r="C1124" s="154"/>
      <c r="D1124" s="162" t="s">
        <v>474</v>
      </c>
      <c r="E1124" s="164" t="s">
        <v>474</v>
      </c>
      <c r="F1124" s="164" t="s">
        <v>1046</v>
      </c>
      <c r="G1124" s="164" t="s">
        <v>1125</v>
      </c>
      <c r="H1124" s="165">
        <v>30744</v>
      </c>
      <c r="I1124" s="164" t="s">
        <v>20</v>
      </c>
      <c r="J1124" s="164" t="s">
        <v>68</v>
      </c>
      <c r="K1124" s="165">
        <v>45847</v>
      </c>
      <c r="L1124" s="166" t="s">
        <v>476</v>
      </c>
      <c r="M1124" s="154"/>
      <c r="N1124" s="154"/>
      <c r="O1124" s="164" t="s">
        <v>23</v>
      </c>
      <c r="P1124" s="164">
        <v>42</v>
      </c>
      <c r="Q1124" s="164">
        <v>1</v>
      </c>
      <c r="R1124" s="167" t="s">
        <v>1009</v>
      </c>
      <c r="S1124" s="167" t="s">
        <v>844</v>
      </c>
      <c r="T1124" s="162" t="s">
        <v>798</v>
      </c>
      <c r="U1124" s="167" t="s">
        <v>799</v>
      </c>
      <c r="X1124" s="169">
        <v>45847</v>
      </c>
      <c r="Y1124" s="170">
        <v>180</v>
      </c>
      <c r="Z1124" s="170">
        <v>0</v>
      </c>
      <c r="AA1124" s="170">
        <v>0</v>
      </c>
      <c r="AB1124" s="170">
        <v>0</v>
      </c>
      <c r="AC1124" s="171">
        <v>180</v>
      </c>
      <c r="AD1124" s="172">
        <v>54728249.67684</v>
      </c>
      <c r="AE1124" s="173">
        <v>180</v>
      </c>
      <c r="AF1124" s="174">
        <v>46357</v>
      </c>
    </row>
    <row r="1125" spans="1:32" ht="20" x14ac:dyDescent="0.35">
      <c r="A1125" s="162" t="s">
        <v>1125</v>
      </c>
      <c r="B1125" s="163" t="s">
        <v>1046</v>
      </c>
      <c r="C1125" s="154"/>
      <c r="D1125" s="162" t="s">
        <v>474</v>
      </c>
      <c r="E1125" s="164" t="s">
        <v>474</v>
      </c>
      <c r="F1125" s="164" t="s">
        <v>1046</v>
      </c>
      <c r="G1125" s="164" t="s">
        <v>1125</v>
      </c>
      <c r="H1125" s="165">
        <v>30744</v>
      </c>
      <c r="I1125" s="164" t="s">
        <v>20</v>
      </c>
      <c r="J1125" s="164" t="s">
        <v>68</v>
      </c>
      <c r="K1125" s="165">
        <v>45847</v>
      </c>
      <c r="L1125" s="166" t="s">
        <v>476</v>
      </c>
      <c r="M1125" s="154"/>
      <c r="N1125" s="154"/>
      <c r="O1125" s="164" t="s">
        <v>23</v>
      </c>
      <c r="P1125" s="164">
        <v>42</v>
      </c>
      <c r="Q1125" s="164">
        <v>1</v>
      </c>
      <c r="R1125" s="167" t="s">
        <v>1009</v>
      </c>
      <c r="S1125" s="167" t="s">
        <v>844</v>
      </c>
      <c r="T1125" s="162" t="s">
        <v>800</v>
      </c>
      <c r="U1125" s="167" t="s">
        <v>801</v>
      </c>
      <c r="X1125" s="169">
        <v>45847</v>
      </c>
      <c r="Y1125" s="170">
        <v>24</v>
      </c>
      <c r="Z1125" s="170">
        <v>0</v>
      </c>
      <c r="AA1125" s="170">
        <v>0</v>
      </c>
      <c r="AB1125" s="170">
        <v>0</v>
      </c>
      <c r="AC1125" s="171">
        <v>24</v>
      </c>
      <c r="AD1125" s="172">
        <v>7297099.9569100002</v>
      </c>
      <c r="AE1125" s="173">
        <v>24</v>
      </c>
      <c r="AF1125" s="174">
        <v>46357</v>
      </c>
    </row>
    <row r="1126" spans="1:32" ht="20" x14ac:dyDescent="0.35">
      <c r="A1126" s="162" t="s">
        <v>1125</v>
      </c>
      <c r="B1126" s="163" t="s">
        <v>1046</v>
      </c>
      <c r="C1126" s="154"/>
      <c r="D1126" s="162" t="s">
        <v>474</v>
      </c>
      <c r="E1126" s="164" t="s">
        <v>474</v>
      </c>
      <c r="F1126" s="164" t="s">
        <v>1046</v>
      </c>
      <c r="G1126" s="164" t="s">
        <v>1125</v>
      </c>
      <c r="H1126" s="165">
        <v>30744</v>
      </c>
      <c r="I1126" s="164" t="s">
        <v>20</v>
      </c>
      <c r="J1126" s="164" t="s">
        <v>68</v>
      </c>
      <c r="K1126" s="165">
        <v>45847</v>
      </c>
      <c r="L1126" s="166" t="s">
        <v>476</v>
      </c>
      <c r="M1126" s="154"/>
      <c r="N1126" s="154"/>
      <c r="O1126" s="164" t="s">
        <v>23</v>
      </c>
      <c r="P1126" s="164">
        <v>42</v>
      </c>
      <c r="Q1126" s="164">
        <v>1</v>
      </c>
      <c r="R1126" s="167" t="s">
        <v>1009</v>
      </c>
      <c r="S1126" s="167" t="s">
        <v>844</v>
      </c>
      <c r="T1126" s="162" t="s">
        <v>800</v>
      </c>
      <c r="U1126" s="167" t="s">
        <v>802</v>
      </c>
      <c r="X1126" s="169">
        <v>45847</v>
      </c>
      <c r="Y1126" s="170">
        <v>98</v>
      </c>
      <c r="Z1126" s="170">
        <v>0</v>
      </c>
      <c r="AA1126" s="170">
        <v>0</v>
      </c>
      <c r="AB1126" s="170">
        <v>0</v>
      </c>
      <c r="AC1126" s="171">
        <v>98</v>
      </c>
      <c r="AD1126" s="172">
        <v>29796491.49072</v>
      </c>
      <c r="AE1126" s="173">
        <v>98</v>
      </c>
      <c r="AF1126" s="174">
        <v>46357</v>
      </c>
    </row>
    <row r="1127" spans="1:32" ht="20" x14ac:dyDescent="0.35">
      <c r="A1127" s="162" t="s">
        <v>1125</v>
      </c>
      <c r="B1127" s="163" t="s">
        <v>1046</v>
      </c>
      <c r="C1127" s="154"/>
      <c r="D1127" s="162" t="s">
        <v>474</v>
      </c>
      <c r="E1127" s="164" t="s">
        <v>474</v>
      </c>
      <c r="F1127" s="164" t="s">
        <v>1046</v>
      </c>
      <c r="G1127" s="164" t="s">
        <v>1125</v>
      </c>
      <c r="H1127" s="165">
        <v>30744</v>
      </c>
      <c r="I1127" s="164" t="s">
        <v>20</v>
      </c>
      <c r="J1127" s="164" t="s">
        <v>68</v>
      </c>
      <c r="K1127" s="165">
        <v>45847</v>
      </c>
      <c r="L1127" s="166" t="s">
        <v>476</v>
      </c>
      <c r="M1127" s="154"/>
      <c r="N1127" s="154"/>
      <c r="O1127" s="164" t="s">
        <v>23</v>
      </c>
      <c r="P1127" s="164">
        <v>42</v>
      </c>
      <c r="Q1127" s="164">
        <v>1</v>
      </c>
      <c r="R1127" s="167" t="s">
        <v>1009</v>
      </c>
      <c r="S1127" s="167" t="s">
        <v>844</v>
      </c>
      <c r="T1127" s="162" t="s">
        <v>800</v>
      </c>
      <c r="U1127" s="167" t="s">
        <v>803</v>
      </c>
      <c r="X1127" s="169">
        <v>45847</v>
      </c>
      <c r="Y1127" s="170">
        <v>2</v>
      </c>
      <c r="Z1127" s="170">
        <v>0</v>
      </c>
      <c r="AA1127" s="170">
        <v>0</v>
      </c>
      <c r="AB1127" s="170">
        <v>0</v>
      </c>
      <c r="AC1127" s="171">
        <v>2</v>
      </c>
      <c r="AD1127" s="172">
        <v>608091.66307999997</v>
      </c>
      <c r="AE1127" s="173">
        <v>2</v>
      </c>
      <c r="AF1127" s="174">
        <v>46357</v>
      </c>
    </row>
    <row r="1128" spans="1:32" ht="20" x14ac:dyDescent="0.35">
      <c r="A1128" s="162" t="s">
        <v>1125</v>
      </c>
      <c r="B1128" s="163" t="s">
        <v>1046</v>
      </c>
      <c r="C1128" s="154"/>
      <c r="D1128" s="162" t="s">
        <v>474</v>
      </c>
      <c r="E1128" s="164" t="s">
        <v>474</v>
      </c>
      <c r="F1128" s="164" t="s">
        <v>1046</v>
      </c>
      <c r="G1128" s="164" t="s">
        <v>1125</v>
      </c>
      <c r="H1128" s="165">
        <v>30744</v>
      </c>
      <c r="I1128" s="164" t="s">
        <v>20</v>
      </c>
      <c r="J1128" s="164" t="s">
        <v>68</v>
      </c>
      <c r="K1128" s="165">
        <v>45847</v>
      </c>
      <c r="L1128" s="166" t="s">
        <v>476</v>
      </c>
      <c r="M1128" s="154"/>
      <c r="N1128" s="154"/>
      <c r="O1128" s="164" t="s">
        <v>23</v>
      </c>
      <c r="P1128" s="164">
        <v>42</v>
      </c>
      <c r="Q1128" s="164">
        <v>1</v>
      </c>
      <c r="R1128" s="167" t="s">
        <v>1009</v>
      </c>
      <c r="S1128" s="167" t="s">
        <v>844</v>
      </c>
      <c r="T1128" s="162" t="s">
        <v>800</v>
      </c>
      <c r="U1128" s="167" t="s">
        <v>804</v>
      </c>
      <c r="X1128" s="169">
        <v>45847</v>
      </c>
      <c r="Y1128" s="170">
        <v>5</v>
      </c>
      <c r="Z1128" s="170">
        <v>0</v>
      </c>
      <c r="AA1128" s="170">
        <v>0</v>
      </c>
      <c r="AB1128" s="170">
        <v>0</v>
      </c>
      <c r="AC1128" s="171">
        <v>5</v>
      </c>
      <c r="AD1128" s="172">
        <v>1520229.15769</v>
      </c>
      <c r="AE1128" s="173">
        <v>5</v>
      </c>
      <c r="AF1128" s="174">
        <v>46357</v>
      </c>
    </row>
    <row r="1129" spans="1:32" ht="20" x14ac:dyDescent="0.35">
      <c r="A1129" s="162" t="s">
        <v>1125</v>
      </c>
      <c r="B1129" s="163" t="s">
        <v>1046</v>
      </c>
      <c r="C1129" s="154"/>
      <c r="D1129" s="162" t="s">
        <v>474</v>
      </c>
      <c r="E1129" s="164" t="s">
        <v>474</v>
      </c>
      <c r="F1129" s="164" t="s">
        <v>1046</v>
      </c>
      <c r="G1129" s="164" t="s">
        <v>1125</v>
      </c>
      <c r="H1129" s="165">
        <v>30744</v>
      </c>
      <c r="I1129" s="164" t="s">
        <v>20</v>
      </c>
      <c r="J1129" s="164" t="s">
        <v>68</v>
      </c>
      <c r="K1129" s="165">
        <v>45847</v>
      </c>
      <c r="L1129" s="166" t="s">
        <v>476</v>
      </c>
      <c r="M1129" s="154"/>
      <c r="N1129" s="154"/>
      <c r="O1129" s="164" t="s">
        <v>23</v>
      </c>
      <c r="P1129" s="164">
        <v>42</v>
      </c>
      <c r="Q1129" s="164">
        <v>1</v>
      </c>
      <c r="R1129" s="167" t="s">
        <v>1009</v>
      </c>
      <c r="S1129" s="167" t="s">
        <v>844</v>
      </c>
      <c r="T1129" s="162" t="s">
        <v>800</v>
      </c>
      <c r="U1129" s="167" t="s">
        <v>805</v>
      </c>
      <c r="X1129" s="169">
        <v>45847</v>
      </c>
      <c r="Y1129" s="170">
        <v>2.4999999966690001</v>
      </c>
      <c r="Z1129" s="170">
        <v>0.41666667000000002</v>
      </c>
      <c r="AA1129" s="170">
        <v>0</v>
      </c>
      <c r="AB1129" s="170">
        <v>0</v>
      </c>
      <c r="AC1129" s="171">
        <v>2.9166666666690002</v>
      </c>
      <c r="AD1129" s="172">
        <v>886800.34198999999</v>
      </c>
      <c r="AE1129" s="173">
        <v>2.92</v>
      </c>
      <c r="AF1129" s="174">
        <v>46357</v>
      </c>
    </row>
    <row r="1130" spans="1:32" ht="20" x14ac:dyDescent="0.35">
      <c r="A1130" s="162" t="s">
        <v>1126</v>
      </c>
      <c r="B1130" s="163" t="s">
        <v>1127</v>
      </c>
      <c r="C1130" s="154"/>
      <c r="D1130" s="162" t="s">
        <v>477</v>
      </c>
      <c r="E1130" s="164" t="s">
        <v>477</v>
      </c>
      <c r="F1130" s="164" t="s">
        <v>1127</v>
      </c>
      <c r="G1130" s="164" t="s">
        <v>1126</v>
      </c>
      <c r="H1130" s="165">
        <v>32093</v>
      </c>
      <c r="I1130" s="164" t="s">
        <v>20</v>
      </c>
      <c r="J1130" s="164" t="s">
        <v>68</v>
      </c>
      <c r="K1130" s="165">
        <v>45901</v>
      </c>
      <c r="L1130" s="166" t="s">
        <v>160</v>
      </c>
      <c r="M1130" s="154"/>
      <c r="N1130" s="154"/>
      <c r="O1130" s="164" t="s">
        <v>161</v>
      </c>
      <c r="P1130" s="164">
        <v>38</v>
      </c>
      <c r="Q1130" s="164">
        <v>0</v>
      </c>
      <c r="R1130" s="167" t="s">
        <v>903</v>
      </c>
      <c r="S1130" s="167" t="s">
        <v>115</v>
      </c>
      <c r="T1130" s="162" t="s">
        <v>794</v>
      </c>
      <c r="U1130" s="167" t="s">
        <v>819</v>
      </c>
      <c r="V1130" s="162" t="s">
        <v>828</v>
      </c>
      <c r="W1130" s="168">
        <v>0</v>
      </c>
      <c r="X1130" s="169">
        <v>45901</v>
      </c>
      <c r="Y1130" s="170">
        <v>16.66666666667</v>
      </c>
      <c r="Z1130" s="170">
        <v>1.6666666699999999</v>
      </c>
      <c r="AA1130" s="170">
        <v>0</v>
      </c>
      <c r="AB1130" s="170">
        <v>0</v>
      </c>
      <c r="AC1130" s="171">
        <v>18.333333336670002</v>
      </c>
      <c r="AD1130" s="172">
        <v>1625010.67977</v>
      </c>
      <c r="AE1130" s="173" t="s">
        <v>797</v>
      </c>
      <c r="AF1130" s="173"/>
    </row>
    <row r="1131" spans="1:32" ht="20" x14ac:dyDescent="0.35">
      <c r="A1131" s="162" t="s">
        <v>1126</v>
      </c>
      <c r="B1131" s="163" t="s">
        <v>1127</v>
      </c>
      <c r="C1131" s="154"/>
      <c r="D1131" s="162" t="s">
        <v>477</v>
      </c>
      <c r="E1131" s="164" t="s">
        <v>477</v>
      </c>
      <c r="F1131" s="164" t="s">
        <v>1127</v>
      </c>
      <c r="G1131" s="164" t="s">
        <v>1126</v>
      </c>
      <c r="H1131" s="165">
        <v>32093</v>
      </c>
      <c r="I1131" s="164" t="s">
        <v>20</v>
      </c>
      <c r="J1131" s="164" t="s">
        <v>68</v>
      </c>
      <c r="K1131" s="165">
        <v>45901</v>
      </c>
      <c r="L1131" s="166" t="s">
        <v>160</v>
      </c>
      <c r="M1131" s="154"/>
      <c r="N1131" s="154"/>
      <c r="O1131" s="164" t="s">
        <v>161</v>
      </c>
      <c r="P1131" s="164">
        <v>38</v>
      </c>
      <c r="Q1131" s="164">
        <v>0</v>
      </c>
      <c r="R1131" s="167" t="s">
        <v>903</v>
      </c>
      <c r="S1131" s="167" t="s">
        <v>115</v>
      </c>
      <c r="T1131" s="162" t="s">
        <v>798</v>
      </c>
      <c r="U1131" s="167" t="s">
        <v>799</v>
      </c>
      <c r="X1131" s="169">
        <v>45901</v>
      </c>
      <c r="Y1131" s="170">
        <v>95</v>
      </c>
      <c r="Z1131" s="170">
        <v>0</v>
      </c>
      <c r="AA1131" s="170">
        <v>-26</v>
      </c>
      <c r="AB1131" s="170">
        <v>0</v>
      </c>
      <c r="AC1131" s="171">
        <v>69</v>
      </c>
      <c r="AD1131" s="172">
        <v>6115949.2845599996</v>
      </c>
      <c r="AE1131" s="173">
        <v>69</v>
      </c>
      <c r="AF1131" s="174">
        <v>46357</v>
      </c>
    </row>
    <row r="1132" spans="1:32" ht="20" x14ac:dyDescent="0.35">
      <c r="A1132" s="162" t="s">
        <v>1126</v>
      </c>
      <c r="B1132" s="163" t="s">
        <v>1127</v>
      </c>
      <c r="C1132" s="154"/>
      <c r="D1132" s="162" t="s">
        <v>477</v>
      </c>
      <c r="E1132" s="164" t="s">
        <v>477</v>
      </c>
      <c r="F1132" s="164" t="s">
        <v>1127</v>
      </c>
      <c r="G1132" s="164" t="s">
        <v>1126</v>
      </c>
      <c r="H1132" s="165">
        <v>32093</v>
      </c>
      <c r="I1132" s="164" t="s">
        <v>20</v>
      </c>
      <c r="J1132" s="164" t="s">
        <v>68</v>
      </c>
      <c r="K1132" s="165">
        <v>45901</v>
      </c>
      <c r="L1132" s="166" t="s">
        <v>160</v>
      </c>
      <c r="M1132" s="154"/>
      <c r="N1132" s="154"/>
      <c r="O1132" s="164" t="s">
        <v>161</v>
      </c>
      <c r="P1132" s="164">
        <v>38</v>
      </c>
      <c r="Q1132" s="164">
        <v>0</v>
      </c>
      <c r="R1132" s="167" t="s">
        <v>903</v>
      </c>
      <c r="S1132" s="167" t="s">
        <v>115</v>
      </c>
      <c r="T1132" s="162" t="s">
        <v>800</v>
      </c>
      <c r="U1132" s="167" t="s">
        <v>801</v>
      </c>
      <c r="X1132" s="169">
        <v>45901</v>
      </c>
      <c r="Y1132" s="170">
        <v>26</v>
      </c>
      <c r="Z1132" s="170">
        <v>0</v>
      </c>
      <c r="AA1132" s="170">
        <v>0</v>
      </c>
      <c r="AB1132" s="170">
        <v>0</v>
      </c>
      <c r="AC1132" s="171">
        <v>26</v>
      </c>
      <c r="AD1132" s="172">
        <v>2304560.5999799999</v>
      </c>
      <c r="AE1132" s="173">
        <v>26</v>
      </c>
      <c r="AF1132" s="174">
        <v>46357</v>
      </c>
    </row>
    <row r="1133" spans="1:32" ht="20" x14ac:dyDescent="0.35">
      <c r="A1133" s="162" t="s">
        <v>1126</v>
      </c>
      <c r="B1133" s="163" t="s">
        <v>1127</v>
      </c>
      <c r="C1133" s="154"/>
      <c r="D1133" s="162" t="s">
        <v>477</v>
      </c>
      <c r="E1133" s="164" t="s">
        <v>477</v>
      </c>
      <c r="F1133" s="164" t="s">
        <v>1127</v>
      </c>
      <c r="G1133" s="164" t="s">
        <v>1126</v>
      </c>
      <c r="H1133" s="165">
        <v>32093</v>
      </c>
      <c r="I1133" s="164" t="s">
        <v>20</v>
      </c>
      <c r="J1133" s="164" t="s">
        <v>68</v>
      </c>
      <c r="K1133" s="165">
        <v>45901</v>
      </c>
      <c r="L1133" s="166" t="s">
        <v>160</v>
      </c>
      <c r="M1133" s="154"/>
      <c r="N1133" s="154"/>
      <c r="O1133" s="164" t="s">
        <v>161</v>
      </c>
      <c r="P1133" s="164">
        <v>38</v>
      </c>
      <c r="Q1133" s="164">
        <v>0</v>
      </c>
      <c r="R1133" s="167" t="s">
        <v>903</v>
      </c>
      <c r="S1133" s="167" t="s">
        <v>115</v>
      </c>
      <c r="T1133" s="162" t="s">
        <v>800</v>
      </c>
      <c r="U1133" s="167" t="s">
        <v>802</v>
      </c>
      <c r="X1133" s="169">
        <v>45901</v>
      </c>
      <c r="Y1133" s="170">
        <v>98</v>
      </c>
      <c r="Z1133" s="170">
        <v>0</v>
      </c>
      <c r="AA1133" s="170">
        <v>0</v>
      </c>
      <c r="AB1133" s="170">
        <v>0</v>
      </c>
      <c r="AC1133" s="171">
        <v>98</v>
      </c>
      <c r="AD1133" s="172">
        <v>8686420.7229900006</v>
      </c>
      <c r="AE1133" s="173">
        <v>98</v>
      </c>
      <c r="AF1133" s="174">
        <v>46357</v>
      </c>
    </row>
    <row r="1134" spans="1:32" ht="20" x14ac:dyDescent="0.35">
      <c r="A1134" s="162" t="s">
        <v>1126</v>
      </c>
      <c r="B1134" s="163" t="s">
        <v>1127</v>
      </c>
      <c r="C1134" s="154"/>
      <c r="D1134" s="162" t="s">
        <v>477</v>
      </c>
      <c r="E1134" s="164" t="s">
        <v>477</v>
      </c>
      <c r="F1134" s="164" t="s">
        <v>1127</v>
      </c>
      <c r="G1134" s="164" t="s">
        <v>1126</v>
      </c>
      <c r="H1134" s="165">
        <v>32093</v>
      </c>
      <c r="I1134" s="164" t="s">
        <v>20</v>
      </c>
      <c r="J1134" s="164" t="s">
        <v>68</v>
      </c>
      <c r="K1134" s="165">
        <v>45901</v>
      </c>
      <c r="L1134" s="166" t="s">
        <v>160</v>
      </c>
      <c r="M1134" s="154"/>
      <c r="N1134" s="154"/>
      <c r="O1134" s="164" t="s">
        <v>161</v>
      </c>
      <c r="P1134" s="164">
        <v>38</v>
      </c>
      <c r="Q1134" s="164">
        <v>0</v>
      </c>
      <c r="R1134" s="167" t="s">
        <v>903</v>
      </c>
      <c r="S1134" s="167" t="s">
        <v>115</v>
      </c>
      <c r="T1134" s="162" t="s">
        <v>800</v>
      </c>
      <c r="U1134" s="167" t="s">
        <v>803</v>
      </c>
      <c r="X1134" s="169">
        <v>45901</v>
      </c>
      <c r="Y1134" s="170">
        <v>2</v>
      </c>
      <c r="Z1134" s="170">
        <v>0</v>
      </c>
      <c r="AA1134" s="170">
        <v>0</v>
      </c>
      <c r="AB1134" s="170">
        <v>0</v>
      </c>
      <c r="AC1134" s="171">
        <v>2</v>
      </c>
      <c r="AD1134" s="172">
        <v>177273.89231</v>
      </c>
      <c r="AE1134" s="173">
        <v>2</v>
      </c>
      <c r="AF1134" s="174">
        <v>46357</v>
      </c>
    </row>
    <row r="1135" spans="1:32" ht="20" x14ac:dyDescent="0.35">
      <c r="A1135" s="162" t="s">
        <v>1126</v>
      </c>
      <c r="B1135" s="163" t="s">
        <v>1127</v>
      </c>
      <c r="C1135" s="154"/>
      <c r="D1135" s="162" t="s">
        <v>477</v>
      </c>
      <c r="E1135" s="164" t="s">
        <v>477</v>
      </c>
      <c r="F1135" s="164" t="s">
        <v>1127</v>
      </c>
      <c r="G1135" s="164" t="s">
        <v>1126</v>
      </c>
      <c r="H1135" s="165">
        <v>32093</v>
      </c>
      <c r="I1135" s="164" t="s">
        <v>20</v>
      </c>
      <c r="J1135" s="164" t="s">
        <v>68</v>
      </c>
      <c r="K1135" s="165">
        <v>45901</v>
      </c>
      <c r="L1135" s="166" t="s">
        <v>160</v>
      </c>
      <c r="M1135" s="154"/>
      <c r="N1135" s="154"/>
      <c r="O1135" s="164" t="s">
        <v>161</v>
      </c>
      <c r="P1135" s="164">
        <v>38</v>
      </c>
      <c r="Q1135" s="164">
        <v>0</v>
      </c>
      <c r="R1135" s="167" t="s">
        <v>903</v>
      </c>
      <c r="S1135" s="167" t="s">
        <v>115</v>
      </c>
      <c r="T1135" s="162" t="s">
        <v>800</v>
      </c>
      <c r="U1135" s="167" t="s">
        <v>804</v>
      </c>
      <c r="X1135" s="169">
        <v>45901</v>
      </c>
      <c r="Y1135" s="170">
        <v>5</v>
      </c>
      <c r="Z1135" s="170">
        <v>0</v>
      </c>
      <c r="AA1135" s="170">
        <v>0</v>
      </c>
      <c r="AB1135" s="170">
        <v>0</v>
      </c>
      <c r="AC1135" s="171">
        <v>5</v>
      </c>
      <c r="AD1135" s="172">
        <v>443184.73076000001</v>
      </c>
      <c r="AE1135" s="173">
        <v>5</v>
      </c>
      <c r="AF1135" s="174">
        <v>46357</v>
      </c>
    </row>
    <row r="1136" spans="1:32" ht="20" x14ac:dyDescent="0.35">
      <c r="A1136" s="162" t="s">
        <v>1126</v>
      </c>
      <c r="B1136" s="163" t="s">
        <v>1127</v>
      </c>
      <c r="C1136" s="154"/>
      <c r="D1136" s="162" t="s">
        <v>477</v>
      </c>
      <c r="E1136" s="164" t="s">
        <v>477</v>
      </c>
      <c r="F1136" s="164" t="s">
        <v>1127</v>
      </c>
      <c r="G1136" s="164" t="s">
        <v>1126</v>
      </c>
      <c r="H1136" s="165">
        <v>32093</v>
      </c>
      <c r="I1136" s="164" t="s">
        <v>20</v>
      </c>
      <c r="J1136" s="164" t="s">
        <v>68</v>
      </c>
      <c r="K1136" s="165">
        <v>45901</v>
      </c>
      <c r="L1136" s="166" t="s">
        <v>160</v>
      </c>
      <c r="M1136" s="154"/>
      <c r="N1136" s="154"/>
      <c r="O1136" s="164" t="s">
        <v>161</v>
      </c>
      <c r="P1136" s="164">
        <v>38</v>
      </c>
      <c r="Q1136" s="164">
        <v>0</v>
      </c>
      <c r="R1136" s="167" t="s">
        <v>903</v>
      </c>
      <c r="S1136" s="167" t="s">
        <v>115</v>
      </c>
      <c r="T1136" s="162" t="s">
        <v>800</v>
      </c>
      <c r="U1136" s="167" t="s">
        <v>805</v>
      </c>
      <c r="X1136" s="169">
        <v>45901</v>
      </c>
      <c r="Y1136" s="170">
        <v>2.4999999966690001</v>
      </c>
      <c r="Z1136" s="170">
        <v>0.41666667000000002</v>
      </c>
      <c r="AA1136" s="170">
        <v>0</v>
      </c>
      <c r="AB1136" s="170">
        <v>0</v>
      </c>
      <c r="AC1136" s="171">
        <v>2.9166666666690002</v>
      </c>
      <c r="AD1136" s="172">
        <v>258524.42628000001</v>
      </c>
      <c r="AE1136" s="173">
        <v>2.92</v>
      </c>
      <c r="AF1136" s="174">
        <v>46357</v>
      </c>
    </row>
    <row r="1137" spans="1:32" ht="20" x14ac:dyDescent="0.35">
      <c r="A1137" s="162" t="s">
        <v>1128</v>
      </c>
      <c r="B1137" s="163" t="s">
        <v>1129</v>
      </c>
      <c r="C1137" s="154"/>
      <c r="D1137" s="162" t="s">
        <v>479</v>
      </c>
      <c r="E1137" s="164" t="s">
        <v>479</v>
      </c>
      <c r="F1137" s="164" t="s">
        <v>1129</v>
      </c>
      <c r="G1137" s="164" t="s">
        <v>1128</v>
      </c>
      <c r="H1137" s="165">
        <v>27986</v>
      </c>
      <c r="I1137" s="164" t="s">
        <v>48</v>
      </c>
      <c r="J1137" s="164" t="s">
        <v>82</v>
      </c>
      <c r="K1137" s="165">
        <v>45931</v>
      </c>
      <c r="L1137" s="166" t="s">
        <v>481</v>
      </c>
      <c r="M1137" s="154"/>
      <c r="N1137" s="154"/>
      <c r="O1137" s="164" t="s">
        <v>23</v>
      </c>
      <c r="P1137" s="164">
        <v>49</v>
      </c>
      <c r="Q1137" s="164">
        <v>0</v>
      </c>
      <c r="R1137" s="167" t="s">
        <v>864</v>
      </c>
      <c r="S1137" s="167" t="s">
        <v>832</v>
      </c>
      <c r="T1137" s="162" t="s">
        <v>794</v>
      </c>
      <c r="U1137" s="167" t="s">
        <v>833</v>
      </c>
      <c r="V1137" s="162" t="s">
        <v>828</v>
      </c>
      <c r="W1137" s="168">
        <v>0</v>
      </c>
      <c r="X1137" s="169">
        <v>45931</v>
      </c>
      <c r="Y1137" s="170">
        <v>18</v>
      </c>
      <c r="Z1137" s="170">
        <v>2</v>
      </c>
      <c r="AA1137" s="170">
        <v>0</v>
      </c>
      <c r="AB1137" s="170">
        <v>0</v>
      </c>
      <c r="AC1137" s="171">
        <v>20</v>
      </c>
      <c r="AD1137" s="172">
        <v>5940659.7230599998</v>
      </c>
      <c r="AE1137" s="173" t="s">
        <v>797</v>
      </c>
      <c r="AF1137" s="173"/>
    </row>
    <row r="1138" spans="1:32" ht="20" x14ac:dyDescent="0.35">
      <c r="A1138" s="162" t="s">
        <v>1128</v>
      </c>
      <c r="B1138" s="163" t="s">
        <v>1129</v>
      </c>
      <c r="C1138" s="154"/>
      <c r="D1138" s="162" t="s">
        <v>479</v>
      </c>
      <c r="E1138" s="164" t="s">
        <v>479</v>
      </c>
      <c r="F1138" s="164" t="s">
        <v>1129</v>
      </c>
      <c r="G1138" s="164" t="s">
        <v>1128</v>
      </c>
      <c r="H1138" s="165">
        <v>27986</v>
      </c>
      <c r="I1138" s="164" t="s">
        <v>48</v>
      </c>
      <c r="J1138" s="164" t="s">
        <v>82</v>
      </c>
      <c r="K1138" s="165">
        <v>45931</v>
      </c>
      <c r="L1138" s="166" t="s">
        <v>481</v>
      </c>
      <c r="M1138" s="154"/>
      <c r="N1138" s="154"/>
      <c r="O1138" s="164" t="s">
        <v>23</v>
      </c>
      <c r="P1138" s="164">
        <v>49</v>
      </c>
      <c r="Q1138" s="164">
        <v>0</v>
      </c>
      <c r="R1138" s="167" t="s">
        <v>864</v>
      </c>
      <c r="S1138" s="167" t="s">
        <v>832</v>
      </c>
      <c r="T1138" s="162" t="s">
        <v>798</v>
      </c>
      <c r="U1138" s="167" t="s">
        <v>799</v>
      </c>
      <c r="X1138" s="169">
        <v>45931</v>
      </c>
      <c r="Y1138" s="170">
        <v>180</v>
      </c>
      <c r="Z1138" s="170">
        <v>0</v>
      </c>
      <c r="AA1138" s="170">
        <v>0</v>
      </c>
      <c r="AB1138" s="170">
        <v>0</v>
      </c>
      <c r="AC1138" s="171">
        <v>180</v>
      </c>
      <c r="AD1138" s="172">
        <v>53465937.507540002</v>
      </c>
      <c r="AE1138" s="173">
        <v>180</v>
      </c>
      <c r="AF1138" s="174">
        <v>46357</v>
      </c>
    </row>
    <row r="1139" spans="1:32" ht="20" x14ac:dyDescent="0.35">
      <c r="A1139" s="162" t="s">
        <v>1128</v>
      </c>
      <c r="B1139" s="163" t="s">
        <v>1129</v>
      </c>
      <c r="C1139" s="154"/>
      <c r="D1139" s="162" t="s">
        <v>479</v>
      </c>
      <c r="E1139" s="164" t="s">
        <v>479</v>
      </c>
      <c r="F1139" s="164" t="s">
        <v>1129</v>
      </c>
      <c r="G1139" s="164" t="s">
        <v>1128</v>
      </c>
      <c r="H1139" s="165">
        <v>27986</v>
      </c>
      <c r="I1139" s="164" t="s">
        <v>48</v>
      </c>
      <c r="J1139" s="164" t="s">
        <v>82</v>
      </c>
      <c r="K1139" s="165">
        <v>45931</v>
      </c>
      <c r="L1139" s="166" t="s">
        <v>481</v>
      </c>
      <c r="M1139" s="154"/>
      <c r="N1139" s="154"/>
      <c r="O1139" s="164" t="s">
        <v>23</v>
      </c>
      <c r="P1139" s="164">
        <v>49</v>
      </c>
      <c r="Q1139" s="164">
        <v>0</v>
      </c>
      <c r="R1139" s="167" t="s">
        <v>864</v>
      </c>
      <c r="S1139" s="167" t="s">
        <v>832</v>
      </c>
      <c r="T1139" s="162" t="s">
        <v>800</v>
      </c>
      <c r="U1139" s="167" t="s">
        <v>801</v>
      </c>
      <c r="X1139" s="169">
        <v>45931</v>
      </c>
      <c r="Y1139" s="170">
        <v>26</v>
      </c>
      <c r="Z1139" s="170">
        <v>0</v>
      </c>
      <c r="AA1139" s="170">
        <v>0</v>
      </c>
      <c r="AB1139" s="170">
        <v>0</v>
      </c>
      <c r="AC1139" s="171">
        <v>26</v>
      </c>
      <c r="AD1139" s="172">
        <v>7722857.6399800004</v>
      </c>
      <c r="AE1139" s="173">
        <v>26</v>
      </c>
      <c r="AF1139" s="174">
        <v>46357</v>
      </c>
    </row>
    <row r="1140" spans="1:32" ht="20" x14ac:dyDescent="0.35">
      <c r="A1140" s="162" t="s">
        <v>1128</v>
      </c>
      <c r="B1140" s="163" t="s">
        <v>1129</v>
      </c>
      <c r="C1140" s="154"/>
      <c r="D1140" s="162" t="s">
        <v>479</v>
      </c>
      <c r="E1140" s="164" t="s">
        <v>479</v>
      </c>
      <c r="F1140" s="164" t="s">
        <v>1129</v>
      </c>
      <c r="G1140" s="164" t="s">
        <v>1128</v>
      </c>
      <c r="H1140" s="165">
        <v>27986</v>
      </c>
      <c r="I1140" s="164" t="s">
        <v>48</v>
      </c>
      <c r="J1140" s="164" t="s">
        <v>82</v>
      </c>
      <c r="K1140" s="165">
        <v>45931</v>
      </c>
      <c r="L1140" s="166" t="s">
        <v>481</v>
      </c>
      <c r="M1140" s="154"/>
      <c r="N1140" s="154"/>
      <c r="O1140" s="164" t="s">
        <v>23</v>
      </c>
      <c r="P1140" s="164">
        <v>49</v>
      </c>
      <c r="Q1140" s="164">
        <v>0</v>
      </c>
      <c r="R1140" s="167" t="s">
        <v>864</v>
      </c>
      <c r="S1140" s="167" t="s">
        <v>832</v>
      </c>
      <c r="T1140" s="162" t="s">
        <v>800</v>
      </c>
      <c r="U1140" s="167" t="s">
        <v>802</v>
      </c>
      <c r="X1140" s="169">
        <v>45931</v>
      </c>
      <c r="Y1140" s="170">
        <v>98</v>
      </c>
      <c r="Z1140" s="170">
        <v>0</v>
      </c>
      <c r="AA1140" s="170">
        <v>0</v>
      </c>
      <c r="AB1140" s="170">
        <v>0</v>
      </c>
      <c r="AC1140" s="171">
        <v>98</v>
      </c>
      <c r="AD1140" s="172">
        <v>29109232.642990001</v>
      </c>
      <c r="AE1140" s="173">
        <v>98</v>
      </c>
      <c r="AF1140" s="174">
        <v>46357</v>
      </c>
    </row>
    <row r="1141" spans="1:32" ht="20" x14ac:dyDescent="0.35">
      <c r="A1141" s="162" t="s">
        <v>1128</v>
      </c>
      <c r="B1141" s="163" t="s">
        <v>1129</v>
      </c>
      <c r="C1141" s="154"/>
      <c r="D1141" s="162" t="s">
        <v>479</v>
      </c>
      <c r="E1141" s="164" t="s">
        <v>479</v>
      </c>
      <c r="F1141" s="164" t="s">
        <v>1129</v>
      </c>
      <c r="G1141" s="164" t="s">
        <v>1128</v>
      </c>
      <c r="H1141" s="165">
        <v>27986</v>
      </c>
      <c r="I1141" s="164" t="s">
        <v>48</v>
      </c>
      <c r="J1141" s="164" t="s">
        <v>82</v>
      </c>
      <c r="K1141" s="165">
        <v>45931</v>
      </c>
      <c r="L1141" s="166" t="s">
        <v>481</v>
      </c>
      <c r="M1141" s="154"/>
      <c r="N1141" s="154"/>
      <c r="O1141" s="164" t="s">
        <v>23</v>
      </c>
      <c r="P1141" s="164">
        <v>49</v>
      </c>
      <c r="Q1141" s="164">
        <v>0</v>
      </c>
      <c r="R1141" s="167" t="s">
        <v>864</v>
      </c>
      <c r="S1141" s="167" t="s">
        <v>832</v>
      </c>
      <c r="T1141" s="162" t="s">
        <v>800</v>
      </c>
      <c r="U1141" s="167" t="s">
        <v>803</v>
      </c>
      <c r="X1141" s="169">
        <v>45931</v>
      </c>
      <c r="Y1141" s="170">
        <v>2</v>
      </c>
      <c r="Z1141" s="170">
        <v>0</v>
      </c>
      <c r="AA1141" s="170">
        <v>0</v>
      </c>
      <c r="AB1141" s="170">
        <v>0</v>
      </c>
      <c r="AC1141" s="171">
        <v>2</v>
      </c>
      <c r="AD1141" s="172">
        <v>594065.97230999998</v>
      </c>
      <c r="AE1141" s="173">
        <v>2</v>
      </c>
      <c r="AF1141" s="174">
        <v>46357</v>
      </c>
    </row>
    <row r="1142" spans="1:32" ht="20" x14ac:dyDescent="0.35">
      <c r="A1142" s="162" t="s">
        <v>1128</v>
      </c>
      <c r="B1142" s="163" t="s">
        <v>1129</v>
      </c>
      <c r="C1142" s="154"/>
      <c r="D1142" s="162" t="s">
        <v>479</v>
      </c>
      <c r="E1142" s="164" t="s">
        <v>479</v>
      </c>
      <c r="F1142" s="164" t="s">
        <v>1129</v>
      </c>
      <c r="G1142" s="164" t="s">
        <v>1128</v>
      </c>
      <c r="H1142" s="165">
        <v>27986</v>
      </c>
      <c r="I1142" s="164" t="s">
        <v>48</v>
      </c>
      <c r="J1142" s="164" t="s">
        <v>82</v>
      </c>
      <c r="K1142" s="165">
        <v>45931</v>
      </c>
      <c r="L1142" s="166" t="s">
        <v>481</v>
      </c>
      <c r="M1142" s="154"/>
      <c r="N1142" s="154"/>
      <c r="O1142" s="164" t="s">
        <v>23</v>
      </c>
      <c r="P1142" s="164">
        <v>49</v>
      </c>
      <c r="Q1142" s="164">
        <v>0</v>
      </c>
      <c r="R1142" s="167" t="s">
        <v>864</v>
      </c>
      <c r="S1142" s="167" t="s">
        <v>832</v>
      </c>
      <c r="T1142" s="162" t="s">
        <v>800</v>
      </c>
      <c r="U1142" s="167" t="s">
        <v>804</v>
      </c>
      <c r="X1142" s="169">
        <v>45931</v>
      </c>
      <c r="Y1142" s="170">
        <v>5</v>
      </c>
      <c r="Z1142" s="170">
        <v>0</v>
      </c>
      <c r="AA1142" s="170">
        <v>0</v>
      </c>
      <c r="AB1142" s="170">
        <v>0</v>
      </c>
      <c r="AC1142" s="171">
        <v>5</v>
      </c>
      <c r="AD1142" s="172">
        <v>1485164.9307599999</v>
      </c>
      <c r="AE1142" s="173">
        <v>5</v>
      </c>
      <c r="AF1142" s="174">
        <v>46357</v>
      </c>
    </row>
    <row r="1143" spans="1:32" ht="20" x14ac:dyDescent="0.35">
      <c r="A1143" s="162" t="s">
        <v>1128</v>
      </c>
      <c r="B1143" s="163" t="s">
        <v>1129</v>
      </c>
      <c r="C1143" s="154"/>
      <c r="D1143" s="162" t="s">
        <v>479</v>
      </c>
      <c r="E1143" s="164" t="s">
        <v>479</v>
      </c>
      <c r="F1143" s="164" t="s">
        <v>1129</v>
      </c>
      <c r="G1143" s="164" t="s">
        <v>1128</v>
      </c>
      <c r="H1143" s="165">
        <v>27986</v>
      </c>
      <c r="I1143" s="164" t="s">
        <v>48</v>
      </c>
      <c r="J1143" s="164" t="s">
        <v>82</v>
      </c>
      <c r="K1143" s="165">
        <v>45931</v>
      </c>
      <c r="L1143" s="166" t="s">
        <v>481</v>
      </c>
      <c r="M1143" s="154"/>
      <c r="N1143" s="154"/>
      <c r="O1143" s="164" t="s">
        <v>23</v>
      </c>
      <c r="P1143" s="164">
        <v>49</v>
      </c>
      <c r="Q1143" s="164">
        <v>0</v>
      </c>
      <c r="R1143" s="167" t="s">
        <v>864</v>
      </c>
      <c r="S1143" s="167" t="s">
        <v>832</v>
      </c>
      <c r="T1143" s="162" t="s">
        <v>800</v>
      </c>
      <c r="U1143" s="167" t="s">
        <v>805</v>
      </c>
      <c r="X1143" s="169">
        <v>45931</v>
      </c>
      <c r="Y1143" s="170">
        <v>2.4999999966690001</v>
      </c>
      <c r="Z1143" s="170">
        <v>0.41666667000000002</v>
      </c>
      <c r="AA1143" s="170">
        <v>0</v>
      </c>
      <c r="AB1143" s="170">
        <v>0</v>
      </c>
      <c r="AC1143" s="171">
        <v>2.9166666666690002</v>
      </c>
      <c r="AD1143" s="172">
        <v>866346.20961000002</v>
      </c>
      <c r="AE1143" s="173">
        <v>2.92</v>
      </c>
      <c r="AF1143" s="174">
        <v>46357</v>
      </c>
    </row>
    <row r="1144" spans="1:32" ht="20" x14ac:dyDescent="0.35">
      <c r="A1144" s="162" t="s">
        <v>1130</v>
      </c>
      <c r="B1144" s="163" t="s">
        <v>1131</v>
      </c>
      <c r="C1144" s="154"/>
      <c r="D1144" s="162" t="s">
        <v>482</v>
      </c>
      <c r="E1144" s="164" t="s">
        <v>482</v>
      </c>
      <c r="F1144" s="164" t="s">
        <v>1131</v>
      </c>
      <c r="G1144" s="164" t="s">
        <v>1130</v>
      </c>
      <c r="H1144" s="165">
        <v>34417</v>
      </c>
      <c r="I1144" s="164" t="s">
        <v>20</v>
      </c>
      <c r="J1144" s="164" t="s">
        <v>68</v>
      </c>
      <c r="K1144" s="165">
        <v>45971</v>
      </c>
      <c r="L1144" s="166" t="s">
        <v>484</v>
      </c>
      <c r="M1144" s="154"/>
      <c r="N1144" s="154"/>
      <c r="O1144" s="164" t="s">
        <v>295</v>
      </c>
      <c r="P1144" s="164">
        <v>32</v>
      </c>
      <c r="Q1144" s="164">
        <v>0</v>
      </c>
      <c r="R1144" s="167" t="s">
        <v>1132</v>
      </c>
      <c r="S1144" s="167" t="s">
        <v>848</v>
      </c>
      <c r="T1144" s="162" t="s">
        <v>794</v>
      </c>
      <c r="U1144" s="167" t="s">
        <v>833</v>
      </c>
      <c r="V1144" s="162" t="s">
        <v>828</v>
      </c>
      <c r="W1144" s="168">
        <v>0</v>
      </c>
      <c r="X1144" s="169">
        <v>45971</v>
      </c>
      <c r="Y1144" s="170">
        <v>13.4</v>
      </c>
      <c r="Z1144" s="170">
        <v>2</v>
      </c>
      <c r="AA1144" s="170">
        <v>0</v>
      </c>
      <c r="AB1144" s="170">
        <v>0</v>
      </c>
      <c r="AC1144" s="171">
        <v>15.4</v>
      </c>
      <c r="AD1144" s="172">
        <v>15651090.229909999</v>
      </c>
      <c r="AE1144" s="173" t="s">
        <v>797</v>
      </c>
      <c r="AF1144" s="173"/>
    </row>
    <row r="1145" spans="1:32" ht="20" x14ac:dyDescent="0.35">
      <c r="A1145" s="162" t="s">
        <v>1130</v>
      </c>
      <c r="B1145" s="163" t="s">
        <v>1131</v>
      </c>
      <c r="C1145" s="154"/>
      <c r="D1145" s="162" t="s">
        <v>482</v>
      </c>
      <c r="E1145" s="164" t="s">
        <v>482</v>
      </c>
      <c r="F1145" s="164" t="s">
        <v>1131</v>
      </c>
      <c r="G1145" s="164" t="s">
        <v>1130</v>
      </c>
      <c r="H1145" s="165">
        <v>34417</v>
      </c>
      <c r="I1145" s="164" t="s">
        <v>20</v>
      </c>
      <c r="J1145" s="164" t="s">
        <v>68</v>
      </c>
      <c r="K1145" s="165">
        <v>45971</v>
      </c>
      <c r="L1145" s="166" t="s">
        <v>484</v>
      </c>
      <c r="M1145" s="154"/>
      <c r="N1145" s="154"/>
      <c r="O1145" s="164" t="s">
        <v>295</v>
      </c>
      <c r="P1145" s="164">
        <v>32</v>
      </c>
      <c r="Q1145" s="164">
        <v>0</v>
      </c>
      <c r="R1145" s="167" t="s">
        <v>1132</v>
      </c>
      <c r="S1145" s="167" t="s">
        <v>848</v>
      </c>
      <c r="T1145" s="162" t="s">
        <v>798</v>
      </c>
      <c r="U1145" s="167" t="s">
        <v>799</v>
      </c>
      <c r="X1145" s="169">
        <v>45971</v>
      </c>
      <c r="Y1145" s="170">
        <v>179</v>
      </c>
      <c r="Z1145" s="170">
        <v>0</v>
      </c>
      <c r="AA1145" s="170">
        <v>0</v>
      </c>
      <c r="AB1145" s="170">
        <v>0</v>
      </c>
      <c r="AC1145" s="171">
        <v>179</v>
      </c>
      <c r="AD1145" s="172">
        <v>181918516.30873999</v>
      </c>
      <c r="AE1145" s="173">
        <v>179</v>
      </c>
      <c r="AF1145" s="174">
        <v>46357</v>
      </c>
    </row>
    <row r="1146" spans="1:32" ht="20" x14ac:dyDescent="0.35">
      <c r="A1146" s="162" t="s">
        <v>1130</v>
      </c>
      <c r="B1146" s="163" t="s">
        <v>1131</v>
      </c>
      <c r="C1146" s="154"/>
      <c r="D1146" s="162" t="s">
        <v>482</v>
      </c>
      <c r="E1146" s="164" t="s">
        <v>482</v>
      </c>
      <c r="F1146" s="164" t="s">
        <v>1131</v>
      </c>
      <c r="G1146" s="164" t="s">
        <v>1130</v>
      </c>
      <c r="H1146" s="165">
        <v>34417</v>
      </c>
      <c r="I1146" s="164" t="s">
        <v>20</v>
      </c>
      <c r="J1146" s="164" t="s">
        <v>68</v>
      </c>
      <c r="K1146" s="165">
        <v>45971</v>
      </c>
      <c r="L1146" s="166" t="s">
        <v>484</v>
      </c>
      <c r="M1146" s="154"/>
      <c r="N1146" s="154"/>
      <c r="O1146" s="164" t="s">
        <v>295</v>
      </c>
      <c r="P1146" s="164">
        <v>32</v>
      </c>
      <c r="Q1146" s="164">
        <v>0</v>
      </c>
      <c r="R1146" s="167" t="s">
        <v>1132</v>
      </c>
      <c r="S1146" s="167" t="s">
        <v>848</v>
      </c>
      <c r="T1146" s="162" t="s">
        <v>800</v>
      </c>
      <c r="U1146" s="167" t="s">
        <v>801</v>
      </c>
      <c r="X1146" s="169">
        <v>45971</v>
      </c>
      <c r="Y1146" s="170">
        <v>25</v>
      </c>
      <c r="Z1146" s="170">
        <v>0</v>
      </c>
      <c r="AA1146" s="170">
        <v>0</v>
      </c>
      <c r="AB1146" s="170">
        <v>0</v>
      </c>
      <c r="AC1146" s="171">
        <v>25</v>
      </c>
      <c r="AD1146" s="172">
        <v>25407614.009599999</v>
      </c>
      <c r="AE1146" s="173">
        <v>25</v>
      </c>
      <c r="AF1146" s="174">
        <v>46357</v>
      </c>
    </row>
    <row r="1147" spans="1:32" ht="20" x14ac:dyDescent="0.35">
      <c r="A1147" s="162" t="s">
        <v>1130</v>
      </c>
      <c r="B1147" s="163" t="s">
        <v>1131</v>
      </c>
      <c r="C1147" s="154"/>
      <c r="D1147" s="162" t="s">
        <v>482</v>
      </c>
      <c r="E1147" s="164" t="s">
        <v>482</v>
      </c>
      <c r="F1147" s="164" t="s">
        <v>1131</v>
      </c>
      <c r="G1147" s="164" t="s">
        <v>1130</v>
      </c>
      <c r="H1147" s="165">
        <v>34417</v>
      </c>
      <c r="I1147" s="164" t="s">
        <v>20</v>
      </c>
      <c r="J1147" s="164" t="s">
        <v>68</v>
      </c>
      <c r="K1147" s="165">
        <v>45971</v>
      </c>
      <c r="L1147" s="166" t="s">
        <v>484</v>
      </c>
      <c r="M1147" s="154"/>
      <c r="N1147" s="154"/>
      <c r="O1147" s="164" t="s">
        <v>295</v>
      </c>
      <c r="P1147" s="164">
        <v>32</v>
      </c>
      <c r="Q1147" s="164">
        <v>0</v>
      </c>
      <c r="R1147" s="167" t="s">
        <v>1132</v>
      </c>
      <c r="S1147" s="167" t="s">
        <v>848</v>
      </c>
      <c r="T1147" s="162" t="s">
        <v>800</v>
      </c>
      <c r="U1147" s="167" t="s">
        <v>802</v>
      </c>
      <c r="X1147" s="169">
        <v>45971</v>
      </c>
      <c r="Y1147" s="170">
        <v>98</v>
      </c>
      <c r="Z1147" s="170">
        <v>0</v>
      </c>
      <c r="AA1147" s="170">
        <v>0</v>
      </c>
      <c r="AB1147" s="170">
        <v>0</v>
      </c>
      <c r="AC1147" s="171">
        <v>98</v>
      </c>
      <c r="AD1147" s="172">
        <v>99597846.917630002</v>
      </c>
      <c r="AE1147" s="173">
        <v>98</v>
      </c>
      <c r="AF1147" s="174">
        <v>46357</v>
      </c>
    </row>
    <row r="1148" spans="1:32" ht="20" x14ac:dyDescent="0.35">
      <c r="A1148" s="162" t="s">
        <v>1130</v>
      </c>
      <c r="B1148" s="163" t="s">
        <v>1131</v>
      </c>
      <c r="C1148" s="154"/>
      <c r="D1148" s="162" t="s">
        <v>482</v>
      </c>
      <c r="E1148" s="164" t="s">
        <v>482</v>
      </c>
      <c r="F1148" s="164" t="s">
        <v>1131</v>
      </c>
      <c r="G1148" s="164" t="s">
        <v>1130</v>
      </c>
      <c r="H1148" s="165">
        <v>34417</v>
      </c>
      <c r="I1148" s="164" t="s">
        <v>20</v>
      </c>
      <c r="J1148" s="164" t="s">
        <v>68</v>
      </c>
      <c r="K1148" s="165">
        <v>45971</v>
      </c>
      <c r="L1148" s="166" t="s">
        <v>484</v>
      </c>
      <c r="M1148" s="154"/>
      <c r="N1148" s="154"/>
      <c r="O1148" s="164" t="s">
        <v>295</v>
      </c>
      <c r="P1148" s="164">
        <v>32</v>
      </c>
      <c r="Q1148" s="164">
        <v>0</v>
      </c>
      <c r="R1148" s="167" t="s">
        <v>1132</v>
      </c>
      <c r="S1148" s="167" t="s">
        <v>848</v>
      </c>
      <c r="T1148" s="162" t="s">
        <v>800</v>
      </c>
      <c r="U1148" s="167" t="s">
        <v>803</v>
      </c>
      <c r="X1148" s="169">
        <v>45971</v>
      </c>
      <c r="Y1148" s="170">
        <v>2</v>
      </c>
      <c r="Z1148" s="170">
        <v>0</v>
      </c>
      <c r="AA1148" s="170">
        <v>0</v>
      </c>
      <c r="AB1148" s="170">
        <v>0</v>
      </c>
      <c r="AC1148" s="171">
        <v>2</v>
      </c>
      <c r="AD1148" s="172">
        <v>2032609.1207699999</v>
      </c>
      <c r="AE1148" s="173">
        <v>2</v>
      </c>
      <c r="AF1148" s="174">
        <v>46357</v>
      </c>
    </row>
    <row r="1149" spans="1:32" ht="20" x14ac:dyDescent="0.35">
      <c r="A1149" s="162" t="s">
        <v>1130</v>
      </c>
      <c r="B1149" s="163" t="s">
        <v>1131</v>
      </c>
      <c r="C1149" s="154"/>
      <c r="D1149" s="162" t="s">
        <v>482</v>
      </c>
      <c r="E1149" s="164" t="s">
        <v>482</v>
      </c>
      <c r="F1149" s="164" t="s">
        <v>1131</v>
      </c>
      <c r="G1149" s="164" t="s">
        <v>1130</v>
      </c>
      <c r="H1149" s="165">
        <v>34417</v>
      </c>
      <c r="I1149" s="164" t="s">
        <v>20</v>
      </c>
      <c r="J1149" s="164" t="s">
        <v>68</v>
      </c>
      <c r="K1149" s="165">
        <v>45971</v>
      </c>
      <c r="L1149" s="166" t="s">
        <v>484</v>
      </c>
      <c r="M1149" s="154"/>
      <c r="N1149" s="154"/>
      <c r="O1149" s="164" t="s">
        <v>295</v>
      </c>
      <c r="P1149" s="164">
        <v>32</v>
      </c>
      <c r="Q1149" s="164">
        <v>0</v>
      </c>
      <c r="R1149" s="167" t="s">
        <v>1132</v>
      </c>
      <c r="S1149" s="167" t="s">
        <v>848</v>
      </c>
      <c r="T1149" s="162" t="s">
        <v>800</v>
      </c>
      <c r="U1149" s="167" t="s">
        <v>804</v>
      </c>
      <c r="X1149" s="169">
        <v>45971</v>
      </c>
      <c r="Y1149" s="170">
        <v>3</v>
      </c>
      <c r="Z1149" s="170">
        <v>0</v>
      </c>
      <c r="AA1149" s="170">
        <v>0</v>
      </c>
      <c r="AB1149" s="170">
        <v>0</v>
      </c>
      <c r="AC1149" s="171">
        <v>3</v>
      </c>
      <c r="AD1149" s="172">
        <v>3048913.6811500001</v>
      </c>
      <c r="AE1149" s="173">
        <v>3</v>
      </c>
      <c r="AF1149" s="174">
        <v>46357</v>
      </c>
    </row>
    <row r="1150" spans="1:32" ht="20" x14ac:dyDescent="0.35">
      <c r="A1150" s="162" t="s">
        <v>1130</v>
      </c>
      <c r="B1150" s="163" t="s">
        <v>1131</v>
      </c>
      <c r="C1150" s="154"/>
      <c r="D1150" s="162" t="s">
        <v>482</v>
      </c>
      <c r="E1150" s="164" t="s">
        <v>482</v>
      </c>
      <c r="F1150" s="164" t="s">
        <v>1131</v>
      </c>
      <c r="G1150" s="164" t="s">
        <v>1130</v>
      </c>
      <c r="H1150" s="165">
        <v>34417</v>
      </c>
      <c r="I1150" s="164" t="s">
        <v>20</v>
      </c>
      <c r="J1150" s="164" t="s">
        <v>68</v>
      </c>
      <c r="K1150" s="165">
        <v>45971</v>
      </c>
      <c r="L1150" s="166" t="s">
        <v>484</v>
      </c>
      <c r="M1150" s="154"/>
      <c r="N1150" s="154"/>
      <c r="O1150" s="164" t="s">
        <v>295</v>
      </c>
      <c r="P1150" s="164">
        <v>32</v>
      </c>
      <c r="Q1150" s="164">
        <v>0</v>
      </c>
      <c r="R1150" s="167" t="s">
        <v>1132</v>
      </c>
      <c r="S1150" s="167" t="s">
        <v>848</v>
      </c>
      <c r="T1150" s="162" t="s">
        <v>800</v>
      </c>
      <c r="U1150" s="167" t="s">
        <v>805</v>
      </c>
      <c r="X1150" s="169">
        <v>45971</v>
      </c>
      <c r="Y1150" s="170">
        <v>2.4999999966690001</v>
      </c>
      <c r="Z1150" s="170">
        <v>0.41666667000000002</v>
      </c>
      <c r="AA1150" s="170">
        <v>0</v>
      </c>
      <c r="AB1150" s="170">
        <v>0</v>
      </c>
      <c r="AC1150" s="171">
        <v>2.9166666666690002</v>
      </c>
      <c r="AD1150" s="172">
        <v>2964221.6344599999</v>
      </c>
      <c r="AE1150" s="173">
        <v>2.92</v>
      </c>
      <c r="AF1150" s="174">
        <v>46357</v>
      </c>
    </row>
    <row r="1151" spans="1:32" ht="30" x14ac:dyDescent="0.35">
      <c r="A1151" s="162" t="s">
        <v>1133</v>
      </c>
      <c r="B1151" s="163" t="s">
        <v>1134</v>
      </c>
      <c r="C1151" s="154"/>
      <c r="D1151" s="162" t="s">
        <v>485</v>
      </c>
      <c r="E1151" s="164" t="s">
        <v>485</v>
      </c>
      <c r="F1151" s="164" t="s">
        <v>1134</v>
      </c>
      <c r="G1151" s="164" t="s">
        <v>1133</v>
      </c>
      <c r="H1151" s="165">
        <v>28839</v>
      </c>
      <c r="I1151" s="164" t="s">
        <v>20</v>
      </c>
      <c r="J1151" s="164" t="s">
        <v>68</v>
      </c>
      <c r="K1151" s="165">
        <v>45964</v>
      </c>
      <c r="L1151" s="166" t="s">
        <v>487</v>
      </c>
      <c r="M1151" s="154"/>
      <c r="N1151" s="154"/>
      <c r="O1151" s="164" t="s">
        <v>23</v>
      </c>
      <c r="P1151" s="164">
        <v>47</v>
      </c>
      <c r="Q1151" s="164">
        <v>0</v>
      </c>
      <c r="R1151" s="167" t="s">
        <v>931</v>
      </c>
      <c r="S1151" s="167" t="s">
        <v>848</v>
      </c>
      <c r="T1151" s="162" t="s">
        <v>794</v>
      </c>
      <c r="U1151" s="167" t="s">
        <v>833</v>
      </c>
      <c r="V1151" s="162" t="s">
        <v>828</v>
      </c>
      <c r="W1151" s="168">
        <v>0</v>
      </c>
      <c r="X1151" s="169">
        <v>45964</v>
      </c>
      <c r="Y1151" s="170">
        <v>15.866666670000001</v>
      </c>
      <c r="Z1151" s="170">
        <v>2</v>
      </c>
      <c r="AA1151" s="170">
        <v>0</v>
      </c>
      <c r="AB1151" s="170">
        <v>0</v>
      </c>
      <c r="AC1151" s="171">
        <v>17.866666670000001</v>
      </c>
      <c r="AD1151" s="172">
        <v>8216564.3524900004</v>
      </c>
      <c r="AE1151" s="173" t="s">
        <v>797</v>
      </c>
      <c r="AF1151" s="173"/>
    </row>
    <row r="1152" spans="1:32" ht="30" x14ac:dyDescent="0.35">
      <c r="A1152" s="162" t="s">
        <v>1133</v>
      </c>
      <c r="B1152" s="163" t="s">
        <v>1134</v>
      </c>
      <c r="C1152" s="154"/>
      <c r="D1152" s="162" t="s">
        <v>485</v>
      </c>
      <c r="E1152" s="164" t="s">
        <v>485</v>
      </c>
      <c r="F1152" s="164" t="s">
        <v>1134</v>
      </c>
      <c r="G1152" s="164" t="s">
        <v>1133</v>
      </c>
      <c r="H1152" s="165">
        <v>28839</v>
      </c>
      <c r="I1152" s="164" t="s">
        <v>20</v>
      </c>
      <c r="J1152" s="164" t="s">
        <v>68</v>
      </c>
      <c r="K1152" s="165">
        <v>45964</v>
      </c>
      <c r="L1152" s="166" t="s">
        <v>487</v>
      </c>
      <c r="M1152" s="154"/>
      <c r="N1152" s="154"/>
      <c r="O1152" s="164" t="s">
        <v>23</v>
      </c>
      <c r="P1152" s="164">
        <v>47</v>
      </c>
      <c r="Q1152" s="164">
        <v>0</v>
      </c>
      <c r="R1152" s="167" t="s">
        <v>931</v>
      </c>
      <c r="S1152" s="167" t="s">
        <v>848</v>
      </c>
      <c r="T1152" s="162" t="s">
        <v>798</v>
      </c>
      <c r="U1152" s="167" t="s">
        <v>799</v>
      </c>
      <c r="X1152" s="169">
        <v>45964</v>
      </c>
      <c r="Y1152" s="170">
        <v>180</v>
      </c>
      <c r="Z1152" s="170">
        <v>0</v>
      </c>
      <c r="AA1152" s="170">
        <v>0</v>
      </c>
      <c r="AB1152" s="170">
        <v>0</v>
      </c>
      <c r="AC1152" s="171">
        <v>180</v>
      </c>
      <c r="AD1152" s="172">
        <v>82778819.953679994</v>
      </c>
      <c r="AE1152" s="173">
        <v>180</v>
      </c>
      <c r="AF1152" s="174">
        <v>46357</v>
      </c>
    </row>
    <row r="1153" spans="1:32" ht="30" x14ac:dyDescent="0.35">
      <c r="A1153" s="162" t="s">
        <v>1133</v>
      </c>
      <c r="B1153" s="163" t="s">
        <v>1134</v>
      </c>
      <c r="C1153" s="154"/>
      <c r="D1153" s="162" t="s">
        <v>485</v>
      </c>
      <c r="E1153" s="164" t="s">
        <v>485</v>
      </c>
      <c r="F1153" s="164" t="s">
        <v>1134</v>
      </c>
      <c r="G1153" s="164" t="s">
        <v>1133</v>
      </c>
      <c r="H1153" s="165">
        <v>28839</v>
      </c>
      <c r="I1153" s="164" t="s">
        <v>20</v>
      </c>
      <c r="J1153" s="164" t="s">
        <v>68</v>
      </c>
      <c r="K1153" s="165">
        <v>45964</v>
      </c>
      <c r="L1153" s="166" t="s">
        <v>487</v>
      </c>
      <c r="M1153" s="154"/>
      <c r="N1153" s="154"/>
      <c r="O1153" s="164" t="s">
        <v>23</v>
      </c>
      <c r="P1153" s="164">
        <v>47</v>
      </c>
      <c r="Q1153" s="164">
        <v>0</v>
      </c>
      <c r="R1153" s="167" t="s">
        <v>931</v>
      </c>
      <c r="S1153" s="167" t="s">
        <v>848</v>
      </c>
      <c r="T1153" s="162" t="s">
        <v>800</v>
      </c>
      <c r="U1153" s="167" t="s">
        <v>801</v>
      </c>
      <c r="X1153" s="169">
        <v>45964</v>
      </c>
      <c r="Y1153" s="170">
        <v>26</v>
      </c>
      <c r="Z1153" s="170">
        <v>0</v>
      </c>
      <c r="AA1153" s="170">
        <v>0</v>
      </c>
      <c r="AB1153" s="170">
        <v>0</v>
      </c>
      <c r="AC1153" s="171">
        <v>26</v>
      </c>
      <c r="AD1153" s="172">
        <v>11956940.659980001</v>
      </c>
      <c r="AE1153" s="173">
        <v>26</v>
      </c>
      <c r="AF1153" s="174">
        <v>46357</v>
      </c>
    </row>
    <row r="1154" spans="1:32" ht="30" x14ac:dyDescent="0.35">
      <c r="A1154" s="162" t="s">
        <v>1133</v>
      </c>
      <c r="B1154" s="163" t="s">
        <v>1134</v>
      </c>
      <c r="C1154" s="154"/>
      <c r="D1154" s="162" t="s">
        <v>485</v>
      </c>
      <c r="E1154" s="164" t="s">
        <v>485</v>
      </c>
      <c r="F1154" s="164" t="s">
        <v>1134</v>
      </c>
      <c r="G1154" s="164" t="s">
        <v>1133</v>
      </c>
      <c r="H1154" s="165">
        <v>28839</v>
      </c>
      <c r="I1154" s="164" t="s">
        <v>20</v>
      </c>
      <c r="J1154" s="164" t="s">
        <v>68</v>
      </c>
      <c r="K1154" s="165">
        <v>45964</v>
      </c>
      <c r="L1154" s="166" t="s">
        <v>487</v>
      </c>
      <c r="M1154" s="154"/>
      <c r="N1154" s="154"/>
      <c r="O1154" s="164" t="s">
        <v>23</v>
      </c>
      <c r="P1154" s="164">
        <v>47</v>
      </c>
      <c r="Q1154" s="164">
        <v>0</v>
      </c>
      <c r="R1154" s="167" t="s">
        <v>931</v>
      </c>
      <c r="S1154" s="167" t="s">
        <v>848</v>
      </c>
      <c r="T1154" s="162" t="s">
        <v>800</v>
      </c>
      <c r="U1154" s="167" t="s">
        <v>802</v>
      </c>
      <c r="X1154" s="169">
        <v>45964</v>
      </c>
      <c r="Y1154" s="170">
        <v>98</v>
      </c>
      <c r="Z1154" s="170">
        <v>0</v>
      </c>
      <c r="AA1154" s="170">
        <v>0</v>
      </c>
      <c r="AB1154" s="170">
        <v>0</v>
      </c>
      <c r="AC1154" s="171">
        <v>98</v>
      </c>
      <c r="AD1154" s="172">
        <v>45068468.641450003</v>
      </c>
      <c r="AE1154" s="173">
        <v>98</v>
      </c>
      <c r="AF1154" s="174">
        <v>46357</v>
      </c>
    </row>
    <row r="1155" spans="1:32" ht="30" x14ac:dyDescent="0.35">
      <c r="A1155" s="162" t="s">
        <v>1133</v>
      </c>
      <c r="B1155" s="163" t="s">
        <v>1134</v>
      </c>
      <c r="C1155" s="154"/>
      <c r="D1155" s="162" t="s">
        <v>485</v>
      </c>
      <c r="E1155" s="164" t="s">
        <v>485</v>
      </c>
      <c r="F1155" s="164" t="s">
        <v>1134</v>
      </c>
      <c r="G1155" s="164" t="s">
        <v>1133</v>
      </c>
      <c r="H1155" s="165">
        <v>28839</v>
      </c>
      <c r="I1155" s="164" t="s">
        <v>20</v>
      </c>
      <c r="J1155" s="164" t="s">
        <v>68</v>
      </c>
      <c r="K1155" s="165">
        <v>45964</v>
      </c>
      <c r="L1155" s="166" t="s">
        <v>487</v>
      </c>
      <c r="M1155" s="154"/>
      <c r="N1155" s="154"/>
      <c r="O1155" s="164" t="s">
        <v>23</v>
      </c>
      <c r="P1155" s="164">
        <v>47</v>
      </c>
      <c r="Q1155" s="164">
        <v>0</v>
      </c>
      <c r="R1155" s="167" t="s">
        <v>931</v>
      </c>
      <c r="S1155" s="167" t="s">
        <v>848</v>
      </c>
      <c r="T1155" s="162" t="s">
        <v>800</v>
      </c>
      <c r="U1155" s="167" t="s">
        <v>803</v>
      </c>
      <c r="X1155" s="169">
        <v>45964</v>
      </c>
      <c r="Y1155" s="170">
        <v>2</v>
      </c>
      <c r="Z1155" s="170">
        <v>0</v>
      </c>
      <c r="AA1155" s="170">
        <v>0</v>
      </c>
      <c r="AB1155" s="170">
        <v>0</v>
      </c>
      <c r="AC1155" s="171">
        <v>2</v>
      </c>
      <c r="AD1155" s="172">
        <v>919764.66614999995</v>
      </c>
      <c r="AE1155" s="173">
        <v>2</v>
      </c>
      <c r="AF1155" s="174">
        <v>46357</v>
      </c>
    </row>
    <row r="1156" spans="1:32" ht="30" x14ac:dyDescent="0.35">
      <c r="A1156" s="162" t="s">
        <v>1133</v>
      </c>
      <c r="B1156" s="163" t="s">
        <v>1134</v>
      </c>
      <c r="C1156" s="154"/>
      <c r="D1156" s="162" t="s">
        <v>485</v>
      </c>
      <c r="E1156" s="164" t="s">
        <v>485</v>
      </c>
      <c r="F1156" s="164" t="s">
        <v>1134</v>
      </c>
      <c r="G1156" s="164" t="s">
        <v>1133</v>
      </c>
      <c r="H1156" s="165">
        <v>28839</v>
      </c>
      <c r="I1156" s="164" t="s">
        <v>20</v>
      </c>
      <c r="J1156" s="164" t="s">
        <v>68</v>
      </c>
      <c r="K1156" s="165">
        <v>45964</v>
      </c>
      <c r="L1156" s="166" t="s">
        <v>487</v>
      </c>
      <c r="M1156" s="154"/>
      <c r="N1156" s="154"/>
      <c r="O1156" s="164" t="s">
        <v>23</v>
      </c>
      <c r="P1156" s="164">
        <v>47</v>
      </c>
      <c r="Q1156" s="164">
        <v>0</v>
      </c>
      <c r="R1156" s="167" t="s">
        <v>931</v>
      </c>
      <c r="S1156" s="167" t="s">
        <v>848</v>
      </c>
      <c r="T1156" s="162" t="s">
        <v>800</v>
      </c>
      <c r="U1156" s="167" t="s">
        <v>804</v>
      </c>
      <c r="X1156" s="169">
        <v>45964</v>
      </c>
      <c r="Y1156" s="170">
        <v>5</v>
      </c>
      <c r="Z1156" s="170">
        <v>0</v>
      </c>
      <c r="AA1156" s="170">
        <v>0</v>
      </c>
      <c r="AB1156" s="170">
        <v>0</v>
      </c>
      <c r="AC1156" s="171">
        <v>5</v>
      </c>
      <c r="AD1156" s="172">
        <v>2299411.6653800001</v>
      </c>
      <c r="AE1156" s="173">
        <v>5</v>
      </c>
      <c r="AF1156" s="174">
        <v>46357</v>
      </c>
    </row>
    <row r="1157" spans="1:32" ht="30" x14ac:dyDescent="0.35">
      <c r="A1157" s="162" t="s">
        <v>1133</v>
      </c>
      <c r="B1157" s="163" t="s">
        <v>1134</v>
      </c>
      <c r="C1157" s="154"/>
      <c r="D1157" s="162" t="s">
        <v>485</v>
      </c>
      <c r="E1157" s="164" t="s">
        <v>485</v>
      </c>
      <c r="F1157" s="164" t="s">
        <v>1134</v>
      </c>
      <c r="G1157" s="164" t="s">
        <v>1133</v>
      </c>
      <c r="H1157" s="165">
        <v>28839</v>
      </c>
      <c r="I1157" s="164" t="s">
        <v>20</v>
      </c>
      <c r="J1157" s="164" t="s">
        <v>68</v>
      </c>
      <c r="K1157" s="165">
        <v>45964</v>
      </c>
      <c r="L1157" s="166" t="s">
        <v>487</v>
      </c>
      <c r="M1157" s="154"/>
      <c r="N1157" s="154"/>
      <c r="O1157" s="164" t="s">
        <v>23</v>
      </c>
      <c r="P1157" s="164">
        <v>47</v>
      </c>
      <c r="Q1157" s="164">
        <v>0</v>
      </c>
      <c r="R1157" s="167" t="s">
        <v>931</v>
      </c>
      <c r="S1157" s="167" t="s">
        <v>848</v>
      </c>
      <c r="T1157" s="162" t="s">
        <v>800</v>
      </c>
      <c r="U1157" s="167" t="s">
        <v>805</v>
      </c>
      <c r="X1157" s="169">
        <v>45964</v>
      </c>
      <c r="Y1157" s="170">
        <v>2.4999999966690001</v>
      </c>
      <c r="Z1157" s="170">
        <v>0.41666667000000002</v>
      </c>
      <c r="AA1157" s="170">
        <v>0</v>
      </c>
      <c r="AB1157" s="170">
        <v>0</v>
      </c>
      <c r="AC1157" s="171">
        <v>2.9166666666690002</v>
      </c>
      <c r="AD1157" s="172">
        <v>1341323.47147</v>
      </c>
      <c r="AE1157" s="173">
        <v>2.92</v>
      </c>
      <c r="AF1157" s="174">
        <v>46357</v>
      </c>
    </row>
    <row r="1158" spans="1:32" ht="20" x14ac:dyDescent="0.35">
      <c r="A1158" s="162" t="s">
        <v>1135</v>
      </c>
      <c r="B1158" s="163" t="s">
        <v>1091</v>
      </c>
      <c r="C1158" s="154"/>
      <c r="D1158" s="162" t="s">
        <v>489</v>
      </c>
      <c r="E1158" s="164" t="s">
        <v>489</v>
      </c>
      <c r="F1158" s="164" t="s">
        <v>1091</v>
      </c>
      <c r="G1158" s="164" t="s">
        <v>1135</v>
      </c>
      <c r="H1158" s="165">
        <v>30494</v>
      </c>
      <c r="I1158" s="164" t="s">
        <v>48</v>
      </c>
      <c r="J1158" s="164" t="s">
        <v>68</v>
      </c>
      <c r="K1158" s="165">
        <v>45992</v>
      </c>
      <c r="L1158" s="166" t="s">
        <v>491</v>
      </c>
      <c r="M1158" s="154"/>
      <c r="N1158" s="154"/>
      <c r="O1158" s="164" t="s">
        <v>65</v>
      </c>
      <c r="P1158" s="164">
        <v>43</v>
      </c>
      <c r="Q1158" s="164">
        <v>0</v>
      </c>
      <c r="R1158" s="167" t="s">
        <v>831</v>
      </c>
      <c r="S1158" s="167" t="s">
        <v>832</v>
      </c>
      <c r="T1158" s="162" t="s">
        <v>794</v>
      </c>
      <c r="U1158" s="167" t="s">
        <v>795</v>
      </c>
      <c r="V1158" s="162" t="s">
        <v>1049</v>
      </c>
      <c r="W1158" s="168">
        <v>0</v>
      </c>
      <c r="X1158" s="169">
        <v>45992</v>
      </c>
      <c r="Y1158" s="170">
        <v>6.8333333333309998</v>
      </c>
      <c r="Z1158" s="170">
        <v>1.8333333300000001</v>
      </c>
      <c r="AA1158" s="170">
        <v>-8</v>
      </c>
      <c r="AB1158" s="170">
        <v>0</v>
      </c>
      <c r="AC1158" s="171">
        <v>0.666666663331</v>
      </c>
      <c r="AD1158" s="172">
        <v>103555.09333</v>
      </c>
      <c r="AE1158" s="173" t="s">
        <v>797</v>
      </c>
      <c r="AF1158" s="173"/>
    </row>
    <row r="1159" spans="1:32" ht="20" x14ac:dyDescent="0.35">
      <c r="A1159" s="162" t="s">
        <v>1135</v>
      </c>
      <c r="B1159" s="163" t="s">
        <v>1091</v>
      </c>
      <c r="C1159" s="154"/>
      <c r="D1159" s="162" t="s">
        <v>489</v>
      </c>
      <c r="E1159" s="164" t="s">
        <v>489</v>
      </c>
      <c r="F1159" s="164" t="s">
        <v>1091</v>
      </c>
      <c r="G1159" s="164" t="s">
        <v>1135</v>
      </c>
      <c r="H1159" s="165">
        <v>30494</v>
      </c>
      <c r="I1159" s="164" t="s">
        <v>48</v>
      </c>
      <c r="J1159" s="164" t="s">
        <v>68</v>
      </c>
      <c r="K1159" s="165">
        <v>45992</v>
      </c>
      <c r="L1159" s="166" t="s">
        <v>491</v>
      </c>
      <c r="M1159" s="154"/>
      <c r="N1159" s="154"/>
      <c r="O1159" s="164" t="s">
        <v>65</v>
      </c>
      <c r="P1159" s="164">
        <v>43</v>
      </c>
      <c r="Q1159" s="164">
        <v>0</v>
      </c>
      <c r="R1159" s="167" t="s">
        <v>831</v>
      </c>
      <c r="S1159" s="167" t="s">
        <v>832</v>
      </c>
      <c r="T1159" s="162" t="s">
        <v>798</v>
      </c>
      <c r="U1159" s="167" t="s">
        <v>839</v>
      </c>
      <c r="X1159" s="169">
        <v>45992</v>
      </c>
      <c r="Y1159" s="170">
        <v>180</v>
      </c>
      <c r="Z1159" s="170">
        <v>0</v>
      </c>
      <c r="AA1159" s="170">
        <v>-5</v>
      </c>
      <c r="AB1159" s="170">
        <v>0</v>
      </c>
      <c r="AC1159" s="171">
        <v>175</v>
      </c>
      <c r="AD1159" s="172">
        <v>27183212.134569999</v>
      </c>
      <c r="AE1159" s="173">
        <v>175</v>
      </c>
      <c r="AF1159" s="174">
        <v>46357</v>
      </c>
    </row>
    <row r="1160" spans="1:32" ht="20" x14ac:dyDescent="0.35">
      <c r="A1160" s="162" t="s">
        <v>1135</v>
      </c>
      <c r="B1160" s="163" t="s">
        <v>1091</v>
      </c>
      <c r="C1160" s="154"/>
      <c r="D1160" s="162" t="s">
        <v>489</v>
      </c>
      <c r="E1160" s="164" t="s">
        <v>489</v>
      </c>
      <c r="F1160" s="164" t="s">
        <v>1091</v>
      </c>
      <c r="G1160" s="164" t="s">
        <v>1135</v>
      </c>
      <c r="H1160" s="165">
        <v>30494</v>
      </c>
      <c r="I1160" s="164" t="s">
        <v>48</v>
      </c>
      <c r="J1160" s="164" t="s">
        <v>68</v>
      </c>
      <c r="K1160" s="165">
        <v>45992</v>
      </c>
      <c r="L1160" s="166" t="s">
        <v>491</v>
      </c>
      <c r="M1160" s="154"/>
      <c r="N1160" s="154"/>
      <c r="O1160" s="164" t="s">
        <v>65</v>
      </c>
      <c r="P1160" s="164">
        <v>43</v>
      </c>
      <c r="Q1160" s="164">
        <v>0</v>
      </c>
      <c r="R1160" s="167" t="s">
        <v>831</v>
      </c>
      <c r="S1160" s="167" t="s">
        <v>832</v>
      </c>
      <c r="T1160" s="162" t="s">
        <v>800</v>
      </c>
      <c r="U1160" s="167" t="s">
        <v>801</v>
      </c>
      <c r="X1160" s="169">
        <v>45992</v>
      </c>
      <c r="Y1160" s="170">
        <v>26</v>
      </c>
      <c r="Z1160" s="170">
        <v>0</v>
      </c>
      <c r="AA1160" s="170">
        <v>0</v>
      </c>
      <c r="AB1160" s="170">
        <v>0</v>
      </c>
      <c r="AC1160" s="171">
        <v>26</v>
      </c>
      <c r="AD1160" s="172">
        <v>4038648.6599900001</v>
      </c>
      <c r="AE1160" s="173">
        <v>26</v>
      </c>
      <c r="AF1160" s="174">
        <v>46357</v>
      </c>
    </row>
    <row r="1161" spans="1:32" ht="20" x14ac:dyDescent="0.35">
      <c r="A1161" s="162" t="s">
        <v>1135</v>
      </c>
      <c r="B1161" s="163" t="s">
        <v>1091</v>
      </c>
      <c r="C1161" s="154"/>
      <c r="D1161" s="162" t="s">
        <v>489</v>
      </c>
      <c r="E1161" s="164" t="s">
        <v>489</v>
      </c>
      <c r="F1161" s="164" t="s">
        <v>1091</v>
      </c>
      <c r="G1161" s="164" t="s">
        <v>1135</v>
      </c>
      <c r="H1161" s="165">
        <v>30494</v>
      </c>
      <c r="I1161" s="164" t="s">
        <v>48</v>
      </c>
      <c r="J1161" s="164" t="s">
        <v>68</v>
      </c>
      <c r="K1161" s="165">
        <v>45992</v>
      </c>
      <c r="L1161" s="166" t="s">
        <v>491</v>
      </c>
      <c r="M1161" s="154"/>
      <c r="N1161" s="154"/>
      <c r="O1161" s="164" t="s">
        <v>65</v>
      </c>
      <c r="P1161" s="164">
        <v>43</v>
      </c>
      <c r="Q1161" s="164">
        <v>0</v>
      </c>
      <c r="R1161" s="167" t="s">
        <v>831</v>
      </c>
      <c r="S1161" s="167" t="s">
        <v>832</v>
      </c>
      <c r="T1161" s="162" t="s">
        <v>800</v>
      </c>
      <c r="U1161" s="167" t="s">
        <v>802</v>
      </c>
      <c r="X1161" s="169">
        <v>45992</v>
      </c>
      <c r="Y1161" s="170">
        <v>98</v>
      </c>
      <c r="Z1161" s="170">
        <v>0</v>
      </c>
      <c r="AA1161" s="170">
        <v>0</v>
      </c>
      <c r="AB1161" s="170">
        <v>0</v>
      </c>
      <c r="AC1161" s="171">
        <v>98</v>
      </c>
      <c r="AD1161" s="172">
        <v>15222598.795360001</v>
      </c>
      <c r="AE1161" s="173">
        <v>98</v>
      </c>
      <c r="AF1161" s="174">
        <v>46357</v>
      </c>
    </row>
    <row r="1162" spans="1:32" ht="20" x14ac:dyDescent="0.35">
      <c r="A1162" s="162" t="s">
        <v>1135</v>
      </c>
      <c r="B1162" s="163" t="s">
        <v>1091</v>
      </c>
      <c r="C1162" s="154"/>
      <c r="D1162" s="162" t="s">
        <v>489</v>
      </c>
      <c r="E1162" s="164" t="s">
        <v>489</v>
      </c>
      <c r="F1162" s="164" t="s">
        <v>1091</v>
      </c>
      <c r="G1162" s="164" t="s">
        <v>1135</v>
      </c>
      <c r="H1162" s="165">
        <v>30494</v>
      </c>
      <c r="I1162" s="164" t="s">
        <v>48</v>
      </c>
      <c r="J1162" s="164" t="s">
        <v>68</v>
      </c>
      <c r="K1162" s="165">
        <v>45992</v>
      </c>
      <c r="L1162" s="166" t="s">
        <v>491</v>
      </c>
      <c r="M1162" s="154"/>
      <c r="N1162" s="154"/>
      <c r="O1162" s="164" t="s">
        <v>65</v>
      </c>
      <c r="P1162" s="164">
        <v>43</v>
      </c>
      <c r="Q1162" s="164">
        <v>0</v>
      </c>
      <c r="R1162" s="167" t="s">
        <v>831</v>
      </c>
      <c r="S1162" s="167" t="s">
        <v>832</v>
      </c>
      <c r="T1162" s="162" t="s">
        <v>800</v>
      </c>
      <c r="U1162" s="167" t="s">
        <v>803</v>
      </c>
      <c r="X1162" s="169">
        <v>45992</v>
      </c>
      <c r="Y1162" s="170">
        <v>2</v>
      </c>
      <c r="Z1162" s="170">
        <v>0</v>
      </c>
      <c r="AA1162" s="170">
        <v>0</v>
      </c>
      <c r="AB1162" s="170">
        <v>0</v>
      </c>
      <c r="AC1162" s="171">
        <v>2</v>
      </c>
      <c r="AD1162" s="172">
        <v>310665.28154</v>
      </c>
      <c r="AE1162" s="173">
        <v>2</v>
      </c>
      <c r="AF1162" s="174">
        <v>46357</v>
      </c>
    </row>
    <row r="1163" spans="1:32" ht="20" x14ac:dyDescent="0.35">
      <c r="A1163" s="162" t="s">
        <v>1135</v>
      </c>
      <c r="B1163" s="163" t="s">
        <v>1091</v>
      </c>
      <c r="C1163" s="154"/>
      <c r="D1163" s="162" t="s">
        <v>489</v>
      </c>
      <c r="E1163" s="164" t="s">
        <v>489</v>
      </c>
      <c r="F1163" s="164" t="s">
        <v>1091</v>
      </c>
      <c r="G1163" s="164" t="s">
        <v>1135</v>
      </c>
      <c r="H1163" s="165">
        <v>30494</v>
      </c>
      <c r="I1163" s="164" t="s">
        <v>48</v>
      </c>
      <c r="J1163" s="164" t="s">
        <v>68</v>
      </c>
      <c r="K1163" s="165">
        <v>45992</v>
      </c>
      <c r="L1163" s="166" t="s">
        <v>491</v>
      </c>
      <c r="M1163" s="154"/>
      <c r="N1163" s="154"/>
      <c r="O1163" s="164" t="s">
        <v>65</v>
      </c>
      <c r="P1163" s="164">
        <v>43</v>
      </c>
      <c r="Q1163" s="164">
        <v>0</v>
      </c>
      <c r="R1163" s="167" t="s">
        <v>831</v>
      </c>
      <c r="S1163" s="167" t="s">
        <v>832</v>
      </c>
      <c r="T1163" s="162" t="s">
        <v>800</v>
      </c>
      <c r="U1163" s="167" t="s">
        <v>804</v>
      </c>
      <c r="X1163" s="169">
        <v>45992</v>
      </c>
      <c r="Y1163" s="170">
        <v>5</v>
      </c>
      <c r="Z1163" s="170">
        <v>0</v>
      </c>
      <c r="AA1163" s="170">
        <v>0</v>
      </c>
      <c r="AB1163" s="170">
        <v>0</v>
      </c>
      <c r="AC1163" s="171">
        <v>5</v>
      </c>
      <c r="AD1163" s="172">
        <v>776663.20383999997</v>
      </c>
      <c r="AE1163" s="173">
        <v>5</v>
      </c>
      <c r="AF1163" s="174">
        <v>46357</v>
      </c>
    </row>
    <row r="1164" spans="1:32" ht="20" x14ac:dyDescent="0.35">
      <c r="A1164" s="162" t="s">
        <v>1135</v>
      </c>
      <c r="B1164" s="163" t="s">
        <v>1091</v>
      </c>
      <c r="C1164" s="154"/>
      <c r="D1164" s="162" t="s">
        <v>489</v>
      </c>
      <c r="E1164" s="164" t="s">
        <v>489</v>
      </c>
      <c r="F1164" s="164" t="s">
        <v>1091</v>
      </c>
      <c r="G1164" s="164" t="s">
        <v>1135</v>
      </c>
      <c r="H1164" s="165">
        <v>30494</v>
      </c>
      <c r="I1164" s="164" t="s">
        <v>48</v>
      </c>
      <c r="J1164" s="164" t="s">
        <v>68</v>
      </c>
      <c r="K1164" s="165">
        <v>45992</v>
      </c>
      <c r="L1164" s="166" t="s">
        <v>491</v>
      </c>
      <c r="M1164" s="154"/>
      <c r="N1164" s="154"/>
      <c r="O1164" s="164" t="s">
        <v>65</v>
      </c>
      <c r="P1164" s="164">
        <v>43</v>
      </c>
      <c r="Q1164" s="164">
        <v>0</v>
      </c>
      <c r="R1164" s="167" t="s">
        <v>831</v>
      </c>
      <c r="S1164" s="167" t="s">
        <v>832</v>
      </c>
      <c r="T1164" s="162" t="s">
        <v>800</v>
      </c>
      <c r="U1164" s="167" t="s">
        <v>840</v>
      </c>
      <c r="X1164" s="169">
        <v>45992</v>
      </c>
      <c r="Y1164" s="170">
        <v>2.4999999966690001</v>
      </c>
      <c r="Z1164" s="170">
        <v>0.41666667000000002</v>
      </c>
      <c r="AA1164" s="170">
        <v>0</v>
      </c>
      <c r="AB1164" s="170">
        <v>0</v>
      </c>
      <c r="AC1164" s="171">
        <v>2.9166666666690002</v>
      </c>
      <c r="AD1164" s="172">
        <v>453053.53558000003</v>
      </c>
      <c r="AE1164" s="173">
        <v>2.92</v>
      </c>
      <c r="AF1164" s="174">
        <v>46357</v>
      </c>
    </row>
    <row r="1165" spans="1:32" ht="20" x14ac:dyDescent="0.35">
      <c r="A1165" s="162" t="s">
        <v>1136</v>
      </c>
      <c r="B1165" s="163" t="s">
        <v>1137</v>
      </c>
      <c r="C1165" s="154"/>
      <c r="D1165" s="162" t="s">
        <v>492</v>
      </c>
      <c r="E1165" s="164" t="s">
        <v>492</v>
      </c>
      <c r="F1165" s="164" t="s">
        <v>1137</v>
      </c>
      <c r="G1165" s="164" t="s">
        <v>1136</v>
      </c>
      <c r="H1165" s="165">
        <v>36210</v>
      </c>
      <c r="I1165" s="164" t="s">
        <v>20</v>
      </c>
      <c r="J1165" s="164" t="s">
        <v>68</v>
      </c>
      <c r="K1165" s="165">
        <v>45992</v>
      </c>
      <c r="L1165" s="166" t="s">
        <v>494</v>
      </c>
      <c r="M1165" s="154"/>
      <c r="N1165" s="154"/>
      <c r="O1165" s="164" t="s">
        <v>65</v>
      </c>
      <c r="P1165" s="164">
        <v>27</v>
      </c>
      <c r="Q1165" s="164">
        <v>0</v>
      </c>
      <c r="R1165" s="167" t="s">
        <v>831</v>
      </c>
      <c r="S1165" s="167" t="s">
        <v>832</v>
      </c>
      <c r="T1165" s="162" t="s">
        <v>794</v>
      </c>
      <c r="U1165" s="167" t="s">
        <v>795</v>
      </c>
      <c r="V1165" s="162" t="s">
        <v>1049</v>
      </c>
      <c r="W1165" s="168">
        <v>0</v>
      </c>
      <c r="X1165" s="169">
        <v>45992</v>
      </c>
      <c r="Y1165" s="170">
        <v>-9.1666666666690002</v>
      </c>
      <c r="Z1165" s="170">
        <v>1.8333333300000001</v>
      </c>
      <c r="AA1165" s="170">
        <v>11</v>
      </c>
      <c r="AB1165" s="170">
        <v>0</v>
      </c>
      <c r="AC1165" s="171">
        <v>3.6666666633310001</v>
      </c>
      <c r="AD1165" s="172">
        <v>613752.99418000004</v>
      </c>
      <c r="AE1165" s="173" t="s">
        <v>797</v>
      </c>
      <c r="AF1165" s="173"/>
    </row>
    <row r="1166" spans="1:32" ht="20" x14ac:dyDescent="0.35">
      <c r="A1166" s="162" t="s">
        <v>1136</v>
      </c>
      <c r="B1166" s="163" t="s">
        <v>1137</v>
      </c>
      <c r="C1166" s="154"/>
      <c r="D1166" s="162" t="s">
        <v>492</v>
      </c>
      <c r="E1166" s="164" t="s">
        <v>492</v>
      </c>
      <c r="F1166" s="164" t="s">
        <v>1137</v>
      </c>
      <c r="G1166" s="164" t="s">
        <v>1136</v>
      </c>
      <c r="H1166" s="165">
        <v>36210</v>
      </c>
      <c r="I1166" s="164" t="s">
        <v>20</v>
      </c>
      <c r="J1166" s="164" t="s">
        <v>68</v>
      </c>
      <c r="K1166" s="165">
        <v>45992</v>
      </c>
      <c r="L1166" s="166" t="s">
        <v>494</v>
      </c>
      <c r="M1166" s="154"/>
      <c r="N1166" s="154"/>
      <c r="O1166" s="164" t="s">
        <v>65</v>
      </c>
      <c r="P1166" s="164">
        <v>27</v>
      </c>
      <c r="Q1166" s="164">
        <v>0</v>
      </c>
      <c r="R1166" s="167" t="s">
        <v>831</v>
      </c>
      <c r="S1166" s="167" t="s">
        <v>832</v>
      </c>
      <c r="T1166" s="162" t="s">
        <v>798</v>
      </c>
      <c r="U1166" s="167" t="s">
        <v>839</v>
      </c>
      <c r="X1166" s="169">
        <v>45992</v>
      </c>
      <c r="Y1166" s="170">
        <v>173</v>
      </c>
      <c r="Z1166" s="170">
        <v>0</v>
      </c>
      <c r="AA1166" s="170">
        <v>0</v>
      </c>
      <c r="AB1166" s="170">
        <v>0</v>
      </c>
      <c r="AC1166" s="171">
        <v>173</v>
      </c>
      <c r="AD1166" s="172">
        <v>28957982.206429999</v>
      </c>
      <c r="AE1166" s="173">
        <v>173</v>
      </c>
      <c r="AF1166" s="174">
        <v>46357</v>
      </c>
    </row>
    <row r="1167" spans="1:32" ht="20" x14ac:dyDescent="0.35">
      <c r="A1167" s="162" t="s">
        <v>1136</v>
      </c>
      <c r="B1167" s="163" t="s">
        <v>1137</v>
      </c>
      <c r="C1167" s="154"/>
      <c r="D1167" s="162" t="s">
        <v>492</v>
      </c>
      <c r="E1167" s="164" t="s">
        <v>492</v>
      </c>
      <c r="F1167" s="164" t="s">
        <v>1137</v>
      </c>
      <c r="G1167" s="164" t="s">
        <v>1136</v>
      </c>
      <c r="H1167" s="165">
        <v>36210</v>
      </c>
      <c r="I1167" s="164" t="s">
        <v>20</v>
      </c>
      <c r="J1167" s="164" t="s">
        <v>68</v>
      </c>
      <c r="K1167" s="165">
        <v>45992</v>
      </c>
      <c r="L1167" s="166" t="s">
        <v>494</v>
      </c>
      <c r="M1167" s="154"/>
      <c r="N1167" s="154"/>
      <c r="O1167" s="164" t="s">
        <v>65</v>
      </c>
      <c r="P1167" s="164">
        <v>27</v>
      </c>
      <c r="Q1167" s="164">
        <v>0</v>
      </c>
      <c r="R1167" s="167" t="s">
        <v>831</v>
      </c>
      <c r="S1167" s="167" t="s">
        <v>832</v>
      </c>
      <c r="T1167" s="162" t="s">
        <v>800</v>
      </c>
      <c r="U1167" s="167" t="s">
        <v>801</v>
      </c>
      <c r="X1167" s="169">
        <v>45992</v>
      </c>
      <c r="Y1167" s="170">
        <v>26</v>
      </c>
      <c r="Z1167" s="170">
        <v>0</v>
      </c>
      <c r="AA1167" s="170">
        <v>0</v>
      </c>
      <c r="AB1167" s="170">
        <v>0</v>
      </c>
      <c r="AC1167" s="171">
        <v>26</v>
      </c>
      <c r="AD1167" s="172">
        <v>4352066.6899800003</v>
      </c>
      <c r="AE1167" s="173">
        <v>26</v>
      </c>
      <c r="AF1167" s="174">
        <v>46357</v>
      </c>
    </row>
    <row r="1168" spans="1:32" ht="20" x14ac:dyDescent="0.35">
      <c r="A1168" s="162" t="s">
        <v>1136</v>
      </c>
      <c r="B1168" s="163" t="s">
        <v>1137</v>
      </c>
      <c r="C1168" s="154"/>
      <c r="D1168" s="162" t="s">
        <v>492</v>
      </c>
      <c r="E1168" s="164" t="s">
        <v>492</v>
      </c>
      <c r="F1168" s="164" t="s">
        <v>1137</v>
      </c>
      <c r="G1168" s="164" t="s">
        <v>1136</v>
      </c>
      <c r="H1168" s="165">
        <v>36210</v>
      </c>
      <c r="I1168" s="164" t="s">
        <v>20</v>
      </c>
      <c r="J1168" s="164" t="s">
        <v>68</v>
      </c>
      <c r="K1168" s="165">
        <v>45992</v>
      </c>
      <c r="L1168" s="166" t="s">
        <v>494</v>
      </c>
      <c r="M1168" s="154"/>
      <c r="N1168" s="154"/>
      <c r="O1168" s="164" t="s">
        <v>65</v>
      </c>
      <c r="P1168" s="164">
        <v>27</v>
      </c>
      <c r="Q1168" s="164">
        <v>0</v>
      </c>
      <c r="R1168" s="167" t="s">
        <v>831</v>
      </c>
      <c r="S1168" s="167" t="s">
        <v>832</v>
      </c>
      <c r="T1168" s="162" t="s">
        <v>800</v>
      </c>
      <c r="U1168" s="167" t="s">
        <v>802</v>
      </c>
      <c r="X1168" s="169">
        <v>45992</v>
      </c>
      <c r="Y1168" s="170">
        <v>98</v>
      </c>
      <c r="Z1168" s="170">
        <v>0</v>
      </c>
      <c r="AA1168" s="170">
        <v>0</v>
      </c>
      <c r="AB1168" s="170">
        <v>0</v>
      </c>
      <c r="AC1168" s="171">
        <v>98</v>
      </c>
      <c r="AD1168" s="172">
        <v>16403943.67763</v>
      </c>
      <c r="AE1168" s="173">
        <v>98</v>
      </c>
      <c r="AF1168" s="174">
        <v>46357</v>
      </c>
    </row>
    <row r="1169" spans="1:32" ht="20" x14ac:dyDescent="0.35">
      <c r="A1169" s="162" t="s">
        <v>1136</v>
      </c>
      <c r="B1169" s="163" t="s">
        <v>1137</v>
      </c>
      <c r="C1169" s="154"/>
      <c r="D1169" s="162" t="s">
        <v>492</v>
      </c>
      <c r="E1169" s="164" t="s">
        <v>492</v>
      </c>
      <c r="F1169" s="164" t="s">
        <v>1137</v>
      </c>
      <c r="G1169" s="164" t="s">
        <v>1136</v>
      </c>
      <c r="H1169" s="165">
        <v>36210</v>
      </c>
      <c r="I1169" s="164" t="s">
        <v>20</v>
      </c>
      <c r="J1169" s="164" t="s">
        <v>68</v>
      </c>
      <c r="K1169" s="165">
        <v>45992</v>
      </c>
      <c r="L1169" s="166" t="s">
        <v>494</v>
      </c>
      <c r="M1169" s="154"/>
      <c r="N1169" s="154"/>
      <c r="O1169" s="164" t="s">
        <v>65</v>
      </c>
      <c r="P1169" s="164">
        <v>27</v>
      </c>
      <c r="Q1169" s="164">
        <v>0</v>
      </c>
      <c r="R1169" s="167" t="s">
        <v>831</v>
      </c>
      <c r="S1169" s="167" t="s">
        <v>832</v>
      </c>
      <c r="T1169" s="162" t="s">
        <v>800</v>
      </c>
      <c r="U1169" s="167" t="s">
        <v>803</v>
      </c>
      <c r="X1169" s="169">
        <v>45992</v>
      </c>
      <c r="Y1169" s="170">
        <v>2</v>
      </c>
      <c r="Z1169" s="170">
        <v>0</v>
      </c>
      <c r="AA1169" s="170">
        <v>0</v>
      </c>
      <c r="AB1169" s="170">
        <v>0</v>
      </c>
      <c r="AC1169" s="171">
        <v>2</v>
      </c>
      <c r="AD1169" s="172">
        <v>334774.36077000003</v>
      </c>
      <c r="AE1169" s="173">
        <v>2</v>
      </c>
      <c r="AF1169" s="174">
        <v>46357</v>
      </c>
    </row>
    <row r="1170" spans="1:32" ht="20" x14ac:dyDescent="0.35">
      <c r="A1170" s="162" t="s">
        <v>1136</v>
      </c>
      <c r="B1170" s="163" t="s">
        <v>1137</v>
      </c>
      <c r="C1170" s="154"/>
      <c r="D1170" s="162" t="s">
        <v>492</v>
      </c>
      <c r="E1170" s="164" t="s">
        <v>492</v>
      </c>
      <c r="F1170" s="164" t="s">
        <v>1137</v>
      </c>
      <c r="G1170" s="164" t="s">
        <v>1136</v>
      </c>
      <c r="H1170" s="165">
        <v>36210</v>
      </c>
      <c r="I1170" s="164" t="s">
        <v>20</v>
      </c>
      <c r="J1170" s="164" t="s">
        <v>68</v>
      </c>
      <c r="K1170" s="165">
        <v>45992</v>
      </c>
      <c r="L1170" s="166" t="s">
        <v>494</v>
      </c>
      <c r="M1170" s="154"/>
      <c r="N1170" s="154"/>
      <c r="O1170" s="164" t="s">
        <v>65</v>
      </c>
      <c r="P1170" s="164">
        <v>27</v>
      </c>
      <c r="Q1170" s="164">
        <v>0</v>
      </c>
      <c r="R1170" s="167" t="s">
        <v>831</v>
      </c>
      <c r="S1170" s="167" t="s">
        <v>832</v>
      </c>
      <c r="T1170" s="162" t="s">
        <v>800</v>
      </c>
      <c r="U1170" s="167" t="s">
        <v>804</v>
      </c>
      <c r="X1170" s="169">
        <v>45992</v>
      </c>
      <c r="Y1170" s="170">
        <v>5</v>
      </c>
      <c r="Z1170" s="170">
        <v>0</v>
      </c>
      <c r="AA1170" s="170">
        <v>0</v>
      </c>
      <c r="AB1170" s="170">
        <v>0</v>
      </c>
      <c r="AC1170" s="171">
        <v>5</v>
      </c>
      <c r="AD1170" s="172">
        <v>836935.90191999997</v>
      </c>
      <c r="AE1170" s="173">
        <v>5</v>
      </c>
      <c r="AF1170" s="174">
        <v>46357</v>
      </c>
    </row>
    <row r="1171" spans="1:32" ht="20" x14ac:dyDescent="0.35">
      <c r="A1171" s="162" t="s">
        <v>1136</v>
      </c>
      <c r="B1171" s="163" t="s">
        <v>1137</v>
      </c>
      <c r="C1171" s="154"/>
      <c r="D1171" s="162" t="s">
        <v>492</v>
      </c>
      <c r="E1171" s="164" t="s">
        <v>492</v>
      </c>
      <c r="F1171" s="164" t="s">
        <v>1137</v>
      </c>
      <c r="G1171" s="164" t="s">
        <v>1136</v>
      </c>
      <c r="H1171" s="165">
        <v>36210</v>
      </c>
      <c r="I1171" s="164" t="s">
        <v>20</v>
      </c>
      <c r="J1171" s="164" t="s">
        <v>68</v>
      </c>
      <c r="K1171" s="165">
        <v>45992</v>
      </c>
      <c r="L1171" s="166" t="s">
        <v>494</v>
      </c>
      <c r="M1171" s="154"/>
      <c r="N1171" s="154"/>
      <c r="O1171" s="164" t="s">
        <v>65</v>
      </c>
      <c r="P1171" s="164">
        <v>27</v>
      </c>
      <c r="Q1171" s="164">
        <v>0</v>
      </c>
      <c r="R1171" s="167" t="s">
        <v>831</v>
      </c>
      <c r="S1171" s="167" t="s">
        <v>832</v>
      </c>
      <c r="T1171" s="162" t="s">
        <v>800</v>
      </c>
      <c r="U1171" s="167" t="s">
        <v>840</v>
      </c>
      <c r="X1171" s="169">
        <v>45992</v>
      </c>
      <c r="Y1171" s="170">
        <v>2.4999999966690001</v>
      </c>
      <c r="Z1171" s="170">
        <v>0.41666667000000002</v>
      </c>
      <c r="AA1171" s="170">
        <v>0</v>
      </c>
      <c r="AB1171" s="170">
        <v>0</v>
      </c>
      <c r="AC1171" s="171">
        <v>2.9166666666690002</v>
      </c>
      <c r="AD1171" s="172">
        <v>488212.60944999999</v>
      </c>
      <c r="AE1171" s="173">
        <v>2.92</v>
      </c>
      <c r="AF1171" s="174">
        <v>46357</v>
      </c>
    </row>
    <row r="1172" spans="1:32" ht="20" x14ac:dyDescent="0.35">
      <c r="A1172" s="162" t="s">
        <v>1138</v>
      </c>
      <c r="B1172" s="163" t="s">
        <v>990</v>
      </c>
      <c r="C1172" s="154"/>
      <c r="D1172" s="162" t="s">
        <v>495</v>
      </c>
      <c r="E1172" s="164" t="s">
        <v>495</v>
      </c>
      <c r="F1172" s="164" t="s">
        <v>990</v>
      </c>
      <c r="G1172" s="164" t="s">
        <v>1138</v>
      </c>
      <c r="H1172" s="165">
        <v>33260</v>
      </c>
      <c r="I1172" s="164" t="s">
        <v>20</v>
      </c>
      <c r="J1172" s="164" t="s">
        <v>68</v>
      </c>
      <c r="K1172" s="165">
        <v>45996</v>
      </c>
      <c r="L1172" s="166" t="s">
        <v>497</v>
      </c>
      <c r="M1172" s="154"/>
      <c r="N1172" s="154"/>
      <c r="O1172" s="164" t="s">
        <v>29</v>
      </c>
      <c r="P1172" s="164">
        <v>35</v>
      </c>
      <c r="Q1172" s="164">
        <v>0</v>
      </c>
      <c r="R1172" s="167" t="s">
        <v>831</v>
      </c>
      <c r="S1172" s="167" t="s">
        <v>832</v>
      </c>
      <c r="T1172" s="162" t="s">
        <v>794</v>
      </c>
      <c r="U1172" s="167" t="s">
        <v>795</v>
      </c>
      <c r="V1172" s="162" t="s">
        <v>1049</v>
      </c>
      <c r="W1172" s="168">
        <v>0</v>
      </c>
      <c r="X1172" s="169">
        <v>45996</v>
      </c>
      <c r="Y1172" s="170">
        <v>6.596774193331</v>
      </c>
      <c r="Z1172" s="170">
        <v>1.8333333300000001</v>
      </c>
      <c r="AA1172" s="170">
        <v>0</v>
      </c>
      <c r="AB1172" s="170">
        <v>0</v>
      </c>
      <c r="AC1172" s="171">
        <v>8.4301075233309994</v>
      </c>
      <c r="AD1172" s="172">
        <v>1647982.12622</v>
      </c>
      <c r="AE1172" s="173" t="s">
        <v>797</v>
      </c>
      <c r="AF1172" s="173"/>
    </row>
    <row r="1173" spans="1:32" ht="20" x14ac:dyDescent="0.35">
      <c r="A1173" s="162" t="s">
        <v>1138</v>
      </c>
      <c r="B1173" s="163" t="s">
        <v>990</v>
      </c>
      <c r="C1173" s="154"/>
      <c r="D1173" s="162" t="s">
        <v>495</v>
      </c>
      <c r="E1173" s="164" t="s">
        <v>495</v>
      </c>
      <c r="F1173" s="164" t="s">
        <v>990</v>
      </c>
      <c r="G1173" s="164" t="s">
        <v>1138</v>
      </c>
      <c r="H1173" s="165">
        <v>33260</v>
      </c>
      <c r="I1173" s="164" t="s">
        <v>20</v>
      </c>
      <c r="J1173" s="164" t="s">
        <v>68</v>
      </c>
      <c r="K1173" s="165">
        <v>45996</v>
      </c>
      <c r="L1173" s="166" t="s">
        <v>497</v>
      </c>
      <c r="M1173" s="154"/>
      <c r="N1173" s="154"/>
      <c r="O1173" s="164" t="s">
        <v>29</v>
      </c>
      <c r="P1173" s="164">
        <v>35</v>
      </c>
      <c r="Q1173" s="164">
        <v>0</v>
      </c>
      <c r="R1173" s="167" t="s">
        <v>831</v>
      </c>
      <c r="S1173" s="167" t="s">
        <v>832</v>
      </c>
      <c r="T1173" s="162" t="s">
        <v>798</v>
      </c>
      <c r="U1173" s="167" t="s">
        <v>839</v>
      </c>
      <c r="X1173" s="169">
        <v>45996</v>
      </c>
      <c r="Y1173" s="170">
        <v>180</v>
      </c>
      <c r="Z1173" s="170">
        <v>0</v>
      </c>
      <c r="AA1173" s="170">
        <v>0</v>
      </c>
      <c r="AB1173" s="170">
        <v>0</v>
      </c>
      <c r="AC1173" s="171">
        <v>180</v>
      </c>
      <c r="AD1173" s="172">
        <v>35187781.638420001</v>
      </c>
      <c r="AE1173" s="173">
        <v>180</v>
      </c>
      <c r="AF1173" s="174">
        <v>46357</v>
      </c>
    </row>
    <row r="1174" spans="1:32" ht="20" x14ac:dyDescent="0.35">
      <c r="A1174" s="162" t="s">
        <v>1138</v>
      </c>
      <c r="B1174" s="163" t="s">
        <v>990</v>
      </c>
      <c r="C1174" s="154"/>
      <c r="D1174" s="162" t="s">
        <v>495</v>
      </c>
      <c r="E1174" s="164" t="s">
        <v>495</v>
      </c>
      <c r="F1174" s="164" t="s">
        <v>990</v>
      </c>
      <c r="G1174" s="164" t="s">
        <v>1138</v>
      </c>
      <c r="H1174" s="165">
        <v>33260</v>
      </c>
      <c r="I1174" s="164" t="s">
        <v>20</v>
      </c>
      <c r="J1174" s="164" t="s">
        <v>68</v>
      </c>
      <c r="K1174" s="165">
        <v>45996</v>
      </c>
      <c r="L1174" s="166" t="s">
        <v>497</v>
      </c>
      <c r="M1174" s="154"/>
      <c r="N1174" s="154"/>
      <c r="O1174" s="164" t="s">
        <v>29</v>
      </c>
      <c r="P1174" s="164">
        <v>35</v>
      </c>
      <c r="Q1174" s="164">
        <v>0</v>
      </c>
      <c r="R1174" s="167" t="s">
        <v>831</v>
      </c>
      <c r="S1174" s="167" t="s">
        <v>832</v>
      </c>
      <c r="T1174" s="162" t="s">
        <v>800</v>
      </c>
      <c r="U1174" s="167" t="s">
        <v>801</v>
      </c>
      <c r="X1174" s="169">
        <v>45996</v>
      </c>
      <c r="Y1174" s="170">
        <v>26</v>
      </c>
      <c r="Z1174" s="170">
        <v>0</v>
      </c>
      <c r="AA1174" s="170">
        <v>0</v>
      </c>
      <c r="AB1174" s="170">
        <v>0</v>
      </c>
      <c r="AC1174" s="171">
        <v>26</v>
      </c>
      <c r="AD1174" s="172">
        <v>5082679.5699899998</v>
      </c>
      <c r="AE1174" s="173">
        <v>26</v>
      </c>
      <c r="AF1174" s="174">
        <v>46357</v>
      </c>
    </row>
    <row r="1175" spans="1:32" ht="20" x14ac:dyDescent="0.35">
      <c r="A1175" s="162" t="s">
        <v>1138</v>
      </c>
      <c r="B1175" s="163" t="s">
        <v>990</v>
      </c>
      <c r="C1175" s="154"/>
      <c r="D1175" s="162" t="s">
        <v>495</v>
      </c>
      <c r="E1175" s="164" t="s">
        <v>495</v>
      </c>
      <c r="F1175" s="164" t="s">
        <v>990</v>
      </c>
      <c r="G1175" s="164" t="s">
        <v>1138</v>
      </c>
      <c r="H1175" s="165">
        <v>33260</v>
      </c>
      <c r="I1175" s="164" t="s">
        <v>20</v>
      </c>
      <c r="J1175" s="164" t="s">
        <v>68</v>
      </c>
      <c r="K1175" s="165">
        <v>45996</v>
      </c>
      <c r="L1175" s="166" t="s">
        <v>497</v>
      </c>
      <c r="M1175" s="154"/>
      <c r="N1175" s="154"/>
      <c r="O1175" s="164" t="s">
        <v>29</v>
      </c>
      <c r="P1175" s="164">
        <v>35</v>
      </c>
      <c r="Q1175" s="164">
        <v>0</v>
      </c>
      <c r="R1175" s="167" t="s">
        <v>831</v>
      </c>
      <c r="S1175" s="167" t="s">
        <v>832</v>
      </c>
      <c r="T1175" s="162" t="s">
        <v>800</v>
      </c>
      <c r="U1175" s="167" t="s">
        <v>802</v>
      </c>
      <c r="X1175" s="169">
        <v>45996</v>
      </c>
      <c r="Y1175" s="170">
        <v>98</v>
      </c>
      <c r="Z1175" s="170">
        <v>0</v>
      </c>
      <c r="AA1175" s="170">
        <v>0</v>
      </c>
      <c r="AB1175" s="170">
        <v>0</v>
      </c>
      <c r="AC1175" s="171">
        <v>98</v>
      </c>
      <c r="AD1175" s="172">
        <v>19157792.225359999</v>
      </c>
      <c r="AE1175" s="173">
        <v>98</v>
      </c>
      <c r="AF1175" s="174">
        <v>46357</v>
      </c>
    </row>
    <row r="1176" spans="1:32" ht="20" x14ac:dyDescent="0.35">
      <c r="A1176" s="162" t="s">
        <v>1138</v>
      </c>
      <c r="B1176" s="163" t="s">
        <v>990</v>
      </c>
      <c r="C1176" s="154"/>
      <c r="D1176" s="162" t="s">
        <v>495</v>
      </c>
      <c r="E1176" s="164" t="s">
        <v>495</v>
      </c>
      <c r="F1176" s="164" t="s">
        <v>990</v>
      </c>
      <c r="G1176" s="164" t="s">
        <v>1138</v>
      </c>
      <c r="H1176" s="165">
        <v>33260</v>
      </c>
      <c r="I1176" s="164" t="s">
        <v>20</v>
      </c>
      <c r="J1176" s="164" t="s">
        <v>68</v>
      </c>
      <c r="K1176" s="165">
        <v>45996</v>
      </c>
      <c r="L1176" s="166" t="s">
        <v>497</v>
      </c>
      <c r="M1176" s="154"/>
      <c r="N1176" s="154"/>
      <c r="O1176" s="164" t="s">
        <v>29</v>
      </c>
      <c r="P1176" s="164">
        <v>35</v>
      </c>
      <c r="Q1176" s="164">
        <v>0</v>
      </c>
      <c r="R1176" s="167" t="s">
        <v>831</v>
      </c>
      <c r="S1176" s="167" t="s">
        <v>832</v>
      </c>
      <c r="T1176" s="162" t="s">
        <v>800</v>
      </c>
      <c r="U1176" s="167" t="s">
        <v>803</v>
      </c>
      <c r="X1176" s="169">
        <v>45996</v>
      </c>
      <c r="Y1176" s="170">
        <v>2</v>
      </c>
      <c r="Z1176" s="170">
        <v>0</v>
      </c>
      <c r="AA1176" s="170">
        <v>0</v>
      </c>
      <c r="AB1176" s="170">
        <v>0</v>
      </c>
      <c r="AC1176" s="171">
        <v>2</v>
      </c>
      <c r="AD1176" s="172">
        <v>390975.35154</v>
      </c>
      <c r="AE1176" s="173">
        <v>2</v>
      </c>
      <c r="AF1176" s="174">
        <v>46357</v>
      </c>
    </row>
    <row r="1177" spans="1:32" ht="20" x14ac:dyDescent="0.35">
      <c r="A1177" s="162" t="s">
        <v>1138</v>
      </c>
      <c r="B1177" s="163" t="s">
        <v>990</v>
      </c>
      <c r="C1177" s="154"/>
      <c r="D1177" s="162" t="s">
        <v>495</v>
      </c>
      <c r="E1177" s="164" t="s">
        <v>495</v>
      </c>
      <c r="F1177" s="164" t="s">
        <v>990</v>
      </c>
      <c r="G1177" s="164" t="s">
        <v>1138</v>
      </c>
      <c r="H1177" s="165">
        <v>33260</v>
      </c>
      <c r="I1177" s="164" t="s">
        <v>20</v>
      </c>
      <c r="J1177" s="164" t="s">
        <v>68</v>
      </c>
      <c r="K1177" s="165">
        <v>45996</v>
      </c>
      <c r="L1177" s="166" t="s">
        <v>497</v>
      </c>
      <c r="M1177" s="154"/>
      <c r="N1177" s="154"/>
      <c r="O1177" s="164" t="s">
        <v>29</v>
      </c>
      <c r="P1177" s="164">
        <v>35</v>
      </c>
      <c r="Q1177" s="164">
        <v>0</v>
      </c>
      <c r="R1177" s="167" t="s">
        <v>831</v>
      </c>
      <c r="S1177" s="167" t="s">
        <v>832</v>
      </c>
      <c r="T1177" s="162" t="s">
        <v>800</v>
      </c>
      <c r="U1177" s="167" t="s">
        <v>804</v>
      </c>
      <c r="X1177" s="169">
        <v>45996</v>
      </c>
      <c r="Y1177" s="170">
        <v>5</v>
      </c>
      <c r="Z1177" s="170">
        <v>0</v>
      </c>
      <c r="AA1177" s="170">
        <v>0</v>
      </c>
      <c r="AB1177" s="170">
        <v>0</v>
      </c>
      <c r="AC1177" s="171">
        <v>5</v>
      </c>
      <c r="AD1177" s="172">
        <v>977438.37884000002</v>
      </c>
      <c r="AE1177" s="173">
        <v>5</v>
      </c>
      <c r="AF1177" s="174">
        <v>46357</v>
      </c>
    </row>
    <row r="1178" spans="1:32" ht="20" x14ac:dyDescent="0.35">
      <c r="A1178" s="162" t="s">
        <v>1138</v>
      </c>
      <c r="B1178" s="163" t="s">
        <v>990</v>
      </c>
      <c r="C1178" s="154"/>
      <c r="D1178" s="162" t="s">
        <v>495</v>
      </c>
      <c r="E1178" s="164" t="s">
        <v>495</v>
      </c>
      <c r="F1178" s="164" t="s">
        <v>990</v>
      </c>
      <c r="G1178" s="164" t="s">
        <v>1138</v>
      </c>
      <c r="H1178" s="165">
        <v>33260</v>
      </c>
      <c r="I1178" s="164" t="s">
        <v>20</v>
      </c>
      <c r="J1178" s="164" t="s">
        <v>68</v>
      </c>
      <c r="K1178" s="165">
        <v>45996</v>
      </c>
      <c r="L1178" s="166" t="s">
        <v>497</v>
      </c>
      <c r="M1178" s="154"/>
      <c r="N1178" s="154"/>
      <c r="O1178" s="164" t="s">
        <v>29</v>
      </c>
      <c r="P1178" s="164">
        <v>35</v>
      </c>
      <c r="Q1178" s="164">
        <v>0</v>
      </c>
      <c r="R1178" s="167" t="s">
        <v>831</v>
      </c>
      <c r="S1178" s="167" t="s">
        <v>832</v>
      </c>
      <c r="T1178" s="162" t="s">
        <v>800</v>
      </c>
      <c r="U1178" s="167" t="s">
        <v>840</v>
      </c>
      <c r="X1178" s="169">
        <v>45996</v>
      </c>
      <c r="Y1178" s="170">
        <v>2.4999999966690001</v>
      </c>
      <c r="Z1178" s="170">
        <v>0.41666667000000002</v>
      </c>
      <c r="AA1178" s="170">
        <v>0</v>
      </c>
      <c r="AB1178" s="170">
        <v>0</v>
      </c>
      <c r="AC1178" s="171">
        <v>2.9166666666690002</v>
      </c>
      <c r="AD1178" s="172">
        <v>570172.38766000001</v>
      </c>
      <c r="AE1178" s="173">
        <v>2.92</v>
      </c>
      <c r="AF1178" s="174">
        <v>46357</v>
      </c>
    </row>
    <row r="1179" spans="1:32" ht="20" x14ac:dyDescent="0.35">
      <c r="A1179" s="162" t="s">
        <v>1139</v>
      </c>
      <c r="B1179" s="163" t="s">
        <v>1140</v>
      </c>
      <c r="C1179" s="154"/>
      <c r="D1179" s="162" t="s">
        <v>498</v>
      </c>
      <c r="E1179" s="164" t="s">
        <v>498</v>
      </c>
      <c r="F1179" s="164" t="s">
        <v>1140</v>
      </c>
      <c r="G1179" s="164" t="s">
        <v>1139</v>
      </c>
      <c r="H1179" s="165">
        <v>33058</v>
      </c>
      <c r="I1179" s="164" t="s">
        <v>20</v>
      </c>
      <c r="J1179" s="164" t="s">
        <v>68</v>
      </c>
      <c r="K1179" s="165">
        <v>45992</v>
      </c>
      <c r="L1179" s="166" t="s">
        <v>500</v>
      </c>
      <c r="M1179" s="154"/>
      <c r="N1179" s="154"/>
      <c r="O1179" s="164" t="s">
        <v>65</v>
      </c>
      <c r="P1179" s="164">
        <v>36</v>
      </c>
      <c r="Q1179" s="164">
        <v>0</v>
      </c>
      <c r="R1179" s="167" t="s">
        <v>831</v>
      </c>
      <c r="S1179" s="167" t="s">
        <v>832</v>
      </c>
      <c r="T1179" s="162" t="s">
        <v>794</v>
      </c>
      <c r="U1179" s="167" t="s">
        <v>795</v>
      </c>
      <c r="V1179" s="162" t="s">
        <v>1049</v>
      </c>
      <c r="W1179" s="168">
        <v>0</v>
      </c>
      <c r="X1179" s="169">
        <v>45992</v>
      </c>
      <c r="Y1179" s="170">
        <v>6.8333333333309998</v>
      </c>
      <c r="Z1179" s="170">
        <v>1.8333333300000001</v>
      </c>
      <c r="AA1179" s="170">
        <v>0</v>
      </c>
      <c r="AB1179" s="170">
        <v>0</v>
      </c>
      <c r="AC1179" s="171">
        <v>8.6666666633310001</v>
      </c>
      <c r="AD1179" s="172">
        <v>1350908.70948</v>
      </c>
      <c r="AE1179" s="173" t="s">
        <v>797</v>
      </c>
      <c r="AF1179" s="173"/>
    </row>
    <row r="1180" spans="1:32" ht="20" x14ac:dyDescent="0.35">
      <c r="A1180" s="162" t="s">
        <v>1139</v>
      </c>
      <c r="B1180" s="163" t="s">
        <v>1140</v>
      </c>
      <c r="C1180" s="154"/>
      <c r="D1180" s="162" t="s">
        <v>498</v>
      </c>
      <c r="E1180" s="164" t="s">
        <v>498</v>
      </c>
      <c r="F1180" s="164" t="s">
        <v>1140</v>
      </c>
      <c r="G1180" s="164" t="s">
        <v>1139</v>
      </c>
      <c r="H1180" s="165">
        <v>33058</v>
      </c>
      <c r="I1180" s="164" t="s">
        <v>20</v>
      </c>
      <c r="J1180" s="164" t="s">
        <v>68</v>
      </c>
      <c r="K1180" s="165">
        <v>45992</v>
      </c>
      <c r="L1180" s="166" t="s">
        <v>500</v>
      </c>
      <c r="M1180" s="154"/>
      <c r="N1180" s="154"/>
      <c r="O1180" s="164" t="s">
        <v>65</v>
      </c>
      <c r="P1180" s="164">
        <v>36</v>
      </c>
      <c r="Q1180" s="164">
        <v>0</v>
      </c>
      <c r="R1180" s="167" t="s">
        <v>831</v>
      </c>
      <c r="S1180" s="167" t="s">
        <v>832</v>
      </c>
      <c r="T1180" s="162" t="s">
        <v>798</v>
      </c>
      <c r="U1180" s="167" t="s">
        <v>839</v>
      </c>
      <c r="X1180" s="169">
        <v>45992</v>
      </c>
      <c r="Y1180" s="170">
        <v>180</v>
      </c>
      <c r="Z1180" s="170">
        <v>0</v>
      </c>
      <c r="AA1180" s="170">
        <v>0</v>
      </c>
      <c r="AB1180" s="170">
        <v>0</v>
      </c>
      <c r="AC1180" s="171">
        <v>180</v>
      </c>
      <c r="AD1180" s="172">
        <v>28057334.746139999</v>
      </c>
      <c r="AE1180" s="173">
        <v>180</v>
      </c>
      <c r="AF1180" s="174">
        <v>46357</v>
      </c>
    </row>
    <row r="1181" spans="1:32" ht="20" x14ac:dyDescent="0.35">
      <c r="A1181" s="162" t="s">
        <v>1139</v>
      </c>
      <c r="B1181" s="163" t="s">
        <v>1140</v>
      </c>
      <c r="C1181" s="154"/>
      <c r="D1181" s="162" t="s">
        <v>498</v>
      </c>
      <c r="E1181" s="164" t="s">
        <v>498</v>
      </c>
      <c r="F1181" s="164" t="s">
        <v>1140</v>
      </c>
      <c r="G1181" s="164" t="s">
        <v>1139</v>
      </c>
      <c r="H1181" s="165">
        <v>33058</v>
      </c>
      <c r="I1181" s="164" t="s">
        <v>20</v>
      </c>
      <c r="J1181" s="164" t="s">
        <v>68</v>
      </c>
      <c r="K1181" s="165">
        <v>45992</v>
      </c>
      <c r="L1181" s="166" t="s">
        <v>500</v>
      </c>
      <c r="M1181" s="154"/>
      <c r="N1181" s="154"/>
      <c r="O1181" s="164" t="s">
        <v>65</v>
      </c>
      <c r="P1181" s="164">
        <v>36</v>
      </c>
      <c r="Q1181" s="164">
        <v>0</v>
      </c>
      <c r="R1181" s="167" t="s">
        <v>831</v>
      </c>
      <c r="S1181" s="167" t="s">
        <v>832</v>
      </c>
      <c r="T1181" s="162" t="s">
        <v>800</v>
      </c>
      <c r="U1181" s="167" t="s">
        <v>801</v>
      </c>
      <c r="X1181" s="169">
        <v>45992</v>
      </c>
      <c r="Y1181" s="170">
        <v>26</v>
      </c>
      <c r="Z1181" s="170">
        <v>0</v>
      </c>
      <c r="AA1181" s="170">
        <v>0</v>
      </c>
      <c r="AB1181" s="170">
        <v>0</v>
      </c>
      <c r="AC1181" s="171">
        <v>26</v>
      </c>
      <c r="AD1181" s="172">
        <v>4052726.13</v>
      </c>
      <c r="AE1181" s="173">
        <v>26</v>
      </c>
      <c r="AF1181" s="174">
        <v>46357</v>
      </c>
    </row>
    <row r="1182" spans="1:32" ht="20" x14ac:dyDescent="0.35">
      <c r="A1182" s="162" t="s">
        <v>1139</v>
      </c>
      <c r="B1182" s="163" t="s">
        <v>1140</v>
      </c>
      <c r="C1182" s="154"/>
      <c r="D1182" s="162" t="s">
        <v>498</v>
      </c>
      <c r="E1182" s="164" t="s">
        <v>498</v>
      </c>
      <c r="F1182" s="164" t="s">
        <v>1140</v>
      </c>
      <c r="G1182" s="164" t="s">
        <v>1139</v>
      </c>
      <c r="H1182" s="165">
        <v>33058</v>
      </c>
      <c r="I1182" s="164" t="s">
        <v>20</v>
      </c>
      <c r="J1182" s="164" t="s">
        <v>68</v>
      </c>
      <c r="K1182" s="165">
        <v>45992</v>
      </c>
      <c r="L1182" s="166" t="s">
        <v>500</v>
      </c>
      <c r="M1182" s="154"/>
      <c r="N1182" s="154"/>
      <c r="O1182" s="164" t="s">
        <v>65</v>
      </c>
      <c r="P1182" s="164">
        <v>36</v>
      </c>
      <c r="Q1182" s="164">
        <v>0</v>
      </c>
      <c r="R1182" s="167" t="s">
        <v>831</v>
      </c>
      <c r="S1182" s="167" t="s">
        <v>832</v>
      </c>
      <c r="T1182" s="162" t="s">
        <v>800</v>
      </c>
      <c r="U1182" s="167" t="s">
        <v>802</v>
      </c>
      <c r="X1182" s="169">
        <v>45992</v>
      </c>
      <c r="Y1182" s="170">
        <v>98</v>
      </c>
      <c r="Z1182" s="170">
        <v>0</v>
      </c>
      <c r="AA1182" s="170">
        <v>0</v>
      </c>
      <c r="AB1182" s="170">
        <v>0</v>
      </c>
      <c r="AC1182" s="171">
        <v>98</v>
      </c>
      <c r="AD1182" s="172">
        <v>15275660.028449999</v>
      </c>
      <c r="AE1182" s="173">
        <v>98</v>
      </c>
      <c r="AF1182" s="174">
        <v>46357</v>
      </c>
    </row>
    <row r="1183" spans="1:32" ht="20" x14ac:dyDescent="0.35">
      <c r="A1183" s="162" t="s">
        <v>1139</v>
      </c>
      <c r="B1183" s="163" t="s">
        <v>1140</v>
      </c>
      <c r="C1183" s="154"/>
      <c r="D1183" s="162" t="s">
        <v>498</v>
      </c>
      <c r="E1183" s="164" t="s">
        <v>498</v>
      </c>
      <c r="F1183" s="164" t="s">
        <v>1140</v>
      </c>
      <c r="G1183" s="164" t="s">
        <v>1139</v>
      </c>
      <c r="H1183" s="165">
        <v>33058</v>
      </c>
      <c r="I1183" s="164" t="s">
        <v>20</v>
      </c>
      <c r="J1183" s="164" t="s">
        <v>68</v>
      </c>
      <c r="K1183" s="165">
        <v>45992</v>
      </c>
      <c r="L1183" s="166" t="s">
        <v>500</v>
      </c>
      <c r="M1183" s="154"/>
      <c r="N1183" s="154"/>
      <c r="O1183" s="164" t="s">
        <v>65</v>
      </c>
      <c r="P1183" s="164">
        <v>36</v>
      </c>
      <c r="Q1183" s="164">
        <v>0</v>
      </c>
      <c r="R1183" s="167" t="s">
        <v>831</v>
      </c>
      <c r="S1183" s="167" t="s">
        <v>832</v>
      </c>
      <c r="T1183" s="162" t="s">
        <v>800</v>
      </c>
      <c r="U1183" s="167" t="s">
        <v>803</v>
      </c>
      <c r="X1183" s="169">
        <v>45992</v>
      </c>
      <c r="Y1183" s="170">
        <v>2</v>
      </c>
      <c r="Z1183" s="170">
        <v>0</v>
      </c>
      <c r="AA1183" s="170">
        <v>0</v>
      </c>
      <c r="AB1183" s="170">
        <v>0</v>
      </c>
      <c r="AC1183" s="171">
        <v>2</v>
      </c>
      <c r="AD1183" s="172">
        <v>311748.16385000001</v>
      </c>
      <c r="AE1183" s="173">
        <v>2</v>
      </c>
      <c r="AF1183" s="174">
        <v>46357</v>
      </c>
    </row>
    <row r="1184" spans="1:32" ht="20" x14ac:dyDescent="0.35">
      <c r="A1184" s="162" t="s">
        <v>1139</v>
      </c>
      <c r="B1184" s="163" t="s">
        <v>1140</v>
      </c>
      <c r="C1184" s="154"/>
      <c r="D1184" s="162" t="s">
        <v>498</v>
      </c>
      <c r="E1184" s="164" t="s">
        <v>498</v>
      </c>
      <c r="F1184" s="164" t="s">
        <v>1140</v>
      </c>
      <c r="G1184" s="164" t="s">
        <v>1139</v>
      </c>
      <c r="H1184" s="165">
        <v>33058</v>
      </c>
      <c r="I1184" s="164" t="s">
        <v>20</v>
      </c>
      <c r="J1184" s="164" t="s">
        <v>68</v>
      </c>
      <c r="K1184" s="165">
        <v>45992</v>
      </c>
      <c r="L1184" s="166" t="s">
        <v>500</v>
      </c>
      <c r="M1184" s="154"/>
      <c r="N1184" s="154"/>
      <c r="O1184" s="164" t="s">
        <v>65</v>
      </c>
      <c r="P1184" s="164">
        <v>36</v>
      </c>
      <c r="Q1184" s="164">
        <v>0</v>
      </c>
      <c r="R1184" s="167" t="s">
        <v>831</v>
      </c>
      <c r="S1184" s="167" t="s">
        <v>832</v>
      </c>
      <c r="T1184" s="162" t="s">
        <v>800</v>
      </c>
      <c r="U1184" s="167" t="s">
        <v>804</v>
      </c>
      <c r="X1184" s="169">
        <v>45992</v>
      </c>
      <c r="Y1184" s="170">
        <v>5</v>
      </c>
      <c r="Z1184" s="170">
        <v>0</v>
      </c>
      <c r="AA1184" s="170">
        <v>0</v>
      </c>
      <c r="AB1184" s="170">
        <v>0</v>
      </c>
      <c r="AC1184" s="171">
        <v>5</v>
      </c>
      <c r="AD1184" s="172">
        <v>779370.40962000005</v>
      </c>
      <c r="AE1184" s="173">
        <v>5</v>
      </c>
      <c r="AF1184" s="174">
        <v>46357</v>
      </c>
    </row>
    <row r="1185" spans="1:32" ht="20" x14ac:dyDescent="0.35">
      <c r="A1185" s="162" t="s">
        <v>1139</v>
      </c>
      <c r="B1185" s="163" t="s">
        <v>1140</v>
      </c>
      <c r="C1185" s="154"/>
      <c r="D1185" s="162" t="s">
        <v>498</v>
      </c>
      <c r="E1185" s="164" t="s">
        <v>498</v>
      </c>
      <c r="F1185" s="164" t="s">
        <v>1140</v>
      </c>
      <c r="G1185" s="164" t="s">
        <v>1139</v>
      </c>
      <c r="H1185" s="165">
        <v>33058</v>
      </c>
      <c r="I1185" s="164" t="s">
        <v>20</v>
      </c>
      <c r="J1185" s="164" t="s">
        <v>68</v>
      </c>
      <c r="K1185" s="165">
        <v>45992</v>
      </c>
      <c r="L1185" s="166" t="s">
        <v>500</v>
      </c>
      <c r="M1185" s="154"/>
      <c r="N1185" s="154"/>
      <c r="O1185" s="164" t="s">
        <v>65</v>
      </c>
      <c r="P1185" s="164">
        <v>36</v>
      </c>
      <c r="Q1185" s="164">
        <v>0</v>
      </c>
      <c r="R1185" s="167" t="s">
        <v>831</v>
      </c>
      <c r="S1185" s="167" t="s">
        <v>832</v>
      </c>
      <c r="T1185" s="162" t="s">
        <v>800</v>
      </c>
      <c r="U1185" s="167" t="s">
        <v>840</v>
      </c>
      <c r="X1185" s="169">
        <v>45992</v>
      </c>
      <c r="Y1185" s="170">
        <v>2.4999999966690001</v>
      </c>
      <c r="Z1185" s="170">
        <v>0.41666667000000002</v>
      </c>
      <c r="AA1185" s="170">
        <v>0</v>
      </c>
      <c r="AB1185" s="170">
        <v>0</v>
      </c>
      <c r="AC1185" s="171">
        <v>2.9166666666690002</v>
      </c>
      <c r="AD1185" s="172">
        <v>454632.73894000001</v>
      </c>
      <c r="AE1185" s="173">
        <v>2.92</v>
      </c>
      <c r="AF1185" s="174">
        <v>46357</v>
      </c>
    </row>
    <row r="1186" spans="1:32" ht="20" x14ac:dyDescent="0.35">
      <c r="A1186" s="162" t="s">
        <v>1141</v>
      </c>
      <c r="B1186" s="163" t="s">
        <v>1142</v>
      </c>
      <c r="C1186" s="154"/>
      <c r="D1186" s="162" t="s">
        <v>501</v>
      </c>
      <c r="E1186" s="164" t="s">
        <v>501</v>
      </c>
      <c r="F1186" s="164" t="s">
        <v>1142</v>
      </c>
      <c r="G1186" s="164" t="s">
        <v>1141</v>
      </c>
      <c r="H1186" s="165">
        <v>31097</v>
      </c>
      <c r="I1186" s="164" t="s">
        <v>20</v>
      </c>
      <c r="J1186" s="164" t="s">
        <v>68</v>
      </c>
      <c r="K1186" s="165">
        <v>45992</v>
      </c>
      <c r="L1186" s="166" t="s">
        <v>503</v>
      </c>
      <c r="M1186" s="154"/>
      <c r="N1186" s="154"/>
      <c r="O1186" s="164" t="s">
        <v>29</v>
      </c>
      <c r="P1186" s="164">
        <v>41</v>
      </c>
      <c r="Q1186" s="164">
        <v>0</v>
      </c>
      <c r="R1186" s="167" t="s">
        <v>831</v>
      </c>
      <c r="S1186" s="167" t="s">
        <v>832</v>
      </c>
      <c r="T1186" s="162" t="s">
        <v>794</v>
      </c>
      <c r="U1186" s="167" t="s">
        <v>795</v>
      </c>
      <c r="V1186" s="162" t="s">
        <v>1049</v>
      </c>
      <c r="W1186" s="168">
        <v>0</v>
      </c>
      <c r="X1186" s="169">
        <v>45992</v>
      </c>
      <c r="Y1186" s="170">
        <v>12.833333333331</v>
      </c>
      <c r="Z1186" s="170">
        <v>1.8333333300000001</v>
      </c>
      <c r="AA1186" s="170">
        <v>-10</v>
      </c>
      <c r="AB1186" s="170">
        <v>0</v>
      </c>
      <c r="AC1186" s="171">
        <v>4.6666666633310001</v>
      </c>
      <c r="AD1186" s="172">
        <v>926155.29035999998</v>
      </c>
      <c r="AE1186" s="173" t="s">
        <v>797</v>
      </c>
      <c r="AF1186" s="173"/>
    </row>
    <row r="1187" spans="1:32" ht="20" x14ac:dyDescent="0.35">
      <c r="A1187" s="162" t="s">
        <v>1141</v>
      </c>
      <c r="B1187" s="163" t="s">
        <v>1142</v>
      </c>
      <c r="C1187" s="154"/>
      <c r="D1187" s="162" t="s">
        <v>501</v>
      </c>
      <c r="E1187" s="164" t="s">
        <v>501</v>
      </c>
      <c r="F1187" s="164" t="s">
        <v>1142</v>
      </c>
      <c r="G1187" s="164" t="s">
        <v>1141</v>
      </c>
      <c r="H1187" s="165">
        <v>31097</v>
      </c>
      <c r="I1187" s="164" t="s">
        <v>20</v>
      </c>
      <c r="J1187" s="164" t="s">
        <v>68</v>
      </c>
      <c r="K1187" s="165">
        <v>45992</v>
      </c>
      <c r="L1187" s="166" t="s">
        <v>503</v>
      </c>
      <c r="M1187" s="154"/>
      <c r="N1187" s="154"/>
      <c r="O1187" s="164" t="s">
        <v>29</v>
      </c>
      <c r="P1187" s="164">
        <v>41</v>
      </c>
      <c r="Q1187" s="164">
        <v>0</v>
      </c>
      <c r="R1187" s="167" t="s">
        <v>831</v>
      </c>
      <c r="S1187" s="167" t="s">
        <v>832</v>
      </c>
      <c r="T1187" s="162" t="s">
        <v>798</v>
      </c>
      <c r="U1187" s="167" t="s">
        <v>839</v>
      </c>
      <c r="X1187" s="169">
        <v>45992</v>
      </c>
      <c r="Y1187" s="170">
        <v>180</v>
      </c>
      <c r="Z1187" s="170">
        <v>0</v>
      </c>
      <c r="AA1187" s="170">
        <v>0</v>
      </c>
      <c r="AB1187" s="170">
        <v>0</v>
      </c>
      <c r="AC1187" s="171">
        <v>180</v>
      </c>
      <c r="AD1187" s="172">
        <v>35723132.653679997</v>
      </c>
      <c r="AE1187" s="173">
        <v>180</v>
      </c>
      <c r="AF1187" s="174">
        <v>46357</v>
      </c>
    </row>
    <row r="1188" spans="1:32" ht="20" x14ac:dyDescent="0.35">
      <c r="A1188" s="162" t="s">
        <v>1141</v>
      </c>
      <c r="B1188" s="163" t="s">
        <v>1142</v>
      </c>
      <c r="C1188" s="154"/>
      <c r="D1188" s="162" t="s">
        <v>501</v>
      </c>
      <c r="E1188" s="164" t="s">
        <v>501</v>
      </c>
      <c r="F1188" s="164" t="s">
        <v>1142</v>
      </c>
      <c r="G1188" s="164" t="s">
        <v>1141</v>
      </c>
      <c r="H1188" s="165">
        <v>31097</v>
      </c>
      <c r="I1188" s="164" t="s">
        <v>20</v>
      </c>
      <c r="J1188" s="164" t="s">
        <v>68</v>
      </c>
      <c r="K1188" s="165">
        <v>45992</v>
      </c>
      <c r="L1188" s="166" t="s">
        <v>503</v>
      </c>
      <c r="M1188" s="154"/>
      <c r="N1188" s="154"/>
      <c r="O1188" s="164" t="s">
        <v>29</v>
      </c>
      <c r="P1188" s="164">
        <v>41</v>
      </c>
      <c r="Q1188" s="164">
        <v>0</v>
      </c>
      <c r="R1188" s="167" t="s">
        <v>831</v>
      </c>
      <c r="S1188" s="167" t="s">
        <v>832</v>
      </c>
      <c r="T1188" s="162" t="s">
        <v>800</v>
      </c>
      <c r="U1188" s="167" t="s">
        <v>801</v>
      </c>
      <c r="X1188" s="169">
        <v>45992</v>
      </c>
      <c r="Y1188" s="170">
        <v>26</v>
      </c>
      <c r="Z1188" s="170">
        <v>0</v>
      </c>
      <c r="AA1188" s="170">
        <v>0</v>
      </c>
      <c r="AB1188" s="170">
        <v>0</v>
      </c>
      <c r="AC1188" s="171">
        <v>26</v>
      </c>
      <c r="AD1188" s="172">
        <v>5160008.0499799997</v>
      </c>
      <c r="AE1188" s="173">
        <v>26</v>
      </c>
      <c r="AF1188" s="174">
        <v>46357</v>
      </c>
    </row>
    <row r="1189" spans="1:32" ht="20" x14ac:dyDescent="0.35">
      <c r="A1189" s="162" t="s">
        <v>1141</v>
      </c>
      <c r="B1189" s="163" t="s">
        <v>1142</v>
      </c>
      <c r="C1189" s="154"/>
      <c r="D1189" s="162" t="s">
        <v>501</v>
      </c>
      <c r="E1189" s="164" t="s">
        <v>501</v>
      </c>
      <c r="F1189" s="164" t="s">
        <v>1142</v>
      </c>
      <c r="G1189" s="164" t="s">
        <v>1141</v>
      </c>
      <c r="H1189" s="165">
        <v>31097</v>
      </c>
      <c r="I1189" s="164" t="s">
        <v>20</v>
      </c>
      <c r="J1189" s="164" t="s">
        <v>68</v>
      </c>
      <c r="K1189" s="165">
        <v>45992</v>
      </c>
      <c r="L1189" s="166" t="s">
        <v>503</v>
      </c>
      <c r="M1189" s="154"/>
      <c r="N1189" s="154"/>
      <c r="O1189" s="164" t="s">
        <v>29</v>
      </c>
      <c r="P1189" s="164">
        <v>41</v>
      </c>
      <c r="Q1189" s="164">
        <v>0</v>
      </c>
      <c r="R1189" s="167" t="s">
        <v>831</v>
      </c>
      <c r="S1189" s="167" t="s">
        <v>832</v>
      </c>
      <c r="T1189" s="162" t="s">
        <v>800</v>
      </c>
      <c r="U1189" s="167" t="s">
        <v>802</v>
      </c>
      <c r="X1189" s="169">
        <v>45992</v>
      </c>
      <c r="Y1189" s="170">
        <v>98</v>
      </c>
      <c r="Z1189" s="170">
        <v>0</v>
      </c>
      <c r="AA1189" s="170">
        <v>0</v>
      </c>
      <c r="AB1189" s="170">
        <v>0</v>
      </c>
      <c r="AC1189" s="171">
        <v>98</v>
      </c>
      <c r="AD1189" s="172">
        <v>19449261.111450002</v>
      </c>
      <c r="AE1189" s="173">
        <v>98</v>
      </c>
      <c r="AF1189" s="174">
        <v>46357</v>
      </c>
    </row>
    <row r="1190" spans="1:32" ht="20" x14ac:dyDescent="0.35">
      <c r="A1190" s="162" t="s">
        <v>1141</v>
      </c>
      <c r="B1190" s="163" t="s">
        <v>1142</v>
      </c>
      <c r="C1190" s="154"/>
      <c r="D1190" s="162" t="s">
        <v>501</v>
      </c>
      <c r="E1190" s="164" t="s">
        <v>501</v>
      </c>
      <c r="F1190" s="164" t="s">
        <v>1142</v>
      </c>
      <c r="G1190" s="164" t="s">
        <v>1141</v>
      </c>
      <c r="H1190" s="165">
        <v>31097</v>
      </c>
      <c r="I1190" s="164" t="s">
        <v>20</v>
      </c>
      <c r="J1190" s="164" t="s">
        <v>68</v>
      </c>
      <c r="K1190" s="165">
        <v>45992</v>
      </c>
      <c r="L1190" s="166" t="s">
        <v>503</v>
      </c>
      <c r="M1190" s="154"/>
      <c r="N1190" s="154"/>
      <c r="O1190" s="164" t="s">
        <v>29</v>
      </c>
      <c r="P1190" s="164">
        <v>41</v>
      </c>
      <c r="Q1190" s="164">
        <v>0</v>
      </c>
      <c r="R1190" s="167" t="s">
        <v>831</v>
      </c>
      <c r="S1190" s="167" t="s">
        <v>832</v>
      </c>
      <c r="T1190" s="162" t="s">
        <v>800</v>
      </c>
      <c r="U1190" s="167" t="s">
        <v>803</v>
      </c>
      <c r="X1190" s="169">
        <v>45992</v>
      </c>
      <c r="Y1190" s="170">
        <v>2</v>
      </c>
      <c r="Z1190" s="170">
        <v>0</v>
      </c>
      <c r="AA1190" s="170">
        <v>0</v>
      </c>
      <c r="AB1190" s="170">
        <v>0</v>
      </c>
      <c r="AC1190" s="171">
        <v>2</v>
      </c>
      <c r="AD1190" s="172">
        <v>396923.69614999997</v>
      </c>
      <c r="AE1190" s="173">
        <v>2</v>
      </c>
      <c r="AF1190" s="174">
        <v>46357</v>
      </c>
    </row>
    <row r="1191" spans="1:32" ht="20" x14ac:dyDescent="0.35">
      <c r="A1191" s="162" t="s">
        <v>1141</v>
      </c>
      <c r="B1191" s="163" t="s">
        <v>1142</v>
      </c>
      <c r="C1191" s="154"/>
      <c r="D1191" s="162" t="s">
        <v>501</v>
      </c>
      <c r="E1191" s="164" t="s">
        <v>501</v>
      </c>
      <c r="F1191" s="164" t="s">
        <v>1142</v>
      </c>
      <c r="G1191" s="164" t="s">
        <v>1141</v>
      </c>
      <c r="H1191" s="165">
        <v>31097</v>
      </c>
      <c r="I1191" s="164" t="s">
        <v>20</v>
      </c>
      <c r="J1191" s="164" t="s">
        <v>68</v>
      </c>
      <c r="K1191" s="165">
        <v>45992</v>
      </c>
      <c r="L1191" s="166" t="s">
        <v>503</v>
      </c>
      <c r="M1191" s="154"/>
      <c r="N1191" s="154"/>
      <c r="O1191" s="164" t="s">
        <v>29</v>
      </c>
      <c r="P1191" s="164">
        <v>41</v>
      </c>
      <c r="Q1191" s="164">
        <v>0</v>
      </c>
      <c r="R1191" s="167" t="s">
        <v>831</v>
      </c>
      <c r="S1191" s="167" t="s">
        <v>832</v>
      </c>
      <c r="T1191" s="162" t="s">
        <v>800</v>
      </c>
      <c r="U1191" s="167" t="s">
        <v>804</v>
      </c>
      <c r="X1191" s="169">
        <v>45992</v>
      </c>
      <c r="Y1191" s="170">
        <v>5</v>
      </c>
      <c r="Z1191" s="170">
        <v>0</v>
      </c>
      <c r="AA1191" s="170">
        <v>0</v>
      </c>
      <c r="AB1191" s="170">
        <v>0</v>
      </c>
      <c r="AC1191" s="171">
        <v>5</v>
      </c>
      <c r="AD1191" s="172">
        <v>992309.24037999997</v>
      </c>
      <c r="AE1191" s="173">
        <v>5</v>
      </c>
      <c r="AF1191" s="174">
        <v>46357</v>
      </c>
    </row>
    <row r="1192" spans="1:32" ht="20" x14ac:dyDescent="0.35">
      <c r="A1192" s="162" t="s">
        <v>1141</v>
      </c>
      <c r="B1192" s="163" t="s">
        <v>1142</v>
      </c>
      <c r="C1192" s="154"/>
      <c r="D1192" s="162" t="s">
        <v>501</v>
      </c>
      <c r="E1192" s="164" t="s">
        <v>501</v>
      </c>
      <c r="F1192" s="164" t="s">
        <v>1142</v>
      </c>
      <c r="G1192" s="164" t="s">
        <v>1141</v>
      </c>
      <c r="H1192" s="165">
        <v>31097</v>
      </c>
      <c r="I1192" s="164" t="s">
        <v>20</v>
      </c>
      <c r="J1192" s="164" t="s">
        <v>68</v>
      </c>
      <c r="K1192" s="165">
        <v>45992</v>
      </c>
      <c r="L1192" s="166" t="s">
        <v>503</v>
      </c>
      <c r="M1192" s="154"/>
      <c r="N1192" s="154"/>
      <c r="O1192" s="164" t="s">
        <v>29</v>
      </c>
      <c r="P1192" s="164">
        <v>41</v>
      </c>
      <c r="Q1192" s="164">
        <v>0</v>
      </c>
      <c r="R1192" s="167" t="s">
        <v>831</v>
      </c>
      <c r="S1192" s="167" t="s">
        <v>832</v>
      </c>
      <c r="T1192" s="162" t="s">
        <v>800</v>
      </c>
      <c r="U1192" s="167" t="s">
        <v>840</v>
      </c>
      <c r="X1192" s="169">
        <v>45992</v>
      </c>
      <c r="Y1192" s="170">
        <v>2.4999999966690001</v>
      </c>
      <c r="Z1192" s="170">
        <v>0.41666667000000002</v>
      </c>
      <c r="AA1192" s="170">
        <v>0</v>
      </c>
      <c r="AB1192" s="170">
        <v>0</v>
      </c>
      <c r="AC1192" s="171">
        <v>2.9166666666690002</v>
      </c>
      <c r="AD1192" s="172">
        <v>578847.05689000001</v>
      </c>
      <c r="AE1192" s="173">
        <v>2.92</v>
      </c>
      <c r="AF1192" s="174">
        <v>46357</v>
      </c>
    </row>
    <row r="1193" spans="1:32" ht="20" x14ac:dyDescent="0.35">
      <c r="A1193" s="162" t="s">
        <v>1143</v>
      </c>
      <c r="B1193" s="163" t="s">
        <v>1027</v>
      </c>
      <c r="C1193" s="154"/>
      <c r="D1193" s="162" t="s">
        <v>504</v>
      </c>
      <c r="E1193" s="164" t="s">
        <v>504</v>
      </c>
      <c r="F1193" s="164" t="s">
        <v>1027</v>
      </c>
      <c r="G1193" s="164" t="s">
        <v>1143</v>
      </c>
      <c r="H1193" s="165">
        <v>32689</v>
      </c>
      <c r="I1193" s="164" t="s">
        <v>20</v>
      </c>
      <c r="J1193" s="164" t="s">
        <v>68</v>
      </c>
      <c r="K1193" s="165">
        <v>45992</v>
      </c>
      <c r="L1193" s="166" t="s">
        <v>464</v>
      </c>
      <c r="M1193" s="154"/>
      <c r="N1193" s="154"/>
      <c r="O1193" s="164" t="s">
        <v>44</v>
      </c>
      <c r="P1193" s="164">
        <v>37</v>
      </c>
      <c r="Q1193" s="164">
        <v>0</v>
      </c>
      <c r="R1193" s="167" t="s">
        <v>831</v>
      </c>
      <c r="S1193" s="167" t="s">
        <v>832</v>
      </c>
      <c r="T1193" s="162" t="s">
        <v>794</v>
      </c>
      <c r="U1193" s="167" t="s">
        <v>795</v>
      </c>
      <c r="V1193" s="162" t="s">
        <v>1049</v>
      </c>
      <c r="W1193" s="168">
        <v>0</v>
      </c>
      <c r="X1193" s="169">
        <v>45992</v>
      </c>
      <c r="Y1193" s="170">
        <v>5.8333333333309998</v>
      </c>
      <c r="Z1193" s="170">
        <v>1.8333333300000001</v>
      </c>
      <c r="AA1193" s="170">
        <v>0</v>
      </c>
      <c r="AB1193" s="170">
        <v>0</v>
      </c>
      <c r="AC1193" s="171">
        <v>7.6666666633310001</v>
      </c>
      <c r="AD1193" s="172">
        <v>855189.20782999997</v>
      </c>
      <c r="AE1193" s="173" t="s">
        <v>797</v>
      </c>
      <c r="AF1193" s="173"/>
    </row>
    <row r="1194" spans="1:32" ht="20" x14ac:dyDescent="0.35">
      <c r="A1194" s="162" t="s">
        <v>1143</v>
      </c>
      <c r="B1194" s="163" t="s">
        <v>1027</v>
      </c>
      <c r="C1194" s="154"/>
      <c r="D1194" s="162" t="s">
        <v>504</v>
      </c>
      <c r="E1194" s="164" t="s">
        <v>504</v>
      </c>
      <c r="F1194" s="164" t="s">
        <v>1027</v>
      </c>
      <c r="G1194" s="164" t="s">
        <v>1143</v>
      </c>
      <c r="H1194" s="165">
        <v>32689</v>
      </c>
      <c r="I1194" s="164" t="s">
        <v>20</v>
      </c>
      <c r="J1194" s="164" t="s">
        <v>68</v>
      </c>
      <c r="K1194" s="165">
        <v>45992</v>
      </c>
      <c r="L1194" s="166" t="s">
        <v>464</v>
      </c>
      <c r="M1194" s="154"/>
      <c r="N1194" s="154"/>
      <c r="O1194" s="164" t="s">
        <v>44</v>
      </c>
      <c r="P1194" s="164">
        <v>37</v>
      </c>
      <c r="Q1194" s="164">
        <v>0</v>
      </c>
      <c r="R1194" s="167" t="s">
        <v>831</v>
      </c>
      <c r="S1194" s="167" t="s">
        <v>832</v>
      </c>
      <c r="T1194" s="162" t="s">
        <v>798</v>
      </c>
      <c r="U1194" s="167" t="s">
        <v>839</v>
      </c>
      <c r="X1194" s="169">
        <v>45992</v>
      </c>
      <c r="Y1194" s="170">
        <v>180</v>
      </c>
      <c r="Z1194" s="170">
        <v>0</v>
      </c>
      <c r="AA1194" s="170">
        <v>0</v>
      </c>
      <c r="AB1194" s="170">
        <v>0</v>
      </c>
      <c r="AC1194" s="171">
        <v>180</v>
      </c>
      <c r="AD1194" s="172">
        <v>20078355.322980002</v>
      </c>
      <c r="AE1194" s="173">
        <v>180</v>
      </c>
      <c r="AF1194" s="174">
        <v>46357</v>
      </c>
    </row>
    <row r="1195" spans="1:32" ht="20" x14ac:dyDescent="0.35">
      <c r="A1195" s="162" t="s">
        <v>1143</v>
      </c>
      <c r="B1195" s="163" t="s">
        <v>1027</v>
      </c>
      <c r="C1195" s="154"/>
      <c r="D1195" s="162" t="s">
        <v>504</v>
      </c>
      <c r="E1195" s="164" t="s">
        <v>504</v>
      </c>
      <c r="F1195" s="164" t="s">
        <v>1027</v>
      </c>
      <c r="G1195" s="164" t="s">
        <v>1143</v>
      </c>
      <c r="H1195" s="165">
        <v>32689</v>
      </c>
      <c r="I1195" s="164" t="s">
        <v>20</v>
      </c>
      <c r="J1195" s="164" t="s">
        <v>68</v>
      </c>
      <c r="K1195" s="165">
        <v>45992</v>
      </c>
      <c r="L1195" s="166" t="s">
        <v>464</v>
      </c>
      <c r="M1195" s="154"/>
      <c r="N1195" s="154"/>
      <c r="O1195" s="164" t="s">
        <v>44</v>
      </c>
      <c r="P1195" s="164">
        <v>37</v>
      </c>
      <c r="Q1195" s="164">
        <v>0</v>
      </c>
      <c r="R1195" s="167" t="s">
        <v>831</v>
      </c>
      <c r="S1195" s="167" t="s">
        <v>832</v>
      </c>
      <c r="T1195" s="162" t="s">
        <v>800</v>
      </c>
      <c r="U1195" s="167" t="s">
        <v>801</v>
      </c>
      <c r="X1195" s="169">
        <v>45992</v>
      </c>
      <c r="Y1195" s="170">
        <v>26</v>
      </c>
      <c r="Z1195" s="170">
        <v>0</v>
      </c>
      <c r="AA1195" s="170">
        <v>0</v>
      </c>
      <c r="AB1195" s="170">
        <v>0</v>
      </c>
      <c r="AC1195" s="171">
        <v>26</v>
      </c>
      <c r="AD1195" s="172">
        <v>2900206.8799899998</v>
      </c>
      <c r="AE1195" s="173">
        <v>26</v>
      </c>
      <c r="AF1195" s="174">
        <v>46357</v>
      </c>
    </row>
    <row r="1196" spans="1:32" ht="20" x14ac:dyDescent="0.35">
      <c r="A1196" s="162" t="s">
        <v>1143</v>
      </c>
      <c r="B1196" s="163" t="s">
        <v>1027</v>
      </c>
      <c r="C1196" s="154"/>
      <c r="D1196" s="162" t="s">
        <v>504</v>
      </c>
      <c r="E1196" s="164" t="s">
        <v>504</v>
      </c>
      <c r="F1196" s="164" t="s">
        <v>1027</v>
      </c>
      <c r="G1196" s="164" t="s">
        <v>1143</v>
      </c>
      <c r="H1196" s="165">
        <v>32689</v>
      </c>
      <c r="I1196" s="164" t="s">
        <v>20</v>
      </c>
      <c r="J1196" s="164" t="s">
        <v>68</v>
      </c>
      <c r="K1196" s="165">
        <v>45992</v>
      </c>
      <c r="L1196" s="166" t="s">
        <v>464</v>
      </c>
      <c r="M1196" s="154"/>
      <c r="N1196" s="154"/>
      <c r="O1196" s="164" t="s">
        <v>44</v>
      </c>
      <c r="P1196" s="164">
        <v>37</v>
      </c>
      <c r="Q1196" s="164">
        <v>0</v>
      </c>
      <c r="R1196" s="167" t="s">
        <v>831</v>
      </c>
      <c r="S1196" s="167" t="s">
        <v>832</v>
      </c>
      <c r="T1196" s="162" t="s">
        <v>800</v>
      </c>
      <c r="U1196" s="167" t="s">
        <v>802</v>
      </c>
      <c r="X1196" s="169">
        <v>45992</v>
      </c>
      <c r="Y1196" s="170">
        <v>98</v>
      </c>
      <c r="Z1196" s="170">
        <v>0</v>
      </c>
      <c r="AA1196" s="170">
        <v>0</v>
      </c>
      <c r="AB1196" s="170">
        <v>0</v>
      </c>
      <c r="AC1196" s="171">
        <v>98</v>
      </c>
      <c r="AD1196" s="172">
        <v>10931549.00918</v>
      </c>
      <c r="AE1196" s="173">
        <v>98</v>
      </c>
      <c r="AF1196" s="174">
        <v>46357</v>
      </c>
    </row>
    <row r="1197" spans="1:32" ht="20" x14ac:dyDescent="0.35">
      <c r="A1197" s="162" t="s">
        <v>1143</v>
      </c>
      <c r="B1197" s="163" t="s">
        <v>1027</v>
      </c>
      <c r="C1197" s="154"/>
      <c r="D1197" s="162" t="s">
        <v>504</v>
      </c>
      <c r="E1197" s="164" t="s">
        <v>504</v>
      </c>
      <c r="F1197" s="164" t="s">
        <v>1027</v>
      </c>
      <c r="G1197" s="164" t="s">
        <v>1143</v>
      </c>
      <c r="H1197" s="165">
        <v>32689</v>
      </c>
      <c r="I1197" s="164" t="s">
        <v>20</v>
      </c>
      <c r="J1197" s="164" t="s">
        <v>68</v>
      </c>
      <c r="K1197" s="165">
        <v>45992</v>
      </c>
      <c r="L1197" s="166" t="s">
        <v>464</v>
      </c>
      <c r="M1197" s="154"/>
      <c r="N1197" s="154"/>
      <c r="O1197" s="164" t="s">
        <v>44</v>
      </c>
      <c r="P1197" s="164">
        <v>37</v>
      </c>
      <c r="Q1197" s="164">
        <v>0</v>
      </c>
      <c r="R1197" s="167" t="s">
        <v>831</v>
      </c>
      <c r="S1197" s="167" t="s">
        <v>832</v>
      </c>
      <c r="T1197" s="162" t="s">
        <v>800</v>
      </c>
      <c r="U1197" s="167" t="s">
        <v>803</v>
      </c>
      <c r="X1197" s="169">
        <v>45992</v>
      </c>
      <c r="Y1197" s="170">
        <v>2</v>
      </c>
      <c r="Z1197" s="170">
        <v>0</v>
      </c>
      <c r="AA1197" s="170">
        <v>0</v>
      </c>
      <c r="AB1197" s="170">
        <v>0</v>
      </c>
      <c r="AC1197" s="171">
        <v>2</v>
      </c>
      <c r="AD1197" s="172">
        <v>223092.83692</v>
      </c>
      <c r="AE1197" s="173">
        <v>2</v>
      </c>
      <c r="AF1197" s="174">
        <v>46357</v>
      </c>
    </row>
    <row r="1198" spans="1:32" ht="20" x14ac:dyDescent="0.35">
      <c r="A1198" s="162" t="s">
        <v>1143</v>
      </c>
      <c r="B1198" s="163" t="s">
        <v>1027</v>
      </c>
      <c r="C1198" s="154"/>
      <c r="D1198" s="162" t="s">
        <v>504</v>
      </c>
      <c r="E1198" s="164" t="s">
        <v>504</v>
      </c>
      <c r="F1198" s="164" t="s">
        <v>1027</v>
      </c>
      <c r="G1198" s="164" t="s">
        <v>1143</v>
      </c>
      <c r="H1198" s="165">
        <v>32689</v>
      </c>
      <c r="I1198" s="164" t="s">
        <v>20</v>
      </c>
      <c r="J1198" s="164" t="s">
        <v>68</v>
      </c>
      <c r="K1198" s="165">
        <v>45992</v>
      </c>
      <c r="L1198" s="166" t="s">
        <v>464</v>
      </c>
      <c r="M1198" s="154"/>
      <c r="N1198" s="154"/>
      <c r="O1198" s="164" t="s">
        <v>44</v>
      </c>
      <c r="P1198" s="164">
        <v>37</v>
      </c>
      <c r="Q1198" s="164">
        <v>0</v>
      </c>
      <c r="R1198" s="167" t="s">
        <v>831</v>
      </c>
      <c r="S1198" s="167" t="s">
        <v>832</v>
      </c>
      <c r="T1198" s="162" t="s">
        <v>800</v>
      </c>
      <c r="U1198" s="167" t="s">
        <v>804</v>
      </c>
      <c r="X1198" s="169">
        <v>45992</v>
      </c>
      <c r="Y1198" s="170">
        <v>5</v>
      </c>
      <c r="Z1198" s="170">
        <v>0</v>
      </c>
      <c r="AA1198" s="170">
        <v>0</v>
      </c>
      <c r="AB1198" s="170">
        <v>0</v>
      </c>
      <c r="AC1198" s="171">
        <v>5</v>
      </c>
      <c r="AD1198" s="172">
        <v>557732.09230000002</v>
      </c>
      <c r="AE1198" s="173">
        <v>5</v>
      </c>
      <c r="AF1198" s="174">
        <v>46357</v>
      </c>
    </row>
    <row r="1199" spans="1:32" ht="20" x14ac:dyDescent="0.35">
      <c r="A1199" s="162" t="s">
        <v>1143</v>
      </c>
      <c r="B1199" s="163" t="s">
        <v>1027</v>
      </c>
      <c r="C1199" s="154"/>
      <c r="D1199" s="162" t="s">
        <v>504</v>
      </c>
      <c r="E1199" s="164" t="s">
        <v>504</v>
      </c>
      <c r="F1199" s="164" t="s">
        <v>1027</v>
      </c>
      <c r="G1199" s="164" t="s">
        <v>1143</v>
      </c>
      <c r="H1199" s="165">
        <v>32689</v>
      </c>
      <c r="I1199" s="164" t="s">
        <v>20</v>
      </c>
      <c r="J1199" s="164" t="s">
        <v>68</v>
      </c>
      <c r="K1199" s="165">
        <v>45992</v>
      </c>
      <c r="L1199" s="166" t="s">
        <v>464</v>
      </c>
      <c r="M1199" s="154"/>
      <c r="N1199" s="154"/>
      <c r="O1199" s="164" t="s">
        <v>44</v>
      </c>
      <c r="P1199" s="164">
        <v>37</v>
      </c>
      <c r="Q1199" s="164">
        <v>0</v>
      </c>
      <c r="R1199" s="167" t="s">
        <v>831</v>
      </c>
      <c r="S1199" s="167" t="s">
        <v>832</v>
      </c>
      <c r="T1199" s="162" t="s">
        <v>800</v>
      </c>
      <c r="U1199" s="167" t="s">
        <v>840</v>
      </c>
      <c r="X1199" s="169">
        <v>45992</v>
      </c>
      <c r="Y1199" s="170">
        <v>2.4999999966690001</v>
      </c>
      <c r="Z1199" s="170">
        <v>0.41666667000000002</v>
      </c>
      <c r="AA1199" s="170">
        <v>0</v>
      </c>
      <c r="AB1199" s="170">
        <v>0</v>
      </c>
      <c r="AC1199" s="171">
        <v>2.9166666666690002</v>
      </c>
      <c r="AD1199" s="172">
        <v>325343.72051000001</v>
      </c>
      <c r="AE1199" s="173">
        <v>2.92</v>
      </c>
      <c r="AF1199" s="174">
        <v>46357</v>
      </c>
    </row>
    <row r="1200" spans="1:32" ht="20" x14ac:dyDescent="0.35">
      <c r="A1200" s="162" t="s">
        <v>667</v>
      </c>
      <c r="B1200" s="163" t="s">
        <v>1144</v>
      </c>
      <c r="C1200" s="154"/>
      <c r="D1200" s="162" t="s">
        <v>506</v>
      </c>
      <c r="E1200" s="164" t="s">
        <v>506</v>
      </c>
      <c r="F1200" s="164" t="s">
        <v>1144</v>
      </c>
      <c r="G1200" s="164" t="s">
        <v>667</v>
      </c>
      <c r="H1200" s="165">
        <v>32347</v>
      </c>
      <c r="I1200" s="164" t="s">
        <v>20</v>
      </c>
      <c r="J1200" s="164" t="s">
        <v>68</v>
      </c>
      <c r="K1200" s="165">
        <v>46146</v>
      </c>
      <c r="L1200" s="166" t="s">
        <v>453</v>
      </c>
      <c r="M1200" s="154"/>
      <c r="N1200" s="154"/>
      <c r="O1200" s="164" t="s">
        <v>44</v>
      </c>
      <c r="P1200" s="164">
        <v>38</v>
      </c>
      <c r="Q1200" s="164">
        <v>0</v>
      </c>
      <c r="R1200" s="167" t="s">
        <v>888</v>
      </c>
      <c r="S1200" s="167" t="s">
        <v>45</v>
      </c>
      <c r="T1200" s="162" t="s">
        <v>794</v>
      </c>
      <c r="U1200" s="167" t="s">
        <v>795</v>
      </c>
      <c r="V1200" s="162" t="s">
        <v>1049</v>
      </c>
      <c r="W1200" s="168">
        <v>0</v>
      </c>
      <c r="X1200" s="169">
        <v>46146</v>
      </c>
      <c r="Y1200" s="170">
        <v>3.4892473166659999</v>
      </c>
      <c r="Z1200" s="170">
        <v>1.8333333300000001</v>
      </c>
      <c r="AA1200" s="170">
        <v>0</v>
      </c>
      <c r="AB1200" s="170">
        <v>0</v>
      </c>
      <c r="AC1200" s="171">
        <v>5.3225806466660002</v>
      </c>
      <c r="AD1200" s="172">
        <v>621411.02026999998</v>
      </c>
      <c r="AE1200" s="173" t="s">
        <v>797</v>
      </c>
      <c r="AF1200" s="173"/>
    </row>
    <row r="1201" spans="1:32" ht="20" x14ac:dyDescent="0.35">
      <c r="A1201" s="162" t="s">
        <v>667</v>
      </c>
      <c r="B1201" s="163" t="s">
        <v>1144</v>
      </c>
      <c r="C1201" s="154"/>
      <c r="D1201" s="162" t="s">
        <v>506</v>
      </c>
      <c r="E1201" s="164" t="s">
        <v>506</v>
      </c>
      <c r="F1201" s="164" t="s">
        <v>1144</v>
      </c>
      <c r="G1201" s="164" t="s">
        <v>667</v>
      </c>
      <c r="H1201" s="165">
        <v>32347</v>
      </c>
      <c r="I1201" s="164" t="s">
        <v>20</v>
      </c>
      <c r="J1201" s="164" t="s">
        <v>68</v>
      </c>
      <c r="K1201" s="165">
        <v>46146</v>
      </c>
      <c r="L1201" s="166" t="s">
        <v>453</v>
      </c>
      <c r="M1201" s="154"/>
      <c r="N1201" s="154"/>
      <c r="O1201" s="164" t="s">
        <v>44</v>
      </c>
      <c r="P1201" s="164">
        <v>38</v>
      </c>
      <c r="Q1201" s="164">
        <v>0</v>
      </c>
      <c r="R1201" s="167" t="s">
        <v>888</v>
      </c>
      <c r="S1201" s="167" t="s">
        <v>45</v>
      </c>
      <c r="T1201" s="162" t="s">
        <v>798</v>
      </c>
      <c r="U1201" s="167" t="s">
        <v>839</v>
      </c>
      <c r="X1201" s="169">
        <v>46146</v>
      </c>
      <c r="Y1201" s="170">
        <v>180</v>
      </c>
      <c r="Z1201" s="170">
        <v>0</v>
      </c>
      <c r="AA1201" s="170">
        <v>0</v>
      </c>
      <c r="AB1201" s="170">
        <v>0</v>
      </c>
      <c r="AC1201" s="171">
        <v>180</v>
      </c>
      <c r="AD1201" s="172">
        <v>21014990.861400001</v>
      </c>
      <c r="AE1201" s="173">
        <v>180</v>
      </c>
      <c r="AF1201" s="174">
        <v>46357</v>
      </c>
    </row>
    <row r="1202" spans="1:32" ht="20" x14ac:dyDescent="0.35">
      <c r="A1202" s="162" t="s">
        <v>667</v>
      </c>
      <c r="B1202" s="163" t="s">
        <v>1144</v>
      </c>
      <c r="C1202" s="154"/>
      <c r="D1202" s="162" t="s">
        <v>506</v>
      </c>
      <c r="E1202" s="164" t="s">
        <v>506</v>
      </c>
      <c r="F1202" s="164" t="s">
        <v>1144</v>
      </c>
      <c r="G1202" s="164" t="s">
        <v>667</v>
      </c>
      <c r="H1202" s="165">
        <v>32347</v>
      </c>
      <c r="I1202" s="164" t="s">
        <v>20</v>
      </c>
      <c r="J1202" s="164" t="s">
        <v>68</v>
      </c>
      <c r="K1202" s="165">
        <v>46146</v>
      </c>
      <c r="L1202" s="166" t="s">
        <v>453</v>
      </c>
      <c r="M1202" s="154"/>
      <c r="N1202" s="154"/>
      <c r="O1202" s="164" t="s">
        <v>44</v>
      </c>
      <c r="P1202" s="164">
        <v>38</v>
      </c>
      <c r="Q1202" s="164">
        <v>0</v>
      </c>
      <c r="R1202" s="167" t="s">
        <v>888</v>
      </c>
      <c r="S1202" s="167" t="s">
        <v>45</v>
      </c>
      <c r="T1202" s="162" t="s">
        <v>800</v>
      </c>
      <c r="U1202" s="167" t="s">
        <v>801</v>
      </c>
      <c r="X1202" s="169">
        <v>46146</v>
      </c>
      <c r="Y1202" s="170">
        <v>26</v>
      </c>
      <c r="Z1202" s="170">
        <v>0</v>
      </c>
      <c r="AA1202" s="170">
        <v>0</v>
      </c>
      <c r="AB1202" s="170">
        <v>0</v>
      </c>
      <c r="AC1202" s="171">
        <v>26</v>
      </c>
      <c r="AD1202" s="172">
        <v>3035498.67998</v>
      </c>
      <c r="AE1202" s="173">
        <v>26</v>
      </c>
      <c r="AF1202" s="174">
        <v>46357</v>
      </c>
    </row>
    <row r="1203" spans="1:32" ht="20" x14ac:dyDescent="0.35">
      <c r="A1203" s="162" t="s">
        <v>667</v>
      </c>
      <c r="B1203" s="163" t="s">
        <v>1144</v>
      </c>
      <c r="C1203" s="154"/>
      <c r="D1203" s="162" t="s">
        <v>506</v>
      </c>
      <c r="E1203" s="164" t="s">
        <v>506</v>
      </c>
      <c r="F1203" s="164" t="s">
        <v>1144</v>
      </c>
      <c r="G1203" s="164" t="s">
        <v>667</v>
      </c>
      <c r="H1203" s="165">
        <v>32347</v>
      </c>
      <c r="I1203" s="164" t="s">
        <v>20</v>
      </c>
      <c r="J1203" s="164" t="s">
        <v>68</v>
      </c>
      <c r="K1203" s="165">
        <v>46146</v>
      </c>
      <c r="L1203" s="166" t="s">
        <v>453</v>
      </c>
      <c r="M1203" s="154"/>
      <c r="N1203" s="154"/>
      <c r="O1203" s="164" t="s">
        <v>44</v>
      </c>
      <c r="P1203" s="164">
        <v>38</v>
      </c>
      <c r="Q1203" s="164">
        <v>0</v>
      </c>
      <c r="R1203" s="167" t="s">
        <v>888</v>
      </c>
      <c r="S1203" s="167" t="s">
        <v>45</v>
      </c>
      <c r="T1203" s="162" t="s">
        <v>800</v>
      </c>
      <c r="U1203" s="167" t="s">
        <v>802</v>
      </c>
      <c r="X1203" s="169">
        <v>46146</v>
      </c>
      <c r="Y1203" s="170">
        <v>98</v>
      </c>
      <c r="Z1203" s="170">
        <v>0</v>
      </c>
      <c r="AA1203" s="170">
        <v>0</v>
      </c>
      <c r="AB1203" s="170">
        <v>0</v>
      </c>
      <c r="AC1203" s="171">
        <v>98</v>
      </c>
      <c r="AD1203" s="172">
        <v>11441495.02454</v>
      </c>
      <c r="AE1203" s="173">
        <v>98</v>
      </c>
      <c r="AF1203" s="174">
        <v>46357</v>
      </c>
    </row>
    <row r="1204" spans="1:32" ht="20" x14ac:dyDescent="0.35">
      <c r="A1204" s="162" t="s">
        <v>667</v>
      </c>
      <c r="B1204" s="163" t="s">
        <v>1144</v>
      </c>
      <c r="C1204" s="154"/>
      <c r="D1204" s="162" t="s">
        <v>506</v>
      </c>
      <c r="E1204" s="164" t="s">
        <v>506</v>
      </c>
      <c r="F1204" s="164" t="s">
        <v>1144</v>
      </c>
      <c r="G1204" s="164" t="s">
        <v>667</v>
      </c>
      <c r="H1204" s="165">
        <v>32347</v>
      </c>
      <c r="I1204" s="164" t="s">
        <v>20</v>
      </c>
      <c r="J1204" s="164" t="s">
        <v>68</v>
      </c>
      <c r="K1204" s="165">
        <v>46146</v>
      </c>
      <c r="L1204" s="166" t="s">
        <v>453</v>
      </c>
      <c r="M1204" s="154"/>
      <c r="N1204" s="154"/>
      <c r="O1204" s="164" t="s">
        <v>44</v>
      </c>
      <c r="P1204" s="164">
        <v>38</v>
      </c>
      <c r="Q1204" s="164">
        <v>0</v>
      </c>
      <c r="R1204" s="167" t="s">
        <v>888</v>
      </c>
      <c r="S1204" s="167" t="s">
        <v>45</v>
      </c>
      <c r="T1204" s="162" t="s">
        <v>800</v>
      </c>
      <c r="U1204" s="167" t="s">
        <v>803</v>
      </c>
      <c r="X1204" s="169">
        <v>46146</v>
      </c>
      <c r="Y1204" s="170">
        <v>2</v>
      </c>
      <c r="Z1204" s="170">
        <v>0</v>
      </c>
      <c r="AA1204" s="170">
        <v>0</v>
      </c>
      <c r="AB1204" s="170">
        <v>0</v>
      </c>
      <c r="AC1204" s="171">
        <v>2</v>
      </c>
      <c r="AD1204" s="172">
        <v>233499.89846</v>
      </c>
      <c r="AE1204" s="173">
        <v>2</v>
      </c>
      <c r="AF1204" s="174">
        <v>46357</v>
      </c>
    </row>
    <row r="1205" spans="1:32" ht="20" x14ac:dyDescent="0.35">
      <c r="A1205" s="162" t="s">
        <v>667</v>
      </c>
      <c r="B1205" s="163" t="s">
        <v>1144</v>
      </c>
      <c r="C1205" s="154"/>
      <c r="D1205" s="162" t="s">
        <v>506</v>
      </c>
      <c r="E1205" s="164" t="s">
        <v>506</v>
      </c>
      <c r="F1205" s="164" t="s">
        <v>1144</v>
      </c>
      <c r="G1205" s="164" t="s">
        <v>667</v>
      </c>
      <c r="H1205" s="165">
        <v>32347</v>
      </c>
      <c r="I1205" s="164" t="s">
        <v>20</v>
      </c>
      <c r="J1205" s="164" t="s">
        <v>68</v>
      </c>
      <c r="K1205" s="165">
        <v>46146</v>
      </c>
      <c r="L1205" s="166" t="s">
        <v>453</v>
      </c>
      <c r="M1205" s="154"/>
      <c r="N1205" s="154"/>
      <c r="O1205" s="164" t="s">
        <v>44</v>
      </c>
      <c r="P1205" s="164">
        <v>38</v>
      </c>
      <c r="Q1205" s="164">
        <v>0</v>
      </c>
      <c r="R1205" s="167" t="s">
        <v>888</v>
      </c>
      <c r="S1205" s="167" t="s">
        <v>45</v>
      </c>
      <c r="T1205" s="162" t="s">
        <v>800</v>
      </c>
      <c r="U1205" s="167" t="s">
        <v>804</v>
      </c>
      <c r="X1205" s="169">
        <v>46146</v>
      </c>
      <c r="Y1205" s="170">
        <v>5</v>
      </c>
      <c r="Z1205" s="170">
        <v>0</v>
      </c>
      <c r="AA1205" s="170">
        <v>0</v>
      </c>
      <c r="AB1205" s="170">
        <v>0</v>
      </c>
      <c r="AC1205" s="171">
        <v>5</v>
      </c>
      <c r="AD1205" s="172">
        <v>583749.74615000002</v>
      </c>
      <c r="AE1205" s="173">
        <v>5</v>
      </c>
      <c r="AF1205" s="174">
        <v>46357</v>
      </c>
    </row>
    <row r="1206" spans="1:32" ht="20" x14ac:dyDescent="0.35">
      <c r="A1206" s="162" t="s">
        <v>667</v>
      </c>
      <c r="B1206" s="163" t="s">
        <v>1144</v>
      </c>
      <c r="C1206" s="154"/>
      <c r="D1206" s="162" t="s">
        <v>506</v>
      </c>
      <c r="E1206" s="164" t="s">
        <v>506</v>
      </c>
      <c r="F1206" s="164" t="s">
        <v>1144</v>
      </c>
      <c r="G1206" s="164" t="s">
        <v>667</v>
      </c>
      <c r="H1206" s="165">
        <v>32347</v>
      </c>
      <c r="I1206" s="164" t="s">
        <v>20</v>
      </c>
      <c r="J1206" s="164" t="s">
        <v>68</v>
      </c>
      <c r="K1206" s="165">
        <v>46146</v>
      </c>
      <c r="L1206" s="166" t="s">
        <v>453</v>
      </c>
      <c r="M1206" s="154"/>
      <c r="N1206" s="154"/>
      <c r="O1206" s="164" t="s">
        <v>44</v>
      </c>
      <c r="P1206" s="164">
        <v>38</v>
      </c>
      <c r="Q1206" s="164">
        <v>0</v>
      </c>
      <c r="R1206" s="167" t="s">
        <v>888</v>
      </c>
      <c r="S1206" s="167" t="s">
        <v>45</v>
      </c>
      <c r="T1206" s="162" t="s">
        <v>800</v>
      </c>
      <c r="U1206" s="167" t="s">
        <v>840</v>
      </c>
      <c r="X1206" s="169">
        <v>46146</v>
      </c>
      <c r="Y1206" s="170">
        <v>0.83333333000099996</v>
      </c>
      <c r="Z1206" s="170">
        <v>0.41666667000000002</v>
      </c>
      <c r="AA1206" s="170">
        <v>0</v>
      </c>
      <c r="AB1206" s="170">
        <v>0</v>
      </c>
      <c r="AC1206" s="171">
        <v>1.2500000000010001</v>
      </c>
      <c r="AD1206" s="172">
        <v>145937.43654</v>
      </c>
      <c r="AE1206" s="173">
        <v>1.25</v>
      </c>
      <c r="AF1206" s="174">
        <v>46357</v>
      </c>
    </row>
    <row r="1207" spans="1:32" ht="20" x14ac:dyDescent="0.35">
      <c r="A1207" s="162" t="s">
        <v>1145</v>
      </c>
      <c r="B1207" s="163" t="s">
        <v>1146</v>
      </c>
      <c r="C1207" s="154"/>
      <c r="D1207" s="162" t="s">
        <v>508</v>
      </c>
      <c r="E1207" s="164" t="s">
        <v>508</v>
      </c>
      <c r="F1207" s="164" t="s">
        <v>1146</v>
      </c>
      <c r="G1207" s="164" t="s">
        <v>1145</v>
      </c>
      <c r="H1207" s="165">
        <v>36995</v>
      </c>
      <c r="I1207" s="164" t="s">
        <v>20</v>
      </c>
      <c r="J1207" s="164" t="s">
        <v>68</v>
      </c>
      <c r="K1207" s="165">
        <v>46174</v>
      </c>
      <c r="L1207" s="166" t="s">
        <v>414</v>
      </c>
      <c r="M1207" s="154"/>
      <c r="N1207" s="154"/>
      <c r="O1207" s="164" t="s">
        <v>65</v>
      </c>
      <c r="P1207" s="164">
        <v>25</v>
      </c>
      <c r="Q1207" s="164">
        <v>0</v>
      </c>
      <c r="R1207" s="167" t="s">
        <v>941</v>
      </c>
      <c r="S1207" s="167" t="s">
        <v>844</v>
      </c>
      <c r="T1207" s="162" t="s">
        <v>794</v>
      </c>
      <c r="U1207" s="167" t="s">
        <v>795</v>
      </c>
      <c r="V1207" s="162" t="s">
        <v>1049</v>
      </c>
      <c r="W1207" s="168">
        <v>0</v>
      </c>
      <c r="X1207" s="169">
        <v>46174</v>
      </c>
      <c r="Y1207" s="170">
        <v>1.833333333333</v>
      </c>
      <c r="Z1207" s="170">
        <v>1.8333333300000001</v>
      </c>
      <c r="AA1207" s="170">
        <v>0</v>
      </c>
      <c r="AB1207" s="170">
        <v>0</v>
      </c>
      <c r="AC1207" s="171">
        <v>3.6666666633329998</v>
      </c>
      <c r="AD1207" s="172">
        <v>569708.83909000002</v>
      </c>
      <c r="AE1207" s="173" t="s">
        <v>797</v>
      </c>
      <c r="AF1207" s="173"/>
    </row>
    <row r="1208" spans="1:32" ht="20" x14ac:dyDescent="0.35">
      <c r="A1208" s="162" t="s">
        <v>1145</v>
      </c>
      <c r="B1208" s="163" t="s">
        <v>1146</v>
      </c>
      <c r="C1208" s="154"/>
      <c r="D1208" s="162" t="s">
        <v>508</v>
      </c>
      <c r="E1208" s="164" t="s">
        <v>508</v>
      </c>
      <c r="F1208" s="164" t="s">
        <v>1146</v>
      </c>
      <c r="G1208" s="164" t="s">
        <v>1145</v>
      </c>
      <c r="H1208" s="165">
        <v>36995</v>
      </c>
      <c r="I1208" s="164" t="s">
        <v>20</v>
      </c>
      <c r="J1208" s="164" t="s">
        <v>68</v>
      </c>
      <c r="K1208" s="165">
        <v>46174</v>
      </c>
      <c r="L1208" s="166" t="s">
        <v>414</v>
      </c>
      <c r="M1208" s="154"/>
      <c r="N1208" s="154"/>
      <c r="O1208" s="164" t="s">
        <v>65</v>
      </c>
      <c r="P1208" s="164">
        <v>25</v>
      </c>
      <c r="Q1208" s="164">
        <v>0</v>
      </c>
      <c r="R1208" s="167" t="s">
        <v>941</v>
      </c>
      <c r="S1208" s="167" t="s">
        <v>844</v>
      </c>
      <c r="T1208" s="162" t="s">
        <v>798</v>
      </c>
      <c r="U1208" s="167" t="s">
        <v>839</v>
      </c>
      <c r="X1208" s="169">
        <v>46174</v>
      </c>
      <c r="Y1208" s="170">
        <v>180</v>
      </c>
      <c r="Z1208" s="170">
        <v>0</v>
      </c>
      <c r="AA1208" s="170">
        <v>0</v>
      </c>
      <c r="AB1208" s="170">
        <v>0</v>
      </c>
      <c r="AC1208" s="171">
        <v>180</v>
      </c>
      <c r="AD1208" s="172">
        <v>27967524.85368</v>
      </c>
      <c r="AE1208" s="173">
        <v>180</v>
      </c>
      <c r="AF1208" s="174">
        <v>46357</v>
      </c>
    </row>
    <row r="1209" spans="1:32" ht="20" x14ac:dyDescent="0.35">
      <c r="A1209" s="162" t="s">
        <v>1145</v>
      </c>
      <c r="B1209" s="163" t="s">
        <v>1146</v>
      </c>
      <c r="C1209" s="154"/>
      <c r="D1209" s="162" t="s">
        <v>508</v>
      </c>
      <c r="E1209" s="164" t="s">
        <v>508</v>
      </c>
      <c r="F1209" s="164" t="s">
        <v>1146</v>
      </c>
      <c r="G1209" s="164" t="s">
        <v>1145</v>
      </c>
      <c r="H1209" s="165">
        <v>36995</v>
      </c>
      <c r="I1209" s="164" t="s">
        <v>20</v>
      </c>
      <c r="J1209" s="164" t="s">
        <v>68</v>
      </c>
      <c r="K1209" s="165">
        <v>46174</v>
      </c>
      <c r="L1209" s="166" t="s">
        <v>414</v>
      </c>
      <c r="M1209" s="154"/>
      <c r="N1209" s="154"/>
      <c r="O1209" s="164" t="s">
        <v>65</v>
      </c>
      <c r="P1209" s="164">
        <v>25</v>
      </c>
      <c r="Q1209" s="164">
        <v>0</v>
      </c>
      <c r="R1209" s="167" t="s">
        <v>941</v>
      </c>
      <c r="S1209" s="167" t="s">
        <v>844</v>
      </c>
      <c r="T1209" s="162" t="s">
        <v>800</v>
      </c>
      <c r="U1209" s="167" t="s">
        <v>801</v>
      </c>
      <c r="X1209" s="169">
        <v>46174</v>
      </c>
      <c r="Y1209" s="170">
        <v>26</v>
      </c>
      <c r="Z1209" s="170">
        <v>0</v>
      </c>
      <c r="AA1209" s="170">
        <v>0</v>
      </c>
      <c r="AB1209" s="170">
        <v>0</v>
      </c>
      <c r="AC1209" s="171">
        <v>26</v>
      </c>
      <c r="AD1209" s="172">
        <v>4039753.5899800002</v>
      </c>
      <c r="AE1209" s="173">
        <v>26</v>
      </c>
      <c r="AF1209" s="174">
        <v>46357</v>
      </c>
    </row>
    <row r="1210" spans="1:32" ht="20" x14ac:dyDescent="0.35">
      <c r="A1210" s="162" t="s">
        <v>1145</v>
      </c>
      <c r="B1210" s="163" t="s">
        <v>1146</v>
      </c>
      <c r="C1210" s="154"/>
      <c r="D1210" s="162" t="s">
        <v>508</v>
      </c>
      <c r="E1210" s="164" t="s">
        <v>508</v>
      </c>
      <c r="F1210" s="164" t="s">
        <v>1146</v>
      </c>
      <c r="G1210" s="164" t="s">
        <v>1145</v>
      </c>
      <c r="H1210" s="165">
        <v>36995</v>
      </c>
      <c r="I1210" s="164" t="s">
        <v>20</v>
      </c>
      <c r="J1210" s="164" t="s">
        <v>68</v>
      </c>
      <c r="K1210" s="165">
        <v>46174</v>
      </c>
      <c r="L1210" s="166" t="s">
        <v>414</v>
      </c>
      <c r="M1210" s="154"/>
      <c r="N1210" s="154"/>
      <c r="O1210" s="164" t="s">
        <v>65</v>
      </c>
      <c r="P1210" s="164">
        <v>25</v>
      </c>
      <c r="Q1210" s="164">
        <v>0</v>
      </c>
      <c r="R1210" s="167" t="s">
        <v>941</v>
      </c>
      <c r="S1210" s="167" t="s">
        <v>844</v>
      </c>
      <c r="T1210" s="162" t="s">
        <v>800</v>
      </c>
      <c r="U1210" s="167" t="s">
        <v>802</v>
      </c>
      <c r="X1210" s="169">
        <v>46174</v>
      </c>
      <c r="Y1210" s="170">
        <v>98</v>
      </c>
      <c r="Z1210" s="170">
        <v>0</v>
      </c>
      <c r="AA1210" s="170">
        <v>0</v>
      </c>
      <c r="AB1210" s="170">
        <v>0</v>
      </c>
      <c r="AC1210" s="171">
        <v>98</v>
      </c>
      <c r="AD1210" s="172">
        <v>15226763.53145</v>
      </c>
      <c r="AE1210" s="173">
        <v>98</v>
      </c>
      <c r="AF1210" s="174">
        <v>46357</v>
      </c>
    </row>
    <row r="1211" spans="1:32" ht="20" x14ac:dyDescent="0.35">
      <c r="A1211" s="162" t="s">
        <v>1145</v>
      </c>
      <c r="B1211" s="163" t="s">
        <v>1146</v>
      </c>
      <c r="C1211" s="154"/>
      <c r="D1211" s="162" t="s">
        <v>508</v>
      </c>
      <c r="E1211" s="164" t="s">
        <v>508</v>
      </c>
      <c r="F1211" s="164" t="s">
        <v>1146</v>
      </c>
      <c r="G1211" s="164" t="s">
        <v>1145</v>
      </c>
      <c r="H1211" s="165">
        <v>36995</v>
      </c>
      <c r="I1211" s="164" t="s">
        <v>20</v>
      </c>
      <c r="J1211" s="164" t="s">
        <v>68</v>
      </c>
      <c r="K1211" s="165">
        <v>46174</v>
      </c>
      <c r="L1211" s="166" t="s">
        <v>414</v>
      </c>
      <c r="M1211" s="154"/>
      <c r="N1211" s="154"/>
      <c r="O1211" s="164" t="s">
        <v>65</v>
      </c>
      <c r="P1211" s="164">
        <v>25</v>
      </c>
      <c r="Q1211" s="164">
        <v>0</v>
      </c>
      <c r="R1211" s="167" t="s">
        <v>941</v>
      </c>
      <c r="S1211" s="167" t="s">
        <v>844</v>
      </c>
      <c r="T1211" s="162" t="s">
        <v>800</v>
      </c>
      <c r="U1211" s="167" t="s">
        <v>803</v>
      </c>
      <c r="X1211" s="169">
        <v>46174</v>
      </c>
      <c r="Y1211" s="170">
        <v>2</v>
      </c>
      <c r="Z1211" s="170">
        <v>0</v>
      </c>
      <c r="AA1211" s="170">
        <v>0</v>
      </c>
      <c r="AB1211" s="170">
        <v>0</v>
      </c>
      <c r="AC1211" s="171">
        <v>2</v>
      </c>
      <c r="AD1211" s="172">
        <v>310750.27614999999</v>
      </c>
      <c r="AE1211" s="173">
        <v>2</v>
      </c>
      <c r="AF1211" s="174">
        <v>46357</v>
      </c>
    </row>
    <row r="1212" spans="1:32" ht="20" x14ac:dyDescent="0.35">
      <c r="A1212" s="162" t="s">
        <v>1145</v>
      </c>
      <c r="B1212" s="163" t="s">
        <v>1146</v>
      </c>
      <c r="C1212" s="154"/>
      <c r="D1212" s="162" t="s">
        <v>508</v>
      </c>
      <c r="E1212" s="164" t="s">
        <v>508</v>
      </c>
      <c r="F1212" s="164" t="s">
        <v>1146</v>
      </c>
      <c r="G1212" s="164" t="s">
        <v>1145</v>
      </c>
      <c r="H1212" s="165">
        <v>36995</v>
      </c>
      <c r="I1212" s="164" t="s">
        <v>20</v>
      </c>
      <c r="J1212" s="164" t="s">
        <v>68</v>
      </c>
      <c r="K1212" s="165">
        <v>46174</v>
      </c>
      <c r="L1212" s="166" t="s">
        <v>414</v>
      </c>
      <c r="M1212" s="154"/>
      <c r="N1212" s="154"/>
      <c r="O1212" s="164" t="s">
        <v>65</v>
      </c>
      <c r="P1212" s="164">
        <v>25</v>
      </c>
      <c r="Q1212" s="164">
        <v>0</v>
      </c>
      <c r="R1212" s="167" t="s">
        <v>941</v>
      </c>
      <c r="S1212" s="167" t="s">
        <v>844</v>
      </c>
      <c r="T1212" s="162" t="s">
        <v>800</v>
      </c>
      <c r="U1212" s="167" t="s">
        <v>804</v>
      </c>
      <c r="X1212" s="169">
        <v>46174</v>
      </c>
      <c r="Y1212" s="170">
        <v>5</v>
      </c>
      <c r="Z1212" s="170">
        <v>0</v>
      </c>
      <c r="AA1212" s="170">
        <v>0</v>
      </c>
      <c r="AB1212" s="170">
        <v>0</v>
      </c>
      <c r="AC1212" s="171">
        <v>5</v>
      </c>
      <c r="AD1212" s="172">
        <v>776875.69038000004</v>
      </c>
      <c r="AE1212" s="173">
        <v>5</v>
      </c>
      <c r="AF1212" s="174">
        <v>46357</v>
      </c>
    </row>
    <row r="1213" spans="1:32" ht="20" x14ac:dyDescent="0.35">
      <c r="A1213" s="162" t="s">
        <v>1145</v>
      </c>
      <c r="B1213" s="163" t="s">
        <v>1146</v>
      </c>
      <c r="C1213" s="154"/>
      <c r="D1213" s="162" t="s">
        <v>508</v>
      </c>
      <c r="E1213" s="164" t="s">
        <v>508</v>
      </c>
      <c r="F1213" s="164" t="s">
        <v>1146</v>
      </c>
      <c r="G1213" s="164" t="s">
        <v>1145</v>
      </c>
      <c r="H1213" s="165">
        <v>36995</v>
      </c>
      <c r="I1213" s="164" t="s">
        <v>20</v>
      </c>
      <c r="J1213" s="164" t="s">
        <v>68</v>
      </c>
      <c r="K1213" s="165">
        <v>46174</v>
      </c>
      <c r="L1213" s="166" t="s">
        <v>414</v>
      </c>
      <c r="M1213" s="154"/>
      <c r="N1213" s="154"/>
      <c r="O1213" s="164" t="s">
        <v>65</v>
      </c>
      <c r="P1213" s="164">
        <v>25</v>
      </c>
      <c r="Q1213" s="164">
        <v>0</v>
      </c>
      <c r="R1213" s="167" t="s">
        <v>941</v>
      </c>
      <c r="S1213" s="167" t="s">
        <v>844</v>
      </c>
      <c r="T1213" s="162" t="s">
        <v>800</v>
      </c>
      <c r="U1213" s="167" t="s">
        <v>840</v>
      </c>
      <c r="X1213" s="169">
        <v>46174</v>
      </c>
      <c r="Y1213" s="170">
        <v>0.41666666333399999</v>
      </c>
      <c r="Z1213" s="170">
        <v>0.41666667000000002</v>
      </c>
      <c r="AA1213" s="170">
        <v>0</v>
      </c>
      <c r="AB1213" s="170">
        <v>0</v>
      </c>
      <c r="AC1213" s="171">
        <v>0.83333333333399995</v>
      </c>
      <c r="AD1213" s="172">
        <v>129479.28173</v>
      </c>
      <c r="AE1213" s="173">
        <v>0.83</v>
      </c>
      <c r="AF1213" s="174">
        <v>46357</v>
      </c>
    </row>
    <row r="1214" spans="1:32" ht="20" x14ac:dyDescent="0.35">
      <c r="A1214" s="162" t="s">
        <v>1147</v>
      </c>
      <c r="B1214" s="163" t="s">
        <v>1148</v>
      </c>
      <c r="C1214" s="154"/>
      <c r="D1214" s="162" t="s">
        <v>510</v>
      </c>
      <c r="E1214" s="164" t="s">
        <v>510</v>
      </c>
      <c r="F1214" s="164" t="s">
        <v>1148</v>
      </c>
      <c r="G1214" s="164" t="s">
        <v>1147</v>
      </c>
      <c r="H1214" s="165">
        <v>34369</v>
      </c>
      <c r="I1214" s="164" t="s">
        <v>20</v>
      </c>
      <c r="J1214" s="164" t="s">
        <v>68</v>
      </c>
      <c r="K1214" s="165">
        <v>46190</v>
      </c>
      <c r="L1214" s="166" t="s">
        <v>512</v>
      </c>
      <c r="M1214" s="154"/>
      <c r="N1214" s="154"/>
      <c r="O1214" s="164" t="s">
        <v>145</v>
      </c>
      <c r="P1214" s="164">
        <v>32</v>
      </c>
      <c r="Q1214" s="164">
        <v>0</v>
      </c>
      <c r="R1214" s="167" t="s">
        <v>864</v>
      </c>
      <c r="S1214" s="167" t="s">
        <v>832</v>
      </c>
      <c r="T1214" s="162" t="s">
        <v>794</v>
      </c>
      <c r="U1214" s="167" t="s">
        <v>795</v>
      </c>
      <c r="V1214" s="162" t="s">
        <v>1049</v>
      </c>
      <c r="W1214" s="168">
        <v>0</v>
      </c>
      <c r="X1214" s="169">
        <v>46190</v>
      </c>
      <c r="Y1214" s="170">
        <v>0.85555556333299998</v>
      </c>
      <c r="Z1214" s="170">
        <v>1.8333333300000001</v>
      </c>
      <c r="AA1214" s="170">
        <v>0</v>
      </c>
      <c r="AB1214" s="170">
        <v>0</v>
      </c>
      <c r="AC1214" s="171">
        <v>2.688888893333</v>
      </c>
      <c r="AD1214" s="172">
        <v>371060.83756000001</v>
      </c>
      <c r="AE1214" s="173" t="s">
        <v>797</v>
      </c>
      <c r="AF1214" s="173"/>
    </row>
    <row r="1215" spans="1:32" ht="20" x14ac:dyDescent="0.35">
      <c r="A1215" s="162" t="s">
        <v>1147</v>
      </c>
      <c r="B1215" s="163" t="s">
        <v>1148</v>
      </c>
      <c r="C1215" s="154"/>
      <c r="D1215" s="162" t="s">
        <v>510</v>
      </c>
      <c r="E1215" s="164" t="s">
        <v>510</v>
      </c>
      <c r="F1215" s="164" t="s">
        <v>1148</v>
      </c>
      <c r="G1215" s="164" t="s">
        <v>1147</v>
      </c>
      <c r="H1215" s="165">
        <v>34369</v>
      </c>
      <c r="I1215" s="164" t="s">
        <v>20</v>
      </c>
      <c r="J1215" s="164" t="s">
        <v>68</v>
      </c>
      <c r="K1215" s="165">
        <v>46190</v>
      </c>
      <c r="L1215" s="166" t="s">
        <v>512</v>
      </c>
      <c r="M1215" s="154"/>
      <c r="N1215" s="154"/>
      <c r="O1215" s="164" t="s">
        <v>145</v>
      </c>
      <c r="P1215" s="164">
        <v>32</v>
      </c>
      <c r="Q1215" s="164">
        <v>0</v>
      </c>
      <c r="R1215" s="167" t="s">
        <v>864</v>
      </c>
      <c r="S1215" s="167" t="s">
        <v>832</v>
      </c>
      <c r="T1215" s="162" t="s">
        <v>798</v>
      </c>
      <c r="U1215" s="167" t="s">
        <v>839</v>
      </c>
      <c r="X1215" s="169">
        <v>46190</v>
      </c>
      <c r="Y1215" s="170">
        <v>180</v>
      </c>
      <c r="Z1215" s="170">
        <v>0</v>
      </c>
      <c r="AA1215" s="170">
        <v>0</v>
      </c>
      <c r="AB1215" s="170">
        <v>0</v>
      </c>
      <c r="AC1215" s="171">
        <v>180</v>
      </c>
      <c r="AD1215" s="172">
        <v>24839609.746139999</v>
      </c>
      <c r="AE1215" s="173">
        <v>180</v>
      </c>
      <c r="AF1215" s="174">
        <v>46357</v>
      </c>
    </row>
    <row r="1216" spans="1:32" ht="20" x14ac:dyDescent="0.35">
      <c r="A1216" s="162" t="s">
        <v>1147</v>
      </c>
      <c r="B1216" s="163" t="s">
        <v>1148</v>
      </c>
      <c r="C1216" s="154"/>
      <c r="D1216" s="162" t="s">
        <v>510</v>
      </c>
      <c r="E1216" s="164" t="s">
        <v>510</v>
      </c>
      <c r="F1216" s="164" t="s">
        <v>1148</v>
      </c>
      <c r="G1216" s="164" t="s">
        <v>1147</v>
      </c>
      <c r="H1216" s="165">
        <v>34369</v>
      </c>
      <c r="I1216" s="164" t="s">
        <v>20</v>
      </c>
      <c r="J1216" s="164" t="s">
        <v>68</v>
      </c>
      <c r="K1216" s="165">
        <v>46190</v>
      </c>
      <c r="L1216" s="166" t="s">
        <v>512</v>
      </c>
      <c r="M1216" s="154"/>
      <c r="N1216" s="154"/>
      <c r="O1216" s="164" t="s">
        <v>145</v>
      </c>
      <c r="P1216" s="164">
        <v>32</v>
      </c>
      <c r="Q1216" s="164">
        <v>0</v>
      </c>
      <c r="R1216" s="167" t="s">
        <v>864</v>
      </c>
      <c r="S1216" s="167" t="s">
        <v>832</v>
      </c>
      <c r="T1216" s="162" t="s">
        <v>800</v>
      </c>
      <c r="U1216" s="167" t="s">
        <v>801</v>
      </c>
      <c r="X1216" s="169">
        <v>46190</v>
      </c>
      <c r="Y1216" s="170">
        <v>26</v>
      </c>
      <c r="Z1216" s="170">
        <v>0</v>
      </c>
      <c r="AA1216" s="170">
        <v>0</v>
      </c>
      <c r="AB1216" s="170">
        <v>0</v>
      </c>
      <c r="AC1216" s="171">
        <v>26</v>
      </c>
      <c r="AD1216" s="172">
        <v>3587943.63</v>
      </c>
      <c r="AE1216" s="173">
        <v>26</v>
      </c>
      <c r="AF1216" s="174">
        <v>46357</v>
      </c>
    </row>
    <row r="1217" spans="1:32" ht="20" x14ac:dyDescent="0.35">
      <c r="A1217" s="162" t="s">
        <v>1147</v>
      </c>
      <c r="B1217" s="163" t="s">
        <v>1148</v>
      </c>
      <c r="C1217" s="154"/>
      <c r="D1217" s="162" t="s">
        <v>510</v>
      </c>
      <c r="E1217" s="164" t="s">
        <v>510</v>
      </c>
      <c r="F1217" s="164" t="s">
        <v>1148</v>
      </c>
      <c r="G1217" s="164" t="s">
        <v>1147</v>
      </c>
      <c r="H1217" s="165">
        <v>34369</v>
      </c>
      <c r="I1217" s="164" t="s">
        <v>20</v>
      </c>
      <c r="J1217" s="164" t="s">
        <v>68</v>
      </c>
      <c r="K1217" s="165">
        <v>46190</v>
      </c>
      <c r="L1217" s="166" t="s">
        <v>512</v>
      </c>
      <c r="M1217" s="154"/>
      <c r="N1217" s="154"/>
      <c r="O1217" s="164" t="s">
        <v>145</v>
      </c>
      <c r="P1217" s="164">
        <v>32</v>
      </c>
      <c r="Q1217" s="164">
        <v>0</v>
      </c>
      <c r="R1217" s="167" t="s">
        <v>864</v>
      </c>
      <c r="S1217" s="167" t="s">
        <v>832</v>
      </c>
      <c r="T1217" s="162" t="s">
        <v>800</v>
      </c>
      <c r="U1217" s="167" t="s">
        <v>802</v>
      </c>
      <c r="X1217" s="169">
        <v>46190</v>
      </c>
      <c r="Y1217" s="170">
        <v>98</v>
      </c>
      <c r="Z1217" s="170">
        <v>0</v>
      </c>
      <c r="AA1217" s="170">
        <v>0</v>
      </c>
      <c r="AB1217" s="170">
        <v>0</v>
      </c>
      <c r="AC1217" s="171">
        <v>98</v>
      </c>
      <c r="AD1217" s="172">
        <v>13523787.528449999</v>
      </c>
      <c r="AE1217" s="173">
        <v>98</v>
      </c>
      <c r="AF1217" s="174">
        <v>46357</v>
      </c>
    </row>
    <row r="1218" spans="1:32" ht="20" x14ac:dyDescent="0.35">
      <c r="A1218" s="162" t="s">
        <v>1147</v>
      </c>
      <c r="B1218" s="163" t="s">
        <v>1148</v>
      </c>
      <c r="C1218" s="154"/>
      <c r="D1218" s="162" t="s">
        <v>510</v>
      </c>
      <c r="E1218" s="164" t="s">
        <v>510</v>
      </c>
      <c r="F1218" s="164" t="s">
        <v>1148</v>
      </c>
      <c r="G1218" s="164" t="s">
        <v>1147</v>
      </c>
      <c r="H1218" s="165">
        <v>34369</v>
      </c>
      <c r="I1218" s="164" t="s">
        <v>20</v>
      </c>
      <c r="J1218" s="164" t="s">
        <v>68</v>
      </c>
      <c r="K1218" s="165">
        <v>46190</v>
      </c>
      <c r="L1218" s="166" t="s">
        <v>512</v>
      </c>
      <c r="M1218" s="154"/>
      <c r="N1218" s="154"/>
      <c r="O1218" s="164" t="s">
        <v>145</v>
      </c>
      <c r="P1218" s="164">
        <v>32</v>
      </c>
      <c r="Q1218" s="164">
        <v>0</v>
      </c>
      <c r="R1218" s="167" t="s">
        <v>864</v>
      </c>
      <c r="S1218" s="167" t="s">
        <v>832</v>
      </c>
      <c r="T1218" s="162" t="s">
        <v>800</v>
      </c>
      <c r="U1218" s="167" t="s">
        <v>803</v>
      </c>
      <c r="X1218" s="169">
        <v>46190</v>
      </c>
      <c r="Y1218" s="170">
        <v>2</v>
      </c>
      <c r="Z1218" s="170">
        <v>0</v>
      </c>
      <c r="AA1218" s="170">
        <v>0</v>
      </c>
      <c r="AB1218" s="170">
        <v>0</v>
      </c>
      <c r="AC1218" s="171">
        <v>2</v>
      </c>
      <c r="AD1218" s="172">
        <v>275995.66385000001</v>
      </c>
      <c r="AE1218" s="173">
        <v>2</v>
      </c>
      <c r="AF1218" s="174">
        <v>46357</v>
      </c>
    </row>
    <row r="1219" spans="1:32" ht="20" x14ac:dyDescent="0.35">
      <c r="A1219" s="162" t="s">
        <v>1147</v>
      </c>
      <c r="B1219" s="163" t="s">
        <v>1148</v>
      </c>
      <c r="C1219" s="154"/>
      <c r="D1219" s="162" t="s">
        <v>510</v>
      </c>
      <c r="E1219" s="164" t="s">
        <v>510</v>
      </c>
      <c r="F1219" s="164" t="s">
        <v>1148</v>
      </c>
      <c r="G1219" s="164" t="s">
        <v>1147</v>
      </c>
      <c r="H1219" s="165">
        <v>34369</v>
      </c>
      <c r="I1219" s="164" t="s">
        <v>20</v>
      </c>
      <c r="J1219" s="164" t="s">
        <v>68</v>
      </c>
      <c r="K1219" s="165">
        <v>46190</v>
      </c>
      <c r="L1219" s="166" t="s">
        <v>512</v>
      </c>
      <c r="M1219" s="154"/>
      <c r="N1219" s="154"/>
      <c r="O1219" s="164" t="s">
        <v>145</v>
      </c>
      <c r="P1219" s="164">
        <v>32</v>
      </c>
      <c r="Q1219" s="164">
        <v>0</v>
      </c>
      <c r="R1219" s="167" t="s">
        <v>864</v>
      </c>
      <c r="S1219" s="167" t="s">
        <v>832</v>
      </c>
      <c r="T1219" s="162" t="s">
        <v>800</v>
      </c>
      <c r="U1219" s="167" t="s">
        <v>804</v>
      </c>
      <c r="X1219" s="169">
        <v>46190</v>
      </c>
      <c r="Y1219" s="170">
        <v>5</v>
      </c>
      <c r="Z1219" s="170">
        <v>0</v>
      </c>
      <c r="AA1219" s="170">
        <v>0</v>
      </c>
      <c r="AB1219" s="170">
        <v>0</v>
      </c>
      <c r="AC1219" s="171">
        <v>5</v>
      </c>
      <c r="AD1219" s="172">
        <v>689989.15962000005</v>
      </c>
      <c r="AE1219" s="173">
        <v>5</v>
      </c>
      <c r="AF1219" s="174">
        <v>46357</v>
      </c>
    </row>
    <row r="1220" spans="1:32" ht="20" x14ac:dyDescent="0.35">
      <c r="A1220" s="162" t="s">
        <v>1147</v>
      </c>
      <c r="B1220" s="163" t="s">
        <v>1148</v>
      </c>
      <c r="C1220" s="154"/>
      <c r="D1220" s="162" t="s">
        <v>510</v>
      </c>
      <c r="E1220" s="164" t="s">
        <v>510</v>
      </c>
      <c r="F1220" s="164" t="s">
        <v>1148</v>
      </c>
      <c r="G1220" s="164" t="s">
        <v>1147</v>
      </c>
      <c r="H1220" s="165">
        <v>34369</v>
      </c>
      <c r="I1220" s="164" t="s">
        <v>20</v>
      </c>
      <c r="J1220" s="164" t="s">
        <v>68</v>
      </c>
      <c r="K1220" s="165">
        <v>46190</v>
      </c>
      <c r="L1220" s="166" t="s">
        <v>512</v>
      </c>
      <c r="M1220" s="154"/>
      <c r="N1220" s="154"/>
      <c r="O1220" s="164" t="s">
        <v>145</v>
      </c>
      <c r="P1220" s="164">
        <v>32</v>
      </c>
      <c r="Q1220" s="164">
        <v>0</v>
      </c>
      <c r="R1220" s="167" t="s">
        <v>864</v>
      </c>
      <c r="S1220" s="167" t="s">
        <v>832</v>
      </c>
      <c r="T1220" s="162" t="s">
        <v>800</v>
      </c>
      <c r="U1220" s="167" t="s">
        <v>840</v>
      </c>
      <c r="X1220" s="169">
        <v>46190</v>
      </c>
      <c r="Y1220" s="170">
        <v>0.41666666333399999</v>
      </c>
      <c r="Z1220" s="170">
        <v>0.41666667000000002</v>
      </c>
      <c r="AA1220" s="170">
        <v>0</v>
      </c>
      <c r="AB1220" s="170">
        <v>0</v>
      </c>
      <c r="AC1220" s="171">
        <v>0.83333333333399995</v>
      </c>
      <c r="AD1220" s="172">
        <v>114998.19327</v>
      </c>
      <c r="AE1220" s="173">
        <v>0.83</v>
      </c>
      <c r="AF1220" s="174">
        <v>46357</v>
      </c>
    </row>
    <row r="1221" spans="1:32" ht="20" x14ac:dyDescent="0.35">
      <c r="A1221" s="162" t="s">
        <v>586</v>
      </c>
      <c r="B1221" s="163" t="s">
        <v>988</v>
      </c>
      <c r="C1221" s="154"/>
      <c r="D1221" s="162" t="s">
        <v>513</v>
      </c>
      <c r="E1221" s="164" t="s">
        <v>513</v>
      </c>
      <c r="F1221" s="164" t="s">
        <v>988</v>
      </c>
      <c r="G1221" s="164" t="s">
        <v>586</v>
      </c>
      <c r="H1221" s="165">
        <v>32622</v>
      </c>
      <c r="I1221" s="164" t="s">
        <v>20</v>
      </c>
      <c r="J1221" s="164" t="s">
        <v>68</v>
      </c>
      <c r="K1221" s="165">
        <v>46181</v>
      </c>
      <c r="L1221" s="166" t="s">
        <v>515</v>
      </c>
      <c r="M1221" s="154"/>
      <c r="N1221" s="154"/>
      <c r="O1221" s="164" t="s">
        <v>44</v>
      </c>
      <c r="P1221" s="164">
        <v>37</v>
      </c>
      <c r="Q1221" s="164">
        <v>0</v>
      </c>
      <c r="R1221" s="167" t="s">
        <v>888</v>
      </c>
      <c r="S1221" s="167" t="s">
        <v>45</v>
      </c>
      <c r="T1221" s="162" t="s">
        <v>794</v>
      </c>
      <c r="U1221" s="167" t="s">
        <v>795</v>
      </c>
      <c r="V1221" s="162" t="s">
        <v>1049</v>
      </c>
      <c r="W1221" s="168">
        <v>0</v>
      </c>
      <c r="X1221" s="169">
        <v>46181</v>
      </c>
      <c r="Y1221" s="170">
        <v>1.4055555633329999</v>
      </c>
      <c r="Z1221" s="170">
        <v>1.8333333300000001</v>
      </c>
      <c r="AA1221" s="170">
        <v>0</v>
      </c>
      <c r="AB1221" s="170">
        <v>0</v>
      </c>
      <c r="AC1221" s="171">
        <v>3.2388888933329998</v>
      </c>
      <c r="AD1221" s="172">
        <v>441900.98525000003</v>
      </c>
      <c r="AE1221" s="173" t="s">
        <v>797</v>
      </c>
      <c r="AF1221" s="173"/>
    </row>
    <row r="1222" spans="1:32" ht="20" x14ac:dyDescent="0.35">
      <c r="A1222" s="162" t="s">
        <v>586</v>
      </c>
      <c r="B1222" s="163" t="s">
        <v>988</v>
      </c>
      <c r="C1222" s="154"/>
      <c r="D1222" s="162" t="s">
        <v>513</v>
      </c>
      <c r="E1222" s="164" t="s">
        <v>513</v>
      </c>
      <c r="F1222" s="164" t="s">
        <v>988</v>
      </c>
      <c r="G1222" s="164" t="s">
        <v>586</v>
      </c>
      <c r="H1222" s="165">
        <v>32622</v>
      </c>
      <c r="I1222" s="164" t="s">
        <v>20</v>
      </c>
      <c r="J1222" s="164" t="s">
        <v>68</v>
      </c>
      <c r="K1222" s="165">
        <v>46181</v>
      </c>
      <c r="L1222" s="166" t="s">
        <v>515</v>
      </c>
      <c r="M1222" s="154"/>
      <c r="N1222" s="154"/>
      <c r="O1222" s="164" t="s">
        <v>44</v>
      </c>
      <c r="P1222" s="164">
        <v>37</v>
      </c>
      <c r="Q1222" s="164">
        <v>0</v>
      </c>
      <c r="R1222" s="167" t="s">
        <v>888</v>
      </c>
      <c r="S1222" s="167" t="s">
        <v>45</v>
      </c>
      <c r="T1222" s="162" t="s">
        <v>798</v>
      </c>
      <c r="U1222" s="167" t="s">
        <v>839</v>
      </c>
      <c r="X1222" s="169">
        <v>46181</v>
      </c>
      <c r="Y1222" s="170">
        <v>180</v>
      </c>
      <c r="Z1222" s="170">
        <v>0</v>
      </c>
      <c r="AA1222" s="170">
        <v>0</v>
      </c>
      <c r="AB1222" s="170">
        <v>0</v>
      </c>
      <c r="AC1222" s="171">
        <v>180</v>
      </c>
      <c r="AD1222" s="172">
        <v>24558476.67684</v>
      </c>
      <c r="AE1222" s="173">
        <v>180</v>
      </c>
      <c r="AF1222" s="174">
        <v>46357</v>
      </c>
    </row>
    <row r="1223" spans="1:32" ht="20" x14ac:dyDescent="0.35">
      <c r="A1223" s="162" t="s">
        <v>586</v>
      </c>
      <c r="B1223" s="163" t="s">
        <v>988</v>
      </c>
      <c r="C1223" s="154"/>
      <c r="D1223" s="162" t="s">
        <v>513</v>
      </c>
      <c r="E1223" s="164" t="s">
        <v>513</v>
      </c>
      <c r="F1223" s="164" t="s">
        <v>988</v>
      </c>
      <c r="G1223" s="164" t="s">
        <v>586</v>
      </c>
      <c r="H1223" s="165">
        <v>32622</v>
      </c>
      <c r="I1223" s="164" t="s">
        <v>20</v>
      </c>
      <c r="J1223" s="164" t="s">
        <v>68</v>
      </c>
      <c r="K1223" s="165">
        <v>46181</v>
      </c>
      <c r="L1223" s="166" t="s">
        <v>515</v>
      </c>
      <c r="M1223" s="154"/>
      <c r="N1223" s="154"/>
      <c r="O1223" s="164" t="s">
        <v>44</v>
      </c>
      <c r="P1223" s="164">
        <v>37</v>
      </c>
      <c r="Q1223" s="164">
        <v>0</v>
      </c>
      <c r="R1223" s="167" t="s">
        <v>888</v>
      </c>
      <c r="S1223" s="167" t="s">
        <v>45</v>
      </c>
      <c r="T1223" s="162" t="s">
        <v>800</v>
      </c>
      <c r="U1223" s="167" t="s">
        <v>801</v>
      </c>
      <c r="X1223" s="169">
        <v>46181</v>
      </c>
      <c r="Y1223" s="170">
        <v>26</v>
      </c>
      <c r="Z1223" s="170">
        <v>0</v>
      </c>
      <c r="AA1223" s="170">
        <v>0</v>
      </c>
      <c r="AB1223" s="170">
        <v>0</v>
      </c>
      <c r="AC1223" s="171">
        <v>26</v>
      </c>
      <c r="AD1223" s="172">
        <v>3547335.5199899999</v>
      </c>
      <c r="AE1223" s="173">
        <v>26</v>
      </c>
      <c r="AF1223" s="174">
        <v>46357</v>
      </c>
    </row>
    <row r="1224" spans="1:32" ht="20" x14ac:dyDescent="0.35">
      <c r="A1224" s="162" t="s">
        <v>586</v>
      </c>
      <c r="B1224" s="163" t="s">
        <v>988</v>
      </c>
      <c r="C1224" s="154"/>
      <c r="D1224" s="162" t="s">
        <v>513</v>
      </c>
      <c r="E1224" s="164" t="s">
        <v>513</v>
      </c>
      <c r="F1224" s="164" t="s">
        <v>988</v>
      </c>
      <c r="G1224" s="164" t="s">
        <v>586</v>
      </c>
      <c r="H1224" s="165">
        <v>32622</v>
      </c>
      <c r="I1224" s="164" t="s">
        <v>20</v>
      </c>
      <c r="J1224" s="164" t="s">
        <v>68</v>
      </c>
      <c r="K1224" s="165">
        <v>46181</v>
      </c>
      <c r="L1224" s="166" t="s">
        <v>515</v>
      </c>
      <c r="M1224" s="154"/>
      <c r="N1224" s="154"/>
      <c r="O1224" s="164" t="s">
        <v>44</v>
      </c>
      <c r="P1224" s="164">
        <v>37</v>
      </c>
      <c r="Q1224" s="164">
        <v>0</v>
      </c>
      <c r="R1224" s="167" t="s">
        <v>888</v>
      </c>
      <c r="S1224" s="167" t="s">
        <v>45</v>
      </c>
      <c r="T1224" s="162" t="s">
        <v>800</v>
      </c>
      <c r="U1224" s="167" t="s">
        <v>802</v>
      </c>
      <c r="X1224" s="169">
        <v>46181</v>
      </c>
      <c r="Y1224" s="170">
        <v>98</v>
      </c>
      <c r="Z1224" s="170">
        <v>0</v>
      </c>
      <c r="AA1224" s="170">
        <v>0</v>
      </c>
      <c r="AB1224" s="170">
        <v>0</v>
      </c>
      <c r="AC1224" s="171">
        <v>98</v>
      </c>
      <c r="AD1224" s="172">
        <v>13370726.190719999</v>
      </c>
      <c r="AE1224" s="173">
        <v>98</v>
      </c>
      <c r="AF1224" s="174">
        <v>46357</v>
      </c>
    </row>
    <row r="1225" spans="1:32" ht="20" x14ac:dyDescent="0.35">
      <c r="A1225" s="162" t="s">
        <v>586</v>
      </c>
      <c r="B1225" s="163" t="s">
        <v>988</v>
      </c>
      <c r="C1225" s="154"/>
      <c r="D1225" s="162" t="s">
        <v>513</v>
      </c>
      <c r="E1225" s="164" t="s">
        <v>513</v>
      </c>
      <c r="F1225" s="164" t="s">
        <v>988</v>
      </c>
      <c r="G1225" s="164" t="s">
        <v>586</v>
      </c>
      <c r="H1225" s="165">
        <v>32622</v>
      </c>
      <c r="I1225" s="164" t="s">
        <v>20</v>
      </c>
      <c r="J1225" s="164" t="s">
        <v>68</v>
      </c>
      <c r="K1225" s="165">
        <v>46181</v>
      </c>
      <c r="L1225" s="166" t="s">
        <v>515</v>
      </c>
      <c r="M1225" s="154"/>
      <c r="N1225" s="154"/>
      <c r="O1225" s="164" t="s">
        <v>44</v>
      </c>
      <c r="P1225" s="164">
        <v>37</v>
      </c>
      <c r="Q1225" s="164">
        <v>0</v>
      </c>
      <c r="R1225" s="167" t="s">
        <v>888</v>
      </c>
      <c r="S1225" s="167" t="s">
        <v>45</v>
      </c>
      <c r="T1225" s="162" t="s">
        <v>800</v>
      </c>
      <c r="U1225" s="167" t="s">
        <v>803</v>
      </c>
      <c r="X1225" s="169">
        <v>46181</v>
      </c>
      <c r="Y1225" s="170">
        <v>2</v>
      </c>
      <c r="Z1225" s="170">
        <v>0</v>
      </c>
      <c r="AA1225" s="170">
        <v>0</v>
      </c>
      <c r="AB1225" s="170">
        <v>0</v>
      </c>
      <c r="AC1225" s="171">
        <v>2</v>
      </c>
      <c r="AD1225" s="172">
        <v>272871.96308000002</v>
      </c>
      <c r="AE1225" s="173">
        <v>2</v>
      </c>
      <c r="AF1225" s="174">
        <v>46357</v>
      </c>
    </row>
    <row r="1226" spans="1:32" ht="20" x14ac:dyDescent="0.35">
      <c r="A1226" s="162" t="s">
        <v>586</v>
      </c>
      <c r="B1226" s="163" t="s">
        <v>988</v>
      </c>
      <c r="C1226" s="154"/>
      <c r="D1226" s="162" t="s">
        <v>513</v>
      </c>
      <c r="E1226" s="164" t="s">
        <v>513</v>
      </c>
      <c r="F1226" s="164" t="s">
        <v>988</v>
      </c>
      <c r="G1226" s="164" t="s">
        <v>586</v>
      </c>
      <c r="H1226" s="165">
        <v>32622</v>
      </c>
      <c r="I1226" s="164" t="s">
        <v>20</v>
      </c>
      <c r="J1226" s="164" t="s">
        <v>68</v>
      </c>
      <c r="K1226" s="165">
        <v>46181</v>
      </c>
      <c r="L1226" s="166" t="s">
        <v>515</v>
      </c>
      <c r="M1226" s="154"/>
      <c r="N1226" s="154"/>
      <c r="O1226" s="164" t="s">
        <v>44</v>
      </c>
      <c r="P1226" s="164">
        <v>37</v>
      </c>
      <c r="Q1226" s="164">
        <v>0</v>
      </c>
      <c r="R1226" s="167" t="s">
        <v>888</v>
      </c>
      <c r="S1226" s="167" t="s">
        <v>45</v>
      </c>
      <c r="T1226" s="162" t="s">
        <v>800</v>
      </c>
      <c r="U1226" s="167" t="s">
        <v>804</v>
      </c>
      <c r="X1226" s="169">
        <v>46181</v>
      </c>
      <c r="Y1226" s="170">
        <v>5</v>
      </c>
      <c r="Z1226" s="170">
        <v>0</v>
      </c>
      <c r="AA1226" s="170">
        <v>0</v>
      </c>
      <c r="AB1226" s="170">
        <v>0</v>
      </c>
      <c r="AC1226" s="171">
        <v>5</v>
      </c>
      <c r="AD1226" s="172">
        <v>682179.90769000002</v>
      </c>
      <c r="AE1226" s="173">
        <v>5</v>
      </c>
      <c r="AF1226" s="174">
        <v>46357</v>
      </c>
    </row>
    <row r="1227" spans="1:32" ht="20" x14ac:dyDescent="0.35">
      <c r="A1227" s="162" t="s">
        <v>586</v>
      </c>
      <c r="B1227" s="163" t="s">
        <v>988</v>
      </c>
      <c r="C1227" s="154"/>
      <c r="D1227" s="162" t="s">
        <v>513</v>
      </c>
      <c r="E1227" s="164" t="s">
        <v>513</v>
      </c>
      <c r="F1227" s="164" t="s">
        <v>988</v>
      </c>
      <c r="G1227" s="164" t="s">
        <v>586</v>
      </c>
      <c r="H1227" s="165">
        <v>32622</v>
      </c>
      <c r="I1227" s="164" t="s">
        <v>20</v>
      </c>
      <c r="J1227" s="164" t="s">
        <v>68</v>
      </c>
      <c r="K1227" s="165">
        <v>46181</v>
      </c>
      <c r="L1227" s="166" t="s">
        <v>515</v>
      </c>
      <c r="M1227" s="154"/>
      <c r="N1227" s="154"/>
      <c r="O1227" s="164" t="s">
        <v>44</v>
      </c>
      <c r="P1227" s="164">
        <v>37</v>
      </c>
      <c r="Q1227" s="164">
        <v>0</v>
      </c>
      <c r="R1227" s="167" t="s">
        <v>888</v>
      </c>
      <c r="S1227" s="167" t="s">
        <v>45</v>
      </c>
      <c r="T1227" s="162" t="s">
        <v>800</v>
      </c>
      <c r="U1227" s="167" t="s">
        <v>840</v>
      </c>
      <c r="X1227" s="169">
        <v>46181</v>
      </c>
      <c r="Y1227" s="170">
        <v>0.41666666333399999</v>
      </c>
      <c r="Z1227" s="170">
        <v>0.41666667000000002</v>
      </c>
      <c r="AA1227" s="170">
        <v>0</v>
      </c>
      <c r="AB1227" s="170">
        <v>0</v>
      </c>
      <c r="AC1227" s="171">
        <v>0.83333333333399995</v>
      </c>
      <c r="AD1227" s="172">
        <v>113696.65128000001</v>
      </c>
      <c r="AE1227" s="173">
        <v>0.83</v>
      </c>
      <c r="AF1227" s="174">
        <v>46357</v>
      </c>
    </row>
    <row r="1228" spans="1:32" x14ac:dyDescent="0.35">
      <c r="A1228" s="175" t="s">
        <v>797</v>
      </c>
      <c r="B1228" s="153" t="s">
        <v>797</v>
      </c>
      <c r="C1228" s="154"/>
      <c r="D1228" s="175" t="s">
        <v>797</v>
      </c>
      <c r="E1228" s="153" t="s">
        <v>797</v>
      </c>
      <c r="F1228" s="154"/>
      <c r="G1228" s="154"/>
      <c r="H1228" s="154"/>
      <c r="I1228" s="154"/>
      <c r="J1228" s="154"/>
      <c r="K1228" s="154"/>
      <c r="L1228" s="154"/>
      <c r="M1228" s="154"/>
      <c r="N1228" s="154"/>
      <c r="O1228" s="154"/>
      <c r="P1228" s="154"/>
      <c r="Q1228" s="154"/>
      <c r="R1228" s="154"/>
      <c r="S1228" s="154"/>
      <c r="T1228" s="175" t="s">
        <v>797</v>
      </c>
      <c r="U1228" s="153" t="s">
        <v>797</v>
      </c>
      <c r="V1228" s="154"/>
      <c r="W1228" s="154"/>
      <c r="X1228" s="154"/>
      <c r="Y1228" s="175" t="s">
        <v>797</v>
      </c>
      <c r="Z1228" s="175" t="s">
        <v>797</v>
      </c>
      <c r="AA1228" s="175" t="s">
        <v>797</v>
      </c>
      <c r="AB1228" s="175" t="s">
        <v>797</v>
      </c>
      <c r="AC1228" s="176">
        <f>SUM(AC3:AC1227)</f>
        <v>56234.929318963572</v>
      </c>
      <c r="AD1228" s="175" t="s">
        <v>797</v>
      </c>
      <c r="AE1228" s="175" t="s">
        <v>797</v>
      </c>
      <c r="AF1228" s="175" t="s">
        <v>797</v>
      </c>
    </row>
    <row r="1229" spans="1:32" x14ac:dyDescent="0.35">
      <c r="A1229" s="177" t="s">
        <v>797</v>
      </c>
      <c r="B1229" s="178" t="s">
        <v>797</v>
      </c>
      <c r="C1229" s="154"/>
      <c r="D1229" s="177" t="s">
        <v>797</v>
      </c>
      <c r="E1229" s="178" t="s">
        <v>797</v>
      </c>
      <c r="F1229" s="154"/>
      <c r="G1229" s="154"/>
      <c r="H1229" s="154"/>
      <c r="I1229" s="154"/>
      <c r="J1229" s="154"/>
      <c r="K1229" s="154"/>
      <c r="L1229" s="154"/>
      <c r="M1229" s="154"/>
      <c r="N1229" s="154"/>
      <c r="O1229" s="154"/>
      <c r="P1229" s="154"/>
      <c r="Q1229" s="154"/>
      <c r="R1229" s="154"/>
      <c r="S1229" s="154"/>
      <c r="T1229" s="177" t="s">
        <v>797</v>
      </c>
      <c r="U1229" s="153" t="s">
        <v>1149</v>
      </c>
      <c r="V1229" s="154"/>
      <c r="W1229" s="154"/>
      <c r="X1229" s="154"/>
      <c r="Y1229" s="179" t="s">
        <v>797</v>
      </c>
      <c r="Z1229" s="179" t="s">
        <v>797</v>
      </c>
      <c r="AA1229" s="179" t="s">
        <v>797</v>
      </c>
      <c r="AB1229" s="179" t="s">
        <v>797</v>
      </c>
      <c r="AC1229" s="180" t="s">
        <v>797</v>
      </c>
      <c r="AD1229" s="179" t="s">
        <v>797</v>
      </c>
      <c r="AE1229" s="179" t="s">
        <v>797</v>
      </c>
      <c r="AF1229" s="179" t="s">
        <v>797</v>
      </c>
    </row>
    <row r="1230" spans="1:32" x14ac:dyDescent="0.35">
      <c r="AC1230" s="181">
        <f>SUBTOTAL(9,AC3:AC1221)</f>
        <v>55923.095985630236</v>
      </c>
      <c r="AD1230" s="181">
        <f>SUBTOTAL(9,AD3:AD1221)</f>
        <v>16944885841.913967</v>
      </c>
    </row>
  </sheetData>
  <mergeCells count="2473">
    <mergeCell ref="B1228:C1228"/>
    <mergeCell ref="E1228:S1228"/>
    <mergeCell ref="U1228:X1228"/>
    <mergeCell ref="B1229:C1229"/>
    <mergeCell ref="E1229:S1229"/>
    <mergeCell ref="U1229:X1229"/>
    <mergeCell ref="B1225:C1225"/>
    <mergeCell ref="L1225:N1225"/>
    <mergeCell ref="B1226:C1226"/>
    <mergeCell ref="L1226:N1226"/>
    <mergeCell ref="B1227:C1227"/>
    <mergeCell ref="L1227:N1227"/>
    <mergeCell ref="B1222:C1222"/>
    <mergeCell ref="L1222:N1222"/>
    <mergeCell ref="B1223:C1223"/>
    <mergeCell ref="L1223:N1223"/>
    <mergeCell ref="B1224:C1224"/>
    <mergeCell ref="L1224:N1224"/>
    <mergeCell ref="B1219:C1219"/>
    <mergeCell ref="L1219:N1219"/>
    <mergeCell ref="B1220:C1220"/>
    <mergeCell ref="L1220:N1220"/>
    <mergeCell ref="B1221:C1221"/>
    <mergeCell ref="L1221:N1221"/>
    <mergeCell ref="B1216:C1216"/>
    <mergeCell ref="L1216:N1216"/>
    <mergeCell ref="B1217:C1217"/>
    <mergeCell ref="L1217:N1217"/>
    <mergeCell ref="B1218:C1218"/>
    <mergeCell ref="L1218:N1218"/>
    <mergeCell ref="B1213:C1213"/>
    <mergeCell ref="L1213:N1213"/>
    <mergeCell ref="B1214:C1214"/>
    <mergeCell ref="L1214:N1214"/>
    <mergeCell ref="B1215:C1215"/>
    <mergeCell ref="L1215:N1215"/>
    <mergeCell ref="B1210:C1210"/>
    <mergeCell ref="L1210:N1210"/>
    <mergeCell ref="B1211:C1211"/>
    <mergeCell ref="L1211:N1211"/>
    <mergeCell ref="B1212:C1212"/>
    <mergeCell ref="L1212:N1212"/>
    <mergeCell ref="B1207:C1207"/>
    <mergeCell ref="L1207:N1207"/>
    <mergeCell ref="B1208:C1208"/>
    <mergeCell ref="L1208:N1208"/>
    <mergeCell ref="B1209:C1209"/>
    <mergeCell ref="L1209:N1209"/>
    <mergeCell ref="B1204:C1204"/>
    <mergeCell ref="L1204:N1204"/>
    <mergeCell ref="B1205:C1205"/>
    <mergeCell ref="L1205:N1205"/>
    <mergeCell ref="B1206:C1206"/>
    <mergeCell ref="L1206:N1206"/>
    <mergeCell ref="B1201:C1201"/>
    <mergeCell ref="L1201:N1201"/>
    <mergeCell ref="B1202:C1202"/>
    <mergeCell ref="L1202:N1202"/>
    <mergeCell ref="B1203:C1203"/>
    <mergeCell ref="L1203:N1203"/>
    <mergeCell ref="B1198:C1198"/>
    <mergeCell ref="L1198:N1198"/>
    <mergeCell ref="B1199:C1199"/>
    <mergeCell ref="L1199:N1199"/>
    <mergeCell ref="B1200:C1200"/>
    <mergeCell ref="L1200:N1200"/>
    <mergeCell ref="B1195:C1195"/>
    <mergeCell ref="L1195:N1195"/>
    <mergeCell ref="B1196:C1196"/>
    <mergeCell ref="L1196:N1196"/>
    <mergeCell ref="B1197:C1197"/>
    <mergeCell ref="L1197:N1197"/>
    <mergeCell ref="B1192:C1192"/>
    <mergeCell ref="L1192:N1192"/>
    <mergeCell ref="B1193:C1193"/>
    <mergeCell ref="L1193:N1193"/>
    <mergeCell ref="B1194:C1194"/>
    <mergeCell ref="L1194:N1194"/>
    <mergeCell ref="B1189:C1189"/>
    <mergeCell ref="L1189:N1189"/>
    <mergeCell ref="B1190:C1190"/>
    <mergeCell ref="L1190:N1190"/>
    <mergeCell ref="B1191:C1191"/>
    <mergeCell ref="L1191:N1191"/>
    <mergeCell ref="B1186:C1186"/>
    <mergeCell ref="L1186:N1186"/>
    <mergeCell ref="B1187:C1187"/>
    <mergeCell ref="L1187:N1187"/>
    <mergeCell ref="B1188:C1188"/>
    <mergeCell ref="L1188:N1188"/>
    <mergeCell ref="B1183:C1183"/>
    <mergeCell ref="L1183:N1183"/>
    <mergeCell ref="B1184:C1184"/>
    <mergeCell ref="L1184:N1184"/>
    <mergeCell ref="B1185:C1185"/>
    <mergeCell ref="L1185:N1185"/>
    <mergeCell ref="B1180:C1180"/>
    <mergeCell ref="L1180:N1180"/>
    <mergeCell ref="B1181:C1181"/>
    <mergeCell ref="L1181:N1181"/>
    <mergeCell ref="B1182:C1182"/>
    <mergeCell ref="L1182:N1182"/>
    <mergeCell ref="B1177:C1177"/>
    <mergeCell ref="L1177:N1177"/>
    <mergeCell ref="B1178:C1178"/>
    <mergeCell ref="L1178:N1178"/>
    <mergeCell ref="B1179:C1179"/>
    <mergeCell ref="L1179:N1179"/>
    <mergeCell ref="B1174:C1174"/>
    <mergeCell ref="L1174:N1174"/>
    <mergeCell ref="B1175:C1175"/>
    <mergeCell ref="L1175:N1175"/>
    <mergeCell ref="B1176:C1176"/>
    <mergeCell ref="L1176:N1176"/>
    <mergeCell ref="B1171:C1171"/>
    <mergeCell ref="L1171:N1171"/>
    <mergeCell ref="B1172:C1172"/>
    <mergeCell ref="L1172:N1172"/>
    <mergeCell ref="B1173:C1173"/>
    <mergeCell ref="L1173:N1173"/>
    <mergeCell ref="B1168:C1168"/>
    <mergeCell ref="L1168:N1168"/>
    <mergeCell ref="B1169:C1169"/>
    <mergeCell ref="L1169:N1169"/>
    <mergeCell ref="B1170:C1170"/>
    <mergeCell ref="L1170:N1170"/>
    <mergeCell ref="B1165:C1165"/>
    <mergeCell ref="L1165:N1165"/>
    <mergeCell ref="B1166:C1166"/>
    <mergeCell ref="L1166:N1166"/>
    <mergeCell ref="B1167:C1167"/>
    <mergeCell ref="L1167:N1167"/>
    <mergeCell ref="B1162:C1162"/>
    <mergeCell ref="L1162:N1162"/>
    <mergeCell ref="B1163:C1163"/>
    <mergeCell ref="L1163:N1163"/>
    <mergeCell ref="B1164:C1164"/>
    <mergeCell ref="L1164:N1164"/>
    <mergeCell ref="B1159:C1159"/>
    <mergeCell ref="L1159:N1159"/>
    <mergeCell ref="B1160:C1160"/>
    <mergeCell ref="L1160:N1160"/>
    <mergeCell ref="B1161:C1161"/>
    <mergeCell ref="L1161:N1161"/>
    <mergeCell ref="B1156:C1156"/>
    <mergeCell ref="L1156:N1156"/>
    <mergeCell ref="B1157:C1157"/>
    <mergeCell ref="L1157:N1157"/>
    <mergeCell ref="B1158:C1158"/>
    <mergeCell ref="L1158:N1158"/>
    <mergeCell ref="B1153:C1153"/>
    <mergeCell ref="L1153:N1153"/>
    <mergeCell ref="B1154:C1154"/>
    <mergeCell ref="L1154:N1154"/>
    <mergeCell ref="B1155:C1155"/>
    <mergeCell ref="L1155:N1155"/>
    <mergeCell ref="B1150:C1150"/>
    <mergeCell ref="L1150:N1150"/>
    <mergeCell ref="B1151:C1151"/>
    <mergeCell ref="L1151:N1151"/>
    <mergeCell ref="B1152:C1152"/>
    <mergeCell ref="L1152:N1152"/>
    <mergeCell ref="B1147:C1147"/>
    <mergeCell ref="L1147:N1147"/>
    <mergeCell ref="B1148:C1148"/>
    <mergeCell ref="L1148:N1148"/>
    <mergeCell ref="B1149:C1149"/>
    <mergeCell ref="L1149:N1149"/>
    <mergeCell ref="B1144:C1144"/>
    <mergeCell ref="L1144:N1144"/>
    <mergeCell ref="B1145:C1145"/>
    <mergeCell ref="L1145:N1145"/>
    <mergeCell ref="B1146:C1146"/>
    <mergeCell ref="L1146:N1146"/>
    <mergeCell ref="B1141:C1141"/>
    <mergeCell ref="L1141:N1141"/>
    <mergeCell ref="B1142:C1142"/>
    <mergeCell ref="L1142:N1142"/>
    <mergeCell ref="B1143:C1143"/>
    <mergeCell ref="L1143:N1143"/>
    <mergeCell ref="B1138:C1138"/>
    <mergeCell ref="L1138:N1138"/>
    <mergeCell ref="B1139:C1139"/>
    <mergeCell ref="L1139:N1139"/>
    <mergeCell ref="B1140:C1140"/>
    <mergeCell ref="L1140:N1140"/>
    <mergeCell ref="B1135:C1135"/>
    <mergeCell ref="L1135:N1135"/>
    <mergeCell ref="B1136:C1136"/>
    <mergeCell ref="L1136:N1136"/>
    <mergeCell ref="B1137:C1137"/>
    <mergeCell ref="L1137:N1137"/>
    <mergeCell ref="B1132:C1132"/>
    <mergeCell ref="L1132:N1132"/>
    <mergeCell ref="B1133:C1133"/>
    <mergeCell ref="L1133:N1133"/>
    <mergeCell ref="B1134:C1134"/>
    <mergeCell ref="L1134:N1134"/>
    <mergeCell ref="B1129:C1129"/>
    <mergeCell ref="L1129:N1129"/>
    <mergeCell ref="B1130:C1130"/>
    <mergeCell ref="L1130:N1130"/>
    <mergeCell ref="B1131:C1131"/>
    <mergeCell ref="L1131:N1131"/>
    <mergeCell ref="B1126:C1126"/>
    <mergeCell ref="L1126:N1126"/>
    <mergeCell ref="B1127:C1127"/>
    <mergeCell ref="L1127:N1127"/>
    <mergeCell ref="B1128:C1128"/>
    <mergeCell ref="L1128:N1128"/>
    <mergeCell ref="B1123:C1123"/>
    <mergeCell ref="L1123:N1123"/>
    <mergeCell ref="B1124:C1124"/>
    <mergeCell ref="L1124:N1124"/>
    <mergeCell ref="B1125:C1125"/>
    <mergeCell ref="L1125:N1125"/>
    <mergeCell ref="B1120:C1120"/>
    <mergeCell ref="L1120:N1120"/>
    <mergeCell ref="B1121:C1121"/>
    <mergeCell ref="L1121:N1121"/>
    <mergeCell ref="B1122:C1122"/>
    <mergeCell ref="L1122:N1122"/>
    <mergeCell ref="B1117:C1117"/>
    <mergeCell ref="L1117:N1117"/>
    <mergeCell ref="B1118:C1118"/>
    <mergeCell ref="L1118:N1118"/>
    <mergeCell ref="B1119:C1119"/>
    <mergeCell ref="L1119:N1119"/>
    <mergeCell ref="B1114:C1114"/>
    <mergeCell ref="L1114:N1114"/>
    <mergeCell ref="B1115:C1115"/>
    <mergeCell ref="L1115:N1115"/>
    <mergeCell ref="B1116:C1116"/>
    <mergeCell ref="L1116:N1116"/>
    <mergeCell ref="B1111:C1111"/>
    <mergeCell ref="L1111:N1111"/>
    <mergeCell ref="B1112:C1112"/>
    <mergeCell ref="L1112:N1112"/>
    <mergeCell ref="B1113:C1113"/>
    <mergeCell ref="L1113:N1113"/>
    <mergeCell ref="B1108:C1108"/>
    <mergeCell ref="L1108:N1108"/>
    <mergeCell ref="B1109:C1109"/>
    <mergeCell ref="L1109:N1109"/>
    <mergeCell ref="B1110:C1110"/>
    <mergeCell ref="L1110:N1110"/>
    <mergeCell ref="B1105:C1105"/>
    <mergeCell ref="L1105:N1105"/>
    <mergeCell ref="B1106:C1106"/>
    <mergeCell ref="L1106:N1106"/>
    <mergeCell ref="B1107:C1107"/>
    <mergeCell ref="L1107:N1107"/>
    <mergeCell ref="B1102:C1102"/>
    <mergeCell ref="L1102:N1102"/>
    <mergeCell ref="B1103:C1103"/>
    <mergeCell ref="L1103:N1103"/>
    <mergeCell ref="B1104:C1104"/>
    <mergeCell ref="L1104:N1104"/>
    <mergeCell ref="B1099:C1099"/>
    <mergeCell ref="L1099:N1099"/>
    <mergeCell ref="B1100:C1100"/>
    <mergeCell ref="L1100:N1100"/>
    <mergeCell ref="B1101:C1101"/>
    <mergeCell ref="L1101:N1101"/>
    <mergeCell ref="B1096:C1096"/>
    <mergeCell ref="L1096:N1096"/>
    <mergeCell ref="B1097:C1097"/>
    <mergeCell ref="L1097:N1097"/>
    <mergeCell ref="B1098:C1098"/>
    <mergeCell ref="L1098:N1098"/>
    <mergeCell ref="B1093:C1093"/>
    <mergeCell ref="L1093:N1093"/>
    <mergeCell ref="B1094:C1094"/>
    <mergeCell ref="L1094:N1094"/>
    <mergeCell ref="B1095:C1095"/>
    <mergeCell ref="L1095:N1095"/>
    <mergeCell ref="B1090:C1090"/>
    <mergeCell ref="L1090:N1090"/>
    <mergeCell ref="B1091:C1091"/>
    <mergeCell ref="L1091:N1091"/>
    <mergeCell ref="B1092:C1092"/>
    <mergeCell ref="L1092:N1092"/>
    <mergeCell ref="B1087:C1087"/>
    <mergeCell ref="L1087:N1087"/>
    <mergeCell ref="B1088:C1088"/>
    <mergeCell ref="L1088:N1088"/>
    <mergeCell ref="B1089:C1089"/>
    <mergeCell ref="L1089:N1089"/>
    <mergeCell ref="B1084:C1084"/>
    <mergeCell ref="L1084:N1084"/>
    <mergeCell ref="B1085:C1085"/>
    <mergeCell ref="L1085:N1085"/>
    <mergeCell ref="B1086:C1086"/>
    <mergeCell ref="L1086:N1086"/>
    <mergeCell ref="B1081:C1081"/>
    <mergeCell ref="L1081:N1081"/>
    <mergeCell ref="B1082:C1082"/>
    <mergeCell ref="L1082:N1082"/>
    <mergeCell ref="B1083:C1083"/>
    <mergeCell ref="L1083:N1083"/>
    <mergeCell ref="B1078:C1078"/>
    <mergeCell ref="L1078:N1078"/>
    <mergeCell ref="B1079:C1079"/>
    <mergeCell ref="L1079:N1079"/>
    <mergeCell ref="B1080:C1080"/>
    <mergeCell ref="L1080:N1080"/>
    <mergeCell ref="B1075:C1075"/>
    <mergeCell ref="L1075:N1075"/>
    <mergeCell ref="B1076:C1076"/>
    <mergeCell ref="L1076:N1076"/>
    <mergeCell ref="B1077:C1077"/>
    <mergeCell ref="L1077:N1077"/>
    <mergeCell ref="B1072:C1072"/>
    <mergeCell ref="L1072:N1072"/>
    <mergeCell ref="B1073:C1073"/>
    <mergeCell ref="L1073:N1073"/>
    <mergeCell ref="B1074:C1074"/>
    <mergeCell ref="L1074:N1074"/>
    <mergeCell ref="B1069:C1069"/>
    <mergeCell ref="L1069:N1069"/>
    <mergeCell ref="B1070:C1070"/>
    <mergeCell ref="L1070:N1070"/>
    <mergeCell ref="B1071:C1071"/>
    <mergeCell ref="L1071:N1071"/>
    <mergeCell ref="B1066:C1066"/>
    <mergeCell ref="L1066:N1066"/>
    <mergeCell ref="B1067:C1067"/>
    <mergeCell ref="L1067:N1067"/>
    <mergeCell ref="B1068:C1068"/>
    <mergeCell ref="L1068:N1068"/>
    <mergeCell ref="B1063:C1063"/>
    <mergeCell ref="L1063:N1063"/>
    <mergeCell ref="B1064:C1064"/>
    <mergeCell ref="L1064:N1064"/>
    <mergeCell ref="B1065:C1065"/>
    <mergeCell ref="L1065:N1065"/>
    <mergeCell ref="B1060:C1060"/>
    <mergeCell ref="L1060:N1060"/>
    <mergeCell ref="B1061:C1061"/>
    <mergeCell ref="L1061:N1061"/>
    <mergeCell ref="B1062:C1062"/>
    <mergeCell ref="L1062:N1062"/>
    <mergeCell ref="B1057:C1057"/>
    <mergeCell ref="L1057:N1057"/>
    <mergeCell ref="B1058:C1058"/>
    <mergeCell ref="L1058:N1058"/>
    <mergeCell ref="B1059:C1059"/>
    <mergeCell ref="L1059:N1059"/>
    <mergeCell ref="B1054:C1054"/>
    <mergeCell ref="L1054:N1054"/>
    <mergeCell ref="B1055:C1055"/>
    <mergeCell ref="L1055:N1055"/>
    <mergeCell ref="B1056:C1056"/>
    <mergeCell ref="L1056:N1056"/>
    <mergeCell ref="B1051:C1051"/>
    <mergeCell ref="L1051:N1051"/>
    <mergeCell ref="B1052:C1052"/>
    <mergeCell ref="L1052:N1052"/>
    <mergeCell ref="B1053:C1053"/>
    <mergeCell ref="L1053:N1053"/>
    <mergeCell ref="B1048:C1048"/>
    <mergeCell ref="L1048:N1048"/>
    <mergeCell ref="B1049:C1049"/>
    <mergeCell ref="L1049:N1049"/>
    <mergeCell ref="B1050:C1050"/>
    <mergeCell ref="L1050:N1050"/>
    <mergeCell ref="B1045:C1045"/>
    <mergeCell ref="L1045:N1045"/>
    <mergeCell ref="B1046:C1046"/>
    <mergeCell ref="L1046:N1046"/>
    <mergeCell ref="B1047:C1047"/>
    <mergeCell ref="L1047:N1047"/>
    <mergeCell ref="B1042:C1042"/>
    <mergeCell ref="L1042:N1042"/>
    <mergeCell ref="B1043:C1043"/>
    <mergeCell ref="L1043:N1043"/>
    <mergeCell ref="B1044:C1044"/>
    <mergeCell ref="L1044:N1044"/>
    <mergeCell ref="B1039:C1039"/>
    <mergeCell ref="L1039:N1039"/>
    <mergeCell ref="B1040:C1040"/>
    <mergeCell ref="L1040:N1040"/>
    <mergeCell ref="B1041:C1041"/>
    <mergeCell ref="L1041:N1041"/>
    <mergeCell ref="B1036:C1036"/>
    <mergeCell ref="L1036:N1036"/>
    <mergeCell ref="B1037:C1037"/>
    <mergeCell ref="L1037:N1037"/>
    <mergeCell ref="B1038:C1038"/>
    <mergeCell ref="L1038:N1038"/>
    <mergeCell ref="B1033:C1033"/>
    <mergeCell ref="L1033:N1033"/>
    <mergeCell ref="B1034:C1034"/>
    <mergeCell ref="L1034:N1034"/>
    <mergeCell ref="B1035:C1035"/>
    <mergeCell ref="L1035:N1035"/>
    <mergeCell ref="B1030:C1030"/>
    <mergeCell ref="L1030:N1030"/>
    <mergeCell ref="B1031:C1031"/>
    <mergeCell ref="L1031:N1031"/>
    <mergeCell ref="B1032:C1032"/>
    <mergeCell ref="L1032:N1032"/>
    <mergeCell ref="B1027:C1027"/>
    <mergeCell ref="L1027:N1027"/>
    <mergeCell ref="B1028:C1028"/>
    <mergeCell ref="L1028:N1028"/>
    <mergeCell ref="B1029:C1029"/>
    <mergeCell ref="L1029:N1029"/>
    <mergeCell ref="B1024:C1024"/>
    <mergeCell ref="L1024:N1024"/>
    <mergeCell ref="B1025:C1025"/>
    <mergeCell ref="L1025:N1025"/>
    <mergeCell ref="B1026:C1026"/>
    <mergeCell ref="L1026:N1026"/>
    <mergeCell ref="B1021:C1021"/>
    <mergeCell ref="L1021:N1021"/>
    <mergeCell ref="B1022:C1022"/>
    <mergeCell ref="L1022:N1022"/>
    <mergeCell ref="B1023:C1023"/>
    <mergeCell ref="L1023:N1023"/>
    <mergeCell ref="B1018:C1018"/>
    <mergeCell ref="L1018:N1018"/>
    <mergeCell ref="B1019:C1019"/>
    <mergeCell ref="L1019:N1019"/>
    <mergeCell ref="B1020:C1020"/>
    <mergeCell ref="L1020:N1020"/>
    <mergeCell ref="B1015:C1015"/>
    <mergeCell ref="L1015:N1015"/>
    <mergeCell ref="B1016:C1016"/>
    <mergeCell ref="L1016:N1016"/>
    <mergeCell ref="B1017:C1017"/>
    <mergeCell ref="L1017:N1017"/>
    <mergeCell ref="B1012:C1012"/>
    <mergeCell ref="L1012:N1012"/>
    <mergeCell ref="B1013:C1013"/>
    <mergeCell ref="L1013:N1013"/>
    <mergeCell ref="B1014:C1014"/>
    <mergeCell ref="L1014:N1014"/>
    <mergeCell ref="B1009:C1009"/>
    <mergeCell ref="L1009:N1009"/>
    <mergeCell ref="B1010:C1010"/>
    <mergeCell ref="L1010:N1010"/>
    <mergeCell ref="B1011:C1011"/>
    <mergeCell ref="L1011:N1011"/>
    <mergeCell ref="B1006:C1006"/>
    <mergeCell ref="L1006:N1006"/>
    <mergeCell ref="B1007:C1007"/>
    <mergeCell ref="L1007:N1007"/>
    <mergeCell ref="B1008:C1008"/>
    <mergeCell ref="L1008:N1008"/>
    <mergeCell ref="B1003:C1003"/>
    <mergeCell ref="L1003:N1003"/>
    <mergeCell ref="B1004:C1004"/>
    <mergeCell ref="L1004:N1004"/>
    <mergeCell ref="B1005:C1005"/>
    <mergeCell ref="L1005:N1005"/>
    <mergeCell ref="B1000:C1000"/>
    <mergeCell ref="L1000:N1000"/>
    <mergeCell ref="B1001:C1001"/>
    <mergeCell ref="L1001:N1001"/>
    <mergeCell ref="B1002:C1002"/>
    <mergeCell ref="L1002:N1002"/>
    <mergeCell ref="B997:C997"/>
    <mergeCell ref="L997:N997"/>
    <mergeCell ref="B998:C998"/>
    <mergeCell ref="L998:N998"/>
    <mergeCell ref="B999:C999"/>
    <mergeCell ref="L999:N999"/>
    <mergeCell ref="B994:C994"/>
    <mergeCell ref="L994:N994"/>
    <mergeCell ref="B995:C995"/>
    <mergeCell ref="L995:N995"/>
    <mergeCell ref="B996:C996"/>
    <mergeCell ref="L996:N996"/>
    <mergeCell ref="B991:C991"/>
    <mergeCell ref="L991:N991"/>
    <mergeCell ref="B992:C992"/>
    <mergeCell ref="L992:N992"/>
    <mergeCell ref="B993:C993"/>
    <mergeCell ref="L993:N993"/>
    <mergeCell ref="B988:C988"/>
    <mergeCell ref="L988:N988"/>
    <mergeCell ref="B989:C989"/>
    <mergeCell ref="L989:N989"/>
    <mergeCell ref="B990:C990"/>
    <mergeCell ref="L990:N990"/>
    <mergeCell ref="B985:C985"/>
    <mergeCell ref="L985:N985"/>
    <mergeCell ref="B986:C986"/>
    <mergeCell ref="L986:N986"/>
    <mergeCell ref="B987:C987"/>
    <mergeCell ref="L987:N987"/>
    <mergeCell ref="B982:C982"/>
    <mergeCell ref="L982:N982"/>
    <mergeCell ref="B983:C983"/>
    <mergeCell ref="L983:N983"/>
    <mergeCell ref="B984:C984"/>
    <mergeCell ref="L984:N984"/>
    <mergeCell ref="B979:C979"/>
    <mergeCell ref="L979:N979"/>
    <mergeCell ref="B980:C980"/>
    <mergeCell ref="L980:N980"/>
    <mergeCell ref="B981:C981"/>
    <mergeCell ref="L981:N981"/>
    <mergeCell ref="B976:C976"/>
    <mergeCell ref="L976:N976"/>
    <mergeCell ref="B977:C977"/>
    <mergeCell ref="L977:N977"/>
    <mergeCell ref="B978:C978"/>
    <mergeCell ref="L978:N978"/>
    <mergeCell ref="B973:C973"/>
    <mergeCell ref="L973:N973"/>
    <mergeCell ref="B974:C974"/>
    <mergeCell ref="L974:N974"/>
    <mergeCell ref="B975:C975"/>
    <mergeCell ref="L975:N975"/>
    <mergeCell ref="B970:C970"/>
    <mergeCell ref="L970:N970"/>
    <mergeCell ref="B971:C971"/>
    <mergeCell ref="L971:N971"/>
    <mergeCell ref="B972:C972"/>
    <mergeCell ref="L972:N972"/>
    <mergeCell ref="B967:C967"/>
    <mergeCell ref="L967:N967"/>
    <mergeCell ref="B968:C968"/>
    <mergeCell ref="L968:N968"/>
    <mergeCell ref="B969:C969"/>
    <mergeCell ref="L969:N969"/>
    <mergeCell ref="B964:C964"/>
    <mergeCell ref="L964:N964"/>
    <mergeCell ref="B965:C965"/>
    <mergeCell ref="L965:N965"/>
    <mergeCell ref="B966:C966"/>
    <mergeCell ref="L966:N966"/>
    <mergeCell ref="B961:C961"/>
    <mergeCell ref="L961:N961"/>
    <mergeCell ref="B962:C962"/>
    <mergeCell ref="L962:N962"/>
    <mergeCell ref="B963:C963"/>
    <mergeCell ref="L963:N963"/>
    <mergeCell ref="B958:C958"/>
    <mergeCell ref="L958:N958"/>
    <mergeCell ref="B959:C959"/>
    <mergeCell ref="L959:N959"/>
    <mergeCell ref="B960:C960"/>
    <mergeCell ref="L960:N960"/>
    <mergeCell ref="B955:C955"/>
    <mergeCell ref="L955:N955"/>
    <mergeCell ref="B956:C956"/>
    <mergeCell ref="L956:N956"/>
    <mergeCell ref="B957:C957"/>
    <mergeCell ref="L957:N957"/>
    <mergeCell ref="B952:C952"/>
    <mergeCell ref="L952:N952"/>
    <mergeCell ref="B953:C953"/>
    <mergeCell ref="L953:N953"/>
    <mergeCell ref="B954:C954"/>
    <mergeCell ref="L954:N954"/>
    <mergeCell ref="B949:C949"/>
    <mergeCell ref="L949:N949"/>
    <mergeCell ref="B950:C950"/>
    <mergeCell ref="L950:N950"/>
    <mergeCell ref="B951:C951"/>
    <mergeCell ref="L951:N951"/>
    <mergeCell ref="B946:C946"/>
    <mergeCell ref="L946:N946"/>
    <mergeCell ref="B947:C947"/>
    <mergeCell ref="L947:N947"/>
    <mergeCell ref="B948:C948"/>
    <mergeCell ref="L948:N948"/>
    <mergeCell ref="B943:C943"/>
    <mergeCell ref="L943:N943"/>
    <mergeCell ref="B944:C944"/>
    <mergeCell ref="L944:N944"/>
    <mergeCell ref="B945:C945"/>
    <mergeCell ref="L945:N945"/>
    <mergeCell ref="B940:C940"/>
    <mergeCell ref="L940:N940"/>
    <mergeCell ref="B941:C941"/>
    <mergeCell ref="L941:N941"/>
    <mergeCell ref="B942:C942"/>
    <mergeCell ref="L942:N942"/>
    <mergeCell ref="B937:C937"/>
    <mergeCell ref="L937:N937"/>
    <mergeCell ref="B938:C938"/>
    <mergeCell ref="L938:N938"/>
    <mergeCell ref="B939:C939"/>
    <mergeCell ref="L939:N939"/>
    <mergeCell ref="B934:C934"/>
    <mergeCell ref="L934:N934"/>
    <mergeCell ref="B935:C935"/>
    <mergeCell ref="L935:N935"/>
    <mergeCell ref="B936:C936"/>
    <mergeCell ref="L936:N936"/>
    <mergeCell ref="B931:C931"/>
    <mergeCell ref="L931:N931"/>
    <mergeCell ref="B932:C932"/>
    <mergeCell ref="L932:N932"/>
    <mergeCell ref="B933:C933"/>
    <mergeCell ref="L933:N933"/>
    <mergeCell ref="B928:C928"/>
    <mergeCell ref="L928:N928"/>
    <mergeCell ref="B929:C929"/>
    <mergeCell ref="L929:N929"/>
    <mergeCell ref="B930:C930"/>
    <mergeCell ref="L930:N930"/>
    <mergeCell ref="B925:C925"/>
    <mergeCell ref="L925:N925"/>
    <mergeCell ref="B926:C926"/>
    <mergeCell ref="L926:N926"/>
    <mergeCell ref="B927:C927"/>
    <mergeCell ref="L927:N927"/>
    <mergeCell ref="B922:C922"/>
    <mergeCell ref="L922:N922"/>
    <mergeCell ref="B923:C923"/>
    <mergeCell ref="L923:N923"/>
    <mergeCell ref="B924:C924"/>
    <mergeCell ref="L924:N924"/>
    <mergeCell ref="B919:C919"/>
    <mergeCell ref="L919:N919"/>
    <mergeCell ref="B920:C920"/>
    <mergeCell ref="L920:N920"/>
    <mergeCell ref="B921:C921"/>
    <mergeCell ref="L921:N921"/>
    <mergeCell ref="B916:C916"/>
    <mergeCell ref="L916:N916"/>
    <mergeCell ref="B917:C917"/>
    <mergeCell ref="L917:N917"/>
    <mergeCell ref="B918:C918"/>
    <mergeCell ref="L918:N918"/>
    <mergeCell ref="B913:C913"/>
    <mergeCell ref="L913:N913"/>
    <mergeCell ref="B914:C914"/>
    <mergeCell ref="L914:N914"/>
    <mergeCell ref="B915:C915"/>
    <mergeCell ref="L915:N915"/>
    <mergeCell ref="B910:C910"/>
    <mergeCell ref="L910:N910"/>
    <mergeCell ref="B911:C911"/>
    <mergeCell ref="L911:N911"/>
    <mergeCell ref="B912:C912"/>
    <mergeCell ref="L912:N912"/>
    <mergeCell ref="B907:C907"/>
    <mergeCell ref="L907:N907"/>
    <mergeCell ref="B908:C908"/>
    <mergeCell ref="L908:N908"/>
    <mergeCell ref="B909:C909"/>
    <mergeCell ref="L909:N909"/>
    <mergeCell ref="B904:C904"/>
    <mergeCell ref="L904:N904"/>
    <mergeCell ref="B905:C905"/>
    <mergeCell ref="L905:N905"/>
    <mergeCell ref="B906:C906"/>
    <mergeCell ref="L906:N906"/>
    <mergeCell ref="B901:C901"/>
    <mergeCell ref="L901:N901"/>
    <mergeCell ref="B902:C902"/>
    <mergeCell ref="L902:N902"/>
    <mergeCell ref="B903:C903"/>
    <mergeCell ref="L903:N903"/>
    <mergeCell ref="B898:C898"/>
    <mergeCell ref="L898:N898"/>
    <mergeCell ref="B899:C899"/>
    <mergeCell ref="L899:N899"/>
    <mergeCell ref="B900:C900"/>
    <mergeCell ref="L900:N900"/>
    <mergeCell ref="B895:C895"/>
    <mergeCell ref="L895:N895"/>
    <mergeCell ref="B896:C896"/>
    <mergeCell ref="L896:N896"/>
    <mergeCell ref="B897:C897"/>
    <mergeCell ref="L897:N897"/>
    <mergeCell ref="B892:C892"/>
    <mergeCell ref="L892:N892"/>
    <mergeCell ref="B893:C893"/>
    <mergeCell ref="L893:N893"/>
    <mergeCell ref="B894:C894"/>
    <mergeCell ref="L894:N894"/>
    <mergeCell ref="B889:C889"/>
    <mergeCell ref="L889:N889"/>
    <mergeCell ref="B890:C890"/>
    <mergeCell ref="L890:N890"/>
    <mergeCell ref="B891:C891"/>
    <mergeCell ref="L891:N891"/>
    <mergeCell ref="B886:C886"/>
    <mergeCell ref="L886:N886"/>
    <mergeCell ref="B887:C887"/>
    <mergeCell ref="L887:N887"/>
    <mergeCell ref="B888:C888"/>
    <mergeCell ref="L888:N888"/>
    <mergeCell ref="B883:C883"/>
    <mergeCell ref="L883:N883"/>
    <mergeCell ref="B884:C884"/>
    <mergeCell ref="L884:N884"/>
    <mergeCell ref="B885:C885"/>
    <mergeCell ref="L885:N885"/>
    <mergeCell ref="B880:C880"/>
    <mergeCell ref="L880:N880"/>
    <mergeCell ref="B881:C881"/>
    <mergeCell ref="L881:N881"/>
    <mergeCell ref="B882:C882"/>
    <mergeCell ref="L882:N882"/>
    <mergeCell ref="B877:C877"/>
    <mergeCell ref="L877:N877"/>
    <mergeCell ref="B878:C878"/>
    <mergeCell ref="L878:N878"/>
    <mergeCell ref="B879:C879"/>
    <mergeCell ref="L879:N879"/>
    <mergeCell ref="B874:C874"/>
    <mergeCell ref="L874:N874"/>
    <mergeCell ref="B875:C875"/>
    <mergeCell ref="L875:N875"/>
    <mergeCell ref="B876:C876"/>
    <mergeCell ref="L876:N876"/>
    <mergeCell ref="B871:C871"/>
    <mergeCell ref="L871:N871"/>
    <mergeCell ref="B872:C872"/>
    <mergeCell ref="L872:N872"/>
    <mergeCell ref="B873:C873"/>
    <mergeCell ref="L873:N873"/>
    <mergeCell ref="B868:C868"/>
    <mergeCell ref="L868:N868"/>
    <mergeCell ref="B869:C869"/>
    <mergeCell ref="L869:N869"/>
    <mergeCell ref="B870:C870"/>
    <mergeCell ref="L870:N870"/>
    <mergeCell ref="B865:C865"/>
    <mergeCell ref="L865:N865"/>
    <mergeCell ref="B866:C866"/>
    <mergeCell ref="L866:N866"/>
    <mergeCell ref="B867:C867"/>
    <mergeCell ref="L867:N867"/>
    <mergeCell ref="B862:C862"/>
    <mergeCell ref="L862:N862"/>
    <mergeCell ref="B863:C863"/>
    <mergeCell ref="L863:N863"/>
    <mergeCell ref="B864:C864"/>
    <mergeCell ref="L864:N864"/>
    <mergeCell ref="B859:C859"/>
    <mergeCell ref="L859:N859"/>
    <mergeCell ref="B860:C860"/>
    <mergeCell ref="L860:N860"/>
    <mergeCell ref="B861:C861"/>
    <mergeCell ref="L861:N861"/>
    <mergeCell ref="B856:C856"/>
    <mergeCell ref="L856:N856"/>
    <mergeCell ref="B857:C857"/>
    <mergeCell ref="L857:N857"/>
    <mergeCell ref="B858:C858"/>
    <mergeCell ref="L858:N858"/>
    <mergeCell ref="B853:C853"/>
    <mergeCell ref="L853:N853"/>
    <mergeCell ref="B854:C854"/>
    <mergeCell ref="L854:N854"/>
    <mergeCell ref="B855:C855"/>
    <mergeCell ref="L855:N855"/>
    <mergeCell ref="B850:C850"/>
    <mergeCell ref="L850:N850"/>
    <mergeCell ref="B851:C851"/>
    <mergeCell ref="L851:N851"/>
    <mergeCell ref="B852:C852"/>
    <mergeCell ref="L852:N852"/>
    <mergeCell ref="B847:C847"/>
    <mergeCell ref="L847:N847"/>
    <mergeCell ref="B848:C848"/>
    <mergeCell ref="L848:N848"/>
    <mergeCell ref="B849:C849"/>
    <mergeCell ref="L849:N849"/>
    <mergeCell ref="B844:C844"/>
    <mergeCell ref="L844:N844"/>
    <mergeCell ref="B845:C845"/>
    <mergeCell ref="L845:N845"/>
    <mergeCell ref="B846:C846"/>
    <mergeCell ref="L846:N846"/>
    <mergeCell ref="B841:C841"/>
    <mergeCell ref="L841:N841"/>
    <mergeCell ref="B842:C842"/>
    <mergeCell ref="L842:N842"/>
    <mergeCell ref="B843:C843"/>
    <mergeCell ref="L843:N843"/>
    <mergeCell ref="B838:C838"/>
    <mergeCell ref="L838:N838"/>
    <mergeCell ref="B839:C839"/>
    <mergeCell ref="L839:N839"/>
    <mergeCell ref="B840:C840"/>
    <mergeCell ref="L840:N840"/>
    <mergeCell ref="B835:C835"/>
    <mergeCell ref="L835:N835"/>
    <mergeCell ref="B836:C836"/>
    <mergeCell ref="L836:N836"/>
    <mergeCell ref="B837:C837"/>
    <mergeCell ref="L837:N837"/>
    <mergeCell ref="B832:C832"/>
    <mergeCell ref="L832:N832"/>
    <mergeCell ref="B833:C833"/>
    <mergeCell ref="L833:N833"/>
    <mergeCell ref="B834:C834"/>
    <mergeCell ref="L834:N834"/>
    <mergeCell ref="B829:C829"/>
    <mergeCell ref="L829:N829"/>
    <mergeCell ref="B830:C830"/>
    <mergeCell ref="L830:N830"/>
    <mergeCell ref="B831:C831"/>
    <mergeCell ref="L831:N831"/>
    <mergeCell ref="B826:C826"/>
    <mergeCell ref="L826:N826"/>
    <mergeCell ref="B827:C827"/>
    <mergeCell ref="L827:N827"/>
    <mergeCell ref="B828:C828"/>
    <mergeCell ref="L828:N828"/>
    <mergeCell ref="B823:C823"/>
    <mergeCell ref="L823:N823"/>
    <mergeCell ref="B824:C824"/>
    <mergeCell ref="L824:N824"/>
    <mergeCell ref="B825:C825"/>
    <mergeCell ref="L825:N825"/>
    <mergeCell ref="B820:C820"/>
    <mergeCell ref="L820:N820"/>
    <mergeCell ref="B821:C821"/>
    <mergeCell ref="L821:N821"/>
    <mergeCell ref="B822:C822"/>
    <mergeCell ref="L822:N822"/>
    <mergeCell ref="B817:C817"/>
    <mergeCell ref="L817:N817"/>
    <mergeCell ref="B818:C818"/>
    <mergeCell ref="L818:N818"/>
    <mergeCell ref="B819:C819"/>
    <mergeCell ref="L819:N819"/>
    <mergeCell ref="B814:C814"/>
    <mergeCell ref="L814:N814"/>
    <mergeCell ref="B815:C815"/>
    <mergeCell ref="L815:N815"/>
    <mergeCell ref="B816:C816"/>
    <mergeCell ref="L816:N816"/>
    <mergeCell ref="B811:C811"/>
    <mergeCell ref="L811:N811"/>
    <mergeCell ref="B812:C812"/>
    <mergeCell ref="L812:N812"/>
    <mergeCell ref="B813:C813"/>
    <mergeCell ref="L813:N813"/>
    <mergeCell ref="B808:C808"/>
    <mergeCell ref="L808:N808"/>
    <mergeCell ref="B809:C809"/>
    <mergeCell ref="L809:N809"/>
    <mergeCell ref="B810:C810"/>
    <mergeCell ref="L810:N810"/>
    <mergeCell ref="B805:C805"/>
    <mergeCell ref="L805:N805"/>
    <mergeCell ref="B806:C806"/>
    <mergeCell ref="L806:N806"/>
    <mergeCell ref="B807:C807"/>
    <mergeCell ref="L807:N807"/>
    <mergeCell ref="B802:C802"/>
    <mergeCell ref="L802:N802"/>
    <mergeCell ref="B803:C803"/>
    <mergeCell ref="L803:N803"/>
    <mergeCell ref="B804:C804"/>
    <mergeCell ref="L804:N804"/>
    <mergeCell ref="B799:C799"/>
    <mergeCell ref="L799:N799"/>
    <mergeCell ref="B800:C800"/>
    <mergeCell ref="L800:N800"/>
    <mergeCell ref="B801:C801"/>
    <mergeCell ref="L801:N801"/>
    <mergeCell ref="B796:C796"/>
    <mergeCell ref="L796:N796"/>
    <mergeCell ref="B797:C797"/>
    <mergeCell ref="L797:N797"/>
    <mergeCell ref="B798:C798"/>
    <mergeCell ref="L798:N798"/>
    <mergeCell ref="B793:C793"/>
    <mergeCell ref="L793:N793"/>
    <mergeCell ref="B794:C794"/>
    <mergeCell ref="L794:N794"/>
    <mergeCell ref="B795:C795"/>
    <mergeCell ref="L795:N795"/>
    <mergeCell ref="B790:C790"/>
    <mergeCell ref="L790:N790"/>
    <mergeCell ref="B791:C791"/>
    <mergeCell ref="L791:N791"/>
    <mergeCell ref="B792:C792"/>
    <mergeCell ref="L792:N792"/>
    <mergeCell ref="B787:C787"/>
    <mergeCell ref="L787:N787"/>
    <mergeCell ref="B788:C788"/>
    <mergeCell ref="L788:N788"/>
    <mergeCell ref="B789:C789"/>
    <mergeCell ref="L789:N789"/>
    <mergeCell ref="B784:C784"/>
    <mergeCell ref="L784:N784"/>
    <mergeCell ref="B785:C785"/>
    <mergeCell ref="L785:N785"/>
    <mergeCell ref="B786:C786"/>
    <mergeCell ref="L786:N786"/>
    <mergeCell ref="B781:C781"/>
    <mergeCell ref="L781:N781"/>
    <mergeCell ref="B782:C782"/>
    <mergeCell ref="L782:N782"/>
    <mergeCell ref="B783:C783"/>
    <mergeCell ref="L783:N783"/>
    <mergeCell ref="B778:C778"/>
    <mergeCell ref="L778:N778"/>
    <mergeCell ref="B779:C779"/>
    <mergeCell ref="L779:N779"/>
    <mergeCell ref="B780:C780"/>
    <mergeCell ref="L780:N780"/>
    <mergeCell ref="B775:C775"/>
    <mergeCell ref="L775:N775"/>
    <mergeCell ref="B776:C776"/>
    <mergeCell ref="L776:N776"/>
    <mergeCell ref="B777:C777"/>
    <mergeCell ref="L777:N777"/>
    <mergeCell ref="B772:C772"/>
    <mergeCell ref="L772:N772"/>
    <mergeCell ref="B773:C773"/>
    <mergeCell ref="L773:N773"/>
    <mergeCell ref="B774:C774"/>
    <mergeCell ref="L774:N774"/>
    <mergeCell ref="B769:C769"/>
    <mergeCell ref="L769:N769"/>
    <mergeCell ref="B770:C770"/>
    <mergeCell ref="L770:N770"/>
    <mergeCell ref="B771:C771"/>
    <mergeCell ref="L771:N771"/>
    <mergeCell ref="B766:C766"/>
    <mergeCell ref="L766:N766"/>
    <mergeCell ref="B767:C767"/>
    <mergeCell ref="L767:N767"/>
    <mergeCell ref="B768:C768"/>
    <mergeCell ref="L768:N768"/>
    <mergeCell ref="B763:C763"/>
    <mergeCell ref="L763:N763"/>
    <mergeCell ref="B764:C764"/>
    <mergeCell ref="L764:N764"/>
    <mergeCell ref="B765:C765"/>
    <mergeCell ref="L765:N765"/>
    <mergeCell ref="B760:C760"/>
    <mergeCell ref="L760:N760"/>
    <mergeCell ref="B761:C761"/>
    <mergeCell ref="L761:N761"/>
    <mergeCell ref="B762:C762"/>
    <mergeCell ref="L762:N762"/>
    <mergeCell ref="B757:C757"/>
    <mergeCell ref="L757:N757"/>
    <mergeCell ref="B758:C758"/>
    <mergeCell ref="L758:N758"/>
    <mergeCell ref="B759:C759"/>
    <mergeCell ref="L759:N759"/>
    <mergeCell ref="B754:C754"/>
    <mergeCell ref="L754:N754"/>
    <mergeCell ref="B755:C755"/>
    <mergeCell ref="L755:N755"/>
    <mergeCell ref="B756:C756"/>
    <mergeCell ref="L756:N756"/>
    <mergeCell ref="B751:C751"/>
    <mergeCell ref="L751:N751"/>
    <mergeCell ref="B752:C752"/>
    <mergeCell ref="L752:N752"/>
    <mergeCell ref="B753:C753"/>
    <mergeCell ref="L753:N753"/>
    <mergeCell ref="B748:C748"/>
    <mergeCell ref="L748:N748"/>
    <mergeCell ref="B749:C749"/>
    <mergeCell ref="L749:N749"/>
    <mergeCell ref="B750:C750"/>
    <mergeCell ref="L750:N750"/>
    <mergeCell ref="B745:C745"/>
    <mergeCell ref="L745:N745"/>
    <mergeCell ref="B746:C746"/>
    <mergeCell ref="L746:N746"/>
    <mergeCell ref="B747:C747"/>
    <mergeCell ref="L747:N747"/>
    <mergeCell ref="B742:C742"/>
    <mergeCell ref="L742:N742"/>
    <mergeCell ref="B743:C743"/>
    <mergeCell ref="L743:N743"/>
    <mergeCell ref="B744:C744"/>
    <mergeCell ref="L744:N744"/>
    <mergeCell ref="B739:C739"/>
    <mergeCell ref="L739:N739"/>
    <mergeCell ref="B740:C740"/>
    <mergeCell ref="L740:N740"/>
    <mergeCell ref="B741:C741"/>
    <mergeCell ref="L741:N741"/>
    <mergeCell ref="B736:C736"/>
    <mergeCell ref="L736:N736"/>
    <mergeCell ref="B737:C737"/>
    <mergeCell ref="L737:N737"/>
    <mergeCell ref="B738:C738"/>
    <mergeCell ref="L738:N738"/>
    <mergeCell ref="B733:C733"/>
    <mergeCell ref="L733:N733"/>
    <mergeCell ref="B734:C734"/>
    <mergeCell ref="L734:N734"/>
    <mergeCell ref="B735:C735"/>
    <mergeCell ref="L735:N735"/>
    <mergeCell ref="B730:C730"/>
    <mergeCell ref="L730:N730"/>
    <mergeCell ref="B731:C731"/>
    <mergeCell ref="L731:N731"/>
    <mergeCell ref="B732:C732"/>
    <mergeCell ref="L732:N732"/>
    <mergeCell ref="B727:C727"/>
    <mergeCell ref="L727:N727"/>
    <mergeCell ref="B728:C728"/>
    <mergeCell ref="L728:N728"/>
    <mergeCell ref="B729:C729"/>
    <mergeCell ref="L729:N729"/>
    <mergeCell ref="B724:C724"/>
    <mergeCell ref="L724:N724"/>
    <mergeCell ref="B725:C725"/>
    <mergeCell ref="L725:N725"/>
    <mergeCell ref="B726:C726"/>
    <mergeCell ref="L726:N726"/>
    <mergeCell ref="B721:C721"/>
    <mergeCell ref="L721:N721"/>
    <mergeCell ref="B722:C722"/>
    <mergeCell ref="L722:N722"/>
    <mergeCell ref="B723:C723"/>
    <mergeCell ref="L723:N723"/>
    <mergeCell ref="B718:C718"/>
    <mergeCell ref="L718:N718"/>
    <mergeCell ref="B719:C719"/>
    <mergeCell ref="L719:N719"/>
    <mergeCell ref="B720:C720"/>
    <mergeCell ref="L720:N720"/>
    <mergeCell ref="B715:C715"/>
    <mergeCell ref="L715:N715"/>
    <mergeCell ref="B716:C716"/>
    <mergeCell ref="L716:N716"/>
    <mergeCell ref="B717:C717"/>
    <mergeCell ref="L717:N717"/>
    <mergeCell ref="B712:C712"/>
    <mergeCell ref="L712:N712"/>
    <mergeCell ref="B713:C713"/>
    <mergeCell ref="L713:N713"/>
    <mergeCell ref="B714:C714"/>
    <mergeCell ref="L714:N714"/>
    <mergeCell ref="B709:C709"/>
    <mergeCell ref="L709:N709"/>
    <mergeCell ref="B710:C710"/>
    <mergeCell ref="L710:N710"/>
    <mergeCell ref="B711:C711"/>
    <mergeCell ref="L711:N711"/>
    <mergeCell ref="B706:C706"/>
    <mergeCell ref="L706:N706"/>
    <mergeCell ref="B707:C707"/>
    <mergeCell ref="L707:N707"/>
    <mergeCell ref="B708:C708"/>
    <mergeCell ref="L708:N708"/>
    <mergeCell ref="B703:C703"/>
    <mergeCell ref="L703:N703"/>
    <mergeCell ref="B704:C704"/>
    <mergeCell ref="L704:N704"/>
    <mergeCell ref="B705:C705"/>
    <mergeCell ref="L705:N705"/>
    <mergeCell ref="B700:C700"/>
    <mergeCell ref="L700:N700"/>
    <mergeCell ref="B701:C701"/>
    <mergeCell ref="L701:N701"/>
    <mergeCell ref="B702:C702"/>
    <mergeCell ref="L702:N702"/>
    <mergeCell ref="B697:C697"/>
    <mergeCell ref="L697:N697"/>
    <mergeCell ref="B698:C698"/>
    <mergeCell ref="L698:N698"/>
    <mergeCell ref="B699:C699"/>
    <mergeCell ref="L699:N699"/>
    <mergeCell ref="B694:C694"/>
    <mergeCell ref="L694:N694"/>
    <mergeCell ref="B695:C695"/>
    <mergeCell ref="L695:N695"/>
    <mergeCell ref="B696:C696"/>
    <mergeCell ref="L696:N696"/>
    <mergeCell ref="B691:C691"/>
    <mergeCell ref="L691:N691"/>
    <mergeCell ref="B692:C692"/>
    <mergeCell ref="L692:N692"/>
    <mergeCell ref="B693:C693"/>
    <mergeCell ref="L693:N693"/>
    <mergeCell ref="B688:C688"/>
    <mergeCell ref="L688:N688"/>
    <mergeCell ref="B689:C689"/>
    <mergeCell ref="L689:N689"/>
    <mergeCell ref="B690:C690"/>
    <mergeCell ref="L690:N690"/>
    <mergeCell ref="B685:C685"/>
    <mergeCell ref="L685:N685"/>
    <mergeCell ref="B686:C686"/>
    <mergeCell ref="L686:N686"/>
    <mergeCell ref="B687:C687"/>
    <mergeCell ref="L687:N687"/>
    <mergeCell ref="B682:C682"/>
    <mergeCell ref="L682:N682"/>
    <mergeCell ref="B683:C683"/>
    <mergeCell ref="L683:N683"/>
    <mergeCell ref="B684:C684"/>
    <mergeCell ref="L684:N684"/>
    <mergeCell ref="B679:C679"/>
    <mergeCell ref="L679:N679"/>
    <mergeCell ref="B680:C680"/>
    <mergeCell ref="L680:N680"/>
    <mergeCell ref="B681:C681"/>
    <mergeCell ref="L681:N681"/>
    <mergeCell ref="B676:C676"/>
    <mergeCell ref="L676:N676"/>
    <mergeCell ref="B677:C677"/>
    <mergeCell ref="L677:N677"/>
    <mergeCell ref="B678:C678"/>
    <mergeCell ref="L678:N678"/>
    <mergeCell ref="B673:C673"/>
    <mergeCell ref="L673:N673"/>
    <mergeCell ref="B674:C674"/>
    <mergeCell ref="L674:N674"/>
    <mergeCell ref="B675:C675"/>
    <mergeCell ref="L675:N675"/>
    <mergeCell ref="B670:C670"/>
    <mergeCell ref="L670:N670"/>
    <mergeCell ref="B671:C671"/>
    <mergeCell ref="L671:N671"/>
    <mergeCell ref="B672:C672"/>
    <mergeCell ref="L672:N672"/>
    <mergeCell ref="B667:C667"/>
    <mergeCell ref="L667:N667"/>
    <mergeCell ref="B668:C668"/>
    <mergeCell ref="L668:N668"/>
    <mergeCell ref="B669:C669"/>
    <mergeCell ref="L669:N669"/>
    <mergeCell ref="B664:C664"/>
    <mergeCell ref="L664:N664"/>
    <mergeCell ref="B665:C665"/>
    <mergeCell ref="L665:N665"/>
    <mergeCell ref="B666:C666"/>
    <mergeCell ref="L666:N666"/>
    <mergeCell ref="B661:C661"/>
    <mergeCell ref="L661:N661"/>
    <mergeCell ref="B662:C662"/>
    <mergeCell ref="L662:N662"/>
    <mergeCell ref="B663:C663"/>
    <mergeCell ref="L663:N663"/>
    <mergeCell ref="B658:C658"/>
    <mergeCell ref="L658:N658"/>
    <mergeCell ref="B659:C659"/>
    <mergeCell ref="L659:N659"/>
    <mergeCell ref="B660:C660"/>
    <mergeCell ref="L660:N660"/>
    <mergeCell ref="B655:C655"/>
    <mergeCell ref="L655:N655"/>
    <mergeCell ref="B656:C656"/>
    <mergeCell ref="L656:N656"/>
    <mergeCell ref="B657:C657"/>
    <mergeCell ref="L657:N657"/>
    <mergeCell ref="B652:C652"/>
    <mergeCell ref="L652:N652"/>
    <mergeCell ref="B653:C653"/>
    <mergeCell ref="L653:N653"/>
    <mergeCell ref="B654:C654"/>
    <mergeCell ref="L654:N654"/>
    <mergeCell ref="B649:C649"/>
    <mergeCell ref="L649:N649"/>
    <mergeCell ref="B650:C650"/>
    <mergeCell ref="L650:N650"/>
    <mergeCell ref="B651:C651"/>
    <mergeCell ref="L651:N651"/>
    <mergeCell ref="B646:C646"/>
    <mergeCell ref="L646:N646"/>
    <mergeCell ref="B647:C647"/>
    <mergeCell ref="L647:N647"/>
    <mergeCell ref="B648:C648"/>
    <mergeCell ref="L648:N648"/>
    <mergeCell ref="B643:C643"/>
    <mergeCell ref="L643:N643"/>
    <mergeCell ref="B644:C644"/>
    <mergeCell ref="L644:N644"/>
    <mergeCell ref="B645:C645"/>
    <mergeCell ref="L645:N645"/>
    <mergeCell ref="B640:C640"/>
    <mergeCell ref="L640:N640"/>
    <mergeCell ref="B641:C641"/>
    <mergeCell ref="L641:N641"/>
    <mergeCell ref="B642:C642"/>
    <mergeCell ref="L642:N642"/>
    <mergeCell ref="B637:C637"/>
    <mergeCell ref="L637:N637"/>
    <mergeCell ref="B638:C638"/>
    <mergeCell ref="L638:N638"/>
    <mergeCell ref="B639:C639"/>
    <mergeCell ref="L639:N639"/>
    <mergeCell ref="B634:C634"/>
    <mergeCell ref="L634:N634"/>
    <mergeCell ref="B635:C635"/>
    <mergeCell ref="L635:N635"/>
    <mergeCell ref="B636:C636"/>
    <mergeCell ref="L636:N636"/>
    <mergeCell ref="B631:C631"/>
    <mergeCell ref="L631:N631"/>
    <mergeCell ref="B632:C632"/>
    <mergeCell ref="L632:N632"/>
    <mergeCell ref="B633:C633"/>
    <mergeCell ref="L633:N633"/>
    <mergeCell ref="B628:C628"/>
    <mergeCell ref="L628:N628"/>
    <mergeCell ref="B629:C629"/>
    <mergeCell ref="L629:N629"/>
    <mergeCell ref="B630:C630"/>
    <mergeCell ref="L630:N630"/>
    <mergeCell ref="B625:C625"/>
    <mergeCell ref="L625:N625"/>
    <mergeCell ref="B626:C626"/>
    <mergeCell ref="L626:N626"/>
    <mergeCell ref="B627:C627"/>
    <mergeCell ref="L627:N627"/>
    <mergeCell ref="B622:C622"/>
    <mergeCell ref="L622:N622"/>
    <mergeCell ref="B623:C623"/>
    <mergeCell ref="L623:N623"/>
    <mergeCell ref="B624:C624"/>
    <mergeCell ref="L624:N624"/>
    <mergeCell ref="B619:C619"/>
    <mergeCell ref="L619:N619"/>
    <mergeCell ref="B620:C620"/>
    <mergeCell ref="L620:N620"/>
    <mergeCell ref="B621:C621"/>
    <mergeCell ref="L621:N621"/>
    <mergeCell ref="B616:C616"/>
    <mergeCell ref="L616:N616"/>
    <mergeCell ref="B617:C617"/>
    <mergeCell ref="L617:N617"/>
    <mergeCell ref="B618:C618"/>
    <mergeCell ref="L618:N618"/>
    <mergeCell ref="B613:C613"/>
    <mergeCell ref="L613:N613"/>
    <mergeCell ref="B614:C614"/>
    <mergeCell ref="L614:N614"/>
    <mergeCell ref="B615:C615"/>
    <mergeCell ref="L615:N615"/>
    <mergeCell ref="B610:C610"/>
    <mergeCell ref="L610:N610"/>
    <mergeCell ref="B611:C611"/>
    <mergeCell ref="L611:N611"/>
    <mergeCell ref="B612:C612"/>
    <mergeCell ref="L612:N612"/>
    <mergeCell ref="B607:C607"/>
    <mergeCell ref="L607:N607"/>
    <mergeCell ref="B608:C608"/>
    <mergeCell ref="L608:N608"/>
    <mergeCell ref="B609:C609"/>
    <mergeCell ref="L609:N609"/>
    <mergeCell ref="B604:C604"/>
    <mergeCell ref="L604:N604"/>
    <mergeCell ref="B605:C605"/>
    <mergeCell ref="L605:N605"/>
    <mergeCell ref="B606:C606"/>
    <mergeCell ref="L606:N606"/>
    <mergeCell ref="B601:C601"/>
    <mergeCell ref="L601:N601"/>
    <mergeCell ref="B602:C602"/>
    <mergeCell ref="L602:N602"/>
    <mergeCell ref="B603:C603"/>
    <mergeCell ref="L603:N603"/>
    <mergeCell ref="B598:C598"/>
    <mergeCell ref="L598:N598"/>
    <mergeCell ref="B599:C599"/>
    <mergeCell ref="L599:N599"/>
    <mergeCell ref="B600:C600"/>
    <mergeCell ref="L600:N600"/>
    <mergeCell ref="B595:C595"/>
    <mergeCell ref="L595:N595"/>
    <mergeCell ref="B596:C596"/>
    <mergeCell ref="L596:N596"/>
    <mergeCell ref="B597:C597"/>
    <mergeCell ref="L597:N597"/>
    <mergeCell ref="B592:C592"/>
    <mergeCell ref="L592:N592"/>
    <mergeCell ref="B593:C593"/>
    <mergeCell ref="L593:N593"/>
    <mergeCell ref="B594:C594"/>
    <mergeCell ref="L594:N594"/>
    <mergeCell ref="B589:C589"/>
    <mergeCell ref="L589:N589"/>
    <mergeCell ref="B590:C590"/>
    <mergeCell ref="L590:N590"/>
    <mergeCell ref="B591:C591"/>
    <mergeCell ref="L591:N591"/>
    <mergeCell ref="B586:C586"/>
    <mergeCell ref="L586:N586"/>
    <mergeCell ref="B587:C587"/>
    <mergeCell ref="L587:N587"/>
    <mergeCell ref="B588:C588"/>
    <mergeCell ref="L588:N588"/>
    <mergeCell ref="B583:C583"/>
    <mergeCell ref="L583:N583"/>
    <mergeCell ref="B584:C584"/>
    <mergeCell ref="L584:N584"/>
    <mergeCell ref="B585:C585"/>
    <mergeCell ref="L585:N585"/>
    <mergeCell ref="B580:C580"/>
    <mergeCell ref="L580:N580"/>
    <mergeCell ref="B581:C581"/>
    <mergeCell ref="L581:N581"/>
    <mergeCell ref="B582:C582"/>
    <mergeCell ref="L582:N582"/>
    <mergeCell ref="B577:C577"/>
    <mergeCell ref="L577:N577"/>
    <mergeCell ref="B578:C578"/>
    <mergeCell ref="L578:N578"/>
    <mergeCell ref="B579:C579"/>
    <mergeCell ref="L579:N579"/>
    <mergeCell ref="B574:C574"/>
    <mergeCell ref="L574:N574"/>
    <mergeCell ref="B575:C575"/>
    <mergeCell ref="L575:N575"/>
    <mergeCell ref="B576:C576"/>
    <mergeCell ref="L576:N576"/>
    <mergeCell ref="B571:C571"/>
    <mergeCell ref="L571:N571"/>
    <mergeCell ref="B572:C572"/>
    <mergeCell ref="L572:N572"/>
    <mergeCell ref="B573:C573"/>
    <mergeCell ref="L573:N573"/>
    <mergeCell ref="B568:C568"/>
    <mergeCell ref="L568:N568"/>
    <mergeCell ref="B569:C569"/>
    <mergeCell ref="L569:N569"/>
    <mergeCell ref="B570:C570"/>
    <mergeCell ref="L570:N570"/>
    <mergeCell ref="B565:C565"/>
    <mergeCell ref="L565:N565"/>
    <mergeCell ref="B566:C566"/>
    <mergeCell ref="L566:N566"/>
    <mergeCell ref="B567:C567"/>
    <mergeCell ref="L567:N567"/>
    <mergeCell ref="B562:C562"/>
    <mergeCell ref="L562:N562"/>
    <mergeCell ref="B563:C563"/>
    <mergeCell ref="L563:N563"/>
    <mergeCell ref="B564:C564"/>
    <mergeCell ref="L564:N564"/>
    <mergeCell ref="B559:C559"/>
    <mergeCell ref="L559:N559"/>
    <mergeCell ref="B560:C560"/>
    <mergeCell ref="L560:N560"/>
    <mergeCell ref="B561:C561"/>
    <mergeCell ref="L561:N561"/>
    <mergeCell ref="B556:C556"/>
    <mergeCell ref="L556:N556"/>
    <mergeCell ref="B557:C557"/>
    <mergeCell ref="L557:N557"/>
    <mergeCell ref="B558:C558"/>
    <mergeCell ref="L558:N558"/>
    <mergeCell ref="B553:C553"/>
    <mergeCell ref="L553:N553"/>
    <mergeCell ref="B554:C554"/>
    <mergeCell ref="L554:N554"/>
    <mergeCell ref="B555:C555"/>
    <mergeCell ref="L555:N555"/>
    <mergeCell ref="B550:C550"/>
    <mergeCell ref="L550:N550"/>
    <mergeCell ref="B551:C551"/>
    <mergeCell ref="L551:N551"/>
    <mergeCell ref="B552:C552"/>
    <mergeCell ref="L552:N552"/>
    <mergeCell ref="B547:C547"/>
    <mergeCell ref="L547:N547"/>
    <mergeCell ref="B548:C548"/>
    <mergeCell ref="L548:N548"/>
    <mergeCell ref="B549:C549"/>
    <mergeCell ref="L549:N549"/>
    <mergeCell ref="B544:C544"/>
    <mergeCell ref="L544:N544"/>
    <mergeCell ref="B545:C545"/>
    <mergeCell ref="L545:N545"/>
    <mergeCell ref="B546:C546"/>
    <mergeCell ref="L546:N546"/>
    <mergeCell ref="B541:C541"/>
    <mergeCell ref="L541:N541"/>
    <mergeCell ref="B542:C542"/>
    <mergeCell ref="L542:N542"/>
    <mergeCell ref="B543:C543"/>
    <mergeCell ref="L543:N543"/>
    <mergeCell ref="B538:C538"/>
    <mergeCell ref="L538:N538"/>
    <mergeCell ref="B539:C539"/>
    <mergeCell ref="L539:N539"/>
    <mergeCell ref="B540:C540"/>
    <mergeCell ref="L540:N540"/>
    <mergeCell ref="B535:C535"/>
    <mergeCell ref="L535:N535"/>
    <mergeCell ref="B536:C536"/>
    <mergeCell ref="L536:N536"/>
    <mergeCell ref="B537:C537"/>
    <mergeCell ref="L537:N537"/>
    <mergeCell ref="B532:C532"/>
    <mergeCell ref="L532:N532"/>
    <mergeCell ref="B533:C533"/>
    <mergeCell ref="L533:N533"/>
    <mergeCell ref="B534:C534"/>
    <mergeCell ref="L534:N534"/>
    <mergeCell ref="B529:C529"/>
    <mergeCell ref="L529:N529"/>
    <mergeCell ref="B530:C530"/>
    <mergeCell ref="L530:N530"/>
    <mergeCell ref="B531:C531"/>
    <mergeCell ref="L531:N531"/>
    <mergeCell ref="B526:C526"/>
    <mergeCell ref="L526:N526"/>
    <mergeCell ref="B527:C527"/>
    <mergeCell ref="L527:N527"/>
    <mergeCell ref="B528:C528"/>
    <mergeCell ref="L528:N528"/>
    <mergeCell ref="B523:C523"/>
    <mergeCell ref="L523:N523"/>
    <mergeCell ref="B524:C524"/>
    <mergeCell ref="L524:N524"/>
    <mergeCell ref="B525:C525"/>
    <mergeCell ref="L525:N525"/>
    <mergeCell ref="B520:C520"/>
    <mergeCell ref="L520:N520"/>
    <mergeCell ref="B521:C521"/>
    <mergeCell ref="L521:N521"/>
    <mergeCell ref="B522:C522"/>
    <mergeCell ref="L522:N522"/>
    <mergeCell ref="B517:C517"/>
    <mergeCell ref="L517:N517"/>
    <mergeCell ref="B518:C518"/>
    <mergeCell ref="L518:N518"/>
    <mergeCell ref="B519:C519"/>
    <mergeCell ref="L519:N519"/>
    <mergeCell ref="B514:C514"/>
    <mergeCell ref="L514:N514"/>
    <mergeCell ref="B515:C515"/>
    <mergeCell ref="L515:N515"/>
    <mergeCell ref="B516:C516"/>
    <mergeCell ref="L516:N516"/>
    <mergeCell ref="B511:C511"/>
    <mergeCell ref="L511:N511"/>
    <mergeCell ref="B512:C512"/>
    <mergeCell ref="L512:N512"/>
    <mergeCell ref="B513:C513"/>
    <mergeCell ref="L513:N513"/>
    <mergeCell ref="B508:C508"/>
    <mergeCell ref="L508:N508"/>
    <mergeCell ref="B509:C509"/>
    <mergeCell ref="L509:N509"/>
    <mergeCell ref="B510:C510"/>
    <mergeCell ref="L510:N510"/>
    <mergeCell ref="B505:C505"/>
    <mergeCell ref="L505:N505"/>
    <mergeCell ref="B506:C506"/>
    <mergeCell ref="L506:N506"/>
    <mergeCell ref="B507:C507"/>
    <mergeCell ref="L507:N507"/>
    <mergeCell ref="B502:C502"/>
    <mergeCell ref="L502:N502"/>
    <mergeCell ref="B503:C503"/>
    <mergeCell ref="L503:N503"/>
    <mergeCell ref="B504:C504"/>
    <mergeCell ref="L504:N504"/>
    <mergeCell ref="B499:C499"/>
    <mergeCell ref="L499:N499"/>
    <mergeCell ref="B500:C500"/>
    <mergeCell ref="L500:N500"/>
    <mergeCell ref="B501:C501"/>
    <mergeCell ref="L501:N501"/>
    <mergeCell ref="B496:C496"/>
    <mergeCell ref="L496:N496"/>
    <mergeCell ref="B497:C497"/>
    <mergeCell ref="L497:N497"/>
    <mergeCell ref="B498:C498"/>
    <mergeCell ref="L498:N498"/>
    <mergeCell ref="B493:C493"/>
    <mergeCell ref="L493:N493"/>
    <mergeCell ref="B494:C494"/>
    <mergeCell ref="L494:N494"/>
    <mergeCell ref="B495:C495"/>
    <mergeCell ref="L495:N495"/>
    <mergeCell ref="B490:C490"/>
    <mergeCell ref="L490:N490"/>
    <mergeCell ref="B491:C491"/>
    <mergeCell ref="L491:N491"/>
    <mergeCell ref="B492:C492"/>
    <mergeCell ref="L492:N492"/>
    <mergeCell ref="B487:C487"/>
    <mergeCell ref="L487:N487"/>
    <mergeCell ref="B488:C488"/>
    <mergeCell ref="L488:N488"/>
    <mergeCell ref="B489:C489"/>
    <mergeCell ref="L489:N489"/>
    <mergeCell ref="B484:C484"/>
    <mergeCell ref="L484:N484"/>
    <mergeCell ref="B485:C485"/>
    <mergeCell ref="L485:N485"/>
    <mergeCell ref="B486:C486"/>
    <mergeCell ref="L486:N486"/>
    <mergeCell ref="B481:C481"/>
    <mergeCell ref="L481:N481"/>
    <mergeCell ref="B482:C482"/>
    <mergeCell ref="L482:N482"/>
    <mergeCell ref="B483:C483"/>
    <mergeCell ref="L483:N483"/>
    <mergeCell ref="B478:C478"/>
    <mergeCell ref="L478:N478"/>
    <mergeCell ref="B479:C479"/>
    <mergeCell ref="L479:N479"/>
    <mergeCell ref="B480:C480"/>
    <mergeCell ref="L480:N480"/>
    <mergeCell ref="B475:C475"/>
    <mergeCell ref="L475:N475"/>
    <mergeCell ref="B476:C476"/>
    <mergeCell ref="L476:N476"/>
    <mergeCell ref="B477:C477"/>
    <mergeCell ref="L477:N477"/>
    <mergeCell ref="B472:C472"/>
    <mergeCell ref="L472:N472"/>
    <mergeCell ref="B473:C473"/>
    <mergeCell ref="L473:N473"/>
    <mergeCell ref="B474:C474"/>
    <mergeCell ref="L474:N474"/>
    <mergeCell ref="B469:C469"/>
    <mergeCell ref="L469:N469"/>
    <mergeCell ref="B470:C470"/>
    <mergeCell ref="L470:N470"/>
    <mergeCell ref="B471:C471"/>
    <mergeCell ref="L471:N471"/>
    <mergeCell ref="B466:C466"/>
    <mergeCell ref="L466:N466"/>
    <mergeCell ref="B467:C467"/>
    <mergeCell ref="L467:N467"/>
    <mergeCell ref="B468:C468"/>
    <mergeCell ref="L468:N468"/>
    <mergeCell ref="B463:C463"/>
    <mergeCell ref="L463:N463"/>
    <mergeCell ref="B464:C464"/>
    <mergeCell ref="L464:N464"/>
    <mergeCell ref="B465:C465"/>
    <mergeCell ref="L465:N465"/>
    <mergeCell ref="B460:C460"/>
    <mergeCell ref="L460:N460"/>
    <mergeCell ref="B461:C461"/>
    <mergeCell ref="L461:N461"/>
    <mergeCell ref="B462:C462"/>
    <mergeCell ref="L462:N462"/>
    <mergeCell ref="B457:C457"/>
    <mergeCell ref="L457:N457"/>
    <mergeCell ref="B458:C458"/>
    <mergeCell ref="L458:N458"/>
    <mergeCell ref="B459:C459"/>
    <mergeCell ref="L459:N459"/>
    <mergeCell ref="B454:C454"/>
    <mergeCell ref="L454:N454"/>
    <mergeCell ref="B455:C455"/>
    <mergeCell ref="L455:N455"/>
    <mergeCell ref="B456:C456"/>
    <mergeCell ref="L456:N456"/>
    <mergeCell ref="B451:C451"/>
    <mergeCell ref="L451:N451"/>
    <mergeCell ref="B452:C452"/>
    <mergeCell ref="L452:N452"/>
    <mergeCell ref="B453:C453"/>
    <mergeCell ref="L453:N453"/>
    <mergeCell ref="B448:C448"/>
    <mergeCell ref="L448:N448"/>
    <mergeCell ref="B449:C449"/>
    <mergeCell ref="L449:N449"/>
    <mergeCell ref="B450:C450"/>
    <mergeCell ref="L450:N450"/>
    <mergeCell ref="B445:C445"/>
    <mergeCell ref="L445:N445"/>
    <mergeCell ref="B446:C446"/>
    <mergeCell ref="L446:N446"/>
    <mergeCell ref="B447:C447"/>
    <mergeCell ref="L447:N447"/>
    <mergeCell ref="B442:C442"/>
    <mergeCell ref="L442:N442"/>
    <mergeCell ref="B443:C443"/>
    <mergeCell ref="L443:N443"/>
    <mergeCell ref="B444:C444"/>
    <mergeCell ref="L444:N444"/>
    <mergeCell ref="B439:C439"/>
    <mergeCell ref="L439:N439"/>
    <mergeCell ref="B440:C440"/>
    <mergeCell ref="L440:N440"/>
    <mergeCell ref="B441:C441"/>
    <mergeCell ref="L441:N441"/>
    <mergeCell ref="B436:C436"/>
    <mergeCell ref="L436:N436"/>
    <mergeCell ref="B437:C437"/>
    <mergeCell ref="L437:N437"/>
    <mergeCell ref="B438:C438"/>
    <mergeCell ref="L438:N438"/>
    <mergeCell ref="B433:C433"/>
    <mergeCell ref="L433:N433"/>
    <mergeCell ref="B434:C434"/>
    <mergeCell ref="L434:N434"/>
    <mergeCell ref="B435:C435"/>
    <mergeCell ref="L435:N435"/>
    <mergeCell ref="B430:C430"/>
    <mergeCell ref="L430:N430"/>
    <mergeCell ref="B431:C431"/>
    <mergeCell ref="L431:N431"/>
    <mergeCell ref="B432:C432"/>
    <mergeCell ref="L432:N432"/>
    <mergeCell ref="B427:C427"/>
    <mergeCell ref="L427:N427"/>
    <mergeCell ref="B428:C428"/>
    <mergeCell ref="L428:N428"/>
    <mergeCell ref="B429:C429"/>
    <mergeCell ref="L429:N429"/>
    <mergeCell ref="B424:C424"/>
    <mergeCell ref="L424:N424"/>
    <mergeCell ref="B425:C425"/>
    <mergeCell ref="L425:N425"/>
    <mergeCell ref="B426:C426"/>
    <mergeCell ref="L426:N426"/>
    <mergeCell ref="B421:C421"/>
    <mergeCell ref="L421:N421"/>
    <mergeCell ref="B422:C422"/>
    <mergeCell ref="L422:N422"/>
    <mergeCell ref="B423:C423"/>
    <mergeCell ref="L423:N423"/>
    <mergeCell ref="B418:C418"/>
    <mergeCell ref="L418:N418"/>
    <mergeCell ref="B419:C419"/>
    <mergeCell ref="L419:N419"/>
    <mergeCell ref="B420:C420"/>
    <mergeCell ref="L420:N420"/>
    <mergeCell ref="B415:C415"/>
    <mergeCell ref="L415:N415"/>
    <mergeCell ref="B416:C416"/>
    <mergeCell ref="L416:N416"/>
    <mergeCell ref="B417:C417"/>
    <mergeCell ref="L417:N417"/>
    <mergeCell ref="B412:C412"/>
    <mergeCell ref="L412:N412"/>
    <mergeCell ref="B413:C413"/>
    <mergeCell ref="L413:N413"/>
    <mergeCell ref="B414:C414"/>
    <mergeCell ref="L414:N414"/>
    <mergeCell ref="B409:C409"/>
    <mergeCell ref="L409:N409"/>
    <mergeCell ref="B410:C410"/>
    <mergeCell ref="L410:N410"/>
    <mergeCell ref="B411:C411"/>
    <mergeCell ref="L411:N411"/>
    <mergeCell ref="B406:C406"/>
    <mergeCell ref="L406:N406"/>
    <mergeCell ref="B407:C407"/>
    <mergeCell ref="L407:N407"/>
    <mergeCell ref="B408:C408"/>
    <mergeCell ref="L408:N408"/>
    <mergeCell ref="B403:C403"/>
    <mergeCell ref="L403:N403"/>
    <mergeCell ref="B404:C404"/>
    <mergeCell ref="L404:N404"/>
    <mergeCell ref="B405:C405"/>
    <mergeCell ref="L405:N405"/>
    <mergeCell ref="B400:C400"/>
    <mergeCell ref="L400:N400"/>
    <mergeCell ref="B401:C401"/>
    <mergeCell ref="L401:N401"/>
    <mergeCell ref="B402:C402"/>
    <mergeCell ref="L402:N402"/>
    <mergeCell ref="B397:C397"/>
    <mergeCell ref="L397:N397"/>
    <mergeCell ref="B398:C398"/>
    <mergeCell ref="L398:N398"/>
    <mergeCell ref="B399:C399"/>
    <mergeCell ref="L399:N399"/>
    <mergeCell ref="B394:C394"/>
    <mergeCell ref="L394:N394"/>
    <mergeCell ref="B395:C395"/>
    <mergeCell ref="L395:N395"/>
    <mergeCell ref="B396:C396"/>
    <mergeCell ref="L396:N396"/>
    <mergeCell ref="B391:C391"/>
    <mergeCell ref="L391:N391"/>
    <mergeCell ref="B392:C392"/>
    <mergeCell ref="L392:N392"/>
    <mergeCell ref="B393:C393"/>
    <mergeCell ref="L393:N393"/>
    <mergeCell ref="B388:C388"/>
    <mergeCell ref="L388:N388"/>
    <mergeCell ref="B389:C389"/>
    <mergeCell ref="L389:N389"/>
    <mergeCell ref="B390:C390"/>
    <mergeCell ref="L390:N390"/>
    <mergeCell ref="B385:C385"/>
    <mergeCell ref="L385:N385"/>
    <mergeCell ref="B386:C386"/>
    <mergeCell ref="L386:N386"/>
    <mergeCell ref="B387:C387"/>
    <mergeCell ref="L387:N387"/>
    <mergeCell ref="B382:C382"/>
    <mergeCell ref="L382:N382"/>
    <mergeCell ref="B383:C383"/>
    <mergeCell ref="L383:N383"/>
    <mergeCell ref="B384:C384"/>
    <mergeCell ref="L384:N384"/>
    <mergeCell ref="B379:C379"/>
    <mergeCell ref="L379:N379"/>
    <mergeCell ref="B380:C380"/>
    <mergeCell ref="L380:N380"/>
    <mergeCell ref="B381:C381"/>
    <mergeCell ref="L381:N381"/>
    <mergeCell ref="B376:C376"/>
    <mergeCell ref="L376:N376"/>
    <mergeCell ref="B377:C377"/>
    <mergeCell ref="L377:N377"/>
    <mergeCell ref="B378:C378"/>
    <mergeCell ref="L378:N378"/>
    <mergeCell ref="B373:C373"/>
    <mergeCell ref="L373:N373"/>
    <mergeCell ref="B374:C374"/>
    <mergeCell ref="L374:N374"/>
    <mergeCell ref="B375:C375"/>
    <mergeCell ref="L375:N375"/>
    <mergeCell ref="B370:C370"/>
    <mergeCell ref="L370:N370"/>
    <mergeCell ref="B371:C371"/>
    <mergeCell ref="L371:N371"/>
    <mergeCell ref="B372:C372"/>
    <mergeCell ref="L372:N372"/>
    <mergeCell ref="B367:C367"/>
    <mergeCell ref="L367:N367"/>
    <mergeCell ref="B368:C368"/>
    <mergeCell ref="L368:N368"/>
    <mergeCell ref="B369:C369"/>
    <mergeCell ref="L369:N369"/>
    <mergeCell ref="B364:C364"/>
    <mergeCell ref="L364:N364"/>
    <mergeCell ref="B365:C365"/>
    <mergeCell ref="L365:N365"/>
    <mergeCell ref="B366:C366"/>
    <mergeCell ref="L366:N366"/>
    <mergeCell ref="B361:C361"/>
    <mergeCell ref="L361:N361"/>
    <mergeCell ref="B362:C362"/>
    <mergeCell ref="L362:N362"/>
    <mergeCell ref="B363:C363"/>
    <mergeCell ref="L363:N363"/>
    <mergeCell ref="B358:C358"/>
    <mergeCell ref="L358:N358"/>
    <mergeCell ref="B359:C359"/>
    <mergeCell ref="L359:N359"/>
    <mergeCell ref="B360:C360"/>
    <mergeCell ref="L360:N360"/>
    <mergeCell ref="B355:C355"/>
    <mergeCell ref="L355:N355"/>
    <mergeCell ref="B356:C356"/>
    <mergeCell ref="L356:N356"/>
    <mergeCell ref="B357:C357"/>
    <mergeCell ref="L357:N357"/>
    <mergeCell ref="B352:C352"/>
    <mergeCell ref="L352:N352"/>
    <mergeCell ref="B353:C353"/>
    <mergeCell ref="L353:N353"/>
    <mergeCell ref="B354:C354"/>
    <mergeCell ref="L354:N354"/>
    <mergeCell ref="B349:C349"/>
    <mergeCell ref="L349:N349"/>
    <mergeCell ref="B350:C350"/>
    <mergeCell ref="L350:N350"/>
    <mergeCell ref="B351:C351"/>
    <mergeCell ref="L351:N351"/>
    <mergeCell ref="B346:C346"/>
    <mergeCell ref="L346:N346"/>
    <mergeCell ref="B347:C347"/>
    <mergeCell ref="L347:N347"/>
    <mergeCell ref="B348:C348"/>
    <mergeCell ref="L348:N348"/>
    <mergeCell ref="B343:C343"/>
    <mergeCell ref="L343:N343"/>
    <mergeCell ref="B344:C344"/>
    <mergeCell ref="L344:N344"/>
    <mergeCell ref="B345:C345"/>
    <mergeCell ref="L345:N345"/>
    <mergeCell ref="B340:C340"/>
    <mergeCell ref="L340:N340"/>
    <mergeCell ref="B341:C341"/>
    <mergeCell ref="L341:N341"/>
    <mergeCell ref="B342:C342"/>
    <mergeCell ref="L342:N342"/>
    <mergeCell ref="B337:C337"/>
    <mergeCell ref="L337:N337"/>
    <mergeCell ref="B338:C338"/>
    <mergeCell ref="L338:N338"/>
    <mergeCell ref="B339:C339"/>
    <mergeCell ref="L339:N339"/>
    <mergeCell ref="B334:C334"/>
    <mergeCell ref="L334:N334"/>
    <mergeCell ref="B335:C335"/>
    <mergeCell ref="L335:N335"/>
    <mergeCell ref="B336:C336"/>
    <mergeCell ref="L336:N336"/>
    <mergeCell ref="B331:C331"/>
    <mergeCell ref="L331:N331"/>
    <mergeCell ref="B332:C332"/>
    <mergeCell ref="L332:N332"/>
    <mergeCell ref="B333:C333"/>
    <mergeCell ref="L333:N333"/>
    <mergeCell ref="B328:C328"/>
    <mergeCell ref="L328:N328"/>
    <mergeCell ref="B329:C329"/>
    <mergeCell ref="L329:N329"/>
    <mergeCell ref="B330:C330"/>
    <mergeCell ref="L330:N330"/>
    <mergeCell ref="B325:C325"/>
    <mergeCell ref="L325:N325"/>
    <mergeCell ref="B326:C326"/>
    <mergeCell ref="L326:N326"/>
    <mergeCell ref="B327:C327"/>
    <mergeCell ref="L327:N327"/>
    <mergeCell ref="B322:C322"/>
    <mergeCell ref="L322:N322"/>
    <mergeCell ref="B323:C323"/>
    <mergeCell ref="L323:N323"/>
    <mergeCell ref="B324:C324"/>
    <mergeCell ref="L324:N324"/>
    <mergeCell ref="B319:C319"/>
    <mergeCell ref="L319:N319"/>
    <mergeCell ref="B320:C320"/>
    <mergeCell ref="L320:N320"/>
    <mergeCell ref="B321:C321"/>
    <mergeCell ref="L321:N321"/>
    <mergeCell ref="B316:C316"/>
    <mergeCell ref="L316:N316"/>
    <mergeCell ref="B317:C317"/>
    <mergeCell ref="L317:N317"/>
    <mergeCell ref="B318:C318"/>
    <mergeCell ref="L318:N318"/>
    <mergeCell ref="B313:C313"/>
    <mergeCell ref="L313:N313"/>
    <mergeCell ref="B314:C314"/>
    <mergeCell ref="L314:N314"/>
    <mergeCell ref="B315:C315"/>
    <mergeCell ref="L315:N315"/>
    <mergeCell ref="B310:C310"/>
    <mergeCell ref="L310:N310"/>
    <mergeCell ref="B311:C311"/>
    <mergeCell ref="L311:N311"/>
    <mergeCell ref="B312:C312"/>
    <mergeCell ref="L312:N312"/>
    <mergeCell ref="B307:C307"/>
    <mergeCell ref="L307:N307"/>
    <mergeCell ref="B308:C308"/>
    <mergeCell ref="L308:N308"/>
    <mergeCell ref="B309:C309"/>
    <mergeCell ref="L309:N309"/>
    <mergeCell ref="B304:C304"/>
    <mergeCell ref="L304:N304"/>
    <mergeCell ref="B305:C305"/>
    <mergeCell ref="L305:N305"/>
    <mergeCell ref="B306:C306"/>
    <mergeCell ref="L306:N306"/>
    <mergeCell ref="B301:C301"/>
    <mergeCell ref="L301:N301"/>
    <mergeCell ref="B302:C302"/>
    <mergeCell ref="L302:N302"/>
    <mergeCell ref="B303:C303"/>
    <mergeCell ref="L303:N303"/>
    <mergeCell ref="B298:C298"/>
    <mergeCell ref="L298:N298"/>
    <mergeCell ref="B299:C299"/>
    <mergeCell ref="L299:N299"/>
    <mergeCell ref="B300:C300"/>
    <mergeCell ref="L300:N300"/>
    <mergeCell ref="B295:C295"/>
    <mergeCell ref="L295:N295"/>
    <mergeCell ref="B296:C296"/>
    <mergeCell ref="L296:N296"/>
    <mergeCell ref="B297:C297"/>
    <mergeCell ref="L297:N297"/>
    <mergeCell ref="B292:C292"/>
    <mergeCell ref="L292:N292"/>
    <mergeCell ref="B293:C293"/>
    <mergeCell ref="L293:N293"/>
    <mergeCell ref="B294:C294"/>
    <mergeCell ref="L294:N294"/>
    <mergeCell ref="B289:C289"/>
    <mergeCell ref="L289:N289"/>
    <mergeCell ref="B290:C290"/>
    <mergeCell ref="L290:N290"/>
    <mergeCell ref="B291:C291"/>
    <mergeCell ref="L291:N291"/>
    <mergeCell ref="B286:C286"/>
    <mergeCell ref="L286:N286"/>
    <mergeCell ref="B287:C287"/>
    <mergeCell ref="L287:N287"/>
    <mergeCell ref="B288:C288"/>
    <mergeCell ref="L288:N288"/>
    <mergeCell ref="B283:C283"/>
    <mergeCell ref="L283:N283"/>
    <mergeCell ref="B284:C284"/>
    <mergeCell ref="L284:N284"/>
    <mergeCell ref="B285:C285"/>
    <mergeCell ref="L285:N285"/>
    <mergeCell ref="B280:C280"/>
    <mergeCell ref="L280:N280"/>
    <mergeCell ref="B281:C281"/>
    <mergeCell ref="L281:N281"/>
    <mergeCell ref="B282:C282"/>
    <mergeCell ref="L282:N282"/>
    <mergeCell ref="B277:C277"/>
    <mergeCell ref="L277:N277"/>
    <mergeCell ref="B278:C278"/>
    <mergeCell ref="L278:N278"/>
    <mergeCell ref="B279:C279"/>
    <mergeCell ref="L279:N279"/>
    <mergeCell ref="B274:C274"/>
    <mergeCell ref="L274:N274"/>
    <mergeCell ref="B275:C275"/>
    <mergeCell ref="L275:N275"/>
    <mergeCell ref="B276:C276"/>
    <mergeCell ref="L276:N276"/>
    <mergeCell ref="B271:C271"/>
    <mergeCell ref="L271:N271"/>
    <mergeCell ref="B272:C272"/>
    <mergeCell ref="L272:N272"/>
    <mergeCell ref="B273:C273"/>
    <mergeCell ref="L273:N273"/>
    <mergeCell ref="B268:C268"/>
    <mergeCell ref="L268:N268"/>
    <mergeCell ref="B269:C269"/>
    <mergeCell ref="L269:N269"/>
    <mergeCell ref="B270:C270"/>
    <mergeCell ref="L270:N270"/>
    <mergeCell ref="B265:C265"/>
    <mergeCell ref="L265:N265"/>
    <mergeCell ref="B266:C266"/>
    <mergeCell ref="L266:N266"/>
    <mergeCell ref="B267:C267"/>
    <mergeCell ref="L267:N267"/>
    <mergeCell ref="B262:C262"/>
    <mergeCell ref="L262:N262"/>
    <mergeCell ref="B263:C263"/>
    <mergeCell ref="L263:N263"/>
    <mergeCell ref="B264:C264"/>
    <mergeCell ref="L264:N264"/>
    <mergeCell ref="B259:C259"/>
    <mergeCell ref="L259:N259"/>
    <mergeCell ref="B260:C260"/>
    <mergeCell ref="L260:N260"/>
    <mergeCell ref="B261:C261"/>
    <mergeCell ref="L261:N261"/>
    <mergeCell ref="B256:C256"/>
    <mergeCell ref="L256:N256"/>
    <mergeCell ref="B257:C257"/>
    <mergeCell ref="L257:N257"/>
    <mergeCell ref="B258:C258"/>
    <mergeCell ref="L258:N258"/>
    <mergeCell ref="B253:C253"/>
    <mergeCell ref="L253:N253"/>
    <mergeCell ref="B254:C254"/>
    <mergeCell ref="L254:N254"/>
    <mergeCell ref="B255:C255"/>
    <mergeCell ref="L255:N255"/>
    <mergeCell ref="B250:C250"/>
    <mergeCell ref="L250:N250"/>
    <mergeCell ref="B251:C251"/>
    <mergeCell ref="L251:N251"/>
    <mergeCell ref="B252:C252"/>
    <mergeCell ref="L252:N252"/>
    <mergeCell ref="B247:C247"/>
    <mergeCell ref="L247:N247"/>
    <mergeCell ref="B248:C248"/>
    <mergeCell ref="L248:N248"/>
    <mergeCell ref="B249:C249"/>
    <mergeCell ref="L249:N249"/>
    <mergeCell ref="B244:C244"/>
    <mergeCell ref="L244:N244"/>
    <mergeCell ref="B245:C245"/>
    <mergeCell ref="L245:N245"/>
    <mergeCell ref="B246:C246"/>
    <mergeCell ref="L246:N246"/>
    <mergeCell ref="B241:C241"/>
    <mergeCell ref="L241:N241"/>
    <mergeCell ref="B242:C242"/>
    <mergeCell ref="L242:N242"/>
    <mergeCell ref="B243:C243"/>
    <mergeCell ref="L243:N243"/>
    <mergeCell ref="B238:C238"/>
    <mergeCell ref="L238:N238"/>
    <mergeCell ref="B239:C239"/>
    <mergeCell ref="L239:N239"/>
    <mergeCell ref="B240:C240"/>
    <mergeCell ref="L240:N240"/>
    <mergeCell ref="B235:C235"/>
    <mergeCell ref="L235:N235"/>
    <mergeCell ref="B236:C236"/>
    <mergeCell ref="L236:N236"/>
    <mergeCell ref="B237:C237"/>
    <mergeCell ref="L237:N237"/>
    <mergeCell ref="B232:C232"/>
    <mergeCell ref="L232:N232"/>
    <mergeCell ref="B233:C233"/>
    <mergeCell ref="L233:N233"/>
    <mergeCell ref="B234:C234"/>
    <mergeCell ref="L234:N234"/>
    <mergeCell ref="B229:C229"/>
    <mergeCell ref="L229:N229"/>
    <mergeCell ref="B230:C230"/>
    <mergeCell ref="L230:N230"/>
    <mergeCell ref="B231:C231"/>
    <mergeCell ref="L231:N231"/>
    <mergeCell ref="B226:C226"/>
    <mergeCell ref="L226:N226"/>
    <mergeCell ref="B227:C227"/>
    <mergeCell ref="L227:N227"/>
    <mergeCell ref="B228:C228"/>
    <mergeCell ref="L228:N228"/>
    <mergeCell ref="B223:C223"/>
    <mergeCell ref="L223:N223"/>
    <mergeCell ref="B224:C224"/>
    <mergeCell ref="L224:N224"/>
    <mergeCell ref="B225:C225"/>
    <mergeCell ref="L225:N225"/>
    <mergeCell ref="B220:C220"/>
    <mergeCell ref="L220:N220"/>
    <mergeCell ref="B221:C221"/>
    <mergeCell ref="L221:N221"/>
    <mergeCell ref="B222:C222"/>
    <mergeCell ref="L222:N222"/>
    <mergeCell ref="B217:C217"/>
    <mergeCell ref="L217:N217"/>
    <mergeCell ref="B218:C218"/>
    <mergeCell ref="L218:N218"/>
    <mergeCell ref="B219:C219"/>
    <mergeCell ref="L219:N219"/>
    <mergeCell ref="B214:C214"/>
    <mergeCell ref="L214:N214"/>
    <mergeCell ref="B215:C215"/>
    <mergeCell ref="L215:N215"/>
    <mergeCell ref="B216:C216"/>
    <mergeCell ref="L216:N216"/>
    <mergeCell ref="B211:C211"/>
    <mergeCell ref="L211:N211"/>
    <mergeCell ref="B212:C212"/>
    <mergeCell ref="L212:N212"/>
    <mergeCell ref="B213:C213"/>
    <mergeCell ref="L213:N213"/>
    <mergeCell ref="B208:C208"/>
    <mergeCell ref="L208:N208"/>
    <mergeCell ref="B209:C209"/>
    <mergeCell ref="L209:N209"/>
    <mergeCell ref="B210:C210"/>
    <mergeCell ref="L210:N210"/>
    <mergeCell ref="B205:C205"/>
    <mergeCell ref="L205:N205"/>
    <mergeCell ref="B206:C206"/>
    <mergeCell ref="L206:N206"/>
    <mergeCell ref="B207:C207"/>
    <mergeCell ref="L207:N207"/>
    <mergeCell ref="B202:C202"/>
    <mergeCell ref="L202:N202"/>
    <mergeCell ref="B203:C203"/>
    <mergeCell ref="L203:N203"/>
    <mergeCell ref="B204:C204"/>
    <mergeCell ref="L204:N204"/>
    <mergeCell ref="B199:C199"/>
    <mergeCell ref="L199:N199"/>
    <mergeCell ref="B200:C200"/>
    <mergeCell ref="L200:N200"/>
    <mergeCell ref="B201:C201"/>
    <mergeCell ref="L201:N201"/>
    <mergeCell ref="B196:C196"/>
    <mergeCell ref="L196:N196"/>
    <mergeCell ref="B197:C197"/>
    <mergeCell ref="L197:N197"/>
    <mergeCell ref="B198:C198"/>
    <mergeCell ref="L198:N198"/>
    <mergeCell ref="B193:C193"/>
    <mergeCell ref="L193:N193"/>
    <mergeCell ref="B194:C194"/>
    <mergeCell ref="L194:N194"/>
    <mergeCell ref="B195:C195"/>
    <mergeCell ref="L195:N195"/>
    <mergeCell ref="B190:C190"/>
    <mergeCell ref="L190:N190"/>
    <mergeCell ref="B191:C191"/>
    <mergeCell ref="L191:N191"/>
    <mergeCell ref="B192:C192"/>
    <mergeCell ref="L192:N192"/>
    <mergeCell ref="B187:C187"/>
    <mergeCell ref="L187:N187"/>
    <mergeCell ref="B188:C188"/>
    <mergeCell ref="L188:N188"/>
    <mergeCell ref="B189:C189"/>
    <mergeCell ref="L189:N189"/>
    <mergeCell ref="B184:C184"/>
    <mergeCell ref="L184:N184"/>
    <mergeCell ref="B185:C185"/>
    <mergeCell ref="L185:N185"/>
    <mergeCell ref="B186:C186"/>
    <mergeCell ref="L186:N186"/>
    <mergeCell ref="B181:C181"/>
    <mergeCell ref="L181:N181"/>
    <mergeCell ref="B182:C182"/>
    <mergeCell ref="L182:N182"/>
    <mergeCell ref="B183:C183"/>
    <mergeCell ref="L183:N183"/>
    <mergeCell ref="B178:C178"/>
    <mergeCell ref="L178:N178"/>
    <mergeCell ref="B179:C179"/>
    <mergeCell ref="L179:N179"/>
    <mergeCell ref="B180:C180"/>
    <mergeCell ref="L180:N180"/>
    <mergeCell ref="B175:C175"/>
    <mergeCell ref="L175:N175"/>
    <mergeCell ref="B176:C176"/>
    <mergeCell ref="L176:N176"/>
    <mergeCell ref="B177:C177"/>
    <mergeCell ref="L177:N177"/>
    <mergeCell ref="B172:C172"/>
    <mergeCell ref="L172:N172"/>
    <mergeCell ref="B173:C173"/>
    <mergeCell ref="L173:N173"/>
    <mergeCell ref="B174:C174"/>
    <mergeCell ref="L174:N174"/>
    <mergeCell ref="B169:C169"/>
    <mergeCell ref="L169:N169"/>
    <mergeCell ref="B170:C170"/>
    <mergeCell ref="L170:N170"/>
    <mergeCell ref="B171:C171"/>
    <mergeCell ref="L171:N171"/>
    <mergeCell ref="B166:C166"/>
    <mergeCell ref="L166:N166"/>
    <mergeCell ref="B167:C167"/>
    <mergeCell ref="L167:N167"/>
    <mergeCell ref="B168:C168"/>
    <mergeCell ref="L168:N168"/>
    <mergeCell ref="B163:C163"/>
    <mergeCell ref="L163:N163"/>
    <mergeCell ref="B164:C164"/>
    <mergeCell ref="L164:N164"/>
    <mergeCell ref="B165:C165"/>
    <mergeCell ref="L165:N165"/>
    <mergeCell ref="B160:C160"/>
    <mergeCell ref="L160:N160"/>
    <mergeCell ref="B161:C161"/>
    <mergeCell ref="L161:N161"/>
    <mergeCell ref="B162:C162"/>
    <mergeCell ref="L162:N162"/>
    <mergeCell ref="B157:C157"/>
    <mergeCell ref="L157:N157"/>
    <mergeCell ref="B158:C158"/>
    <mergeCell ref="L158:N158"/>
    <mergeCell ref="B159:C159"/>
    <mergeCell ref="L159:N159"/>
    <mergeCell ref="B154:C154"/>
    <mergeCell ref="L154:N154"/>
    <mergeCell ref="B155:C155"/>
    <mergeCell ref="L155:N155"/>
    <mergeCell ref="B156:C156"/>
    <mergeCell ref="L156:N156"/>
    <mergeCell ref="B151:C151"/>
    <mergeCell ref="L151:N151"/>
    <mergeCell ref="B152:C152"/>
    <mergeCell ref="L152:N152"/>
    <mergeCell ref="B153:C153"/>
    <mergeCell ref="L153:N153"/>
    <mergeCell ref="B148:C148"/>
    <mergeCell ref="L148:N148"/>
    <mergeCell ref="B149:C149"/>
    <mergeCell ref="L149:N149"/>
    <mergeCell ref="B150:C150"/>
    <mergeCell ref="L150:N150"/>
    <mergeCell ref="B145:C145"/>
    <mergeCell ref="L145:N145"/>
    <mergeCell ref="B146:C146"/>
    <mergeCell ref="L146:N146"/>
    <mergeCell ref="B147:C147"/>
    <mergeCell ref="L147:N147"/>
    <mergeCell ref="B142:C142"/>
    <mergeCell ref="L142:N142"/>
    <mergeCell ref="B143:C143"/>
    <mergeCell ref="L143:N143"/>
    <mergeCell ref="B144:C144"/>
    <mergeCell ref="L144:N144"/>
    <mergeCell ref="B139:C139"/>
    <mergeCell ref="L139:N139"/>
    <mergeCell ref="B140:C140"/>
    <mergeCell ref="L140:N140"/>
    <mergeCell ref="B141:C141"/>
    <mergeCell ref="L141:N141"/>
    <mergeCell ref="B136:C136"/>
    <mergeCell ref="L136:N136"/>
    <mergeCell ref="B137:C137"/>
    <mergeCell ref="L137:N137"/>
    <mergeCell ref="B138:C138"/>
    <mergeCell ref="L138:N138"/>
    <mergeCell ref="B133:C133"/>
    <mergeCell ref="L133:N133"/>
    <mergeCell ref="B134:C134"/>
    <mergeCell ref="L134:N134"/>
    <mergeCell ref="B135:C135"/>
    <mergeCell ref="L135:N135"/>
    <mergeCell ref="B130:C130"/>
    <mergeCell ref="L130:N130"/>
    <mergeCell ref="B131:C131"/>
    <mergeCell ref="L131:N131"/>
    <mergeCell ref="B132:C132"/>
    <mergeCell ref="L132:N132"/>
    <mergeCell ref="B127:C127"/>
    <mergeCell ref="L127:N127"/>
    <mergeCell ref="B128:C128"/>
    <mergeCell ref="L128:N128"/>
    <mergeCell ref="B129:C129"/>
    <mergeCell ref="L129:N129"/>
    <mergeCell ref="B124:C124"/>
    <mergeCell ref="L124:N124"/>
    <mergeCell ref="B125:C125"/>
    <mergeCell ref="L125:N125"/>
    <mergeCell ref="B126:C126"/>
    <mergeCell ref="L126:N126"/>
    <mergeCell ref="B121:C121"/>
    <mergeCell ref="L121:N121"/>
    <mergeCell ref="B122:C122"/>
    <mergeCell ref="L122:N122"/>
    <mergeCell ref="B123:C123"/>
    <mergeCell ref="L123:N123"/>
    <mergeCell ref="B118:C118"/>
    <mergeCell ref="L118:N118"/>
    <mergeCell ref="B119:C119"/>
    <mergeCell ref="L119:N119"/>
    <mergeCell ref="B120:C120"/>
    <mergeCell ref="L120:N120"/>
    <mergeCell ref="B115:C115"/>
    <mergeCell ref="L115:N115"/>
    <mergeCell ref="B116:C116"/>
    <mergeCell ref="L116:N116"/>
    <mergeCell ref="B117:C117"/>
    <mergeCell ref="L117:N117"/>
    <mergeCell ref="B112:C112"/>
    <mergeCell ref="L112:N112"/>
    <mergeCell ref="B113:C113"/>
    <mergeCell ref="L113:N113"/>
    <mergeCell ref="B114:C114"/>
    <mergeCell ref="L114:N114"/>
    <mergeCell ref="B109:C109"/>
    <mergeCell ref="L109:N109"/>
    <mergeCell ref="B110:C110"/>
    <mergeCell ref="L110:N110"/>
    <mergeCell ref="B111:C111"/>
    <mergeCell ref="L111:N111"/>
    <mergeCell ref="B106:C106"/>
    <mergeCell ref="L106:N106"/>
    <mergeCell ref="B107:C107"/>
    <mergeCell ref="L107:N107"/>
    <mergeCell ref="B108:C108"/>
    <mergeCell ref="L108:N108"/>
    <mergeCell ref="B103:C103"/>
    <mergeCell ref="L103:N103"/>
    <mergeCell ref="B104:C104"/>
    <mergeCell ref="L104:N104"/>
    <mergeCell ref="B105:C105"/>
    <mergeCell ref="L105:N105"/>
    <mergeCell ref="B100:C100"/>
    <mergeCell ref="L100:N100"/>
    <mergeCell ref="B101:C101"/>
    <mergeCell ref="L101:N101"/>
    <mergeCell ref="B102:C102"/>
    <mergeCell ref="L102:N102"/>
    <mergeCell ref="B97:C97"/>
    <mergeCell ref="L97:N97"/>
    <mergeCell ref="B98:C98"/>
    <mergeCell ref="L98:N98"/>
    <mergeCell ref="B99:C99"/>
    <mergeCell ref="L99:N99"/>
    <mergeCell ref="B94:C94"/>
    <mergeCell ref="L94:N94"/>
    <mergeCell ref="B95:C95"/>
    <mergeCell ref="L95:N95"/>
    <mergeCell ref="B96:C96"/>
    <mergeCell ref="L96:N96"/>
    <mergeCell ref="B91:C91"/>
    <mergeCell ref="L91:N91"/>
    <mergeCell ref="B92:C92"/>
    <mergeCell ref="L92:N92"/>
    <mergeCell ref="B93:C93"/>
    <mergeCell ref="L93:N93"/>
    <mergeCell ref="B88:C88"/>
    <mergeCell ref="L88:N88"/>
    <mergeCell ref="B89:C89"/>
    <mergeCell ref="L89:N89"/>
    <mergeCell ref="B90:C90"/>
    <mergeCell ref="L90:N90"/>
    <mergeCell ref="B85:C85"/>
    <mergeCell ref="L85:N85"/>
    <mergeCell ref="B86:C86"/>
    <mergeCell ref="L86:N86"/>
    <mergeCell ref="B87:C87"/>
    <mergeCell ref="L87:N87"/>
    <mergeCell ref="B82:C82"/>
    <mergeCell ref="L82:N82"/>
    <mergeCell ref="B83:C83"/>
    <mergeCell ref="L83:N83"/>
    <mergeCell ref="B84:C84"/>
    <mergeCell ref="L84:N84"/>
    <mergeCell ref="B79:C79"/>
    <mergeCell ref="L79:N79"/>
    <mergeCell ref="B80:C80"/>
    <mergeCell ref="L80:N80"/>
    <mergeCell ref="B81:C81"/>
    <mergeCell ref="L81:N81"/>
    <mergeCell ref="B76:C76"/>
    <mergeCell ref="L76:N76"/>
    <mergeCell ref="B77:C77"/>
    <mergeCell ref="L77:N77"/>
    <mergeCell ref="B78:C78"/>
    <mergeCell ref="L78:N78"/>
    <mergeCell ref="B73:C73"/>
    <mergeCell ref="L73:N73"/>
    <mergeCell ref="B74:C74"/>
    <mergeCell ref="L74:N74"/>
    <mergeCell ref="B75:C75"/>
    <mergeCell ref="L75:N75"/>
    <mergeCell ref="B70:C70"/>
    <mergeCell ref="L70:N70"/>
    <mergeCell ref="B71:C71"/>
    <mergeCell ref="L71:N71"/>
    <mergeCell ref="B72:C72"/>
    <mergeCell ref="L72:N72"/>
    <mergeCell ref="B67:C67"/>
    <mergeCell ref="L67:N67"/>
    <mergeCell ref="B68:C68"/>
    <mergeCell ref="L68:N68"/>
    <mergeCell ref="B69:C69"/>
    <mergeCell ref="L69:N69"/>
    <mergeCell ref="B64:C64"/>
    <mergeCell ref="L64:N64"/>
    <mergeCell ref="B65:C65"/>
    <mergeCell ref="L65:N65"/>
    <mergeCell ref="B66:C66"/>
    <mergeCell ref="L66:N66"/>
    <mergeCell ref="B61:C61"/>
    <mergeCell ref="L61:N61"/>
    <mergeCell ref="B62:C62"/>
    <mergeCell ref="L62:N62"/>
    <mergeCell ref="B63:C63"/>
    <mergeCell ref="L63:N63"/>
    <mergeCell ref="B58:C58"/>
    <mergeCell ref="L58:N58"/>
    <mergeCell ref="B59:C59"/>
    <mergeCell ref="L59:N59"/>
    <mergeCell ref="B60:C60"/>
    <mergeCell ref="L60:N60"/>
    <mergeCell ref="B55:C55"/>
    <mergeCell ref="L55:N55"/>
    <mergeCell ref="B56:C56"/>
    <mergeCell ref="L56:N56"/>
    <mergeCell ref="B57:C57"/>
    <mergeCell ref="L57:N57"/>
    <mergeCell ref="B52:C52"/>
    <mergeCell ref="L52:N52"/>
    <mergeCell ref="B53:C53"/>
    <mergeCell ref="L53:N53"/>
    <mergeCell ref="B54:C54"/>
    <mergeCell ref="L54:N54"/>
    <mergeCell ref="B49:C49"/>
    <mergeCell ref="L49:N49"/>
    <mergeCell ref="B50:C50"/>
    <mergeCell ref="L50:N50"/>
    <mergeCell ref="B51:C51"/>
    <mergeCell ref="L51:N51"/>
    <mergeCell ref="B46:C46"/>
    <mergeCell ref="L46:N46"/>
    <mergeCell ref="B47:C47"/>
    <mergeCell ref="L47:N47"/>
    <mergeCell ref="B48:C48"/>
    <mergeCell ref="L48:N48"/>
    <mergeCell ref="B43:C43"/>
    <mergeCell ref="L43:N43"/>
    <mergeCell ref="B44:C44"/>
    <mergeCell ref="L44:N44"/>
    <mergeCell ref="B45:C45"/>
    <mergeCell ref="L45:N45"/>
    <mergeCell ref="B40:C40"/>
    <mergeCell ref="L40:N40"/>
    <mergeCell ref="B41:C41"/>
    <mergeCell ref="L41:N41"/>
    <mergeCell ref="B42:C42"/>
    <mergeCell ref="L42:N42"/>
    <mergeCell ref="B37:C37"/>
    <mergeCell ref="L37:N37"/>
    <mergeCell ref="B38:C38"/>
    <mergeCell ref="L38:N38"/>
    <mergeCell ref="B39:C39"/>
    <mergeCell ref="L39:N39"/>
    <mergeCell ref="B34:C34"/>
    <mergeCell ref="L34:N34"/>
    <mergeCell ref="B35:C35"/>
    <mergeCell ref="L35:N35"/>
    <mergeCell ref="B36:C36"/>
    <mergeCell ref="L36:N36"/>
    <mergeCell ref="B31:C31"/>
    <mergeCell ref="L31:N31"/>
    <mergeCell ref="B32:C32"/>
    <mergeCell ref="L32:N32"/>
    <mergeCell ref="B33:C33"/>
    <mergeCell ref="L33:N33"/>
    <mergeCell ref="B28:C28"/>
    <mergeCell ref="L28:N28"/>
    <mergeCell ref="B29:C29"/>
    <mergeCell ref="L29:N29"/>
    <mergeCell ref="B30:C30"/>
    <mergeCell ref="L30:N30"/>
    <mergeCell ref="B25:C25"/>
    <mergeCell ref="L25:N25"/>
    <mergeCell ref="B26:C26"/>
    <mergeCell ref="L26:N26"/>
    <mergeCell ref="B27:C27"/>
    <mergeCell ref="L27:N27"/>
    <mergeCell ref="B22:C22"/>
    <mergeCell ref="L22:N22"/>
    <mergeCell ref="B23:C23"/>
    <mergeCell ref="L23:N23"/>
    <mergeCell ref="B24:C24"/>
    <mergeCell ref="L24:N24"/>
    <mergeCell ref="B19:C19"/>
    <mergeCell ref="L19:N19"/>
    <mergeCell ref="B20:C20"/>
    <mergeCell ref="L20:N20"/>
    <mergeCell ref="B21:C21"/>
    <mergeCell ref="L21:N21"/>
    <mergeCell ref="B16:C16"/>
    <mergeCell ref="L16:N16"/>
    <mergeCell ref="B17:C17"/>
    <mergeCell ref="L17:N17"/>
    <mergeCell ref="B18:C18"/>
    <mergeCell ref="L18:N18"/>
    <mergeCell ref="B13:C13"/>
    <mergeCell ref="L13:N13"/>
    <mergeCell ref="B14:C14"/>
    <mergeCell ref="L14:N14"/>
    <mergeCell ref="B15:C15"/>
    <mergeCell ref="L15:N15"/>
    <mergeCell ref="B10:C10"/>
    <mergeCell ref="L10:N10"/>
    <mergeCell ref="B11:C11"/>
    <mergeCell ref="L11:N11"/>
    <mergeCell ref="B12:C12"/>
    <mergeCell ref="L12:N12"/>
    <mergeCell ref="B7:C7"/>
    <mergeCell ref="L7:N7"/>
    <mergeCell ref="B8:C8"/>
    <mergeCell ref="L8:N8"/>
    <mergeCell ref="B9:C9"/>
    <mergeCell ref="L9:N9"/>
    <mergeCell ref="B4:C4"/>
    <mergeCell ref="L4:N4"/>
    <mergeCell ref="B5:C5"/>
    <mergeCell ref="L5:N5"/>
    <mergeCell ref="B6:C6"/>
    <mergeCell ref="L6:N6"/>
    <mergeCell ref="AB1:AB2"/>
    <mergeCell ref="AC1:AC2"/>
    <mergeCell ref="AD1:AD2"/>
    <mergeCell ref="AE1:AE2"/>
    <mergeCell ref="AF1:AF2"/>
    <mergeCell ref="B3:C3"/>
    <mergeCell ref="L3:N3"/>
    <mergeCell ref="V1:V2"/>
    <mergeCell ref="W1:W2"/>
    <mergeCell ref="X1:X2"/>
    <mergeCell ref="Y1:Y2"/>
    <mergeCell ref="Z1:Z2"/>
    <mergeCell ref="AA1:AA2"/>
    <mergeCell ref="A1:A2"/>
    <mergeCell ref="B1:C2"/>
    <mergeCell ref="D1:D2"/>
    <mergeCell ref="L1:N1"/>
    <mergeCell ref="T1:T2"/>
    <mergeCell ref="U1:U2"/>
  </mergeCells>
  <pageMargins left="0.78740157480314998" right="0.78740157480314998" top="0.78740157480314998" bottom="1.0374094488189001" header="0.78740157480314998" footer="0.78740157480314998"/>
  <pageSetup paperSize="9" orientation="portrait" horizontalDpi="300" verticalDpi="300"/>
  <headerFooter alignWithMargins="0">
    <oddFooter>&amp;L&amp;"Verdana,Regular"&amp;7 Page &amp;C&amp;"Verdana,Regular"&amp;7&amp;P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</vt:lpstr>
      <vt:lpstr>BASE</vt:lpstr>
      <vt:lpstr>Headacount</vt:lpstr>
      <vt:lpstr>IN OUT</vt:lpstr>
      <vt:lpstr>Staff_Cost_KPI</vt:lpstr>
      <vt:lpstr>OVT</vt:lpstr>
      <vt:lpstr>overtime_base</vt:lpstr>
      <vt:lpstr>leavebalances_base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 Massadi</dc:creator>
  <cp:lastModifiedBy>Gedeon Massadi</cp:lastModifiedBy>
  <dcterms:created xsi:type="dcterms:W3CDTF">2026-08-25T13:21:52Z</dcterms:created>
  <dcterms:modified xsi:type="dcterms:W3CDTF">2026-08-26T08:03:11Z</dcterms:modified>
</cp:coreProperties>
</file>