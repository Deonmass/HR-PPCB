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Gedeon.Massadi\Downloads\"/>
    </mc:Choice>
  </mc:AlternateContent>
  <xr:revisionPtr revIDLastSave="0" documentId="8_{3BB133EA-BDB5-42F9-99BD-D9A5F1DF57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nnées" sheetId="2" r:id="rId1"/>
    <sheet name="TCD" sheetId="6" state="hidden" r:id="rId2"/>
    <sheet name="Dashboard" sheetId="4" r:id="rId3"/>
  </sheets>
  <definedNames>
    <definedName name="Slicer_MOIS">#N/A</definedName>
    <definedName name="Slicer_PATHOLOGIE">#N/A</definedName>
    <definedName name="Slicer_SEXE">#N/A</definedName>
    <definedName name="Slicer_TYPE_DE_MALADE">#N/A</definedName>
  </definedNames>
  <calcPr calcId="191029"/>
  <pivotCaches>
    <pivotCache cacheId="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8" i="2" l="1"/>
  <c r="K198" i="2"/>
  <c r="J198" i="2"/>
  <c r="L197" i="2"/>
  <c r="K197" i="2"/>
  <c r="J197" i="2"/>
  <c r="L196" i="2"/>
  <c r="K196" i="2"/>
  <c r="J196" i="2"/>
  <c r="L195" i="2"/>
  <c r="K195" i="2"/>
  <c r="J195" i="2"/>
  <c r="L194" i="2"/>
  <c r="K194" i="2"/>
  <c r="J194" i="2"/>
  <c r="L193" i="2"/>
  <c r="K193" i="2"/>
  <c r="J193" i="2"/>
  <c r="L192" i="2"/>
  <c r="K192" i="2"/>
  <c r="J192" i="2"/>
  <c r="L191" i="2"/>
  <c r="K191" i="2"/>
  <c r="J191" i="2"/>
  <c r="L190" i="2"/>
  <c r="K190" i="2"/>
  <c r="J190" i="2"/>
  <c r="L189" i="2"/>
  <c r="K189" i="2"/>
  <c r="J189" i="2"/>
  <c r="L188" i="2"/>
  <c r="K188" i="2"/>
  <c r="J188" i="2"/>
  <c r="L187" i="2"/>
  <c r="K187" i="2"/>
  <c r="J187" i="2"/>
  <c r="L186" i="2"/>
  <c r="K186" i="2"/>
  <c r="J186" i="2"/>
  <c r="L185" i="2"/>
  <c r="K185" i="2"/>
  <c r="J185" i="2"/>
  <c r="L184" i="2"/>
  <c r="K184" i="2"/>
  <c r="J184" i="2"/>
  <c r="L183" i="2"/>
  <c r="K183" i="2"/>
  <c r="J183" i="2"/>
  <c r="L182" i="2"/>
  <c r="K182" i="2"/>
  <c r="J182" i="2"/>
  <c r="L181" i="2"/>
  <c r="K181" i="2"/>
  <c r="J181" i="2"/>
  <c r="L180" i="2"/>
  <c r="K180" i="2"/>
  <c r="J180" i="2"/>
  <c r="L179" i="2"/>
  <c r="K179" i="2"/>
  <c r="J179" i="2"/>
  <c r="L178" i="2"/>
  <c r="K178" i="2"/>
  <c r="J178" i="2"/>
  <c r="L177" i="2"/>
  <c r="K177" i="2"/>
  <c r="J177" i="2"/>
  <c r="L176" i="2"/>
  <c r="K176" i="2"/>
  <c r="J176" i="2"/>
  <c r="L175" i="2"/>
  <c r="K175" i="2"/>
  <c r="J175" i="2"/>
  <c r="L174" i="2"/>
  <c r="K174" i="2"/>
  <c r="J174" i="2"/>
  <c r="L173" i="2"/>
  <c r="K173" i="2"/>
  <c r="J173" i="2"/>
  <c r="L172" i="2"/>
  <c r="K172" i="2"/>
  <c r="J172" i="2"/>
  <c r="L171" i="2"/>
  <c r="K171" i="2"/>
  <c r="J171" i="2"/>
  <c r="L170" i="2"/>
  <c r="K170" i="2"/>
  <c r="J170" i="2"/>
  <c r="L169" i="2"/>
  <c r="K169" i="2"/>
  <c r="J169" i="2"/>
  <c r="L168" i="2"/>
  <c r="K168" i="2"/>
  <c r="J168" i="2"/>
  <c r="L167" i="2"/>
  <c r="K167" i="2"/>
  <c r="J167" i="2"/>
  <c r="L166" i="2"/>
  <c r="K166" i="2"/>
  <c r="J166" i="2"/>
  <c r="L165" i="2"/>
  <c r="K165" i="2"/>
  <c r="J165" i="2"/>
  <c r="L164" i="2"/>
  <c r="K164" i="2"/>
  <c r="J164" i="2"/>
  <c r="L163" i="2"/>
  <c r="K163" i="2"/>
  <c r="J163" i="2"/>
  <c r="L162" i="2"/>
  <c r="K162" i="2"/>
  <c r="J162" i="2"/>
  <c r="L161" i="2"/>
  <c r="K161" i="2"/>
  <c r="J161" i="2"/>
  <c r="L160" i="2"/>
  <c r="K160" i="2"/>
  <c r="J160" i="2"/>
  <c r="L159" i="2"/>
  <c r="K159" i="2"/>
  <c r="J159" i="2"/>
  <c r="L158" i="2"/>
  <c r="K158" i="2"/>
  <c r="J158" i="2"/>
  <c r="L157" i="2"/>
  <c r="K157" i="2"/>
  <c r="J157" i="2"/>
  <c r="L156" i="2"/>
  <c r="K156" i="2"/>
  <c r="J156" i="2"/>
  <c r="L155" i="2"/>
  <c r="K155" i="2"/>
  <c r="J155" i="2"/>
  <c r="L154" i="2"/>
  <c r="K154" i="2"/>
  <c r="J154" i="2"/>
  <c r="L153" i="2"/>
  <c r="K153" i="2"/>
  <c r="J153" i="2"/>
  <c r="L152" i="2"/>
  <c r="K152" i="2"/>
  <c r="J152" i="2"/>
  <c r="L151" i="2"/>
  <c r="K151" i="2"/>
  <c r="J151" i="2"/>
  <c r="L150" i="2"/>
  <c r="K150" i="2"/>
  <c r="J150" i="2"/>
  <c r="L149" i="2"/>
  <c r="K149" i="2"/>
  <c r="J149" i="2"/>
  <c r="L148" i="2"/>
  <c r="K148" i="2"/>
  <c r="J148" i="2"/>
  <c r="L147" i="2"/>
  <c r="K147" i="2"/>
  <c r="J147" i="2"/>
  <c r="L146" i="2"/>
  <c r="K146" i="2"/>
  <c r="J146" i="2"/>
  <c r="L145" i="2"/>
  <c r="K145" i="2"/>
  <c r="J145" i="2"/>
  <c r="L144" i="2"/>
  <c r="K144" i="2"/>
  <c r="J144" i="2"/>
  <c r="L143" i="2"/>
  <c r="K143" i="2"/>
  <c r="J143" i="2"/>
  <c r="L142" i="2"/>
  <c r="K142" i="2"/>
  <c r="J142" i="2"/>
  <c r="L141" i="2"/>
  <c r="K141" i="2"/>
  <c r="J141" i="2"/>
  <c r="L140" i="2"/>
  <c r="K140" i="2"/>
  <c r="J140" i="2"/>
  <c r="L139" i="2"/>
  <c r="K139" i="2"/>
  <c r="J139" i="2"/>
  <c r="L138" i="2"/>
  <c r="K138" i="2"/>
  <c r="J138" i="2"/>
  <c r="L137" i="2"/>
  <c r="K137" i="2"/>
  <c r="J137" i="2"/>
  <c r="L136" i="2"/>
  <c r="K136" i="2"/>
  <c r="J136" i="2"/>
  <c r="L135" i="2"/>
  <c r="K135" i="2"/>
  <c r="J135" i="2"/>
  <c r="L134" i="2"/>
  <c r="K134" i="2"/>
  <c r="J134" i="2"/>
  <c r="L133" i="2"/>
  <c r="K133" i="2"/>
  <c r="J133" i="2"/>
  <c r="L132" i="2"/>
  <c r="K132" i="2"/>
  <c r="J132" i="2"/>
  <c r="L131" i="2"/>
  <c r="K131" i="2"/>
  <c r="J131" i="2"/>
  <c r="L130" i="2"/>
  <c r="K130" i="2"/>
  <c r="J130" i="2"/>
  <c r="L129" i="2"/>
  <c r="K129" i="2"/>
  <c r="J129" i="2"/>
  <c r="L128" i="2"/>
  <c r="K128" i="2"/>
  <c r="J128" i="2"/>
  <c r="L127" i="2"/>
  <c r="K127" i="2"/>
  <c r="J127" i="2"/>
  <c r="L126" i="2"/>
  <c r="K126" i="2"/>
  <c r="J126" i="2"/>
  <c r="L125" i="2"/>
  <c r="K125" i="2"/>
  <c r="J125" i="2"/>
  <c r="L124" i="2"/>
  <c r="K124" i="2"/>
  <c r="J124" i="2"/>
  <c r="L123" i="2"/>
  <c r="K123" i="2"/>
  <c r="J123" i="2"/>
  <c r="L122" i="2"/>
  <c r="K122" i="2"/>
  <c r="J122" i="2"/>
  <c r="L121" i="2"/>
  <c r="K121" i="2"/>
  <c r="J121" i="2"/>
  <c r="L120" i="2"/>
  <c r="K120" i="2"/>
  <c r="J120" i="2"/>
  <c r="L119" i="2"/>
  <c r="K119" i="2"/>
  <c r="J119" i="2"/>
  <c r="L118" i="2"/>
  <c r="K118" i="2"/>
  <c r="J118" i="2"/>
  <c r="L117" i="2"/>
  <c r="K117" i="2"/>
  <c r="J117" i="2"/>
  <c r="L116" i="2"/>
  <c r="K116" i="2"/>
  <c r="J116" i="2"/>
  <c r="L115" i="2"/>
  <c r="K115" i="2"/>
  <c r="J115" i="2"/>
  <c r="L114" i="2"/>
  <c r="K114" i="2"/>
  <c r="J114" i="2"/>
  <c r="L113" i="2"/>
  <c r="K113" i="2"/>
  <c r="J113" i="2"/>
  <c r="L112" i="2"/>
  <c r="K112" i="2"/>
  <c r="J112" i="2"/>
  <c r="L111" i="2"/>
  <c r="K111" i="2"/>
  <c r="J111" i="2"/>
  <c r="L110" i="2"/>
  <c r="K110" i="2"/>
  <c r="J110" i="2"/>
  <c r="L109" i="2"/>
  <c r="K109" i="2"/>
  <c r="J109" i="2"/>
  <c r="L108" i="2"/>
  <c r="K108" i="2"/>
  <c r="J108" i="2"/>
  <c r="L107" i="2"/>
  <c r="K107" i="2"/>
  <c r="J107" i="2"/>
  <c r="L106" i="2"/>
  <c r="K106" i="2"/>
  <c r="J106" i="2"/>
  <c r="L105" i="2"/>
  <c r="K105" i="2"/>
  <c r="J105" i="2"/>
  <c r="L104" i="2"/>
  <c r="K104" i="2"/>
  <c r="J104" i="2"/>
  <c r="L103" i="2"/>
  <c r="K103" i="2"/>
  <c r="J103" i="2"/>
  <c r="L102" i="2"/>
  <c r="K102" i="2"/>
  <c r="J102" i="2"/>
  <c r="L101" i="2"/>
  <c r="K101" i="2"/>
  <c r="J101" i="2"/>
  <c r="L100" i="2"/>
  <c r="K100" i="2"/>
  <c r="J100" i="2"/>
  <c r="L99" i="2"/>
  <c r="K99" i="2"/>
  <c r="J99" i="2"/>
  <c r="L98" i="2"/>
  <c r="K98" i="2"/>
  <c r="J98" i="2"/>
  <c r="L97" i="2"/>
  <c r="K97" i="2"/>
  <c r="J97" i="2"/>
  <c r="L96" i="2"/>
  <c r="K96" i="2"/>
  <c r="J96" i="2"/>
  <c r="L95" i="2"/>
  <c r="K95" i="2"/>
  <c r="J95" i="2"/>
  <c r="L94" i="2"/>
  <c r="K94" i="2"/>
  <c r="J94" i="2"/>
  <c r="L93" i="2"/>
  <c r="K93" i="2"/>
  <c r="J93" i="2"/>
  <c r="L92" i="2"/>
  <c r="K92" i="2"/>
  <c r="J92" i="2"/>
  <c r="L91" i="2"/>
  <c r="K91" i="2"/>
  <c r="J91" i="2"/>
  <c r="L90" i="2"/>
  <c r="K90" i="2"/>
  <c r="J90" i="2"/>
  <c r="L89" i="2"/>
  <c r="K89" i="2"/>
  <c r="J89" i="2"/>
  <c r="L88" i="2"/>
  <c r="K88" i="2"/>
  <c r="J88" i="2"/>
  <c r="L87" i="2"/>
  <c r="K87" i="2"/>
  <c r="J87" i="2"/>
  <c r="L86" i="2"/>
  <c r="K86" i="2"/>
  <c r="J86" i="2"/>
  <c r="L85" i="2"/>
  <c r="K85" i="2"/>
  <c r="J85" i="2"/>
  <c r="L84" i="2"/>
  <c r="K84" i="2"/>
  <c r="J84" i="2"/>
  <c r="L83" i="2"/>
  <c r="K83" i="2"/>
  <c r="J83" i="2"/>
  <c r="L82" i="2"/>
  <c r="K82" i="2"/>
  <c r="J82" i="2"/>
  <c r="L81" i="2"/>
  <c r="K81" i="2"/>
  <c r="J81" i="2"/>
  <c r="L80" i="2"/>
  <c r="K80" i="2"/>
  <c r="J80" i="2"/>
  <c r="L79" i="2"/>
  <c r="K79" i="2"/>
  <c r="J79" i="2"/>
  <c r="L78" i="2"/>
  <c r="K78" i="2"/>
  <c r="J78" i="2"/>
  <c r="L77" i="2"/>
  <c r="K77" i="2"/>
  <c r="J77" i="2"/>
  <c r="L76" i="2"/>
  <c r="K76" i="2"/>
  <c r="J76" i="2"/>
  <c r="L75" i="2"/>
  <c r="K75" i="2"/>
  <c r="J75" i="2"/>
  <c r="L74" i="2"/>
  <c r="K74" i="2"/>
  <c r="J74" i="2"/>
  <c r="L73" i="2"/>
  <c r="K73" i="2"/>
  <c r="J73" i="2"/>
  <c r="L72" i="2"/>
  <c r="K72" i="2"/>
  <c r="J72" i="2"/>
  <c r="L71" i="2"/>
  <c r="K71" i="2"/>
  <c r="J71" i="2"/>
  <c r="L70" i="2"/>
  <c r="K70" i="2"/>
  <c r="J70" i="2"/>
  <c r="L69" i="2"/>
  <c r="K69" i="2"/>
  <c r="J69" i="2"/>
  <c r="L68" i="2"/>
  <c r="K68" i="2"/>
  <c r="J68" i="2"/>
  <c r="L67" i="2"/>
  <c r="K67" i="2"/>
  <c r="J67" i="2"/>
  <c r="L66" i="2"/>
  <c r="K66" i="2"/>
  <c r="J66" i="2"/>
  <c r="L65" i="2"/>
  <c r="K65" i="2"/>
  <c r="J65" i="2"/>
  <c r="L64" i="2"/>
  <c r="K64" i="2"/>
  <c r="J64" i="2"/>
  <c r="L63" i="2"/>
  <c r="K63" i="2"/>
  <c r="J63" i="2"/>
  <c r="L62" i="2"/>
  <c r="K62" i="2"/>
  <c r="J62" i="2"/>
  <c r="L61" i="2"/>
  <c r="K61" i="2"/>
  <c r="J61" i="2"/>
  <c r="L60" i="2"/>
  <c r="K60" i="2"/>
  <c r="J60" i="2"/>
  <c r="L59" i="2"/>
  <c r="K59" i="2"/>
  <c r="J59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L2" i="2"/>
  <c r="K2" i="2"/>
  <c r="J2" i="2"/>
  <c r="AB2" i="4"/>
  <c r="AA2" i="4"/>
  <c r="Z2" i="4"/>
</calcChain>
</file>

<file path=xl/sharedStrings.xml><?xml version="1.0" encoding="utf-8"?>
<sst xmlns="http://schemas.openxmlformats.org/spreadsheetml/2006/main" count="1385" uniqueCount="453">
  <si>
    <t>NOM</t>
  </si>
  <si>
    <t>POSTNOM</t>
  </si>
  <si>
    <t>SEXE</t>
  </si>
  <si>
    <t>AGE(Année)</t>
  </si>
  <si>
    <t>TYPE DE MALADE</t>
  </si>
  <si>
    <t>PATHOLOGIE</t>
  </si>
  <si>
    <t>TRAITEMENT</t>
  </si>
  <si>
    <t>REFERENCE</t>
  </si>
  <si>
    <t>GEDEON</t>
  </si>
  <si>
    <t>MALU</t>
  </si>
  <si>
    <t>M</t>
  </si>
  <si>
    <t>ENFANT</t>
  </si>
  <si>
    <t>GRIPPE</t>
  </si>
  <si>
    <t>ANTI GRIPPALE</t>
  </si>
  <si>
    <t>NON</t>
  </si>
  <si>
    <t>BILANGA</t>
  </si>
  <si>
    <t>LINGOMA</t>
  </si>
  <si>
    <t>AGENT</t>
  </si>
  <si>
    <t>MOLEKA</t>
  </si>
  <si>
    <t>ALLEGRESSE</t>
  </si>
  <si>
    <t>F</t>
  </si>
  <si>
    <t>RHINITE</t>
  </si>
  <si>
    <t>GOUTTE NASALE</t>
  </si>
  <si>
    <t>BOLEKI</t>
  </si>
  <si>
    <t>PIERETTE</t>
  </si>
  <si>
    <t>EPOUSE</t>
  </si>
  <si>
    <t>PALUDISME SIMPLE</t>
  </si>
  <si>
    <t>ANTI PALUDEEN  ET ANTI PYRETIQUE</t>
  </si>
  <si>
    <t>PERO</t>
  </si>
  <si>
    <t>NEMWADJARE</t>
  </si>
  <si>
    <t>SYNDROME DYSPEPTIQUE</t>
  </si>
  <si>
    <t>ANTI ACIDE</t>
  </si>
  <si>
    <t>UUCHI</t>
  </si>
  <si>
    <t>MAEL</t>
  </si>
  <si>
    <t>VANGU</t>
  </si>
  <si>
    <t>ANAIS</t>
  </si>
  <si>
    <t>LUSAKUMUNU</t>
  </si>
  <si>
    <t>DIALEMVO</t>
  </si>
  <si>
    <t>KABANGU</t>
  </si>
  <si>
    <t>HOPE</t>
  </si>
  <si>
    <t>TANDU</t>
  </si>
  <si>
    <t>CHRISTINA</t>
  </si>
  <si>
    <t>MILAMBU</t>
  </si>
  <si>
    <t>OWEN</t>
  </si>
  <si>
    <t>OREILLON</t>
  </si>
  <si>
    <t xml:space="preserve">ANTI INFLAMMATOIRE </t>
  </si>
  <si>
    <t>PONGO</t>
  </si>
  <si>
    <t>BUHANGU</t>
  </si>
  <si>
    <t>NATHALIE</t>
  </si>
  <si>
    <t>MPONGO</t>
  </si>
  <si>
    <t>KOLONGO</t>
  </si>
  <si>
    <t>GOUTTE NASALE ET DR COLD</t>
  </si>
  <si>
    <t>MUTEKE</t>
  </si>
  <si>
    <t>KINZONZOLI</t>
  </si>
  <si>
    <t>PLAIE INFECTE</t>
  </si>
  <si>
    <t>ANNTIBIOTIQUE, ANTI INFLAMMATOIRE ,PANSEMENT QUOTIDIENT</t>
  </si>
  <si>
    <t>MBANGI</t>
  </si>
  <si>
    <t>MAKILENDA</t>
  </si>
  <si>
    <t>LOMBARTHOSE</t>
  </si>
  <si>
    <t>MUAKASA</t>
  </si>
  <si>
    <t>NSONGI</t>
  </si>
  <si>
    <t>LAFIDING</t>
  </si>
  <si>
    <t>MIPU</t>
  </si>
  <si>
    <t>GASTRO ENTERITE NON FEBRILE</t>
  </si>
  <si>
    <t>ANTI DIAREUQUE</t>
  </si>
  <si>
    <t>KILUMONIKO</t>
  </si>
  <si>
    <t>DIAWAWANA</t>
  </si>
  <si>
    <t>LANDU</t>
  </si>
  <si>
    <t>LUYEYE</t>
  </si>
  <si>
    <t>ODIA</t>
  </si>
  <si>
    <t>MBUYI</t>
  </si>
  <si>
    <t>MUSA</t>
  </si>
  <si>
    <t>ZAMBA</t>
  </si>
  <si>
    <t>CONTRACTANT DEMIAP</t>
  </si>
  <si>
    <t>HYPOTENSION</t>
  </si>
  <si>
    <t>SERUM PHYSIOLOGIQUE PERFUSION</t>
  </si>
  <si>
    <t>CENTRE HOSPITALIER LAMBA</t>
  </si>
  <si>
    <t>NZUZI</t>
  </si>
  <si>
    <t>TOKO</t>
  </si>
  <si>
    <t>XENA</t>
  </si>
  <si>
    <t>NKIBILA</t>
  </si>
  <si>
    <t>CONTRACTANT MD</t>
  </si>
  <si>
    <t>PLAIE TRAUMATIQUE SUR LA TETE</t>
  </si>
  <si>
    <t>PANSEMENT COMPRESSIF</t>
  </si>
  <si>
    <t>KUABI</t>
  </si>
  <si>
    <t>MUKENDI</t>
  </si>
  <si>
    <t>MBODI</t>
  </si>
  <si>
    <t>ANGINE</t>
  </si>
  <si>
    <t>VITAMINE C</t>
  </si>
  <si>
    <t>GRACE</t>
  </si>
  <si>
    <t>SAM</t>
  </si>
  <si>
    <t>TABILA</t>
  </si>
  <si>
    <t>DIAKIESSE</t>
  </si>
  <si>
    <t>BAYISA</t>
  </si>
  <si>
    <t>MBOMBA</t>
  </si>
  <si>
    <t>MIKI</t>
  </si>
  <si>
    <t>ANTIBIOTIQUE ET VITAMINE C</t>
  </si>
  <si>
    <t>EBAMBI</t>
  </si>
  <si>
    <t>NKASIANGANI</t>
  </si>
  <si>
    <t>SUAMI</t>
  </si>
  <si>
    <t>BEN</t>
  </si>
  <si>
    <t>NYABONINGI</t>
  </si>
  <si>
    <t>KITEMBO</t>
  </si>
  <si>
    <t>MATONDO</t>
  </si>
  <si>
    <t>HYPOTENSION SUR GROSSESSE</t>
  </si>
  <si>
    <t>AVIS DU GYNECOLOGUE</t>
  </si>
  <si>
    <t>IME</t>
  </si>
  <si>
    <t>TUNGA</t>
  </si>
  <si>
    <t>PIERRE</t>
  </si>
  <si>
    <t>PIQURE DES ABEILLES</t>
  </si>
  <si>
    <t>AANTI INFLAMMATOIRE ET CORTICOIDE</t>
  </si>
  <si>
    <t>RAYANE</t>
  </si>
  <si>
    <t xml:space="preserve">ABCES </t>
  </si>
  <si>
    <t>POMMADE ITSHIOLE ET ANTI INFLAMMATOIRE</t>
  </si>
  <si>
    <t>PEDIATRIE IME</t>
  </si>
  <si>
    <t>ONOSAMBA</t>
  </si>
  <si>
    <t>LUNDI</t>
  </si>
  <si>
    <t>GONARTHROSE</t>
  </si>
  <si>
    <t>ANTI INFLAMMATOIRE BUVABLE ET APPLICABLE</t>
  </si>
  <si>
    <t>TSHITANDA</t>
  </si>
  <si>
    <t>LUANGA</t>
  </si>
  <si>
    <t xml:space="preserve">MVUTU </t>
  </si>
  <si>
    <t>LUTEMBE</t>
  </si>
  <si>
    <t>VITAMINE C ET ANTIBIOTIQUE</t>
  </si>
  <si>
    <t xml:space="preserve">NZUZI </t>
  </si>
  <si>
    <t>LUZOLAWO</t>
  </si>
  <si>
    <t>MANKEKALA</t>
  </si>
  <si>
    <t>ANTI GRIPPALE ET GOUTTE</t>
  </si>
  <si>
    <t>VITAMINE</t>
  </si>
  <si>
    <t xml:space="preserve">LEVO </t>
  </si>
  <si>
    <t>SONIA</t>
  </si>
  <si>
    <t>DEPARASITAGE</t>
  </si>
  <si>
    <t>VERMIFUGE</t>
  </si>
  <si>
    <t>BELIEVE</t>
  </si>
  <si>
    <t>MAPHASI</t>
  </si>
  <si>
    <t>KITOMBOLE</t>
  </si>
  <si>
    <t>MAFUTA</t>
  </si>
  <si>
    <t>LUNIMBU</t>
  </si>
  <si>
    <t>NSIAMBI</t>
  </si>
  <si>
    <t>ANTI INFLAMMATOIRE SUPPOSITOIRE</t>
  </si>
  <si>
    <t>MAKIESE</t>
  </si>
  <si>
    <t>MUTOMBO</t>
  </si>
  <si>
    <t>HIEL</t>
  </si>
  <si>
    <t>CONSTIPATION</t>
  </si>
  <si>
    <t>MOCROLAX GEL</t>
  </si>
  <si>
    <t>KIANGANI</t>
  </si>
  <si>
    <t>MAYEMBA</t>
  </si>
  <si>
    <t>DISU</t>
  </si>
  <si>
    <t>VITAMINE C ET ANTI PYRETIQUE</t>
  </si>
  <si>
    <t>MUSUNDA</t>
  </si>
  <si>
    <t>BONGO</t>
  </si>
  <si>
    <t>MANANGU</t>
  </si>
  <si>
    <t>MATINGU</t>
  </si>
  <si>
    <t>CONTRACTANT</t>
  </si>
  <si>
    <t>ANTI INFLAMMATOIRE COMPRIME</t>
  </si>
  <si>
    <t xml:space="preserve">KASONGO </t>
  </si>
  <si>
    <t>MAVAKALA</t>
  </si>
  <si>
    <t>SOLUTION PHYSIOLOGIQUE PERFUSION</t>
  </si>
  <si>
    <t>MEDINA</t>
  </si>
  <si>
    <t>ZOLA</t>
  </si>
  <si>
    <t>LEMA</t>
  </si>
  <si>
    <t>ADHULE</t>
  </si>
  <si>
    <t>SALEM</t>
  </si>
  <si>
    <t>ANTI ACIDE INJECTABLE, PUIS BUVABLE, ANTI SPASMODIQUE</t>
  </si>
  <si>
    <t>RODRIGUE</t>
  </si>
  <si>
    <t>ANAELLE</t>
  </si>
  <si>
    <t>ANTI PALUDEEN  ET ANTI PYRETIQUE INJECTABLE ET BUVABLE</t>
  </si>
  <si>
    <t>KIAWUTUAYAKU</t>
  </si>
  <si>
    <t>MAFUMBA</t>
  </si>
  <si>
    <t>SRO</t>
  </si>
  <si>
    <t>MALUAMPANGA</t>
  </si>
  <si>
    <t>CONTACTANT GRINGO</t>
  </si>
  <si>
    <t>CEPHALEE</t>
  </si>
  <si>
    <t>PARACETAMOLE</t>
  </si>
  <si>
    <t>TULOMBA</t>
  </si>
  <si>
    <t>ELORA</t>
  </si>
  <si>
    <t>FIEVRE</t>
  </si>
  <si>
    <t>ANTI PYRETIQUE INJECTABLE</t>
  </si>
  <si>
    <t>BASAKUMUNA</t>
  </si>
  <si>
    <t>LUZOLO</t>
  </si>
  <si>
    <t>ANTI PALUDEEN  ET ANTI PYRETIQUE INJECTABLE ET BUVABLE VITAMINE EN SIROP</t>
  </si>
  <si>
    <t>BILONDA</t>
  </si>
  <si>
    <t>KAZADI</t>
  </si>
  <si>
    <t>MAHEVA</t>
  </si>
  <si>
    <t>FIEVRE DORIGINE INCONNU</t>
  </si>
  <si>
    <t>MALIA</t>
  </si>
  <si>
    <t>ANTI PYRETIQUE BUVABLE</t>
  </si>
  <si>
    <t>EALE</t>
  </si>
  <si>
    <t>EYENGA</t>
  </si>
  <si>
    <t>ANTI PALUDEEN  , ANTI PYRETIQUE ET ANTI INFLAMMATOIRE</t>
  </si>
  <si>
    <t>MATILA</t>
  </si>
  <si>
    <t>KINDENDELE</t>
  </si>
  <si>
    <t>CONTRACTANT GRINGO</t>
  </si>
  <si>
    <t>KINKINIA</t>
  </si>
  <si>
    <t>PELAGIE</t>
  </si>
  <si>
    <t xml:space="preserve">EFFERALGAN </t>
  </si>
  <si>
    <t xml:space="preserve">NSILU </t>
  </si>
  <si>
    <t>MALUTA</t>
  </si>
  <si>
    <t>ANTI GRIPP</t>
  </si>
  <si>
    <t>BAKUNDAMA</t>
  </si>
  <si>
    <t>YASMINE</t>
  </si>
  <si>
    <t>ANTI PALUDEEN ET ANTI PYRETIQUE</t>
  </si>
  <si>
    <t xml:space="preserve">BILANGA </t>
  </si>
  <si>
    <t>NSEMBOLO</t>
  </si>
  <si>
    <t>BLAISE</t>
  </si>
  <si>
    <t>BATIANKUENO</t>
  </si>
  <si>
    <t>NGIALUKA</t>
  </si>
  <si>
    <t>NSINABAU</t>
  </si>
  <si>
    <t>TAMFUM</t>
  </si>
  <si>
    <t>ANTI PALUEEN ET ANTI PYRETIQUE</t>
  </si>
  <si>
    <t>MPUNGUE</t>
  </si>
  <si>
    <t>KAPEPULA</t>
  </si>
  <si>
    <t>BRAYANE</t>
  </si>
  <si>
    <t>ANTI GRIPPALE ET GOUTTE NASALE</t>
  </si>
  <si>
    <t>MAS</t>
  </si>
  <si>
    <t xml:space="preserve">CERVICALGIE </t>
  </si>
  <si>
    <t>ANTI INFLAMMATOIRE INJECTABLE</t>
  </si>
  <si>
    <t>NERIJA</t>
  </si>
  <si>
    <t>ABSCES</t>
  </si>
  <si>
    <t>ANTIBIOTIQUE ET ANTI INFLAMMATOIRE</t>
  </si>
  <si>
    <t>ANTI ACIDE INJECTABLE ET BUVABLE</t>
  </si>
  <si>
    <t>HJ LUKALA</t>
  </si>
  <si>
    <t>NALOLO</t>
  </si>
  <si>
    <t>KUNDA</t>
  </si>
  <si>
    <t>FIEVRE A METTRE AU POINT</t>
  </si>
  <si>
    <t>ANTI PYRETIQUE</t>
  </si>
  <si>
    <t xml:space="preserve">KIAKENGO </t>
  </si>
  <si>
    <t>LUFUANKENDA</t>
  </si>
  <si>
    <t>FALCON</t>
  </si>
  <si>
    <t>ANTI GRIPPALE ET ANTI PYRETIQUE</t>
  </si>
  <si>
    <t>MIGUEL</t>
  </si>
  <si>
    <t>DYSMENORHEE</t>
  </si>
  <si>
    <t>PAPAVERINE</t>
  </si>
  <si>
    <t>PONGO PONGO</t>
  </si>
  <si>
    <t>LIWANDA</t>
  </si>
  <si>
    <t>SURMANAGE</t>
  </si>
  <si>
    <t>TRANXENE</t>
  </si>
  <si>
    <t>KUASA</t>
  </si>
  <si>
    <t>KINSIONA</t>
  </si>
  <si>
    <t>TANZOLE</t>
  </si>
  <si>
    <t>NKELE</t>
  </si>
  <si>
    <t>LUBANGADIO</t>
  </si>
  <si>
    <t>CONTRACTANT GENGA</t>
  </si>
  <si>
    <t>ACCIDEENT A L'USINE/CONUSION MUSCULAIRE</t>
  </si>
  <si>
    <t xml:space="preserve">MUANA </t>
  </si>
  <si>
    <t>FIOTI</t>
  </si>
  <si>
    <t>SURMENAGE</t>
  </si>
  <si>
    <t>TRANXENE ET PARACETAMOLE</t>
  </si>
  <si>
    <t>BUHEDWA</t>
  </si>
  <si>
    <t>MELCHIOR</t>
  </si>
  <si>
    <t>CONTRACTANR</t>
  </si>
  <si>
    <t>PREVENTION PALUDISME</t>
  </si>
  <si>
    <t>ANTI PALUDEEN</t>
  </si>
  <si>
    <t>MOUSSA</t>
  </si>
  <si>
    <t>CONTRACTAT DEMIAP</t>
  </si>
  <si>
    <t>HYPOTENSION ARTERIELLE</t>
  </si>
  <si>
    <t>MAKELA</t>
  </si>
  <si>
    <t>LUKULA</t>
  </si>
  <si>
    <t>NLANDU</t>
  </si>
  <si>
    <t>NDONGALA</t>
  </si>
  <si>
    <t>DIAMBOTE</t>
  </si>
  <si>
    <t>NGOMA</t>
  </si>
  <si>
    <t>CONTRACTANT MELEKI</t>
  </si>
  <si>
    <t>CONVULTION A METTRE AU POINT</t>
  </si>
  <si>
    <t>DIAZEPAM INJECTABLE</t>
  </si>
  <si>
    <t xml:space="preserve">TUMBA </t>
  </si>
  <si>
    <t>ROSMY</t>
  </si>
  <si>
    <t>CAS SOCIALE DU CAMP PPCB</t>
  </si>
  <si>
    <t>BADIBANGA</t>
  </si>
  <si>
    <t>LEON</t>
  </si>
  <si>
    <t>ZEPHERINE</t>
  </si>
  <si>
    <t>ELMI</t>
  </si>
  <si>
    <t>KAMUENGI</t>
  </si>
  <si>
    <t>NDEKE</t>
  </si>
  <si>
    <t>SUSPUCION INFECTION URO GENITALE</t>
  </si>
  <si>
    <t>SPASFON</t>
  </si>
  <si>
    <t>NGABU</t>
  </si>
  <si>
    <t>MAKANZU</t>
  </si>
  <si>
    <t>SRO IDA</t>
  </si>
  <si>
    <t>ANTI ACIDE SIROP</t>
  </si>
  <si>
    <t>KUSONSA</t>
  </si>
  <si>
    <t>MANUENO</t>
  </si>
  <si>
    <t xml:space="preserve"> PALUDISME</t>
  </si>
  <si>
    <t xml:space="preserve">ANT PALUDEEN </t>
  </si>
  <si>
    <t>TOUX</t>
  </si>
  <si>
    <t>ANTIBIOTIQUE ET ANTI TOUSSIF</t>
  </si>
  <si>
    <t>MUANA FIOTI</t>
  </si>
  <si>
    <t>Nombre de personnes et pourcentage par pathologie</t>
  </si>
  <si>
    <t>Nombre de personnes et pourcentage par Traitement</t>
  </si>
  <si>
    <t>Nombre de personnes par sexe</t>
  </si>
  <si>
    <t>Row Labels</t>
  </si>
  <si>
    <t>Count of TYPE DE MALADE</t>
  </si>
  <si>
    <t>Grand Total</t>
  </si>
  <si>
    <t>Total de cas</t>
  </si>
  <si>
    <t>Total Hommes</t>
  </si>
  <si>
    <t>Total Femmes</t>
  </si>
  <si>
    <t>EYAYI</t>
  </si>
  <si>
    <t>DIABETE SUCRE</t>
  </si>
  <si>
    <t>QVIS MEDICALE</t>
  </si>
  <si>
    <t>PROMETHAZINE</t>
  </si>
  <si>
    <t>MAHMOUD</t>
  </si>
  <si>
    <t>FAROUK</t>
  </si>
  <si>
    <t>CONTRACTANT EGYPTE</t>
  </si>
  <si>
    <t>CARIE DENTAIRE</t>
  </si>
  <si>
    <t>TRAMADOL</t>
  </si>
  <si>
    <t>DENTISTE EN EGYPTE</t>
  </si>
  <si>
    <t>TULENGI</t>
  </si>
  <si>
    <t>REAGAN</t>
  </si>
  <si>
    <t>FREDOL ET CREME RUFENAC</t>
  </si>
  <si>
    <t>MVUTU</t>
  </si>
  <si>
    <t>DERMATOSE</t>
  </si>
  <si>
    <t>FUMBAC CREME ET TUBE</t>
  </si>
  <si>
    <t>PHANZU</t>
  </si>
  <si>
    <t>ANTI GRIPPALE  ET GOUTTE NASAL</t>
  </si>
  <si>
    <t>LONGELE</t>
  </si>
  <si>
    <t>IFOMA</t>
  </si>
  <si>
    <t>BLESSURE</t>
  </si>
  <si>
    <t>GLOIRE</t>
  </si>
  <si>
    <t xml:space="preserve">DIMBUILA </t>
  </si>
  <si>
    <t>NGOMQ</t>
  </si>
  <si>
    <t>ASSISTANCE SOCIALE</t>
  </si>
  <si>
    <t>VUVU</t>
  </si>
  <si>
    <t>ESPOIR</t>
  </si>
  <si>
    <t>CONTRACTANT CHLAMBA</t>
  </si>
  <si>
    <t>SUSPUCION PALUDISME</t>
  </si>
  <si>
    <t>MUSAKO</t>
  </si>
  <si>
    <t>NADEGE</t>
  </si>
  <si>
    <t>COURBATURE</t>
  </si>
  <si>
    <t>TRAMADOL ET ANSET INJECTABLE</t>
  </si>
  <si>
    <t>NAUSE</t>
  </si>
  <si>
    <t>ANSET SIROP</t>
  </si>
  <si>
    <t>NEBIHUGO</t>
  </si>
  <si>
    <t>ZOZO</t>
  </si>
  <si>
    <t>LOMBARTHRITE</t>
  </si>
  <si>
    <t>DICLOFENAC INJECTABLE,DICLOFENAC COMPRIME,CEME RUFENAC</t>
  </si>
  <si>
    <t>BODUGA</t>
  </si>
  <si>
    <t>PLAIE TRAUMATIQUE DU POUSSE DROIT</t>
  </si>
  <si>
    <t>ANTI  INFLAMMATOIRE INJECTABLE ,PENSEMENT COMPRESSIF</t>
  </si>
  <si>
    <t>MAWAWA</t>
  </si>
  <si>
    <t>INTOXICATION AUX PRODUITS CHIMIQUES</t>
  </si>
  <si>
    <t>LAMBA</t>
  </si>
  <si>
    <t>NZEWANA</t>
  </si>
  <si>
    <t>HUPOTENSION ARTERIELLE</t>
  </si>
  <si>
    <t>DR COLD COMPRIME</t>
  </si>
  <si>
    <t>VUBU</t>
  </si>
  <si>
    <t>SOTO</t>
  </si>
  <si>
    <t xml:space="preserve">KANAHUNA </t>
  </si>
  <si>
    <t>LUZAYADIO</t>
  </si>
  <si>
    <t>DOULEUR ABDOMINALE</t>
  </si>
  <si>
    <t>SPASFON INJECTABLE</t>
  </si>
  <si>
    <t>TENDA</t>
  </si>
  <si>
    <t>DIASILUA</t>
  </si>
  <si>
    <t>COURBTURE SUITE AUX EFFORTS</t>
  </si>
  <si>
    <t>DICLOFENAC COMPRIME</t>
  </si>
  <si>
    <t>MUKULE</t>
  </si>
  <si>
    <t>BOLITO</t>
  </si>
  <si>
    <t>CONTRACTANT EKKM</t>
  </si>
  <si>
    <t>HYPERTENSION ARTERIELLE</t>
  </si>
  <si>
    <t>SERUM PHYSIOLOGIQUE PERFUSION ET VITAMINE C</t>
  </si>
  <si>
    <t>DR EMERY</t>
  </si>
  <si>
    <t>ANTI  GRIPPALE ET GOUTTE NASALE</t>
  </si>
  <si>
    <t>NGIMBI</t>
  </si>
  <si>
    <t>NSILULU</t>
  </si>
  <si>
    <t xml:space="preserve">OMEPRAZOLE </t>
  </si>
  <si>
    <t>VITAMINE C COMPRIME</t>
  </si>
  <si>
    <t>ANTI GRIPPALE GOUTTE NASALE DOLIPRANE</t>
  </si>
  <si>
    <t xml:space="preserve">KALA </t>
  </si>
  <si>
    <t>MPINGA</t>
  </si>
  <si>
    <t>CPA</t>
  </si>
  <si>
    <t>LASIX</t>
  </si>
  <si>
    <t>ANTI GRIPPALE GOUTTE NASALE DOLIPRANE VITAMINE C</t>
  </si>
  <si>
    <t>buke</t>
  </si>
  <si>
    <t>basa</t>
  </si>
  <si>
    <t>LOGISTIC</t>
  </si>
  <si>
    <t>ANTI GRIPPALE GOUTTE NASALE VITAMINE C</t>
  </si>
  <si>
    <t xml:space="preserve">PERO </t>
  </si>
  <si>
    <t>ANGINE, HYPERTENSION ART, PALUDISME SIMPLE</t>
  </si>
  <si>
    <t>VITAMINE C, ANTI PALUDEEN, ANTI PYRETIQUE</t>
  </si>
  <si>
    <t>DONETA</t>
  </si>
  <si>
    <t>MPOVA</t>
  </si>
  <si>
    <t>SCIALTAGIE</t>
  </si>
  <si>
    <t>ANTI INFLAMATOIRE</t>
  </si>
  <si>
    <t>MUNTANA</t>
  </si>
  <si>
    <t>VELA</t>
  </si>
  <si>
    <t>MBANU</t>
  </si>
  <si>
    <t>SYNDROME GRIPPAL</t>
  </si>
  <si>
    <t>ANTI GRIPPAL ET GOUTTE NASALE</t>
  </si>
  <si>
    <t>UMIRAMBE</t>
  </si>
  <si>
    <t>ANTI GRIPPAL</t>
  </si>
  <si>
    <t>ANDREW</t>
  </si>
  <si>
    <t>MOLONGA</t>
  </si>
  <si>
    <t>CONTR DEMIAP</t>
  </si>
  <si>
    <t>PLAIE TRAUMATIQUE</t>
  </si>
  <si>
    <t>ANTI INFLAMATOIRE ET ANTIBIOTIQUE</t>
  </si>
  <si>
    <t>ABCES CHAUD</t>
  </si>
  <si>
    <t>INTI INFLAMATOIRE ET ANTIBIOTIQUE</t>
  </si>
  <si>
    <t xml:space="preserve">ANTI PALUDEEN </t>
  </si>
  <si>
    <t>ILUNGA</t>
  </si>
  <si>
    <t>GODWIN</t>
  </si>
  <si>
    <t>FIRVRE</t>
  </si>
  <si>
    <t>DONEL</t>
  </si>
  <si>
    <t>ANTIPADEEN</t>
  </si>
  <si>
    <t>KABONGO</t>
  </si>
  <si>
    <t>ESTHER</t>
  </si>
  <si>
    <t>MPAKA</t>
  </si>
  <si>
    <t>NZOLAMESO</t>
  </si>
  <si>
    <t>PALUDISME SIMPLE ET SYNDROME GRIPPAL</t>
  </si>
  <si>
    <t>ANTI PALUDEEN ET ANTI GRIPPAL</t>
  </si>
  <si>
    <t>CH LAMBA</t>
  </si>
  <si>
    <t>MUNTANDA</t>
  </si>
  <si>
    <t>TUMBA</t>
  </si>
  <si>
    <t>ENTORSE COSTAL</t>
  </si>
  <si>
    <t>ANTI INFLAMATOIRE ET ANTI PYRETIQUE</t>
  </si>
  <si>
    <t>MATUBA</t>
  </si>
  <si>
    <t>AMESEDU</t>
  </si>
  <si>
    <t>TRAUMATISME MUSCULAIRE</t>
  </si>
  <si>
    <t>MULENDA</t>
  </si>
  <si>
    <t>NDALAMBA</t>
  </si>
  <si>
    <t xml:space="preserve">BAYISA </t>
  </si>
  <si>
    <t>BRAYAN</t>
  </si>
  <si>
    <t>17 MOIS</t>
  </si>
  <si>
    <t>ANTI EMETIQUE</t>
  </si>
  <si>
    <t>NZINGA</t>
  </si>
  <si>
    <t>SOFIA</t>
  </si>
  <si>
    <t>SERUM IDA</t>
  </si>
  <si>
    <t>MUIKULU</t>
  </si>
  <si>
    <t>NGOYI</t>
  </si>
  <si>
    <t>ILONDO</t>
  </si>
  <si>
    <t>MICHAEL</t>
  </si>
  <si>
    <t>ANTIDIARHEIQUE ET ANTI HEMETIQUE</t>
  </si>
  <si>
    <t>DINANDI</t>
  </si>
  <si>
    <t>MVUMBI</t>
  </si>
  <si>
    <t>ANTI GRIPPAL, VITAMINE C</t>
  </si>
  <si>
    <t>ATOU</t>
  </si>
  <si>
    <t>ELY</t>
  </si>
  <si>
    <t>ALLERGIE</t>
  </si>
  <si>
    <t>CORTICOIDE</t>
  </si>
  <si>
    <t>RONA</t>
  </si>
  <si>
    <t>LUBAKI</t>
  </si>
  <si>
    <t>KADIMOYO</t>
  </si>
  <si>
    <t>KALUSAKI</t>
  </si>
  <si>
    <t>COXARTHROSE</t>
  </si>
  <si>
    <t>CONTRACTANT/EMC</t>
  </si>
  <si>
    <t>TROUBLE DIGESTIF</t>
  </si>
  <si>
    <t>HEMATEMESE</t>
  </si>
  <si>
    <t>KILONDO</t>
  </si>
  <si>
    <t>YOLENG</t>
  </si>
  <si>
    <t>PROBLEME OPHTALMIQUE</t>
  </si>
  <si>
    <t>OPHTALMOLOGI IME</t>
  </si>
  <si>
    <t>ANNEE</t>
  </si>
  <si>
    <t>MOIS</t>
  </si>
  <si>
    <t>Date</t>
  </si>
  <si>
    <t>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</si>
</sst>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</fills>
  <borders count="2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4" fontId="4" fillId="2" borderId="10" xfId="0" applyNumberFormat="1" applyFont="1" applyFill="1" applyBorder="1" applyAlignment="1">
      <alignment horizontal="center"/>
    </xf>
    <xf numFmtId="49" fontId="4" fillId="2" borderId="11" xfId="0" applyNumberFormat="1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49" fontId="4" fillId="2" borderId="12" xfId="0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49" fontId="0" fillId="0" borderId="21" xfId="0" applyNumberFormat="1" applyBorder="1"/>
    <xf numFmtId="49" fontId="0" fillId="0" borderId="21" xfId="0" applyNumberFormat="1" applyBorder="1" applyAlignment="1">
      <alignment horizontal="center"/>
    </xf>
    <xf numFmtId="0" fontId="0" fillId="0" borderId="0" xfId="0" pivotButton="1"/>
    <xf numFmtId="49" fontId="2" fillId="0" borderId="17" xfId="0" applyNumberFormat="1" applyFont="1" applyBorder="1" applyAlignment="1">
      <alignment horizontal="center"/>
    </xf>
    <xf numFmtId="49" fontId="2" fillId="0" borderId="20" xfId="0" applyNumberFormat="1" applyFont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14" fontId="6" fillId="0" borderId="19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14" fontId="6" fillId="0" borderId="13" xfId="0" applyNumberFormat="1" applyFont="1" applyBorder="1" applyAlignment="1">
      <alignment horizontal="center"/>
    </xf>
    <xf numFmtId="14" fontId="6" fillId="0" borderId="16" xfId="0" applyNumberFormat="1" applyFont="1" applyBorder="1" applyAlignment="1">
      <alignment horizontal="center"/>
    </xf>
    <xf numFmtId="14" fontId="7" fillId="0" borderId="19" xfId="0" applyNumberFormat="1" applyFont="1" applyBorder="1" applyAlignment="1">
      <alignment horizontal="center"/>
    </xf>
    <xf numFmtId="14" fontId="7" fillId="0" borderId="16" xfId="0" applyNumberFormat="1" applyFont="1" applyBorder="1" applyAlignment="1">
      <alignment horizontal="center"/>
    </xf>
    <xf numFmtId="0" fontId="0" fillId="0" borderId="0" xfId="0"/>
    <xf numFmtId="0" fontId="3" fillId="0" borderId="0" xfId="0" applyFont="1"/>
    <xf numFmtId="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11">
    <dxf>
      <numFmt numFmtId="30" formatCode="@"/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30" formatCode="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19" formatCode="m/d/yyyy"/>
      <alignment horizontal="center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Timeline Style 1" pivot="0" table="0" count="2" xr9:uid="{00000000-0011-0000-FFFF-FFFF00000000}">
      <tableStyleElement type="wholeTable" dxfId="10"/>
      <tableStyleElement type="headerRow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FICHE D'ENREGISTREMENT JOURNALIERE DES PATHOLOGIES (3).xlsx]TCD!PivotTable8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 cas par pathologie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TCD!$I$4:$I$5</c:f>
              <c:strCache>
                <c:ptCount val="1"/>
                <c:pt idx="0">
                  <c:v>DERMATOSE</c:v>
                </c:pt>
              </c:strCache>
            </c:strRef>
          </c:cat>
          <c:val>
            <c:numRef>
              <c:f>TCD!$J$4:$J$5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4-4AC7-8BC9-21F41482A5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863440"/>
        <c:axId val="154863048"/>
      </c:barChart>
      <c:catAx>
        <c:axId val="15486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Pathologie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863048"/>
        <c:crosses val="autoZero"/>
        <c:auto val="1"/>
        <c:lblAlgn val="ctr"/>
        <c:lblOffset val="100"/>
        <c:noMultiLvlLbl val="0"/>
      </c:catAx>
      <c:valAx>
        <c:axId val="154863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86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6f1adf-f961-4e9a-becb-3211bb1fea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FICHE D'ENREGISTREMENT JOURNALIERE DES PATHOLOGIES (3).xlsx]TCD!PivotTable9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</a:t>
            </a:r>
            <a:r>
              <a:rPr lang="en-US" baseline="0"/>
              <a:t> </a:t>
            </a:r>
            <a:r>
              <a:rPr lang="en-US"/>
              <a:t>de cas par Traitement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TCD!$Q$4:$Q$5</c:f>
              <c:strCache>
                <c:ptCount val="1"/>
                <c:pt idx="0">
                  <c:v>FUMBAC CREME ET TUBE</c:v>
                </c:pt>
              </c:strCache>
            </c:strRef>
          </c:cat>
          <c:val>
            <c:numRef>
              <c:f>TCD!$R$4:$R$5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3-43FC-BB5D-641994FAE8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861480"/>
        <c:axId val="154857560"/>
      </c:barChart>
      <c:catAx>
        <c:axId val="154861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857560"/>
        <c:crosses val="autoZero"/>
        <c:auto val="1"/>
        <c:lblAlgn val="ctr"/>
        <c:lblOffset val="100"/>
        <c:noMultiLvlLbl val="0"/>
      </c:catAx>
      <c:valAx>
        <c:axId val="154857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8614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b2ba1f-f91a-4798-b12c-f8a252dd1a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68263</xdr:colOff>
      <xdr:row>0</xdr:row>
      <xdr:rowOff>0</xdr:rowOff>
    </xdr:from>
    <xdr:to>
      <xdr:col>29</xdr:col>
      <xdr:colOff>87313</xdr:colOff>
      <xdr:row>56</xdr:row>
      <xdr:rowOff>163514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7945" y="0"/>
          <a:ext cx="17421225" cy="10831195"/>
        </a:xfrm>
        <a:prstGeom prst="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tt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266700</xdr:colOff>
      <xdr:row>56</xdr:row>
      <xdr:rowOff>154780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0" y="0"/>
          <a:ext cx="2667000" cy="10822305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0</xdr:col>
      <xdr:colOff>438151</xdr:colOff>
      <xdr:row>0</xdr:row>
      <xdr:rowOff>19051</xdr:rowOff>
    </xdr:from>
    <xdr:to>
      <xdr:col>3</xdr:col>
      <xdr:colOff>65224</xdr:colOff>
      <xdr:row>6</xdr:row>
      <xdr:rowOff>95251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19050"/>
          <a:ext cx="1426845" cy="12192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5</xdr:col>
      <xdr:colOff>409575</xdr:colOff>
      <xdr:row>1</xdr:row>
      <xdr:rowOff>171450</xdr:rowOff>
    </xdr:from>
    <xdr:to>
      <xdr:col>25</xdr:col>
      <xdr:colOff>314325</xdr:colOff>
      <xdr:row>6</xdr:row>
      <xdr:rowOff>114300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09950" y="361950"/>
          <a:ext cx="11906250" cy="895350"/>
        </a:xfrm>
        <a:prstGeom prst="rect">
          <a:avLst/>
        </a:prstGeom>
        <a:solidFill>
          <a:srgbClr val="C0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2400" b="1"/>
            <a:t>PPCB</a:t>
          </a:r>
          <a:r>
            <a:rPr lang="fr-FR" sz="2400" b="1" baseline="0"/>
            <a:t> CLINIQUE DASHBOARD</a:t>
          </a:r>
          <a:endParaRPr lang="fr-FR" sz="2400" b="1"/>
        </a:p>
      </xdr:txBody>
    </xdr:sp>
    <xdr:clientData/>
  </xdr:twoCellAnchor>
  <xdr:twoCellAnchor>
    <xdr:from>
      <xdr:col>8</xdr:col>
      <xdr:colOff>410936</xdr:colOff>
      <xdr:row>9</xdr:row>
      <xdr:rowOff>91169</xdr:rowOff>
    </xdr:from>
    <xdr:to>
      <xdr:col>12</xdr:col>
      <xdr:colOff>227240</xdr:colOff>
      <xdr:row>12</xdr:row>
      <xdr:rowOff>175835</xdr:rowOff>
    </xdr:to>
    <xdr:sp macro="" textlink="Dashboard!Z2">
      <xdr:nvSpPr>
        <xdr:cNvPr id="42" name="Rectangle 1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211445" y="1805305"/>
          <a:ext cx="2216150" cy="655955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FEA7BF5-2627-4782-968C-0485441FC1B4}" type="TxLink">
            <a:rPr lang="en-US" sz="28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1</a:t>
          </a:fld>
          <a:endParaRPr lang="fr-FR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520246</xdr:colOff>
      <xdr:row>9</xdr:row>
      <xdr:rowOff>72421</xdr:rowOff>
    </xdr:from>
    <xdr:to>
      <xdr:col>22</xdr:col>
      <xdr:colOff>348797</xdr:colOff>
      <xdr:row>12</xdr:row>
      <xdr:rowOff>154063</xdr:rowOff>
    </xdr:to>
    <xdr:sp macro="" textlink="Dashboard!AB2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1321415" y="1786890"/>
          <a:ext cx="2228850" cy="65278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0139B38-212B-42A0-9A17-8451635544D3}" type="TxLink">
            <a:rPr lang="en-US" sz="24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algn="ctr"/>
            <a:t>1</a:t>
          </a:fld>
          <a:endParaRPr lang="fr-FR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351820</xdr:colOff>
      <xdr:row>9</xdr:row>
      <xdr:rowOff>71211</xdr:rowOff>
    </xdr:from>
    <xdr:to>
      <xdr:col>17</xdr:col>
      <xdr:colOff>180371</xdr:colOff>
      <xdr:row>12</xdr:row>
      <xdr:rowOff>171752</xdr:rowOff>
    </xdr:to>
    <xdr:sp macro="" textlink="Dashboard!AA2">
      <xdr:nvSpPr>
        <xdr:cNvPr id="41" name="Rectangle 1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8152765" y="1785620"/>
          <a:ext cx="2228850" cy="67183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2EDB398E-6A16-4EF4-80C4-0DFA14AAC373}" type="TxLink">
            <a:rPr lang="en-US" sz="2400" b="1" i="0" u="none" strike="noStrike">
              <a:solidFill>
                <a:schemeClr val="bg1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pPr marL="0" indent="0" algn="ctr"/>
            <a:t>0</a:t>
          </a:fld>
          <a:endParaRPr lang="en-US" sz="2400" b="1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365124</xdr:colOff>
      <xdr:row>17</xdr:row>
      <xdr:rowOff>139703</xdr:rowOff>
    </xdr:from>
    <xdr:to>
      <xdr:col>16</xdr:col>
      <xdr:colOff>117474</xdr:colOff>
      <xdr:row>56</xdr:row>
      <xdr:rowOff>86519</xdr:rowOff>
    </xdr:to>
    <xdr:graphicFrame macro="">
      <xdr:nvGraphicFramePr>
        <xdr:cNvPr id="32" name="Chart 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142875</xdr:colOff>
      <xdr:row>17</xdr:row>
      <xdr:rowOff>142876</xdr:rowOff>
    </xdr:from>
    <xdr:to>
      <xdr:col>28</xdr:col>
      <xdr:colOff>598486</xdr:colOff>
      <xdr:row>56</xdr:row>
      <xdr:rowOff>66676</xdr:rowOff>
    </xdr:to>
    <xdr:graphicFrame macro="">
      <xdr:nvGraphicFramePr>
        <xdr:cNvPr id="48" name="Chart 8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105833</xdr:colOff>
      <xdr:row>7</xdr:row>
      <xdr:rowOff>126999</xdr:rowOff>
    </xdr:from>
    <xdr:to>
      <xdr:col>11</xdr:col>
      <xdr:colOff>402166</xdr:colOff>
      <xdr:row>8</xdr:row>
      <xdr:rowOff>161924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506085" y="1459865"/>
          <a:ext cx="1496695" cy="225425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105833</xdr:colOff>
      <xdr:row>7</xdr:row>
      <xdr:rowOff>126999</xdr:rowOff>
    </xdr:from>
    <xdr:to>
      <xdr:col>11</xdr:col>
      <xdr:colOff>405341</xdr:colOff>
      <xdr:row>8</xdr:row>
      <xdr:rowOff>168274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5506085" y="1459865"/>
          <a:ext cx="1499870" cy="231775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/>
            <a:t>Total des cas</a:t>
          </a:r>
        </a:p>
      </xdr:txBody>
    </xdr:sp>
    <xdr:clientData/>
  </xdr:twoCellAnchor>
  <xdr:twoCellAnchor>
    <xdr:from>
      <xdr:col>19</xdr:col>
      <xdr:colOff>184150</xdr:colOff>
      <xdr:row>7</xdr:row>
      <xdr:rowOff>84666</xdr:rowOff>
    </xdr:from>
    <xdr:to>
      <xdr:col>21</xdr:col>
      <xdr:colOff>490008</xdr:colOff>
      <xdr:row>8</xdr:row>
      <xdr:rowOff>125941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11585575" y="1417955"/>
          <a:ext cx="1505585" cy="231775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/>
            <a:t>Total des femmes</a:t>
          </a:r>
        </a:p>
      </xdr:txBody>
    </xdr:sp>
    <xdr:clientData/>
  </xdr:twoCellAnchor>
  <xdr:twoCellAnchor>
    <xdr:from>
      <xdr:col>14</xdr:col>
      <xdr:colOff>126998</xdr:colOff>
      <xdr:row>7</xdr:row>
      <xdr:rowOff>99482</xdr:rowOff>
    </xdr:from>
    <xdr:to>
      <xdr:col>16</xdr:col>
      <xdr:colOff>429682</xdr:colOff>
      <xdr:row>8</xdr:row>
      <xdr:rowOff>143932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8527415" y="1432560"/>
          <a:ext cx="1503045" cy="2349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/>
            <a:t>Total des hommes</a:t>
          </a:r>
        </a:p>
      </xdr:txBody>
    </xdr:sp>
    <xdr:clientData/>
  </xdr:twoCellAnchor>
  <xdr:twoCellAnchor editAs="oneCell">
    <xdr:from>
      <xdr:col>0</xdr:col>
      <xdr:colOff>76200</xdr:colOff>
      <xdr:row>8</xdr:row>
      <xdr:rowOff>0</xdr:rowOff>
    </xdr:from>
    <xdr:to>
      <xdr:col>4</xdr:col>
      <xdr:colOff>190500</xdr:colOff>
      <xdr:row>15</xdr:row>
      <xdr:rowOff>175260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0" name="MOIS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524000"/>
              <a:ext cx="2514600" cy="1508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segment fonctionne dans Excel 2010 ou plus recent. Ne pas deplacer ni redimensionner.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76200</xdr:colOff>
      <xdr:row>16</xdr:row>
      <xdr:rowOff>167640</xdr:rowOff>
    </xdr:from>
    <xdr:to>
      <xdr:col>4</xdr:col>
      <xdr:colOff>190500</xdr:colOff>
      <xdr:row>20</xdr:row>
      <xdr:rowOff>182880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1" name="SEXE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3215640"/>
              <a:ext cx="2514600" cy="777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segment fonctionne dans Excel 2010 ou plus recent. Ne pas deplacer ni redimensionner.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76200</xdr:colOff>
      <xdr:row>21</xdr:row>
      <xdr:rowOff>175260</xdr:rowOff>
    </xdr:from>
    <xdr:to>
      <xdr:col>4</xdr:col>
      <xdr:colOff>190500</xdr:colOff>
      <xdr:row>35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2" name="TYPE DE MALADE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DE MALAD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4175760"/>
              <a:ext cx="2514600" cy="2606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segment fonctionne dans Excel 2010 ou plus recent. Ne pas deplacer ni redimensionner.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76200</xdr:colOff>
      <xdr:row>36</xdr:row>
      <xdr:rowOff>106680</xdr:rowOff>
    </xdr:from>
    <xdr:to>
      <xdr:col>4</xdr:col>
      <xdr:colOff>190500</xdr:colOff>
      <xdr:row>55</xdr:row>
      <xdr:rowOff>7620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3" name="PATHOLOGIE">
              <a:extLst>
                <a:ext uri="{FF2B5EF4-FFF2-40B4-BE49-F238E27FC236}">
                  <a16:creationId xmlns:a16="http://schemas.microsoft.com/office/drawing/2014/main" id="{00000000-0008-0000-0200-00003F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THOLOGI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6964680"/>
              <a:ext cx="2514600" cy="3520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Ce segment fonctionne dans Excel 2010 ou plus recent. Ne pas deplacer ni redimensionner.</a:t>
              </a:r>
            </a:p>
          </xdr:txBody>
        </xdr:sp>
      </mc:Fallback>
    </mc:AlternateContent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edeon Massadi" refreshedDate="46280.431505555556" createdVersion="8" refreshedVersion="8" minRefreshableVersion="3" recordCount="197" xr:uid="{00000000-000A-0000-FFFF-FFFF18000000}">
  <cacheSource type="worksheet">
    <worksheetSource name="Table25"/>
  </cacheSource>
  <cacheFields count="12">
    <cacheField name="Z" numFmtId="14">
      <sharedItems containsSemiMixedTypes="0" containsNonDate="0" containsDate="1" containsString="0" minDate="2026-05-03T00:00:00" maxDate="2026-09-08T00:00:00"/>
    </cacheField>
    <cacheField name="NOM" numFmtId="49">
      <sharedItems containsBlank="1"/>
    </cacheField>
    <cacheField name="POSTNOM" numFmtId="49">
      <sharedItems containsBlank="1"/>
    </cacheField>
    <cacheField name="SEXE" numFmtId="49">
      <sharedItems containsBlank="1" count="3">
        <s v="M"/>
        <s v="F"/>
        <m u="1"/>
      </sharedItems>
    </cacheField>
    <cacheField name="AGE(Année)" numFmtId="2">
      <sharedItems containsBlank="1" containsMixedTypes="1" containsNumber="1" minValue="0.75" maxValue="65"/>
    </cacheField>
    <cacheField name="TYPE DE MALADE" numFmtId="49">
      <sharedItems containsBlank="1" count="23">
        <s v="ENFANT"/>
        <s v="AGENT"/>
        <s v="EPOUSE"/>
        <s v="CONTRACTANT DEMIAP"/>
        <s v="CONTRACTANT MD"/>
        <s v="CONTRACTANT"/>
        <s v="CONTACTANT GRINGO"/>
        <s v="CONTRACTANT GRINGO"/>
        <s v="CONTRACTANT GENGA"/>
        <s v="CONTRACTANR"/>
        <s v="CONTRACTAT DEMIAP"/>
        <s v="CONTRACTANT MELEKI"/>
        <s v="CAS SOCIALE DU CAMP PPCB"/>
        <s v="CONTRACTANT EGYPTE"/>
        <s v="ASSISTANCE SOCIALE"/>
        <s v="CONTRACTANT CHLAMBA"/>
        <s v="CONTRACTANT EKKM"/>
        <s v="CPA"/>
        <s v="LOGISTIC"/>
        <s v="CONTR DEMIAP"/>
        <s v="CONTRACTANT/EMC"/>
        <m u="1"/>
        <s v="GRUADUATE" u="1"/>
      </sharedItems>
    </cacheField>
    <cacheField name="PATHOLOGIE" numFmtId="49">
      <sharedItems containsBlank="1" count="63">
        <s v="GRIPPE"/>
        <s v="RHINITE"/>
        <s v="PALUDISME SIMPLE"/>
        <s v="SYNDROME DYSPEPTIQUE"/>
        <s v="OREILLON"/>
        <s v="PLAIE INFECTE"/>
        <s v="LOMBARTHOSE"/>
        <s v="GASTRO ENTERITE NON FEBRILE"/>
        <s v="HYPOTENSION"/>
        <s v="PLAIE TRAUMATIQUE SUR LA TETE"/>
        <s v="ANGINE"/>
        <s v="HYPOTENSION SUR GROSSESSE"/>
        <s v="PIQURE DES ABEILLES"/>
        <s v="ABCES "/>
        <s v="GONARTHROSE"/>
        <s v="DEPARASITAGE"/>
        <s v="CONSTIPATION"/>
        <s v="CEPHALEE"/>
        <s v="FIEVRE"/>
        <s v="FIEVRE DORIGINE INCONNU"/>
        <s v="CERVICALGIE "/>
        <s v="ABSCES"/>
        <s v="FIEVRE A METTRE AU POINT"/>
        <s v="DYSMENORHEE"/>
        <s v="SURMANAGE"/>
        <s v="ACCIDEENT A L'USINE/CONUSION MUSCULAIRE"/>
        <s v="SURMENAGE"/>
        <s v="PREVENTION PALUDISME"/>
        <s v="HYPOTENSION ARTERIELLE"/>
        <s v="CONVULTION A METTRE AU POINT"/>
        <s v="SUSPUCION INFECTION URO GENITALE"/>
        <s v=" PALUDISME"/>
        <s v="TOUX"/>
        <s v="DIABETE SUCRE"/>
        <s v="CARIE DENTAIRE"/>
        <s v="DERMATOSE"/>
        <s v="BLESSURE"/>
        <s v="SUSPUCION PALUDISME"/>
        <s v="COURBATURE"/>
        <s v="NAUSE"/>
        <s v="LOMBARTHRITE"/>
        <s v="PLAIE TRAUMATIQUE DU POUSSE DROIT"/>
        <s v="INTOXICATION AUX PRODUITS CHIMIQUES"/>
        <s v="HUPOTENSION ARTERIELLE"/>
        <s v="DOULEUR ABDOMINALE"/>
        <s v="COURBTURE SUITE AUX EFFORTS"/>
        <s v="HYPERTENSION ARTERIELLE"/>
        <s v="ANGINE, HYPERTENSION ART, PALUDISME SIMPLE"/>
        <s v="SCIALTAGIE"/>
        <s v="SYNDROME GRIPPAL"/>
        <s v="PLAIE TRAUMATIQUE"/>
        <s v="ABCES CHAUD"/>
        <s v="FIRVRE"/>
        <s v="PALUDISME SIMPLE ET SYNDROME GRIPPAL"/>
        <s v="ENTORSE COSTAL"/>
        <s v="TRAUMATISME MUSCULAIRE"/>
        <s v="ALLERGIE"/>
        <s v="COXARTHROSE"/>
        <s v="HEMATEMESE"/>
        <s v="TROUBLE DIGESTIF"/>
        <s v="PROBLEME OPHTALMIQUE"/>
        <m u="1"/>
        <s v="PALUDISME  SIMPLE" u="1"/>
      </sharedItems>
    </cacheField>
    <cacheField name="TRAITEMENT" numFmtId="49">
      <sharedItems containsBlank="1" count="92">
        <s v="ANTI GRIPPALE"/>
        <s v="GOUTTE NASALE"/>
        <s v="ANTI PALUDEEN  ET ANTI PYRETIQUE"/>
        <s v="ANTI ACIDE"/>
        <s v="ANTI INFLAMMATOIRE "/>
        <s v="GOUTTE NASALE ET DR COLD"/>
        <s v="ANNTIBIOTIQUE, ANTI INFLAMMATOIRE ,PANSEMENT QUOTIDIENT"/>
        <s v="ANTI DIAREUQUE"/>
        <s v="SERUM PHYSIOLOGIQUE PERFUSION"/>
        <s v="PANSEMENT COMPRESSIF"/>
        <s v="VITAMINE C"/>
        <s v="ANTIBIOTIQUE ET VITAMINE C"/>
        <s v="AVIS DU GYNECOLOGUE"/>
        <s v="AANTI INFLAMMATOIRE ET CORTICOIDE"/>
        <s v="POMMADE ITSHIOLE ET ANTI INFLAMMATOIRE"/>
        <s v="ANTI INFLAMMATOIRE BUVABLE ET APPLICABLE"/>
        <s v="VITAMINE C ET ANTIBIOTIQUE"/>
        <s v="ANTI GRIPPALE ET GOUTTE"/>
        <s v="VITAMINE"/>
        <s v="VERMIFUGE"/>
        <s v="DEPARASITAGE"/>
        <s v="ANTI INFLAMMATOIRE SUPPOSITOIRE"/>
        <s v="MOCROLAX GEL"/>
        <s v="VITAMINE C ET ANTI PYRETIQUE"/>
        <s v="ANTI INFLAMMATOIRE COMPRIME"/>
        <s v="SOLUTION PHYSIOLOGIQUE PERFUSION"/>
        <s v="ANTI ACIDE INJECTABLE, PUIS BUVABLE, ANTI SPASMODIQUE"/>
        <s v="ANTI PALUDEEN  ET ANTI PYRETIQUE INJECTABLE ET BUVABLE"/>
        <s v="SRO"/>
        <s v="PARACETAMOLE"/>
        <s v="ANTI PYRETIQUE INJECTABLE"/>
        <s v="ANTI PALUDEEN  ET ANTI PYRETIQUE INJECTABLE ET BUVABLE VITAMINE EN SIROP"/>
        <s v="ANTI PYRETIQUE BUVABLE"/>
        <s v="ANTI PALUDEEN  , ANTI PYRETIQUE ET ANTI INFLAMMATOIRE"/>
        <s v="EFFERALGAN "/>
        <s v="ANTI GRIPP"/>
        <s v="ANTI PALUDEEN ET ANTI PYRETIQUE"/>
        <s v="ANTI PALUEEN ET ANTI PYRETIQUE"/>
        <s v="ANTI GRIPPALE ET GOUTTE NASALE"/>
        <s v="ANTI INFLAMMATOIRE INJECTABLE"/>
        <s v="ANTIBIOTIQUE ET ANTI INFLAMMATOIRE"/>
        <s v="ANTI ACIDE INJECTABLE ET BUVABLE"/>
        <s v="ANTI PYRETIQUE"/>
        <s v="ANTI GRIPPALE ET ANTI PYRETIQUE"/>
        <s v="PAPAVERINE"/>
        <s v="TRANXENE"/>
        <s v="TANZOLE"/>
        <s v="TRANXENE ET PARACETAMOLE"/>
        <s v="ANTI PALUDEEN"/>
        <s v="DIAZEPAM INJECTABLE"/>
        <s v="SPASFON"/>
        <s v="SRO IDA"/>
        <s v="ANTI ACIDE SIROP"/>
        <s v="ANT PALUDEEN "/>
        <s v="ANTIBIOTIQUE ET ANTI TOUSSIF"/>
        <s v="QVIS MEDICALE"/>
        <s v="PROMETHAZINE"/>
        <s v="TRAMADOL"/>
        <s v="FREDOL ET CREME RUFENAC"/>
        <s v="FUMBAC CREME ET TUBE"/>
        <s v="ANTI GRIPPALE  ET GOUTTE NASAL"/>
        <s v="TRAMADOL ET ANSET INJECTABLE"/>
        <s v="ANSET SIROP"/>
        <s v="DICLOFENAC INJECTABLE,DICLOFENAC COMPRIME,CEME RUFENAC"/>
        <s v="ANTI  INFLAMMATOIRE INJECTABLE ,PENSEMENT COMPRESSIF"/>
        <m/>
        <s v="DR COLD COMPRIME"/>
        <s v="SPASFON INJECTABLE"/>
        <s v="DICLOFENAC COMPRIME"/>
        <s v="SERUM PHYSIOLOGIQUE PERFUSION ET VITAMINE C"/>
        <s v="ANTI  GRIPPALE ET GOUTTE NASALE"/>
        <s v="OMEPRAZOLE "/>
        <s v="VITAMINE C COMPRIME"/>
        <s v="ANTI GRIPPALE GOUTTE NASALE DOLIPRANE"/>
        <s v="LASIX"/>
        <s v="ANTI GRIPPALE GOUTTE NASALE DOLIPRANE VITAMINE C"/>
        <s v="ANTI GRIPPALE GOUTTE NASALE VITAMINE C"/>
        <s v="VITAMINE C, ANTI PALUDEEN, ANTI PYRETIQUE"/>
        <s v="ANTI INFLAMATOIRE"/>
        <s v="ANTI GRIPPAL ET GOUTTE NASALE"/>
        <s v="ANTI GRIPPAL"/>
        <s v="ANTI INFLAMATOIRE ET ANTIBIOTIQUE"/>
        <s v="INTI INFLAMATOIRE ET ANTIBIOTIQUE"/>
        <s v="ANTI PALUDEEN "/>
        <s v="ANTIPADEEN"/>
        <s v="ANTI PALUDEEN ET ANTI GRIPPAL"/>
        <s v="ANTI INFLAMATOIRE ET ANTI PYRETIQUE"/>
        <s v="ANTI EMETIQUE"/>
        <s v="SERUM IDA"/>
        <s v="ANTIDIARHEIQUE ET ANTI HEMETIQUE"/>
        <s v="ANTI GRIPPAL, VITAMINE C"/>
        <s v="CORTICOIDE"/>
      </sharedItems>
    </cacheField>
    <cacheField name="REFERENCE" numFmtId="49">
      <sharedItems containsBlank="1"/>
    </cacheField>
    <cacheField name="ANNEE" numFmtId="49">
      <sharedItems/>
    </cacheField>
    <cacheField name="MOIS" numFmtId="49">
      <sharedItems count="5">
        <s v="2026-05 mai"/>
        <s v="2026-06 juin"/>
        <s v="2026-07 juillet"/>
        <s v="2026-08 août"/>
        <s v="2026-09 septembre"/>
      </sharedItems>
    </cacheField>
    <cacheField name="DATE" numFmtId="49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d v="2026-05-03T00:00:00"/>
    <s v="GEDEON"/>
    <s v="MALU"/>
    <x v="0"/>
    <n v="2"/>
    <x v="0"/>
    <x v="0"/>
    <x v="0"/>
    <s v="NON"/>
    <s v="2026"/>
    <x v="0"/>
    <s v="2026-05-03"/>
  </r>
  <r>
    <d v="2026-05-04T00:00:00"/>
    <s v="BILANGA"/>
    <s v="LINGOMA"/>
    <x v="0"/>
    <n v="32"/>
    <x v="1"/>
    <x v="0"/>
    <x v="0"/>
    <s v="NON"/>
    <s v="2026"/>
    <x v="0"/>
    <s v="2026-05-04"/>
  </r>
  <r>
    <d v="2026-05-04T00:00:00"/>
    <s v="MOLEKA"/>
    <s v="ALLEGRESSE"/>
    <x v="1"/>
    <n v="1.75"/>
    <x v="0"/>
    <x v="1"/>
    <x v="1"/>
    <s v="NON"/>
    <s v="2026"/>
    <x v="0"/>
    <s v="2026-05-04"/>
  </r>
  <r>
    <d v="2026-05-05T00:00:00"/>
    <s v="BOLEKI"/>
    <s v="PIERETTE"/>
    <x v="1"/>
    <n v="32"/>
    <x v="2"/>
    <x v="2"/>
    <x v="2"/>
    <s v="NON"/>
    <s v="2026"/>
    <x v="0"/>
    <s v="2026-05-05"/>
  </r>
  <r>
    <d v="2026-05-06T00:00:00"/>
    <s v="PERO"/>
    <s v="NEMWADJARE"/>
    <x v="0"/>
    <n v="37"/>
    <x v="1"/>
    <x v="3"/>
    <x v="3"/>
    <s v="NON"/>
    <s v="2026"/>
    <x v="0"/>
    <s v="2026-05-06"/>
  </r>
  <r>
    <d v="2026-05-08T00:00:00"/>
    <s v="UUCHI"/>
    <s v="MAEL"/>
    <x v="0"/>
    <n v="9"/>
    <x v="0"/>
    <x v="2"/>
    <x v="2"/>
    <s v="NON"/>
    <s v="2026"/>
    <x v="0"/>
    <s v="2026-05-08"/>
  </r>
  <r>
    <d v="2026-05-09T00:00:00"/>
    <s v="VANGU"/>
    <s v="ANAIS"/>
    <x v="1"/>
    <n v="6"/>
    <x v="0"/>
    <x v="2"/>
    <x v="2"/>
    <s v="NON"/>
    <s v="2026"/>
    <x v="0"/>
    <s v="2026-05-09"/>
  </r>
  <r>
    <d v="2026-05-09T00:00:00"/>
    <s v="LUSAKUMUNU"/>
    <s v="DIALEMVO"/>
    <x v="0"/>
    <n v="2"/>
    <x v="0"/>
    <x v="2"/>
    <x v="2"/>
    <s v="NON"/>
    <s v="2026"/>
    <x v="0"/>
    <s v="2026-05-09"/>
  </r>
  <r>
    <d v="2026-05-11T00:00:00"/>
    <s v="KABANGU"/>
    <s v="HOPE"/>
    <x v="1"/>
    <n v="4"/>
    <x v="0"/>
    <x v="2"/>
    <x v="2"/>
    <s v="NON"/>
    <s v="2026"/>
    <x v="0"/>
    <s v="2026-05-11"/>
  </r>
  <r>
    <d v="2026-05-12T00:00:00"/>
    <s v="TANDU"/>
    <s v="CHRISTINA"/>
    <x v="1"/>
    <n v="16"/>
    <x v="0"/>
    <x v="2"/>
    <x v="2"/>
    <s v="NON"/>
    <s v="2026"/>
    <x v="0"/>
    <s v="2026-05-12"/>
  </r>
  <r>
    <d v="2026-05-12T00:00:00"/>
    <s v="MILAMBU"/>
    <s v="OWEN"/>
    <x v="0"/>
    <n v="5"/>
    <x v="0"/>
    <x v="4"/>
    <x v="4"/>
    <s v="NON"/>
    <s v="2026"/>
    <x v="0"/>
    <s v="2026-05-12"/>
  </r>
  <r>
    <d v="2026-05-13T00:00:00"/>
    <s v="PONGO"/>
    <s v="PONGO"/>
    <x v="0"/>
    <n v="63"/>
    <x v="1"/>
    <x v="2"/>
    <x v="2"/>
    <s v="NON"/>
    <s v="2026"/>
    <x v="0"/>
    <s v="2026-05-13"/>
  </r>
  <r>
    <d v="2026-05-13T00:00:00"/>
    <s v="BUHANGU"/>
    <s v="NATHALIE"/>
    <x v="1"/>
    <n v="40"/>
    <x v="2"/>
    <x v="0"/>
    <x v="0"/>
    <s v="NON"/>
    <s v="2026"/>
    <x v="0"/>
    <s v="2026-05-13"/>
  </r>
  <r>
    <d v="2026-05-13T00:00:00"/>
    <s v="MPONGO"/>
    <s v="KOLONGO"/>
    <x v="0"/>
    <n v="35"/>
    <x v="1"/>
    <x v="1"/>
    <x v="5"/>
    <s v="NON"/>
    <s v="2026"/>
    <x v="0"/>
    <s v="2026-05-13"/>
  </r>
  <r>
    <d v="2026-05-13T00:00:00"/>
    <s v="MUTEKE"/>
    <s v="KINZONZOLI"/>
    <x v="1"/>
    <n v="5"/>
    <x v="0"/>
    <x v="5"/>
    <x v="6"/>
    <s v="NON"/>
    <s v="2026"/>
    <x v="0"/>
    <s v="2026-05-13"/>
  </r>
  <r>
    <d v="2026-05-16T00:00:00"/>
    <s v="MBANGI"/>
    <s v="MAKILENDA"/>
    <x v="0"/>
    <n v="56"/>
    <x v="1"/>
    <x v="6"/>
    <x v="4"/>
    <s v="NON"/>
    <s v="2026"/>
    <x v="0"/>
    <s v="2026-05-16"/>
  </r>
  <r>
    <d v="2026-05-17T00:00:00"/>
    <s v="MUAKASA"/>
    <s v="NSONGI"/>
    <x v="0"/>
    <n v="48"/>
    <x v="1"/>
    <x v="2"/>
    <x v="2"/>
    <s v="NON"/>
    <s v="2026"/>
    <x v="0"/>
    <s v="2026-05-17"/>
  </r>
  <r>
    <d v="2026-05-17T00:00:00"/>
    <s v="LAFIDING"/>
    <s v="MIPU"/>
    <x v="1"/>
    <n v="40"/>
    <x v="2"/>
    <x v="7"/>
    <x v="7"/>
    <s v="NON"/>
    <s v="2026"/>
    <x v="0"/>
    <s v="2026-05-17"/>
  </r>
  <r>
    <d v="2026-05-18T00:00:00"/>
    <s v="KILUMONIKO"/>
    <s v="DIAWAWANA"/>
    <x v="0"/>
    <n v="43"/>
    <x v="1"/>
    <x v="2"/>
    <x v="2"/>
    <s v="NON"/>
    <s v="2026"/>
    <x v="0"/>
    <s v="2026-05-18"/>
  </r>
  <r>
    <d v="2026-05-18T00:00:00"/>
    <s v="LANDU"/>
    <s v="LUYEYE"/>
    <x v="0"/>
    <n v="33"/>
    <x v="1"/>
    <x v="2"/>
    <x v="2"/>
    <s v="NON"/>
    <s v="2026"/>
    <x v="0"/>
    <s v="2026-05-18"/>
  </r>
  <r>
    <d v="2026-05-18T00:00:00"/>
    <s v="ODIA"/>
    <s v="MBUYI"/>
    <x v="1"/>
    <n v="39"/>
    <x v="2"/>
    <x v="2"/>
    <x v="2"/>
    <s v="NON"/>
    <s v="2026"/>
    <x v="0"/>
    <s v="2026-05-18"/>
  </r>
  <r>
    <d v="2026-05-19T00:00:00"/>
    <s v="MUSA"/>
    <s v="ZAMBA"/>
    <x v="0"/>
    <n v="43"/>
    <x v="3"/>
    <x v="2"/>
    <x v="2"/>
    <s v="NON"/>
    <s v="2026"/>
    <x v="0"/>
    <s v="2026-05-19"/>
  </r>
  <r>
    <d v="2026-05-19T00:00:00"/>
    <s v="MUSA"/>
    <s v="ZAMBA"/>
    <x v="0"/>
    <n v="43"/>
    <x v="3"/>
    <x v="8"/>
    <x v="8"/>
    <s v="CENTRE HOSPITALIER LAMBA"/>
    <s v="2026"/>
    <x v="0"/>
    <s v="2026-05-19"/>
  </r>
  <r>
    <d v="2026-05-19T00:00:00"/>
    <s v="NZUZI"/>
    <s v="TOKO"/>
    <x v="1"/>
    <n v="38"/>
    <x v="2"/>
    <x v="0"/>
    <x v="0"/>
    <s v="NON"/>
    <s v="2026"/>
    <x v="0"/>
    <s v="2026-05-19"/>
  </r>
  <r>
    <d v="2026-05-19T00:00:00"/>
    <s v="TANDU"/>
    <s v="XENA"/>
    <x v="1"/>
    <n v="3"/>
    <x v="0"/>
    <x v="0"/>
    <x v="0"/>
    <s v="NON"/>
    <s v="2026"/>
    <x v="0"/>
    <s v="2026-05-19"/>
  </r>
  <r>
    <d v="2026-05-19T00:00:00"/>
    <s v="NKIBILA"/>
    <s v="NKIBILA"/>
    <x v="0"/>
    <n v="32"/>
    <x v="4"/>
    <x v="9"/>
    <x v="9"/>
    <s v="CENTRE HOSPITALIER LAMBA"/>
    <s v="2026"/>
    <x v="0"/>
    <s v="2026-05-19"/>
  </r>
  <r>
    <d v="2026-05-21T00:00:00"/>
    <s v="KUABI"/>
    <s v="KUABI"/>
    <x v="0"/>
    <n v="39"/>
    <x v="1"/>
    <x v="2"/>
    <x v="2"/>
    <s v="NON"/>
    <s v="2026"/>
    <x v="0"/>
    <s v="2026-05-21"/>
  </r>
  <r>
    <d v="2026-05-21T00:00:00"/>
    <s v="MUKENDI"/>
    <s v="MUKENDI"/>
    <x v="0"/>
    <n v="45"/>
    <x v="1"/>
    <x v="3"/>
    <x v="3"/>
    <s v="NON"/>
    <s v="2026"/>
    <x v="0"/>
    <s v="2026-05-21"/>
  </r>
  <r>
    <d v="2026-05-21T00:00:00"/>
    <s v="MBODI"/>
    <s v="MBODI"/>
    <x v="0"/>
    <n v="40"/>
    <x v="1"/>
    <x v="10"/>
    <x v="10"/>
    <s v="NON"/>
    <s v="2026"/>
    <x v="0"/>
    <s v="2026-05-21"/>
  </r>
  <r>
    <d v="2026-05-21T00:00:00"/>
    <s v="MBODI"/>
    <s v="MBODI"/>
    <x v="0"/>
    <n v="40"/>
    <x v="1"/>
    <x v="1"/>
    <x v="1"/>
    <s v="NON"/>
    <s v="2026"/>
    <x v="0"/>
    <s v="2026-05-21"/>
  </r>
  <r>
    <d v="2026-05-22T00:00:00"/>
    <s v="VANGU"/>
    <s v="GRACE"/>
    <x v="1"/>
    <n v="35"/>
    <x v="2"/>
    <x v="2"/>
    <x v="2"/>
    <s v="NON"/>
    <s v="2026"/>
    <x v="0"/>
    <s v="2026-05-22"/>
  </r>
  <r>
    <d v="2026-05-22T00:00:00"/>
    <s v="MOLEKA"/>
    <s v="SAM"/>
    <x v="0"/>
    <n v="8"/>
    <x v="0"/>
    <x v="0"/>
    <x v="0"/>
    <s v="NON"/>
    <s v="2026"/>
    <x v="0"/>
    <s v="2026-05-22"/>
  </r>
  <r>
    <d v="2026-05-22T00:00:00"/>
    <s v="MOLEKA"/>
    <s v="SAM"/>
    <x v="0"/>
    <n v="8"/>
    <x v="0"/>
    <x v="10"/>
    <x v="10"/>
    <s v="NON"/>
    <s v="2026"/>
    <x v="0"/>
    <s v="2026-05-22"/>
  </r>
  <r>
    <d v="2026-05-23T00:00:00"/>
    <s v="NZUZI"/>
    <s v="TABILA"/>
    <x v="0"/>
    <n v="56"/>
    <x v="1"/>
    <x v="10"/>
    <x v="10"/>
    <s v="NON"/>
    <s v="2026"/>
    <x v="0"/>
    <s v="2026-05-23"/>
  </r>
  <r>
    <d v="2026-05-23T00:00:00"/>
    <s v="NZUZI"/>
    <s v="TABILA"/>
    <x v="0"/>
    <n v="56"/>
    <x v="1"/>
    <x v="3"/>
    <x v="3"/>
    <s v="NON"/>
    <s v="2026"/>
    <x v="0"/>
    <s v="2026-05-23"/>
  </r>
  <r>
    <d v="2026-05-23T00:00:00"/>
    <s v="DIAKIESSE"/>
    <s v="BAYISA"/>
    <x v="1"/>
    <n v="6"/>
    <x v="0"/>
    <x v="0"/>
    <x v="0"/>
    <s v="NON"/>
    <s v="2026"/>
    <x v="0"/>
    <s v="2026-05-23"/>
  </r>
  <r>
    <d v="2026-05-24T00:00:00"/>
    <s v="TANDU"/>
    <s v="XENA"/>
    <x v="1"/>
    <n v="3"/>
    <x v="0"/>
    <x v="2"/>
    <x v="2"/>
    <s v="NON"/>
    <s v="2026"/>
    <x v="0"/>
    <s v="2026-05-24"/>
  </r>
  <r>
    <d v="2026-05-24T00:00:00"/>
    <s v="MBOMBA"/>
    <s v="MIKI"/>
    <x v="1"/>
    <n v="33"/>
    <x v="2"/>
    <x v="2"/>
    <x v="2"/>
    <s v="NON"/>
    <s v="2026"/>
    <x v="0"/>
    <s v="2026-05-24"/>
  </r>
  <r>
    <d v="2026-05-24T00:00:00"/>
    <s v="MBOMBA"/>
    <s v="MIKI"/>
    <x v="1"/>
    <n v="33"/>
    <x v="2"/>
    <x v="10"/>
    <x v="11"/>
    <s v="NON"/>
    <s v="2026"/>
    <x v="0"/>
    <s v="2026-05-24"/>
  </r>
  <r>
    <d v="2026-05-25T00:00:00"/>
    <s v="MBODI"/>
    <s v="EBAMBI"/>
    <x v="1"/>
    <n v="5"/>
    <x v="0"/>
    <x v="0"/>
    <x v="0"/>
    <s v="NON"/>
    <s v="2026"/>
    <x v="0"/>
    <s v="2026-05-25"/>
  </r>
  <r>
    <d v="2026-05-25T00:00:00"/>
    <s v="MBODI"/>
    <s v="EBAMBI"/>
    <x v="1"/>
    <n v="5"/>
    <x v="0"/>
    <x v="2"/>
    <x v="2"/>
    <s v="NON"/>
    <s v="2026"/>
    <x v="0"/>
    <s v="2026-05-25"/>
  </r>
  <r>
    <d v="2026-05-25T00:00:00"/>
    <s v="MBOMBA"/>
    <s v="MIKI"/>
    <x v="1"/>
    <n v="33"/>
    <x v="2"/>
    <x v="3"/>
    <x v="3"/>
    <s v="NON"/>
    <s v="2026"/>
    <x v="0"/>
    <s v="2026-05-25"/>
  </r>
  <r>
    <d v="2026-05-25T00:00:00"/>
    <s v="NKASIANGANI"/>
    <s v="SUAMI"/>
    <x v="1"/>
    <n v="43"/>
    <x v="2"/>
    <x v="3"/>
    <x v="3"/>
    <s v="NON"/>
    <s v="2026"/>
    <x v="0"/>
    <s v="2026-05-25"/>
  </r>
  <r>
    <d v="2026-05-26T00:00:00"/>
    <s v="MOLEKA"/>
    <s v="BEN"/>
    <x v="0"/>
    <n v="5"/>
    <x v="0"/>
    <x v="0"/>
    <x v="0"/>
    <s v="NON"/>
    <s v="2026"/>
    <x v="0"/>
    <s v="2026-05-26"/>
  </r>
  <r>
    <d v="2026-05-26T00:00:00"/>
    <s v="MOLEKA"/>
    <s v="SAM"/>
    <x v="0"/>
    <n v="8"/>
    <x v="0"/>
    <x v="0"/>
    <x v="0"/>
    <s v="NON"/>
    <s v="2026"/>
    <x v="0"/>
    <s v="2026-05-26"/>
  </r>
  <r>
    <d v="2026-05-26T00:00:00"/>
    <s v="MOLEKA"/>
    <s v="NYABONINGI"/>
    <x v="1"/>
    <n v="7"/>
    <x v="0"/>
    <x v="0"/>
    <x v="0"/>
    <s v="NON"/>
    <s v="2026"/>
    <x v="0"/>
    <s v="2026-05-26"/>
  </r>
  <r>
    <d v="2026-05-28T00:00:00"/>
    <s v="KITEMBO"/>
    <s v="MATONDO"/>
    <x v="1"/>
    <n v="24"/>
    <x v="2"/>
    <x v="11"/>
    <x v="12"/>
    <s v="IME"/>
    <s v="2026"/>
    <x v="0"/>
    <s v="2026-05-28"/>
  </r>
  <r>
    <d v="2026-05-29T00:00:00"/>
    <s v="TUNGA"/>
    <s v="PIERRE"/>
    <x v="0"/>
    <n v="36"/>
    <x v="1"/>
    <x v="12"/>
    <x v="13"/>
    <s v="NON"/>
    <s v="2026"/>
    <x v="0"/>
    <s v="2026-05-29"/>
  </r>
  <r>
    <d v="2026-05-30T00:00:00"/>
    <s v="MILAMBU"/>
    <s v="RAYANE"/>
    <x v="0"/>
    <n v="0.75"/>
    <x v="0"/>
    <x v="13"/>
    <x v="14"/>
    <s v="PEDIATRIE IME"/>
    <s v="2026"/>
    <x v="0"/>
    <s v="2026-05-30"/>
  </r>
  <r>
    <d v="2026-05-30T00:00:00"/>
    <s v="ONOSAMBA"/>
    <s v="LUNDI"/>
    <x v="0"/>
    <n v="49"/>
    <x v="1"/>
    <x v="14"/>
    <x v="15"/>
    <m/>
    <s v="2026"/>
    <x v="0"/>
    <s v="2026-05-30"/>
  </r>
  <r>
    <d v="2026-06-01T00:00:00"/>
    <s v="TSHITANDA"/>
    <s v="LUANGA"/>
    <x v="0"/>
    <n v="24"/>
    <x v="4"/>
    <x v="0"/>
    <x v="10"/>
    <s v="NON"/>
    <s v="2026"/>
    <x v="1"/>
    <s v="2026-06-01"/>
  </r>
  <r>
    <d v="2026-06-01T00:00:00"/>
    <s v="MVUTU "/>
    <s v="LUTEMBE"/>
    <x v="1"/>
    <n v="41"/>
    <x v="1"/>
    <x v="2"/>
    <x v="2"/>
    <s v="NON"/>
    <s v="2026"/>
    <x v="1"/>
    <s v="2026-06-01"/>
  </r>
  <r>
    <d v="2026-06-02T00:00:00"/>
    <s v="MVUTU "/>
    <s v="LUTEMBE"/>
    <x v="1"/>
    <n v="41"/>
    <x v="1"/>
    <x v="10"/>
    <x v="16"/>
    <s v="NON"/>
    <s v="2026"/>
    <x v="1"/>
    <s v="2026-06-02"/>
  </r>
  <r>
    <d v="2026-06-02T00:00:00"/>
    <s v="NZUZI "/>
    <s v="TABILA"/>
    <x v="0"/>
    <n v="56"/>
    <x v="1"/>
    <x v="3"/>
    <x v="3"/>
    <s v="NON"/>
    <s v="2026"/>
    <x v="1"/>
    <s v="2026-06-02"/>
  </r>
  <r>
    <d v="2026-06-02T00:00:00"/>
    <s v="LUZOLAWO"/>
    <s v="MANKEKALA"/>
    <x v="0"/>
    <n v="3"/>
    <x v="0"/>
    <x v="0"/>
    <x v="17"/>
    <s v="NON"/>
    <s v="2026"/>
    <x v="1"/>
    <s v="2026-06-02"/>
  </r>
  <r>
    <d v="2026-06-02T00:00:00"/>
    <s v="LUZOLAWO"/>
    <s v="MANKEKALA"/>
    <x v="0"/>
    <n v="4"/>
    <x v="0"/>
    <x v="10"/>
    <x v="18"/>
    <s v="NON"/>
    <s v="2026"/>
    <x v="1"/>
    <s v="2026-06-02"/>
  </r>
  <r>
    <d v="2026-06-02T00:00:00"/>
    <s v="LEVO "/>
    <s v="SONIA"/>
    <x v="1"/>
    <n v="35"/>
    <x v="2"/>
    <x v="15"/>
    <x v="19"/>
    <s v="NON"/>
    <s v="2026"/>
    <x v="1"/>
    <s v="2026-06-02"/>
  </r>
  <r>
    <d v="2026-06-02T00:00:00"/>
    <s v="KABANGU"/>
    <s v="HOPE"/>
    <x v="1"/>
    <n v="4"/>
    <x v="0"/>
    <x v="15"/>
    <x v="19"/>
    <s v="NON"/>
    <s v="2026"/>
    <x v="1"/>
    <s v="2026-06-02"/>
  </r>
  <r>
    <d v="2026-06-02T00:00:00"/>
    <s v="KABANGU"/>
    <s v="HOPE"/>
    <x v="1"/>
    <n v="4"/>
    <x v="0"/>
    <x v="2"/>
    <x v="2"/>
    <s v="NON"/>
    <s v="2026"/>
    <x v="1"/>
    <s v="2026-06-02"/>
  </r>
  <r>
    <d v="2026-06-02T00:00:00"/>
    <s v="KABANGU"/>
    <s v="BELIEVE"/>
    <x v="0"/>
    <n v="6"/>
    <x v="0"/>
    <x v="15"/>
    <x v="20"/>
    <s v="NON"/>
    <s v="2026"/>
    <x v="1"/>
    <s v="2026-06-02"/>
  </r>
  <r>
    <d v="2026-06-03T00:00:00"/>
    <s v="MAPHASI"/>
    <s v="VANGU"/>
    <x v="0"/>
    <n v="43"/>
    <x v="1"/>
    <x v="2"/>
    <x v="2"/>
    <s v="NON"/>
    <s v="2026"/>
    <x v="1"/>
    <s v="2026-06-03"/>
  </r>
  <r>
    <d v="2026-06-04T00:00:00"/>
    <s v="NKASIANGANI"/>
    <s v="SUAMI"/>
    <x v="1"/>
    <n v="43"/>
    <x v="2"/>
    <x v="10"/>
    <x v="10"/>
    <s v="NON"/>
    <s v="2026"/>
    <x v="1"/>
    <s v="2026-06-04"/>
  </r>
  <r>
    <d v="2026-06-05T00:00:00"/>
    <s v="KITOMBOLE"/>
    <s v="MAFUTA"/>
    <x v="1"/>
    <n v="35"/>
    <x v="2"/>
    <x v="2"/>
    <x v="2"/>
    <s v="NON"/>
    <s v="2026"/>
    <x v="1"/>
    <s v="2026-06-05"/>
  </r>
  <r>
    <d v="2026-06-05T00:00:00"/>
    <s v="LUNIMBU"/>
    <s v="NSIAMBI"/>
    <x v="1"/>
    <m/>
    <x v="2"/>
    <x v="6"/>
    <x v="21"/>
    <s v="NON"/>
    <s v="2026"/>
    <x v="1"/>
    <s v="2026-06-05"/>
  </r>
  <r>
    <d v="2026-06-05T00:00:00"/>
    <s v="TABILA"/>
    <s v="MAKIESE"/>
    <x v="1"/>
    <n v="13"/>
    <x v="0"/>
    <x v="0"/>
    <x v="17"/>
    <s v="NON"/>
    <s v="2026"/>
    <x v="1"/>
    <s v="2026-06-05"/>
  </r>
  <r>
    <d v="2026-06-06T00:00:00"/>
    <s v="MUTOMBO"/>
    <s v="HIEL"/>
    <x v="0"/>
    <n v="2"/>
    <x v="0"/>
    <x v="16"/>
    <x v="22"/>
    <s v="NON"/>
    <s v="2026"/>
    <x v="1"/>
    <s v="2026-06-06"/>
  </r>
  <r>
    <d v="2026-06-06T00:00:00"/>
    <s v="KIANGANI"/>
    <s v="MAYEMBA"/>
    <x v="1"/>
    <n v="12"/>
    <x v="0"/>
    <x v="2"/>
    <x v="2"/>
    <s v="NON"/>
    <s v="2026"/>
    <x v="1"/>
    <s v="2026-06-06"/>
  </r>
  <r>
    <d v="2026-06-06T00:00:00"/>
    <s v="DISU"/>
    <s v="BAYISA"/>
    <x v="0"/>
    <n v="9"/>
    <x v="0"/>
    <x v="10"/>
    <x v="23"/>
    <s v="CENTRE HOSPITALIER LAMBA"/>
    <s v="2026"/>
    <x v="1"/>
    <s v="2026-06-06"/>
  </r>
  <r>
    <d v="2026-06-07T00:00:00"/>
    <s v="KUABI"/>
    <s v="MUSUNDA"/>
    <x v="1"/>
    <n v="1"/>
    <x v="0"/>
    <x v="0"/>
    <x v="17"/>
    <s v="NON"/>
    <s v="2026"/>
    <x v="1"/>
    <s v="2026-06-07"/>
  </r>
  <r>
    <d v="2026-06-07T00:00:00"/>
    <s v="KUABI"/>
    <s v="BONGO"/>
    <x v="1"/>
    <n v="2"/>
    <x v="0"/>
    <x v="0"/>
    <x v="17"/>
    <s v="NON"/>
    <s v="2026"/>
    <x v="1"/>
    <s v="2026-06-07"/>
  </r>
  <r>
    <d v="2026-06-07T00:00:00"/>
    <s v="MANANGU"/>
    <s v="MATINGU"/>
    <x v="1"/>
    <n v="44"/>
    <x v="5"/>
    <x v="6"/>
    <x v="24"/>
    <s v="NON"/>
    <s v="2026"/>
    <x v="1"/>
    <s v="2026-06-07"/>
  </r>
  <r>
    <d v="2026-06-07T00:00:00"/>
    <s v="KASONGO "/>
    <s v="MAVAKALA"/>
    <x v="0"/>
    <n v="28"/>
    <x v="5"/>
    <x v="2"/>
    <x v="2"/>
    <s v="NON"/>
    <s v="2026"/>
    <x v="1"/>
    <s v="2026-06-07"/>
  </r>
  <r>
    <d v="2026-06-07T00:00:00"/>
    <s v="KASONGO "/>
    <s v="MAVAKALA"/>
    <x v="0"/>
    <n v="28"/>
    <x v="5"/>
    <x v="8"/>
    <x v="25"/>
    <m/>
    <s v="2026"/>
    <x v="1"/>
    <s v="2026-06-07"/>
  </r>
  <r>
    <d v="2026-06-07T00:00:00"/>
    <s v="MEDINA"/>
    <s v="ZOLA"/>
    <x v="1"/>
    <n v="37"/>
    <x v="5"/>
    <x v="2"/>
    <x v="2"/>
    <s v="NON"/>
    <s v="2026"/>
    <x v="1"/>
    <s v="2026-06-07"/>
  </r>
  <r>
    <d v="2026-06-07T00:00:00"/>
    <s v="MEDINA"/>
    <s v="ZOLA"/>
    <x v="1"/>
    <n v="37"/>
    <x v="5"/>
    <x v="10"/>
    <x v="10"/>
    <s v="NON"/>
    <s v="2026"/>
    <x v="1"/>
    <s v="2026-06-07"/>
  </r>
  <r>
    <d v="2026-06-08T00:00:00"/>
    <s v="LEMA"/>
    <s v="ADHULE"/>
    <x v="0"/>
    <n v="5"/>
    <x v="0"/>
    <x v="0"/>
    <x v="17"/>
    <s v="NON"/>
    <s v="2026"/>
    <x v="1"/>
    <s v="2026-06-08"/>
  </r>
  <r>
    <d v="2026-06-08T00:00:00"/>
    <s v="SALEM"/>
    <s v="ADHULE"/>
    <x v="1"/>
    <n v="9"/>
    <x v="0"/>
    <x v="0"/>
    <x v="17"/>
    <s v="NON"/>
    <s v="2026"/>
    <x v="1"/>
    <s v="2026-06-08"/>
  </r>
  <r>
    <d v="2026-06-09T00:00:00"/>
    <s v="BUHANGU"/>
    <s v="NATHALIE"/>
    <x v="1"/>
    <n v="38"/>
    <x v="2"/>
    <x v="3"/>
    <x v="26"/>
    <s v="NON"/>
    <s v="2026"/>
    <x v="1"/>
    <s v="2026-06-09"/>
  </r>
  <r>
    <d v="2026-06-09T00:00:00"/>
    <s v="LUZOLAWO"/>
    <s v="RODRIGUE"/>
    <x v="0"/>
    <n v="39"/>
    <x v="1"/>
    <x v="0"/>
    <x v="17"/>
    <s v="NON"/>
    <s v="2026"/>
    <x v="1"/>
    <s v="2026-06-09"/>
  </r>
  <r>
    <d v="2026-06-11T00:00:00"/>
    <s v="VANGU"/>
    <s v="ANAELLE"/>
    <x v="1"/>
    <n v="3"/>
    <x v="0"/>
    <x v="2"/>
    <x v="27"/>
    <s v="NON"/>
    <s v="2026"/>
    <x v="1"/>
    <s v="2026-06-11"/>
  </r>
  <r>
    <d v="2026-06-11T00:00:00"/>
    <s v="KIAWUTUAYAKU"/>
    <s v="MAFUMBA"/>
    <x v="1"/>
    <m/>
    <x v="2"/>
    <x v="8"/>
    <x v="28"/>
    <s v="CENTRE HOSPITALIER LAMBA"/>
    <s v="2026"/>
    <x v="1"/>
    <s v="2026-06-11"/>
  </r>
  <r>
    <d v="2026-06-11T00:00:00"/>
    <s v="TABILA"/>
    <s v="MAKIESE"/>
    <x v="1"/>
    <n v="13"/>
    <x v="0"/>
    <x v="0"/>
    <x v="17"/>
    <s v="NON"/>
    <s v="2026"/>
    <x v="1"/>
    <s v="2026-06-11"/>
  </r>
  <r>
    <d v="2026-06-12T00:00:00"/>
    <s v="MALUAMPANGA"/>
    <m/>
    <x v="0"/>
    <n v="23"/>
    <x v="6"/>
    <x v="17"/>
    <x v="29"/>
    <s v="NON"/>
    <s v="2026"/>
    <x v="1"/>
    <s v="2026-06-12"/>
  </r>
  <r>
    <d v="2026-06-13T00:00:00"/>
    <s v="TULOMBA"/>
    <s v="ELORA"/>
    <x v="1"/>
    <n v="4"/>
    <x v="0"/>
    <x v="18"/>
    <x v="30"/>
    <s v="CENTRE HOSPITALIER LAMBA"/>
    <s v="2026"/>
    <x v="1"/>
    <s v="2026-06-13"/>
  </r>
  <r>
    <d v="2026-06-13T00:00:00"/>
    <s v="BASAKUMUNA"/>
    <s v="LUZOLO"/>
    <x v="1"/>
    <n v="5"/>
    <x v="0"/>
    <x v="2"/>
    <x v="31"/>
    <s v="NON"/>
    <s v="2026"/>
    <x v="1"/>
    <s v="2026-06-13"/>
  </r>
  <r>
    <d v="2026-06-13T00:00:00"/>
    <s v="BILONDA"/>
    <s v="KAZADI"/>
    <x v="1"/>
    <n v="38"/>
    <x v="1"/>
    <x v="2"/>
    <x v="2"/>
    <s v="NON"/>
    <s v="2026"/>
    <x v="1"/>
    <s v="2026-06-13"/>
  </r>
  <r>
    <d v="2026-06-13T00:00:00"/>
    <s v="MBODI"/>
    <s v="MAHEVA"/>
    <x v="1"/>
    <n v="3"/>
    <x v="0"/>
    <x v="19"/>
    <x v="30"/>
    <s v="CENTRE HOSPITALIER LAMBA"/>
    <s v="2026"/>
    <x v="1"/>
    <s v="2026-06-13"/>
  </r>
  <r>
    <d v="2026-06-13T00:00:00"/>
    <s v="MBODI"/>
    <s v="MALIA"/>
    <x v="1"/>
    <n v="5"/>
    <x v="0"/>
    <x v="19"/>
    <x v="32"/>
    <s v="CENTRE HOSPITALIER LAMBA"/>
    <s v="2026"/>
    <x v="1"/>
    <s v="2026-06-13"/>
  </r>
  <r>
    <d v="2026-06-14T00:00:00"/>
    <s v="EALE"/>
    <s v="EYENGA"/>
    <x v="1"/>
    <n v="35"/>
    <x v="2"/>
    <x v="2"/>
    <x v="33"/>
    <s v="NON"/>
    <s v="2026"/>
    <x v="1"/>
    <s v="2026-06-14"/>
  </r>
  <r>
    <d v="2026-06-15T00:00:00"/>
    <s v="MATILA"/>
    <s v="KINDENDELE"/>
    <x v="1"/>
    <n v="24"/>
    <x v="7"/>
    <x v="2"/>
    <x v="2"/>
    <s v="NON"/>
    <s v="2026"/>
    <x v="1"/>
    <s v="2026-06-15"/>
  </r>
  <r>
    <d v="2026-06-15T00:00:00"/>
    <s v="KINKINIA"/>
    <s v="PELAGIE"/>
    <x v="1"/>
    <n v="48"/>
    <x v="1"/>
    <x v="17"/>
    <x v="34"/>
    <s v="NON"/>
    <s v="2026"/>
    <x v="1"/>
    <s v="2026-06-15"/>
  </r>
  <r>
    <d v="2026-06-17T00:00:00"/>
    <s v="NSILU "/>
    <s v="MALUTA"/>
    <x v="1"/>
    <n v="35"/>
    <x v="1"/>
    <x v="0"/>
    <x v="35"/>
    <s v="NON"/>
    <s v="2026"/>
    <x v="1"/>
    <s v="2026-06-17"/>
  </r>
  <r>
    <d v="2026-06-16T00:00:00"/>
    <s v="BAKUNDAMA"/>
    <s v="YASMINE"/>
    <x v="1"/>
    <n v="27"/>
    <x v="2"/>
    <x v="2"/>
    <x v="36"/>
    <s v="NON"/>
    <s v="2026"/>
    <x v="1"/>
    <s v="2026-06-16"/>
  </r>
  <r>
    <d v="2026-06-17T00:00:00"/>
    <s v="BILANGA "/>
    <s v="LINGOMA"/>
    <x v="0"/>
    <n v="32"/>
    <x v="1"/>
    <x v="2"/>
    <x v="36"/>
    <s v="NON"/>
    <s v="2026"/>
    <x v="1"/>
    <s v="2026-06-17"/>
  </r>
  <r>
    <d v="2026-06-18T00:00:00"/>
    <s v="KITEMBO"/>
    <s v="MATONDO"/>
    <x v="1"/>
    <n v="24"/>
    <x v="2"/>
    <x v="2"/>
    <x v="36"/>
    <s v="NON"/>
    <s v="2026"/>
    <x v="1"/>
    <s v="2026-06-18"/>
  </r>
  <r>
    <d v="2026-06-18T00:00:00"/>
    <s v="LUZOLO"/>
    <s v="NSEMBOLO"/>
    <x v="0"/>
    <n v="56"/>
    <x v="1"/>
    <x v="2"/>
    <x v="36"/>
    <s v="NON"/>
    <s v="2026"/>
    <x v="1"/>
    <s v="2026-06-18"/>
  </r>
  <r>
    <d v="2026-06-20T00:00:00"/>
    <s v="NSEMBOLO"/>
    <s v="BLAISE"/>
    <x v="0"/>
    <n v="54"/>
    <x v="4"/>
    <x v="2"/>
    <x v="36"/>
    <s v="NON"/>
    <s v="2026"/>
    <x v="1"/>
    <s v="2026-06-20"/>
  </r>
  <r>
    <d v="2026-06-22T00:00:00"/>
    <s v="BATIANKUENO"/>
    <s v="NGIALUKA"/>
    <x v="1"/>
    <n v="8"/>
    <x v="0"/>
    <x v="2"/>
    <x v="36"/>
    <s v="NON"/>
    <s v="2026"/>
    <x v="1"/>
    <s v="2026-06-22"/>
  </r>
  <r>
    <d v="2026-06-22T00:00:00"/>
    <s v="NSINABAU"/>
    <s v="TAMFUM"/>
    <x v="0"/>
    <n v="30"/>
    <x v="1"/>
    <x v="2"/>
    <x v="37"/>
    <s v="NON"/>
    <s v="2026"/>
    <x v="1"/>
    <s v="2026-06-22"/>
  </r>
  <r>
    <d v="2026-06-23T00:00:00"/>
    <s v="MPUNGUE"/>
    <s v="KAPEPULA"/>
    <x v="0"/>
    <m/>
    <x v="1"/>
    <x v="2"/>
    <x v="36"/>
    <s v="NON"/>
    <s v="2026"/>
    <x v="1"/>
    <s v="2026-06-23"/>
  </r>
  <r>
    <d v="2026-06-23T00:00:00"/>
    <s v="BAYISA"/>
    <s v="BRAYANE"/>
    <x v="1"/>
    <n v="1"/>
    <x v="0"/>
    <x v="0"/>
    <x v="38"/>
    <s v="NON"/>
    <s v="2026"/>
    <x v="1"/>
    <s v="2026-06-23"/>
  </r>
  <r>
    <d v="2026-06-27T00:00:00"/>
    <s v="MAS"/>
    <s v="GEDEON"/>
    <x v="0"/>
    <n v="30"/>
    <x v="1"/>
    <x v="20"/>
    <x v="39"/>
    <s v="IME"/>
    <s v="2026"/>
    <x v="1"/>
    <s v="2026-06-27"/>
  </r>
  <r>
    <d v="2026-06-27T00:00:00"/>
    <s v="NERIJA"/>
    <m/>
    <x v="1"/>
    <n v="4"/>
    <x v="0"/>
    <x v="21"/>
    <x v="40"/>
    <s v="NON"/>
    <s v="2026"/>
    <x v="1"/>
    <s v="2026-06-27"/>
  </r>
  <r>
    <d v="2026-06-27T00:00:00"/>
    <s v="NZUZI"/>
    <s v="TOKO"/>
    <x v="1"/>
    <n v="38"/>
    <x v="2"/>
    <x v="3"/>
    <x v="41"/>
    <s v="HJ LUKALA"/>
    <s v="2026"/>
    <x v="1"/>
    <s v="2026-06-27"/>
  </r>
  <r>
    <d v="2026-06-27T00:00:00"/>
    <s v="NALOLO"/>
    <s v="KUNDA"/>
    <x v="0"/>
    <n v="15"/>
    <x v="0"/>
    <x v="22"/>
    <x v="42"/>
    <s v="IME"/>
    <s v="2026"/>
    <x v="1"/>
    <s v="2026-06-27"/>
  </r>
  <r>
    <d v="2026-06-27T00:00:00"/>
    <s v="KIAKENGO "/>
    <s v="LUFUANKENDA"/>
    <x v="1"/>
    <n v="15"/>
    <x v="0"/>
    <x v="0"/>
    <x v="38"/>
    <s v="NON"/>
    <s v="2026"/>
    <x v="1"/>
    <s v="2026-06-27"/>
  </r>
  <r>
    <d v="2026-06-28T00:00:00"/>
    <s v="ONOSAMBA"/>
    <s v="FALCON"/>
    <x v="0"/>
    <n v="9"/>
    <x v="0"/>
    <x v="2"/>
    <x v="43"/>
    <s v="NON"/>
    <s v="2026"/>
    <x v="1"/>
    <s v="2026-06-28"/>
  </r>
  <r>
    <d v="2026-06-28T00:00:00"/>
    <s v="ONOSAMBA"/>
    <s v="MIGUEL"/>
    <x v="0"/>
    <n v="18"/>
    <x v="0"/>
    <x v="2"/>
    <x v="36"/>
    <s v="NON"/>
    <s v="2026"/>
    <x v="1"/>
    <s v="2026-06-28"/>
  </r>
  <r>
    <d v="2026-06-28T00:00:00"/>
    <s v="NALOLO"/>
    <s v="KUNDA"/>
    <x v="0"/>
    <n v="15"/>
    <x v="0"/>
    <x v="1"/>
    <x v="1"/>
    <s v="NON"/>
    <s v="2026"/>
    <x v="1"/>
    <s v="2026-06-28"/>
  </r>
  <r>
    <d v="2026-06-29T00:00:00"/>
    <s v="EALE"/>
    <s v="GLOIRE"/>
    <x v="1"/>
    <n v="38"/>
    <x v="2"/>
    <x v="23"/>
    <x v="44"/>
    <s v="NON"/>
    <s v="2026"/>
    <x v="1"/>
    <s v="2026-06-29"/>
  </r>
  <r>
    <d v="2026-07-01T00:00:00"/>
    <s v="PONGO PONGO"/>
    <s v="LIWANDA"/>
    <x v="0"/>
    <n v="63"/>
    <x v="1"/>
    <x v="24"/>
    <x v="45"/>
    <s v="NON"/>
    <s v="2026"/>
    <x v="2"/>
    <s v="2026-07-01"/>
  </r>
  <r>
    <d v="2026-07-01T00:00:00"/>
    <s v="KUASA"/>
    <s v="KINSIONA"/>
    <x v="0"/>
    <n v="45"/>
    <x v="1"/>
    <x v="15"/>
    <x v="46"/>
    <s v="NON"/>
    <s v="2026"/>
    <x v="2"/>
    <s v="2026-07-01"/>
  </r>
  <r>
    <d v="2026-07-01T00:00:00"/>
    <s v="NKELE"/>
    <s v="LUBANGADIO"/>
    <x v="0"/>
    <n v="47"/>
    <x v="8"/>
    <x v="25"/>
    <x v="39"/>
    <s v="IME"/>
    <s v="2026"/>
    <x v="2"/>
    <s v="2026-07-01"/>
  </r>
  <r>
    <d v="2026-07-02T00:00:00"/>
    <s v="MUANA "/>
    <s v="FIOTI"/>
    <x v="1"/>
    <n v="27"/>
    <x v="4"/>
    <x v="26"/>
    <x v="47"/>
    <s v="NON"/>
    <s v="2026"/>
    <x v="2"/>
    <s v="2026-07-02"/>
  </r>
  <r>
    <d v="2026-07-02T00:00:00"/>
    <s v="BUHEDWA"/>
    <s v="MELCHIOR"/>
    <x v="0"/>
    <n v="65"/>
    <x v="9"/>
    <x v="27"/>
    <x v="48"/>
    <s v="NON"/>
    <s v="2026"/>
    <x v="2"/>
    <s v="2026-07-02"/>
  </r>
  <r>
    <d v="2026-07-02T00:00:00"/>
    <s v="MOUSSA"/>
    <s v="ZAMBA"/>
    <x v="0"/>
    <n v="43"/>
    <x v="10"/>
    <x v="28"/>
    <x v="28"/>
    <s v="CENTRE HOSPITALIER LAMBA"/>
    <s v="2026"/>
    <x v="2"/>
    <s v="2026-07-02"/>
  </r>
  <r>
    <d v="2026-07-02T00:00:00"/>
    <s v="MOUSSA"/>
    <s v="ZAMBA"/>
    <x v="0"/>
    <n v="43"/>
    <x v="3"/>
    <x v="2"/>
    <x v="48"/>
    <s v="NON"/>
    <s v="2026"/>
    <x v="2"/>
    <s v="2026-07-02"/>
  </r>
  <r>
    <d v="2026-07-02T00:00:00"/>
    <s v="MAKELA"/>
    <s v="LUKULA"/>
    <x v="1"/>
    <n v="29"/>
    <x v="2"/>
    <x v="2"/>
    <x v="36"/>
    <s v="NON"/>
    <s v="2026"/>
    <x v="2"/>
    <s v="2026-07-02"/>
  </r>
  <r>
    <d v="2026-07-02T00:00:00"/>
    <s v="NLANDU"/>
    <s v="NDONGALA"/>
    <x v="0"/>
    <n v="46"/>
    <x v="1"/>
    <x v="2"/>
    <x v="2"/>
    <s v="NON"/>
    <s v="2026"/>
    <x v="2"/>
    <s v="2026-07-02"/>
  </r>
  <r>
    <d v="2026-07-03T00:00:00"/>
    <s v="DIAMBOTE"/>
    <s v="NGOMA"/>
    <x v="0"/>
    <n v="30"/>
    <x v="11"/>
    <x v="29"/>
    <x v="49"/>
    <s v="IME"/>
    <s v="2026"/>
    <x v="2"/>
    <s v="2026-07-03"/>
  </r>
  <r>
    <d v="2026-07-04T00:00:00"/>
    <s v="TUMBA "/>
    <s v="ROSMY"/>
    <x v="1"/>
    <n v="7"/>
    <x v="12"/>
    <x v="2"/>
    <x v="2"/>
    <s v="NON"/>
    <s v="2026"/>
    <x v="2"/>
    <s v="2026-07-04"/>
  </r>
  <r>
    <d v="2026-07-04T00:00:00"/>
    <s v="BADIBANGA"/>
    <s v="LEON"/>
    <x v="0"/>
    <n v="33"/>
    <x v="1"/>
    <x v="2"/>
    <x v="2"/>
    <s v="NON"/>
    <s v="2026"/>
    <x v="2"/>
    <s v="2026-07-04"/>
  </r>
  <r>
    <d v="2026-07-04T00:00:00"/>
    <s v="MAYEMBA"/>
    <s v="ZEPHERINE"/>
    <x v="1"/>
    <n v="40"/>
    <x v="2"/>
    <x v="2"/>
    <x v="36"/>
    <s v="NON"/>
    <s v="2026"/>
    <x v="2"/>
    <s v="2026-07-04"/>
  </r>
  <r>
    <d v="2026-07-05T00:00:00"/>
    <s v="LUSAKUMUNU"/>
    <s v="ELMI"/>
    <x v="0"/>
    <n v="2"/>
    <x v="0"/>
    <x v="0"/>
    <x v="0"/>
    <s v="NON"/>
    <s v="2026"/>
    <x v="2"/>
    <s v="2026-07-05"/>
  </r>
  <r>
    <d v="2026-07-05T00:00:00"/>
    <s v="KAMUENGI"/>
    <s v="NDEKE"/>
    <x v="1"/>
    <n v="37"/>
    <x v="2"/>
    <x v="30"/>
    <x v="50"/>
    <s v="IME"/>
    <s v="2026"/>
    <x v="2"/>
    <s v="2026-07-05"/>
  </r>
  <r>
    <d v="2026-07-06T00:00:00"/>
    <s v="NGABU"/>
    <s v="MAKANZU"/>
    <x v="0"/>
    <n v="34"/>
    <x v="4"/>
    <x v="8"/>
    <x v="51"/>
    <s v="NON"/>
    <s v="2026"/>
    <x v="2"/>
    <s v="2026-07-06"/>
  </r>
  <r>
    <d v="2026-07-06T00:00:00"/>
    <s v="NGABU"/>
    <s v="MAKANZU"/>
    <x v="0"/>
    <n v="34"/>
    <x v="4"/>
    <x v="3"/>
    <x v="52"/>
    <s v="NON"/>
    <s v="2026"/>
    <x v="2"/>
    <s v="2026-07-06"/>
  </r>
  <r>
    <d v="2026-07-08T00:00:00"/>
    <s v="KUSONSA"/>
    <s v="MANUENO"/>
    <x v="0"/>
    <n v="12"/>
    <x v="0"/>
    <x v="31"/>
    <x v="53"/>
    <s v="NON"/>
    <s v="2026"/>
    <x v="2"/>
    <s v="2026-07-08"/>
  </r>
  <r>
    <d v="2026-07-08T00:00:00"/>
    <s v="KUSONSA"/>
    <s v="MANUENO"/>
    <x v="0"/>
    <n v="12"/>
    <x v="0"/>
    <x v="32"/>
    <x v="54"/>
    <s v="NON"/>
    <s v="2026"/>
    <x v="2"/>
    <s v="2026-07-08"/>
  </r>
  <r>
    <d v="2026-07-10T00:00:00"/>
    <s v="MUANA FIOTI"/>
    <s v="EYAYI"/>
    <x v="1"/>
    <n v="27"/>
    <x v="4"/>
    <x v="8"/>
    <x v="28"/>
    <s v="NON"/>
    <s v="2026"/>
    <x v="2"/>
    <s v="2026-07-10"/>
  </r>
  <r>
    <d v="2026-07-08T00:00:00"/>
    <s v="MAYEMBA"/>
    <s v="ZEPHERINE"/>
    <x v="1"/>
    <n v="40"/>
    <x v="2"/>
    <x v="33"/>
    <x v="55"/>
    <s v="IME"/>
    <s v="2026"/>
    <x v="2"/>
    <s v="2026-07-08"/>
  </r>
  <r>
    <d v="2026-07-08T00:00:00"/>
    <s v="MVUTU "/>
    <s v="LUTEMBE"/>
    <x v="1"/>
    <n v="41"/>
    <x v="1"/>
    <x v="32"/>
    <x v="56"/>
    <s v="NON"/>
    <s v="2026"/>
    <x v="2"/>
    <s v="2026-07-08"/>
  </r>
  <r>
    <d v="2026-07-13T00:00:00"/>
    <s v="MAHMOUD"/>
    <s v="FAROUK"/>
    <x v="0"/>
    <n v="38"/>
    <x v="13"/>
    <x v="34"/>
    <x v="57"/>
    <s v="DENTISTE EN EGYPTE"/>
    <s v="2026"/>
    <x v="2"/>
    <s v="2026-07-13"/>
  </r>
  <r>
    <d v="2026-07-13T00:00:00"/>
    <s v="TULENGI"/>
    <s v="REAGAN"/>
    <x v="0"/>
    <n v="40"/>
    <x v="1"/>
    <x v="34"/>
    <x v="57"/>
    <s v="IME"/>
    <s v="2026"/>
    <x v="2"/>
    <s v="2026-07-13"/>
  </r>
  <r>
    <d v="2026-07-13T00:00:00"/>
    <s v="NZUZI"/>
    <s v="TOKO"/>
    <x v="1"/>
    <n v="40"/>
    <x v="2"/>
    <x v="20"/>
    <x v="58"/>
    <s v="NON"/>
    <s v="2026"/>
    <x v="2"/>
    <s v="2026-07-13"/>
  </r>
  <r>
    <d v="2026-07-14T00:00:00"/>
    <s v="KUSONSA"/>
    <s v="MVUTU"/>
    <x v="1"/>
    <n v="15"/>
    <x v="0"/>
    <x v="35"/>
    <x v="59"/>
    <s v="NON"/>
    <s v="2026"/>
    <x v="2"/>
    <s v="2026-07-14"/>
  </r>
  <r>
    <d v="2026-07-17T00:00:00"/>
    <s v="KUABI"/>
    <s v="PHANZU"/>
    <x v="0"/>
    <n v="39"/>
    <x v="1"/>
    <x v="0"/>
    <x v="60"/>
    <s v="NON"/>
    <s v="2026"/>
    <x v="2"/>
    <s v="2026-07-17"/>
  </r>
  <r>
    <d v="2026-07-17T00:00:00"/>
    <s v="KITEMBO"/>
    <s v="MATONDO"/>
    <x v="1"/>
    <n v="25"/>
    <x v="2"/>
    <x v="28"/>
    <x v="28"/>
    <s v="NON"/>
    <s v="2026"/>
    <x v="2"/>
    <s v="2026-07-17"/>
  </r>
  <r>
    <d v="2026-07-19T00:00:00"/>
    <s v="LONGELE"/>
    <s v="IFOMA"/>
    <x v="1"/>
    <n v="29"/>
    <x v="2"/>
    <x v="0"/>
    <x v="38"/>
    <s v="NON"/>
    <s v="2026"/>
    <x v="2"/>
    <s v="2026-07-19"/>
  </r>
  <r>
    <d v="2026-07-19T00:00:00"/>
    <s v="TULOMBA"/>
    <m/>
    <x v="1"/>
    <n v="4"/>
    <x v="0"/>
    <x v="36"/>
    <x v="29"/>
    <s v="IME"/>
    <s v="2026"/>
    <x v="2"/>
    <s v="2026-07-19"/>
  </r>
  <r>
    <d v="2026-07-19T00:00:00"/>
    <s v="MVUTU "/>
    <s v="LUTEMBE"/>
    <x v="1"/>
    <n v="41"/>
    <x v="1"/>
    <x v="0"/>
    <x v="0"/>
    <s v="NON"/>
    <s v="2026"/>
    <x v="2"/>
    <s v="2026-07-19"/>
  </r>
  <r>
    <d v="2026-07-22T00:00:00"/>
    <s v="DIMBUILA "/>
    <s v="NGOMQ"/>
    <x v="1"/>
    <n v="11"/>
    <x v="14"/>
    <x v="2"/>
    <x v="36"/>
    <s v="NON"/>
    <s v="2026"/>
    <x v="2"/>
    <s v="2026-07-22"/>
  </r>
  <r>
    <d v="2026-07-22T00:00:00"/>
    <s v="NADEGE"/>
    <s v="MUSAKO"/>
    <x v="1"/>
    <n v="28"/>
    <x v="2"/>
    <x v="3"/>
    <x v="3"/>
    <s v="NON"/>
    <s v="2026"/>
    <x v="2"/>
    <s v="2026-07-22"/>
  </r>
  <r>
    <d v="2026-07-22T00:00:00"/>
    <s v="VUVU"/>
    <s v="ESPOIR"/>
    <x v="0"/>
    <n v="33"/>
    <x v="15"/>
    <x v="3"/>
    <x v="3"/>
    <s v="NON"/>
    <s v="2026"/>
    <x v="2"/>
    <s v="2026-07-22"/>
  </r>
  <r>
    <d v="2026-07-23T00:00:00"/>
    <s v="BUHANGU"/>
    <s v="NATHALIE"/>
    <x v="1"/>
    <n v="39"/>
    <x v="2"/>
    <x v="37"/>
    <x v="36"/>
    <s v="NON"/>
    <s v="2026"/>
    <x v="2"/>
    <s v="2026-07-23"/>
  </r>
  <r>
    <d v="2026-07-23T00:00:00"/>
    <s v="NZUZI"/>
    <s v="TOKO"/>
    <x v="1"/>
    <n v="40"/>
    <x v="2"/>
    <x v="38"/>
    <x v="61"/>
    <s v="HJ LUKALA"/>
    <s v="2026"/>
    <x v="2"/>
    <s v="2026-07-23"/>
  </r>
  <r>
    <d v="2026-07-25T00:00:00"/>
    <s v="EALE"/>
    <s v="GLOIRE"/>
    <x v="1"/>
    <n v="35"/>
    <x v="2"/>
    <x v="39"/>
    <x v="62"/>
    <s v="NON"/>
    <s v="2026"/>
    <x v="2"/>
    <s v="2026-07-25"/>
  </r>
  <r>
    <d v="2026-07-25T00:00:00"/>
    <s v="NEBIHUGO"/>
    <s v="ZOZO"/>
    <x v="0"/>
    <n v="35"/>
    <x v="4"/>
    <x v="40"/>
    <x v="63"/>
    <s v="NON"/>
    <s v="2026"/>
    <x v="2"/>
    <s v="2026-07-25"/>
  </r>
  <r>
    <d v="2026-07-25T00:00:00"/>
    <s v="TULENGI"/>
    <s v="BODUGA"/>
    <x v="1"/>
    <n v="9"/>
    <x v="0"/>
    <x v="41"/>
    <x v="64"/>
    <s v="IME"/>
    <s v="2026"/>
    <x v="2"/>
    <s v="2026-07-25"/>
  </r>
  <r>
    <d v="2026-07-25T00:00:00"/>
    <s v="NZEWANA"/>
    <s v="MAWAWA"/>
    <x v="1"/>
    <n v="20"/>
    <x v="14"/>
    <x v="42"/>
    <x v="65"/>
    <s v="LAMBA"/>
    <s v="2026"/>
    <x v="2"/>
    <s v="2026-07-25"/>
  </r>
  <r>
    <d v="2026-07-25T00:00:00"/>
    <s v="NZEWANA"/>
    <s v="MAWAWA"/>
    <x v="1"/>
    <n v="20"/>
    <x v="14"/>
    <x v="43"/>
    <x v="8"/>
    <s v="LAMBA"/>
    <s v="2026"/>
    <x v="2"/>
    <s v="2026-07-25"/>
  </r>
  <r>
    <d v="2026-07-26T00:00:00"/>
    <m/>
    <m/>
    <x v="1"/>
    <m/>
    <x v="2"/>
    <x v="1"/>
    <x v="66"/>
    <s v="NON"/>
    <s v="2026"/>
    <x v="2"/>
    <s v="2026-07-26"/>
  </r>
  <r>
    <d v="2026-07-26T00:00:00"/>
    <s v="VUBU"/>
    <s v="SOTO"/>
    <x v="1"/>
    <n v="39"/>
    <x v="2"/>
    <x v="32"/>
    <x v="56"/>
    <s v="NON"/>
    <s v="2026"/>
    <x v="2"/>
    <s v="2026-07-26"/>
  </r>
  <r>
    <d v="2026-07-27T00:00:00"/>
    <s v="KANAHUNA "/>
    <s v="LUZAYADIO"/>
    <x v="1"/>
    <n v="44"/>
    <x v="1"/>
    <x v="44"/>
    <x v="67"/>
    <s v="NON"/>
    <s v="2026"/>
    <x v="2"/>
    <s v="2026-07-27"/>
  </r>
  <r>
    <d v="2026-07-27T00:00:00"/>
    <s v="TENDA"/>
    <s v="DIASILUA"/>
    <x v="0"/>
    <n v="51"/>
    <x v="4"/>
    <x v="45"/>
    <x v="68"/>
    <s v="NON"/>
    <s v="2026"/>
    <x v="2"/>
    <s v="2026-07-27"/>
  </r>
  <r>
    <d v="2026-07-27T00:00:00"/>
    <s v="MUKULE"/>
    <s v="BOLITO"/>
    <x v="1"/>
    <n v="35"/>
    <x v="16"/>
    <x v="46"/>
    <x v="69"/>
    <s v="DR EMERY"/>
    <s v="2026"/>
    <x v="2"/>
    <s v="2026-07-27"/>
  </r>
  <r>
    <d v="2026-07-28T00:00:00"/>
    <s v="BADIBANGA"/>
    <s v="LEON"/>
    <x v="0"/>
    <n v="33"/>
    <x v="1"/>
    <x v="0"/>
    <x v="70"/>
    <s v="NON"/>
    <s v="2026"/>
    <x v="2"/>
    <s v="2026-07-28"/>
  </r>
  <r>
    <d v="2026-07-28T00:00:00"/>
    <s v="NGIMBI"/>
    <s v="NSILULU"/>
    <x v="0"/>
    <n v="32"/>
    <x v="1"/>
    <x v="3"/>
    <x v="71"/>
    <s v="NON"/>
    <s v="2026"/>
    <x v="2"/>
    <s v="2026-07-28"/>
  </r>
  <r>
    <d v="2026-07-29T00:00:00"/>
    <s v="ONOSAMBA"/>
    <s v="LUNDI"/>
    <x v="0"/>
    <m/>
    <x v="1"/>
    <x v="10"/>
    <x v="72"/>
    <s v="NON"/>
    <s v="2026"/>
    <x v="2"/>
    <s v="2026-07-29"/>
  </r>
  <r>
    <d v="2026-07-29T00:00:00"/>
    <s v="MPONGO"/>
    <s v="KOLONGO"/>
    <x v="0"/>
    <n v="34"/>
    <x v="1"/>
    <x v="0"/>
    <x v="73"/>
    <s v="NON"/>
    <s v="2026"/>
    <x v="2"/>
    <s v="2026-07-29"/>
  </r>
  <r>
    <d v="2026-07-29T00:00:00"/>
    <s v="KALA "/>
    <s v="MPINGA"/>
    <x v="0"/>
    <n v="65"/>
    <x v="17"/>
    <x v="46"/>
    <x v="74"/>
    <s v="NON"/>
    <s v="2026"/>
    <x v="2"/>
    <s v="2026-07-29"/>
  </r>
  <r>
    <d v="2026-07-29T00:00:00"/>
    <s v="KALA "/>
    <s v="MPINGA"/>
    <x v="0"/>
    <n v="65"/>
    <x v="17"/>
    <x v="0"/>
    <x v="75"/>
    <s v="NON"/>
    <s v="2026"/>
    <x v="2"/>
    <s v="2026-07-29"/>
  </r>
  <r>
    <d v="2026-07-29T00:00:00"/>
    <s v="buke"/>
    <s v="basa"/>
    <x v="0"/>
    <n v="34"/>
    <x v="18"/>
    <x v="0"/>
    <x v="76"/>
    <s v="NON"/>
    <s v="2026"/>
    <x v="2"/>
    <s v="2026-07-29"/>
  </r>
  <r>
    <d v="2026-07-30T00:00:00"/>
    <s v="PERO "/>
    <s v="NEMWADJARE"/>
    <x v="0"/>
    <n v="37"/>
    <x v="1"/>
    <x v="47"/>
    <x v="77"/>
    <m/>
    <s v="2026"/>
    <x v="2"/>
    <s v="2026-07-30"/>
  </r>
  <r>
    <d v="2026-08-01T00:00:00"/>
    <s v="DONETA"/>
    <s v="MPOVA"/>
    <x v="1"/>
    <n v="23"/>
    <x v="2"/>
    <x v="48"/>
    <x v="78"/>
    <s v="LAMBA"/>
    <s v="2026"/>
    <x v="3"/>
    <s v="2026-08-01"/>
  </r>
  <r>
    <d v="2026-08-01T00:00:00"/>
    <s v="MUNTANA"/>
    <s v="VELA"/>
    <x v="0"/>
    <n v="23"/>
    <x v="1"/>
    <x v="3"/>
    <x v="3"/>
    <s v="NON"/>
    <s v="2026"/>
    <x v="3"/>
    <s v="2026-08-01"/>
  </r>
  <r>
    <d v="2026-08-01T00:00:00"/>
    <s v="TULOMBA"/>
    <s v="MBANU"/>
    <x v="1"/>
    <n v="2"/>
    <x v="0"/>
    <x v="49"/>
    <x v="79"/>
    <s v="NON"/>
    <s v="2026"/>
    <x v="3"/>
    <s v="2026-08-01"/>
  </r>
  <r>
    <d v="2026-08-03T00:00:00"/>
    <s v="UUCHI"/>
    <s v="UMIRAMBE"/>
    <x v="0"/>
    <n v="35"/>
    <x v="1"/>
    <x v="49"/>
    <x v="80"/>
    <m/>
    <s v="2026"/>
    <x v="3"/>
    <s v="2026-08-03"/>
  </r>
  <r>
    <d v="2026-08-03T00:00:00"/>
    <s v="ANDREW"/>
    <s v="MOLONGA"/>
    <x v="0"/>
    <n v="39"/>
    <x v="1"/>
    <x v="49"/>
    <x v="79"/>
    <s v="NON"/>
    <s v="2026"/>
    <x v="3"/>
    <s v="2026-08-03"/>
  </r>
  <r>
    <d v="2026-08-06T00:00:00"/>
    <s v="NGIMBI"/>
    <s v="NSILULU"/>
    <x v="0"/>
    <n v="31"/>
    <x v="1"/>
    <x v="2"/>
    <x v="36"/>
    <m/>
    <s v="2026"/>
    <x v="3"/>
    <s v="2026-08-06"/>
  </r>
  <r>
    <d v="2026-08-06T00:00:00"/>
    <s v="MUSA"/>
    <s v="ZAMBA"/>
    <x v="0"/>
    <n v="56"/>
    <x v="19"/>
    <x v="50"/>
    <x v="81"/>
    <s v="NON"/>
    <s v="2026"/>
    <x v="3"/>
    <s v="2026-08-06"/>
  </r>
  <r>
    <d v="2026-08-06T00:00:00"/>
    <s v="MOLEKA"/>
    <s v="BEN"/>
    <x v="0"/>
    <n v="5"/>
    <x v="0"/>
    <x v="51"/>
    <x v="82"/>
    <m/>
    <s v="2026"/>
    <x v="3"/>
    <s v="2026-08-06"/>
  </r>
  <r>
    <d v="2026-08-06T00:00:00"/>
    <s v="NZUZI"/>
    <s v="TABILA"/>
    <x v="0"/>
    <m/>
    <x v="1"/>
    <x v="2"/>
    <x v="83"/>
    <s v="NON"/>
    <s v="2026"/>
    <x v="3"/>
    <s v="2026-08-06"/>
  </r>
  <r>
    <d v="2026-08-07T00:00:00"/>
    <s v="ILUNGA"/>
    <s v="GODWIN"/>
    <x v="1"/>
    <n v="3"/>
    <x v="0"/>
    <x v="52"/>
    <x v="42"/>
    <s v="NON"/>
    <s v="2026"/>
    <x v="3"/>
    <s v="2026-08-07"/>
  </r>
  <r>
    <d v="2026-08-08T00:00:00"/>
    <s v="KUABI"/>
    <s v="BONGO"/>
    <x v="1"/>
    <n v="2"/>
    <x v="0"/>
    <x v="2"/>
    <x v="48"/>
    <s v="NON"/>
    <s v="2026"/>
    <x v="3"/>
    <s v="2026-08-08"/>
  </r>
  <r>
    <d v="2026-08-09T00:00:00"/>
    <s v="NZUZI"/>
    <s v="TOKO"/>
    <x v="1"/>
    <n v="38"/>
    <x v="2"/>
    <x v="3"/>
    <x v="3"/>
    <s v="NON"/>
    <s v="2026"/>
    <x v="3"/>
    <s v="2026-08-09"/>
  </r>
  <r>
    <d v="2026-08-10T00:00:00"/>
    <s v="NSILULU"/>
    <s v="DONEL"/>
    <x v="1"/>
    <n v="18"/>
    <x v="0"/>
    <x v="2"/>
    <x v="84"/>
    <s v="NON"/>
    <s v="2026"/>
    <x v="3"/>
    <s v="2026-08-10"/>
  </r>
  <r>
    <d v="2026-08-10T00:00:00"/>
    <s v="MUKENDI"/>
    <s v="KABONGO"/>
    <x v="0"/>
    <n v="46"/>
    <x v="1"/>
    <x v="2"/>
    <x v="48"/>
    <m/>
    <s v="2026"/>
    <x v="3"/>
    <s v="2026-08-10"/>
  </r>
  <r>
    <d v="2026-08-12T00:00:00"/>
    <s v="ODIA"/>
    <s v="ESTHER"/>
    <x v="1"/>
    <n v="39"/>
    <x v="2"/>
    <x v="2"/>
    <x v="36"/>
    <m/>
    <s v="2026"/>
    <x v="3"/>
    <s v="2026-08-12"/>
  </r>
  <r>
    <d v="2026-08-13T00:00:00"/>
    <s v="MPAKA"/>
    <s v="NZOLAMESO"/>
    <x v="0"/>
    <n v="37"/>
    <x v="20"/>
    <x v="53"/>
    <x v="85"/>
    <s v="CH LAMBA"/>
    <s v="2026"/>
    <x v="3"/>
    <s v="2026-08-13"/>
  </r>
  <r>
    <d v="2026-08-13T00:00:00"/>
    <s v="MUNTANDA"/>
    <s v="TUMBA"/>
    <x v="0"/>
    <n v="24"/>
    <x v="1"/>
    <x v="54"/>
    <x v="86"/>
    <m/>
    <s v="2026"/>
    <x v="3"/>
    <s v="2026-08-13"/>
  </r>
  <r>
    <d v="2026-08-13T00:00:00"/>
    <s v="MATUBA"/>
    <s v="AMESEDU"/>
    <x v="0"/>
    <n v="11"/>
    <x v="12"/>
    <x v="55"/>
    <x v="78"/>
    <m/>
    <s v="2026"/>
    <x v="3"/>
    <s v="2026-08-13"/>
  </r>
  <r>
    <d v="2026-08-14T00:00:00"/>
    <s v="MPONGO"/>
    <s v="KOLONGO"/>
    <x v="0"/>
    <n v="35"/>
    <x v="1"/>
    <x v="2"/>
    <x v="36"/>
    <m/>
    <s v="2026"/>
    <x v="3"/>
    <s v="2026-08-14"/>
  </r>
  <r>
    <d v="2026-08-16T00:00:00"/>
    <s v="MULENDA"/>
    <s v="NDALAMBA"/>
    <x v="0"/>
    <n v="26"/>
    <x v="1"/>
    <x v="49"/>
    <x v="80"/>
    <m/>
    <s v="2026"/>
    <x v="3"/>
    <s v="2026-08-16"/>
  </r>
  <r>
    <d v="2026-08-23T00:00:00"/>
    <s v="BAYISA "/>
    <s v="BRAYAN"/>
    <x v="0"/>
    <s v="17 MOIS"/>
    <x v="0"/>
    <x v="7"/>
    <x v="87"/>
    <s v="CH LAMBA"/>
    <s v="2026"/>
    <x v="3"/>
    <s v="2026-08-23"/>
  </r>
  <r>
    <d v="2026-08-20T00:00:00"/>
    <s v="NZINGA"/>
    <s v="SOFIA"/>
    <x v="1"/>
    <n v="19"/>
    <x v="4"/>
    <x v="28"/>
    <x v="88"/>
    <s v="HJ LUKALA"/>
    <s v="2026"/>
    <x v="3"/>
    <s v="2026-08-20"/>
  </r>
  <r>
    <d v="2026-08-24T00:00:00"/>
    <s v="NGOYI"/>
    <s v="MUIKULU"/>
    <x v="0"/>
    <n v="51"/>
    <x v="1"/>
    <x v="2"/>
    <x v="48"/>
    <s v="CH LAMBA"/>
    <s v="2026"/>
    <x v="3"/>
    <s v="2026-08-24"/>
  </r>
  <r>
    <d v="2026-08-24T00:00:00"/>
    <s v="ILONDO"/>
    <s v="MICHAEL"/>
    <x v="0"/>
    <n v="4"/>
    <x v="0"/>
    <x v="7"/>
    <x v="89"/>
    <s v="CH LAMBA"/>
    <s v="2026"/>
    <x v="3"/>
    <s v="2026-08-24"/>
  </r>
  <r>
    <d v="2026-08-27T00:00:00"/>
    <s v="DINANDI"/>
    <s v="MVUMBI"/>
    <x v="0"/>
    <n v="50"/>
    <x v="1"/>
    <x v="49"/>
    <x v="90"/>
    <m/>
    <s v="2026"/>
    <x v="3"/>
    <s v="2026-08-27"/>
  </r>
  <r>
    <d v="2026-08-27T00:00:00"/>
    <s v="ATOU"/>
    <s v="ELY"/>
    <x v="0"/>
    <n v="29"/>
    <x v="20"/>
    <x v="56"/>
    <x v="91"/>
    <m/>
    <s v="2026"/>
    <x v="3"/>
    <s v="2026-08-27"/>
  </r>
  <r>
    <d v="2026-08-27T00:00:00"/>
    <s v="RONA"/>
    <s v="LUBAKI"/>
    <x v="0"/>
    <n v="28"/>
    <x v="20"/>
    <x v="56"/>
    <x v="91"/>
    <m/>
    <s v="2026"/>
    <x v="3"/>
    <s v="2026-08-27"/>
  </r>
  <r>
    <d v="2026-09-02T00:00:00"/>
    <s v="KADIMOYO"/>
    <s v="ILUNGA"/>
    <x v="0"/>
    <n v="35"/>
    <x v="1"/>
    <x v="2"/>
    <x v="36"/>
    <m/>
    <s v="2026"/>
    <x v="4"/>
    <s v="2026-09-02"/>
  </r>
  <r>
    <d v="2026-09-03T00:00:00"/>
    <s v="MBANGI"/>
    <s v="KALUSAKI"/>
    <x v="0"/>
    <n v="56"/>
    <x v="1"/>
    <x v="57"/>
    <x v="78"/>
    <m/>
    <s v="2026"/>
    <x v="4"/>
    <s v="2026-09-03"/>
  </r>
  <r>
    <d v="2026-09-07T00:00:00"/>
    <s v="MOLEKA"/>
    <s v="NYABONINGI"/>
    <x v="1"/>
    <n v="7"/>
    <x v="0"/>
    <x v="58"/>
    <x v="65"/>
    <s v="IME"/>
    <s v="2026"/>
    <x v="4"/>
    <s v="2026-09-07"/>
  </r>
  <r>
    <d v="2026-09-07T00:00:00"/>
    <s v="MOLEKA"/>
    <s v="NYABONINGI"/>
    <x v="1"/>
    <n v="7"/>
    <x v="0"/>
    <x v="59"/>
    <x v="65"/>
    <s v="IME"/>
    <s v="2026"/>
    <x v="4"/>
    <s v="2026-09-07"/>
  </r>
  <r>
    <d v="2026-09-07T00:00:00"/>
    <s v="KILONDO"/>
    <s v="YOLENG"/>
    <x v="0"/>
    <n v="32"/>
    <x v="1"/>
    <x v="60"/>
    <x v="78"/>
    <s v="OPHTALMOLOGI IME"/>
    <s v="2026"/>
    <x v="4"/>
    <s v="2026-09-07"/>
  </r>
  <r>
    <d v="2026-09-07T00:00:00"/>
    <s v="KILONDO"/>
    <s v="YOLENG"/>
    <x v="0"/>
    <n v="32"/>
    <x v="1"/>
    <x v="10"/>
    <x v="10"/>
    <s v="NON"/>
    <s v="2026"/>
    <x v="4"/>
    <s v="2026-09-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3" cacheId="9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U4:W21" firstHeaderRow="1" firstDataRow="1" firstDataCol="0"/>
  <pivotFields count="12">
    <pivotField numFmtId="14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9" cacheId="9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">
  <location ref="Q3:R5" firstHeaderRow="1" firstDataRow="1" firstDataCol="1"/>
  <pivotFields count="12">
    <pivotField numFmtId="14" showAll="0" defaultSubtotal="0"/>
    <pivotField showAll="0"/>
    <pivotField showAll="0"/>
    <pivotField showAll="0">
      <items count="4">
        <item x="1"/>
        <item h="1" x="0"/>
        <item h="1" m="1" x="2"/>
        <item t="default"/>
      </items>
    </pivotField>
    <pivotField showAll="0"/>
    <pivotField dataField="1" showAll="0">
      <items count="24">
        <item h="1" x="1"/>
        <item h="1" x="14"/>
        <item h="1" x="12"/>
        <item h="1" x="6"/>
        <item h="1" x="19"/>
        <item h="1" x="9"/>
        <item h="1" x="5"/>
        <item h="1" x="15"/>
        <item h="1" x="3"/>
        <item h="1" x="13"/>
        <item h="1" x="16"/>
        <item h="1" x="8"/>
        <item h="1" x="7"/>
        <item h="1" x="4"/>
        <item h="1" x="11"/>
        <item h="1" x="20"/>
        <item h="1" x="10"/>
        <item h="1" x="17"/>
        <item x="0"/>
        <item h="1" x="2"/>
        <item h="1" m="1" x="22"/>
        <item h="1" x="18"/>
        <item h="1" m="1" x="21"/>
        <item t="default"/>
      </items>
    </pivotField>
    <pivotField showAll="0">
      <items count="64">
        <item h="1" x="31"/>
        <item h="1" x="13"/>
        <item h="1" x="51"/>
        <item h="1" x="21"/>
        <item h="1" x="25"/>
        <item h="1" x="56"/>
        <item h="1" x="10"/>
        <item h="1" x="47"/>
        <item h="1" x="36"/>
        <item h="1" x="34"/>
        <item h="1" x="17"/>
        <item h="1" x="20"/>
        <item h="1" x="16"/>
        <item h="1" x="29"/>
        <item h="1" x="38"/>
        <item h="1" x="45"/>
        <item h="1" x="57"/>
        <item h="1" x="15"/>
        <item x="35"/>
        <item h="1" x="33"/>
        <item h="1" x="44"/>
        <item h="1" x="23"/>
        <item h="1" x="54"/>
        <item h="1" x="18"/>
        <item h="1" x="22"/>
        <item h="1" x="19"/>
        <item h="1" x="52"/>
        <item h="1" x="7"/>
        <item h="1" x="14"/>
        <item h="1" x="0"/>
        <item h="1" x="58"/>
        <item h="1" x="43"/>
        <item h="1" x="46"/>
        <item h="1" x="8"/>
        <item h="1" x="28"/>
        <item h="1" x="11"/>
        <item h="1" x="42"/>
        <item h="1" x="6"/>
        <item h="1" x="40"/>
        <item h="1" x="39"/>
        <item h="1" x="4"/>
        <item h="1" m="1" x="62"/>
        <item h="1" x="2"/>
        <item h="1" x="53"/>
        <item h="1" x="12"/>
        <item h="1" x="5"/>
        <item h="1" x="50"/>
        <item h="1" x="41"/>
        <item h="1" x="9"/>
        <item h="1" x="27"/>
        <item h="1" x="60"/>
        <item h="1" x="1"/>
        <item h="1" x="48"/>
        <item h="1" x="24"/>
        <item h="1" x="26"/>
        <item h="1" x="30"/>
        <item h="1" x="37"/>
        <item h="1" x="3"/>
        <item h="1" x="49"/>
        <item h="1" x="32"/>
        <item h="1" x="55"/>
        <item h="1" x="59"/>
        <item h="1" m="1" x="61"/>
        <item t="default"/>
      </items>
    </pivotField>
    <pivotField axis="axisRow" showAll="0">
      <items count="93">
        <item x="13"/>
        <item x="6"/>
        <item x="3"/>
        <item x="7"/>
        <item x="0"/>
        <item x="4"/>
        <item x="15"/>
        <item x="2"/>
        <item x="11"/>
        <item x="12"/>
        <item x="1"/>
        <item x="5"/>
        <item x="9"/>
        <item x="14"/>
        <item x="8"/>
        <item x="10"/>
        <item x="65"/>
        <item x="16"/>
        <item x="17"/>
        <item x="18"/>
        <item x="19"/>
        <item x="20"/>
        <item x="23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>
      <items count="6">
        <item h="1" x="0"/>
        <item h="1" x="1"/>
        <item x="2"/>
        <item h="1" x="3"/>
        <item h="1" x="4"/>
        <item t="default"/>
      </items>
    </pivotField>
    <pivotField showAll="0"/>
  </pivotFields>
  <rowFields count="1">
    <field x="7"/>
  </rowFields>
  <rowItems count="2">
    <i>
      <x v="60"/>
    </i>
    <i t="grand">
      <x/>
    </i>
  </rowItems>
  <colItems count="1">
    <i/>
  </colItems>
  <dataFields count="1">
    <dataField name="Count of TYPE DE MALADE" fld="5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8" cacheId="9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I3:J5" firstHeaderRow="1" firstDataRow="1" firstDataCol="1"/>
  <pivotFields count="12">
    <pivotField numFmtId="14" showAll="0" defaultSubtotal="0"/>
    <pivotField showAll="0"/>
    <pivotField showAll="0"/>
    <pivotField showAll="0">
      <items count="4">
        <item x="1"/>
        <item h="1" x="0"/>
        <item h="1" m="1" x="2"/>
        <item t="default"/>
      </items>
    </pivotField>
    <pivotField showAll="0"/>
    <pivotField dataField="1" showAll="0">
      <items count="24">
        <item h="1" x="1"/>
        <item h="1" x="14"/>
        <item h="1" x="12"/>
        <item h="1" x="6"/>
        <item h="1" x="19"/>
        <item h="1" x="9"/>
        <item h="1" x="5"/>
        <item h="1" x="15"/>
        <item h="1" x="3"/>
        <item h="1" x="13"/>
        <item h="1" x="16"/>
        <item h="1" x="8"/>
        <item h="1" x="7"/>
        <item h="1" x="4"/>
        <item h="1" x="11"/>
        <item h="1" x="20"/>
        <item h="1" x="10"/>
        <item h="1" x="17"/>
        <item x="0"/>
        <item h="1" x="2"/>
        <item h="1" m="1" x="22"/>
        <item h="1" x="18"/>
        <item h="1" m="1" x="21"/>
        <item t="default"/>
      </items>
    </pivotField>
    <pivotField axis="axisRow" showAll="0">
      <items count="64">
        <item h="1" x="13"/>
        <item h="1" x="10"/>
        <item h="1" x="7"/>
        <item h="1" x="14"/>
        <item h="1" x="0"/>
        <item h="1" x="8"/>
        <item h="1" x="11"/>
        <item h="1" x="6"/>
        <item h="1" x="4"/>
        <item h="1" m="1" x="62"/>
        <item h="1" x="2"/>
        <item h="1" x="12"/>
        <item h="1" x="5"/>
        <item h="1" x="9"/>
        <item h="1" x="1"/>
        <item h="1" x="3"/>
        <item h="1" m="1" x="61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t="default"/>
      </items>
    </pivotField>
    <pivotField showAll="0"/>
    <pivotField showAll="0"/>
    <pivotField showAll="0"/>
    <pivotField showAll="0">
      <items count="6">
        <item h="1" x="0"/>
        <item h="1" x="1"/>
        <item x="2"/>
        <item h="1" x="3"/>
        <item h="1" x="4"/>
        <item t="default"/>
      </items>
    </pivotField>
    <pivotField showAll="0"/>
  </pivotFields>
  <rowFields count="1">
    <field x="6"/>
  </rowFields>
  <rowItems count="2">
    <i>
      <x v="37"/>
    </i>
    <i t="grand">
      <x/>
    </i>
  </rowItems>
  <colItems count="1">
    <i/>
  </colItems>
  <dataFields count="1">
    <dataField name="Count of TYPE DE MALADE" fld="5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7" cacheId="9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4:B6" firstHeaderRow="1" firstDataRow="1" firstDataCol="1"/>
  <pivotFields count="12">
    <pivotField numFmtId="14" showAll="0" defaultSubtotal="0"/>
    <pivotField showAll="0"/>
    <pivotField showAll="0"/>
    <pivotField axis="axisRow" showAll="0">
      <items count="4">
        <item x="1"/>
        <item h="1" x="0"/>
        <item h="1" m="1" x="2"/>
        <item t="default"/>
      </items>
    </pivotField>
    <pivotField showAll="0"/>
    <pivotField dataField="1" showAll="0">
      <items count="24">
        <item h="1" x="1"/>
        <item h="1" x="14"/>
        <item h="1" x="12"/>
        <item h="1" x="6"/>
        <item h="1" x="19"/>
        <item h="1" x="9"/>
        <item h="1" x="5"/>
        <item h="1" x="15"/>
        <item h="1" x="3"/>
        <item h="1" x="13"/>
        <item h="1" x="16"/>
        <item h="1" x="8"/>
        <item h="1" x="7"/>
        <item h="1" x="4"/>
        <item h="1" x="11"/>
        <item h="1" x="20"/>
        <item h="1" x="10"/>
        <item h="1" x="17"/>
        <item x="0"/>
        <item h="1" x="2"/>
        <item h="1" m="1" x="22"/>
        <item h="1" x="18"/>
        <item h="1" m="1" x="21"/>
        <item t="default"/>
      </items>
    </pivotField>
    <pivotField showAll="0">
      <items count="64">
        <item h="1" x="31"/>
        <item h="1" x="13"/>
        <item h="1" x="51"/>
        <item h="1" x="21"/>
        <item h="1" x="25"/>
        <item h="1" x="56"/>
        <item h="1" x="10"/>
        <item h="1" x="47"/>
        <item h="1" x="36"/>
        <item h="1" x="34"/>
        <item h="1" x="17"/>
        <item h="1" x="20"/>
        <item h="1" x="16"/>
        <item h="1" x="29"/>
        <item h="1" x="38"/>
        <item h="1" x="45"/>
        <item h="1" x="57"/>
        <item h="1" x="15"/>
        <item x="35"/>
        <item h="1" x="33"/>
        <item h="1" x="44"/>
        <item h="1" x="23"/>
        <item h="1" x="54"/>
        <item h="1" x="18"/>
        <item h="1" x="22"/>
        <item h="1" x="19"/>
        <item h="1" x="52"/>
        <item h="1" x="7"/>
        <item h="1" x="14"/>
        <item h="1" x="0"/>
        <item h="1" x="58"/>
        <item h="1" x="43"/>
        <item h="1" x="46"/>
        <item h="1" x="8"/>
        <item h="1" x="28"/>
        <item h="1" x="11"/>
        <item h="1" x="42"/>
        <item h="1" x="6"/>
        <item h="1" x="40"/>
        <item h="1" x="39"/>
        <item h="1" x="4"/>
        <item h="1" m="1" x="62"/>
        <item h="1" x="2"/>
        <item h="1" x="53"/>
        <item h="1" x="12"/>
        <item h="1" x="5"/>
        <item h="1" x="50"/>
        <item h="1" x="41"/>
        <item h="1" x="9"/>
        <item h="1" x="27"/>
        <item h="1" x="60"/>
        <item h="1" x="1"/>
        <item h="1" x="48"/>
        <item h="1" x="24"/>
        <item h="1" x="26"/>
        <item h="1" x="30"/>
        <item h="1" x="37"/>
        <item h="1" x="3"/>
        <item h="1" x="49"/>
        <item h="1" x="32"/>
        <item h="1" x="55"/>
        <item h="1" x="59"/>
        <item h="1" m="1" x="61"/>
        <item t="default"/>
      </items>
    </pivotField>
    <pivotField showAll="0"/>
    <pivotField showAll="0"/>
    <pivotField showAll="0"/>
    <pivotField showAll="0">
      <items count="6">
        <item h="1" x="0"/>
        <item h="1" x="1"/>
        <item x="2"/>
        <item h="1" x="3"/>
        <item h="1" x="4"/>
        <item t="default"/>
      </items>
    </pivotField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Count of TYPE DE MALAD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THOLOGIE" xr10:uid="{00000000-0013-0000-FFFF-FFFF01000000}" sourceName="PATHOLOGIE">
  <pivotTables>
    <pivotTable tabId="6" name="PivotTable7"/>
    <pivotTable tabId="6" name="PivotTable8"/>
    <pivotTable tabId="6" name="PivotTable9"/>
  </pivotTables>
  <data>
    <tabular pivotCacheId="1">
      <items count="63">
        <i x="36"/>
        <i x="35" s="1"/>
        <i x="41"/>
        <i x="31" nd="1"/>
        <i x="13" nd="1"/>
        <i x="51" nd="1"/>
        <i x="21" nd="1"/>
        <i x="25" nd="1"/>
        <i x="56" nd="1"/>
        <i x="10" nd="1"/>
        <i x="47" nd="1"/>
        <i x="34" nd="1"/>
        <i x="17" nd="1"/>
        <i x="20" nd="1"/>
        <i x="16" nd="1"/>
        <i x="29" nd="1"/>
        <i x="38" nd="1"/>
        <i x="45" nd="1"/>
        <i x="57" nd="1"/>
        <i x="15" nd="1"/>
        <i x="33" nd="1"/>
        <i x="44" nd="1"/>
        <i x="23" nd="1"/>
        <i x="54" nd="1"/>
        <i x="18" nd="1"/>
        <i x="22" nd="1"/>
        <i x="19" nd="1"/>
        <i x="52" nd="1"/>
        <i x="7" nd="1"/>
        <i x="14" nd="1"/>
        <i x="0" nd="1"/>
        <i x="58" nd="1"/>
        <i x="43" nd="1"/>
        <i x="46" nd="1"/>
        <i x="8" nd="1"/>
        <i x="28" nd="1"/>
        <i x="11" nd="1"/>
        <i x="42" nd="1"/>
        <i x="6" nd="1"/>
        <i x="40" nd="1"/>
        <i x="39" nd="1"/>
        <i x="4" nd="1"/>
        <i x="62" nd="1"/>
        <i x="2" nd="1"/>
        <i x="53" nd="1"/>
        <i x="12" nd="1"/>
        <i x="5" nd="1"/>
        <i x="50" nd="1"/>
        <i x="9" nd="1"/>
        <i x="27" nd="1"/>
        <i x="60" nd="1"/>
        <i x="1" nd="1"/>
        <i x="48" nd="1"/>
        <i x="24" nd="1"/>
        <i x="26" nd="1"/>
        <i x="30" nd="1"/>
        <i x="37" nd="1"/>
        <i x="3" nd="1"/>
        <i x="49" nd="1"/>
        <i x="32" nd="1"/>
        <i x="55" nd="1"/>
        <i x="59" nd="1"/>
        <i x="6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YPE_DE_MALADE" xr10:uid="{00000000-0013-0000-FFFF-FFFF02000000}" sourceName="TYPE DE MALADE">
  <pivotTables>
    <pivotTable tabId="6" name="PivotTable7"/>
    <pivotTable tabId="6" name="PivotTable8"/>
    <pivotTable tabId="6" name="PivotTable9"/>
  </pivotTables>
  <data>
    <tabular pivotCacheId="1">
      <items count="23">
        <i x="0" s="1"/>
        <i x="1" nd="1"/>
        <i x="14" nd="1"/>
        <i x="12" nd="1"/>
        <i x="6" nd="1"/>
        <i x="19" nd="1"/>
        <i x="9" nd="1"/>
        <i x="5" nd="1"/>
        <i x="15" nd="1"/>
        <i x="3" nd="1"/>
        <i x="13" nd="1"/>
        <i x="16" nd="1"/>
        <i x="8" nd="1"/>
        <i x="7" nd="1"/>
        <i x="4" nd="1"/>
        <i x="11" nd="1"/>
        <i x="20" nd="1"/>
        <i x="10" nd="1"/>
        <i x="17" nd="1"/>
        <i x="2" nd="1"/>
        <i x="22" nd="1"/>
        <i x="18" nd="1"/>
        <i x="2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XE" xr10:uid="{00000000-0013-0000-FFFF-FFFF03000000}" sourceName="SEXE">
  <pivotTables>
    <pivotTable tabId="6" name="PivotTable7"/>
    <pivotTable tabId="6" name="PivotTable8"/>
    <pivotTable tabId="6" name="PivotTable9"/>
  </pivotTables>
  <data>
    <tabular pivotCacheId="1">
      <items count="3">
        <i x="1" s="1"/>
        <i x="0" nd="1"/>
        <i x="2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IS" xr10:uid="{00000000-0013-0000-FFFF-FFFF04000000}" sourceName="MOIS">
  <pivotTables>
    <pivotTable tabId="6" name="PivotTable7"/>
    <pivotTable tabId="6" name="PivotTable8"/>
    <pivotTable tabId="6" name="PivotTable9"/>
  </pivotTables>
  <data>
    <tabular pivotCacheId="1">
      <items count="5">
        <i x="2" s="1"/>
        <i x="0" nd="1"/>
        <i x="1" nd="1"/>
        <i x="3" nd="1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THOLOGIE" xr10:uid="{00000000-0014-0000-FFFF-FFFF01000000}" cache="Slicer_PATHOLOGIE" caption="PATHOLOGIE" style="SlicerStyleOther1" lockedPosition="1" rowHeight="241300"/>
  <slicer name="TYPE DE MALADE" xr10:uid="{00000000-0014-0000-FFFF-FFFF02000000}" cache="Slicer_TYPE_DE_MALADE" caption="TYPE DE MALADE" style="SlicerStyleOther1" lockedPosition="1" rowHeight="241300"/>
  <slicer name="SEXE" xr10:uid="{00000000-0014-0000-FFFF-FFFF03000000}" cache="Slicer_SEXE" caption="SEXE" columnCount="2" style="SlicerStyleOther1" lockedPosition="1" rowHeight="241300"/>
  <slicer name="MOIS" xr10:uid="{00000000-0014-0000-FFFF-FFFF04000000}" cache="Slicer_MOIS" caption="MOIS" style="SlicerStyleOther1" lockedPosition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25" displayName="Table25" ref="A1:L198" totalsRowShown="0">
  <autoFilter ref="A1:L198" xr:uid="{00000000-0009-0000-0100-000004000000}"/>
  <tableColumns count="12">
    <tableColumn id="15" xr3:uid="{00000000-0010-0000-0000-00000F000000}" name="Date" dataDxfId="8"/>
    <tableColumn id="3" xr3:uid="{00000000-0010-0000-0000-000003000000}" name="NOM" dataDxfId="7"/>
    <tableColumn id="10" xr3:uid="{00000000-0010-0000-0000-00000A000000}" name="POSTNOM" dataDxfId="6"/>
    <tableColumn id="4" xr3:uid="{00000000-0010-0000-0000-000004000000}" name="SEXE" dataDxfId="5"/>
    <tableColumn id="5" xr3:uid="{00000000-0010-0000-0000-000005000000}" name="AGE(Année)" dataDxfId="4"/>
    <tableColumn id="6" xr3:uid="{00000000-0010-0000-0000-000006000000}" name="TYPE DE MALADE" dataDxfId="3"/>
    <tableColumn id="7" xr3:uid="{00000000-0010-0000-0000-000007000000}" name="PATHOLOGIE" dataDxfId="2"/>
    <tableColumn id="8" xr3:uid="{00000000-0010-0000-0000-000008000000}" name="TRAITEMENT" dataDxfId="1"/>
    <tableColumn id="9" xr3:uid="{00000000-0010-0000-0000-000009000000}" name="REFERENCE" dataDxfId="0"/>
    <tableColumn id="16" xr3:uid="{00000000-0010-0000-0000-000010000000}" name="ANNEE">
      <calculatedColumnFormula>TEXT(A2,"yyyy")</calculatedColumnFormula>
    </tableColumn>
    <tableColumn id="17" xr3:uid="{00000000-0010-0000-0000-000011000000}" name="MOIS">
      <calculatedColumnFormula>TEXT(A2,"yyyy-mm")&amp;" "&amp;TEXT(A2,"mmmm")</calculatedColumnFormula>
    </tableColumn>
    <tableColumn id="18" xr3:uid="{00000000-0010-0000-0000-000012000000}" name="DATE2">
      <calculatedColumnFormula>TEXT(A2,"yyyy-mm-dd")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98"/>
  <sheetViews>
    <sheetView tabSelected="1" zoomScale="70" zoomScaleNormal="70" zoomScaleSheetLayoutView="55" workbookViewId="0">
      <selection activeCell="H15" sqref="H15"/>
    </sheetView>
  </sheetViews>
  <sheetFormatPr defaultColWidth="9" defaultRowHeight="14.5"/>
  <cols>
    <col min="1" max="1" width="17.1796875" style="12" bestFit="1" customWidth="1"/>
    <col min="2" max="2" width="24.26953125" style="13" customWidth="1"/>
    <col min="3" max="3" width="19.81640625" style="13" customWidth="1"/>
    <col min="4" max="4" width="9.7265625" style="13" customWidth="1"/>
    <col min="5" max="5" width="16.54296875" style="14" customWidth="1"/>
    <col min="6" max="6" width="30.453125" style="13" customWidth="1"/>
    <col min="7" max="7" width="49.54296875" style="13" customWidth="1"/>
    <col min="8" max="8" width="86.81640625" style="13" customWidth="1"/>
    <col min="9" max="9" width="34.26953125" style="13" customWidth="1"/>
    <col min="10" max="10" width="10.7265625" style="13" customWidth="1"/>
    <col min="11" max="11" width="18.453125" style="13" customWidth="1"/>
    <col min="12" max="12" width="14.7265625" style="13" customWidth="1"/>
  </cols>
  <sheetData>
    <row r="1" spans="1:12" ht="15.5">
      <c r="A1" s="15" t="s">
        <v>451</v>
      </c>
      <c r="B1" s="16" t="s">
        <v>0</v>
      </c>
      <c r="C1" s="16" t="s">
        <v>1</v>
      </c>
      <c r="D1" s="16" t="s">
        <v>2</v>
      </c>
      <c r="E1" s="17" t="s">
        <v>3</v>
      </c>
      <c r="F1" s="16" t="s">
        <v>4</v>
      </c>
      <c r="G1" s="16" t="s">
        <v>5</v>
      </c>
      <c r="H1" s="16" t="s">
        <v>6</v>
      </c>
      <c r="I1" s="18" t="s">
        <v>7</v>
      </c>
      <c r="J1" s="16" t="s">
        <v>449</v>
      </c>
      <c r="K1" s="16" t="s">
        <v>450</v>
      </c>
      <c r="L1" s="16" t="s">
        <v>452</v>
      </c>
    </row>
    <row r="2" spans="1:12" ht="21">
      <c r="A2" s="37">
        <v>46145</v>
      </c>
      <c r="B2" s="19" t="s">
        <v>8</v>
      </c>
      <c r="C2" s="19" t="s">
        <v>9</v>
      </c>
      <c r="D2" s="19" t="s">
        <v>10</v>
      </c>
      <c r="E2" s="20">
        <v>2</v>
      </c>
      <c r="F2" s="19" t="s">
        <v>11</v>
      </c>
      <c r="G2" s="19" t="s">
        <v>12</v>
      </c>
      <c r="H2" s="19" t="s">
        <v>13</v>
      </c>
      <c r="I2" s="21" t="s">
        <v>14</v>
      </c>
      <c r="J2" s="22" t="str">
        <f t="shared" ref="J2:J33" si="0">TEXT(A2,"yyyy")</f>
        <v>2026</v>
      </c>
      <c r="K2" s="22" t="str">
        <f t="shared" ref="K2:K33" si="1">TEXT(A2,"yyyy-mm")&amp;" "&amp;TEXT(A2,"mmmm")</f>
        <v>2026-05 mai</v>
      </c>
      <c r="L2" s="22" t="str">
        <f t="shared" ref="L2:L33" si="2">TEXT(A2,"yyyy-mm-dd")</f>
        <v>2026-05-03</v>
      </c>
    </row>
    <row r="3" spans="1:12" ht="21">
      <c r="A3" s="38">
        <v>46146</v>
      </c>
      <c r="B3" s="22" t="s">
        <v>15</v>
      </c>
      <c r="C3" s="22" t="s">
        <v>16</v>
      </c>
      <c r="D3" s="22" t="s">
        <v>10</v>
      </c>
      <c r="E3" s="23">
        <v>32</v>
      </c>
      <c r="F3" s="22" t="s">
        <v>17</v>
      </c>
      <c r="G3" s="22" t="s">
        <v>12</v>
      </c>
      <c r="H3" s="22" t="s">
        <v>13</v>
      </c>
      <c r="I3" s="24" t="s">
        <v>14</v>
      </c>
      <c r="J3" s="22" t="str">
        <f t="shared" si="0"/>
        <v>2026</v>
      </c>
      <c r="K3" s="22" t="str">
        <f t="shared" si="1"/>
        <v>2026-05 mai</v>
      </c>
      <c r="L3" s="22" t="str">
        <f t="shared" si="2"/>
        <v>2026-05-04</v>
      </c>
    </row>
    <row r="4" spans="1:12" ht="21">
      <c r="A4" s="38">
        <v>46146</v>
      </c>
      <c r="B4" s="22" t="s">
        <v>18</v>
      </c>
      <c r="C4" s="22" t="s">
        <v>19</v>
      </c>
      <c r="D4" s="22" t="s">
        <v>20</v>
      </c>
      <c r="E4" s="23">
        <v>1.75</v>
      </c>
      <c r="F4" s="22" t="s">
        <v>11</v>
      </c>
      <c r="G4" s="22" t="s">
        <v>21</v>
      </c>
      <c r="H4" s="22" t="s">
        <v>22</v>
      </c>
      <c r="I4" s="24" t="s">
        <v>14</v>
      </c>
      <c r="J4" s="22" t="str">
        <f t="shared" si="0"/>
        <v>2026</v>
      </c>
      <c r="K4" s="22" t="str">
        <f t="shared" si="1"/>
        <v>2026-05 mai</v>
      </c>
      <c r="L4" s="22" t="str">
        <f t="shared" si="2"/>
        <v>2026-05-04</v>
      </c>
    </row>
    <row r="5" spans="1:12" ht="21">
      <c r="A5" s="38">
        <v>46147</v>
      </c>
      <c r="B5" s="22" t="s">
        <v>23</v>
      </c>
      <c r="C5" s="22" t="s">
        <v>24</v>
      </c>
      <c r="D5" s="22" t="s">
        <v>20</v>
      </c>
      <c r="E5" s="23">
        <v>32</v>
      </c>
      <c r="F5" s="22" t="s">
        <v>25</v>
      </c>
      <c r="G5" s="22" t="s">
        <v>26</v>
      </c>
      <c r="H5" s="22" t="s">
        <v>27</v>
      </c>
      <c r="I5" s="24" t="s">
        <v>14</v>
      </c>
      <c r="J5" s="22" t="str">
        <f t="shared" si="0"/>
        <v>2026</v>
      </c>
      <c r="K5" s="22" t="str">
        <f t="shared" si="1"/>
        <v>2026-05 mai</v>
      </c>
      <c r="L5" s="22" t="str">
        <f t="shared" si="2"/>
        <v>2026-05-05</v>
      </c>
    </row>
    <row r="6" spans="1:12" ht="21">
      <c r="A6" s="38">
        <v>46148</v>
      </c>
      <c r="B6" s="22" t="s">
        <v>28</v>
      </c>
      <c r="C6" s="22" t="s">
        <v>29</v>
      </c>
      <c r="D6" s="22" t="s">
        <v>10</v>
      </c>
      <c r="E6" s="23">
        <v>37</v>
      </c>
      <c r="F6" s="22" t="s">
        <v>17</v>
      </c>
      <c r="G6" s="22" t="s">
        <v>30</v>
      </c>
      <c r="H6" s="22" t="s">
        <v>31</v>
      </c>
      <c r="I6" s="24" t="s">
        <v>14</v>
      </c>
      <c r="J6" s="22" t="str">
        <f t="shared" si="0"/>
        <v>2026</v>
      </c>
      <c r="K6" s="22" t="str">
        <f t="shared" si="1"/>
        <v>2026-05 mai</v>
      </c>
      <c r="L6" s="22" t="str">
        <f t="shared" si="2"/>
        <v>2026-05-06</v>
      </c>
    </row>
    <row r="7" spans="1:12" ht="21">
      <c r="A7" s="38">
        <v>46150</v>
      </c>
      <c r="B7" s="22" t="s">
        <v>32</v>
      </c>
      <c r="C7" s="22" t="s">
        <v>33</v>
      </c>
      <c r="D7" s="22" t="s">
        <v>10</v>
      </c>
      <c r="E7" s="23">
        <v>9</v>
      </c>
      <c r="F7" s="22" t="s">
        <v>11</v>
      </c>
      <c r="G7" s="22" t="s">
        <v>26</v>
      </c>
      <c r="H7" s="22" t="s">
        <v>27</v>
      </c>
      <c r="I7" s="24" t="s">
        <v>14</v>
      </c>
      <c r="J7" s="22" t="str">
        <f t="shared" si="0"/>
        <v>2026</v>
      </c>
      <c r="K7" s="22" t="str">
        <f t="shared" si="1"/>
        <v>2026-05 mai</v>
      </c>
      <c r="L7" s="22" t="str">
        <f t="shared" si="2"/>
        <v>2026-05-08</v>
      </c>
    </row>
    <row r="8" spans="1:12" ht="21">
      <c r="A8" s="38">
        <v>46151</v>
      </c>
      <c r="B8" s="22" t="s">
        <v>34</v>
      </c>
      <c r="C8" s="22" t="s">
        <v>35</v>
      </c>
      <c r="D8" s="22" t="s">
        <v>20</v>
      </c>
      <c r="E8" s="23">
        <v>6</v>
      </c>
      <c r="F8" s="22" t="s">
        <v>11</v>
      </c>
      <c r="G8" s="22" t="s">
        <v>26</v>
      </c>
      <c r="H8" s="22" t="s">
        <v>27</v>
      </c>
      <c r="I8" s="24" t="s">
        <v>14</v>
      </c>
      <c r="J8" s="22" t="str">
        <f t="shared" si="0"/>
        <v>2026</v>
      </c>
      <c r="K8" s="22" t="str">
        <f t="shared" si="1"/>
        <v>2026-05 mai</v>
      </c>
      <c r="L8" s="22" t="str">
        <f t="shared" si="2"/>
        <v>2026-05-09</v>
      </c>
    </row>
    <row r="9" spans="1:12" ht="21">
      <c r="A9" s="38">
        <v>46151</v>
      </c>
      <c r="B9" s="22" t="s">
        <v>36</v>
      </c>
      <c r="C9" s="22" t="s">
        <v>37</v>
      </c>
      <c r="D9" s="22" t="s">
        <v>10</v>
      </c>
      <c r="E9" s="23">
        <v>2</v>
      </c>
      <c r="F9" s="22" t="s">
        <v>11</v>
      </c>
      <c r="G9" s="22" t="s">
        <v>26</v>
      </c>
      <c r="H9" s="22" t="s">
        <v>27</v>
      </c>
      <c r="I9" s="24" t="s">
        <v>14</v>
      </c>
      <c r="J9" s="22" t="str">
        <f t="shared" si="0"/>
        <v>2026</v>
      </c>
      <c r="K9" s="22" t="str">
        <f t="shared" si="1"/>
        <v>2026-05 mai</v>
      </c>
      <c r="L9" s="22" t="str">
        <f t="shared" si="2"/>
        <v>2026-05-09</v>
      </c>
    </row>
    <row r="10" spans="1:12" ht="21">
      <c r="A10" s="38">
        <v>46153</v>
      </c>
      <c r="B10" s="22" t="s">
        <v>38</v>
      </c>
      <c r="C10" s="22" t="s">
        <v>39</v>
      </c>
      <c r="D10" s="22" t="s">
        <v>20</v>
      </c>
      <c r="E10" s="23">
        <v>4</v>
      </c>
      <c r="F10" s="22" t="s">
        <v>11</v>
      </c>
      <c r="G10" s="22" t="s">
        <v>26</v>
      </c>
      <c r="H10" s="22" t="s">
        <v>27</v>
      </c>
      <c r="I10" s="24" t="s">
        <v>14</v>
      </c>
      <c r="J10" s="22" t="str">
        <f t="shared" si="0"/>
        <v>2026</v>
      </c>
      <c r="K10" s="22" t="str">
        <f t="shared" si="1"/>
        <v>2026-05 mai</v>
      </c>
      <c r="L10" s="22" t="str">
        <f t="shared" si="2"/>
        <v>2026-05-11</v>
      </c>
    </row>
    <row r="11" spans="1:12" ht="21">
      <c r="A11" s="38">
        <v>46154</v>
      </c>
      <c r="B11" s="22" t="s">
        <v>40</v>
      </c>
      <c r="C11" s="22" t="s">
        <v>41</v>
      </c>
      <c r="D11" s="22" t="s">
        <v>20</v>
      </c>
      <c r="E11" s="23">
        <v>16</v>
      </c>
      <c r="F11" s="22" t="s">
        <v>11</v>
      </c>
      <c r="G11" s="22" t="s">
        <v>26</v>
      </c>
      <c r="H11" s="22" t="s">
        <v>27</v>
      </c>
      <c r="I11" s="24" t="s">
        <v>14</v>
      </c>
      <c r="J11" s="22" t="str">
        <f t="shared" si="0"/>
        <v>2026</v>
      </c>
      <c r="K11" s="22" t="str">
        <f t="shared" si="1"/>
        <v>2026-05 mai</v>
      </c>
      <c r="L11" s="22" t="str">
        <f t="shared" si="2"/>
        <v>2026-05-12</v>
      </c>
    </row>
    <row r="12" spans="1:12" ht="21">
      <c r="A12" s="38">
        <v>46154</v>
      </c>
      <c r="B12" s="22" t="s">
        <v>42</v>
      </c>
      <c r="C12" s="22" t="s">
        <v>43</v>
      </c>
      <c r="D12" s="22" t="s">
        <v>10</v>
      </c>
      <c r="E12" s="23">
        <v>5</v>
      </c>
      <c r="F12" s="22" t="s">
        <v>11</v>
      </c>
      <c r="G12" s="22" t="s">
        <v>44</v>
      </c>
      <c r="H12" s="22" t="s">
        <v>45</v>
      </c>
      <c r="I12" s="24" t="s">
        <v>14</v>
      </c>
      <c r="J12" s="22" t="str">
        <f t="shared" si="0"/>
        <v>2026</v>
      </c>
      <c r="K12" s="22" t="str">
        <f t="shared" si="1"/>
        <v>2026-05 mai</v>
      </c>
      <c r="L12" s="22" t="str">
        <f t="shared" si="2"/>
        <v>2026-05-12</v>
      </c>
    </row>
    <row r="13" spans="1:12" ht="21">
      <c r="A13" s="38">
        <v>46155</v>
      </c>
      <c r="B13" s="22" t="s">
        <v>46</v>
      </c>
      <c r="C13" s="22" t="s">
        <v>46</v>
      </c>
      <c r="D13" s="22" t="s">
        <v>10</v>
      </c>
      <c r="E13" s="23">
        <v>63</v>
      </c>
      <c r="F13" s="22" t="s">
        <v>17</v>
      </c>
      <c r="G13" s="22" t="s">
        <v>26</v>
      </c>
      <c r="H13" s="22" t="s">
        <v>27</v>
      </c>
      <c r="I13" s="24" t="s">
        <v>14</v>
      </c>
      <c r="J13" s="22" t="str">
        <f t="shared" si="0"/>
        <v>2026</v>
      </c>
      <c r="K13" s="22" t="str">
        <f t="shared" si="1"/>
        <v>2026-05 mai</v>
      </c>
      <c r="L13" s="22" t="str">
        <f t="shared" si="2"/>
        <v>2026-05-13</v>
      </c>
    </row>
    <row r="14" spans="1:12" ht="21">
      <c r="A14" s="38">
        <v>46155</v>
      </c>
      <c r="B14" s="22" t="s">
        <v>47</v>
      </c>
      <c r="C14" s="22" t="s">
        <v>48</v>
      </c>
      <c r="D14" s="22" t="s">
        <v>20</v>
      </c>
      <c r="E14" s="23">
        <v>40</v>
      </c>
      <c r="F14" s="22" t="s">
        <v>25</v>
      </c>
      <c r="G14" s="22" t="s">
        <v>12</v>
      </c>
      <c r="H14" s="22" t="s">
        <v>13</v>
      </c>
      <c r="I14" s="24" t="s">
        <v>14</v>
      </c>
      <c r="J14" s="22" t="str">
        <f t="shared" si="0"/>
        <v>2026</v>
      </c>
      <c r="K14" s="22" t="str">
        <f t="shared" si="1"/>
        <v>2026-05 mai</v>
      </c>
      <c r="L14" s="22" t="str">
        <f t="shared" si="2"/>
        <v>2026-05-13</v>
      </c>
    </row>
    <row r="15" spans="1:12" ht="21">
      <c r="A15" s="38">
        <v>46155</v>
      </c>
      <c r="B15" s="22" t="s">
        <v>49</v>
      </c>
      <c r="C15" s="22" t="s">
        <v>50</v>
      </c>
      <c r="D15" s="22" t="s">
        <v>10</v>
      </c>
      <c r="E15" s="23">
        <v>35</v>
      </c>
      <c r="F15" s="22" t="s">
        <v>17</v>
      </c>
      <c r="G15" s="22" t="s">
        <v>21</v>
      </c>
      <c r="H15" s="22" t="s">
        <v>51</v>
      </c>
      <c r="I15" s="24" t="s">
        <v>14</v>
      </c>
      <c r="J15" s="22" t="str">
        <f t="shared" si="0"/>
        <v>2026</v>
      </c>
      <c r="K15" s="22" t="str">
        <f t="shared" si="1"/>
        <v>2026-05 mai</v>
      </c>
      <c r="L15" s="22" t="str">
        <f t="shared" si="2"/>
        <v>2026-05-13</v>
      </c>
    </row>
    <row r="16" spans="1:12" ht="21">
      <c r="A16" s="38">
        <v>46155</v>
      </c>
      <c r="B16" s="22" t="s">
        <v>52</v>
      </c>
      <c r="C16" s="22" t="s">
        <v>53</v>
      </c>
      <c r="D16" s="22" t="s">
        <v>20</v>
      </c>
      <c r="E16" s="23">
        <v>5</v>
      </c>
      <c r="F16" s="22" t="s">
        <v>11</v>
      </c>
      <c r="G16" s="22" t="s">
        <v>54</v>
      </c>
      <c r="H16" s="22" t="s">
        <v>55</v>
      </c>
      <c r="I16" s="24" t="s">
        <v>14</v>
      </c>
      <c r="J16" s="22" t="str">
        <f t="shared" si="0"/>
        <v>2026</v>
      </c>
      <c r="K16" s="22" t="str">
        <f t="shared" si="1"/>
        <v>2026-05 mai</v>
      </c>
      <c r="L16" s="22" t="str">
        <f t="shared" si="2"/>
        <v>2026-05-13</v>
      </c>
    </row>
    <row r="17" spans="1:12" ht="21">
      <c r="A17" s="38">
        <v>46158</v>
      </c>
      <c r="B17" s="22" t="s">
        <v>56</v>
      </c>
      <c r="C17" s="22" t="s">
        <v>57</v>
      </c>
      <c r="D17" s="22" t="s">
        <v>10</v>
      </c>
      <c r="E17" s="23">
        <v>56</v>
      </c>
      <c r="F17" s="22" t="s">
        <v>17</v>
      </c>
      <c r="G17" s="22" t="s">
        <v>58</v>
      </c>
      <c r="H17" s="22" t="s">
        <v>45</v>
      </c>
      <c r="I17" s="24" t="s">
        <v>14</v>
      </c>
      <c r="J17" s="22" t="str">
        <f t="shared" si="0"/>
        <v>2026</v>
      </c>
      <c r="K17" s="22" t="str">
        <f t="shared" si="1"/>
        <v>2026-05 mai</v>
      </c>
      <c r="L17" s="22" t="str">
        <f t="shared" si="2"/>
        <v>2026-05-16</v>
      </c>
    </row>
    <row r="18" spans="1:12" ht="21">
      <c r="A18" s="38">
        <v>46159</v>
      </c>
      <c r="B18" s="22" t="s">
        <v>59</v>
      </c>
      <c r="C18" s="22" t="s">
        <v>60</v>
      </c>
      <c r="D18" s="22" t="s">
        <v>10</v>
      </c>
      <c r="E18" s="23">
        <v>48</v>
      </c>
      <c r="F18" s="22" t="s">
        <v>17</v>
      </c>
      <c r="G18" s="22" t="s">
        <v>26</v>
      </c>
      <c r="H18" s="22" t="s">
        <v>27</v>
      </c>
      <c r="I18" s="24" t="s">
        <v>14</v>
      </c>
      <c r="J18" s="22" t="str">
        <f t="shared" si="0"/>
        <v>2026</v>
      </c>
      <c r="K18" s="22" t="str">
        <f t="shared" si="1"/>
        <v>2026-05 mai</v>
      </c>
      <c r="L18" s="22" t="str">
        <f t="shared" si="2"/>
        <v>2026-05-17</v>
      </c>
    </row>
    <row r="19" spans="1:12" ht="21">
      <c r="A19" s="38">
        <v>46159</v>
      </c>
      <c r="B19" s="22" t="s">
        <v>61</v>
      </c>
      <c r="C19" s="22" t="s">
        <v>62</v>
      </c>
      <c r="D19" s="22" t="s">
        <v>20</v>
      </c>
      <c r="E19" s="23">
        <v>40</v>
      </c>
      <c r="F19" s="22" t="s">
        <v>25</v>
      </c>
      <c r="G19" s="22" t="s">
        <v>63</v>
      </c>
      <c r="H19" s="22" t="s">
        <v>64</v>
      </c>
      <c r="I19" s="24" t="s">
        <v>14</v>
      </c>
      <c r="J19" s="22" t="str">
        <f t="shared" si="0"/>
        <v>2026</v>
      </c>
      <c r="K19" s="22" t="str">
        <f t="shared" si="1"/>
        <v>2026-05 mai</v>
      </c>
      <c r="L19" s="22" t="str">
        <f t="shared" si="2"/>
        <v>2026-05-17</v>
      </c>
    </row>
    <row r="20" spans="1:12" ht="21">
      <c r="A20" s="38">
        <v>46160</v>
      </c>
      <c r="B20" s="22" t="s">
        <v>65</v>
      </c>
      <c r="C20" s="22" t="s">
        <v>66</v>
      </c>
      <c r="D20" s="22" t="s">
        <v>10</v>
      </c>
      <c r="E20" s="23">
        <v>43</v>
      </c>
      <c r="F20" s="22" t="s">
        <v>17</v>
      </c>
      <c r="G20" s="22" t="s">
        <v>26</v>
      </c>
      <c r="H20" s="22" t="s">
        <v>27</v>
      </c>
      <c r="I20" s="24" t="s">
        <v>14</v>
      </c>
      <c r="J20" s="22" t="str">
        <f t="shared" si="0"/>
        <v>2026</v>
      </c>
      <c r="K20" s="22" t="str">
        <f t="shared" si="1"/>
        <v>2026-05 mai</v>
      </c>
      <c r="L20" s="22" t="str">
        <f t="shared" si="2"/>
        <v>2026-05-18</v>
      </c>
    </row>
    <row r="21" spans="1:12" ht="21">
      <c r="A21" s="38">
        <v>46160</v>
      </c>
      <c r="B21" s="22" t="s">
        <v>67</v>
      </c>
      <c r="C21" s="22" t="s">
        <v>68</v>
      </c>
      <c r="D21" s="22" t="s">
        <v>10</v>
      </c>
      <c r="E21" s="23">
        <v>33</v>
      </c>
      <c r="F21" s="22" t="s">
        <v>17</v>
      </c>
      <c r="G21" s="22" t="s">
        <v>26</v>
      </c>
      <c r="H21" s="22" t="s">
        <v>27</v>
      </c>
      <c r="I21" s="24" t="s">
        <v>14</v>
      </c>
      <c r="J21" s="22" t="str">
        <f t="shared" si="0"/>
        <v>2026</v>
      </c>
      <c r="K21" s="22" t="str">
        <f t="shared" si="1"/>
        <v>2026-05 mai</v>
      </c>
      <c r="L21" s="22" t="str">
        <f t="shared" si="2"/>
        <v>2026-05-18</v>
      </c>
    </row>
    <row r="22" spans="1:12" ht="21">
      <c r="A22" s="38">
        <v>46160</v>
      </c>
      <c r="B22" s="22" t="s">
        <v>69</v>
      </c>
      <c r="C22" s="22" t="s">
        <v>70</v>
      </c>
      <c r="D22" s="22" t="s">
        <v>20</v>
      </c>
      <c r="E22" s="23">
        <v>39</v>
      </c>
      <c r="F22" s="22" t="s">
        <v>25</v>
      </c>
      <c r="G22" s="22" t="s">
        <v>26</v>
      </c>
      <c r="H22" s="22" t="s">
        <v>27</v>
      </c>
      <c r="I22" s="24" t="s">
        <v>14</v>
      </c>
      <c r="J22" s="22" t="str">
        <f t="shared" si="0"/>
        <v>2026</v>
      </c>
      <c r="K22" s="22" t="str">
        <f t="shared" si="1"/>
        <v>2026-05 mai</v>
      </c>
      <c r="L22" s="22" t="str">
        <f t="shared" si="2"/>
        <v>2026-05-18</v>
      </c>
    </row>
    <row r="23" spans="1:12" ht="21">
      <c r="A23" s="38">
        <v>46161</v>
      </c>
      <c r="B23" s="22" t="s">
        <v>71</v>
      </c>
      <c r="C23" s="22" t="s">
        <v>72</v>
      </c>
      <c r="D23" s="22" t="s">
        <v>10</v>
      </c>
      <c r="E23" s="23">
        <v>43</v>
      </c>
      <c r="F23" s="22" t="s">
        <v>73</v>
      </c>
      <c r="G23" s="22" t="s">
        <v>26</v>
      </c>
      <c r="H23" s="22" t="s">
        <v>27</v>
      </c>
      <c r="I23" s="24" t="s">
        <v>14</v>
      </c>
      <c r="J23" s="22" t="str">
        <f t="shared" si="0"/>
        <v>2026</v>
      </c>
      <c r="K23" s="22" t="str">
        <f t="shared" si="1"/>
        <v>2026-05 mai</v>
      </c>
      <c r="L23" s="22" t="str">
        <f t="shared" si="2"/>
        <v>2026-05-19</v>
      </c>
    </row>
    <row r="24" spans="1:12" ht="21">
      <c r="A24" s="38">
        <v>46161</v>
      </c>
      <c r="B24" s="22" t="s">
        <v>71</v>
      </c>
      <c r="C24" s="22" t="s">
        <v>72</v>
      </c>
      <c r="D24" s="22" t="s">
        <v>10</v>
      </c>
      <c r="E24" s="23">
        <v>43</v>
      </c>
      <c r="F24" s="22" t="s">
        <v>73</v>
      </c>
      <c r="G24" s="22" t="s">
        <v>74</v>
      </c>
      <c r="H24" s="22" t="s">
        <v>75</v>
      </c>
      <c r="I24" s="24" t="s">
        <v>76</v>
      </c>
      <c r="J24" s="22" t="str">
        <f t="shared" si="0"/>
        <v>2026</v>
      </c>
      <c r="K24" s="22" t="str">
        <f t="shared" si="1"/>
        <v>2026-05 mai</v>
      </c>
      <c r="L24" s="22" t="str">
        <f t="shared" si="2"/>
        <v>2026-05-19</v>
      </c>
    </row>
    <row r="25" spans="1:12" ht="21">
      <c r="A25" s="38">
        <v>46161</v>
      </c>
      <c r="B25" s="22" t="s">
        <v>77</v>
      </c>
      <c r="C25" s="22" t="s">
        <v>78</v>
      </c>
      <c r="D25" s="22" t="s">
        <v>20</v>
      </c>
      <c r="E25" s="23">
        <v>38</v>
      </c>
      <c r="F25" s="22" t="s">
        <v>25</v>
      </c>
      <c r="G25" s="22" t="s">
        <v>12</v>
      </c>
      <c r="H25" s="22" t="s">
        <v>13</v>
      </c>
      <c r="I25" s="24" t="s">
        <v>14</v>
      </c>
      <c r="J25" s="22" t="str">
        <f t="shared" si="0"/>
        <v>2026</v>
      </c>
      <c r="K25" s="22" t="str">
        <f t="shared" si="1"/>
        <v>2026-05 mai</v>
      </c>
      <c r="L25" s="22" t="str">
        <f t="shared" si="2"/>
        <v>2026-05-19</v>
      </c>
    </row>
    <row r="26" spans="1:12" ht="21">
      <c r="A26" s="38">
        <v>46161</v>
      </c>
      <c r="B26" s="22" t="s">
        <v>40</v>
      </c>
      <c r="C26" s="22" t="s">
        <v>79</v>
      </c>
      <c r="D26" s="22" t="s">
        <v>20</v>
      </c>
      <c r="E26" s="23">
        <v>3</v>
      </c>
      <c r="F26" s="22" t="s">
        <v>11</v>
      </c>
      <c r="G26" s="22" t="s">
        <v>12</v>
      </c>
      <c r="H26" s="22" t="s">
        <v>13</v>
      </c>
      <c r="I26" s="24" t="s">
        <v>14</v>
      </c>
      <c r="J26" s="22" t="str">
        <f t="shared" si="0"/>
        <v>2026</v>
      </c>
      <c r="K26" s="22" t="str">
        <f t="shared" si="1"/>
        <v>2026-05 mai</v>
      </c>
      <c r="L26" s="22" t="str">
        <f t="shared" si="2"/>
        <v>2026-05-19</v>
      </c>
    </row>
    <row r="27" spans="1:12" ht="21">
      <c r="A27" s="38">
        <v>46161</v>
      </c>
      <c r="B27" s="22" t="s">
        <v>80</v>
      </c>
      <c r="C27" s="22" t="s">
        <v>80</v>
      </c>
      <c r="D27" s="22" t="s">
        <v>10</v>
      </c>
      <c r="E27" s="23">
        <v>32</v>
      </c>
      <c r="F27" s="22" t="s">
        <v>81</v>
      </c>
      <c r="G27" s="22" t="s">
        <v>82</v>
      </c>
      <c r="H27" s="22" t="s">
        <v>83</v>
      </c>
      <c r="I27" s="24" t="s">
        <v>76</v>
      </c>
      <c r="J27" s="22" t="str">
        <f t="shared" si="0"/>
        <v>2026</v>
      </c>
      <c r="K27" s="22" t="str">
        <f t="shared" si="1"/>
        <v>2026-05 mai</v>
      </c>
      <c r="L27" s="22" t="str">
        <f t="shared" si="2"/>
        <v>2026-05-19</v>
      </c>
    </row>
    <row r="28" spans="1:12" ht="21">
      <c r="A28" s="38">
        <v>46163</v>
      </c>
      <c r="B28" s="22" t="s">
        <v>84</v>
      </c>
      <c r="C28" s="22" t="s">
        <v>84</v>
      </c>
      <c r="D28" s="22" t="s">
        <v>10</v>
      </c>
      <c r="E28" s="23">
        <v>39</v>
      </c>
      <c r="F28" s="22" t="s">
        <v>17</v>
      </c>
      <c r="G28" s="22" t="s">
        <v>26</v>
      </c>
      <c r="H28" s="22" t="s">
        <v>27</v>
      </c>
      <c r="I28" s="24" t="s">
        <v>14</v>
      </c>
      <c r="J28" s="22" t="str">
        <f t="shared" si="0"/>
        <v>2026</v>
      </c>
      <c r="K28" s="22" t="str">
        <f t="shared" si="1"/>
        <v>2026-05 mai</v>
      </c>
      <c r="L28" s="22" t="str">
        <f t="shared" si="2"/>
        <v>2026-05-21</v>
      </c>
    </row>
    <row r="29" spans="1:12" ht="21">
      <c r="A29" s="38">
        <v>46163</v>
      </c>
      <c r="B29" s="22" t="s">
        <v>85</v>
      </c>
      <c r="C29" s="22" t="s">
        <v>85</v>
      </c>
      <c r="D29" s="22" t="s">
        <v>10</v>
      </c>
      <c r="E29" s="23">
        <v>45</v>
      </c>
      <c r="F29" s="22" t="s">
        <v>17</v>
      </c>
      <c r="G29" s="22" t="s">
        <v>30</v>
      </c>
      <c r="H29" s="22" t="s">
        <v>31</v>
      </c>
      <c r="I29" s="24" t="s">
        <v>14</v>
      </c>
      <c r="J29" s="22" t="str">
        <f t="shared" si="0"/>
        <v>2026</v>
      </c>
      <c r="K29" s="22" t="str">
        <f t="shared" si="1"/>
        <v>2026-05 mai</v>
      </c>
      <c r="L29" s="22" t="str">
        <f t="shared" si="2"/>
        <v>2026-05-21</v>
      </c>
    </row>
    <row r="30" spans="1:12" ht="21">
      <c r="A30" s="38">
        <v>46163</v>
      </c>
      <c r="B30" s="22" t="s">
        <v>86</v>
      </c>
      <c r="C30" s="22" t="s">
        <v>86</v>
      </c>
      <c r="D30" s="22" t="s">
        <v>10</v>
      </c>
      <c r="E30" s="23">
        <v>40</v>
      </c>
      <c r="F30" s="22" t="s">
        <v>17</v>
      </c>
      <c r="G30" s="22" t="s">
        <v>87</v>
      </c>
      <c r="H30" s="22" t="s">
        <v>88</v>
      </c>
      <c r="I30" s="24" t="s">
        <v>14</v>
      </c>
      <c r="J30" s="22" t="str">
        <f t="shared" si="0"/>
        <v>2026</v>
      </c>
      <c r="K30" s="22" t="str">
        <f t="shared" si="1"/>
        <v>2026-05 mai</v>
      </c>
      <c r="L30" s="22" t="str">
        <f t="shared" si="2"/>
        <v>2026-05-21</v>
      </c>
    </row>
    <row r="31" spans="1:12" ht="21">
      <c r="A31" s="38">
        <v>46163</v>
      </c>
      <c r="B31" s="22" t="s">
        <v>86</v>
      </c>
      <c r="C31" s="22" t="s">
        <v>86</v>
      </c>
      <c r="D31" s="22" t="s">
        <v>10</v>
      </c>
      <c r="E31" s="23">
        <v>40</v>
      </c>
      <c r="F31" s="22" t="s">
        <v>17</v>
      </c>
      <c r="G31" s="22" t="s">
        <v>21</v>
      </c>
      <c r="H31" s="22" t="s">
        <v>22</v>
      </c>
      <c r="I31" s="24" t="s">
        <v>14</v>
      </c>
      <c r="J31" s="22" t="str">
        <f t="shared" si="0"/>
        <v>2026</v>
      </c>
      <c r="K31" s="22" t="str">
        <f t="shared" si="1"/>
        <v>2026-05 mai</v>
      </c>
      <c r="L31" s="22" t="str">
        <f t="shared" si="2"/>
        <v>2026-05-21</v>
      </c>
    </row>
    <row r="32" spans="1:12" ht="21">
      <c r="A32" s="38">
        <v>46164</v>
      </c>
      <c r="B32" s="22" t="s">
        <v>34</v>
      </c>
      <c r="C32" s="22" t="s">
        <v>89</v>
      </c>
      <c r="D32" s="22" t="s">
        <v>20</v>
      </c>
      <c r="E32" s="23">
        <v>35</v>
      </c>
      <c r="F32" s="22" t="s">
        <v>25</v>
      </c>
      <c r="G32" s="22" t="s">
        <v>26</v>
      </c>
      <c r="H32" s="22" t="s">
        <v>27</v>
      </c>
      <c r="I32" s="24" t="s">
        <v>14</v>
      </c>
      <c r="J32" s="22" t="str">
        <f t="shared" si="0"/>
        <v>2026</v>
      </c>
      <c r="K32" s="22" t="str">
        <f t="shared" si="1"/>
        <v>2026-05 mai</v>
      </c>
      <c r="L32" s="22" t="str">
        <f t="shared" si="2"/>
        <v>2026-05-22</v>
      </c>
    </row>
    <row r="33" spans="1:12" ht="21">
      <c r="A33" s="38">
        <v>46164</v>
      </c>
      <c r="B33" s="22" t="s">
        <v>18</v>
      </c>
      <c r="C33" s="22" t="s">
        <v>90</v>
      </c>
      <c r="D33" s="22" t="s">
        <v>10</v>
      </c>
      <c r="E33" s="23">
        <v>8</v>
      </c>
      <c r="F33" s="22" t="s">
        <v>11</v>
      </c>
      <c r="G33" s="22" t="s">
        <v>12</v>
      </c>
      <c r="H33" s="22" t="s">
        <v>13</v>
      </c>
      <c r="I33" s="24" t="s">
        <v>14</v>
      </c>
      <c r="J33" s="22" t="str">
        <f t="shared" si="0"/>
        <v>2026</v>
      </c>
      <c r="K33" s="22" t="str">
        <f t="shared" si="1"/>
        <v>2026-05 mai</v>
      </c>
      <c r="L33" s="22" t="str">
        <f t="shared" si="2"/>
        <v>2026-05-22</v>
      </c>
    </row>
    <row r="34" spans="1:12" ht="21">
      <c r="A34" s="38">
        <v>46164</v>
      </c>
      <c r="B34" s="22" t="s">
        <v>18</v>
      </c>
      <c r="C34" s="22" t="s">
        <v>90</v>
      </c>
      <c r="D34" s="22" t="s">
        <v>10</v>
      </c>
      <c r="E34" s="23">
        <v>8</v>
      </c>
      <c r="F34" s="22" t="s">
        <v>11</v>
      </c>
      <c r="G34" s="22" t="s">
        <v>87</v>
      </c>
      <c r="H34" s="22" t="s">
        <v>88</v>
      </c>
      <c r="I34" s="24" t="s">
        <v>14</v>
      </c>
      <c r="J34" s="22" t="str">
        <f t="shared" ref="J34:J65" si="3">TEXT(A34,"yyyy")</f>
        <v>2026</v>
      </c>
      <c r="K34" s="22" t="str">
        <f t="shared" ref="K34:K65" si="4">TEXT(A34,"yyyy-mm")&amp;" "&amp;TEXT(A34,"mmmm")</f>
        <v>2026-05 mai</v>
      </c>
      <c r="L34" s="22" t="str">
        <f t="shared" ref="L34:L65" si="5">TEXT(A34,"yyyy-mm-dd")</f>
        <v>2026-05-22</v>
      </c>
    </row>
    <row r="35" spans="1:12" ht="21">
      <c r="A35" s="38">
        <v>46165</v>
      </c>
      <c r="B35" s="22" t="s">
        <v>77</v>
      </c>
      <c r="C35" s="22" t="s">
        <v>91</v>
      </c>
      <c r="D35" s="22" t="s">
        <v>10</v>
      </c>
      <c r="E35" s="23">
        <v>56</v>
      </c>
      <c r="F35" s="22" t="s">
        <v>17</v>
      </c>
      <c r="G35" s="22" t="s">
        <v>87</v>
      </c>
      <c r="H35" s="22" t="s">
        <v>88</v>
      </c>
      <c r="I35" s="24" t="s">
        <v>14</v>
      </c>
      <c r="J35" s="22" t="str">
        <f t="shared" si="3"/>
        <v>2026</v>
      </c>
      <c r="K35" s="22" t="str">
        <f t="shared" si="4"/>
        <v>2026-05 mai</v>
      </c>
      <c r="L35" s="22" t="str">
        <f t="shared" si="5"/>
        <v>2026-05-23</v>
      </c>
    </row>
    <row r="36" spans="1:12" ht="21">
      <c r="A36" s="38">
        <v>46165</v>
      </c>
      <c r="B36" s="22" t="s">
        <v>77</v>
      </c>
      <c r="C36" s="22" t="s">
        <v>91</v>
      </c>
      <c r="D36" s="22" t="s">
        <v>10</v>
      </c>
      <c r="E36" s="23">
        <v>56</v>
      </c>
      <c r="F36" s="22" t="s">
        <v>17</v>
      </c>
      <c r="G36" s="22" t="s">
        <v>30</v>
      </c>
      <c r="H36" s="22" t="s">
        <v>31</v>
      </c>
      <c r="I36" s="24" t="s">
        <v>14</v>
      </c>
      <c r="J36" s="22" t="str">
        <f t="shared" si="3"/>
        <v>2026</v>
      </c>
      <c r="K36" s="22" t="str">
        <f t="shared" si="4"/>
        <v>2026-05 mai</v>
      </c>
      <c r="L36" s="22" t="str">
        <f t="shared" si="5"/>
        <v>2026-05-23</v>
      </c>
    </row>
    <row r="37" spans="1:12" ht="21">
      <c r="A37" s="38">
        <v>46165</v>
      </c>
      <c r="B37" s="22" t="s">
        <v>92</v>
      </c>
      <c r="C37" s="22" t="s">
        <v>93</v>
      </c>
      <c r="D37" s="22" t="s">
        <v>20</v>
      </c>
      <c r="E37" s="23">
        <v>6</v>
      </c>
      <c r="F37" s="22" t="s">
        <v>11</v>
      </c>
      <c r="G37" s="22" t="s">
        <v>12</v>
      </c>
      <c r="H37" s="22" t="s">
        <v>13</v>
      </c>
      <c r="I37" s="24" t="s">
        <v>14</v>
      </c>
      <c r="J37" s="22" t="str">
        <f t="shared" si="3"/>
        <v>2026</v>
      </c>
      <c r="K37" s="22" t="str">
        <f t="shared" si="4"/>
        <v>2026-05 mai</v>
      </c>
      <c r="L37" s="22" t="str">
        <f t="shared" si="5"/>
        <v>2026-05-23</v>
      </c>
    </row>
    <row r="38" spans="1:12" ht="21">
      <c r="A38" s="38">
        <v>46166</v>
      </c>
      <c r="B38" s="22" t="s">
        <v>40</v>
      </c>
      <c r="C38" s="22" t="s">
        <v>79</v>
      </c>
      <c r="D38" s="22" t="s">
        <v>20</v>
      </c>
      <c r="E38" s="23">
        <v>3</v>
      </c>
      <c r="F38" s="22" t="s">
        <v>11</v>
      </c>
      <c r="G38" s="22" t="s">
        <v>26</v>
      </c>
      <c r="H38" s="22" t="s">
        <v>27</v>
      </c>
      <c r="I38" s="24" t="s">
        <v>14</v>
      </c>
      <c r="J38" s="22" t="str">
        <f t="shared" si="3"/>
        <v>2026</v>
      </c>
      <c r="K38" s="22" t="str">
        <f t="shared" si="4"/>
        <v>2026-05 mai</v>
      </c>
      <c r="L38" s="22" t="str">
        <f t="shared" si="5"/>
        <v>2026-05-24</v>
      </c>
    </row>
    <row r="39" spans="1:12" ht="21">
      <c r="A39" s="38">
        <v>46166</v>
      </c>
      <c r="B39" s="22" t="s">
        <v>94</v>
      </c>
      <c r="C39" s="22" t="s">
        <v>95</v>
      </c>
      <c r="D39" s="22" t="s">
        <v>20</v>
      </c>
      <c r="E39" s="23">
        <v>33</v>
      </c>
      <c r="F39" s="22" t="s">
        <v>25</v>
      </c>
      <c r="G39" s="22" t="s">
        <v>26</v>
      </c>
      <c r="H39" s="22" t="s">
        <v>27</v>
      </c>
      <c r="I39" s="24" t="s">
        <v>14</v>
      </c>
      <c r="J39" s="22" t="str">
        <f t="shared" si="3"/>
        <v>2026</v>
      </c>
      <c r="K39" s="22" t="str">
        <f t="shared" si="4"/>
        <v>2026-05 mai</v>
      </c>
      <c r="L39" s="22" t="str">
        <f t="shared" si="5"/>
        <v>2026-05-24</v>
      </c>
    </row>
    <row r="40" spans="1:12" ht="21">
      <c r="A40" s="38">
        <v>46166</v>
      </c>
      <c r="B40" s="22" t="s">
        <v>94</v>
      </c>
      <c r="C40" s="22" t="s">
        <v>95</v>
      </c>
      <c r="D40" s="22" t="s">
        <v>20</v>
      </c>
      <c r="E40" s="23">
        <v>33</v>
      </c>
      <c r="F40" s="22" t="s">
        <v>25</v>
      </c>
      <c r="G40" s="22" t="s">
        <v>87</v>
      </c>
      <c r="H40" s="22" t="s">
        <v>96</v>
      </c>
      <c r="I40" s="24" t="s">
        <v>14</v>
      </c>
      <c r="J40" s="22" t="str">
        <f t="shared" si="3"/>
        <v>2026</v>
      </c>
      <c r="K40" s="22" t="str">
        <f t="shared" si="4"/>
        <v>2026-05 mai</v>
      </c>
      <c r="L40" s="22" t="str">
        <f t="shared" si="5"/>
        <v>2026-05-24</v>
      </c>
    </row>
    <row r="41" spans="1:12" ht="21">
      <c r="A41" s="38">
        <v>46167</v>
      </c>
      <c r="B41" s="22" t="s">
        <v>86</v>
      </c>
      <c r="C41" s="22" t="s">
        <v>97</v>
      </c>
      <c r="D41" s="22" t="s">
        <v>20</v>
      </c>
      <c r="E41" s="23">
        <v>5</v>
      </c>
      <c r="F41" s="22" t="s">
        <v>11</v>
      </c>
      <c r="G41" s="22" t="s">
        <v>12</v>
      </c>
      <c r="H41" s="22" t="s">
        <v>13</v>
      </c>
      <c r="I41" s="24" t="s">
        <v>14</v>
      </c>
      <c r="J41" s="22" t="str">
        <f t="shared" si="3"/>
        <v>2026</v>
      </c>
      <c r="K41" s="22" t="str">
        <f t="shared" si="4"/>
        <v>2026-05 mai</v>
      </c>
      <c r="L41" s="22" t="str">
        <f t="shared" si="5"/>
        <v>2026-05-25</v>
      </c>
    </row>
    <row r="42" spans="1:12" ht="21">
      <c r="A42" s="38">
        <v>46167</v>
      </c>
      <c r="B42" s="22" t="s">
        <v>86</v>
      </c>
      <c r="C42" s="22" t="s">
        <v>97</v>
      </c>
      <c r="D42" s="22" t="s">
        <v>20</v>
      </c>
      <c r="E42" s="23">
        <v>5</v>
      </c>
      <c r="F42" s="22" t="s">
        <v>11</v>
      </c>
      <c r="G42" s="22" t="s">
        <v>26</v>
      </c>
      <c r="H42" s="22" t="s">
        <v>27</v>
      </c>
      <c r="I42" s="24" t="s">
        <v>14</v>
      </c>
      <c r="J42" s="22" t="str">
        <f t="shared" si="3"/>
        <v>2026</v>
      </c>
      <c r="K42" s="22" t="str">
        <f t="shared" si="4"/>
        <v>2026-05 mai</v>
      </c>
      <c r="L42" s="22" t="str">
        <f t="shared" si="5"/>
        <v>2026-05-25</v>
      </c>
    </row>
    <row r="43" spans="1:12" ht="21">
      <c r="A43" s="38">
        <v>46167</v>
      </c>
      <c r="B43" s="22" t="s">
        <v>94</v>
      </c>
      <c r="C43" s="22" t="s">
        <v>95</v>
      </c>
      <c r="D43" s="22" t="s">
        <v>20</v>
      </c>
      <c r="E43" s="23">
        <v>33</v>
      </c>
      <c r="F43" s="22" t="s">
        <v>25</v>
      </c>
      <c r="G43" s="22" t="s">
        <v>30</v>
      </c>
      <c r="H43" s="22" t="s">
        <v>31</v>
      </c>
      <c r="I43" s="24" t="s">
        <v>14</v>
      </c>
      <c r="J43" s="22" t="str">
        <f t="shared" si="3"/>
        <v>2026</v>
      </c>
      <c r="K43" s="22" t="str">
        <f t="shared" si="4"/>
        <v>2026-05 mai</v>
      </c>
      <c r="L43" s="22" t="str">
        <f t="shared" si="5"/>
        <v>2026-05-25</v>
      </c>
    </row>
    <row r="44" spans="1:12" ht="21">
      <c r="A44" s="38">
        <v>46167</v>
      </c>
      <c r="B44" s="22" t="s">
        <v>98</v>
      </c>
      <c r="C44" s="22" t="s">
        <v>99</v>
      </c>
      <c r="D44" s="22" t="s">
        <v>20</v>
      </c>
      <c r="E44" s="23">
        <v>43</v>
      </c>
      <c r="F44" s="22" t="s">
        <v>25</v>
      </c>
      <c r="G44" s="22" t="s">
        <v>30</v>
      </c>
      <c r="H44" s="22" t="s">
        <v>31</v>
      </c>
      <c r="I44" s="24" t="s">
        <v>14</v>
      </c>
      <c r="J44" s="22" t="str">
        <f t="shared" si="3"/>
        <v>2026</v>
      </c>
      <c r="K44" s="22" t="str">
        <f t="shared" si="4"/>
        <v>2026-05 mai</v>
      </c>
      <c r="L44" s="22" t="str">
        <f t="shared" si="5"/>
        <v>2026-05-25</v>
      </c>
    </row>
    <row r="45" spans="1:12" ht="21">
      <c r="A45" s="38">
        <v>46168</v>
      </c>
      <c r="B45" s="22" t="s">
        <v>18</v>
      </c>
      <c r="C45" s="22" t="s">
        <v>100</v>
      </c>
      <c r="D45" s="22" t="s">
        <v>10</v>
      </c>
      <c r="E45" s="23">
        <v>5</v>
      </c>
      <c r="F45" s="22" t="s">
        <v>11</v>
      </c>
      <c r="G45" s="22" t="s">
        <v>12</v>
      </c>
      <c r="H45" s="22" t="s">
        <v>13</v>
      </c>
      <c r="I45" s="24" t="s">
        <v>14</v>
      </c>
      <c r="J45" s="22" t="str">
        <f t="shared" si="3"/>
        <v>2026</v>
      </c>
      <c r="K45" s="22" t="str">
        <f t="shared" si="4"/>
        <v>2026-05 mai</v>
      </c>
      <c r="L45" s="22" t="str">
        <f t="shared" si="5"/>
        <v>2026-05-26</v>
      </c>
    </row>
    <row r="46" spans="1:12" ht="21">
      <c r="A46" s="38">
        <v>46168</v>
      </c>
      <c r="B46" s="22" t="s">
        <v>18</v>
      </c>
      <c r="C46" s="22" t="s">
        <v>90</v>
      </c>
      <c r="D46" s="22" t="s">
        <v>10</v>
      </c>
      <c r="E46" s="23">
        <v>8</v>
      </c>
      <c r="F46" s="22" t="s">
        <v>11</v>
      </c>
      <c r="G46" s="22" t="s">
        <v>12</v>
      </c>
      <c r="H46" s="22" t="s">
        <v>13</v>
      </c>
      <c r="I46" s="24" t="s">
        <v>14</v>
      </c>
      <c r="J46" s="22" t="str">
        <f t="shared" si="3"/>
        <v>2026</v>
      </c>
      <c r="K46" s="22" t="str">
        <f t="shared" si="4"/>
        <v>2026-05 mai</v>
      </c>
      <c r="L46" s="22" t="str">
        <f t="shared" si="5"/>
        <v>2026-05-26</v>
      </c>
    </row>
    <row r="47" spans="1:12" ht="21">
      <c r="A47" s="38">
        <v>46168</v>
      </c>
      <c r="B47" s="22" t="s">
        <v>18</v>
      </c>
      <c r="C47" s="22" t="s">
        <v>101</v>
      </c>
      <c r="D47" s="22" t="s">
        <v>20</v>
      </c>
      <c r="E47" s="23">
        <v>7</v>
      </c>
      <c r="F47" s="22" t="s">
        <v>11</v>
      </c>
      <c r="G47" s="22" t="s">
        <v>12</v>
      </c>
      <c r="H47" s="22" t="s">
        <v>13</v>
      </c>
      <c r="I47" s="24" t="s">
        <v>14</v>
      </c>
      <c r="J47" s="22" t="str">
        <f t="shared" si="3"/>
        <v>2026</v>
      </c>
      <c r="K47" s="22" t="str">
        <f t="shared" si="4"/>
        <v>2026-05 mai</v>
      </c>
      <c r="L47" s="22" t="str">
        <f t="shared" si="5"/>
        <v>2026-05-26</v>
      </c>
    </row>
    <row r="48" spans="1:12" ht="21">
      <c r="A48" s="38">
        <v>46170</v>
      </c>
      <c r="B48" s="22" t="s">
        <v>102</v>
      </c>
      <c r="C48" s="22" t="s">
        <v>103</v>
      </c>
      <c r="D48" s="22" t="s">
        <v>20</v>
      </c>
      <c r="E48" s="23">
        <v>24</v>
      </c>
      <c r="F48" s="22" t="s">
        <v>25</v>
      </c>
      <c r="G48" s="22" t="s">
        <v>104</v>
      </c>
      <c r="H48" s="22" t="s">
        <v>105</v>
      </c>
      <c r="I48" s="24" t="s">
        <v>106</v>
      </c>
      <c r="J48" s="22" t="str">
        <f t="shared" si="3"/>
        <v>2026</v>
      </c>
      <c r="K48" s="22" t="str">
        <f t="shared" si="4"/>
        <v>2026-05 mai</v>
      </c>
      <c r="L48" s="22" t="str">
        <f t="shared" si="5"/>
        <v>2026-05-28</v>
      </c>
    </row>
    <row r="49" spans="1:12" ht="21">
      <c r="A49" s="38">
        <v>46171</v>
      </c>
      <c r="B49" s="22" t="s">
        <v>107</v>
      </c>
      <c r="C49" s="22" t="s">
        <v>108</v>
      </c>
      <c r="D49" s="22" t="s">
        <v>10</v>
      </c>
      <c r="E49" s="23">
        <v>36</v>
      </c>
      <c r="F49" s="22" t="s">
        <v>17</v>
      </c>
      <c r="G49" s="22" t="s">
        <v>109</v>
      </c>
      <c r="H49" s="22" t="s">
        <v>110</v>
      </c>
      <c r="I49" s="24" t="s">
        <v>14</v>
      </c>
      <c r="J49" s="22" t="str">
        <f t="shared" si="3"/>
        <v>2026</v>
      </c>
      <c r="K49" s="22" t="str">
        <f t="shared" si="4"/>
        <v>2026-05 mai</v>
      </c>
      <c r="L49" s="22" t="str">
        <f t="shared" si="5"/>
        <v>2026-05-29</v>
      </c>
    </row>
    <row r="50" spans="1:12" ht="21">
      <c r="A50" s="38">
        <v>46172</v>
      </c>
      <c r="B50" s="22" t="s">
        <v>42</v>
      </c>
      <c r="C50" s="22" t="s">
        <v>111</v>
      </c>
      <c r="D50" s="22" t="s">
        <v>10</v>
      </c>
      <c r="E50" s="23">
        <v>0.75</v>
      </c>
      <c r="F50" s="22" t="s">
        <v>11</v>
      </c>
      <c r="G50" s="22" t="s">
        <v>112</v>
      </c>
      <c r="H50" s="22" t="s">
        <v>113</v>
      </c>
      <c r="I50" s="24" t="s">
        <v>114</v>
      </c>
      <c r="J50" s="22" t="str">
        <f t="shared" si="3"/>
        <v>2026</v>
      </c>
      <c r="K50" s="22" t="str">
        <f t="shared" si="4"/>
        <v>2026-05 mai</v>
      </c>
      <c r="L50" s="22" t="str">
        <f t="shared" si="5"/>
        <v>2026-05-30</v>
      </c>
    </row>
    <row r="51" spans="1:12" ht="21">
      <c r="A51" s="35">
        <v>46172</v>
      </c>
      <c r="B51" s="25" t="s">
        <v>115</v>
      </c>
      <c r="C51" s="25" t="s">
        <v>116</v>
      </c>
      <c r="D51" s="25" t="s">
        <v>10</v>
      </c>
      <c r="E51" s="26">
        <v>49</v>
      </c>
      <c r="F51" s="25" t="s">
        <v>17</v>
      </c>
      <c r="G51" s="25" t="s">
        <v>117</v>
      </c>
      <c r="H51" s="25" t="s">
        <v>118</v>
      </c>
      <c r="I51" s="27"/>
      <c r="J51" s="22" t="str">
        <f t="shared" si="3"/>
        <v>2026</v>
      </c>
      <c r="K51" s="22" t="str">
        <f t="shared" si="4"/>
        <v>2026-05 mai</v>
      </c>
      <c r="L51" s="22" t="str">
        <f t="shared" si="5"/>
        <v>2026-05-30</v>
      </c>
    </row>
    <row r="52" spans="1:12" ht="21">
      <c r="A52" s="38">
        <v>46174</v>
      </c>
      <c r="B52" s="22" t="s">
        <v>119</v>
      </c>
      <c r="C52" s="22" t="s">
        <v>120</v>
      </c>
      <c r="D52" s="22" t="s">
        <v>10</v>
      </c>
      <c r="E52" s="23">
        <v>24</v>
      </c>
      <c r="F52" s="22" t="s">
        <v>81</v>
      </c>
      <c r="G52" s="22" t="s">
        <v>12</v>
      </c>
      <c r="H52" s="22" t="s">
        <v>88</v>
      </c>
      <c r="I52" s="24" t="s">
        <v>14</v>
      </c>
      <c r="J52" s="22" t="str">
        <f t="shared" si="3"/>
        <v>2026</v>
      </c>
      <c r="K52" s="22" t="str">
        <f t="shared" si="4"/>
        <v>2026-06 juin</v>
      </c>
      <c r="L52" s="22" t="str">
        <f t="shared" si="5"/>
        <v>2026-06-01</v>
      </c>
    </row>
    <row r="53" spans="1:12" ht="21">
      <c r="A53" s="38">
        <v>46174</v>
      </c>
      <c r="B53" s="22" t="s">
        <v>121</v>
      </c>
      <c r="C53" s="22" t="s">
        <v>122</v>
      </c>
      <c r="D53" s="22" t="s">
        <v>20</v>
      </c>
      <c r="E53" s="23">
        <v>41</v>
      </c>
      <c r="F53" s="22" t="s">
        <v>17</v>
      </c>
      <c r="G53" s="22" t="s">
        <v>26</v>
      </c>
      <c r="H53" s="22" t="s">
        <v>27</v>
      </c>
      <c r="I53" s="24" t="s">
        <v>14</v>
      </c>
      <c r="J53" s="22" t="str">
        <f t="shared" si="3"/>
        <v>2026</v>
      </c>
      <c r="K53" s="22" t="str">
        <f t="shared" si="4"/>
        <v>2026-06 juin</v>
      </c>
      <c r="L53" s="22" t="str">
        <f t="shared" si="5"/>
        <v>2026-06-01</v>
      </c>
    </row>
    <row r="54" spans="1:12" ht="21">
      <c r="A54" s="38">
        <v>46175</v>
      </c>
      <c r="B54" s="22" t="s">
        <v>121</v>
      </c>
      <c r="C54" s="22" t="s">
        <v>122</v>
      </c>
      <c r="D54" s="22" t="s">
        <v>20</v>
      </c>
      <c r="E54" s="23">
        <v>41</v>
      </c>
      <c r="F54" s="22" t="s">
        <v>17</v>
      </c>
      <c r="G54" s="22" t="s">
        <v>87</v>
      </c>
      <c r="H54" s="22" t="s">
        <v>123</v>
      </c>
      <c r="I54" s="24" t="s">
        <v>14</v>
      </c>
      <c r="J54" s="22" t="str">
        <f t="shared" si="3"/>
        <v>2026</v>
      </c>
      <c r="K54" s="22" t="str">
        <f t="shared" si="4"/>
        <v>2026-06 juin</v>
      </c>
      <c r="L54" s="22" t="str">
        <f t="shared" si="5"/>
        <v>2026-06-02</v>
      </c>
    </row>
    <row r="55" spans="1:12" ht="21">
      <c r="A55" s="38">
        <v>46175</v>
      </c>
      <c r="B55" s="22" t="s">
        <v>124</v>
      </c>
      <c r="C55" s="22" t="s">
        <v>91</v>
      </c>
      <c r="D55" s="22" t="s">
        <v>10</v>
      </c>
      <c r="E55" s="23">
        <v>56</v>
      </c>
      <c r="F55" s="22" t="s">
        <v>17</v>
      </c>
      <c r="G55" s="22" t="s">
        <v>30</v>
      </c>
      <c r="H55" s="22" t="s">
        <v>31</v>
      </c>
      <c r="I55" s="24" t="s">
        <v>14</v>
      </c>
      <c r="J55" s="22" t="str">
        <f t="shared" si="3"/>
        <v>2026</v>
      </c>
      <c r="K55" s="22" t="str">
        <f t="shared" si="4"/>
        <v>2026-06 juin</v>
      </c>
      <c r="L55" s="22" t="str">
        <f t="shared" si="5"/>
        <v>2026-06-02</v>
      </c>
    </row>
    <row r="56" spans="1:12" ht="21">
      <c r="A56" s="38">
        <v>46175</v>
      </c>
      <c r="B56" s="22" t="s">
        <v>125</v>
      </c>
      <c r="C56" s="22" t="s">
        <v>126</v>
      </c>
      <c r="D56" s="22" t="s">
        <v>10</v>
      </c>
      <c r="E56" s="23">
        <v>3</v>
      </c>
      <c r="F56" s="22" t="s">
        <v>11</v>
      </c>
      <c r="G56" s="22" t="s">
        <v>12</v>
      </c>
      <c r="H56" s="22" t="s">
        <v>127</v>
      </c>
      <c r="I56" s="24" t="s">
        <v>14</v>
      </c>
      <c r="J56" s="22" t="str">
        <f t="shared" si="3"/>
        <v>2026</v>
      </c>
      <c r="K56" s="22" t="str">
        <f t="shared" si="4"/>
        <v>2026-06 juin</v>
      </c>
      <c r="L56" s="22" t="str">
        <f t="shared" si="5"/>
        <v>2026-06-02</v>
      </c>
    </row>
    <row r="57" spans="1:12" ht="21">
      <c r="A57" s="38">
        <v>46175</v>
      </c>
      <c r="B57" s="22" t="s">
        <v>125</v>
      </c>
      <c r="C57" s="22" t="s">
        <v>126</v>
      </c>
      <c r="D57" s="22" t="s">
        <v>10</v>
      </c>
      <c r="E57" s="23">
        <v>4</v>
      </c>
      <c r="F57" s="22" t="s">
        <v>11</v>
      </c>
      <c r="G57" s="22" t="s">
        <v>87</v>
      </c>
      <c r="H57" s="22" t="s">
        <v>128</v>
      </c>
      <c r="I57" s="24" t="s">
        <v>14</v>
      </c>
      <c r="J57" s="22" t="str">
        <f t="shared" si="3"/>
        <v>2026</v>
      </c>
      <c r="K57" s="22" t="str">
        <f t="shared" si="4"/>
        <v>2026-06 juin</v>
      </c>
      <c r="L57" s="22" t="str">
        <f t="shared" si="5"/>
        <v>2026-06-02</v>
      </c>
    </row>
    <row r="58" spans="1:12" ht="21">
      <c r="A58" s="38">
        <v>46175</v>
      </c>
      <c r="B58" s="22" t="s">
        <v>129</v>
      </c>
      <c r="C58" s="22" t="s">
        <v>130</v>
      </c>
      <c r="D58" s="22" t="s">
        <v>20</v>
      </c>
      <c r="E58" s="23">
        <v>35</v>
      </c>
      <c r="F58" s="22" t="s">
        <v>25</v>
      </c>
      <c r="G58" s="22" t="s">
        <v>131</v>
      </c>
      <c r="H58" s="22" t="s">
        <v>132</v>
      </c>
      <c r="I58" s="24" t="s">
        <v>14</v>
      </c>
      <c r="J58" s="22" t="str">
        <f t="shared" si="3"/>
        <v>2026</v>
      </c>
      <c r="K58" s="22" t="str">
        <f t="shared" si="4"/>
        <v>2026-06 juin</v>
      </c>
      <c r="L58" s="22" t="str">
        <f t="shared" si="5"/>
        <v>2026-06-02</v>
      </c>
    </row>
    <row r="59" spans="1:12" ht="21">
      <c r="A59" s="38">
        <v>46175</v>
      </c>
      <c r="B59" s="22" t="s">
        <v>38</v>
      </c>
      <c r="C59" s="22" t="s">
        <v>39</v>
      </c>
      <c r="D59" s="22" t="s">
        <v>20</v>
      </c>
      <c r="E59" s="23">
        <v>4</v>
      </c>
      <c r="F59" s="22" t="s">
        <v>11</v>
      </c>
      <c r="G59" s="22" t="s">
        <v>131</v>
      </c>
      <c r="H59" s="22" t="s">
        <v>132</v>
      </c>
      <c r="I59" s="24" t="s">
        <v>14</v>
      </c>
      <c r="J59" s="22" t="str">
        <f t="shared" si="3"/>
        <v>2026</v>
      </c>
      <c r="K59" s="22" t="str">
        <f t="shared" si="4"/>
        <v>2026-06 juin</v>
      </c>
      <c r="L59" s="22" t="str">
        <f t="shared" si="5"/>
        <v>2026-06-02</v>
      </c>
    </row>
    <row r="60" spans="1:12" ht="21">
      <c r="A60" s="38">
        <v>46175</v>
      </c>
      <c r="B60" s="22" t="s">
        <v>38</v>
      </c>
      <c r="C60" s="22" t="s">
        <v>39</v>
      </c>
      <c r="D60" s="22" t="s">
        <v>20</v>
      </c>
      <c r="E60" s="23">
        <v>4</v>
      </c>
      <c r="F60" s="22" t="s">
        <v>11</v>
      </c>
      <c r="G60" s="22" t="s">
        <v>26</v>
      </c>
      <c r="H60" s="22" t="s">
        <v>27</v>
      </c>
      <c r="I60" s="24" t="s">
        <v>14</v>
      </c>
      <c r="J60" s="22" t="str">
        <f t="shared" si="3"/>
        <v>2026</v>
      </c>
      <c r="K60" s="22" t="str">
        <f t="shared" si="4"/>
        <v>2026-06 juin</v>
      </c>
      <c r="L60" s="22" t="str">
        <f t="shared" si="5"/>
        <v>2026-06-02</v>
      </c>
    </row>
    <row r="61" spans="1:12" ht="21">
      <c r="A61" s="38">
        <v>46175</v>
      </c>
      <c r="B61" s="22" t="s">
        <v>38</v>
      </c>
      <c r="C61" s="22" t="s">
        <v>133</v>
      </c>
      <c r="D61" s="22" t="s">
        <v>10</v>
      </c>
      <c r="E61" s="23">
        <v>6</v>
      </c>
      <c r="F61" s="22" t="s">
        <v>11</v>
      </c>
      <c r="G61" s="22" t="s">
        <v>131</v>
      </c>
      <c r="H61" s="22" t="s">
        <v>131</v>
      </c>
      <c r="I61" s="24" t="s">
        <v>14</v>
      </c>
      <c r="J61" s="22" t="str">
        <f t="shared" si="3"/>
        <v>2026</v>
      </c>
      <c r="K61" s="22" t="str">
        <f t="shared" si="4"/>
        <v>2026-06 juin</v>
      </c>
      <c r="L61" s="22" t="str">
        <f t="shared" si="5"/>
        <v>2026-06-02</v>
      </c>
    </row>
    <row r="62" spans="1:12" ht="21">
      <c r="A62" s="38">
        <v>46176</v>
      </c>
      <c r="B62" s="22" t="s">
        <v>134</v>
      </c>
      <c r="C62" s="22" t="s">
        <v>34</v>
      </c>
      <c r="D62" s="22" t="s">
        <v>10</v>
      </c>
      <c r="E62" s="23">
        <v>43</v>
      </c>
      <c r="F62" s="22" t="s">
        <v>17</v>
      </c>
      <c r="G62" s="22" t="s">
        <v>26</v>
      </c>
      <c r="H62" s="22" t="s">
        <v>27</v>
      </c>
      <c r="I62" s="24" t="s">
        <v>14</v>
      </c>
      <c r="J62" s="22" t="str">
        <f t="shared" si="3"/>
        <v>2026</v>
      </c>
      <c r="K62" s="22" t="str">
        <f t="shared" si="4"/>
        <v>2026-06 juin</v>
      </c>
      <c r="L62" s="22" t="str">
        <f t="shared" si="5"/>
        <v>2026-06-03</v>
      </c>
    </row>
    <row r="63" spans="1:12" ht="21">
      <c r="A63" s="35">
        <v>46177</v>
      </c>
      <c r="B63" s="25" t="s">
        <v>98</v>
      </c>
      <c r="C63" s="25" t="s">
        <v>99</v>
      </c>
      <c r="D63" s="25" t="s">
        <v>20</v>
      </c>
      <c r="E63" s="26">
        <v>43</v>
      </c>
      <c r="F63" s="25" t="s">
        <v>25</v>
      </c>
      <c r="G63" s="25" t="s">
        <v>87</v>
      </c>
      <c r="H63" s="25" t="s">
        <v>88</v>
      </c>
      <c r="I63" s="28" t="s">
        <v>14</v>
      </c>
      <c r="J63" s="22" t="str">
        <f t="shared" si="3"/>
        <v>2026</v>
      </c>
      <c r="K63" s="22" t="str">
        <f t="shared" si="4"/>
        <v>2026-06 juin</v>
      </c>
      <c r="L63" s="22" t="str">
        <f t="shared" si="5"/>
        <v>2026-06-04</v>
      </c>
    </row>
    <row r="64" spans="1:12" ht="21">
      <c r="A64" s="35">
        <v>46178</v>
      </c>
      <c r="B64" s="25" t="s">
        <v>135</v>
      </c>
      <c r="C64" s="25" t="s">
        <v>136</v>
      </c>
      <c r="D64" s="25" t="s">
        <v>20</v>
      </c>
      <c r="E64" s="26">
        <v>35</v>
      </c>
      <c r="F64" s="25" t="s">
        <v>25</v>
      </c>
      <c r="G64" s="25" t="s">
        <v>26</v>
      </c>
      <c r="H64" s="25" t="s">
        <v>27</v>
      </c>
      <c r="I64" s="28" t="s">
        <v>14</v>
      </c>
      <c r="J64" s="22" t="str">
        <f t="shared" si="3"/>
        <v>2026</v>
      </c>
      <c r="K64" s="22" t="str">
        <f t="shared" si="4"/>
        <v>2026-06 juin</v>
      </c>
      <c r="L64" s="22" t="str">
        <f t="shared" si="5"/>
        <v>2026-06-05</v>
      </c>
    </row>
    <row r="65" spans="1:12" ht="21">
      <c r="A65" s="35">
        <v>46178</v>
      </c>
      <c r="B65" s="22" t="s">
        <v>137</v>
      </c>
      <c r="C65" s="22" t="s">
        <v>138</v>
      </c>
      <c r="D65" s="22" t="s">
        <v>20</v>
      </c>
      <c r="E65" s="23"/>
      <c r="F65" s="22" t="s">
        <v>25</v>
      </c>
      <c r="G65" s="22" t="s">
        <v>58</v>
      </c>
      <c r="H65" s="22" t="s">
        <v>139</v>
      </c>
      <c r="I65" s="24" t="s">
        <v>14</v>
      </c>
      <c r="J65" s="22" t="str">
        <f t="shared" si="3"/>
        <v>2026</v>
      </c>
      <c r="K65" s="22" t="str">
        <f t="shared" si="4"/>
        <v>2026-06 juin</v>
      </c>
      <c r="L65" s="22" t="str">
        <f t="shared" si="5"/>
        <v>2026-06-05</v>
      </c>
    </row>
    <row r="66" spans="1:12" ht="21">
      <c r="A66" s="35">
        <v>46178</v>
      </c>
      <c r="B66" s="22" t="s">
        <v>91</v>
      </c>
      <c r="C66" s="22" t="s">
        <v>140</v>
      </c>
      <c r="D66" s="22" t="s">
        <v>20</v>
      </c>
      <c r="E66" s="23">
        <v>13</v>
      </c>
      <c r="F66" s="22" t="s">
        <v>11</v>
      </c>
      <c r="G66" s="22" t="s">
        <v>12</v>
      </c>
      <c r="H66" s="22" t="s">
        <v>127</v>
      </c>
      <c r="I66" s="24" t="s">
        <v>14</v>
      </c>
      <c r="J66" s="22" t="str">
        <f t="shared" ref="J66:J97" si="6">TEXT(A66,"yyyy")</f>
        <v>2026</v>
      </c>
      <c r="K66" s="22" t="str">
        <f t="shared" ref="K66:K97" si="7">TEXT(A66,"yyyy-mm")&amp;" "&amp;TEXT(A66,"mmmm")</f>
        <v>2026-06 juin</v>
      </c>
      <c r="L66" s="22" t="str">
        <f t="shared" ref="L66:L97" si="8">TEXT(A66,"yyyy-mm-dd")</f>
        <v>2026-06-05</v>
      </c>
    </row>
    <row r="67" spans="1:12" ht="21">
      <c r="A67" s="35">
        <v>46179</v>
      </c>
      <c r="B67" s="22" t="s">
        <v>141</v>
      </c>
      <c r="C67" s="22" t="s">
        <v>142</v>
      </c>
      <c r="D67" s="22" t="s">
        <v>10</v>
      </c>
      <c r="E67" s="23">
        <v>2</v>
      </c>
      <c r="F67" s="22" t="s">
        <v>11</v>
      </c>
      <c r="G67" s="22" t="s">
        <v>143</v>
      </c>
      <c r="H67" s="22" t="s">
        <v>144</v>
      </c>
      <c r="I67" s="24" t="s">
        <v>14</v>
      </c>
      <c r="J67" s="22" t="str">
        <f t="shared" si="6"/>
        <v>2026</v>
      </c>
      <c r="K67" s="22" t="str">
        <f t="shared" si="7"/>
        <v>2026-06 juin</v>
      </c>
      <c r="L67" s="22" t="str">
        <f t="shared" si="8"/>
        <v>2026-06-06</v>
      </c>
    </row>
    <row r="68" spans="1:12" ht="21">
      <c r="A68" s="35">
        <v>46179</v>
      </c>
      <c r="B68" s="22" t="s">
        <v>145</v>
      </c>
      <c r="C68" s="22" t="s">
        <v>146</v>
      </c>
      <c r="D68" s="22" t="s">
        <v>20</v>
      </c>
      <c r="E68" s="23">
        <v>12</v>
      </c>
      <c r="F68" s="22" t="s">
        <v>11</v>
      </c>
      <c r="G68" s="22" t="s">
        <v>26</v>
      </c>
      <c r="H68" s="22" t="s">
        <v>27</v>
      </c>
      <c r="I68" s="24" t="s">
        <v>14</v>
      </c>
      <c r="J68" s="22" t="str">
        <f t="shared" si="6"/>
        <v>2026</v>
      </c>
      <c r="K68" s="22" t="str">
        <f t="shared" si="7"/>
        <v>2026-06 juin</v>
      </c>
      <c r="L68" s="22" t="str">
        <f t="shared" si="8"/>
        <v>2026-06-06</v>
      </c>
    </row>
    <row r="69" spans="1:12" ht="21">
      <c r="A69" s="35">
        <v>46179</v>
      </c>
      <c r="B69" s="22" t="s">
        <v>147</v>
      </c>
      <c r="C69" s="22" t="s">
        <v>93</v>
      </c>
      <c r="D69" s="22" t="s">
        <v>10</v>
      </c>
      <c r="E69" s="23">
        <v>9</v>
      </c>
      <c r="F69" s="22" t="s">
        <v>11</v>
      </c>
      <c r="G69" s="22" t="s">
        <v>87</v>
      </c>
      <c r="H69" s="22" t="s">
        <v>148</v>
      </c>
      <c r="I69" s="24" t="s">
        <v>76</v>
      </c>
      <c r="J69" s="22" t="str">
        <f t="shared" si="6"/>
        <v>2026</v>
      </c>
      <c r="K69" s="22" t="str">
        <f t="shared" si="7"/>
        <v>2026-06 juin</v>
      </c>
      <c r="L69" s="22" t="str">
        <f t="shared" si="8"/>
        <v>2026-06-06</v>
      </c>
    </row>
    <row r="70" spans="1:12" ht="21">
      <c r="A70" s="35">
        <v>46180</v>
      </c>
      <c r="B70" s="22" t="s">
        <v>84</v>
      </c>
      <c r="C70" s="22" t="s">
        <v>149</v>
      </c>
      <c r="D70" s="22" t="s">
        <v>20</v>
      </c>
      <c r="E70" s="23">
        <v>1</v>
      </c>
      <c r="F70" s="22" t="s">
        <v>11</v>
      </c>
      <c r="G70" s="22" t="s">
        <v>12</v>
      </c>
      <c r="H70" s="22" t="s">
        <v>127</v>
      </c>
      <c r="I70" s="24" t="s">
        <v>14</v>
      </c>
      <c r="J70" s="22" t="str">
        <f t="shared" si="6"/>
        <v>2026</v>
      </c>
      <c r="K70" s="22" t="str">
        <f t="shared" si="7"/>
        <v>2026-06 juin</v>
      </c>
      <c r="L70" s="22" t="str">
        <f t="shared" si="8"/>
        <v>2026-06-07</v>
      </c>
    </row>
    <row r="71" spans="1:12" ht="21">
      <c r="A71" s="38">
        <v>46180</v>
      </c>
      <c r="B71" s="22" t="s">
        <v>84</v>
      </c>
      <c r="C71" s="22" t="s">
        <v>150</v>
      </c>
      <c r="D71" s="22" t="s">
        <v>20</v>
      </c>
      <c r="E71" s="23">
        <v>2</v>
      </c>
      <c r="F71" s="22" t="s">
        <v>11</v>
      </c>
      <c r="G71" s="22" t="s">
        <v>12</v>
      </c>
      <c r="H71" s="22" t="s">
        <v>127</v>
      </c>
      <c r="I71" s="24" t="s">
        <v>14</v>
      </c>
      <c r="J71" s="22" t="str">
        <f t="shared" si="6"/>
        <v>2026</v>
      </c>
      <c r="K71" s="22" t="str">
        <f t="shared" si="7"/>
        <v>2026-06 juin</v>
      </c>
      <c r="L71" s="22" t="str">
        <f t="shared" si="8"/>
        <v>2026-06-07</v>
      </c>
    </row>
    <row r="72" spans="1:12" ht="21">
      <c r="A72" s="38">
        <v>46180</v>
      </c>
      <c r="B72" s="22" t="s">
        <v>151</v>
      </c>
      <c r="C72" s="22" t="s">
        <v>152</v>
      </c>
      <c r="D72" s="22" t="s">
        <v>20</v>
      </c>
      <c r="E72" s="23">
        <v>44</v>
      </c>
      <c r="F72" s="22" t="s">
        <v>153</v>
      </c>
      <c r="G72" s="22" t="s">
        <v>58</v>
      </c>
      <c r="H72" s="22" t="s">
        <v>154</v>
      </c>
      <c r="I72" s="24" t="s">
        <v>14</v>
      </c>
      <c r="J72" s="22" t="str">
        <f t="shared" si="6"/>
        <v>2026</v>
      </c>
      <c r="K72" s="22" t="str">
        <f t="shared" si="7"/>
        <v>2026-06 juin</v>
      </c>
      <c r="L72" s="22" t="str">
        <f t="shared" si="8"/>
        <v>2026-06-07</v>
      </c>
    </row>
    <row r="73" spans="1:12" ht="21">
      <c r="A73" s="38">
        <v>46180</v>
      </c>
      <c r="B73" s="22" t="s">
        <v>155</v>
      </c>
      <c r="C73" s="22" t="s">
        <v>156</v>
      </c>
      <c r="D73" s="22" t="s">
        <v>10</v>
      </c>
      <c r="E73" s="23">
        <v>28</v>
      </c>
      <c r="F73" s="22" t="s">
        <v>153</v>
      </c>
      <c r="G73" s="22" t="s">
        <v>26</v>
      </c>
      <c r="H73" s="22" t="s">
        <v>27</v>
      </c>
      <c r="I73" s="24" t="s">
        <v>14</v>
      </c>
      <c r="J73" s="22" t="str">
        <f t="shared" si="6"/>
        <v>2026</v>
      </c>
      <c r="K73" s="22" t="str">
        <f t="shared" si="7"/>
        <v>2026-06 juin</v>
      </c>
      <c r="L73" s="22" t="str">
        <f t="shared" si="8"/>
        <v>2026-06-07</v>
      </c>
    </row>
    <row r="74" spans="1:12" ht="21">
      <c r="A74" s="38">
        <v>46180</v>
      </c>
      <c r="B74" s="22" t="s">
        <v>155</v>
      </c>
      <c r="C74" s="22" t="s">
        <v>156</v>
      </c>
      <c r="D74" s="22" t="s">
        <v>10</v>
      </c>
      <c r="E74" s="23">
        <v>28</v>
      </c>
      <c r="F74" s="22" t="s">
        <v>153</v>
      </c>
      <c r="G74" s="22" t="s">
        <v>74</v>
      </c>
      <c r="H74" s="22" t="s">
        <v>157</v>
      </c>
      <c r="I74" s="24"/>
      <c r="J74" s="22" t="str">
        <f t="shared" si="6"/>
        <v>2026</v>
      </c>
      <c r="K74" s="22" t="str">
        <f t="shared" si="7"/>
        <v>2026-06 juin</v>
      </c>
      <c r="L74" s="22" t="str">
        <f t="shared" si="8"/>
        <v>2026-06-07</v>
      </c>
    </row>
    <row r="75" spans="1:12" ht="21">
      <c r="A75" s="38">
        <v>46180</v>
      </c>
      <c r="B75" s="22" t="s">
        <v>158</v>
      </c>
      <c r="C75" s="22" t="s">
        <v>159</v>
      </c>
      <c r="D75" s="22" t="s">
        <v>20</v>
      </c>
      <c r="E75" s="23">
        <v>37</v>
      </c>
      <c r="F75" s="22" t="s">
        <v>153</v>
      </c>
      <c r="G75" s="22" t="s">
        <v>26</v>
      </c>
      <c r="H75" s="22" t="s">
        <v>27</v>
      </c>
      <c r="I75" s="24" t="s">
        <v>14</v>
      </c>
      <c r="J75" s="22" t="str">
        <f t="shared" si="6"/>
        <v>2026</v>
      </c>
      <c r="K75" s="22" t="str">
        <f t="shared" si="7"/>
        <v>2026-06 juin</v>
      </c>
      <c r="L75" s="22" t="str">
        <f t="shared" si="8"/>
        <v>2026-06-07</v>
      </c>
    </row>
    <row r="76" spans="1:12" ht="21">
      <c r="A76" s="38">
        <v>46180</v>
      </c>
      <c r="B76" s="22" t="s">
        <v>158</v>
      </c>
      <c r="C76" s="22" t="s">
        <v>159</v>
      </c>
      <c r="D76" s="22" t="s">
        <v>20</v>
      </c>
      <c r="E76" s="23">
        <v>37</v>
      </c>
      <c r="F76" s="22" t="s">
        <v>153</v>
      </c>
      <c r="G76" s="22" t="s">
        <v>87</v>
      </c>
      <c r="H76" s="22" t="s">
        <v>88</v>
      </c>
      <c r="I76" s="24" t="s">
        <v>14</v>
      </c>
      <c r="J76" s="22" t="str">
        <f t="shared" si="6"/>
        <v>2026</v>
      </c>
      <c r="K76" s="22" t="str">
        <f t="shared" si="7"/>
        <v>2026-06 juin</v>
      </c>
      <c r="L76" s="22" t="str">
        <f t="shared" si="8"/>
        <v>2026-06-07</v>
      </c>
    </row>
    <row r="77" spans="1:12" ht="21">
      <c r="A77" s="38">
        <v>46181</v>
      </c>
      <c r="B77" s="22" t="s">
        <v>160</v>
      </c>
      <c r="C77" s="22" t="s">
        <v>161</v>
      </c>
      <c r="D77" s="22" t="s">
        <v>10</v>
      </c>
      <c r="E77" s="23">
        <v>5</v>
      </c>
      <c r="F77" s="22" t="s">
        <v>11</v>
      </c>
      <c r="G77" s="22" t="s">
        <v>12</v>
      </c>
      <c r="H77" s="22" t="s">
        <v>127</v>
      </c>
      <c r="I77" s="24" t="s">
        <v>14</v>
      </c>
      <c r="J77" s="22" t="str">
        <f t="shared" si="6"/>
        <v>2026</v>
      </c>
      <c r="K77" s="22" t="str">
        <f t="shared" si="7"/>
        <v>2026-06 juin</v>
      </c>
      <c r="L77" s="22" t="str">
        <f t="shared" si="8"/>
        <v>2026-06-08</v>
      </c>
    </row>
    <row r="78" spans="1:12" ht="21">
      <c r="A78" s="38">
        <v>46181</v>
      </c>
      <c r="B78" s="22" t="s">
        <v>162</v>
      </c>
      <c r="C78" s="22" t="s">
        <v>161</v>
      </c>
      <c r="D78" s="22" t="s">
        <v>20</v>
      </c>
      <c r="E78" s="23">
        <v>9</v>
      </c>
      <c r="F78" s="22" t="s">
        <v>11</v>
      </c>
      <c r="G78" s="22" t="s">
        <v>12</v>
      </c>
      <c r="H78" s="22" t="s">
        <v>127</v>
      </c>
      <c r="I78" s="24" t="s">
        <v>14</v>
      </c>
      <c r="J78" s="22" t="str">
        <f t="shared" si="6"/>
        <v>2026</v>
      </c>
      <c r="K78" s="22" t="str">
        <f t="shared" si="7"/>
        <v>2026-06 juin</v>
      </c>
      <c r="L78" s="22" t="str">
        <f t="shared" si="8"/>
        <v>2026-06-08</v>
      </c>
    </row>
    <row r="79" spans="1:12" ht="21">
      <c r="A79" s="38">
        <v>46182</v>
      </c>
      <c r="B79" s="22" t="s">
        <v>47</v>
      </c>
      <c r="C79" s="22" t="s">
        <v>48</v>
      </c>
      <c r="D79" s="22" t="s">
        <v>20</v>
      </c>
      <c r="E79" s="23">
        <v>38</v>
      </c>
      <c r="F79" s="22" t="s">
        <v>25</v>
      </c>
      <c r="G79" s="22" t="s">
        <v>30</v>
      </c>
      <c r="H79" s="22" t="s">
        <v>163</v>
      </c>
      <c r="I79" s="24" t="s">
        <v>14</v>
      </c>
      <c r="J79" s="22" t="str">
        <f t="shared" si="6"/>
        <v>2026</v>
      </c>
      <c r="K79" s="22" t="str">
        <f t="shared" si="7"/>
        <v>2026-06 juin</v>
      </c>
      <c r="L79" s="22" t="str">
        <f t="shared" si="8"/>
        <v>2026-06-09</v>
      </c>
    </row>
    <row r="80" spans="1:12" ht="21">
      <c r="A80" s="38">
        <v>46182</v>
      </c>
      <c r="B80" s="22" t="s">
        <v>125</v>
      </c>
      <c r="C80" s="22" t="s">
        <v>164</v>
      </c>
      <c r="D80" s="22" t="s">
        <v>10</v>
      </c>
      <c r="E80" s="23">
        <v>39</v>
      </c>
      <c r="F80" s="22" t="s">
        <v>17</v>
      </c>
      <c r="G80" s="22" t="s">
        <v>12</v>
      </c>
      <c r="H80" s="22" t="s">
        <v>127</v>
      </c>
      <c r="I80" s="24" t="s">
        <v>14</v>
      </c>
      <c r="J80" s="22" t="str">
        <f t="shared" si="6"/>
        <v>2026</v>
      </c>
      <c r="K80" s="22" t="str">
        <f t="shared" si="7"/>
        <v>2026-06 juin</v>
      </c>
      <c r="L80" s="22" t="str">
        <f t="shared" si="8"/>
        <v>2026-06-09</v>
      </c>
    </row>
    <row r="81" spans="1:12" ht="21">
      <c r="A81" s="38">
        <v>46184</v>
      </c>
      <c r="B81" s="22" t="s">
        <v>34</v>
      </c>
      <c r="C81" s="22" t="s">
        <v>165</v>
      </c>
      <c r="D81" s="22" t="s">
        <v>20</v>
      </c>
      <c r="E81" s="23">
        <v>3</v>
      </c>
      <c r="F81" s="22" t="s">
        <v>11</v>
      </c>
      <c r="G81" s="22" t="s">
        <v>26</v>
      </c>
      <c r="H81" s="22" t="s">
        <v>166</v>
      </c>
      <c r="I81" s="24" t="s">
        <v>14</v>
      </c>
      <c r="J81" s="22" t="str">
        <f t="shared" si="6"/>
        <v>2026</v>
      </c>
      <c r="K81" s="22" t="str">
        <f t="shared" si="7"/>
        <v>2026-06 juin</v>
      </c>
      <c r="L81" s="22" t="str">
        <f t="shared" si="8"/>
        <v>2026-06-11</v>
      </c>
    </row>
    <row r="82" spans="1:12" ht="21">
      <c r="A82" s="38">
        <v>46184</v>
      </c>
      <c r="B82" s="22" t="s">
        <v>167</v>
      </c>
      <c r="C82" s="22" t="s">
        <v>168</v>
      </c>
      <c r="D82" s="22" t="s">
        <v>20</v>
      </c>
      <c r="E82" s="23"/>
      <c r="F82" s="22" t="s">
        <v>25</v>
      </c>
      <c r="G82" s="22" t="s">
        <v>74</v>
      </c>
      <c r="H82" s="22" t="s">
        <v>169</v>
      </c>
      <c r="I82" s="24" t="s">
        <v>76</v>
      </c>
      <c r="J82" s="22" t="str">
        <f t="shared" si="6"/>
        <v>2026</v>
      </c>
      <c r="K82" s="22" t="str">
        <f t="shared" si="7"/>
        <v>2026-06 juin</v>
      </c>
      <c r="L82" s="22" t="str">
        <f t="shared" si="8"/>
        <v>2026-06-11</v>
      </c>
    </row>
    <row r="83" spans="1:12" ht="21">
      <c r="A83" s="38">
        <v>46184</v>
      </c>
      <c r="B83" s="22" t="s">
        <v>91</v>
      </c>
      <c r="C83" s="22" t="s">
        <v>140</v>
      </c>
      <c r="D83" s="22" t="s">
        <v>20</v>
      </c>
      <c r="E83" s="23">
        <v>13</v>
      </c>
      <c r="F83" s="22" t="s">
        <v>11</v>
      </c>
      <c r="G83" s="22" t="s">
        <v>12</v>
      </c>
      <c r="H83" s="22" t="s">
        <v>127</v>
      </c>
      <c r="I83" s="24" t="s">
        <v>14</v>
      </c>
      <c r="J83" s="22" t="str">
        <f t="shared" si="6"/>
        <v>2026</v>
      </c>
      <c r="K83" s="22" t="str">
        <f t="shared" si="7"/>
        <v>2026-06 juin</v>
      </c>
      <c r="L83" s="22" t="str">
        <f t="shared" si="8"/>
        <v>2026-06-11</v>
      </c>
    </row>
    <row r="84" spans="1:12" ht="21">
      <c r="A84" s="38">
        <v>46185</v>
      </c>
      <c r="B84" s="22" t="s">
        <v>170</v>
      </c>
      <c r="C84" s="22"/>
      <c r="D84" s="22" t="s">
        <v>10</v>
      </c>
      <c r="E84" s="23">
        <v>23</v>
      </c>
      <c r="F84" s="22" t="s">
        <v>171</v>
      </c>
      <c r="G84" s="22" t="s">
        <v>172</v>
      </c>
      <c r="H84" s="22" t="s">
        <v>173</v>
      </c>
      <c r="I84" s="24" t="s">
        <v>14</v>
      </c>
      <c r="J84" s="22" t="str">
        <f t="shared" si="6"/>
        <v>2026</v>
      </c>
      <c r="K84" s="22" t="str">
        <f t="shared" si="7"/>
        <v>2026-06 juin</v>
      </c>
      <c r="L84" s="22" t="str">
        <f t="shared" si="8"/>
        <v>2026-06-12</v>
      </c>
    </row>
    <row r="85" spans="1:12" ht="21">
      <c r="A85" s="38">
        <v>46186</v>
      </c>
      <c r="B85" s="22" t="s">
        <v>174</v>
      </c>
      <c r="C85" s="22" t="s">
        <v>175</v>
      </c>
      <c r="D85" s="22" t="s">
        <v>20</v>
      </c>
      <c r="E85" s="23">
        <v>4</v>
      </c>
      <c r="F85" s="22" t="s">
        <v>11</v>
      </c>
      <c r="G85" s="22" t="s">
        <v>176</v>
      </c>
      <c r="H85" s="22" t="s">
        <v>177</v>
      </c>
      <c r="I85" s="24" t="s">
        <v>76</v>
      </c>
      <c r="J85" s="22" t="str">
        <f t="shared" si="6"/>
        <v>2026</v>
      </c>
      <c r="K85" s="22" t="str">
        <f t="shared" si="7"/>
        <v>2026-06 juin</v>
      </c>
      <c r="L85" s="22" t="str">
        <f t="shared" si="8"/>
        <v>2026-06-13</v>
      </c>
    </row>
    <row r="86" spans="1:12" ht="21">
      <c r="A86" s="38">
        <v>46186</v>
      </c>
      <c r="B86" s="22" t="s">
        <v>178</v>
      </c>
      <c r="C86" s="22" t="s">
        <v>179</v>
      </c>
      <c r="D86" s="22" t="s">
        <v>20</v>
      </c>
      <c r="E86" s="23">
        <v>5</v>
      </c>
      <c r="F86" s="22" t="s">
        <v>11</v>
      </c>
      <c r="G86" s="22" t="s">
        <v>26</v>
      </c>
      <c r="H86" s="22" t="s">
        <v>180</v>
      </c>
      <c r="I86" s="24" t="s">
        <v>14</v>
      </c>
      <c r="J86" s="22" t="str">
        <f t="shared" si="6"/>
        <v>2026</v>
      </c>
      <c r="K86" s="22" t="str">
        <f t="shared" si="7"/>
        <v>2026-06 juin</v>
      </c>
      <c r="L86" s="22" t="str">
        <f t="shared" si="8"/>
        <v>2026-06-13</v>
      </c>
    </row>
    <row r="87" spans="1:12" ht="21">
      <c r="A87" s="38">
        <v>46186</v>
      </c>
      <c r="B87" s="22" t="s">
        <v>181</v>
      </c>
      <c r="C87" s="22" t="s">
        <v>182</v>
      </c>
      <c r="D87" s="22" t="s">
        <v>20</v>
      </c>
      <c r="E87" s="23">
        <v>38</v>
      </c>
      <c r="F87" s="22" t="s">
        <v>17</v>
      </c>
      <c r="G87" s="22" t="s">
        <v>26</v>
      </c>
      <c r="H87" s="22" t="s">
        <v>27</v>
      </c>
      <c r="I87" s="24" t="s">
        <v>14</v>
      </c>
      <c r="J87" s="22" t="str">
        <f t="shared" si="6"/>
        <v>2026</v>
      </c>
      <c r="K87" s="22" t="str">
        <f t="shared" si="7"/>
        <v>2026-06 juin</v>
      </c>
      <c r="L87" s="22" t="str">
        <f t="shared" si="8"/>
        <v>2026-06-13</v>
      </c>
    </row>
    <row r="88" spans="1:12" ht="21">
      <c r="A88" s="38">
        <v>46186</v>
      </c>
      <c r="B88" s="22" t="s">
        <v>86</v>
      </c>
      <c r="C88" s="22" t="s">
        <v>183</v>
      </c>
      <c r="D88" s="22" t="s">
        <v>20</v>
      </c>
      <c r="E88" s="23">
        <v>3</v>
      </c>
      <c r="F88" s="22" t="s">
        <v>11</v>
      </c>
      <c r="G88" s="22" t="s">
        <v>184</v>
      </c>
      <c r="H88" s="22" t="s">
        <v>177</v>
      </c>
      <c r="I88" s="24" t="s">
        <v>76</v>
      </c>
      <c r="J88" s="22" t="str">
        <f t="shared" si="6"/>
        <v>2026</v>
      </c>
      <c r="K88" s="22" t="str">
        <f t="shared" si="7"/>
        <v>2026-06 juin</v>
      </c>
      <c r="L88" s="22" t="str">
        <f t="shared" si="8"/>
        <v>2026-06-13</v>
      </c>
    </row>
    <row r="89" spans="1:12" ht="21">
      <c r="A89" s="38">
        <v>46186</v>
      </c>
      <c r="B89" s="22" t="s">
        <v>86</v>
      </c>
      <c r="C89" s="22" t="s">
        <v>185</v>
      </c>
      <c r="D89" s="22" t="s">
        <v>20</v>
      </c>
      <c r="E89" s="23">
        <v>5</v>
      </c>
      <c r="F89" s="22" t="s">
        <v>11</v>
      </c>
      <c r="G89" s="22" t="s">
        <v>184</v>
      </c>
      <c r="H89" s="22" t="s">
        <v>186</v>
      </c>
      <c r="I89" s="24" t="s">
        <v>76</v>
      </c>
      <c r="J89" s="22" t="str">
        <f t="shared" si="6"/>
        <v>2026</v>
      </c>
      <c r="K89" s="22" t="str">
        <f t="shared" si="7"/>
        <v>2026-06 juin</v>
      </c>
      <c r="L89" s="22" t="str">
        <f t="shared" si="8"/>
        <v>2026-06-13</v>
      </c>
    </row>
    <row r="90" spans="1:12" ht="21">
      <c r="A90" s="38">
        <v>46187</v>
      </c>
      <c r="B90" s="22" t="s">
        <v>187</v>
      </c>
      <c r="C90" s="22" t="s">
        <v>188</v>
      </c>
      <c r="D90" s="22" t="s">
        <v>20</v>
      </c>
      <c r="E90" s="23">
        <v>35</v>
      </c>
      <c r="F90" s="22" t="s">
        <v>25</v>
      </c>
      <c r="G90" s="22" t="s">
        <v>26</v>
      </c>
      <c r="H90" s="22" t="s">
        <v>189</v>
      </c>
      <c r="I90" s="24" t="s">
        <v>14</v>
      </c>
      <c r="J90" s="22" t="str">
        <f t="shared" si="6"/>
        <v>2026</v>
      </c>
      <c r="K90" s="22" t="str">
        <f t="shared" si="7"/>
        <v>2026-06 juin</v>
      </c>
      <c r="L90" s="22" t="str">
        <f t="shared" si="8"/>
        <v>2026-06-14</v>
      </c>
    </row>
    <row r="91" spans="1:12" ht="21">
      <c r="A91" s="38">
        <v>46188</v>
      </c>
      <c r="B91" s="22" t="s">
        <v>190</v>
      </c>
      <c r="C91" s="22" t="s">
        <v>191</v>
      </c>
      <c r="D91" s="22" t="s">
        <v>20</v>
      </c>
      <c r="E91" s="23">
        <v>24</v>
      </c>
      <c r="F91" s="22" t="s">
        <v>192</v>
      </c>
      <c r="G91" s="22" t="s">
        <v>26</v>
      </c>
      <c r="H91" s="22" t="s">
        <v>27</v>
      </c>
      <c r="I91" s="24" t="s">
        <v>14</v>
      </c>
      <c r="J91" s="22" t="str">
        <f t="shared" si="6"/>
        <v>2026</v>
      </c>
      <c r="K91" s="22" t="str">
        <f t="shared" si="7"/>
        <v>2026-06 juin</v>
      </c>
      <c r="L91" s="22" t="str">
        <f t="shared" si="8"/>
        <v>2026-06-15</v>
      </c>
    </row>
    <row r="92" spans="1:12" ht="21">
      <c r="A92" s="38">
        <v>46188</v>
      </c>
      <c r="B92" s="22" t="s">
        <v>193</v>
      </c>
      <c r="C92" s="22" t="s">
        <v>194</v>
      </c>
      <c r="D92" s="22" t="s">
        <v>20</v>
      </c>
      <c r="E92" s="23">
        <v>48</v>
      </c>
      <c r="F92" s="22" t="s">
        <v>17</v>
      </c>
      <c r="G92" s="22" t="s">
        <v>172</v>
      </c>
      <c r="H92" s="22" t="s">
        <v>195</v>
      </c>
      <c r="I92" s="24" t="s">
        <v>14</v>
      </c>
      <c r="J92" s="22" t="str">
        <f t="shared" si="6"/>
        <v>2026</v>
      </c>
      <c r="K92" s="22" t="str">
        <f t="shared" si="7"/>
        <v>2026-06 juin</v>
      </c>
      <c r="L92" s="22" t="str">
        <f t="shared" si="8"/>
        <v>2026-06-15</v>
      </c>
    </row>
    <row r="93" spans="1:12" ht="21">
      <c r="A93" s="38">
        <v>46190</v>
      </c>
      <c r="B93" s="25" t="s">
        <v>196</v>
      </c>
      <c r="C93" s="25" t="s">
        <v>197</v>
      </c>
      <c r="D93" s="25" t="s">
        <v>20</v>
      </c>
      <c r="E93" s="26">
        <v>35</v>
      </c>
      <c r="F93" s="25" t="s">
        <v>17</v>
      </c>
      <c r="G93" s="25" t="s">
        <v>12</v>
      </c>
      <c r="H93" s="25" t="s">
        <v>198</v>
      </c>
      <c r="I93" s="28" t="s">
        <v>14</v>
      </c>
      <c r="J93" s="22" t="str">
        <f t="shared" si="6"/>
        <v>2026</v>
      </c>
      <c r="K93" s="22" t="str">
        <f t="shared" si="7"/>
        <v>2026-06 juin</v>
      </c>
      <c r="L93" s="22" t="str">
        <f t="shared" si="8"/>
        <v>2026-06-17</v>
      </c>
    </row>
    <row r="94" spans="1:12" ht="21">
      <c r="A94" s="38">
        <v>46189</v>
      </c>
      <c r="B94" s="22" t="s">
        <v>199</v>
      </c>
      <c r="C94" s="22" t="s">
        <v>200</v>
      </c>
      <c r="D94" s="22" t="s">
        <v>20</v>
      </c>
      <c r="E94" s="23">
        <v>27</v>
      </c>
      <c r="F94" s="22" t="s">
        <v>25</v>
      </c>
      <c r="G94" s="22" t="s">
        <v>26</v>
      </c>
      <c r="H94" s="22" t="s">
        <v>201</v>
      </c>
      <c r="I94" s="24" t="s">
        <v>14</v>
      </c>
      <c r="J94" s="22" t="str">
        <f t="shared" si="6"/>
        <v>2026</v>
      </c>
      <c r="K94" s="22" t="str">
        <f t="shared" si="7"/>
        <v>2026-06 juin</v>
      </c>
      <c r="L94" s="22" t="str">
        <f t="shared" si="8"/>
        <v>2026-06-16</v>
      </c>
    </row>
    <row r="95" spans="1:12" ht="21">
      <c r="A95" s="38">
        <v>46190</v>
      </c>
      <c r="B95" s="22" t="s">
        <v>202</v>
      </c>
      <c r="C95" s="22" t="s">
        <v>16</v>
      </c>
      <c r="D95" s="22" t="s">
        <v>10</v>
      </c>
      <c r="E95" s="23">
        <v>32</v>
      </c>
      <c r="F95" s="22" t="s">
        <v>17</v>
      </c>
      <c r="G95" s="22" t="s">
        <v>26</v>
      </c>
      <c r="H95" s="22" t="s">
        <v>201</v>
      </c>
      <c r="I95" s="24" t="s">
        <v>14</v>
      </c>
      <c r="J95" s="22" t="str">
        <f t="shared" si="6"/>
        <v>2026</v>
      </c>
      <c r="K95" s="22" t="str">
        <f t="shared" si="7"/>
        <v>2026-06 juin</v>
      </c>
      <c r="L95" s="22" t="str">
        <f t="shared" si="8"/>
        <v>2026-06-17</v>
      </c>
    </row>
    <row r="96" spans="1:12" ht="21">
      <c r="A96" s="35">
        <v>46191</v>
      </c>
      <c r="B96" s="25" t="s">
        <v>102</v>
      </c>
      <c r="C96" s="25" t="s">
        <v>103</v>
      </c>
      <c r="D96" s="25" t="s">
        <v>20</v>
      </c>
      <c r="E96" s="26">
        <v>24</v>
      </c>
      <c r="F96" s="25" t="s">
        <v>25</v>
      </c>
      <c r="G96" s="25" t="s">
        <v>26</v>
      </c>
      <c r="H96" s="25" t="s">
        <v>201</v>
      </c>
      <c r="I96" s="28" t="s">
        <v>14</v>
      </c>
      <c r="J96" s="22" t="str">
        <f t="shared" si="6"/>
        <v>2026</v>
      </c>
      <c r="K96" s="22" t="str">
        <f t="shared" si="7"/>
        <v>2026-06 juin</v>
      </c>
      <c r="L96" s="22" t="str">
        <f t="shared" si="8"/>
        <v>2026-06-18</v>
      </c>
    </row>
    <row r="97" spans="1:12" ht="21">
      <c r="A97" s="38">
        <v>46191</v>
      </c>
      <c r="B97" s="22" t="s">
        <v>179</v>
      </c>
      <c r="C97" s="22" t="s">
        <v>203</v>
      </c>
      <c r="D97" s="22" t="s">
        <v>10</v>
      </c>
      <c r="E97" s="23">
        <v>56</v>
      </c>
      <c r="F97" s="22" t="s">
        <v>17</v>
      </c>
      <c r="G97" s="22" t="s">
        <v>26</v>
      </c>
      <c r="H97" s="22" t="s">
        <v>201</v>
      </c>
      <c r="I97" s="24" t="s">
        <v>14</v>
      </c>
      <c r="J97" s="22" t="str">
        <f t="shared" si="6"/>
        <v>2026</v>
      </c>
      <c r="K97" s="22" t="str">
        <f t="shared" si="7"/>
        <v>2026-06 juin</v>
      </c>
      <c r="L97" s="22" t="str">
        <f t="shared" si="8"/>
        <v>2026-06-18</v>
      </c>
    </row>
    <row r="98" spans="1:12" ht="21">
      <c r="A98" s="38">
        <v>46193</v>
      </c>
      <c r="B98" s="22" t="s">
        <v>203</v>
      </c>
      <c r="C98" s="22" t="s">
        <v>204</v>
      </c>
      <c r="D98" s="22" t="s">
        <v>10</v>
      </c>
      <c r="E98" s="23">
        <v>54</v>
      </c>
      <c r="F98" s="22" t="s">
        <v>81</v>
      </c>
      <c r="G98" s="22" t="s">
        <v>26</v>
      </c>
      <c r="H98" s="22" t="s">
        <v>201</v>
      </c>
      <c r="I98" s="24" t="s">
        <v>14</v>
      </c>
      <c r="J98" s="22" t="str">
        <f t="shared" ref="J98:J129" si="9">TEXT(A98,"yyyy")</f>
        <v>2026</v>
      </c>
      <c r="K98" s="22" t="str">
        <f t="shared" ref="K98:K129" si="10">TEXT(A98,"yyyy-mm")&amp;" "&amp;TEXT(A98,"mmmm")</f>
        <v>2026-06 juin</v>
      </c>
      <c r="L98" s="22" t="str">
        <f t="shared" ref="L98:L129" si="11">TEXT(A98,"yyyy-mm-dd")</f>
        <v>2026-06-20</v>
      </c>
    </row>
    <row r="99" spans="1:12" ht="21">
      <c r="A99" s="38">
        <v>46195</v>
      </c>
      <c r="B99" s="22" t="s">
        <v>205</v>
      </c>
      <c r="C99" s="22" t="s">
        <v>206</v>
      </c>
      <c r="D99" s="22" t="s">
        <v>20</v>
      </c>
      <c r="E99" s="23">
        <v>8</v>
      </c>
      <c r="F99" s="22" t="s">
        <v>11</v>
      </c>
      <c r="G99" s="22" t="s">
        <v>26</v>
      </c>
      <c r="H99" s="22" t="s">
        <v>201</v>
      </c>
      <c r="I99" s="24" t="s">
        <v>14</v>
      </c>
      <c r="J99" s="22" t="str">
        <f t="shared" si="9"/>
        <v>2026</v>
      </c>
      <c r="K99" s="22" t="str">
        <f t="shared" si="10"/>
        <v>2026-06 juin</v>
      </c>
      <c r="L99" s="22" t="str">
        <f t="shared" si="11"/>
        <v>2026-06-22</v>
      </c>
    </row>
    <row r="100" spans="1:12" ht="21">
      <c r="A100" s="38">
        <v>46195</v>
      </c>
      <c r="B100" s="22" t="s">
        <v>207</v>
      </c>
      <c r="C100" s="22" t="s">
        <v>208</v>
      </c>
      <c r="D100" s="22" t="s">
        <v>10</v>
      </c>
      <c r="E100" s="23">
        <v>30</v>
      </c>
      <c r="F100" s="22" t="s">
        <v>17</v>
      </c>
      <c r="G100" s="22" t="s">
        <v>26</v>
      </c>
      <c r="H100" s="22" t="s">
        <v>209</v>
      </c>
      <c r="I100" s="24" t="s">
        <v>14</v>
      </c>
      <c r="J100" s="22" t="str">
        <f t="shared" si="9"/>
        <v>2026</v>
      </c>
      <c r="K100" s="22" t="str">
        <f t="shared" si="10"/>
        <v>2026-06 juin</v>
      </c>
      <c r="L100" s="22" t="str">
        <f t="shared" si="11"/>
        <v>2026-06-22</v>
      </c>
    </row>
    <row r="101" spans="1:12" ht="21">
      <c r="A101" s="38">
        <v>46196</v>
      </c>
      <c r="B101" s="22" t="s">
        <v>210</v>
      </c>
      <c r="C101" s="22" t="s">
        <v>211</v>
      </c>
      <c r="D101" s="22" t="s">
        <v>10</v>
      </c>
      <c r="E101" s="23"/>
      <c r="F101" s="22" t="s">
        <v>17</v>
      </c>
      <c r="G101" s="22" t="s">
        <v>26</v>
      </c>
      <c r="H101" s="22" t="s">
        <v>201</v>
      </c>
      <c r="I101" s="24" t="s">
        <v>14</v>
      </c>
      <c r="J101" s="22" t="str">
        <f t="shared" si="9"/>
        <v>2026</v>
      </c>
      <c r="K101" s="22" t="str">
        <f t="shared" si="10"/>
        <v>2026-06 juin</v>
      </c>
      <c r="L101" s="22" t="str">
        <f t="shared" si="11"/>
        <v>2026-06-23</v>
      </c>
    </row>
    <row r="102" spans="1:12" ht="21">
      <c r="A102" s="38">
        <v>46196</v>
      </c>
      <c r="B102" s="22" t="s">
        <v>93</v>
      </c>
      <c r="C102" s="22" t="s">
        <v>212</v>
      </c>
      <c r="D102" s="22" t="s">
        <v>20</v>
      </c>
      <c r="E102" s="23">
        <v>1</v>
      </c>
      <c r="F102" s="22" t="s">
        <v>11</v>
      </c>
      <c r="G102" s="22" t="s">
        <v>12</v>
      </c>
      <c r="H102" s="22" t="s">
        <v>213</v>
      </c>
      <c r="I102" s="24" t="s">
        <v>14</v>
      </c>
      <c r="J102" s="22" t="str">
        <f t="shared" si="9"/>
        <v>2026</v>
      </c>
      <c r="K102" s="22" t="str">
        <f t="shared" si="10"/>
        <v>2026-06 juin</v>
      </c>
      <c r="L102" s="22" t="str">
        <f t="shared" si="11"/>
        <v>2026-06-23</v>
      </c>
    </row>
    <row r="103" spans="1:12" ht="21">
      <c r="A103" s="38">
        <v>46200</v>
      </c>
      <c r="B103" s="22" t="s">
        <v>214</v>
      </c>
      <c r="C103" s="22" t="s">
        <v>8</v>
      </c>
      <c r="D103" s="22" t="s">
        <v>10</v>
      </c>
      <c r="E103" s="23">
        <v>30</v>
      </c>
      <c r="F103" s="22" t="s">
        <v>17</v>
      </c>
      <c r="G103" s="22" t="s">
        <v>215</v>
      </c>
      <c r="H103" s="22" t="s">
        <v>216</v>
      </c>
      <c r="I103" s="24" t="s">
        <v>106</v>
      </c>
      <c r="J103" s="22" t="str">
        <f t="shared" si="9"/>
        <v>2026</v>
      </c>
      <c r="K103" s="22" t="str">
        <f t="shared" si="10"/>
        <v>2026-06 juin</v>
      </c>
      <c r="L103" s="22" t="str">
        <f t="shared" si="11"/>
        <v>2026-06-27</v>
      </c>
    </row>
    <row r="104" spans="1:12" ht="21">
      <c r="A104" s="35">
        <v>46200</v>
      </c>
      <c r="B104" s="25" t="s">
        <v>217</v>
      </c>
      <c r="C104" s="25"/>
      <c r="D104" s="25" t="s">
        <v>20</v>
      </c>
      <c r="E104" s="26">
        <v>4</v>
      </c>
      <c r="F104" s="25" t="s">
        <v>11</v>
      </c>
      <c r="G104" s="25" t="s">
        <v>218</v>
      </c>
      <c r="H104" s="25" t="s">
        <v>219</v>
      </c>
      <c r="I104" s="28" t="s">
        <v>14</v>
      </c>
      <c r="J104" s="22" t="str">
        <f t="shared" si="9"/>
        <v>2026</v>
      </c>
      <c r="K104" s="22" t="str">
        <f t="shared" si="10"/>
        <v>2026-06 juin</v>
      </c>
      <c r="L104" s="22" t="str">
        <f t="shared" si="11"/>
        <v>2026-06-27</v>
      </c>
    </row>
    <row r="105" spans="1:12" ht="21">
      <c r="A105" s="38">
        <v>46200</v>
      </c>
      <c r="B105" s="22" t="s">
        <v>77</v>
      </c>
      <c r="C105" s="22" t="s">
        <v>78</v>
      </c>
      <c r="D105" s="22" t="s">
        <v>20</v>
      </c>
      <c r="E105" s="23">
        <v>38</v>
      </c>
      <c r="F105" s="22" t="s">
        <v>25</v>
      </c>
      <c r="G105" s="22" t="s">
        <v>30</v>
      </c>
      <c r="H105" s="22" t="s">
        <v>220</v>
      </c>
      <c r="I105" s="24" t="s">
        <v>221</v>
      </c>
      <c r="J105" s="22" t="str">
        <f t="shared" si="9"/>
        <v>2026</v>
      </c>
      <c r="K105" s="22" t="str">
        <f t="shared" si="10"/>
        <v>2026-06 juin</v>
      </c>
      <c r="L105" s="22" t="str">
        <f t="shared" si="11"/>
        <v>2026-06-27</v>
      </c>
    </row>
    <row r="106" spans="1:12" ht="21">
      <c r="A106" s="38">
        <v>46200</v>
      </c>
      <c r="B106" s="22" t="s">
        <v>222</v>
      </c>
      <c r="C106" s="22" t="s">
        <v>223</v>
      </c>
      <c r="D106" s="22" t="s">
        <v>10</v>
      </c>
      <c r="E106" s="23">
        <v>15</v>
      </c>
      <c r="F106" s="22" t="s">
        <v>11</v>
      </c>
      <c r="G106" s="22" t="s">
        <v>224</v>
      </c>
      <c r="H106" s="22" t="s">
        <v>225</v>
      </c>
      <c r="I106" s="24" t="s">
        <v>106</v>
      </c>
      <c r="J106" s="22" t="str">
        <f t="shared" si="9"/>
        <v>2026</v>
      </c>
      <c r="K106" s="22" t="str">
        <f t="shared" si="10"/>
        <v>2026-06 juin</v>
      </c>
      <c r="L106" s="22" t="str">
        <f t="shared" si="11"/>
        <v>2026-06-27</v>
      </c>
    </row>
    <row r="107" spans="1:12" ht="21">
      <c r="A107" s="38">
        <v>46200</v>
      </c>
      <c r="B107" s="22" t="s">
        <v>226</v>
      </c>
      <c r="C107" s="22" t="s">
        <v>227</v>
      </c>
      <c r="D107" s="22" t="s">
        <v>20</v>
      </c>
      <c r="E107" s="23">
        <v>15</v>
      </c>
      <c r="F107" s="22" t="s">
        <v>11</v>
      </c>
      <c r="G107" s="22" t="s">
        <v>12</v>
      </c>
      <c r="H107" s="22" t="s">
        <v>213</v>
      </c>
      <c r="I107" s="24" t="s">
        <v>14</v>
      </c>
      <c r="J107" s="22" t="str">
        <f t="shared" si="9"/>
        <v>2026</v>
      </c>
      <c r="K107" s="22" t="str">
        <f t="shared" si="10"/>
        <v>2026-06 juin</v>
      </c>
      <c r="L107" s="22" t="str">
        <f t="shared" si="11"/>
        <v>2026-06-27</v>
      </c>
    </row>
    <row r="108" spans="1:12" ht="21">
      <c r="A108" s="38">
        <v>46201</v>
      </c>
      <c r="B108" s="22" t="s">
        <v>115</v>
      </c>
      <c r="C108" s="22" t="s">
        <v>228</v>
      </c>
      <c r="D108" s="22" t="s">
        <v>10</v>
      </c>
      <c r="E108" s="23">
        <v>9</v>
      </c>
      <c r="F108" s="22" t="s">
        <v>11</v>
      </c>
      <c r="G108" s="22" t="s">
        <v>26</v>
      </c>
      <c r="H108" s="22" t="s">
        <v>229</v>
      </c>
      <c r="I108" s="24" t="s">
        <v>14</v>
      </c>
      <c r="J108" s="22" t="str">
        <f t="shared" si="9"/>
        <v>2026</v>
      </c>
      <c r="K108" s="22" t="str">
        <f t="shared" si="10"/>
        <v>2026-06 juin</v>
      </c>
      <c r="L108" s="22" t="str">
        <f t="shared" si="11"/>
        <v>2026-06-28</v>
      </c>
    </row>
    <row r="109" spans="1:12" ht="21">
      <c r="A109" s="38">
        <v>46201</v>
      </c>
      <c r="B109" s="22" t="s">
        <v>115</v>
      </c>
      <c r="C109" s="22" t="s">
        <v>230</v>
      </c>
      <c r="D109" s="22" t="s">
        <v>10</v>
      </c>
      <c r="E109" s="23">
        <v>18</v>
      </c>
      <c r="F109" s="22" t="s">
        <v>11</v>
      </c>
      <c r="G109" s="22" t="s">
        <v>26</v>
      </c>
      <c r="H109" s="22" t="s">
        <v>201</v>
      </c>
      <c r="I109" s="24" t="s">
        <v>14</v>
      </c>
      <c r="J109" s="22" t="str">
        <f t="shared" si="9"/>
        <v>2026</v>
      </c>
      <c r="K109" s="22" t="str">
        <f t="shared" si="10"/>
        <v>2026-06 juin</v>
      </c>
      <c r="L109" s="22" t="str">
        <f t="shared" si="11"/>
        <v>2026-06-28</v>
      </c>
    </row>
    <row r="110" spans="1:12" ht="21">
      <c r="A110" s="38">
        <v>46201</v>
      </c>
      <c r="B110" s="22" t="s">
        <v>222</v>
      </c>
      <c r="C110" s="22" t="s">
        <v>223</v>
      </c>
      <c r="D110" s="22" t="s">
        <v>10</v>
      </c>
      <c r="E110" s="23">
        <v>15</v>
      </c>
      <c r="F110" s="22" t="s">
        <v>11</v>
      </c>
      <c r="G110" s="22" t="s">
        <v>21</v>
      </c>
      <c r="H110" s="22" t="s">
        <v>22</v>
      </c>
      <c r="I110" s="24" t="s">
        <v>14</v>
      </c>
      <c r="J110" s="22" t="str">
        <f t="shared" si="9"/>
        <v>2026</v>
      </c>
      <c r="K110" s="22" t="str">
        <f t="shared" si="10"/>
        <v>2026-06 juin</v>
      </c>
      <c r="L110" s="22" t="str">
        <f t="shared" si="11"/>
        <v>2026-06-28</v>
      </c>
    </row>
    <row r="111" spans="1:12" ht="21">
      <c r="A111" s="35">
        <v>46202</v>
      </c>
      <c r="B111" s="25" t="s">
        <v>187</v>
      </c>
      <c r="C111" s="25" t="s">
        <v>317</v>
      </c>
      <c r="D111" s="25" t="s">
        <v>20</v>
      </c>
      <c r="E111" s="26">
        <v>38</v>
      </c>
      <c r="F111" s="25" t="s">
        <v>25</v>
      </c>
      <c r="G111" s="25" t="s">
        <v>231</v>
      </c>
      <c r="H111" s="25" t="s">
        <v>232</v>
      </c>
      <c r="I111" s="28" t="s">
        <v>14</v>
      </c>
      <c r="J111" s="22" t="str">
        <f t="shared" si="9"/>
        <v>2026</v>
      </c>
      <c r="K111" s="22" t="str">
        <f t="shared" si="10"/>
        <v>2026-06 juin</v>
      </c>
      <c r="L111" s="22" t="str">
        <f t="shared" si="11"/>
        <v>2026-06-29</v>
      </c>
    </row>
    <row r="112" spans="1:12" ht="21">
      <c r="A112" s="38">
        <v>46204</v>
      </c>
      <c r="B112" s="22" t="s">
        <v>233</v>
      </c>
      <c r="C112" s="22" t="s">
        <v>234</v>
      </c>
      <c r="D112" s="22" t="s">
        <v>10</v>
      </c>
      <c r="E112" s="23">
        <v>63</v>
      </c>
      <c r="F112" s="22" t="s">
        <v>17</v>
      </c>
      <c r="G112" s="22" t="s">
        <v>235</v>
      </c>
      <c r="H112" s="22" t="s">
        <v>236</v>
      </c>
      <c r="I112" s="24" t="s">
        <v>14</v>
      </c>
      <c r="J112" s="22" t="str">
        <f t="shared" si="9"/>
        <v>2026</v>
      </c>
      <c r="K112" s="22" t="str">
        <f t="shared" si="10"/>
        <v>2026-07 juillet</v>
      </c>
      <c r="L112" s="22" t="str">
        <f t="shared" si="11"/>
        <v>2026-07-01</v>
      </c>
    </row>
    <row r="113" spans="1:12" ht="21">
      <c r="A113" s="38">
        <v>46204</v>
      </c>
      <c r="B113" s="22" t="s">
        <v>237</v>
      </c>
      <c r="C113" s="22" t="s">
        <v>238</v>
      </c>
      <c r="D113" s="22" t="s">
        <v>10</v>
      </c>
      <c r="E113" s="23">
        <v>45</v>
      </c>
      <c r="F113" s="22" t="s">
        <v>17</v>
      </c>
      <c r="G113" s="22" t="s">
        <v>131</v>
      </c>
      <c r="H113" s="22" t="s">
        <v>239</v>
      </c>
      <c r="I113" s="24" t="s">
        <v>14</v>
      </c>
      <c r="J113" s="22" t="str">
        <f t="shared" si="9"/>
        <v>2026</v>
      </c>
      <c r="K113" s="22" t="str">
        <f t="shared" si="10"/>
        <v>2026-07 juillet</v>
      </c>
      <c r="L113" s="22" t="str">
        <f t="shared" si="11"/>
        <v>2026-07-01</v>
      </c>
    </row>
    <row r="114" spans="1:12" ht="21">
      <c r="A114" s="38">
        <v>46204</v>
      </c>
      <c r="B114" s="22" t="s">
        <v>240</v>
      </c>
      <c r="C114" s="22" t="s">
        <v>241</v>
      </c>
      <c r="D114" s="22" t="s">
        <v>10</v>
      </c>
      <c r="E114" s="23">
        <v>47</v>
      </c>
      <c r="F114" s="22" t="s">
        <v>242</v>
      </c>
      <c r="G114" s="22" t="s">
        <v>243</v>
      </c>
      <c r="H114" s="22" t="s">
        <v>216</v>
      </c>
      <c r="I114" s="24" t="s">
        <v>106</v>
      </c>
      <c r="J114" s="22" t="str">
        <f t="shared" si="9"/>
        <v>2026</v>
      </c>
      <c r="K114" s="22" t="str">
        <f t="shared" si="10"/>
        <v>2026-07 juillet</v>
      </c>
      <c r="L114" s="22" t="str">
        <f t="shared" si="11"/>
        <v>2026-07-01</v>
      </c>
    </row>
    <row r="115" spans="1:12" ht="21">
      <c r="A115" s="38">
        <v>46205</v>
      </c>
      <c r="B115" s="22" t="s">
        <v>244</v>
      </c>
      <c r="C115" s="22" t="s">
        <v>245</v>
      </c>
      <c r="D115" s="22" t="s">
        <v>20</v>
      </c>
      <c r="E115" s="23">
        <v>27</v>
      </c>
      <c r="F115" s="22" t="s">
        <v>81</v>
      </c>
      <c r="G115" s="22" t="s">
        <v>246</v>
      </c>
      <c r="H115" s="22" t="s">
        <v>247</v>
      </c>
      <c r="I115" s="24" t="s">
        <v>14</v>
      </c>
      <c r="J115" s="22" t="str">
        <f t="shared" si="9"/>
        <v>2026</v>
      </c>
      <c r="K115" s="22" t="str">
        <f t="shared" si="10"/>
        <v>2026-07 juillet</v>
      </c>
      <c r="L115" s="22" t="str">
        <f t="shared" si="11"/>
        <v>2026-07-02</v>
      </c>
    </row>
    <row r="116" spans="1:12" ht="21">
      <c r="A116" s="38">
        <v>46205</v>
      </c>
      <c r="B116" s="22" t="s">
        <v>248</v>
      </c>
      <c r="C116" s="22" t="s">
        <v>249</v>
      </c>
      <c r="D116" s="22" t="s">
        <v>10</v>
      </c>
      <c r="E116" s="23">
        <v>65</v>
      </c>
      <c r="F116" s="22" t="s">
        <v>250</v>
      </c>
      <c r="G116" s="22" t="s">
        <v>251</v>
      </c>
      <c r="H116" s="22" t="s">
        <v>252</v>
      </c>
      <c r="I116" s="24" t="s">
        <v>14</v>
      </c>
      <c r="J116" s="22" t="str">
        <f t="shared" si="9"/>
        <v>2026</v>
      </c>
      <c r="K116" s="22" t="str">
        <f t="shared" si="10"/>
        <v>2026-07 juillet</v>
      </c>
      <c r="L116" s="22" t="str">
        <f t="shared" si="11"/>
        <v>2026-07-02</v>
      </c>
    </row>
    <row r="117" spans="1:12" ht="21">
      <c r="A117" s="38">
        <v>46205</v>
      </c>
      <c r="B117" s="22" t="s">
        <v>253</v>
      </c>
      <c r="C117" s="22" t="s">
        <v>72</v>
      </c>
      <c r="D117" s="22" t="s">
        <v>10</v>
      </c>
      <c r="E117" s="23">
        <v>43</v>
      </c>
      <c r="F117" s="22" t="s">
        <v>254</v>
      </c>
      <c r="G117" s="22" t="s">
        <v>255</v>
      </c>
      <c r="H117" s="22" t="s">
        <v>169</v>
      </c>
      <c r="I117" s="24" t="s">
        <v>76</v>
      </c>
      <c r="J117" s="22" t="str">
        <f t="shared" si="9"/>
        <v>2026</v>
      </c>
      <c r="K117" s="22" t="str">
        <f t="shared" si="10"/>
        <v>2026-07 juillet</v>
      </c>
      <c r="L117" s="22" t="str">
        <f t="shared" si="11"/>
        <v>2026-07-02</v>
      </c>
    </row>
    <row r="118" spans="1:12" ht="21">
      <c r="A118" s="38">
        <v>46205</v>
      </c>
      <c r="B118" s="22" t="s">
        <v>253</v>
      </c>
      <c r="C118" s="22" t="s">
        <v>72</v>
      </c>
      <c r="D118" s="22" t="s">
        <v>10</v>
      </c>
      <c r="E118" s="23">
        <v>43</v>
      </c>
      <c r="F118" s="22" t="s">
        <v>73</v>
      </c>
      <c r="G118" s="22" t="s">
        <v>26</v>
      </c>
      <c r="H118" s="22" t="s">
        <v>252</v>
      </c>
      <c r="I118" s="24" t="s">
        <v>14</v>
      </c>
      <c r="J118" s="22" t="str">
        <f t="shared" si="9"/>
        <v>2026</v>
      </c>
      <c r="K118" s="22" t="str">
        <f t="shared" si="10"/>
        <v>2026-07 juillet</v>
      </c>
      <c r="L118" s="22" t="str">
        <f t="shared" si="11"/>
        <v>2026-07-02</v>
      </c>
    </row>
    <row r="119" spans="1:12" ht="21">
      <c r="A119" s="38">
        <v>46205</v>
      </c>
      <c r="B119" s="22" t="s">
        <v>256</v>
      </c>
      <c r="C119" s="22" t="s">
        <v>257</v>
      </c>
      <c r="D119" s="22" t="s">
        <v>20</v>
      </c>
      <c r="E119" s="23">
        <v>29</v>
      </c>
      <c r="F119" s="22" t="s">
        <v>25</v>
      </c>
      <c r="G119" s="22" t="s">
        <v>26</v>
      </c>
      <c r="H119" s="22" t="s">
        <v>201</v>
      </c>
      <c r="I119" s="24" t="s">
        <v>14</v>
      </c>
      <c r="J119" s="22" t="str">
        <f t="shared" si="9"/>
        <v>2026</v>
      </c>
      <c r="K119" s="22" t="str">
        <f t="shared" si="10"/>
        <v>2026-07 juillet</v>
      </c>
      <c r="L119" s="22" t="str">
        <f t="shared" si="11"/>
        <v>2026-07-02</v>
      </c>
    </row>
    <row r="120" spans="1:12" ht="21">
      <c r="A120" s="38">
        <v>46205</v>
      </c>
      <c r="B120" s="22" t="s">
        <v>258</v>
      </c>
      <c r="C120" s="22" t="s">
        <v>259</v>
      </c>
      <c r="D120" s="22" t="s">
        <v>10</v>
      </c>
      <c r="E120" s="23">
        <v>46</v>
      </c>
      <c r="F120" s="22" t="s">
        <v>17</v>
      </c>
      <c r="G120" s="22" t="s">
        <v>26</v>
      </c>
      <c r="H120" s="22" t="s">
        <v>27</v>
      </c>
      <c r="I120" s="24" t="s">
        <v>14</v>
      </c>
      <c r="J120" s="22" t="str">
        <f t="shared" si="9"/>
        <v>2026</v>
      </c>
      <c r="K120" s="22" t="str">
        <f t="shared" si="10"/>
        <v>2026-07 juillet</v>
      </c>
      <c r="L120" s="22" t="str">
        <f t="shared" si="11"/>
        <v>2026-07-02</v>
      </c>
    </row>
    <row r="121" spans="1:12" ht="21">
      <c r="A121" s="38">
        <v>46206</v>
      </c>
      <c r="B121" s="22" t="s">
        <v>260</v>
      </c>
      <c r="C121" s="22" t="s">
        <v>261</v>
      </c>
      <c r="D121" s="22" t="s">
        <v>10</v>
      </c>
      <c r="E121" s="23">
        <v>30</v>
      </c>
      <c r="F121" s="22" t="s">
        <v>262</v>
      </c>
      <c r="G121" s="22" t="s">
        <v>263</v>
      </c>
      <c r="H121" s="22" t="s">
        <v>264</v>
      </c>
      <c r="I121" s="24" t="s">
        <v>106</v>
      </c>
      <c r="J121" s="22" t="str">
        <f t="shared" si="9"/>
        <v>2026</v>
      </c>
      <c r="K121" s="22" t="str">
        <f t="shared" si="10"/>
        <v>2026-07 juillet</v>
      </c>
      <c r="L121" s="22" t="str">
        <f t="shared" si="11"/>
        <v>2026-07-03</v>
      </c>
    </row>
    <row r="122" spans="1:12" ht="21">
      <c r="A122" s="38">
        <v>46207</v>
      </c>
      <c r="B122" s="22" t="s">
        <v>265</v>
      </c>
      <c r="C122" s="22" t="s">
        <v>266</v>
      </c>
      <c r="D122" s="22" t="s">
        <v>20</v>
      </c>
      <c r="E122" s="23">
        <v>7</v>
      </c>
      <c r="F122" s="22" t="s">
        <v>267</v>
      </c>
      <c r="G122" s="22" t="s">
        <v>26</v>
      </c>
      <c r="H122" s="22" t="s">
        <v>27</v>
      </c>
      <c r="I122" s="24" t="s">
        <v>14</v>
      </c>
      <c r="J122" s="22" t="str">
        <f t="shared" si="9"/>
        <v>2026</v>
      </c>
      <c r="K122" s="22" t="str">
        <f t="shared" si="10"/>
        <v>2026-07 juillet</v>
      </c>
      <c r="L122" s="22" t="str">
        <f t="shared" si="11"/>
        <v>2026-07-04</v>
      </c>
    </row>
    <row r="123" spans="1:12" ht="21">
      <c r="A123" s="38">
        <v>46207</v>
      </c>
      <c r="B123" s="22" t="s">
        <v>268</v>
      </c>
      <c r="C123" s="22" t="s">
        <v>269</v>
      </c>
      <c r="D123" s="22" t="s">
        <v>10</v>
      </c>
      <c r="E123" s="23">
        <v>33</v>
      </c>
      <c r="F123" s="22" t="s">
        <v>17</v>
      </c>
      <c r="G123" s="22" t="s">
        <v>26</v>
      </c>
      <c r="H123" s="22" t="s">
        <v>27</v>
      </c>
      <c r="I123" s="24" t="s">
        <v>14</v>
      </c>
      <c r="J123" s="22" t="str">
        <f t="shared" si="9"/>
        <v>2026</v>
      </c>
      <c r="K123" s="22" t="str">
        <f t="shared" si="10"/>
        <v>2026-07 juillet</v>
      </c>
      <c r="L123" s="22" t="str">
        <f t="shared" si="11"/>
        <v>2026-07-04</v>
      </c>
    </row>
    <row r="124" spans="1:12" ht="21">
      <c r="A124" s="38">
        <v>46207</v>
      </c>
      <c r="B124" s="22" t="s">
        <v>146</v>
      </c>
      <c r="C124" s="22" t="s">
        <v>270</v>
      </c>
      <c r="D124" s="22" t="s">
        <v>20</v>
      </c>
      <c r="E124" s="23">
        <v>40</v>
      </c>
      <c r="F124" s="22" t="s">
        <v>25</v>
      </c>
      <c r="G124" s="22" t="s">
        <v>26</v>
      </c>
      <c r="H124" s="22" t="s">
        <v>201</v>
      </c>
      <c r="I124" s="24" t="s">
        <v>14</v>
      </c>
      <c r="J124" s="22" t="str">
        <f t="shared" si="9"/>
        <v>2026</v>
      </c>
      <c r="K124" s="22" t="str">
        <f t="shared" si="10"/>
        <v>2026-07 juillet</v>
      </c>
      <c r="L124" s="22" t="str">
        <f t="shared" si="11"/>
        <v>2026-07-04</v>
      </c>
    </row>
    <row r="125" spans="1:12" ht="21">
      <c r="A125" s="38">
        <v>46208</v>
      </c>
      <c r="B125" s="22" t="s">
        <v>36</v>
      </c>
      <c r="C125" s="22" t="s">
        <v>271</v>
      </c>
      <c r="D125" s="22" t="s">
        <v>10</v>
      </c>
      <c r="E125" s="23">
        <v>2</v>
      </c>
      <c r="F125" s="22" t="s">
        <v>11</v>
      </c>
      <c r="G125" s="22" t="s">
        <v>12</v>
      </c>
      <c r="H125" s="22" t="s">
        <v>13</v>
      </c>
      <c r="I125" s="24" t="s">
        <v>14</v>
      </c>
      <c r="J125" s="22" t="str">
        <f t="shared" si="9"/>
        <v>2026</v>
      </c>
      <c r="K125" s="22" t="str">
        <f t="shared" si="10"/>
        <v>2026-07 juillet</v>
      </c>
      <c r="L125" s="22" t="str">
        <f t="shared" si="11"/>
        <v>2026-07-05</v>
      </c>
    </row>
    <row r="126" spans="1:12" ht="21">
      <c r="A126" s="38">
        <v>46208</v>
      </c>
      <c r="B126" s="22" t="s">
        <v>272</v>
      </c>
      <c r="C126" s="22" t="s">
        <v>273</v>
      </c>
      <c r="D126" s="22" t="s">
        <v>20</v>
      </c>
      <c r="E126" s="23">
        <v>37</v>
      </c>
      <c r="F126" s="22" t="s">
        <v>25</v>
      </c>
      <c r="G126" s="22" t="s">
        <v>274</v>
      </c>
      <c r="H126" s="22" t="s">
        <v>275</v>
      </c>
      <c r="I126" s="24" t="s">
        <v>106</v>
      </c>
      <c r="J126" s="22" t="str">
        <f t="shared" si="9"/>
        <v>2026</v>
      </c>
      <c r="K126" s="22" t="str">
        <f t="shared" si="10"/>
        <v>2026-07 juillet</v>
      </c>
      <c r="L126" s="22" t="str">
        <f t="shared" si="11"/>
        <v>2026-07-05</v>
      </c>
    </row>
    <row r="127" spans="1:12" ht="21">
      <c r="A127" s="38">
        <v>46209</v>
      </c>
      <c r="B127" s="22" t="s">
        <v>276</v>
      </c>
      <c r="C127" s="22" t="s">
        <v>277</v>
      </c>
      <c r="D127" s="22" t="s">
        <v>10</v>
      </c>
      <c r="E127" s="23">
        <v>34</v>
      </c>
      <c r="F127" s="22" t="s">
        <v>81</v>
      </c>
      <c r="G127" s="22" t="s">
        <v>74</v>
      </c>
      <c r="H127" s="22" t="s">
        <v>278</v>
      </c>
      <c r="I127" s="24" t="s">
        <v>14</v>
      </c>
      <c r="J127" s="22" t="str">
        <f t="shared" si="9"/>
        <v>2026</v>
      </c>
      <c r="K127" s="22" t="str">
        <f t="shared" si="10"/>
        <v>2026-07 juillet</v>
      </c>
      <c r="L127" s="22" t="str">
        <f t="shared" si="11"/>
        <v>2026-07-06</v>
      </c>
    </row>
    <row r="128" spans="1:12" ht="21">
      <c r="A128" s="38">
        <v>46209</v>
      </c>
      <c r="B128" s="22" t="s">
        <v>276</v>
      </c>
      <c r="C128" s="22" t="s">
        <v>277</v>
      </c>
      <c r="D128" s="22" t="s">
        <v>10</v>
      </c>
      <c r="E128" s="23">
        <v>34</v>
      </c>
      <c r="F128" s="22" t="s">
        <v>81</v>
      </c>
      <c r="G128" s="22" t="s">
        <v>30</v>
      </c>
      <c r="H128" s="22" t="s">
        <v>279</v>
      </c>
      <c r="I128" s="24" t="s">
        <v>14</v>
      </c>
      <c r="J128" s="22" t="str">
        <f t="shared" si="9"/>
        <v>2026</v>
      </c>
      <c r="K128" s="22" t="str">
        <f t="shared" si="10"/>
        <v>2026-07 juillet</v>
      </c>
      <c r="L128" s="22" t="str">
        <f t="shared" si="11"/>
        <v>2026-07-06</v>
      </c>
    </row>
    <row r="129" spans="1:12" ht="21">
      <c r="A129" s="38">
        <v>46211</v>
      </c>
      <c r="B129" s="22" t="s">
        <v>280</v>
      </c>
      <c r="C129" s="22" t="s">
        <v>281</v>
      </c>
      <c r="D129" s="22" t="s">
        <v>10</v>
      </c>
      <c r="E129" s="23">
        <v>12</v>
      </c>
      <c r="F129" s="22" t="s">
        <v>11</v>
      </c>
      <c r="G129" s="22" t="s">
        <v>282</v>
      </c>
      <c r="H129" s="22" t="s">
        <v>283</v>
      </c>
      <c r="I129" s="24" t="s">
        <v>14</v>
      </c>
      <c r="J129" s="22" t="str">
        <f t="shared" si="9"/>
        <v>2026</v>
      </c>
      <c r="K129" s="22" t="str">
        <f t="shared" si="10"/>
        <v>2026-07 juillet</v>
      </c>
      <c r="L129" s="22" t="str">
        <f t="shared" si="11"/>
        <v>2026-07-08</v>
      </c>
    </row>
    <row r="130" spans="1:12" ht="21">
      <c r="A130" s="38">
        <v>46211</v>
      </c>
      <c r="B130" s="22" t="s">
        <v>280</v>
      </c>
      <c r="C130" s="22" t="s">
        <v>281</v>
      </c>
      <c r="D130" s="22" t="s">
        <v>10</v>
      </c>
      <c r="E130" s="23">
        <v>12</v>
      </c>
      <c r="F130" s="22" t="s">
        <v>11</v>
      </c>
      <c r="G130" s="22" t="s">
        <v>284</v>
      </c>
      <c r="H130" s="22" t="s">
        <v>285</v>
      </c>
      <c r="I130" s="24" t="s">
        <v>14</v>
      </c>
      <c r="J130" s="22" t="str">
        <f t="shared" ref="J130:J161" si="12">TEXT(A130,"yyyy")</f>
        <v>2026</v>
      </c>
      <c r="K130" s="22" t="str">
        <f t="shared" ref="K130:K161" si="13">TEXT(A130,"yyyy-mm")&amp;" "&amp;TEXT(A130,"mmmm")</f>
        <v>2026-07 juillet</v>
      </c>
      <c r="L130" s="22" t="str">
        <f t="shared" ref="L130:L161" si="14">TEXT(A130,"yyyy-mm-dd")</f>
        <v>2026-07-08</v>
      </c>
    </row>
    <row r="131" spans="1:12" ht="21">
      <c r="A131" s="38">
        <v>46213</v>
      </c>
      <c r="B131" s="22" t="s">
        <v>286</v>
      </c>
      <c r="C131" s="22" t="s">
        <v>296</v>
      </c>
      <c r="D131" s="22" t="s">
        <v>20</v>
      </c>
      <c r="E131" s="23">
        <v>27</v>
      </c>
      <c r="F131" s="22" t="s">
        <v>81</v>
      </c>
      <c r="G131" s="22" t="s">
        <v>74</v>
      </c>
      <c r="H131" s="22" t="s">
        <v>169</v>
      </c>
      <c r="I131" s="24" t="s">
        <v>14</v>
      </c>
      <c r="J131" s="22" t="str">
        <f t="shared" si="12"/>
        <v>2026</v>
      </c>
      <c r="K131" s="22" t="str">
        <f t="shared" si="13"/>
        <v>2026-07 juillet</v>
      </c>
      <c r="L131" s="22" t="str">
        <f t="shared" si="14"/>
        <v>2026-07-10</v>
      </c>
    </row>
    <row r="132" spans="1:12" ht="21">
      <c r="A132" s="38">
        <v>46211</v>
      </c>
      <c r="B132" s="22" t="s">
        <v>146</v>
      </c>
      <c r="C132" s="22" t="s">
        <v>270</v>
      </c>
      <c r="D132" s="22" t="s">
        <v>20</v>
      </c>
      <c r="E132" s="23">
        <v>40</v>
      </c>
      <c r="F132" s="22" t="s">
        <v>25</v>
      </c>
      <c r="G132" s="22" t="s">
        <v>297</v>
      </c>
      <c r="H132" s="22" t="s">
        <v>298</v>
      </c>
      <c r="I132" s="24" t="s">
        <v>106</v>
      </c>
      <c r="J132" s="22" t="str">
        <f t="shared" si="12"/>
        <v>2026</v>
      </c>
      <c r="K132" s="22" t="str">
        <f t="shared" si="13"/>
        <v>2026-07 juillet</v>
      </c>
      <c r="L132" s="22" t="str">
        <f t="shared" si="14"/>
        <v>2026-07-08</v>
      </c>
    </row>
    <row r="133" spans="1:12" ht="21">
      <c r="A133" s="38">
        <v>46211</v>
      </c>
      <c r="B133" s="22" t="s">
        <v>121</v>
      </c>
      <c r="C133" s="22" t="s">
        <v>122</v>
      </c>
      <c r="D133" s="22" t="s">
        <v>20</v>
      </c>
      <c r="E133" s="23">
        <v>41</v>
      </c>
      <c r="F133" s="22" t="s">
        <v>17</v>
      </c>
      <c r="G133" s="22" t="s">
        <v>284</v>
      </c>
      <c r="H133" s="22" t="s">
        <v>299</v>
      </c>
      <c r="I133" s="24" t="s">
        <v>14</v>
      </c>
      <c r="J133" s="22" t="str">
        <f t="shared" si="12"/>
        <v>2026</v>
      </c>
      <c r="K133" s="22" t="str">
        <f t="shared" si="13"/>
        <v>2026-07 juillet</v>
      </c>
      <c r="L133" s="22" t="str">
        <f t="shared" si="14"/>
        <v>2026-07-08</v>
      </c>
    </row>
    <row r="134" spans="1:12" ht="21">
      <c r="A134" s="38">
        <v>46216</v>
      </c>
      <c r="B134" s="22" t="s">
        <v>300</v>
      </c>
      <c r="C134" s="22" t="s">
        <v>301</v>
      </c>
      <c r="D134" s="22" t="s">
        <v>10</v>
      </c>
      <c r="E134" s="23">
        <v>38</v>
      </c>
      <c r="F134" s="22" t="s">
        <v>302</v>
      </c>
      <c r="G134" s="22" t="s">
        <v>303</v>
      </c>
      <c r="H134" s="22" t="s">
        <v>304</v>
      </c>
      <c r="I134" s="24" t="s">
        <v>305</v>
      </c>
      <c r="J134" s="22" t="str">
        <f t="shared" si="12"/>
        <v>2026</v>
      </c>
      <c r="K134" s="22" t="str">
        <f t="shared" si="13"/>
        <v>2026-07 juillet</v>
      </c>
      <c r="L134" s="22" t="str">
        <f t="shared" si="14"/>
        <v>2026-07-13</v>
      </c>
    </row>
    <row r="135" spans="1:12" ht="21">
      <c r="A135" s="38">
        <v>46216</v>
      </c>
      <c r="B135" s="22" t="s">
        <v>306</v>
      </c>
      <c r="C135" s="22" t="s">
        <v>307</v>
      </c>
      <c r="D135" s="22" t="s">
        <v>10</v>
      </c>
      <c r="E135" s="23">
        <v>40</v>
      </c>
      <c r="F135" s="22" t="s">
        <v>17</v>
      </c>
      <c r="G135" s="22" t="s">
        <v>303</v>
      </c>
      <c r="H135" s="22" t="s">
        <v>304</v>
      </c>
      <c r="I135" s="24" t="s">
        <v>106</v>
      </c>
      <c r="J135" s="22" t="str">
        <f t="shared" si="12"/>
        <v>2026</v>
      </c>
      <c r="K135" s="22" t="str">
        <f t="shared" si="13"/>
        <v>2026-07 juillet</v>
      </c>
      <c r="L135" s="22" t="str">
        <f t="shared" si="14"/>
        <v>2026-07-13</v>
      </c>
    </row>
    <row r="136" spans="1:12" ht="21">
      <c r="A136" s="38">
        <v>46216</v>
      </c>
      <c r="B136" s="22" t="s">
        <v>77</v>
      </c>
      <c r="C136" s="22" t="s">
        <v>78</v>
      </c>
      <c r="D136" s="22" t="s">
        <v>20</v>
      </c>
      <c r="E136" s="23">
        <v>40</v>
      </c>
      <c r="F136" s="22" t="s">
        <v>25</v>
      </c>
      <c r="G136" s="22" t="s">
        <v>215</v>
      </c>
      <c r="H136" s="22" t="s">
        <v>308</v>
      </c>
      <c r="I136" s="24" t="s">
        <v>14</v>
      </c>
      <c r="J136" s="22" t="str">
        <f t="shared" si="12"/>
        <v>2026</v>
      </c>
      <c r="K136" s="22" t="str">
        <f t="shared" si="13"/>
        <v>2026-07 juillet</v>
      </c>
      <c r="L136" s="22" t="str">
        <f t="shared" si="14"/>
        <v>2026-07-13</v>
      </c>
    </row>
    <row r="137" spans="1:12" ht="21">
      <c r="A137" s="38">
        <v>46217</v>
      </c>
      <c r="B137" s="22" t="s">
        <v>280</v>
      </c>
      <c r="C137" s="22" t="s">
        <v>309</v>
      </c>
      <c r="D137" s="22" t="s">
        <v>20</v>
      </c>
      <c r="E137" s="23">
        <v>15</v>
      </c>
      <c r="F137" s="22" t="s">
        <v>11</v>
      </c>
      <c r="G137" s="22" t="s">
        <v>310</v>
      </c>
      <c r="H137" s="22" t="s">
        <v>311</v>
      </c>
      <c r="I137" s="24" t="s">
        <v>14</v>
      </c>
      <c r="J137" s="22" t="str">
        <f t="shared" si="12"/>
        <v>2026</v>
      </c>
      <c r="K137" s="22" t="str">
        <f t="shared" si="13"/>
        <v>2026-07 juillet</v>
      </c>
      <c r="L137" s="22" t="str">
        <f t="shared" si="14"/>
        <v>2026-07-14</v>
      </c>
    </row>
    <row r="138" spans="1:12" ht="21">
      <c r="A138" s="38">
        <v>46220</v>
      </c>
      <c r="B138" s="22" t="s">
        <v>84</v>
      </c>
      <c r="C138" s="22" t="s">
        <v>312</v>
      </c>
      <c r="D138" s="22" t="s">
        <v>10</v>
      </c>
      <c r="E138" s="23">
        <v>39</v>
      </c>
      <c r="F138" s="22" t="s">
        <v>17</v>
      </c>
      <c r="G138" s="22" t="s">
        <v>12</v>
      </c>
      <c r="H138" s="22" t="s">
        <v>313</v>
      </c>
      <c r="I138" s="24" t="s">
        <v>14</v>
      </c>
      <c r="J138" s="22" t="str">
        <f t="shared" si="12"/>
        <v>2026</v>
      </c>
      <c r="K138" s="22" t="str">
        <f t="shared" si="13"/>
        <v>2026-07 juillet</v>
      </c>
      <c r="L138" s="22" t="str">
        <f t="shared" si="14"/>
        <v>2026-07-17</v>
      </c>
    </row>
    <row r="139" spans="1:12" ht="21">
      <c r="A139" s="38">
        <v>46220</v>
      </c>
      <c r="B139" s="22" t="s">
        <v>102</v>
      </c>
      <c r="C139" s="22" t="s">
        <v>103</v>
      </c>
      <c r="D139" s="22" t="s">
        <v>20</v>
      </c>
      <c r="E139" s="23">
        <v>25</v>
      </c>
      <c r="F139" s="22" t="s">
        <v>25</v>
      </c>
      <c r="G139" s="22" t="s">
        <v>255</v>
      </c>
      <c r="H139" s="22" t="s">
        <v>169</v>
      </c>
      <c r="I139" s="24" t="s">
        <v>14</v>
      </c>
      <c r="J139" s="22" t="str">
        <f t="shared" si="12"/>
        <v>2026</v>
      </c>
      <c r="K139" s="22" t="str">
        <f t="shared" si="13"/>
        <v>2026-07 juillet</v>
      </c>
      <c r="L139" s="22" t="str">
        <f t="shared" si="14"/>
        <v>2026-07-17</v>
      </c>
    </row>
    <row r="140" spans="1:12" ht="21">
      <c r="A140" s="38">
        <v>46222</v>
      </c>
      <c r="B140" s="22" t="s">
        <v>314</v>
      </c>
      <c r="C140" s="22" t="s">
        <v>315</v>
      </c>
      <c r="D140" s="22" t="s">
        <v>20</v>
      </c>
      <c r="E140" s="23">
        <v>29</v>
      </c>
      <c r="F140" s="22" t="s">
        <v>25</v>
      </c>
      <c r="G140" s="22" t="s">
        <v>12</v>
      </c>
      <c r="H140" s="22" t="s">
        <v>213</v>
      </c>
      <c r="I140" s="24" t="s">
        <v>14</v>
      </c>
      <c r="J140" s="22" t="str">
        <f t="shared" si="12"/>
        <v>2026</v>
      </c>
      <c r="K140" s="22" t="str">
        <f t="shared" si="13"/>
        <v>2026-07 juillet</v>
      </c>
      <c r="L140" s="22" t="str">
        <f t="shared" si="14"/>
        <v>2026-07-19</v>
      </c>
    </row>
    <row r="141" spans="1:12" ht="21">
      <c r="A141" s="38">
        <v>46222</v>
      </c>
      <c r="B141" s="22" t="s">
        <v>174</v>
      </c>
      <c r="C141" s="22"/>
      <c r="D141" s="22" t="s">
        <v>20</v>
      </c>
      <c r="E141" s="23">
        <v>4</v>
      </c>
      <c r="F141" s="22" t="s">
        <v>11</v>
      </c>
      <c r="G141" s="22" t="s">
        <v>316</v>
      </c>
      <c r="H141" s="22" t="s">
        <v>173</v>
      </c>
      <c r="I141" s="24" t="s">
        <v>106</v>
      </c>
      <c r="J141" s="22" t="str">
        <f t="shared" si="12"/>
        <v>2026</v>
      </c>
      <c r="K141" s="22" t="str">
        <f t="shared" si="13"/>
        <v>2026-07 juillet</v>
      </c>
      <c r="L141" s="22" t="str">
        <f t="shared" si="14"/>
        <v>2026-07-19</v>
      </c>
    </row>
    <row r="142" spans="1:12" ht="21">
      <c r="A142" s="38">
        <v>46222</v>
      </c>
      <c r="B142" s="22" t="s">
        <v>121</v>
      </c>
      <c r="C142" s="22" t="s">
        <v>122</v>
      </c>
      <c r="D142" s="22" t="s">
        <v>20</v>
      </c>
      <c r="E142" s="23">
        <v>41</v>
      </c>
      <c r="F142" s="22" t="s">
        <v>17</v>
      </c>
      <c r="G142" s="22" t="s">
        <v>12</v>
      </c>
      <c r="H142" s="22" t="s">
        <v>13</v>
      </c>
      <c r="I142" s="24" t="s">
        <v>14</v>
      </c>
      <c r="J142" s="22" t="str">
        <f t="shared" si="12"/>
        <v>2026</v>
      </c>
      <c r="K142" s="22" t="str">
        <f t="shared" si="13"/>
        <v>2026-07 juillet</v>
      </c>
      <c r="L142" s="22" t="str">
        <f t="shared" si="14"/>
        <v>2026-07-19</v>
      </c>
    </row>
    <row r="143" spans="1:12" ht="21">
      <c r="A143" s="35">
        <v>46225</v>
      </c>
      <c r="B143" s="25" t="s">
        <v>318</v>
      </c>
      <c r="C143" s="25" t="s">
        <v>319</v>
      </c>
      <c r="D143" s="25" t="s">
        <v>20</v>
      </c>
      <c r="E143" s="26">
        <v>11</v>
      </c>
      <c r="F143" s="25" t="s">
        <v>320</v>
      </c>
      <c r="G143" s="25" t="s">
        <v>26</v>
      </c>
      <c r="H143" s="25" t="s">
        <v>201</v>
      </c>
      <c r="I143" s="28" t="s">
        <v>14</v>
      </c>
      <c r="J143" s="22" t="str">
        <f t="shared" si="12"/>
        <v>2026</v>
      </c>
      <c r="K143" s="22" t="str">
        <f t="shared" si="13"/>
        <v>2026-07 juillet</v>
      </c>
      <c r="L143" s="22" t="str">
        <f t="shared" si="14"/>
        <v>2026-07-22</v>
      </c>
    </row>
    <row r="144" spans="1:12" ht="21">
      <c r="A144" s="38">
        <v>46225</v>
      </c>
      <c r="B144" s="22" t="s">
        <v>326</v>
      </c>
      <c r="C144" s="22" t="s">
        <v>325</v>
      </c>
      <c r="D144" s="22" t="s">
        <v>20</v>
      </c>
      <c r="E144" s="23">
        <v>28</v>
      </c>
      <c r="F144" s="22" t="s">
        <v>25</v>
      </c>
      <c r="G144" s="22" t="s">
        <v>30</v>
      </c>
      <c r="H144" s="22" t="s">
        <v>31</v>
      </c>
      <c r="I144" s="24" t="s">
        <v>14</v>
      </c>
      <c r="J144" s="22" t="str">
        <f t="shared" si="12"/>
        <v>2026</v>
      </c>
      <c r="K144" s="22" t="str">
        <f t="shared" si="13"/>
        <v>2026-07 juillet</v>
      </c>
      <c r="L144" s="22" t="str">
        <f t="shared" si="14"/>
        <v>2026-07-22</v>
      </c>
    </row>
    <row r="145" spans="1:12" ht="21">
      <c r="A145" s="38">
        <v>46225</v>
      </c>
      <c r="B145" s="22" t="s">
        <v>321</v>
      </c>
      <c r="C145" s="22" t="s">
        <v>322</v>
      </c>
      <c r="D145" s="22" t="s">
        <v>10</v>
      </c>
      <c r="E145" s="23">
        <v>33</v>
      </c>
      <c r="F145" s="22" t="s">
        <v>323</v>
      </c>
      <c r="G145" s="22" t="s">
        <v>30</v>
      </c>
      <c r="H145" s="22" t="s">
        <v>31</v>
      </c>
      <c r="I145" s="24" t="s">
        <v>14</v>
      </c>
      <c r="J145" s="22" t="str">
        <f t="shared" si="12"/>
        <v>2026</v>
      </c>
      <c r="K145" s="22" t="str">
        <f t="shared" si="13"/>
        <v>2026-07 juillet</v>
      </c>
      <c r="L145" s="22" t="str">
        <f t="shared" si="14"/>
        <v>2026-07-22</v>
      </c>
    </row>
    <row r="146" spans="1:12" ht="21">
      <c r="A146" s="38">
        <v>46226</v>
      </c>
      <c r="B146" s="22" t="s">
        <v>47</v>
      </c>
      <c r="C146" s="22" t="s">
        <v>48</v>
      </c>
      <c r="D146" s="22" t="s">
        <v>20</v>
      </c>
      <c r="E146" s="23">
        <v>39</v>
      </c>
      <c r="F146" s="22" t="s">
        <v>25</v>
      </c>
      <c r="G146" s="22" t="s">
        <v>324</v>
      </c>
      <c r="H146" s="22" t="s">
        <v>201</v>
      </c>
      <c r="I146" s="24" t="s">
        <v>14</v>
      </c>
      <c r="J146" s="22" t="str">
        <f t="shared" si="12"/>
        <v>2026</v>
      </c>
      <c r="K146" s="22" t="str">
        <f t="shared" si="13"/>
        <v>2026-07 juillet</v>
      </c>
      <c r="L146" s="22" t="str">
        <f t="shared" si="14"/>
        <v>2026-07-23</v>
      </c>
    </row>
    <row r="147" spans="1:12" ht="21">
      <c r="A147" s="35">
        <v>46226</v>
      </c>
      <c r="B147" s="31" t="s">
        <v>77</v>
      </c>
      <c r="C147" s="31" t="s">
        <v>78</v>
      </c>
      <c r="D147" s="31" t="s">
        <v>20</v>
      </c>
      <c r="E147" s="26">
        <v>40</v>
      </c>
      <c r="F147" s="31" t="s">
        <v>25</v>
      </c>
      <c r="G147" s="31" t="s">
        <v>327</v>
      </c>
      <c r="H147" s="31" t="s">
        <v>328</v>
      </c>
      <c r="I147" s="32" t="s">
        <v>221</v>
      </c>
      <c r="J147" s="22" t="str">
        <f t="shared" si="12"/>
        <v>2026</v>
      </c>
      <c r="K147" s="22" t="str">
        <f t="shared" si="13"/>
        <v>2026-07 juillet</v>
      </c>
      <c r="L147" s="22" t="str">
        <f t="shared" si="14"/>
        <v>2026-07-23</v>
      </c>
    </row>
    <row r="148" spans="1:12" ht="21">
      <c r="A148" s="38">
        <v>46228</v>
      </c>
      <c r="B148" s="30" t="s">
        <v>187</v>
      </c>
      <c r="C148" s="30" t="s">
        <v>317</v>
      </c>
      <c r="D148" s="30" t="s">
        <v>20</v>
      </c>
      <c r="E148" s="23">
        <v>35</v>
      </c>
      <c r="F148" s="30" t="s">
        <v>25</v>
      </c>
      <c r="G148" s="30" t="s">
        <v>329</v>
      </c>
      <c r="H148" s="30" t="s">
        <v>330</v>
      </c>
      <c r="I148" s="33" t="s">
        <v>14</v>
      </c>
      <c r="J148" s="22" t="str">
        <f t="shared" si="12"/>
        <v>2026</v>
      </c>
      <c r="K148" s="22" t="str">
        <f t="shared" si="13"/>
        <v>2026-07 juillet</v>
      </c>
      <c r="L148" s="22" t="str">
        <f t="shared" si="14"/>
        <v>2026-07-25</v>
      </c>
    </row>
    <row r="149" spans="1:12" ht="21">
      <c r="A149" s="38">
        <v>46228</v>
      </c>
      <c r="B149" s="30" t="s">
        <v>331</v>
      </c>
      <c r="C149" s="30" t="s">
        <v>332</v>
      </c>
      <c r="D149" s="30" t="s">
        <v>10</v>
      </c>
      <c r="E149" s="23">
        <v>35</v>
      </c>
      <c r="F149" s="30" t="s">
        <v>81</v>
      </c>
      <c r="G149" s="30" t="s">
        <v>333</v>
      </c>
      <c r="H149" s="30" t="s">
        <v>334</v>
      </c>
      <c r="I149" s="33" t="s">
        <v>14</v>
      </c>
      <c r="J149" s="22" t="str">
        <f t="shared" si="12"/>
        <v>2026</v>
      </c>
      <c r="K149" s="22" t="str">
        <f t="shared" si="13"/>
        <v>2026-07 juillet</v>
      </c>
      <c r="L149" s="22" t="str">
        <f t="shared" si="14"/>
        <v>2026-07-25</v>
      </c>
    </row>
    <row r="150" spans="1:12" ht="21">
      <c r="A150" s="38">
        <v>46228</v>
      </c>
      <c r="B150" s="30" t="s">
        <v>306</v>
      </c>
      <c r="C150" s="30" t="s">
        <v>335</v>
      </c>
      <c r="D150" s="30" t="s">
        <v>20</v>
      </c>
      <c r="E150" s="23">
        <v>9</v>
      </c>
      <c r="F150" s="30" t="s">
        <v>11</v>
      </c>
      <c r="G150" s="30" t="s">
        <v>336</v>
      </c>
      <c r="H150" s="30" t="s">
        <v>337</v>
      </c>
      <c r="I150" s="33" t="s">
        <v>106</v>
      </c>
      <c r="J150" s="22" t="str">
        <f t="shared" si="12"/>
        <v>2026</v>
      </c>
      <c r="K150" s="22" t="str">
        <f t="shared" si="13"/>
        <v>2026-07 juillet</v>
      </c>
      <c r="L150" s="22" t="str">
        <f t="shared" si="14"/>
        <v>2026-07-25</v>
      </c>
    </row>
    <row r="151" spans="1:12" ht="21">
      <c r="A151" s="38">
        <v>46228</v>
      </c>
      <c r="B151" s="30" t="s">
        <v>341</v>
      </c>
      <c r="C151" s="30" t="s">
        <v>338</v>
      </c>
      <c r="D151" s="30" t="s">
        <v>20</v>
      </c>
      <c r="E151" s="23">
        <v>20</v>
      </c>
      <c r="F151" s="30" t="s">
        <v>320</v>
      </c>
      <c r="G151" s="30" t="s">
        <v>339</v>
      </c>
      <c r="H151" s="22"/>
      <c r="I151" s="33" t="s">
        <v>340</v>
      </c>
      <c r="J151" s="22" t="str">
        <f t="shared" si="12"/>
        <v>2026</v>
      </c>
      <c r="K151" s="22" t="str">
        <f t="shared" si="13"/>
        <v>2026-07 juillet</v>
      </c>
      <c r="L151" s="22" t="str">
        <f t="shared" si="14"/>
        <v>2026-07-25</v>
      </c>
    </row>
    <row r="152" spans="1:12" ht="21">
      <c r="A152" s="38">
        <v>46228</v>
      </c>
      <c r="B152" s="30" t="s">
        <v>341</v>
      </c>
      <c r="C152" s="30" t="s">
        <v>338</v>
      </c>
      <c r="D152" s="30" t="s">
        <v>20</v>
      </c>
      <c r="E152" s="23">
        <v>20</v>
      </c>
      <c r="F152" s="30" t="s">
        <v>320</v>
      </c>
      <c r="G152" s="30" t="s">
        <v>342</v>
      </c>
      <c r="H152" s="30" t="s">
        <v>75</v>
      </c>
      <c r="I152" s="33" t="s">
        <v>340</v>
      </c>
      <c r="J152" s="22" t="str">
        <f t="shared" si="12"/>
        <v>2026</v>
      </c>
      <c r="K152" s="22" t="str">
        <f t="shared" si="13"/>
        <v>2026-07 juillet</v>
      </c>
      <c r="L152" s="22" t="str">
        <f t="shared" si="14"/>
        <v>2026-07-25</v>
      </c>
    </row>
    <row r="153" spans="1:12" ht="21">
      <c r="A153" s="38">
        <v>46229</v>
      </c>
      <c r="B153" s="30"/>
      <c r="C153" s="30"/>
      <c r="D153" s="30" t="s">
        <v>20</v>
      </c>
      <c r="E153" s="23"/>
      <c r="F153" s="30" t="s">
        <v>25</v>
      </c>
      <c r="G153" s="30" t="s">
        <v>21</v>
      </c>
      <c r="H153" s="30" t="s">
        <v>343</v>
      </c>
      <c r="I153" s="33" t="s">
        <v>14</v>
      </c>
      <c r="J153" s="22" t="str">
        <f t="shared" si="12"/>
        <v>2026</v>
      </c>
      <c r="K153" s="22" t="str">
        <f t="shared" si="13"/>
        <v>2026-07 juillet</v>
      </c>
      <c r="L153" s="22" t="str">
        <f t="shared" si="14"/>
        <v>2026-07-26</v>
      </c>
    </row>
    <row r="154" spans="1:12" ht="21">
      <c r="A154" s="38">
        <v>46229</v>
      </c>
      <c r="B154" s="30" t="s">
        <v>344</v>
      </c>
      <c r="C154" s="30" t="s">
        <v>345</v>
      </c>
      <c r="D154" s="30" t="s">
        <v>20</v>
      </c>
      <c r="E154" s="23">
        <v>39</v>
      </c>
      <c r="F154" s="30" t="s">
        <v>25</v>
      </c>
      <c r="G154" s="30" t="s">
        <v>284</v>
      </c>
      <c r="H154" s="30" t="s">
        <v>299</v>
      </c>
      <c r="I154" s="33" t="s">
        <v>14</v>
      </c>
      <c r="J154" s="22" t="str">
        <f t="shared" si="12"/>
        <v>2026</v>
      </c>
      <c r="K154" s="22" t="str">
        <f t="shared" si="13"/>
        <v>2026-07 juillet</v>
      </c>
      <c r="L154" s="22" t="str">
        <f t="shared" si="14"/>
        <v>2026-07-26</v>
      </c>
    </row>
    <row r="155" spans="1:12" ht="21">
      <c r="A155" s="35">
        <v>46230</v>
      </c>
      <c r="B155" s="31" t="s">
        <v>346</v>
      </c>
      <c r="C155" s="31" t="s">
        <v>347</v>
      </c>
      <c r="D155" s="31" t="s">
        <v>20</v>
      </c>
      <c r="E155" s="26">
        <v>44</v>
      </c>
      <c r="F155" s="31" t="s">
        <v>17</v>
      </c>
      <c r="G155" s="31" t="s">
        <v>348</v>
      </c>
      <c r="H155" s="31" t="s">
        <v>349</v>
      </c>
      <c r="I155" s="32" t="s">
        <v>14</v>
      </c>
      <c r="J155" s="22" t="str">
        <f t="shared" si="12"/>
        <v>2026</v>
      </c>
      <c r="K155" s="22" t="str">
        <f t="shared" si="13"/>
        <v>2026-07 juillet</v>
      </c>
      <c r="L155" s="22" t="str">
        <f t="shared" si="14"/>
        <v>2026-07-27</v>
      </c>
    </row>
    <row r="156" spans="1:12" ht="21">
      <c r="A156" s="38">
        <v>46230</v>
      </c>
      <c r="B156" s="30" t="s">
        <v>350</v>
      </c>
      <c r="C156" s="30" t="s">
        <v>351</v>
      </c>
      <c r="D156" s="30" t="s">
        <v>10</v>
      </c>
      <c r="E156" s="23">
        <v>51</v>
      </c>
      <c r="F156" s="30" t="s">
        <v>81</v>
      </c>
      <c r="G156" s="30" t="s">
        <v>352</v>
      </c>
      <c r="H156" s="30" t="s">
        <v>353</v>
      </c>
      <c r="I156" s="33" t="s">
        <v>14</v>
      </c>
      <c r="J156" s="22" t="str">
        <f t="shared" si="12"/>
        <v>2026</v>
      </c>
      <c r="K156" s="22" t="str">
        <f t="shared" si="13"/>
        <v>2026-07 juillet</v>
      </c>
      <c r="L156" s="22" t="str">
        <f t="shared" si="14"/>
        <v>2026-07-27</v>
      </c>
    </row>
    <row r="157" spans="1:12" ht="21">
      <c r="A157" s="38">
        <v>46230</v>
      </c>
      <c r="B157" s="30" t="s">
        <v>354</v>
      </c>
      <c r="C157" s="30" t="s">
        <v>355</v>
      </c>
      <c r="D157" s="30" t="s">
        <v>20</v>
      </c>
      <c r="E157" s="23">
        <v>35</v>
      </c>
      <c r="F157" s="30" t="s">
        <v>356</v>
      </c>
      <c r="G157" s="30" t="s">
        <v>357</v>
      </c>
      <c r="H157" s="30" t="s">
        <v>358</v>
      </c>
      <c r="I157" s="33" t="s">
        <v>359</v>
      </c>
      <c r="J157" s="22" t="str">
        <f t="shared" si="12"/>
        <v>2026</v>
      </c>
      <c r="K157" s="22" t="str">
        <f t="shared" si="13"/>
        <v>2026-07 juillet</v>
      </c>
      <c r="L157" s="22" t="str">
        <f t="shared" si="14"/>
        <v>2026-07-27</v>
      </c>
    </row>
    <row r="158" spans="1:12" ht="21">
      <c r="A158" s="38">
        <v>46231</v>
      </c>
      <c r="B158" s="30" t="s">
        <v>268</v>
      </c>
      <c r="C158" s="30" t="s">
        <v>269</v>
      </c>
      <c r="D158" s="30" t="s">
        <v>10</v>
      </c>
      <c r="E158" s="23">
        <v>33</v>
      </c>
      <c r="F158" s="30" t="s">
        <v>17</v>
      </c>
      <c r="G158" s="30" t="s">
        <v>12</v>
      </c>
      <c r="H158" s="30" t="s">
        <v>360</v>
      </c>
      <c r="I158" s="33" t="s">
        <v>14</v>
      </c>
      <c r="J158" s="22" t="str">
        <f t="shared" si="12"/>
        <v>2026</v>
      </c>
      <c r="K158" s="22" t="str">
        <f t="shared" si="13"/>
        <v>2026-07 juillet</v>
      </c>
      <c r="L158" s="22" t="str">
        <f t="shared" si="14"/>
        <v>2026-07-28</v>
      </c>
    </row>
    <row r="159" spans="1:12" ht="21">
      <c r="A159" s="38">
        <v>46231</v>
      </c>
      <c r="B159" s="30" t="s">
        <v>361</v>
      </c>
      <c r="C159" s="30" t="s">
        <v>362</v>
      </c>
      <c r="D159" s="30" t="s">
        <v>10</v>
      </c>
      <c r="E159" s="23">
        <v>32</v>
      </c>
      <c r="F159" s="30" t="s">
        <v>17</v>
      </c>
      <c r="G159" s="30" t="s">
        <v>30</v>
      </c>
      <c r="H159" s="30" t="s">
        <v>363</v>
      </c>
      <c r="I159" s="33" t="s">
        <v>14</v>
      </c>
      <c r="J159" s="22" t="str">
        <f t="shared" si="12"/>
        <v>2026</v>
      </c>
      <c r="K159" s="22" t="str">
        <f t="shared" si="13"/>
        <v>2026-07 juillet</v>
      </c>
      <c r="L159" s="22" t="str">
        <f t="shared" si="14"/>
        <v>2026-07-28</v>
      </c>
    </row>
    <row r="160" spans="1:12" ht="21">
      <c r="A160" s="38">
        <v>46232</v>
      </c>
      <c r="B160" s="30" t="s">
        <v>115</v>
      </c>
      <c r="C160" s="30" t="s">
        <v>116</v>
      </c>
      <c r="D160" s="30" t="s">
        <v>10</v>
      </c>
      <c r="E160" s="23"/>
      <c r="F160" s="30" t="s">
        <v>17</v>
      </c>
      <c r="G160" s="30" t="s">
        <v>87</v>
      </c>
      <c r="H160" s="30" t="s">
        <v>364</v>
      </c>
      <c r="I160" s="33" t="s">
        <v>14</v>
      </c>
      <c r="J160" s="22" t="str">
        <f t="shared" si="12"/>
        <v>2026</v>
      </c>
      <c r="K160" s="22" t="str">
        <f t="shared" si="13"/>
        <v>2026-07 juillet</v>
      </c>
      <c r="L160" s="22" t="str">
        <f t="shared" si="14"/>
        <v>2026-07-29</v>
      </c>
    </row>
    <row r="161" spans="1:12" ht="21">
      <c r="A161" s="38">
        <v>46232</v>
      </c>
      <c r="B161" s="30" t="s">
        <v>49</v>
      </c>
      <c r="C161" s="30" t="s">
        <v>50</v>
      </c>
      <c r="D161" s="30" t="s">
        <v>10</v>
      </c>
      <c r="E161" s="23">
        <v>34</v>
      </c>
      <c r="F161" s="30" t="s">
        <v>17</v>
      </c>
      <c r="G161" s="30" t="s">
        <v>12</v>
      </c>
      <c r="H161" s="30" t="s">
        <v>365</v>
      </c>
      <c r="I161" s="33" t="s">
        <v>14</v>
      </c>
      <c r="J161" s="22" t="str">
        <f t="shared" si="12"/>
        <v>2026</v>
      </c>
      <c r="K161" s="22" t="str">
        <f t="shared" si="13"/>
        <v>2026-07 juillet</v>
      </c>
      <c r="L161" s="22" t="str">
        <f t="shared" si="14"/>
        <v>2026-07-29</v>
      </c>
    </row>
    <row r="162" spans="1:12" ht="21">
      <c r="A162" s="35">
        <v>46232</v>
      </c>
      <c r="B162" s="31" t="s">
        <v>366</v>
      </c>
      <c r="C162" s="31" t="s">
        <v>367</v>
      </c>
      <c r="D162" s="31" t="s">
        <v>10</v>
      </c>
      <c r="E162" s="26">
        <v>65</v>
      </c>
      <c r="F162" s="31" t="s">
        <v>368</v>
      </c>
      <c r="G162" s="31" t="s">
        <v>357</v>
      </c>
      <c r="H162" s="31" t="s">
        <v>369</v>
      </c>
      <c r="I162" s="32" t="s">
        <v>14</v>
      </c>
      <c r="J162" s="22" t="str">
        <f t="shared" ref="J162:J198" si="15">TEXT(A162,"yyyy")</f>
        <v>2026</v>
      </c>
      <c r="K162" s="22" t="str">
        <f t="shared" ref="K162:K198" si="16">TEXT(A162,"yyyy-mm")&amp;" "&amp;TEXT(A162,"mmmm")</f>
        <v>2026-07 juillet</v>
      </c>
      <c r="L162" s="22" t="str">
        <f t="shared" ref="L162:L198" si="17">TEXT(A162,"yyyy-mm-dd")</f>
        <v>2026-07-29</v>
      </c>
    </row>
    <row r="163" spans="1:12" ht="21">
      <c r="A163" s="38">
        <v>46232</v>
      </c>
      <c r="B163" s="30" t="s">
        <v>366</v>
      </c>
      <c r="C163" s="30" t="s">
        <v>367</v>
      </c>
      <c r="D163" s="30" t="s">
        <v>10</v>
      </c>
      <c r="E163" s="23">
        <v>65</v>
      </c>
      <c r="F163" s="30" t="s">
        <v>368</v>
      </c>
      <c r="G163" s="30" t="s">
        <v>12</v>
      </c>
      <c r="H163" s="30" t="s">
        <v>370</v>
      </c>
      <c r="I163" s="33" t="s">
        <v>14</v>
      </c>
      <c r="J163" s="22" t="str">
        <f t="shared" si="15"/>
        <v>2026</v>
      </c>
      <c r="K163" s="22" t="str">
        <f t="shared" si="16"/>
        <v>2026-07 juillet</v>
      </c>
      <c r="L163" s="22" t="str">
        <f t="shared" si="17"/>
        <v>2026-07-29</v>
      </c>
    </row>
    <row r="164" spans="1:12" ht="21">
      <c r="A164" s="35">
        <v>46232</v>
      </c>
      <c r="B164" s="31" t="s">
        <v>371</v>
      </c>
      <c r="C164" s="31" t="s">
        <v>372</v>
      </c>
      <c r="D164" s="31" t="s">
        <v>10</v>
      </c>
      <c r="E164" s="26">
        <v>34</v>
      </c>
      <c r="F164" s="31" t="s">
        <v>373</v>
      </c>
      <c r="G164" s="31" t="s">
        <v>12</v>
      </c>
      <c r="H164" s="31" t="s">
        <v>374</v>
      </c>
      <c r="I164" s="32" t="s">
        <v>14</v>
      </c>
      <c r="J164" s="22" t="str">
        <f t="shared" si="15"/>
        <v>2026</v>
      </c>
      <c r="K164" s="22" t="str">
        <f t="shared" si="16"/>
        <v>2026-07 juillet</v>
      </c>
      <c r="L164" s="22" t="str">
        <f t="shared" si="17"/>
        <v>2026-07-29</v>
      </c>
    </row>
    <row r="165" spans="1:12" ht="21">
      <c r="A165" s="35">
        <v>46233</v>
      </c>
      <c r="B165" s="34" t="s">
        <v>375</v>
      </c>
      <c r="C165" s="34" t="s">
        <v>29</v>
      </c>
      <c r="D165" s="34" t="s">
        <v>10</v>
      </c>
      <c r="E165" s="26">
        <v>37</v>
      </c>
      <c r="F165" s="34" t="s">
        <v>17</v>
      </c>
      <c r="G165" s="34" t="s">
        <v>376</v>
      </c>
      <c r="H165" s="34" t="s">
        <v>377</v>
      </c>
      <c r="I165" s="28"/>
      <c r="J165" s="22" t="str">
        <f t="shared" si="15"/>
        <v>2026</v>
      </c>
      <c r="K165" s="22" t="str">
        <f t="shared" si="16"/>
        <v>2026-07 juillet</v>
      </c>
      <c r="L165" s="22" t="str">
        <f t="shared" si="17"/>
        <v>2026-07-30</v>
      </c>
    </row>
    <row r="166" spans="1:12" ht="21">
      <c r="A166" s="35">
        <v>46235</v>
      </c>
      <c r="B166" s="34" t="s">
        <v>378</v>
      </c>
      <c r="C166" s="34" t="s">
        <v>379</v>
      </c>
      <c r="D166" s="34" t="s">
        <v>20</v>
      </c>
      <c r="E166" s="26">
        <v>23</v>
      </c>
      <c r="F166" s="34" t="s">
        <v>25</v>
      </c>
      <c r="G166" s="34" t="s">
        <v>380</v>
      </c>
      <c r="H166" s="34" t="s">
        <v>381</v>
      </c>
      <c r="I166" s="36" t="s">
        <v>340</v>
      </c>
      <c r="J166" s="22" t="str">
        <f t="shared" si="15"/>
        <v>2026</v>
      </c>
      <c r="K166" s="22" t="str">
        <f t="shared" si="16"/>
        <v>2026-08 août</v>
      </c>
      <c r="L166" s="22" t="str">
        <f t="shared" si="17"/>
        <v>2026-08-01</v>
      </c>
    </row>
    <row r="167" spans="1:12" ht="21">
      <c r="A167" s="35">
        <v>46235</v>
      </c>
      <c r="B167" s="34" t="s">
        <v>382</v>
      </c>
      <c r="C167" s="34" t="s">
        <v>383</v>
      </c>
      <c r="D167" s="34" t="s">
        <v>10</v>
      </c>
      <c r="E167" s="26">
        <v>23</v>
      </c>
      <c r="F167" s="34" t="s">
        <v>17</v>
      </c>
      <c r="G167" s="34" t="s">
        <v>30</v>
      </c>
      <c r="H167" s="34" t="s">
        <v>31</v>
      </c>
      <c r="I167" s="28" t="s">
        <v>14</v>
      </c>
      <c r="J167" s="22" t="str">
        <f t="shared" si="15"/>
        <v>2026</v>
      </c>
      <c r="K167" s="22" t="str">
        <f t="shared" si="16"/>
        <v>2026-08 août</v>
      </c>
      <c r="L167" s="22" t="str">
        <f t="shared" si="17"/>
        <v>2026-08-01</v>
      </c>
    </row>
    <row r="168" spans="1:12" ht="21">
      <c r="A168" s="35">
        <v>46235</v>
      </c>
      <c r="B168" s="34" t="s">
        <v>174</v>
      </c>
      <c r="C168" s="34" t="s">
        <v>384</v>
      </c>
      <c r="D168" s="34" t="s">
        <v>20</v>
      </c>
      <c r="E168" s="26">
        <v>2</v>
      </c>
      <c r="F168" s="34" t="s">
        <v>11</v>
      </c>
      <c r="G168" s="34" t="s">
        <v>385</v>
      </c>
      <c r="H168" s="34" t="s">
        <v>386</v>
      </c>
      <c r="I168" s="28" t="s">
        <v>14</v>
      </c>
      <c r="J168" s="22" t="str">
        <f t="shared" si="15"/>
        <v>2026</v>
      </c>
      <c r="K168" s="22" t="str">
        <f t="shared" si="16"/>
        <v>2026-08 août</v>
      </c>
      <c r="L168" s="22" t="str">
        <f t="shared" si="17"/>
        <v>2026-08-01</v>
      </c>
    </row>
    <row r="169" spans="1:12" ht="21">
      <c r="A169" s="35">
        <v>46237</v>
      </c>
      <c r="B169" s="34" t="s">
        <v>32</v>
      </c>
      <c r="C169" s="34" t="s">
        <v>387</v>
      </c>
      <c r="D169" s="34" t="s">
        <v>10</v>
      </c>
      <c r="E169" s="26">
        <v>35</v>
      </c>
      <c r="F169" s="34" t="s">
        <v>17</v>
      </c>
      <c r="G169" s="34" t="s">
        <v>385</v>
      </c>
      <c r="H169" s="34" t="s">
        <v>388</v>
      </c>
      <c r="I169" s="28"/>
      <c r="J169" s="22" t="str">
        <f t="shared" si="15"/>
        <v>2026</v>
      </c>
      <c r="K169" s="22" t="str">
        <f t="shared" si="16"/>
        <v>2026-08 août</v>
      </c>
      <c r="L169" s="22" t="str">
        <f t="shared" si="17"/>
        <v>2026-08-03</v>
      </c>
    </row>
    <row r="170" spans="1:12" ht="21">
      <c r="A170" s="35">
        <v>46237</v>
      </c>
      <c r="B170" s="34" t="s">
        <v>389</v>
      </c>
      <c r="C170" s="34" t="s">
        <v>390</v>
      </c>
      <c r="D170" s="34" t="s">
        <v>10</v>
      </c>
      <c r="E170" s="26">
        <v>39</v>
      </c>
      <c r="F170" s="34" t="s">
        <v>17</v>
      </c>
      <c r="G170" s="34" t="s">
        <v>385</v>
      </c>
      <c r="H170" s="34" t="s">
        <v>386</v>
      </c>
      <c r="I170" s="28" t="s">
        <v>14</v>
      </c>
      <c r="J170" s="22" t="str">
        <f t="shared" si="15"/>
        <v>2026</v>
      </c>
      <c r="K170" s="22" t="str">
        <f t="shared" si="16"/>
        <v>2026-08 août</v>
      </c>
      <c r="L170" s="22" t="str">
        <f t="shared" si="17"/>
        <v>2026-08-03</v>
      </c>
    </row>
    <row r="171" spans="1:12" ht="21">
      <c r="A171" s="35">
        <v>46240</v>
      </c>
      <c r="B171" s="34" t="s">
        <v>361</v>
      </c>
      <c r="C171" s="34" t="s">
        <v>362</v>
      </c>
      <c r="D171" s="34" t="s">
        <v>10</v>
      </c>
      <c r="E171" s="26">
        <v>31</v>
      </c>
      <c r="F171" s="34" t="s">
        <v>17</v>
      </c>
      <c r="G171" s="34" t="s">
        <v>26</v>
      </c>
      <c r="H171" s="34" t="s">
        <v>201</v>
      </c>
      <c r="I171" s="28"/>
      <c r="J171" s="22" t="str">
        <f t="shared" si="15"/>
        <v>2026</v>
      </c>
      <c r="K171" s="22" t="str">
        <f t="shared" si="16"/>
        <v>2026-08 août</v>
      </c>
      <c r="L171" s="22" t="str">
        <f t="shared" si="17"/>
        <v>2026-08-06</v>
      </c>
    </row>
    <row r="172" spans="1:12" ht="21">
      <c r="A172" s="35">
        <v>46240</v>
      </c>
      <c r="B172" s="34" t="s">
        <v>71</v>
      </c>
      <c r="C172" s="34" t="s">
        <v>72</v>
      </c>
      <c r="D172" s="34" t="s">
        <v>10</v>
      </c>
      <c r="E172" s="26">
        <v>56</v>
      </c>
      <c r="F172" s="34" t="s">
        <v>391</v>
      </c>
      <c r="G172" s="34" t="s">
        <v>392</v>
      </c>
      <c r="H172" s="34" t="s">
        <v>393</v>
      </c>
      <c r="I172" s="28" t="s">
        <v>14</v>
      </c>
      <c r="J172" s="22" t="str">
        <f t="shared" si="15"/>
        <v>2026</v>
      </c>
      <c r="K172" s="22" t="str">
        <f t="shared" si="16"/>
        <v>2026-08 août</v>
      </c>
      <c r="L172" s="22" t="str">
        <f t="shared" si="17"/>
        <v>2026-08-06</v>
      </c>
    </row>
    <row r="173" spans="1:12" ht="21">
      <c r="A173" s="35">
        <v>46240</v>
      </c>
      <c r="B173" s="34" t="s">
        <v>18</v>
      </c>
      <c r="C173" s="34" t="s">
        <v>100</v>
      </c>
      <c r="D173" s="34" t="s">
        <v>10</v>
      </c>
      <c r="E173" s="26">
        <v>5</v>
      </c>
      <c r="F173" s="34" t="s">
        <v>11</v>
      </c>
      <c r="G173" s="34" t="s">
        <v>394</v>
      </c>
      <c r="H173" s="34" t="s">
        <v>395</v>
      </c>
      <c r="I173" s="28"/>
      <c r="J173" s="22" t="str">
        <f t="shared" si="15"/>
        <v>2026</v>
      </c>
      <c r="K173" s="22" t="str">
        <f t="shared" si="16"/>
        <v>2026-08 août</v>
      </c>
      <c r="L173" s="22" t="str">
        <f t="shared" si="17"/>
        <v>2026-08-06</v>
      </c>
    </row>
    <row r="174" spans="1:12" ht="21">
      <c r="A174" s="35">
        <v>46240</v>
      </c>
      <c r="B174" s="34" t="s">
        <v>77</v>
      </c>
      <c r="C174" s="34" t="s">
        <v>91</v>
      </c>
      <c r="D174" s="34" t="s">
        <v>10</v>
      </c>
      <c r="E174" s="26"/>
      <c r="F174" s="34" t="s">
        <v>17</v>
      </c>
      <c r="G174" s="34" t="s">
        <v>26</v>
      </c>
      <c r="H174" s="34" t="s">
        <v>396</v>
      </c>
      <c r="I174" s="28" t="s">
        <v>14</v>
      </c>
      <c r="J174" s="22" t="str">
        <f t="shared" si="15"/>
        <v>2026</v>
      </c>
      <c r="K174" s="22" t="str">
        <f t="shared" si="16"/>
        <v>2026-08 août</v>
      </c>
      <c r="L174" s="22" t="str">
        <f t="shared" si="17"/>
        <v>2026-08-06</v>
      </c>
    </row>
    <row r="175" spans="1:12" ht="21">
      <c r="A175" s="39">
        <v>46241</v>
      </c>
      <c r="B175" s="25" t="s">
        <v>397</v>
      </c>
      <c r="C175" s="25" t="s">
        <v>398</v>
      </c>
      <c r="D175" s="25" t="s">
        <v>20</v>
      </c>
      <c r="E175" s="26">
        <v>3</v>
      </c>
      <c r="F175" s="25" t="s">
        <v>11</v>
      </c>
      <c r="G175" s="25" t="s">
        <v>399</v>
      </c>
      <c r="H175" s="25" t="s">
        <v>225</v>
      </c>
      <c r="I175" s="28" t="s">
        <v>14</v>
      </c>
      <c r="J175" s="22" t="str">
        <f t="shared" si="15"/>
        <v>2026</v>
      </c>
      <c r="K175" s="22" t="str">
        <f t="shared" si="16"/>
        <v>2026-08 août</v>
      </c>
      <c r="L175" s="22" t="str">
        <f t="shared" si="17"/>
        <v>2026-08-07</v>
      </c>
    </row>
    <row r="176" spans="1:12" ht="21">
      <c r="A176" s="39">
        <v>46242</v>
      </c>
      <c r="B176" s="25" t="s">
        <v>84</v>
      </c>
      <c r="C176" s="25" t="s">
        <v>150</v>
      </c>
      <c r="D176" s="25" t="s">
        <v>20</v>
      </c>
      <c r="E176" s="26">
        <v>2</v>
      </c>
      <c r="F176" s="25" t="s">
        <v>11</v>
      </c>
      <c r="G176" s="25" t="s">
        <v>26</v>
      </c>
      <c r="H176" s="25" t="s">
        <v>252</v>
      </c>
      <c r="I176" s="28" t="s">
        <v>14</v>
      </c>
      <c r="J176" s="22" t="str">
        <f t="shared" si="15"/>
        <v>2026</v>
      </c>
      <c r="K176" s="22" t="str">
        <f t="shared" si="16"/>
        <v>2026-08 août</v>
      </c>
      <c r="L176" s="22" t="str">
        <f t="shared" si="17"/>
        <v>2026-08-08</v>
      </c>
    </row>
    <row r="177" spans="1:12" ht="21">
      <c r="A177" s="39">
        <v>46243</v>
      </c>
      <c r="B177" s="25" t="s">
        <v>77</v>
      </c>
      <c r="C177" s="25" t="s">
        <v>78</v>
      </c>
      <c r="D177" s="25" t="s">
        <v>20</v>
      </c>
      <c r="E177" s="26">
        <v>38</v>
      </c>
      <c r="F177" s="25" t="s">
        <v>25</v>
      </c>
      <c r="G177" s="25" t="s">
        <v>30</v>
      </c>
      <c r="H177" s="25" t="s">
        <v>31</v>
      </c>
      <c r="I177" s="28" t="s">
        <v>14</v>
      </c>
      <c r="J177" s="22" t="str">
        <f t="shared" si="15"/>
        <v>2026</v>
      </c>
      <c r="K177" s="22" t="str">
        <f t="shared" si="16"/>
        <v>2026-08 août</v>
      </c>
      <c r="L177" s="22" t="str">
        <f t="shared" si="17"/>
        <v>2026-08-09</v>
      </c>
    </row>
    <row r="178" spans="1:12" ht="21">
      <c r="A178" s="39">
        <v>46244</v>
      </c>
      <c r="B178" s="25" t="s">
        <v>362</v>
      </c>
      <c r="C178" s="25" t="s">
        <v>400</v>
      </c>
      <c r="D178" s="25" t="s">
        <v>20</v>
      </c>
      <c r="E178" s="26">
        <v>18</v>
      </c>
      <c r="F178" s="25" t="s">
        <v>11</v>
      </c>
      <c r="G178" s="25" t="s">
        <v>26</v>
      </c>
      <c r="H178" s="25" t="s">
        <v>401</v>
      </c>
      <c r="I178" s="28" t="s">
        <v>14</v>
      </c>
      <c r="J178" s="22" t="str">
        <f t="shared" si="15"/>
        <v>2026</v>
      </c>
      <c r="K178" s="22" t="str">
        <f t="shared" si="16"/>
        <v>2026-08 août</v>
      </c>
      <c r="L178" s="22" t="str">
        <f t="shared" si="17"/>
        <v>2026-08-10</v>
      </c>
    </row>
    <row r="179" spans="1:12" ht="21">
      <c r="A179" s="39">
        <v>46244</v>
      </c>
      <c r="B179" s="25" t="s">
        <v>85</v>
      </c>
      <c r="C179" s="25" t="s">
        <v>402</v>
      </c>
      <c r="D179" s="25" t="s">
        <v>10</v>
      </c>
      <c r="E179" s="26">
        <v>46</v>
      </c>
      <c r="F179" s="25" t="s">
        <v>17</v>
      </c>
      <c r="G179" s="25" t="s">
        <v>26</v>
      </c>
      <c r="H179" s="25" t="s">
        <v>252</v>
      </c>
      <c r="I179" s="28"/>
      <c r="J179" s="22" t="str">
        <f t="shared" si="15"/>
        <v>2026</v>
      </c>
      <c r="K179" s="22" t="str">
        <f t="shared" si="16"/>
        <v>2026-08 août</v>
      </c>
      <c r="L179" s="22" t="str">
        <f t="shared" si="17"/>
        <v>2026-08-10</v>
      </c>
    </row>
    <row r="180" spans="1:12" ht="21">
      <c r="A180" s="39">
        <v>46246</v>
      </c>
      <c r="B180" s="25" t="s">
        <v>69</v>
      </c>
      <c r="C180" s="25" t="s">
        <v>403</v>
      </c>
      <c r="D180" s="25" t="s">
        <v>20</v>
      </c>
      <c r="E180" s="26">
        <v>39</v>
      </c>
      <c r="F180" s="25" t="s">
        <v>25</v>
      </c>
      <c r="G180" s="25" t="s">
        <v>26</v>
      </c>
      <c r="H180" s="25" t="s">
        <v>201</v>
      </c>
      <c r="I180" s="28"/>
      <c r="J180" s="22" t="str">
        <f t="shared" si="15"/>
        <v>2026</v>
      </c>
      <c r="K180" s="22" t="str">
        <f t="shared" si="16"/>
        <v>2026-08 août</v>
      </c>
      <c r="L180" s="22" t="str">
        <f t="shared" si="17"/>
        <v>2026-08-12</v>
      </c>
    </row>
    <row r="181" spans="1:12" ht="21">
      <c r="A181" s="39">
        <v>46247</v>
      </c>
      <c r="B181" s="25" t="s">
        <v>404</v>
      </c>
      <c r="C181" s="25" t="s">
        <v>405</v>
      </c>
      <c r="D181" s="25" t="s">
        <v>10</v>
      </c>
      <c r="E181" s="26">
        <v>37</v>
      </c>
      <c r="F181" s="25" t="s">
        <v>442</v>
      </c>
      <c r="G181" s="25" t="s">
        <v>406</v>
      </c>
      <c r="H181" s="25" t="s">
        <v>407</v>
      </c>
      <c r="I181" s="28" t="s">
        <v>408</v>
      </c>
      <c r="J181" s="22" t="str">
        <f t="shared" si="15"/>
        <v>2026</v>
      </c>
      <c r="K181" s="22" t="str">
        <f t="shared" si="16"/>
        <v>2026-08 août</v>
      </c>
      <c r="L181" s="22" t="str">
        <f t="shared" si="17"/>
        <v>2026-08-13</v>
      </c>
    </row>
    <row r="182" spans="1:12" ht="21">
      <c r="A182" s="39">
        <v>46247</v>
      </c>
      <c r="B182" s="25" t="s">
        <v>409</v>
      </c>
      <c r="C182" s="25" t="s">
        <v>410</v>
      </c>
      <c r="D182" s="25" t="s">
        <v>10</v>
      </c>
      <c r="E182" s="26">
        <v>24</v>
      </c>
      <c r="F182" s="25" t="s">
        <v>17</v>
      </c>
      <c r="G182" s="25" t="s">
        <v>411</v>
      </c>
      <c r="H182" s="25" t="s">
        <v>412</v>
      </c>
      <c r="I182" s="28"/>
      <c r="J182" s="22" t="str">
        <f t="shared" si="15"/>
        <v>2026</v>
      </c>
      <c r="K182" s="22" t="str">
        <f t="shared" si="16"/>
        <v>2026-08 août</v>
      </c>
      <c r="L182" s="22" t="str">
        <f t="shared" si="17"/>
        <v>2026-08-13</v>
      </c>
    </row>
    <row r="183" spans="1:12" ht="21">
      <c r="A183" s="39">
        <v>46247</v>
      </c>
      <c r="B183" s="25" t="s">
        <v>413</v>
      </c>
      <c r="C183" s="25" t="s">
        <v>414</v>
      </c>
      <c r="D183" s="25" t="s">
        <v>10</v>
      </c>
      <c r="E183" s="26">
        <v>11</v>
      </c>
      <c r="F183" s="25" t="s">
        <v>267</v>
      </c>
      <c r="G183" s="25" t="s">
        <v>415</v>
      </c>
      <c r="H183" s="25" t="s">
        <v>381</v>
      </c>
      <c r="I183" s="28"/>
      <c r="J183" s="22" t="str">
        <f t="shared" si="15"/>
        <v>2026</v>
      </c>
      <c r="K183" s="22" t="str">
        <f t="shared" si="16"/>
        <v>2026-08 août</v>
      </c>
      <c r="L183" s="22" t="str">
        <f t="shared" si="17"/>
        <v>2026-08-13</v>
      </c>
    </row>
    <row r="184" spans="1:12" ht="21">
      <c r="A184" s="39">
        <v>46248</v>
      </c>
      <c r="B184" s="25" t="s">
        <v>49</v>
      </c>
      <c r="C184" s="25" t="s">
        <v>50</v>
      </c>
      <c r="D184" s="25" t="s">
        <v>10</v>
      </c>
      <c r="E184" s="26">
        <v>35</v>
      </c>
      <c r="F184" s="25" t="s">
        <v>17</v>
      </c>
      <c r="G184" s="25" t="s">
        <v>26</v>
      </c>
      <c r="H184" s="25" t="s">
        <v>201</v>
      </c>
      <c r="I184" s="28"/>
      <c r="J184" s="22" t="str">
        <f t="shared" si="15"/>
        <v>2026</v>
      </c>
      <c r="K184" s="22" t="str">
        <f t="shared" si="16"/>
        <v>2026-08 août</v>
      </c>
      <c r="L184" s="22" t="str">
        <f t="shared" si="17"/>
        <v>2026-08-14</v>
      </c>
    </row>
    <row r="185" spans="1:12" ht="21">
      <c r="A185" s="39">
        <v>46250</v>
      </c>
      <c r="B185" s="25" t="s">
        <v>416</v>
      </c>
      <c r="C185" s="25" t="s">
        <v>417</v>
      </c>
      <c r="D185" s="25" t="s">
        <v>10</v>
      </c>
      <c r="E185" s="26">
        <v>26</v>
      </c>
      <c r="F185" s="25" t="s">
        <v>17</v>
      </c>
      <c r="G185" s="25" t="s">
        <v>385</v>
      </c>
      <c r="H185" s="25" t="s">
        <v>388</v>
      </c>
      <c r="I185" s="28"/>
      <c r="J185" s="22" t="str">
        <f t="shared" si="15"/>
        <v>2026</v>
      </c>
      <c r="K185" s="22" t="str">
        <f t="shared" si="16"/>
        <v>2026-08 août</v>
      </c>
      <c r="L185" s="22" t="str">
        <f t="shared" si="17"/>
        <v>2026-08-16</v>
      </c>
    </row>
    <row r="186" spans="1:12" ht="21">
      <c r="A186" s="39">
        <v>46257</v>
      </c>
      <c r="B186" s="25" t="s">
        <v>418</v>
      </c>
      <c r="C186" s="25" t="s">
        <v>419</v>
      </c>
      <c r="D186" s="25" t="s">
        <v>10</v>
      </c>
      <c r="E186" s="26" t="s">
        <v>420</v>
      </c>
      <c r="F186" s="25" t="s">
        <v>11</v>
      </c>
      <c r="G186" s="25" t="s">
        <v>63</v>
      </c>
      <c r="H186" s="25" t="s">
        <v>421</v>
      </c>
      <c r="I186" s="28" t="s">
        <v>408</v>
      </c>
      <c r="J186" s="22" t="str">
        <f t="shared" si="15"/>
        <v>2026</v>
      </c>
      <c r="K186" s="22" t="str">
        <f t="shared" si="16"/>
        <v>2026-08 août</v>
      </c>
      <c r="L186" s="22" t="str">
        <f t="shared" si="17"/>
        <v>2026-08-23</v>
      </c>
    </row>
    <row r="187" spans="1:12" ht="21">
      <c r="A187" s="39">
        <v>46254</v>
      </c>
      <c r="B187" s="25" t="s">
        <v>422</v>
      </c>
      <c r="C187" s="25" t="s">
        <v>423</v>
      </c>
      <c r="D187" s="25" t="s">
        <v>20</v>
      </c>
      <c r="E187" s="26">
        <v>19</v>
      </c>
      <c r="F187" s="25" t="s">
        <v>81</v>
      </c>
      <c r="G187" s="25" t="s">
        <v>255</v>
      </c>
      <c r="H187" s="25" t="s">
        <v>424</v>
      </c>
      <c r="I187" s="28" t="s">
        <v>221</v>
      </c>
      <c r="J187" s="22" t="str">
        <f t="shared" si="15"/>
        <v>2026</v>
      </c>
      <c r="K187" s="22" t="str">
        <f t="shared" si="16"/>
        <v>2026-08 août</v>
      </c>
      <c r="L187" s="22" t="str">
        <f t="shared" si="17"/>
        <v>2026-08-20</v>
      </c>
    </row>
    <row r="188" spans="1:12" ht="21">
      <c r="A188" s="39">
        <v>46258</v>
      </c>
      <c r="B188" s="25" t="s">
        <v>426</v>
      </c>
      <c r="C188" s="25" t="s">
        <v>425</v>
      </c>
      <c r="D188" s="25" t="s">
        <v>10</v>
      </c>
      <c r="E188" s="26">
        <v>51</v>
      </c>
      <c r="F188" s="25" t="s">
        <v>17</v>
      </c>
      <c r="G188" s="25" t="s">
        <v>26</v>
      </c>
      <c r="H188" s="25" t="s">
        <v>252</v>
      </c>
      <c r="I188" s="28" t="s">
        <v>408</v>
      </c>
      <c r="J188" s="22" t="str">
        <f t="shared" si="15"/>
        <v>2026</v>
      </c>
      <c r="K188" s="22" t="str">
        <f t="shared" si="16"/>
        <v>2026-08 août</v>
      </c>
      <c r="L188" s="22" t="str">
        <f t="shared" si="17"/>
        <v>2026-08-24</v>
      </c>
    </row>
    <row r="189" spans="1:12" ht="21">
      <c r="A189" s="39">
        <v>46258</v>
      </c>
      <c r="B189" s="25" t="s">
        <v>427</v>
      </c>
      <c r="C189" s="25" t="s">
        <v>428</v>
      </c>
      <c r="D189" s="25" t="s">
        <v>10</v>
      </c>
      <c r="E189" s="26">
        <v>4</v>
      </c>
      <c r="F189" s="25" t="s">
        <v>11</v>
      </c>
      <c r="G189" s="25" t="s">
        <v>63</v>
      </c>
      <c r="H189" s="25" t="s">
        <v>429</v>
      </c>
      <c r="I189" s="28" t="s">
        <v>408</v>
      </c>
      <c r="J189" s="22" t="str">
        <f t="shared" si="15"/>
        <v>2026</v>
      </c>
      <c r="K189" s="22" t="str">
        <f t="shared" si="16"/>
        <v>2026-08 août</v>
      </c>
      <c r="L189" s="22" t="str">
        <f t="shared" si="17"/>
        <v>2026-08-24</v>
      </c>
    </row>
    <row r="190" spans="1:12" ht="21">
      <c r="A190" s="39">
        <v>46261</v>
      </c>
      <c r="B190" s="25" t="s">
        <v>430</v>
      </c>
      <c r="C190" s="25" t="s">
        <v>431</v>
      </c>
      <c r="D190" s="25" t="s">
        <v>10</v>
      </c>
      <c r="E190" s="26">
        <v>50</v>
      </c>
      <c r="F190" s="25" t="s">
        <v>17</v>
      </c>
      <c r="G190" s="25" t="s">
        <v>385</v>
      </c>
      <c r="H190" s="25" t="s">
        <v>432</v>
      </c>
      <c r="I190" s="28"/>
      <c r="J190" s="22" t="str">
        <f t="shared" si="15"/>
        <v>2026</v>
      </c>
      <c r="K190" s="22" t="str">
        <f t="shared" si="16"/>
        <v>2026-08 août</v>
      </c>
      <c r="L190" s="22" t="str">
        <f t="shared" si="17"/>
        <v>2026-08-27</v>
      </c>
    </row>
    <row r="191" spans="1:12" ht="21">
      <c r="A191" s="39">
        <v>46261</v>
      </c>
      <c r="B191" s="25" t="s">
        <v>433</v>
      </c>
      <c r="C191" s="25" t="s">
        <v>434</v>
      </c>
      <c r="D191" s="25" t="s">
        <v>10</v>
      </c>
      <c r="E191" s="26">
        <v>29</v>
      </c>
      <c r="F191" s="25" t="s">
        <v>442</v>
      </c>
      <c r="G191" s="25" t="s">
        <v>435</v>
      </c>
      <c r="H191" s="25" t="s">
        <v>436</v>
      </c>
      <c r="I191" s="28"/>
      <c r="J191" s="22" t="str">
        <f t="shared" si="15"/>
        <v>2026</v>
      </c>
      <c r="K191" s="22" t="str">
        <f t="shared" si="16"/>
        <v>2026-08 août</v>
      </c>
      <c r="L191" s="22" t="str">
        <f t="shared" si="17"/>
        <v>2026-08-27</v>
      </c>
    </row>
    <row r="192" spans="1:12" ht="21">
      <c r="A192" s="39">
        <v>46261</v>
      </c>
      <c r="B192" s="25" t="s">
        <v>437</v>
      </c>
      <c r="C192" s="25" t="s">
        <v>438</v>
      </c>
      <c r="D192" s="25" t="s">
        <v>10</v>
      </c>
      <c r="E192" s="26">
        <v>28</v>
      </c>
      <c r="F192" s="25" t="s">
        <v>442</v>
      </c>
      <c r="G192" s="25" t="s">
        <v>435</v>
      </c>
      <c r="H192" s="25" t="s">
        <v>436</v>
      </c>
      <c r="I192" s="28"/>
      <c r="J192" s="22" t="str">
        <f t="shared" si="15"/>
        <v>2026</v>
      </c>
      <c r="K192" s="22" t="str">
        <f t="shared" si="16"/>
        <v>2026-08 août</v>
      </c>
      <c r="L192" s="22" t="str">
        <f t="shared" si="17"/>
        <v>2026-08-27</v>
      </c>
    </row>
    <row r="193" spans="1:12" ht="21">
      <c r="A193" s="39">
        <v>46267</v>
      </c>
      <c r="B193" s="25" t="s">
        <v>439</v>
      </c>
      <c r="C193" s="25" t="s">
        <v>397</v>
      </c>
      <c r="D193" s="25" t="s">
        <v>10</v>
      </c>
      <c r="E193" s="26">
        <v>35</v>
      </c>
      <c r="F193" s="25" t="s">
        <v>17</v>
      </c>
      <c r="G193" s="25" t="s">
        <v>26</v>
      </c>
      <c r="H193" s="25" t="s">
        <v>201</v>
      </c>
      <c r="I193" s="28"/>
      <c r="J193" s="22" t="str">
        <f t="shared" si="15"/>
        <v>2026</v>
      </c>
      <c r="K193" s="22" t="str">
        <f t="shared" si="16"/>
        <v>2026-09 septembre</v>
      </c>
      <c r="L193" s="22" t="str">
        <f t="shared" si="17"/>
        <v>2026-09-02</v>
      </c>
    </row>
    <row r="194" spans="1:12" ht="21">
      <c r="A194" s="39">
        <v>46268</v>
      </c>
      <c r="B194" s="25" t="s">
        <v>56</v>
      </c>
      <c r="C194" s="25" t="s">
        <v>440</v>
      </c>
      <c r="D194" s="25" t="s">
        <v>10</v>
      </c>
      <c r="E194" s="26">
        <v>56</v>
      </c>
      <c r="F194" s="25" t="s">
        <v>17</v>
      </c>
      <c r="G194" s="25" t="s">
        <v>441</v>
      </c>
      <c r="H194" s="25" t="s">
        <v>381</v>
      </c>
      <c r="I194" s="28"/>
      <c r="J194" s="22" t="str">
        <f t="shared" si="15"/>
        <v>2026</v>
      </c>
      <c r="K194" s="22" t="str">
        <f t="shared" si="16"/>
        <v>2026-09 septembre</v>
      </c>
      <c r="L194" s="22" t="str">
        <f t="shared" si="17"/>
        <v>2026-09-03</v>
      </c>
    </row>
    <row r="195" spans="1:12" ht="21">
      <c r="A195" s="40">
        <v>46272</v>
      </c>
      <c r="B195" s="22" t="s">
        <v>18</v>
      </c>
      <c r="C195" s="22" t="s">
        <v>101</v>
      </c>
      <c r="D195" s="22" t="s">
        <v>20</v>
      </c>
      <c r="E195" s="23">
        <v>7</v>
      </c>
      <c r="F195" s="22" t="s">
        <v>11</v>
      </c>
      <c r="G195" s="22" t="s">
        <v>444</v>
      </c>
      <c r="H195" s="22"/>
      <c r="I195" s="24" t="s">
        <v>106</v>
      </c>
      <c r="J195" s="22" t="str">
        <f t="shared" si="15"/>
        <v>2026</v>
      </c>
      <c r="K195" s="22" t="str">
        <f t="shared" si="16"/>
        <v>2026-09 septembre</v>
      </c>
      <c r="L195" s="22" t="str">
        <f t="shared" si="17"/>
        <v>2026-09-07</v>
      </c>
    </row>
    <row r="196" spans="1:12" ht="21">
      <c r="A196" s="39">
        <v>46272</v>
      </c>
      <c r="B196" s="25" t="s">
        <v>18</v>
      </c>
      <c r="C196" s="25" t="s">
        <v>101</v>
      </c>
      <c r="D196" s="25" t="s">
        <v>20</v>
      </c>
      <c r="E196" s="26">
        <v>7</v>
      </c>
      <c r="F196" s="25" t="s">
        <v>11</v>
      </c>
      <c r="G196" s="25" t="s">
        <v>443</v>
      </c>
      <c r="H196" s="25"/>
      <c r="I196" s="28" t="s">
        <v>106</v>
      </c>
      <c r="J196" s="22" t="str">
        <f t="shared" si="15"/>
        <v>2026</v>
      </c>
      <c r="K196" s="22" t="str">
        <f t="shared" si="16"/>
        <v>2026-09 septembre</v>
      </c>
      <c r="L196" s="22" t="str">
        <f t="shared" si="17"/>
        <v>2026-09-07</v>
      </c>
    </row>
    <row r="197" spans="1:12" ht="21">
      <c r="A197" s="39">
        <v>46272</v>
      </c>
      <c r="B197" s="25" t="s">
        <v>445</v>
      </c>
      <c r="C197" s="25" t="s">
        <v>446</v>
      </c>
      <c r="D197" s="25" t="s">
        <v>10</v>
      </c>
      <c r="E197" s="26">
        <v>32</v>
      </c>
      <c r="F197" s="25" t="s">
        <v>17</v>
      </c>
      <c r="G197" s="25" t="s">
        <v>447</v>
      </c>
      <c r="H197" s="25" t="s">
        <v>381</v>
      </c>
      <c r="I197" s="28" t="s">
        <v>448</v>
      </c>
      <c r="J197" s="22" t="str">
        <f t="shared" si="15"/>
        <v>2026</v>
      </c>
      <c r="K197" s="22" t="str">
        <f t="shared" si="16"/>
        <v>2026-09 septembre</v>
      </c>
      <c r="L197" s="22" t="str">
        <f t="shared" si="17"/>
        <v>2026-09-07</v>
      </c>
    </row>
    <row r="198" spans="1:12" ht="21">
      <c r="A198" s="39">
        <v>46272</v>
      </c>
      <c r="B198" s="25" t="s">
        <v>445</v>
      </c>
      <c r="C198" s="25" t="s">
        <v>446</v>
      </c>
      <c r="D198" s="25" t="s">
        <v>10</v>
      </c>
      <c r="E198" s="26">
        <v>32</v>
      </c>
      <c r="F198" s="25" t="s">
        <v>17</v>
      </c>
      <c r="G198" s="25" t="s">
        <v>87</v>
      </c>
      <c r="H198" s="25" t="s">
        <v>88</v>
      </c>
      <c r="I198" s="28" t="s">
        <v>14</v>
      </c>
      <c r="J198" s="22" t="str">
        <f t="shared" si="15"/>
        <v>2026</v>
      </c>
      <c r="K198" s="22" t="str">
        <f t="shared" si="16"/>
        <v>2026-09 septembre</v>
      </c>
      <c r="L198" s="22" t="str">
        <f t="shared" si="17"/>
        <v>2026-09-07</v>
      </c>
    </row>
  </sheetData>
  <sheetProtection selectLockedCells="1" selectUnlockedCells="1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21"/>
  <sheetViews>
    <sheetView topLeftCell="N1" workbookViewId="0">
      <selection activeCell="V18" sqref="V18"/>
    </sheetView>
  </sheetViews>
  <sheetFormatPr defaultColWidth="9" defaultRowHeight="14.5"/>
  <cols>
    <col min="1" max="1" width="12.6328125" bestFit="1" customWidth="1"/>
    <col min="2" max="2" width="23.26953125" bestFit="1" customWidth="1"/>
    <col min="9" max="9" width="12.6328125" bestFit="1" customWidth="1"/>
    <col min="10" max="10" width="23.26953125" bestFit="1" customWidth="1"/>
    <col min="11" max="11" width="24.453125" customWidth="1"/>
    <col min="17" max="17" width="22" bestFit="1" customWidth="1"/>
    <col min="18" max="18" width="23.26953125" bestFit="1" customWidth="1"/>
    <col min="19" max="19" width="24.453125" customWidth="1"/>
    <col min="21" max="21" width="18.26953125" customWidth="1"/>
    <col min="22" max="22" width="19.54296875" customWidth="1"/>
    <col min="23" max="37" width="58.81640625" customWidth="1"/>
    <col min="38" max="39" width="10.7265625" customWidth="1"/>
    <col min="40" max="42" width="58.81640625" customWidth="1"/>
    <col min="43" max="43" width="15.26953125" customWidth="1"/>
    <col min="44" max="44" width="20.81640625" customWidth="1"/>
    <col min="45" max="45" width="15.26953125" customWidth="1"/>
    <col min="46" max="47" width="32.26953125" customWidth="1"/>
    <col min="48" max="48" width="15.26953125" customWidth="1"/>
    <col min="49" max="49" width="32.26953125" customWidth="1"/>
    <col min="50" max="50" width="15.26953125" customWidth="1"/>
    <col min="51" max="54" width="32.453125" customWidth="1"/>
    <col min="55" max="55" width="15.26953125" customWidth="1"/>
    <col min="56" max="59" width="32.26953125" customWidth="1"/>
    <col min="60" max="60" width="15.26953125" customWidth="1"/>
    <col min="61" max="63" width="32.26953125" customWidth="1"/>
    <col min="64" max="64" width="15.26953125" customWidth="1"/>
    <col min="65" max="67" width="13.7265625" customWidth="1"/>
    <col min="68" max="68" width="15.26953125" customWidth="1"/>
    <col min="69" max="70" width="32.26953125" customWidth="1"/>
    <col min="71" max="71" width="15.26953125" customWidth="1"/>
    <col min="72" max="74" width="32.26953125" customWidth="1"/>
    <col min="75" max="75" width="15.26953125" customWidth="1"/>
    <col min="76" max="76" width="13.7265625" customWidth="1"/>
    <col min="77" max="77" width="15.26953125" customWidth="1"/>
    <col min="78" max="78" width="21.81640625" customWidth="1"/>
    <col min="79" max="79" width="15.26953125" customWidth="1"/>
    <col min="80" max="80" width="35" customWidth="1"/>
    <col min="81" max="81" width="15.26953125" customWidth="1"/>
    <col min="82" max="83" width="42" customWidth="1"/>
    <col min="84" max="84" width="15.26953125" customWidth="1"/>
    <col min="85" max="85" width="8.54296875" customWidth="1"/>
    <col min="86" max="86" width="11.54296875" customWidth="1"/>
    <col min="87" max="87" width="10.7265625" customWidth="1"/>
  </cols>
  <sheetData>
    <row r="1" spans="1:23">
      <c r="A1" s="41"/>
      <c r="B1" s="41"/>
      <c r="I1" s="1" t="s">
        <v>287</v>
      </c>
      <c r="Q1" s="1" t="s">
        <v>288</v>
      </c>
    </row>
    <row r="2" spans="1:23">
      <c r="A2" s="42" t="s">
        <v>289</v>
      </c>
      <c r="B2" s="41"/>
    </row>
    <row r="3" spans="1:23">
      <c r="I3" s="29" t="s">
        <v>290</v>
      </c>
      <c r="J3" t="s">
        <v>291</v>
      </c>
      <c r="Q3" s="29" t="s">
        <v>290</v>
      </c>
      <c r="R3" t="s">
        <v>291</v>
      </c>
    </row>
    <row r="4" spans="1:23">
      <c r="A4" s="29" t="s">
        <v>290</v>
      </c>
      <c r="B4" t="s">
        <v>291</v>
      </c>
      <c r="I4" s="2" t="s">
        <v>310</v>
      </c>
      <c r="J4" s="43">
        <v>1</v>
      </c>
      <c r="Q4" s="2" t="s">
        <v>311</v>
      </c>
      <c r="R4" s="43">
        <v>1</v>
      </c>
      <c r="U4" s="3"/>
      <c r="V4" s="4"/>
      <c r="W4" s="5"/>
    </row>
    <row r="5" spans="1:23">
      <c r="A5" s="2" t="s">
        <v>20</v>
      </c>
      <c r="B5" s="43">
        <v>1</v>
      </c>
      <c r="I5" s="2" t="s">
        <v>292</v>
      </c>
      <c r="J5" s="43">
        <v>1</v>
      </c>
      <c r="Q5" s="2" t="s">
        <v>292</v>
      </c>
      <c r="R5" s="43">
        <v>1</v>
      </c>
      <c r="U5" s="6"/>
      <c r="V5" s="7"/>
      <c r="W5" s="8"/>
    </row>
    <row r="6" spans="1:23">
      <c r="A6" s="2" t="s">
        <v>292</v>
      </c>
      <c r="B6" s="43">
        <v>1</v>
      </c>
      <c r="U6" s="6"/>
      <c r="V6" s="7"/>
      <c r="W6" s="8"/>
    </row>
    <row r="7" spans="1:23">
      <c r="U7" s="6"/>
      <c r="V7" s="7"/>
      <c r="W7" s="8"/>
    </row>
    <row r="8" spans="1:23">
      <c r="U8" s="6"/>
      <c r="V8" s="7"/>
      <c r="W8" s="8"/>
    </row>
    <row r="9" spans="1:23">
      <c r="U9" s="6"/>
      <c r="V9" s="7"/>
      <c r="W9" s="8"/>
    </row>
    <row r="10" spans="1:23">
      <c r="U10" s="6"/>
      <c r="V10" s="7"/>
      <c r="W10" s="8"/>
    </row>
    <row r="11" spans="1:23">
      <c r="U11" s="6"/>
      <c r="V11" s="7"/>
      <c r="W11" s="8"/>
    </row>
    <row r="12" spans="1:23">
      <c r="U12" s="6"/>
      <c r="V12" s="7"/>
      <c r="W12" s="8"/>
    </row>
    <row r="13" spans="1:23">
      <c r="U13" s="6"/>
      <c r="V13" s="7"/>
      <c r="W13" s="8"/>
    </row>
    <row r="14" spans="1:23">
      <c r="U14" s="6"/>
      <c r="V14" s="7"/>
      <c r="W14" s="8"/>
    </row>
    <row r="15" spans="1:23">
      <c r="U15" s="6"/>
      <c r="V15" s="7"/>
      <c r="W15" s="8"/>
    </row>
    <row r="16" spans="1:23">
      <c r="U16" s="6"/>
      <c r="V16" s="7"/>
      <c r="W16" s="8"/>
    </row>
    <row r="17" spans="21:23">
      <c r="U17" s="6"/>
      <c r="V17" s="7"/>
      <c r="W17" s="8"/>
    </row>
    <row r="18" spans="21:23">
      <c r="U18" s="6"/>
      <c r="V18" s="7"/>
      <c r="W18" s="8"/>
    </row>
    <row r="19" spans="21:23">
      <c r="U19" s="6"/>
      <c r="V19" s="7"/>
      <c r="W19" s="8"/>
    </row>
    <row r="20" spans="21:23">
      <c r="U20" s="6"/>
      <c r="V20" s="7"/>
      <c r="W20" s="8"/>
    </row>
    <row r="21" spans="21:23">
      <c r="U21" s="9"/>
      <c r="V21" s="10"/>
      <c r="W21" s="11"/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Z1:AB2"/>
  <sheetViews>
    <sheetView zoomScale="64" zoomScaleNormal="64" workbookViewId="0">
      <selection activeCell="AH27" sqref="AH27"/>
    </sheetView>
  </sheetViews>
  <sheetFormatPr defaultColWidth="9" defaultRowHeight="14.5"/>
  <sheetData>
    <row r="1" spans="26:28">
      <c r="Z1" t="s">
        <v>293</v>
      </c>
      <c r="AA1" t="s">
        <v>294</v>
      </c>
      <c r="AB1" t="s">
        <v>295</v>
      </c>
    </row>
    <row r="2" spans="26:28">
      <c r="Z2">
        <f>IFERROR(GETPIVOTDATA("TYPE DE MALADE",TCD!$A$3),0)</f>
        <v>1</v>
      </c>
      <c r="AA2">
        <f>IFERROR(GETPIVOTDATA("TYPE DE MALADE",TCD!$A$3,"SEXE","M"),0)</f>
        <v>0</v>
      </c>
      <c r="AB2">
        <f>IFERROR(GETPIVOTDATA("TYPE DE MALADE",TCD!$A$3,"SEXE","F"),0)</f>
        <v>1</v>
      </c>
    </row>
  </sheetData>
  <sheetProtection sheet="1" objects="1" scenarios="1" pivotTables="0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6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</vt:lpstr>
      <vt:lpstr>TCD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Mvutu</dc:creator>
  <cp:lastModifiedBy>Gedeon Massadi</cp:lastModifiedBy>
  <dcterms:created xsi:type="dcterms:W3CDTF">2026-06-02T07:25:00Z</dcterms:created>
  <dcterms:modified xsi:type="dcterms:W3CDTF">2026-09-15T09:32:10Z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273D505B8D304AC5AD62A101B83F5B49_12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