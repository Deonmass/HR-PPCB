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g Pelagie K\"/>
    </mc:Choice>
  </mc:AlternateContent>
  <xr:revisionPtr revIDLastSave="0" documentId="13_ncr:1_{B2CED27C-D0F8-4F15-A6A4-0A3D8B09B477}" xr6:coauthVersionLast="47" xr6:coauthVersionMax="47" xr10:uidLastSave="{00000000-0000-0000-0000-000000000000}"/>
  <bookViews>
    <workbookView xWindow="28680" yWindow="-120" windowWidth="29040" windowHeight="15720" tabRatio="841" activeTab="2" xr2:uid="{EEB37887-B832-466A-BE22-B947EE0761A0}"/>
  </bookViews>
  <sheets>
    <sheet name="DASHBOARD CSR" sheetId="6" r:id="rId1"/>
    <sheet name="DASHBOARD CC" sheetId="7" r:id="rId2"/>
    <sheet name="PROJECTS" sheetId="2" r:id="rId3"/>
    <sheet name="Budget expense Details" sheetId="3" r:id="rId4"/>
    <sheet name="Params" sheetId="4" state="hidden" r:id="rId5"/>
  </sheets>
  <definedNames>
    <definedName name="_xlnm._FilterDatabase" localSheetId="3" hidden="1">'Budget expense Details'!$A$3:$F$3</definedName>
    <definedName name="_xlnm._FilterDatabase" localSheetId="1" hidden="1">'DASHBOARD CC'!$G$13:$G$18</definedName>
    <definedName name="_xlnm._FilterDatabase" localSheetId="0" hidden="1">'DASHBOARD CSR'!$G$14:$G$19</definedName>
    <definedName name="_xlnm._FilterDatabase" localSheetId="2" hidden="1">PROJECTS!$A$4:$N$73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5" i="7" l="1" a="1"/>
  <c r="A25" i="7" s="1"/>
  <c r="C25" i="7" s="1"/>
  <c r="G14" i="7" a="1"/>
  <c r="G14" i="7" s="1"/>
  <c r="A15" i="6"/>
  <c r="A7" i="6"/>
  <c r="A14" i="7"/>
  <c r="H9" i="7"/>
  <c r="A6" i="7"/>
  <c r="D5" i="7"/>
  <c r="C26" i="7" l="1"/>
  <c r="C28" i="7"/>
  <c r="C27" i="7"/>
  <c r="C13" i="7"/>
  <c r="B25" i="7"/>
  <c r="B28" i="7"/>
  <c r="B27" i="7"/>
  <c r="B29" i="7"/>
  <c r="C29" i="7"/>
  <c r="B26" i="7"/>
  <c r="D14" i="7"/>
  <c r="H19" i="7"/>
  <c r="E14" i="7"/>
  <c r="H14" i="7"/>
  <c r="H17" i="7"/>
  <c r="H16" i="7"/>
  <c r="H18" i="7"/>
  <c r="C14" i="7"/>
  <c r="H15" i="7"/>
  <c r="B14" i="7"/>
  <c r="D13" i="7"/>
  <c r="E13" i="7"/>
  <c r="D6" i="6"/>
  <c r="G15" i="6" a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" i="2"/>
  <c r="A2" i="4" a="1"/>
  <c r="A2" i="4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I19" i="7" l="1"/>
  <c r="K50" i="2"/>
  <c r="B30" i="7"/>
  <c r="I15" i="7"/>
  <c r="J15" i="7" s="1"/>
  <c r="I16" i="7"/>
  <c r="J16" i="7" s="1"/>
  <c r="I17" i="7"/>
  <c r="J17" i="7" s="1"/>
  <c r="I18" i="7"/>
  <c r="J18" i="7" s="1"/>
  <c r="D28" i="7"/>
  <c r="E28" i="7" s="1"/>
  <c r="C6" i="7"/>
  <c r="I7" i="7"/>
  <c r="H8" i="7"/>
  <c r="D6" i="7"/>
  <c r="H7" i="7"/>
  <c r="B6" i="7"/>
  <c r="H6" i="7"/>
  <c r="D29" i="7"/>
  <c r="E29" i="7" s="1"/>
  <c r="D27" i="7"/>
  <c r="E27" i="7" s="1"/>
  <c r="D26" i="7"/>
  <c r="E26" i="7" s="1"/>
  <c r="C7" i="6"/>
  <c r="D7" i="6"/>
  <c r="B7" i="6"/>
  <c r="H9" i="6"/>
  <c r="H20" i="7"/>
  <c r="G15" i="6"/>
  <c r="B14" i="6" s="1"/>
  <c r="E15" i="6"/>
  <c r="D15" i="6"/>
  <c r="C15" i="6"/>
  <c r="J19" i="7"/>
  <c r="E14" i="6"/>
  <c r="D14" i="6"/>
  <c r="B13" i="7"/>
  <c r="C14" i="6"/>
  <c r="M3" i="2"/>
  <c r="J21" i="2"/>
  <c r="J20" i="2"/>
  <c r="K20" i="2" s="1"/>
  <c r="J19" i="2"/>
  <c r="I19" i="2" s="1"/>
  <c r="K19" i="2" s="1"/>
  <c r="J18" i="2"/>
  <c r="I18" i="2" s="1"/>
  <c r="K18" i="2" s="1"/>
  <c r="J17" i="2"/>
  <c r="I17" i="2" s="1"/>
  <c r="K17" i="2" s="1"/>
  <c r="J16" i="2"/>
  <c r="I16" i="2" s="1"/>
  <c r="K16" i="2" s="1"/>
  <c r="J15" i="2"/>
  <c r="I15" i="2" s="1"/>
  <c r="K15" i="2" s="1"/>
  <c r="J14" i="2"/>
  <c r="I14" i="2" s="1"/>
  <c r="K14" i="2" s="1"/>
  <c r="J13" i="2"/>
  <c r="I13" i="2" s="1"/>
  <c r="K13" i="2" s="1"/>
  <c r="J12" i="2"/>
  <c r="I12" i="2" s="1"/>
  <c r="K12" i="2" s="1"/>
  <c r="J11" i="2"/>
  <c r="I11" i="2" s="1"/>
  <c r="K11" i="2" s="1"/>
  <c r="J10" i="2"/>
  <c r="I10" i="2" s="1"/>
  <c r="K10" i="2" s="1"/>
  <c r="J9" i="2"/>
  <c r="I9" i="2" s="1"/>
  <c r="K9" i="2" s="1"/>
  <c r="J8" i="2"/>
  <c r="I8" i="2" s="1"/>
  <c r="K8" i="2" s="1"/>
  <c r="J7" i="2"/>
  <c r="I7" i="2" s="1"/>
  <c r="K7" i="2" s="1"/>
  <c r="J6" i="2"/>
  <c r="I6" i="2" s="1"/>
  <c r="K6" i="2" s="1"/>
  <c r="J5" i="2"/>
  <c r="I5" i="2" s="1"/>
  <c r="H7" i="6" l="1"/>
  <c r="H17" i="6"/>
  <c r="K5" i="2"/>
  <c r="I3" i="2"/>
  <c r="H18" i="6"/>
  <c r="H8" i="6"/>
  <c r="I6" i="7"/>
  <c r="J6" i="7" s="1"/>
  <c r="K21" i="2"/>
  <c r="H16" i="6"/>
  <c r="I8" i="6"/>
  <c r="J8" i="6" s="1"/>
  <c r="I18" i="6"/>
  <c r="J18" i="6" s="1"/>
  <c r="I16" i="6"/>
  <c r="I17" i="6"/>
  <c r="I7" i="6"/>
  <c r="I9" i="6"/>
  <c r="J9" i="6" s="1"/>
  <c r="D25" i="7"/>
  <c r="D30" i="7" s="1"/>
  <c r="I14" i="7"/>
  <c r="I20" i="7" s="1"/>
  <c r="I8" i="7"/>
  <c r="J8" i="7" s="1"/>
  <c r="C30" i="7"/>
  <c r="H15" i="6"/>
  <c r="H19" i="6" s="1"/>
  <c r="B15" i="6"/>
  <c r="I15" i="6"/>
  <c r="I9" i="7"/>
  <c r="J9" i="7" s="1"/>
  <c r="J7" i="7"/>
  <c r="J3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J16" i="6" l="1"/>
  <c r="J17" i="6"/>
  <c r="H10" i="6"/>
  <c r="J7" i="6"/>
  <c r="J10" i="6" s="1"/>
  <c r="E25" i="7"/>
  <c r="E30" i="7" s="1"/>
  <c r="J14" i="7"/>
  <c r="J20" i="7" s="1"/>
  <c r="I10" i="6"/>
  <c r="I19" i="6"/>
  <c r="J15" i="6"/>
  <c r="J19" i="6" s="1"/>
  <c r="K3" i="2"/>
  <c r="A17" i="2"/>
  <c r="A22" i="2"/>
  <c r="A28" i="2" s="1"/>
  <c r="A34" i="2" s="1"/>
  <c r="A40" i="2" s="1"/>
  <c r="A46" i="2" s="1"/>
  <c r="A52" i="2" s="1"/>
  <c r="A58" i="2" s="1"/>
  <c r="A64" i="2" s="1"/>
  <c r="A70" i="2" s="1"/>
  <c r="A20" i="2"/>
  <c r="A26" i="2" s="1"/>
  <c r="A32" i="2" s="1"/>
  <c r="A38" i="2" s="1"/>
  <c r="A44" i="2" s="1"/>
  <c r="A50" i="2" s="1"/>
  <c r="A56" i="2" s="1"/>
  <c r="A62" i="2" s="1"/>
  <c r="A68" i="2" s="1"/>
  <c r="A21" i="2"/>
  <c r="A27" i="2" s="1"/>
  <c r="A33" i="2" s="1"/>
  <c r="A39" i="2" s="1"/>
  <c r="A45" i="2" s="1"/>
  <c r="A51" i="2" s="1"/>
  <c r="A57" i="2" s="1"/>
  <c r="A63" i="2" s="1"/>
  <c r="A69" i="2" s="1"/>
  <c r="A18" i="2" l="1"/>
  <c r="A23" i="2"/>
  <c r="A29" i="2" s="1"/>
  <c r="A35" i="2" s="1"/>
  <c r="A41" i="2" s="1"/>
  <c r="A47" i="2" s="1"/>
  <c r="A53" i="2" s="1"/>
  <c r="A59" i="2" s="1"/>
  <c r="A65" i="2" s="1"/>
  <c r="A71" i="2" s="1"/>
  <c r="A19" i="2" l="1"/>
  <c r="A25" i="2" s="1"/>
  <c r="A31" i="2" s="1"/>
  <c r="A37" i="2" s="1"/>
  <c r="A43" i="2" s="1"/>
  <c r="A49" i="2" s="1"/>
  <c r="A55" i="2" s="1"/>
  <c r="A61" i="2" s="1"/>
  <c r="A67" i="2" s="1"/>
  <c r="A73" i="2" s="1"/>
  <c r="A24" i="2"/>
  <c r="A30" i="2" s="1"/>
  <c r="A36" i="2" s="1"/>
  <c r="A42" i="2" s="1"/>
  <c r="A48" i="2" s="1"/>
  <c r="A54" i="2" s="1"/>
  <c r="A60" i="2" s="1"/>
  <c r="A66" i="2" s="1"/>
  <c r="A7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<sst xmlns="http://schemas.openxmlformats.org/spreadsheetml/2006/main" count="414" uniqueCount="120">
  <si>
    <t>Secteur</t>
  </si>
  <si>
    <t>Type de projet</t>
  </si>
  <si>
    <t>Budget prévu($)</t>
  </si>
  <si>
    <t xml:space="preserve">Budget dépensé($) </t>
  </si>
  <si>
    <t>Écart</t>
  </si>
  <si>
    <t>Avancement (%)</t>
  </si>
  <si>
    <t>Statut</t>
  </si>
  <si>
    <t>Assistance médicale</t>
  </si>
  <si>
    <t>Santé</t>
  </si>
  <si>
    <t>CSR</t>
  </si>
  <si>
    <t>Terminé</t>
  </si>
  <si>
    <t>Soutien financier Centre de coupe et couture</t>
  </si>
  <si>
    <t>Education</t>
  </si>
  <si>
    <t>Réunion avec le clan Nanga (boissons non alcoolisées)</t>
  </si>
  <si>
    <t>Sociale</t>
  </si>
  <si>
    <t>Dons de fin d’année aux autorités locales</t>
  </si>
  <si>
    <t>Trust Fund - Clan Nanga</t>
  </si>
  <si>
    <t>Contribution à l’association des personnes handicapées de Songololo</t>
  </si>
  <si>
    <t>Puits de forage</t>
  </si>
  <si>
    <t>Infrastructures</t>
  </si>
  <si>
    <t>École PPC</t>
  </si>
  <si>
    <t>Poste de police</t>
  </si>
  <si>
    <t>Batteries pour le centre hospitalier de Malanga</t>
  </si>
  <si>
    <t>Lutte anti-vectorielle</t>
  </si>
  <si>
    <t xml:space="preserve">Mwinda </t>
  </si>
  <si>
    <t>En cours</t>
  </si>
  <si>
    <t>Forage Ecole PPC</t>
  </si>
  <si>
    <t>CFT</t>
  </si>
  <si>
    <t>Orphelinat des sœurs (kinshasa)</t>
  </si>
  <si>
    <t>N°</t>
  </si>
  <si>
    <t>Projets</t>
  </si>
  <si>
    <t>CSR PROJECTS DATABASE</t>
  </si>
  <si>
    <t>Motif</t>
  </si>
  <si>
    <t>Date</t>
  </si>
  <si>
    <t xml:space="preserve">Liste de projet </t>
  </si>
  <si>
    <t>25/06/2026</t>
  </si>
  <si>
    <t>Initial</t>
  </si>
  <si>
    <t>Non debuté</t>
  </si>
  <si>
    <t>Budget expense Details</t>
  </si>
  <si>
    <t>TOTAL PROJET</t>
  </si>
  <si>
    <t>ENCOURS</t>
  </si>
  <si>
    <t>TERMINE</t>
  </si>
  <si>
    <t>BUDGET</t>
  </si>
  <si>
    <t>Lieu</t>
  </si>
  <si>
    <t>Sous-activité</t>
  </si>
  <si>
    <t>Responsable</t>
  </si>
  <si>
    <t>Agriculture et élevage</t>
  </si>
  <si>
    <t>Energie</t>
  </si>
  <si>
    <t>Loisirs</t>
  </si>
  <si>
    <t>Cahier de charges</t>
  </si>
  <si>
    <t>Formation et mise en place systèmes</t>
  </si>
  <si>
    <t>Formation et installation ruches</t>
  </si>
  <si>
    <t>Captage et traitement eau</t>
  </si>
  <si>
    <t>Prise en charge études</t>
  </si>
  <si>
    <t>Nivellement et drainage</t>
  </si>
  <si>
    <t>Réhabilitation structures</t>
  </si>
  <si>
    <t>Aménagement et équipement terrain</t>
  </si>
  <si>
    <t>Forage et distribution eau</t>
  </si>
  <si>
    <t>Formation et production</t>
  </si>
  <si>
    <t>Raccordement SNEL</t>
  </si>
  <si>
    <t>Etudes et forage</t>
  </si>
  <si>
    <t>Construction ponts et route</t>
  </si>
  <si>
    <t>Etude faisabilité</t>
  </si>
  <si>
    <t>Aménagement terrain</t>
  </si>
  <si>
    <t>Construction marché</t>
  </si>
  <si>
    <t>Aménagement centre médical</t>
  </si>
  <si>
    <t>Malanga Gare</t>
  </si>
  <si>
    <t>Nkumba</t>
  </si>
  <si>
    <t>Malanga Cité</t>
  </si>
  <si>
    <t>Zamba 1er</t>
  </si>
  <si>
    <t>Multi-villages</t>
  </si>
  <si>
    <t>Permaculture | Malanga Gare</t>
  </si>
  <si>
    <t>Apiculture | Malanga Gare</t>
  </si>
  <si>
    <t>Adduction d’eau | Malanga Gare</t>
  </si>
  <si>
    <t>Bourse universitaire | Malanga Gare</t>
  </si>
  <si>
    <t>Aménagement route | Malanga Gare</t>
  </si>
  <si>
    <t>Renforcement maisons | Malanga Gare</t>
  </si>
  <si>
    <t>Football | Malanga Gare</t>
  </si>
  <si>
    <t>Permaculture | Nkumba</t>
  </si>
  <si>
    <t>Apiculture | Nkumba</t>
  </si>
  <si>
    <t>Adduction d’eau | Nkumba</t>
  </si>
  <si>
    <t>Bourse universitaire | Nkumba</t>
  </si>
  <si>
    <t>Renforcement maisons | Nkumba</t>
  </si>
  <si>
    <t>Aménagement route | Nkumba</t>
  </si>
  <si>
    <t>Football | Nkumba</t>
  </si>
  <si>
    <t>Permaculture | Malanga Cité</t>
  </si>
  <si>
    <t>Apiculture | Malanga Cité</t>
  </si>
  <si>
    <t>Electricité | Malanga Cité</t>
  </si>
  <si>
    <t>Adduction d’eau | Malanga Cité</t>
  </si>
  <si>
    <t>Bourse universitaire | Malanga Cité</t>
  </si>
  <si>
    <t>Ponts et route | Malanga Cité</t>
  </si>
  <si>
    <t>Renforcement maisons | Malanga Cité</t>
  </si>
  <si>
    <t>Etude passerelle | Malanga Cité</t>
  </si>
  <si>
    <t>Football | Malanga Cité</t>
  </si>
  <si>
    <t>Permaculture | Zamba 1er</t>
  </si>
  <si>
    <t>Apiculture | Zamba 1er</t>
  </si>
  <si>
    <t>Electricité | Zamba 1er</t>
  </si>
  <si>
    <t>Bourse universitaire | Zamba 1er</t>
  </si>
  <si>
    <t>Renforcement maisons | Zamba 1er</t>
  </si>
  <si>
    <t>Football | Zamba 1er</t>
  </si>
  <si>
    <t>Marché moderne | Multi-villages</t>
  </si>
  <si>
    <t>Centre médical | Multi-villages</t>
  </si>
  <si>
    <r>
      <t xml:space="preserve">DASHBOARD </t>
    </r>
    <r>
      <rPr>
        <b/>
        <sz val="28"/>
        <color rgb="FFFF0000"/>
        <rFont val="Aptos Narrow"/>
        <family val="2"/>
        <scheme val="minor"/>
      </rPr>
      <t>CSR</t>
    </r>
  </si>
  <si>
    <t>EFFECTIFS</t>
  </si>
  <si>
    <t>Depensé</t>
  </si>
  <si>
    <t>Prevus</t>
  </si>
  <si>
    <t>Ecart</t>
  </si>
  <si>
    <t>Categorie</t>
  </si>
  <si>
    <t>Total</t>
  </si>
  <si>
    <t>TOTAL</t>
  </si>
  <si>
    <r>
      <t xml:space="preserve">DASHBOARD </t>
    </r>
    <r>
      <rPr>
        <b/>
        <sz val="28"/>
        <color rgb="FFFF0000"/>
        <rFont val="Aptos Narrow"/>
        <family val="2"/>
        <scheme val="minor"/>
      </rPr>
      <t>CAHIER DES CHARGES</t>
    </r>
  </si>
  <si>
    <t>Par Secteurs</t>
  </si>
  <si>
    <t>FY2026</t>
  </si>
  <si>
    <t>FY2024</t>
  </si>
  <si>
    <t>Nombre de projet</t>
  </si>
  <si>
    <t>EFFECTIF PAR SECTEURS</t>
  </si>
  <si>
    <t>EFFECTIF</t>
  </si>
  <si>
    <t>BUDGET PAR SECTEURS D'ACTIVITE</t>
  </si>
  <si>
    <t>REPARTITION PAR LIEU D'ACTIVITE</t>
  </si>
  <si>
    <t>AF Début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</si>
</sst>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9" fontId="0" fillId="0" borderId="5" xfId="2" applyFont="1" applyBorder="1" applyAlignment="1">
      <alignment horizontal="right" vertical="center"/>
    </xf>
    <xf numFmtId="9" fontId="0" fillId="0" borderId="6" xfId="2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2" fillId="3" borderId="0" xfId="0" applyFont="1" applyFill="1"/>
    <xf numFmtId="44" fontId="3" fillId="0" borderId="5" xfId="1" applyFont="1" applyBorder="1" applyAlignment="1">
      <alignment horizontal="right" vertical="center"/>
    </xf>
    <xf numFmtId="44" fontId="0" fillId="0" borderId="5" xfId="1" applyFont="1" applyBorder="1" applyAlignment="1">
      <alignment horizontal="right" vertical="center"/>
    </xf>
    <xf numFmtId="44" fontId="3" fillId="0" borderId="6" xfId="1" applyFont="1" applyBorder="1" applyAlignment="1">
      <alignment horizontal="right" vertical="center"/>
    </xf>
    <xf numFmtId="44" fontId="0" fillId="0" borderId="6" xfId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44" fontId="8" fillId="4" borderId="2" xfId="1" applyFont="1" applyFill="1" applyBorder="1" applyAlignment="1">
      <alignment horizontal="right" vertical="center"/>
    </xf>
    <xf numFmtId="44" fontId="8" fillId="4" borderId="3" xfId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8" borderId="6" xfId="0" applyFont="1" applyFill="1" applyBorder="1" applyAlignment="1">
      <alignment horizontal="left" vertical="center"/>
    </xf>
    <xf numFmtId="44" fontId="3" fillId="8" borderId="6" xfId="1" applyFont="1" applyFill="1" applyBorder="1" applyAlignment="1">
      <alignment horizontal="right" vertical="center"/>
    </xf>
    <xf numFmtId="44" fontId="0" fillId="9" borderId="6" xfId="1" applyFont="1" applyFill="1" applyBorder="1" applyAlignment="1">
      <alignment horizontal="right" vertical="center"/>
    </xf>
    <xf numFmtId="0" fontId="3" fillId="9" borderId="7" xfId="0" applyFont="1" applyFill="1" applyBorder="1" applyAlignment="1">
      <alignment vertical="center"/>
    </xf>
    <xf numFmtId="44" fontId="3" fillId="9" borderId="7" xfId="1" applyFont="1" applyFill="1" applyBorder="1" applyAlignment="1">
      <alignment horizontal="right" vertical="center"/>
    </xf>
    <xf numFmtId="44" fontId="0" fillId="9" borderId="6" xfId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0" fontId="3" fillId="10" borderId="6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9" borderId="6" xfId="1" applyNumberFormat="1" applyFont="1" applyFill="1" applyBorder="1" applyAlignment="1">
      <alignment horizontal="center" vertical="center"/>
    </xf>
    <xf numFmtId="0" fontId="3" fillId="8" borderId="6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9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23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C00000"/>
      </font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b/>
        <i val="0"/>
        <color theme="9" tint="-0.499984740745262"/>
      </font>
    </dxf>
    <dxf>
      <font>
        <b/>
        <i val="0"/>
        <u val="none"/>
        <color theme="1"/>
      </font>
    </dxf>
    <dxf>
      <font>
        <b/>
        <i val="0"/>
        <color rgb="FFC00000"/>
      </font>
    </dxf>
    <dxf>
      <font>
        <b/>
        <i val="0"/>
        <color theme="9" tint="-0.499984740745262"/>
      </font>
    </dxf>
    <dxf>
      <font>
        <b/>
        <i val="0"/>
        <u val="none"/>
        <color theme="1"/>
      </font>
    </dxf>
    <dxf>
      <font>
        <b/>
        <i val="0"/>
        <color rgb="FFC00000"/>
      </font>
    </dxf>
    <dxf>
      <font>
        <b/>
        <i val="0"/>
        <color theme="9" tint="-0.499984740745262"/>
      </font>
    </dxf>
    <dxf>
      <font>
        <b/>
        <i val="0"/>
        <u val="none"/>
        <color theme="1"/>
      </font>
    </dxf>
    <dxf>
      <font>
        <b/>
        <i val="0"/>
        <color rgb="FFC00000"/>
      </font>
    </dxf>
    <dxf>
      <font>
        <b/>
        <i val="0"/>
        <color theme="9" tint="-0.499984740745262"/>
      </font>
    </dxf>
    <dxf>
      <font>
        <b/>
        <i val="0"/>
        <u val="none"/>
        <color theme="1"/>
      </font>
    </dxf>
    <dxf>
      <font>
        <b/>
        <i val="0"/>
        <color rgb="FFC00000"/>
      </font>
    </dxf>
    <dxf>
      <font>
        <b/>
        <i val="0"/>
        <color theme="9" tint="-0.499984740745262"/>
      </font>
    </dxf>
    <dxf>
      <font>
        <b/>
        <i val="0"/>
        <u val="none"/>
        <color theme="1"/>
      </font>
    </dxf>
    <dxf>
      <font>
        <b/>
        <i val="0"/>
        <color rgb="FFC00000"/>
      </font>
    </dxf>
    <dxf>
      <font>
        <b/>
        <i val="0"/>
        <color theme="9" tint="-0.499984740745262"/>
      </font>
    </dxf>
    <dxf>
      <font>
        <b/>
        <i val="0"/>
        <u val="none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REPARTITION DES PROJETS</a:t>
            </a:r>
            <a:r>
              <a:rPr lang="en-US" b="1" baseline="0">
                <a:solidFill>
                  <a:schemeClr val="tx1"/>
                </a:solidFill>
              </a:rPr>
              <a:t> PAR SITE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'DASHBOARD CC'!$B$24</c:f>
              <c:strCache>
                <c:ptCount val="1"/>
                <c:pt idx="0">
                  <c:v> Nombre de projet </c:v>
                </c:pt>
              </c:strCache>
            </c:strRef>
          </c:tx>
          <c:explosion val="7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1F7-496F-ACE6-D35E4C8CA7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1F7-496F-ACE6-D35E4C8CA7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1F7-496F-ACE6-D35E4C8CA7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1F7-496F-ACE6-D35E4C8CA7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1F7-496F-ACE6-D35E4C8CA74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'DASHBOARD CC'!$A$25:$A$29</c:f>
              <c:strCache>
                <c:ptCount val="5"/>
                <c:pt idx="0">
                  <c:v>Malanga Gare</c:v>
                </c:pt>
                <c:pt idx="1">
                  <c:v>Nkumba</c:v>
                </c:pt>
                <c:pt idx="2">
                  <c:v>Malanga Cité</c:v>
                </c:pt>
                <c:pt idx="3">
                  <c:v>Zamba 1er</c:v>
                </c:pt>
                <c:pt idx="4">
                  <c:v>Multi-villages</c:v>
                </c:pt>
              </c:strCache>
            </c:strRef>
          </c:cat>
          <c:val>
            <c:numRef>
              <c:f>'DASHBOARD CC'!$B$25:$B$29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9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5-43F5-A650-051977B44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SUIVI</a:t>
            </a:r>
            <a:r>
              <a:rPr lang="en-US" b="1" baseline="0">
                <a:solidFill>
                  <a:schemeClr val="tx1"/>
                </a:solidFill>
              </a:rPr>
              <a:t> DES DEPENSES PAR RAPPORT AU BUDGET ALLOUE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CC'!$C$24</c:f>
              <c:strCache>
                <c:ptCount val="1"/>
                <c:pt idx="0">
                  <c:v> Prevus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CC'!$A$25:$A$29</c:f>
              <c:strCache>
                <c:ptCount val="5"/>
                <c:pt idx="0">
                  <c:v>Malanga Gare</c:v>
                </c:pt>
                <c:pt idx="1">
                  <c:v>Nkumba</c:v>
                </c:pt>
                <c:pt idx="2">
                  <c:v>Malanga Cité</c:v>
                </c:pt>
                <c:pt idx="3">
                  <c:v>Zamba 1er</c:v>
                </c:pt>
                <c:pt idx="4">
                  <c:v>Multi-villages</c:v>
                </c:pt>
              </c:strCache>
            </c:strRef>
          </c:cat>
          <c:val>
            <c:numRef>
              <c:f>'DASHBOARD CC'!$C$25:$C$29</c:f>
              <c:numCache>
                <c:formatCode>_("$"* #,##0.00_);_("$"* \(#,##0.00\);_("$"* "-"??_);_(@_)</c:formatCode>
                <c:ptCount val="5"/>
                <c:pt idx="0">
                  <c:v>89327.25</c:v>
                </c:pt>
                <c:pt idx="1">
                  <c:v>89327.25</c:v>
                </c:pt>
                <c:pt idx="2">
                  <c:v>821327.25</c:v>
                </c:pt>
                <c:pt idx="3">
                  <c:v>670327.25</c:v>
                </c:pt>
                <c:pt idx="4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B-4FB5-9CCA-E62FF3BCCC41}"/>
            </c:ext>
          </c:extLst>
        </c:ser>
        <c:ser>
          <c:idx val="1"/>
          <c:order val="1"/>
          <c:tx>
            <c:strRef>
              <c:f>'DASHBOARD CC'!$D$24</c:f>
              <c:strCache>
                <c:ptCount val="1"/>
                <c:pt idx="0">
                  <c:v> Depensé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CC'!$A$25:$A$29</c:f>
              <c:strCache>
                <c:ptCount val="5"/>
                <c:pt idx="0">
                  <c:v>Malanga Gare</c:v>
                </c:pt>
                <c:pt idx="1">
                  <c:v>Nkumba</c:v>
                </c:pt>
                <c:pt idx="2">
                  <c:v>Malanga Cité</c:v>
                </c:pt>
                <c:pt idx="3">
                  <c:v>Zamba 1er</c:v>
                </c:pt>
                <c:pt idx="4">
                  <c:v>Multi-villages</c:v>
                </c:pt>
              </c:strCache>
            </c:strRef>
          </c:cat>
          <c:val>
            <c:numRef>
              <c:f>'DASHBOARD CC'!$D$25:$D$29</c:f>
              <c:numCache>
                <c:formatCode>_("$"* #,##0.00_);_("$"* \(#,##0.00\);_("$"* "-"??_);_(@_)</c:formatCode>
                <c:ptCount val="5"/>
                <c:pt idx="0">
                  <c:v>58703.08</c:v>
                </c:pt>
                <c:pt idx="1">
                  <c:v>52178.080000000002</c:v>
                </c:pt>
                <c:pt idx="2">
                  <c:v>725090.58</c:v>
                </c:pt>
                <c:pt idx="3">
                  <c:v>624483.27999999991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B-4FB5-9CCA-E62FF3BCC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92008320"/>
        <c:axId val="1492008800"/>
      </c:barChart>
      <c:catAx>
        <c:axId val="14920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008800"/>
        <c:crosses val="autoZero"/>
        <c:auto val="1"/>
        <c:lblAlgn val="ctr"/>
        <c:lblOffset val="100"/>
        <c:noMultiLvlLbl val="0"/>
      </c:catAx>
      <c:valAx>
        <c:axId val="1492008800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49200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666750</xdr:colOff>
      <xdr:row>0</xdr:row>
      <xdr:rowOff>66675</xdr:rowOff>
    </xdr:from>
    <xdr:to>
      <xdr:col>10</xdr:col>
      <xdr:colOff>34925</xdr:colOff>
      <xdr:row>0</xdr:row>
      <xdr:rowOff>749783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370F42-3CC5-4930-8C5B-243329C57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7050" y="66675"/>
          <a:ext cx="1787525" cy="683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885825</xdr:colOff>
      <xdr:row>0</xdr:row>
      <xdr:rowOff>34925</xdr:rowOff>
    </xdr:from>
    <xdr:to>
      <xdr:col>10</xdr:col>
      <xdr:colOff>44450</xdr:colOff>
      <xdr:row>0</xdr:row>
      <xdr:rowOff>721208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102F1-1E9B-434A-A8FA-EC396E8C3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6125" y="34925"/>
          <a:ext cx="1790700" cy="6862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74611</xdr:rowOff>
    </xdr:from>
    <xdr:to>
      <xdr:col>4</xdr:col>
      <xdr:colOff>381000</xdr:colOff>
      <xdr:row>39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2FE81E-7C7B-D8B8-84C3-828184D24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438151</xdr:colOff>
      <xdr:row>21</xdr:row>
      <xdr:rowOff>76201</xdr:rowOff>
    </xdr:from>
    <xdr:to>
      <xdr:col>10</xdr:col>
      <xdr:colOff>104775</xdr:colOff>
      <xdr:row>39</xdr:row>
      <xdr:rowOff>158751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EC5FA8-D531-3717-1B87-9E39EA3C2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34</xdr:row>
      <xdr:rowOff>0</xdr:rowOff>
    </xdr:from>
    <xdr:to>
      <xdr:col>9</xdr:col>
      <xdr:colOff>304800</xdr:colOff>
      <xdr:row>35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B5256F4-416F-4847-B05C-80306C1C7CD7}"/>
            </a:ext>
          </a:extLst>
        </xdr:cNvPr>
        <xdr:cNvSpPr>
          <a:spLocks noChangeAspect="1" noChangeArrowheads="1"/>
        </xdr:cNvSpPr>
      </xdr:nvSpPr>
      <xdr:spPr bwMode="auto">
        <a:xfrm>
          <a:off x="8801100" y="5314950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453229</xdr:colOff>
      <xdr:row>0</xdr:row>
      <xdr:rowOff>63500</xdr:rowOff>
    </xdr:from>
    <xdr:to>
      <xdr:col>13</xdr:col>
      <xdr:colOff>2379</xdr:colOff>
      <xdr:row>2</xdr:row>
      <xdr:rowOff>10008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C58BFA-62CF-4AAE-A0B3-81ABCE69B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57948" y="63500"/>
          <a:ext cx="1812131" cy="6846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25</xdr:row>
      <xdr:rowOff>0</xdr:rowOff>
    </xdr:from>
    <xdr:to>
      <xdr:col>4</xdr:col>
      <xdr:colOff>304800</xdr:colOff>
      <xdr:row>26</xdr:row>
      <xdr:rowOff>120650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C0914D0-AE2F-4EED-A142-85B1C93EB9B5}"/>
            </a:ext>
          </a:extLst>
        </xdr:cNvPr>
        <xdr:cNvSpPr>
          <a:spLocks noChangeAspect="1" noChangeArrowheads="1"/>
        </xdr:cNvSpPr>
      </xdr:nvSpPr>
      <xdr:spPr bwMode="auto">
        <a:xfrm>
          <a:off x="7753350" y="7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292100</xdr:colOff>
      <xdr:row>0</xdr:row>
      <xdr:rowOff>76200</xdr:rowOff>
    </xdr:from>
    <xdr:to>
      <xdr:col>5</xdr:col>
      <xdr:colOff>66675</xdr:colOff>
      <xdr:row>1</xdr:row>
      <xdr:rowOff>305283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02D74F-70D0-4467-89A5-F27F156D7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1625" y="76200"/>
          <a:ext cx="1803400" cy="686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5D10-13C6-44DF-8957-4E0395499027}">
  <dimension ref="A1:L24"/>
  <sheetViews>
    <sheetView showGridLines="0" zoomScale="90" zoomScaleNormal="90" workbookViewId="0">
      <pane ySplit="2" topLeftCell="A3" activePane="bottomLeft" state="frozen"/>
      <selection pane="bottomLeft" activeCell="L8" sqref="L8"/>
    </sheetView>
  </sheetViews>
  <sheetFormatPr defaultRowHeight="14.5" x14ac:dyDescent="0.35"/>
  <cols>
    <col min="1" max="2" width="21.08984375" style="7" customWidth="1"/>
    <col min="3" max="3" width="21.08984375" style="1" customWidth="1"/>
    <col min="4" max="5" width="21.08984375" style="8" customWidth="1"/>
    <col min="6" max="6" width="4.08984375" style="8" customWidth="1"/>
    <col min="7" max="7" width="16.36328125" style="8" customWidth="1"/>
    <col min="8" max="8" width="17.36328125" style="2" customWidth="1"/>
    <col min="9" max="10" width="17.36328125" style="1" customWidth="1"/>
    <col min="11" max="11" width="11.90625" style="1" customWidth="1"/>
    <col min="12" max="16384" width="8.7265625" style="1"/>
  </cols>
  <sheetData>
    <row r="1" spans="1:12" ht="63" customHeight="1" x14ac:dyDescent="0.35">
      <c r="A1" s="24" t="s">
        <v>102</v>
      </c>
      <c r="B1" s="24"/>
      <c r="C1" s="32" t="s">
        <v>112</v>
      </c>
    </row>
    <row r="2" spans="1:12" ht="3" customHeight="1" x14ac:dyDescent="0.35">
      <c r="A2" s="31"/>
      <c r="B2" s="31"/>
      <c r="C2" s="31"/>
      <c r="D2" s="9"/>
      <c r="E2" s="9"/>
      <c r="F2" s="9"/>
      <c r="G2" s="9"/>
      <c r="H2" s="4"/>
      <c r="I2" s="3"/>
      <c r="J2" s="3"/>
    </row>
    <row r="3" spans="1:12" ht="10.5" customHeight="1" x14ac:dyDescent="0.35"/>
    <row r="4" spans="1:12" ht="10.5" customHeight="1" x14ac:dyDescent="0.35"/>
    <row r="5" spans="1:12" ht="25" customHeight="1" x14ac:dyDescent="0.35">
      <c r="A5" s="50" t="s">
        <v>103</v>
      </c>
      <c r="G5" s="39" t="s">
        <v>42</v>
      </c>
    </row>
    <row r="6" spans="1:12" x14ac:dyDescent="0.35">
      <c r="A6" s="40" t="s">
        <v>39</v>
      </c>
      <c r="B6" s="41" t="s">
        <v>41</v>
      </c>
      <c r="C6" s="42" t="s">
        <v>40</v>
      </c>
      <c r="D6" s="43" t="str">
        <f>UPPER("Non debuté")</f>
        <v>NON DEBUTÉ</v>
      </c>
      <c r="F6" s="7"/>
      <c r="G6" s="44" t="s">
        <v>107</v>
      </c>
      <c r="H6" s="53" t="s">
        <v>105</v>
      </c>
      <c r="I6" s="53" t="s">
        <v>104</v>
      </c>
      <c r="J6" s="53" t="s">
        <v>106</v>
      </c>
      <c r="K6" s="5"/>
      <c r="L6" s="5"/>
    </row>
    <row r="7" spans="1:12" ht="41" customHeight="1" x14ac:dyDescent="0.35">
      <c r="A7" s="67">
        <f>COUNTIFS(PROJECTS!$E$5:$E$73,"CSR",PROJECTS!$G$5:$G$73,$C$1)</f>
        <v>15</v>
      </c>
      <c r="B7" s="66">
        <f>COUNTIFS(PROJECTS!$E$5:$E$73,"CSR",PROJECTS!$M$5:$M$73,"Terminé",PROJECTS!$G$5:$G$73,$C$1)</f>
        <v>11</v>
      </c>
      <c r="C7" s="65">
        <f>COUNTIFS(PROJECTS!$E$5:$E$73,"CSR",PROJECTS!$M$5:$M$73,"En cours",PROJECTS!$G$5:$G$73,$C$1)</f>
        <v>2</v>
      </c>
      <c r="D7" s="64">
        <f>COUNTIFS(PROJECTS!$E$5:$E$73,"CSR",PROJECTS!$M$5:$M$73,"non debuté",PROJECTS!$G$5:$G$73,$C$1)</f>
        <v>2</v>
      </c>
      <c r="F7" s="30"/>
      <c r="G7" s="52" t="s">
        <v>10</v>
      </c>
      <c r="H7" s="29">
        <f>SUMIFS(PROJECTS!$I$5:$I$73,PROJECTS!$E$5:$E$73,"CSR",PROJECTS!$M$5:$M$73,G7,PROJECTS!$G$5:$G$73,$C$1)</f>
        <v>454653.67000000004</v>
      </c>
      <c r="I7" s="29">
        <f>SUMIFS(PROJECTS!$J$5:$J$73,PROJECTS!$E$5:$E$73,"CSR",PROJECTS!$M$5:$M$73,G7,PROJECTS!$G$5:$G$73,$C$1)</f>
        <v>454653.67000000004</v>
      </c>
      <c r="J7" s="29">
        <f>H7-I7</f>
        <v>0</v>
      </c>
      <c r="K7" s="5"/>
      <c r="L7" s="5"/>
    </row>
    <row r="8" spans="1:12" ht="41" customHeight="1" x14ac:dyDescent="0.35">
      <c r="A8" s="67"/>
      <c r="B8" s="66"/>
      <c r="C8" s="65"/>
      <c r="D8" s="64"/>
      <c r="F8" s="30"/>
      <c r="G8" s="52" t="s">
        <v>25</v>
      </c>
      <c r="H8" s="29">
        <f>SUMIFS(PROJECTS!$I$5:$I$73,PROJECTS!$E$5:$E$73,"CSR",PROJECTS!$M$5:$M$73,G8,PROJECTS!$G$5:$G$73,$C$1)</f>
        <v>20535</v>
      </c>
      <c r="I8" s="29">
        <f>SUMIFS(PROJECTS!$J$5:$J$73,PROJECTS!$E$5:$E$73,"CSR",PROJECTS!$M$5:$M$73,G8,PROJECTS!$G$5:$G$73,$C$1)</f>
        <v>20535</v>
      </c>
      <c r="J8" s="29">
        <f>H8-I8</f>
        <v>0</v>
      </c>
      <c r="K8" s="5"/>
      <c r="L8" s="5"/>
    </row>
    <row r="9" spans="1:12" ht="41" customHeight="1" x14ac:dyDescent="0.35">
      <c r="A9" s="67"/>
      <c r="B9" s="66"/>
      <c r="C9" s="65"/>
      <c r="D9" s="64"/>
      <c r="F9" s="30"/>
      <c r="G9" s="52" t="s">
        <v>37</v>
      </c>
      <c r="H9" s="29">
        <f>SUMIFS(PROJECTS!$I$5:$I$73,PROJECTS!$E$5:$E$73,"CSR",PROJECTS!$M$5:$M$73,G9,PROJECTS!$G$5:$G$73,$C$1)</f>
        <v>0</v>
      </c>
      <c r="I9" s="29">
        <f>SUMIFS(PROJECTS!$J$5:$J$73,PROJECTS!$E$5:$E$73,"CSR",PROJECTS!$M$5:$M$73,G9,PROJECTS!$G$5:$G$73,$C$1)</f>
        <v>0</v>
      </c>
      <c r="J9" s="29">
        <f>H9-I9</f>
        <v>0</v>
      </c>
      <c r="K9" s="5"/>
      <c r="L9" s="5"/>
    </row>
    <row r="10" spans="1:12" ht="41" customHeight="1" x14ac:dyDescent="0.35">
      <c r="A10" s="67"/>
      <c r="B10" s="66"/>
      <c r="C10" s="65"/>
      <c r="D10" s="64"/>
      <c r="F10" s="30"/>
      <c r="G10" s="44" t="s">
        <v>108</v>
      </c>
      <c r="H10" s="45">
        <f t="shared" ref="H10:J10" si="0">SUM(H7:H9)</f>
        <v>475188.67000000004</v>
      </c>
      <c r="I10" s="45">
        <f t="shared" si="0"/>
        <v>475188.67000000004</v>
      </c>
      <c r="J10" s="45">
        <f t="shared" si="0"/>
        <v>0</v>
      </c>
      <c r="K10" s="5"/>
      <c r="L10" s="5"/>
    </row>
    <row r="11" spans="1:12" x14ac:dyDescent="0.35">
      <c r="C11" s="5"/>
      <c r="D11" s="5"/>
      <c r="E11" s="5"/>
      <c r="F11" s="5"/>
      <c r="H11" s="51"/>
      <c r="I11" s="5"/>
      <c r="J11" s="5"/>
      <c r="K11" s="5"/>
      <c r="L11" s="5"/>
    </row>
    <row r="12" spans="1:12" x14ac:dyDescent="0.35">
      <c r="C12" s="5"/>
      <c r="D12" s="5"/>
      <c r="E12" s="5"/>
      <c r="F12" s="5"/>
      <c r="H12" s="5"/>
      <c r="I12" s="5"/>
      <c r="J12" s="5"/>
      <c r="K12" s="5"/>
      <c r="L12" s="5"/>
    </row>
    <row r="13" spans="1:12" ht="25" customHeight="1" x14ac:dyDescent="0.35">
      <c r="A13" s="50" t="s">
        <v>111</v>
      </c>
      <c r="G13" s="39" t="s">
        <v>42</v>
      </c>
    </row>
    <row r="14" spans="1:12" x14ac:dyDescent="0.35">
      <c r="A14" s="40" t="s">
        <v>39</v>
      </c>
      <c r="B14" s="41" t="str">
        <f>G15</f>
        <v>Santé</v>
      </c>
      <c r="C14" s="42" t="str">
        <f>G16</f>
        <v>Education</v>
      </c>
      <c r="D14" s="43" t="str">
        <f>G17</f>
        <v>Sociale</v>
      </c>
      <c r="E14" s="60" t="str">
        <f>G18</f>
        <v>Infrastructures</v>
      </c>
      <c r="F14" s="5"/>
      <c r="G14" s="44" t="s">
        <v>107</v>
      </c>
      <c r="H14" s="53" t="s">
        <v>105</v>
      </c>
      <c r="I14" s="53" t="s">
        <v>104</v>
      </c>
      <c r="J14" s="53" t="s">
        <v>106</v>
      </c>
      <c r="L14" s="5"/>
    </row>
    <row r="15" spans="1:12" ht="28.5" customHeight="1" x14ac:dyDescent="0.35">
      <c r="A15" s="67">
        <f>COUNTIFS(PROJECTS!$E$5:$E$73,"CSR",PROJECTS!$G$5:$G$73,$C$1)</f>
        <v>15</v>
      </c>
      <c r="B15" s="66">
        <f>COUNTIFS(PROJECTS!$D$5:$D$73,'DASHBOARD CSR'!G15,PROJECTS!$E$5:$E$73,"CSR",PROJECTS!$G$5:$G$73,$C$1)</f>
        <v>3</v>
      </c>
      <c r="C15" s="65">
        <f>COUNTIFS(PROJECTS!$D$5:$D$73,'DASHBOARD CSR'!G16,PROJECTS!$E$5:$E$73,"CSR",PROJECTS!$G$5:$G$73,$C$1)</f>
        <v>4</v>
      </c>
      <c r="D15" s="64">
        <f>COUNTIFS(PROJECTS!$D$5:$D$73,'DASHBOARD CSR'!G17,PROJECTS!$E$5:$E$73,"CSR",PROJECTS!$G$5:$G$73,$C$1)</f>
        <v>5</v>
      </c>
      <c r="E15" s="63">
        <f>COUNTIFS(PROJECTS!$D$5:$D$73,'DASHBOARD CSR'!G18,PROJECTS!$E$5:$E$73,"CSR",PROJECTS!$G$5:$G$73,$C$1)</f>
        <v>3</v>
      </c>
      <c r="F15" s="5"/>
      <c r="G15" s="52" t="str" cm="1">
        <f t="array" ref="G15:G18">_xlfn.UNIQUE(_xlfn._xlws.FILTER(PROJECTS!D5:D73,PROJECTS!E5:E73="CSR"))</f>
        <v>Santé</v>
      </c>
      <c r="H15" s="49">
        <f>SUMIFS(PROJECTS!$I$5:$I$73,PROJECTS!$E$5:$E$73,"CSR",PROJECTS!$D$5:$D$73,G15,PROJECTS!$G$5:$G$73,$C$1)</f>
        <v>12923.64</v>
      </c>
      <c r="I15" s="49">
        <f>SUMIFS(PROJECTS!$J$5:$J$73,PROJECTS!$E$5:$E$73,"CSR",PROJECTS!$D$5:$D$73,G15,PROJECTS!$G$5:$G$73,$C$1)</f>
        <v>12923.64</v>
      </c>
      <c r="J15" s="46">
        <f>H15-I15</f>
        <v>0</v>
      </c>
      <c r="L15" s="5"/>
    </row>
    <row r="16" spans="1:12" ht="28.5" customHeight="1" x14ac:dyDescent="0.35">
      <c r="A16" s="67"/>
      <c r="B16" s="66"/>
      <c r="C16" s="65"/>
      <c r="D16" s="64"/>
      <c r="E16" s="63"/>
      <c r="F16" s="5"/>
      <c r="G16" s="52" t="str">
        <v>Education</v>
      </c>
      <c r="H16" s="49">
        <f>SUMIFS(PROJECTS!$I$5:$I$73,PROJECTS!$E$5:$E$73,"CSR",PROJECTS!$D$5:$D$73,G16,PROJECTS!$G$5:$G$73,$C$1)</f>
        <v>344744.83</v>
      </c>
      <c r="I16" s="49">
        <f>SUMIFS(PROJECTS!$J$5:$J$73,PROJECTS!$E$5:$E$73,"CSR",PROJECTS!$D$5:$D$73,G16,PROJECTS!$G$5:$G$73,$C$1)</f>
        <v>344744.83</v>
      </c>
      <c r="J16" s="46">
        <f>H16-I16</f>
        <v>0</v>
      </c>
      <c r="L16" s="5"/>
    </row>
    <row r="17" spans="1:12" ht="28.5" customHeight="1" x14ac:dyDescent="0.35">
      <c r="A17" s="67"/>
      <c r="B17" s="66"/>
      <c r="C17" s="65"/>
      <c r="D17" s="64"/>
      <c r="E17" s="63"/>
      <c r="F17" s="5"/>
      <c r="G17" s="52" t="str">
        <v>Sociale</v>
      </c>
      <c r="H17" s="49">
        <f>SUMIFS(PROJECTS!$I$5:$I$73,PROJECTS!$E$5:$E$73,"CSR",PROJECTS!$D$5:$D$73,G17,PROJECTS!$G$5:$G$73,$C$1)</f>
        <v>31500</v>
      </c>
      <c r="I17" s="49">
        <f>SUMIFS(PROJECTS!$J$5:$J$73,PROJECTS!$E$5:$E$73,"CSR",PROJECTS!$D$5:$D$73,G17,PROJECTS!$G$5:$G$73,$C$1)</f>
        <v>31500</v>
      </c>
      <c r="J17" s="46">
        <f>H17-I17</f>
        <v>0</v>
      </c>
      <c r="L17" s="5"/>
    </row>
    <row r="18" spans="1:12" ht="28.5" customHeight="1" x14ac:dyDescent="0.35">
      <c r="A18" s="67"/>
      <c r="B18" s="66"/>
      <c r="C18" s="65"/>
      <c r="D18" s="64"/>
      <c r="E18" s="63"/>
      <c r="F18" s="5"/>
      <c r="G18" s="52" t="str">
        <v>Infrastructures</v>
      </c>
      <c r="H18" s="49">
        <f>SUMIFS(PROJECTS!$I$5:$I$73,PROJECTS!$E$5:$E$73,"CSR",PROJECTS!$D$5:$D$73,G18,PROJECTS!$G$5:$G$73,$C$1)</f>
        <v>86020.2</v>
      </c>
      <c r="I18" s="49">
        <f>SUMIFS(PROJECTS!$J$5:$J$73,PROJECTS!$E$5:$E$73,"CSR",PROJECTS!$D$5:$D$73,G18,PROJECTS!$G$5:$G$73,$C$1)</f>
        <v>86020.2</v>
      </c>
      <c r="J18" s="46">
        <f>H18-I18</f>
        <v>0</v>
      </c>
      <c r="L18" s="5"/>
    </row>
    <row r="19" spans="1:12" ht="28.5" customHeight="1" x14ac:dyDescent="0.35">
      <c r="A19" s="67"/>
      <c r="B19" s="66"/>
      <c r="C19" s="65"/>
      <c r="D19" s="64"/>
      <c r="E19" s="63"/>
      <c r="F19" s="5"/>
      <c r="G19" s="44" t="s">
        <v>109</v>
      </c>
      <c r="H19" s="45">
        <f>SUM(H15:H18)</f>
        <v>475188.67000000004</v>
      </c>
      <c r="I19" s="45">
        <f>SUM(I15:I18)</f>
        <v>475188.67000000004</v>
      </c>
      <c r="J19" s="45">
        <f>SUM(J15:J18)</f>
        <v>0</v>
      </c>
      <c r="L19" s="5"/>
    </row>
    <row r="20" spans="1:12" ht="31" customHeight="1" x14ac:dyDescent="0.35">
      <c r="A20" s="1"/>
      <c r="B20" s="1"/>
      <c r="C20" s="5"/>
      <c r="D20" s="5"/>
      <c r="E20" s="5"/>
      <c r="F20" s="5"/>
      <c r="H20" s="5"/>
      <c r="I20" s="5"/>
      <c r="J20" s="5"/>
      <c r="K20" s="5"/>
      <c r="L20" s="5"/>
    </row>
    <row r="21" spans="1:12" x14ac:dyDescent="0.35">
      <c r="C21" s="5"/>
      <c r="D21" s="5"/>
      <c r="E21" s="5"/>
      <c r="F21" s="5"/>
      <c r="H21" s="5"/>
      <c r="I21" s="5"/>
      <c r="J21" s="5"/>
      <c r="K21" s="5"/>
      <c r="L21" s="5"/>
    </row>
    <row r="22" spans="1:12" x14ac:dyDescent="0.35">
      <c r="C22" s="5"/>
      <c r="D22" s="5"/>
      <c r="E22" s="5"/>
      <c r="F22" s="5"/>
      <c r="H22" s="5"/>
      <c r="I22" s="5"/>
      <c r="J22" s="5"/>
      <c r="K22" s="5"/>
      <c r="L22" s="5"/>
    </row>
    <row r="23" spans="1:12" x14ac:dyDescent="0.35">
      <c r="C23" s="5"/>
      <c r="D23" s="5"/>
      <c r="E23" s="5"/>
      <c r="F23" s="5"/>
      <c r="H23" s="5"/>
      <c r="I23" s="5"/>
      <c r="J23" s="5"/>
      <c r="K23" s="5"/>
      <c r="L23" s="5"/>
    </row>
    <row r="24" spans="1:12" x14ac:dyDescent="0.35">
      <c r="C24" s="5"/>
      <c r="D24" s="5"/>
      <c r="E24" s="5"/>
      <c r="F24" s="5"/>
      <c r="H24" s="5"/>
      <c r="I24" s="5"/>
      <c r="J24" s="5"/>
      <c r="K24" s="5"/>
      <c r="L24" s="5"/>
    </row>
  </sheetData>
  <mergeCells count="9">
    <mergeCell ref="A7:A10"/>
    <mergeCell ref="B7:B10"/>
    <mergeCell ref="C7:C10"/>
    <mergeCell ref="D7:D10"/>
    <mergeCell ref="E15:E19"/>
    <mergeCell ref="D15:D19"/>
    <mergeCell ref="C15:C19"/>
    <mergeCell ref="B15:B19"/>
    <mergeCell ref="A15:A19"/>
  </mergeCells>
  <conditionalFormatting sqref="J7:J10">
    <cfRule type="cellIs" dxfId="22" priority="1" operator="equal">
      <formula>"-"</formula>
    </cfRule>
    <cfRule type="cellIs" dxfId="21" priority="2" operator="greaterThan">
      <formula>0</formula>
    </cfRule>
    <cfRule type="cellIs" dxfId="20" priority="3" operator="lessThan">
      <formula>0</formula>
    </cfRule>
  </conditionalFormatting>
  <conditionalFormatting sqref="J15:J19">
    <cfRule type="cellIs" dxfId="19" priority="4" operator="equal">
      <formula>"-"</formula>
    </cfRule>
    <cfRule type="cellIs" dxfId="18" priority="5" operator="greaterThan">
      <formula>0</formula>
    </cfRule>
    <cfRule type="cellIs" dxfId="17" priority="6" operator="lessThan">
      <formula>0</formula>
    </cfRule>
  </conditionalFormatting>
  <dataValidations count="1">
    <dataValidation type="list" allowBlank="1" showInputMessage="1" showErrorMessage="1" sqref="C1" xr:uid="{84999CF7-C3D6-4D15-8234-ADD0B1229674}">
      <formula1>"FY2023,FY2024,FY2025,FY2026,FY2027,FY2028,FY2029,FY2030"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B8B8-CEDE-4AAC-AFC7-BC00E62DEC29}">
  <dimension ref="A1:L37"/>
  <sheetViews>
    <sheetView showGridLines="0" zoomScale="90" zoomScaleNormal="90" workbookViewId="0">
      <pane ySplit="2" topLeftCell="A16" activePane="bottomLeft" state="frozen"/>
      <selection pane="bottomLeft" activeCell="I47" sqref="I47"/>
    </sheetView>
  </sheetViews>
  <sheetFormatPr defaultRowHeight="14.5" x14ac:dyDescent="0.35"/>
  <cols>
    <col min="1" max="2" width="21.08984375" style="7" customWidth="1"/>
    <col min="3" max="3" width="21.08984375" style="1" customWidth="1"/>
    <col min="4" max="5" width="21.08984375" style="8" customWidth="1"/>
    <col min="6" max="6" width="4.08984375" style="8" customWidth="1"/>
    <col min="7" max="7" width="19.90625" style="8" bestFit="1" customWidth="1"/>
    <col min="8" max="8" width="17.36328125" style="2" customWidth="1"/>
    <col min="9" max="9" width="20.36328125" style="1" customWidth="1"/>
    <col min="10" max="10" width="17.36328125" style="1" customWidth="1"/>
    <col min="11" max="11" width="11.90625" style="1" customWidth="1"/>
    <col min="12" max="16384" width="8.7265625" style="1"/>
  </cols>
  <sheetData>
    <row r="1" spans="1:12" ht="63" customHeight="1" x14ac:dyDescent="0.35">
      <c r="A1" s="24" t="s">
        <v>110</v>
      </c>
      <c r="B1" s="24"/>
      <c r="C1" s="24"/>
      <c r="E1" s="32" t="s">
        <v>113</v>
      </c>
    </row>
    <row r="2" spans="1:12" ht="3" customHeight="1" x14ac:dyDescent="0.35">
      <c r="A2" s="31"/>
      <c r="B2" s="31"/>
      <c r="C2" s="31"/>
      <c r="D2" s="9"/>
      <c r="E2" s="9"/>
      <c r="F2" s="9"/>
      <c r="G2" s="9"/>
      <c r="H2" s="4"/>
      <c r="I2" s="3"/>
      <c r="J2" s="3"/>
    </row>
    <row r="3" spans="1:12" ht="25" customHeight="1" x14ac:dyDescent="0.35"/>
    <row r="4" spans="1:12" ht="25" customHeight="1" x14ac:dyDescent="0.35">
      <c r="A4" s="50" t="s">
        <v>116</v>
      </c>
      <c r="G4" s="50" t="s">
        <v>42</v>
      </c>
    </row>
    <row r="5" spans="1:12" x14ac:dyDescent="0.35">
      <c r="A5" s="40" t="s">
        <v>39</v>
      </c>
      <c r="B5" s="41" t="s">
        <v>41</v>
      </c>
      <c r="C5" s="42" t="s">
        <v>40</v>
      </c>
      <c r="D5" s="43" t="str">
        <f>UPPER("Non debuté")</f>
        <v>NON DEBUTÉ</v>
      </c>
      <c r="F5" s="7"/>
      <c r="G5" s="44" t="s">
        <v>107</v>
      </c>
      <c r="H5" s="53" t="s">
        <v>105</v>
      </c>
      <c r="I5" s="53" t="s">
        <v>104</v>
      </c>
      <c r="J5" s="53" t="s">
        <v>106</v>
      </c>
      <c r="K5" s="5"/>
      <c r="L5" s="5"/>
    </row>
    <row r="6" spans="1:12" ht="41" customHeight="1" x14ac:dyDescent="0.35">
      <c r="A6" s="67">
        <f>COUNTIF(PROJECTS!$E$5:$E$73,"Cahier de charges")</f>
        <v>31</v>
      </c>
      <c r="B6" s="66">
        <f>COUNTIFS(PROJECTS!$E$5:$E$73,"Cahier de charges",PROJECTS!$M$5:$M$73,"Terminé")</f>
        <v>13</v>
      </c>
      <c r="C6" s="65">
        <f>COUNTIFS(PROJECTS!$E$5:$E$73,"Cahier de charges",PROJECTS!$M$5:$M$73,"En cours")</f>
        <v>9</v>
      </c>
      <c r="D6" s="64">
        <f>COUNTIFS(PROJECTS!$E$5:$E$73,"Cahier de charges",PROJECTS!$M$5:$M$73,"non debuté")</f>
        <v>9</v>
      </c>
      <c r="F6" s="30"/>
      <c r="G6" s="52" t="s">
        <v>10</v>
      </c>
      <c r="H6" s="29">
        <f>SUMIFS(PROJECTS!$I$5:$I$73,PROJECTS!$E$5:$E$73,"Cahier de charges",PROJECTS!$M$5:$M$73,G6,PROJECTS!$G$5:$G$73,$E$1)</f>
        <v>116930</v>
      </c>
      <c r="I6" s="29">
        <f>SUMIFS(PROJECTS!$J$5:$J$73,PROJECTS!$E$5:$E$73,"Cahier de charges",PROJECTS!$M$5:$M$73,G6,PROJECTS!$G$5:$G$73,$E$1)</f>
        <v>99178.37999999999</v>
      </c>
      <c r="J6" s="29">
        <f>H6-I6</f>
        <v>17751.62000000001</v>
      </c>
      <c r="K6" s="5"/>
      <c r="L6" s="5"/>
    </row>
    <row r="7" spans="1:12" ht="41" customHeight="1" x14ac:dyDescent="0.35">
      <c r="A7" s="67"/>
      <c r="B7" s="66"/>
      <c r="C7" s="65"/>
      <c r="D7" s="64"/>
      <c r="F7" s="30"/>
      <c r="G7" s="52" t="s">
        <v>25</v>
      </c>
      <c r="H7" s="29">
        <f>SUMIFS(PROJECTS!$I$5:$I$73,PROJECTS!$E$5:$E$73,"Cahier de charges",PROJECTS!$M$5:$M$73,G7,PROJECTS!$G$5:$G$73,$E$1)</f>
        <v>1447189.5</v>
      </c>
      <c r="I7" s="29">
        <f>SUMIFS(PROJECTS!$J$5:$J$73,PROJECTS!$E$5:$E$73,"Cahier de charges",PROJECTS!$M$5:$M$73,G7,PROJECTS!$G$5:$G$73,$E$1)</f>
        <v>1346469.3399999999</v>
      </c>
      <c r="J7" s="29">
        <f>H7-I7</f>
        <v>100720.16000000015</v>
      </c>
      <c r="K7" s="5"/>
      <c r="L7" s="5"/>
    </row>
    <row r="8" spans="1:12" ht="41" customHeight="1" x14ac:dyDescent="0.35">
      <c r="A8" s="67"/>
      <c r="B8" s="66"/>
      <c r="C8" s="65"/>
      <c r="D8" s="64"/>
      <c r="F8" s="30"/>
      <c r="G8" s="52" t="s">
        <v>37</v>
      </c>
      <c r="H8" s="29">
        <f>SUMIFS(PROJECTS!$I$5:$I$73,PROJECTS!$E$5:$E$73,"Cahier de charges",PROJECTS!$M$5:$M$73,G8,PROJECTS!$G$5:$G$73,$E$1)</f>
        <v>171189.5</v>
      </c>
      <c r="I8" s="29">
        <f>SUMIFS(PROJECTS!$J$5:$J$73,PROJECTS!$E$5:$E$73,"Cahier de charges",PROJECTS!$M$5:$M$73,G8,PROJECTS!$G$5:$G$73,$E$1)</f>
        <v>14807.3</v>
      </c>
      <c r="J8" s="29">
        <f>H8-I8</f>
        <v>156382.20000000001</v>
      </c>
      <c r="K8" s="5"/>
      <c r="L8" s="5"/>
    </row>
    <row r="9" spans="1:12" ht="41" customHeight="1" x14ac:dyDescent="0.35">
      <c r="A9" s="67"/>
      <c r="B9" s="66"/>
      <c r="C9" s="65"/>
      <c r="D9" s="64"/>
      <c r="F9" s="30"/>
      <c r="G9" s="44" t="s">
        <v>108</v>
      </c>
      <c r="H9" s="45">
        <f>SUMIFS(PROJECTS!$I$5:$I$73,PROJECTS!$E$5:$E$73,"Cahier de charges")</f>
        <v>1735309</v>
      </c>
      <c r="I9" s="45">
        <f>SUMIFS(PROJECTS!$J$5:$J$73,PROJECTS!$E$5:$E$73,"Cahier de charges")</f>
        <v>1460455.0199999998</v>
      </c>
      <c r="J9" s="45">
        <f>H9-I9</f>
        <v>274853.98000000021</v>
      </c>
      <c r="K9" s="5"/>
      <c r="L9" s="5"/>
    </row>
    <row r="10" spans="1:12" x14ac:dyDescent="0.35">
      <c r="C10" s="5"/>
      <c r="D10" s="5"/>
      <c r="E10" s="5"/>
      <c r="F10" s="5"/>
      <c r="H10" s="5"/>
      <c r="I10" s="5"/>
      <c r="J10" s="5"/>
      <c r="K10" s="5"/>
      <c r="L10" s="5"/>
    </row>
    <row r="11" spans="1:12" x14ac:dyDescent="0.35">
      <c r="C11" s="5"/>
      <c r="D11" s="5"/>
      <c r="E11" s="5"/>
      <c r="F11" s="5"/>
      <c r="H11" s="5"/>
      <c r="I11" s="5"/>
      <c r="J11" s="5"/>
      <c r="K11" s="5"/>
      <c r="L11" s="5"/>
    </row>
    <row r="12" spans="1:12" ht="25" customHeight="1" x14ac:dyDescent="0.35">
      <c r="A12" s="50" t="s">
        <v>115</v>
      </c>
      <c r="G12" s="50" t="s">
        <v>117</v>
      </c>
    </row>
    <row r="13" spans="1:12" x14ac:dyDescent="0.35">
      <c r="A13" s="40" t="s">
        <v>39</v>
      </c>
      <c r="B13" s="41" t="str">
        <f>G14</f>
        <v>Agriculture et élevage</v>
      </c>
      <c r="C13" s="42" t="str">
        <f>G15</f>
        <v>Energie</v>
      </c>
      <c r="D13" s="43" t="str">
        <f>G16</f>
        <v>Education</v>
      </c>
      <c r="E13" s="43" t="str">
        <f>G17</f>
        <v>Infrastructures</v>
      </c>
      <c r="F13" s="5"/>
      <c r="G13" s="47" t="s">
        <v>0</v>
      </c>
      <c r="H13" s="48" t="s">
        <v>105</v>
      </c>
      <c r="I13" s="48" t="s">
        <v>104</v>
      </c>
      <c r="J13" s="48" t="s">
        <v>106</v>
      </c>
      <c r="L13" s="5"/>
    </row>
    <row r="14" spans="1:12" ht="28.5" customHeight="1" x14ac:dyDescent="0.35">
      <c r="A14" s="67">
        <f>COUNTIF(PROJECTS!$E$5:$E$73,"Cahier de charges")</f>
        <v>31</v>
      </c>
      <c r="B14" s="66">
        <f>COUNTIFS(PROJECTS!$D$5:$D$73,'DASHBOARD CC'!G14,PROJECTS!$E$5:$E$73,"Cahier de charges")</f>
        <v>8</v>
      </c>
      <c r="C14" s="65">
        <f>COUNTIFS(PROJECTS!$D$5:$D$73,'DASHBOARD CC'!G15,PROJECTS!$E$5:$E$73,"Cahier de charges")</f>
        <v>5</v>
      </c>
      <c r="D14" s="64">
        <f>COUNTIFS(PROJECTS!$D$5:$D$73,'DASHBOARD CC'!G16,PROJECTS!$E$5:$E$73,"Cahier de charges")</f>
        <v>4</v>
      </c>
      <c r="E14" s="64">
        <f>COUNTIFS(PROJECTS!$D$5:$D$73,'DASHBOARD CC'!G17,PROJECTS!$E$5:$E$73,"Cahier de charges")</f>
        <v>9</v>
      </c>
      <c r="F14" s="5"/>
      <c r="G14" s="52" t="str" cm="1">
        <f t="array" ref="G14:G19">_xlfn.UNIQUE(_xlfn._xlws.FILTER(PROJECTS!D5:D73,PROJECTS!E5:E73="Cahier de charges"))</f>
        <v>Agriculture et élevage</v>
      </c>
      <c r="H14" s="49">
        <f>SUMIFS(PROJECTS!$I$5:$I$73,PROJECTS!$E$5:$E$73,"Cahier de charges",PROJECTS!$D$5:$D$73,G14,PROJECTS!$G$5:$G$73,$E$1)</f>
        <v>131949</v>
      </c>
      <c r="I14" s="49">
        <f>SUMIFS(PROJECTS!$J$5:$J$73,PROJECTS!$E$5:$E$73,"Cahier de charges",PROJECTS!$D$5:$D$73,G14,PROJECTS!$G$5:$G$73,$E$1)</f>
        <v>47991.899999999994</v>
      </c>
      <c r="J14" s="46">
        <f>H14-I14</f>
        <v>83957.1</v>
      </c>
      <c r="L14" s="5"/>
    </row>
    <row r="15" spans="1:12" ht="28.5" customHeight="1" x14ac:dyDescent="0.35">
      <c r="A15" s="67"/>
      <c r="B15" s="66"/>
      <c r="C15" s="65"/>
      <c r="D15" s="64"/>
      <c r="E15" s="64"/>
      <c r="F15" s="5"/>
      <c r="G15" s="52" t="str">
        <v>Energie</v>
      </c>
      <c r="H15" s="49">
        <f>SUMIFS(PROJECTS!$I$5:$I$73,PROJECTS!$E$5:$E$73,"Cahier de charges",PROJECTS!$D$5:$D$73,G15,PROJECTS!$G$5:$G$73,$E$1)</f>
        <v>1377000</v>
      </c>
      <c r="I15" s="49">
        <f>SUMIFS(PROJECTS!$J$5:$J$73,PROJECTS!$E$5:$E$73,"Cahier de charges",PROJECTS!$D$5:$D$73,G15,PROJECTS!$G$5:$G$73,$E$1)</f>
        <v>1354525</v>
      </c>
      <c r="J15" s="46">
        <f t="shared" ref="J15:J19" si="0">H15-I15</f>
        <v>22475</v>
      </c>
      <c r="L15" s="5"/>
    </row>
    <row r="16" spans="1:12" ht="28.5" customHeight="1" x14ac:dyDescent="0.35">
      <c r="A16" s="67"/>
      <c r="B16" s="66"/>
      <c r="C16" s="65"/>
      <c r="D16" s="64"/>
      <c r="E16" s="64"/>
      <c r="F16" s="5"/>
      <c r="G16" s="52" t="str">
        <v>Education</v>
      </c>
      <c r="H16" s="49">
        <f>SUMIFS(PROJECTS!$I$5:$I$73,PROJECTS!$E$5:$E$73,"Cahier de charges",PROJECTS!$D$5:$D$73,G16,PROJECTS!$G$5:$G$73,$E$1)</f>
        <v>57360</v>
      </c>
      <c r="I16" s="49">
        <f>SUMIFS(PROJECTS!$J$5:$J$73,PROJECTS!$E$5:$E$73,"Cahier de charges",PROJECTS!$D$5:$D$73,G16,PROJECTS!$G$5:$G$73,$E$1)</f>
        <v>15931.8</v>
      </c>
      <c r="J16" s="46">
        <f t="shared" si="0"/>
        <v>41428.199999999997</v>
      </c>
      <c r="L16" s="5"/>
    </row>
    <row r="17" spans="1:12" ht="28.5" customHeight="1" x14ac:dyDescent="0.35">
      <c r="A17" s="67"/>
      <c r="B17" s="66"/>
      <c r="C17" s="65"/>
      <c r="D17" s="64"/>
      <c r="E17" s="64"/>
      <c r="F17" s="5"/>
      <c r="G17" s="52" t="str">
        <v>Infrastructures</v>
      </c>
      <c r="H17" s="49">
        <f>SUMIFS(PROJECTS!$I$5:$I$73,PROJECTS!$E$5:$E$73,"Cahier de charges",PROJECTS!$D$5:$D$73,G17,PROJECTS!$G$5:$G$73,$E$1)</f>
        <v>97000</v>
      </c>
      <c r="I17" s="49">
        <f>SUMIFS(PROJECTS!$J$5:$J$73,PROJECTS!$E$5:$E$73,"Cahier de charges",PROJECTS!$D$5:$D$73,G17,PROJECTS!$G$5:$G$73,$E$1)</f>
        <v>17000</v>
      </c>
      <c r="J17" s="46">
        <f t="shared" si="0"/>
        <v>80000</v>
      </c>
      <c r="L17" s="5"/>
    </row>
    <row r="18" spans="1:12" ht="28.5" customHeight="1" x14ac:dyDescent="0.35">
      <c r="A18" s="67"/>
      <c r="B18" s="66"/>
      <c r="C18" s="65"/>
      <c r="D18" s="64"/>
      <c r="E18" s="64"/>
      <c r="F18" s="5"/>
      <c r="G18" s="52" t="str">
        <v>Loisirs</v>
      </c>
      <c r="H18" s="49">
        <f>SUMIFS(PROJECTS!$I$5:$I$73,PROJECTS!$E$5:$E$73,"Cahier de charges",PROJECTS!$D$5:$D$73,G18,PROJECTS!$G$5:$G$73,$E$1)</f>
        <v>32000</v>
      </c>
      <c r="I18" s="49">
        <f>SUMIFS(PROJECTS!$J$5:$J$73,PROJECTS!$E$5:$E$73,"Cahier de charges",PROJECTS!$D$5:$D$73,G18,PROJECTS!$G$5:$G$73,$E$1)</f>
        <v>25006.32</v>
      </c>
      <c r="J18" s="46">
        <f t="shared" si="0"/>
        <v>6993.68</v>
      </c>
      <c r="L18" s="5"/>
    </row>
    <row r="19" spans="1:12" ht="31" customHeight="1" x14ac:dyDescent="0.35">
      <c r="A19" s="67"/>
      <c r="B19" s="66"/>
      <c r="C19" s="65"/>
      <c r="D19" s="64"/>
      <c r="E19" s="64"/>
      <c r="F19" s="5"/>
      <c r="G19" s="52" t="str">
        <v>Santé</v>
      </c>
      <c r="H19" s="49">
        <f>SUMIFS(PROJECTS!$I$5:$I$73,PROJECTS!$E$5:$E$73,"Cahier de charges",PROJECTS!$D$5:$D$73,G19,PROJECTS!$G$5:$G$73,$E$1)</f>
        <v>40000</v>
      </c>
      <c r="I19" s="49">
        <f>SUMIFS(PROJECTS!$J$5:$J$73,PROJECTS!$E$5:$E$73,"Cahier de charges",PROJECTS!$D$5:$D$73,G19,PROJECTS!$G$5:$G$73,$E$1)</f>
        <v>0</v>
      </c>
      <c r="J19" s="46">
        <f t="shared" si="0"/>
        <v>40000</v>
      </c>
      <c r="K19" s="5"/>
      <c r="L19" s="5"/>
    </row>
    <row r="20" spans="1:12" ht="35" customHeight="1" x14ac:dyDescent="0.35">
      <c r="A20" s="67"/>
      <c r="B20" s="66"/>
      <c r="C20" s="65"/>
      <c r="D20" s="64"/>
      <c r="E20" s="64"/>
      <c r="F20" s="5"/>
      <c r="G20" s="44"/>
      <c r="H20" s="45">
        <f>SUM(H14:H19)</f>
        <v>1735309</v>
      </c>
      <c r="I20" s="45">
        <f t="shared" ref="I20:J20" si="1">SUM(I14:I19)</f>
        <v>1460455.02</v>
      </c>
      <c r="J20" s="45">
        <f t="shared" si="1"/>
        <v>274853.98</v>
      </c>
      <c r="K20" s="5"/>
      <c r="L20" s="5"/>
    </row>
    <row r="21" spans="1:12" x14ac:dyDescent="0.35">
      <c r="C21" s="5"/>
      <c r="D21" s="5"/>
      <c r="E21" s="5"/>
      <c r="F21" s="5"/>
      <c r="H21" s="5"/>
      <c r="I21" s="5"/>
      <c r="J21" s="5"/>
      <c r="K21" s="5"/>
      <c r="L21" s="5"/>
    </row>
    <row r="22" spans="1:12" x14ac:dyDescent="0.35">
      <c r="C22" s="5"/>
      <c r="D22" s="5"/>
      <c r="E22" s="5"/>
      <c r="F22" s="5"/>
      <c r="H22" s="5"/>
      <c r="I22" s="5"/>
      <c r="J22" s="5"/>
      <c r="K22" s="5"/>
      <c r="L22" s="5"/>
    </row>
    <row r="23" spans="1:12" ht="28.5" x14ac:dyDescent="0.35">
      <c r="A23" s="50" t="s">
        <v>118</v>
      </c>
      <c r="C23" s="5"/>
      <c r="D23" s="5"/>
      <c r="E23" s="5"/>
      <c r="F23" s="5"/>
      <c r="H23" s="5"/>
      <c r="I23" s="5"/>
      <c r="J23" s="5"/>
      <c r="K23" s="5"/>
      <c r="L23" s="5"/>
    </row>
    <row r="24" spans="1:12" x14ac:dyDescent="0.35">
      <c r="A24" s="47" t="s">
        <v>43</v>
      </c>
      <c r="B24" s="48" t="s">
        <v>114</v>
      </c>
      <c r="C24" s="48" t="s">
        <v>105</v>
      </c>
      <c r="D24" s="48" t="s">
        <v>104</v>
      </c>
      <c r="E24" s="48" t="s">
        <v>106</v>
      </c>
      <c r="F24" s="5"/>
      <c r="H24" s="5"/>
      <c r="I24" s="5"/>
      <c r="J24" s="5"/>
      <c r="K24" s="5"/>
      <c r="L24" s="5"/>
    </row>
    <row r="25" spans="1:12" x14ac:dyDescent="0.35">
      <c r="A25" s="52" t="str" cm="1">
        <f t="array" ref="A25:A29">_xlfn.UNIQUE(_xlfn._xlws.FILTER(PROJECTS!C5:C73,PROJECTS!E5:E73="Cahier de charges"))</f>
        <v>Malanga Gare</v>
      </c>
      <c r="B25" s="57">
        <f>COUNTIFS(PROJECTS!$E$5:$E$73,"Cahier de charges",PROJECTS!$C$5:$C$73,A25,PROJECTS!$G$5:$G$73,$E$1)</f>
        <v>7</v>
      </c>
      <c r="C25" s="49">
        <f>SUMIFS(PROJECTS!$I$5:$I$73,PROJECTS!$E$5:$E$73,"Cahier de charges",PROJECTS!$C$5:$C$73,A25,PROJECTS!$G$5:$G$73,$E$1)</f>
        <v>89327.25</v>
      </c>
      <c r="D25" s="49">
        <f>SUMIFS(PROJECTS!$J$5:$J$73,PROJECTS!$E$5:$E$73,"Cahier de charges",PROJECTS!$C$5:$C$73,A25,PROJECTS!$G$5:$G$73,$E$1)</f>
        <v>58703.08</v>
      </c>
      <c r="E25" s="46">
        <f>C25-D25</f>
        <v>30624.17</v>
      </c>
      <c r="F25" s="5"/>
      <c r="H25" s="5"/>
      <c r="I25" s="5"/>
      <c r="J25" s="5"/>
      <c r="K25" s="5"/>
      <c r="L25" s="5"/>
    </row>
    <row r="26" spans="1:12" x14ac:dyDescent="0.35">
      <c r="A26" s="52" t="str">
        <v>Nkumba</v>
      </c>
      <c r="B26" s="57">
        <f>COUNTIFS(PROJECTS!$E$5:$E$73,"Cahier de charges",PROJECTS!$C$5:$C$73,A26,PROJECTS!$G$5:$G$73,$E$1)</f>
        <v>7</v>
      </c>
      <c r="C26" s="49">
        <f>SUMIFS(PROJECTS!$I$5:$I$73,PROJECTS!$E$5:$E$73,"Cahier de charges",PROJECTS!$C$5:$C$73,A26,PROJECTS!$G$5:$G$73,$E$1)</f>
        <v>89327.25</v>
      </c>
      <c r="D26" s="49">
        <f>SUMIFS(PROJECTS!$J$5:$J$73,PROJECTS!$E$5:$E$73,"Cahier de charges",PROJECTS!$C$5:$C$73,A26,PROJECTS!$G$5:$G$73,$E$1)</f>
        <v>52178.080000000002</v>
      </c>
      <c r="E26" s="46">
        <f t="shared" ref="E26:E29" si="2">C26-D26</f>
        <v>37149.17</v>
      </c>
      <c r="F26" s="5"/>
      <c r="H26" s="5"/>
      <c r="I26" s="5"/>
      <c r="J26" s="5"/>
      <c r="K26" s="5"/>
      <c r="L26" s="5"/>
    </row>
    <row r="27" spans="1:12" x14ac:dyDescent="0.35">
      <c r="A27" s="52" t="str">
        <v>Malanga Cité</v>
      </c>
      <c r="B27" s="57">
        <f>COUNTIFS(PROJECTS!$E$5:$E$73,"Cahier de charges",PROJECTS!$C$5:$C$73,A27,PROJECTS!$G$5:$G$73,$E$1)</f>
        <v>9</v>
      </c>
      <c r="C27" s="49">
        <f>SUMIFS(PROJECTS!$I$5:$I$73,PROJECTS!$E$5:$E$73,"Cahier de charges",PROJECTS!$C$5:$C$73,A27,PROJECTS!$G$5:$G$73,$E$1)</f>
        <v>821327.25</v>
      </c>
      <c r="D27" s="49">
        <f>SUMIFS(PROJECTS!$J$5:$J$73,PROJECTS!$E$5:$E$73,"Cahier de charges",PROJECTS!$C$5:$C$73,A27,PROJECTS!$G$5:$G$73,$E$1)</f>
        <v>725090.58</v>
      </c>
      <c r="E27" s="46">
        <f t="shared" si="2"/>
        <v>96236.670000000042</v>
      </c>
      <c r="F27" s="5"/>
      <c r="H27" s="5"/>
      <c r="I27" s="5"/>
      <c r="J27" s="5"/>
      <c r="K27" s="5"/>
      <c r="L27" s="5"/>
    </row>
    <row r="28" spans="1:12" x14ac:dyDescent="0.35">
      <c r="A28" s="52" t="str">
        <v>Zamba 1er</v>
      </c>
      <c r="B28" s="57">
        <f>COUNTIFS(PROJECTS!$E$5:$E$73,"Cahier de charges",PROJECTS!$C$5:$C$73,A28,PROJECTS!$G$5:$G$73,$E$1)</f>
        <v>6</v>
      </c>
      <c r="C28" s="49">
        <f>SUMIFS(PROJECTS!$I$5:$I$73,PROJECTS!$E$5:$E$73,"Cahier de charges",PROJECTS!$C$5:$C$73,A28,PROJECTS!$G$5:$G$73,$E$1)</f>
        <v>670327.25</v>
      </c>
      <c r="D28" s="49">
        <f>SUMIFS(PROJECTS!$J$5:$J$73,PROJECTS!$E$5:$E$73,"Cahier de charges",PROJECTS!$C$5:$C$73,A28,PROJECTS!$G$5:$G$73,$E$1)</f>
        <v>624483.27999999991</v>
      </c>
      <c r="E28" s="46">
        <f t="shared" si="2"/>
        <v>45843.970000000088</v>
      </c>
      <c r="F28" s="5"/>
      <c r="H28" s="5"/>
      <c r="I28" s="5"/>
      <c r="J28" s="5"/>
      <c r="K28" s="5"/>
      <c r="L28" s="5"/>
    </row>
    <row r="29" spans="1:12" x14ac:dyDescent="0.35">
      <c r="A29" s="52" t="str">
        <v>Multi-villages</v>
      </c>
      <c r="B29" s="57">
        <f>COUNTIFS(PROJECTS!$E$5:$E$73,"Cahier de charges",PROJECTS!$C$5:$C$73,A29,PROJECTS!$G$5:$G$73,$E$1)</f>
        <v>2</v>
      </c>
      <c r="C29" s="49">
        <f>SUMIFS(PROJECTS!$I$5:$I$73,PROJECTS!$E$5:$E$73,"Cahier de charges",PROJECTS!$C$5:$C$73,A29,PROJECTS!$G$5:$G$73,$E$1)</f>
        <v>65000</v>
      </c>
      <c r="D29" s="49">
        <f>SUMIFS(PROJECTS!$J$5:$J$73,PROJECTS!$E$5:$E$73,"Cahier de charges",PROJECTS!$C$5:$C$73,A29,PROJECTS!$G$5:$G$73,$E$1)</f>
        <v>0</v>
      </c>
      <c r="E29" s="46">
        <f t="shared" si="2"/>
        <v>65000</v>
      </c>
      <c r="F29" s="5"/>
      <c r="H29" s="5"/>
      <c r="I29" s="5"/>
      <c r="J29" s="5"/>
      <c r="K29" s="5"/>
      <c r="L29" s="5"/>
    </row>
    <row r="30" spans="1:12" x14ac:dyDescent="0.35">
      <c r="A30" s="44"/>
      <c r="B30" s="58">
        <f>SUM(B25:B29)</f>
        <v>31</v>
      </c>
      <c r="C30" s="45">
        <f>SUM(C25:C29)</f>
        <v>1735309</v>
      </c>
      <c r="D30" s="45">
        <f>SUM(D25:D29)</f>
        <v>1460455.02</v>
      </c>
      <c r="E30" s="45">
        <f>SUM(E25:E29)</f>
        <v>274853.9800000001</v>
      </c>
      <c r="F30" s="5"/>
      <c r="H30" s="5"/>
      <c r="I30" s="5"/>
      <c r="J30" s="5"/>
      <c r="K30" s="5"/>
      <c r="L30" s="5"/>
    </row>
    <row r="31" spans="1:12" x14ac:dyDescent="0.35">
      <c r="C31" s="5"/>
      <c r="D31" s="5"/>
      <c r="E31" s="5"/>
      <c r="F31" s="5"/>
      <c r="H31" s="5"/>
      <c r="I31" s="5"/>
      <c r="J31" s="5"/>
      <c r="K31" s="5"/>
      <c r="L31" s="5"/>
    </row>
    <row r="32" spans="1:12" x14ac:dyDescent="0.35">
      <c r="C32" s="5"/>
      <c r="D32" s="5"/>
      <c r="E32" s="5"/>
      <c r="F32" s="5"/>
      <c r="H32" s="5"/>
      <c r="I32" s="5"/>
      <c r="J32" s="5"/>
      <c r="K32" s="5"/>
      <c r="L32" s="5"/>
    </row>
    <row r="33" spans="3:12" x14ac:dyDescent="0.35">
      <c r="C33" s="5"/>
      <c r="D33" s="5"/>
      <c r="E33" s="5"/>
      <c r="F33" s="5"/>
      <c r="H33" s="5"/>
      <c r="I33" s="5"/>
      <c r="J33" s="5"/>
      <c r="K33" s="5"/>
      <c r="L33" s="5"/>
    </row>
    <row r="34" spans="3:12" x14ac:dyDescent="0.35">
      <c r="C34" s="5"/>
      <c r="D34" s="5"/>
      <c r="E34" s="5"/>
      <c r="F34" s="5"/>
      <c r="H34" s="5"/>
      <c r="I34" s="5"/>
      <c r="J34" s="5"/>
      <c r="K34" s="5"/>
      <c r="L34" s="5"/>
    </row>
    <row r="35" spans="3:12" x14ac:dyDescent="0.35">
      <c r="C35" s="5"/>
      <c r="D35" s="5"/>
      <c r="E35" s="5"/>
      <c r="F35" s="5"/>
      <c r="H35" s="5"/>
      <c r="I35" s="5"/>
      <c r="J35" s="5"/>
      <c r="K35" s="5"/>
      <c r="L35" s="5"/>
    </row>
    <row r="36" spans="3:12" x14ac:dyDescent="0.35">
      <c r="C36" s="5"/>
      <c r="D36" s="5"/>
      <c r="E36" s="5"/>
      <c r="F36" s="5"/>
      <c r="H36" s="5"/>
      <c r="I36" s="5"/>
      <c r="J36" s="5"/>
      <c r="K36" s="5"/>
      <c r="L36" s="5"/>
    </row>
    <row r="37" spans="3:12" x14ac:dyDescent="0.35">
      <c r="C37" s="5"/>
      <c r="D37" s="5"/>
      <c r="E37" s="5"/>
      <c r="F37" s="5"/>
      <c r="H37" s="5"/>
      <c r="I37" s="5"/>
      <c r="J37" s="5"/>
      <c r="K37" s="5"/>
      <c r="L37" s="5"/>
    </row>
  </sheetData>
  <mergeCells count="9">
    <mergeCell ref="E14:E20"/>
    <mergeCell ref="A6:A9"/>
    <mergeCell ref="B6:B9"/>
    <mergeCell ref="C6:C9"/>
    <mergeCell ref="D6:D9"/>
    <mergeCell ref="A14:A20"/>
    <mergeCell ref="B14:B20"/>
    <mergeCell ref="C14:C20"/>
    <mergeCell ref="D14:D20"/>
  </mergeCells>
  <conditionalFormatting sqref="E25:E30">
    <cfRule type="cellIs" dxfId="16" priority="1" operator="equal">
      <formula>"-"</formula>
    </cfRule>
    <cfRule type="cellIs" dxfId="15" priority="2" operator="greaterThan">
      <formula>0</formula>
    </cfRule>
    <cfRule type="cellIs" dxfId="14" priority="3" operator="lessThan">
      <formula>0</formula>
    </cfRule>
  </conditionalFormatting>
  <conditionalFormatting sqref="J6:J9">
    <cfRule type="cellIs" dxfId="13" priority="25" operator="equal">
      <formula>"-"</formula>
    </cfRule>
    <cfRule type="cellIs" dxfId="12" priority="26" operator="greaterThan">
      <formula>0</formula>
    </cfRule>
    <cfRule type="cellIs" dxfId="11" priority="27" operator="lessThan">
      <formula>0</formula>
    </cfRule>
  </conditionalFormatting>
  <conditionalFormatting sqref="J14:J20">
    <cfRule type="cellIs" dxfId="10" priority="7" operator="equal">
      <formula>"-"</formula>
    </cfRule>
    <cfRule type="cellIs" dxfId="9" priority="8" operator="greaterThan">
      <formula>0</formula>
    </cfRule>
    <cfRule type="cellIs" dxfId="8" priority="9" operator="lessThan">
      <formula>0</formula>
    </cfRule>
  </conditionalFormatting>
  <dataValidations disablePrompts="1" count="1">
    <dataValidation type="list" allowBlank="1" showInputMessage="1" showErrorMessage="1" sqref="E1" xr:uid="{F23CAF55-A986-4A41-B5A1-46AA4920BABC}">
      <formula1>"FY2023,FY2024,FY2025,FY2026,FY2027,FY2028,FY2029,FY2030"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8D43-7C14-43C3-ABAD-8006FB51F722}">
  <dimension ref="A1:N73"/>
  <sheetViews>
    <sheetView showGridLines="0" tabSelected="1" zoomScaleNormal="100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L20" sqref="L20"/>
    </sheetView>
  </sheetViews>
  <sheetFormatPr defaultRowHeight="14.5" x14ac:dyDescent="0.35"/>
  <cols>
    <col min="1" max="1" width="3.81640625" style="7" customWidth="1"/>
    <col min="2" max="2" width="58.36328125" style="1" customWidth="1"/>
    <col min="3" max="3" width="16.1796875" style="8" customWidth="1"/>
    <col min="4" max="4" width="19.1796875" style="8" bestFit="1" customWidth="1"/>
    <col min="5" max="5" width="16.1796875" style="8" bestFit="1" customWidth="1"/>
    <col min="6" max="6" width="32.1796875" style="8" bestFit="1" customWidth="1"/>
    <col min="7" max="7" width="10.6328125" style="5" customWidth="1"/>
    <col min="8" max="8" width="16.7265625" style="8" customWidth="1"/>
    <col min="9" max="9" width="21.36328125" style="2" customWidth="1"/>
    <col min="10" max="10" width="20.81640625" style="2" customWidth="1"/>
    <col min="11" max="11" width="19.1796875" style="2" customWidth="1"/>
    <col min="12" max="12" width="17.1796875" style="2" customWidth="1"/>
    <col min="13" max="13" width="15.08984375" style="2" customWidth="1"/>
    <col min="14" max="14" width="8.7265625" style="2"/>
    <col min="15" max="16384" width="8.7265625" style="1"/>
  </cols>
  <sheetData>
    <row r="1" spans="1:14" ht="29" customHeight="1" x14ac:dyDescent="0.35">
      <c r="A1" s="62" t="s">
        <v>31</v>
      </c>
      <c r="B1" s="62"/>
      <c r="N1" s="61"/>
    </row>
    <row r="2" spans="1:14" ht="29.5" customHeight="1" thickBot="1" x14ac:dyDescent="0.4">
      <c r="A2" s="62"/>
      <c r="B2" s="62"/>
    </row>
    <row r="3" spans="1:14" ht="21.5" customHeight="1" thickTop="1" x14ac:dyDescent="0.35">
      <c r="A3" s="13"/>
      <c r="B3" s="14"/>
      <c r="C3" s="15"/>
      <c r="D3" s="15"/>
      <c r="E3" s="34"/>
      <c r="F3" s="15"/>
      <c r="G3" s="13"/>
      <c r="H3" s="15"/>
      <c r="I3" s="35">
        <f>SUM(I5:I124)</f>
        <v>2210497.67</v>
      </c>
      <c r="J3" s="36">
        <f>SUM(J5:J124)</f>
        <v>1935643.69</v>
      </c>
      <c r="K3" s="36">
        <f>SUM(K5:K124)</f>
        <v>274853.98</v>
      </c>
      <c r="L3" s="68" t="s">
        <v>5</v>
      </c>
      <c r="M3" s="37" t="str">
        <f>COUNTIF(M5:M24,"Terminé")&amp;"/"&amp;COUNTA(M5:M124)</f>
        <v>15/46</v>
      </c>
    </row>
    <row r="4" spans="1:14" ht="21.5" customHeight="1" thickBot="1" x14ac:dyDescent="0.4">
      <c r="A4" s="10" t="s">
        <v>29</v>
      </c>
      <c r="B4" s="11" t="s">
        <v>30</v>
      </c>
      <c r="C4" s="33" t="s">
        <v>43</v>
      </c>
      <c r="D4" s="12" t="s">
        <v>0</v>
      </c>
      <c r="E4" s="12" t="s">
        <v>1</v>
      </c>
      <c r="F4" s="33" t="s">
        <v>44</v>
      </c>
      <c r="G4" s="69" t="s">
        <v>119</v>
      </c>
      <c r="H4" s="12" t="s">
        <v>45</v>
      </c>
      <c r="I4" s="16" t="s">
        <v>2</v>
      </c>
      <c r="J4" s="16" t="s">
        <v>3</v>
      </c>
      <c r="K4" s="16" t="s">
        <v>4</v>
      </c>
      <c r="L4" s="59"/>
      <c r="M4" s="38" t="s">
        <v>6</v>
      </c>
    </row>
    <row r="5" spans="1:14" ht="15" thickTop="1" x14ac:dyDescent="0.35">
      <c r="A5" s="6">
        <v>1</v>
      </c>
      <c r="B5" s="17" t="s">
        <v>7</v>
      </c>
      <c r="C5" s="18"/>
      <c r="D5" s="18" t="s">
        <v>8</v>
      </c>
      <c r="E5" s="18" t="s">
        <v>9</v>
      </c>
      <c r="F5" s="18"/>
      <c r="G5" s="21" t="s">
        <v>112</v>
      </c>
      <c r="H5" s="18"/>
      <c r="I5" s="26">
        <f>J5</f>
        <v>1523.64</v>
      </c>
      <c r="J5" s="27">
        <f>SUMIFS('Budget expense Details'!$E$4:$E$86,'Budget expense Details'!$C$4:$C$86,PROJECTS!B5)</f>
        <v>1523.64</v>
      </c>
      <c r="K5" s="27">
        <f>IF(I5-J5=0,0,I5-J5)</f>
        <v>0</v>
      </c>
      <c r="L5" s="22">
        <v>1</v>
      </c>
      <c r="M5" s="21" t="str">
        <f>IF(L5&lt;0.1,"Non debuté",IF(L5&lt;1,"En cours","Terminé"))</f>
        <v>Terminé</v>
      </c>
    </row>
    <row r="6" spans="1:14" x14ac:dyDescent="0.35">
      <c r="A6" s="6">
        <f>A5+1</f>
        <v>2</v>
      </c>
      <c r="B6" s="19" t="s">
        <v>11</v>
      </c>
      <c r="C6" s="20"/>
      <c r="D6" s="20" t="s">
        <v>12</v>
      </c>
      <c r="E6" s="20" t="s">
        <v>9</v>
      </c>
      <c r="F6" s="20"/>
      <c r="G6" s="21" t="s">
        <v>112</v>
      </c>
      <c r="H6" s="20"/>
      <c r="I6" s="28">
        <f t="shared" ref="I6:I19" si="0">J6</f>
        <v>27677.49</v>
      </c>
      <c r="J6" s="29">
        <f>SUMIFS('Budget expense Details'!$E$4:$E$86,'Budget expense Details'!$C$4:$C$86,PROJECTS!B6)</f>
        <v>27677.49</v>
      </c>
      <c r="K6" s="29">
        <f t="shared" ref="K6:K69" si="1">IF(I6-J6=0,0,I6-J6)</f>
        <v>0</v>
      </c>
      <c r="L6" s="23">
        <v>1</v>
      </c>
      <c r="M6" s="21" t="str">
        <f t="shared" ref="M6:M50" si="2">IF(L6&lt;0.1,"Non debuté",IF(L6&lt;1,"En cours","Terminé"))</f>
        <v>Terminé</v>
      </c>
    </row>
    <row r="7" spans="1:14" x14ac:dyDescent="0.35">
      <c r="A7" s="6">
        <f t="shared" ref="A7:A19" si="3">A6+1</f>
        <v>3</v>
      </c>
      <c r="B7" s="19" t="s">
        <v>13</v>
      </c>
      <c r="C7" s="20"/>
      <c r="D7" s="20" t="s">
        <v>14</v>
      </c>
      <c r="E7" s="20" t="s">
        <v>9</v>
      </c>
      <c r="F7" s="20"/>
      <c r="G7" s="21" t="s">
        <v>112</v>
      </c>
      <c r="H7" s="20"/>
      <c r="I7" s="28">
        <f t="shared" si="0"/>
        <v>3400</v>
      </c>
      <c r="J7" s="29">
        <f>SUMIFS('Budget expense Details'!$E$4:$E$86,'Budget expense Details'!$C$4:$C$86,PROJECTS!B7)</f>
        <v>3400</v>
      </c>
      <c r="K7" s="29">
        <f t="shared" si="1"/>
        <v>0</v>
      </c>
      <c r="L7" s="23">
        <v>1</v>
      </c>
      <c r="M7" s="21" t="str">
        <f t="shared" si="2"/>
        <v>Terminé</v>
      </c>
    </row>
    <row r="8" spans="1:14" x14ac:dyDescent="0.35">
      <c r="A8" s="6">
        <f t="shared" si="3"/>
        <v>4</v>
      </c>
      <c r="B8" s="19" t="s">
        <v>15</v>
      </c>
      <c r="C8" s="20"/>
      <c r="D8" s="20" t="s">
        <v>14</v>
      </c>
      <c r="E8" s="20" t="s">
        <v>9</v>
      </c>
      <c r="F8" s="20"/>
      <c r="G8" s="21" t="s">
        <v>112</v>
      </c>
      <c r="H8" s="20"/>
      <c r="I8" s="28">
        <f t="shared" si="0"/>
        <v>2500</v>
      </c>
      <c r="J8" s="29">
        <f>SUMIFS('Budget expense Details'!$E$4:$E$86,'Budget expense Details'!$C$4:$C$86,PROJECTS!B8)</f>
        <v>2500</v>
      </c>
      <c r="K8" s="29">
        <f t="shared" si="1"/>
        <v>0</v>
      </c>
      <c r="L8" s="23">
        <v>1</v>
      </c>
      <c r="M8" s="21" t="str">
        <f t="shared" si="2"/>
        <v>Terminé</v>
      </c>
    </row>
    <row r="9" spans="1:14" x14ac:dyDescent="0.35">
      <c r="A9" s="6">
        <f t="shared" si="3"/>
        <v>5</v>
      </c>
      <c r="B9" s="19" t="s">
        <v>16</v>
      </c>
      <c r="C9" s="20"/>
      <c r="D9" s="20" t="s">
        <v>14</v>
      </c>
      <c r="E9" s="20" t="s">
        <v>9</v>
      </c>
      <c r="F9" s="20"/>
      <c r="G9" s="21" t="s">
        <v>112</v>
      </c>
      <c r="H9" s="20"/>
      <c r="I9" s="28">
        <f t="shared" si="0"/>
        <v>25000</v>
      </c>
      <c r="J9" s="29">
        <f>SUMIFS('Budget expense Details'!$E$4:$E$86,'Budget expense Details'!$C$4:$C$86,PROJECTS!B9)</f>
        <v>25000</v>
      </c>
      <c r="K9" s="29">
        <f t="shared" si="1"/>
        <v>0</v>
      </c>
      <c r="L9" s="23">
        <v>1</v>
      </c>
      <c r="M9" s="21" t="str">
        <f t="shared" si="2"/>
        <v>Terminé</v>
      </c>
    </row>
    <row r="10" spans="1:14" x14ac:dyDescent="0.35">
      <c r="A10" s="6">
        <f t="shared" si="3"/>
        <v>6</v>
      </c>
      <c r="B10" s="19" t="s">
        <v>17</v>
      </c>
      <c r="C10" s="20"/>
      <c r="D10" s="20" t="s">
        <v>14</v>
      </c>
      <c r="E10" s="20" t="s">
        <v>9</v>
      </c>
      <c r="F10" s="20"/>
      <c r="G10" s="21" t="s">
        <v>112</v>
      </c>
      <c r="H10" s="20"/>
      <c r="I10" s="28">
        <f t="shared" si="0"/>
        <v>600</v>
      </c>
      <c r="J10" s="29">
        <f>SUMIFS('Budget expense Details'!$E$4:$E$86,'Budget expense Details'!$C$4:$C$86,PROJECTS!B10)</f>
        <v>600</v>
      </c>
      <c r="K10" s="29">
        <f t="shared" si="1"/>
        <v>0</v>
      </c>
      <c r="L10" s="23">
        <v>1</v>
      </c>
      <c r="M10" s="21" t="str">
        <f t="shared" si="2"/>
        <v>Terminé</v>
      </c>
    </row>
    <row r="11" spans="1:14" x14ac:dyDescent="0.35">
      <c r="A11" s="6">
        <f t="shared" si="3"/>
        <v>7</v>
      </c>
      <c r="B11" s="19" t="s">
        <v>18</v>
      </c>
      <c r="C11" s="20"/>
      <c r="D11" s="20" t="s">
        <v>19</v>
      </c>
      <c r="E11" s="20" t="s">
        <v>9</v>
      </c>
      <c r="F11" s="20"/>
      <c r="G11" s="21" t="s">
        <v>112</v>
      </c>
      <c r="H11" s="20"/>
      <c r="I11" s="28">
        <f t="shared" si="0"/>
        <v>37719</v>
      </c>
      <c r="J11" s="29">
        <f>SUMIFS('Budget expense Details'!$E$4:$E$86,'Budget expense Details'!$C$4:$C$86,PROJECTS!B11)</f>
        <v>37719</v>
      </c>
      <c r="K11" s="29">
        <f t="shared" si="1"/>
        <v>0</v>
      </c>
      <c r="L11" s="23">
        <v>1</v>
      </c>
      <c r="M11" s="21" t="str">
        <f t="shared" si="2"/>
        <v>Terminé</v>
      </c>
    </row>
    <row r="12" spans="1:14" x14ac:dyDescent="0.35">
      <c r="A12" s="6">
        <f t="shared" si="3"/>
        <v>8</v>
      </c>
      <c r="B12" s="19" t="s">
        <v>20</v>
      </c>
      <c r="C12" s="20"/>
      <c r="D12" s="20" t="s">
        <v>12</v>
      </c>
      <c r="E12" s="20" t="s">
        <v>9</v>
      </c>
      <c r="F12" s="20"/>
      <c r="G12" s="21" t="s">
        <v>112</v>
      </c>
      <c r="H12" s="20"/>
      <c r="I12" s="28">
        <f t="shared" si="0"/>
        <v>317067.34000000003</v>
      </c>
      <c r="J12" s="29">
        <f>SUMIFS('Budget expense Details'!$E$4:$E$86,'Budget expense Details'!$C$4:$C$86,PROJECTS!B12)</f>
        <v>317067.34000000003</v>
      </c>
      <c r="K12" s="29">
        <f t="shared" si="1"/>
        <v>0</v>
      </c>
      <c r="L12" s="23">
        <v>1</v>
      </c>
      <c r="M12" s="21" t="str">
        <f t="shared" si="2"/>
        <v>Terminé</v>
      </c>
    </row>
    <row r="13" spans="1:14" x14ac:dyDescent="0.35">
      <c r="A13" s="6">
        <f t="shared" si="3"/>
        <v>9</v>
      </c>
      <c r="B13" s="19" t="s">
        <v>21</v>
      </c>
      <c r="C13" s="20"/>
      <c r="D13" s="20" t="s">
        <v>19</v>
      </c>
      <c r="E13" s="20" t="s">
        <v>9</v>
      </c>
      <c r="F13" s="20"/>
      <c r="G13" s="21" t="s">
        <v>112</v>
      </c>
      <c r="H13" s="20"/>
      <c r="I13" s="28">
        <f t="shared" si="0"/>
        <v>27766.2</v>
      </c>
      <c r="J13" s="29">
        <f>SUMIFS('Budget expense Details'!$E$4:$E$86,'Budget expense Details'!$C$4:$C$86,PROJECTS!B13)</f>
        <v>27766.2</v>
      </c>
      <c r="K13" s="29">
        <f t="shared" si="1"/>
        <v>0</v>
      </c>
      <c r="L13" s="23">
        <v>1</v>
      </c>
      <c r="M13" s="21" t="str">
        <f t="shared" si="2"/>
        <v>Terminé</v>
      </c>
    </row>
    <row r="14" spans="1:14" x14ac:dyDescent="0.35">
      <c r="A14" s="6">
        <f t="shared" si="3"/>
        <v>10</v>
      </c>
      <c r="B14" s="19" t="s">
        <v>22</v>
      </c>
      <c r="C14" s="20"/>
      <c r="D14" s="20" t="s">
        <v>8</v>
      </c>
      <c r="E14" s="20" t="s">
        <v>9</v>
      </c>
      <c r="F14" s="20"/>
      <c r="G14" s="21" t="s">
        <v>112</v>
      </c>
      <c r="H14" s="20"/>
      <c r="I14" s="28">
        <f t="shared" si="0"/>
        <v>0</v>
      </c>
      <c r="J14" s="29">
        <f>SUMIFS('Budget expense Details'!$E$4:$E$86,'Budget expense Details'!$C$4:$C$86,PROJECTS!B14)</f>
        <v>0</v>
      </c>
      <c r="K14" s="29">
        <f t="shared" si="1"/>
        <v>0</v>
      </c>
      <c r="L14" s="23">
        <v>0</v>
      </c>
      <c r="M14" s="21" t="str">
        <f t="shared" si="2"/>
        <v>Non debuté</v>
      </c>
    </row>
    <row r="15" spans="1:14" x14ac:dyDescent="0.35">
      <c r="A15" s="6">
        <f t="shared" si="3"/>
        <v>11</v>
      </c>
      <c r="B15" s="19" t="s">
        <v>23</v>
      </c>
      <c r="C15" s="20"/>
      <c r="D15" s="20" t="s">
        <v>8</v>
      </c>
      <c r="E15" s="20" t="s">
        <v>9</v>
      </c>
      <c r="F15" s="20"/>
      <c r="G15" s="21" t="s">
        <v>112</v>
      </c>
      <c r="H15" s="20"/>
      <c r="I15" s="28">
        <f t="shared" si="0"/>
        <v>11400</v>
      </c>
      <c r="J15" s="29">
        <f>SUMIFS('Budget expense Details'!$E$4:$E$86,'Budget expense Details'!$C$4:$C$86,PROJECTS!B15)</f>
        <v>11400</v>
      </c>
      <c r="K15" s="29">
        <f t="shared" si="1"/>
        <v>0</v>
      </c>
      <c r="L15" s="23">
        <v>1</v>
      </c>
      <c r="M15" s="21" t="str">
        <f t="shared" si="2"/>
        <v>Terminé</v>
      </c>
    </row>
    <row r="16" spans="1:14" x14ac:dyDescent="0.35">
      <c r="A16" s="6">
        <f t="shared" si="3"/>
        <v>12</v>
      </c>
      <c r="B16" s="19" t="s">
        <v>24</v>
      </c>
      <c r="C16" s="20"/>
      <c r="D16" s="20" t="s">
        <v>12</v>
      </c>
      <c r="E16" s="20" t="s">
        <v>9</v>
      </c>
      <c r="F16" s="20"/>
      <c r="G16" s="21" t="s">
        <v>112</v>
      </c>
      <c r="H16" s="20"/>
      <c r="I16" s="28">
        <f t="shared" si="0"/>
        <v>0</v>
      </c>
      <c r="J16" s="29">
        <f>SUMIFS('Budget expense Details'!$E$4:$E$86,'Budget expense Details'!$C$4:$C$86,PROJECTS!B16)</f>
        <v>0</v>
      </c>
      <c r="K16" s="29">
        <f t="shared" si="1"/>
        <v>0</v>
      </c>
      <c r="L16" s="23">
        <v>0.1</v>
      </c>
      <c r="M16" s="21" t="str">
        <f t="shared" si="2"/>
        <v>En cours</v>
      </c>
    </row>
    <row r="17" spans="1:13" x14ac:dyDescent="0.35">
      <c r="A17" s="6">
        <f t="shared" si="3"/>
        <v>13</v>
      </c>
      <c r="B17" s="19" t="s">
        <v>26</v>
      </c>
      <c r="C17" s="20"/>
      <c r="D17" s="20" t="s">
        <v>19</v>
      </c>
      <c r="E17" s="20" t="s">
        <v>9</v>
      </c>
      <c r="F17" s="20"/>
      <c r="G17" s="21" t="s">
        <v>112</v>
      </c>
      <c r="H17" s="20"/>
      <c r="I17" s="28">
        <f t="shared" si="0"/>
        <v>20535</v>
      </c>
      <c r="J17" s="29">
        <f>SUMIFS('Budget expense Details'!$E$4:$E$86,'Budget expense Details'!$C$4:$C$86,PROJECTS!B17)</f>
        <v>20535</v>
      </c>
      <c r="K17" s="29">
        <f t="shared" si="1"/>
        <v>0</v>
      </c>
      <c r="L17" s="23">
        <v>0.6</v>
      </c>
      <c r="M17" s="21" t="str">
        <f t="shared" si="2"/>
        <v>En cours</v>
      </c>
    </row>
    <row r="18" spans="1:13" x14ac:dyDescent="0.35">
      <c r="A18" s="6">
        <f t="shared" si="3"/>
        <v>14</v>
      </c>
      <c r="B18" s="19" t="s">
        <v>27</v>
      </c>
      <c r="C18" s="20"/>
      <c r="D18" s="20" t="s">
        <v>12</v>
      </c>
      <c r="E18" s="20" t="s">
        <v>9</v>
      </c>
      <c r="F18" s="20"/>
      <c r="G18" s="21" t="s">
        <v>112</v>
      </c>
      <c r="H18" s="20"/>
      <c r="I18" s="28">
        <f t="shared" si="0"/>
        <v>0</v>
      </c>
      <c r="J18" s="29">
        <f>SUMIFS('Budget expense Details'!$E$4:$E$86,'Budget expense Details'!$C$4:$C$86,PROJECTS!B18)</f>
        <v>0</v>
      </c>
      <c r="K18" s="29">
        <f t="shared" si="1"/>
        <v>0</v>
      </c>
      <c r="L18" s="23">
        <v>0</v>
      </c>
      <c r="M18" s="21" t="str">
        <f t="shared" si="2"/>
        <v>Non debuté</v>
      </c>
    </row>
    <row r="19" spans="1:13" x14ac:dyDescent="0.35">
      <c r="A19" s="6">
        <f t="shared" si="3"/>
        <v>15</v>
      </c>
      <c r="B19" s="19" t="s">
        <v>28</v>
      </c>
      <c r="C19" s="20"/>
      <c r="D19" s="20" t="s">
        <v>14</v>
      </c>
      <c r="E19" s="20" t="s">
        <v>9</v>
      </c>
      <c r="F19" s="20"/>
      <c r="G19" s="21" t="s">
        <v>112</v>
      </c>
      <c r="H19" s="20"/>
      <c r="I19" s="28">
        <f t="shared" si="0"/>
        <v>0</v>
      </c>
      <c r="J19" s="29">
        <f>SUMIFS('Budget expense Details'!$E$4:$E$86,'Budget expense Details'!$C$4:$C$86,PROJECTS!B19)</f>
        <v>0</v>
      </c>
      <c r="K19" s="29">
        <f t="shared" si="1"/>
        <v>0</v>
      </c>
      <c r="L19" s="23">
        <v>1</v>
      </c>
      <c r="M19" s="21" t="str">
        <f t="shared" si="2"/>
        <v>Terminé</v>
      </c>
    </row>
    <row r="20" spans="1:13" x14ac:dyDescent="0.35">
      <c r="A20" s="6">
        <f t="shared" ref="A20:A73" si="4">A14+1</f>
        <v>11</v>
      </c>
      <c r="B20" s="19" t="s">
        <v>71</v>
      </c>
      <c r="C20" s="20" t="s">
        <v>66</v>
      </c>
      <c r="D20" s="20" t="s">
        <v>46</v>
      </c>
      <c r="E20" s="20" t="s">
        <v>49</v>
      </c>
      <c r="F20" s="20" t="s">
        <v>50</v>
      </c>
      <c r="G20" s="21" t="s">
        <v>113</v>
      </c>
      <c r="H20" s="20"/>
      <c r="I20" s="28">
        <v>32094.75</v>
      </c>
      <c r="J20" s="29">
        <f>SUMIFS('Budget expense Details'!$E$4:$E$86,'Budget expense Details'!$C$4:$C$86,PROJECTS!B20)</f>
        <v>14807.3</v>
      </c>
      <c r="K20" s="29">
        <f t="shared" si="1"/>
        <v>17287.45</v>
      </c>
      <c r="L20" s="23">
        <v>0</v>
      </c>
      <c r="M20" s="21" t="str">
        <f t="shared" si="2"/>
        <v>Non debuté</v>
      </c>
    </row>
    <row r="21" spans="1:13" x14ac:dyDescent="0.35">
      <c r="A21" s="6">
        <f t="shared" si="4"/>
        <v>12</v>
      </c>
      <c r="B21" s="19" t="s">
        <v>72</v>
      </c>
      <c r="C21" s="20" t="s">
        <v>66</v>
      </c>
      <c r="D21" s="20" t="s">
        <v>46</v>
      </c>
      <c r="E21" s="20" t="s">
        <v>49</v>
      </c>
      <c r="F21" s="20" t="s">
        <v>51</v>
      </c>
      <c r="G21" s="21" t="s">
        <v>113</v>
      </c>
      <c r="H21" s="20"/>
      <c r="I21" s="28">
        <v>892.5</v>
      </c>
      <c r="J21" s="29">
        <f>SUMIFS('Budget expense Details'!$E$4:$E$86,'Budget expense Details'!$C$4:$C$86,PROJECTS!B21)</f>
        <v>892.5</v>
      </c>
      <c r="K21" s="29">
        <f t="shared" si="1"/>
        <v>0</v>
      </c>
      <c r="L21" s="23">
        <v>1</v>
      </c>
      <c r="M21" s="21" t="str">
        <f t="shared" si="2"/>
        <v>Terminé</v>
      </c>
    </row>
    <row r="22" spans="1:13" x14ac:dyDescent="0.35">
      <c r="A22" s="6">
        <f t="shared" si="4"/>
        <v>13</v>
      </c>
      <c r="B22" s="19" t="s">
        <v>73</v>
      </c>
      <c r="C22" s="20" t="s">
        <v>66</v>
      </c>
      <c r="D22" s="20" t="s">
        <v>47</v>
      </c>
      <c r="E22" s="20" t="s">
        <v>49</v>
      </c>
      <c r="F22" s="20" t="s">
        <v>52</v>
      </c>
      <c r="G22" s="21" t="s">
        <v>113</v>
      </c>
      <c r="H22" s="20"/>
      <c r="I22" s="28">
        <v>24000</v>
      </c>
      <c r="J22" s="29">
        <f>SUMIFS('Budget expense Details'!$E$4:$E$86,'Budget expense Details'!$C$4:$C$86,PROJECTS!B22)</f>
        <v>25525</v>
      </c>
      <c r="K22" s="29">
        <f t="shared" si="1"/>
        <v>-1525</v>
      </c>
      <c r="L22" s="23">
        <v>1</v>
      </c>
      <c r="M22" s="21" t="str">
        <f t="shared" si="2"/>
        <v>Terminé</v>
      </c>
    </row>
    <row r="23" spans="1:13" x14ac:dyDescent="0.35">
      <c r="A23" s="6">
        <f t="shared" si="4"/>
        <v>14</v>
      </c>
      <c r="B23" s="19" t="s">
        <v>74</v>
      </c>
      <c r="C23" s="20" t="s">
        <v>66</v>
      </c>
      <c r="D23" s="20" t="s">
        <v>12</v>
      </c>
      <c r="E23" s="20" t="s">
        <v>49</v>
      </c>
      <c r="F23" s="20" t="s">
        <v>53</v>
      </c>
      <c r="G23" s="21" t="s">
        <v>113</v>
      </c>
      <c r="H23" s="20"/>
      <c r="I23" s="28">
        <v>14340</v>
      </c>
      <c r="J23" s="29">
        <f>SUMIFS('Budget expense Details'!$E$4:$E$86,'Budget expense Details'!$C$4:$C$86,PROJECTS!B23)</f>
        <v>2526.6999999999998</v>
      </c>
      <c r="K23" s="29">
        <f t="shared" si="1"/>
        <v>11813.3</v>
      </c>
      <c r="L23" s="23">
        <v>1</v>
      </c>
      <c r="M23" s="21" t="str">
        <f t="shared" si="2"/>
        <v>Terminé</v>
      </c>
    </row>
    <row r="24" spans="1:13" x14ac:dyDescent="0.35">
      <c r="A24" s="6">
        <f t="shared" si="4"/>
        <v>15</v>
      </c>
      <c r="B24" s="19" t="s">
        <v>75</v>
      </c>
      <c r="C24" s="20" t="s">
        <v>66</v>
      </c>
      <c r="D24" s="20" t="s">
        <v>19</v>
      </c>
      <c r="E24" s="20" t="s">
        <v>49</v>
      </c>
      <c r="F24" s="20" t="s">
        <v>54</v>
      </c>
      <c r="G24" s="21" t="s">
        <v>113</v>
      </c>
      <c r="H24" s="20"/>
      <c r="I24" s="28"/>
      <c r="J24" s="29">
        <f>SUMIFS('Budget expense Details'!$E$4:$E$86,'Budget expense Details'!$C$4:$C$86,PROJECTS!B24)</f>
        <v>11000</v>
      </c>
      <c r="K24" s="29">
        <f t="shared" si="1"/>
        <v>-11000</v>
      </c>
      <c r="L24" s="23">
        <v>1</v>
      </c>
      <c r="M24" s="21" t="str">
        <f t="shared" si="2"/>
        <v>Terminé</v>
      </c>
    </row>
    <row r="25" spans="1:13" x14ac:dyDescent="0.35">
      <c r="A25" s="6">
        <f t="shared" si="4"/>
        <v>16</v>
      </c>
      <c r="B25" s="19" t="s">
        <v>76</v>
      </c>
      <c r="C25" s="20" t="s">
        <v>66</v>
      </c>
      <c r="D25" s="20" t="s">
        <v>19</v>
      </c>
      <c r="E25" s="20" t="s">
        <v>49</v>
      </c>
      <c r="F25" s="20" t="s">
        <v>55</v>
      </c>
      <c r="G25" s="21" t="s">
        <v>113</v>
      </c>
      <c r="H25" s="20"/>
      <c r="I25" s="28">
        <v>10000</v>
      </c>
      <c r="J25" s="29">
        <f>SUMIFS('Budget expense Details'!$E$4:$E$86,'Budget expense Details'!$C$4:$C$86,PROJECTS!B25)</f>
        <v>0</v>
      </c>
      <c r="K25" s="29">
        <f t="shared" si="1"/>
        <v>10000</v>
      </c>
      <c r="L25" s="23">
        <v>0</v>
      </c>
      <c r="M25" s="21" t="str">
        <f t="shared" si="2"/>
        <v>Non debuté</v>
      </c>
    </row>
    <row r="26" spans="1:13" x14ac:dyDescent="0.35">
      <c r="A26" s="6">
        <f t="shared" si="4"/>
        <v>12</v>
      </c>
      <c r="B26" s="19" t="s">
        <v>77</v>
      </c>
      <c r="C26" s="20" t="s">
        <v>66</v>
      </c>
      <c r="D26" s="20" t="s">
        <v>48</v>
      </c>
      <c r="E26" s="20" t="s">
        <v>49</v>
      </c>
      <c r="F26" s="20" t="s">
        <v>56</v>
      </c>
      <c r="G26" s="21" t="s">
        <v>113</v>
      </c>
      <c r="H26" s="20"/>
      <c r="I26" s="28">
        <v>8000</v>
      </c>
      <c r="J26" s="29">
        <f>SUMIFS('Budget expense Details'!$E$4:$E$86,'Budget expense Details'!$C$4:$C$86,PROJECTS!B26)</f>
        <v>3951.58</v>
      </c>
      <c r="K26" s="29">
        <f t="shared" si="1"/>
        <v>4048.42</v>
      </c>
      <c r="L26" s="23">
        <v>0.5</v>
      </c>
      <c r="M26" s="21" t="str">
        <f t="shared" si="2"/>
        <v>En cours</v>
      </c>
    </row>
    <row r="27" spans="1:13" x14ac:dyDescent="0.35">
      <c r="A27" s="6">
        <f t="shared" si="4"/>
        <v>13</v>
      </c>
      <c r="B27" s="19" t="s">
        <v>78</v>
      </c>
      <c r="C27" s="20" t="s">
        <v>67</v>
      </c>
      <c r="D27" s="20" t="s">
        <v>46</v>
      </c>
      <c r="E27" s="20" t="s">
        <v>49</v>
      </c>
      <c r="F27" s="20" t="s">
        <v>50</v>
      </c>
      <c r="G27" s="21" t="s">
        <v>113</v>
      </c>
      <c r="H27" s="20"/>
      <c r="I27" s="28">
        <v>32094.75</v>
      </c>
      <c r="J27" s="29">
        <f>SUMIFS('Budget expense Details'!$E$4:$E$86,'Budget expense Details'!$C$4:$C$86,PROJECTS!B27)</f>
        <v>14807.3</v>
      </c>
      <c r="K27" s="29">
        <f t="shared" si="1"/>
        <v>17287.45</v>
      </c>
      <c r="L27" s="23">
        <v>0.2</v>
      </c>
      <c r="M27" s="21" t="str">
        <f t="shared" si="2"/>
        <v>En cours</v>
      </c>
    </row>
    <row r="28" spans="1:13" x14ac:dyDescent="0.35">
      <c r="A28" s="6">
        <f t="shared" si="4"/>
        <v>14</v>
      </c>
      <c r="B28" s="19" t="s">
        <v>79</v>
      </c>
      <c r="C28" s="20" t="s">
        <v>67</v>
      </c>
      <c r="D28" s="20" t="s">
        <v>46</v>
      </c>
      <c r="E28" s="20" t="s">
        <v>49</v>
      </c>
      <c r="F28" s="20" t="s">
        <v>51</v>
      </c>
      <c r="G28" s="21" t="s">
        <v>113</v>
      </c>
      <c r="H28" s="20"/>
      <c r="I28" s="28">
        <v>892.5</v>
      </c>
      <c r="J28" s="29">
        <f>SUMIFS('Budget expense Details'!$E$4:$E$86,'Budget expense Details'!$C$4:$C$86,PROJECTS!B28)</f>
        <v>892.5</v>
      </c>
      <c r="K28" s="29">
        <f t="shared" si="1"/>
        <v>0</v>
      </c>
      <c r="L28" s="23">
        <v>1</v>
      </c>
      <c r="M28" s="21" t="str">
        <f t="shared" si="2"/>
        <v>Terminé</v>
      </c>
    </row>
    <row r="29" spans="1:13" x14ac:dyDescent="0.35">
      <c r="A29" s="6">
        <f t="shared" si="4"/>
        <v>15</v>
      </c>
      <c r="B29" s="19" t="s">
        <v>80</v>
      </c>
      <c r="C29" s="20" t="s">
        <v>67</v>
      </c>
      <c r="D29" s="20" t="s">
        <v>47</v>
      </c>
      <c r="E29" s="20" t="s">
        <v>49</v>
      </c>
      <c r="F29" s="20" t="s">
        <v>57</v>
      </c>
      <c r="G29" s="21" t="s">
        <v>113</v>
      </c>
      <c r="H29" s="20"/>
      <c r="I29" s="28">
        <v>24000</v>
      </c>
      <c r="J29" s="29">
        <f>SUMIFS('Budget expense Details'!$E$4:$E$86,'Budget expense Details'!$C$4:$C$86,PROJECTS!B29)</f>
        <v>24000</v>
      </c>
      <c r="K29" s="29">
        <f t="shared" si="1"/>
        <v>0</v>
      </c>
      <c r="L29" s="23">
        <v>1</v>
      </c>
      <c r="M29" s="21" t="str">
        <f t="shared" si="2"/>
        <v>Terminé</v>
      </c>
    </row>
    <row r="30" spans="1:13" x14ac:dyDescent="0.35">
      <c r="A30" s="6">
        <f t="shared" si="4"/>
        <v>16</v>
      </c>
      <c r="B30" s="19" t="s">
        <v>81</v>
      </c>
      <c r="C30" s="20" t="s">
        <v>67</v>
      </c>
      <c r="D30" s="20" t="s">
        <v>12</v>
      </c>
      <c r="E30" s="20" t="s">
        <v>49</v>
      </c>
      <c r="F30" s="20" t="s">
        <v>53</v>
      </c>
      <c r="G30" s="21" t="s">
        <v>113</v>
      </c>
      <c r="H30" s="20"/>
      <c r="I30" s="28">
        <v>14340</v>
      </c>
      <c r="J30" s="29">
        <f>SUMIFS('Budget expense Details'!$E$4:$E$86,'Budget expense Details'!$C$4:$C$86,PROJECTS!B30)</f>
        <v>2526.6999999999998</v>
      </c>
      <c r="K30" s="29">
        <f t="shared" si="1"/>
        <v>11813.3</v>
      </c>
      <c r="L30" s="23">
        <v>1</v>
      </c>
      <c r="M30" s="21" t="str">
        <f t="shared" si="2"/>
        <v>Terminé</v>
      </c>
    </row>
    <row r="31" spans="1:13" x14ac:dyDescent="0.35">
      <c r="A31" s="6">
        <f t="shared" si="4"/>
        <v>17</v>
      </c>
      <c r="B31" s="19" t="s">
        <v>82</v>
      </c>
      <c r="C31" s="20" t="s">
        <v>67</v>
      </c>
      <c r="D31" s="20" t="s">
        <v>19</v>
      </c>
      <c r="E31" s="20" t="s">
        <v>49</v>
      </c>
      <c r="F31" s="20" t="s">
        <v>55</v>
      </c>
      <c r="G31" s="21" t="s">
        <v>113</v>
      </c>
      <c r="H31" s="20"/>
      <c r="I31" s="28">
        <v>10000</v>
      </c>
      <c r="J31" s="29">
        <f>SUMIFS('Budget expense Details'!$E$4:$E$86,'Budget expense Details'!$C$4:$C$86,PROJECTS!B31)</f>
        <v>0</v>
      </c>
      <c r="K31" s="29">
        <f t="shared" si="1"/>
        <v>10000</v>
      </c>
      <c r="L31" s="23">
        <v>0</v>
      </c>
      <c r="M31" s="21" t="str">
        <f t="shared" si="2"/>
        <v>Non debuté</v>
      </c>
    </row>
    <row r="32" spans="1:13" x14ac:dyDescent="0.35">
      <c r="A32" s="6">
        <f t="shared" si="4"/>
        <v>13</v>
      </c>
      <c r="B32" s="19" t="s">
        <v>83</v>
      </c>
      <c r="C32" s="20" t="s">
        <v>67</v>
      </c>
      <c r="D32" s="20" t="s">
        <v>19</v>
      </c>
      <c r="E32" s="20" t="s">
        <v>49</v>
      </c>
      <c r="F32" s="20" t="s">
        <v>54</v>
      </c>
      <c r="G32" s="21" t="s">
        <v>113</v>
      </c>
      <c r="H32" s="20"/>
      <c r="I32" s="28"/>
      <c r="J32" s="29">
        <f>SUMIFS('Budget expense Details'!$E$4:$E$86,'Budget expense Details'!$C$4:$C$86,PROJECTS!B32)</f>
        <v>6000</v>
      </c>
      <c r="K32" s="29">
        <f t="shared" si="1"/>
        <v>-6000</v>
      </c>
      <c r="L32" s="23">
        <v>1</v>
      </c>
      <c r="M32" s="21" t="str">
        <f t="shared" si="2"/>
        <v>Terminé</v>
      </c>
    </row>
    <row r="33" spans="1:13" x14ac:dyDescent="0.35">
      <c r="A33" s="6">
        <f t="shared" si="4"/>
        <v>14</v>
      </c>
      <c r="B33" s="19" t="s">
        <v>84</v>
      </c>
      <c r="C33" s="20" t="s">
        <v>67</v>
      </c>
      <c r="D33" s="20" t="s">
        <v>48</v>
      </c>
      <c r="E33" s="20" t="s">
        <v>49</v>
      </c>
      <c r="F33" s="20" t="s">
        <v>56</v>
      </c>
      <c r="G33" s="21" t="s">
        <v>113</v>
      </c>
      <c r="H33" s="20"/>
      <c r="I33" s="28">
        <v>8000</v>
      </c>
      <c r="J33" s="29">
        <f>SUMIFS('Budget expense Details'!$E$4:$E$86,'Budget expense Details'!$C$4:$C$86,PROJECTS!B33)</f>
        <v>3951.58</v>
      </c>
      <c r="K33" s="29">
        <f t="shared" si="1"/>
        <v>4048.42</v>
      </c>
      <c r="L33" s="23">
        <v>0.5</v>
      </c>
      <c r="M33" s="21" t="str">
        <f t="shared" si="2"/>
        <v>En cours</v>
      </c>
    </row>
    <row r="34" spans="1:13" x14ac:dyDescent="0.35">
      <c r="A34" s="6">
        <f t="shared" si="4"/>
        <v>15</v>
      </c>
      <c r="B34" s="19" t="s">
        <v>85</v>
      </c>
      <c r="C34" s="20" t="s">
        <v>68</v>
      </c>
      <c r="D34" s="20" t="s">
        <v>46</v>
      </c>
      <c r="E34" s="20" t="s">
        <v>49</v>
      </c>
      <c r="F34" s="20" t="s">
        <v>58</v>
      </c>
      <c r="G34" s="21" t="s">
        <v>113</v>
      </c>
      <c r="H34" s="20"/>
      <c r="I34" s="28">
        <v>32094.75</v>
      </c>
      <c r="J34" s="29">
        <f>SUMIFS('Budget expense Details'!$E$4:$E$86,'Budget expense Details'!$C$4:$C$86,PROJECTS!B34)</f>
        <v>14807.3</v>
      </c>
      <c r="K34" s="29">
        <f t="shared" si="1"/>
        <v>17287.45</v>
      </c>
      <c r="L34" s="23">
        <v>0.6</v>
      </c>
      <c r="M34" s="21" t="str">
        <f t="shared" si="2"/>
        <v>En cours</v>
      </c>
    </row>
    <row r="35" spans="1:13" x14ac:dyDescent="0.35">
      <c r="A35" s="6">
        <f t="shared" si="4"/>
        <v>16</v>
      </c>
      <c r="B35" s="19" t="s">
        <v>86</v>
      </c>
      <c r="C35" s="20" t="s">
        <v>68</v>
      </c>
      <c r="D35" s="20" t="s">
        <v>46</v>
      </c>
      <c r="E35" s="20" t="s">
        <v>49</v>
      </c>
      <c r="F35" s="20" t="s">
        <v>51</v>
      </c>
      <c r="G35" s="21" t="s">
        <v>113</v>
      </c>
      <c r="H35" s="20"/>
      <c r="I35" s="28">
        <v>892.5</v>
      </c>
      <c r="J35" s="29">
        <f>SUMIFS('Budget expense Details'!$E$4:$E$86,'Budget expense Details'!$C$4:$C$86,PROJECTS!B35)</f>
        <v>892.5</v>
      </c>
      <c r="K35" s="29">
        <f t="shared" si="1"/>
        <v>0</v>
      </c>
      <c r="L35" s="23">
        <v>1</v>
      </c>
      <c r="M35" s="21" t="str">
        <f t="shared" si="2"/>
        <v>Terminé</v>
      </c>
    </row>
    <row r="36" spans="1:13" x14ac:dyDescent="0.35">
      <c r="A36" s="6">
        <f t="shared" si="4"/>
        <v>17</v>
      </c>
      <c r="B36" s="19" t="s">
        <v>87</v>
      </c>
      <c r="C36" s="20" t="s">
        <v>68</v>
      </c>
      <c r="D36" s="20" t="s">
        <v>47</v>
      </c>
      <c r="E36" s="20" t="s">
        <v>49</v>
      </c>
      <c r="F36" s="20" t="s">
        <v>59</v>
      </c>
      <c r="G36" s="21" t="s">
        <v>113</v>
      </c>
      <c r="H36" s="20"/>
      <c r="I36" s="28">
        <v>700000</v>
      </c>
      <c r="J36" s="29">
        <f>SUMIFS('Budget expense Details'!$E$4:$E$86,'Budget expense Details'!$C$4:$C$86,PROJECTS!B36)</f>
        <v>700000</v>
      </c>
      <c r="K36" s="29">
        <f t="shared" si="1"/>
        <v>0</v>
      </c>
      <c r="L36" s="23">
        <v>0.5</v>
      </c>
      <c r="M36" s="21" t="str">
        <f t="shared" si="2"/>
        <v>En cours</v>
      </c>
    </row>
    <row r="37" spans="1:13" x14ac:dyDescent="0.35">
      <c r="A37" s="6">
        <f t="shared" si="4"/>
        <v>18</v>
      </c>
      <c r="B37" s="19" t="s">
        <v>88</v>
      </c>
      <c r="C37" s="20" t="s">
        <v>68</v>
      </c>
      <c r="D37" s="20" t="s">
        <v>47</v>
      </c>
      <c r="E37" s="20" t="s">
        <v>49</v>
      </c>
      <c r="F37" s="20" t="s">
        <v>60</v>
      </c>
      <c r="G37" s="21" t="s">
        <v>113</v>
      </c>
      <c r="H37" s="20"/>
      <c r="I37" s="28">
        <v>24000</v>
      </c>
      <c r="J37" s="29">
        <f>SUMIFS('Budget expense Details'!$E$4:$E$86,'Budget expense Details'!$C$4:$C$86,PROJECTS!B37)</f>
        <v>0</v>
      </c>
      <c r="K37" s="29">
        <f t="shared" si="1"/>
        <v>24000</v>
      </c>
      <c r="L37" s="23">
        <v>0.1</v>
      </c>
      <c r="M37" s="21" t="str">
        <f t="shared" si="2"/>
        <v>En cours</v>
      </c>
    </row>
    <row r="38" spans="1:13" x14ac:dyDescent="0.35">
      <c r="A38" s="6">
        <f t="shared" si="4"/>
        <v>14</v>
      </c>
      <c r="B38" s="19" t="s">
        <v>89</v>
      </c>
      <c r="C38" s="20" t="s">
        <v>68</v>
      </c>
      <c r="D38" s="20" t="s">
        <v>12</v>
      </c>
      <c r="E38" s="20" t="s">
        <v>49</v>
      </c>
      <c r="F38" s="20" t="s">
        <v>53</v>
      </c>
      <c r="G38" s="21" t="s">
        <v>113</v>
      </c>
      <c r="H38" s="20"/>
      <c r="I38" s="28">
        <v>14340</v>
      </c>
      <c r="J38" s="29">
        <f>SUMIFS('Budget expense Details'!$E$4:$E$86,'Budget expense Details'!$C$4:$C$86,PROJECTS!B38)</f>
        <v>5439.2</v>
      </c>
      <c r="K38" s="29">
        <f t="shared" si="1"/>
        <v>8900.7999999999993</v>
      </c>
      <c r="L38" s="23">
        <v>1</v>
      </c>
      <c r="M38" s="21" t="str">
        <f t="shared" si="2"/>
        <v>Terminé</v>
      </c>
    </row>
    <row r="39" spans="1:13" x14ac:dyDescent="0.35">
      <c r="A39" s="6">
        <f t="shared" si="4"/>
        <v>15</v>
      </c>
      <c r="B39" s="19" t="s">
        <v>90</v>
      </c>
      <c r="C39" s="20" t="s">
        <v>68</v>
      </c>
      <c r="D39" s="20" t="s">
        <v>19</v>
      </c>
      <c r="E39" s="20" t="s">
        <v>49</v>
      </c>
      <c r="F39" s="20" t="s">
        <v>61</v>
      </c>
      <c r="G39" s="21" t="s">
        <v>113</v>
      </c>
      <c r="H39" s="20"/>
      <c r="I39" s="28">
        <v>30000</v>
      </c>
      <c r="J39" s="29">
        <f>SUMIFS('Budget expense Details'!$E$4:$E$86,'Budget expense Details'!$C$4:$C$86,PROJECTS!B39)</f>
        <v>0</v>
      </c>
      <c r="K39" s="29">
        <f t="shared" si="1"/>
        <v>30000</v>
      </c>
      <c r="L39" s="23">
        <v>0.1</v>
      </c>
      <c r="M39" s="21" t="str">
        <f t="shared" si="2"/>
        <v>En cours</v>
      </c>
    </row>
    <row r="40" spans="1:13" x14ac:dyDescent="0.35">
      <c r="A40" s="6">
        <f t="shared" si="4"/>
        <v>16</v>
      </c>
      <c r="B40" s="19" t="s">
        <v>91</v>
      </c>
      <c r="C40" s="20" t="s">
        <v>68</v>
      </c>
      <c r="D40" s="20" t="s">
        <v>19</v>
      </c>
      <c r="E40" s="20" t="s">
        <v>49</v>
      </c>
      <c r="F40" s="20" t="s">
        <v>55</v>
      </c>
      <c r="G40" s="21" t="s">
        <v>113</v>
      </c>
      <c r="H40" s="20"/>
      <c r="I40" s="28">
        <v>10000</v>
      </c>
      <c r="J40" s="29">
        <f>SUMIFS('Budget expense Details'!$E$4:$E$86,'Budget expense Details'!$C$4:$C$86,PROJECTS!B40)</f>
        <v>0</v>
      </c>
      <c r="K40" s="29">
        <f t="shared" si="1"/>
        <v>10000</v>
      </c>
      <c r="L40" s="23">
        <v>0</v>
      </c>
      <c r="M40" s="21" t="str">
        <f t="shared" si="2"/>
        <v>Non debuté</v>
      </c>
    </row>
    <row r="41" spans="1:13" x14ac:dyDescent="0.35">
      <c r="A41" s="6">
        <f t="shared" si="4"/>
        <v>17</v>
      </c>
      <c r="B41" s="19" t="s">
        <v>92</v>
      </c>
      <c r="C41" s="20" t="s">
        <v>68</v>
      </c>
      <c r="D41" s="20" t="s">
        <v>19</v>
      </c>
      <c r="E41" s="20" t="s">
        <v>49</v>
      </c>
      <c r="F41" s="20" t="s">
        <v>62</v>
      </c>
      <c r="G41" s="21" t="s">
        <v>113</v>
      </c>
      <c r="H41" s="20"/>
      <c r="I41" s="28">
        <v>2000</v>
      </c>
      <c r="J41" s="29">
        <f>SUMIFS('Budget expense Details'!$E$4:$E$86,'Budget expense Details'!$C$4:$C$86,PROJECTS!B41)</f>
        <v>0</v>
      </c>
      <c r="K41" s="29">
        <f t="shared" si="1"/>
        <v>2000</v>
      </c>
      <c r="L41" s="23">
        <v>0</v>
      </c>
      <c r="M41" s="21" t="str">
        <f t="shared" si="2"/>
        <v>Non debuté</v>
      </c>
    </row>
    <row r="42" spans="1:13" x14ac:dyDescent="0.35">
      <c r="A42" s="6">
        <f t="shared" si="4"/>
        <v>18</v>
      </c>
      <c r="B42" s="19" t="s">
        <v>93</v>
      </c>
      <c r="C42" s="20" t="s">
        <v>68</v>
      </c>
      <c r="D42" s="20" t="s">
        <v>48</v>
      </c>
      <c r="E42" s="20" t="s">
        <v>49</v>
      </c>
      <c r="F42" s="20" t="s">
        <v>63</v>
      </c>
      <c r="G42" s="21" t="s">
        <v>113</v>
      </c>
      <c r="H42" s="20"/>
      <c r="I42" s="28">
        <v>8000</v>
      </c>
      <c r="J42" s="29">
        <f>SUMIFS('Budget expense Details'!$E$4:$E$86,'Budget expense Details'!$C$4:$C$86,PROJECTS!B42)</f>
        <v>3951.58</v>
      </c>
      <c r="K42" s="29">
        <f t="shared" si="1"/>
        <v>4048.42</v>
      </c>
      <c r="L42" s="23">
        <v>0.5</v>
      </c>
      <c r="M42" s="21" t="str">
        <f t="shared" si="2"/>
        <v>En cours</v>
      </c>
    </row>
    <row r="43" spans="1:13" x14ac:dyDescent="0.35">
      <c r="A43" s="6">
        <f t="shared" si="4"/>
        <v>19</v>
      </c>
      <c r="B43" s="19" t="s">
        <v>94</v>
      </c>
      <c r="C43" s="20" t="s">
        <v>69</v>
      </c>
      <c r="D43" s="20" t="s">
        <v>46</v>
      </c>
      <c r="E43" s="20" t="s">
        <v>49</v>
      </c>
      <c r="F43" s="20" t="s">
        <v>58</v>
      </c>
      <c r="G43" s="21" t="s">
        <v>113</v>
      </c>
      <c r="H43" s="20"/>
      <c r="I43" s="28">
        <v>32094.75</v>
      </c>
      <c r="J43" s="29">
        <f>SUMIFS('Budget expense Details'!$E$4:$E$86,'Budget expense Details'!$C$4:$C$86,PROJECTS!B43)</f>
        <v>0</v>
      </c>
      <c r="K43" s="29">
        <f t="shared" si="1"/>
        <v>32094.75</v>
      </c>
      <c r="L43" s="23">
        <v>0</v>
      </c>
      <c r="M43" s="21" t="str">
        <f t="shared" si="2"/>
        <v>Non debuté</v>
      </c>
    </row>
    <row r="44" spans="1:13" x14ac:dyDescent="0.35">
      <c r="A44" s="6">
        <f t="shared" si="4"/>
        <v>15</v>
      </c>
      <c r="B44" s="19" t="s">
        <v>95</v>
      </c>
      <c r="C44" s="20" t="s">
        <v>69</v>
      </c>
      <c r="D44" s="20" t="s">
        <v>46</v>
      </c>
      <c r="E44" s="20" t="s">
        <v>49</v>
      </c>
      <c r="F44" s="20" t="s">
        <v>51</v>
      </c>
      <c r="G44" s="21" t="s">
        <v>113</v>
      </c>
      <c r="H44" s="20"/>
      <c r="I44" s="28">
        <v>892.5</v>
      </c>
      <c r="J44" s="29">
        <f>SUMIFS('Budget expense Details'!$E$4:$E$86,'Budget expense Details'!$C$4:$C$86,PROJECTS!B44)</f>
        <v>892.5</v>
      </c>
      <c r="K44" s="29">
        <f t="shared" si="1"/>
        <v>0</v>
      </c>
      <c r="L44" s="23">
        <v>1</v>
      </c>
      <c r="M44" s="21" t="str">
        <f t="shared" si="2"/>
        <v>Terminé</v>
      </c>
    </row>
    <row r="45" spans="1:13" x14ac:dyDescent="0.35">
      <c r="A45" s="6">
        <f t="shared" si="4"/>
        <v>16</v>
      </c>
      <c r="B45" s="19" t="s">
        <v>96</v>
      </c>
      <c r="C45" s="20" t="s">
        <v>69</v>
      </c>
      <c r="D45" s="20" t="s">
        <v>47</v>
      </c>
      <c r="E45" s="20" t="s">
        <v>49</v>
      </c>
      <c r="F45" s="20" t="s">
        <v>59</v>
      </c>
      <c r="G45" s="21" t="s">
        <v>113</v>
      </c>
      <c r="H45" s="20"/>
      <c r="I45" s="28">
        <v>605000</v>
      </c>
      <c r="J45" s="29">
        <f>SUMIFS('Budget expense Details'!$E$4:$E$86,'Budget expense Details'!$C$4:$C$86,PROJECTS!B45)</f>
        <v>605000</v>
      </c>
      <c r="K45" s="29">
        <f t="shared" si="1"/>
        <v>0</v>
      </c>
      <c r="L45" s="23">
        <v>0.5</v>
      </c>
      <c r="M45" s="21" t="str">
        <f t="shared" si="2"/>
        <v>En cours</v>
      </c>
    </row>
    <row r="46" spans="1:13" x14ac:dyDescent="0.35">
      <c r="A46" s="6">
        <f t="shared" si="4"/>
        <v>17</v>
      </c>
      <c r="B46" s="19" t="s">
        <v>97</v>
      </c>
      <c r="C46" s="20" t="s">
        <v>69</v>
      </c>
      <c r="D46" s="20" t="s">
        <v>12</v>
      </c>
      <c r="E46" s="20" t="s">
        <v>49</v>
      </c>
      <c r="F46" s="20" t="s">
        <v>53</v>
      </c>
      <c r="G46" s="21" t="s">
        <v>113</v>
      </c>
      <c r="H46" s="20"/>
      <c r="I46" s="28">
        <v>14340</v>
      </c>
      <c r="J46" s="29">
        <f>SUMIFS('Budget expense Details'!$E$4:$E$86,'Budget expense Details'!$C$4:$C$86,PROJECTS!B46)</f>
        <v>5439.2</v>
      </c>
      <c r="K46" s="29">
        <f t="shared" si="1"/>
        <v>8900.7999999999993</v>
      </c>
      <c r="L46" s="23">
        <v>1</v>
      </c>
      <c r="M46" s="21" t="str">
        <f t="shared" si="2"/>
        <v>Terminé</v>
      </c>
    </row>
    <row r="47" spans="1:13" x14ac:dyDescent="0.35">
      <c r="A47" s="6">
        <f t="shared" si="4"/>
        <v>18</v>
      </c>
      <c r="B47" s="19" t="s">
        <v>98</v>
      </c>
      <c r="C47" s="20" t="s">
        <v>69</v>
      </c>
      <c r="D47" s="20" t="s">
        <v>19</v>
      </c>
      <c r="E47" s="20" t="s">
        <v>49</v>
      </c>
      <c r="F47" s="20" t="s">
        <v>55</v>
      </c>
      <c r="G47" s="21" t="s">
        <v>113</v>
      </c>
      <c r="H47" s="20"/>
      <c r="I47" s="28">
        <v>10000</v>
      </c>
      <c r="J47" s="29">
        <f>SUMIFS('Budget expense Details'!$E$4:$E$86,'Budget expense Details'!$C$4:$C$86,PROJECTS!B47)</f>
        <v>0</v>
      </c>
      <c r="K47" s="29">
        <f t="shared" si="1"/>
        <v>10000</v>
      </c>
      <c r="L47" s="23">
        <v>0</v>
      </c>
      <c r="M47" s="21" t="str">
        <f t="shared" si="2"/>
        <v>Non debuté</v>
      </c>
    </row>
    <row r="48" spans="1:13" x14ac:dyDescent="0.35">
      <c r="A48" s="6">
        <f t="shared" si="4"/>
        <v>19</v>
      </c>
      <c r="B48" s="19" t="s">
        <v>99</v>
      </c>
      <c r="C48" s="20" t="s">
        <v>69</v>
      </c>
      <c r="D48" s="20" t="s">
        <v>48</v>
      </c>
      <c r="E48" s="20" t="s">
        <v>49</v>
      </c>
      <c r="F48" s="20" t="s">
        <v>63</v>
      </c>
      <c r="G48" s="21" t="s">
        <v>113</v>
      </c>
      <c r="H48" s="20"/>
      <c r="I48" s="28">
        <v>8000</v>
      </c>
      <c r="J48" s="29">
        <f>SUMIFS('Budget expense Details'!$E$4:$E$86,'Budget expense Details'!$C$4:$C$86,PROJECTS!B48)</f>
        <v>13151.58</v>
      </c>
      <c r="K48" s="29">
        <f t="shared" si="1"/>
        <v>-5151.58</v>
      </c>
      <c r="L48" s="23">
        <v>1</v>
      </c>
      <c r="M48" s="21" t="str">
        <f t="shared" si="2"/>
        <v>Terminé</v>
      </c>
    </row>
    <row r="49" spans="1:13" x14ac:dyDescent="0.35">
      <c r="A49" s="6">
        <f t="shared" si="4"/>
        <v>20</v>
      </c>
      <c r="B49" s="19" t="s">
        <v>100</v>
      </c>
      <c r="C49" s="20" t="s">
        <v>70</v>
      </c>
      <c r="D49" s="20" t="s">
        <v>19</v>
      </c>
      <c r="E49" s="20" t="s">
        <v>49</v>
      </c>
      <c r="F49" s="20" t="s">
        <v>64</v>
      </c>
      <c r="G49" s="21" t="s">
        <v>113</v>
      </c>
      <c r="H49" s="20"/>
      <c r="I49" s="28">
        <v>25000</v>
      </c>
      <c r="J49" s="29">
        <f>SUMIFS('Budget expense Details'!$E$4:$E$86,'Budget expense Details'!$C$4:$C$86,PROJECTS!B49)</f>
        <v>0</v>
      </c>
      <c r="K49" s="29">
        <f t="shared" si="1"/>
        <v>25000</v>
      </c>
      <c r="L49" s="23">
        <v>0</v>
      </c>
      <c r="M49" s="21" t="str">
        <f t="shared" si="2"/>
        <v>Non debuté</v>
      </c>
    </row>
    <row r="50" spans="1:13" x14ac:dyDescent="0.35">
      <c r="A50" s="6">
        <f t="shared" si="4"/>
        <v>16</v>
      </c>
      <c r="B50" s="19" t="s">
        <v>101</v>
      </c>
      <c r="C50" s="20" t="s">
        <v>70</v>
      </c>
      <c r="D50" s="20" t="s">
        <v>8</v>
      </c>
      <c r="E50" s="20" t="s">
        <v>49</v>
      </c>
      <c r="F50" s="20" t="s">
        <v>65</v>
      </c>
      <c r="G50" s="21" t="s">
        <v>113</v>
      </c>
      <c r="H50" s="20"/>
      <c r="I50" s="28">
        <v>40000</v>
      </c>
      <c r="J50" s="29">
        <f>SUMIFS('Budget expense Details'!$E$4:$E$86,'Budget expense Details'!$C$4:$C$86,PROJECTS!B50)</f>
        <v>0</v>
      </c>
      <c r="K50" s="29">
        <f t="shared" si="1"/>
        <v>40000</v>
      </c>
      <c r="L50" s="23">
        <v>0</v>
      </c>
      <c r="M50" s="21" t="str">
        <f t="shared" si="2"/>
        <v>Non debuté</v>
      </c>
    </row>
    <row r="51" spans="1:13" x14ac:dyDescent="0.35">
      <c r="A51" s="6">
        <f t="shared" si="4"/>
        <v>17</v>
      </c>
      <c r="B51" s="19"/>
      <c r="C51" s="20"/>
      <c r="D51" s="20"/>
      <c r="E51" s="20"/>
      <c r="F51" s="20"/>
      <c r="G51" s="21"/>
      <c r="H51" s="20"/>
      <c r="I51" s="28"/>
      <c r="J51" s="29">
        <f>SUMIFS('Budget expense Details'!$E$4:$E$86,'Budget expense Details'!$C$4:$C$86,PROJECTS!B51)</f>
        <v>0</v>
      </c>
      <c r="K51" s="29">
        <f t="shared" si="1"/>
        <v>0</v>
      </c>
      <c r="L51" s="23"/>
      <c r="M51" s="20"/>
    </row>
    <row r="52" spans="1:13" x14ac:dyDescent="0.35">
      <c r="A52" s="6">
        <f t="shared" si="4"/>
        <v>18</v>
      </c>
      <c r="B52" s="19"/>
      <c r="C52" s="20"/>
      <c r="D52" s="20"/>
      <c r="E52" s="20"/>
      <c r="F52" s="20"/>
      <c r="G52" s="21"/>
      <c r="H52" s="20"/>
      <c r="I52" s="28"/>
      <c r="J52" s="29">
        <f>SUMIFS('Budget expense Details'!$E$4:$E$86,'Budget expense Details'!$C$4:$C$86,PROJECTS!B52)</f>
        <v>0</v>
      </c>
      <c r="K52" s="29">
        <f t="shared" si="1"/>
        <v>0</v>
      </c>
      <c r="L52" s="23"/>
      <c r="M52" s="20"/>
    </row>
    <row r="53" spans="1:13" x14ac:dyDescent="0.35">
      <c r="A53" s="6">
        <f t="shared" si="4"/>
        <v>19</v>
      </c>
      <c r="B53" s="19"/>
      <c r="C53" s="20"/>
      <c r="D53" s="20"/>
      <c r="E53" s="20"/>
      <c r="F53" s="20"/>
      <c r="G53" s="21"/>
      <c r="H53" s="20"/>
      <c r="I53" s="28"/>
      <c r="J53" s="29">
        <f>SUMIFS('Budget expense Details'!$E$4:$E$86,'Budget expense Details'!$C$4:$C$86,PROJECTS!B53)</f>
        <v>0</v>
      </c>
      <c r="K53" s="29">
        <f t="shared" si="1"/>
        <v>0</v>
      </c>
      <c r="L53" s="23"/>
      <c r="M53" s="20"/>
    </row>
    <row r="54" spans="1:13" x14ac:dyDescent="0.35">
      <c r="A54" s="6">
        <f t="shared" si="4"/>
        <v>20</v>
      </c>
      <c r="B54" s="19"/>
      <c r="C54" s="20"/>
      <c r="D54" s="20"/>
      <c r="E54" s="20"/>
      <c r="F54" s="20"/>
      <c r="G54" s="21"/>
      <c r="H54" s="20"/>
      <c r="I54" s="28"/>
      <c r="J54" s="29">
        <f>SUMIFS('Budget expense Details'!$E$4:$E$86,'Budget expense Details'!$C$4:$C$86,PROJECTS!B54)</f>
        <v>0</v>
      </c>
      <c r="K54" s="29">
        <f t="shared" si="1"/>
        <v>0</v>
      </c>
      <c r="L54" s="23"/>
      <c r="M54" s="20"/>
    </row>
    <row r="55" spans="1:13" x14ac:dyDescent="0.35">
      <c r="A55" s="6">
        <f t="shared" si="4"/>
        <v>21</v>
      </c>
      <c r="B55" s="19"/>
      <c r="C55" s="20"/>
      <c r="D55" s="20"/>
      <c r="E55" s="20"/>
      <c r="F55" s="20"/>
      <c r="G55" s="21"/>
      <c r="H55" s="20"/>
      <c r="I55" s="28"/>
      <c r="J55" s="29">
        <f>SUMIFS('Budget expense Details'!$E$4:$E$86,'Budget expense Details'!$C$4:$C$86,PROJECTS!B55)</f>
        <v>0</v>
      </c>
      <c r="K55" s="29">
        <f t="shared" si="1"/>
        <v>0</v>
      </c>
      <c r="L55" s="23"/>
      <c r="M55" s="20"/>
    </row>
    <row r="56" spans="1:13" x14ac:dyDescent="0.35">
      <c r="A56" s="6">
        <f t="shared" si="4"/>
        <v>17</v>
      </c>
      <c r="B56" s="19"/>
      <c r="C56" s="20"/>
      <c r="D56" s="20"/>
      <c r="E56" s="20"/>
      <c r="F56" s="20"/>
      <c r="G56" s="21"/>
      <c r="H56" s="20"/>
      <c r="I56" s="28"/>
      <c r="J56" s="29">
        <f>SUMIFS('Budget expense Details'!$E$4:$E$86,'Budget expense Details'!$C$4:$C$86,PROJECTS!B56)</f>
        <v>0</v>
      </c>
      <c r="K56" s="29">
        <f t="shared" si="1"/>
        <v>0</v>
      </c>
      <c r="L56" s="23"/>
      <c r="M56" s="20"/>
    </row>
    <row r="57" spans="1:13" x14ac:dyDescent="0.35">
      <c r="A57" s="6">
        <f t="shared" si="4"/>
        <v>18</v>
      </c>
      <c r="B57" s="19"/>
      <c r="C57" s="20"/>
      <c r="D57" s="20"/>
      <c r="E57" s="20"/>
      <c r="F57" s="20"/>
      <c r="G57" s="21"/>
      <c r="H57" s="20"/>
      <c r="I57" s="28"/>
      <c r="J57" s="29">
        <f>SUMIFS('Budget expense Details'!$E$4:$E$86,'Budget expense Details'!$C$4:$C$86,PROJECTS!B57)</f>
        <v>0</v>
      </c>
      <c r="K57" s="29">
        <f t="shared" si="1"/>
        <v>0</v>
      </c>
      <c r="L57" s="23"/>
      <c r="M57" s="20"/>
    </row>
    <row r="58" spans="1:13" x14ac:dyDescent="0.35">
      <c r="A58" s="6">
        <f t="shared" si="4"/>
        <v>19</v>
      </c>
      <c r="B58" s="19"/>
      <c r="C58" s="20"/>
      <c r="D58" s="20"/>
      <c r="E58" s="20"/>
      <c r="F58" s="20"/>
      <c r="G58" s="21"/>
      <c r="H58" s="20"/>
      <c r="I58" s="28"/>
      <c r="J58" s="29">
        <f>SUMIFS('Budget expense Details'!$E$4:$E$86,'Budget expense Details'!$C$4:$C$86,PROJECTS!B58)</f>
        <v>0</v>
      </c>
      <c r="K58" s="29">
        <f t="shared" si="1"/>
        <v>0</v>
      </c>
      <c r="L58" s="23"/>
      <c r="M58" s="20"/>
    </row>
    <row r="59" spans="1:13" x14ac:dyDescent="0.35">
      <c r="A59" s="6">
        <f t="shared" si="4"/>
        <v>20</v>
      </c>
      <c r="B59" s="19"/>
      <c r="C59" s="20"/>
      <c r="D59" s="20"/>
      <c r="E59" s="20"/>
      <c r="F59" s="20"/>
      <c r="G59" s="21"/>
      <c r="H59" s="20"/>
      <c r="I59" s="28"/>
      <c r="J59" s="29">
        <f>SUMIFS('Budget expense Details'!$E$4:$E$86,'Budget expense Details'!$C$4:$C$86,PROJECTS!B59)</f>
        <v>0</v>
      </c>
      <c r="K59" s="29">
        <f t="shared" si="1"/>
        <v>0</v>
      </c>
      <c r="L59" s="23"/>
      <c r="M59" s="20"/>
    </row>
    <row r="60" spans="1:13" x14ac:dyDescent="0.35">
      <c r="A60" s="6">
        <f t="shared" si="4"/>
        <v>21</v>
      </c>
      <c r="B60" s="19"/>
      <c r="C60" s="20"/>
      <c r="D60" s="20"/>
      <c r="E60" s="20"/>
      <c r="F60" s="20"/>
      <c r="G60" s="21"/>
      <c r="H60" s="20"/>
      <c r="I60" s="28"/>
      <c r="J60" s="29">
        <f>SUMIFS('Budget expense Details'!$E$4:$E$86,'Budget expense Details'!$C$4:$C$86,PROJECTS!B60)</f>
        <v>0</v>
      </c>
      <c r="K60" s="29">
        <f t="shared" si="1"/>
        <v>0</v>
      </c>
      <c r="L60" s="23"/>
      <c r="M60" s="20"/>
    </row>
    <row r="61" spans="1:13" x14ac:dyDescent="0.35">
      <c r="A61" s="6">
        <f t="shared" si="4"/>
        <v>22</v>
      </c>
      <c r="B61" s="19"/>
      <c r="C61" s="20"/>
      <c r="D61" s="20"/>
      <c r="E61" s="20"/>
      <c r="F61" s="20"/>
      <c r="G61" s="21"/>
      <c r="H61" s="20"/>
      <c r="I61" s="28"/>
      <c r="J61" s="29">
        <f>SUMIFS('Budget expense Details'!$E$4:$E$86,'Budget expense Details'!$C$4:$C$86,PROJECTS!B61)</f>
        <v>0</v>
      </c>
      <c r="K61" s="29">
        <f t="shared" si="1"/>
        <v>0</v>
      </c>
      <c r="L61" s="23"/>
      <c r="M61" s="20"/>
    </row>
    <row r="62" spans="1:13" x14ac:dyDescent="0.35">
      <c r="A62" s="6">
        <f t="shared" si="4"/>
        <v>18</v>
      </c>
      <c r="B62" s="19"/>
      <c r="C62" s="20"/>
      <c r="D62" s="20"/>
      <c r="E62" s="20"/>
      <c r="F62" s="20"/>
      <c r="G62" s="21"/>
      <c r="H62" s="20"/>
      <c r="I62" s="28"/>
      <c r="J62" s="29">
        <f>SUMIFS('Budget expense Details'!$E$4:$E$86,'Budget expense Details'!$C$4:$C$86,PROJECTS!B62)</f>
        <v>0</v>
      </c>
      <c r="K62" s="29">
        <f t="shared" si="1"/>
        <v>0</v>
      </c>
      <c r="L62" s="23"/>
      <c r="M62" s="20"/>
    </row>
    <row r="63" spans="1:13" x14ac:dyDescent="0.35">
      <c r="A63" s="6">
        <f t="shared" si="4"/>
        <v>19</v>
      </c>
      <c r="B63" s="19"/>
      <c r="C63" s="20"/>
      <c r="D63" s="20"/>
      <c r="E63" s="20"/>
      <c r="F63" s="20"/>
      <c r="G63" s="21"/>
      <c r="H63" s="20"/>
      <c r="I63" s="28"/>
      <c r="J63" s="29">
        <f>SUMIFS('Budget expense Details'!$E$4:$E$86,'Budget expense Details'!$C$4:$C$86,PROJECTS!B63)</f>
        <v>0</v>
      </c>
      <c r="K63" s="29">
        <f t="shared" si="1"/>
        <v>0</v>
      </c>
      <c r="L63" s="23"/>
      <c r="M63" s="20"/>
    </row>
    <row r="64" spans="1:13" x14ac:dyDescent="0.35">
      <c r="A64" s="6">
        <f t="shared" si="4"/>
        <v>20</v>
      </c>
      <c r="B64" s="19"/>
      <c r="C64" s="20"/>
      <c r="D64" s="20"/>
      <c r="E64" s="20"/>
      <c r="F64" s="20"/>
      <c r="G64" s="21"/>
      <c r="H64" s="20"/>
      <c r="I64" s="28"/>
      <c r="J64" s="29">
        <f>SUMIFS('Budget expense Details'!$E$4:$E$86,'Budget expense Details'!$C$4:$C$86,PROJECTS!B64)</f>
        <v>0</v>
      </c>
      <c r="K64" s="29">
        <f t="shared" si="1"/>
        <v>0</v>
      </c>
      <c r="L64" s="23"/>
      <c r="M64" s="20"/>
    </row>
    <row r="65" spans="1:13" x14ac:dyDescent="0.35">
      <c r="A65" s="6">
        <f t="shared" si="4"/>
        <v>21</v>
      </c>
      <c r="B65" s="19"/>
      <c r="C65" s="20"/>
      <c r="D65" s="20"/>
      <c r="E65" s="20"/>
      <c r="F65" s="20"/>
      <c r="G65" s="21"/>
      <c r="H65" s="20"/>
      <c r="I65" s="28"/>
      <c r="J65" s="29">
        <f>SUMIFS('Budget expense Details'!$E$4:$E$86,'Budget expense Details'!$C$4:$C$86,PROJECTS!B65)</f>
        <v>0</v>
      </c>
      <c r="K65" s="29">
        <f t="shared" si="1"/>
        <v>0</v>
      </c>
      <c r="L65" s="23"/>
      <c r="M65" s="20"/>
    </row>
    <row r="66" spans="1:13" x14ac:dyDescent="0.35">
      <c r="A66" s="6">
        <f t="shared" si="4"/>
        <v>22</v>
      </c>
      <c r="B66" s="19"/>
      <c r="C66" s="20"/>
      <c r="D66" s="20"/>
      <c r="E66" s="20"/>
      <c r="F66" s="20"/>
      <c r="G66" s="21"/>
      <c r="H66" s="20"/>
      <c r="I66" s="28"/>
      <c r="J66" s="29">
        <f>SUMIFS('Budget expense Details'!$E$4:$E$86,'Budget expense Details'!$C$4:$C$86,PROJECTS!B66)</f>
        <v>0</v>
      </c>
      <c r="K66" s="29">
        <f t="shared" si="1"/>
        <v>0</v>
      </c>
      <c r="L66" s="23"/>
      <c r="M66" s="20"/>
    </row>
    <row r="67" spans="1:13" x14ac:dyDescent="0.35">
      <c r="A67" s="6">
        <f t="shared" si="4"/>
        <v>23</v>
      </c>
      <c r="B67" s="19"/>
      <c r="C67" s="20"/>
      <c r="D67" s="20"/>
      <c r="E67" s="20"/>
      <c r="F67" s="20"/>
      <c r="G67" s="21"/>
      <c r="H67" s="20"/>
      <c r="I67" s="28"/>
      <c r="J67" s="29">
        <f>SUMIFS('Budget expense Details'!$E$4:$E$86,'Budget expense Details'!$C$4:$C$86,PROJECTS!B67)</f>
        <v>0</v>
      </c>
      <c r="K67" s="29">
        <f t="shared" si="1"/>
        <v>0</v>
      </c>
      <c r="L67" s="23"/>
      <c r="M67" s="20"/>
    </row>
    <row r="68" spans="1:13" x14ac:dyDescent="0.35">
      <c r="A68" s="6">
        <f t="shared" si="4"/>
        <v>19</v>
      </c>
      <c r="B68" s="19"/>
      <c r="C68" s="20"/>
      <c r="D68" s="20"/>
      <c r="E68" s="20"/>
      <c r="F68" s="20"/>
      <c r="G68" s="21"/>
      <c r="H68" s="20"/>
      <c r="I68" s="28"/>
      <c r="J68" s="29">
        <f>SUMIFS('Budget expense Details'!$E$4:$E$86,'Budget expense Details'!$C$4:$C$86,PROJECTS!B68)</f>
        <v>0</v>
      </c>
      <c r="K68" s="29">
        <f t="shared" si="1"/>
        <v>0</v>
      </c>
      <c r="L68" s="23"/>
      <c r="M68" s="20"/>
    </row>
    <row r="69" spans="1:13" x14ac:dyDescent="0.35">
      <c r="A69" s="6">
        <f t="shared" si="4"/>
        <v>20</v>
      </c>
      <c r="B69" s="19"/>
      <c r="C69" s="20"/>
      <c r="D69" s="20"/>
      <c r="E69" s="20"/>
      <c r="F69" s="20"/>
      <c r="G69" s="21"/>
      <c r="H69" s="20"/>
      <c r="I69" s="28"/>
      <c r="J69" s="29">
        <f>SUMIFS('Budget expense Details'!$E$4:$E$86,'Budget expense Details'!$C$4:$C$86,PROJECTS!B69)</f>
        <v>0</v>
      </c>
      <c r="K69" s="29">
        <f t="shared" si="1"/>
        <v>0</v>
      </c>
      <c r="L69" s="23"/>
      <c r="M69" s="20"/>
    </row>
    <row r="70" spans="1:13" x14ac:dyDescent="0.35">
      <c r="A70" s="6">
        <f t="shared" si="4"/>
        <v>21</v>
      </c>
      <c r="B70" s="19"/>
      <c r="C70" s="20"/>
      <c r="D70" s="20"/>
      <c r="E70" s="20"/>
      <c r="F70" s="20"/>
      <c r="G70" s="21"/>
      <c r="H70" s="20"/>
      <c r="I70" s="28"/>
      <c r="J70" s="29">
        <f>SUMIFS('Budget expense Details'!$E$4:$E$86,'Budget expense Details'!$C$4:$C$86,PROJECTS!B70)</f>
        <v>0</v>
      </c>
      <c r="K70" s="29">
        <f t="shared" ref="K70:K73" si="5">IF(I70-J70=0,0,I70-J70)</f>
        <v>0</v>
      </c>
      <c r="L70" s="23"/>
      <c r="M70" s="20"/>
    </row>
    <row r="71" spans="1:13" x14ac:dyDescent="0.35">
      <c r="A71" s="6">
        <f t="shared" si="4"/>
        <v>22</v>
      </c>
      <c r="B71" s="19"/>
      <c r="C71" s="20"/>
      <c r="D71" s="20"/>
      <c r="E71" s="20"/>
      <c r="F71" s="20"/>
      <c r="G71" s="21"/>
      <c r="H71" s="20"/>
      <c r="I71" s="28"/>
      <c r="J71" s="29">
        <f>SUMIFS('Budget expense Details'!$E$4:$E$86,'Budget expense Details'!$C$4:$C$86,PROJECTS!B71)</f>
        <v>0</v>
      </c>
      <c r="K71" s="29">
        <f t="shared" si="5"/>
        <v>0</v>
      </c>
      <c r="L71" s="23"/>
      <c r="M71" s="20"/>
    </row>
    <row r="72" spans="1:13" x14ac:dyDescent="0.35">
      <c r="A72" s="6">
        <f t="shared" si="4"/>
        <v>23</v>
      </c>
      <c r="B72" s="19"/>
      <c r="C72" s="20"/>
      <c r="D72" s="20"/>
      <c r="E72" s="20"/>
      <c r="F72" s="20"/>
      <c r="G72" s="21"/>
      <c r="H72" s="20"/>
      <c r="I72" s="28"/>
      <c r="J72" s="29">
        <f>SUMIFS('Budget expense Details'!$E$4:$E$86,'Budget expense Details'!$C$4:$C$86,PROJECTS!B72)</f>
        <v>0</v>
      </c>
      <c r="K72" s="29">
        <f t="shared" si="5"/>
        <v>0</v>
      </c>
      <c r="L72" s="23"/>
      <c r="M72" s="20"/>
    </row>
    <row r="73" spans="1:13" x14ac:dyDescent="0.35">
      <c r="A73" s="6">
        <f t="shared" si="4"/>
        <v>24</v>
      </c>
      <c r="B73" s="19"/>
      <c r="C73" s="20"/>
      <c r="D73" s="20"/>
      <c r="E73" s="20"/>
      <c r="F73" s="20"/>
      <c r="G73" s="21"/>
      <c r="H73" s="20"/>
      <c r="I73" s="28"/>
      <c r="J73" s="29">
        <f>SUMIFS('Budget expense Details'!$E$4:$E$86,'Budget expense Details'!$C$4:$C$86,PROJECTS!B73)</f>
        <v>0</v>
      </c>
      <c r="K73" s="29">
        <f t="shared" si="5"/>
        <v>0</v>
      </c>
      <c r="L73" s="23"/>
      <c r="M73" s="20"/>
    </row>
  </sheetData>
  <mergeCells count="1">
    <mergeCell ref="A1:B2"/>
  </mergeCells>
  <conditionalFormatting sqref="K5:K73">
    <cfRule type="cellIs" dxfId="7" priority="5" operator="equal">
      <formula>"-"</formula>
    </cfRule>
    <cfRule type="cellIs" dxfId="6" priority="6" operator="greaterThan">
      <formula>0</formula>
    </cfRule>
    <cfRule type="cellIs" dxfId="5" priority="7" operator="lessThan">
      <formula>0</formula>
    </cfRule>
  </conditionalFormatting>
  <conditionalFormatting sqref="L5:L73">
    <cfRule type="cellIs" dxfId="2" priority="1" operator="equal">
      <formula>1</formula>
    </cfRule>
    <cfRule type="cellIs" dxfId="1" priority="2" operator="between">
      <formula>0.5</formula>
      <formula>0.99</formula>
    </cfRule>
    <cfRule type="cellIs" dxfId="0" priority="9" operator="between">
      <formula>0</formula>
      <formula>0.5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5366-CDCE-42A8-8E40-BBCC3B609158}">
  <dimension ref="A1:F86"/>
  <sheetViews>
    <sheetView showGridLines="0" workbookViewId="0">
      <pane ySplit="3" topLeftCell="A15" activePane="bottomLeft" state="frozen"/>
      <selection pane="bottomLeft" activeCell="D9" sqref="D9"/>
    </sheetView>
  </sheetViews>
  <sheetFormatPr defaultRowHeight="14.5" x14ac:dyDescent="0.35"/>
  <cols>
    <col min="1" max="1" width="3.81640625" style="7" customWidth="1"/>
    <col min="2" max="2" width="15.6328125" style="7" customWidth="1"/>
    <col min="3" max="3" width="48" style="1" customWidth="1"/>
    <col min="4" max="4" width="41.7265625" style="8" customWidth="1"/>
    <col min="5" max="5" width="29" style="56" customWidth="1"/>
    <col min="6" max="6" width="8.7265625" style="2"/>
    <col min="7" max="16384" width="8.7265625" style="1"/>
  </cols>
  <sheetData>
    <row r="1" spans="1:5" ht="36" customHeight="1" x14ac:dyDescent="0.35">
      <c r="A1" s="62" t="s">
        <v>38</v>
      </c>
      <c r="B1" s="62"/>
      <c r="C1" s="62"/>
      <c r="E1" s="2"/>
    </row>
    <row r="2" spans="1:5" ht="29.5" customHeight="1" x14ac:dyDescent="0.35">
      <c r="A2" s="62"/>
      <c r="B2" s="62"/>
      <c r="C2" s="62"/>
      <c r="E2" s="2"/>
    </row>
    <row r="3" spans="1:5" ht="21.5" customHeight="1" thickBot="1" x14ac:dyDescent="0.4">
      <c r="A3" s="10" t="s">
        <v>29</v>
      </c>
      <c r="B3" s="11" t="s">
        <v>33</v>
      </c>
      <c r="C3" s="11" t="s">
        <v>30</v>
      </c>
      <c r="D3" s="12" t="s">
        <v>32</v>
      </c>
      <c r="E3" s="16" t="s">
        <v>3</v>
      </c>
    </row>
    <row r="4" spans="1:5" ht="15" thickTop="1" x14ac:dyDescent="0.35">
      <c r="A4" s="6">
        <v>1</v>
      </c>
      <c r="B4" s="17" t="s">
        <v>35</v>
      </c>
      <c r="C4" s="17" t="s">
        <v>7</v>
      </c>
      <c r="D4" s="18" t="s">
        <v>36</v>
      </c>
      <c r="E4" s="54">
        <v>1523.64</v>
      </c>
    </row>
    <row r="5" spans="1:5" x14ac:dyDescent="0.35">
      <c r="A5" s="6">
        <v>2</v>
      </c>
      <c r="B5" s="19" t="s">
        <v>35</v>
      </c>
      <c r="C5" s="19" t="s">
        <v>11</v>
      </c>
      <c r="D5" s="20" t="s">
        <v>36</v>
      </c>
      <c r="E5" s="55">
        <v>27677.49</v>
      </c>
    </row>
    <row r="6" spans="1:5" x14ac:dyDescent="0.35">
      <c r="A6" s="6">
        <v>3</v>
      </c>
      <c r="B6" s="19" t="s">
        <v>35</v>
      </c>
      <c r="C6" s="19" t="s">
        <v>13</v>
      </c>
      <c r="D6" s="20" t="s">
        <v>36</v>
      </c>
      <c r="E6" s="55">
        <v>3400</v>
      </c>
    </row>
    <row r="7" spans="1:5" x14ac:dyDescent="0.35">
      <c r="A7" s="6">
        <v>4</v>
      </c>
      <c r="B7" s="19" t="s">
        <v>35</v>
      </c>
      <c r="C7" s="19" t="s">
        <v>15</v>
      </c>
      <c r="D7" s="20" t="s">
        <v>36</v>
      </c>
      <c r="E7" s="55">
        <v>2500</v>
      </c>
    </row>
    <row r="8" spans="1:5" x14ac:dyDescent="0.35">
      <c r="A8" s="6">
        <v>5</v>
      </c>
      <c r="B8" s="19" t="s">
        <v>35</v>
      </c>
      <c r="C8" s="19" t="s">
        <v>16</v>
      </c>
      <c r="D8" s="20" t="s">
        <v>36</v>
      </c>
      <c r="E8" s="55">
        <v>25000</v>
      </c>
    </row>
    <row r="9" spans="1:5" x14ac:dyDescent="0.35">
      <c r="A9" s="6">
        <v>6</v>
      </c>
      <c r="B9" s="19" t="s">
        <v>35</v>
      </c>
      <c r="C9" s="19" t="s">
        <v>17</v>
      </c>
      <c r="D9" s="20" t="s">
        <v>36</v>
      </c>
      <c r="E9" s="55">
        <v>600</v>
      </c>
    </row>
    <row r="10" spans="1:5" x14ac:dyDescent="0.35">
      <c r="A10" s="6">
        <v>7</v>
      </c>
      <c r="B10" s="19" t="s">
        <v>35</v>
      </c>
      <c r="C10" s="19" t="s">
        <v>18</v>
      </c>
      <c r="D10" s="20" t="s">
        <v>36</v>
      </c>
      <c r="E10" s="55">
        <v>37719</v>
      </c>
    </row>
    <row r="11" spans="1:5" x14ac:dyDescent="0.35">
      <c r="A11" s="6">
        <v>8</v>
      </c>
      <c r="B11" s="19" t="s">
        <v>35</v>
      </c>
      <c r="C11" s="19" t="s">
        <v>20</v>
      </c>
      <c r="D11" s="20" t="s">
        <v>36</v>
      </c>
      <c r="E11" s="55">
        <v>317067.34000000003</v>
      </c>
    </row>
    <row r="12" spans="1:5" x14ac:dyDescent="0.35">
      <c r="A12" s="6">
        <v>9</v>
      </c>
      <c r="B12" s="19" t="s">
        <v>35</v>
      </c>
      <c r="C12" s="19" t="s">
        <v>21</v>
      </c>
      <c r="D12" s="20" t="s">
        <v>36</v>
      </c>
      <c r="E12" s="55">
        <v>27766.2</v>
      </c>
    </row>
    <row r="13" spans="1:5" x14ac:dyDescent="0.35">
      <c r="A13" s="6">
        <v>10</v>
      </c>
      <c r="B13" s="19" t="s">
        <v>35</v>
      </c>
      <c r="C13" s="19" t="s">
        <v>23</v>
      </c>
      <c r="D13" s="20" t="s">
        <v>36</v>
      </c>
      <c r="E13" s="55">
        <v>11400</v>
      </c>
    </row>
    <row r="14" spans="1:5" x14ac:dyDescent="0.35">
      <c r="A14" s="6">
        <v>11</v>
      </c>
      <c r="B14" s="19" t="s">
        <v>35</v>
      </c>
      <c r="C14" s="19" t="s">
        <v>26</v>
      </c>
      <c r="D14" s="20" t="s">
        <v>36</v>
      </c>
      <c r="E14" s="55">
        <v>20535</v>
      </c>
    </row>
    <row r="15" spans="1:5" x14ac:dyDescent="0.35">
      <c r="A15" s="6">
        <v>12</v>
      </c>
      <c r="B15" s="19" t="s">
        <v>35</v>
      </c>
      <c r="C15" s="19" t="s">
        <v>71</v>
      </c>
      <c r="D15" s="20" t="s">
        <v>36</v>
      </c>
      <c r="E15" s="55">
        <v>14807.3</v>
      </c>
    </row>
    <row r="16" spans="1:5" x14ac:dyDescent="0.35">
      <c r="A16" s="6">
        <v>13</v>
      </c>
      <c r="B16" s="19" t="s">
        <v>35</v>
      </c>
      <c r="C16" s="19" t="s">
        <v>72</v>
      </c>
      <c r="D16" s="20" t="s">
        <v>36</v>
      </c>
      <c r="E16" s="55">
        <v>892.5</v>
      </c>
    </row>
    <row r="17" spans="1:5" x14ac:dyDescent="0.35">
      <c r="A17" s="6">
        <v>14</v>
      </c>
      <c r="B17" s="19" t="s">
        <v>35</v>
      </c>
      <c r="C17" s="19" t="s">
        <v>73</v>
      </c>
      <c r="D17" s="20" t="s">
        <v>36</v>
      </c>
      <c r="E17" s="55">
        <v>25525</v>
      </c>
    </row>
    <row r="18" spans="1:5" x14ac:dyDescent="0.35">
      <c r="A18" s="6">
        <v>15</v>
      </c>
      <c r="B18" s="19" t="s">
        <v>35</v>
      </c>
      <c r="C18" s="19" t="s">
        <v>74</v>
      </c>
      <c r="D18" s="20" t="s">
        <v>36</v>
      </c>
      <c r="E18" s="55">
        <v>2526.6999999999998</v>
      </c>
    </row>
    <row r="19" spans="1:5" x14ac:dyDescent="0.35">
      <c r="A19" s="6">
        <v>16</v>
      </c>
      <c r="B19" s="19" t="s">
        <v>35</v>
      </c>
      <c r="C19" s="19" t="s">
        <v>75</v>
      </c>
      <c r="D19" s="20" t="s">
        <v>36</v>
      </c>
      <c r="E19" s="55">
        <v>11000</v>
      </c>
    </row>
    <row r="20" spans="1:5" x14ac:dyDescent="0.35">
      <c r="A20" s="6">
        <v>17</v>
      </c>
      <c r="B20" s="19" t="s">
        <v>35</v>
      </c>
      <c r="C20" s="19" t="s">
        <v>77</v>
      </c>
      <c r="D20" s="20" t="s">
        <v>36</v>
      </c>
      <c r="E20" s="55">
        <v>3951.58</v>
      </c>
    </row>
    <row r="21" spans="1:5" x14ac:dyDescent="0.35">
      <c r="A21" s="6">
        <v>18</v>
      </c>
      <c r="B21" s="19" t="s">
        <v>35</v>
      </c>
      <c r="C21" s="19" t="s">
        <v>78</v>
      </c>
      <c r="D21" s="20" t="s">
        <v>36</v>
      </c>
      <c r="E21" s="55">
        <v>14807.3</v>
      </c>
    </row>
    <row r="22" spans="1:5" x14ac:dyDescent="0.35">
      <c r="A22" s="6">
        <v>19</v>
      </c>
      <c r="B22" s="19" t="s">
        <v>35</v>
      </c>
      <c r="C22" s="19" t="s">
        <v>79</v>
      </c>
      <c r="D22" s="20" t="s">
        <v>36</v>
      </c>
      <c r="E22" s="55">
        <v>892.5</v>
      </c>
    </row>
    <row r="23" spans="1:5" x14ac:dyDescent="0.35">
      <c r="A23" s="6">
        <v>20</v>
      </c>
      <c r="B23" s="19" t="s">
        <v>35</v>
      </c>
      <c r="C23" s="19" t="s">
        <v>80</v>
      </c>
      <c r="D23" s="20" t="s">
        <v>36</v>
      </c>
      <c r="E23" s="55">
        <v>24000</v>
      </c>
    </row>
    <row r="24" spans="1:5" x14ac:dyDescent="0.35">
      <c r="A24" s="6">
        <v>21</v>
      </c>
      <c r="B24" s="19" t="s">
        <v>35</v>
      </c>
      <c r="C24" s="19" t="s">
        <v>81</v>
      </c>
      <c r="D24" s="20" t="s">
        <v>36</v>
      </c>
      <c r="E24" s="55">
        <v>2526.6999999999998</v>
      </c>
    </row>
    <row r="25" spans="1:5" x14ac:dyDescent="0.35">
      <c r="A25" s="6">
        <v>22</v>
      </c>
      <c r="B25" s="19" t="s">
        <v>35</v>
      </c>
      <c r="C25" s="19" t="s">
        <v>83</v>
      </c>
      <c r="D25" s="20" t="s">
        <v>36</v>
      </c>
      <c r="E25" s="55">
        <v>6000</v>
      </c>
    </row>
    <row r="26" spans="1:5" x14ac:dyDescent="0.35">
      <c r="A26" s="6">
        <v>23</v>
      </c>
      <c r="B26" s="19" t="s">
        <v>35</v>
      </c>
      <c r="C26" s="19" t="s">
        <v>84</v>
      </c>
      <c r="D26" s="20" t="s">
        <v>36</v>
      </c>
      <c r="E26" s="55">
        <v>3951.58</v>
      </c>
    </row>
    <row r="27" spans="1:5" x14ac:dyDescent="0.35">
      <c r="A27" s="6">
        <v>24</v>
      </c>
      <c r="B27" s="19" t="s">
        <v>35</v>
      </c>
      <c r="C27" s="19" t="s">
        <v>85</v>
      </c>
      <c r="D27" s="20" t="s">
        <v>36</v>
      </c>
      <c r="E27" s="55">
        <v>14807.3</v>
      </c>
    </row>
    <row r="28" spans="1:5" x14ac:dyDescent="0.35">
      <c r="A28" s="6">
        <v>25</v>
      </c>
      <c r="B28" s="19" t="s">
        <v>35</v>
      </c>
      <c r="C28" s="19" t="s">
        <v>86</v>
      </c>
      <c r="D28" s="20" t="s">
        <v>36</v>
      </c>
      <c r="E28" s="55">
        <v>892.5</v>
      </c>
    </row>
    <row r="29" spans="1:5" x14ac:dyDescent="0.35">
      <c r="A29" s="6">
        <v>26</v>
      </c>
      <c r="B29" s="19" t="s">
        <v>35</v>
      </c>
      <c r="C29" s="19" t="s">
        <v>87</v>
      </c>
      <c r="D29" s="20" t="s">
        <v>36</v>
      </c>
      <c r="E29" s="55">
        <v>700000</v>
      </c>
    </row>
    <row r="30" spans="1:5" x14ac:dyDescent="0.35">
      <c r="A30" s="6">
        <v>27</v>
      </c>
      <c r="B30" s="19" t="s">
        <v>35</v>
      </c>
      <c r="C30" s="19" t="s">
        <v>89</v>
      </c>
      <c r="D30" s="20" t="s">
        <v>36</v>
      </c>
      <c r="E30" s="55">
        <v>5439.2</v>
      </c>
    </row>
    <row r="31" spans="1:5" x14ac:dyDescent="0.35">
      <c r="A31" s="6">
        <v>28</v>
      </c>
      <c r="B31" s="19" t="s">
        <v>35</v>
      </c>
      <c r="C31" s="19" t="s">
        <v>93</v>
      </c>
      <c r="D31" s="20" t="s">
        <v>36</v>
      </c>
      <c r="E31" s="55">
        <v>3951.58</v>
      </c>
    </row>
    <row r="32" spans="1:5" x14ac:dyDescent="0.35">
      <c r="A32" s="6">
        <v>29</v>
      </c>
      <c r="B32" s="19" t="s">
        <v>35</v>
      </c>
      <c r="C32" s="19" t="s">
        <v>95</v>
      </c>
      <c r="D32" s="20" t="s">
        <v>36</v>
      </c>
      <c r="E32" s="55">
        <v>892.5</v>
      </c>
    </row>
    <row r="33" spans="1:5" x14ac:dyDescent="0.35">
      <c r="A33" s="6">
        <v>30</v>
      </c>
      <c r="B33" s="19" t="s">
        <v>35</v>
      </c>
      <c r="C33" s="19" t="s">
        <v>96</v>
      </c>
      <c r="D33" s="20" t="s">
        <v>36</v>
      </c>
      <c r="E33" s="55">
        <v>605000</v>
      </c>
    </row>
    <row r="34" spans="1:5" x14ac:dyDescent="0.35">
      <c r="A34" s="6">
        <v>31</v>
      </c>
      <c r="B34" s="19" t="s">
        <v>35</v>
      </c>
      <c r="C34" s="19" t="s">
        <v>97</v>
      </c>
      <c r="D34" s="20" t="s">
        <v>36</v>
      </c>
      <c r="E34" s="55">
        <v>5439.2</v>
      </c>
    </row>
    <row r="35" spans="1:5" x14ac:dyDescent="0.35">
      <c r="A35" s="6">
        <v>32</v>
      </c>
      <c r="B35" s="19" t="s">
        <v>35</v>
      </c>
      <c r="C35" s="19" t="s">
        <v>99</v>
      </c>
      <c r="D35" s="20" t="s">
        <v>36</v>
      </c>
      <c r="E35" s="55">
        <v>13151.58</v>
      </c>
    </row>
    <row r="36" spans="1:5" x14ac:dyDescent="0.35">
      <c r="A36" s="6">
        <v>33</v>
      </c>
      <c r="B36" s="19"/>
      <c r="C36" s="19"/>
      <c r="D36" s="20"/>
      <c r="E36" s="55"/>
    </row>
    <row r="37" spans="1:5" x14ac:dyDescent="0.35">
      <c r="A37" s="6">
        <v>34</v>
      </c>
      <c r="B37" s="19"/>
      <c r="C37" s="19"/>
      <c r="D37" s="20"/>
      <c r="E37" s="55"/>
    </row>
    <row r="38" spans="1:5" x14ac:dyDescent="0.35">
      <c r="A38" s="6">
        <v>35</v>
      </c>
      <c r="B38" s="19"/>
      <c r="C38" s="19"/>
      <c r="D38" s="20"/>
      <c r="E38" s="55"/>
    </row>
    <row r="39" spans="1:5" x14ac:dyDescent="0.35">
      <c r="A39" s="6">
        <v>36</v>
      </c>
      <c r="B39" s="19"/>
      <c r="C39" s="19"/>
      <c r="D39" s="20"/>
      <c r="E39" s="55"/>
    </row>
    <row r="40" spans="1:5" x14ac:dyDescent="0.35">
      <c r="A40" s="6">
        <v>37</v>
      </c>
      <c r="B40" s="19"/>
      <c r="C40" s="19"/>
      <c r="D40" s="20"/>
      <c r="E40" s="55"/>
    </row>
    <row r="41" spans="1:5" x14ac:dyDescent="0.35">
      <c r="A41" s="6">
        <v>38</v>
      </c>
      <c r="B41" s="19"/>
      <c r="C41" s="19"/>
      <c r="D41" s="20"/>
      <c r="E41" s="55"/>
    </row>
    <row r="42" spans="1:5" x14ac:dyDescent="0.35">
      <c r="A42" s="6">
        <v>39</v>
      </c>
      <c r="B42" s="19"/>
      <c r="C42" s="19"/>
      <c r="D42" s="20"/>
      <c r="E42" s="55"/>
    </row>
    <row r="43" spans="1:5" x14ac:dyDescent="0.35">
      <c r="A43" s="6">
        <v>40</v>
      </c>
      <c r="B43" s="19"/>
      <c r="C43" s="19"/>
      <c r="D43" s="20"/>
      <c r="E43" s="55"/>
    </row>
    <row r="44" spans="1:5" x14ac:dyDescent="0.35">
      <c r="A44" s="6">
        <v>41</v>
      </c>
      <c r="B44" s="19"/>
      <c r="C44" s="19"/>
      <c r="D44" s="20"/>
      <c r="E44" s="55"/>
    </row>
    <row r="45" spans="1:5" x14ac:dyDescent="0.35">
      <c r="A45" s="6">
        <v>42</v>
      </c>
      <c r="B45" s="19"/>
      <c r="C45" s="19"/>
      <c r="D45" s="20"/>
      <c r="E45" s="55"/>
    </row>
    <row r="46" spans="1:5" x14ac:dyDescent="0.35">
      <c r="A46" s="6">
        <v>43</v>
      </c>
      <c r="B46" s="19"/>
      <c r="C46" s="19"/>
      <c r="D46" s="20"/>
      <c r="E46" s="55"/>
    </row>
    <row r="47" spans="1:5" x14ac:dyDescent="0.35">
      <c r="A47" s="6">
        <v>44</v>
      </c>
      <c r="B47" s="19"/>
      <c r="C47" s="19"/>
      <c r="D47" s="20"/>
      <c r="E47" s="55"/>
    </row>
    <row r="48" spans="1:5" x14ac:dyDescent="0.35">
      <c r="A48" s="6">
        <v>45</v>
      </c>
      <c r="B48" s="19"/>
      <c r="C48" s="19"/>
      <c r="D48" s="20"/>
      <c r="E48" s="55"/>
    </row>
    <row r="49" spans="1:5" x14ac:dyDescent="0.35">
      <c r="A49" s="6">
        <v>46</v>
      </c>
      <c r="B49" s="19"/>
      <c r="C49" s="19"/>
      <c r="D49" s="20"/>
      <c r="E49" s="55"/>
    </row>
    <row r="50" spans="1:5" x14ac:dyDescent="0.35">
      <c r="A50" s="6">
        <v>47</v>
      </c>
      <c r="B50" s="19"/>
      <c r="C50" s="19"/>
      <c r="D50" s="20"/>
      <c r="E50" s="55"/>
    </row>
    <row r="51" spans="1:5" x14ac:dyDescent="0.35">
      <c r="A51" s="6">
        <v>48</v>
      </c>
      <c r="B51" s="19"/>
      <c r="C51" s="19"/>
      <c r="D51" s="20"/>
      <c r="E51" s="55"/>
    </row>
    <row r="52" spans="1:5" x14ac:dyDescent="0.35">
      <c r="A52" s="6">
        <v>49</v>
      </c>
      <c r="B52" s="19"/>
      <c r="C52" s="19"/>
      <c r="D52" s="20"/>
      <c r="E52" s="55"/>
    </row>
    <row r="53" spans="1:5" x14ac:dyDescent="0.35">
      <c r="A53" s="6">
        <v>50</v>
      </c>
      <c r="B53" s="19"/>
      <c r="C53" s="19"/>
      <c r="D53" s="20"/>
      <c r="E53" s="55"/>
    </row>
    <row r="54" spans="1:5" x14ac:dyDescent="0.35">
      <c r="A54" s="6">
        <v>51</v>
      </c>
      <c r="B54" s="19"/>
      <c r="C54" s="19"/>
      <c r="D54" s="20"/>
      <c r="E54" s="55"/>
    </row>
    <row r="55" spans="1:5" x14ac:dyDescent="0.35">
      <c r="A55" s="6">
        <v>52</v>
      </c>
      <c r="B55" s="19"/>
      <c r="C55" s="19"/>
      <c r="D55" s="20"/>
      <c r="E55" s="55"/>
    </row>
    <row r="56" spans="1:5" x14ac:dyDescent="0.35">
      <c r="A56" s="6">
        <v>53</v>
      </c>
      <c r="B56" s="19"/>
      <c r="C56" s="19"/>
      <c r="D56" s="20"/>
      <c r="E56" s="55"/>
    </row>
    <row r="57" spans="1:5" x14ac:dyDescent="0.35">
      <c r="A57" s="6">
        <v>54</v>
      </c>
      <c r="B57" s="19"/>
      <c r="C57" s="19"/>
      <c r="D57" s="20"/>
      <c r="E57" s="55"/>
    </row>
    <row r="58" spans="1:5" x14ac:dyDescent="0.35">
      <c r="A58" s="6">
        <v>55</v>
      </c>
      <c r="B58" s="19"/>
      <c r="C58" s="19"/>
      <c r="D58" s="20"/>
      <c r="E58" s="55"/>
    </row>
    <row r="59" spans="1:5" x14ac:dyDescent="0.35">
      <c r="A59" s="6">
        <v>56</v>
      </c>
      <c r="B59" s="19"/>
      <c r="C59" s="19"/>
      <c r="D59" s="20"/>
      <c r="E59" s="55"/>
    </row>
    <row r="60" spans="1:5" x14ac:dyDescent="0.35">
      <c r="A60" s="6">
        <v>57</v>
      </c>
      <c r="B60" s="19"/>
      <c r="C60" s="19"/>
      <c r="D60" s="20"/>
      <c r="E60" s="55"/>
    </row>
    <row r="61" spans="1:5" x14ac:dyDescent="0.35">
      <c r="A61" s="6">
        <v>58</v>
      </c>
      <c r="B61" s="19"/>
      <c r="C61" s="19"/>
      <c r="D61" s="20"/>
      <c r="E61" s="55"/>
    </row>
    <row r="62" spans="1:5" x14ac:dyDescent="0.35">
      <c r="A62" s="6">
        <v>59</v>
      </c>
      <c r="B62" s="19"/>
      <c r="C62" s="19"/>
      <c r="D62" s="20"/>
      <c r="E62" s="55"/>
    </row>
    <row r="63" spans="1:5" x14ac:dyDescent="0.35">
      <c r="A63" s="6">
        <v>60</v>
      </c>
      <c r="B63" s="19"/>
      <c r="C63" s="19"/>
      <c r="D63" s="20"/>
      <c r="E63" s="55"/>
    </row>
    <row r="64" spans="1:5" x14ac:dyDescent="0.35">
      <c r="A64" s="6">
        <v>61</v>
      </c>
      <c r="B64" s="19"/>
      <c r="C64" s="19"/>
      <c r="D64" s="20"/>
      <c r="E64" s="55"/>
    </row>
    <row r="65" spans="1:5" x14ac:dyDescent="0.35">
      <c r="A65" s="6">
        <v>62</v>
      </c>
      <c r="B65" s="19"/>
      <c r="C65" s="19"/>
      <c r="D65" s="20"/>
      <c r="E65" s="55"/>
    </row>
    <row r="66" spans="1:5" x14ac:dyDescent="0.35">
      <c r="A66" s="6">
        <v>63</v>
      </c>
      <c r="B66" s="19"/>
      <c r="C66" s="19"/>
      <c r="D66" s="20"/>
      <c r="E66" s="55"/>
    </row>
    <row r="67" spans="1:5" x14ac:dyDescent="0.35">
      <c r="A67" s="6">
        <v>64</v>
      </c>
      <c r="B67" s="19"/>
      <c r="C67" s="19"/>
      <c r="D67" s="20"/>
      <c r="E67" s="55"/>
    </row>
    <row r="68" spans="1:5" x14ac:dyDescent="0.35">
      <c r="A68" s="6">
        <v>65</v>
      </c>
      <c r="B68" s="19"/>
      <c r="C68" s="19"/>
      <c r="D68" s="20"/>
      <c r="E68" s="55"/>
    </row>
    <row r="69" spans="1:5" x14ac:dyDescent="0.35">
      <c r="A69" s="6">
        <v>66</v>
      </c>
      <c r="B69" s="19"/>
      <c r="C69" s="19"/>
      <c r="D69" s="20"/>
      <c r="E69" s="55"/>
    </row>
    <row r="70" spans="1:5" x14ac:dyDescent="0.35">
      <c r="A70" s="6">
        <v>67</v>
      </c>
      <c r="B70" s="19"/>
      <c r="C70" s="19"/>
      <c r="D70" s="20"/>
      <c r="E70" s="55"/>
    </row>
    <row r="71" spans="1:5" x14ac:dyDescent="0.35">
      <c r="A71" s="6">
        <v>68</v>
      </c>
      <c r="B71" s="19"/>
      <c r="C71" s="19"/>
      <c r="D71" s="20"/>
      <c r="E71" s="55"/>
    </row>
    <row r="72" spans="1:5" x14ac:dyDescent="0.35">
      <c r="A72" s="6">
        <v>69</v>
      </c>
      <c r="B72" s="19"/>
      <c r="C72" s="19"/>
      <c r="D72" s="20"/>
      <c r="E72" s="55"/>
    </row>
    <row r="73" spans="1:5" x14ac:dyDescent="0.35">
      <c r="A73" s="6">
        <v>70</v>
      </c>
      <c r="B73" s="19"/>
      <c r="C73" s="19"/>
      <c r="D73" s="20"/>
      <c r="E73" s="55"/>
    </row>
    <row r="74" spans="1:5" x14ac:dyDescent="0.35">
      <c r="A74" s="6">
        <v>71</v>
      </c>
      <c r="B74" s="19"/>
      <c r="C74" s="19"/>
      <c r="D74" s="20"/>
      <c r="E74" s="55"/>
    </row>
    <row r="75" spans="1:5" x14ac:dyDescent="0.35">
      <c r="A75" s="6">
        <v>72</v>
      </c>
      <c r="B75" s="19"/>
      <c r="C75" s="19"/>
      <c r="D75" s="20"/>
      <c r="E75" s="55"/>
    </row>
    <row r="76" spans="1:5" x14ac:dyDescent="0.35">
      <c r="A76" s="6">
        <v>73</v>
      </c>
      <c r="B76" s="19"/>
      <c r="C76" s="19"/>
      <c r="D76" s="20"/>
      <c r="E76" s="55"/>
    </row>
    <row r="77" spans="1:5" x14ac:dyDescent="0.35">
      <c r="A77" s="6">
        <v>74</v>
      </c>
      <c r="B77" s="19"/>
      <c r="C77" s="19"/>
      <c r="D77" s="20"/>
      <c r="E77" s="55"/>
    </row>
    <row r="78" spans="1:5" x14ac:dyDescent="0.35">
      <c r="A78" s="6">
        <v>75</v>
      </c>
      <c r="B78" s="19"/>
      <c r="C78" s="19"/>
      <c r="D78" s="20"/>
      <c r="E78" s="55"/>
    </row>
    <row r="79" spans="1:5" x14ac:dyDescent="0.35">
      <c r="A79" s="6">
        <v>76</v>
      </c>
      <c r="B79" s="19"/>
      <c r="C79" s="19"/>
      <c r="D79" s="20"/>
      <c r="E79" s="55"/>
    </row>
    <row r="80" spans="1:5" x14ac:dyDescent="0.35">
      <c r="A80" s="6">
        <v>77</v>
      </c>
      <c r="B80" s="19"/>
      <c r="C80" s="19"/>
      <c r="D80" s="20"/>
      <c r="E80" s="55"/>
    </row>
    <row r="81" spans="1:5" x14ac:dyDescent="0.35">
      <c r="A81" s="6">
        <v>78</v>
      </c>
      <c r="B81" s="19"/>
      <c r="C81" s="19"/>
      <c r="D81" s="20"/>
      <c r="E81" s="55"/>
    </row>
    <row r="82" spans="1:5" x14ac:dyDescent="0.35">
      <c r="A82" s="6">
        <v>79</v>
      </c>
      <c r="B82" s="19"/>
      <c r="C82" s="19"/>
      <c r="D82" s="20"/>
      <c r="E82" s="55"/>
    </row>
    <row r="83" spans="1:5" x14ac:dyDescent="0.35">
      <c r="A83" s="6">
        <v>80</v>
      </c>
      <c r="B83" s="19"/>
      <c r="C83" s="19"/>
      <c r="D83" s="20"/>
      <c r="E83" s="55"/>
    </row>
    <row r="84" spans="1:5" x14ac:dyDescent="0.35">
      <c r="A84" s="6">
        <v>81</v>
      </c>
      <c r="B84" s="19"/>
      <c r="C84" s="19"/>
      <c r="D84" s="20"/>
      <c r="E84" s="55"/>
    </row>
    <row r="85" spans="1:5" x14ac:dyDescent="0.35">
      <c r="A85" s="6">
        <v>82</v>
      </c>
      <c r="B85" s="19"/>
      <c r="C85" s="19"/>
      <c r="D85" s="20"/>
      <c r="E85" s="55"/>
    </row>
    <row r="86" spans="1:5" x14ac:dyDescent="0.35">
      <c r="A86" s="6">
        <v>83</v>
      </c>
      <c r="B86" s="19"/>
      <c r="C86" s="19"/>
      <c r="D86" s="20"/>
      <c r="E86" s="55"/>
    </row>
  </sheetData>
  <autoFilter ref="A3:F3" xr:uid="{A8785366-CDCE-42A8-8E40-BBCC3B609158}"/>
  <mergeCells count="1">
    <mergeCell ref="A1:C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CD8B9B-E526-4BEB-89BE-28F1AC2F8672}">
          <x14:formula1>
            <xm:f>PROJECTS!$B$5:$B$73</xm:f>
          </x14:formula1>
          <xm:sqref>C4</xm:sqref>
        </x14:dataValidation>
        <x14:dataValidation type="list" allowBlank="1" showInputMessage="1" showErrorMessage="1" xr:uid="{1CD8F6F9-BC2B-48CF-B48C-7C04C3614F65}">
          <x14:formula1>
            <xm:f>Params!$A$2:$A$27</xm:f>
          </x14:formula1>
          <xm:sqref>C5:C86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C6C5-4328-4952-B8F0-922240399BD2}">
  <dimension ref="A1:A48"/>
  <sheetViews>
    <sheetView workbookViewId="0">
      <selection activeCell="B1" sqref="B1"/>
    </sheetView>
  </sheetViews>
  <sheetFormatPr defaultRowHeight="14.5" x14ac:dyDescent="0.35"/>
  <cols>
    <col min="1" max="1" width="61.453125" bestFit="1" customWidth="1"/>
  </cols>
  <sheetData>
    <row r="1" spans="1:1" x14ac:dyDescent="0.35">
      <c r="A1" s="25" t="s">
        <v>34</v>
      </c>
    </row>
    <row r="2" spans="1:1" x14ac:dyDescent="0.35">
      <c r="A2" t="str" cm="1">
        <f t="array" ref="A2:A48">_xlfn.UNIQUE(PROJECTS!B5:B124)</f>
        <v>Assistance médicale</v>
      </c>
    </row>
    <row r="3" spans="1:1" x14ac:dyDescent="0.35">
      <c r="A3" t="str">
        <v>Soutien financier Centre de coupe et couture</v>
      </c>
    </row>
    <row r="4" spans="1:1" x14ac:dyDescent="0.35">
      <c r="A4" t="str">
        <v>Réunion avec le clan Nanga (boissons non alcoolisées)</v>
      </c>
    </row>
    <row r="5" spans="1:1" x14ac:dyDescent="0.35">
      <c r="A5" t="str">
        <v>Dons de fin d’année aux autorités locales</v>
      </c>
    </row>
    <row r="6" spans="1:1" x14ac:dyDescent="0.35">
      <c r="A6" t="str">
        <v>Trust Fund - Clan Nanga</v>
      </c>
    </row>
    <row r="7" spans="1:1" x14ac:dyDescent="0.35">
      <c r="A7" t="str">
        <v>Contribution à l’association des personnes handicapées de Songololo</v>
      </c>
    </row>
    <row r="8" spans="1:1" x14ac:dyDescent="0.35">
      <c r="A8" t="str">
        <v>Puits de forage</v>
      </c>
    </row>
    <row r="9" spans="1:1" x14ac:dyDescent="0.35">
      <c r="A9" t="str">
        <v>École PPC</v>
      </c>
    </row>
    <row r="10" spans="1:1" x14ac:dyDescent="0.35">
      <c r="A10" t="str">
        <v>Poste de police</v>
      </c>
    </row>
    <row r="11" spans="1:1" x14ac:dyDescent="0.35">
      <c r="A11" t="str">
        <v>Batteries pour le centre hospitalier de Malanga</v>
      </c>
    </row>
    <row r="12" spans="1:1" x14ac:dyDescent="0.35">
      <c r="A12" t="str">
        <v>Lutte anti-vectorielle</v>
      </c>
    </row>
    <row r="13" spans="1:1" x14ac:dyDescent="0.35">
      <c r="A13" t="str">
        <v xml:space="preserve">Mwinda </v>
      </c>
    </row>
    <row r="14" spans="1:1" x14ac:dyDescent="0.35">
      <c r="A14" t="str">
        <v>Forage Ecole PPC</v>
      </c>
    </row>
    <row r="15" spans="1:1" x14ac:dyDescent="0.35">
      <c r="A15" t="str">
        <v>CFT</v>
      </c>
    </row>
    <row r="16" spans="1:1" x14ac:dyDescent="0.35">
      <c r="A16" t="str">
        <v>Orphelinat des sœurs (kinshasa)</v>
      </c>
    </row>
    <row r="17" spans="1:1" x14ac:dyDescent="0.35">
      <c r="A17" t="str">
        <v>Permaculture | Malanga Gare</v>
      </c>
    </row>
    <row r="18" spans="1:1" x14ac:dyDescent="0.35">
      <c r="A18" t="str">
        <v>Apiculture | Malanga Gare</v>
      </c>
    </row>
    <row r="19" spans="1:1" x14ac:dyDescent="0.35">
      <c r="A19" t="str">
        <v>Adduction d’eau | Malanga Gare</v>
      </c>
    </row>
    <row r="20" spans="1:1" x14ac:dyDescent="0.35">
      <c r="A20" t="str">
        <v>Bourse universitaire | Malanga Gare</v>
      </c>
    </row>
    <row r="21" spans="1:1" x14ac:dyDescent="0.35">
      <c r="A21" t="str">
        <v>Aménagement route | Malanga Gare</v>
      </c>
    </row>
    <row r="22" spans="1:1" x14ac:dyDescent="0.35">
      <c r="A22" t="str">
        <v>Renforcement maisons | Malanga Gare</v>
      </c>
    </row>
    <row r="23" spans="1:1" x14ac:dyDescent="0.35">
      <c r="A23" t="str">
        <v>Football | Malanga Gare</v>
      </c>
    </row>
    <row r="24" spans="1:1" x14ac:dyDescent="0.35">
      <c r="A24" t="str">
        <v>Permaculture | Nkumba</v>
      </c>
    </row>
    <row r="25" spans="1:1" x14ac:dyDescent="0.35">
      <c r="A25" t="str">
        <v>Apiculture | Nkumba</v>
      </c>
    </row>
    <row r="26" spans="1:1" x14ac:dyDescent="0.35">
      <c r="A26" t="str">
        <v>Adduction d’eau | Nkumba</v>
      </c>
    </row>
    <row r="27" spans="1:1" x14ac:dyDescent="0.35">
      <c r="A27" t="str">
        <v>Bourse universitaire | Nkumba</v>
      </c>
    </row>
    <row r="28" spans="1:1" x14ac:dyDescent="0.35">
      <c r="A28" t="str">
        <v>Renforcement maisons | Nkumba</v>
      </c>
    </row>
    <row r="29" spans="1:1" x14ac:dyDescent="0.35">
      <c r="A29" t="str">
        <v>Aménagement route | Nkumba</v>
      </c>
    </row>
    <row r="30" spans="1:1" x14ac:dyDescent="0.35">
      <c r="A30" t="str">
        <v>Football | Nkumba</v>
      </c>
    </row>
    <row r="31" spans="1:1" x14ac:dyDescent="0.35">
      <c r="A31" t="str">
        <v>Permaculture | Malanga Cité</v>
      </c>
    </row>
    <row r="32" spans="1:1" x14ac:dyDescent="0.35">
      <c r="A32" t="str">
        <v>Apiculture | Malanga Cité</v>
      </c>
    </row>
    <row r="33" spans="1:1" x14ac:dyDescent="0.35">
      <c r="A33" t="str">
        <v>Electricité | Malanga Cité</v>
      </c>
    </row>
    <row r="34" spans="1:1" x14ac:dyDescent="0.35">
      <c r="A34" t="str">
        <v>Adduction d’eau | Malanga Cité</v>
      </c>
    </row>
    <row r="35" spans="1:1" x14ac:dyDescent="0.35">
      <c r="A35" t="str">
        <v>Bourse universitaire | Malanga Cité</v>
      </c>
    </row>
    <row r="36" spans="1:1" x14ac:dyDescent="0.35">
      <c r="A36" t="str">
        <v>Ponts et route | Malanga Cité</v>
      </c>
    </row>
    <row r="37" spans="1:1" x14ac:dyDescent="0.35">
      <c r="A37" t="str">
        <v>Renforcement maisons | Malanga Cité</v>
      </c>
    </row>
    <row r="38" spans="1:1" x14ac:dyDescent="0.35">
      <c r="A38" t="str">
        <v>Etude passerelle | Malanga Cité</v>
      </c>
    </row>
    <row r="39" spans="1:1" x14ac:dyDescent="0.35">
      <c r="A39" t="str">
        <v>Football | Malanga Cité</v>
      </c>
    </row>
    <row r="40" spans="1:1" x14ac:dyDescent="0.35">
      <c r="A40" t="str">
        <v>Permaculture | Zamba 1er</v>
      </c>
    </row>
    <row r="41" spans="1:1" x14ac:dyDescent="0.35">
      <c r="A41" t="str">
        <v>Apiculture | Zamba 1er</v>
      </c>
    </row>
    <row r="42" spans="1:1" x14ac:dyDescent="0.35">
      <c r="A42" t="str">
        <v>Electricité | Zamba 1er</v>
      </c>
    </row>
    <row r="43" spans="1:1" x14ac:dyDescent="0.35">
      <c r="A43" t="str">
        <v>Bourse universitaire | Zamba 1er</v>
      </c>
    </row>
    <row r="44" spans="1:1" x14ac:dyDescent="0.35">
      <c r="A44" t="str">
        <v>Renforcement maisons | Zamba 1er</v>
      </c>
    </row>
    <row r="45" spans="1:1" x14ac:dyDescent="0.35">
      <c r="A45" t="str">
        <v>Football | Zamba 1er</v>
      </c>
    </row>
    <row r="46" spans="1:1" x14ac:dyDescent="0.35">
      <c r="A46" t="str">
        <v>Marché moderne | Multi-villages</v>
      </c>
    </row>
    <row r="47" spans="1:1" x14ac:dyDescent="0.35">
      <c r="A47" t="str">
        <v>Centre médical | Multi-villages</v>
      </c>
    </row>
    <row r="48" spans="1:1" x14ac:dyDescent="0.35">
      <c r="A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CSR</vt:lpstr>
      <vt:lpstr>DASHBOARD CC</vt:lpstr>
      <vt:lpstr>PROJECTS</vt:lpstr>
      <vt:lpstr>Budget expense Details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Massadi</dc:creator>
  <cp:lastModifiedBy>Gedeon Massadi</cp:lastModifiedBy>
  <dcterms:created xsi:type="dcterms:W3CDTF">2026-06-25T09:29:49Z</dcterms:created>
  <dcterms:modified xsi:type="dcterms:W3CDTF">2026-07-02T07:34:26Z</dcterms:modified>
</cp:coreProperties>
</file>