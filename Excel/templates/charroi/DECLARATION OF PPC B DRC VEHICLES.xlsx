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s\PPC barnet avec Carine EWULI\tresor Maneka\"/>
    </mc:Choice>
  </mc:AlternateContent>
  <xr:revisionPtr revIDLastSave="0" documentId="13_ncr:1_{A29BCADF-0BAB-495B-8886-7EC10C13AA2E}" xr6:coauthVersionLast="47" xr6:coauthVersionMax="47" xr10:uidLastSave="{00000000-0000-0000-0000-000000000000}"/>
  <bookViews>
    <workbookView xWindow="28692" yWindow="-108" windowWidth="29016" windowHeight="16416" xr2:uid="{B3FA6411-2677-431C-A08B-CF46541F4887}"/>
  </bookViews>
  <sheets>
    <sheet name=" PPC LOXEA VEHICULE " sheetId="2" r:id="rId1"/>
    <sheet name="NEW CARS" sheetId="3" r:id="rId2"/>
  </sheets>
  <definedNames>
    <definedName name="_xlnm._FilterDatabase" localSheetId="0" hidden="1">' PPC LOXEA VEHICULE '!$A$19:$O$63</definedName>
    <definedName name="_xlnm._FilterDatabase" localSheetId="1" hidden="1">'NEW CARS'!$A$11:$O$15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3" l="1"/>
  <c r="D6" i="3"/>
  <c r="Z12" i="3"/>
  <c r="S12" i="3"/>
  <c r="C6" i="3"/>
  <c r="B6" i="3"/>
  <c r="S15" i="3"/>
  <c r="Z15" i="3" s="1"/>
  <c r="S14" i="3"/>
  <c r="Z14" i="3" s="1"/>
  <c r="S13" i="3"/>
  <c r="Z13" i="3" s="1"/>
  <c r="A13" i="3"/>
  <c r="A14" i="3" s="1"/>
  <c r="A15" i="3" s="1"/>
  <c r="S71" i="2"/>
  <c r="Z71" i="2" s="1"/>
  <c r="S70" i="2"/>
  <c r="Z70" i="2" s="1"/>
  <c r="S69" i="2"/>
  <c r="Z69" i="2" s="1"/>
  <c r="A69" i="2"/>
  <c r="A70" i="2" s="1"/>
  <c r="A71" i="2" s="1"/>
  <c r="S68" i="2"/>
  <c r="Z68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20" i="2"/>
  <c r="O20" i="2" s="1"/>
  <c r="B6" i="2" l="1"/>
  <c r="D17" i="2"/>
  <c r="D15" i="2"/>
  <c r="C17" i="2"/>
  <c r="C15" i="2"/>
  <c r="B17" i="2"/>
  <c r="B15" i="2"/>
  <c r="D6" i="2"/>
  <c r="C6" i="2"/>
  <c r="B1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tc={AF429F4D-DE0F-4443-ACED-736E85E2187E}</author>
    <author>tc={674D5C20-1F1F-47AA-92C2-5F582F03CDA3}</author>
    <author>tc={B68F0F32-90AC-4A60-9178-E76324E07901}</author>
    <author>tc={C1E44E85-D9FA-49D2-AF82-40133EBE69DA}</author>
    <author>tc={84F9E44F-3E1A-4662-9AFF-22E16AC1E9A9}</author>
  </authors>
  <commentList>
    <comment ref="O29" authorId="0" shapeId="0" xr:uid="{AF429F4D-DE0F-4443-ACED-736E85E2187E}">
      <text>
        <r>
          <rPr>
            <sz val="11"/>
            <color theme="1"/>
            <rFont val="Aptos Narrow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 véhicule a un problème au niveau de la culasse. Nous avons demandé au Japon de la remplacer pour nous.
</t>
        </r>
      </text>
    </comment>
    <comment ref="O32" authorId="1" shapeId="0" xr:uid="{674D5C20-1F1F-47AA-92C2-5F582F03CDA3}">
      <text>
        <r>
          <rPr>
            <sz val="11"/>
            <color theme="1"/>
            <rFont val="Aptos Narrow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 véhicule n'est pas dans le mode de conduite correct. 
</t>
        </r>
      </text>
    </comment>
    <comment ref="O33" authorId="2" shapeId="0" xr:uid="{B68F0F32-90AC-4A60-9178-E76324E07901}">
      <text>
        <r>
          <rPr>
            <sz val="11"/>
            <color theme="1"/>
            <rFont val="Aptos Narrow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 véhicule fonctionne très bien, aucun problème avec le moteur, même sur l'épave et propre. 
</t>
        </r>
      </text>
    </comment>
    <comment ref="O40" authorId="3" shapeId="0" xr:uid="{C1E44E85-D9FA-49D2-AF82-40133EBE69DA}">
      <text>
        <r>
          <rPr>
            <sz val="11"/>
            <color theme="1"/>
            <rFont val="Aptos Narrow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 véhicule fonctionne bien, quelques modifications ont été apportées à l'intérieur.
</t>
        </r>
      </text>
    </comment>
    <comment ref="O41" authorId="4" shapeId="0" xr:uid="{84F9E44F-3E1A-4662-9AFF-22E16AC1E9A9}">
      <text>
        <r>
          <rPr>
            <sz val="11"/>
            <color theme="1"/>
            <rFont val="Aptos Narrow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 véhicule consomme beaucoup en termes de réparations. 
</t>
        </r>
      </text>
    </comment>
  </commentList>
</comments>
</file>

<file path=xl/sharedStrings.xml><?xml version="1.0" encoding="utf-8"?>
<sst xmlns="http://schemas.openxmlformats.org/spreadsheetml/2006/main" count="612" uniqueCount="238">
  <si>
    <t xml:space="preserve">DECLARATION OF PPC B DRC VEHICLES </t>
  </si>
  <si>
    <t>N°</t>
  </si>
  <si>
    <t>MARQUE</t>
  </si>
  <si>
    <t>TYPE</t>
  </si>
  <si>
    <t>N°CHASSIS</t>
  </si>
  <si>
    <t>PLAQUE</t>
  </si>
  <si>
    <t>CV</t>
  </si>
  <si>
    <t xml:space="preserve">MISE CIRCULATION </t>
  </si>
  <si>
    <t>ASSUREUR</t>
  </si>
  <si>
    <t>DEPARTEMENT</t>
  </si>
  <si>
    <t>USER</t>
  </si>
  <si>
    <t xml:space="preserve">PROVENCE </t>
  </si>
  <si>
    <t xml:space="preserve">PPC &amp; LOXEA </t>
  </si>
  <si>
    <t>OBSERVATION  TECH</t>
  </si>
  <si>
    <t xml:space="preserve">Toyota </t>
  </si>
  <si>
    <t>Pick up</t>
  </si>
  <si>
    <t>AHTFK8CD600320444</t>
  </si>
  <si>
    <t>4625AW01</t>
  </si>
  <si>
    <t>13 CV</t>
  </si>
  <si>
    <t>Sfa</t>
  </si>
  <si>
    <t>Sales</t>
  </si>
  <si>
    <t xml:space="preserve">Kisangani </t>
  </si>
  <si>
    <t>AHTFK8CB100280594</t>
  </si>
  <si>
    <t>2953AY01</t>
  </si>
  <si>
    <t>Bovick</t>
  </si>
  <si>
    <t xml:space="preserve">Kongo Central </t>
  </si>
  <si>
    <t>KUV100</t>
  </si>
  <si>
    <t xml:space="preserve">Mahindra </t>
  </si>
  <si>
    <t>MA1VF2NACK6A84304</t>
  </si>
  <si>
    <t>2363BH01</t>
  </si>
  <si>
    <t>08CV</t>
  </si>
  <si>
    <t>Nalik</t>
  </si>
  <si>
    <t>Kinshasa</t>
  </si>
  <si>
    <t>Avertissement</t>
  </si>
  <si>
    <t>MA1VF2NACK6A84310</t>
  </si>
  <si>
    <t>2362BH01</t>
  </si>
  <si>
    <t xml:space="preserve">EL Nathan </t>
  </si>
  <si>
    <t>MA1VF2NACK6A84309</t>
  </si>
  <si>
    <t>2361BH01</t>
  </si>
  <si>
    <t xml:space="preserve">Véhicule de secours </t>
  </si>
  <si>
    <t>MA1VF2NACK6A84299</t>
  </si>
  <si>
    <t>2357BH01</t>
  </si>
  <si>
    <t>Grace</t>
  </si>
  <si>
    <t>MA1VF2NACK6A84303</t>
  </si>
  <si>
    <t>2356BH01</t>
  </si>
  <si>
    <t>Dorly</t>
  </si>
  <si>
    <t>MA1VF2NACK6A84301</t>
  </si>
  <si>
    <t>2359BH01</t>
  </si>
  <si>
    <t xml:space="preserve">AHTFK8CB700280258 </t>
  </si>
  <si>
    <t>9087AW01</t>
  </si>
  <si>
    <t xml:space="preserve">Joseph Lufua </t>
  </si>
  <si>
    <t>AHTFK226003089628</t>
  </si>
  <si>
    <t>1072AR01</t>
  </si>
  <si>
    <t>Eric Kani</t>
  </si>
  <si>
    <t>JTFBBFCPX06052142</t>
  </si>
  <si>
    <t>5535BS01</t>
  </si>
  <si>
    <t>13CV</t>
  </si>
  <si>
    <t xml:space="preserve">Tresor Maneka </t>
  </si>
  <si>
    <t>AHTKK8SCD900677048</t>
  </si>
  <si>
    <t>9426BC01</t>
  </si>
  <si>
    <t>AHTF22G603085485</t>
  </si>
  <si>
    <t>6610AP01</t>
  </si>
  <si>
    <t xml:space="preserve">Michel Mokanga </t>
  </si>
  <si>
    <t>Bumba</t>
  </si>
  <si>
    <t xml:space="preserve">AHTFK8CD700320467 </t>
  </si>
  <si>
    <t>6522AW01</t>
  </si>
  <si>
    <t>Tresor Saidi</t>
  </si>
  <si>
    <t>Boma</t>
  </si>
  <si>
    <t>Tata Xenon</t>
  </si>
  <si>
    <t xml:space="preserve">MAT464008ESL00265 </t>
  </si>
  <si>
    <t>9241AX01</t>
  </si>
  <si>
    <t>11 CV</t>
  </si>
  <si>
    <t>Production</t>
  </si>
  <si>
    <t xml:space="preserve">MAT464008ESL00267 </t>
  </si>
  <si>
    <t>9242AX01</t>
  </si>
  <si>
    <t>Engineering</t>
  </si>
  <si>
    <t>Simon Macharia</t>
  </si>
  <si>
    <t xml:space="preserve">Tata </t>
  </si>
  <si>
    <t>Tata LPO-1318</t>
  </si>
  <si>
    <t>MAT462271G0LO4093</t>
  </si>
  <si>
    <t>5992AX01</t>
  </si>
  <si>
    <t>48 CV</t>
  </si>
  <si>
    <t>Pool bus</t>
  </si>
  <si>
    <t>Coaster</t>
  </si>
  <si>
    <t>JTGFB518601073893</t>
  </si>
  <si>
    <t>9703AT01</t>
  </si>
  <si>
    <t>17 CV</t>
  </si>
  <si>
    <t>AHTFK22GT03095297</t>
  </si>
  <si>
    <t>2185AV01</t>
  </si>
  <si>
    <t>Environment</t>
  </si>
  <si>
    <t>AHTFK22G403097456</t>
  </si>
  <si>
    <t>2852AT01</t>
  </si>
  <si>
    <t>Safety</t>
  </si>
  <si>
    <t xml:space="preserve">Joel </t>
  </si>
  <si>
    <t>JTERB71J400074163</t>
  </si>
  <si>
    <t>0784AQ01</t>
  </si>
  <si>
    <t>Ambulance</t>
  </si>
  <si>
    <t xml:space="preserve">JTEBB71J10430780 </t>
  </si>
  <si>
    <t>1209AS01</t>
  </si>
  <si>
    <t>Mining</t>
  </si>
  <si>
    <t xml:space="preserve">Marques </t>
  </si>
  <si>
    <t xml:space="preserve">JTELB71J404321213 </t>
  </si>
  <si>
    <t>9088AW01</t>
  </si>
  <si>
    <t>Eng-Garage</t>
  </si>
  <si>
    <t>Thomas</t>
  </si>
  <si>
    <t xml:space="preserve">AHTFK8CB900280200 </t>
  </si>
  <si>
    <t>9090AW01</t>
  </si>
  <si>
    <t>Warehouse</t>
  </si>
  <si>
    <t>Emmanul</t>
  </si>
  <si>
    <t>Volvo</t>
  </si>
  <si>
    <t>FM64RB</t>
  </si>
  <si>
    <t>YV2SGOD5EA75873</t>
  </si>
  <si>
    <t>5759AQ01</t>
  </si>
  <si>
    <t>30CV</t>
  </si>
  <si>
    <t>Longo</t>
  </si>
  <si>
    <t>Tata LPO</t>
  </si>
  <si>
    <t>MAT42271P5LO1960</t>
  </si>
  <si>
    <t>3489BS01</t>
  </si>
  <si>
    <t>Serge M</t>
  </si>
  <si>
    <t>AHTDK9CD100980227</t>
  </si>
  <si>
    <t>5534BS01</t>
  </si>
  <si>
    <t>Jeremy Atatala</t>
  </si>
  <si>
    <t>Lubudi</t>
  </si>
  <si>
    <t xml:space="preserve">Peugeot </t>
  </si>
  <si>
    <t>VR3FDAHDHM3004118</t>
  </si>
  <si>
    <t>9269BN01</t>
  </si>
  <si>
    <t>Rawsur</t>
  </si>
  <si>
    <t xml:space="preserve">Kongo central </t>
  </si>
  <si>
    <t>LOXEA</t>
  </si>
  <si>
    <t>VR3FDAHDHM3006436</t>
  </si>
  <si>
    <t>9261BN01</t>
  </si>
  <si>
    <t>VR3FDAHDM3006435</t>
  </si>
  <si>
    <t>9263BN01</t>
  </si>
  <si>
    <t>Q A</t>
  </si>
  <si>
    <t xml:space="preserve">Charles Pongo </t>
  </si>
  <si>
    <t xml:space="preserve">TOYOTA </t>
  </si>
  <si>
    <t>AHTDK8CD600937091</t>
  </si>
  <si>
    <t>9976BK01</t>
  </si>
  <si>
    <t>Project</t>
  </si>
  <si>
    <t>Elias T</t>
  </si>
  <si>
    <t>Toyota</t>
  </si>
  <si>
    <t>Hiace</t>
  </si>
  <si>
    <t>JTFJK02P705016540</t>
  </si>
  <si>
    <t>0983BM01</t>
  </si>
  <si>
    <t xml:space="preserve">Fortuner </t>
  </si>
  <si>
    <t>AHTKB8FS800250065</t>
  </si>
  <si>
    <t>0774BP01</t>
  </si>
  <si>
    <t>Administration</t>
  </si>
  <si>
    <t>Andrew</t>
  </si>
  <si>
    <t>JTGABAB8906710179</t>
  </si>
  <si>
    <t>8149BP01</t>
  </si>
  <si>
    <t>AHTFK6CD200043540</t>
  </si>
  <si>
    <t>7982AY01</t>
  </si>
  <si>
    <t>Cross</t>
  </si>
  <si>
    <t>RKLKUBAG200500569</t>
  </si>
  <si>
    <t>6833BL01</t>
  </si>
  <si>
    <t>Logistique</t>
  </si>
  <si>
    <t>Jean Pierre Mav.</t>
  </si>
  <si>
    <t xml:space="preserve">Kinshasa </t>
  </si>
  <si>
    <t>RKLKUBAGX00500559</t>
  </si>
  <si>
    <t>6809BL01</t>
  </si>
  <si>
    <t>RKLKUBAG400500556</t>
  </si>
  <si>
    <t>6836BL01</t>
  </si>
  <si>
    <t xml:space="preserve">Sales </t>
  </si>
  <si>
    <t>Prado</t>
  </si>
  <si>
    <t>JTEBR9FJ40K212936</t>
  </si>
  <si>
    <t>3705AS05</t>
  </si>
  <si>
    <t xml:space="preserve">Patrick Kahasha </t>
  </si>
  <si>
    <t>AHTDK9CD600975569</t>
  </si>
  <si>
    <t>9260BN01</t>
  </si>
  <si>
    <t>Junior M</t>
  </si>
  <si>
    <t>Tshikapa</t>
  </si>
  <si>
    <t>VR3FDAHDHM3006457</t>
  </si>
  <si>
    <t>9267BN01</t>
  </si>
  <si>
    <t>Tresor M</t>
  </si>
  <si>
    <t>VR3FDHDHM</t>
  </si>
  <si>
    <t>5132BN01</t>
  </si>
  <si>
    <t>Patrick Maga</t>
  </si>
  <si>
    <t>VR3FDAHDHM3006106</t>
  </si>
  <si>
    <t>7127BP01</t>
  </si>
  <si>
    <t>Paul Ts</t>
  </si>
  <si>
    <t>RKLKUAAG700500223</t>
  </si>
  <si>
    <t>8408BL01</t>
  </si>
  <si>
    <t>Sales &amp; Marketing</t>
  </si>
  <si>
    <t>Jean Pierre B</t>
  </si>
  <si>
    <t>Hiace Bus</t>
  </si>
  <si>
    <t>Hr HQ</t>
  </si>
  <si>
    <t xml:space="preserve">Plant HR </t>
  </si>
  <si>
    <t>Papy Bazola</t>
  </si>
  <si>
    <t>MD</t>
  </si>
  <si>
    <t>Patrick Mukendi</t>
  </si>
  <si>
    <t>Phillipe Vangu</t>
  </si>
  <si>
    <t>AGE DU VEHICULE</t>
  </si>
  <si>
    <t>Km/H</t>
  </si>
  <si>
    <t>Bon état</t>
  </si>
  <si>
    <t>Au-delà</t>
  </si>
  <si>
    <t>A déclasser</t>
  </si>
  <si>
    <t>180 000 KMH</t>
  </si>
  <si>
    <t>PPC</t>
  </si>
  <si>
    <t>RESUME DES ETATS DE VEHICULES</t>
  </si>
  <si>
    <t>CRITERE PAR ANNEE DE CIRCULATION</t>
  </si>
  <si>
    <t>De : à</t>
  </si>
  <si>
    <t>CRITERE PAR KILOMETRAGE</t>
  </si>
  <si>
    <t xml:space="preserve">Secteur </t>
  </si>
  <si>
    <t>Cout Achat</t>
  </si>
  <si>
    <t>Coût d'achat  des pneus</t>
  </si>
  <si>
    <t>Battery (in case)</t>
  </si>
  <si>
    <t>Others Consummabes</t>
  </si>
  <si>
    <t>Nbre de litr Carte Engen</t>
  </si>
  <si>
    <t>Prix par Litre de carburant</t>
  </si>
  <si>
    <t>Fuel cost</t>
  </si>
  <si>
    <t>Assurance annuelle</t>
  </si>
  <si>
    <t>Taxes annuees control tech annuelle</t>
  </si>
  <si>
    <t>Vignette</t>
  </si>
  <si>
    <t xml:space="preserve">Nouvelle plaque </t>
  </si>
  <si>
    <t>Entretien trimestries</t>
  </si>
  <si>
    <t>Réparations Diverses</t>
  </si>
  <si>
    <t>TOTAL</t>
  </si>
  <si>
    <t xml:space="preserve">Lubudi </t>
  </si>
  <si>
    <t>NOUVEAUX VEHICULES</t>
  </si>
  <si>
    <t>Nature</t>
  </si>
  <si>
    <t xml:space="preserve">Marque </t>
  </si>
  <si>
    <t xml:space="preserve">Type </t>
  </si>
  <si>
    <t>Plaque</t>
  </si>
  <si>
    <t>Mise Circ</t>
  </si>
  <si>
    <t>Depart</t>
  </si>
  <si>
    <t>Centre de cout</t>
  </si>
  <si>
    <t>Matricule</t>
  </si>
  <si>
    <t>Vehicule PPC</t>
  </si>
  <si>
    <t>Hilux</t>
  </si>
  <si>
    <t>NA</t>
  </si>
  <si>
    <t>HR</t>
  </si>
  <si>
    <t>KM5413</t>
  </si>
  <si>
    <t>Carine Mirindi</t>
  </si>
  <si>
    <t>COUT ACHAT TOTAL</t>
  </si>
  <si>
    <t>AUTRE COUT</t>
  </si>
  <si>
    <t>COUT TOTAL</t>
  </si>
  <si>
    <t>RESUME DU COUT DES VEHICULES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</si>
</sst>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[$-409]d\-mmm\-yy;@"/>
    <numFmt numFmtId="165" formatCode="_-[$$-409]* #,##0.00_ ;_-[$$-409]* \-#,##0.00\ ;_-[$$-409]* &quot;-&quot;??_ ;_-@_ 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2"/>
      <color rgb="FF212121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36"/>
      <color theme="0"/>
      <name val="Calibri"/>
      <family val="2"/>
    </font>
    <font>
      <b/>
      <sz val="28"/>
      <color theme="1"/>
      <name val="Calibri"/>
      <family val="2"/>
    </font>
    <font>
      <b/>
      <sz val="48"/>
      <color theme="1"/>
      <name val="Calibri"/>
      <family val="2"/>
    </font>
    <font>
      <b/>
      <sz val="12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6"/>
      <color theme="0"/>
      <name val="Calibri"/>
      <family val="2"/>
    </font>
    <font>
      <b/>
      <sz val="24"/>
      <color theme="0"/>
      <name val="Calibri"/>
      <family val="2"/>
    </font>
    <font>
      <b/>
      <sz val="20"/>
      <color theme="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DD4F"/>
        <bgColor indexed="64"/>
      </patternFill>
    </fill>
    <fill>
      <patternFill patternType="solid">
        <fgColor rgb="FFFFE98B"/>
        <bgColor indexed="64"/>
      </patternFill>
    </fill>
    <fill>
      <patternFill patternType="solid">
        <fgColor rgb="FFF20000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3" borderId="1" xfId="0" applyFont="1" applyFill="1" applyBorder="1"/>
    <xf numFmtId="0" fontId="2" fillId="3" borderId="1" xfId="1" applyFont="1" applyFill="1" applyBorder="1" applyAlignment="1">
      <alignment horizontal="left"/>
    </xf>
    <xf numFmtId="0" fontId="2" fillId="3" borderId="1" xfId="1" applyFont="1" applyFill="1" applyBorder="1" applyAlignment="1">
      <alignment horizontal="center"/>
    </xf>
    <xf numFmtId="0" fontId="2" fillId="0" borderId="1" xfId="0" applyFont="1" applyBorder="1"/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0" fontId="7" fillId="7" borderId="0" xfId="0" applyFont="1" applyFill="1" applyAlignment="1">
      <alignment vertical="center"/>
    </xf>
    <xf numFmtId="0" fontId="7" fillId="7" borderId="2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7" fillId="7" borderId="2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4" fillId="0" borderId="0" xfId="0" applyFont="1"/>
    <xf numFmtId="0" fontId="2" fillId="3" borderId="0" xfId="0" applyFont="1" applyFill="1"/>
    <xf numFmtId="43" fontId="2" fillId="3" borderId="0" xfId="2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8" fillId="13" borderId="5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0" fontId="12" fillId="11" borderId="0" xfId="0" applyFont="1" applyFill="1" applyAlignment="1">
      <alignment horizontal="center"/>
    </xf>
    <xf numFmtId="0" fontId="11" fillId="13" borderId="5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11" fillId="10" borderId="6" xfId="0" applyFont="1" applyFill="1" applyBorder="1" applyAlignment="1">
      <alignment horizontal="center"/>
    </xf>
    <xf numFmtId="0" fontId="12" fillId="12" borderId="7" xfId="0" applyFont="1" applyFill="1" applyBorder="1" applyAlignment="1">
      <alignment horizontal="center"/>
    </xf>
    <xf numFmtId="0" fontId="11" fillId="14" borderId="8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7" fillId="3" borderId="1" xfId="0" applyFont="1" applyFill="1" applyBorder="1"/>
    <xf numFmtId="165" fontId="18" fillId="6" borderId="1" xfId="3" applyNumberFormat="1" applyFont="1" applyFill="1" applyBorder="1" applyAlignment="1">
      <alignment horizontal="center"/>
    </xf>
    <xf numFmtId="165" fontId="2" fillId="3" borderId="0" xfId="3" applyNumberFormat="1" applyFont="1" applyFill="1"/>
    <xf numFmtId="165" fontId="18" fillId="15" borderId="1" xfId="3" applyNumberFormat="1" applyFont="1" applyFill="1" applyBorder="1" applyAlignment="1">
      <alignment horizontal="center"/>
    </xf>
    <xf numFmtId="165" fontId="18" fillId="16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6" fillId="7" borderId="1" xfId="0" applyFont="1" applyFill="1" applyBorder="1" applyAlignment="1">
      <alignment vertical="center"/>
    </xf>
    <xf numFmtId="0" fontId="16" fillId="7" borderId="3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vertical="center"/>
    </xf>
    <xf numFmtId="0" fontId="20" fillId="3" borderId="1" xfId="0" applyFont="1" applyFill="1" applyBorder="1"/>
    <xf numFmtId="0" fontId="20" fillId="3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horizontal="left" vertical="center"/>
    </xf>
    <xf numFmtId="0" fontId="20" fillId="3" borderId="2" xfId="0" applyFont="1" applyFill="1" applyBorder="1"/>
    <xf numFmtId="0" fontId="20" fillId="3" borderId="2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165" fontId="18" fillId="6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9" fillId="9" borderId="4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9" fillId="14" borderId="8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12" borderId="7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1" fillId="13" borderId="5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8" fillId="18" borderId="5" xfId="0" applyFont="1" applyFill="1" applyBorder="1" applyAlignment="1">
      <alignment horizontal="center"/>
    </xf>
    <xf numFmtId="165" fontId="24" fillId="18" borderId="5" xfId="0" applyNumberFormat="1" applyFont="1" applyFill="1" applyBorder="1" applyAlignment="1">
      <alignment horizontal="center" vertical="center"/>
    </xf>
    <xf numFmtId="0" fontId="24" fillId="18" borderId="5" xfId="0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horizontal="center"/>
    </xf>
    <xf numFmtId="165" fontId="24" fillId="17" borderId="5" xfId="0" applyNumberFormat="1" applyFont="1" applyFill="1" applyBorder="1" applyAlignment="1">
      <alignment horizontal="center" vertical="center"/>
    </xf>
    <xf numFmtId="0" fontId="24" fillId="17" borderId="5" xfId="0" applyFont="1" applyFill="1" applyBorder="1" applyAlignment="1">
      <alignment horizontal="center" vertical="center"/>
    </xf>
    <xf numFmtId="0" fontId="8" fillId="19" borderId="0" xfId="0" applyFont="1" applyFill="1" applyAlignment="1">
      <alignment horizontal="center"/>
    </xf>
    <xf numFmtId="165" fontId="23" fillId="19" borderId="0" xfId="0" applyNumberFormat="1" applyFont="1" applyFill="1" applyAlignment="1">
      <alignment horizontal="center" vertical="center"/>
    </xf>
    <xf numFmtId="43" fontId="2" fillId="0" borderId="0" xfId="2" applyFont="1" applyAlignment="1">
      <alignment horizontal="right"/>
    </xf>
    <xf numFmtId="43" fontId="7" fillId="7" borderId="0" xfId="2" applyFont="1" applyFill="1" applyAlignment="1">
      <alignment horizontal="right" vertical="center"/>
    </xf>
    <xf numFmtId="43" fontId="2" fillId="3" borderId="1" xfId="2" applyFont="1" applyFill="1" applyBorder="1" applyAlignment="1">
      <alignment horizontal="right"/>
    </xf>
    <xf numFmtId="43" fontId="0" fillId="0" borderId="0" xfId="2" applyFont="1" applyAlignment="1">
      <alignment horizontal="right"/>
    </xf>
    <xf numFmtId="43" fontId="16" fillId="7" borderId="1" xfId="2" applyFont="1" applyFill="1" applyBorder="1" applyAlignment="1">
      <alignment horizontal="right" vertical="center"/>
    </xf>
    <xf numFmtId="43" fontId="17" fillId="3" borderId="1" xfId="2" applyFont="1" applyFill="1" applyBorder="1" applyAlignment="1">
      <alignment horizontal="right"/>
    </xf>
  </cellXfs>
  <cellStyles count="4">
    <cellStyle name="40 % - Accent5" xfId="1" builtinId="47"/>
    <cellStyle name="Milliers" xfId="2" builtinId="3"/>
    <cellStyle name="Monétaire" xfId="3" builtinId="4"/>
    <cellStyle name="Normal" xfId="0" builtinId="0"/>
  </cellStyles>
  <dxfs count="3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theme="1"/>
      </font>
      <fill>
        <patternFill patternType="gray0625">
          <fgColor theme="0"/>
          <bgColor theme="5" tint="0.59996337778862885"/>
        </patternFill>
      </fill>
    </dxf>
    <dxf>
      <font>
        <b/>
        <i val="0"/>
        <color theme="0"/>
      </font>
      <fill>
        <patternFill patternType="gray0625">
          <fgColor theme="0"/>
          <bgColor rgb="FFC00000"/>
        </patternFill>
      </fill>
    </dxf>
    <dxf>
      <font>
        <b/>
        <i val="0"/>
        <color theme="1"/>
      </font>
      <fill>
        <patternFill patternType="gray0625">
          <fgColor theme="0"/>
          <bgColor theme="5" tint="0.59996337778862885"/>
        </patternFill>
      </fill>
    </dxf>
    <dxf>
      <font>
        <b/>
        <i val="0"/>
        <color theme="0"/>
      </font>
      <fill>
        <patternFill patternType="gray0625">
          <fgColor theme="0"/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theme="1"/>
      </font>
      <fill>
        <patternFill patternType="gray0625">
          <fgColor theme="0"/>
          <bgColor theme="5" tint="0.59996337778862885"/>
        </patternFill>
      </fill>
    </dxf>
    <dxf>
      <font>
        <b/>
        <i val="0"/>
        <color theme="0"/>
      </font>
      <fill>
        <patternFill patternType="gray0625">
          <fgColor theme="0"/>
          <bgColor rgb="FFC00000"/>
        </patternFill>
      </fill>
    </dxf>
  </dxfs>
  <tableStyles count="0" defaultTableStyle="TableStyleMedium2" defaultPivotStyle="PivotStyleLight16"/>
  <colors>
    <mruColors>
      <color rgb="FFFF4F4F"/>
      <color rgb="FFF20000"/>
      <color rgb="FFFFE98B"/>
      <color rgb="FFFFDD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esor Maneka" id="{B25EEEA7-EAD1-42FE-8F62-B33EE5DF3A64}" userId="S::Tresor.Maneka@ppcdrc.cd::a3e10871-399f-4f8f-a1d6-00dac4bec35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9" dT="2026-01-13T14:26:00.09" personId="{B25EEEA7-EAD1-42FE-8F62-B33EE5DF3A64}" id="{AF429F4D-DE0F-4443-ACED-736E85E2187E}">
    <text xml:space="preserve">Le véhicule a un problème au niveau de la culasse. Nous avons demandé au Japon de la remplacer pour nous.
</text>
  </threadedComment>
  <threadedComment ref="O32" dT="2026-01-13T14:27:18.77" personId="{B25EEEA7-EAD1-42FE-8F62-B33EE5DF3A64}" id="{674D5C20-1F1F-47AA-92C2-5F582F03CDA3}">
    <text xml:space="preserve">Le véhicule n'est pas dans le mode de conduite correct. 
</text>
  </threadedComment>
  <threadedComment ref="O33" dT="2026-01-13T14:03:47.30" personId="{B25EEEA7-EAD1-42FE-8F62-B33EE5DF3A64}" id="{B68F0F32-90AC-4A60-9178-E76324E07901}">
    <text xml:space="preserve">Le véhicule fonctionne très bien, aucun problème avec le moteur, même sur l'épave et propre. 
</text>
  </threadedComment>
  <threadedComment ref="O40" dT="2026-01-13T15:31:07.07" personId="{B25EEEA7-EAD1-42FE-8F62-B33EE5DF3A64}" id="{C1E44E85-D9FA-49D2-AF82-40133EBE69DA}">
    <text xml:space="preserve">Le véhicule fonctionne bien, quelques modifications ont été apportées à l'intérieur.
</text>
  </threadedComment>
  <threadedComment ref="O41" dT="2026-01-13T15:32:01.44" personId="{B25EEEA7-EAD1-42FE-8F62-B33EE5DF3A64}" id="{84F9E44F-3E1A-4662-9AFF-22E16AC1E9A9}">
    <text xml:space="preserve">Le véhicule consomme beaucoup en termes de réparations.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2873-20E8-4F8A-9AA8-FC5595BC7177}">
  <sheetPr filterMode="1"/>
  <dimension ref="A2:CN79"/>
  <sheetViews>
    <sheetView showGridLines="0" tabSelected="1" topLeftCell="A2" zoomScale="90" zoomScaleNormal="90" workbookViewId="0">
      <pane ySplit="1" topLeftCell="A3" activePane="bottomLeft" state="frozen"/>
      <selection activeCell="A2" sqref="A2"/>
      <selection pane="bottomLeft" activeCell="C77" sqref="C77"/>
    </sheetView>
  </sheetViews>
  <sheetFormatPr baseColWidth="10" defaultColWidth="8.69921875" defaultRowHeight="14.4"/>
  <cols>
    <col min="1" max="1" width="5.69921875" style="2" customWidth="1"/>
    <col min="2" max="2" width="18.59765625" style="1" customWidth="1"/>
    <col min="3" max="3" width="17.09765625" style="1" customWidth="1"/>
    <col min="4" max="4" width="19.69921875" style="1" customWidth="1"/>
    <col min="5" max="5" width="15.09765625" style="1" customWidth="1"/>
    <col min="6" max="6" width="16.19921875" style="2" hidden="1" customWidth="1"/>
    <col min="7" max="7" width="17.296875" style="2" hidden="1" customWidth="1"/>
    <col min="8" max="8" width="16.19921875" style="1" hidden="1" customWidth="1"/>
    <col min="9" max="9" width="25.09765625" style="1" hidden="1" customWidth="1"/>
    <col min="10" max="10" width="15.8984375" style="1" customWidth="1"/>
    <col min="11" max="11" width="20.59765625" style="1" customWidth="1"/>
    <col min="12" max="12" width="14.296875" style="110" customWidth="1"/>
    <col min="13" max="13" width="17.59765625" style="2" bestFit="1" customWidth="1"/>
    <col min="14" max="14" width="17.59765625" style="2" customWidth="1"/>
    <col min="15" max="15" width="25.8984375" style="1" customWidth="1"/>
    <col min="16" max="17" width="8.69921875" style="1"/>
    <col min="18" max="18" width="11.09765625" style="1" bestFit="1" customWidth="1"/>
    <col min="19" max="23" width="8.69921875" style="1"/>
    <col min="24" max="24" width="19.5" style="1" bestFit="1" customWidth="1"/>
    <col min="25" max="25" width="8.69921875" style="1"/>
    <col min="26" max="26" width="9.09765625" style="1" bestFit="1" customWidth="1"/>
    <col min="27" max="16384" width="8.69921875" style="1"/>
  </cols>
  <sheetData>
    <row r="2" spans="1:14" ht="36.6">
      <c r="A2" s="74" t="s">
        <v>0</v>
      </c>
    </row>
    <row r="3" spans="1:14" ht="15" thickBot="1"/>
    <row r="4" spans="1:14" ht="16.2" thickBot="1">
      <c r="B4" s="84" t="s">
        <v>199</v>
      </c>
      <c r="C4" s="98"/>
      <c r="D4" s="85"/>
      <c r="F4" s="84" t="s">
        <v>200</v>
      </c>
      <c r="G4" s="98"/>
      <c r="H4" s="85"/>
      <c r="N4" s="1"/>
    </row>
    <row r="5" spans="1:14">
      <c r="B5" s="41" t="s">
        <v>194</v>
      </c>
      <c r="C5" s="42" t="s">
        <v>33</v>
      </c>
      <c r="D5" s="43" t="s">
        <v>196</v>
      </c>
      <c r="F5" s="41" t="s">
        <v>201</v>
      </c>
      <c r="G5" s="42" t="s">
        <v>201</v>
      </c>
      <c r="H5" s="43" t="s">
        <v>201</v>
      </c>
      <c r="N5" s="1"/>
    </row>
    <row r="6" spans="1:14" ht="18">
      <c r="B6" s="79">
        <f ca="1">COUNTIF($O$20:$O$70,B5)</f>
        <v>19</v>
      </c>
      <c r="C6" s="80">
        <f ca="1">COUNTIF($O$20:$O$70,C5)</f>
        <v>20</v>
      </c>
      <c r="D6" s="81">
        <f ca="1">COUNTIF($O$20:$O$70,D5)</f>
        <v>5</v>
      </c>
      <c r="F6" s="44">
        <v>0</v>
      </c>
      <c r="G6" s="45">
        <v>5</v>
      </c>
      <c r="H6" s="46">
        <v>10</v>
      </c>
      <c r="N6" s="1"/>
    </row>
    <row r="7" spans="1:14" ht="14.55" customHeight="1">
      <c r="B7" s="79"/>
      <c r="C7" s="80"/>
      <c r="D7" s="81"/>
      <c r="F7" s="95">
        <v>5</v>
      </c>
      <c r="G7" s="100">
        <v>10</v>
      </c>
      <c r="H7" s="99" t="s">
        <v>195</v>
      </c>
      <c r="N7" s="1"/>
    </row>
    <row r="8" spans="1:14" ht="14.55" customHeight="1">
      <c r="B8" s="79"/>
      <c r="C8" s="80"/>
      <c r="D8" s="81"/>
      <c r="F8" s="95"/>
      <c r="G8" s="100"/>
      <c r="H8" s="99"/>
      <c r="N8" s="1"/>
    </row>
    <row r="9" spans="1:14" ht="14.55" customHeight="1">
      <c r="B9" s="79"/>
      <c r="C9" s="80"/>
      <c r="D9" s="81"/>
      <c r="F9" s="77" t="s">
        <v>194</v>
      </c>
      <c r="G9" s="96" t="s">
        <v>33</v>
      </c>
      <c r="H9" s="82" t="s">
        <v>196</v>
      </c>
      <c r="N9" s="1"/>
    </row>
    <row r="10" spans="1:14" ht="12.45" hidden="1" customHeight="1" thickBot="1">
      <c r="B10" s="86">
        <f ca="1">SUM(B6:D9)</f>
        <v>44</v>
      </c>
      <c r="C10" s="87"/>
      <c r="D10" s="88"/>
      <c r="F10" s="78"/>
      <c r="G10" s="97"/>
      <c r="H10" s="83"/>
      <c r="N10" s="1"/>
    </row>
    <row r="11" spans="1:14" ht="17.55" hidden="1" customHeight="1" thickBot="1">
      <c r="B11" s="89"/>
      <c r="C11" s="90"/>
      <c r="D11" s="91"/>
      <c r="F11" s="84" t="s">
        <v>202</v>
      </c>
      <c r="G11" s="85"/>
    </row>
    <row r="12" spans="1:14" ht="14.55" hidden="1" customHeight="1">
      <c r="B12" s="89"/>
      <c r="C12" s="90"/>
      <c r="D12" s="91"/>
      <c r="F12" s="41" t="s">
        <v>201</v>
      </c>
      <c r="G12" s="43" t="s">
        <v>201</v>
      </c>
    </row>
    <row r="13" spans="1:14" ht="12" hidden="1" customHeight="1" thickBot="1">
      <c r="B13" s="92"/>
      <c r="C13" s="93"/>
      <c r="D13" s="94"/>
      <c r="F13" s="48">
        <v>0</v>
      </c>
      <c r="G13" s="47" t="s">
        <v>197</v>
      </c>
    </row>
    <row r="14" spans="1:14" hidden="1">
      <c r="B14" s="29" t="s">
        <v>198</v>
      </c>
      <c r="C14" s="30" t="s">
        <v>198</v>
      </c>
      <c r="D14" s="31" t="s">
        <v>198</v>
      </c>
      <c r="F14" s="75" t="s">
        <v>197</v>
      </c>
      <c r="G14" s="76" t="s">
        <v>195</v>
      </c>
    </row>
    <row r="15" spans="1:14" ht="20.399999999999999" hidden="1" customHeight="1">
      <c r="B15" s="32">
        <f ca="1">COUNTIFS($O$20:$O$70,B$5,$K$20:$K$70,B14)</f>
        <v>3</v>
      </c>
      <c r="C15" s="33">
        <f ca="1">COUNTIFS($O$20:$O$70,C$5,$K$20:$K$70,C14)</f>
        <v>19</v>
      </c>
      <c r="D15" s="34">
        <f ca="1">COUNTIFS($O$20:$O$70,D$5,$K$20:$K$70,D14)</f>
        <v>5</v>
      </c>
      <c r="F15" s="75"/>
      <c r="G15" s="76"/>
    </row>
    <row r="16" spans="1:14" hidden="1">
      <c r="B16" s="35" t="s">
        <v>128</v>
      </c>
      <c r="C16" s="36" t="s">
        <v>128</v>
      </c>
      <c r="D16" s="37" t="s">
        <v>128</v>
      </c>
      <c r="F16" s="77" t="s">
        <v>194</v>
      </c>
      <c r="G16" s="82" t="s">
        <v>196</v>
      </c>
    </row>
    <row r="17" spans="1:92" ht="18" hidden="1">
      <c r="B17" s="38">
        <f ca="1">COUNTIFS($O$20:$O$70,B$5,$K$20:$K$70,B16)</f>
        <v>16</v>
      </c>
      <c r="C17" s="39">
        <f ca="1">COUNTIFS($O$20:$O$70,C$5,$K$20:$K$70,C16)</f>
        <v>1</v>
      </c>
      <c r="D17" s="40">
        <f ca="1">COUNTIFS($O$20:$O$70,D$5,$K$20:$K$70,D16)</f>
        <v>0</v>
      </c>
      <c r="F17" s="78"/>
      <c r="G17" s="83"/>
    </row>
    <row r="19" spans="1:92" s="24" customFormat="1" ht="16.5" customHeight="1">
      <c r="A19" s="14" t="s">
        <v>1</v>
      </c>
      <c r="B19" s="20" t="s">
        <v>2</v>
      </c>
      <c r="C19" s="20" t="s">
        <v>3</v>
      </c>
      <c r="D19" s="20" t="s">
        <v>4</v>
      </c>
      <c r="E19" s="20" t="s">
        <v>5</v>
      </c>
      <c r="F19" s="14" t="s">
        <v>6</v>
      </c>
      <c r="G19" s="14" t="s">
        <v>8</v>
      </c>
      <c r="H19" s="14" t="s">
        <v>9</v>
      </c>
      <c r="I19" s="16" t="s">
        <v>10</v>
      </c>
      <c r="J19" s="17" t="s">
        <v>11</v>
      </c>
      <c r="K19" s="18" t="s">
        <v>12</v>
      </c>
      <c r="L19" s="111" t="s">
        <v>193</v>
      </c>
      <c r="M19" s="15" t="s">
        <v>7</v>
      </c>
      <c r="N19" s="22" t="s">
        <v>192</v>
      </c>
      <c r="O19" s="19" t="s">
        <v>13</v>
      </c>
    </row>
    <row r="20" spans="1:92" hidden="1">
      <c r="A20" s="72">
        <v>1</v>
      </c>
      <c r="B20" s="4" t="s">
        <v>14</v>
      </c>
      <c r="C20" s="4" t="s">
        <v>15</v>
      </c>
      <c r="D20" s="4" t="s">
        <v>16</v>
      </c>
      <c r="E20" s="4" t="s">
        <v>17</v>
      </c>
      <c r="F20" s="5" t="s">
        <v>18</v>
      </c>
      <c r="G20" s="5" t="s">
        <v>19</v>
      </c>
      <c r="H20" s="4" t="s">
        <v>20</v>
      </c>
      <c r="I20" s="4" t="s">
        <v>184</v>
      </c>
      <c r="J20" s="4" t="s">
        <v>21</v>
      </c>
      <c r="K20" s="5" t="s">
        <v>198</v>
      </c>
      <c r="L20" s="5">
        <v>124580</v>
      </c>
      <c r="M20" s="5">
        <v>2016</v>
      </c>
      <c r="N20" s="5">
        <f ca="1">TEXT(TODAY(),"aaaa")-M20</f>
        <v>10</v>
      </c>
      <c r="O20" s="3" t="str">
        <f ca="1">+IF(N20&lt;=5,"Bon état",IF(L20&gt;180000,"A déclasser",IF(N20&lt;=10,"Avertissement","A déclasser")))</f>
        <v>Avertissement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</row>
    <row r="21" spans="1:92" hidden="1">
      <c r="A21" s="72">
        <v>2</v>
      </c>
      <c r="B21" s="4" t="s">
        <v>14</v>
      </c>
      <c r="C21" s="4" t="s">
        <v>15</v>
      </c>
      <c r="D21" s="4" t="s">
        <v>22</v>
      </c>
      <c r="E21" s="4" t="s">
        <v>23</v>
      </c>
      <c r="F21" s="5" t="s">
        <v>18</v>
      </c>
      <c r="G21" s="5" t="s">
        <v>19</v>
      </c>
      <c r="H21" s="4" t="s">
        <v>20</v>
      </c>
      <c r="I21" s="4" t="s">
        <v>24</v>
      </c>
      <c r="J21" s="4" t="s">
        <v>25</v>
      </c>
      <c r="K21" s="5" t="s">
        <v>198</v>
      </c>
      <c r="L21" s="5">
        <v>143181</v>
      </c>
      <c r="M21" s="5">
        <v>2017</v>
      </c>
      <c r="N21" s="5">
        <f t="shared" ref="N21:N63" ca="1" si="0">TEXT(TODAY(),"aaaa")-M21</f>
        <v>9</v>
      </c>
      <c r="O21" s="3" t="str">
        <f ca="1">+IF(N21&lt;=5,"Bon état",IF(L21&gt;180000,"A déclasser",IF(N21&lt;=10,"Avertissement","A déclasser")))</f>
        <v>Avertissement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</row>
    <row r="22" spans="1:92" hidden="1">
      <c r="A22" s="72">
        <v>3</v>
      </c>
      <c r="B22" s="4" t="s">
        <v>26</v>
      </c>
      <c r="C22" s="4" t="s">
        <v>27</v>
      </c>
      <c r="D22" s="4" t="s">
        <v>28</v>
      </c>
      <c r="E22" s="4" t="s">
        <v>29</v>
      </c>
      <c r="F22" s="6" t="s">
        <v>30</v>
      </c>
      <c r="G22" s="5" t="s">
        <v>19</v>
      </c>
      <c r="H22" s="4" t="s">
        <v>20</v>
      </c>
      <c r="I22" s="4" t="s">
        <v>31</v>
      </c>
      <c r="J22" s="4" t="s">
        <v>32</v>
      </c>
      <c r="K22" s="5" t="s">
        <v>198</v>
      </c>
      <c r="L22" s="5">
        <v>72340</v>
      </c>
      <c r="M22" s="5">
        <v>2020</v>
      </c>
      <c r="N22" s="5">
        <f t="shared" ca="1" si="0"/>
        <v>6</v>
      </c>
      <c r="O22" s="3" t="str">
        <f t="shared" ref="O22:O63" ca="1" si="1">+IF(N22&lt;=5,"Bon état",IF(L22&gt;180000,"A déclasser",IF(N22&lt;=10,"Avertissement","A déclasser")))</f>
        <v>Avertissement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</row>
    <row r="23" spans="1:92" hidden="1">
      <c r="A23" s="72">
        <v>4</v>
      </c>
      <c r="B23" s="4" t="s">
        <v>26</v>
      </c>
      <c r="C23" s="4" t="s">
        <v>27</v>
      </c>
      <c r="D23" s="4" t="s">
        <v>34</v>
      </c>
      <c r="E23" s="4" t="s">
        <v>35</v>
      </c>
      <c r="F23" s="6" t="s">
        <v>30</v>
      </c>
      <c r="G23" s="5" t="s">
        <v>19</v>
      </c>
      <c r="H23" s="4" t="s">
        <v>20</v>
      </c>
      <c r="I23" s="4" t="s">
        <v>36</v>
      </c>
      <c r="J23" s="4" t="s">
        <v>32</v>
      </c>
      <c r="K23" s="5" t="s">
        <v>198</v>
      </c>
      <c r="L23" s="5">
        <v>65560</v>
      </c>
      <c r="M23" s="5">
        <v>2020</v>
      </c>
      <c r="N23" s="5">
        <f t="shared" ca="1" si="0"/>
        <v>6</v>
      </c>
      <c r="O23" s="3" t="str">
        <f t="shared" ca="1" si="1"/>
        <v>Avertissement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</row>
    <row r="24" spans="1:92" ht="15.6" hidden="1">
      <c r="A24" s="72">
        <v>5</v>
      </c>
      <c r="B24" s="4" t="s">
        <v>26</v>
      </c>
      <c r="C24" s="4" t="s">
        <v>27</v>
      </c>
      <c r="D24" s="4" t="s">
        <v>37</v>
      </c>
      <c r="E24" s="4" t="s">
        <v>38</v>
      </c>
      <c r="F24" s="6" t="s">
        <v>30</v>
      </c>
      <c r="G24" s="5" t="s">
        <v>19</v>
      </c>
      <c r="H24" s="4" t="s">
        <v>20</v>
      </c>
      <c r="I24" s="23" t="s">
        <v>39</v>
      </c>
      <c r="J24" s="4" t="s">
        <v>32</v>
      </c>
      <c r="K24" s="5" t="s">
        <v>198</v>
      </c>
      <c r="L24" s="5">
        <v>69778</v>
      </c>
      <c r="M24" s="5">
        <v>2020</v>
      </c>
      <c r="N24" s="5">
        <f t="shared" ca="1" si="0"/>
        <v>6</v>
      </c>
      <c r="O24" s="3" t="str">
        <f t="shared" ca="1" si="1"/>
        <v>Avertissement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</row>
    <row r="25" spans="1:92" hidden="1">
      <c r="A25" s="72">
        <v>6</v>
      </c>
      <c r="B25" s="4" t="s">
        <v>26</v>
      </c>
      <c r="C25" s="4" t="s">
        <v>27</v>
      </c>
      <c r="D25" s="4" t="s">
        <v>40</v>
      </c>
      <c r="E25" s="4" t="s">
        <v>41</v>
      </c>
      <c r="F25" s="6" t="s">
        <v>30</v>
      </c>
      <c r="G25" s="5" t="s">
        <v>19</v>
      </c>
      <c r="H25" s="4" t="s">
        <v>20</v>
      </c>
      <c r="I25" s="4" t="s">
        <v>42</v>
      </c>
      <c r="J25" s="4" t="s">
        <v>32</v>
      </c>
      <c r="K25" s="5" t="s">
        <v>198</v>
      </c>
      <c r="L25" s="5">
        <v>76387</v>
      </c>
      <c r="M25" s="5">
        <v>2020</v>
      </c>
      <c r="N25" s="5">
        <f t="shared" ca="1" si="0"/>
        <v>6</v>
      </c>
      <c r="O25" s="3" t="str">
        <f t="shared" ca="1" si="1"/>
        <v>Avertissement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</row>
    <row r="26" spans="1:92" hidden="1">
      <c r="A26" s="72">
        <v>7</v>
      </c>
      <c r="B26" s="4" t="s">
        <v>26</v>
      </c>
      <c r="C26" s="4" t="s">
        <v>27</v>
      </c>
      <c r="D26" s="4" t="s">
        <v>43</v>
      </c>
      <c r="E26" s="4" t="s">
        <v>44</v>
      </c>
      <c r="F26" s="6" t="s">
        <v>30</v>
      </c>
      <c r="G26" s="5" t="s">
        <v>19</v>
      </c>
      <c r="H26" s="4" t="s">
        <v>20</v>
      </c>
      <c r="I26" s="4" t="s">
        <v>45</v>
      </c>
      <c r="J26" s="4" t="s">
        <v>32</v>
      </c>
      <c r="K26" s="5" t="s">
        <v>198</v>
      </c>
      <c r="L26" s="5">
        <v>63654</v>
      </c>
      <c r="M26" s="5">
        <v>2020</v>
      </c>
      <c r="N26" s="5">
        <f t="shared" ca="1" si="0"/>
        <v>6</v>
      </c>
      <c r="O26" s="3" t="str">
        <f t="shared" ca="1" si="1"/>
        <v>Avertissement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</row>
    <row r="27" spans="1:92" ht="15.6" hidden="1">
      <c r="A27" s="72">
        <v>8</v>
      </c>
      <c r="B27" s="4" t="s">
        <v>26</v>
      </c>
      <c r="C27" s="4" t="s">
        <v>27</v>
      </c>
      <c r="D27" s="4" t="s">
        <v>46</v>
      </c>
      <c r="E27" s="4" t="s">
        <v>47</v>
      </c>
      <c r="F27" s="6" t="s">
        <v>30</v>
      </c>
      <c r="G27" s="5" t="s">
        <v>19</v>
      </c>
      <c r="H27" s="4" t="s">
        <v>20</v>
      </c>
      <c r="I27" s="23" t="s">
        <v>39</v>
      </c>
      <c r="J27" s="4" t="s">
        <v>32</v>
      </c>
      <c r="K27" s="5" t="s">
        <v>198</v>
      </c>
      <c r="L27" s="5">
        <v>45722</v>
      </c>
      <c r="M27" s="5">
        <v>2020</v>
      </c>
      <c r="N27" s="5">
        <f t="shared" ca="1" si="0"/>
        <v>6</v>
      </c>
      <c r="O27" s="3" t="str">
        <f t="shared" ca="1" si="1"/>
        <v>Avertissement</v>
      </c>
      <c r="P27" s="25"/>
      <c r="Q27" s="25"/>
      <c r="R27" s="26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</row>
    <row r="28" spans="1:92" hidden="1">
      <c r="A28" s="72">
        <v>9</v>
      </c>
      <c r="B28" s="4" t="s">
        <v>14</v>
      </c>
      <c r="C28" s="4" t="s">
        <v>15</v>
      </c>
      <c r="D28" s="4" t="s">
        <v>48</v>
      </c>
      <c r="E28" s="4" t="s">
        <v>49</v>
      </c>
      <c r="F28" s="5" t="s">
        <v>18</v>
      </c>
      <c r="G28" s="5" t="s">
        <v>19</v>
      </c>
      <c r="H28" s="4" t="s">
        <v>20</v>
      </c>
      <c r="I28" s="4" t="s">
        <v>50</v>
      </c>
      <c r="J28" s="4" t="s">
        <v>32</v>
      </c>
      <c r="K28" s="5" t="s">
        <v>198</v>
      </c>
      <c r="L28" s="5">
        <v>105735</v>
      </c>
      <c r="M28" s="5">
        <v>2016</v>
      </c>
      <c r="N28" s="5">
        <f t="shared" ca="1" si="0"/>
        <v>10</v>
      </c>
      <c r="O28" s="3" t="str">
        <f t="shared" ca="1" si="1"/>
        <v>Avertissement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</row>
    <row r="29" spans="1:92">
      <c r="A29" s="72">
        <v>10</v>
      </c>
      <c r="B29" s="4" t="s">
        <v>14</v>
      </c>
      <c r="C29" s="4" t="s">
        <v>15</v>
      </c>
      <c r="D29" s="4" t="s">
        <v>51</v>
      </c>
      <c r="E29" s="4" t="s">
        <v>52</v>
      </c>
      <c r="F29" s="5" t="s">
        <v>18</v>
      </c>
      <c r="G29" s="5" t="s">
        <v>19</v>
      </c>
      <c r="H29" s="4" t="s">
        <v>20</v>
      </c>
      <c r="I29" s="4" t="s">
        <v>53</v>
      </c>
      <c r="J29" s="4" t="s">
        <v>32</v>
      </c>
      <c r="K29" s="5" t="s">
        <v>198</v>
      </c>
      <c r="L29" s="112"/>
      <c r="M29" s="5">
        <v>2014</v>
      </c>
      <c r="N29" s="5">
        <f t="shared" ca="1" si="0"/>
        <v>12</v>
      </c>
      <c r="O29" s="3" t="str">
        <f t="shared" ca="1" si="1"/>
        <v>A déclasser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</row>
    <row r="30" spans="1:92" hidden="1">
      <c r="A30" s="72">
        <v>11</v>
      </c>
      <c r="B30" s="4" t="s">
        <v>14</v>
      </c>
      <c r="C30" s="4" t="s">
        <v>185</v>
      </c>
      <c r="D30" s="4" t="s">
        <v>54</v>
      </c>
      <c r="E30" s="4" t="s">
        <v>55</v>
      </c>
      <c r="F30" s="5" t="s">
        <v>56</v>
      </c>
      <c r="G30" s="5" t="s">
        <v>19</v>
      </c>
      <c r="H30" s="4" t="s">
        <v>186</v>
      </c>
      <c r="I30" s="4" t="s">
        <v>57</v>
      </c>
      <c r="J30" s="4" t="s">
        <v>32</v>
      </c>
      <c r="K30" s="5" t="s">
        <v>198</v>
      </c>
      <c r="L30" s="5">
        <v>48650</v>
      </c>
      <c r="M30" s="5">
        <v>2024</v>
      </c>
      <c r="N30" s="5">
        <f t="shared" ca="1" si="0"/>
        <v>2</v>
      </c>
      <c r="O30" s="3" t="str">
        <f t="shared" ca="1" si="1"/>
        <v>Bon état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</row>
    <row r="31" spans="1:92" hidden="1">
      <c r="A31" s="72">
        <v>12</v>
      </c>
      <c r="B31" s="4" t="s">
        <v>14</v>
      </c>
      <c r="C31" s="4" t="s">
        <v>15</v>
      </c>
      <c r="D31" s="4" t="s">
        <v>58</v>
      </c>
      <c r="E31" s="4" t="s">
        <v>59</v>
      </c>
      <c r="F31" s="5" t="s">
        <v>18</v>
      </c>
      <c r="G31" s="5" t="s">
        <v>19</v>
      </c>
      <c r="H31" s="4" t="s">
        <v>20</v>
      </c>
      <c r="I31" s="4"/>
      <c r="J31" s="4" t="s">
        <v>21</v>
      </c>
      <c r="K31" s="5" t="s">
        <v>198</v>
      </c>
      <c r="L31" s="5">
        <v>57383</v>
      </c>
      <c r="M31" s="5">
        <v>2019</v>
      </c>
      <c r="N31" s="5">
        <f t="shared" ca="1" si="0"/>
        <v>7</v>
      </c>
      <c r="O31" s="3" t="str">
        <f t="shared" ca="1" si="1"/>
        <v>Avertissement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</row>
    <row r="32" spans="1:92">
      <c r="A32" s="72">
        <v>13</v>
      </c>
      <c r="B32" s="4" t="s">
        <v>14</v>
      </c>
      <c r="C32" s="4" t="s">
        <v>15</v>
      </c>
      <c r="D32" s="4" t="s">
        <v>60</v>
      </c>
      <c r="E32" s="4" t="s">
        <v>61</v>
      </c>
      <c r="F32" s="5" t="s">
        <v>18</v>
      </c>
      <c r="G32" s="5" t="s">
        <v>19</v>
      </c>
      <c r="H32" s="4" t="s">
        <v>20</v>
      </c>
      <c r="I32" s="4" t="s">
        <v>62</v>
      </c>
      <c r="J32" s="4" t="s">
        <v>63</v>
      </c>
      <c r="K32" s="5" t="s">
        <v>198</v>
      </c>
      <c r="L32" s="112">
        <v>136900</v>
      </c>
      <c r="M32" s="5">
        <v>2014</v>
      </c>
      <c r="N32" s="5">
        <f t="shared" ca="1" si="0"/>
        <v>12</v>
      </c>
      <c r="O32" s="3" t="str">
        <f t="shared" ca="1" si="1"/>
        <v>A déclasser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</row>
    <row r="33" spans="1:92">
      <c r="A33" s="72">
        <v>14</v>
      </c>
      <c r="B33" s="4" t="s">
        <v>14</v>
      </c>
      <c r="C33" s="4" t="s">
        <v>15</v>
      </c>
      <c r="D33" s="7" t="s">
        <v>64</v>
      </c>
      <c r="E33" s="7" t="s">
        <v>65</v>
      </c>
      <c r="F33" s="8" t="s">
        <v>18</v>
      </c>
      <c r="G33" s="5" t="s">
        <v>19</v>
      </c>
      <c r="H33" s="7" t="s">
        <v>20</v>
      </c>
      <c r="I33" s="7" t="s">
        <v>66</v>
      </c>
      <c r="J33" s="4" t="s">
        <v>67</v>
      </c>
      <c r="K33" s="5" t="s">
        <v>198</v>
      </c>
      <c r="L33" s="112">
        <v>206052</v>
      </c>
      <c r="M33" s="8">
        <v>2016</v>
      </c>
      <c r="N33" s="5">
        <f t="shared" ca="1" si="0"/>
        <v>10</v>
      </c>
      <c r="O33" s="3" t="str">
        <f t="shared" ca="1" si="1"/>
        <v>A déclasser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</row>
    <row r="34" spans="1:92" hidden="1">
      <c r="A34" s="72">
        <v>15</v>
      </c>
      <c r="B34" s="4" t="s">
        <v>68</v>
      </c>
      <c r="C34" s="4" t="s">
        <v>15</v>
      </c>
      <c r="D34" s="7" t="s">
        <v>69</v>
      </c>
      <c r="E34" s="7" t="s">
        <v>70</v>
      </c>
      <c r="F34" s="8" t="s">
        <v>71</v>
      </c>
      <c r="G34" s="5" t="s">
        <v>19</v>
      </c>
      <c r="H34" s="3" t="s">
        <v>72</v>
      </c>
      <c r="I34" s="10" t="s">
        <v>191</v>
      </c>
      <c r="J34" s="4" t="s">
        <v>25</v>
      </c>
      <c r="K34" s="5" t="s">
        <v>198</v>
      </c>
      <c r="L34" s="5"/>
      <c r="M34" s="9">
        <v>2017</v>
      </c>
      <c r="N34" s="5">
        <f t="shared" ca="1" si="0"/>
        <v>9</v>
      </c>
      <c r="O34" s="3" t="str">
        <f t="shared" ca="1" si="1"/>
        <v>Avertissement</v>
      </c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</row>
    <row r="35" spans="1:92" hidden="1">
      <c r="A35" s="72">
        <v>16</v>
      </c>
      <c r="B35" s="4" t="s">
        <v>68</v>
      </c>
      <c r="C35" s="4" t="s">
        <v>15</v>
      </c>
      <c r="D35" s="7" t="s">
        <v>73</v>
      </c>
      <c r="E35" s="7" t="s">
        <v>74</v>
      </c>
      <c r="F35" s="8" t="s">
        <v>71</v>
      </c>
      <c r="G35" s="5" t="s">
        <v>19</v>
      </c>
      <c r="H35" s="3" t="s">
        <v>75</v>
      </c>
      <c r="I35" s="10" t="s">
        <v>76</v>
      </c>
      <c r="J35" s="4" t="s">
        <v>25</v>
      </c>
      <c r="K35" s="5" t="s">
        <v>198</v>
      </c>
      <c r="L35" s="5"/>
      <c r="M35" s="9">
        <v>2017</v>
      </c>
      <c r="N35" s="5">
        <f t="shared" ca="1" si="0"/>
        <v>9</v>
      </c>
      <c r="O35" s="3" t="str">
        <f t="shared" ca="1" si="1"/>
        <v>Avertissement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</row>
    <row r="36" spans="1:92" hidden="1">
      <c r="A36" s="72">
        <v>17</v>
      </c>
      <c r="B36" s="4" t="s">
        <v>77</v>
      </c>
      <c r="C36" s="4" t="s">
        <v>78</v>
      </c>
      <c r="D36" s="7" t="s">
        <v>79</v>
      </c>
      <c r="E36" s="7" t="s">
        <v>80</v>
      </c>
      <c r="F36" s="8" t="s">
        <v>81</v>
      </c>
      <c r="G36" s="5" t="s">
        <v>19</v>
      </c>
      <c r="H36" s="7" t="s">
        <v>187</v>
      </c>
      <c r="I36" s="10" t="s">
        <v>82</v>
      </c>
      <c r="J36" s="4" t="s">
        <v>25</v>
      </c>
      <c r="K36" s="5" t="s">
        <v>198</v>
      </c>
      <c r="L36" s="5"/>
      <c r="M36" s="9">
        <v>2017</v>
      </c>
      <c r="N36" s="5">
        <f t="shared" ca="1" si="0"/>
        <v>9</v>
      </c>
      <c r="O36" s="3" t="str">
        <f t="shared" ca="1" si="1"/>
        <v>Avertissement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</row>
    <row r="37" spans="1:92" hidden="1">
      <c r="A37" s="72">
        <v>18</v>
      </c>
      <c r="B37" s="4" t="s">
        <v>14</v>
      </c>
      <c r="C37" s="7" t="s">
        <v>83</v>
      </c>
      <c r="D37" s="7" t="s">
        <v>84</v>
      </c>
      <c r="E37" s="7" t="s">
        <v>85</v>
      </c>
      <c r="F37" s="8" t="s">
        <v>86</v>
      </c>
      <c r="G37" s="5" t="s">
        <v>19</v>
      </c>
      <c r="H37" s="7" t="s">
        <v>187</v>
      </c>
      <c r="I37" s="10" t="s">
        <v>82</v>
      </c>
      <c r="J37" s="4" t="s">
        <v>25</v>
      </c>
      <c r="K37" s="5" t="s">
        <v>198</v>
      </c>
      <c r="L37" s="5"/>
      <c r="M37" s="9">
        <v>2016</v>
      </c>
      <c r="N37" s="5">
        <f t="shared" ca="1" si="0"/>
        <v>10</v>
      </c>
      <c r="O37" s="3" t="str">
        <f t="shared" ca="1" si="1"/>
        <v>Avertissement</v>
      </c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</row>
    <row r="38" spans="1:92" ht="15.6" hidden="1">
      <c r="A38" s="72">
        <v>19</v>
      </c>
      <c r="B38" s="4" t="s">
        <v>14</v>
      </c>
      <c r="C38" s="4" t="s">
        <v>15</v>
      </c>
      <c r="D38" s="7" t="s">
        <v>87</v>
      </c>
      <c r="E38" s="7" t="s">
        <v>88</v>
      </c>
      <c r="F38" s="8" t="s">
        <v>18</v>
      </c>
      <c r="G38" s="5" t="s">
        <v>19</v>
      </c>
      <c r="H38" s="3" t="s">
        <v>89</v>
      </c>
      <c r="I38" s="23" t="s">
        <v>39</v>
      </c>
      <c r="J38" s="4" t="s">
        <v>25</v>
      </c>
      <c r="K38" s="5" t="s">
        <v>198</v>
      </c>
      <c r="L38" s="5"/>
      <c r="M38" s="9">
        <v>2016</v>
      </c>
      <c r="N38" s="5">
        <f t="shared" ca="1" si="0"/>
        <v>10</v>
      </c>
      <c r="O38" s="3" t="str">
        <f t="shared" ca="1" si="1"/>
        <v>Avertissement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</row>
    <row r="39" spans="1:92" hidden="1">
      <c r="A39" s="72">
        <v>20</v>
      </c>
      <c r="B39" s="4" t="s">
        <v>14</v>
      </c>
      <c r="C39" s="4" t="s">
        <v>15</v>
      </c>
      <c r="D39" s="7" t="s">
        <v>90</v>
      </c>
      <c r="E39" s="7" t="s">
        <v>91</v>
      </c>
      <c r="F39" s="8" t="s">
        <v>18</v>
      </c>
      <c r="G39" s="5" t="s">
        <v>19</v>
      </c>
      <c r="H39" s="3" t="s">
        <v>92</v>
      </c>
      <c r="I39" s="10" t="s">
        <v>93</v>
      </c>
      <c r="J39" s="4" t="s">
        <v>25</v>
      </c>
      <c r="K39" s="5" t="s">
        <v>198</v>
      </c>
      <c r="L39" s="5"/>
      <c r="M39" s="9">
        <v>2016</v>
      </c>
      <c r="N39" s="5">
        <f t="shared" ca="1" si="0"/>
        <v>10</v>
      </c>
      <c r="O39" s="3" t="str">
        <f t="shared" ca="1" si="1"/>
        <v>Avertissement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</row>
    <row r="40" spans="1:92">
      <c r="A40" s="72">
        <v>21</v>
      </c>
      <c r="B40" s="4" t="s">
        <v>14</v>
      </c>
      <c r="C40" s="4" t="s">
        <v>15</v>
      </c>
      <c r="D40" s="7" t="s">
        <v>94</v>
      </c>
      <c r="E40" s="7" t="s">
        <v>95</v>
      </c>
      <c r="F40" s="8" t="s">
        <v>18</v>
      </c>
      <c r="G40" s="5" t="s">
        <v>19</v>
      </c>
      <c r="H40" s="3" t="s">
        <v>92</v>
      </c>
      <c r="I40" s="7" t="s">
        <v>96</v>
      </c>
      <c r="J40" s="4" t="s">
        <v>25</v>
      </c>
      <c r="K40" s="5" t="s">
        <v>198</v>
      </c>
      <c r="L40" s="112"/>
      <c r="M40" s="9">
        <v>2014</v>
      </c>
      <c r="N40" s="5">
        <f t="shared" ca="1" si="0"/>
        <v>12</v>
      </c>
      <c r="O40" s="3" t="str">
        <f t="shared" ca="1" si="1"/>
        <v>A déclasser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</row>
    <row r="41" spans="1:92" ht="15.6">
      <c r="A41" s="72">
        <v>22</v>
      </c>
      <c r="B41" s="4" t="s">
        <v>14</v>
      </c>
      <c r="C41" s="4" t="s">
        <v>15</v>
      </c>
      <c r="D41" s="7" t="s">
        <v>97</v>
      </c>
      <c r="E41" s="7" t="s">
        <v>98</v>
      </c>
      <c r="F41" s="8" t="s">
        <v>18</v>
      </c>
      <c r="G41" s="5" t="s">
        <v>19</v>
      </c>
      <c r="H41" s="3" t="s">
        <v>187</v>
      </c>
      <c r="I41" s="23" t="s">
        <v>39</v>
      </c>
      <c r="J41" s="4" t="s">
        <v>25</v>
      </c>
      <c r="K41" s="5" t="s">
        <v>198</v>
      </c>
      <c r="L41" s="112"/>
      <c r="M41" s="9">
        <v>2015</v>
      </c>
      <c r="N41" s="5">
        <f t="shared" ca="1" si="0"/>
        <v>11</v>
      </c>
      <c r="O41" s="3" t="str">
        <f t="shared" ca="1" si="1"/>
        <v>A déclasser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</row>
    <row r="42" spans="1:92" hidden="1">
      <c r="A42" s="72">
        <v>23</v>
      </c>
      <c r="B42" s="4" t="s">
        <v>14</v>
      </c>
      <c r="C42" s="4" t="s">
        <v>15</v>
      </c>
      <c r="D42" s="7" t="s">
        <v>101</v>
      </c>
      <c r="E42" s="7" t="s">
        <v>102</v>
      </c>
      <c r="F42" s="8" t="s">
        <v>18</v>
      </c>
      <c r="G42" s="5" t="s">
        <v>19</v>
      </c>
      <c r="H42" s="10" t="s">
        <v>103</v>
      </c>
      <c r="I42" s="10" t="s">
        <v>104</v>
      </c>
      <c r="J42" s="4" t="s">
        <v>25</v>
      </c>
      <c r="K42" s="5" t="s">
        <v>198</v>
      </c>
      <c r="L42" s="5"/>
      <c r="M42" s="9">
        <v>2016</v>
      </c>
      <c r="N42" s="5">
        <f t="shared" ca="1" si="0"/>
        <v>10</v>
      </c>
      <c r="O42" s="3" t="str">
        <f t="shared" ca="1" si="1"/>
        <v>Avertissement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</row>
    <row r="43" spans="1:92" hidden="1">
      <c r="A43" s="72">
        <v>24</v>
      </c>
      <c r="B43" s="4" t="s">
        <v>14</v>
      </c>
      <c r="C43" s="4" t="s">
        <v>15</v>
      </c>
      <c r="D43" s="7" t="s">
        <v>105</v>
      </c>
      <c r="E43" s="7" t="s">
        <v>106</v>
      </c>
      <c r="F43" s="8" t="s">
        <v>18</v>
      </c>
      <c r="G43" s="5" t="s">
        <v>19</v>
      </c>
      <c r="H43" s="3" t="s">
        <v>107</v>
      </c>
      <c r="I43" s="10" t="s">
        <v>108</v>
      </c>
      <c r="J43" s="4" t="s">
        <v>25</v>
      </c>
      <c r="K43" s="5" t="s">
        <v>198</v>
      </c>
      <c r="L43" s="5"/>
      <c r="M43" s="9">
        <v>2016</v>
      </c>
      <c r="N43" s="5">
        <f t="shared" ca="1" si="0"/>
        <v>10</v>
      </c>
      <c r="O43" s="3" t="str">
        <f t="shared" ca="1" si="1"/>
        <v>Avertissement</v>
      </c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</row>
    <row r="44" spans="1:92" hidden="1">
      <c r="A44" s="72">
        <v>25</v>
      </c>
      <c r="B44" s="11" t="s">
        <v>109</v>
      </c>
      <c r="C44" s="11" t="s">
        <v>110</v>
      </c>
      <c r="D44" s="11" t="s">
        <v>111</v>
      </c>
      <c r="E44" s="11" t="s">
        <v>112</v>
      </c>
      <c r="F44" s="12" t="s">
        <v>113</v>
      </c>
      <c r="G44" s="5" t="s">
        <v>19</v>
      </c>
      <c r="H44" s="3" t="s">
        <v>99</v>
      </c>
      <c r="I44" s="3" t="s">
        <v>114</v>
      </c>
      <c r="J44" s="4" t="s">
        <v>25</v>
      </c>
      <c r="K44" s="5" t="s">
        <v>198</v>
      </c>
      <c r="L44" s="5"/>
      <c r="M44" s="9">
        <v>2017</v>
      </c>
      <c r="N44" s="5">
        <f t="shared" ca="1" si="0"/>
        <v>9</v>
      </c>
      <c r="O44" s="3" t="str">
        <f t="shared" ca="1" si="1"/>
        <v>Avertissement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</row>
    <row r="45" spans="1:92" hidden="1">
      <c r="A45" s="72">
        <v>26</v>
      </c>
      <c r="B45" s="4" t="s">
        <v>77</v>
      </c>
      <c r="C45" s="4" t="s">
        <v>115</v>
      </c>
      <c r="D45" s="4" t="s">
        <v>116</v>
      </c>
      <c r="E45" s="4" t="s">
        <v>117</v>
      </c>
      <c r="F45" s="8" t="s">
        <v>81</v>
      </c>
      <c r="G45" s="5" t="s">
        <v>19</v>
      </c>
      <c r="H45" s="3" t="s">
        <v>187</v>
      </c>
      <c r="I45" s="3" t="s">
        <v>118</v>
      </c>
      <c r="J45" s="3" t="s">
        <v>25</v>
      </c>
      <c r="K45" s="5" t="s">
        <v>198</v>
      </c>
      <c r="L45" s="5"/>
      <c r="M45" s="5">
        <v>2024</v>
      </c>
      <c r="N45" s="5">
        <f t="shared" ca="1" si="0"/>
        <v>2</v>
      </c>
      <c r="O45" s="3" t="str">
        <f t="shared" ca="1" si="1"/>
        <v>Bon état</v>
      </c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</row>
    <row r="46" spans="1:92" hidden="1">
      <c r="A46" s="72">
        <v>27</v>
      </c>
      <c r="B46" s="4" t="s">
        <v>14</v>
      </c>
      <c r="C46" s="4" t="s">
        <v>15</v>
      </c>
      <c r="D46" s="4" t="s">
        <v>119</v>
      </c>
      <c r="E46" s="4" t="s">
        <v>120</v>
      </c>
      <c r="F46" s="5" t="s">
        <v>56</v>
      </c>
      <c r="G46" s="5" t="s">
        <v>19</v>
      </c>
      <c r="H46" s="3" t="s">
        <v>99</v>
      </c>
      <c r="I46" s="3" t="s">
        <v>121</v>
      </c>
      <c r="J46" s="3" t="s">
        <v>122</v>
      </c>
      <c r="K46" s="5" t="s">
        <v>198</v>
      </c>
      <c r="L46" s="5"/>
      <c r="M46" s="5">
        <v>2024</v>
      </c>
      <c r="N46" s="5">
        <f t="shared" ca="1" si="0"/>
        <v>2</v>
      </c>
      <c r="O46" s="3" t="str">
        <f t="shared" ca="1" si="1"/>
        <v>Bon état</v>
      </c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</row>
    <row r="47" spans="1:92" hidden="1">
      <c r="A47" s="5">
        <v>28</v>
      </c>
      <c r="B47" s="4" t="s">
        <v>123</v>
      </c>
      <c r="C47" s="4" t="s">
        <v>15</v>
      </c>
      <c r="D47" s="4" t="s">
        <v>124</v>
      </c>
      <c r="E47" s="4" t="s">
        <v>125</v>
      </c>
      <c r="F47" s="5" t="s">
        <v>56</v>
      </c>
      <c r="G47" s="5" t="s">
        <v>126</v>
      </c>
      <c r="H47" s="3" t="s">
        <v>75</v>
      </c>
      <c r="I47" s="3" t="s">
        <v>190</v>
      </c>
      <c r="J47" s="3" t="s">
        <v>127</v>
      </c>
      <c r="K47" s="5" t="s">
        <v>128</v>
      </c>
      <c r="L47" s="5"/>
      <c r="M47" s="5">
        <v>2022</v>
      </c>
      <c r="N47" s="5">
        <f t="shared" ca="1" si="0"/>
        <v>4</v>
      </c>
      <c r="O47" s="3" t="str">
        <f t="shared" ca="1" si="1"/>
        <v>Bon état</v>
      </c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</row>
    <row r="48" spans="1:92" hidden="1">
      <c r="A48" s="5">
        <v>29</v>
      </c>
      <c r="B48" s="4" t="s">
        <v>123</v>
      </c>
      <c r="C48" s="4" t="s">
        <v>15</v>
      </c>
      <c r="D48" s="4" t="s">
        <v>129</v>
      </c>
      <c r="E48" s="4" t="s">
        <v>130</v>
      </c>
      <c r="F48" s="5" t="s">
        <v>56</v>
      </c>
      <c r="G48" s="5" t="s">
        <v>126</v>
      </c>
      <c r="H48" s="3" t="s">
        <v>187</v>
      </c>
      <c r="I48" s="3" t="s">
        <v>118</v>
      </c>
      <c r="J48" s="3" t="s">
        <v>127</v>
      </c>
      <c r="K48" s="5" t="s">
        <v>128</v>
      </c>
      <c r="L48" s="5"/>
      <c r="M48" s="5">
        <v>2022</v>
      </c>
      <c r="N48" s="5">
        <f t="shared" ca="1" si="0"/>
        <v>4</v>
      </c>
      <c r="O48" s="3" t="str">
        <f t="shared" ca="1" si="1"/>
        <v>Bon état</v>
      </c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</row>
    <row r="49" spans="1:92" hidden="1">
      <c r="A49" s="5">
        <v>30</v>
      </c>
      <c r="B49" s="4" t="s">
        <v>123</v>
      </c>
      <c r="C49" s="4" t="s">
        <v>15</v>
      </c>
      <c r="D49" s="4" t="s">
        <v>131</v>
      </c>
      <c r="E49" s="4" t="s">
        <v>132</v>
      </c>
      <c r="F49" s="5" t="s">
        <v>56</v>
      </c>
      <c r="G49" s="5" t="s">
        <v>126</v>
      </c>
      <c r="H49" s="3" t="s">
        <v>133</v>
      </c>
      <c r="I49" s="3" t="s">
        <v>134</v>
      </c>
      <c r="J49" s="3" t="s">
        <v>127</v>
      </c>
      <c r="K49" s="5" t="s">
        <v>128</v>
      </c>
      <c r="L49" s="5"/>
      <c r="M49" s="5">
        <v>2022</v>
      </c>
      <c r="N49" s="5">
        <f t="shared" ca="1" si="0"/>
        <v>4</v>
      </c>
      <c r="O49" s="3" t="str">
        <f t="shared" ca="1" si="1"/>
        <v>Bon état</v>
      </c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</row>
    <row r="50" spans="1:92" hidden="1">
      <c r="A50" s="5">
        <v>31</v>
      </c>
      <c r="B50" s="4" t="s">
        <v>135</v>
      </c>
      <c r="C50" s="4" t="s">
        <v>15</v>
      </c>
      <c r="D50" s="4" t="s">
        <v>136</v>
      </c>
      <c r="E50" s="4" t="s">
        <v>137</v>
      </c>
      <c r="F50" s="5" t="s">
        <v>56</v>
      </c>
      <c r="G50" s="5" t="s">
        <v>126</v>
      </c>
      <c r="H50" s="3" t="s">
        <v>138</v>
      </c>
      <c r="I50" s="3" t="s">
        <v>139</v>
      </c>
      <c r="J50" s="3" t="s">
        <v>127</v>
      </c>
      <c r="K50" s="5" t="s">
        <v>128</v>
      </c>
      <c r="L50" s="5"/>
      <c r="M50" s="5">
        <v>2021</v>
      </c>
      <c r="N50" s="5">
        <f t="shared" ca="1" si="0"/>
        <v>5</v>
      </c>
      <c r="O50" s="3" t="str">
        <f t="shared" ca="1" si="1"/>
        <v>Bon état</v>
      </c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</row>
    <row r="51" spans="1:92" hidden="1">
      <c r="A51" s="5">
        <v>32</v>
      </c>
      <c r="B51" s="4" t="s">
        <v>140</v>
      </c>
      <c r="C51" s="4" t="s">
        <v>141</v>
      </c>
      <c r="D51" s="4" t="s">
        <v>142</v>
      </c>
      <c r="E51" s="4" t="s">
        <v>143</v>
      </c>
      <c r="F51" s="5" t="s">
        <v>56</v>
      </c>
      <c r="G51" s="5" t="s">
        <v>126</v>
      </c>
      <c r="H51" s="3" t="s">
        <v>187</v>
      </c>
      <c r="I51" s="3" t="s">
        <v>118</v>
      </c>
      <c r="J51" s="3" t="s">
        <v>127</v>
      </c>
      <c r="K51" s="5" t="s">
        <v>128</v>
      </c>
      <c r="L51" s="5"/>
      <c r="M51" s="8">
        <v>2023</v>
      </c>
      <c r="N51" s="5">
        <f t="shared" ca="1" si="0"/>
        <v>3</v>
      </c>
      <c r="O51" s="3" t="str">
        <f t="shared" ca="1" si="1"/>
        <v>Bon état</v>
      </c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</row>
    <row r="52" spans="1:92" hidden="1">
      <c r="A52" s="5">
        <v>33</v>
      </c>
      <c r="B52" s="4" t="s">
        <v>14</v>
      </c>
      <c r="C52" s="4" t="s">
        <v>144</v>
      </c>
      <c r="D52" s="4" t="s">
        <v>145</v>
      </c>
      <c r="E52" s="4" t="s">
        <v>146</v>
      </c>
      <c r="F52" s="5" t="s">
        <v>56</v>
      </c>
      <c r="G52" s="5" t="s">
        <v>126</v>
      </c>
      <c r="H52" s="3" t="s">
        <v>147</v>
      </c>
      <c r="I52" s="3" t="s">
        <v>148</v>
      </c>
      <c r="J52" s="3" t="s">
        <v>127</v>
      </c>
      <c r="K52" s="5" t="s">
        <v>128</v>
      </c>
      <c r="L52" s="5"/>
      <c r="M52" s="5">
        <v>2022</v>
      </c>
      <c r="N52" s="5">
        <f t="shared" ca="1" si="0"/>
        <v>4</v>
      </c>
      <c r="O52" s="3" t="str">
        <f t="shared" ca="1" si="1"/>
        <v>Bon état</v>
      </c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</row>
    <row r="53" spans="1:92" hidden="1">
      <c r="A53" s="5">
        <v>34</v>
      </c>
      <c r="B53" s="4" t="s">
        <v>14</v>
      </c>
      <c r="C53" s="4" t="s">
        <v>83</v>
      </c>
      <c r="D53" s="4" t="s">
        <v>149</v>
      </c>
      <c r="E53" s="4" t="s">
        <v>150</v>
      </c>
      <c r="F53" s="5" t="s">
        <v>56</v>
      </c>
      <c r="G53" s="5" t="s">
        <v>126</v>
      </c>
      <c r="H53" s="3" t="s">
        <v>187</v>
      </c>
      <c r="I53" s="3" t="s">
        <v>118</v>
      </c>
      <c r="J53" s="3" t="s">
        <v>127</v>
      </c>
      <c r="K53" s="5" t="s">
        <v>128</v>
      </c>
      <c r="L53" s="5"/>
      <c r="M53" s="5">
        <v>2023</v>
      </c>
      <c r="N53" s="5">
        <f t="shared" ca="1" si="0"/>
        <v>3</v>
      </c>
      <c r="O53" s="3" t="str">
        <f t="shared" ca="1" si="1"/>
        <v>Bon état</v>
      </c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</row>
    <row r="54" spans="1:92" hidden="1">
      <c r="A54" s="5">
        <v>35</v>
      </c>
      <c r="B54" s="4" t="s">
        <v>14</v>
      </c>
      <c r="C54" s="4" t="s">
        <v>15</v>
      </c>
      <c r="D54" s="4" t="s">
        <v>151</v>
      </c>
      <c r="E54" s="4" t="s">
        <v>152</v>
      </c>
      <c r="F54" s="5" t="s">
        <v>56</v>
      </c>
      <c r="G54" s="5" t="s">
        <v>126</v>
      </c>
      <c r="H54" s="3" t="s">
        <v>99</v>
      </c>
      <c r="I54" s="3" t="s">
        <v>100</v>
      </c>
      <c r="J54" s="3" t="s">
        <v>127</v>
      </c>
      <c r="K54" s="5" t="s">
        <v>128</v>
      </c>
      <c r="L54" s="5"/>
      <c r="M54" s="5">
        <v>2017</v>
      </c>
      <c r="N54" s="5">
        <f t="shared" ca="1" si="0"/>
        <v>9</v>
      </c>
      <c r="O54" s="3" t="str">
        <f t="shared" ca="1" si="1"/>
        <v>Avertissement</v>
      </c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</row>
    <row r="55" spans="1:92" hidden="1">
      <c r="A55" s="5">
        <v>36</v>
      </c>
      <c r="B55" s="4" t="s">
        <v>14</v>
      </c>
      <c r="C55" s="4" t="s">
        <v>153</v>
      </c>
      <c r="D55" s="4" t="s">
        <v>154</v>
      </c>
      <c r="E55" s="4" t="s">
        <v>155</v>
      </c>
      <c r="F55" s="5" t="s">
        <v>56</v>
      </c>
      <c r="G55" s="5" t="s">
        <v>126</v>
      </c>
      <c r="H55" s="3" t="s">
        <v>156</v>
      </c>
      <c r="I55" s="3" t="s">
        <v>157</v>
      </c>
      <c r="J55" s="3" t="s">
        <v>158</v>
      </c>
      <c r="K55" s="5" t="s">
        <v>128</v>
      </c>
      <c r="L55" s="5"/>
      <c r="M55" s="5">
        <v>2022</v>
      </c>
      <c r="N55" s="5">
        <f t="shared" ca="1" si="0"/>
        <v>4</v>
      </c>
      <c r="O55" s="3" t="str">
        <f t="shared" ca="1" si="1"/>
        <v>Bon état</v>
      </c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</row>
    <row r="56" spans="1:92" hidden="1">
      <c r="A56" s="5">
        <v>37</v>
      </c>
      <c r="B56" s="4" t="s">
        <v>14</v>
      </c>
      <c r="C56" s="4" t="s">
        <v>153</v>
      </c>
      <c r="D56" s="4" t="s">
        <v>159</v>
      </c>
      <c r="E56" s="4" t="s">
        <v>160</v>
      </c>
      <c r="F56" s="5" t="s">
        <v>56</v>
      </c>
      <c r="G56" s="5" t="s">
        <v>126</v>
      </c>
      <c r="H56" s="3" t="s">
        <v>186</v>
      </c>
      <c r="I56" s="3" t="s">
        <v>57</v>
      </c>
      <c r="J56" s="3" t="s">
        <v>158</v>
      </c>
      <c r="K56" s="5" t="s">
        <v>128</v>
      </c>
      <c r="L56" s="5"/>
      <c r="M56" s="5">
        <v>2022</v>
      </c>
      <c r="N56" s="5">
        <f t="shared" ca="1" si="0"/>
        <v>4</v>
      </c>
      <c r="O56" s="3" t="str">
        <f t="shared" ca="1" si="1"/>
        <v>Bon état</v>
      </c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</row>
    <row r="57" spans="1:92" hidden="1">
      <c r="A57" s="9">
        <v>38</v>
      </c>
      <c r="B57" s="4" t="s">
        <v>14</v>
      </c>
      <c r="C57" s="4" t="s">
        <v>153</v>
      </c>
      <c r="D57" s="4" t="s">
        <v>161</v>
      </c>
      <c r="E57" s="4" t="s">
        <v>162</v>
      </c>
      <c r="F57" s="9" t="s">
        <v>56</v>
      </c>
      <c r="G57" s="9" t="s">
        <v>126</v>
      </c>
      <c r="H57" s="13" t="s">
        <v>187</v>
      </c>
      <c r="I57" s="13" t="s">
        <v>118</v>
      </c>
      <c r="J57" s="13" t="s">
        <v>25</v>
      </c>
      <c r="K57" s="9" t="s">
        <v>128</v>
      </c>
      <c r="L57" s="9"/>
      <c r="M57" s="5">
        <v>2022</v>
      </c>
      <c r="N57" s="5">
        <f t="shared" ca="1" si="0"/>
        <v>4</v>
      </c>
      <c r="O57" s="3" t="str">
        <f t="shared" ca="1" si="1"/>
        <v>Bon état</v>
      </c>
    </row>
    <row r="58" spans="1:92" hidden="1">
      <c r="A58" s="9">
        <v>39</v>
      </c>
      <c r="B58" s="4" t="s">
        <v>14</v>
      </c>
      <c r="C58" s="4" t="s">
        <v>164</v>
      </c>
      <c r="D58" s="4" t="s">
        <v>165</v>
      </c>
      <c r="E58" s="4" t="s">
        <v>166</v>
      </c>
      <c r="F58" s="9" t="s">
        <v>56</v>
      </c>
      <c r="G58" s="9" t="s">
        <v>126</v>
      </c>
      <c r="H58" s="13" t="s">
        <v>189</v>
      </c>
      <c r="I58" s="13" t="s">
        <v>167</v>
      </c>
      <c r="J58" s="13" t="s">
        <v>158</v>
      </c>
      <c r="K58" s="9" t="s">
        <v>128</v>
      </c>
      <c r="L58" s="9"/>
      <c r="M58" s="5">
        <v>2022</v>
      </c>
      <c r="N58" s="5">
        <f t="shared" ca="1" si="0"/>
        <v>4</v>
      </c>
      <c r="O58" s="3" t="str">
        <f t="shared" ca="1" si="1"/>
        <v>Bon état</v>
      </c>
    </row>
    <row r="59" spans="1:92" hidden="1">
      <c r="A59" s="9">
        <v>40</v>
      </c>
      <c r="B59" s="4" t="s">
        <v>123</v>
      </c>
      <c r="C59" s="21" t="s">
        <v>15</v>
      </c>
      <c r="D59" s="4" t="s">
        <v>168</v>
      </c>
      <c r="E59" s="7" t="s">
        <v>169</v>
      </c>
      <c r="F59" s="9" t="s">
        <v>56</v>
      </c>
      <c r="G59" s="9" t="s">
        <v>126</v>
      </c>
      <c r="H59" s="13" t="s">
        <v>163</v>
      </c>
      <c r="I59" s="13" t="s">
        <v>170</v>
      </c>
      <c r="J59" s="13" t="s">
        <v>171</v>
      </c>
      <c r="K59" s="9" t="s">
        <v>128</v>
      </c>
      <c r="L59" s="9"/>
      <c r="M59" s="5">
        <v>2022</v>
      </c>
      <c r="N59" s="5">
        <f t="shared" ca="1" si="0"/>
        <v>4</v>
      </c>
      <c r="O59" s="3" t="str">
        <f t="shared" ca="1" si="1"/>
        <v>Bon état</v>
      </c>
    </row>
    <row r="60" spans="1:92" hidden="1">
      <c r="A60" s="9">
        <v>41</v>
      </c>
      <c r="B60" s="4" t="s">
        <v>123</v>
      </c>
      <c r="C60" s="21" t="s">
        <v>15</v>
      </c>
      <c r="D60" s="4" t="s">
        <v>172</v>
      </c>
      <c r="E60" s="4" t="s">
        <v>173</v>
      </c>
      <c r="F60" s="9" t="s">
        <v>56</v>
      </c>
      <c r="G60" s="9" t="s">
        <v>126</v>
      </c>
      <c r="H60" s="13" t="s">
        <v>186</v>
      </c>
      <c r="I60" s="13" t="s">
        <v>174</v>
      </c>
      <c r="J60" s="13" t="s">
        <v>158</v>
      </c>
      <c r="K60" s="9" t="s">
        <v>128</v>
      </c>
      <c r="L60" s="9"/>
      <c r="M60" s="5">
        <v>2022</v>
      </c>
      <c r="N60" s="5">
        <f t="shared" ca="1" si="0"/>
        <v>4</v>
      </c>
      <c r="O60" s="3" t="str">
        <f t="shared" ca="1" si="1"/>
        <v>Bon état</v>
      </c>
    </row>
    <row r="61" spans="1:92" hidden="1">
      <c r="A61" s="9">
        <v>42</v>
      </c>
      <c r="B61" s="4" t="s">
        <v>123</v>
      </c>
      <c r="C61" s="21" t="s">
        <v>15</v>
      </c>
      <c r="D61" s="4" t="s">
        <v>175</v>
      </c>
      <c r="E61" s="4" t="s">
        <v>176</v>
      </c>
      <c r="F61" s="9" t="s">
        <v>56</v>
      </c>
      <c r="G61" s="9" t="s">
        <v>126</v>
      </c>
      <c r="H61" s="13" t="s">
        <v>156</v>
      </c>
      <c r="I61" s="13" t="s">
        <v>177</v>
      </c>
      <c r="J61" s="13" t="s">
        <v>158</v>
      </c>
      <c r="K61" s="9" t="s">
        <v>128</v>
      </c>
      <c r="L61" s="9"/>
      <c r="M61" s="5">
        <v>2022</v>
      </c>
      <c r="N61" s="5">
        <f t="shared" ca="1" si="0"/>
        <v>4</v>
      </c>
      <c r="O61" s="3" t="str">
        <f t="shared" ca="1" si="1"/>
        <v>Bon état</v>
      </c>
    </row>
    <row r="62" spans="1:92" hidden="1">
      <c r="A62" s="9">
        <v>43</v>
      </c>
      <c r="B62" s="4" t="s">
        <v>123</v>
      </c>
      <c r="C62" s="21" t="s">
        <v>15</v>
      </c>
      <c r="D62" s="4" t="s">
        <v>178</v>
      </c>
      <c r="E62" s="4" t="s">
        <v>179</v>
      </c>
      <c r="F62" s="9" t="s">
        <v>56</v>
      </c>
      <c r="G62" s="9" t="s">
        <v>126</v>
      </c>
      <c r="H62" s="13" t="s">
        <v>163</v>
      </c>
      <c r="I62" s="13" t="s">
        <v>180</v>
      </c>
      <c r="J62" s="13" t="s">
        <v>127</v>
      </c>
      <c r="K62" s="9" t="s">
        <v>128</v>
      </c>
      <c r="L62" s="9"/>
      <c r="M62" s="5">
        <v>2022</v>
      </c>
      <c r="N62" s="5">
        <f t="shared" ca="1" si="0"/>
        <v>4</v>
      </c>
      <c r="O62" s="3" t="str">
        <f t="shared" ca="1" si="1"/>
        <v>Bon état</v>
      </c>
    </row>
    <row r="63" spans="1:92" hidden="1">
      <c r="A63" s="9">
        <v>44</v>
      </c>
      <c r="B63" s="4" t="s">
        <v>14</v>
      </c>
      <c r="C63" s="4" t="s">
        <v>153</v>
      </c>
      <c r="D63" s="4" t="s">
        <v>181</v>
      </c>
      <c r="E63" s="4" t="s">
        <v>182</v>
      </c>
      <c r="F63" s="9" t="s">
        <v>56</v>
      </c>
      <c r="G63" s="9" t="s">
        <v>126</v>
      </c>
      <c r="H63" s="13" t="s">
        <v>183</v>
      </c>
      <c r="I63" s="13" t="s">
        <v>188</v>
      </c>
      <c r="J63" s="13" t="s">
        <v>158</v>
      </c>
      <c r="K63" s="9" t="s">
        <v>128</v>
      </c>
      <c r="L63" s="9"/>
      <c r="M63" s="5">
        <v>2022</v>
      </c>
      <c r="N63" s="5">
        <f t="shared" ca="1" si="0"/>
        <v>4</v>
      </c>
      <c r="O63" s="3" t="str">
        <f t="shared" ca="1" si="1"/>
        <v>Bon état</v>
      </c>
    </row>
    <row r="64" spans="1:92">
      <c r="B64" s="25"/>
      <c r="C64" s="25"/>
      <c r="D64" s="25"/>
      <c r="E64" s="27"/>
      <c r="K64" s="2"/>
      <c r="M64" s="28"/>
      <c r="N64" s="28"/>
      <c r="O64" s="28"/>
      <c r="P64" s="28"/>
    </row>
    <row r="65" spans="1:26">
      <c r="B65" s="25"/>
      <c r="C65" s="25"/>
      <c r="D65" s="25"/>
      <c r="E65" s="27"/>
      <c r="K65" s="2"/>
      <c r="M65" s="28"/>
      <c r="N65" s="28"/>
      <c r="O65" s="28"/>
      <c r="P65" s="28"/>
    </row>
    <row r="66" spans="1:26" ht="35.4">
      <c r="A66" s="73" t="s">
        <v>219</v>
      </c>
      <c r="B66"/>
      <c r="C66"/>
      <c r="D66"/>
      <c r="E66" s="57"/>
      <c r="F66" s="57"/>
      <c r="G66" s="58"/>
      <c r="H66" s="59"/>
      <c r="I66" s="59"/>
      <c r="J66"/>
      <c r="K66" s="59"/>
      <c r="L66" s="113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28.5" customHeight="1">
      <c r="A67" s="49" t="s">
        <v>1</v>
      </c>
      <c r="B67" s="49" t="s">
        <v>220</v>
      </c>
      <c r="C67" s="49" t="s">
        <v>221</v>
      </c>
      <c r="D67" s="60" t="s">
        <v>222</v>
      </c>
      <c r="E67" s="49" t="s">
        <v>223</v>
      </c>
      <c r="F67" s="49" t="s">
        <v>6</v>
      </c>
      <c r="G67" s="50" t="s">
        <v>224</v>
      </c>
      <c r="H67" s="49" t="s">
        <v>225</v>
      </c>
      <c r="I67" s="61" t="s">
        <v>226</v>
      </c>
      <c r="J67" s="17" t="s">
        <v>11</v>
      </c>
      <c r="K67" s="62" t="s">
        <v>227</v>
      </c>
      <c r="L67" s="114" t="s">
        <v>203</v>
      </c>
      <c r="M67" s="50" t="s">
        <v>204</v>
      </c>
      <c r="N67" s="51" t="s">
        <v>205</v>
      </c>
      <c r="O67" s="51" t="s">
        <v>206</v>
      </c>
      <c r="P67" s="51" t="s">
        <v>207</v>
      </c>
      <c r="Q67" s="51" t="s">
        <v>208</v>
      </c>
      <c r="R67" s="51" t="s">
        <v>209</v>
      </c>
      <c r="S67" s="51" t="s">
        <v>210</v>
      </c>
      <c r="T67" s="51" t="s">
        <v>211</v>
      </c>
      <c r="U67" s="51" t="s">
        <v>212</v>
      </c>
      <c r="V67" s="51" t="s">
        <v>213</v>
      </c>
      <c r="W67" s="51" t="s">
        <v>214</v>
      </c>
      <c r="X67" s="51" t="s">
        <v>215</v>
      </c>
      <c r="Y67" s="51" t="s">
        <v>216</v>
      </c>
      <c r="Z67" s="51" t="s">
        <v>217</v>
      </c>
    </row>
    <row r="68" spans="1:26">
      <c r="A68" s="63">
        <v>1</v>
      </c>
      <c r="B68" s="64" t="s">
        <v>228</v>
      </c>
      <c r="C68" s="64" t="s">
        <v>140</v>
      </c>
      <c r="D68" s="65" t="s">
        <v>229</v>
      </c>
      <c r="E68" s="66" t="s">
        <v>230</v>
      </c>
      <c r="F68" s="66" t="s">
        <v>18</v>
      </c>
      <c r="G68" s="67">
        <v>2026</v>
      </c>
      <c r="H68" s="65" t="s">
        <v>231</v>
      </c>
      <c r="I68" s="68" t="s">
        <v>232</v>
      </c>
      <c r="J68" s="4" t="s">
        <v>21</v>
      </c>
      <c r="K68" s="69"/>
      <c r="L68" s="115" t="s">
        <v>127</v>
      </c>
      <c r="M68" s="53">
        <v>0</v>
      </c>
      <c r="N68" s="53">
        <v>894.4</v>
      </c>
      <c r="O68" s="53">
        <v>150</v>
      </c>
      <c r="P68" s="53">
        <v>250</v>
      </c>
      <c r="Q68" s="71">
        <v>225</v>
      </c>
      <c r="R68" s="53">
        <v>1.1000000000000001</v>
      </c>
      <c r="S68" s="53">
        <f>+Q68*R68</f>
        <v>247.50000000000003</v>
      </c>
      <c r="T68" s="53">
        <v>293</v>
      </c>
      <c r="U68" s="53">
        <v>162</v>
      </c>
      <c r="V68" s="53">
        <v>70</v>
      </c>
      <c r="W68" s="55">
        <v>115</v>
      </c>
      <c r="X68" s="53">
        <v>1000</v>
      </c>
      <c r="Y68" s="53">
        <v>700</v>
      </c>
      <c r="Z68" s="56">
        <f>SUM(M68:P68,S68:Y68)</f>
        <v>3881.9</v>
      </c>
    </row>
    <row r="69" spans="1:26">
      <c r="A69" s="63">
        <f>+A68+1</f>
        <v>2</v>
      </c>
      <c r="B69" s="64" t="s">
        <v>228</v>
      </c>
      <c r="C69" s="64" t="s">
        <v>140</v>
      </c>
      <c r="D69" s="65" t="s">
        <v>229</v>
      </c>
      <c r="E69" s="66" t="s">
        <v>230</v>
      </c>
      <c r="F69" s="66" t="s">
        <v>18</v>
      </c>
      <c r="G69" s="67">
        <v>2026</v>
      </c>
      <c r="H69" s="65" t="s">
        <v>231</v>
      </c>
      <c r="I69" s="68" t="s">
        <v>232</v>
      </c>
      <c r="J69" s="4" t="s">
        <v>25</v>
      </c>
      <c r="K69" s="69"/>
      <c r="L69" s="115" t="s">
        <v>127</v>
      </c>
      <c r="M69" s="53">
        <v>0</v>
      </c>
      <c r="N69" s="53">
        <v>894.4</v>
      </c>
      <c r="O69" s="53">
        <v>150</v>
      </c>
      <c r="P69" s="53">
        <v>250</v>
      </c>
      <c r="Q69" s="71">
        <v>225</v>
      </c>
      <c r="R69" s="53">
        <v>1.1000000000000001</v>
      </c>
      <c r="S69" s="53">
        <f t="shared" ref="S69:S71" si="2">+Q69*R69</f>
        <v>247.50000000000003</v>
      </c>
      <c r="T69" s="53">
        <v>293</v>
      </c>
      <c r="U69" s="53">
        <v>162</v>
      </c>
      <c r="V69" s="53">
        <v>70</v>
      </c>
      <c r="W69" s="55">
        <v>115</v>
      </c>
      <c r="X69" s="53">
        <v>1000</v>
      </c>
      <c r="Y69" s="53">
        <v>700</v>
      </c>
      <c r="Z69" s="56">
        <f t="shared" ref="Z69:Z71" si="3">SUM(M69:P69,S69:Y69)</f>
        <v>3881.9</v>
      </c>
    </row>
    <row r="70" spans="1:26">
      <c r="A70" s="63">
        <f>+A69+1</f>
        <v>3</v>
      </c>
      <c r="B70" s="64" t="s">
        <v>228</v>
      </c>
      <c r="C70" s="64" t="s">
        <v>140</v>
      </c>
      <c r="D70" s="65" t="s">
        <v>229</v>
      </c>
      <c r="E70" s="66" t="s">
        <v>230</v>
      </c>
      <c r="F70" s="66" t="s">
        <v>18</v>
      </c>
      <c r="G70" s="67">
        <v>2026</v>
      </c>
      <c r="H70" s="65" t="s">
        <v>231</v>
      </c>
      <c r="I70" s="68" t="s">
        <v>232</v>
      </c>
      <c r="J70" s="4" t="s">
        <v>25</v>
      </c>
      <c r="K70" s="69"/>
      <c r="L70" s="115" t="s">
        <v>127</v>
      </c>
      <c r="M70" s="53">
        <v>0</v>
      </c>
      <c r="N70" s="53">
        <v>894.4</v>
      </c>
      <c r="O70" s="53">
        <v>150</v>
      </c>
      <c r="P70" s="53">
        <v>250</v>
      </c>
      <c r="Q70" s="71">
        <v>225</v>
      </c>
      <c r="R70" s="53">
        <v>1.1000000000000001</v>
      </c>
      <c r="S70" s="53">
        <f t="shared" si="2"/>
        <v>247.50000000000003</v>
      </c>
      <c r="T70" s="53">
        <v>293</v>
      </c>
      <c r="U70" s="53">
        <v>162</v>
      </c>
      <c r="V70" s="53">
        <v>70</v>
      </c>
      <c r="W70" s="55">
        <v>115</v>
      </c>
      <c r="X70" s="53">
        <v>1000</v>
      </c>
      <c r="Y70" s="53">
        <v>700</v>
      </c>
      <c r="Z70" s="56">
        <f t="shared" si="3"/>
        <v>3881.9</v>
      </c>
    </row>
    <row r="71" spans="1:26">
      <c r="A71" s="63">
        <f>+A70+1</f>
        <v>4</v>
      </c>
      <c r="B71" s="64" t="s">
        <v>228</v>
      </c>
      <c r="C71" s="64" t="s">
        <v>140</v>
      </c>
      <c r="D71" s="65" t="s">
        <v>229</v>
      </c>
      <c r="E71" s="66" t="s">
        <v>230</v>
      </c>
      <c r="F71" s="66" t="s">
        <v>18</v>
      </c>
      <c r="G71" s="67">
        <v>2026</v>
      </c>
      <c r="H71" s="52" t="s">
        <v>231</v>
      </c>
      <c r="I71" s="52" t="s">
        <v>122</v>
      </c>
      <c r="J71" s="52" t="s">
        <v>233</v>
      </c>
      <c r="K71" s="70"/>
      <c r="L71" s="115" t="s">
        <v>218</v>
      </c>
      <c r="M71" s="53">
        <v>0</v>
      </c>
      <c r="N71" s="53">
        <v>894.4</v>
      </c>
      <c r="O71" s="53">
        <v>150</v>
      </c>
      <c r="P71" s="53">
        <v>250</v>
      </c>
      <c r="Q71" s="71">
        <v>225</v>
      </c>
      <c r="R71" s="53">
        <v>1.1000000000000001</v>
      </c>
      <c r="S71" s="53">
        <f t="shared" si="2"/>
        <v>247.50000000000003</v>
      </c>
      <c r="T71" s="53">
        <v>293</v>
      </c>
      <c r="U71" s="53">
        <v>162</v>
      </c>
      <c r="V71" s="53">
        <v>70</v>
      </c>
      <c r="W71" s="55">
        <v>115</v>
      </c>
      <c r="X71" s="53">
        <v>1000</v>
      </c>
      <c r="Y71" s="53">
        <v>700</v>
      </c>
      <c r="Z71" s="56">
        <f t="shared" si="3"/>
        <v>3881.9</v>
      </c>
    </row>
    <row r="72" spans="1:26">
      <c r="B72" s="25"/>
      <c r="C72" s="54"/>
      <c r="D72" s="25"/>
      <c r="E72" s="27"/>
      <c r="K72" s="2"/>
      <c r="M72" s="28"/>
      <c r="N72" s="28"/>
      <c r="O72" s="28"/>
      <c r="P72" s="28"/>
    </row>
    <row r="73" spans="1:26">
      <c r="B73" s="25"/>
      <c r="C73" s="25"/>
      <c r="D73" s="25"/>
      <c r="E73" s="27"/>
      <c r="K73" s="2"/>
      <c r="M73" s="28"/>
      <c r="N73" s="28"/>
      <c r="O73" s="28"/>
      <c r="P73" s="28"/>
    </row>
    <row r="74" spans="1:26">
      <c r="B74" s="25"/>
      <c r="C74" s="25"/>
      <c r="D74" s="25"/>
      <c r="E74" s="27"/>
      <c r="K74" s="2"/>
      <c r="M74" s="28"/>
      <c r="N74" s="28"/>
      <c r="O74" s="28"/>
      <c r="P74" s="28"/>
    </row>
    <row r="75" spans="1:26">
      <c r="B75" s="25"/>
      <c r="C75" s="25"/>
      <c r="D75" s="25"/>
      <c r="E75" s="27"/>
      <c r="K75" s="2"/>
      <c r="M75" s="28"/>
      <c r="N75" s="28"/>
      <c r="O75" s="28"/>
      <c r="P75" s="28"/>
    </row>
    <row r="76" spans="1:26">
      <c r="B76" s="25"/>
      <c r="C76" s="25"/>
      <c r="D76" s="25"/>
      <c r="E76" s="27"/>
      <c r="K76" s="2"/>
      <c r="M76" s="28"/>
      <c r="N76" s="28"/>
      <c r="O76" s="28"/>
      <c r="P76" s="28"/>
    </row>
    <row r="77" spans="1:26">
      <c r="B77" s="25"/>
      <c r="C77" s="25"/>
      <c r="D77" s="25"/>
      <c r="E77" s="27"/>
      <c r="K77" s="2"/>
      <c r="M77" s="28"/>
      <c r="N77" s="28"/>
      <c r="O77" s="28"/>
      <c r="P77" s="28"/>
    </row>
    <row r="78" spans="1:26">
      <c r="B78" s="25"/>
      <c r="C78" s="25"/>
      <c r="D78" s="25"/>
      <c r="E78" s="27"/>
      <c r="K78" s="2"/>
      <c r="M78" s="28"/>
      <c r="N78" s="28"/>
      <c r="O78" s="28"/>
      <c r="P78" s="28"/>
    </row>
    <row r="79" spans="1:26">
      <c r="O79" s="2"/>
      <c r="P79" s="2"/>
    </row>
  </sheetData>
  <autoFilter ref="A19:O63" xr:uid="{82C02873-20E8-4F8A-9AA8-FC5595BC7177}">
    <filterColumn colId="14">
      <filters>
        <filter val="A déclasser"/>
      </filters>
    </filterColumn>
  </autoFilter>
  <mergeCells count="17">
    <mergeCell ref="B4:D4"/>
    <mergeCell ref="F4:H4"/>
    <mergeCell ref="H7:H8"/>
    <mergeCell ref="G7:G8"/>
    <mergeCell ref="H9:H10"/>
    <mergeCell ref="F14:F15"/>
    <mergeCell ref="G14:G15"/>
    <mergeCell ref="F16:F17"/>
    <mergeCell ref="B6:B9"/>
    <mergeCell ref="C6:C9"/>
    <mergeCell ref="D6:D9"/>
    <mergeCell ref="G16:G17"/>
    <mergeCell ref="F11:G11"/>
    <mergeCell ref="B10:D13"/>
    <mergeCell ref="F7:F8"/>
    <mergeCell ref="F9:F10"/>
    <mergeCell ref="G9:G10"/>
  </mergeCells>
  <phoneticPr fontId="21" type="noConversion"/>
  <conditionalFormatting sqref="A20:O63">
    <cfRule type="expression" dxfId="29" priority="11">
      <formula>$O20="A déclasser"</formula>
    </cfRule>
    <cfRule type="expression" dxfId="28" priority="12">
      <formula>$O20="Avertissement"</formula>
    </cfRule>
  </conditionalFormatting>
  <conditionalFormatting sqref="B1:XFD1 A2:XFD2 F3:XFD3 M4:M10 Q4:XFD10 I4:I17 F7:H7 F9:H9 M11:XFD17 F14:G14 B14:D17 F16:G16 F18:XFD18 P19:XFD63 A64:XFD65 AA66:XFD71 A72:XFD1048576">
    <cfRule type="cellIs" dxfId="27" priority="15" operator="equal">
      <formula>2023</formula>
    </cfRule>
    <cfRule type="cellIs" dxfId="26" priority="16" operator="equal">
      <formula>2021</formula>
    </cfRule>
    <cfRule type="cellIs" dxfId="25" priority="17" operator="equal">
      <formula>2015</formula>
    </cfRule>
    <cfRule type="cellIs" dxfId="24" priority="18" operator="equal">
      <formula>2022</formula>
    </cfRule>
    <cfRule type="cellIs" dxfId="23" priority="19" operator="equal">
      <formula>2024</formula>
    </cfRule>
    <cfRule type="cellIs" dxfId="22" priority="20" operator="equal">
      <formula>2017</formula>
    </cfRule>
    <cfRule type="cellIs" dxfId="21" priority="21" operator="equal">
      <formula>2016</formula>
    </cfRule>
    <cfRule type="cellIs" dxfId="20" priority="22" operator="equal">
      <formula>2014</formula>
    </cfRule>
    <cfRule type="cellIs" dxfId="19" priority="23" operator="equal">
      <formula>2017</formula>
    </cfRule>
    <cfRule type="cellIs" dxfId="18" priority="24" operator="equal">
      <formula>2020</formula>
    </cfRule>
    <cfRule type="cellIs" dxfId="17" priority="25" operator="equal">
      <formula>2016</formula>
    </cfRule>
    <cfRule type="cellIs" dxfId="16" priority="26" operator="equal">
      <formula>2014</formula>
    </cfRule>
  </conditionalFormatting>
  <conditionalFormatting sqref="J68:J70">
    <cfRule type="expression" dxfId="15" priority="1">
      <formula>$O68="A déclasser"</formula>
    </cfRule>
    <cfRule type="expression" dxfId="14" priority="2">
      <formula>$O68="Avertissement"</formula>
    </cfRule>
  </conditionalFormatting>
  <conditionalFormatting sqref="M67:Z67">
    <cfRule type="colorScale" priority="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2FF8-8F6F-426A-B942-6AA73049B52B}">
  <dimension ref="A2:Z15"/>
  <sheetViews>
    <sheetView showGridLines="0" topLeftCell="A2" workbookViewId="0">
      <pane ySplit="1" topLeftCell="A3" activePane="bottomLeft" state="frozen"/>
      <selection activeCell="A2" sqref="A2"/>
      <selection pane="bottomLeft" activeCell="E6" sqref="E6:E9"/>
    </sheetView>
  </sheetViews>
  <sheetFormatPr baseColWidth="10" defaultColWidth="8.69921875" defaultRowHeight="14.4"/>
  <cols>
    <col min="1" max="1" width="5.69921875" style="2" customWidth="1"/>
    <col min="2" max="2" width="18.59765625" style="1" customWidth="1"/>
    <col min="3" max="3" width="21.296875" style="1" customWidth="1"/>
    <col min="4" max="4" width="19.69921875" style="1" customWidth="1"/>
    <col min="5" max="5" width="19.19921875" style="1" customWidth="1"/>
    <col min="6" max="6" width="16.19921875" style="2" customWidth="1"/>
    <col min="7" max="7" width="17.296875" style="2" customWidth="1"/>
    <col min="8" max="8" width="16.19921875" style="1" customWidth="1"/>
    <col min="9" max="9" width="25.09765625" style="1" customWidth="1"/>
    <col min="10" max="10" width="15.8984375" style="1" customWidth="1"/>
    <col min="11" max="11" width="20.59765625" style="1" customWidth="1"/>
    <col min="12" max="12" width="14.296875" style="1" customWidth="1"/>
    <col min="13" max="13" width="17.59765625" style="2" bestFit="1" customWidth="1"/>
    <col min="14" max="14" width="17.59765625" style="2" customWidth="1"/>
    <col min="15" max="15" width="25.8984375" style="1" customWidth="1"/>
    <col min="16" max="17" width="8.69921875" style="1"/>
    <col min="18" max="18" width="11.09765625" style="1" bestFit="1" customWidth="1"/>
    <col min="19" max="19" width="9.09765625" style="1" bestFit="1" customWidth="1"/>
    <col min="20" max="23" width="8.69921875" style="1"/>
    <col min="24" max="24" width="19.5" style="1" bestFit="1" customWidth="1"/>
    <col min="25" max="25" width="8.69921875" style="1"/>
    <col min="26" max="26" width="9.09765625" style="1" bestFit="1" customWidth="1"/>
    <col min="27" max="16384" width="8.69921875" style="1"/>
  </cols>
  <sheetData>
    <row r="2" spans="1:26" ht="36.6">
      <c r="A2" s="74" t="s">
        <v>0</v>
      </c>
    </row>
    <row r="3" spans="1:26" ht="15" thickBot="1">
      <c r="F3" s="1"/>
      <c r="G3" s="1"/>
    </row>
    <row r="4" spans="1:26" ht="16.2" thickBot="1">
      <c r="B4" s="84" t="s">
        <v>237</v>
      </c>
      <c r="C4" s="98"/>
      <c r="D4" s="98"/>
      <c r="E4" s="85"/>
      <c r="F4" s="1"/>
      <c r="G4" s="1"/>
      <c r="N4" s="1"/>
    </row>
    <row r="5" spans="1:26">
      <c r="B5" s="41" t="s">
        <v>217</v>
      </c>
      <c r="C5" s="108" t="s">
        <v>234</v>
      </c>
      <c r="D5" s="105" t="s">
        <v>235</v>
      </c>
      <c r="E5" s="102" t="s">
        <v>236</v>
      </c>
      <c r="F5" s="1"/>
      <c r="G5" s="1"/>
      <c r="N5" s="1"/>
    </row>
    <row r="6" spans="1:26">
      <c r="B6" s="101">
        <f>COUNTA(A12:A32)</f>
        <v>4</v>
      </c>
      <c r="C6" s="109">
        <f>SUM(M11:M33)</f>
        <v>0</v>
      </c>
      <c r="D6" s="106">
        <f>SUM(M12:P27,S12:Y27)</f>
        <v>15527.6</v>
      </c>
      <c r="E6" s="103">
        <f>SUM(C6:D9)</f>
        <v>15527.6</v>
      </c>
      <c r="F6" s="1"/>
      <c r="G6" s="1"/>
      <c r="N6" s="1"/>
    </row>
    <row r="7" spans="1:26" ht="14.55" customHeight="1">
      <c r="B7" s="101"/>
      <c r="C7" s="109"/>
      <c r="D7" s="107"/>
      <c r="E7" s="104"/>
      <c r="F7" s="1"/>
      <c r="G7" s="1"/>
      <c r="N7" s="1"/>
    </row>
    <row r="8" spans="1:26" ht="14.55" customHeight="1">
      <c r="B8" s="101"/>
      <c r="C8" s="109"/>
      <c r="D8" s="107"/>
      <c r="E8" s="104"/>
      <c r="F8" s="1"/>
      <c r="G8" s="1"/>
      <c r="N8" s="1"/>
    </row>
    <row r="9" spans="1:26" ht="14.55" customHeight="1">
      <c r="B9" s="101"/>
      <c r="C9" s="109"/>
      <c r="D9" s="107"/>
      <c r="E9" s="104"/>
      <c r="F9" s="1"/>
      <c r="G9" s="1"/>
      <c r="N9" s="1"/>
    </row>
    <row r="11" spans="1:26" ht="28.5" customHeight="1">
      <c r="A11" s="49" t="s">
        <v>1</v>
      </c>
      <c r="B11" s="49" t="s">
        <v>220</v>
      </c>
      <c r="C11" s="49" t="s">
        <v>221</v>
      </c>
      <c r="D11" s="60" t="s">
        <v>222</v>
      </c>
      <c r="E11" s="49" t="s">
        <v>223</v>
      </c>
      <c r="F11" s="49" t="s">
        <v>6</v>
      </c>
      <c r="G11" s="50" t="s">
        <v>224</v>
      </c>
      <c r="H11" s="49" t="s">
        <v>225</v>
      </c>
      <c r="I11" s="61" t="s">
        <v>226</v>
      </c>
      <c r="J11" s="17" t="s">
        <v>11</v>
      </c>
      <c r="K11" s="62" t="s">
        <v>227</v>
      </c>
      <c r="L11" s="49" t="s">
        <v>203</v>
      </c>
      <c r="M11" s="50" t="s">
        <v>204</v>
      </c>
      <c r="N11" s="51" t="s">
        <v>205</v>
      </c>
      <c r="O11" s="51" t="s">
        <v>206</v>
      </c>
      <c r="P11" s="51" t="s">
        <v>207</v>
      </c>
      <c r="Q11" s="51" t="s">
        <v>208</v>
      </c>
      <c r="R11" s="51" t="s">
        <v>209</v>
      </c>
      <c r="S11" s="51" t="s">
        <v>210</v>
      </c>
      <c r="T11" s="51" t="s">
        <v>211</v>
      </c>
      <c r="U11" s="51" t="s">
        <v>212</v>
      </c>
      <c r="V11" s="51" t="s">
        <v>213</v>
      </c>
      <c r="W11" s="51" t="s">
        <v>214</v>
      </c>
      <c r="X11" s="51" t="s">
        <v>215</v>
      </c>
      <c r="Y11" s="51" t="s">
        <v>216</v>
      </c>
      <c r="Z11" s="51" t="s">
        <v>217</v>
      </c>
    </row>
    <row r="12" spans="1:26">
      <c r="A12" s="63">
        <v>1</v>
      </c>
      <c r="B12" s="64" t="s">
        <v>228</v>
      </c>
      <c r="C12" s="64" t="s">
        <v>140</v>
      </c>
      <c r="D12" s="65" t="s">
        <v>229</v>
      </c>
      <c r="E12" s="66" t="s">
        <v>230</v>
      </c>
      <c r="F12" s="66" t="s">
        <v>18</v>
      </c>
      <c r="G12" s="67">
        <v>2026</v>
      </c>
      <c r="H12" s="65" t="s">
        <v>231</v>
      </c>
      <c r="I12" s="68" t="s">
        <v>232</v>
      </c>
      <c r="J12" s="4" t="s">
        <v>21</v>
      </c>
      <c r="K12" s="69"/>
      <c r="L12" s="52" t="s">
        <v>127</v>
      </c>
      <c r="M12" s="53">
        <v>0</v>
      </c>
      <c r="N12" s="53">
        <v>894.4</v>
      </c>
      <c r="O12" s="53">
        <v>150</v>
      </c>
      <c r="P12" s="53">
        <v>250</v>
      </c>
      <c r="Q12" s="71">
        <v>225</v>
      </c>
      <c r="R12" s="53">
        <v>1.1000000000000001</v>
      </c>
      <c r="S12" s="53">
        <f t="shared" ref="S12:S15" si="0">+Q12*R12</f>
        <v>247.50000000000003</v>
      </c>
      <c r="T12" s="53">
        <v>293</v>
      </c>
      <c r="U12" s="53">
        <v>162</v>
      </c>
      <c r="V12" s="53">
        <v>70</v>
      </c>
      <c r="W12" s="55">
        <v>115</v>
      </c>
      <c r="X12" s="53">
        <v>1000</v>
      </c>
      <c r="Y12" s="53">
        <v>700</v>
      </c>
      <c r="Z12" s="56">
        <f>SUM(M12:P12,S12:Y12)</f>
        <v>3881.9</v>
      </c>
    </row>
    <row r="13" spans="1:26">
      <c r="A13" s="63">
        <f>+A12+1</f>
        <v>2</v>
      </c>
      <c r="B13" s="64" t="s">
        <v>228</v>
      </c>
      <c r="C13" s="64" t="s">
        <v>140</v>
      </c>
      <c r="D13" s="65" t="s">
        <v>229</v>
      </c>
      <c r="E13" s="66" t="s">
        <v>230</v>
      </c>
      <c r="F13" s="66" t="s">
        <v>18</v>
      </c>
      <c r="G13" s="67">
        <v>2026</v>
      </c>
      <c r="H13" s="65" t="s">
        <v>231</v>
      </c>
      <c r="I13" s="68" t="s">
        <v>232</v>
      </c>
      <c r="J13" s="4" t="s">
        <v>25</v>
      </c>
      <c r="K13" s="69"/>
      <c r="L13" s="52" t="s">
        <v>127</v>
      </c>
      <c r="M13" s="53">
        <v>0</v>
      </c>
      <c r="N13" s="53">
        <v>894.4</v>
      </c>
      <c r="O13" s="53">
        <v>150</v>
      </c>
      <c r="P13" s="53">
        <v>250</v>
      </c>
      <c r="Q13" s="71">
        <v>225</v>
      </c>
      <c r="R13" s="53">
        <v>1.1000000000000001</v>
      </c>
      <c r="S13" s="53">
        <f t="shared" si="0"/>
        <v>247.50000000000003</v>
      </c>
      <c r="T13" s="53">
        <v>293</v>
      </c>
      <c r="U13" s="53">
        <v>162</v>
      </c>
      <c r="V13" s="53">
        <v>70</v>
      </c>
      <c r="W13" s="55">
        <v>115</v>
      </c>
      <c r="X13" s="53">
        <v>1000</v>
      </c>
      <c r="Y13" s="53">
        <v>700</v>
      </c>
      <c r="Z13" s="56">
        <f t="shared" ref="Z12:Z15" si="1">SUM(M13:P13,S13:Y13)</f>
        <v>3881.9</v>
      </c>
    </row>
    <row r="14" spans="1:26">
      <c r="A14" s="63">
        <f>+A13+1</f>
        <v>3</v>
      </c>
      <c r="B14" s="64" t="s">
        <v>228</v>
      </c>
      <c r="C14" s="64" t="s">
        <v>140</v>
      </c>
      <c r="D14" s="65" t="s">
        <v>229</v>
      </c>
      <c r="E14" s="66" t="s">
        <v>230</v>
      </c>
      <c r="F14" s="66" t="s">
        <v>18</v>
      </c>
      <c r="G14" s="67">
        <v>2026</v>
      </c>
      <c r="H14" s="65" t="s">
        <v>231</v>
      </c>
      <c r="I14" s="68" t="s">
        <v>232</v>
      </c>
      <c r="J14" s="4" t="s">
        <v>25</v>
      </c>
      <c r="K14" s="69"/>
      <c r="L14" s="52" t="s">
        <v>127</v>
      </c>
      <c r="M14" s="53">
        <v>0</v>
      </c>
      <c r="N14" s="53">
        <v>894.4</v>
      </c>
      <c r="O14" s="53">
        <v>150</v>
      </c>
      <c r="P14" s="53">
        <v>250</v>
      </c>
      <c r="Q14" s="71">
        <v>225</v>
      </c>
      <c r="R14" s="53">
        <v>1.1000000000000001</v>
      </c>
      <c r="S14" s="53">
        <f t="shared" si="0"/>
        <v>247.50000000000003</v>
      </c>
      <c r="T14" s="53">
        <v>293</v>
      </c>
      <c r="U14" s="53">
        <v>162</v>
      </c>
      <c r="V14" s="53">
        <v>70</v>
      </c>
      <c r="W14" s="55">
        <v>115</v>
      </c>
      <c r="X14" s="53">
        <v>1000</v>
      </c>
      <c r="Y14" s="53">
        <v>700</v>
      </c>
      <c r="Z14" s="56">
        <f t="shared" si="1"/>
        <v>3881.9</v>
      </c>
    </row>
    <row r="15" spans="1:26">
      <c r="A15" s="63">
        <f>+A14+1</f>
        <v>4</v>
      </c>
      <c r="B15" s="64" t="s">
        <v>228</v>
      </c>
      <c r="C15" s="64" t="s">
        <v>140</v>
      </c>
      <c r="D15" s="65" t="s">
        <v>229</v>
      </c>
      <c r="E15" s="66" t="s">
        <v>230</v>
      </c>
      <c r="F15" s="66" t="s">
        <v>18</v>
      </c>
      <c r="G15" s="67">
        <v>2026</v>
      </c>
      <c r="H15" s="52" t="s">
        <v>231</v>
      </c>
      <c r="I15" s="52" t="s">
        <v>122</v>
      </c>
      <c r="J15" s="52" t="s">
        <v>233</v>
      </c>
      <c r="K15" s="70"/>
      <c r="L15" s="52" t="s">
        <v>218</v>
      </c>
      <c r="M15" s="53">
        <v>0</v>
      </c>
      <c r="N15" s="53">
        <v>894.4</v>
      </c>
      <c r="O15" s="53">
        <v>150</v>
      </c>
      <c r="P15" s="53">
        <v>250</v>
      </c>
      <c r="Q15" s="71">
        <v>225</v>
      </c>
      <c r="R15" s="53">
        <v>1.1000000000000001</v>
      </c>
      <c r="S15" s="53">
        <f t="shared" si="0"/>
        <v>247.50000000000003</v>
      </c>
      <c r="T15" s="53">
        <v>293</v>
      </c>
      <c r="U15" s="53">
        <v>162</v>
      </c>
      <c r="V15" s="53">
        <v>70</v>
      </c>
      <c r="W15" s="55">
        <v>115</v>
      </c>
      <c r="X15" s="53">
        <v>1000</v>
      </c>
      <c r="Y15" s="53">
        <v>700</v>
      </c>
      <c r="Z15" s="56">
        <f t="shared" si="1"/>
        <v>3881.9</v>
      </c>
    </row>
  </sheetData>
  <mergeCells count="5">
    <mergeCell ref="B4:E4"/>
    <mergeCell ref="E6:E9"/>
    <mergeCell ref="B6:B9"/>
    <mergeCell ref="C6:C9"/>
    <mergeCell ref="D6:D9"/>
  </mergeCells>
  <conditionalFormatting sqref="J12:J14">
    <cfRule type="expression" dxfId="13" priority="100">
      <formula>$O12="A déclasser"</formula>
    </cfRule>
    <cfRule type="expression" dxfId="12" priority="101">
      <formula>$O12="Avertissement"</formula>
    </cfRule>
  </conditionalFormatting>
  <conditionalFormatting sqref="B1:XFD1 A2:XFD2 I3:XFD3 M4:M9 Q4:XFD9 I4:I9 F10:XFD10 A16:XFD1048576 P11:XFD15">
    <cfRule type="cellIs" dxfId="11" priority="102" operator="equal">
      <formula>2023</formula>
    </cfRule>
    <cfRule type="cellIs" dxfId="10" priority="103" operator="equal">
      <formula>2021</formula>
    </cfRule>
    <cfRule type="cellIs" dxfId="9" priority="104" operator="equal">
      <formula>2015</formula>
    </cfRule>
    <cfRule type="cellIs" dxfId="8" priority="105" operator="equal">
      <formula>2022</formula>
    </cfRule>
    <cfRule type="cellIs" dxfId="7" priority="106" operator="equal">
      <formula>2024</formula>
    </cfRule>
    <cfRule type="cellIs" dxfId="6" priority="107" operator="equal">
      <formula>2017</formula>
    </cfRule>
    <cfRule type="cellIs" dxfId="5" priority="108" operator="equal">
      <formula>2016</formula>
    </cfRule>
    <cfRule type="cellIs" dxfId="4" priority="109" operator="equal">
      <formula>2014</formula>
    </cfRule>
    <cfRule type="cellIs" dxfId="3" priority="110" operator="equal">
      <formula>2017</formula>
    </cfRule>
    <cfRule type="cellIs" dxfId="2" priority="111" operator="equal">
      <formula>2020</formula>
    </cfRule>
    <cfRule type="cellIs" dxfId="1" priority="112" operator="equal">
      <formula>2016</formula>
    </cfRule>
    <cfRule type="cellIs" dxfId="0" priority="113" operator="equal">
      <formula>2014</formula>
    </cfRule>
  </conditionalFormatting>
  <conditionalFormatting sqref="M11:Z11">
    <cfRule type="colorScale" priority="9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 PPC LOXEA VEHICULE </vt:lpstr>
      <vt:lpstr>NEW 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Tresor Maneka</dc:creator>
  <cp:lastModifiedBy>Gedeon Mass</cp:lastModifiedBy>
  <dcterms:created xsi:type="dcterms:W3CDTF">2025-12-18T16:55:25Z</dcterms:created>
  <dcterms:modified xsi:type="dcterms:W3CDTF">2026-01-20T16:12:05Z</dcterms:modified>
</cp:coreProperties>
</file>