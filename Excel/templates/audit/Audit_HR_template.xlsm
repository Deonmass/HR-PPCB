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d:\Audit\New file\"/>
    </mc:Choice>
  </mc:AlternateContent>
  <xr:revisionPtr revIDLastSave="0" documentId="13_ncr:1_{643F36EC-8902-4CD4-8128-D66EE0B3760D}" xr6:coauthVersionLast="47" xr6:coauthVersionMax="47" xr10:uidLastSave="{00000000-0000-0000-0000-000000000000}"/>
  <bookViews>
    <workbookView xWindow="-110" yWindow="-110" windowWidth="19420" windowHeight="10300" activeTab="2" xr2:uid="{F9ABD780-475D-467C-9D02-282A774B8462}"/>
  </bookViews>
  <sheets>
    <sheet name="Dashboard" sheetId="1" r:id="rId1"/>
    <sheet name="_Ref" sheetId="3" state="hidden" r:id="rId2"/>
    <sheet name="Actions" sheetId="2" r:id="rId3"/>
  </sheets>
  <definedNames>
    <definedName name="CutoffDate">IFERROR(EOMONTH(DATE(VALUE(LEFT(MoisRef,4)),VALUE(RIGHT(MoisRef,2)),1),0),DateJour)</definedName>
    <definedName name="DateJour">_Ref!$E$2</definedName>
    <definedName name="ListeConfirm">_Ref!$C$2:$C$3</definedName>
    <definedName name="ListeMois">#REF!</definedName>
    <definedName name="ListeStatuts">_Ref!$A$2:$A$4</definedName>
    <definedName name="MoisRef">Dashboard!$D$2</definedName>
    <definedName name="_xlnm.Print_Area" localSheetId="0">Dashboard!$A$1:$O$32</definedName>
    <definedName name="Slicer_Annee">#N/A</definedName>
    <definedName name="Slicer_Mois">#N/A</definedName>
    <definedName name="Slicer_Owner">#N/A</definedName>
    <definedName name="Slicer_Severity">#N/A</definedName>
    <definedName name="Slicer_Status">#N/A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28" i="1" l="1"/>
  <c r="G27" i="1"/>
  <c r="G26" i="1"/>
  <c r="D2" i="1"/>
  <c r="G23" i="1"/>
  <c r="G22" i="1"/>
  <c r="G21" i="1"/>
  <c r="G20" i="1"/>
  <c r="G16" i="1"/>
  <c r="H15" i="1"/>
  <c r="G15" i="1"/>
  <c r="L14" i="1"/>
  <c r="J14" i="1"/>
  <c r="H14" i="1"/>
  <c r="G14" i="1"/>
  <c r="L13" i="1"/>
  <c r="J13" i="1"/>
  <c r="H13" i="1"/>
  <c r="G13" i="1"/>
  <c r="L12" i="1"/>
  <c r="J12" i="1"/>
  <c r="H12" i="1"/>
  <c r="G12" i="1"/>
  <c r="G7" i="1"/>
  <c r="G6" i="1"/>
  <c r="G5" i="1"/>
  <c r="D8" i="1"/>
  <c r="D7" i="1"/>
  <c r="D6" i="1"/>
  <c r="L3" i="2"/>
  <c r="F2" i="2"/>
  <c r="G2" i="2" s="1"/>
  <c r="F4" i="2"/>
  <c r="G4" i="2" s="1"/>
  <c r="F5" i="2"/>
  <c r="F6" i="2"/>
  <c r="F7" i="2"/>
  <c r="G7" i="2" s="1"/>
  <c r="F8" i="2"/>
  <c r="F9" i="2"/>
  <c r="F10" i="2"/>
  <c r="F11" i="2"/>
  <c r="F12" i="2"/>
  <c r="G12" i="2" s="1"/>
  <c r="F13" i="2"/>
  <c r="G13" i="2" s="1"/>
  <c r="F14" i="2"/>
  <c r="F15" i="2"/>
  <c r="G15" i="2" s="1"/>
  <c r="F16" i="2"/>
  <c r="G16" i="2" s="1"/>
  <c r="F17" i="2"/>
  <c r="G17" i="2" s="1"/>
  <c r="F18" i="2"/>
  <c r="F19" i="2"/>
  <c r="G19" i="2" s="1"/>
  <c r="F20" i="2"/>
  <c r="G20" i="2" s="1"/>
  <c r="F21" i="2"/>
  <c r="F22" i="2"/>
  <c r="F23" i="2"/>
  <c r="F3" i="2"/>
  <c r="G3" i="2"/>
  <c r="G5" i="2"/>
  <c r="G6" i="2"/>
  <c r="G8" i="2"/>
  <c r="G9" i="2"/>
  <c r="G10" i="2"/>
  <c r="G11" i="2"/>
  <c r="G14" i="2"/>
  <c r="G18" i="2"/>
  <c r="G21" i="2"/>
  <c r="G22" i="2"/>
  <c r="G23" i="2"/>
  <c r="L2" i="2"/>
  <c r="M2" i="2" s="1"/>
  <c r="L4" i="2"/>
  <c r="M4" i="2" s="1"/>
  <c r="L5" i="2"/>
  <c r="L6" i="2"/>
  <c r="L7" i="2"/>
  <c r="M7" i="2" s="1"/>
  <c r="L8" i="2"/>
  <c r="L9" i="2"/>
  <c r="L10" i="2"/>
  <c r="L11" i="2"/>
  <c r="L12" i="2"/>
  <c r="M12" i="2" s="1"/>
  <c r="L13" i="2"/>
  <c r="M13" i="2" s="1"/>
  <c r="L14" i="2"/>
  <c r="L15" i="2"/>
  <c r="M15" i="2" s="1"/>
  <c r="L16" i="2"/>
  <c r="M16" i="2" s="1"/>
  <c r="L17" i="2"/>
  <c r="M17" i="2" s="1"/>
  <c r="L18" i="2"/>
  <c r="L19" i="2"/>
  <c r="M19" i="2" s="1"/>
  <c r="L20" i="2"/>
  <c r="M20" i="2" s="1"/>
  <c r="L21" i="2"/>
  <c r="L22" i="2"/>
  <c r="L23" i="2"/>
  <c r="K2" i="2"/>
  <c r="K3" i="2"/>
  <c r="K4" i="2"/>
  <c r="K5" i="2"/>
  <c r="K6" i="2"/>
  <c r="K7" i="2"/>
  <c r="K8" i="2"/>
  <c r="K9" i="2"/>
  <c r="K10" i="2"/>
  <c r="K11" i="2"/>
  <c r="K12" i="2"/>
  <c r="K13" i="2"/>
  <c r="K14" i="2"/>
  <c r="K15" i="2"/>
  <c r="K16" i="2"/>
  <c r="K17" i="2"/>
  <c r="K18" i="2"/>
  <c r="K19" i="2"/>
  <c r="K20" i="2"/>
  <c r="K21" i="2"/>
  <c r="K22" i="2"/>
  <c r="K23" i="2"/>
  <c r="D4" i="1"/>
  <c r="M14" i="2" l="1"/>
  <c r="M11" i="2"/>
  <c r="M23" i="2"/>
  <c r="M10" i="2"/>
  <c r="M22" i="2"/>
  <c r="M9" i="2"/>
  <c r="M21" i="2"/>
  <c r="M8" i="2"/>
  <c r="M6" i="2"/>
  <c r="M18" i="2"/>
  <c r="M5" i="2"/>
  <c r="M3" i="2"/>
  <c r="J15" i="1"/>
  <c r="K15" i="1" s="1"/>
  <c r="L15" i="1"/>
  <c r="M15" i="1" s="1"/>
  <c r="H16" i="1"/>
  <c r="I16" i="1" s="1"/>
  <c r="H6" i="1"/>
  <c r="J16" i="1"/>
  <c r="K16" i="1" s="1"/>
  <c r="L16" i="1"/>
  <c r="M16" i="1" s="1"/>
  <c r="H26" i="1"/>
  <c r="H27" i="1"/>
  <c r="H28" i="1"/>
  <c r="H20" i="1"/>
  <c r="H21" i="1"/>
  <c r="H22" i="1"/>
  <c r="H23" i="1"/>
  <c r="H7" i="1"/>
  <c r="H5" i="1"/>
  <c r="I15" i="1"/>
  <c r="K14" i="1"/>
  <c r="M14" i="1"/>
  <c r="I14" i="1"/>
  <c r="M12" i="1"/>
  <c r="M13" i="1"/>
  <c r="I13" i="1"/>
  <c r="K13" i="1"/>
  <c r="I12" i="1"/>
  <c r="K12" i="1"/>
  <c r="D5" i="1"/>
</calcChain>
</file>

<file path=xl/sharedStrings.xml><?xml version="1.0" encoding="utf-8"?>
<sst xmlns="http://schemas.openxmlformats.org/spreadsheetml/2006/main" count="176" uniqueCount="85">
  <si>
    <t>En cours</t>
  </si>
  <si>
    <t>Oui</t>
  </si>
  <si>
    <t>Non</t>
  </si>
  <si>
    <t>Owner</t>
  </si>
  <si>
    <t>Action</t>
  </si>
  <si>
    <t>Issue creation date</t>
  </si>
  <si>
    <t>Due date</t>
  </si>
  <si>
    <t>Days overdue</t>
  </si>
  <si>
    <t>Status</t>
  </si>
  <si>
    <t>Confirmation audit</t>
  </si>
  <si>
    <t>Commentaire</t>
  </si>
  <si>
    <t>Severity</t>
  </si>
  <si>
    <t>Pelagie Kinkinia</t>
  </si>
  <si>
    <t>Complete all missing documents in employee files</t>
  </si>
  <si>
    <t>Medium</t>
  </si>
  <si>
    <t>Charité Tshimanga</t>
  </si>
  <si>
    <t>Ensure all induction plan are properly documented</t>
  </si>
  <si>
    <t>Done  et confirmé</t>
  </si>
  <si>
    <t>Benny Zakuani</t>
  </si>
  <si>
    <t>Introduce a KPI related to proper documentation filing within the  recruitment process in the Recruitment Officer scorecard</t>
  </si>
  <si>
    <t>à cloturer lors la prochaine evaluation Mars 2027</t>
  </si>
  <si>
    <t>Conduct an annual internal audit of employee files to ensure  compliance and completeness and close the Gap (85%  compliance rate)</t>
  </si>
  <si>
    <t>Done avec confirmation de l'audit</t>
  </si>
  <si>
    <t>Employee files update</t>
  </si>
  <si>
    <t>High</t>
  </si>
  <si>
    <t>Ensure all FY26 training records are properly  documented and closed</t>
  </si>
  <si>
    <t>Faire valider le form à reviser</t>
  </si>
  <si>
    <t>Kiesse Banguli</t>
  </si>
  <si>
    <t>Ensure that all required employee data is  systematically shared with Finance on an annual  basis, no later than end of april</t>
  </si>
  <si>
    <t>Low</t>
  </si>
  <si>
    <t>Establish a formal procedure defining roles and  responsibilities between HR and Finance, including  timelines and data requirements</t>
  </si>
  <si>
    <t>Establish a formal procedure for conducting surveys, including confidentiality requirements and formal  agreements with providers</t>
  </si>
  <si>
    <t>Done et Confirmé</t>
  </si>
  <si>
    <t>Finalize and standardize reference checks</t>
  </si>
  <si>
    <t>Implement a formal action plan and ensure proper  closure tracking</t>
  </si>
  <si>
    <t>s'accorder avec Benny</t>
  </si>
  <si>
    <t>Implement an automatic recuitment System</t>
  </si>
  <si>
    <t>Include a mandatory handover/ tracking file within  the clearance process (Update the clearance from)</t>
  </si>
  <si>
    <t>A tester avec plus d'échantillon (Envoyer le mail pour la prochaine date)</t>
  </si>
  <si>
    <t>Introduce a KPI on proper filing and document completeness in  employee records</t>
  </si>
  <si>
    <t>Issue a decision note to formalize interview outcomes</t>
  </si>
  <si>
    <t>Soumis à madame Carine E pour validation</t>
  </si>
  <si>
    <t>Notify all pending candidates of their probation status</t>
  </si>
  <si>
    <t>Transfert des éléments à l'audit et attente de la confirmation d'ici la fin de la journée</t>
  </si>
  <si>
    <t>Carine Ewuli</t>
  </si>
  <si>
    <t>Organize an alignment session between Human Resources  and Legal to clarify requirements and define the appropriate  framework documentation.</t>
  </si>
  <si>
    <t>Done</t>
  </si>
  <si>
    <t>Organize focus group sessions (plant and head  office) to gather additional insigh</t>
  </si>
  <si>
    <t>Proposer un format sur le type de groupage</t>
  </si>
  <si>
    <t>Publish an updated and comprehensive training plan  FY27, including clear objectives and cost tracking</t>
  </si>
  <si>
    <t>A soumettre d'ici vendredi</t>
  </si>
  <si>
    <t>Send regret letters to all unsuccessful candidates</t>
  </si>
  <si>
    <t>Send Training Plan FY26 asap</t>
  </si>
  <si>
    <t>Update the procedure or policy to include a clear  requirement for timely clearance and final payment  processing (48H hours before the last)</t>
  </si>
  <si>
    <t>KPI</t>
  </si>
  <si>
    <t>Total</t>
  </si>
  <si>
    <t>% Clôturé</t>
  </si>
  <si>
    <t>Repartition Statut</t>
  </si>
  <si>
    <t>Statut</t>
  </si>
  <si>
    <t>Nb</t>
  </si>
  <si>
    <t>%</t>
  </si>
  <si>
    <t>Par Owner</t>
  </si>
  <si>
    <t>HR AUDIT</t>
  </si>
  <si>
    <t>Annee</t>
  </si>
  <si>
    <t>Closing date</t>
  </si>
  <si>
    <t>Overdue</t>
  </si>
  <si>
    <t>Mois</t>
  </si>
  <si>
    <t>Closed</t>
  </si>
  <si>
    <t>On going</t>
  </si>
  <si>
    <t>% Closed</t>
  </si>
  <si>
    <t>Nb Closed</t>
  </si>
  <si>
    <t>Nb On going</t>
  </si>
  <si>
    <t>Nb Overdue</t>
  </si>
  <si>
    <t>% Overdue</t>
  </si>
  <si>
    <t>DateJour</t>
  </si>
  <si>
    <t>Progression au</t>
  </si>
  <si>
    <t>% Closed (cumul)</t>
  </si>
  <si>
    <t>Progression cumulative % Closed</t>
  </si>
  <si>
    <t>Closed cumul</t>
  </si>
  <si>
    <t>2026-04</t>
  </si>
  <si>
    <t>2026-05</t>
  </si>
  <si>
    <t>2026-06</t>
  </si>
  <si>
    <t>2026-07</t>
  </si>
  <si>
    <t>FiltreMois</t>
  </si>
  <si>
    <t>(filtre aussi la feuille Actions)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</si>
</sst>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0" x14ac:knownFonts="1">
    <font>
      <sz val="11"/>
      <color theme="1"/>
      <name val="Aptos Narrow"/>
      <family val="2"/>
      <scheme val="minor"/>
    </font>
    <font>
      <sz val="11"/>
      <color rgb="FF006100"/>
      <name val="Aptos Narrow"/>
      <family val="2"/>
      <scheme val="minor"/>
    </font>
    <font>
      <b/>
      <sz val="11"/>
      <color theme="1"/>
      <name val="Aptos Narrow"/>
      <family val="2"/>
      <scheme val="minor"/>
    </font>
    <font>
      <b/>
      <sz val="11"/>
      <color rgb="FFFFFFFF"/>
      <name val="Aptos Narrow"/>
      <family val="2"/>
      <scheme val="minor"/>
    </font>
    <font>
      <b/>
      <sz val="18"/>
      <color rgb="FFFFFFFF"/>
      <name val="Aptos Narrow"/>
      <family val="2"/>
      <scheme val="minor"/>
    </font>
    <font>
      <i/>
      <sz val="9"/>
      <color theme="1"/>
      <name val="Aptos Narrow"/>
      <family val="2"/>
      <scheme val="minor"/>
    </font>
    <font>
      <b/>
      <sz val="11"/>
      <color theme="0"/>
      <name val="Aptos Narrow"/>
      <family val="2"/>
      <scheme val="minor"/>
    </font>
    <font>
      <sz val="11"/>
      <color theme="0"/>
      <name val="Aptos Narrow"/>
      <family val="2"/>
      <scheme val="minor"/>
    </font>
    <font>
      <b/>
      <sz val="10"/>
      <color theme="0"/>
      <name val="Aptos Narrow"/>
      <family val="2"/>
      <scheme val="minor"/>
    </font>
    <font>
      <b/>
      <sz val="14"/>
      <color rgb="FFFFFFFF"/>
      <name val="Aptos Narrow"/>
      <family val="2"/>
      <scheme val="minor"/>
    </font>
  </fonts>
  <fills count="6">
    <fill>
      <patternFill patternType="none"/>
    </fill>
    <fill>
      <patternFill patternType="gray125"/>
    </fill>
    <fill>
      <patternFill patternType="solid">
        <fgColor rgb="FF333333"/>
        <bgColor indexed="64"/>
      </patternFill>
    </fill>
    <fill>
      <patternFill patternType="solid">
        <fgColor theme="0"/>
        <bgColor indexed="64"/>
      </patternFill>
    </fill>
    <fill>
      <patternFill patternType="solid">
        <fgColor theme="1"/>
        <bgColor indexed="64"/>
      </patternFill>
    </fill>
    <fill>
      <patternFill patternType="solid">
        <fgColor rgb="FFD3EAD9"/>
        <bgColor indexed="64"/>
      </patternFill>
    </fill>
  </fills>
  <borders count="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7">
    <xf numFmtId="0" fontId="0" fillId="0" borderId="0" xfId="0"/>
    <xf numFmtId="164" fontId="0" fillId="0" borderId="0" xfId="0" applyNumberFormat="1"/>
    <xf numFmtId="0" fontId="0" fillId="0" borderId="0" xfId="0" applyAlignment="1">
      <alignment vertical="center"/>
    </xf>
    <xf numFmtId="0" fontId="2" fillId="0" borderId="0" xfId="0" applyFont="1" applyAlignment="1">
      <alignment vertical="center"/>
    </xf>
    <xf numFmtId="0" fontId="3" fillId="2" borderId="0" xfId="0" applyFont="1" applyFill="1" applyAlignment="1">
      <alignment vertical="center"/>
    </xf>
    <xf numFmtId="0" fontId="5" fillId="0" borderId="0" xfId="0" applyFont="1" applyAlignment="1">
      <alignment vertical="center"/>
    </xf>
    <xf numFmtId="0" fontId="0" fillId="0" borderId="0" xfId="0" applyAlignment="1">
      <alignment horizontal="center" vertical="center"/>
    </xf>
    <xf numFmtId="0" fontId="3" fillId="2" borderId="0" xfId="0" applyFont="1" applyFill="1" applyAlignment="1">
      <alignment horizontal="center" vertical="center"/>
    </xf>
    <xf numFmtId="9" fontId="0" fillId="0" borderId="0" xfId="0" applyNumberFormat="1" applyAlignment="1">
      <alignment horizontal="center" vertical="center"/>
    </xf>
    <xf numFmtId="0" fontId="3" fillId="2" borderId="0" xfId="0" applyFont="1" applyFill="1" applyAlignment="1">
      <alignment vertical="center" wrapText="1"/>
    </xf>
    <xf numFmtId="0" fontId="0" fillId="0" borderId="0" xfId="0" applyAlignment="1">
      <alignment vertical="center" wrapText="1"/>
    </xf>
    <xf numFmtId="164" fontId="0" fillId="0" borderId="0" xfId="0" applyNumberFormat="1" applyAlignment="1">
      <alignment vertical="center"/>
    </xf>
    <xf numFmtId="0" fontId="2" fillId="0" borderId="0" xfId="0" applyFont="1" applyAlignment="1">
      <alignment horizontal="center" vertical="center"/>
    </xf>
    <xf numFmtId="0" fontId="7" fillId="3" borderId="0" xfId="0" applyFont="1" applyFill="1" applyAlignment="1">
      <alignment vertical="center"/>
    </xf>
    <xf numFmtId="0" fontId="6" fillId="3" borderId="0" xfId="0" applyFont="1" applyFill="1" applyAlignment="1">
      <alignment vertical="center"/>
    </xf>
    <xf numFmtId="0" fontId="8" fillId="3" borderId="0" xfId="0" applyFont="1" applyFill="1" applyAlignment="1">
      <alignment vertical="center"/>
    </xf>
    <xf numFmtId="9" fontId="8" fillId="3" borderId="0" xfId="0" applyNumberFormat="1" applyFont="1" applyFill="1" applyAlignment="1">
      <alignment vertical="center"/>
    </xf>
    <xf numFmtId="1" fontId="1" fillId="3" borderId="0" xfId="0" applyNumberFormat="1" applyFont="1" applyFill="1" applyAlignment="1">
      <alignment vertical="center"/>
    </xf>
    <xf numFmtId="0" fontId="2" fillId="3" borderId="1" xfId="0" applyFont="1" applyFill="1" applyBorder="1" applyAlignment="1">
      <alignment vertical="center"/>
    </xf>
    <xf numFmtId="0" fontId="0" fillId="3" borderId="2" xfId="0" applyFill="1" applyBorder="1" applyAlignment="1">
      <alignment vertical="center" wrapText="1"/>
    </xf>
    <xf numFmtId="164" fontId="0" fillId="3" borderId="2" xfId="0" applyNumberFormat="1" applyFill="1" applyBorder="1" applyAlignment="1">
      <alignment vertical="center"/>
    </xf>
    <xf numFmtId="164" fontId="1" fillId="3" borderId="2" xfId="0" applyNumberFormat="1" applyFont="1" applyFill="1" applyBorder="1" applyAlignment="1">
      <alignment vertical="center"/>
    </xf>
    <xf numFmtId="0" fontId="2" fillId="3" borderId="2" xfId="0" applyFont="1" applyFill="1" applyBorder="1" applyAlignment="1">
      <alignment horizontal="center" vertic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1" fontId="0" fillId="3" borderId="2" xfId="0" applyNumberFormat="1" applyFill="1" applyBorder="1" applyAlignment="1">
      <alignment horizontal="center" vertical="center"/>
    </xf>
    <xf numFmtId="0" fontId="2" fillId="3" borderId="2" xfId="0" applyFont="1" applyFill="1" applyBorder="1" applyAlignment="1">
      <alignment vertical="center" wrapText="1"/>
    </xf>
    <xf numFmtId="0" fontId="3" fillId="2" borderId="0" xfId="0" applyFont="1" applyFill="1" applyAlignment="1">
      <alignment horizontal="right" vertical="center"/>
    </xf>
    <xf numFmtId="0" fontId="9" fillId="4" borderId="0" xfId="0" applyFont="1" applyFill="1" applyAlignment="1">
      <alignment horizontal="center" vertical="center"/>
    </xf>
    <xf numFmtId="0" fontId="7" fillId="3" borderId="0" xfId="0" applyFont="1" applyFill="1" applyAlignment="1">
      <alignment horizontal="center" vertical="center"/>
    </xf>
    <xf numFmtId="0" fontId="6" fillId="3" borderId="0" xfId="0" applyFont="1" applyFill="1" applyAlignment="1">
      <alignment horizontal="center" vertical="center"/>
    </xf>
    <xf numFmtId="9" fontId="6" fillId="3" borderId="0" xfId="0" applyNumberFormat="1" applyFont="1" applyFill="1" applyAlignment="1">
      <alignment horizontal="center" vertical="center"/>
    </xf>
    <xf numFmtId="9" fontId="7" fillId="3" borderId="0" xfId="0" applyNumberFormat="1" applyFont="1" applyFill="1" applyAlignment="1">
      <alignment horizontal="center" vertical="center"/>
    </xf>
    <xf numFmtId="49" fontId="0" fillId="0" borderId="0" xfId="0" applyNumberFormat="1"/>
    <xf numFmtId="49" fontId="0" fillId="0" borderId="0" xfId="0" applyNumberFormat="1" applyAlignment="1">
      <alignment vertical="center"/>
    </xf>
    <xf numFmtId="49" fontId="6" fillId="5" borderId="0" xfId="0" applyNumberFormat="1" applyFont="1" applyFill="1" applyAlignment="1">
      <alignment vertical="center"/>
    </xf>
    <xf numFmtId="0" fontId="4" fillId="2" borderId="0" xfId="0" applyFont="1" applyFill="1" applyAlignment="1">
      <alignment horizontal="center" vertical="center"/>
    </xf>
  </cellXfs>
  <cellStyles count="1">
    <cellStyle name="Normal" xfId="0" builtinId="0"/>
  </cellStyles>
  <dxfs count="23">
    <dxf>
      <font>
        <b/>
        <i val="0"/>
        <color theme="1"/>
      </font>
      <fill>
        <patternFill>
          <bgColor theme="0"/>
        </patternFill>
      </fill>
    </dxf>
    <dxf>
      <font>
        <b/>
        <i val="0"/>
        <color theme="0"/>
      </font>
      <fill>
        <patternFill>
          <bgColor theme="5"/>
        </patternFill>
      </fill>
    </dxf>
    <dxf>
      <font>
        <b/>
        <i val="0"/>
        <color theme="0"/>
      </font>
      <fill>
        <patternFill>
          <bgColor rgb="FFC00000"/>
        </patternFill>
      </fill>
    </dxf>
    <dxf>
      <font>
        <b/>
        <i val="0"/>
        <color theme="0"/>
      </font>
      <fill>
        <patternFill patternType="gray0625">
          <bgColor theme="1"/>
        </patternFill>
      </fill>
    </dxf>
    <dxf>
      <font>
        <b/>
        <i val="0"/>
      </font>
      <fill>
        <patternFill patternType="gray0625">
          <bgColor theme="9" tint="0.79998168889431442"/>
        </patternFill>
      </fill>
    </dxf>
    <dxf>
      <font>
        <b/>
        <i val="0"/>
      </font>
      <fill>
        <patternFill patternType="gray0625">
          <bgColor rgb="FFFCD4D4"/>
        </patternFill>
      </fill>
    </dxf>
    <dxf>
      <numFmt numFmtId="30" formatCode="@"/>
    </dxf>
    <dxf>
      <numFmt numFmtId="30" formatCode="@"/>
    </dxf>
    <dxf>
      <font>
        <b val="0"/>
        <i val="0"/>
        <strike val="0"/>
        <condense val="0"/>
        <extend val="0"/>
        <outline val="0"/>
        <shadow val="0"/>
        <u val="none"/>
        <vertAlign val="baseline"/>
        <sz val="11"/>
        <color rgb="FF006100"/>
        <name val="Aptos Narrow"/>
        <family val="2"/>
        <scheme val="minor"/>
      </font>
      <numFmt numFmtId="1" formatCode="0"/>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6100"/>
        <name val="Aptos Narrow"/>
        <family val="2"/>
        <scheme val="minor"/>
      </font>
      <numFmt numFmtId="1" formatCode="0"/>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6100"/>
        <name val="Aptos Narrow"/>
        <family val="2"/>
        <scheme val="minor"/>
      </font>
      <numFmt numFmtId="1" formatCode="0"/>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6100"/>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style="thin">
          <color auto="1"/>
        </horizontal>
      </border>
    </dxf>
    <dxf>
      <font>
        <b val="0"/>
        <i val="0"/>
        <strike val="0"/>
        <condense val="0"/>
        <extend val="0"/>
        <outline val="0"/>
        <shadow val="0"/>
        <u val="none"/>
        <vertAlign val="baseline"/>
        <sz val="11"/>
        <color rgb="FF006100"/>
        <name val="Aptos Narrow"/>
        <family val="2"/>
        <scheme val="minor"/>
      </font>
      <fill>
        <patternFill patternType="solid">
          <fgColor indexed="64"/>
          <bgColor theme="0"/>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font>
        <b val="0"/>
        <i val="0"/>
        <strike val="0"/>
        <condense val="0"/>
        <extend val="0"/>
        <outline val="0"/>
        <shadow val="0"/>
        <u val="none"/>
        <vertAlign val="baseline"/>
        <sz val="11"/>
        <color rgb="FF006100"/>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auto="1"/>
        </top>
        <bottom style="thin">
          <color auto="1"/>
        </bottom>
      </border>
    </dxf>
    <dxf>
      <font>
        <b/>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style="thin">
          <color auto="1"/>
        </top>
        <bottom style="thin">
          <color auto="1"/>
        </bottom>
      </border>
    </dxf>
    <dxf>
      <font>
        <b val="0"/>
        <i val="0"/>
        <strike val="0"/>
        <condense val="0"/>
        <extend val="0"/>
        <outline val="0"/>
        <shadow val="0"/>
        <u val="none"/>
        <vertAlign val="baseline"/>
        <sz val="11"/>
        <color rgb="FF006100"/>
        <name val="Aptos Narrow"/>
        <family val="2"/>
        <scheme val="minor"/>
      </font>
      <numFmt numFmtId="1" formatCode="0"/>
      <fill>
        <patternFill patternType="solid">
          <fgColor indexed="64"/>
          <bgColor theme="0"/>
        </patternFill>
      </fill>
      <alignment horizontal="center" vertical="center" textRotation="0" wrapText="0" indent="0" justifyLastLine="0" shrinkToFit="0" readingOrder="0"/>
      <border diagonalUp="0" diagonalDown="0" outline="0">
        <left/>
        <right/>
        <top style="thin">
          <color auto="1"/>
        </top>
        <bottom style="thin">
          <color auto="1"/>
        </bottom>
      </border>
    </dxf>
    <dxf>
      <font>
        <b/>
        <i val="0"/>
        <strike val="0"/>
        <condense val="0"/>
        <extend val="0"/>
        <outline val="0"/>
        <shadow val="0"/>
        <u val="none"/>
        <vertAlign val="baseline"/>
        <sz val="11"/>
        <color rgb="FF006100"/>
        <name val="Aptos Narrow"/>
        <family val="2"/>
        <scheme val="minor"/>
      </font>
      <numFmt numFmtId="164" formatCode="dd/mm/yyyy"/>
      <fill>
        <patternFill patternType="solid">
          <fgColor indexed="64"/>
          <bgColor theme="0"/>
        </patternFill>
      </fill>
      <alignment horizontal="general" vertical="center" textRotation="0" wrapText="0" indent="0" justifyLastLine="0" shrinkToFit="0" readingOrder="0"/>
      <border diagonalUp="0" diagonalDown="0">
        <left/>
        <right/>
        <top style="thin">
          <color auto="1"/>
        </top>
        <bottom style="thin">
          <color auto="1"/>
        </bottom>
        <vertical/>
        <horizontal style="thin">
          <color auto="1"/>
        </horizontal>
      </border>
    </dxf>
    <dxf>
      <font>
        <b val="0"/>
        <i val="0"/>
        <strike val="0"/>
        <condense val="0"/>
        <extend val="0"/>
        <outline val="0"/>
        <shadow val="0"/>
        <u val="none"/>
        <vertAlign val="baseline"/>
        <sz val="11"/>
        <color rgb="FF006100"/>
        <name val="Aptos Narrow"/>
        <family val="2"/>
        <scheme val="minor"/>
      </font>
      <numFmt numFmtId="164" formatCode="dd/mm/yyyy"/>
      <fill>
        <patternFill patternType="solid">
          <fgColor indexed="64"/>
          <bgColor theme="0"/>
        </patternFill>
      </fill>
      <alignment horizontal="general" vertical="center" textRotation="0" indent="0" justifyLastLine="0" shrinkToFit="0" readingOrder="0"/>
      <border diagonalUp="0" diagonalDown="0">
        <left/>
        <right/>
        <top style="thin">
          <color auto="1"/>
        </top>
        <bottom style="thin">
          <color auto="1"/>
        </bottom>
        <vertical/>
        <horizontal style="thin">
          <color auto="1"/>
        </horizontal>
      </border>
    </dxf>
    <dxf>
      <font>
        <b val="0"/>
        <i val="0"/>
        <strike val="0"/>
        <condense val="0"/>
        <extend val="0"/>
        <outline val="0"/>
        <shadow val="0"/>
        <u val="none"/>
        <vertAlign val="baseline"/>
        <sz val="11"/>
        <color rgb="FF006100"/>
        <name val="Aptos Narrow"/>
        <family val="2"/>
        <scheme val="minor"/>
      </font>
      <numFmt numFmtId="164" formatCode="dd/mm/yyyy"/>
      <fill>
        <patternFill patternType="solid">
          <fgColor indexed="64"/>
          <bgColor theme="0"/>
        </patternFill>
      </fill>
      <alignment horizontal="general" vertical="center" textRotation="0" indent="0" justifyLastLine="0" shrinkToFit="0" readingOrder="0"/>
      <border diagonalUp="0" diagonalDown="0" outline="0">
        <left/>
        <right/>
        <top style="thin">
          <color auto="1"/>
        </top>
        <bottom style="thin">
          <color auto="1"/>
        </bottom>
      </border>
    </dxf>
    <dxf>
      <font>
        <b/>
        <i val="0"/>
        <strike val="0"/>
        <condense val="0"/>
        <extend val="0"/>
        <outline val="0"/>
        <shadow val="0"/>
        <u val="none"/>
        <vertAlign val="baseline"/>
        <sz val="11"/>
        <color rgb="FF006100"/>
        <name val="Aptos Narrow"/>
        <family val="2"/>
        <scheme val="minor"/>
      </font>
      <fill>
        <patternFill patternType="solid">
          <fgColor indexed="64"/>
          <bgColor theme="0"/>
        </patternFill>
      </fill>
      <alignment horizontal="general" vertical="center" textRotation="0" wrapText="1" indent="0" justifyLastLine="0" shrinkToFit="0" readingOrder="0"/>
      <border diagonalUp="0" diagonalDown="0" outline="0">
        <left/>
        <right/>
        <top style="thin">
          <color auto="1"/>
        </top>
        <bottom style="thin">
          <color auto="1"/>
        </bottom>
      </border>
    </dxf>
    <dxf>
      <font>
        <b/>
        <i val="0"/>
        <strike val="0"/>
        <condense val="0"/>
        <extend val="0"/>
        <outline val="0"/>
        <shadow val="0"/>
        <u val="none"/>
        <vertAlign val="baseline"/>
        <sz val="11"/>
        <color rgb="FF006100"/>
        <name val="Aptos Narrow"/>
        <family val="2"/>
        <scheme val="minor"/>
      </font>
      <fill>
        <patternFill patternType="solid">
          <fgColor indexed="64"/>
          <bgColor theme="0"/>
        </patternFill>
      </fill>
      <alignment horizontal="general" vertical="center" textRotation="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1"/>
        <color rgb="FF006100"/>
        <name val="Aptos Narrow"/>
        <family val="2"/>
        <scheme val="minor"/>
      </font>
      <fill>
        <patternFill patternType="solid">
          <fgColor indexed="64"/>
          <bgColor theme="0"/>
        </patternFill>
      </fill>
      <alignment horizontal="general" vertical="center" textRotation="0" indent="0" justifyLastLine="0" shrinkToFit="0" readingOrder="0"/>
    </dxf>
    <dxf>
      <font>
        <b/>
        <i val="0"/>
        <strike val="0"/>
        <condense val="0"/>
        <extend val="0"/>
        <outline val="0"/>
        <shadow val="0"/>
        <u val="none"/>
        <vertAlign val="baseline"/>
        <sz val="11"/>
        <color rgb="FFFFFFFF"/>
        <name val="Aptos Narrow"/>
        <family val="2"/>
        <scheme val="minor"/>
      </font>
      <fill>
        <patternFill patternType="solid">
          <fgColor indexed="64"/>
          <bgColor rgb="FF333333"/>
        </patternFill>
      </fill>
      <alignment horizontal="general" vertical="center" textRotation="0" indent="0" justifyLastLine="0" shrinkToFit="0" readingOrder="0"/>
    </dxf>
  </dxfs>
  <tableStyles count="0" defaultTableStyle="TableStyleMedium2" defaultPivotStyle="PivotStyleLight16"/>
  <colors>
    <mruColors>
      <color rgb="FFB1E49C"/>
      <color rgb="FFFCD4D4"/>
      <color rgb="FFE9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5.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4.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aredStrings" Target="sharedStrings.xml"/><Relationship Id="rId5" Type="http://schemas.microsoft.com/office/2007/relationships/slicerCache" Target="slicerCaches/slicerCache2.xml"/><Relationship Id="rId10" Type="http://schemas.openxmlformats.org/officeDocument/2006/relationships/styles" Target="styles.xml"/><Relationship Id="rId4" Type="http://schemas.microsoft.com/office/2007/relationships/slicerCache" Target="slicerCaches/slicerCache1.xml"/><Relationship Id="rId9"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Taux par statut</a:t>
            </a:r>
          </a:p>
        </c:rich>
      </c:tx>
      <c:layout>
        <c:manualLayout>
          <c:xMode val="edge"/>
          <c:yMode val="edge"/>
          <c:x val="3.4607541262037758E-2"/>
          <c:y val="2.8503562945368172E-2"/>
        </c:manualLayout>
      </c:layout>
      <c:overlay val="1"/>
    </c:title>
    <c:autoTitleDeleted val="0"/>
    <c:plotArea>
      <c:layout/>
      <c:doughnutChart>
        <c:varyColors val="1"/>
        <c:ser>
          <c:idx val="0"/>
          <c:order val="0"/>
          <c:spPr>
            <a:solidFill>
              <a:schemeClr val="accent6">
                <a:lumMod val="50000"/>
              </a:schemeClr>
            </a:solidFill>
          </c:spPr>
          <c:dPt>
            <c:idx val="1"/>
            <c:bubble3D val="0"/>
            <c:spPr>
              <a:solidFill>
                <a:schemeClr val="bg1">
                  <a:lumMod val="85000"/>
                </a:schemeClr>
              </a:solidFill>
              <a:ln>
                <a:solidFill>
                  <a:schemeClr val="tx1">
                    <a:lumMod val="50000"/>
                    <a:lumOff val="50000"/>
                  </a:schemeClr>
                </a:solidFill>
              </a:ln>
            </c:spPr>
            <c:extLst>
              <c:ext xmlns:c16="http://schemas.microsoft.com/office/drawing/2014/chart" uri="{C3380CC4-5D6E-409C-BE32-E72D297353CC}">
                <c16:uniqueId val="{00000003-1AE7-4B72-B12B-DC4575C276C1}"/>
              </c:ext>
            </c:extLst>
          </c:dPt>
          <c:dPt>
            <c:idx val="2"/>
            <c:bubble3D val="0"/>
            <c:spPr>
              <a:solidFill>
                <a:schemeClr val="accent4">
                  <a:lumMod val="75000"/>
                </a:schemeClr>
              </a:solidFill>
            </c:spPr>
            <c:extLst>
              <c:ext xmlns:c16="http://schemas.microsoft.com/office/drawing/2014/chart" uri="{C3380CC4-5D6E-409C-BE32-E72D297353CC}">
                <c16:uniqueId val="{00000002-C9AF-4B86-98E7-2E0B2D4DCFB0}"/>
              </c:ext>
            </c:extLst>
          </c:dPt>
          <c:dLbls>
            <c:dLbl>
              <c:idx val="0"/>
              <c:layout>
                <c:manualLayout>
                  <c:x val="4.9806414761707794E-2"/>
                  <c:y val="2.8411982697773685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9B4F-4AA6-82FF-1AB68B9C94BE}"/>
                </c:ext>
              </c:extLst>
            </c:dLbl>
            <c:spPr>
              <a:solidFill>
                <a:sysClr val="window" lastClr="FFFFFF"/>
              </a:solidFill>
              <a:ln>
                <a:solidFill>
                  <a:sysClr val="windowText" lastClr="000000">
                    <a:lumMod val="65000"/>
                    <a:lumOff val="35000"/>
                  </a:sysClr>
                </a:solidFill>
              </a:ln>
              <a:effectLst/>
            </c:spP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Dashboard!$F$5:$F$7</c:f>
              <c:strCache>
                <c:ptCount val="3"/>
                <c:pt idx="0">
                  <c:v>Closed</c:v>
                </c:pt>
                <c:pt idx="1">
                  <c:v>On going</c:v>
                </c:pt>
                <c:pt idx="2">
                  <c:v>Overdue</c:v>
                </c:pt>
              </c:strCache>
            </c:strRef>
          </c:cat>
          <c:val>
            <c:numRef>
              <c:f>Dashboard!$G$5:$G$7</c:f>
              <c:numCache>
                <c:formatCode>General</c:formatCode>
                <c:ptCount val="3"/>
                <c:pt idx="0">
                  <c:v>12</c:v>
                </c:pt>
                <c:pt idx="1">
                  <c:v>1</c:v>
                </c:pt>
                <c:pt idx="2">
                  <c:v>9</c:v>
                </c:pt>
              </c:numCache>
            </c:numRef>
          </c:val>
          <c:extLst>
            <c:ext xmlns:c16="http://schemas.microsoft.com/office/drawing/2014/chart" uri="{C3380CC4-5D6E-409C-BE32-E72D297353CC}">
              <c16:uniqueId val="{00000000-1AE7-4B72-B12B-DC4575C276C1}"/>
            </c:ext>
          </c:extLst>
        </c:ser>
        <c:dLbls>
          <c:showLegendKey val="0"/>
          <c:showVal val="0"/>
          <c:showCatName val="0"/>
          <c:showSerName val="0"/>
          <c:showPercent val="1"/>
          <c:showBubbleSize val="0"/>
          <c:showLeaderLines val="0"/>
        </c:dLbls>
        <c:firstSliceAng val="0"/>
        <c:holeSize val="50"/>
      </c:doughnutChart>
    </c:plotArea>
    <c:legend>
      <c:legendPos val="l"/>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ln>
      <a:solidFill>
        <a:schemeClr val="bg1">
          <a:lumMod val="65000"/>
        </a:schemeClr>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US" sz="1800" b="1">
                <a:solidFill>
                  <a:schemeClr val="tx1"/>
                </a:solidFill>
              </a:rPr>
              <a:t>Taux par Niveau </a:t>
            </a:r>
          </a:p>
        </c:rich>
      </c:tx>
      <c:layout>
        <c:manualLayout>
          <c:xMode val="edge"/>
          <c:yMode val="edge"/>
          <c:x val="0.88320306907659263"/>
          <c:y val="2.8537455410225922E-2"/>
        </c:manualLayout>
      </c:layout>
      <c:overlay val="1"/>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fr-FR"/>
        </a:p>
      </c:txPr>
    </c:title>
    <c:autoTitleDeleted val="0"/>
    <c:plotArea>
      <c:layout/>
      <c:doughnutChart>
        <c:varyColors val="1"/>
        <c:ser>
          <c:idx val="0"/>
          <c:order val="0"/>
          <c:spPr>
            <a:solidFill>
              <a:srgbClr val="C00000"/>
            </a:solidFill>
          </c:spPr>
          <c:dPt>
            <c:idx val="0"/>
            <c:bubble3D val="0"/>
            <c:spPr>
              <a:solidFill>
                <a:srgbClr val="E84444"/>
              </a:solidFill>
              <a:ln w="19050">
                <a:solidFill>
                  <a:schemeClr val="lt1"/>
                </a:solidFill>
              </a:ln>
              <a:effectLst/>
            </c:spPr>
            <c:extLst>
              <c:ext xmlns:c16="http://schemas.microsoft.com/office/drawing/2014/chart" uri="{C3380CC4-5D6E-409C-BE32-E72D297353CC}">
                <c16:uniqueId val="{00000001-944A-446A-A7C8-8106FD552BF1}"/>
              </c:ext>
            </c:extLst>
          </c:dPt>
          <c:dPt>
            <c:idx val="1"/>
            <c:bubble3D val="0"/>
            <c:spPr>
              <a:solidFill>
                <a:srgbClr val="F0A24A"/>
              </a:solidFill>
              <a:ln w="19050">
                <a:solidFill>
                  <a:schemeClr val="lt1"/>
                </a:solidFill>
              </a:ln>
              <a:effectLst/>
            </c:spPr>
            <c:extLst>
              <c:ext xmlns:c16="http://schemas.microsoft.com/office/drawing/2014/chart" uri="{C3380CC4-5D6E-409C-BE32-E72D297353CC}">
                <c16:uniqueId val="{00000000-6E7D-4F8D-85B6-C91EF79FC35F}"/>
              </c:ext>
            </c:extLst>
          </c:dPt>
          <c:dPt>
            <c:idx val="2"/>
            <c:bubble3D val="0"/>
            <c:spPr>
              <a:solidFill>
                <a:srgbClr val="B0B0B0"/>
              </a:solidFill>
              <a:ln w="19050">
                <a:solidFill>
                  <a:schemeClr val="lt1"/>
                </a:solidFill>
              </a:ln>
              <a:effectLst/>
            </c:spPr>
            <c:extLst>
              <c:ext xmlns:c16="http://schemas.microsoft.com/office/drawing/2014/chart" uri="{C3380CC4-5D6E-409C-BE32-E72D297353CC}">
                <c16:uniqueId val="{00000001-6E7D-4F8D-85B6-C91EF79FC35F}"/>
              </c:ext>
            </c:extLst>
          </c:dPt>
          <c:dLbls>
            <c:dLbl>
              <c:idx val="0"/>
              <c:layout>
                <c:manualLayout>
                  <c:x val="2.2755345322443915E-2"/>
                  <c:y val="2.1358334844129048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4A-446A-A7C8-8106FD552BF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Dashboard!$F$26:$F$28</c:f>
              <c:strCache>
                <c:ptCount val="3"/>
                <c:pt idx="0">
                  <c:v>High</c:v>
                </c:pt>
                <c:pt idx="1">
                  <c:v>Medium</c:v>
                </c:pt>
                <c:pt idx="2">
                  <c:v>Low</c:v>
                </c:pt>
              </c:strCache>
            </c:strRef>
          </c:cat>
          <c:val>
            <c:numRef>
              <c:f>Dashboard!$G$26:$G$28</c:f>
              <c:numCache>
                <c:formatCode>General</c:formatCode>
                <c:ptCount val="3"/>
                <c:pt idx="0">
                  <c:v>8</c:v>
                </c:pt>
                <c:pt idx="1">
                  <c:v>11</c:v>
                </c:pt>
                <c:pt idx="2">
                  <c:v>3</c:v>
                </c:pt>
              </c:numCache>
            </c:numRef>
          </c:val>
          <c:extLst>
            <c:ext xmlns:c16="http://schemas.microsoft.com/office/drawing/2014/chart" uri="{C3380CC4-5D6E-409C-BE32-E72D297353CC}">
              <c16:uniqueId val="{00000000-8951-449F-9694-8E0409F6825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6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latin typeface="Arial"/>
                <a:ea typeface="Arial"/>
                <a:cs typeface="Arial"/>
              </a:defRPr>
            </a:pPr>
            <a:r>
              <a:rPr lang="fr-FR" sz="1800">
                <a:solidFill>
                  <a:schemeClr val="tx1"/>
                </a:solidFill>
              </a:rPr>
              <a:t>Repartition par Owner</a:t>
            </a:r>
          </a:p>
        </c:rich>
      </c:tx>
      <c:layout>
        <c:manualLayout>
          <c:xMode val="edge"/>
          <c:yMode val="edge"/>
          <c:x val="2.6983441324694036E-2"/>
          <c:y val="2.8571428571428571E-2"/>
        </c:manualLayout>
      </c:layout>
      <c:overlay val="0"/>
    </c:title>
    <c:autoTitleDeleted val="0"/>
    <c:plotArea>
      <c:layout>
        <c:manualLayout>
          <c:layoutTarget val="inner"/>
          <c:xMode val="edge"/>
          <c:yMode val="edge"/>
          <c:x val="2.9953232087889661E-2"/>
          <c:y val="0.19429771278590177"/>
          <c:w val="0.95420803501074247"/>
          <c:h val="0.70401387326584164"/>
        </c:manualLayout>
      </c:layout>
      <c:barChart>
        <c:barDir val="col"/>
        <c:grouping val="stacked"/>
        <c:varyColors val="0"/>
        <c:ser>
          <c:idx val="0"/>
          <c:order val="0"/>
          <c:tx>
            <c:v>Closed</c:v>
          </c:tx>
          <c:spPr>
            <a:solidFill>
              <a:schemeClr val="accent6">
                <a:lumMod val="50000"/>
              </a:schemeClr>
            </a:solidFill>
          </c:spPr>
          <c:invertIfNegative val="0"/>
          <c:dLbls>
            <c:spPr>
              <a:noFill/>
              <a:ln>
                <a:noFill/>
              </a:ln>
              <a:effectLst/>
            </c:spPr>
            <c:txPr>
              <a:bodyPr wrap="square" lIns="38100" tIns="19050" rIns="38100" bIns="19050" anchor="ctr">
                <a:spAutoFit/>
              </a:bodyPr>
              <a:lstStyle/>
              <a:p>
                <a:pPr>
                  <a:defRPr sz="1200" b="1">
                    <a:solidFill>
                      <a:schemeClr val="bg1"/>
                    </a:solidFill>
                  </a:defRPr>
                </a:pPr>
                <a:endParaRPr lang="fr-F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Dashboard!$F$12:$F$16</c:f>
              <c:strCache>
                <c:ptCount val="5"/>
                <c:pt idx="0">
                  <c:v>Benny Zakuani</c:v>
                </c:pt>
                <c:pt idx="1">
                  <c:v>Carine Ewuli</c:v>
                </c:pt>
                <c:pt idx="2">
                  <c:v>Charité Tshimanga</c:v>
                </c:pt>
                <c:pt idx="3">
                  <c:v>Kiesse Banguli</c:v>
                </c:pt>
                <c:pt idx="4">
                  <c:v>Pelagie Kinkinia</c:v>
                </c:pt>
              </c:strCache>
            </c:strRef>
          </c:cat>
          <c:val>
            <c:numRef>
              <c:f>Dashboard!$H$12:$H$16</c:f>
              <c:numCache>
                <c:formatCode>General</c:formatCode>
                <c:ptCount val="5"/>
                <c:pt idx="0">
                  <c:v>2</c:v>
                </c:pt>
                <c:pt idx="1">
                  <c:v>1</c:v>
                </c:pt>
                <c:pt idx="2">
                  <c:v>3</c:v>
                </c:pt>
                <c:pt idx="3">
                  <c:v>4</c:v>
                </c:pt>
                <c:pt idx="4">
                  <c:v>2</c:v>
                </c:pt>
              </c:numCache>
            </c:numRef>
          </c:val>
          <c:extLst>
            <c:ext xmlns:c16="http://schemas.microsoft.com/office/drawing/2014/chart" uri="{C3380CC4-5D6E-409C-BE32-E72D297353CC}">
              <c16:uniqueId val="{00000000-170E-41C0-8500-60074D9E821F}"/>
            </c:ext>
          </c:extLst>
        </c:ser>
        <c:ser>
          <c:idx val="1"/>
          <c:order val="1"/>
          <c:tx>
            <c:v>On going</c:v>
          </c:tx>
          <c:spPr>
            <a:solidFill>
              <a:schemeClr val="bg1">
                <a:lumMod val="85000"/>
              </a:schemeClr>
            </a:solidFill>
          </c:spPr>
          <c:invertIfNegative val="0"/>
          <c:dLbls>
            <c:spPr>
              <a:noFill/>
              <a:ln>
                <a:noFill/>
              </a:ln>
              <a:effectLst/>
            </c:spPr>
            <c:txPr>
              <a:bodyPr wrap="square" lIns="38100" tIns="19050" rIns="38100" bIns="19050" anchor="ctr">
                <a:spAutoFit/>
              </a:bodyPr>
              <a:lstStyle/>
              <a:p>
                <a:pPr>
                  <a:defRPr sz="1100" b="1"/>
                </a:pPr>
                <a:endParaRPr lang="fr-F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Dashboard!$F$12:$F$16</c:f>
              <c:strCache>
                <c:ptCount val="5"/>
                <c:pt idx="0">
                  <c:v>Benny Zakuani</c:v>
                </c:pt>
                <c:pt idx="1">
                  <c:v>Carine Ewuli</c:v>
                </c:pt>
                <c:pt idx="2">
                  <c:v>Charité Tshimanga</c:v>
                </c:pt>
                <c:pt idx="3">
                  <c:v>Kiesse Banguli</c:v>
                </c:pt>
                <c:pt idx="4">
                  <c:v>Pelagie Kinkinia</c:v>
                </c:pt>
              </c:strCache>
            </c:strRef>
          </c:cat>
          <c:val>
            <c:numRef>
              <c:f>Dashboard!$J$12:$J$16</c:f>
              <c:numCache>
                <c:formatCode>General</c:formatCode>
                <c:ptCount val="5"/>
                <c:pt idx="0">
                  <c:v>1</c:v>
                </c:pt>
                <c:pt idx="1">
                  <c:v>0</c:v>
                </c:pt>
                <c:pt idx="2">
                  <c:v>0</c:v>
                </c:pt>
                <c:pt idx="3">
                  <c:v>0</c:v>
                </c:pt>
                <c:pt idx="4">
                  <c:v>0</c:v>
                </c:pt>
              </c:numCache>
            </c:numRef>
          </c:val>
          <c:extLst>
            <c:ext xmlns:c16="http://schemas.microsoft.com/office/drawing/2014/chart" uri="{C3380CC4-5D6E-409C-BE32-E72D297353CC}">
              <c16:uniqueId val="{00000001-170E-41C0-8500-60074D9E821F}"/>
            </c:ext>
          </c:extLst>
        </c:ser>
        <c:ser>
          <c:idx val="2"/>
          <c:order val="2"/>
          <c:tx>
            <c:v>Overdue</c:v>
          </c:tx>
          <c:spPr>
            <a:solidFill>
              <a:schemeClr val="tx2">
                <a:lumMod val="75000"/>
                <a:lumOff val="25000"/>
              </a:schemeClr>
            </a:solidFill>
          </c:spPr>
          <c:invertIfNegative val="0"/>
          <c:dLbls>
            <c:spPr>
              <a:noFill/>
              <a:ln>
                <a:noFill/>
              </a:ln>
              <a:effectLst/>
            </c:spPr>
            <c:txPr>
              <a:bodyPr wrap="square" lIns="38100" tIns="19050" rIns="38100" bIns="19050" anchor="ctr">
                <a:spAutoFit/>
              </a:bodyPr>
              <a:lstStyle/>
              <a:p>
                <a:pPr>
                  <a:defRPr sz="1200" b="1">
                    <a:solidFill>
                      <a:schemeClr val="bg1"/>
                    </a:solidFill>
                  </a:defRPr>
                </a:pPr>
                <a:endParaRPr lang="fr-F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Dashboard!$F$12:$F$16</c:f>
              <c:strCache>
                <c:ptCount val="5"/>
                <c:pt idx="0">
                  <c:v>Benny Zakuani</c:v>
                </c:pt>
                <c:pt idx="1">
                  <c:v>Carine Ewuli</c:v>
                </c:pt>
                <c:pt idx="2">
                  <c:v>Charité Tshimanga</c:v>
                </c:pt>
                <c:pt idx="3">
                  <c:v>Kiesse Banguli</c:v>
                </c:pt>
                <c:pt idx="4">
                  <c:v>Pelagie Kinkinia</c:v>
                </c:pt>
              </c:strCache>
            </c:strRef>
          </c:cat>
          <c:val>
            <c:numRef>
              <c:f>Dashboard!$L$12:$L$16</c:f>
              <c:numCache>
                <c:formatCode>General</c:formatCode>
                <c:ptCount val="5"/>
                <c:pt idx="0">
                  <c:v>4</c:v>
                </c:pt>
                <c:pt idx="1">
                  <c:v>0</c:v>
                </c:pt>
                <c:pt idx="2">
                  <c:v>2</c:v>
                </c:pt>
                <c:pt idx="3">
                  <c:v>1</c:v>
                </c:pt>
                <c:pt idx="4">
                  <c:v>2</c:v>
                </c:pt>
              </c:numCache>
            </c:numRef>
          </c:val>
          <c:extLst>
            <c:ext xmlns:c16="http://schemas.microsoft.com/office/drawing/2014/chart" uri="{C3380CC4-5D6E-409C-BE32-E72D297353CC}">
              <c16:uniqueId val="{00000000-AAB2-466B-AC50-6213472D6D0B}"/>
            </c:ext>
          </c:extLst>
        </c:ser>
        <c:dLbls>
          <c:dLblPos val="inBase"/>
          <c:showLegendKey val="0"/>
          <c:showVal val="1"/>
          <c:showCatName val="0"/>
          <c:showSerName val="0"/>
          <c:showPercent val="0"/>
          <c:showBubbleSize val="0"/>
        </c:dLbls>
        <c:gapWidth val="150"/>
        <c:overlap val="100"/>
        <c:axId val="679476559"/>
        <c:axId val="573449391"/>
      </c:barChart>
      <c:catAx>
        <c:axId val="679476559"/>
        <c:scaling>
          <c:orientation val="minMax"/>
        </c:scaling>
        <c:delete val="0"/>
        <c:axPos val="b"/>
        <c:numFmt formatCode="General" sourceLinked="1"/>
        <c:majorTickMark val="out"/>
        <c:minorTickMark val="none"/>
        <c:tickLblPos val="nextTo"/>
        <c:txPr>
          <a:bodyPr/>
          <a:lstStyle/>
          <a:p>
            <a:pPr>
              <a:defRPr sz="800"/>
            </a:pPr>
            <a:endParaRPr lang="fr-FR"/>
          </a:p>
        </c:txPr>
        <c:crossAx val="573449391"/>
        <c:crosses val="autoZero"/>
        <c:auto val="1"/>
        <c:lblAlgn val="ctr"/>
        <c:lblOffset val="100"/>
        <c:noMultiLvlLbl val="0"/>
      </c:catAx>
      <c:valAx>
        <c:axId val="573449391"/>
        <c:scaling>
          <c:orientation val="minMax"/>
        </c:scaling>
        <c:delete val="0"/>
        <c:axPos val="l"/>
        <c:majorGridlines>
          <c:spPr>
            <a:ln cap="sq">
              <a:solidFill>
                <a:schemeClr val="bg1">
                  <a:lumMod val="85000"/>
                </a:schemeClr>
              </a:solidFill>
              <a:prstDash val="dashDot"/>
            </a:ln>
          </c:spPr>
        </c:majorGridlines>
        <c:numFmt formatCode="General" sourceLinked="1"/>
        <c:majorTickMark val="out"/>
        <c:minorTickMark val="none"/>
        <c:tickLblPos val="nextTo"/>
        <c:crossAx val="679476559"/>
        <c:crosses val="autoZero"/>
        <c:crossBetween val="between"/>
      </c:valAx>
      <c:spPr>
        <a:ln>
          <a:noFill/>
        </a:ln>
      </c:spPr>
    </c:plotArea>
    <c:legend>
      <c:legendPos val="b"/>
      <c:layout>
        <c:manualLayout>
          <c:xMode val="edge"/>
          <c:yMode val="edge"/>
          <c:x val="0.82285596049953802"/>
          <c:y val="5.6748031496062994E-2"/>
          <c:w val="0.14910449368774908"/>
          <c:h val="8.6109111361079863E-2"/>
        </c:manualLayout>
      </c:layou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ln>
      <a:solidFill>
        <a:schemeClr val="bg1">
          <a:lumMod val="65000"/>
        </a:schemeClr>
      </a:solid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2</xdr:col>
      <xdr:colOff>28575</xdr:colOff>
      <xdr:row>9</xdr:row>
      <xdr:rowOff>104775</xdr:rowOff>
    </xdr:from>
    <xdr:to>
      <xdr:col>3</xdr:col>
      <xdr:colOff>233589</xdr:colOff>
      <xdr:row>24</xdr:row>
      <xdr:rowOff>53976</xdr:rowOff>
    </xdr:to>
    <mc:AlternateContent xmlns:mc="http://schemas.openxmlformats.org/markup-compatibility/2006" xmlns:sle15="http://schemas.microsoft.com/office/drawing/2012/slicer">
      <mc:Choice Requires="sle15">
        <xdr:graphicFrame macro="">
          <xdr:nvGraphicFramePr>
            <xdr:cNvPr id="2" name="Sl_Owner">
              <a:extLst>
                <a:ext uri="{FF2B5EF4-FFF2-40B4-BE49-F238E27FC236}">
                  <a16:creationId xmlns:a16="http://schemas.microsoft.com/office/drawing/2014/main" id="{84B67F02-24D7-07E2-C620-37B534CB5F2F}"/>
                </a:ext>
              </a:extLst>
            </xdr:cNvPr>
            <xdr:cNvGraphicFramePr/>
          </xdr:nvGraphicFramePr>
          <xdr:xfrm>
            <a:off x="0" y="0"/>
            <a:ext cx="0" cy="0"/>
          </xdr:xfrm>
          <a:graphic>
            <a:graphicData uri="http://schemas.microsoft.com/office/drawing/2010/slicer">
              <sle:slicer xmlns:sle="http://schemas.microsoft.com/office/drawing/2010/slicer" name="Sl_Owner"/>
            </a:graphicData>
          </a:graphic>
        </xdr:graphicFrame>
      </mc:Choice>
      <mc:Fallback xmlns="">
        <xdr:sp macro="" textlink="">
          <xdr:nvSpPr>
            <xdr:cNvPr id="0" name=""/>
            <xdr:cNvSpPr>
              <a:spLocks noTextEdit="1"/>
            </xdr:cNvSpPr>
          </xdr:nvSpPr>
          <xdr:spPr>
            <a:xfrm>
              <a:off x="28575" y="2272846"/>
              <a:ext cx="1475014" cy="2670630"/>
            </a:xfrm>
            <a:prstGeom prst="rect">
              <a:avLst/>
            </a:prstGeom>
            <a:solidFill>
              <a:prstClr val="white"/>
            </a:solidFill>
            <a:ln w="1">
              <a:solidFill>
                <a:prstClr val="green"/>
              </a:solidFill>
            </a:ln>
          </xdr:spPr>
          <xdr:txBody>
            <a:bodyPr vertOverflow="clip" horzOverflow="clip"/>
            <a:lstStyle/>
            <a:p>
              <a:r>
                <a:rPr lang="fr-F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27213</xdr:colOff>
      <xdr:row>1</xdr:row>
      <xdr:rowOff>82550</xdr:rowOff>
    </xdr:from>
    <xdr:to>
      <xdr:col>3</xdr:col>
      <xdr:colOff>233588</xdr:colOff>
      <xdr:row>8</xdr:row>
      <xdr:rowOff>9525</xdr:rowOff>
    </xdr:to>
    <mc:AlternateContent xmlns:mc="http://schemas.openxmlformats.org/markup-compatibility/2006" xmlns:sle15="http://schemas.microsoft.com/office/drawing/2012/slicer">
      <mc:Choice Requires="sle15">
        <xdr:graphicFrame macro="">
          <xdr:nvGraphicFramePr>
            <xdr:cNvPr id="3" name="Sl_Status">
              <a:extLst>
                <a:ext uri="{FF2B5EF4-FFF2-40B4-BE49-F238E27FC236}">
                  <a16:creationId xmlns:a16="http://schemas.microsoft.com/office/drawing/2014/main" id="{0F5D4324-2D67-83AA-7798-F939CDEA2800}"/>
                </a:ext>
              </a:extLst>
            </xdr:cNvPr>
            <xdr:cNvGraphicFramePr/>
          </xdr:nvGraphicFramePr>
          <xdr:xfrm>
            <a:off x="0" y="0"/>
            <a:ext cx="0" cy="0"/>
          </xdr:xfrm>
          <a:graphic>
            <a:graphicData uri="http://schemas.microsoft.com/office/drawing/2010/slicer">
              <sle:slicer xmlns:sle="http://schemas.microsoft.com/office/drawing/2010/slicer" name="Sl_Status"/>
            </a:graphicData>
          </a:graphic>
        </xdr:graphicFrame>
      </mc:Choice>
      <mc:Fallback xmlns="">
        <xdr:sp macro="" textlink="">
          <xdr:nvSpPr>
            <xdr:cNvPr id="0" name=""/>
            <xdr:cNvSpPr>
              <a:spLocks noTextEdit="1"/>
            </xdr:cNvSpPr>
          </xdr:nvSpPr>
          <xdr:spPr>
            <a:xfrm>
              <a:off x="27213" y="771979"/>
              <a:ext cx="1476375" cy="1224189"/>
            </a:xfrm>
            <a:prstGeom prst="rect">
              <a:avLst/>
            </a:prstGeom>
            <a:solidFill>
              <a:prstClr val="white"/>
            </a:solidFill>
            <a:ln w="1">
              <a:solidFill>
                <a:prstClr val="green"/>
              </a:solidFill>
            </a:ln>
          </xdr:spPr>
          <xdr:txBody>
            <a:bodyPr vertOverflow="clip" horzOverflow="clip"/>
            <a:lstStyle/>
            <a:p>
              <a:r>
                <a:rPr lang="fr-F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19050</xdr:colOff>
      <xdr:row>24</xdr:row>
      <xdr:rowOff>123826</xdr:rowOff>
    </xdr:from>
    <xdr:to>
      <xdr:col>3</xdr:col>
      <xdr:colOff>233589</xdr:colOff>
      <xdr:row>31</xdr:row>
      <xdr:rowOff>82551</xdr:rowOff>
    </xdr:to>
    <mc:AlternateContent xmlns:mc="http://schemas.openxmlformats.org/markup-compatibility/2006" xmlns:sle15="http://schemas.microsoft.com/office/drawing/2012/slicer">
      <mc:Choice Requires="sle15">
        <xdr:graphicFrame macro="">
          <xdr:nvGraphicFramePr>
            <xdr:cNvPr id="4" name="Sl_Severity">
              <a:extLst>
                <a:ext uri="{FF2B5EF4-FFF2-40B4-BE49-F238E27FC236}">
                  <a16:creationId xmlns:a16="http://schemas.microsoft.com/office/drawing/2014/main" id="{7F8AF31C-82F2-F788-536D-5C5A1DA9C63B}"/>
                </a:ext>
              </a:extLst>
            </xdr:cNvPr>
            <xdr:cNvGraphicFramePr/>
          </xdr:nvGraphicFramePr>
          <xdr:xfrm>
            <a:off x="0" y="0"/>
            <a:ext cx="0" cy="0"/>
          </xdr:xfrm>
          <a:graphic>
            <a:graphicData uri="http://schemas.microsoft.com/office/drawing/2010/slicer">
              <sle:slicer xmlns:sle="http://schemas.microsoft.com/office/drawing/2010/slicer" name="Sl_Severity"/>
            </a:graphicData>
          </a:graphic>
        </xdr:graphicFrame>
      </mc:Choice>
      <mc:Fallback xmlns="">
        <xdr:sp macro="" textlink="">
          <xdr:nvSpPr>
            <xdr:cNvPr id="0" name=""/>
            <xdr:cNvSpPr>
              <a:spLocks noTextEdit="1"/>
            </xdr:cNvSpPr>
          </xdr:nvSpPr>
          <xdr:spPr>
            <a:xfrm>
              <a:off x="19050" y="5013326"/>
              <a:ext cx="1484539" cy="1228725"/>
            </a:xfrm>
            <a:prstGeom prst="rect">
              <a:avLst/>
            </a:prstGeom>
            <a:solidFill>
              <a:prstClr val="white"/>
            </a:solidFill>
            <a:ln w="1">
              <a:solidFill>
                <a:prstClr val="green"/>
              </a:solidFill>
            </a:ln>
          </xdr:spPr>
          <xdr:txBody>
            <a:bodyPr vertOverflow="clip" horzOverflow="clip"/>
            <a:lstStyle/>
            <a:p>
              <a:r>
                <a:rPr lang="fr-F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4</xdr:col>
      <xdr:colOff>80734</xdr:colOff>
      <xdr:row>1</xdr:row>
      <xdr:rowOff>58057</xdr:rowOff>
    </xdr:from>
    <xdr:to>
      <xdr:col>9</xdr:col>
      <xdr:colOff>115659</xdr:colOff>
      <xdr:row>15</xdr:row>
      <xdr:rowOff>172810</xdr:rowOff>
    </xdr:to>
    <xdr:graphicFrame macro="">
      <xdr:nvGraphicFramePr>
        <xdr:cNvPr id="5" name="Chart 4">
          <a:extLst>
            <a:ext uri="{FF2B5EF4-FFF2-40B4-BE49-F238E27FC236}">
              <a16:creationId xmlns:a16="http://schemas.microsoft.com/office/drawing/2014/main" id="{2A72DB34-616D-E91A-5887-289C558AF7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134711</xdr:colOff>
      <xdr:row>1</xdr:row>
      <xdr:rowOff>54882</xdr:rowOff>
    </xdr:from>
    <xdr:to>
      <xdr:col>13</xdr:col>
      <xdr:colOff>362857</xdr:colOff>
      <xdr:row>15</xdr:row>
      <xdr:rowOff>163285</xdr:rowOff>
    </xdr:to>
    <xdr:graphicFrame macro="">
      <xdr:nvGraphicFramePr>
        <xdr:cNvPr id="7" name="Chart 6">
          <a:extLst>
            <a:ext uri="{FF2B5EF4-FFF2-40B4-BE49-F238E27FC236}">
              <a16:creationId xmlns:a16="http://schemas.microsoft.com/office/drawing/2014/main" id="{2299E3B6-7174-EF5D-A48A-A71713431E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95250</xdr:colOff>
      <xdr:row>16</xdr:row>
      <xdr:rowOff>76199</xdr:rowOff>
    </xdr:from>
    <xdr:to>
      <xdr:col>13</xdr:col>
      <xdr:colOff>381000</xdr:colOff>
      <xdr:row>31</xdr:row>
      <xdr:rowOff>76199</xdr:rowOff>
    </xdr:to>
    <xdr:graphicFrame macro="">
      <xdr:nvGraphicFramePr>
        <xdr:cNvPr id="6" name="ChartOwnerStatus">
          <a:extLst>
            <a:ext uri="{FF2B5EF4-FFF2-40B4-BE49-F238E27FC236}">
              <a16:creationId xmlns:a16="http://schemas.microsoft.com/office/drawing/2014/main" id="{7928EBDE-0DFB-F0BD-B191-F263811240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114299</xdr:colOff>
      <xdr:row>0</xdr:row>
      <xdr:rowOff>66675</xdr:rowOff>
    </xdr:from>
    <xdr:to>
      <xdr:col>14</xdr:col>
      <xdr:colOff>274628</xdr:colOff>
      <xdr:row>0</xdr:row>
      <xdr:rowOff>635000</xdr:rowOff>
    </xdr:to>
    <xdr:pic>
      <xdr:nvPicPr>
        <xdr:cNvPr id="9" name="Picture 8">
          <a:extLst>
            <a:ext uri="{FF2B5EF4-FFF2-40B4-BE49-F238E27FC236}">
              <a16:creationId xmlns:a16="http://schemas.microsoft.com/office/drawing/2014/main" id="{967F9CBD-DF67-747C-79A0-AAFAE9886A3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820149" y="66675"/>
          <a:ext cx="1506529" cy="571500"/>
        </a:xfrm>
        <a:prstGeom prst="rect">
          <a:avLst/>
        </a:prstGeom>
      </xdr:spPr>
    </xdr:pic>
    <xdr:clientData/>
  </xdr:twoCellAnchor>
  <xdr:twoCellAnchor editAs="absolute">
    <xdr:from>
      <xdr:col>13</xdr:col>
      <xdr:colOff>473528</xdr:colOff>
      <xdr:row>1</xdr:row>
      <xdr:rowOff>58065</xdr:rowOff>
    </xdr:from>
    <xdr:to>
      <xdr:col>15</xdr:col>
      <xdr:colOff>5443</xdr:colOff>
      <xdr:row>7</xdr:row>
      <xdr:rowOff>169644</xdr:rowOff>
    </xdr:to>
    <mc:AlternateContent xmlns:mc="http://schemas.openxmlformats.org/markup-compatibility/2006" xmlns:sle15="http://schemas.microsoft.com/office/drawing/2012/slicer">
      <mc:Choice Requires="sle15">
        <xdr:graphicFrame macro="">
          <xdr:nvGraphicFramePr>
            <xdr:cNvPr id="8" name="Sl_Annee">
              <a:extLst>
                <a:ext uri="{FF2B5EF4-FFF2-40B4-BE49-F238E27FC236}">
                  <a16:creationId xmlns:a16="http://schemas.microsoft.com/office/drawing/2014/main" id="{3DB34658-10A7-6000-D7E8-AE053A079BB9}"/>
                </a:ext>
              </a:extLst>
            </xdr:cNvPr>
            <xdr:cNvGraphicFramePr/>
          </xdr:nvGraphicFramePr>
          <xdr:xfrm>
            <a:off x="0" y="0"/>
            <a:ext cx="0" cy="0"/>
          </xdr:xfrm>
          <a:graphic>
            <a:graphicData uri="http://schemas.microsoft.com/office/drawing/2010/slicer">
              <sle:slicer xmlns:sle="http://schemas.microsoft.com/office/drawing/2010/slicer" name="Sl_Annee"/>
            </a:graphicData>
          </a:graphic>
        </xdr:graphicFrame>
      </mc:Choice>
      <mc:Fallback xmlns="">
        <xdr:sp macro="" textlink="">
          <xdr:nvSpPr>
            <xdr:cNvPr id="0" name=""/>
            <xdr:cNvSpPr>
              <a:spLocks noTextEdit="1"/>
            </xdr:cNvSpPr>
          </xdr:nvSpPr>
          <xdr:spPr>
            <a:xfrm>
              <a:off x="10606314" y="747494"/>
              <a:ext cx="1482272" cy="1227364"/>
            </a:xfrm>
            <a:prstGeom prst="rect">
              <a:avLst/>
            </a:prstGeom>
            <a:solidFill>
              <a:prstClr val="white"/>
            </a:solidFill>
            <a:ln w="1">
              <a:solidFill>
                <a:prstClr val="green"/>
              </a:solidFill>
            </a:ln>
          </xdr:spPr>
          <xdr:txBody>
            <a:bodyPr vertOverflow="clip" horzOverflow="clip"/>
            <a:lstStyle/>
            <a:p>
              <a:r>
                <a:rPr lang="fr-F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469900</xdr:colOff>
      <xdr:row>8</xdr:row>
      <xdr:rowOff>72571</xdr:rowOff>
    </xdr:from>
    <xdr:to>
      <xdr:col>15</xdr:col>
      <xdr:colOff>18143</xdr:colOff>
      <xdr:row>31</xdr:row>
      <xdr:rowOff>90713</xdr:rowOff>
    </xdr:to>
    <mc:AlternateContent xmlns:mc="http://schemas.openxmlformats.org/markup-compatibility/2006" xmlns:sle15="http://schemas.microsoft.com/office/drawing/2012/slicer">
      <mc:Choice Requires="sle15">
        <xdr:graphicFrame macro="">
          <xdr:nvGraphicFramePr>
            <xdr:cNvPr id="10" name="Sl_Mois">
              <a:extLst>
                <a:ext uri="{FF2B5EF4-FFF2-40B4-BE49-F238E27FC236}">
                  <a16:creationId xmlns:a16="http://schemas.microsoft.com/office/drawing/2014/main" id="{A255A86A-B626-1A77-EE0F-D751ADC75393}"/>
                </a:ext>
              </a:extLst>
            </xdr:cNvPr>
            <xdr:cNvGraphicFramePr/>
          </xdr:nvGraphicFramePr>
          <xdr:xfrm>
            <a:off x="0" y="0"/>
            <a:ext cx="0" cy="0"/>
          </xdr:xfrm>
          <a:graphic>
            <a:graphicData uri="http://schemas.microsoft.com/office/drawing/2010/slicer">
              <sle:slicer xmlns:sle="http://schemas.microsoft.com/office/drawing/2010/slicer" name="Sl_Mois"/>
            </a:graphicData>
          </a:graphic>
        </xdr:graphicFrame>
      </mc:Choice>
      <mc:Fallback xmlns="">
        <xdr:sp macro="" textlink="">
          <xdr:nvSpPr>
            <xdr:cNvPr id="0" name=""/>
            <xdr:cNvSpPr>
              <a:spLocks noTextEdit="1"/>
            </xdr:cNvSpPr>
          </xdr:nvSpPr>
          <xdr:spPr>
            <a:xfrm>
              <a:off x="10602686" y="2059214"/>
              <a:ext cx="1498600" cy="4190999"/>
            </a:xfrm>
            <a:prstGeom prst="rect">
              <a:avLst/>
            </a:prstGeom>
            <a:solidFill>
              <a:prstClr val="white"/>
            </a:solidFill>
            <a:ln w="1">
              <a:solidFill>
                <a:prstClr val="green"/>
              </a:solidFill>
            </a:ln>
          </xdr:spPr>
          <xdr:txBody>
            <a:bodyPr vertOverflow="clip" horzOverflow="clip"/>
            <a:lstStyle/>
            <a:p>
              <a:r>
                <a:rPr lang="fr-F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wner" xr10:uid="{5159BB0A-6200-4571-BA66-CE33CF69A42B}" sourceName="Owner">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A97A770-699D-4DBB-AF44-440247C66879}" sourceName="Status">
  <extLst>
    <x:ext xmlns:x15="http://schemas.microsoft.com/office/spreadsheetml/2010/11/main" uri="{2F2917AC-EB37-4324-AD4E-5DD8C200BD13}">
      <x15:tableSlicerCache tableId="1" column="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D013B8A7-5158-455F-AFA6-0865D5FDB5DC}" sourceName="Severity">
  <extLst>
    <x:ext xmlns:x15="http://schemas.microsoft.com/office/spreadsheetml/2010/11/main" uri="{2F2917AC-EB37-4324-AD4E-5DD8C200BD13}">
      <x15:tableSlicerCache tableId="1" column="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ee" xr10:uid="{020E5E5E-B1A8-472E-ACB1-6C9C8CEFAEC1}" sourceName="Annee">
  <extLst>
    <x:ext xmlns:x15="http://schemas.microsoft.com/office/spreadsheetml/2010/11/main" uri="{2F2917AC-EB37-4324-AD4E-5DD8C200BD13}">
      <x15:tableSlicerCache tableId="1" column="10"/>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is" xr10:uid="{A21B42E1-B75E-494B-A2B7-252DE90D8CAD}" sourceName="Mois">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_Owner" xr10:uid="{9CCB2FE0-961F-4BCB-A027-DF6C3CD44EEA}" cache="Slicer_Owner" caption="OWNERS" style="SlicerStyleDark1" rowHeight="251883"/>
  <slicer name="Sl_Status" xr10:uid="{948AF933-0347-4601-BFB0-FCA962D85C1F}" cache="Slicer_Status" caption="STATUT" style="SlicerStyleDark1" rowHeight="251883"/>
  <slicer name="Sl_Severity" xr10:uid="{07BC4B39-3546-4906-8671-BB57DE7573C0}" cache="Slicer_Severity" caption="SEVERITY" style="SlicerStyleDark1" rowHeight="251883"/>
  <slicer name="Sl_Annee" xr10:uid="{3419173E-D3DF-49C9-ACB0-FD97C2476DD2}" cache="Slicer_Annee" caption="ANNEE" style="SlicerStyleDark1" rowHeight="251883"/>
  <slicer name="Sl_Mois" xr10:uid="{72C19AC4-B7B5-4160-B97A-24F8FE77C317}" cache="Slicer_Mois" caption="MOIS (Closing)"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E6842C2-E9AF-4118-8CF5-EAFB351EAC97}" name="TblMois" displayName="TblMois" ref="G1:G5" totalsRowShown="0" headerRowDxfId="7">
  <autoFilter ref="G1:G5" xr:uid="{EE6842C2-E9AF-4118-8CF5-EAFB351EAC97}">
    <filterColumn colId="0">
      <filters>
        <filter val="2026-07"/>
      </filters>
    </filterColumn>
  </autoFilter>
  <tableColumns count="1">
    <tableColumn id="1" xr3:uid="{06E0C8B5-6E07-486C-98A0-C0278FB6F87D}" name="Mois"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8701A2-9A94-4FFC-8D33-61E5675F1B6B}" name="TblActions" displayName="TblActions" ref="A1:M23" totalsRowShown="0" headerRowDxfId="22" dataDxfId="21">
  <autoFilter ref="A1:M23" xr:uid="{5D8701A2-9A94-4FFC-8D33-61E5675F1B6B}">
    <filterColumn colId="12">
      <filters>
        <filter val="Oui"/>
      </filters>
    </filterColumn>
  </autoFilter>
  <tableColumns count="13">
    <tableColumn id="1" xr3:uid="{881D7C99-374A-4A80-B453-0C8D6433C4C4}" name="Owner" dataDxfId="20"/>
    <tableColumn id="2" xr3:uid="{677140AE-61B5-4E5B-9B28-81B00F063B99}" name="Action" dataDxfId="19"/>
    <tableColumn id="3" xr3:uid="{34CB6CCB-B330-43E9-A265-CD1C795F0488}" name="Issue creation date" dataDxfId="18"/>
    <tableColumn id="4" xr3:uid="{D55CD29E-6E6B-43C0-812A-241687CE0EA1}" name="Due date" dataDxfId="17"/>
    <tableColumn id="12" xr3:uid="{40A2D314-31E6-4A52-891A-76227535C23F}" name="Closing date" dataDxfId="16"/>
    <tableColumn id="5" xr3:uid="{BF6C6247-C69C-438A-B960-83A7D90EA8D3}" name="Days overdue" dataDxfId="15">
      <calculatedColumnFormula>IF(TblActions[[#This Row],[Due date]]="","",IF(TblActions[[#This Row],[Closing date]]&lt;&gt;"",TblActions[[#This Row],[Due date]]-TblActions[[#This Row],[Closing date]],TblActions[[#This Row],[Due date]]-DateJour))</calculatedColumnFormula>
    </tableColumn>
    <tableColumn id="6" xr3:uid="{806B07ED-1A59-47D1-8C8C-AA10D5139DD2}" name="Status" dataDxfId="14">
      <calculatedColumnFormula>IF(TblActions[[#This Row],[Closing date]]&lt;&gt;"","Closed",IF(TblActions[[#This Row],[Days overdue]]="","",IF(TblActions[[#This Row],[Days overdue]]&lt;0,"Overdue","On going")))</calculatedColumnFormula>
    </tableColumn>
    <tableColumn id="7" xr3:uid="{0A24156B-4EEB-4D13-AC24-6EA4685D5AEE}" name="Confirmation audit" dataDxfId="13"/>
    <tableColumn id="8" xr3:uid="{185119B3-B849-4F27-A0A4-381AA6A8DDB7}" name="Commentaire" dataDxfId="12"/>
    <tableColumn id="9" xr3:uid="{F0537FB2-A72C-449D-8FC0-13357CC1A4C7}" name="Severity" dataDxfId="11"/>
    <tableColumn id="10" xr3:uid="{54BA045E-FBA1-42C2-8A71-4C7FF5B2F2EC}" name="Annee" dataDxfId="10">
      <calculatedColumnFormula>IFERROR(YEAR(TblActions[[#This Row],[Due date]]),IFERROR(YEAR(TblActions[[#This Row],[Issue creation date]]),""))</calculatedColumnFormula>
    </tableColumn>
    <tableColumn id="11" xr3:uid="{0D300F4F-C56B-4A42-A9D8-8A87A9651313}" name="Mois" dataDxfId="9">
      <calculatedColumnFormula>IF(TblActions[[#This Row],[Closing date]]="","",TEXT(TblActions[[#This Row],[Closing date]],"yyyy-mm"))</calculatedColumnFormula>
    </tableColumn>
    <tableColumn id="13" xr3:uid="{659E02F8-E9A6-42B9-B85C-5D6793AF386A}" name="FiltreMois" dataDxfId="8">
      <calculatedColumnFormula>IF(TblActions[[#This Row],[Mois]]="","Oui",IF(TblActions[[#This Row],[Mois]]&lt;=MoisRef,"Oui","Non"))</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A3614-C9FE-4186-977F-A2DEEA0B2EB8}">
  <sheetPr codeName="Sheet1">
    <pageSetUpPr fitToPage="1"/>
  </sheetPr>
  <dimension ref="A1:P28"/>
  <sheetViews>
    <sheetView showGridLines="0" topLeftCell="C1" zoomScale="70" zoomScaleNormal="70" workbookViewId="0">
      <selection activeCell="P12" sqref="P12"/>
    </sheetView>
  </sheetViews>
  <sheetFormatPr defaultRowHeight="14.5" x14ac:dyDescent="0.35"/>
  <cols>
    <col min="1" max="1" width="0.54296875" style="2" hidden="1" customWidth="1"/>
    <col min="2" max="2" width="29.453125" style="2" hidden="1" customWidth="1"/>
    <col min="3" max="3" width="18.1796875" style="2" customWidth="1"/>
    <col min="4" max="4" width="14.6328125" style="2" customWidth="1"/>
    <col min="5" max="5" width="11.6328125" style="2" customWidth="1"/>
    <col min="6" max="6" width="17" style="2" bestFit="1" customWidth="1"/>
    <col min="7" max="7" width="10.453125" style="6" customWidth="1"/>
    <col min="8" max="8" width="11.6328125" style="6" customWidth="1"/>
    <col min="9" max="9" width="10.6328125" style="6" customWidth="1"/>
    <col min="10" max="10" width="12.6328125" style="2" customWidth="1"/>
    <col min="11" max="11" width="10.6328125" style="2" customWidth="1"/>
    <col min="12" max="12" width="18.6328125" style="2" customWidth="1"/>
    <col min="13" max="13" width="8.6328125" style="2" customWidth="1"/>
    <col min="14" max="14" width="10.6328125" style="2" customWidth="1"/>
    <col min="15" max="15" width="17.26953125" style="2" customWidth="1"/>
    <col min="16" max="16384" width="8.7265625" style="2"/>
  </cols>
  <sheetData>
    <row r="1" spans="1:16" ht="54.5" customHeight="1" x14ac:dyDescent="0.35">
      <c r="A1" s="36" t="s">
        <v>62</v>
      </c>
      <c r="B1" s="36"/>
      <c r="C1" s="36"/>
      <c r="D1" s="36"/>
      <c r="E1" s="36"/>
      <c r="F1" s="36"/>
      <c r="G1" s="36"/>
      <c r="H1" s="36"/>
      <c r="I1" s="36"/>
      <c r="J1" s="36"/>
      <c r="K1" s="36"/>
      <c r="L1" s="36"/>
      <c r="M1" s="36"/>
      <c r="N1" s="36"/>
      <c r="O1" s="36"/>
    </row>
    <row r="2" spans="1:16" x14ac:dyDescent="0.35">
      <c r="C2" s="13" t="s">
        <v>75</v>
      </c>
      <c r="D2" s="35" t="str">
        <f ca="1">IFERROR(LOOKUP(2,1/(SUBTOTAL(103,OFFSET(TblMois[Mois],ROW(TblMois[Mois])-MIN(ROW(TblMois[Mois])),0,1))),TblMois[Mois]),"2026-07")</f>
        <v>2026-07</v>
      </c>
      <c r="E2" s="5" t="s">
        <v>84</v>
      </c>
    </row>
    <row r="3" spans="1:16" x14ac:dyDescent="0.35">
      <c r="C3" s="14" t="s">
        <v>54</v>
      </c>
      <c r="D3" s="13"/>
      <c r="E3" s="13"/>
      <c r="F3" s="14" t="s">
        <v>57</v>
      </c>
      <c r="G3" s="29"/>
      <c r="H3" s="29"/>
      <c r="I3" s="29"/>
      <c r="J3" s="13"/>
      <c r="K3" s="13"/>
      <c r="L3" s="13"/>
      <c r="M3" s="13"/>
      <c r="N3" s="13"/>
      <c r="O3" s="13"/>
      <c r="P3" s="13"/>
    </row>
    <row r="4" spans="1:16" x14ac:dyDescent="0.35">
      <c r="C4" s="13" t="s">
        <v>55</v>
      </c>
      <c r="D4" s="15">
        <f>SUBTOTAL(103,TblActions[Action])</f>
        <v>22</v>
      </c>
      <c r="E4" s="13"/>
      <c r="F4" s="14" t="s">
        <v>58</v>
      </c>
      <c r="G4" s="30" t="s">
        <v>59</v>
      </c>
      <c r="H4" s="30" t="s">
        <v>60</v>
      </c>
      <c r="I4" s="30"/>
      <c r="J4" s="13"/>
      <c r="K4" s="13"/>
      <c r="L4" s="13"/>
      <c r="M4" s="13"/>
      <c r="N4" s="13"/>
      <c r="O4" s="13"/>
      <c r="P4" s="13"/>
    </row>
    <row r="5" spans="1:16" ht="16.5" customHeight="1" x14ac:dyDescent="0.35">
      <c r="C5" s="13" t="s">
        <v>76</v>
      </c>
      <c r="D5" s="16">
        <f ca="1">IFERROR(D6/D4,0)</f>
        <v>0.54545454545454541</v>
      </c>
      <c r="E5" s="13"/>
      <c r="F5" s="13" t="s">
        <v>67</v>
      </c>
      <c r="G5" s="29">
        <f ca="1">SUMPRODUCT(SUBTOTAL(103,OFFSET(Actions!$A$2:$A$2001,ROW(Actions!$A$2:$A$2001)-ROW(Actions!$A$2),0,1)),--(Actions!$E$2:$E$2001&lt;&gt;"")*--(Actions!$E$2:$E$2001&lt;=CutoffDate))</f>
        <v>12</v>
      </c>
      <c r="H5" s="31">
        <f ca="1">IF($D$4=0,0,G5/$D$4)</f>
        <v>0.54545454545454541</v>
      </c>
      <c r="I5" s="31"/>
      <c r="J5" s="13"/>
      <c r="K5" s="13"/>
      <c r="L5" s="13"/>
      <c r="M5" s="13"/>
      <c r="N5" s="13"/>
      <c r="O5" s="13"/>
      <c r="P5" s="13"/>
    </row>
    <row r="6" spans="1:16" x14ac:dyDescent="0.35">
      <c r="C6" s="13" t="s">
        <v>67</v>
      </c>
      <c r="D6" s="13">
        <f ca="1">SUMPRODUCT(SUBTOTAL(103,OFFSET(Actions!$A$2:$A$2001,ROW(Actions!$A$2:$A$2001)-ROW(Actions!$A$2),0,1)),--(Actions!$E$2:$E$2001&lt;&gt;"")*--(Actions!$E$2:$E$2001&lt;=CutoffDate))</f>
        <v>12</v>
      </c>
      <c r="E6" s="13"/>
      <c r="F6" s="13" t="s">
        <v>68</v>
      </c>
      <c r="G6" s="29">
        <f ca="1">SUMPRODUCT(SUBTOTAL(103,OFFSET(Actions!$A$2:$A$2001,ROW(Actions!$A$2:$A$2001)-ROW(Actions!$A$2),0,1)),--((Actions!$E$2:$E$2001="")+(Actions!$E$2:$E$2001&gt;CutoffDate)&gt;0)*--(Actions!$D$2:$D$2001&lt;&gt;"")*--(Actions!$D$2:$D$2001&gt;=CutoffDate))</f>
        <v>1</v>
      </c>
      <c r="H6" s="31">
        <f ca="1">IF($D$4=0,0,G6/$D$4)</f>
        <v>4.5454545454545456E-2</v>
      </c>
      <c r="I6" s="31"/>
      <c r="J6" s="13"/>
      <c r="K6" s="13"/>
      <c r="L6" s="13"/>
      <c r="M6" s="13"/>
      <c r="N6" s="13"/>
      <c r="O6" s="13"/>
      <c r="P6" s="13"/>
    </row>
    <row r="7" spans="1:16" x14ac:dyDescent="0.35">
      <c r="C7" s="13" t="s">
        <v>68</v>
      </c>
      <c r="D7" s="13">
        <f ca="1">SUMPRODUCT(SUBTOTAL(103,OFFSET(Actions!$A$2:$A$2001,ROW(Actions!$A$2:$A$2001)-ROW(Actions!$A$2),0,1)),--((Actions!$E$2:$E$2001="")+(Actions!$E$2:$E$2001&gt;CutoffDate)&gt;0)*--(Actions!$D$2:$D$2001&lt;&gt;"")*--(Actions!$D$2:$D$2001&gt;=CutoffDate))</f>
        <v>1</v>
      </c>
      <c r="E7" s="13"/>
      <c r="F7" s="13" t="s">
        <v>65</v>
      </c>
      <c r="G7" s="29">
        <f ca="1">SUMPRODUCT(SUBTOTAL(103,OFFSET(Actions!$A$2:$A$2001,ROW(Actions!$A$2:$A$2001)-ROW(Actions!$A$2),0,1)),--((Actions!$E$2:$E$2001="")+(Actions!$E$2:$E$2001&gt;CutoffDate)&gt;0)*--(Actions!$D$2:$D$2001&lt;&gt;"")*--(Actions!$D$2:$D$2001&lt;CutoffDate))</f>
        <v>9</v>
      </c>
      <c r="H7" s="32">
        <f ca="1">IF($D$4=0,0,G7/$D$4)</f>
        <v>0.40909090909090912</v>
      </c>
      <c r="I7" s="29"/>
      <c r="J7" s="13"/>
      <c r="K7" s="13"/>
      <c r="L7" s="13"/>
      <c r="M7" s="13"/>
      <c r="N7" s="13"/>
      <c r="O7" s="13"/>
      <c r="P7" s="13"/>
    </row>
    <row r="8" spans="1:16" x14ac:dyDescent="0.35">
      <c r="C8" s="13" t="s">
        <v>65</v>
      </c>
      <c r="D8" s="13">
        <f ca="1">SUMPRODUCT(SUBTOTAL(103,OFFSET(Actions!$A$2:$A$2001,ROW(Actions!$A$2:$A$2001)-ROW(Actions!$A$2),0,1)),--((Actions!$E$2:$E$2001="")+(Actions!$E$2:$E$2001&gt;CutoffDate)&gt;0)*--(Actions!$D$2:$D$2001&lt;&gt;"")*--(Actions!$D$2:$D$2001&lt;CutoffDate))</f>
        <v>9</v>
      </c>
      <c r="E8" s="13"/>
      <c r="F8" s="13"/>
      <c r="G8" s="29"/>
      <c r="H8" s="29"/>
      <c r="I8" s="29"/>
      <c r="J8" s="13"/>
      <c r="K8" s="13"/>
      <c r="L8" s="13"/>
      <c r="M8" s="13"/>
      <c r="N8" s="13"/>
      <c r="O8" s="13"/>
      <c r="P8" s="13"/>
    </row>
    <row r="9" spans="1:16" x14ac:dyDescent="0.35">
      <c r="D9" s="13"/>
      <c r="E9" s="13"/>
      <c r="F9" s="13"/>
      <c r="G9" s="29"/>
      <c r="H9" s="29"/>
      <c r="I9" s="29"/>
      <c r="J9" s="13"/>
      <c r="K9" s="13"/>
      <c r="L9" s="13"/>
      <c r="M9" s="13"/>
      <c r="N9" s="13"/>
      <c r="O9" s="13"/>
      <c r="P9" s="13"/>
    </row>
    <row r="10" spans="1:16" x14ac:dyDescent="0.35">
      <c r="D10" s="13"/>
      <c r="E10" s="13"/>
      <c r="F10" s="14" t="s">
        <v>61</v>
      </c>
      <c r="G10" s="29"/>
      <c r="H10" s="29"/>
      <c r="I10" s="29"/>
      <c r="J10" s="13"/>
      <c r="K10" s="13"/>
      <c r="L10" s="13"/>
      <c r="M10" s="13"/>
      <c r="N10" s="13"/>
      <c r="O10" s="13"/>
      <c r="P10" s="13"/>
    </row>
    <row r="11" spans="1:16" x14ac:dyDescent="0.35">
      <c r="D11" s="13"/>
      <c r="E11" s="13"/>
      <c r="F11" s="14" t="s">
        <v>3</v>
      </c>
      <c r="G11" s="30" t="s">
        <v>59</v>
      </c>
      <c r="H11" s="30" t="s">
        <v>70</v>
      </c>
      <c r="I11" s="30" t="s">
        <v>56</v>
      </c>
      <c r="J11" s="30" t="s">
        <v>71</v>
      </c>
      <c r="K11" s="30" t="s">
        <v>0</v>
      </c>
      <c r="L11" s="30" t="s">
        <v>72</v>
      </c>
      <c r="M11" s="30" t="s">
        <v>73</v>
      </c>
      <c r="N11" s="13"/>
      <c r="O11" s="13"/>
      <c r="P11" s="13"/>
    </row>
    <row r="12" spans="1:16" x14ac:dyDescent="0.35">
      <c r="D12" s="13"/>
      <c r="E12" s="13"/>
      <c r="F12" s="13" t="s">
        <v>18</v>
      </c>
      <c r="G12" s="29">
        <f ca="1">SUMPRODUCT(SUBTOTAL(103,OFFSET(Actions!$A$2:$A$2001,ROW(Actions!$A$2:$A$2001)-ROW(Actions!$A$2),0,1)),--(Actions!$A$2:$A$2001=F12))</f>
        <v>7</v>
      </c>
      <c r="H12" s="29">
        <f ca="1">SUMPRODUCT(SUBTOTAL(103,OFFSET(Actions!$A$2:$A$2001,ROW(Actions!$A$2:$A$2001)-ROW(Actions!$A$2),0,1)),--(Actions!$A$2:$A$2001=F12),--(Actions!$E$2:$E$2001&lt;&gt;"")*--(Actions!$E$2:$E$2001&lt;=CutoffDate))</f>
        <v>2</v>
      </c>
      <c r="I12" s="32">
        <f ca="1">IFERROR(H12/G12,0)</f>
        <v>0.2857142857142857</v>
      </c>
      <c r="J12" s="29">
        <f ca="1">SUMPRODUCT(SUBTOTAL(103,OFFSET(Actions!$A$2:$A$2001,ROW(Actions!$A$2:$A$2001)-ROW(Actions!$A$2),0,1)),--(Actions!$A$2:$A$2001=F12),--((Actions!$E$2:$E$2001="")+(Actions!$E$2:$E$2001&gt;CutoffDate)&gt;0)*--(Actions!$D$2:$D$2001&lt;&gt;"")*--(Actions!$D$2:$D$2001&gt;=CutoffDate))</f>
        <v>1</v>
      </c>
      <c r="K12" s="32">
        <f ca="1">IFERROR(J12/G12,0)</f>
        <v>0.14285714285714285</v>
      </c>
      <c r="L12" s="29">
        <f ca="1">SUMPRODUCT(SUBTOTAL(103,OFFSET(Actions!$A$2:$A$2001,ROW(Actions!$A$2:$A$2001)-ROW(Actions!$A$2),0,1)),--(Actions!$A$2:$A$2001=F12),--((Actions!$E$2:$E$2001="")+(Actions!$E$2:$E$2001&gt;CutoffDate)&gt;0)*--(Actions!$D$2:$D$2001&lt;&gt;"")*--(Actions!$D$2:$D$2001&lt;CutoffDate))</f>
        <v>4</v>
      </c>
      <c r="M12" s="32">
        <f ca="1">IFERROR(L12/G12,0)</f>
        <v>0.5714285714285714</v>
      </c>
      <c r="N12" s="13"/>
      <c r="O12" s="13"/>
      <c r="P12" s="13"/>
    </row>
    <row r="13" spans="1:16" x14ac:dyDescent="0.35">
      <c r="D13" s="13"/>
      <c r="E13" s="13"/>
      <c r="F13" s="13" t="s">
        <v>44</v>
      </c>
      <c r="G13" s="29">
        <f ca="1">SUMPRODUCT(SUBTOTAL(103,OFFSET(Actions!$A$2:$A$2001,ROW(Actions!$A$2:$A$2001)-ROW(Actions!$A$2),0,1)),--(Actions!$A$2:$A$2001=F13))</f>
        <v>1</v>
      </c>
      <c r="H13" s="29">
        <f ca="1">SUMPRODUCT(SUBTOTAL(103,OFFSET(Actions!$A$2:$A$2001,ROW(Actions!$A$2:$A$2001)-ROW(Actions!$A$2),0,1)),--(Actions!$A$2:$A$2001=F13),--(Actions!$E$2:$E$2001&lt;&gt;"")*--(Actions!$E$2:$E$2001&lt;=CutoffDate))</f>
        <v>1</v>
      </c>
      <c r="I13" s="32">
        <f ca="1">IFERROR(H13/G13,0)</f>
        <v>1</v>
      </c>
      <c r="J13" s="29">
        <f ca="1">SUMPRODUCT(SUBTOTAL(103,OFFSET(Actions!$A$2:$A$2001,ROW(Actions!$A$2:$A$2001)-ROW(Actions!$A$2),0,1)),--(Actions!$A$2:$A$2001=F13),--((Actions!$E$2:$E$2001="")+(Actions!$E$2:$E$2001&gt;CutoffDate)&gt;0)*--(Actions!$D$2:$D$2001&lt;&gt;"")*--(Actions!$D$2:$D$2001&gt;=CutoffDate))</f>
        <v>0</v>
      </c>
      <c r="K13" s="32">
        <f ca="1">IFERROR(J13/G13,0)</f>
        <v>0</v>
      </c>
      <c r="L13" s="29">
        <f ca="1">SUMPRODUCT(SUBTOTAL(103,OFFSET(Actions!$A$2:$A$2001,ROW(Actions!$A$2:$A$2001)-ROW(Actions!$A$2),0,1)),--(Actions!$A$2:$A$2001=F13),--((Actions!$E$2:$E$2001="")+(Actions!$E$2:$E$2001&gt;CutoffDate)&gt;0)*--(Actions!$D$2:$D$2001&lt;&gt;"")*--(Actions!$D$2:$D$2001&lt;CutoffDate))</f>
        <v>0</v>
      </c>
      <c r="M13" s="32">
        <f ca="1">IFERROR(L13/G13,0)</f>
        <v>0</v>
      </c>
      <c r="N13" s="13"/>
      <c r="O13" s="13"/>
      <c r="P13" s="13"/>
    </row>
    <row r="14" spans="1:16" x14ac:dyDescent="0.35">
      <c r="D14" s="13"/>
      <c r="E14" s="13"/>
      <c r="F14" s="13" t="s">
        <v>15</v>
      </c>
      <c r="G14" s="29">
        <f ca="1">SUMPRODUCT(SUBTOTAL(103,OFFSET(Actions!$A$2:$A$2001,ROW(Actions!$A$2:$A$2001)-ROW(Actions!$A$2),0,1)),--(Actions!$A$2:$A$2001=F14))</f>
        <v>5</v>
      </c>
      <c r="H14" s="29">
        <f ca="1">SUMPRODUCT(SUBTOTAL(103,OFFSET(Actions!$A$2:$A$2001,ROW(Actions!$A$2:$A$2001)-ROW(Actions!$A$2),0,1)),--(Actions!$A$2:$A$2001=F14),--(Actions!$E$2:$E$2001&lt;&gt;"")*--(Actions!$E$2:$E$2001&lt;=CutoffDate))</f>
        <v>3</v>
      </c>
      <c r="I14" s="32">
        <f ca="1">IFERROR(H14/G14,0)</f>
        <v>0.6</v>
      </c>
      <c r="J14" s="29">
        <f ca="1">SUMPRODUCT(SUBTOTAL(103,OFFSET(Actions!$A$2:$A$2001,ROW(Actions!$A$2:$A$2001)-ROW(Actions!$A$2),0,1)),--(Actions!$A$2:$A$2001=F14),--((Actions!$E$2:$E$2001="")+(Actions!$E$2:$E$2001&gt;CutoffDate)&gt;0)*--(Actions!$D$2:$D$2001&lt;&gt;"")*--(Actions!$D$2:$D$2001&gt;=CutoffDate))</f>
        <v>0</v>
      </c>
      <c r="K14" s="32">
        <f ca="1">IFERROR(J14/G14,0)</f>
        <v>0</v>
      </c>
      <c r="L14" s="29">
        <f ca="1">SUMPRODUCT(SUBTOTAL(103,OFFSET(Actions!$A$2:$A$2001,ROW(Actions!$A$2:$A$2001)-ROW(Actions!$A$2),0,1)),--(Actions!$A$2:$A$2001=F14),--((Actions!$E$2:$E$2001="")+(Actions!$E$2:$E$2001&gt;CutoffDate)&gt;0)*--(Actions!$D$2:$D$2001&lt;&gt;"")*--(Actions!$D$2:$D$2001&lt;CutoffDate))</f>
        <v>2</v>
      </c>
      <c r="M14" s="32">
        <f ca="1">IFERROR(L14/G14,0)</f>
        <v>0.4</v>
      </c>
      <c r="N14" s="13"/>
      <c r="O14" s="13"/>
      <c r="P14" s="13"/>
    </row>
    <row r="15" spans="1:16" x14ac:dyDescent="0.35">
      <c r="D15" s="13"/>
      <c r="E15" s="13"/>
      <c r="F15" s="13" t="s">
        <v>27</v>
      </c>
      <c r="G15" s="29">
        <f ca="1">SUMPRODUCT(SUBTOTAL(103,OFFSET(Actions!$A$2:$A$2001,ROW(Actions!$A$2:$A$2001)-ROW(Actions!$A$2),0,1)),--(Actions!$A$2:$A$2001=F15))</f>
        <v>5</v>
      </c>
      <c r="H15" s="29">
        <f ca="1">SUMPRODUCT(SUBTOTAL(103,OFFSET(Actions!$A$2:$A$2001,ROW(Actions!$A$2:$A$2001)-ROW(Actions!$A$2),0,1)),--(Actions!$A$2:$A$2001=F15),--(Actions!$E$2:$E$2001&lt;&gt;"")*--(Actions!$E$2:$E$2001&lt;=CutoffDate))</f>
        <v>4</v>
      </c>
      <c r="I15" s="32">
        <f ca="1">IFERROR(H15/G15,0)</f>
        <v>0.8</v>
      </c>
      <c r="J15" s="29">
        <f ca="1">SUMPRODUCT(SUBTOTAL(103,OFFSET(Actions!$A$2:$A$2001,ROW(Actions!$A$2:$A$2001)-ROW(Actions!$A$2),0,1)),--(Actions!$A$2:$A$2001=F15),--((Actions!$E$2:$E$2001="")+(Actions!$E$2:$E$2001&gt;CutoffDate)&gt;0)*--(Actions!$D$2:$D$2001&lt;&gt;"")*--(Actions!$D$2:$D$2001&gt;=CutoffDate))</f>
        <v>0</v>
      </c>
      <c r="K15" s="32">
        <f ca="1">IFERROR(J15/G15,0)</f>
        <v>0</v>
      </c>
      <c r="L15" s="29">
        <f ca="1">SUMPRODUCT(SUBTOTAL(103,OFFSET(Actions!$A$2:$A$2001,ROW(Actions!$A$2:$A$2001)-ROW(Actions!$A$2),0,1)),--(Actions!$A$2:$A$2001=F15),--((Actions!$E$2:$E$2001="")+(Actions!$E$2:$E$2001&gt;CutoffDate)&gt;0)*--(Actions!$D$2:$D$2001&lt;&gt;"")*--(Actions!$D$2:$D$2001&lt;CutoffDate))</f>
        <v>1</v>
      </c>
      <c r="M15" s="32">
        <f ca="1">IFERROR(L15/G15,0)</f>
        <v>0.2</v>
      </c>
      <c r="N15" s="13"/>
      <c r="O15" s="13"/>
      <c r="P15" s="13"/>
    </row>
    <row r="16" spans="1:16" x14ac:dyDescent="0.35">
      <c r="D16" s="13"/>
      <c r="E16" s="13"/>
      <c r="F16" s="13" t="s">
        <v>12</v>
      </c>
      <c r="G16" s="29">
        <f ca="1">SUMPRODUCT(SUBTOTAL(103,OFFSET(Actions!$A$2:$A$2001,ROW(Actions!$A$2:$A$2001)-ROW(Actions!$A$2),0,1)),--(Actions!$A$2:$A$2001=F16))</f>
        <v>4</v>
      </c>
      <c r="H16" s="29">
        <f ca="1">SUMPRODUCT(SUBTOTAL(103,OFFSET(Actions!$A$2:$A$2001,ROW(Actions!$A$2:$A$2001)-ROW(Actions!$A$2),0,1)),--(Actions!$A$2:$A$2001=F16),--(Actions!$E$2:$E$2001&lt;&gt;"")*--(Actions!$E$2:$E$2001&lt;=CutoffDate))</f>
        <v>2</v>
      </c>
      <c r="I16" s="32">
        <f ca="1">IFERROR(H16/G16,0)</f>
        <v>0.5</v>
      </c>
      <c r="J16" s="29">
        <f ca="1">SUMPRODUCT(SUBTOTAL(103,OFFSET(Actions!$A$2:$A$2001,ROW(Actions!$A$2:$A$2001)-ROW(Actions!$A$2),0,1)),--(Actions!$A$2:$A$2001=F16),--((Actions!$E$2:$E$2001="")+(Actions!$E$2:$E$2001&gt;CutoffDate)&gt;0)*--(Actions!$D$2:$D$2001&lt;&gt;"")*--(Actions!$D$2:$D$2001&gt;=CutoffDate))</f>
        <v>0</v>
      </c>
      <c r="K16" s="32">
        <f ca="1">IFERROR(J16/G16,0)</f>
        <v>0</v>
      </c>
      <c r="L16" s="29">
        <f ca="1">SUMPRODUCT(SUBTOTAL(103,OFFSET(Actions!$A$2:$A$2001,ROW(Actions!$A$2:$A$2001)-ROW(Actions!$A$2),0,1)),--(Actions!$A$2:$A$2001=F16),--((Actions!$E$2:$E$2001="")+(Actions!$E$2:$E$2001&gt;CutoffDate)&gt;0)*--(Actions!$D$2:$D$2001&lt;&gt;"")*--(Actions!$D$2:$D$2001&lt;CutoffDate))</f>
        <v>2</v>
      </c>
      <c r="M16" s="32">
        <f ca="1">IFERROR(L16/G16,0)</f>
        <v>0.5</v>
      </c>
      <c r="N16" s="13"/>
      <c r="O16" s="13"/>
      <c r="P16" s="13"/>
    </row>
    <row r="18" spans="3:14" x14ac:dyDescent="0.35">
      <c r="F18" s="2" t="s">
        <v>77</v>
      </c>
    </row>
    <row r="19" spans="3:14" x14ac:dyDescent="0.35">
      <c r="F19" s="2" t="s">
        <v>66</v>
      </c>
      <c r="G19" s="6" t="s">
        <v>78</v>
      </c>
      <c r="H19" s="6" t="s">
        <v>69</v>
      </c>
    </row>
    <row r="20" spans="3:14" x14ac:dyDescent="0.35">
      <c r="F20" s="34" t="s">
        <v>79</v>
      </c>
      <c r="G20" s="6">
        <f ca="1">SUMPRODUCT(SUBTOTAL(103,OFFSET(Actions!$A$2:$A$2001,ROW(Actions!$A$2:$A$2001)-ROW(Actions!$A$2),0,1)),--(Actions!$E$2:$E$2001&lt;&gt;""),--(Actions!$E$2:$E$2001&lt;=EOMONTH(DATE(VALUE(LEFT(F20,4)),VALUE(RIGHT(F20,2)),1),0)))</f>
        <v>0</v>
      </c>
      <c r="H20" s="8">
        <f ca="1">IFERROR(G20/$D$4,0)</f>
        <v>0</v>
      </c>
    </row>
    <row r="21" spans="3:14" x14ac:dyDescent="0.35">
      <c r="F21" s="34" t="s">
        <v>80</v>
      </c>
      <c r="G21" s="6">
        <f ca="1">SUMPRODUCT(SUBTOTAL(103,OFFSET(Actions!$A$2:$A$2001,ROW(Actions!$A$2:$A$2001)-ROW(Actions!$A$2),0,1)),--(Actions!$E$2:$E$2001&lt;&gt;""),--(Actions!$E$2:$E$2001&lt;=EOMONTH(DATE(VALUE(LEFT(F21,4)),VALUE(RIGHT(F21,2)),1),0)))</f>
        <v>1</v>
      </c>
      <c r="H21" s="8">
        <f ca="1">IFERROR(G21/$D$4,0)</f>
        <v>4.5454545454545456E-2</v>
      </c>
    </row>
    <row r="22" spans="3:14" x14ac:dyDescent="0.35">
      <c r="F22" s="34" t="s">
        <v>81</v>
      </c>
      <c r="G22" s="6">
        <f ca="1">SUMPRODUCT(SUBTOTAL(103,OFFSET(Actions!$A$2:$A$2001,ROW(Actions!$A$2:$A$2001)-ROW(Actions!$A$2),0,1)),--(Actions!$E$2:$E$2001&lt;&gt;""),--(Actions!$E$2:$E$2001&lt;=EOMONTH(DATE(VALUE(LEFT(F22,4)),VALUE(RIGHT(F22,2)),1),0)))</f>
        <v>2</v>
      </c>
      <c r="H22" s="8">
        <f ca="1">IFERROR(G22/$D$4,0)</f>
        <v>9.0909090909090912E-2</v>
      </c>
    </row>
    <row r="23" spans="3:14" x14ac:dyDescent="0.35">
      <c r="F23" s="34" t="s">
        <v>82</v>
      </c>
      <c r="G23" s="6">
        <f ca="1">SUMPRODUCT(SUBTOTAL(103,OFFSET(Actions!$A$2:$A$2001,ROW(Actions!$A$2:$A$2001)-ROW(Actions!$A$2),0,1)),--(Actions!$E$2:$E$2001&lt;&gt;""),--(Actions!$E$2:$E$2001&lt;=EOMONTH(DATE(VALUE(LEFT(F23,4)),VALUE(RIGHT(F23,2)),1),0)))</f>
        <v>12</v>
      </c>
      <c r="H23" s="8">
        <f ca="1">IFERROR(G23/$D$4,0)</f>
        <v>0.54545454545454541</v>
      </c>
    </row>
    <row r="24" spans="3:14" x14ac:dyDescent="0.35">
      <c r="F24" s="3"/>
    </row>
    <row r="25" spans="3:14" x14ac:dyDescent="0.35">
      <c r="C25" s="5"/>
      <c r="D25" s="5"/>
      <c r="E25" s="5"/>
      <c r="F25" s="4" t="s">
        <v>11</v>
      </c>
      <c r="G25" s="7" t="s">
        <v>59</v>
      </c>
      <c r="H25" s="7" t="s">
        <v>60</v>
      </c>
      <c r="I25" s="7"/>
      <c r="J25" s="5"/>
      <c r="K25" s="5"/>
      <c r="L25" s="5"/>
      <c r="M25" s="5"/>
      <c r="N25" s="5"/>
    </row>
    <row r="26" spans="3:14" x14ac:dyDescent="0.35">
      <c r="F26" s="2" t="s">
        <v>24</v>
      </c>
      <c r="G26" s="6">
        <f ca="1">SUMPRODUCT(SUBTOTAL(103,OFFSET(Actions!$J$2:$J$2001,ROW(Actions!$J$2:$J$2001)-ROW(Actions!$J$2),0,1)),--(Actions!$J$2:$J$2001="High"))</f>
        <v>8</v>
      </c>
      <c r="H26" s="8">
        <f ca="1">IF($D$4=0,0,G26/$D$4)</f>
        <v>0.36363636363636365</v>
      </c>
      <c r="I26" s="8"/>
    </row>
    <row r="27" spans="3:14" x14ac:dyDescent="0.35">
      <c r="F27" s="2" t="s">
        <v>14</v>
      </c>
      <c r="G27" s="6">
        <f ca="1">SUMPRODUCT(SUBTOTAL(103,OFFSET(Actions!$J$2:$J$2001,ROW(Actions!$J$2:$J$2001)-ROW(Actions!$J$2),0,1)),--(Actions!$J$2:$J$2001="Medium"))</f>
        <v>11</v>
      </c>
      <c r="H27" s="8">
        <f ca="1">IF($D$4=0,0,G27/$D$4)</f>
        <v>0.5</v>
      </c>
      <c r="I27" s="8"/>
    </row>
    <row r="28" spans="3:14" x14ac:dyDescent="0.35">
      <c r="F28" s="2" t="s">
        <v>29</v>
      </c>
      <c r="G28" s="6">
        <f ca="1">SUMPRODUCT(SUBTOTAL(103,OFFSET(Actions!$J$2:$J$2001,ROW(Actions!$J$2:$J$2001)-ROW(Actions!$J$2),0,1)),--(Actions!$J$2:$J$2001="Low"))</f>
        <v>3</v>
      </c>
      <c r="H28" s="8">
        <f ca="1">IF($D$4=0,0,G28/$D$4)</f>
        <v>0.13636363636363635</v>
      </c>
      <c r="I28" s="8"/>
    </row>
  </sheetData>
  <mergeCells count="1">
    <mergeCell ref="A1:O1"/>
  </mergeCells>
  <pageMargins left="0.7" right="0.7" top="0.75" bottom="0.75" header="0.3" footer="0.3"/>
  <pageSetup scale="82" orientation="landscape" r:id="rId1"/>
  <drawing r:id="rId2"/>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7E43A-66D9-4682-A61F-CABEA00428E2}">
  <sheetPr codeName="Sheet2"/>
  <dimension ref="A1:G5"/>
  <sheetViews>
    <sheetView workbookViewId="0">
      <selection activeCell="A5" sqref="A5"/>
    </sheetView>
  </sheetViews>
  <sheetFormatPr defaultRowHeight="14.5" x14ac:dyDescent="0.35"/>
  <cols>
    <col min="5" max="5" width="10.08984375" bestFit="1" customWidth="1"/>
    <col min="7" max="7" width="8.7265625" style="33"/>
  </cols>
  <sheetData>
    <row r="1" spans="1:7" x14ac:dyDescent="0.35">
      <c r="E1" t="s">
        <v>74</v>
      </c>
      <c r="G1" s="33" t="s">
        <v>66</v>
      </c>
    </row>
    <row r="2" spans="1:7" hidden="1" x14ac:dyDescent="0.35">
      <c r="A2" t="s">
        <v>67</v>
      </c>
      <c r="C2" t="s">
        <v>1</v>
      </c>
      <c r="E2" s="1">
        <v>46225</v>
      </c>
      <c r="G2" s="33" t="s">
        <v>79</v>
      </c>
    </row>
    <row r="3" spans="1:7" hidden="1" x14ac:dyDescent="0.35">
      <c r="A3" t="s">
        <v>68</v>
      </c>
      <c r="C3" t="s">
        <v>2</v>
      </c>
      <c r="G3" s="33" t="s">
        <v>80</v>
      </c>
    </row>
    <row r="4" spans="1:7" hidden="1" x14ac:dyDescent="0.35">
      <c r="A4" t="s">
        <v>65</v>
      </c>
      <c r="G4" s="33" t="s">
        <v>81</v>
      </c>
    </row>
    <row r="5" spans="1:7" x14ac:dyDescent="0.35">
      <c r="G5" s="33" t="s">
        <v>82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2A804-ECE5-4488-84DF-07A05296C44A}">
  <sheetPr codeName="Sheet3"/>
  <dimension ref="A1:N23"/>
  <sheetViews>
    <sheetView showGridLines="0" tabSelected="1" zoomScale="70" zoomScaleNormal="70" workbookViewId="0">
      <pane ySplit="1" topLeftCell="A5" activePane="bottomLeft" state="frozenSplit"/>
      <selection pane="bottomLeft" activeCell="E25" sqref="E25"/>
    </sheetView>
  </sheetViews>
  <sheetFormatPr defaultRowHeight="14.5" x14ac:dyDescent="0.35"/>
  <cols>
    <col min="1" max="1" width="18.6328125" style="3" customWidth="1"/>
    <col min="2" max="2" width="62.36328125" style="10" customWidth="1"/>
    <col min="3" max="3" width="16.6328125" style="2" customWidth="1"/>
    <col min="4" max="4" width="14.453125" style="2" customWidth="1"/>
    <col min="5" max="5" width="13.7265625" style="6" customWidth="1"/>
    <col min="6" max="6" width="16.26953125" style="12" customWidth="1"/>
    <col min="7" max="7" width="12.54296875" style="12" bestFit="1" customWidth="1"/>
    <col min="8" max="8" width="24" style="6" customWidth="1"/>
    <col min="9" max="9" width="56.1796875" style="10" customWidth="1"/>
    <col min="10" max="10" width="10.6328125" style="6" customWidth="1"/>
    <col min="11" max="12" width="8.7265625" style="2" customWidth="1"/>
    <col min="13" max="13" width="8.7265625" style="2" hidden="1" customWidth="1"/>
    <col min="14" max="16384" width="8.7265625" style="2"/>
  </cols>
  <sheetData>
    <row r="1" spans="1:14" ht="25" customHeight="1" x14ac:dyDescent="0.35">
      <c r="A1" s="4" t="s">
        <v>3</v>
      </c>
      <c r="B1" s="9" t="s">
        <v>4</v>
      </c>
      <c r="C1" s="27" t="s">
        <v>5</v>
      </c>
      <c r="D1" s="27" t="s">
        <v>6</v>
      </c>
      <c r="E1" s="27" t="s">
        <v>64</v>
      </c>
      <c r="F1" s="27" t="s">
        <v>7</v>
      </c>
      <c r="G1" s="28" t="s">
        <v>8</v>
      </c>
      <c r="H1" s="7" t="s">
        <v>9</v>
      </c>
      <c r="I1" s="9" t="s">
        <v>10</v>
      </c>
      <c r="J1" s="7" t="s">
        <v>11</v>
      </c>
      <c r="K1" s="4" t="s">
        <v>63</v>
      </c>
      <c r="L1" s="4" t="s">
        <v>66</v>
      </c>
      <c r="M1" s="4" t="s">
        <v>83</v>
      </c>
    </row>
    <row r="2" spans="1:14" x14ac:dyDescent="0.35">
      <c r="A2" s="18" t="s">
        <v>12</v>
      </c>
      <c r="B2" s="26" t="s">
        <v>13</v>
      </c>
      <c r="C2" s="20">
        <v>46108</v>
      </c>
      <c r="D2" s="20">
        <v>46203</v>
      </c>
      <c r="E2" s="21"/>
      <c r="F2" s="25">
        <f ca="1">IF(TblActions[[#This Row],[Due date]]="","",IF(TblActions[[#This Row],[Closing date]]&lt;&gt;"",TblActions[[#This Row],[Due date]]-TblActions[[#This Row],[Closing date]],TblActions[[#This Row],[Due date]]-TODAY()))</f>
        <v>-23</v>
      </c>
      <c r="G2" s="22" t="str">
        <f ca="1">IF(TblActions[[#This Row],[Closing date]]&lt;&gt;"","Closed",IF(TblActions[[#This Row],[Days overdue]]="","",IF(TblActions[[#This Row],[Days overdue]]&lt;0,"Overdue","On going")))</f>
        <v>Overdue</v>
      </c>
      <c r="H2" s="23" t="s">
        <v>2</v>
      </c>
      <c r="I2" s="19"/>
      <c r="J2" s="24" t="s">
        <v>14</v>
      </c>
      <c r="K2" s="17">
        <f>IFERROR(YEAR(TblActions[[#This Row],[Due date]]),IFERROR(YEAR(TblActions[[#This Row],[Issue creation date]]),""))</f>
        <v>2026</v>
      </c>
      <c r="L2" s="17" t="str">
        <f>IF(TblActions[[#This Row],[Closing date]]="","",TEXT(TblActions[[#This Row],[Closing date]],"yyyy-mm"))</f>
        <v/>
      </c>
      <c r="M2" s="17" t="str">
        <f>IF(TblActions[[#This Row],[Mois]]="","Oui",IF(TblActions[[#This Row],[Mois]]&lt;=MoisRef,"Oui","Non"))</f>
        <v>Oui</v>
      </c>
      <c r="N2" s="11"/>
    </row>
    <row r="3" spans="1:14" x14ac:dyDescent="0.35">
      <c r="A3" s="18" t="s">
        <v>15</v>
      </c>
      <c r="B3" s="26" t="s">
        <v>16</v>
      </c>
      <c r="C3" s="20">
        <v>46108</v>
      </c>
      <c r="D3" s="20">
        <v>46203</v>
      </c>
      <c r="E3" s="20">
        <v>46195</v>
      </c>
      <c r="F3" s="25">
        <f ca="1">IF(TblActions[[#This Row],[Due date]]="","",IF(TblActions[[#This Row],[Closing date]]&lt;&gt;"",TblActions[[#This Row],[Due date]]-TblActions[[#This Row],[Closing date]],TblActions[[#This Row],[Due date]]-TODAY()))</f>
        <v>8</v>
      </c>
      <c r="G3" s="22" t="str">
        <f>IF(TblActions[[#This Row],[Closing date]]&lt;&gt;"","Closed",IF(TblActions[[#This Row],[Days overdue]]="","",IF(TblActions[[#This Row],[Days overdue]]&lt;0,"Overdue","On going")))</f>
        <v>Closed</v>
      </c>
      <c r="H3" s="23" t="s">
        <v>1</v>
      </c>
      <c r="I3" s="19" t="s">
        <v>17</v>
      </c>
      <c r="J3" s="24" t="s">
        <v>14</v>
      </c>
      <c r="K3" s="17">
        <f>IFERROR(YEAR(TblActions[[#This Row],[Due date]]),IFERROR(YEAR(TblActions[[#This Row],[Issue creation date]]),""))</f>
        <v>2026</v>
      </c>
      <c r="L3" s="17" t="str">
        <f>IF(TblActions[[#This Row],[Closing date]]="","",TEXT(TblActions[[#This Row],[Closing date]],"yyyy-mm"))</f>
        <v>2026-06</v>
      </c>
      <c r="M3" s="17" t="str">
        <f ca="1">IF(TblActions[[#This Row],[Mois]]="","Oui",IF(TblActions[[#This Row],[Mois]]&lt;=MoisRef,"Oui","Non"))</f>
        <v>Oui</v>
      </c>
    </row>
    <row r="4" spans="1:14" ht="29" x14ac:dyDescent="0.35">
      <c r="A4" s="18" t="s">
        <v>18</v>
      </c>
      <c r="B4" s="26" t="s">
        <v>19</v>
      </c>
      <c r="C4" s="20">
        <v>46108</v>
      </c>
      <c r="D4" s="20">
        <v>46203</v>
      </c>
      <c r="E4" s="21"/>
      <c r="F4" s="25">
        <f ca="1">IF(TblActions[[#This Row],[Due date]]="","",IF(TblActions[[#This Row],[Closing date]]&lt;&gt;"",TblActions[[#This Row],[Due date]]-TblActions[[#This Row],[Closing date]],TblActions[[#This Row],[Due date]]-TODAY()))</f>
        <v>-23</v>
      </c>
      <c r="G4" s="22" t="str">
        <f ca="1">IF(TblActions[[#This Row],[Closing date]]&lt;&gt;"","Closed",IF(TblActions[[#This Row],[Days overdue]]="","",IF(TblActions[[#This Row],[Days overdue]]&lt;0,"Overdue","On going")))</f>
        <v>Overdue</v>
      </c>
      <c r="H4" s="23" t="s">
        <v>2</v>
      </c>
      <c r="I4" s="19" t="s">
        <v>20</v>
      </c>
      <c r="J4" s="24" t="s">
        <v>14</v>
      </c>
      <c r="K4" s="17">
        <f>IFERROR(YEAR(TblActions[[#This Row],[Due date]]),IFERROR(YEAR(TblActions[[#This Row],[Issue creation date]]),""))</f>
        <v>2026</v>
      </c>
      <c r="L4" s="17" t="str">
        <f>IF(TblActions[[#This Row],[Closing date]]="","",TEXT(TblActions[[#This Row],[Closing date]],"yyyy-mm"))</f>
        <v/>
      </c>
      <c r="M4" s="17" t="str">
        <f>IF(TblActions[[#This Row],[Mois]]="","Oui",IF(TblActions[[#This Row],[Mois]]&lt;=MoisRef,"Oui","Non"))</f>
        <v>Oui</v>
      </c>
    </row>
    <row r="5" spans="1:14" ht="29" x14ac:dyDescent="0.35">
      <c r="A5" s="18" t="s">
        <v>12</v>
      </c>
      <c r="B5" s="26" t="s">
        <v>21</v>
      </c>
      <c r="C5" s="20">
        <v>46108</v>
      </c>
      <c r="D5" s="20">
        <v>46203</v>
      </c>
      <c r="E5" s="20">
        <v>46225</v>
      </c>
      <c r="F5" s="25">
        <f ca="1">IF(TblActions[[#This Row],[Due date]]="","",IF(TblActions[[#This Row],[Closing date]]&lt;&gt;"",TblActions[[#This Row],[Due date]]-TblActions[[#This Row],[Closing date]],TblActions[[#This Row],[Due date]]-TODAY()))</f>
        <v>-22</v>
      </c>
      <c r="G5" s="22" t="str">
        <f>IF(TblActions[[#This Row],[Closing date]]&lt;&gt;"","Closed",IF(TblActions[[#This Row],[Days overdue]]="","",IF(TblActions[[#This Row],[Days overdue]]&lt;0,"Overdue","On going")))</f>
        <v>Closed</v>
      </c>
      <c r="H5" s="23" t="s">
        <v>1</v>
      </c>
      <c r="I5" s="19" t="s">
        <v>22</v>
      </c>
      <c r="J5" s="24" t="s">
        <v>14</v>
      </c>
      <c r="K5" s="17">
        <f>IFERROR(YEAR(TblActions[[#This Row],[Due date]]),IFERROR(YEAR(TblActions[[#This Row],[Issue creation date]]),""))</f>
        <v>2026</v>
      </c>
      <c r="L5" s="17" t="str">
        <f>IF(TblActions[[#This Row],[Closing date]]="","",TEXT(TblActions[[#This Row],[Closing date]],"yyyy-mm"))</f>
        <v>2026-07</v>
      </c>
      <c r="M5" s="17" t="str">
        <f ca="1">IF(TblActions[[#This Row],[Mois]]="","Oui",IF(TblActions[[#This Row],[Mois]]&lt;=MoisRef,"Oui","Non"))</f>
        <v>Oui</v>
      </c>
    </row>
    <row r="6" spans="1:14" x14ac:dyDescent="0.35">
      <c r="A6" s="18" t="s">
        <v>12</v>
      </c>
      <c r="B6" s="26" t="s">
        <v>23</v>
      </c>
      <c r="C6" s="20">
        <v>44127</v>
      </c>
      <c r="D6" s="20">
        <v>45930</v>
      </c>
      <c r="E6" s="20">
        <v>46225</v>
      </c>
      <c r="F6" s="25">
        <f ca="1">IF(TblActions[[#This Row],[Due date]]="","",IF(TblActions[[#This Row],[Closing date]]&lt;&gt;"",TblActions[[#This Row],[Due date]]-TblActions[[#This Row],[Closing date]],TblActions[[#This Row],[Due date]]-TODAY()))</f>
        <v>-295</v>
      </c>
      <c r="G6" s="22" t="str">
        <f>IF(TblActions[[#This Row],[Closing date]]&lt;&gt;"","Closed",IF(TblActions[[#This Row],[Days overdue]]="","",IF(TblActions[[#This Row],[Days overdue]]&lt;0,"Overdue","On going")))</f>
        <v>Closed</v>
      </c>
      <c r="H6" s="23" t="s">
        <v>1</v>
      </c>
      <c r="I6" s="19" t="s">
        <v>22</v>
      </c>
      <c r="J6" s="24" t="s">
        <v>24</v>
      </c>
      <c r="K6" s="17">
        <f>IFERROR(YEAR(TblActions[[#This Row],[Due date]]),IFERROR(YEAR(TblActions[[#This Row],[Issue creation date]]),""))</f>
        <v>2025</v>
      </c>
      <c r="L6" s="17" t="str">
        <f>IF(TblActions[[#This Row],[Closing date]]="","",TEXT(TblActions[[#This Row],[Closing date]],"yyyy-mm"))</f>
        <v>2026-07</v>
      </c>
      <c r="M6" s="17" t="str">
        <f ca="1">IF(TblActions[[#This Row],[Mois]]="","Oui",IF(TblActions[[#This Row],[Mois]]&lt;=MoisRef,"Oui","Non"))</f>
        <v>Oui</v>
      </c>
    </row>
    <row r="7" spans="1:14" x14ac:dyDescent="0.35">
      <c r="A7" s="18" t="s">
        <v>15</v>
      </c>
      <c r="B7" s="26" t="s">
        <v>25</v>
      </c>
      <c r="C7" s="20">
        <v>46108</v>
      </c>
      <c r="D7" s="20">
        <v>46203</v>
      </c>
      <c r="E7" s="21"/>
      <c r="F7" s="25">
        <f ca="1">IF(TblActions[[#This Row],[Due date]]="","",IF(TblActions[[#This Row],[Closing date]]&lt;&gt;"",TblActions[[#This Row],[Due date]]-TblActions[[#This Row],[Closing date]],TblActions[[#This Row],[Due date]]-TODAY()))</f>
        <v>-23</v>
      </c>
      <c r="G7" s="22" t="str">
        <f ca="1">IF(TblActions[[#This Row],[Closing date]]&lt;&gt;"","Closed",IF(TblActions[[#This Row],[Days overdue]]="","",IF(TblActions[[#This Row],[Days overdue]]&lt;0,"Overdue","On going")))</f>
        <v>Overdue</v>
      </c>
      <c r="H7" s="23" t="s">
        <v>2</v>
      </c>
      <c r="I7" s="19" t="s">
        <v>26</v>
      </c>
      <c r="J7" s="24" t="s">
        <v>24</v>
      </c>
      <c r="K7" s="17">
        <f>IFERROR(YEAR(TblActions[[#This Row],[Due date]]),IFERROR(YEAR(TblActions[[#This Row],[Issue creation date]]),""))</f>
        <v>2026</v>
      </c>
      <c r="L7" s="17" t="str">
        <f>IF(TblActions[[#This Row],[Closing date]]="","",TEXT(TblActions[[#This Row],[Closing date]],"yyyy-mm"))</f>
        <v/>
      </c>
      <c r="M7" s="17" t="str">
        <f>IF(TblActions[[#This Row],[Mois]]="","Oui",IF(TblActions[[#This Row],[Mois]]&lt;=MoisRef,"Oui","Non"))</f>
        <v>Oui</v>
      </c>
    </row>
    <row r="8" spans="1:14" ht="29" x14ac:dyDescent="0.35">
      <c r="A8" s="18" t="s">
        <v>27</v>
      </c>
      <c r="B8" s="26" t="s">
        <v>28</v>
      </c>
      <c r="C8" s="20">
        <v>46108</v>
      </c>
      <c r="D8" s="20">
        <v>46203</v>
      </c>
      <c r="E8" s="20">
        <v>46225</v>
      </c>
      <c r="F8" s="25">
        <f ca="1">IF(TblActions[[#This Row],[Due date]]="","",IF(TblActions[[#This Row],[Closing date]]&lt;&gt;"",TblActions[[#This Row],[Due date]]-TblActions[[#This Row],[Closing date]],TblActions[[#This Row],[Due date]]-TODAY()))</f>
        <v>-22</v>
      </c>
      <c r="G8" s="22" t="str">
        <f>IF(TblActions[[#This Row],[Closing date]]&lt;&gt;"","Closed",IF(TblActions[[#This Row],[Days overdue]]="","",IF(TblActions[[#This Row],[Days overdue]]&lt;0,"Overdue","On going")))</f>
        <v>Closed</v>
      </c>
      <c r="H8" s="23" t="s">
        <v>1</v>
      </c>
      <c r="I8" s="19" t="s">
        <v>22</v>
      </c>
      <c r="J8" s="24" t="s">
        <v>29</v>
      </c>
      <c r="K8" s="17">
        <f>IFERROR(YEAR(TblActions[[#This Row],[Due date]]),IFERROR(YEAR(TblActions[[#This Row],[Issue creation date]]),""))</f>
        <v>2026</v>
      </c>
      <c r="L8" s="17" t="str">
        <f>IF(TblActions[[#This Row],[Closing date]]="","",TEXT(TblActions[[#This Row],[Closing date]],"yyyy-mm"))</f>
        <v>2026-07</v>
      </c>
      <c r="M8" s="17" t="str">
        <f ca="1">IF(TblActions[[#This Row],[Mois]]="","Oui",IF(TblActions[[#This Row],[Mois]]&lt;=MoisRef,"Oui","Non"))</f>
        <v>Oui</v>
      </c>
    </row>
    <row r="9" spans="1:14" ht="29" x14ac:dyDescent="0.35">
      <c r="A9" s="18" t="s">
        <v>27</v>
      </c>
      <c r="B9" s="26" t="s">
        <v>30</v>
      </c>
      <c r="C9" s="20">
        <v>46108</v>
      </c>
      <c r="D9" s="20">
        <v>46203</v>
      </c>
      <c r="E9" s="20">
        <v>46225</v>
      </c>
      <c r="F9" s="25">
        <f ca="1">IF(TblActions[[#This Row],[Due date]]="","",IF(TblActions[[#This Row],[Closing date]]&lt;&gt;"",TblActions[[#This Row],[Due date]]-TblActions[[#This Row],[Closing date]],TblActions[[#This Row],[Due date]]-TODAY()))</f>
        <v>-22</v>
      </c>
      <c r="G9" s="22" t="str">
        <f>IF(TblActions[[#This Row],[Closing date]]&lt;&gt;"","Closed",IF(TblActions[[#This Row],[Days overdue]]="","",IF(TblActions[[#This Row],[Days overdue]]&lt;0,"Overdue","On going")))</f>
        <v>Closed</v>
      </c>
      <c r="H9" s="23" t="s">
        <v>1</v>
      </c>
      <c r="I9" s="19" t="s">
        <v>22</v>
      </c>
      <c r="J9" s="24" t="s">
        <v>29</v>
      </c>
      <c r="K9" s="17">
        <f>IFERROR(YEAR(TblActions[[#This Row],[Due date]]),IFERROR(YEAR(TblActions[[#This Row],[Issue creation date]]),""))</f>
        <v>2026</v>
      </c>
      <c r="L9" s="17" t="str">
        <f>IF(TblActions[[#This Row],[Closing date]]="","",TEXT(TblActions[[#This Row],[Closing date]],"yyyy-mm"))</f>
        <v>2026-07</v>
      </c>
      <c r="M9" s="17" t="str">
        <f ca="1">IF(TblActions[[#This Row],[Mois]]="","Oui",IF(TblActions[[#This Row],[Mois]]&lt;=MoisRef,"Oui","Non"))</f>
        <v>Oui</v>
      </c>
    </row>
    <row r="10" spans="1:14" ht="55.5" customHeight="1" x14ac:dyDescent="0.35">
      <c r="A10" s="18" t="s">
        <v>18</v>
      </c>
      <c r="B10" s="26" t="s">
        <v>31</v>
      </c>
      <c r="C10" s="20">
        <v>46108</v>
      </c>
      <c r="D10" s="20">
        <v>46203</v>
      </c>
      <c r="E10" s="20">
        <v>46225</v>
      </c>
      <c r="F10" s="25">
        <f ca="1">IF(TblActions[[#This Row],[Due date]]="","",IF(TblActions[[#This Row],[Closing date]]&lt;&gt;"",TblActions[[#This Row],[Due date]]-TblActions[[#This Row],[Closing date]],TblActions[[#This Row],[Due date]]-TODAY()))</f>
        <v>-22</v>
      </c>
      <c r="G10" s="22" t="str">
        <f>IF(TblActions[[#This Row],[Closing date]]&lt;&gt;"","Closed",IF(TblActions[[#This Row],[Days overdue]]="","",IF(TblActions[[#This Row],[Days overdue]]&lt;0,"Overdue","On going")))</f>
        <v>Closed</v>
      </c>
      <c r="H10" s="23" t="s">
        <v>1</v>
      </c>
      <c r="I10" s="19" t="s">
        <v>32</v>
      </c>
      <c r="J10" s="24" t="s">
        <v>24</v>
      </c>
      <c r="K10" s="17">
        <f>IFERROR(YEAR(TblActions[[#This Row],[Due date]]),IFERROR(YEAR(TblActions[[#This Row],[Issue creation date]]),""))</f>
        <v>2026</v>
      </c>
      <c r="L10" s="17" t="str">
        <f>IF(TblActions[[#This Row],[Closing date]]="","",TEXT(TblActions[[#This Row],[Closing date]],"yyyy-mm"))</f>
        <v>2026-07</v>
      </c>
      <c r="M10" s="17" t="str">
        <f ca="1">IF(TblActions[[#This Row],[Mois]]="","Oui",IF(TblActions[[#This Row],[Mois]]&lt;=MoisRef,"Oui","Non"))</f>
        <v>Oui</v>
      </c>
    </row>
    <row r="11" spans="1:14" x14ac:dyDescent="0.35">
      <c r="A11" s="18" t="s">
        <v>15</v>
      </c>
      <c r="B11" s="26" t="s">
        <v>33</v>
      </c>
      <c r="C11" s="20">
        <v>46108</v>
      </c>
      <c r="D11" s="20">
        <v>46203</v>
      </c>
      <c r="E11" s="20">
        <v>46225</v>
      </c>
      <c r="F11" s="25">
        <f ca="1">IF(TblActions[[#This Row],[Due date]]="","",IF(TblActions[[#This Row],[Closing date]]&lt;&gt;"",TblActions[[#This Row],[Due date]]-TblActions[[#This Row],[Closing date]],TblActions[[#This Row],[Due date]]-TODAY()))</f>
        <v>-22</v>
      </c>
      <c r="G11" s="22" t="str">
        <f>IF(TblActions[[#This Row],[Closing date]]&lt;&gt;"","Closed",IF(TblActions[[#This Row],[Days overdue]]="","",IF(TblActions[[#This Row],[Days overdue]]&lt;0,"Overdue","On going")))</f>
        <v>Closed</v>
      </c>
      <c r="H11" s="23" t="s">
        <v>1</v>
      </c>
      <c r="I11" s="19" t="s">
        <v>32</v>
      </c>
      <c r="J11" s="24" t="s">
        <v>14</v>
      </c>
      <c r="K11" s="17">
        <f>IFERROR(YEAR(TblActions[[#This Row],[Due date]]),IFERROR(YEAR(TblActions[[#This Row],[Issue creation date]]),""))</f>
        <v>2026</v>
      </c>
      <c r="L11" s="17" t="str">
        <f>IF(TblActions[[#This Row],[Closing date]]="","",TEXT(TblActions[[#This Row],[Closing date]],"yyyy-mm"))</f>
        <v>2026-07</v>
      </c>
      <c r="M11" s="17" t="str">
        <f ca="1">IF(TblActions[[#This Row],[Mois]]="","Oui",IF(TblActions[[#This Row],[Mois]]&lt;=MoisRef,"Oui","Non"))</f>
        <v>Oui</v>
      </c>
    </row>
    <row r="12" spans="1:14" x14ac:dyDescent="0.35">
      <c r="A12" s="18" t="s">
        <v>15</v>
      </c>
      <c r="B12" s="26" t="s">
        <v>34</v>
      </c>
      <c r="C12" s="20">
        <v>46108</v>
      </c>
      <c r="D12" s="20">
        <v>46203</v>
      </c>
      <c r="E12" s="21"/>
      <c r="F12" s="25">
        <f ca="1">IF(TblActions[[#This Row],[Due date]]="","",IF(TblActions[[#This Row],[Closing date]]&lt;&gt;"",TblActions[[#This Row],[Due date]]-TblActions[[#This Row],[Closing date]],TblActions[[#This Row],[Due date]]-TODAY()))</f>
        <v>-23</v>
      </c>
      <c r="G12" s="22" t="str">
        <f ca="1">IF(TblActions[[#This Row],[Closing date]]&lt;&gt;"","Closed",IF(TblActions[[#This Row],[Days overdue]]="","",IF(TblActions[[#This Row],[Days overdue]]&lt;0,"Overdue","On going")))</f>
        <v>Overdue</v>
      </c>
      <c r="H12" s="23" t="s">
        <v>2</v>
      </c>
      <c r="I12" s="19" t="s">
        <v>35</v>
      </c>
      <c r="J12" s="24" t="s">
        <v>24</v>
      </c>
      <c r="K12" s="17">
        <f>IFERROR(YEAR(TblActions[[#This Row],[Due date]]),IFERROR(YEAR(TblActions[[#This Row],[Issue creation date]]),""))</f>
        <v>2026</v>
      </c>
      <c r="L12" s="17" t="str">
        <f>IF(TblActions[[#This Row],[Closing date]]="","",TEXT(TblActions[[#This Row],[Closing date]],"yyyy-mm"))</f>
        <v/>
      </c>
      <c r="M12" s="17" t="str">
        <f>IF(TblActions[[#This Row],[Mois]]="","Oui",IF(TblActions[[#This Row],[Mois]]&lt;=MoisRef,"Oui","Non"))</f>
        <v>Oui</v>
      </c>
    </row>
    <row r="13" spans="1:14" x14ac:dyDescent="0.35">
      <c r="A13" s="18" t="s">
        <v>18</v>
      </c>
      <c r="B13" s="26" t="s">
        <v>36</v>
      </c>
      <c r="C13" s="20">
        <v>46752</v>
      </c>
      <c r="D13" s="20">
        <v>46477</v>
      </c>
      <c r="E13" s="21"/>
      <c r="F13" s="25">
        <f ca="1">IF(TblActions[[#This Row],[Due date]]="","",IF(TblActions[[#This Row],[Closing date]]&lt;&gt;"",TblActions[[#This Row],[Due date]]-TblActions[[#This Row],[Closing date]],TblActions[[#This Row],[Due date]]-TODAY()))</f>
        <v>251</v>
      </c>
      <c r="G13" s="22" t="str">
        <f ca="1">IF(TblActions[[#This Row],[Closing date]]&lt;&gt;"","Closed",IF(TblActions[[#This Row],[Days overdue]]="","",IF(TblActions[[#This Row],[Days overdue]]&lt;0,"Overdue","On going")))</f>
        <v>On going</v>
      </c>
      <c r="H13" s="23" t="s">
        <v>2</v>
      </c>
      <c r="I13" s="19" t="s">
        <v>0</v>
      </c>
      <c r="J13" s="24" t="s">
        <v>14</v>
      </c>
      <c r="K13" s="17">
        <f>IFERROR(YEAR(TblActions[[#This Row],[Due date]]),IFERROR(YEAR(TblActions[[#This Row],[Issue creation date]]),""))</f>
        <v>2027</v>
      </c>
      <c r="L13" s="17" t="str">
        <f>IF(TblActions[[#This Row],[Closing date]]="","",TEXT(TblActions[[#This Row],[Closing date]],"yyyy-mm"))</f>
        <v/>
      </c>
      <c r="M13" s="17" t="str">
        <f>IF(TblActions[[#This Row],[Mois]]="","Oui",IF(TblActions[[#This Row],[Mois]]&lt;=MoisRef,"Oui","Non"))</f>
        <v>Oui</v>
      </c>
    </row>
    <row r="14" spans="1:14" ht="29" x14ac:dyDescent="0.35">
      <c r="A14" s="18" t="s">
        <v>27</v>
      </c>
      <c r="B14" s="26" t="s">
        <v>37</v>
      </c>
      <c r="C14" s="20">
        <v>46108</v>
      </c>
      <c r="D14" s="20">
        <v>46203</v>
      </c>
      <c r="E14" s="20">
        <v>46164</v>
      </c>
      <c r="F14" s="25">
        <f ca="1">IF(TblActions[[#This Row],[Due date]]="","",IF(TblActions[[#This Row],[Closing date]]&lt;&gt;"",TblActions[[#This Row],[Due date]]-TblActions[[#This Row],[Closing date]],TblActions[[#This Row],[Due date]]-TODAY()))</f>
        <v>39</v>
      </c>
      <c r="G14" s="22" t="str">
        <f>IF(TblActions[[#This Row],[Closing date]]&lt;&gt;"","Closed",IF(TblActions[[#This Row],[Days overdue]]="","",IF(TblActions[[#This Row],[Days overdue]]&lt;0,"Overdue","On going")))</f>
        <v>Closed</v>
      </c>
      <c r="H14" s="23" t="s">
        <v>2</v>
      </c>
      <c r="I14" s="19" t="s">
        <v>38</v>
      </c>
      <c r="J14" s="24" t="s">
        <v>24</v>
      </c>
      <c r="K14" s="17">
        <f>IFERROR(YEAR(TblActions[[#This Row],[Due date]]),IFERROR(YEAR(TblActions[[#This Row],[Issue creation date]]),""))</f>
        <v>2026</v>
      </c>
      <c r="L14" s="17" t="str">
        <f>IF(TblActions[[#This Row],[Closing date]]="","",TEXT(TblActions[[#This Row],[Closing date]],"yyyy-mm"))</f>
        <v>2026-05</v>
      </c>
      <c r="M14" s="17" t="str">
        <f ca="1">IF(TblActions[[#This Row],[Mois]]="","Oui",IF(TblActions[[#This Row],[Mois]]&lt;=MoisRef,"Oui","Non"))</f>
        <v>Oui</v>
      </c>
    </row>
    <row r="15" spans="1:14" ht="29" x14ac:dyDescent="0.35">
      <c r="A15" s="18" t="s">
        <v>12</v>
      </c>
      <c r="B15" s="26" t="s">
        <v>39</v>
      </c>
      <c r="C15" s="20">
        <v>46108</v>
      </c>
      <c r="D15" s="20">
        <v>46203</v>
      </c>
      <c r="E15" s="21"/>
      <c r="F15" s="25">
        <f ca="1">IF(TblActions[[#This Row],[Due date]]="","",IF(TblActions[[#This Row],[Closing date]]&lt;&gt;"",TblActions[[#This Row],[Due date]]-TblActions[[#This Row],[Closing date]],TblActions[[#This Row],[Due date]]-TODAY()))</f>
        <v>-23</v>
      </c>
      <c r="G15" s="22" t="str">
        <f ca="1">IF(TblActions[[#This Row],[Closing date]]&lt;&gt;"","Closed",IF(TblActions[[#This Row],[Days overdue]]="","",IF(TblActions[[#This Row],[Days overdue]]&lt;0,"Overdue","On going")))</f>
        <v>Overdue</v>
      </c>
      <c r="H15" s="23" t="s">
        <v>2</v>
      </c>
      <c r="I15" s="19"/>
      <c r="J15" s="24" t="s">
        <v>14</v>
      </c>
      <c r="K15" s="17">
        <f>IFERROR(YEAR(TblActions[[#This Row],[Due date]]),IFERROR(YEAR(TblActions[[#This Row],[Issue creation date]]),""))</f>
        <v>2026</v>
      </c>
      <c r="L15" s="17" t="str">
        <f>IF(TblActions[[#This Row],[Closing date]]="","",TEXT(TblActions[[#This Row],[Closing date]],"yyyy-mm"))</f>
        <v/>
      </c>
      <c r="M15" s="17" t="str">
        <f>IF(TblActions[[#This Row],[Mois]]="","Oui",IF(TblActions[[#This Row],[Mois]]&lt;=MoisRef,"Oui","Non"))</f>
        <v>Oui</v>
      </c>
    </row>
    <row r="16" spans="1:14" x14ac:dyDescent="0.35">
      <c r="A16" s="18" t="s">
        <v>18</v>
      </c>
      <c r="B16" s="26" t="s">
        <v>40</v>
      </c>
      <c r="C16" s="20">
        <v>46108</v>
      </c>
      <c r="D16" s="20">
        <v>46203</v>
      </c>
      <c r="E16" s="21"/>
      <c r="F16" s="25">
        <f ca="1">IF(TblActions[[#This Row],[Due date]]="","",IF(TblActions[[#This Row],[Closing date]]&lt;&gt;"",TblActions[[#This Row],[Due date]]-TblActions[[#This Row],[Closing date]],TblActions[[#This Row],[Due date]]-TODAY()))</f>
        <v>-23</v>
      </c>
      <c r="G16" s="22" t="str">
        <f ca="1">IF(TblActions[[#This Row],[Closing date]]&lt;&gt;"","Closed",IF(TblActions[[#This Row],[Days overdue]]="","",IF(TblActions[[#This Row],[Days overdue]]&lt;0,"Overdue","On going")))</f>
        <v>Overdue</v>
      </c>
      <c r="H16" s="23" t="s">
        <v>2</v>
      </c>
      <c r="I16" s="19" t="s">
        <v>41</v>
      </c>
      <c r="J16" s="24" t="s">
        <v>14</v>
      </c>
      <c r="K16" s="17">
        <f>IFERROR(YEAR(TblActions[[#This Row],[Due date]]),IFERROR(YEAR(TblActions[[#This Row],[Issue creation date]]),""))</f>
        <v>2026</v>
      </c>
      <c r="L16" s="17" t="str">
        <f>IF(TblActions[[#This Row],[Closing date]]="","",TEXT(TblActions[[#This Row],[Closing date]],"yyyy-mm"))</f>
        <v/>
      </c>
      <c r="M16" s="17" t="str">
        <f>IF(TblActions[[#This Row],[Mois]]="","Oui",IF(TblActions[[#This Row],[Mois]]&lt;=MoisRef,"Oui","Non"))</f>
        <v>Oui</v>
      </c>
    </row>
    <row r="17" spans="1:13" ht="29" x14ac:dyDescent="0.35">
      <c r="A17" s="18" t="s">
        <v>27</v>
      </c>
      <c r="B17" s="26" t="s">
        <v>42</v>
      </c>
      <c r="C17" s="20">
        <v>46108</v>
      </c>
      <c r="D17" s="20">
        <v>46203</v>
      </c>
      <c r="E17" s="21"/>
      <c r="F17" s="25">
        <f ca="1">IF(TblActions[[#This Row],[Due date]]="","",IF(TblActions[[#This Row],[Closing date]]&lt;&gt;"",TblActions[[#This Row],[Due date]]-TblActions[[#This Row],[Closing date]],TblActions[[#This Row],[Due date]]-TODAY()))</f>
        <v>-23</v>
      </c>
      <c r="G17" s="22" t="str">
        <f ca="1">IF(TblActions[[#This Row],[Closing date]]&lt;&gt;"","Closed",IF(TblActions[[#This Row],[Days overdue]]="","",IF(TblActions[[#This Row],[Days overdue]]&lt;0,"Overdue","On going")))</f>
        <v>Overdue</v>
      </c>
      <c r="H17" s="23" t="s">
        <v>1</v>
      </c>
      <c r="I17" s="19" t="s">
        <v>43</v>
      </c>
      <c r="J17" s="24" t="s">
        <v>14</v>
      </c>
      <c r="K17" s="17">
        <f>IFERROR(YEAR(TblActions[[#This Row],[Due date]]),IFERROR(YEAR(TblActions[[#This Row],[Issue creation date]]),""))</f>
        <v>2026</v>
      </c>
      <c r="L17" s="17" t="str">
        <f>IF(TblActions[[#This Row],[Closing date]]="","",TEXT(TblActions[[#This Row],[Closing date]],"yyyy-mm"))</f>
        <v/>
      </c>
      <c r="M17" s="17" t="str">
        <f>IF(TblActions[[#This Row],[Mois]]="","Oui",IF(TblActions[[#This Row],[Mois]]&lt;=MoisRef,"Oui","Non"))</f>
        <v>Oui</v>
      </c>
    </row>
    <row r="18" spans="1:13" ht="43.5" x14ac:dyDescent="0.35">
      <c r="A18" s="18" t="s">
        <v>44</v>
      </c>
      <c r="B18" s="26" t="s">
        <v>45</v>
      </c>
      <c r="C18" s="20">
        <v>46108</v>
      </c>
      <c r="D18" s="20">
        <v>46203</v>
      </c>
      <c r="E18" s="20">
        <v>46225</v>
      </c>
      <c r="F18" s="25">
        <f ca="1">IF(TblActions[[#This Row],[Due date]]="","",IF(TblActions[[#This Row],[Closing date]]&lt;&gt;"",TblActions[[#This Row],[Due date]]-TblActions[[#This Row],[Closing date]],TblActions[[#This Row],[Due date]]-TODAY()))</f>
        <v>-22</v>
      </c>
      <c r="G18" s="22" t="str">
        <f>IF(TblActions[[#This Row],[Closing date]]&lt;&gt;"","Closed",IF(TblActions[[#This Row],[Days overdue]]="","",IF(TblActions[[#This Row],[Days overdue]]&lt;0,"Overdue","On going")))</f>
        <v>Closed</v>
      </c>
      <c r="H18" s="23" t="s">
        <v>1</v>
      </c>
      <c r="I18" s="19" t="s">
        <v>46</v>
      </c>
      <c r="J18" s="24" t="s">
        <v>29</v>
      </c>
      <c r="K18" s="17">
        <f>IFERROR(YEAR(TblActions[[#This Row],[Due date]]),IFERROR(YEAR(TblActions[[#This Row],[Issue creation date]]),""))</f>
        <v>2026</v>
      </c>
      <c r="L18" s="17" t="str">
        <f>IF(TblActions[[#This Row],[Closing date]]="","",TEXT(TblActions[[#This Row],[Closing date]],"yyyy-mm"))</f>
        <v>2026-07</v>
      </c>
      <c r="M18" s="17" t="str">
        <f ca="1">IF(TblActions[[#This Row],[Mois]]="","Oui",IF(TblActions[[#This Row],[Mois]]&lt;=MoisRef,"Oui","Non"))</f>
        <v>Oui</v>
      </c>
    </row>
    <row r="19" spans="1:13" ht="29" x14ac:dyDescent="0.35">
      <c r="A19" s="18" t="s">
        <v>18</v>
      </c>
      <c r="B19" s="26" t="s">
        <v>47</v>
      </c>
      <c r="C19" s="20">
        <v>46295</v>
      </c>
      <c r="D19" s="20">
        <v>46203</v>
      </c>
      <c r="E19" s="21"/>
      <c r="F19" s="25">
        <f ca="1">IF(TblActions[[#This Row],[Due date]]="","",IF(TblActions[[#This Row],[Closing date]]&lt;&gt;"",TblActions[[#This Row],[Due date]]-TblActions[[#This Row],[Closing date]],TblActions[[#This Row],[Due date]]-TODAY()))</f>
        <v>-23</v>
      </c>
      <c r="G19" s="22" t="str">
        <f ca="1">IF(TblActions[[#This Row],[Closing date]]&lt;&gt;"","Closed",IF(TblActions[[#This Row],[Days overdue]]="","",IF(TblActions[[#This Row],[Days overdue]]&lt;0,"Overdue","On going")))</f>
        <v>Overdue</v>
      </c>
      <c r="H19" s="23" t="s">
        <v>2</v>
      </c>
      <c r="I19" s="19" t="s">
        <v>48</v>
      </c>
      <c r="J19" s="24" t="s">
        <v>24</v>
      </c>
      <c r="K19" s="17">
        <f>IFERROR(YEAR(TblActions[[#This Row],[Due date]]),IFERROR(YEAR(TblActions[[#This Row],[Issue creation date]]),""))</f>
        <v>2026</v>
      </c>
      <c r="L19" s="17" t="str">
        <f>IF(TblActions[[#This Row],[Closing date]]="","",TEXT(TblActions[[#This Row],[Closing date]],"yyyy-mm"))</f>
        <v/>
      </c>
      <c r="M19" s="17" t="str">
        <f>IF(TblActions[[#This Row],[Mois]]="","Oui",IF(TblActions[[#This Row],[Mois]]&lt;=MoisRef,"Oui","Non"))</f>
        <v>Oui</v>
      </c>
    </row>
    <row r="20" spans="1:13" ht="29" x14ac:dyDescent="0.35">
      <c r="A20" s="18" t="s">
        <v>18</v>
      </c>
      <c r="B20" s="26" t="s">
        <v>49</v>
      </c>
      <c r="C20" s="20">
        <v>46108</v>
      </c>
      <c r="D20" s="20">
        <v>46203</v>
      </c>
      <c r="E20" s="21"/>
      <c r="F20" s="25">
        <f ca="1">IF(TblActions[[#This Row],[Due date]]="","",IF(TblActions[[#This Row],[Closing date]]&lt;&gt;"",TblActions[[#This Row],[Due date]]-TblActions[[#This Row],[Closing date]],TblActions[[#This Row],[Due date]]-TODAY()))</f>
        <v>-23</v>
      </c>
      <c r="G20" s="22" t="str">
        <f ca="1">IF(TblActions[[#This Row],[Closing date]]&lt;&gt;"","Closed",IF(TblActions[[#This Row],[Days overdue]]="","",IF(TblActions[[#This Row],[Days overdue]]&lt;0,"Overdue","On going")))</f>
        <v>Overdue</v>
      </c>
      <c r="H20" s="23" t="s">
        <v>2</v>
      </c>
      <c r="I20" s="19" t="s">
        <v>50</v>
      </c>
      <c r="J20" s="24" t="s">
        <v>24</v>
      </c>
      <c r="K20" s="17">
        <f>IFERROR(YEAR(TblActions[[#This Row],[Due date]]),IFERROR(YEAR(TblActions[[#This Row],[Issue creation date]]),""))</f>
        <v>2026</v>
      </c>
      <c r="L20" s="17" t="str">
        <f>IF(TblActions[[#This Row],[Closing date]]="","",TEXT(TblActions[[#This Row],[Closing date]],"yyyy-mm"))</f>
        <v/>
      </c>
      <c r="M20" s="17" t="str">
        <f>IF(TblActions[[#This Row],[Mois]]="","Oui",IF(TblActions[[#This Row],[Mois]]&lt;=MoisRef,"Oui","Non"))</f>
        <v>Oui</v>
      </c>
    </row>
    <row r="21" spans="1:13" x14ac:dyDescent="0.35">
      <c r="A21" s="18" t="s">
        <v>15</v>
      </c>
      <c r="B21" s="26" t="s">
        <v>51</v>
      </c>
      <c r="C21" s="20">
        <v>46108</v>
      </c>
      <c r="D21" s="20">
        <v>46203</v>
      </c>
      <c r="E21" s="20">
        <v>46225</v>
      </c>
      <c r="F21" s="25">
        <f ca="1">IF(TblActions[[#This Row],[Due date]]="","",IF(TblActions[[#This Row],[Closing date]]&lt;&gt;"",TblActions[[#This Row],[Due date]]-TblActions[[#This Row],[Closing date]],TblActions[[#This Row],[Due date]]-TODAY()))</f>
        <v>-22</v>
      </c>
      <c r="G21" s="22" t="str">
        <f>IF(TblActions[[#This Row],[Closing date]]&lt;&gt;"","Closed",IF(TblActions[[#This Row],[Days overdue]]="","",IF(TblActions[[#This Row],[Days overdue]]&lt;0,"Overdue","On going")))</f>
        <v>Closed</v>
      </c>
      <c r="H21" s="23" t="s">
        <v>1</v>
      </c>
      <c r="I21" s="19" t="s">
        <v>17</v>
      </c>
      <c r="J21" s="24" t="s">
        <v>14</v>
      </c>
      <c r="K21" s="17">
        <f>IFERROR(YEAR(TblActions[[#This Row],[Due date]]),IFERROR(YEAR(TblActions[[#This Row],[Issue creation date]]),""))</f>
        <v>2026</v>
      </c>
      <c r="L21" s="17" t="str">
        <f>IF(TblActions[[#This Row],[Closing date]]="","",TEXT(TblActions[[#This Row],[Closing date]],"yyyy-mm"))</f>
        <v>2026-07</v>
      </c>
      <c r="M21" s="17" t="str">
        <f ca="1">IF(TblActions[[#This Row],[Mois]]="","Oui",IF(TblActions[[#This Row],[Mois]]&lt;=MoisRef,"Oui","Non"))</f>
        <v>Oui</v>
      </c>
    </row>
    <row r="22" spans="1:13" x14ac:dyDescent="0.35">
      <c r="A22" s="18" t="s">
        <v>18</v>
      </c>
      <c r="B22" s="26" t="s">
        <v>52</v>
      </c>
      <c r="C22" s="20">
        <v>46108</v>
      </c>
      <c r="D22" s="20">
        <v>46203</v>
      </c>
      <c r="E22" s="20">
        <v>46225</v>
      </c>
      <c r="F22" s="25">
        <f ca="1">IF(TblActions[[#This Row],[Due date]]="","",IF(TblActions[[#This Row],[Closing date]]&lt;&gt;"",TblActions[[#This Row],[Due date]]-TblActions[[#This Row],[Closing date]],TblActions[[#This Row],[Due date]]-TODAY()))</f>
        <v>-22</v>
      </c>
      <c r="G22" s="22" t="str">
        <f>IF(TblActions[[#This Row],[Closing date]]&lt;&gt;"","Closed",IF(TblActions[[#This Row],[Days overdue]]="","",IF(TblActions[[#This Row],[Days overdue]]&lt;0,"Overdue","On going")))</f>
        <v>Closed</v>
      </c>
      <c r="H22" s="23" t="s">
        <v>1</v>
      </c>
      <c r="I22" s="19" t="s">
        <v>17</v>
      </c>
      <c r="J22" s="24" t="s">
        <v>24</v>
      </c>
      <c r="K22" s="17">
        <f>IFERROR(YEAR(TblActions[[#This Row],[Due date]]),IFERROR(YEAR(TblActions[[#This Row],[Issue creation date]]),""))</f>
        <v>2026</v>
      </c>
      <c r="L22" s="17" t="str">
        <f>IF(TblActions[[#This Row],[Closing date]]="","",TEXT(TblActions[[#This Row],[Closing date]],"yyyy-mm"))</f>
        <v>2026-07</v>
      </c>
      <c r="M22" s="17" t="str">
        <f ca="1">IF(TblActions[[#This Row],[Mois]]="","Oui",IF(TblActions[[#This Row],[Mois]]&lt;=MoisRef,"Oui","Non"))</f>
        <v>Oui</v>
      </c>
    </row>
    <row r="23" spans="1:13" ht="29" x14ac:dyDescent="0.35">
      <c r="A23" s="18" t="s">
        <v>27</v>
      </c>
      <c r="B23" s="26" t="s">
        <v>53</v>
      </c>
      <c r="C23" s="20">
        <v>46108</v>
      </c>
      <c r="D23" s="20">
        <v>46203</v>
      </c>
      <c r="E23" s="20">
        <v>46225</v>
      </c>
      <c r="F23" s="25">
        <f ca="1">IF(TblActions[[#This Row],[Due date]]="","",IF(TblActions[[#This Row],[Closing date]]&lt;&gt;"",TblActions[[#This Row],[Due date]]-TblActions[[#This Row],[Closing date]],TblActions[[#This Row],[Due date]]-TODAY()))</f>
        <v>-22</v>
      </c>
      <c r="G23" s="22" t="str">
        <f>IF(TblActions[[#This Row],[Closing date]]&lt;&gt;"","Closed",IF(TblActions[[#This Row],[Days overdue]]="","",IF(TblActions[[#This Row],[Days overdue]]&lt;0,"Overdue","On going")))</f>
        <v>Closed</v>
      </c>
      <c r="H23" s="23" t="s">
        <v>2</v>
      </c>
      <c r="I23" s="19" t="s">
        <v>38</v>
      </c>
      <c r="J23" s="24" t="s">
        <v>14</v>
      </c>
      <c r="K23" s="17">
        <f>IFERROR(YEAR(TblActions[[#This Row],[Due date]]),IFERROR(YEAR(TblActions[[#This Row],[Issue creation date]]),""))</f>
        <v>2026</v>
      </c>
      <c r="L23" s="17" t="str">
        <f>IF(TblActions[[#This Row],[Closing date]]="","",TEXT(TblActions[[#This Row],[Closing date]],"yyyy-mm"))</f>
        <v>2026-07</v>
      </c>
      <c r="M23" s="17" t="str">
        <f ca="1">IF(TblActions[[#This Row],[Mois]]="","Oui",IF(TblActions[[#This Row],[Mois]]&lt;=MoisRef,"Oui","Non"))</f>
        <v>Oui</v>
      </c>
    </row>
  </sheetData>
  <conditionalFormatting sqref="A2:J23">
    <cfRule type="expression" dxfId="5" priority="6" stopIfTrue="1">
      <formula>$G2="Overdue"</formula>
    </cfRule>
    <cfRule type="expression" dxfId="4" priority="6" stopIfTrue="1">
      <formula>$G2="Closed"</formula>
    </cfRule>
  </conditionalFormatting>
  <conditionalFormatting sqref="G2:G23">
    <cfRule type="notContainsBlanks" dxfId="3" priority="2">
      <formula>LEN(TRIM(G2))&gt;0</formula>
    </cfRule>
  </conditionalFormatting>
  <conditionalFormatting sqref="J2:M23">
    <cfRule type="expression" dxfId="2" priority="3" stopIfTrue="1">
      <formula>$J2="High"</formula>
    </cfRule>
    <cfRule type="expression" dxfId="1" priority="4" stopIfTrue="1">
      <formula>$J2="Medium"</formula>
    </cfRule>
    <cfRule type="expression" dxfId="0" priority="5" stopIfTrue="1">
      <formula>$J2="Low"</formula>
    </cfRule>
  </conditionalFormatting>
  <dataValidations count="1">
    <dataValidation type="list" allowBlank="1" showInputMessage="1" showErrorMessage="1" sqref="H2:H23" xr:uid="{B558A47F-BCC4-4D2F-8B86-5F2AFE0EC0E8}">
      <formula1>ListeConfirm</formula1>
    </dataValidation>
  </dataValidations>
  <pageMargins left="0.7" right="0.7" top="0.75" bottom="0.75" header="0.3" footer="0.3"/>
  <ignoredErrors>
    <ignoredError sqref="F2:F23" calculatedColumn="1"/>
  </ignoredErrors>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Dashboard</vt:lpstr>
      <vt:lpstr>_Ref</vt:lpstr>
      <vt:lpstr>Actions</vt:lpstr>
      <vt:lpstr>DateJour</vt:lpstr>
      <vt:lpstr>ListeConfirm</vt:lpstr>
      <vt:lpstr>ListeStatuts</vt:lpstr>
      <vt:lpstr>MoisRef</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Gedeon Massadi</dc:creator>
  <cp:lastModifiedBy>Gedeon Massadi</cp:lastModifiedBy>
  <cp:lastPrinted>2026-07-22T15:48:14Z</cp:lastPrinted>
  <dcterms:created xsi:type="dcterms:W3CDTF">2026-07-22T12:57:05Z</dcterms:created>
  <dcterms:modified xsi:type="dcterms:W3CDTF">2026-07-23T19:53:19Z</dcterms:modified>
</cp:coreProperties>
</file>