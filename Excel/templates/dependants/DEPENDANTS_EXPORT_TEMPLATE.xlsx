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pps\hr-rh-app\Excel\export-templates\"/>
    </mc:Choice>
  </mc:AlternateContent>
  <xr:revisionPtr revIDLastSave="0" documentId="13_ncr:20001_{3D3F1040-AE1D-4DC8-9D65-2B4798282D3C}" xr6:coauthVersionLast="47" xr6:coauthVersionMax="47" xr10:uidLastSave="{00000000-0000-0000-0000-000000000000}"/>
  <bookViews>
    <workbookView xWindow="28680" yWindow="-120" windowWidth="29040" windowHeight="15720" tabRatio="919" activeTab="1" xr2:uid="{00000000-000D-0000-FFFF-FFFF00000000}"/>
  </bookViews>
  <sheets>
    <sheet name="RESUME" sheetId="8" r:id="rId1"/>
    <sheet name="DEPENDANTS" sheetId="9" r:id="rId2"/>
  </sheets>
  <externalReferences>
    <externalReference r:id="rId3"/>
  </externalReferences>
  <definedNames>
    <definedName name="_xlnm._FilterDatabase" localSheetId="1" hidden="1">DEPENDANTS!$A$2:$WVT$850</definedName>
    <definedName name="_xlnm._FilterDatabase" hidden="1">'[1]CHECK DOCUMENTS BASE'!$B$3:$AD$3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<sst xmlns="http://schemas.openxmlformats.org/spreadsheetml/2006/main">
  <si>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Zamba</t>
  </si>
  <si>
    <t>Massadi Gedeon Gedeon</t>
  </si>
  <si>
    <t>Muzo Nkiene Blanchard</t>
  </si>
  <si>
    <t>Ndonda Lufuluabo Pascal</t>
  </si>
  <si>
    <t>Total</t>
  </si>
  <si>
    <t>Matricule</t>
  </si>
  <si>
    <t>NEMWANDJARE PERO PHILEMON</t>
  </si>
  <si>
    <t>MOLONGA LYONGA ANDREW</t>
  </si>
  <si>
    <t>KAHASHA MBASHA PATRICK</t>
  </si>
  <si>
    <t>MOLA BOIKA OLIVIER</t>
  </si>
  <si>
    <t>ASIKANDAMBU SIMBA GRÂCE</t>
  </si>
  <si>
    <t>NGOMA NIMI GLODY</t>
  </si>
  <si>
    <t>MANANGA MAMBULU JOSEPH</t>
  </si>
  <si>
    <t>KIAMUENEDIOKO KINSOMONA HORNEL</t>
  </si>
  <si>
    <t>MALU MALUNGA SEBASTIEN</t>
  </si>
  <si>
    <t>BOMPETA MPINGO ERICK</t>
  </si>
  <si>
    <t>LUZOLO NSEMBOLO THOMAS</t>
  </si>
  <si>
    <t>MACHARIA KINYANJUI SIMON</t>
  </si>
  <si>
    <t>ILONDO LIKOMBA Jack Lethycien</t>
  </si>
  <si>
    <t>MUKENDI KABONGO PATRICK</t>
  </si>
  <si>
    <t>BAYISA SIMON DIDIER</t>
  </si>
  <si>
    <t>TULENGI KASIAMA REAGAN</t>
  </si>
  <si>
    <t>DINANDI MVUMBI PHILIPPE</t>
  </si>
  <si>
    <t>ZIWANUKA KIANGEBENI MITHA</t>
  </si>
  <si>
    <t>TULOMBA BALELE OVIE</t>
  </si>
  <si>
    <t>NGOYI MUIKULU MARCEL</t>
  </si>
  <si>
    <t>MBANGI MAKULENDA ANDRE</t>
  </si>
  <si>
    <t>NGOMA NALOLO DIEU</t>
  </si>
  <si>
    <t>MOLEKA GBANGA FRED</t>
  </si>
  <si>
    <t>ONOSAMBA LUNDI LUNDI</t>
  </si>
  <si>
    <t>NZUNGU ANTOINE BONHEUR</t>
  </si>
  <si>
    <t>MPAY MAYELE RUFIN</t>
  </si>
  <si>
    <t>BINDAMA KAMOSIKO ALPHONSE</t>
  </si>
  <si>
    <t>MANSIAMINA DIANLEMVO PATIENCE</t>
  </si>
  <si>
    <t>NTUNGA PIERRE DIEU-MERCI</t>
  </si>
  <si>
    <t>WAMPANGULUA BUKAKA GUYLAIN</t>
  </si>
  <si>
    <t xml:space="preserve">LUCIO DA CONCEICAO </t>
  </si>
  <si>
    <t>KALAMBAY TSHILOMBO YANNICK</t>
  </si>
  <si>
    <t>LANDU LUYEYE</t>
  </si>
  <si>
    <t>ETEME ABOUDI LOUIS MARIE</t>
  </si>
  <si>
    <t>NGIMBI NSILULU DECLAIRK</t>
  </si>
  <si>
    <t>MUNTANDA TUMBA OXANO</t>
  </si>
  <si>
    <t>MIKINDO KYANGWI PAUL SAMSON</t>
  </si>
  <si>
    <t>MUTOMBO SHAMBUYI LÉONARD</t>
  </si>
  <si>
    <t>MULOLO KANKOLONGO MANIX</t>
  </si>
  <si>
    <t>EKWALANGA MONGALIKITA BONIFACE</t>
  </si>
  <si>
    <t>KANAHUNA LUZAYADIO MIRTHA</t>
  </si>
  <si>
    <t>KABOTO META CLEMENTINE</t>
  </si>
  <si>
    <t>MUZADI LUKOKESHA CEDRIC</t>
  </si>
  <si>
    <t>MALONDA PHUATI FRANCIS</t>
  </si>
  <si>
    <t>MBALE KABANGU HUGO</t>
  </si>
  <si>
    <t>KONE KATYNAN CYRILLE</t>
  </si>
  <si>
    <t>MAYUMBU NZINDU NELSON</t>
  </si>
  <si>
    <t>NTONDO RIMELS</t>
  </si>
  <si>
    <t>KEMO BALOMBA DEBORAH</t>
  </si>
  <si>
    <t>NSINABAU TAMFUM NATHAN</t>
  </si>
  <si>
    <t>NGABA TANKUEY ARNOLD</t>
  </si>
  <si>
    <t>BAHATI BUHENDWA ANGELE</t>
  </si>
  <si>
    <t>MULENDA ARCHIPP</t>
  </si>
  <si>
    <t>TSHIOMBE BADIBANGA CALEB</t>
  </si>
  <si>
    <t>MUAKASA NSONI SERGE</t>
  </si>
  <si>
    <t>ZODULUA GADUA Jean Jacques</t>
  </si>
  <si>
    <t>BANGULI KIESSE SANDRINE</t>
  </si>
  <si>
    <t>LISANGOLA YOWALI Marie-Josee</t>
  </si>
  <si>
    <t>BANGA BANGA APEA ONESIME</t>
  </si>
  <si>
    <t>KITAMBO SENEMONA MEDARD</t>
  </si>
  <si>
    <t>MVUTU LUTEMBE KARINE</t>
  </si>
  <si>
    <t>SAMBA LUINDA HONORE</t>
  </si>
  <si>
    <t>MANEKA MPUDI TRESOR</t>
  </si>
  <si>
    <t>KILENDA BANGI ALI</t>
  </si>
  <si>
    <t>ZAKUANI BAHATI BENNY</t>
  </si>
  <si>
    <t>EWULI SUKA Carine</t>
  </si>
  <si>
    <t>TSHIMANGA KALOMBO CHARITE</t>
  </si>
  <si>
    <t>KINKINIA DIAVEZUKA PELAGIE</t>
  </si>
  <si>
    <t>MIRINDI CARINE</t>
  </si>
  <si>
    <t>MUTOMBO NTALAJA ACHILLE</t>
  </si>
  <si>
    <t>NDAYA ABELI CARDOSO TANYA</t>
  </si>
  <si>
    <t>KILONDO WOLENG STEPHANE</t>
  </si>
  <si>
    <t>NKEMBI MABELUANGA GRASSINDA</t>
  </si>
  <si>
    <t>LISANGOLA ITOFELE L EMMANUEL</t>
  </si>
  <si>
    <t>MAKAYA DIAMATONDO DENIS</t>
  </si>
  <si>
    <t>MAVUANGALA MVIOKI JEAN-PIERRE</t>
  </si>
  <si>
    <t>BINTU SAFI BARBARA</t>
  </si>
  <si>
    <t>KODJAWA MAGA PATRICK</t>
  </si>
  <si>
    <t>MARHEGERO TATU JOSEPH</t>
  </si>
  <si>
    <t>MOLOPAKWA MAGBALU AIME</t>
  </si>
  <si>
    <t>BIAWILA JEAN ROSTAND</t>
  </si>
  <si>
    <t>BILANGA LINGOMA Jonas</t>
  </si>
  <si>
    <t>BABALA MATWAN ANTOINE</t>
  </si>
  <si>
    <t>NDONGALA STEPHANIE</t>
  </si>
  <si>
    <t>KASEREKA KALENDE GUYLAIN</t>
  </si>
  <si>
    <t>KUASA KINSIONA CHRISPIN</t>
  </si>
  <si>
    <t>NZAZI KALUZAKI TOUBI</t>
  </si>
  <si>
    <t>MAKIVOVI KEVENA EDDO</t>
  </si>
  <si>
    <t>NKOSI LIMA MASUDI BIENVENU</t>
  </si>
  <si>
    <t>LUMANISA WASOLOKELE CEDRICK</t>
  </si>
  <si>
    <t>LONGO ZOLA CHRISPIN</t>
  </si>
  <si>
    <t>KILUMONIKO DIAWAWANA RACHIE</t>
  </si>
  <si>
    <t>MPUNGWE KAPEPULA MARQUES</t>
  </si>
  <si>
    <t>KANANGA HASSAN</t>
  </si>
  <si>
    <t>RUKOMEZA KARHIBULA GISCARD</t>
  </si>
  <si>
    <t>ATATALA ANIPAP JEREMIE</t>
  </si>
  <si>
    <t>UUCHI UMIRAMBE PARICIAN</t>
  </si>
  <si>
    <t>NSAKALA KUNIEKI GAYLOR</t>
  </si>
  <si>
    <t>LUTONADIO NGUAWANI OLIVIER</t>
  </si>
  <si>
    <t>LUZOLAWO MANKELA RODRIGUE</t>
  </si>
  <si>
    <t>NZUZI TABILA JOEL</t>
  </si>
  <si>
    <t>MATOKO PUATI JOEL</t>
  </si>
  <si>
    <t>MPONGO KOLONGO LEON</t>
  </si>
  <si>
    <t>BIGANIRO NDAMUSO NELLY</t>
  </si>
  <si>
    <t>NDALA TSHIUNZA FABRICE</t>
  </si>
  <si>
    <t>NGUDI NGILA CHRISTIAN</t>
  </si>
  <si>
    <t>MBODI BAUSHILE GAEL</t>
  </si>
  <si>
    <t>KABANGU MUTAMBAYI CHARLIE</t>
  </si>
  <si>
    <t>KABEYA KABENGELE Tresor Michel</t>
  </si>
  <si>
    <t>KADIMOYO ILUNGA YVAN</t>
  </si>
  <si>
    <t>MAPHASI VANGU PHILIPPE</t>
  </si>
  <si>
    <t>MUBA KAYEMBE JEREMIE</t>
  </si>
  <si>
    <t>MUANDA BALOKI JISCA</t>
  </si>
  <si>
    <t>KALUNGA MASELE RAMSES</t>
  </si>
  <si>
    <t>DUNGA KUEKUBATU PLATINI</t>
  </si>
  <si>
    <t>BAVIBIDILA MUNTANA GERVAIS</t>
  </si>
  <si>
    <t>BITUTU NDUNGU EDER</t>
  </si>
  <si>
    <t>NDONGA NGANGULA NOEL</t>
  </si>
  <si>
    <t>LUKUAYI MANKUENIA OSEE</t>
  </si>
  <si>
    <t>DIMENENE LUZAYADIO PAMPHIL</t>
  </si>
  <si>
    <t>KUABI PANZU CHRISTIAN</t>
  </si>
  <si>
    <t>TOKO MATONDO JOEL</t>
  </si>
  <si>
    <t>VANGU VANGU ALBERT</t>
  </si>
  <si>
    <t>KANKONDE ILUNGA ALIDOR</t>
  </si>
  <si>
    <t>TSHILOLO MWABILA Willy</t>
  </si>
  <si>
    <t>MUKONKOLE KABELE Christian</t>
  </si>
  <si>
    <t>BADIBANGA MUTSHIPAYI Leon</t>
  </si>
  <si>
    <t>KAMUNGA KAMUNGA YANNICK</t>
  </si>
  <si>
    <t>YUMBA LUSA LYSTHA</t>
  </si>
  <si>
    <t>TANUI KIPRUTO ELIAS</t>
  </si>
  <si>
    <t>PONGO PONGO LIWANDA LUTE CHARLES</t>
  </si>
  <si>
    <t>NLANDU NDONGALA ERICK</t>
  </si>
  <si>
    <t>SAMBA ZANKEMBO CADET</t>
  </si>
  <si>
    <t>NSILU MALUTA NADEGE</t>
  </si>
  <si>
    <t>TANDU NKWALA BERTIN</t>
  </si>
  <si>
    <t>FINKIDI MAYETO EDGARD</t>
  </si>
  <si>
    <t>MUSAKO KINZONZOLI MOISE</t>
  </si>
  <si>
    <t>MVILAMBI BIMPALU DELVIS</t>
  </si>
  <si>
    <t>KAMANDA NYOMBA SOSTHENE</t>
  </si>
  <si>
    <t>MAWETE NSOTA EMMANUEL</t>
  </si>
  <si>
    <t>MATA MATOMBA ALEXANDRE</t>
  </si>
  <si>
    <t>KIMBANZI FEINTA BOVICK</t>
  </si>
  <si>
    <t>MUNANGA DINA CARINE</t>
  </si>
  <si>
    <t>BILONDA KAZADI DIANE</t>
  </si>
  <si>
    <t>KILOSO SANDA HELENA</t>
  </si>
  <si>
    <t>DIAKIESE LUTUTALA GRACE</t>
  </si>
  <si>
    <t>BATEKISA MIABANGANA NICHA</t>
  </si>
  <si>
    <t>KADIMA TSHONDO Ben Paulin</t>
  </si>
  <si>
    <t>LUFUA LUA NGUALA JOSEPH</t>
  </si>
  <si>
    <t>NSEKA LUGUNGU DHEINS</t>
  </si>
  <si>
    <t>KAMUNGOMA WENGA EMMANUEL</t>
  </si>
  <si>
    <t>MULAMBA KASONGO JUNIOR</t>
  </si>
  <si>
    <t>TSASA NKONGO PAUL</t>
  </si>
  <si>
    <t>KAHAMBO ALIMASI NALIK</t>
  </si>
  <si>
    <t>KABAMBA MUTUNGILAYI GERVAIS</t>
  </si>
  <si>
    <t>ODIPO WERE Edgard</t>
  </si>
  <si>
    <t>MASOKA HAPPY IYANYA</t>
  </si>
  <si>
    <t>MOKANGA OSSUTA MICHEL</t>
  </si>
  <si>
    <t>SAIDI MOUSSA TRESOR</t>
  </si>
  <si>
    <t>BASHIGE RUBABURA Jean Pierre</t>
  </si>
  <si>
    <t>KITUMAINI NASHI ELODIE</t>
  </si>
  <si>
    <t>KANI NSIMBA ERIC</t>
  </si>
  <si>
    <t>NSAKALA MPINDY DORLY</t>
  </si>
  <si>
    <t>KALALA KALOMBO EL NATHAN</t>
  </si>
  <si>
    <t>MUZILA EBALOSONG Papy</t>
  </si>
  <si>
    <t>PANDA KYALEVA PATRICK</t>
  </si>
  <si>
    <t>ADHULE NYADRIA JOEL</t>
  </si>
  <si>
    <t>SABI DIZITIDI HERVE</t>
  </si>
  <si>
    <t>MILAMBU MBENGAY HERVE</t>
  </si>
  <si>
    <t>BOOKE BASA MICHAEL</t>
  </si>
  <si>
    <t>BUHENDWA JERRY</t>
  </si>
  <si>
    <t>Kinshasa</t>
  </si>
  <si>
    <t>KPI</t>
  </si>
  <si>
    <t>Valeur</t>
  </si>
  <si>
    <t>Total beneficiaires</t>
  </si>
  <si>
    <t>Par Statut</t>
  </si>
  <si>
    <t>Par Sexe</t>
  </si>
  <si>
    <t>Localisation x Statut</t>
  </si>
  <si>
    <t>Par Tranche age</t>
  </si>
  <si>
    <t>Employes</t>
  </si>
  <si>
    <t>Statut</t>
  </si>
  <si>
    <t>Effectif</t>
  </si>
  <si>
    <t>Sexe</t>
  </si>
  <si>
    <t>Localisation</t>
  </si>
  <si>
    <t>Employe(e)</t>
  </si>
  <si>
    <t>Conjoint(e)</t>
  </si>
  <si>
    <t>Enfant</t>
  </si>
  <si>
    <t>Tranche</t>
  </si>
  <si>
    <t>Conjoints</t>
  </si>
  <si>
    <t>M</t>
  </si>
  <si>
    <t>0-2 ans</t>
  </si>
  <si>
    <t>Enfants</t>
  </si>
  <si>
    <t>F</t>
  </si>
  <si>
    <t>3-12 ans</t>
  </si>
  <si>
    <t>13-15 ans</t>
  </si>
  <si>
    <t>16-19 ans</t>
  </si>
  <si>
    <t>Beneficiaires avec matricule</t>
  </si>
  <si>
    <t>20-25 ans</t>
  </si>
  <si>
    <t>Employes avec matricule</t>
  </si>
  <si>
    <t>26 ans et +</t>
  </si>
  <si>
    <t>Moyenne enfants par employe</t>
  </si>
  <si>
    <t>Site</t>
  </si>
  <si>
    <t>PPC BARNET DRC-PRISE EN CHARGE MEDICALE</t>
  </si>
  <si>
    <t>N°</t>
  </si>
  <si>
    <t>Nom et Prénoms</t>
  </si>
  <si>
    <t>Date de naissance</t>
  </si>
  <si>
    <t>Age</t>
  </si>
  <si>
    <t>Composition de la famille</t>
  </si>
  <si>
    <t>Commentaires</t>
  </si>
  <si>
    <t>MPEZO MATONDO JEAN CYRIL</t>
  </si>
  <si>
    <t>MPEZO EWULI DONEL</t>
  </si>
  <si>
    <t>MPEZO BUTELEZI YOELLE ELISA</t>
  </si>
  <si>
    <t>NSOMPETI BELUNDJA LOYCE</t>
  </si>
  <si>
    <t>SOMPETI KUTU Médina</t>
  </si>
  <si>
    <t>NSOMPETI SULUTANI-IBHA JOSEPH</t>
  </si>
  <si>
    <t>NSOMPETI KINKINIA Dove</t>
  </si>
  <si>
    <t>NSOMPETI NGOLENKOLO Willy</t>
  </si>
  <si>
    <t>KIZEKELE MBANGO JUDITH</t>
  </si>
  <si>
    <t>ADHULE DEZMIE shukurani</t>
  </si>
  <si>
    <t>SALEM ADHULE GENEVIEVE</t>
  </si>
  <si>
    <t>LEMA ADHULE david</t>
  </si>
  <si>
    <t>ADHULE JIREH FENI</t>
  </si>
  <si>
    <t>MAVULA CLEMENTINE</t>
  </si>
  <si>
    <t>BANGA NTUMBA META MILKANE</t>
  </si>
  <si>
    <t>BANGA BANGA PRINCE</t>
  </si>
  <si>
    <t>AMINA DADDY</t>
  </si>
  <si>
    <t>DIAKIESE BATOMA LOICE</t>
  </si>
  <si>
    <t>BATOMA BASISILA BIBICHE</t>
  </si>
  <si>
    <t>LUKELO BATOMA SPLENDEUR</t>
  </si>
  <si>
    <t>MALUNGU BAYISA MERCENE</t>
  </si>
  <si>
    <t>BAYISA FUABADIDI RANDY</t>
  </si>
  <si>
    <t>DISU BAYISA BRANDY</t>
  </si>
  <si>
    <t>BAYISA MAKIESE BLESSING</t>
  </si>
  <si>
    <t>MIAMBANZILA BAYISA BRAYAN</t>
  </si>
  <si>
    <t>KABUYI MUKUNA TRESOR</t>
  </si>
  <si>
    <t>BITUTU JACQUES PREMIER</t>
  </si>
  <si>
    <t>BITUTU WANGANA MESSIS</t>
  </si>
  <si>
    <t>BITUTU MALATA SORHAYA</t>
  </si>
  <si>
    <t>BITUTU KIANGANI GLORIA</t>
  </si>
  <si>
    <t>KAMONOKO DIANTOMI Magali</t>
  </si>
  <si>
    <t>BITUTU NSIMBA Mysterdi</t>
  </si>
  <si>
    <t>MISAMU KUSEMBO ANTOINETTE</t>
  </si>
  <si>
    <t>LUKUNGA BINDAMA BARTH</t>
  </si>
  <si>
    <t>LUNTADILA BINDAMA JACQUELINE</t>
  </si>
  <si>
    <t>DIASONAMA BINDAMA JUVENAL</t>
  </si>
  <si>
    <t>TUTONDELE BINDAMA ANNELIE</t>
  </si>
  <si>
    <t>LUKEBA BINDAMA KAMOSIKO GARVANI</t>
  </si>
  <si>
    <t>KUANZAMBI BINDAMA EXAUCE</t>
  </si>
  <si>
    <t>MATSUELA TSAMBU Celeste</t>
  </si>
  <si>
    <t>BONKAW LEMBWEN RICHARD</t>
  </si>
  <si>
    <t>MONKA MESONKOSO NEFERTITI</t>
  </si>
  <si>
    <t>NGANZEM UDJUVAMBILI ALBERTO GIOVANNI</t>
  </si>
  <si>
    <t>BONKAW MOSSIMBA ANGE AZARIAH</t>
  </si>
  <si>
    <t>BONKAW LEBIKI HILAIRE CLAUDE</t>
  </si>
  <si>
    <t>MUIMPE-TSHIANANGA Tressy</t>
  </si>
  <si>
    <t>LUZAYADIO DIAVEWA EMMANUELLA</t>
  </si>
  <si>
    <t>DIZAYAKENE LUZAYADIO CHRISTIANA</t>
  </si>
  <si>
    <t>DIMENENE LUZAYADIO PRÉFERÉE</t>
  </si>
  <si>
    <t>LUZAYADIO IMMACULE</t>
  </si>
  <si>
    <t>BENDITA MATONDO JUDELLE</t>
  </si>
  <si>
    <t>NGOMA DINANDI CLUVERT</t>
  </si>
  <si>
    <t>MBUNGU DINANDI WINNER</t>
  </si>
  <si>
    <t>KHONDE DINANDI MESSI</t>
  </si>
  <si>
    <t>LELO DINANDI CHANTY</t>
  </si>
  <si>
    <t>NZUZI  WANDALAMA BERTH</t>
  </si>
  <si>
    <t>LUZINGU DUNGA TRESSIE</t>
  </si>
  <si>
    <t>BOYOO DUNGA NATHANAEL</t>
  </si>
  <si>
    <t>MAYELE DUNGA DARIUS</t>
  </si>
  <si>
    <t>BATUMIKE NANINJA RACHEL</t>
  </si>
  <si>
    <t>EKWALANGA BAHOLE YANIS</t>
  </si>
  <si>
    <t>EKWALANGA AGBOTE YOLAN EMMANUEL</t>
  </si>
  <si>
    <t>EKWALANGA NYANWEZI YENIA-MARIE</t>
  </si>
  <si>
    <t>KAMENE MALUKI Stella</t>
  </si>
  <si>
    <t>ODIPO AYIEKO KEZA</t>
  </si>
  <si>
    <t>ODIPO MUUO KORI</t>
  </si>
  <si>
    <t>NSONA MARIE REBECCA</t>
  </si>
  <si>
    <t>NGALULA MAYETO PLAMEDI</t>
  </si>
  <si>
    <t>MAYETO NSONA BELIEVE</t>
  </si>
  <si>
    <t>MAYETO NSONA ALIVE</t>
  </si>
  <si>
    <t>WILL GOD MAYETO BALMBO NELIA</t>
  </si>
  <si>
    <t>MUBIAU MUYETI COUGRANA</t>
  </si>
  <si>
    <t>BOLEKI INONGA Pierrette</t>
  </si>
  <si>
    <t>ILONDO BOLELI Ethan</t>
  </si>
  <si>
    <t>ILONDO ENGESU Kathleen Jose</t>
  </si>
  <si>
    <t>ILONDO LIKOMBA Michael Eliyah</t>
  </si>
  <si>
    <t>ILONDO INONGA Lucas Emmanuel</t>
  </si>
  <si>
    <t>MITSHIABU LUFULUABU Lydia</t>
  </si>
  <si>
    <t>MUTUNGILAYI META Felicia</t>
  </si>
  <si>
    <t>KABAMBA TSHELA Othnielle</t>
  </si>
  <si>
    <t>KABAMBA MITSHIABU Offran'El</t>
  </si>
  <si>
    <t>KABAMBA LUFULUABU Obed Emmanuel</t>
  </si>
  <si>
    <t>MUJINGA KABAMBA HOLINESS ANGELINA</t>
  </si>
  <si>
    <t>LEVO SONIA NICOLE</t>
  </si>
  <si>
    <t>KABANGU MPOYO Believe</t>
  </si>
  <si>
    <t>LUSAMBA KABANGU Hope</t>
  </si>
  <si>
    <t>YAMUNGU KALUNGA NADINE</t>
  </si>
  <si>
    <t>KABEYA KAMWANYA Tehilla</t>
  </si>
  <si>
    <t>MUTUAYA NTUMBA Oceane</t>
  </si>
  <si>
    <t>MUTUKENU MWENZE EUGENIE</t>
  </si>
  <si>
    <t>MAKABU TSHONDO BRADLEY</t>
  </si>
  <si>
    <t>MWENZE DIBWE SASHA</t>
  </si>
  <si>
    <t>KADIMA WA KADIMA THADE</t>
  </si>
  <si>
    <t>MBOMBO CHLOE</t>
  </si>
  <si>
    <t>LONGELE IFOMA DANIELLE</t>
  </si>
  <si>
    <t>KADIMOYO  MONIFO kimia</t>
  </si>
  <si>
    <t>DIVAVU KADIMOYO ANGELIKA</t>
  </si>
  <si>
    <t>SALA BASUBI DORCAS</t>
  </si>
  <si>
    <t>VUBU SOTO LEDIDJA</t>
  </si>
  <si>
    <t>KALUNGA NTEMO NERIJA</t>
  </si>
  <si>
    <t>KALUNGA VUBU BELIEVE</t>
  </si>
  <si>
    <t>MUDIPANU MUDIPANU GRACE</t>
  </si>
  <si>
    <t>MPEMBELE MAYALA BISMARK</t>
  </si>
  <si>
    <t>BENTITE-NGONGA GEDEON</t>
  </si>
  <si>
    <t>MUEPU KAPINGA QUEEN</t>
  </si>
  <si>
    <t>MPEMBELE MAYALA Vertu sagesse</t>
  </si>
  <si>
    <t>Jugement de tutelle</t>
  </si>
  <si>
    <t>MPEMBELE MAYALA HEUREUSE</t>
  </si>
  <si>
    <t>ADELE LUMFUANSONI JEANNE</t>
  </si>
  <si>
    <t>MULEMVO MASILUA ALAIN</t>
  </si>
  <si>
    <t>MULEMVO MASILUA AMAEL</t>
  </si>
  <si>
    <t>DISASI  NZAYA Nicha</t>
  </si>
  <si>
    <t>KILENDA ISABEYAKA ISSA</t>
  </si>
  <si>
    <t>TAMBA MASWELA PATRICIA</t>
  </si>
  <si>
    <t>KILENDA BANGI DJIBRIL</t>
  </si>
  <si>
    <t>KILENDA KALONDA LAMINE</t>
  </si>
  <si>
    <t>TAMBA DIOSO PATCHELY</t>
  </si>
  <si>
    <t>KILENDA BOMGOMI WASSIM</t>
  </si>
  <si>
    <t>DIMOSI TUKEBA LINDA</t>
  </si>
  <si>
    <t>WANZOLA KIMONIKO JESALIE</t>
  </si>
  <si>
    <t>SEVO  DIAWAWANA sevo</t>
  </si>
  <si>
    <t>KILUMONIKO Creyson</t>
  </si>
  <si>
    <t>KILUMONIKO futila</t>
  </si>
  <si>
    <t>BAKULA KILUMONIKO STORMY</t>
  </si>
  <si>
    <t>TUKEBA KILUMONIKO STRELI</t>
  </si>
  <si>
    <t>NTOYA MAKAYA ROSETTE</t>
  </si>
  <si>
    <t>KIMBANZI Adonai Ephraim</t>
  </si>
  <si>
    <t>KIMBANZI AMINA</t>
  </si>
  <si>
    <t>KIMBANZI ELIEL</t>
  </si>
  <si>
    <t>KALUBI EUGENIE</t>
  </si>
  <si>
    <t>BONGO MUSUNDA Merveille</t>
  </si>
  <si>
    <t>KUABI BONGO KAELYS</t>
  </si>
  <si>
    <t>KUABI MUSUNDA KAELA</t>
  </si>
  <si>
    <t>MAMUINI FUKIAU TANTINI</t>
  </si>
  <si>
    <t>KAMALANDUA KUASA OBELIACE</t>
  </si>
  <si>
    <t>NDILU Elisabethe-Emergence</t>
  </si>
  <si>
    <t>NGANGU KWASA ANNA</t>
  </si>
  <si>
    <t xml:space="preserve">ZIWANOKA KUASA </t>
  </si>
  <si>
    <t xml:space="preserve">MATEMBE MANU MONGA </t>
  </si>
  <si>
    <t>KAYEMBE TSHIMANGA GÈRE</t>
  </si>
  <si>
    <t>KAYEMBE MUSUNGULA WA ZAMBI Nabby Dove</t>
  </si>
  <si>
    <t>KAYEMBE MUBENESHIBWA AKIBA EMMANUEL</t>
  </si>
  <si>
    <t>NKAZIANGANI SUAMY AIMEE</t>
  </si>
  <si>
    <t>LONGO ZOLA CHRISTIVIE</t>
  </si>
  <si>
    <t>LONGO NDONGALA KEVINE</t>
  </si>
  <si>
    <t>LONGO MATONDO AGATE</t>
  </si>
  <si>
    <t>LONGO MAMBAKASA ASHLEY</t>
  </si>
  <si>
    <t>LONGO NSUAMI OFRANEL</t>
  </si>
  <si>
    <t>MALUNGIDI MABIALA MADO</t>
  </si>
  <si>
    <t>VUVU NGUALA HERLICHE HERLICHE</t>
  </si>
  <si>
    <t>ZOLA NGUALA PRINCILIA PRINCILIA</t>
  </si>
  <si>
    <t>BAKUBAMENE NGUALA CHAINA</t>
  </si>
  <si>
    <t>KUYIBU NGUALA DIHECHA</t>
  </si>
  <si>
    <t>MALUNGIDI NGUALA CHRINOVIE</t>
  </si>
  <si>
    <t>LUZAYADIO NGUALA VOLDIE</t>
  </si>
  <si>
    <t>NGUALA MPANGANI BENIEL</t>
  </si>
  <si>
    <t xml:space="preserve">NGUALA MUELANZAMBI </t>
  </si>
  <si>
    <t>DIASONAMA N'SAMU CHARLI</t>
  </si>
  <si>
    <t>MPONGOSO LUKUAYI BENIE</t>
  </si>
  <si>
    <t>LUKIA N'TIMA LUKUAYI ADASSA</t>
  </si>
  <si>
    <t>LUKUAYI MAKIESE ALEGRESSE</t>
  </si>
  <si>
    <t>LUKUAYI DIANKUENIA abed-nego</t>
  </si>
  <si>
    <t>N'SAFU VEBENA Falone</t>
  </si>
  <si>
    <t>KANAUNA LUSIMBADIO HARCELINE</t>
  </si>
  <si>
    <t>ZIWANUKA LUMANISA RENATHE</t>
  </si>
  <si>
    <t>DIAKANDA LUMANISA OBEDE</t>
  </si>
  <si>
    <t>NGONZI LUMANISA VAINQUEUR</t>
  </si>
  <si>
    <t>NSIMBA WASOLOKELE PRECIEUX</t>
  </si>
  <si>
    <t>KIMONA LUMANISA PRECIEUSE</t>
  </si>
  <si>
    <t>LUTONADIO Coherency</t>
  </si>
  <si>
    <t xml:space="preserve">KIAWUTUAYAKU MAFUMBA </t>
  </si>
  <si>
    <t>LUTONADIO DIAMBUDIDI MISSCHOLVIE</t>
  </si>
  <si>
    <t>LUYAMBULADIO MABIRE Croyance</t>
  </si>
  <si>
    <t>MUANA LUZOLAWO EUNICE</t>
  </si>
  <si>
    <t>LUZOLAWO MANKELA JOSEPH</t>
  </si>
  <si>
    <t>BASAKUMUNA LUZOLO ORNELLA</t>
  </si>
  <si>
    <t>MAMBOTE LUZOLO ALEGRESSE</t>
  </si>
  <si>
    <t>YANA IBALA MURIEL</t>
  </si>
  <si>
    <t>MAKAYA YANA ETHANE</t>
  </si>
  <si>
    <t>MAKAYA DIAMATONDO EVANE</t>
  </si>
  <si>
    <t>MANSIANTIMA MATONDO MATHY</t>
  </si>
  <si>
    <t>MAKIVOVI MIZONZA PLAMEDI</t>
  </si>
  <si>
    <t>MAKIVOVI NKIAMBI PREGANA</t>
  </si>
  <si>
    <t>MAKIVOVI MAYAMONA SNOB</t>
  </si>
  <si>
    <t>MAKIVOVI DJOKAMBONDJO DORCAS</t>
  </si>
  <si>
    <t>MAKIVOVI MAVUBA JONATHAN</t>
  </si>
  <si>
    <t>MASENGA ABULU MEDIE</t>
  </si>
  <si>
    <t>MALONDA PHUATI FRANCIS-JUNIOR</t>
  </si>
  <si>
    <t>AMAYA IMONIME Ginette</t>
  </si>
  <si>
    <t>MALU BASILUA GÉDÉON</t>
  </si>
  <si>
    <t>NDEKE MUNJILA ROSIE</t>
  </si>
  <si>
    <t>KUNZOLA MANANGA Nephtalie</t>
  </si>
  <si>
    <t>NZIMBU MANANGA GRACEDIE</t>
  </si>
  <si>
    <t>KOMBE ONOYA Didine</t>
  </si>
  <si>
    <t>MANEKA BASELA JORDY</t>
  </si>
  <si>
    <t>MANEKA EKIKILA AFRAHIM</t>
  </si>
  <si>
    <t>MANEKA EKELO TRESSY</t>
  </si>
  <si>
    <t>MANEKA WUMBA MIRADI</t>
  </si>
  <si>
    <t>MANEKA MPUDI HARDI</t>
  </si>
  <si>
    <t>TUTONDA DIANLEMVO OFFRANDE</t>
  </si>
  <si>
    <t>DONETA MPOVA Esther</t>
  </si>
  <si>
    <t>LUSAKUMU DIANLEMVO ELMI</t>
  </si>
  <si>
    <t>MARHEGEKO GNEGNEZI LEATICIA</t>
  </si>
  <si>
    <t>MARHEGEKO AGANZE Albert junior</t>
  </si>
  <si>
    <t>VANGU MATONDO GRACE</t>
  </si>
  <si>
    <t>VANGU-VANGU Enzo Philippe</t>
  </si>
  <si>
    <t>Jugement d'adoption</t>
  </si>
  <si>
    <t>VANGU NIUMBA ANNAIIS</t>
  </si>
  <si>
    <t>VANGU GIESKES KENAYA</t>
  </si>
  <si>
    <t>VANGU MALIYA Anaelle</t>
  </si>
  <si>
    <t>VANGU KYMIA KENAELLE</t>
  </si>
  <si>
    <t>BAZEVIMO MATONDO BERVELINE</t>
  </si>
  <si>
    <t>PUATI RAOUL FERNANDEZ</t>
  </si>
  <si>
    <t>BIBALU PUATI AZIEL</t>
  </si>
  <si>
    <t>LUTEKO PUATI Graciela</t>
  </si>
  <si>
    <t>BABANZANGA Mireille</t>
  </si>
  <si>
    <t>MAVUANGALA BASOLUA Benoit-Ephrem</t>
  </si>
  <si>
    <t>MAVUANGALA MVIOKI Pierre Henri</t>
  </si>
  <si>
    <t>MBELE MVIOKI MARIE-GRACE</t>
  </si>
  <si>
    <t>MUTOMBO KABANGU NAOMIE</t>
  </si>
  <si>
    <t>SAMUELLA MBALE SAMUELLA</t>
  </si>
  <si>
    <t>MBALE Angella</t>
  </si>
  <si>
    <t>MBUMBA NGIMBI COLETTE</t>
  </si>
  <si>
    <t>MBANGI ANDRE ANDRE</t>
  </si>
  <si>
    <t>MBANGI nicolas valerie</t>
  </si>
  <si>
    <t>LAFIDING NATHALIE</t>
  </si>
  <si>
    <t>MBODI KAZUNDU malaika michele</t>
  </si>
  <si>
    <t>MBODI  EBAMBI Malia Raphaelle</t>
  </si>
  <si>
    <t>MBODI BAUSHILE MAÉVAH TALIAH</t>
  </si>
  <si>
    <t>EALE GLOIRE</t>
  </si>
  <si>
    <t>MOLEKA Samuel</t>
  </si>
  <si>
    <t>MOLEKA Voldi</t>
  </si>
  <si>
    <t>MOLEKA NYABONINGI Graziella-Christ</t>
  </si>
  <si>
    <t>MOLEKA EALEGBANGA Ben Dominique</t>
  </si>
  <si>
    <t>MOLEKA EYENGA ALLEGRIA</t>
  </si>
  <si>
    <t>KAYAYA WENDI RUTH</t>
  </si>
  <si>
    <t>KITEMBO MATONDO ROLIANA</t>
  </si>
  <si>
    <t>KOLONGO MUKEYINA LINDSAY</t>
  </si>
  <si>
    <t>TEMBO LUETE ACHA</t>
  </si>
  <si>
    <t>KANZA FUNDU SANDRA</t>
  </si>
  <si>
    <t>NSILULU Sony DONEL</t>
  </si>
  <si>
    <t>KANZA NSILULU ELIEL</t>
  </si>
  <si>
    <t>NSILULU NLANDU ELBENIE</t>
  </si>
  <si>
    <t>NSILULU MANZAMBI ELGOD</t>
  </si>
  <si>
    <t>MUANDA NSAKALA Guerchom</t>
  </si>
  <si>
    <t xml:space="preserve">MAKELA LUKULA </t>
  </si>
  <si>
    <t xml:space="preserve">KAPINGA WA MUANDA </t>
  </si>
  <si>
    <t>VICTORINA NSHIMBA Acacia</t>
  </si>
  <si>
    <t>KAYEMBE MUBA FARANDEL</t>
  </si>
  <si>
    <t>MULUMBA MUBA GAD</t>
  </si>
  <si>
    <t>BUHANGU NATHALIE</t>
  </si>
  <si>
    <t>MUKENDI Yohann</t>
  </si>
  <si>
    <t>MUKENDI Yaddah</t>
  </si>
  <si>
    <t>MUKENDI MUSASI YAEL</t>
  </si>
  <si>
    <t>MUKENDI BUHANGU Maelys</t>
  </si>
  <si>
    <t>MUKENDI MUKENDI Anais</t>
  </si>
  <si>
    <t>MBUYI BUNI TINA</t>
  </si>
  <si>
    <t>YONI MULMBA Jewel</t>
  </si>
  <si>
    <t>KASONGO MULAMBA Bilieve</t>
  </si>
  <si>
    <t>MUSUAMBA MULAMBA Exaucee</t>
  </si>
  <si>
    <t>MASANKA MULAMBA HONEY</t>
  </si>
  <si>
    <t>KIKOBO MBOLI DJESSYCA</t>
  </si>
  <si>
    <t>MULOLO LUBO Dylan-Asaph</t>
  </si>
  <si>
    <t>MULOLO TSHIAMALA Oracle liam pascal</t>
  </si>
  <si>
    <t>MULOLO KANKOLONGO KYOCERA-NICE</t>
  </si>
  <si>
    <t>MULOLO BOLEKALA CHARISMA -CORINA</t>
  </si>
  <si>
    <t>DIELA LANDU LUSALA MICHEL</t>
  </si>
  <si>
    <t>DIELA LANDU LUSALA Lucas William</t>
  </si>
  <si>
    <t>DIELA LANDU WEFU MAEL</t>
  </si>
  <si>
    <t>KAPINGA TSHIUNZA CHRISTINE</t>
  </si>
  <si>
    <t>MUTOMBO NTALAJA AHADI Ethan</t>
  </si>
  <si>
    <t>KAHINDO VIHEMULA NADÈGE</t>
  </si>
  <si>
    <t>MUSAKO KINZONZOLI NOAM</t>
  </si>
  <si>
    <t>MUTHEKE KINZONZOLI NAÉLYS</t>
  </si>
  <si>
    <t>MVILAMBI PREDESTINE</t>
  </si>
  <si>
    <t>NLOMBI MVILAMBI ELOGE</t>
  </si>
  <si>
    <t>KUSONSA MVUTU REMEDIE</t>
  </si>
  <si>
    <t>KUSONSA MANUENO RAVIE</t>
  </si>
  <si>
    <t>MUDIAY META  SARA</t>
  </si>
  <si>
    <t>BRICKY ESTHER JENNIFER</t>
  </si>
  <si>
    <t>NDJOLI KABISI Differding</t>
  </si>
  <si>
    <t>NGOMA VIBIDILA PRÉCIEUX</t>
  </si>
  <si>
    <t xml:space="preserve">NGOMA MBENZA </t>
  </si>
  <si>
    <t>MBUMBA NGOMA Noam</t>
  </si>
  <si>
    <t>MBULA BAZANGU FRANCINE</t>
  </si>
  <si>
    <t>NGOMA MUANU Bright</t>
  </si>
  <si>
    <t>ODIA MBUYI ESTHER</t>
  </si>
  <si>
    <t>KATENDE KASENDUE ROBERT</t>
  </si>
  <si>
    <t>MUKILE NGOYI CHRISTELLE</t>
  </si>
  <si>
    <t>LUMVUMINA suzanne chali</t>
  </si>
  <si>
    <t>LENDO LIMA HERITIER</t>
  </si>
  <si>
    <t>LUZITISA Merlin</t>
  </si>
  <si>
    <t>NKOSI LIMA DANIEL</t>
  </si>
  <si>
    <t>DIKIZEYIKO KUTUAVAVA OLGA</t>
  </si>
  <si>
    <t>DIELA NLANDU OLDIVIE</t>
  </si>
  <si>
    <t>MFINAMA NLANDU ORLANDE</t>
  </si>
  <si>
    <t>DIATEZUA NLANDU GRADEL</t>
  </si>
  <si>
    <t>ERJU MFULUANGANI BENIE</t>
  </si>
  <si>
    <t>LUSAKU LUTUKIEBI HUGUETTE</t>
  </si>
  <si>
    <t>KEMBO LUBANZADIO GLORIA</t>
  </si>
  <si>
    <t>TUBIKAMO NSAKALA LEYVIN</t>
  </si>
  <si>
    <t>NSAKALA KUNIEKI EXAUCE</t>
  </si>
  <si>
    <t>VUMI NSAKALA ISAAC</t>
  </si>
  <si>
    <t>NDUNGI NSAKALA AUDREY</t>
  </si>
  <si>
    <t>NZELITI KOY BETTY</t>
  </si>
  <si>
    <t>NSEKA LUHUNGU JOFFREY</t>
  </si>
  <si>
    <t>NSEKA KOY Evan-Bradley</t>
  </si>
  <si>
    <t>NSEKA Soann Adley</t>
  </si>
  <si>
    <t>BANTIAKWENO WA MBO TIGANA</t>
  </si>
  <si>
    <t>BANTIAKWENO NGIALUKA ROXANNE</t>
  </si>
  <si>
    <t xml:space="preserve">BANTIAKWENO MAYAMONA </t>
  </si>
  <si>
    <t>LUBADIKADIO NZAZI NZAZI</t>
  </si>
  <si>
    <t>DITUBOLOKELE NZAZI NZAZI</t>
  </si>
  <si>
    <t>NZAZI KALUSAKI KALUSAKI</t>
  </si>
  <si>
    <t>LUKANU D DAVID</t>
  </si>
  <si>
    <t xml:space="preserve">MANDUMBA MABUNDU </t>
  </si>
  <si>
    <t xml:space="preserve">MVUTU NZAZI </t>
  </si>
  <si>
    <t>KIDUMU JEANNE DORCAS Jeanne Dorcas</t>
  </si>
  <si>
    <t>MATONDO KANZA BENEDICTE</t>
  </si>
  <si>
    <t>VUVU KUANZAMBI JUDITH</t>
  </si>
  <si>
    <t>TABILA MANDIANGU FURAH</t>
  </si>
  <si>
    <t>TABILA MAKIESE ABIA</t>
  </si>
  <si>
    <t>NZUZI TABILA BARACHIE</t>
  </si>
  <si>
    <t>NZUZI DIAKIESE MILICA</t>
  </si>
  <si>
    <t>KIAKENGO LUMFUANKENDA KEREN</t>
  </si>
  <si>
    <t>BILONDA LUBO CONCY</t>
  </si>
  <si>
    <t>ONOSAMBA Djodjo Miguel</t>
  </si>
  <si>
    <t>ONOSAMBA MWAMBA FALCON</t>
  </si>
  <si>
    <t>KIKUDI ONOSAMBA BENISSYAH</t>
  </si>
  <si>
    <t>MAFUTA KITOMBOLE DIVINE</t>
  </si>
  <si>
    <t>NEMWANDJA PERO Elyon Elikya</t>
  </si>
  <si>
    <t>BUKONGO PERO ELNAY</t>
  </si>
  <si>
    <t>MANGIETIMONA HONORINE</t>
  </si>
  <si>
    <t>PONGO-PONGO LIWANDA CHARLY</t>
  </si>
  <si>
    <t>PONGO-PONGO NGWAL JOY</t>
  </si>
  <si>
    <t>PONGO PONGO MBUNGU CALEB</t>
  </si>
  <si>
    <t xml:space="preserve">PONGO PONGO </t>
  </si>
  <si>
    <t xml:space="preserve">PONGO PONGO KALANG </t>
  </si>
  <si>
    <t>KALONDA MBUTSHU ESTHER</t>
  </si>
  <si>
    <t>SAMBA LUINDA SAMUEL</t>
  </si>
  <si>
    <t>SAMBA MUJINGILA SHARON</t>
  </si>
  <si>
    <t>SAMBA KANENE GIOVANI</t>
  </si>
  <si>
    <t>SAMBA LOKOLE ERWAN</t>
  </si>
  <si>
    <t>ZANKEMBO MENA PROMIS</t>
  </si>
  <si>
    <t>ZANKEMBO MAVINGA PRÉCIEUX</t>
  </si>
  <si>
    <t>NZUZI TOKO NADEGE</t>
  </si>
  <si>
    <t>TANDU NKWALA Matila Christiane</t>
  </si>
  <si>
    <t>TANDU NKUALA BAKA PRINCE</t>
  </si>
  <si>
    <t>TANDU BATEKISA MANZUANGANI ALESSE</t>
  </si>
  <si>
    <t>TANDU ZONGILAMUKIA XENA BENICIA</t>
  </si>
  <si>
    <t>TANUI JEPKOSGEY ESTRELLA</t>
  </si>
  <si>
    <t>ILUNGA TSHIBANDA MELISSA</t>
  </si>
  <si>
    <t>TSASA MATONDO OURIELLA</t>
  </si>
  <si>
    <t>TSASA ILUNGA OTALIA</t>
  </si>
  <si>
    <t>BALAY MUKUBA MICHAEL</t>
  </si>
  <si>
    <t>TULENGI KASIAMA RAPHAEL</t>
  </si>
  <si>
    <t>TUENGI  MAKASILA PRINCILLIA</t>
  </si>
  <si>
    <t>TULENGI KASIAMA KETIA</t>
  </si>
  <si>
    <t>TULENGI BODUKA ANICIA</t>
  </si>
  <si>
    <t>TULENGI BOBUKA ANISHA</t>
  </si>
  <si>
    <t>LUNIMBU NSIAMBI FRANCINE</t>
  </si>
  <si>
    <t>TULOMBA BUETO ELORA</t>
  </si>
  <si>
    <t>LULEYO NSANDA THOMAS</t>
  </si>
  <si>
    <t>TULOMBA MBALU RHEANE</t>
  </si>
  <si>
    <t>TOKO MATONDO MARVEL</t>
  </si>
  <si>
    <t>DIASILUA LUWAWA NOURRIA</t>
  </si>
  <si>
    <t>MVINDU TOKO NOELLA</t>
  </si>
  <si>
    <t>MBOMBA HONDA MIKI</t>
  </si>
  <si>
    <t>UUCHI MBOMBA Mael - Alpha</t>
  </si>
  <si>
    <t>WOD'DOLO Aurel Uuchi</t>
  </si>
  <si>
    <t>UCCHI HONDA MALKIA</t>
  </si>
  <si>
    <t>VANGU KIBUENDE GERARD</t>
  </si>
  <si>
    <t>YEKO VANGU TRIPHENE</t>
  </si>
  <si>
    <t>NZUZI VANGU MICHELE</t>
  </si>
  <si>
    <t>NSIMBA VANGU SARAH</t>
  </si>
  <si>
    <t>VANGU NOKI ALBERT</t>
  </si>
  <si>
    <t>LITOKE IYEKE EKE FLORAH</t>
  </si>
  <si>
    <t>AKONKWA BARHAME</t>
  </si>
  <si>
    <t>ZAKUANI FURAH SERAYAH</t>
  </si>
  <si>
    <t>ZAKUANI BAHATI Kylian August</t>
  </si>
  <si>
    <t>NZAYODI ZIWANUKA ESTEPHANIE</t>
  </si>
  <si>
    <t>MPEMBA MVEMBA PRECIA</t>
  </si>
  <si>
    <t>ZODULUA MUSU MUSU</t>
  </si>
  <si>
    <t>ZODULUA GADUA GADUA</t>
  </si>
  <si>
    <t>MASSAMBA MUSU MICHOUE</t>
  </si>
  <si>
    <t>SIFA BINTI MAGHESHA ANGEL</t>
  </si>
  <si>
    <t>NTUMBA KANKONDE GODWIN</t>
  </si>
  <si>
    <t>BIPENDU ILUNGA GODLIFE AMARIS</t>
  </si>
  <si>
    <t>KAMWENGI NDEKE GLOIRIA</t>
  </si>
  <si>
    <t>NTUNGA MAFU GLOIRIA</t>
  </si>
  <si>
    <t>KINKELA NGONDE EVERDY</t>
  </si>
  <si>
    <t xml:space="preserve">WAMPANGULUA MABOTE </t>
  </si>
  <si>
    <t>WAMPANGULUA MPEVE ELEYA</t>
  </si>
  <si>
    <t>Conjoint</t>
  </si>
  <si>
    <t>BAUMA KALAMO MICHAEL</t>
  </si>
  <si>
    <t>BAUMA WINGA Imoa</t>
  </si>
  <si>
    <t>MOLOPAKWA MADATA FEDA CYRIANNA</t>
  </si>
  <si>
    <t>MOLOPAKWA NDUMBE NAELLE</t>
  </si>
  <si>
    <t>MOLOPAKWA LUWAWU AIME JUNIOR</t>
  </si>
  <si>
    <t>MANDIANGU LUWAWU NALLYDIA</t>
  </si>
  <si>
    <t>NDJAME BONKALE PATRICIA</t>
  </si>
  <si>
    <t>MOKANGA MUSWAMBA EUREKA-NORA</t>
  </si>
  <si>
    <t>MOKANGA BONZALE DANIEL</t>
  </si>
  <si>
    <t>MOKANGA OSSUTA ELIKYA-MICHEL</t>
  </si>
  <si>
    <t>MOKANGA BONKALE ENOAN KIMIA</t>
  </si>
  <si>
    <t>MONDONGA MONGA NICLETTE</t>
  </si>
  <si>
    <t>SAIDI BARUANI ELIOR</t>
  </si>
  <si>
    <t>SAIDI KABONGO ELSA</t>
  </si>
  <si>
    <t>NDJADI WOMBO JOSEPHINE</t>
  </si>
  <si>
    <t>PUNGA MONGA JOLS</t>
  </si>
  <si>
    <t>MAYEMBA KALUBI ZEPHIRIANE</t>
  </si>
  <si>
    <t>KINGANI MAYEMBA ANGELA</t>
  </si>
  <si>
    <t>MONGENGE BAYILONGO HORNANCE</t>
  </si>
  <si>
    <t>NTAMBUKA FEZA Carine</t>
  </si>
  <si>
    <t>BASHIGE HAMULI Karol</t>
  </si>
  <si>
    <t>BASHIGE AKONKWA Stéphane</t>
  </si>
  <si>
    <t>BASHIGE IRAGI Jordana</t>
  </si>
  <si>
    <t>BASHIGE IRENGE Nathan</t>
  </si>
  <si>
    <t>BASHIGE NEEMA Eunice</t>
  </si>
  <si>
    <t>BASHIGE BARAKA Lois</t>
  </si>
  <si>
    <t>BASHIGE FURAHA  Ariel</t>
  </si>
  <si>
    <t>BASHIGE ASHUZA Ketsia</t>
  </si>
  <si>
    <t>MILAMBU MBENGAY OWEN-SMITH</t>
  </si>
  <si>
    <t>MAKANDA MOLOLO ORLINE</t>
  </si>
  <si>
    <t>MILAMBU MISAMBIYABU CHRISTINA</t>
  </si>
  <si>
    <t>MILAMBU NSANA RYAN</t>
  </si>
  <si>
    <t>KEMO MALOFU MILA</t>
  </si>
  <si>
    <t>MOLIKI NASALE JULIENNE</t>
  </si>
  <si>
    <t>LYONGA NALOVA BRILLE ROSE</t>
  </si>
  <si>
    <t>LYONGA EYOLE MOLONGA JOEY</t>
  </si>
  <si>
    <t>LYONGA EFETI , MIA-KATE</t>
  </si>
  <si>
    <t>KABONGELO FAIDA NOËLLA</t>
  </si>
  <si>
    <t>MOLA FATUMA OLIVIA-LAEL</t>
  </si>
  <si>
    <t>MAKOLA MUBANDA DEBORAH</t>
  </si>
  <si>
    <t>NGUDI AMBA Osmawis</t>
  </si>
  <si>
    <t>NGUDI NYOYA Isis</t>
  </si>
  <si>
    <t xml:space="preserve">NGUDI KINZAMBI </t>
  </si>
  <si>
    <t>NGUDI MANGOLO Osiris</t>
  </si>
  <si>
    <t>NGUDI MAKOLO IRIS</t>
  </si>
  <si>
    <t>BAKUNDAMA KABINGI YASMINE</t>
  </si>
  <si>
    <t>MATA LINGOMA JO-MICHEL</t>
  </si>
  <si>
    <t>KAHASHA MBASHA DAVID-JONATHAN JIRAEH</t>
  </si>
  <si>
    <t>KAHASHA MBASHA EMMANUEL NSIMIRE SOPHIA</t>
  </si>
  <si>
    <t>KAHASHA MBASHA WILLIAM AMANI ANDERSON</t>
  </si>
  <si>
    <t>KAHASHA MBASHA JEAN DANIEL</t>
  </si>
  <si>
    <t>KAHASHA MBASHA JOSEPH-HOSHEA</t>
  </si>
  <si>
    <t>NDELA PIEMA HORNÉLIE</t>
  </si>
  <si>
    <t>KETA MULUNDA LYNA</t>
  </si>
  <si>
    <t>IYA MOKANGO JOCELYNE</t>
  </si>
  <si>
    <t>NGABA IYA ARLYNE BLESSING</t>
  </si>
  <si>
    <t>NGABA BIBI GRACE</t>
  </si>
  <si>
    <t>MUANGA MBOMBI PRISCILLE</t>
  </si>
  <si>
    <t>KAMUNGA KAMUNGA LYAN</t>
  </si>
  <si>
    <t>DITSIA NSANGU AURELIE</t>
  </si>
  <si>
    <t>RUKOMEZA  AGANZE ELDAD ZOE</t>
  </si>
  <si>
    <t>RACHIDI ZOBELA JUDITH</t>
  </si>
  <si>
    <t>KILONDO ISEM WONDER</t>
  </si>
  <si>
    <t>KILONDO ELNAYAH</t>
  </si>
  <si>
    <t>MAPA TASSOUS CLARISSE</t>
  </si>
  <si>
    <t>MINSI ETEME THERESE ANAIS</t>
  </si>
  <si>
    <t>ESSOMBA ETEME JOSEPH AUSTIN</t>
  </si>
  <si>
    <t>ZULU NGIMBI DEBLECK</t>
  </si>
  <si>
    <t>MAKOMBO MBOMBO DEBORAH</t>
  </si>
  <si>
    <t>KANI BONANI RAVISSANTE KANI</t>
  </si>
  <si>
    <t>KANI KAYEMBE AMIE KANI</t>
  </si>
  <si>
    <t>KANI WA MBOMBO AMAZING GRACE KANI</t>
  </si>
  <si>
    <t>KANI DIA NSAMBU ELYON DIEDERIC</t>
  </si>
  <si>
    <t>MPINDY NEHEMIE JUNIOR</t>
  </si>
  <si>
    <t>NKITA KATUMBA CHRISTELLE</t>
  </si>
  <si>
    <t>MPINDY MBUYI HOPE</t>
  </si>
  <si>
    <t>MUJINGA MUJANAY RACHEL</t>
  </si>
  <si>
    <t>KALALA MATADI GOSPEL</t>
  </si>
  <si>
    <t>KANKOLONGO USENI NOELLA</t>
  </si>
  <si>
    <t>HIEL MUKEKWA JOSH</t>
  </si>
  <si>
    <t>SAIDI HIEL JAY</t>
  </si>
  <si>
    <t>MASIKA MBIRIKA MICHELLINE</t>
  </si>
  <si>
    <t>MASIKA MOLOVERYA ROLANDE</t>
  </si>
  <si>
    <t>MUHINDO MOLOVERYA PRAISE</t>
  </si>
  <si>
    <t>KAMBALE MOLOVERYA CLEVER</t>
  </si>
  <si>
    <t>KASEREKA MOLOVERYA ELIEL</t>
  </si>
  <si>
    <t>KAKULE MOLOVERYA GAMALIELE</t>
  </si>
  <si>
    <t>KAVUGHO MULOVERYA NINA</t>
  </si>
  <si>
    <t>KAVIRA MULOVERYA LINA</t>
  </si>
  <si>
    <t>KHADIDJA FUNDI Hadidja</t>
  </si>
  <si>
    <t>MUZILA EBAL EBIL Eden Telly</t>
  </si>
  <si>
    <t>MUZILA LASAMPULANZEM Kheira</t>
  </si>
  <si>
    <t>KALAMBAYI KALAMBAYI ANGELIQUE</t>
  </si>
  <si>
    <t>BOOKE ITEYI LAEL</t>
  </si>
  <si>
    <t>BOOKE BASA MILAN</t>
  </si>
  <si>
    <t>KIRIMO KAVUGHO DIVINE</t>
  </si>
  <si>
    <t>KYALEVA FARADJA ADNA</t>
  </si>
  <si>
    <t>NINUYA KYALEVA ARCHIPP</t>
  </si>
  <si>
    <t>KYALEVA USHINDI AXEL</t>
  </si>
  <si>
    <t>BISIMWA AMINA YASMINE</t>
  </si>
  <si>
    <t>BISIMWA KINJA SORAYA</t>
  </si>
  <si>
    <t>BISIMWA MUSHAGALUSA RYAN</t>
  </si>
  <si>
    <t>NAYUMA KATENDE FRANCINE</t>
  </si>
  <si>
    <t>LUBEHERWA MIKINDO DIEGO BRYAN</t>
  </si>
  <si>
    <t>MIKINDO NABILAH SAMIAH</t>
  </si>
  <si>
    <t>KAYEMBE KATENDE DYLAN</t>
  </si>
  <si>
    <t>MAWINI MUSHIYU CYNTHIA</t>
  </si>
  <si>
    <t>YUMBA LUSA HOPE</t>
  </si>
  <si>
    <t>KYUNGU LUSA FAITH</t>
  </si>
  <si>
    <t>MAWINI LUSA PRAISE</t>
  </si>
  <si>
    <t>KANKU TSHIBUYI HUGUETTE</t>
  </si>
  <si>
    <t>BUHENDWA LENA AMANDA NAELLE</t>
  </si>
  <si>
    <t>BUHENDWA MALKIYAH</t>
  </si>
  <si>
    <t>Employé</t>
  </si>
  <si>
    <t>DASHBOARD</t>
  </si>
  <si>
    <t>Par site</t>
  </si>
  <si>
    <t>KILUMONIKO MATOMINA</t>
  </si>
  <si>
    <t>NZUZI LELEKA</t>
  </si>
  <si>
    <t>LUMANISA NSUAMI</t>
  </si>
  <si>
    <t>NSONDA LUZOLO</t>
  </si>
  <si>
    <t>DUNGA LUZOLO</t>
  </si>
  <si>
    <t>BAFUIDINSONI LUZOLO</t>
  </si>
  <si>
    <t>TUTONDELE LUZOLO</t>
  </si>
  <si>
    <t>MATONDO LUZOLO</t>
  </si>
  <si>
    <t>MBANGI LUKIESSA</t>
  </si>
  <si>
    <t>MBANGI MFUTI</t>
  </si>
  <si>
    <t>MBANGI NSASILA</t>
  </si>
  <si>
    <t>MPUNGWE KAPEPULA</t>
  </si>
  <si>
    <t>MUANDA KODILA</t>
  </si>
  <si>
    <t>NZINGA KUSONSA</t>
  </si>
  <si>
    <t>NALOLO KHUNDA</t>
  </si>
  <si>
    <t>KAHAMBUE ONOSAMBA</t>
  </si>
  <si>
    <t>TULOMBA KITUBIDI</t>
  </si>
  <si>
    <t>TULOMBA PEMBA</t>
  </si>
  <si>
    <t>WUMBA VANGU</t>
  </si>
  <si>
    <t>ONEKANDA DIMANDJA</t>
  </si>
  <si>
    <t>N° Pactilis</t>
  </si>
  <si>
    <t>Lien document</t>
  </si>
  <si>
    <t>Lubudi</t>
  </si>
  <si>
    <t>lubudi</t>
  </si>
  <si>
    <t>Localisation × statut</t>
  </si>
  <si>
    <t>Emp.</t>
  </si>
  <si>
    <t>Conj.</t>
  </si>
  <si>
    <t>Enf.</t>
  </si>
  <si>
    <t>TOTAL</t>
  </si>
  <si>
    <t>Mineurs et majeurs par site</t>
  </si>
  <si>
    <t>Min</t>
  </si>
  <si>
    <t>Maj</t>
  </si>
  <si>
    <t>Employés avec matricule</t>
  </si>
  <si>
    <t>Moyenne enfants par employé</t>
  </si>
  <si>
    <t>Employés avec famille</t>
  </si>
  <si>
    <t>Employés seuls</t>
  </si>
  <si>
    <t>ADHULE KIZEKELE Nour</t>
  </si>
  <si>
    <t>DIAZUNDA DIAZOLA</t>
  </si>
  <si>
    <t>LUMIYA KADIMOYO Wiff</t>
  </si>
  <si>
    <t>https://ppcafr.sharepoint.com/:b:/r/sites/knshr/HR%20ADMINISTRATION/ETAT%20DES%20INCORPORATIONS/2026/Etat_INCORPORATION_Famille%20junior,%20Ndonda%20pascal,%20MAKIVOVI%20et%20Kindaga.pdf?csf=1&amp;web=1&amp;e=WflqwM</t>
  </si>
  <si>
    <t>MAKIVOVI BASOBISA BRIDOLUC</t>
  </si>
  <si>
    <t>https://ppcafr.sharepoint.com/:b:/r/sites/knshr/HR%20ADMINISTRATION/ETAT%20DES%20INCORPORATIONS/2026/Etat_INCORPORATION_%20MUSAKO.pdf?csf=1&amp;web=1&amp;e=yddcfo</t>
  </si>
  <si>
    <t xml:space="preserve">KINZONZOLI FLORINE NELIA </t>
  </si>
  <si>
    <t>https://ppcafr.sharepoint.com/:b:/r/sites/knshr/HR%20ADMINISTRATION/ETAT%20DES%20INCORPORATIONS/2026/Etat_INCORPORATION_%20KAMUNGA.pdf?csf=1&amp;web=1&amp;e=6wi2RC</t>
  </si>
  <si>
    <t>KAMUNGA-MUANGA KINSEY</t>
  </si>
  <si>
    <t>MABOSO MOMBANDO REBECCA</t>
  </si>
  <si>
    <t>MASSADI JAYNE BRYANNA</t>
  </si>
  <si>
    <t>NLANDU TSHIBAMBA JUNIOR</t>
  </si>
  <si>
    <t>https://ppcafr.sharepoint.com/:b:/r/sites/knshr/HR%20ADMINISTRATION/ETAT%20DES%20INCORPORATIONS/2026/Etat_INCORPORATION_Famille%20junior,%20Ndonda%20pascal,%20MAKIVOVI%20et%20Kindaga.pdf?csf=1&amp;web=1&amp;e=k1SEhL</t>
  </si>
  <si>
    <t>DIASILUA DIADIA DORCAS</t>
  </si>
  <si>
    <t>https://ppcafr.sharepoint.com/:b:/r/sites/knshr/HR%20ADMINISTRATION/ETAT%20DES%20INCORPORATIONS/2026/Etat_INCORPORATION_Famille%20junior,%20Ndonda%20pascal,%20MAKIVOVI%20et%20Kindaga.pdf?csf=1&amp;web=1&amp;e=rFFtit</t>
  </si>
  <si>
    <t>DINAYAME MATONDO ARIAN</t>
  </si>
  <si>
    <t>KIBAMBA DIANGIENDA ONEGRO</t>
  </si>
  <si>
    <t>Numero Villa</t>
  </si>
  <si>
    <t>Type de maison</t>
  </si>
  <si>
    <t>KAHAMBO NABII MIKHA EL</t>
  </si>
  <si>
    <t>Ajouté depuis extract Pactilis</t>
  </si>
  <si>
    <t>KAMANDA  KAMANDA KEONA Azai</t>
  </si>
  <si>
    <t>MALU MAYALA EMMANUEL</t>
  </si>
  <si>
    <t>NGOMA MUANU</t>
  </si>
  <si>
    <t>BIAWILA MAYEMBA AXEL JASON</t>
  </si>
  <si>
    <t>KABELE NGIEFU Christopher Horlando</t>
  </si>
  <si>
    <t>TOTAL DES BENEFICIAIRES</t>
  </si>
  <si>
    <t>—</t>
  </si>
  <si>
    <t>BRIGHT MUZO Lea-lea</t>
  </si>
  <si>
    <t>LIGHT MUZO Pole</t>
  </si>
  <si>
    <t>MUZO NGENGA Shine</t>
  </si>
  <si>
    <t>YEMWENI MAKEMBI Esperance</t>
  </si>
  <si>
    <t>https://ppcafr.sharepoint.com/:b:/r/sites/knshr/HR%20ADMINISTRATION/ETAT%20DES%20INCORPORATIONS/2026/Etat_INCORPORATION_1_POLICE_1_0807.pdf?csf=1&amp;amp;amp;amp;amp;amp;amp;amp;amp;amp;amp;amp;amp;amp;amp;amp;amp;amp;amp;amp;amp;amp;amp;amp;web=1&amp;amp;amp;amp;amp;amp;amp;amp;amp;amp;amp;amp;amp;amp;amp;amp;amp;amp;amp;amp;amp;amp;amp;amp;e=Y0DLts</t>
  </si>
  <si>
    <t>https://ppcafr.sharepoint.com/:b:/r/sites/knshr/HR%20ADMINISTRATION/ETAT%20DES%20INCORPORATIONS/2026/Yvan%20Etat_INCORPORATION_1_POLICE_1_0607.pdf?csf=1&amp;amp;amp;amp;amp;amp;amp;amp;amp;amp;amp;amp;amp;amp;amp;amp;amp;amp;amp;amp;amp;amp;amp;amp;web=1&amp;amp;amp;amp;amp;amp;amp;amp;amp;amp;amp;amp;amp;amp;amp;amp;amp;amp;amp;amp;amp;amp;amp;amp;e=VQFlQQ</t>
  </si>
  <si>
    <t>https://ppcafr.sharepoint.com/:b:/r/sites/knshr/HR%20ADMINISTRATION/ETAT%20DES%20INCORPORATIONS/2026/Etat_INCORPORATION_Sosthene.pdf?csf=1&amp;amp;amp;amp;amp;amp;web=1&amp;amp;amp;amp;amp;amp;e=KBdYBo</t>
  </si>
  <si>
    <t>https://ppcafr.sharepoint.com/:b:/r/sites/knshr/HR%20ADMINISTRATION/ETAT%20DES%20INCORPORATIONS/2026/Etat_INCORPORATION_Famille%20junior,%20Ndonda%20pascal,%20MAKIVOVI%20et%20Kindaga.pdf?csf=1&amp;amp;amp;amp;amp;amp;amp;amp;amp;amp;amp;amp;amp;amp;amp;amp;amp;amp;amp;amp;amp;amp;amp;amp;web=1&amp;amp;amp;amp;amp;amp;amp;amp;amp;amp;amp;amp;amp;amp;amp;amp;amp;amp;amp;amp;amp;amp;amp;amp;e=rFFtit</t>
  </si>
  <si>
    <t>MAKIESE DIYABANZA</t>
  </si>
  <si>
    <t>MENA MAKAZOLELE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</si>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</sst>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    <numFmt numFmtId="164" formatCode="0.0"/>
    <numFmt numFmtId="165" formatCode="dd\-mmm\-yyyy"/>
  </numFmts>
  <fonts x14ac:knownFonts="1">
    <font>
      <sz val="11"/>
      <name val="Calibri"/>
    </font>
    <font>
      <sz val="11"/>
      <name val="Calibri"/>
      <family val="2"/>
    </font>
    <font>
      <b/>
      <sz val="11"/>
      <color theme="0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4"/>
      <name val="Arial"/>
      <family val="2"/>
    </font>
    <font>
      <b/>
      <sz val="24"/>
      <name val="Arial"/>
      <family val="2"/>
    </font>
    <font>
      <b/>
      <sz val="10"/>
      <color theme="0"/>
      <name val="Arial"/>
      <family val="2"/>
    </font>
    <font>
      <b/>
      <sz val="11"/>
      <name val="Calibri"/>
      <family val="2"/>
    </font>
    <font>
      <b/>
      <sz val="28"/>
      <name val="Arial"/>
      <family val="2"/>
    </font>
    <font>
      <sz val="10"/>
      <color theme="0"/>
      <name val="Arial"/>
      <family val="2"/>
    </font>
    <font>
      <b/>
      <sz val="36"/>
      <color theme="0"/>
      <name val="Arial"/>
      <family val="2"/>
    </font>
    <font>
      <b/>
      <sz val="20"/>
      <color theme="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1"/>
      <color theme="0"/>
      <name val="Calibri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3.5"/>
      <name val="Calibri"/>
    </font>
    <font>
      <b/>
      <sz val="11"/>
      <name val="Calibri"/>
    </font>
    <font>
      <b/>
      <sz val="13.5"/>
      <name val="Calibri"/>
      <family val="2"/>
    </font>
  </fonts>
  <fills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</fills>
  <borders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/>
    <xf numFmtId="0" fontId="3" fillId="0" borderId="0"/>
  </cellStyleXfs>
  <cellXfs>
    <xf numFmtId="0" fontId="0" fillId="0" borderId="0" xfId="0"/>
    <xf numFmtId="0" fontId="2" fillId="7" borderId="0" xfId="0" applyFont="1" applyFill="1" applyAlignment="1">
      <alignment horizontal="right" vertical="center"/>
    </xf>
    <xf numFmtId="0" fontId="3" fillId="0" borderId="0" xfId="2"/>
    <xf numFmtId="0" fontId="4" fillId="3" borderId="1" xfId="1" applyFont="1" applyFill="1" applyBorder="1" applyAlignment="1">
      <alignment horizontal="left" vertical="center" readingOrder="1"/>
    </xf>
    <xf numFmtId="0" fontId="5" fillId="3" borderId="1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center" vertical="center" readingOrder="1"/>
    </xf>
    <xf numFmtId="0" fontId="8" fillId="3" borderId="1" xfId="1" applyFont="1" applyFill="1" applyBorder="1" applyAlignment="1">
      <alignment horizontal="center" vertical="center" readingOrder="1"/>
    </xf>
    <xf numFmtId="0" fontId="9" fillId="3" borderId="0" xfId="1" applyFont="1" applyFill="1" applyAlignment="1">
      <alignment vertical="center"/>
    </xf>
    <xf numFmtId="0" fontId="3" fillId="3" borderId="0" xfId="2" applyFill="1"/>
    <xf numFmtId="0" fontId="1" fillId="3" borderId="1" xfId="1" applyFont="1" applyFill="1" applyBorder="1" applyAlignment="1">
      <alignment horizontal="center" vertical="center" readingOrder="1"/>
    </xf>
    <xf numFmtId="0" fontId="3" fillId="3" borderId="1" xfId="1" applyFill="1" applyBorder="1" applyAlignment="1">
      <alignment horizontal="center" vertical="center" readingOrder="1"/>
    </xf>
    <xf numFmtId="3" fontId="1" fillId="3" borderId="1" xfId="1" applyNumberFormat="1" applyFont="1" applyFill="1" applyBorder="1" applyAlignment="1">
      <alignment horizontal="center" vertical="center" readingOrder="1"/>
    </xf>
    <xf numFmtId="0" fontId="3" fillId="3" borderId="1" xfId="2" applyFill="1" applyBorder="1"/>
    <xf numFmtId="0" fontId="1" fillId="3" borderId="1" xfId="1" applyFont="1" applyFill="1" applyBorder="1" applyAlignment="1">
      <alignment horizontal="left" vertical="center"/>
    </xf>
    <xf numFmtId="0" fontId="3" fillId="3" borderId="1" xfId="2" applyFill="1" applyBorder="1" applyAlignment="1">
      <alignment horizontal="center"/>
    </xf>
    <xf numFmtId="0" fontId="1" fillId="3" borderId="1" xfId="1" applyFont="1" applyFill="1" applyBorder="1" applyAlignment="1">
      <alignment horizontal="center" vertical="center"/>
    </xf>
    <xf numFmtId="0" fontId="10" fillId="3" borderId="0" xfId="1" applyFont="1" applyFill="1" applyAlignment="1">
      <alignment vertical="center"/>
    </xf>
    <xf numFmtId="0" fontId="11" fillId="2" borderId="1" xfId="1" applyFont="1" applyFill="1" applyBorder="1" applyAlignment="1">
      <alignment horizontal="center" vertical="center" wrapText="1" readingOrder="1"/>
    </xf>
    <xf numFmtId="0" fontId="2" fillId="2" borderId="1" xfId="1" applyFont="1" applyFill="1" applyBorder="1" applyAlignment="1">
      <alignment horizontal="center" vertical="center" readingOrder="1"/>
    </xf>
    <xf numFmtId="0" fontId="12" fillId="3" borderId="1" xfId="1" applyFont="1" applyFill="1" applyBorder="1" applyAlignment="1">
      <alignment horizontal="center" vertical="center" readingOrder="1"/>
    </xf>
    <xf numFmtId="0" fontId="12" fillId="3" borderId="1" xfId="1" applyFont="1" applyFill="1" applyBorder="1" applyAlignment="1">
      <alignment horizontal="left" vertical="center" readingOrder="1"/>
    </xf>
    <xf numFmtId="0" fontId="9" fillId="3" borderId="0" xfId="1" applyFont="1" applyFill="1" applyAlignment="1">
      <alignment horizontal="center" vertical="center"/>
    </xf>
    <xf numFmtId="0" fontId="3" fillId="3" borderId="0" xfId="2" applyFill="1" applyAlignment="1">
      <alignment horizontal="center"/>
    </xf>
    <xf numFmtId="165" fontId="9" fillId="3" borderId="0" xfId="1" applyNumberFormat="1" applyFont="1" applyFill="1" applyAlignment="1">
      <alignment vertical="center"/>
    </xf>
    <xf numFmtId="165" fontId="11" fillId="2" borderId="1" xfId="1" applyNumberFormat="1" applyFont="1" applyFill="1" applyBorder="1" applyAlignment="1">
      <alignment horizontal="center" vertical="center" wrapText="1" readingOrder="1"/>
    </xf>
    <xf numFmtId="165" fontId="1" fillId="3" borderId="1" xfId="1" applyNumberFormat="1" applyFont="1" applyFill="1" applyBorder="1" applyAlignment="1">
      <alignment horizontal="center" vertical="center" readingOrder="1"/>
    </xf>
    <xf numFmtId="165" fontId="6" fillId="3" borderId="1" xfId="2" applyNumberFormat="1" applyFont="1" applyFill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 readingOrder="1"/>
    </xf>
    <xf numFmtId="165" fontId="3" fillId="3" borderId="0" xfId="2" applyNumberFormat="1" applyFill="1"/>
    <xf numFmtId="0" fontId="3" fillId="0" borderId="0" xfId="2" applyAlignment="1">
      <alignment horizontal="center" vertical="center"/>
    </xf>
    <xf numFmtId="0" fontId="13" fillId="0" borderId="0" xfId="2" applyFont="1"/>
    <xf numFmtId="0" fontId="11" fillId="3" borderId="0" xfId="2" applyFont="1" applyFill="1" applyAlignment="1">
      <alignment vertical="center"/>
    </xf>
    <xf numFmtId="0" fontId="11" fillId="3" borderId="0" xfId="2" applyFont="1" applyFill="1" applyAlignment="1">
      <alignment horizontal="center" vertical="center"/>
    </xf>
    <xf numFmtId="0" fontId="14" fillId="3" borderId="0" xfId="2" applyFont="1" applyFill="1"/>
    <xf numFmtId="0" fontId="14" fillId="3" borderId="0" xfId="2" applyFont="1" applyFill="1" applyAlignment="1">
      <alignment vertical="center"/>
    </xf>
    <xf numFmtId="0" fontId="11" fillId="2" borderId="6" xfId="2" applyFont="1" applyFill="1" applyBorder="1" applyAlignment="1">
      <alignment horizontal="center" vertical="center"/>
    </xf>
    <xf numFmtId="0" fontId="11" fillId="2" borderId="7" xfId="2" applyFont="1" applyFill="1" applyBorder="1" applyAlignment="1">
      <alignment horizontal="center" vertical="center"/>
    </xf>
    <xf numFmtId="0" fontId="14" fillId="2" borderId="8" xfId="2" applyFont="1" applyFill="1" applyBorder="1" applyAlignment="1">
      <alignment horizontal="center" vertical="center"/>
    </xf>
    <xf numFmtId="0" fontId="14" fillId="2" borderId="10" xfId="2" applyFont="1" applyFill="1" applyBorder="1" applyAlignment="1">
      <alignment horizontal="center" vertical="center"/>
    </xf>
    <xf numFmtId="0" fontId="11" fillId="4" borderId="6" xfId="2" applyFont="1" applyFill="1" applyBorder="1" applyAlignment="1">
      <alignment horizontal="center" vertical="center"/>
    </xf>
    <xf numFmtId="0" fontId="11" fillId="5" borderId="0" xfId="2" applyFont="1" applyFill="1" applyAlignment="1">
      <alignment horizontal="center" vertical="center"/>
    </xf>
    <xf numFmtId="164" fontId="11" fillId="3" borderId="0" xfId="2" applyNumberFormat="1" applyFont="1" applyFill="1" applyAlignment="1">
      <alignment horizontal="center" vertical="center"/>
    </xf>
    <xf numFmtId="0" fontId="18" fillId="3" borderId="0" xfId="1" applyFont="1" applyFill="1" applyAlignment="1">
      <alignment horizontal="center" vertical="center"/>
    </xf>
    <xf numFmtId="0" fontId="9" fillId="3" borderId="0" xfId="1" applyFont="1" applyFill="1" applyAlignment="1">
      <alignment horizontal="right" vertical="center"/>
    </xf>
    <xf numFmtId="0" fontId="14" fillId="0" borderId="0" xfId="2" applyFont="1"/>
    <xf numFmtId="0" fontId="14" fillId="0" borderId="0" xfId="2" applyFont="1" applyAlignment="1">
      <alignment horizontal="center" vertical="center"/>
    </xf>
    <xf numFmtId="0" fontId="2" fillId="3" borderId="1" xfId="1" applyFont="1" applyFill="1" applyBorder="1" applyAlignment="1">
      <alignment horizontal="center" vertical="center" readingOrder="1"/>
    </xf>
    <xf numFmtId="0" fontId="14" fillId="3" borderId="1" xfId="1" applyFont="1" applyFill="1" applyBorder="1" applyAlignment="1">
      <alignment horizontal="center" vertical="center" readingOrder="1"/>
    </xf>
    <xf numFmtId="0" fontId="19" fillId="3" borderId="1" xfId="1" applyFont="1" applyFill="1" applyBorder="1" applyAlignment="1">
      <alignment horizontal="center" vertical="center" readingOrder="1"/>
    </xf>
    <xf numFmtId="0" fontId="20" fillId="7" borderId="13" xfId="1" applyFont="1" applyFill="1" applyBorder="1" applyAlignment="1">
      <alignment horizontal="center" vertical="center" wrapText="1" readingOrder="1"/>
    </xf>
    <xf numFmtId="0" fontId="11" fillId="3" borderId="0" xfId="2" applyFont="1" applyFill="1"/>
    <xf numFmtId="0" fontId="11" fillId="6" borderId="0" xfId="2" applyFont="1" applyFill="1" applyAlignment="1">
      <alignment horizontal="center" vertical="center"/>
    </xf>
    <xf numFmtId="0" fontId="21" fillId="8" borderId="7" xfId="2" applyFont="1" applyFill="1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0" fontId="3" fillId="0" borderId="12" xfId="2" applyBorder="1" applyAlignment="1">
      <alignment horizontal="center" vertical="center"/>
    </xf>
    <xf numFmtId="0" fontId="3" fillId="0" borderId="12" xfId="2" applyBorder="1"/>
    <xf numFmtId="0" fontId="14" fillId="0" borderId="2" xfId="2" applyFont="1" applyBorder="1"/>
    <xf numFmtId="0" fontId="2" fillId="7" borderId="6" xfId="0" applyFont="1" applyFill="1" applyBorder="1" applyAlignment="1">
      <alignment horizontal="left" vertical="center"/>
    </xf>
    <xf numFmtId="0" fontId="2" fillId="7" borderId="0" xfId="0" applyFont="1" applyFill="1" applyAlignment="1">
      <alignment horizontal="right" vertical="center"/>
    </xf>
    <xf numFmtId="0" fontId="2" fillId="7" borderId="7" xfId="0" applyFont="1" applyFill="1" applyBorder="1" applyAlignment="1">
      <alignment horizontal="right" vertical="center"/>
    </xf>
    <xf numFmtId="0" fontId="0" fillId="0" borderId="6" xfId="0" applyBorder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2" fillId="7" borderId="8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right" vertical="center"/>
    </xf>
    <xf numFmtId="0" fontId="25" fillId="0" borderId="11" xfId="0" applyFont="1" applyBorder="1" applyAlignment="1">
      <alignment vertical="center"/>
    </xf>
    <xf numFmtId="0" fontId="2" fillId="7" borderId="7" xfId="0" applyFont="1" applyFill="1" applyBorder="1" applyAlignment="1">
      <alignment horizontal="right" vertical="center"/>
    </xf>
    <xf numFmtId="0" fontId="24" fillId="0" borderId="0" xfId="0" applyFont="1" applyAlignment="1">
      <alignment horizontal="right" vertical="center"/>
    </xf>
    <xf numFmtId="0" fontId="24" fillId="0" borderId="7" xfId="0" applyFont="1" applyBorder="1" applyAlignment="1">
      <alignment horizontal="right" vertical="center"/>
    </xf>
    <xf numFmtId="0" fontId="2" fillId="7" borderId="9" xfId="0" applyFont="1" applyFill="1" applyBorder="1" applyAlignment="1">
      <alignment horizontal="right" vertical="center"/>
    </xf>
    <xf numFmtId="0" fontId="2" fillId="7" borderId="10" xfId="0" applyFont="1" applyFill="1" applyBorder="1" applyAlignment="1">
      <alignment horizontal="right" vertical="center"/>
    </xf>
    <xf numFmtId="0" fontId="11" fillId="2" borderId="3" xfId="2" applyFont="1" applyFill="1" applyBorder="1" applyAlignment="1">
      <alignment horizontal="center" vertical="center"/>
    </xf>
    <xf numFmtId="0" fontId="11" fillId="2" borderId="4" xfId="2" applyFont="1" applyFill="1" applyBorder="1" applyAlignment="1">
      <alignment horizontal="center" vertical="center"/>
    </xf>
    <xf numFmtId="0" fontId="11" fillId="2" borderId="5" xfId="2" applyFont="1" applyFill="1" applyBorder="1" applyAlignment="1">
      <alignment horizontal="center" vertical="center"/>
    </xf>
    <xf numFmtId="0" fontId="15" fillId="2" borderId="6" xfId="2" applyFont="1" applyFill="1" applyBorder="1" applyAlignment="1">
      <alignment horizontal="center" vertical="center"/>
    </xf>
    <xf numFmtId="0" fontId="15" fillId="2" borderId="0" xfId="2" applyFont="1" applyFill="1" applyAlignment="1">
      <alignment horizontal="center" vertical="center"/>
    </xf>
    <xf numFmtId="0" fontId="15" fillId="2" borderId="7" xfId="2" applyFont="1" applyFill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16" fillId="4" borderId="6" xfId="2" applyFont="1" applyFill="1" applyBorder="1" applyAlignment="1">
      <alignment horizontal="center" vertical="center"/>
    </xf>
    <xf numFmtId="0" fontId="16" fillId="4" borderId="8" xfId="2" applyFont="1" applyFill="1" applyBorder="1" applyAlignment="1">
      <alignment horizontal="center" vertical="center"/>
    </xf>
    <xf numFmtId="0" fontId="16" fillId="5" borderId="0" xfId="2" applyFont="1" applyFill="1" applyAlignment="1">
      <alignment horizontal="center" vertical="center"/>
    </xf>
    <xf numFmtId="0" fontId="16" fillId="5" borderId="9" xfId="2" applyFont="1" applyFill="1" applyBorder="1" applyAlignment="1">
      <alignment horizontal="center" vertical="center"/>
    </xf>
    <xf numFmtId="0" fontId="22" fillId="8" borderId="7" xfId="2" applyFont="1" applyFill="1" applyBorder="1" applyAlignment="1">
      <alignment horizontal="center" vertical="center"/>
    </xf>
    <xf numFmtId="0" fontId="22" fillId="8" borderId="10" xfId="2" applyFont="1" applyFill="1" applyBorder="1" applyAlignment="1">
      <alignment horizontal="center" vertical="center"/>
    </xf>
    <xf numFmtId="0" fontId="16" fillId="6" borderId="0" xfId="2" applyFont="1" applyFill="1" applyAlignment="1">
      <alignment horizontal="center" vertical="center"/>
    </xf>
    <xf numFmtId="0" fontId="16" fillId="6" borderId="9" xfId="2" applyFont="1" applyFill="1" applyBorder="1" applyAlignment="1">
      <alignment horizontal="center" vertical="center"/>
    </xf>
    <xf numFmtId="0" fontId="11" fillId="2" borderId="0" xfId="2" applyFont="1" applyFill="1" applyAlignment="1">
      <alignment horizontal="center" vertical="center"/>
    </xf>
    <xf numFmtId="0" fontId="14" fillId="2" borderId="9" xfId="2" applyFont="1" applyFill="1" applyBorder="1" applyAlignment="1">
      <alignment horizontal="center" vertical="center"/>
    </xf>
    <xf numFmtId="0" fontId="17" fillId="0" borderId="8" xfId="2" applyFont="1" applyBorder="1" applyAlignment="1">
      <alignment horizontal="center" vertical="center"/>
    </xf>
    <xf numFmtId="0" fontId="17" fillId="0" borderId="9" xfId="2" applyFont="1" applyBorder="1" applyAlignment="1">
      <alignment horizontal="center" vertical="center"/>
    </xf>
    <xf numFmtId="0" fontId="17" fillId="0" borderId="10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164" fontId="17" fillId="0" borderId="8" xfId="2" applyNumberFormat="1" applyFont="1" applyBorder="1" applyAlignment="1">
      <alignment horizontal="center" vertical="center"/>
    </xf>
    <xf numFmtId="164" fontId="17" fillId="0" borderId="9" xfId="2" applyNumberFormat="1" applyFont="1" applyBorder="1" applyAlignment="1">
      <alignment horizontal="center" vertical="center"/>
    </xf>
    <xf numFmtId="164" fontId="17" fillId="0" borderId="10" xfId="2" applyNumberFormat="1" applyFont="1" applyBorder="1" applyAlignment="1">
      <alignment horizontal="center" vertical="center"/>
    </xf>
    <xf numFmtId="0" fontId="18" fillId="3" borderId="0" xfId="1" applyFont="1" applyFill="1" applyAlignment="1">
      <alignment horizontal="left" vertical="center"/>
    </xf>
    <xf numFmtId="0" fontId="20" fillId="7" borderId="13" xfId="1" applyFont="1" applyFill="1" applyBorder="1" applyAlignment="1">
      <alignment horizontal="left" vertical="center" wrapText="1" readingOrder="1"/>
    </xf>
    <xf numFmtId="3" fontId="1" fillId="3" borderId="1" xfId="1" applyNumberFormat="1" applyFont="1" applyFill="1" applyBorder="1" applyAlignment="1">
      <alignment horizontal="left" vertical="center" readingOrder="1"/>
    </xf>
    <xf numFmtId="0" fontId="3" fillId="3" borderId="0" xfId="2" applyFill="1" applyAlignment="1">
      <alignment horizontal="left"/>
    </xf>
  </cellXfs>
  <cellStyles count="3">
    <cellStyle name="Normal" xfId="0" builtinId="0"/>
    <cellStyle name="Normal 2" xfId="2" xr:uid="{78DBD54B-874D-472E-95C0-C4E3EC4390A5}"/>
    <cellStyle name="RowLevel_4" xfId="1" builtinId="1" iLevel="3"/>
  </cellStyles>
  <dxfs count="3">
    <dxf>
      <font>
        <b/>
        <i val="0"/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theme="1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Repartition par statut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RESUME!$G$6</c:f>
              <c:strCache>
                <c:ptCount val="1"/>
                <c:pt idx="0">
                  <c:v>Effectif</c:v>
                </c:pt>
              </c:strCache>
            </c:strRef>
          </c:tx>
          <c:dPt>
            <c:idx val="0"/>
            <c:bubble3D val="0"/>
            <c:spPr>
              <a:solidFill>
                <a:schemeClr val="tx1"/>
              </a:solidFill>
            </c:spPr>
            <c:extLst>
              <c:ext xmlns:c16="http://schemas.microsoft.com/office/drawing/2014/chart" uri="{C3380CC4-5D6E-409C-BE32-E72D297353CC}">
                <c16:uniqueId val="{00000001-8013-4BD7-B7E0-306522FAEAEE}"/>
              </c:ext>
            </c:extLst>
          </c:dPt>
          <c:dPt>
            <c:idx val="1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2-8013-4BD7-B7E0-306522FAEAEE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8013-4BD7-B7E0-306522FAEAE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RESUME!$F$7:$F$9</c:f>
              <c:strCache>
                <c:ptCount val="3"/>
                <c:pt idx="0">
                  <c:v>Enfant</c:v>
                </c:pt>
                <c:pt idx="1">
                  <c:v>Employe(e)</c:v>
                </c:pt>
                <c:pt idx="2">
                  <c:v>Conjoint(e)</c:v>
                </c:pt>
              </c:strCache>
            </c:strRef>
          </c:cat>
          <c:val>
            <c:numRef>
              <c:f>RESUME!$G$7:$G$9</c:f>
              <c:numCache>
                <c:formatCode>General</c:formatCode>
                <c:ptCount val="3"/>
                <c:pt idx="0">
                  <c:v>416</c:v>
                </c:pt>
                <c:pt idx="1">
                  <c:v>175</c:v>
                </c:pt>
                <c:pt idx="2">
                  <c:v>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13-4BD7-B7E0-306522FAEAE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</c:plotArea>
    <c:legend>
      <c:legendPos val="t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Localisation et statut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RESUME!$L$7</c:f>
              <c:strCache>
                <c:ptCount val="1"/>
                <c:pt idx="0">
                  <c:v>Kinshasa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RESUME!$M$6:$N$6</c:f>
              <c:strCache>
                <c:ptCount val="2"/>
                <c:pt idx="0">
                  <c:v>Employe(e)</c:v>
                </c:pt>
                <c:pt idx="1">
                  <c:v>Enfant</c:v>
                </c:pt>
              </c:strCache>
            </c:strRef>
          </c:cat>
          <c:val>
            <c:numRef>
              <c:f>RESUME!$M$7:$N$7</c:f>
              <c:numCache>
                <c:formatCode>General</c:formatCode>
                <c:ptCount val="2"/>
                <c:pt idx="0">
                  <c:v>64</c:v>
                </c:pt>
                <c:pt idx="1">
                  <c:v>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08-45CD-B3B8-0E00E73E53B4}"/>
            </c:ext>
          </c:extLst>
        </c:ser>
        <c:ser>
          <c:idx val="1"/>
          <c:order val="1"/>
          <c:tx>
            <c:strRef>
              <c:f>RESUME!$L$8</c:f>
              <c:strCache>
                <c:ptCount val="1"/>
                <c:pt idx="0">
                  <c:v>Zamba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RESUME!$M$6:$N$6</c:f>
              <c:strCache>
                <c:ptCount val="2"/>
                <c:pt idx="0">
                  <c:v>Employe(e)</c:v>
                </c:pt>
                <c:pt idx="1">
                  <c:v>Enfant</c:v>
                </c:pt>
              </c:strCache>
            </c:strRef>
          </c:cat>
          <c:val>
            <c:numRef>
              <c:f>RESUME!$M$8:$N$8</c:f>
              <c:numCache>
                <c:formatCode>General</c:formatCode>
                <c:ptCount val="2"/>
                <c:pt idx="0">
                  <c:v>104</c:v>
                </c:pt>
                <c:pt idx="1">
                  <c:v>275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808-45CD-B3B8-0E00E73E53B4}"/>
            </c:ext>
          </c:extLst>
        </c:ser>
        <c:ser>
          <c:idx val="2"/>
          <c:order val="2"/>
          <c:tx>
            <c:strRef>
              <c:f>RESUME!$L$9</c:f>
              <c:strCache>
                <c:ptCount val="1"/>
                <c:pt idx="0">
                  <c:v>Lubudi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RESUME!$M$6:$N$6</c:f>
              <c:strCache>
                <c:ptCount val="2"/>
                <c:pt idx="0">
                  <c:v>Employe(e)</c:v>
                </c:pt>
                <c:pt idx="1">
                  <c:v>Enfant</c:v>
                </c:pt>
              </c:strCache>
            </c:strRef>
          </c:cat>
          <c:val>
            <c:numRef>
              <c:f>RESUME!$M$9:$N$9</c:f>
              <c:numCache>
                <c:formatCode>General</c:formatCode>
                <c:ptCount val="2"/>
                <c:pt idx="0">
                  <c:v>7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8-4FD5-964B-A7EC3DA155F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75343888"/>
        <c:axId val="1328139792"/>
      </c:barChart>
      <c:catAx>
        <c:axId val="147534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28139792"/>
        <c:crosses val="autoZero"/>
        <c:auto val="1"/>
        <c:lblAlgn val="ctr"/>
        <c:lblOffset val="100"/>
        <c:noMultiLvlLbl val="0"/>
      </c:catAx>
      <c:valAx>
        <c:axId val="1328139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75343888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Tranches d'âge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RESUME!$Q$6</c:f>
              <c:strCache>
                <c:ptCount val="1"/>
                <c:pt idx="0">
                  <c:v>Effectif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RESUME!$P$7:$P$12</c:f>
              <c:strCache>
                <c:ptCount val="6"/>
                <c:pt idx="0">
                  <c:v>0-2 ans</c:v>
                </c:pt>
                <c:pt idx="1">
                  <c:v>3-12 ans</c:v>
                </c:pt>
                <c:pt idx="2">
                  <c:v>13-15 ans</c:v>
                </c:pt>
                <c:pt idx="3">
                  <c:v>16-19 ans</c:v>
                </c:pt>
                <c:pt idx="4">
                  <c:v>20-25 ans</c:v>
                </c:pt>
                <c:pt idx="5">
                  <c:v>26 ans et +</c:v>
                </c:pt>
              </c:strCache>
            </c:strRef>
          </c:cat>
          <c:val>
            <c:numRef>
              <c:f>RESUME!$Q$7:$Q$12</c:f>
              <c:numCache>
                <c:formatCode>General</c:formatCode>
                <c:ptCount val="6"/>
                <c:pt idx="0">
                  <c:v>74</c:v>
                </c:pt>
                <c:pt idx="1">
                  <c:v>214</c:v>
                </c:pt>
                <c:pt idx="2">
                  <c:v>52</c:v>
                </c:pt>
                <c:pt idx="3">
                  <c:v>37</c:v>
                </c:pt>
                <c:pt idx="4">
                  <c:v>40</c:v>
                </c:pt>
                <c:pt idx="5">
                  <c:v>307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E1-40D3-B01A-BE9CAD6B2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75344352"/>
        <c:axId val="1328135952"/>
      </c:barChart>
      <c:catAx>
        <c:axId val="147534435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328135952"/>
        <c:crosses val="autoZero"/>
        <c:auto val="1"/>
        <c:lblAlgn val="ctr"/>
        <c:lblOffset val="100"/>
        <c:noMultiLvlLbl val="0"/>
      </c:catAx>
      <c:valAx>
        <c:axId val="132813595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47534435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Repartition par sexe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tx>
            <c:strRef>
              <c:f>RESUME!$J$6</c:f>
              <c:strCache>
                <c:ptCount val="1"/>
                <c:pt idx="0">
                  <c:v>Effectif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RESUME!$I$7:$I$8</c:f>
              <c:strCache>
                <c:ptCount val="2"/>
                <c:pt idx="0">
                  <c:v>M</c:v>
                </c:pt>
                <c:pt idx="1">
                  <c:v>F</c:v>
                </c:pt>
              </c:strCache>
            </c:strRef>
          </c:cat>
          <c:val>
            <c:numRef>
              <c:f>RESUME!$J$7:$J$8</c:f>
              <c:numCache>
                <c:formatCode>General</c:formatCode>
                <c:ptCount val="2"/>
                <c:pt idx="0">
                  <c:v>372</c:v>
                </c:pt>
                <c:pt idx="1">
                  <c:v>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17-4C9D-8C4E-6D5FDD0845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Kinshasa vs Zamba vs Lubudi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RESUME!$T$6</c:f>
              <c:strCache>
                <c:ptCount val="1"/>
                <c:pt idx="0">
                  <c:v>Effectif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RESUME!$S$7:$S$9</c:f>
              <c:strCache>
                <c:ptCount val="3"/>
                <c:pt idx="0">
                  <c:v>Kinshasa</c:v>
                </c:pt>
                <c:pt idx="1">
                  <c:v>Zamba</c:v>
                </c:pt>
                <c:pt idx="2">
                  <c:v>lubudi</c:v>
                </c:pt>
              </c:strCache>
            </c:strRef>
          </c:cat>
          <c:val>
            <c:numRef>
              <c:f>RESUME!$T$7:$T$9</c:f>
              <c:numCache>
                <c:formatCode>General</c:formatCode>
                <c:ptCount val="3"/>
                <c:pt idx="0">
                  <c:v>231</c:v>
                </c:pt>
                <c:pt idx="1">
                  <c:v>463</c:v>
                </c:pt>
                <c:pt idx="2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77-4C2C-BF5D-9555D8A96F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/>
              <a:t>Couverture matricule</a:t>
            </a:r>
          </a:p>
        </c:rich>
      </c:tx>
      <c:overlay val="0"/>
    </c:title>
    <c:autoTitleDeleted val="0"/>
    <c:plotArea>
      <c:layout/>
      <c:doughnutChart>
        <c:varyColors val="1"/>
        <c:ser>
          <c:idx val="0"/>
          <c:order val="0"/>
          <c:dLbls>
            <c:dLbl>
              <c:idx val="0"/>
              <c:layout>
                <c:manualLayout>
                  <c:x val="0.21345786806075176"/>
                  <c:y val="7.2368411055613896E-2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684-4FE3-8ABA-4C8611E4D4A2}"/>
                </c:ext>
              </c:extLst>
            </c:dLbl>
            <c:dLbl>
              <c:idx val="1"/>
              <c:layout>
                <c:manualLayout>
                  <c:x val="-0.16206986278686708"/>
                  <c:y val="-0.1109648969519413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84-4FE3-8ABA-4C8611E4D4A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65000"/>
                    <a:lumOff val="35000"/>
                  </a:sysClr>
                </a:solidFill>
              </a:ln>
              <a:effectLst/>
            </c:sp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</c:ext>
            </c:extLst>
          </c:dLbls>
          <c:cat>
            <c:strRef>
              <c:f>RESUME!$A$24:$B$24</c:f>
              <c:strCache>
                <c:ptCount val="2"/>
                <c:pt idx="0">
                  <c:v>Employés avec famille</c:v>
                </c:pt>
                <c:pt idx="1">
                  <c:v>Employés seuls</c:v>
                </c:pt>
              </c:strCache>
            </c:strRef>
          </c:cat>
          <c:val>
            <c:numRef>
              <c:f>RESUME!$A$25:$B$25</c:f>
              <c:numCache>
                <c:formatCode>General</c:formatCode>
                <c:ptCount val="2"/>
                <c:pt idx="0">
                  <c:v>146</c:v>
                </c:pt>
                <c:pt idx="1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5A-4732-9360-5432C7C820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b"/>
      <c:overlay val="0"/>
      <c:txPr>
        <a:bodyPr/>
        <a:lstStyle/>
        <a:p>
          <a:pPr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92076</xdr:colOff>
      <xdr:row>0</xdr:row>
      <xdr:rowOff>382731</xdr:rowOff>
    </xdr:from>
    <xdr:to>
      <xdr:col>11</xdr:col>
      <xdr:colOff>276225</xdr:colOff>
      <xdr:row>12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A9AF99-F08A-4768-8092-CDB3FD8E3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322695</xdr:colOff>
      <xdr:row>0</xdr:row>
      <xdr:rowOff>389081</xdr:rowOff>
    </xdr:from>
    <xdr:to>
      <xdr:col>14</xdr:col>
      <xdr:colOff>190500</xdr:colOff>
      <xdr:row>12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CB17347-0D8E-4DAB-9DA0-FB558581BB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244475</xdr:colOff>
      <xdr:row>0</xdr:row>
      <xdr:rowOff>382731</xdr:rowOff>
    </xdr:from>
    <xdr:to>
      <xdr:col>19</xdr:col>
      <xdr:colOff>44450</xdr:colOff>
      <xdr:row>11</xdr:row>
      <xdr:rowOff>244475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3DE6BA-083D-4896-AB7D-C27A68D07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92941</xdr:colOff>
      <xdr:row>12</xdr:row>
      <xdr:rowOff>131329</xdr:rowOff>
    </xdr:from>
    <xdr:to>
      <xdr:col>11</xdr:col>
      <xdr:colOff>282575</xdr:colOff>
      <xdr:row>23</xdr:row>
      <xdr:rowOff>160193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C67887E-D350-48F8-BDBD-6999E6EF81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322694</xdr:colOff>
      <xdr:row>12</xdr:row>
      <xdr:rowOff>121804</xdr:rowOff>
    </xdr:from>
    <xdr:to>
      <xdr:col>14</xdr:col>
      <xdr:colOff>190499</xdr:colOff>
      <xdr:row>23</xdr:row>
      <xdr:rowOff>144318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5EF7F37-878C-4A8B-8DAC-1985C9C05D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247938</xdr:colOff>
      <xdr:row>12</xdr:row>
      <xdr:rowOff>121804</xdr:rowOff>
    </xdr:from>
    <xdr:to>
      <xdr:col>19</xdr:col>
      <xdr:colOff>53975</xdr:colOff>
      <xdr:row>23</xdr:row>
      <xdr:rowOff>144318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642A92B-F2A6-4697-BCA5-C4ADD798E3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ECK%20DOCUMENTS%20BAS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 DOCUMENTS BAS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<Relationships xmlns="http://schemas.openxmlformats.org/package/2006/relationships"><Relationship Id="rId8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13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k1SEhL" TargetMode="External"/><Relationship Id="rId18" Type="http://schemas.openxmlformats.org/officeDocument/2006/relationships/hyperlink" Target="https://ppcafr.sharepoint.com/:b:/r/sites/knshr/HR%20ADMINISTRATION/ETAT%20DES%20INCORPORATIONS/2026/Etat_INCORPORATION_%20MUSAKO.pdf?csf=1&amp;web=1&amp;e=yddcfo" TargetMode="External"/><Relationship Id="rId3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WflqwM" TargetMode="External"/><Relationship Id="rId21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rFFtit" TargetMode="External"/><Relationship Id="rId7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12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17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WflqwM" TargetMode="External"/><Relationship Id="rId25" Type="http://schemas.openxmlformats.org/officeDocument/2006/relationships/printerSettings" Target="../printerSettings/printerSettings2.bin"/><Relationship Id="rId2" Type="http://schemas.openxmlformats.org/officeDocument/2006/relationships/hyperlink" Target="https://ppcafr.sharepoint.com/:b:/r/sites/knshr/HR%20ADMINISTRATION/ETAT%20DES%20INCORPORATIONS/2026/Yvan%20Etat_INCORPORATION_1_POLICE_1_0607.pdf?csf=1&amp;amp;amp;amp;amp;amp;amp;amp;amp;amp;amp;amp;amp;amp;amp;amp;amp;amp;amp;amp;amp;amp;amp;amp;web=1&amp;amp;amp;amp;amp;amp;amp;amp;amp;amp;amp;amp;amp;amp;amp;amp;amp;amp;amp;amp;amp;amp;amp;amp;e=VQFlQQ" TargetMode="External"/><Relationship Id="rId16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20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rFFtit" TargetMode="External"/><Relationship Id="rId1" Type="http://schemas.openxmlformats.org/officeDocument/2006/relationships/hyperlink" Target="https://ppcafr.sharepoint.com/:b:/r/sites/knshr/HR%20ADMINISTRATION/ETAT%20DES%20INCORPORATIONS/2026/Etat_INCORPORATION_1_POLICE_1_0807.pdf?csf=1&amp;amp;amp;amp;amp;amp;amp;amp;amp;amp;amp;amp;amp;amp;amp;amp;amp;amp;amp;amp;amp;amp;amp;amp;web=1&amp;amp;amp;amp;amp;amp;amp;amp;amp;amp;amp;amp;amp;amp;amp;amp;amp;amp;amp;amp;amp;amp;amp;amp;e=Y0DLts" TargetMode="External"/><Relationship Id="rId6" Type="http://schemas.openxmlformats.org/officeDocument/2006/relationships/hyperlink" Target="https://ppcafr.sharepoint.com/:b:/r/sites/knshr/HR%20ADMINISTRATION/ETAT%20DES%20INCORPORATIONS/2026/Etat_INCORPORATION_%20MUSAKO.pdf?csf=1&amp;web=1&amp;e=yddcfo" TargetMode="External"/><Relationship Id="rId11" Type="http://schemas.openxmlformats.org/officeDocument/2006/relationships/hyperlink" Target="https://ppcafr.sharepoint.com/:b:/r/sites/knshr/HR%20ADMINISTRATION/ETAT%20DES%20INCORPORATIONS/2026/Etat_INCORPORATION_%20Famille%20MASSADI.pdf?csf=1&amp;web=1&amp;e=uQIeav" TargetMode="External"/><Relationship Id="rId24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k1SEhL" TargetMode="External"/><Relationship Id="rId5" Type="http://schemas.openxmlformats.org/officeDocument/2006/relationships/hyperlink" Target="https://ppcafr.sharepoint.com/:b:/r/sites/knshr/HR%20ADMINISTRATION/ETAT%20DES%20INCORPORATIONS/2026/Etat_INCORPORATION_%20MUSAKO.pdf?csf=1&amp;web=1&amp;e=yddcfo" TargetMode="External"/><Relationship Id="rId15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amp;amp;amp;amp;amp;amp;amp;amp;amp;amp;amp;amp;amp;amp;amp;amp;amp;amp;amp;amp;amp;amp;amp;web=1&amp;amp;amp;amp;amp;amp;amp;amp;amp;amp;amp;amp;amp;amp;amp;amp;amp;amp;amp;amp;amp;amp;amp;amp;e=rFFtit" TargetMode="External"/><Relationship Id="rId23" Type="http://schemas.openxmlformats.org/officeDocument/2006/relationships/hyperlink" Target="https://ppcafr.sharepoint.com/:b:/r/sites/knshr/HR%20ADMINISTRATION/ETAT%20DES%20INCORPORATIONS/2026/Etat_INCORPORATION_Sosthene.pdf?csf=1&amp;amp;amp;amp;amp;amp;web=1&amp;amp;amp;amp;amp;amp;e=KBdYBo" TargetMode="External"/><Relationship Id="rId10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19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4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WflqwM" TargetMode="External"/><Relationship Id="rId9" Type="http://schemas.openxmlformats.org/officeDocument/2006/relationships/hyperlink" Target="https://ppcafr.sharepoint.com/:b:/r/sites/knshr/HR%20ADMINISTRATION/ETAT%20DES%20INCORPORATIONS/2026/Etat_INCORPORATION_%20Famille%20MASSADI.pdf?csf=1&amp;web=1&amp;e=uQIeav" TargetMode="External"/><Relationship Id="rId14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amp;amp;amp;amp;amp;amp;amp;amp;amp;amp;amp;amp;amp;amp;amp;amp;amp;amp;amp;amp;amp;amp;amp;web=1&amp;amp;amp;amp;amp;amp;amp;amp;amp;amp;amp;amp;amp;amp;amp;amp;amp;amp;amp;amp;amp;amp;amp;amp;e=rFFtit" TargetMode="External"/><Relationship Id="rId22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rFFtit" TargetMode="External"/><Relationship Id="rId26" Type="http://schemas.openxmlformats.org/officeDocument/2006/relationships/hyperlink" Target="https://ppcafr.sharepoint.com/:b:/r/sites/knshr/HR%20ADMINISTRATION/ETAT%20DES%20INCORPORATIONS/2026/Etat_INCORPORATION_1_POLICE_1_0807.pdf?csf=1&amp;amp;amp;amp;amp;amp;amp;amp;amp;amp;amp;amp;amp;amp;amp;amp;amp;amp;amp;amp;amp;amp;amp;amp;web=1&amp;amp;amp;amp;amp;amp;amp;amp;amp;amp;amp;amp;amp;amp;amp;amp;amp;amp;amp;amp;amp;amp;amp;amp;e=Y0DLts" TargetMode="External"/><Relationship Id="rId27" Type="http://schemas.openxmlformats.org/officeDocument/2006/relationships/hyperlink" Target="https://ppcafr.sharepoint.com/:b:/r/sites/knshr/HR%20ADMINISTRATION/ETAT%20DES%20INCORPORATIONS/2026/Yvan%20Etat_INCORPORATION_1_POLICE_1_0607.pdf?csf=1&amp;amp;amp;amp;amp;amp;amp;amp;amp;amp;amp;amp;amp;amp;amp;amp;amp;amp;amp;amp;amp;amp;amp;amp;web=1&amp;amp;amp;amp;amp;amp;amp;amp;amp;amp;amp;amp;amp;amp;amp;amp;amp;amp;amp;amp;amp;amp;amp;amp;e=VQFlQQ" TargetMode="External"/><Relationship Id="rId28" Type="http://schemas.openxmlformats.org/officeDocument/2006/relationships/hyperlink" Target="https://ppcafr.sharepoint.com/:b:/r/sites/knshr/HR%20ADMINISTRATION/ETAT%20DES%20INCORPORATIONS/2026/Etat_INCORPORATION_Sosthene.pdf?csf=1&amp;amp;amp;amp;amp;amp;web=1&amp;amp;amp;amp;amp;amp;e=KBdYBo" TargetMode="External"/><Relationship Id="rId29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WflqwM" TargetMode="External"/><Relationship Id="rId30" Type="http://schemas.openxmlformats.org/officeDocument/2006/relationships/hyperlink" Target="https://ppcafr.sharepoint.com/:b:/r/sites/knshr/HR%20ADMINISTRATION/ETAT%20DES%20INCORPORATIONS/2026/Etat_INCORPORATION_%20MUSAKO.pdf?csf=1&amp;web=1&amp;e=yddcfo" TargetMode="External"/><Relationship Id="rId31" Type="http://schemas.openxmlformats.org/officeDocument/2006/relationships/hyperlink" Target="https://ppcafr.sharepoint.com/:b:/r/sites/knshr/HR%20ADMINISTRATION/ETAT%20DES%20INCORPORATIONS/2026/Etat_INCORPORATION_%20KAMUNGA.pdf?csf=1&amp;web=1&amp;e=6wi2RC" TargetMode="External"/><Relationship Id="rId32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amp;amp;amp;amp;amp;amp;amp;amp;amp;amp;amp;amp;amp;amp;amp;amp;amp;amp;amp;amp;amp;amp;amp;web=1&amp;amp;amp;amp;amp;amp;amp;amp;amp;amp;amp;amp;amp;amp;amp;amp;amp;amp;amp;amp;amp;amp;amp;amp;e=rFFtit" TargetMode="External"/><Relationship Id="rId33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amp;amp;amp;amp;amp;amp;amp;amp;amp;amp;amp;amp;amp;amp;amp;amp;amp;amp;amp;amp;amp;amp;amp;web=1&amp;amp;amp;amp;amp;amp;amp;amp;amp;amp;amp;amp;amp;amp;amp;amp;amp;amp;amp;amp;amp;amp;amp;amp;e=rFFtit" TargetMode="External"/><Relationship Id="rId34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k1SEhL" TargetMode="External"/><Relationship Id="rId35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rFFtit" TargetMode="External"/><Relationship Id="rId36" Type="http://schemas.openxmlformats.org/officeDocument/2006/relationships/hyperlink" Target="https://ppcafr.sharepoint.com/:b:/r/sites/knshr/HR%20ADMINISTRATION/ETAT%20DES%20INCORPORATIONS/2026/Etat_INCORPORATION_Famille%20junior,%20Ndonda%20pascal,%20MAKIVOVI%20et%20Kindaga.pdf?csf=1&amp;web=1&amp;e=rFFt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C1E10-C133-424E-A227-67872F1F6326}">
  <sheetPr>
    <tabColor rgb="FFC00000"/>
  </sheetPr>
  <sheetViews>
    <sheetView showGridLines="0" topLeftCell="B12" zoomScaleNormal="100" workbookViewId="0">
      <selection activeCell="L27" sqref="L27"/>
    </sheetView>
  </sheetViews>
  <sheetFormatPr defaultRowHeight="12.5" x14ac:dyDescent="0.25"/>
  <cols>
    <col min="1" max="1" width="12.453125" style="2" customWidth="1"/>
    <col min="2" max="3" width="11.54296875" style="29" customWidth="1"/>
    <col min="4" max="4" width="13.26953125" style="29" customWidth="1"/>
    <col min="5" max="5" width="2" style="2" customWidth="1"/>
    <col min="6" max="6" width="10.54296875" style="44" customWidth="1"/>
    <col min="7" max="7" width="7" style="44" bestFit="1" customWidth="1"/>
    <col min="8" max="8" width="1.1796875" style="44" customWidth="1"/>
    <col min="9" max="9" width="9" style="44" bestFit="1" customWidth="1"/>
    <col min="10" max="10" width="7" style="44" bestFit="1" customWidth="1"/>
    <col min="11" max="11" width="1.36328125" style="44" customWidth="1"/>
    <col min="12" max="12" width="18.90625" style="44" bestFit="1" customWidth="1"/>
    <col min="13" max="13" width="10.6328125" style="44" bestFit="1" customWidth="1"/>
    <col min="14" max="14" width="11.54296875" style="44" customWidth="1"/>
    <col min="15" max="15" width="8.7265625" style="44"/>
    <col min="16" max="16" width="15.54296875" style="44" bestFit="1" customWidth="1"/>
    <col min="17" max="17" width="7" style="44" bestFit="1" customWidth="1"/>
    <col min="18" max="20" width="8.7265625" style="44"/>
    <col min="21" max="21" width="26.90625" style="33" customWidth="1"/>
    <col min="22" max="22" width="8.7265625" style="33"/>
    <col min="23" max="23" width="8.7265625" style="44"/>
    <col min="24" max="16384" width="8.7265625" style="2"/>
  </cols>
  <sheetData>
    <row r="1" spans="1:22" ht="35" x14ac:dyDescent="0.7">
      <c r="A1" t="s" s="30">
        <v>723</v>
      </c>
      <c r="B1" s="29"/>
      <c r="C1" s="29"/>
      <c r="D1" s="29"/>
      <c r="E1" s="2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33"/>
      <c r="V1" s="33"/>
    </row>
    <row r="2" spans="1:22" ht="19" customHeight="1" thickBot="1" x14ac:dyDescent="0.75">
      <c r="A2" s="30"/>
      <c r="B2" s="29"/>
      <c r="C2" s="29"/>
      <c r="D2" s="29"/>
      <c r="E2" s="2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33"/>
      <c r="V2" s="33"/>
    </row>
    <row r="3" spans="1:22" ht="13" x14ac:dyDescent="0.25">
      <c r="A3" t="s" s="73">
        <v>180</v>
      </c>
      <c r="B3" s="74"/>
      <c r="C3" s="74"/>
      <c r="D3" s="75"/>
      <c r="E3" s="2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33"/>
      <c r="V3" s="33"/>
    </row>
    <row r="4" spans="1:22" x14ac:dyDescent="0.25">
      <c r="A4" s="76">
        <f>COUNTIF(DEPENDANTS!$D$3:$D$725,"&lt;&gt;")</f>
      </c>
      <c r="B4" s="77"/>
      <c r="C4" s="77"/>
      <c r="D4" s="78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</row>
    <row r="5" spans="1:22" ht="13" x14ac:dyDescent="0.3">
      <c r="A5" s="76"/>
      <c r="B5" s="77"/>
      <c r="C5" s="77"/>
      <c r="D5" s="78"/>
      <c r="E5" s="33"/>
      <c r="F5" t="s" s="50">
        <v>181</v>
      </c>
      <c r="G5" s="33"/>
      <c r="H5" s="33"/>
      <c r="I5" t="s" s="50">
        <v>182</v>
      </c>
      <c r="J5" s="33"/>
      <c r="K5" s="33"/>
      <c r="L5" t="s" s="50">
        <v>183</v>
      </c>
      <c r="M5" s="33"/>
      <c r="N5" s="33"/>
      <c r="O5" s="33"/>
      <c r="P5" t="s" s="50">
        <v>184</v>
      </c>
      <c r="Q5" s="33"/>
      <c r="R5" s="33"/>
      <c r="S5" s="33"/>
      <c r="T5" s="33"/>
      <c r="U5" s="33"/>
      <c r="V5" s="33"/>
    </row>
    <row r="6" spans="1:22" ht="19.5" customHeight="1" x14ac:dyDescent="0.25">
      <c r="A6" s="76"/>
      <c r="B6" s="77"/>
      <c r="C6" s="77"/>
      <c r="D6" s="78"/>
      <c r="E6" s="33"/>
      <c r="F6" t="s" s="31">
        <v>186</v>
      </c>
      <c r="G6" t="s" s="32">
        <v>187</v>
      </c>
      <c r="H6" s="33"/>
      <c r="I6" t="s" s="31">
        <v>188</v>
      </c>
      <c r="J6" t="s" s="32">
        <v>187</v>
      </c>
      <c r="K6" s="33"/>
      <c r="L6" t="s" s="31">
        <v>189</v>
      </c>
      <c r="M6" t="s" s="32">
        <v>190</v>
      </c>
      <c r="N6" t="s" s="32">
        <v>192</v>
      </c>
      <c r="O6" s="33"/>
      <c r="P6" t="s" s="31">
        <v>193</v>
      </c>
      <c r="Q6" t="s" s="32">
        <v>187</v>
      </c>
      <c r="R6" s="33"/>
      <c r="S6" t="s" s="32">
        <v>207</v>
      </c>
      <c r="T6" t="s" s="32">
        <v>187</v>
      </c>
      <c r="U6" t="s" s="31">
        <v>178</v>
      </c>
      <c r="V6" t="s" s="32">
        <v>179</v>
      </c>
    </row>
    <row r="7" spans="1:22" ht="19.5" customHeight="1" x14ac:dyDescent="0.25">
      <c r="A7" s="76"/>
      <c r="B7" s="77"/>
      <c r="C7" s="77"/>
      <c r="D7" s="78"/>
      <c r="E7" s="33"/>
      <c r="F7" t="s" s="34">
        <v>192</v>
      </c>
      <c r="G7" s="32">
        <f>COUNTIF(DEPENDANTS!$D$3:$D$725,"Enfant")</f>
      </c>
      <c r="H7" s="33"/>
      <c r="I7" t="s" s="34">
        <v>195</v>
      </c>
      <c r="J7" s="32">
        <f>COUNTIF(DEPENDANTS!$E$3:$E$725,"M")</f>
      </c>
      <c r="K7" s="33"/>
      <c r="L7" t="s" s="34">
        <v>177</v>
      </c>
      <c r="M7" s="32">
        <f>COUNTIFS(DEPENDANTS!$G$3:$G$725,"Kinshasa",DEPENDANTS!$D$3:$D$725,"*Employ*")</f>
      </c>
      <c r="N7" s="32">
        <f>COUNTIFS(DEPENDANTS!$G$3:$G$725,"Kinshasa",DEPENDANTS!$D$3:$D$725,"Enfant")</f>
      </c>
      <c r="O7" s="33"/>
      <c r="P7" t="s" s="34">
        <v>196</v>
      </c>
      <c r="Q7" s="32">
        <f ca="1">COUNTIFS(DEPENDANTS!$I$3:$I$725,"&gt;=0",DEPENDANTS!$I$3:$I$725,"&lt;=2")</f>
      </c>
      <c r="R7" s="33"/>
      <c r="S7" t="s" s="34">
        <v>177</v>
      </c>
      <c r="T7" s="32">
        <f>V11</f>
      </c>
      <c r="U7" t="s" s="34">
        <v>180</v>
      </c>
      <c r="V7" s="32">
        <f>COUNTIF(DEPENDANTS!$D$3:$D$725,"&lt;&gt;")</f>
      </c>
    </row>
    <row r="8" spans="1:22" ht="19.5" customHeight="1" x14ac:dyDescent="0.25">
      <c r="A8" t="s" s="35">
        <v>185</v>
      </c>
      <c r="B8" s="90">
        <f>U9</f>
      </c>
      <c r="C8" s="90"/>
      <c r="D8" s="36">
        <f>U10</f>
      </c>
      <c r="E8" s="33"/>
      <c r="F8" t="s" s="34">
        <v>190</v>
      </c>
      <c r="G8" s="32">
        <f>COUNTIF(DEPENDANTS!$D$3:$D$725,"*Employ*")</f>
      </c>
      <c r="H8" s="33"/>
      <c r="I8" t="s" s="34">
        <v>198</v>
      </c>
      <c r="J8" s="32">
        <f>COUNTIF(DEPENDANTS!$E$3:$E$725,"F")</f>
      </c>
      <c r="K8" s="33"/>
      <c r="L8" t="s" s="34">
        <v>0</v>
      </c>
      <c r="M8" s="32">
        <f>COUNTIFS(DEPENDANTS!$G$3:$G$725,"Zamba",DEPENDANTS!$D$3:$D$725,"*Employ*")</f>
      </c>
      <c r="N8" s="32">
        <f>COUNTIFS(DEPENDANTS!$G$3:$G$725,"Zamba",DEPENDANTS!$D$3:$D$725,"Enfant")</f>
      </c>
      <c r="O8" s="33"/>
      <c r="P8" t="s" s="34">
        <v>199</v>
      </c>
      <c r="Q8" s="32">
        <f ca="1">COUNTIFS(DEPENDANTS!$I$3:$I$725,"&gt;=3",DEPENDANTS!$I$3:$I$725,"&lt;=12")</f>
      </c>
      <c r="R8" s="33"/>
      <c r="S8" t="s" s="34">
        <v>0</v>
      </c>
      <c r="T8" s="32">
        <f>V12</f>
      </c>
      <c r="U8" t="s" s="34">
        <v>185</v>
      </c>
      <c r="V8" s="32"/>
    </row>
    <row r="9" spans="1:22" ht="19.5" customHeight="1" thickBot="1" x14ac:dyDescent="0.3">
      <c r="A9" s="37">
        <f>COUNTIF(DEPENDANTS!$D$3:$D$725,"*Employ*")</f>
      </c>
      <c r="B9" s="91">
        <f>COUNTIF(DEPENDANTS!$D$3:$D$725,"*Conjoint*")</f>
      </c>
      <c r="C9" s="91"/>
      <c r="D9" s="38">
        <f>COUNTIF(DEPENDANTS!$D$3:$D$725,"Enfant")</f>
      </c>
      <c r="E9" s="33"/>
      <c r="F9" t="s" s="34">
        <v>191</v>
      </c>
      <c r="G9" s="32">
        <f>COUNTIF(DEPENDANTS!$D$3:$D$725,"*Conjoint*")</f>
      </c>
      <c r="H9" s="33"/>
      <c r="I9" s="33"/>
      <c r="J9" s="33"/>
      <c r="K9" s="33"/>
      <c r="L9" t="s" s="34">
        <v>747</v>
      </c>
      <c r="M9" s="32">
        <f>COUNTIFS(DEPENDANTS!$G$3:$G$725,"Lubudi",DEPENDANTS!$D$3:$D$725,"*Employ*")</f>
      </c>
      <c r="N9" s="32">
        <f>COUNTIFS(DEPENDANTS!$G$3:$G$725,"Lubudi",DEPENDANTS!$D$3:$D$725,"Enfant")</f>
      </c>
      <c r="O9" s="33"/>
      <c r="P9" t="s" s="34">
        <v>200</v>
      </c>
      <c r="Q9" s="32">
        <f ca="1">COUNTIFS(DEPENDANTS!$I$3:$I$725,"&gt;=13",DEPENDANTS!$I$3:$I$725,"&lt;=15")</f>
      </c>
      <c r="R9" s="33"/>
      <c r="S9" t="s" s="33">
        <v>748</v>
      </c>
      <c r="T9" s="32">
        <f>V16</f>
      </c>
      <c r="U9" t="s" s="34">
        <v>194</v>
      </c>
      <c r="V9" s="32"/>
    </row>
    <row r="10" spans="1:22" ht="19.5" customHeight="1" thickBot="1" x14ac:dyDescent="0.3">
      <c r="A10" t="s" s="79">
        <v>724</v>
      </c>
      <c r="B10" s="80"/>
      <c r="C10" s="80"/>
      <c r="D10" s="81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t="s" s="34">
        <v>201</v>
      </c>
      <c r="Q10" s="32">
        <f ca="1">COUNTIFS(DEPENDANTS!$I$3:$I$725,"&gt;=16",DEPENDANTS!$I$3:$I$725,"&lt;=19")</f>
      </c>
      <c r="R10" s="33"/>
      <c r="S10" s="33"/>
      <c r="T10" s="33"/>
      <c r="U10" t="s" s="34">
        <v>197</v>
      </c>
      <c r="V10" s="32"/>
    </row>
    <row r="11" spans="1:22" ht="19.5" customHeight="1" x14ac:dyDescent="0.25">
      <c r="A11" t="s" s="39">
        <v>4</v>
      </c>
      <c r="B11" t="s" s="40">
        <v>177</v>
      </c>
      <c r="C11" t="s" s="51">
        <v>747</v>
      </c>
      <c r="D11" t="s" s="52">
        <v>0</v>
      </c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t="s" s="34">
        <v>203</v>
      </c>
      <c r="Q11" s="32">
        <f ca="1">COUNTIFS(DEPENDANTS!$I$3:$I$725,"&gt;=20",DEPENDANTS!$I$3:$I$725,"&lt;=25")</f>
      </c>
      <c r="R11" s="33"/>
      <c r="S11" s="33"/>
      <c r="T11" s="33"/>
      <c r="U11" t="s" s="34">
        <v>177</v>
      </c>
      <c r="V11" s="32">
        <f>COUNTIF(DEPENDANTS!$G$3:$G$725,"Kinshasa")</f>
      </c>
    </row>
    <row r="12" spans="1:22" ht="19.5" customHeight="1" x14ac:dyDescent="0.25">
      <c r="A12" s="82">
        <f>SUM(B12:D12)</f>
      </c>
      <c r="B12" s="84">
        <f>COUNTIF(DEPENDANTS!$G$3:$G$725,"Kinshasa")</f>
      </c>
      <c r="C12" s="88">
        <f>COUNTIF(DEPENDANTS!$G$3:$G$725,"Lubudi")</f>
      </c>
      <c r="D12" s="86">
        <f>COUNTIF(DEPENDANTS!$G$3:$G$725,"Zamba")</f>
      </c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t="s" s="34">
        <v>205</v>
      </c>
      <c r="Q12" s="32">
        <f ca="1">COUNTIF(DEPENDANTS!$I$3:$I$725,"&gt;=26")</f>
      </c>
      <c r="R12" s="33"/>
      <c r="S12" s="33"/>
      <c r="T12" s="33"/>
      <c r="U12" t="s" s="34">
        <v>0</v>
      </c>
      <c r="V12" s="32">
        <f>COUNTIF(DEPENDANTS!$G$3:$G$725,"Zamba")</f>
      </c>
    </row>
    <row r="13" spans="1:22" ht="19.5" customHeight="1" x14ac:dyDescent="0.25">
      <c r="A13" s="82"/>
      <c r="B13" s="84"/>
      <c r="C13" s="88"/>
      <c r="D13" s="86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t="s" s="34">
        <v>202</v>
      </c>
      <c r="V13" s="32">
        <f>COUNTIF(DEPENDANTS!$B$3:$B$725,"&lt;&gt;")</f>
      </c>
    </row>
    <row r="14" spans="1:22" ht="19.5" customHeight="1" thickBot="1" x14ac:dyDescent="0.3">
      <c r="A14" s="83"/>
      <c r="B14" s="85"/>
      <c r="C14" s="89"/>
      <c r="D14" s="87"/>
      <c r="E14" s="2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t="s" s="34">
        <v>204</v>
      </c>
      <c r="V14" s="32"/>
    </row>
    <row r="15" spans="1:22" ht="19.5" customHeight="1" x14ac:dyDescent="0.25">
      <c r="A15" t="s" s="95">
        <v>757</v>
      </c>
      <c r="B15" s="96"/>
      <c r="C15" s="96"/>
      <c r="D15" s="97"/>
      <c r="E15" s="2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t="s" s="34">
        <v>206</v>
      </c>
      <c r="V15" s="41"/>
    </row>
    <row r="16" spans="1:22" ht="18.5" customHeight="1" thickBot="1" x14ac:dyDescent="0.3">
      <c r="A16" s="92">
        <f>COUNTIFS(DEPENDANTS!$D$3:$D$725,"*Employ*",DEPENDANTS!$B$3:$B$725,"&lt;&gt;")</f>
      </c>
      <c r="B16" s="93"/>
      <c r="C16" s="93"/>
      <c r="D16" s="94"/>
      <c r="E16" s="2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t="s" s="34">
        <v>748</v>
      </c>
      <c r="V16" s="32">
        <f>COUNTIF(DEPENDANTS!$G$3:$G$725,"lubudi")</f>
      </c>
    </row>
    <row r="17" spans="1:22" ht="19.5" customHeight="1" x14ac:dyDescent="0.25">
      <c r="A17" t="s" s="95">
        <v>758</v>
      </c>
      <c r="B17" s="96"/>
      <c r="C17" s="96"/>
      <c r="D17" s="97"/>
      <c r="E17" s="2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34"/>
      <c r="V17" s="32"/>
    </row>
    <row r="18" spans="1:22" ht="21" customHeight="1" thickBot="1" x14ac:dyDescent="0.3">
      <c r="A18" s="98">
        <f>AVERAGEIF(DEPENDANTS!$D$3:$D$725,"*Employ*",DEPENDANTS!$K$3:$K$725)</f>
      </c>
      <c r="B18" s="99"/>
      <c r="C18" s="99"/>
      <c r="D18" s="100"/>
      <c r="E18" s="2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33"/>
      <c r="V18" s="33"/>
    </row>
    <row r="19" spans="1:22" ht="13" x14ac:dyDescent="0.25">
      <c r="A19" t="s" s="95">
        <v>759</v>
      </c>
      <c r="B19" s="96"/>
      <c r="C19" s="96"/>
      <c r="D19" s="97"/>
      <c r="E19" s="2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33"/>
      <c r="V19" s="33"/>
    </row>
    <row r="20" spans="1:22" ht="23.5" customHeight="1" thickBot="1" x14ac:dyDescent="0.3">
      <c r="A20" s="92">
        <f>COUNTIFS(DEPENDANTS!$D$3:$D$725,"*Employ*",DEPENDANTS!$L$3:$L$725,"&gt;=2")</f>
      </c>
      <c r="B20" s="93"/>
      <c r="C20" s="93"/>
      <c r="D20" s="94"/>
      <c r="E20" s="2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33"/>
      <c r="V20" s="33"/>
    </row>
    <row r="21" spans="1:22" ht="13" x14ac:dyDescent="0.25">
      <c r="A21" t="s" s="95">
        <v>760</v>
      </c>
      <c r="B21" s="96"/>
      <c r="C21" s="96"/>
      <c r="D21" s="97"/>
      <c r="E21" s="2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33"/>
      <c r="V21" s="33"/>
    </row>
    <row r="22" spans="1:22" ht="26.5" customHeight="1" thickBot="1" x14ac:dyDescent="0.3">
      <c r="A22" s="92">
        <f>COUNTIFS(DEPENDANTS!$D$3:$D$725,"*Employ*",DEPENDANTS!$L$3:$L$725,"1")</f>
      </c>
      <c r="B22" s="93"/>
      <c r="C22" s="93"/>
      <c r="D22" s="94"/>
      <c r="E22" s="2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33"/>
      <c r="V22" s="33"/>
    </row>
    <row r="23">
      <c r="A23" s="2"/>
      <c r="B23" s="29"/>
      <c r="C23" s="29"/>
      <c r="D23" s="29"/>
      <c r="E23" s="2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33"/>
      <c r="V23" s="33"/>
    </row>
    <row r="24" spans="1:22" x14ac:dyDescent="0.25">
      <c r="A24" s="44">
        <f>A19</f>
      </c>
      <c r="B24" s="44">
        <f>A21</f>
      </c>
      <c r="C24" s="44"/>
      <c r="D24" s="45"/>
      <c r="E24" s="2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33"/>
      <c r="V24" s="33"/>
    </row>
    <row r="25" spans="1:22" ht="13" thickBot="1" x14ac:dyDescent="0.3">
      <c r="A25" s="45">
        <f>A20</f>
      </c>
      <c r="B25" s="45">
        <f>A22</f>
      </c>
      <c r="C25" s="45"/>
      <c r="D25" s="45"/>
      <c r="E25" s="2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33"/>
      <c r="V25" s="33"/>
    </row>
    <row r="26" spans="1:22" ht="18" thickBot="1" x14ac:dyDescent="0.3">
      <c r="A26" t="s" s="53">
        <v>749</v>
      </c>
      <c r="B26" s="54"/>
      <c r="C26" s="54"/>
      <c r="D26" s="54"/>
      <c r="E26" s="55"/>
      <c r="F26" s="56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33"/>
      <c r="V26" s="33"/>
    </row>
    <row r="27" spans="1:22" ht="14.5" x14ac:dyDescent="0.25">
      <c r="A27" t="s" s="57">
        <v>207</v>
      </c>
      <c r="B27" t="s" s="58">
        <v>750</v>
      </c>
      <c r="C27" t="s" s="58">
        <v>751</v>
      </c>
      <c r="D27" t="s" s="58">
        <v>752</v>
      </c>
      <c r="E27" t="s" s="1">
        <v>4</v>
      </c>
      <c r="F27" s="68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33"/>
      <c r="V27" s="33"/>
    </row>
    <row r="28" spans="1:22" ht="14.5" x14ac:dyDescent="0.25">
      <c r="A28" t="s" s="60">
        <v>0</v>
      </c>
      <c r="B28" s="61">
        <f>COUNTIFS(DEPENDANTS!$G$3:$G$725,"Zamba",DEPENDANTS!$D$3:$D$725,"*Employ*")</f>
      </c>
      <c r="C28" s="61">
        <f>COUNTIFS(DEPENDANTS!$G$3:$G$725,"Zamba",DEPENDANTS!$D$3:$D$725,"*Conjoint*")</f>
      </c>
      <c r="D28" s="61">
        <f>COUNTIFS(DEPENDANTS!$G$3:$G$725,"Zamba",DEPENDANTS!$D$3:$D$725,"Enfant")</f>
      </c>
      <c r="E28" s="69">
        <f>SUM(B28:D28)</f>
      </c>
      <c r="F28" s="70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33"/>
      <c r="V28" s="33"/>
    </row>
    <row r="29" spans="1:22" ht="14.5" x14ac:dyDescent="0.25">
      <c r="A29" t="s" s="60">
        <v>177</v>
      </c>
      <c r="B29" s="61">
        <f>COUNTIFS(DEPENDANTS!$G$3:$G$725,"Kinshasa",DEPENDANTS!$D$3:$D$725,"*Employ*")</f>
      </c>
      <c r="C29" s="61">
        <f>COUNTIFS(DEPENDANTS!$G$3:$G$725,"Kinshasa",DEPENDANTS!$D$3:$D$725,"*Conjoint*")</f>
      </c>
      <c r="D29" s="61">
        <f>COUNTIFS(DEPENDANTS!$G$3:$G$725,"Kinshasa",DEPENDANTS!$D$3:$D$725,"Enfant")</f>
      </c>
      <c r="E29" s="69">
        <f>SUM(B29:D29)</f>
      </c>
      <c r="F29" s="70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33"/>
      <c r="V29" s="33"/>
    </row>
    <row r="30" spans="1:22" ht="14.5" x14ac:dyDescent="0.25">
      <c r="A30" t="s" s="60">
        <v>747</v>
      </c>
      <c r="B30" s="61">
        <f>COUNTIFS(DEPENDANTS!$G$3:$G$725,"Lubudi",DEPENDANTS!$D$3:$D$725,"*Employ*")</f>
      </c>
      <c r="C30" s="61">
        <f>COUNTIFS(DEPENDANTS!$G$3:$G$725,"Lubudi",DEPENDANTS!$D$3:$D$725,"*Conjoint*")</f>
      </c>
      <c r="D30" s="61">
        <f>COUNTIFS(DEPENDANTS!$G$3:$G$725,"Lubudi",DEPENDANTS!$D$3:$D$725,"Enfant")</f>
      </c>
      <c r="E30" s="69">
        <f>SUM(B30:D30)</f>
      </c>
      <c r="F30" s="70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33"/>
      <c r="V30" s="33"/>
    </row>
    <row r="31" spans="1:22" ht="15" thickBot="1" x14ac:dyDescent="0.3">
      <c r="A31" t="s" s="64">
        <v>753</v>
      </c>
      <c r="B31" s="65">
        <f>SUM(B28:B30)</f>
      </c>
      <c r="C31" s="65">
        <f>SUM(C28:C30)</f>
      </c>
      <c r="D31" s="65">
        <f>SUM(D28:D30)</f>
      </c>
      <c r="E31" s="71">
        <f>SUM(E28:E30)</f>
      </c>
      <c r="F31" s="72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33"/>
      <c r="V31" s="33"/>
    </row>
    <row r="32" spans="1:22" ht="13" thickBot="1" x14ac:dyDescent="0.3">
      <c r="A32" s="2"/>
      <c r="B32" s="29"/>
      <c r="C32" s="29"/>
      <c r="D32" s="29"/>
      <c r="E32" s="2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33"/>
      <c r="V32" s="33"/>
    </row>
    <row r="33" spans="1:6" ht="18" thickBot="1" x14ac:dyDescent="0.3">
      <c r="A33" t="s" s="67">
        <v>754</v>
      </c>
      <c r="B33" s="54"/>
      <c r="C33" s="54"/>
      <c r="D33" s="55"/>
      <c r="E33" s="56"/>
      <c r="F33" s="2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33"/>
      <c r="V33" s="33"/>
    </row>
    <row r="34" spans="1:6" ht="14.5" x14ac:dyDescent="0.25">
      <c r="A34" t="s" s="57">
        <v>207</v>
      </c>
      <c r="B34" t="s" s="58">
        <v>755</v>
      </c>
      <c r="C34" t="s" s="58">
        <v>756</v>
      </c>
      <c r="D34" t="s" s="58">
        <v>4</v>
      </c>
      <c r="E34" s="59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33"/>
      <c r="V34" s="33"/>
    </row>
    <row r="35" spans="1:6" ht="14.5" x14ac:dyDescent="0.25">
      <c r="A35" t="s" s="60">
        <v>0</v>
      </c>
      <c r="B35" s="61">
        <f ca="1">COUNTIFS(DEPENDANTS!$G$3:$G$725,"Zamba",DEPENDANTS!$I$3:$I$725,"&lt;=17")</f>
      </c>
      <c r="C35" s="61">
        <f ca="1">COUNTIF(DEPENDANTS!$G$3:$G$725,"Zamba")-B35</f>
      </c>
      <c r="D35" s="62">
        <f ca="1">SUM(B35:C35)</f>
      </c>
      <c r="E35" s="63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33"/>
      <c r="V35" s="33"/>
    </row>
    <row r="36" spans="1:6" ht="14.5" x14ac:dyDescent="0.25">
      <c r="A36" t="s" s="60">
        <v>177</v>
      </c>
      <c r="B36" s="61">
        <f ca="1">COUNTIFS(DEPENDANTS!$G$3:$G$725,"Kinshasa",DEPENDANTS!$I$3:$I$725,"&lt;=17")</f>
      </c>
      <c r="C36" s="61">
        <f ca="1">COUNTIF(DEPENDANTS!$G$3:$G$725,"Kinshasa")-B36</f>
      </c>
      <c r="D36" s="62">
        <f ca="1">SUM(B36:C36)</f>
      </c>
      <c r="E36" s="6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33"/>
      <c r="V36" s="33"/>
    </row>
    <row r="37" spans="1:6" ht="14.5" x14ac:dyDescent="0.25">
      <c r="A37" t="s" s="60">
        <v>747</v>
      </c>
      <c r="B37" s="61">
        <f ca="1">COUNTIFS(DEPENDANTS!$G$3:$G$725,"Lubudi",DEPENDANTS!$I$3:$I$725,"&lt;=17")</f>
      </c>
      <c r="C37" s="61">
        <f ca="1">COUNTIF(DEPENDANTS!$G$3:$G$725,"Lubudi")-B37</f>
      </c>
      <c r="D37" s="62">
        <f ca="1">SUM(B37:C37)</f>
      </c>
      <c r="E37" s="63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33"/>
      <c r="V37" s="33"/>
    </row>
    <row r="38" spans="1:6" ht="15" thickBot="1" x14ac:dyDescent="0.3">
      <c r="A38" t="s" s="64">
        <v>753</v>
      </c>
      <c r="B38" s="65">
        <f ca="1">SUM(B35:B37)</f>
      </c>
      <c r="C38" s="65">
        <f ca="1">SUM(C35:C37)</f>
      </c>
      <c r="D38" s="65">
        <f ca="1">SUM(D35:D37)</f>
      </c>
      <c r="E38" s="66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33"/>
      <c r="V38" s="33"/>
    </row>
  </sheetData>
  <mergeCells count="22">
    <mergeCell ref="A22:D22"/>
    <mergeCell ref="A15:D15"/>
    <mergeCell ref="A17:D17"/>
    <mergeCell ref="A19:D19"/>
    <mergeCell ref="A21:D21"/>
    <mergeCell ref="A16:D16"/>
    <mergeCell ref="A18:D18"/>
    <mergeCell ref="A20:D20"/>
    <mergeCell ref="A3:D3"/>
    <mergeCell ref="A4:D7"/>
    <mergeCell ref="A10:D10"/>
    <mergeCell ref="A12:A14"/>
    <mergeCell ref="B12:B14"/>
    <mergeCell ref="D12:D14"/>
    <mergeCell ref="C12:C14"/>
    <mergeCell ref="B8:C8"/>
    <mergeCell ref="B9:C9"/>
    <mergeCell ref="E27:F27"/>
    <mergeCell ref="E28:F28"/>
    <mergeCell ref="E29:F29"/>
    <mergeCell ref="E30:F30"/>
    <mergeCell ref="E31:F3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6980C-8FE5-4721-A710-9201FE9A9356}">
  <sheetPr>
    <tabColor rgb="FFC00000"/>
    <pageSetUpPr fitToPage="1"/>
  </sheetPr>
  <sheetViews>
    <sheetView showGridLines="0" tabSelected="1" zoomScale="90" zoomScaleNormal="90" workbookViewId="0">
      <selection activeCell="M1" sqref="M1"/>
    </sheetView>
  </sheetViews>
  <sheetFormatPr defaultColWidth="11.453125" defaultRowHeight="12.5" x14ac:dyDescent="0.25"/>
  <cols>
    <col min="1" max="1" width="4.453125" style="8" customWidth="1"/>
    <col min="2" max="3" width="14" style="8" customWidth="1"/>
    <col min="4" max="4" width="12.7265625" style="8" customWidth="1"/>
    <col min="5" max="5" width="8.7265625" style="8" customWidth="1"/>
    <col min="6" max="6" width="34.1796875" style="8" customWidth="1"/>
    <col min="7" max="7" width="14.7265625" style="22" customWidth="1"/>
    <col min="8" max="8" width="17.7265625" style="28" customWidth="1"/>
    <col min="9" max="9" width="11.1796875" style="8" customWidth="1"/>
    <col min="10" max="10" width="20" style="8" customWidth="1"/>
    <col min="11" max="12" width="9.7265625" style="8" customWidth="1"/>
    <col min="13" max="13" width="23.08984375" style="8" customWidth="1"/>
    <col min="14" max="14" width="23.08984375" style="104" customWidth="1"/>
    <col min="15" max="16" width="23.08984375" style="8" customWidth="1"/>
    <col min="17" max="259" width="11.453125" style="8"/>
    <col min="260" max="260" width="9.26953125" style="8" customWidth="1"/>
    <col min="261" max="261" width="8.26953125" style="8" customWidth="1"/>
    <col min="262" max="262" width="9.26953125" style="8" customWidth="1"/>
    <col min="263" max="263" width="20.7265625" style="8" customWidth="1"/>
    <col min="264" max="264" width="14.7265625" style="8" customWidth="1"/>
    <col min="265" max="265" width="11.1796875" style="8" customWidth="1"/>
    <col min="266" max="266" width="15.7265625" style="8" customWidth="1"/>
    <col min="267" max="267" width="9.7265625" style="8" customWidth="1"/>
    <col min="268" max="268" width="6.81640625" style="8" customWidth="1"/>
    <col min="269" max="515" width="11.453125" style="8"/>
    <col min="516" max="516" width="9.26953125" style="8" customWidth="1"/>
    <col min="517" max="517" width="8.26953125" style="8" customWidth="1"/>
    <col min="518" max="518" width="9.26953125" style="8" customWidth="1"/>
    <col min="519" max="519" width="20.7265625" style="8" customWidth="1"/>
    <col min="520" max="520" width="14.7265625" style="8" customWidth="1"/>
    <col min="521" max="521" width="11.1796875" style="8" customWidth="1"/>
    <col min="522" max="522" width="15.7265625" style="8" customWidth="1"/>
    <col min="523" max="523" width="9.7265625" style="8" customWidth="1"/>
    <col min="524" max="524" width="6.81640625" style="8" customWidth="1"/>
    <col min="525" max="771" width="11.453125" style="8"/>
    <col min="772" max="772" width="9.26953125" style="8" customWidth="1"/>
    <col min="773" max="773" width="8.26953125" style="8" customWidth="1"/>
    <col min="774" max="774" width="9.26953125" style="8" customWidth="1"/>
    <col min="775" max="775" width="20.7265625" style="8" customWidth="1"/>
    <col min="776" max="776" width="14.7265625" style="8" customWidth="1"/>
    <col min="777" max="777" width="11.1796875" style="8" customWidth="1"/>
    <col min="778" max="778" width="15.7265625" style="8" customWidth="1"/>
    <col min="779" max="779" width="9.7265625" style="8" customWidth="1"/>
    <col min="780" max="780" width="6.81640625" style="8" customWidth="1"/>
    <col min="781" max="1027" width="11.453125" style="8"/>
    <col min="1028" max="1028" width="9.26953125" style="8" customWidth="1"/>
    <col min="1029" max="1029" width="8.26953125" style="8" customWidth="1"/>
    <col min="1030" max="1030" width="9.26953125" style="8" customWidth="1"/>
    <col min="1031" max="1031" width="20.7265625" style="8" customWidth="1"/>
    <col min="1032" max="1032" width="14.7265625" style="8" customWidth="1"/>
    <col min="1033" max="1033" width="11.1796875" style="8" customWidth="1"/>
    <col min="1034" max="1034" width="15.7265625" style="8" customWidth="1"/>
    <col min="1035" max="1035" width="9.7265625" style="8" customWidth="1"/>
    <col min="1036" max="1036" width="6.81640625" style="8" customWidth="1"/>
    <col min="1037" max="1283" width="11.453125" style="8"/>
    <col min="1284" max="1284" width="9.26953125" style="8" customWidth="1"/>
    <col min="1285" max="1285" width="8.26953125" style="8" customWidth="1"/>
    <col min="1286" max="1286" width="9.26953125" style="8" customWidth="1"/>
    <col min="1287" max="1287" width="20.7265625" style="8" customWidth="1"/>
    <col min="1288" max="1288" width="14.7265625" style="8" customWidth="1"/>
    <col min="1289" max="1289" width="11.1796875" style="8" customWidth="1"/>
    <col min="1290" max="1290" width="15.7265625" style="8" customWidth="1"/>
    <col min="1291" max="1291" width="9.7265625" style="8" customWidth="1"/>
    <col min="1292" max="1292" width="6.81640625" style="8" customWidth="1"/>
    <col min="1293" max="1539" width="11.453125" style="8"/>
    <col min="1540" max="1540" width="9.26953125" style="8" customWidth="1"/>
    <col min="1541" max="1541" width="8.26953125" style="8" customWidth="1"/>
    <col min="1542" max="1542" width="9.26953125" style="8" customWidth="1"/>
    <col min="1543" max="1543" width="20.7265625" style="8" customWidth="1"/>
    <col min="1544" max="1544" width="14.7265625" style="8" customWidth="1"/>
    <col min="1545" max="1545" width="11.1796875" style="8" customWidth="1"/>
    <col min="1546" max="1546" width="15.7265625" style="8" customWidth="1"/>
    <col min="1547" max="1547" width="9.7265625" style="8" customWidth="1"/>
    <col min="1548" max="1548" width="6.81640625" style="8" customWidth="1"/>
    <col min="1549" max="1795" width="11.453125" style="8"/>
    <col min="1796" max="1796" width="9.26953125" style="8" customWidth="1"/>
    <col min="1797" max="1797" width="8.26953125" style="8" customWidth="1"/>
    <col min="1798" max="1798" width="9.26953125" style="8" customWidth="1"/>
    <col min="1799" max="1799" width="20.7265625" style="8" customWidth="1"/>
    <col min="1800" max="1800" width="14.7265625" style="8" customWidth="1"/>
    <col min="1801" max="1801" width="11.1796875" style="8" customWidth="1"/>
    <col min="1802" max="1802" width="15.7265625" style="8" customWidth="1"/>
    <col min="1803" max="1803" width="9.7265625" style="8" customWidth="1"/>
    <col min="1804" max="1804" width="6.81640625" style="8" customWidth="1"/>
    <col min="1805" max="2051" width="11.453125" style="8"/>
    <col min="2052" max="2052" width="9.26953125" style="8" customWidth="1"/>
    <col min="2053" max="2053" width="8.26953125" style="8" customWidth="1"/>
    <col min="2054" max="2054" width="9.26953125" style="8" customWidth="1"/>
    <col min="2055" max="2055" width="20.7265625" style="8" customWidth="1"/>
    <col min="2056" max="2056" width="14.7265625" style="8" customWidth="1"/>
    <col min="2057" max="2057" width="11.1796875" style="8" customWidth="1"/>
    <col min="2058" max="2058" width="15.7265625" style="8" customWidth="1"/>
    <col min="2059" max="2059" width="9.7265625" style="8" customWidth="1"/>
    <col min="2060" max="2060" width="6.81640625" style="8" customWidth="1"/>
    <col min="2061" max="2307" width="11.453125" style="8"/>
    <col min="2308" max="2308" width="9.26953125" style="8" customWidth="1"/>
    <col min="2309" max="2309" width="8.26953125" style="8" customWidth="1"/>
    <col min="2310" max="2310" width="9.26953125" style="8" customWidth="1"/>
    <col min="2311" max="2311" width="20.7265625" style="8" customWidth="1"/>
    <col min="2312" max="2312" width="14.7265625" style="8" customWidth="1"/>
    <col min="2313" max="2313" width="11.1796875" style="8" customWidth="1"/>
    <col min="2314" max="2314" width="15.7265625" style="8" customWidth="1"/>
    <col min="2315" max="2315" width="9.7265625" style="8" customWidth="1"/>
    <col min="2316" max="2316" width="6.81640625" style="8" customWidth="1"/>
    <col min="2317" max="2563" width="11.453125" style="8"/>
    <col min="2564" max="2564" width="9.26953125" style="8" customWidth="1"/>
    <col min="2565" max="2565" width="8.26953125" style="8" customWidth="1"/>
    <col min="2566" max="2566" width="9.26953125" style="8" customWidth="1"/>
    <col min="2567" max="2567" width="20.7265625" style="8" customWidth="1"/>
    <col min="2568" max="2568" width="14.7265625" style="8" customWidth="1"/>
    <col min="2569" max="2569" width="11.1796875" style="8" customWidth="1"/>
    <col min="2570" max="2570" width="15.7265625" style="8" customWidth="1"/>
    <col min="2571" max="2571" width="9.7265625" style="8" customWidth="1"/>
    <col min="2572" max="2572" width="6.81640625" style="8" customWidth="1"/>
    <col min="2573" max="2819" width="11.453125" style="8"/>
    <col min="2820" max="2820" width="9.26953125" style="8" customWidth="1"/>
    <col min="2821" max="2821" width="8.26953125" style="8" customWidth="1"/>
    <col min="2822" max="2822" width="9.26953125" style="8" customWidth="1"/>
    <col min="2823" max="2823" width="20.7265625" style="8" customWidth="1"/>
    <col min="2824" max="2824" width="14.7265625" style="8" customWidth="1"/>
    <col min="2825" max="2825" width="11.1796875" style="8" customWidth="1"/>
    <col min="2826" max="2826" width="15.7265625" style="8" customWidth="1"/>
    <col min="2827" max="2827" width="9.7265625" style="8" customWidth="1"/>
    <col min="2828" max="2828" width="6.81640625" style="8" customWidth="1"/>
    <col min="2829" max="3075" width="11.453125" style="8"/>
    <col min="3076" max="3076" width="9.26953125" style="8" customWidth="1"/>
    <col min="3077" max="3077" width="8.26953125" style="8" customWidth="1"/>
    <col min="3078" max="3078" width="9.26953125" style="8" customWidth="1"/>
    <col min="3079" max="3079" width="20.7265625" style="8" customWidth="1"/>
    <col min="3080" max="3080" width="14.7265625" style="8" customWidth="1"/>
    <col min="3081" max="3081" width="11.1796875" style="8" customWidth="1"/>
    <col min="3082" max="3082" width="15.7265625" style="8" customWidth="1"/>
    <col min="3083" max="3083" width="9.7265625" style="8" customWidth="1"/>
    <col min="3084" max="3084" width="6.81640625" style="8" customWidth="1"/>
    <col min="3085" max="3331" width="11.453125" style="8"/>
    <col min="3332" max="3332" width="9.26953125" style="8" customWidth="1"/>
    <col min="3333" max="3333" width="8.26953125" style="8" customWidth="1"/>
    <col min="3334" max="3334" width="9.26953125" style="8" customWidth="1"/>
    <col min="3335" max="3335" width="20.7265625" style="8" customWidth="1"/>
    <col min="3336" max="3336" width="14.7265625" style="8" customWidth="1"/>
    <col min="3337" max="3337" width="11.1796875" style="8" customWidth="1"/>
    <col min="3338" max="3338" width="15.7265625" style="8" customWidth="1"/>
    <col min="3339" max="3339" width="9.7265625" style="8" customWidth="1"/>
    <col min="3340" max="3340" width="6.81640625" style="8" customWidth="1"/>
    <col min="3341" max="3587" width="11.453125" style="8"/>
    <col min="3588" max="3588" width="9.26953125" style="8" customWidth="1"/>
    <col min="3589" max="3589" width="8.26953125" style="8" customWidth="1"/>
    <col min="3590" max="3590" width="9.26953125" style="8" customWidth="1"/>
    <col min="3591" max="3591" width="20.7265625" style="8" customWidth="1"/>
    <col min="3592" max="3592" width="14.7265625" style="8" customWidth="1"/>
    <col min="3593" max="3593" width="11.1796875" style="8" customWidth="1"/>
    <col min="3594" max="3594" width="15.7265625" style="8" customWidth="1"/>
    <col min="3595" max="3595" width="9.7265625" style="8" customWidth="1"/>
    <col min="3596" max="3596" width="6.81640625" style="8" customWidth="1"/>
    <col min="3597" max="3843" width="11.453125" style="8"/>
    <col min="3844" max="3844" width="9.26953125" style="8" customWidth="1"/>
    <col min="3845" max="3845" width="8.26953125" style="8" customWidth="1"/>
    <col min="3846" max="3846" width="9.26953125" style="8" customWidth="1"/>
    <col min="3847" max="3847" width="20.7265625" style="8" customWidth="1"/>
    <col min="3848" max="3848" width="14.7265625" style="8" customWidth="1"/>
    <col min="3849" max="3849" width="11.1796875" style="8" customWidth="1"/>
    <col min="3850" max="3850" width="15.7265625" style="8" customWidth="1"/>
    <col min="3851" max="3851" width="9.7265625" style="8" customWidth="1"/>
    <col min="3852" max="3852" width="6.81640625" style="8" customWidth="1"/>
    <col min="3853" max="4099" width="11.453125" style="8"/>
    <col min="4100" max="4100" width="9.26953125" style="8" customWidth="1"/>
    <col min="4101" max="4101" width="8.26953125" style="8" customWidth="1"/>
    <col min="4102" max="4102" width="9.26953125" style="8" customWidth="1"/>
    <col min="4103" max="4103" width="20.7265625" style="8" customWidth="1"/>
    <col min="4104" max="4104" width="14.7265625" style="8" customWidth="1"/>
    <col min="4105" max="4105" width="11.1796875" style="8" customWidth="1"/>
    <col min="4106" max="4106" width="15.7265625" style="8" customWidth="1"/>
    <col min="4107" max="4107" width="9.7265625" style="8" customWidth="1"/>
    <col min="4108" max="4108" width="6.81640625" style="8" customWidth="1"/>
    <col min="4109" max="4355" width="11.453125" style="8"/>
    <col min="4356" max="4356" width="9.26953125" style="8" customWidth="1"/>
    <col min="4357" max="4357" width="8.26953125" style="8" customWidth="1"/>
    <col min="4358" max="4358" width="9.26953125" style="8" customWidth="1"/>
    <col min="4359" max="4359" width="20.7265625" style="8" customWidth="1"/>
    <col min="4360" max="4360" width="14.7265625" style="8" customWidth="1"/>
    <col min="4361" max="4361" width="11.1796875" style="8" customWidth="1"/>
    <col min="4362" max="4362" width="15.7265625" style="8" customWidth="1"/>
    <col min="4363" max="4363" width="9.7265625" style="8" customWidth="1"/>
    <col min="4364" max="4364" width="6.81640625" style="8" customWidth="1"/>
    <col min="4365" max="4611" width="11.453125" style="8"/>
    <col min="4612" max="4612" width="9.26953125" style="8" customWidth="1"/>
    <col min="4613" max="4613" width="8.26953125" style="8" customWidth="1"/>
    <col min="4614" max="4614" width="9.26953125" style="8" customWidth="1"/>
    <col min="4615" max="4615" width="20.7265625" style="8" customWidth="1"/>
    <col min="4616" max="4616" width="14.7265625" style="8" customWidth="1"/>
    <col min="4617" max="4617" width="11.1796875" style="8" customWidth="1"/>
    <col min="4618" max="4618" width="15.7265625" style="8" customWidth="1"/>
    <col min="4619" max="4619" width="9.7265625" style="8" customWidth="1"/>
    <col min="4620" max="4620" width="6.81640625" style="8" customWidth="1"/>
    <col min="4621" max="4867" width="11.453125" style="8"/>
    <col min="4868" max="4868" width="9.26953125" style="8" customWidth="1"/>
    <col min="4869" max="4869" width="8.26953125" style="8" customWidth="1"/>
    <col min="4870" max="4870" width="9.26953125" style="8" customWidth="1"/>
    <col min="4871" max="4871" width="20.7265625" style="8" customWidth="1"/>
    <col min="4872" max="4872" width="14.7265625" style="8" customWidth="1"/>
    <col min="4873" max="4873" width="11.1796875" style="8" customWidth="1"/>
    <col min="4874" max="4874" width="15.7265625" style="8" customWidth="1"/>
    <col min="4875" max="4875" width="9.7265625" style="8" customWidth="1"/>
    <col min="4876" max="4876" width="6.81640625" style="8" customWidth="1"/>
    <col min="4877" max="5123" width="11.453125" style="8"/>
    <col min="5124" max="5124" width="9.26953125" style="8" customWidth="1"/>
    <col min="5125" max="5125" width="8.26953125" style="8" customWidth="1"/>
    <col min="5126" max="5126" width="9.26953125" style="8" customWidth="1"/>
    <col min="5127" max="5127" width="20.7265625" style="8" customWidth="1"/>
    <col min="5128" max="5128" width="14.7265625" style="8" customWidth="1"/>
    <col min="5129" max="5129" width="11.1796875" style="8" customWidth="1"/>
    <col min="5130" max="5130" width="15.7265625" style="8" customWidth="1"/>
    <col min="5131" max="5131" width="9.7265625" style="8" customWidth="1"/>
    <col min="5132" max="5132" width="6.81640625" style="8" customWidth="1"/>
    <col min="5133" max="5379" width="11.453125" style="8"/>
    <col min="5380" max="5380" width="9.26953125" style="8" customWidth="1"/>
    <col min="5381" max="5381" width="8.26953125" style="8" customWidth="1"/>
    <col min="5382" max="5382" width="9.26953125" style="8" customWidth="1"/>
    <col min="5383" max="5383" width="20.7265625" style="8" customWidth="1"/>
    <col min="5384" max="5384" width="14.7265625" style="8" customWidth="1"/>
    <col min="5385" max="5385" width="11.1796875" style="8" customWidth="1"/>
    <col min="5386" max="5386" width="15.7265625" style="8" customWidth="1"/>
    <col min="5387" max="5387" width="9.7265625" style="8" customWidth="1"/>
    <col min="5388" max="5388" width="6.81640625" style="8" customWidth="1"/>
    <col min="5389" max="5635" width="11.453125" style="8"/>
    <col min="5636" max="5636" width="9.26953125" style="8" customWidth="1"/>
    <col min="5637" max="5637" width="8.26953125" style="8" customWidth="1"/>
    <col min="5638" max="5638" width="9.26953125" style="8" customWidth="1"/>
    <col min="5639" max="5639" width="20.7265625" style="8" customWidth="1"/>
    <col min="5640" max="5640" width="14.7265625" style="8" customWidth="1"/>
    <col min="5641" max="5641" width="11.1796875" style="8" customWidth="1"/>
    <col min="5642" max="5642" width="15.7265625" style="8" customWidth="1"/>
    <col min="5643" max="5643" width="9.7265625" style="8" customWidth="1"/>
    <col min="5644" max="5644" width="6.81640625" style="8" customWidth="1"/>
    <col min="5645" max="5891" width="11.453125" style="8"/>
    <col min="5892" max="5892" width="9.26953125" style="8" customWidth="1"/>
    <col min="5893" max="5893" width="8.26953125" style="8" customWidth="1"/>
    <col min="5894" max="5894" width="9.26953125" style="8" customWidth="1"/>
    <col min="5895" max="5895" width="20.7265625" style="8" customWidth="1"/>
    <col min="5896" max="5896" width="14.7265625" style="8" customWidth="1"/>
    <col min="5897" max="5897" width="11.1796875" style="8" customWidth="1"/>
    <col min="5898" max="5898" width="15.7265625" style="8" customWidth="1"/>
    <col min="5899" max="5899" width="9.7265625" style="8" customWidth="1"/>
    <col min="5900" max="5900" width="6.81640625" style="8" customWidth="1"/>
    <col min="5901" max="6147" width="11.453125" style="8"/>
    <col min="6148" max="6148" width="9.26953125" style="8" customWidth="1"/>
    <col min="6149" max="6149" width="8.26953125" style="8" customWidth="1"/>
    <col min="6150" max="6150" width="9.26953125" style="8" customWidth="1"/>
    <col min="6151" max="6151" width="20.7265625" style="8" customWidth="1"/>
    <col min="6152" max="6152" width="14.7265625" style="8" customWidth="1"/>
    <col min="6153" max="6153" width="11.1796875" style="8" customWidth="1"/>
    <col min="6154" max="6154" width="15.7265625" style="8" customWidth="1"/>
    <col min="6155" max="6155" width="9.7265625" style="8" customWidth="1"/>
    <col min="6156" max="6156" width="6.81640625" style="8" customWidth="1"/>
    <col min="6157" max="6403" width="11.453125" style="8"/>
    <col min="6404" max="6404" width="9.26953125" style="8" customWidth="1"/>
    <col min="6405" max="6405" width="8.26953125" style="8" customWidth="1"/>
    <col min="6406" max="6406" width="9.26953125" style="8" customWidth="1"/>
    <col min="6407" max="6407" width="20.7265625" style="8" customWidth="1"/>
    <col min="6408" max="6408" width="14.7265625" style="8" customWidth="1"/>
    <col min="6409" max="6409" width="11.1796875" style="8" customWidth="1"/>
    <col min="6410" max="6410" width="15.7265625" style="8" customWidth="1"/>
    <col min="6411" max="6411" width="9.7265625" style="8" customWidth="1"/>
    <col min="6412" max="6412" width="6.81640625" style="8" customWidth="1"/>
    <col min="6413" max="6659" width="11.453125" style="8"/>
    <col min="6660" max="6660" width="9.26953125" style="8" customWidth="1"/>
    <col min="6661" max="6661" width="8.26953125" style="8" customWidth="1"/>
    <col min="6662" max="6662" width="9.26953125" style="8" customWidth="1"/>
    <col min="6663" max="6663" width="20.7265625" style="8" customWidth="1"/>
    <col min="6664" max="6664" width="14.7265625" style="8" customWidth="1"/>
    <col min="6665" max="6665" width="11.1796875" style="8" customWidth="1"/>
    <col min="6666" max="6666" width="15.7265625" style="8" customWidth="1"/>
    <col min="6667" max="6667" width="9.7265625" style="8" customWidth="1"/>
    <col min="6668" max="6668" width="6.81640625" style="8" customWidth="1"/>
    <col min="6669" max="6915" width="11.453125" style="8"/>
    <col min="6916" max="6916" width="9.26953125" style="8" customWidth="1"/>
    <col min="6917" max="6917" width="8.26953125" style="8" customWidth="1"/>
    <col min="6918" max="6918" width="9.26953125" style="8" customWidth="1"/>
    <col min="6919" max="6919" width="20.7265625" style="8" customWidth="1"/>
    <col min="6920" max="6920" width="14.7265625" style="8" customWidth="1"/>
    <col min="6921" max="6921" width="11.1796875" style="8" customWidth="1"/>
    <col min="6922" max="6922" width="15.7265625" style="8" customWidth="1"/>
    <col min="6923" max="6923" width="9.7265625" style="8" customWidth="1"/>
    <col min="6924" max="6924" width="6.81640625" style="8" customWidth="1"/>
    <col min="6925" max="7171" width="11.453125" style="8"/>
    <col min="7172" max="7172" width="9.26953125" style="8" customWidth="1"/>
    <col min="7173" max="7173" width="8.26953125" style="8" customWidth="1"/>
    <col min="7174" max="7174" width="9.26953125" style="8" customWidth="1"/>
    <col min="7175" max="7175" width="20.7265625" style="8" customWidth="1"/>
    <col min="7176" max="7176" width="14.7265625" style="8" customWidth="1"/>
    <col min="7177" max="7177" width="11.1796875" style="8" customWidth="1"/>
    <col min="7178" max="7178" width="15.7265625" style="8" customWidth="1"/>
    <col min="7179" max="7179" width="9.7265625" style="8" customWidth="1"/>
    <col min="7180" max="7180" width="6.81640625" style="8" customWidth="1"/>
    <col min="7181" max="7427" width="11.453125" style="8"/>
    <col min="7428" max="7428" width="9.26953125" style="8" customWidth="1"/>
    <col min="7429" max="7429" width="8.26953125" style="8" customWidth="1"/>
    <col min="7430" max="7430" width="9.26953125" style="8" customWidth="1"/>
    <col min="7431" max="7431" width="20.7265625" style="8" customWidth="1"/>
    <col min="7432" max="7432" width="14.7265625" style="8" customWidth="1"/>
    <col min="7433" max="7433" width="11.1796875" style="8" customWidth="1"/>
    <col min="7434" max="7434" width="15.7265625" style="8" customWidth="1"/>
    <col min="7435" max="7435" width="9.7265625" style="8" customWidth="1"/>
    <col min="7436" max="7436" width="6.81640625" style="8" customWidth="1"/>
    <col min="7437" max="7683" width="11.453125" style="8"/>
    <col min="7684" max="7684" width="9.26953125" style="8" customWidth="1"/>
    <col min="7685" max="7685" width="8.26953125" style="8" customWidth="1"/>
    <col min="7686" max="7686" width="9.26953125" style="8" customWidth="1"/>
    <col min="7687" max="7687" width="20.7265625" style="8" customWidth="1"/>
    <col min="7688" max="7688" width="14.7265625" style="8" customWidth="1"/>
    <col min="7689" max="7689" width="11.1796875" style="8" customWidth="1"/>
    <col min="7690" max="7690" width="15.7265625" style="8" customWidth="1"/>
    <col min="7691" max="7691" width="9.7265625" style="8" customWidth="1"/>
    <col min="7692" max="7692" width="6.81640625" style="8" customWidth="1"/>
    <col min="7693" max="7939" width="11.453125" style="8"/>
    <col min="7940" max="7940" width="9.26953125" style="8" customWidth="1"/>
    <col min="7941" max="7941" width="8.26953125" style="8" customWidth="1"/>
    <col min="7942" max="7942" width="9.26953125" style="8" customWidth="1"/>
    <col min="7943" max="7943" width="20.7265625" style="8" customWidth="1"/>
    <col min="7944" max="7944" width="14.7265625" style="8" customWidth="1"/>
    <col min="7945" max="7945" width="11.1796875" style="8" customWidth="1"/>
    <col min="7946" max="7946" width="15.7265625" style="8" customWidth="1"/>
    <col min="7947" max="7947" width="9.7265625" style="8" customWidth="1"/>
    <col min="7948" max="7948" width="6.81640625" style="8" customWidth="1"/>
    <col min="7949" max="8195" width="11.453125" style="8"/>
    <col min="8196" max="8196" width="9.26953125" style="8" customWidth="1"/>
    <col min="8197" max="8197" width="8.26953125" style="8" customWidth="1"/>
    <col min="8198" max="8198" width="9.26953125" style="8" customWidth="1"/>
    <col min="8199" max="8199" width="20.7265625" style="8" customWidth="1"/>
    <col min="8200" max="8200" width="14.7265625" style="8" customWidth="1"/>
    <col min="8201" max="8201" width="11.1796875" style="8" customWidth="1"/>
    <col min="8202" max="8202" width="15.7265625" style="8" customWidth="1"/>
    <col min="8203" max="8203" width="9.7265625" style="8" customWidth="1"/>
    <col min="8204" max="8204" width="6.81640625" style="8" customWidth="1"/>
    <col min="8205" max="8451" width="11.453125" style="8"/>
    <col min="8452" max="8452" width="9.26953125" style="8" customWidth="1"/>
    <col min="8453" max="8453" width="8.26953125" style="8" customWidth="1"/>
    <col min="8454" max="8454" width="9.26953125" style="8" customWidth="1"/>
    <col min="8455" max="8455" width="20.7265625" style="8" customWidth="1"/>
    <col min="8456" max="8456" width="14.7265625" style="8" customWidth="1"/>
    <col min="8457" max="8457" width="11.1796875" style="8" customWidth="1"/>
    <col min="8458" max="8458" width="15.7265625" style="8" customWidth="1"/>
    <col min="8459" max="8459" width="9.7265625" style="8" customWidth="1"/>
    <col min="8460" max="8460" width="6.81640625" style="8" customWidth="1"/>
    <col min="8461" max="8707" width="11.453125" style="8"/>
    <col min="8708" max="8708" width="9.26953125" style="8" customWidth="1"/>
    <col min="8709" max="8709" width="8.26953125" style="8" customWidth="1"/>
    <col min="8710" max="8710" width="9.26953125" style="8" customWidth="1"/>
    <col min="8711" max="8711" width="20.7265625" style="8" customWidth="1"/>
    <col min="8712" max="8712" width="14.7265625" style="8" customWidth="1"/>
    <col min="8713" max="8713" width="11.1796875" style="8" customWidth="1"/>
    <col min="8714" max="8714" width="15.7265625" style="8" customWidth="1"/>
    <col min="8715" max="8715" width="9.7265625" style="8" customWidth="1"/>
    <col min="8716" max="8716" width="6.81640625" style="8" customWidth="1"/>
    <col min="8717" max="8963" width="11.453125" style="8"/>
    <col min="8964" max="8964" width="9.26953125" style="8" customWidth="1"/>
    <col min="8965" max="8965" width="8.26953125" style="8" customWidth="1"/>
    <col min="8966" max="8966" width="9.26953125" style="8" customWidth="1"/>
    <col min="8967" max="8967" width="20.7265625" style="8" customWidth="1"/>
    <col min="8968" max="8968" width="14.7265625" style="8" customWidth="1"/>
    <col min="8969" max="8969" width="11.1796875" style="8" customWidth="1"/>
    <col min="8970" max="8970" width="15.7265625" style="8" customWidth="1"/>
    <col min="8971" max="8971" width="9.7265625" style="8" customWidth="1"/>
    <col min="8972" max="8972" width="6.81640625" style="8" customWidth="1"/>
    <col min="8973" max="9219" width="11.453125" style="8"/>
    <col min="9220" max="9220" width="9.26953125" style="8" customWidth="1"/>
    <col min="9221" max="9221" width="8.26953125" style="8" customWidth="1"/>
    <col min="9222" max="9222" width="9.26953125" style="8" customWidth="1"/>
    <col min="9223" max="9223" width="20.7265625" style="8" customWidth="1"/>
    <col min="9224" max="9224" width="14.7265625" style="8" customWidth="1"/>
    <col min="9225" max="9225" width="11.1796875" style="8" customWidth="1"/>
    <col min="9226" max="9226" width="15.7265625" style="8" customWidth="1"/>
    <col min="9227" max="9227" width="9.7265625" style="8" customWidth="1"/>
    <col min="9228" max="9228" width="6.81640625" style="8" customWidth="1"/>
    <col min="9229" max="9475" width="11.453125" style="8"/>
    <col min="9476" max="9476" width="9.26953125" style="8" customWidth="1"/>
    <col min="9477" max="9477" width="8.26953125" style="8" customWidth="1"/>
    <col min="9478" max="9478" width="9.26953125" style="8" customWidth="1"/>
    <col min="9479" max="9479" width="20.7265625" style="8" customWidth="1"/>
    <col min="9480" max="9480" width="14.7265625" style="8" customWidth="1"/>
    <col min="9481" max="9481" width="11.1796875" style="8" customWidth="1"/>
    <col min="9482" max="9482" width="15.7265625" style="8" customWidth="1"/>
    <col min="9483" max="9483" width="9.7265625" style="8" customWidth="1"/>
    <col min="9484" max="9484" width="6.81640625" style="8" customWidth="1"/>
    <col min="9485" max="9731" width="11.453125" style="8"/>
    <col min="9732" max="9732" width="9.26953125" style="8" customWidth="1"/>
    <col min="9733" max="9733" width="8.26953125" style="8" customWidth="1"/>
    <col min="9734" max="9734" width="9.26953125" style="8" customWidth="1"/>
    <col min="9735" max="9735" width="20.7265625" style="8" customWidth="1"/>
    <col min="9736" max="9736" width="14.7265625" style="8" customWidth="1"/>
    <col min="9737" max="9737" width="11.1796875" style="8" customWidth="1"/>
    <col min="9738" max="9738" width="15.7265625" style="8" customWidth="1"/>
    <col min="9739" max="9739" width="9.7265625" style="8" customWidth="1"/>
    <col min="9740" max="9740" width="6.81640625" style="8" customWidth="1"/>
    <col min="9741" max="9987" width="11.453125" style="8"/>
    <col min="9988" max="9988" width="9.26953125" style="8" customWidth="1"/>
    <col min="9989" max="9989" width="8.26953125" style="8" customWidth="1"/>
    <col min="9990" max="9990" width="9.26953125" style="8" customWidth="1"/>
    <col min="9991" max="9991" width="20.7265625" style="8" customWidth="1"/>
    <col min="9992" max="9992" width="14.7265625" style="8" customWidth="1"/>
    <col min="9993" max="9993" width="11.1796875" style="8" customWidth="1"/>
    <col min="9994" max="9994" width="15.7265625" style="8" customWidth="1"/>
    <col min="9995" max="9995" width="9.7265625" style="8" customWidth="1"/>
    <col min="9996" max="9996" width="6.81640625" style="8" customWidth="1"/>
    <col min="9997" max="10243" width="11.453125" style="8"/>
    <col min="10244" max="10244" width="9.26953125" style="8" customWidth="1"/>
    <col min="10245" max="10245" width="8.26953125" style="8" customWidth="1"/>
    <col min="10246" max="10246" width="9.26953125" style="8" customWidth="1"/>
    <col min="10247" max="10247" width="20.7265625" style="8" customWidth="1"/>
    <col min="10248" max="10248" width="14.7265625" style="8" customWidth="1"/>
    <col min="10249" max="10249" width="11.1796875" style="8" customWidth="1"/>
    <col min="10250" max="10250" width="15.7265625" style="8" customWidth="1"/>
    <col min="10251" max="10251" width="9.7265625" style="8" customWidth="1"/>
    <col min="10252" max="10252" width="6.81640625" style="8" customWidth="1"/>
    <col min="10253" max="10499" width="11.453125" style="8"/>
    <col min="10500" max="10500" width="9.26953125" style="8" customWidth="1"/>
    <col min="10501" max="10501" width="8.26953125" style="8" customWidth="1"/>
    <col min="10502" max="10502" width="9.26953125" style="8" customWidth="1"/>
    <col min="10503" max="10503" width="20.7265625" style="8" customWidth="1"/>
    <col min="10504" max="10504" width="14.7265625" style="8" customWidth="1"/>
    <col min="10505" max="10505" width="11.1796875" style="8" customWidth="1"/>
    <col min="10506" max="10506" width="15.7265625" style="8" customWidth="1"/>
    <col min="10507" max="10507" width="9.7265625" style="8" customWidth="1"/>
    <col min="10508" max="10508" width="6.81640625" style="8" customWidth="1"/>
    <col min="10509" max="10755" width="11.453125" style="8"/>
    <col min="10756" max="10756" width="9.26953125" style="8" customWidth="1"/>
    <col min="10757" max="10757" width="8.26953125" style="8" customWidth="1"/>
    <col min="10758" max="10758" width="9.26953125" style="8" customWidth="1"/>
    <col min="10759" max="10759" width="20.7265625" style="8" customWidth="1"/>
    <col min="10760" max="10760" width="14.7265625" style="8" customWidth="1"/>
    <col min="10761" max="10761" width="11.1796875" style="8" customWidth="1"/>
    <col min="10762" max="10762" width="15.7265625" style="8" customWidth="1"/>
    <col min="10763" max="10763" width="9.7265625" style="8" customWidth="1"/>
    <col min="10764" max="10764" width="6.81640625" style="8" customWidth="1"/>
    <col min="10765" max="11011" width="11.453125" style="8"/>
    <col min="11012" max="11012" width="9.26953125" style="8" customWidth="1"/>
    <col min="11013" max="11013" width="8.26953125" style="8" customWidth="1"/>
    <col min="11014" max="11014" width="9.26953125" style="8" customWidth="1"/>
    <col min="11015" max="11015" width="20.7265625" style="8" customWidth="1"/>
    <col min="11016" max="11016" width="14.7265625" style="8" customWidth="1"/>
    <col min="11017" max="11017" width="11.1796875" style="8" customWidth="1"/>
    <col min="11018" max="11018" width="15.7265625" style="8" customWidth="1"/>
    <col min="11019" max="11019" width="9.7265625" style="8" customWidth="1"/>
    <col min="11020" max="11020" width="6.81640625" style="8" customWidth="1"/>
    <col min="11021" max="11267" width="11.453125" style="8"/>
    <col min="11268" max="11268" width="9.26953125" style="8" customWidth="1"/>
    <col min="11269" max="11269" width="8.26953125" style="8" customWidth="1"/>
    <col min="11270" max="11270" width="9.26953125" style="8" customWidth="1"/>
    <col min="11271" max="11271" width="20.7265625" style="8" customWidth="1"/>
    <col min="11272" max="11272" width="14.7265625" style="8" customWidth="1"/>
    <col min="11273" max="11273" width="11.1796875" style="8" customWidth="1"/>
    <col min="11274" max="11274" width="15.7265625" style="8" customWidth="1"/>
    <col min="11275" max="11275" width="9.7265625" style="8" customWidth="1"/>
    <col min="11276" max="11276" width="6.81640625" style="8" customWidth="1"/>
    <col min="11277" max="11523" width="11.453125" style="8"/>
    <col min="11524" max="11524" width="9.26953125" style="8" customWidth="1"/>
    <col min="11525" max="11525" width="8.26953125" style="8" customWidth="1"/>
    <col min="11526" max="11526" width="9.26953125" style="8" customWidth="1"/>
    <col min="11527" max="11527" width="20.7265625" style="8" customWidth="1"/>
    <col min="11528" max="11528" width="14.7265625" style="8" customWidth="1"/>
    <col min="11529" max="11529" width="11.1796875" style="8" customWidth="1"/>
    <col min="11530" max="11530" width="15.7265625" style="8" customWidth="1"/>
    <col min="11531" max="11531" width="9.7265625" style="8" customWidth="1"/>
    <col min="11532" max="11532" width="6.81640625" style="8" customWidth="1"/>
    <col min="11533" max="11779" width="11.453125" style="8"/>
    <col min="11780" max="11780" width="9.26953125" style="8" customWidth="1"/>
    <col min="11781" max="11781" width="8.26953125" style="8" customWidth="1"/>
    <col min="11782" max="11782" width="9.26953125" style="8" customWidth="1"/>
    <col min="11783" max="11783" width="20.7265625" style="8" customWidth="1"/>
    <col min="11784" max="11784" width="14.7265625" style="8" customWidth="1"/>
    <col min="11785" max="11785" width="11.1796875" style="8" customWidth="1"/>
    <col min="11786" max="11786" width="15.7265625" style="8" customWidth="1"/>
    <col min="11787" max="11787" width="9.7265625" style="8" customWidth="1"/>
    <col min="11788" max="11788" width="6.81640625" style="8" customWidth="1"/>
    <col min="11789" max="12035" width="11.453125" style="8"/>
    <col min="12036" max="12036" width="9.26953125" style="8" customWidth="1"/>
    <col min="12037" max="12037" width="8.26953125" style="8" customWidth="1"/>
    <col min="12038" max="12038" width="9.26953125" style="8" customWidth="1"/>
    <col min="12039" max="12039" width="20.7265625" style="8" customWidth="1"/>
    <col min="12040" max="12040" width="14.7265625" style="8" customWidth="1"/>
    <col min="12041" max="12041" width="11.1796875" style="8" customWidth="1"/>
    <col min="12042" max="12042" width="15.7265625" style="8" customWidth="1"/>
    <col min="12043" max="12043" width="9.7265625" style="8" customWidth="1"/>
    <col min="12044" max="12044" width="6.81640625" style="8" customWidth="1"/>
    <col min="12045" max="12291" width="11.453125" style="8"/>
    <col min="12292" max="12292" width="9.26953125" style="8" customWidth="1"/>
    <col min="12293" max="12293" width="8.26953125" style="8" customWidth="1"/>
    <col min="12294" max="12294" width="9.26953125" style="8" customWidth="1"/>
    <col min="12295" max="12295" width="20.7265625" style="8" customWidth="1"/>
    <col min="12296" max="12296" width="14.7265625" style="8" customWidth="1"/>
    <col min="12297" max="12297" width="11.1796875" style="8" customWidth="1"/>
    <col min="12298" max="12298" width="15.7265625" style="8" customWidth="1"/>
    <col min="12299" max="12299" width="9.7265625" style="8" customWidth="1"/>
    <col min="12300" max="12300" width="6.81640625" style="8" customWidth="1"/>
    <col min="12301" max="12547" width="11.453125" style="8"/>
    <col min="12548" max="12548" width="9.26953125" style="8" customWidth="1"/>
    <col min="12549" max="12549" width="8.26953125" style="8" customWidth="1"/>
    <col min="12550" max="12550" width="9.26953125" style="8" customWidth="1"/>
    <col min="12551" max="12551" width="20.7265625" style="8" customWidth="1"/>
    <col min="12552" max="12552" width="14.7265625" style="8" customWidth="1"/>
    <col min="12553" max="12553" width="11.1796875" style="8" customWidth="1"/>
    <col min="12554" max="12554" width="15.7265625" style="8" customWidth="1"/>
    <col min="12555" max="12555" width="9.7265625" style="8" customWidth="1"/>
    <col min="12556" max="12556" width="6.81640625" style="8" customWidth="1"/>
    <col min="12557" max="12803" width="11.453125" style="8"/>
    <col min="12804" max="12804" width="9.26953125" style="8" customWidth="1"/>
    <col min="12805" max="12805" width="8.26953125" style="8" customWidth="1"/>
    <col min="12806" max="12806" width="9.26953125" style="8" customWidth="1"/>
    <col min="12807" max="12807" width="20.7265625" style="8" customWidth="1"/>
    <col min="12808" max="12808" width="14.7265625" style="8" customWidth="1"/>
    <col min="12809" max="12809" width="11.1796875" style="8" customWidth="1"/>
    <col min="12810" max="12810" width="15.7265625" style="8" customWidth="1"/>
    <col min="12811" max="12811" width="9.7265625" style="8" customWidth="1"/>
    <col min="12812" max="12812" width="6.81640625" style="8" customWidth="1"/>
    <col min="12813" max="13059" width="11.453125" style="8"/>
    <col min="13060" max="13060" width="9.26953125" style="8" customWidth="1"/>
    <col min="13061" max="13061" width="8.26953125" style="8" customWidth="1"/>
    <col min="13062" max="13062" width="9.26953125" style="8" customWidth="1"/>
    <col min="13063" max="13063" width="20.7265625" style="8" customWidth="1"/>
    <col min="13064" max="13064" width="14.7265625" style="8" customWidth="1"/>
    <col min="13065" max="13065" width="11.1796875" style="8" customWidth="1"/>
    <col min="13066" max="13066" width="15.7265625" style="8" customWidth="1"/>
    <col min="13067" max="13067" width="9.7265625" style="8" customWidth="1"/>
    <col min="13068" max="13068" width="6.81640625" style="8" customWidth="1"/>
    <col min="13069" max="13315" width="11.453125" style="8"/>
    <col min="13316" max="13316" width="9.26953125" style="8" customWidth="1"/>
    <col min="13317" max="13317" width="8.26953125" style="8" customWidth="1"/>
    <col min="13318" max="13318" width="9.26953125" style="8" customWidth="1"/>
    <col min="13319" max="13319" width="20.7265625" style="8" customWidth="1"/>
    <col min="13320" max="13320" width="14.7265625" style="8" customWidth="1"/>
    <col min="13321" max="13321" width="11.1796875" style="8" customWidth="1"/>
    <col min="13322" max="13322" width="15.7265625" style="8" customWidth="1"/>
    <col min="13323" max="13323" width="9.7265625" style="8" customWidth="1"/>
    <col min="13324" max="13324" width="6.81640625" style="8" customWidth="1"/>
    <col min="13325" max="13571" width="11.453125" style="8"/>
    <col min="13572" max="13572" width="9.26953125" style="8" customWidth="1"/>
    <col min="13573" max="13573" width="8.26953125" style="8" customWidth="1"/>
    <col min="13574" max="13574" width="9.26953125" style="8" customWidth="1"/>
    <col min="13575" max="13575" width="20.7265625" style="8" customWidth="1"/>
    <col min="13576" max="13576" width="14.7265625" style="8" customWidth="1"/>
    <col min="13577" max="13577" width="11.1796875" style="8" customWidth="1"/>
    <col min="13578" max="13578" width="15.7265625" style="8" customWidth="1"/>
    <col min="13579" max="13579" width="9.7265625" style="8" customWidth="1"/>
    <col min="13580" max="13580" width="6.81640625" style="8" customWidth="1"/>
    <col min="13581" max="13827" width="11.453125" style="8"/>
    <col min="13828" max="13828" width="9.26953125" style="8" customWidth="1"/>
    <col min="13829" max="13829" width="8.26953125" style="8" customWidth="1"/>
    <col min="13830" max="13830" width="9.26953125" style="8" customWidth="1"/>
    <col min="13831" max="13831" width="20.7265625" style="8" customWidth="1"/>
    <col min="13832" max="13832" width="14.7265625" style="8" customWidth="1"/>
    <col min="13833" max="13833" width="11.1796875" style="8" customWidth="1"/>
    <col min="13834" max="13834" width="15.7265625" style="8" customWidth="1"/>
    <col min="13835" max="13835" width="9.7265625" style="8" customWidth="1"/>
    <col min="13836" max="13836" width="6.81640625" style="8" customWidth="1"/>
    <col min="13837" max="14083" width="11.453125" style="8"/>
    <col min="14084" max="14084" width="9.26953125" style="8" customWidth="1"/>
    <col min="14085" max="14085" width="8.26953125" style="8" customWidth="1"/>
    <col min="14086" max="14086" width="9.26953125" style="8" customWidth="1"/>
    <col min="14087" max="14087" width="20.7265625" style="8" customWidth="1"/>
    <col min="14088" max="14088" width="14.7265625" style="8" customWidth="1"/>
    <col min="14089" max="14089" width="11.1796875" style="8" customWidth="1"/>
    <col min="14090" max="14090" width="15.7265625" style="8" customWidth="1"/>
    <col min="14091" max="14091" width="9.7265625" style="8" customWidth="1"/>
    <col min="14092" max="14092" width="6.81640625" style="8" customWidth="1"/>
    <col min="14093" max="14339" width="11.453125" style="8"/>
    <col min="14340" max="14340" width="9.26953125" style="8" customWidth="1"/>
    <col min="14341" max="14341" width="8.26953125" style="8" customWidth="1"/>
    <col min="14342" max="14342" width="9.26953125" style="8" customWidth="1"/>
    <col min="14343" max="14343" width="20.7265625" style="8" customWidth="1"/>
    <col min="14344" max="14344" width="14.7265625" style="8" customWidth="1"/>
    <col min="14345" max="14345" width="11.1796875" style="8" customWidth="1"/>
    <col min="14346" max="14346" width="15.7265625" style="8" customWidth="1"/>
    <col min="14347" max="14347" width="9.7265625" style="8" customWidth="1"/>
    <col min="14348" max="14348" width="6.81640625" style="8" customWidth="1"/>
    <col min="14349" max="14595" width="11.453125" style="8"/>
    <col min="14596" max="14596" width="9.26953125" style="8" customWidth="1"/>
    <col min="14597" max="14597" width="8.26953125" style="8" customWidth="1"/>
    <col min="14598" max="14598" width="9.26953125" style="8" customWidth="1"/>
    <col min="14599" max="14599" width="20.7265625" style="8" customWidth="1"/>
    <col min="14600" max="14600" width="14.7265625" style="8" customWidth="1"/>
    <col min="14601" max="14601" width="11.1796875" style="8" customWidth="1"/>
    <col min="14602" max="14602" width="15.7265625" style="8" customWidth="1"/>
    <col min="14603" max="14603" width="9.7265625" style="8" customWidth="1"/>
    <col min="14604" max="14604" width="6.81640625" style="8" customWidth="1"/>
    <col min="14605" max="14851" width="11.453125" style="8"/>
    <col min="14852" max="14852" width="9.26953125" style="8" customWidth="1"/>
    <col min="14853" max="14853" width="8.26953125" style="8" customWidth="1"/>
    <col min="14854" max="14854" width="9.26953125" style="8" customWidth="1"/>
    <col min="14855" max="14855" width="20.7265625" style="8" customWidth="1"/>
    <col min="14856" max="14856" width="14.7265625" style="8" customWidth="1"/>
    <col min="14857" max="14857" width="11.1796875" style="8" customWidth="1"/>
    <col min="14858" max="14858" width="15.7265625" style="8" customWidth="1"/>
    <col min="14859" max="14859" width="9.7265625" style="8" customWidth="1"/>
    <col min="14860" max="14860" width="6.81640625" style="8" customWidth="1"/>
    <col min="14861" max="15107" width="11.453125" style="8"/>
    <col min="15108" max="15108" width="9.26953125" style="8" customWidth="1"/>
    <col min="15109" max="15109" width="8.26953125" style="8" customWidth="1"/>
    <col min="15110" max="15110" width="9.26953125" style="8" customWidth="1"/>
    <col min="15111" max="15111" width="20.7265625" style="8" customWidth="1"/>
    <col min="15112" max="15112" width="14.7265625" style="8" customWidth="1"/>
    <col min="15113" max="15113" width="11.1796875" style="8" customWidth="1"/>
    <col min="15114" max="15114" width="15.7265625" style="8" customWidth="1"/>
    <col min="15115" max="15115" width="9.7265625" style="8" customWidth="1"/>
    <col min="15116" max="15116" width="6.81640625" style="8" customWidth="1"/>
    <col min="15117" max="15363" width="11.453125" style="8"/>
    <col min="15364" max="15364" width="9.26953125" style="8" customWidth="1"/>
    <col min="15365" max="15365" width="8.26953125" style="8" customWidth="1"/>
    <col min="15366" max="15366" width="9.26953125" style="8" customWidth="1"/>
    <col min="15367" max="15367" width="20.7265625" style="8" customWidth="1"/>
    <col min="15368" max="15368" width="14.7265625" style="8" customWidth="1"/>
    <col min="15369" max="15369" width="11.1796875" style="8" customWidth="1"/>
    <col min="15370" max="15370" width="15.7265625" style="8" customWidth="1"/>
    <col min="15371" max="15371" width="9.7265625" style="8" customWidth="1"/>
    <col min="15372" max="15372" width="6.81640625" style="8" customWidth="1"/>
    <col min="15373" max="15619" width="11.453125" style="8"/>
    <col min="15620" max="15620" width="9.26953125" style="8" customWidth="1"/>
    <col min="15621" max="15621" width="8.26953125" style="8" customWidth="1"/>
    <col min="15622" max="15622" width="9.26953125" style="8" customWidth="1"/>
    <col min="15623" max="15623" width="20.7265625" style="8" customWidth="1"/>
    <col min="15624" max="15624" width="14.7265625" style="8" customWidth="1"/>
    <col min="15625" max="15625" width="11.1796875" style="8" customWidth="1"/>
    <col min="15626" max="15626" width="15.7265625" style="8" customWidth="1"/>
    <col min="15627" max="15627" width="9.7265625" style="8" customWidth="1"/>
    <col min="15628" max="15628" width="6.81640625" style="8" customWidth="1"/>
    <col min="15629" max="15875" width="11.453125" style="8"/>
    <col min="15876" max="15876" width="9.26953125" style="8" customWidth="1"/>
    <col min="15877" max="15877" width="8.26953125" style="8" customWidth="1"/>
    <col min="15878" max="15878" width="9.26953125" style="8" customWidth="1"/>
    <col min="15879" max="15879" width="20.7265625" style="8" customWidth="1"/>
    <col min="15880" max="15880" width="14.7265625" style="8" customWidth="1"/>
    <col min="15881" max="15881" width="11.1796875" style="8" customWidth="1"/>
    <col min="15882" max="15882" width="15.7265625" style="8" customWidth="1"/>
    <col min="15883" max="15883" width="9.7265625" style="8" customWidth="1"/>
    <col min="15884" max="15884" width="6.81640625" style="8" customWidth="1"/>
    <col min="15885" max="16131" width="11.453125" style="8"/>
    <col min="16132" max="16132" width="9.26953125" style="8" customWidth="1"/>
    <col min="16133" max="16133" width="8.26953125" style="8" customWidth="1"/>
    <col min="16134" max="16134" width="9.26953125" style="8" customWidth="1"/>
    <col min="16135" max="16135" width="20.7265625" style="8" customWidth="1"/>
    <col min="16136" max="16136" width="14.7265625" style="8" customWidth="1"/>
    <col min="16137" max="16137" width="11.1796875" style="8" customWidth="1"/>
    <col min="16138" max="16138" width="15.7265625" style="8" customWidth="1"/>
    <col min="16139" max="16139" width="9.7265625" style="8" customWidth="1"/>
    <col min="16140" max="16140" width="6.81640625" style="8" customWidth="1"/>
    <col min="16141" max="16384" width="11.453125" style="8"/>
  </cols>
  <sheetData>
    <row r="1" spans="1:16" ht="42" customHeight="1" x14ac:dyDescent="0.25">
      <c r="A1" t="s" s="16">
        <v>208</v>
      </c>
      <c r="B1" s="7"/>
      <c r="C1" s="7"/>
      <c r="D1" s="7"/>
      <c r="E1" s="7"/>
      <c r="F1" s="7"/>
      <c r="G1" s="21"/>
      <c r="H1" s="23"/>
      <c r="I1" s="7"/>
      <c r="J1" s="7"/>
      <c r="K1" s="7"/>
      <c r="L1" t="s" s="43">
        <v>4</v>
      </c>
      <c r="M1" s="42">
        <v>705</v>
      </c>
      <c r="N1" s="101"/>
      <c r="O1" s="42"/>
      <c r="P1" s="42"/>
    </row>
    <row r="2" spans="1:16" ht="26" x14ac:dyDescent="0.25">
      <c r="A2" t="s" s="17">
        <v>209</v>
      </c>
      <c r="B2" t="s" s="17">
        <v>5</v>
      </c>
      <c r="C2" t="s" s="17">
        <v>745</v>
      </c>
      <c r="D2" t="s" s="17">
        <v>186</v>
      </c>
      <c r="E2" t="s" s="17">
        <v>188</v>
      </c>
      <c r="F2" t="s" s="17">
        <v>210</v>
      </c>
      <c r="G2" t="s" s="17">
        <v>189</v>
      </c>
      <c r="H2" t="s" s="24">
        <v>211</v>
      </c>
      <c r="I2" t="s" s="17">
        <v>212</v>
      </c>
      <c r="J2" t="s" s="17">
        <v>213</v>
      </c>
      <c r="K2" t="s" s="17">
        <v>197</v>
      </c>
      <c r="L2" t="s" s="17">
        <v>4</v>
      </c>
      <c r="M2" t="s" s="49">
        <v>214</v>
      </c>
      <c r="N2" t="s" s="102">
        <v>746</v>
      </c>
      <c r="O2" t="s" s="49">
        <v>778</v>
      </c>
      <c r="P2" t="s" s="49">
        <v>779</v>
      </c>
    </row>
    <row r="3" spans="1:16" ht="14.5" x14ac:dyDescent="0.25">
      <c r="A3" s="18">
        <v>1</v>
      </c>
      <c r="B3" s="19">
        <v>70000265</v>
      </c>
      <c r="C3" s="19">
        <v>108112</v>
      </c>
      <c r="D3" t="s" s="10">
        <v>722</v>
      </c>
      <c r="E3" t="s" s="9">
        <v>198</v>
      </c>
      <c r="F3" t="s" s="3">
        <v>71</v>
      </c>
      <c r="G3" t="s" s="10">
        <v>177</v>
      </c>
      <c r="H3" s="25">
        <v>30022</v>
      </c>
      <c r="I3" s="9">
        <f ca="1" t="shared" ref="I3:I66" si="0">DATEDIF(H3,TODAY(),"Y")</f>
      </c>
      <c r="J3" s="11">
        <v>1</v>
      </c>
      <c r="K3" s="11">
        <v>2</v>
      </c>
      <c r="L3" s="11">
        <v>4</v>
      </c>
      <c r="M3" s="11"/>
      <c r="N3" s="103"/>
      <c r="O3" s="11"/>
      <c r="P3" s="11"/>
    </row>
    <row r="4" spans="1:16" ht="14.5" x14ac:dyDescent="0.25">
      <c r="A4" s="18">
        <v>2</v>
      </c>
      <c r="B4" s="19">
        <v>70000265</v>
      </c>
      <c r="C4" s="19">
        <v>162600</v>
      </c>
      <c r="D4" t="s" s="9">
        <v>608</v>
      </c>
      <c r="E4" t="s" s="9">
        <v>195</v>
      </c>
      <c r="F4" t="s" s="20">
        <v>215</v>
      </c>
      <c r="G4" t="s" s="10">
        <v>177</v>
      </c>
      <c r="H4" s="25">
        <v>26225</v>
      </c>
      <c r="I4" s="9">
        <f ca="1" t="shared" si="0"/>
      </c>
      <c r="J4" s="12"/>
      <c r="K4" s="13"/>
      <c r="L4" s="13"/>
      <c r="M4" s="13"/>
      <c r="N4" s="13"/>
      <c r="O4" s="13"/>
      <c r="P4" s="13"/>
    </row>
    <row r="5" spans="1:16" ht="14.5" x14ac:dyDescent="0.25">
      <c r="A5" s="18">
        <v>3</v>
      </c>
      <c r="B5" s="19">
        <v>70000265</v>
      </c>
      <c r="C5" s="19">
        <v>162601</v>
      </c>
      <c r="D5" t="s" s="9">
        <v>192</v>
      </c>
      <c r="E5" t="s" s="9">
        <v>195</v>
      </c>
      <c r="F5" t="s" s="20">
        <v>216</v>
      </c>
      <c r="G5" t="s" s="10">
        <v>177</v>
      </c>
      <c r="H5" s="25">
        <v>40593</v>
      </c>
      <c r="I5" s="9">
        <f ca="1" t="shared" si="0"/>
      </c>
      <c r="J5" s="12"/>
      <c r="K5" s="13"/>
      <c r="L5" s="13"/>
      <c r="M5" s="13"/>
      <c r="N5" s="13"/>
      <c r="O5" s="13"/>
      <c r="P5" s="13"/>
    </row>
    <row r="6" spans="1:16" ht="14.5" x14ac:dyDescent="0.25">
      <c r="A6" s="18">
        <v>4</v>
      </c>
      <c r="B6" s="19">
        <v>70000265</v>
      </c>
      <c r="C6" s="19">
        <v>162602</v>
      </c>
      <c r="D6" t="s" s="9">
        <v>192</v>
      </c>
      <c r="E6" t="s" s="9">
        <v>198</v>
      </c>
      <c r="F6" t="s" s="20">
        <v>217</v>
      </c>
      <c r="G6" t="s" s="10">
        <v>177</v>
      </c>
      <c r="H6" s="25">
        <v>41303</v>
      </c>
      <c r="I6" s="9">
        <f ca="1" t="shared" si="0"/>
      </c>
      <c r="J6" s="12"/>
      <c r="K6" s="13"/>
      <c r="L6" s="13"/>
      <c r="M6" s="13"/>
      <c r="N6" s="13"/>
      <c r="O6" s="13"/>
      <c r="P6" s="13"/>
    </row>
    <row r="7" spans="1:16" ht="14.5" x14ac:dyDescent="0.25">
      <c r="A7" s="18">
        <v>5</v>
      </c>
      <c r="B7" s="19">
        <v>70000240</v>
      </c>
      <c r="C7" s="19">
        <v>155437</v>
      </c>
      <c r="D7" t="s" s="10">
        <v>722</v>
      </c>
      <c r="E7" t="s" s="9">
        <v>195</v>
      </c>
      <c r="F7" t="s" s="3">
        <v>52</v>
      </c>
      <c r="G7" t="s" s="10">
        <v>0</v>
      </c>
      <c r="H7" s="25">
        <v>34545</v>
      </c>
      <c r="I7" s="9">
        <f ca="1" t="shared" si="0"/>
      </c>
      <c r="J7" s="12">
        <v>0</v>
      </c>
      <c r="K7" s="13">
        <v>0</v>
      </c>
      <c r="L7" s="11">
        <v>1</v>
      </c>
      <c r="M7" s="13"/>
      <c r="N7" s="13"/>
      <c r="O7" s="13"/>
      <c r="P7" s="13"/>
    </row>
    <row r="8" spans="1:16" ht="14.5" x14ac:dyDescent="0.25">
      <c r="A8" s="18">
        <v>6</v>
      </c>
      <c r="B8" s="19">
        <v>70000295</v>
      </c>
      <c r="C8" s="19">
        <v>163787</v>
      </c>
      <c r="D8" t="s" s="10">
        <v>722</v>
      </c>
      <c r="E8" t="s" s="9">
        <v>198</v>
      </c>
      <c r="F8" t="s" s="3">
        <v>73</v>
      </c>
      <c r="G8" t="s" s="10">
        <v>0</v>
      </c>
      <c r="H8" s="25">
        <v>27986</v>
      </c>
      <c r="I8" s="9">
        <f ca="1" t="shared" si="0"/>
      </c>
      <c r="J8" s="14">
        <v>1</v>
      </c>
      <c r="K8" s="11">
        <v>4</v>
      </c>
      <c r="L8" s="11">
        <v>6</v>
      </c>
      <c r="M8" s="11"/>
      <c r="N8" s="103"/>
      <c r="O8" s="11"/>
      <c r="P8" s="11"/>
    </row>
    <row r="9" spans="1:16" ht="14.5" x14ac:dyDescent="0.25">
      <c r="A9" s="18">
        <v>7</v>
      </c>
      <c r="B9" s="19">
        <v>70000295</v>
      </c>
      <c r="C9" s="19">
        <v>163789</v>
      </c>
      <c r="D9" t="s" s="9">
        <v>192</v>
      </c>
      <c r="E9" t="s" s="9">
        <v>198</v>
      </c>
      <c r="F9" t="s" s="20">
        <v>218</v>
      </c>
      <c r="G9" t="s" s="10">
        <v>0</v>
      </c>
      <c r="H9" s="25">
        <v>37796</v>
      </c>
      <c r="I9" s="9">
        <f ca="1" t="shared" si="0"/>
      </c>
      <c r="J9" s="12"/>
      <c r="K9" s="13"/>
      <c r="L9" s="13"/>
      <c r="M9" s="13"/>
      <c r="N9" s="13"/>
      <c r="O9" s="13"/>
      <c r="P9" s="13"/>
    </row>
    <row r="10" spans="1:16" ht="14.5" x14ac:dyDescent="0.25">
      <c r="A10" s="18">
        <v>8</v>
      </c>
      <c r="B10" s="19">
        <v>70000295</v>
      </c>
      <c r="C10" s="19">
        <v>163790</v>
      </c>
      <c r="D10" t="s" s="9">
        <v>192</v>
      </c>
      <c r="E10" t="s" s="9">
        <v>198</v>
      </c>
      <c r="F10" t="s" s="20">
        <v>219</v>
      </c>
      <c r="G10" t="s" s="10">
        <v>0</v>
      </c>
      <c r="H10" s="25">
        <v>38460</v>
      </c>
      <c r="I10" s="9">
        <f ca="1" t="shared" si="0"/>
      </c>
      <c r="J10" s="12"/>
      <c r="K10" s="13"/>
      <c r="L10" s="13"/>
      <c r="M10" s="13"/>
      <c r="N10" s="13"/>
      <c r="O10" s="13"/>
      <c r="P10" s="13"/>
    </row>
    <row r="11" spans="1:16" ht="14.5" x14ac:dyDescent="0.25">
      <c r="A11" s="18">
        <v>9</v>
      </c>
      <c r="B11" s="19">
        <v>70000295</v>
      </c>
      <c r="C11" s="19">
        <v>163791</v>
      </c>
      <c r="D11" t="s" s="9">
        <v>192</v>
      </c>
      <c r="E11" t="s" s="9">
        <v>195</v>
      </c>
      <c r="F11" t="s" s="20">
        <v>220</v>
      </c>
      <c r="G11" t="s" s="10">
        <v>0</v>
      </c>
      <c r="H11" s="25">
        <v>39245</v>
      </c>
      <c r="I11" s="9">
        <f ca="1" t="shared" si="0"/>
      </c>
      <c r="J11" s="12"/>
      <c r="K11" s="13"/>
      <c r="L11" s="13"/>
      <c r="M11" s="13"/>
      <c r="N11" s="13"/>
      <c r="O11" s="13"/>
      <c r="P11" s="13"/>
    </row>
    <row r="12" spans="1:16" ht="14.5" x14ac:dyDescent="0.25">
      <c r="A12" s="18">
        <v>10</v>
      </c>
      <c r="B12" s="19">
        <v>70000295</v>
      </c>
      <c r="C12" s="19">
        <v>163792</v>
      </c>
      <c r="D12" t="s" s="9">
        <v>192</v>
      </c>
      <c r="E12" t="s" s="9">
        <v>198</v>
      </c>
      <c r="F12" t="s" s="20">
        <v>221</v>
      </c>
      <c r="G12" t="s" s="10">
        <v>0</v>
      </c>
      <c r="H12" s="25">
        <v>40155</v>
      </c>
      <c r="I12" s="9">
        <f ca="1" t="shared" si="0"/>
      </c>
      <c r="J12" s="12"/>
      <c r="K12" s="13"/>
      <c r="L12" s="13"/>
      <c r="M12" s="13"/>
      <c r="N12" s="13"/>
      <c r="O12" s="13"/>
      <c r="P12" s="13"/>
    </row>
    <row r="13" spans="1:16" ht="14.5" x14ac:dyDescent="0.25">
      <c r="A13" s="18">
        <v>11</v>
      </c>
      <c r="B13" s="19">
        <v>70000295</v>
      </c>
      <c r="C13" s="19">
        <v>164637</v>
      </c>
      <c r="D13" t="s" s="9">
        <v>608</v>
      </c>
      <c r="E13" t="s" s="9">
        <v>195</v>
      </c>
      <c r="F13" t="s" s="20">
        <v>222</v>
      </c>
      <c r="G13" t="s" s="10">
        <v>0</v>
      </c>
      <c r="H13" s="25">
        <v>24053</v>
      </c>
      <c r="I13" s="9">
        <f ca="1" t="shared" si="0"/>
      </c>
      <c r="J13" s="12"/>
      <c r="K13" s="13"/>
      <c r="L13" s="13"/>
      <c r="M13" s="13"/>
      <c r="N13" s="13"/>
      <c r="O13" s="13"/>
      <c r="P13" s="13"/>
    </row>
    <row r="14" spans="1:16" ht="14.5" x14ac:dyDescent="0.25">
      <c r="A14" s="18">
        <v>12</v>
      </c>
      <c r="B14" s="19">
        <v>70000112</v>
      </c>
      <c r="C14" s="19">
        <v>163936</v>
      </c>
      <c r="D14" t="s" s="10">
        <v>722</v>
      </c>
      <c r="E14" t="s" s="9">
        <v>195</v>
      </c>
      <c r="F14" t="s" s="3">
        <v>172</v>
      </c>
      <c r="G14" t="s" s="10">
        <v>0</v>
      </c>
      <c r="H14" s="25">
        <v>30328</v>
      </c>
      <c r="I14" s="9">
        <f ca="1" t="shared" si="0"/>
      </c>
      <c r="J14" s="14">
        <v>1</v>
      </c>
      <c r="K14" s="11">
        <v>5</v>
      </c>
      <c r="L14" s="11">
        <v>7</v>
      </c>
      <c r="M14" s="11"/>
      <c r="N14" s="103"/>
      <c r="O14" s="11"/>
      <c r="P14" s="11"/>
    </row>
    <row r="15" spans="1:16" ht="14.5" x14ac:dyDescent="0.25">
      <c r="A15" s="18">
        <v>13</v>
      </c>
      <c r="B15" s="19">
        <v>70000112</v>
      </c>
      <c r="C15" s="19">
        <v>163937</v>
      </c>
      <c r="D15" t="s" s="9">
        <v>608</v>
      </c>
      <c r="E15" t="s" s="9">
        <v>198</v>
      </c>
      <c r="F15" t="s" s="20">
        <v>223</v>
      </c>
      <c r="G15" t="s" s="10">
        <v>0</v>
      </c>
      <c r="H15" s="25">
        <v>32408</v>
      </c>
      <c r="I15" s="9">
        <f ca="1" t="shared" si="0"/>
      </c>
      <c r="J15" s="12"/>
      <c r="K15" s="13"/>
      <c r="L15" s="13"/>
      <c r="M15" s="13"/>
      <c r="N15" s="13"/>
      <c r="O15" s="13"/>
      <c r="P15" s="13"/>
    </row>
    <row r="16" spans="1:16" ht="14.5" x14ac:dyDescent="0.25">
      <c r="A16" s="18">
        <v>14</v>
      </c>
      <c r="B16" s="19">
        <v>70000112</v>
      </c>
      <c r="C16" s="19">
        <v>163938</v>
      </c>
      <c r="D16" t="s" s="9">
        <v>192</v>
      </c>
      <c r="E16" t="s" s="9">
        <v>198</v>
      </c>
      <c r="F16" t="s" s="20">
        <v>224</v>
      </c>
      <c r="G16" t="s" s="10">
        <v>0</v>
      </c>
      <c r="H16" s="25">
        <v>42157</v>
      </c>
      <c r="I16" s="9">
        <f ca="1" t="shared" si="0"/>
      </c>
      <c r="J16" s="12"/>
      <c r="K16" s="13"/>
      <c r="L16" s="13"/>
      <c r="M16" s="13"/>
      <c r="N16" s="13"/>
      <c r="O16" s="13"/>
      <c r="P16" s="13"/>
    </row>
    <row r="17" spans="1:16" ht="14.5" x14ac:dyDescent="0.25">
      <c r="A17" s="18">
        <v>15</v>
      </c>
      <c r="B17" s="19">
        <v>70000112</v>
      </c>
      <c r="C17" s="19">
        <v>163939</v>
      </c>
      <c r="D17" t="s" s="9">
        <v>192</v>
      </c>
      <c r="E17" t="s" s="9">
        <v>195</v>
      </c>
      <c r="F17" t="s" s="20">
        <v>225</v>
      </c>
      <c r="G17" t="s" s="10">
        <v>0</v>
      </c>
      <c r="H17" s="25">
        <v>42604</v>
      </c>
      <c r="I17" s="9">
        <f ca="1" t="shared" si="0"/>
      </c>
      <c r="J17" s="12"/>
      <c r="K17" s="13"/>
      <c r="L17" s="13"/>
      <c r="M17" s="13"/>
      <c r="N17" s="13"/>
      <c r="O17" s="13"/>
      <c r="P17" s="13"/>
    </row>
    <row r="18" spans="1:16" ht="14.5" x14ac:dyDescent="0.25">
      <c r="A18" s="18">
        <v>16</v>
      </c>
      <c r="B18" s="19">
        <v>70000112</v>
      </c>
      <c r="C18" s="19">
        <v>163940</v>
      </c>
      <c r="D18" t="s" s="9">
        <v>192</v>
      </c>
      <c r="E18" t="s" s="9">
        <v>195</v>
      </c>
      <c r="F18" t="s" s="20">
        <v>226</v>
      </c>
      <c r="G18" t="s" s="10">
        <v>0</v>
      </c>
      <c r="H18" s="25">
        <v>44042</v>
      </c>
      <c r="I18" s="9">
        <f ca="1" t="shared" si="0"/>
      </c>
      <c r="J18" s="12"/>
      <c r="K18" s="13"/>
      <c r="L18" s="13"/>
      <c r="M18" s="13"/>
      <c r="N18" s="13"/>
      <c r="O18" s="13"/>
      <c r="P18" s="13"/>
    </row>
    <row r="19" spans="1:16" ht="14.5" x14ac:dyDescent="0.25">
      <c r="A19" s="18">
        <v>17</v>
      </c>
      <c r="B19" s="19">
        <v>70000112</v>
      </c>
      <c r="C19" s="19">
        <v>166049</v>
      </c>
      <c r="D19" t="s" s="9">
        <v>192</v>
      </c>
      <c r="E19" t="s" s="9">
        <v>195</v>
      </c>
      <c r="F19" t="s" s="20">
        <v>227</v>
      </c>
      <c r="G19" t="s" s="10">
        <v>0</v>
      </c>
      <c r="H19" s="25">
        <v>44596</v>
      </c>
      <c r="I19" s="9">
        <f ca="1" t="shared" si="0"/>
      </c>
      <c r="J19" s="12"/>
      <c r="K19" s="13"/>
      <c r="L19" s="13"/>
      <c r="M19" s="13"/>
      <c r="N19" s="13"/>
      <c r="O19" s="13"/>
      <c r="P19" s="13"/>
    </row>
    <row r="20" spans="1:16" ht="14.5" x14ac:dyDescent="0.25">
      <c r="A20" s="18">
        <v>710</v>
      </c>
      <c r="B20" s="19">
        <v>70000112</v>
      </c>
      <c r="C20" s="19">
        <v>178129</v>
      </c>
      <c r="D20" t="s" s="10">
        <v>192</v>
      </c>
      <c r="E20" t="s" s="9">
        <v>195</v>
      </c>
      <c r="F20" t="s" s="3">
        <v>761</v>
      </c>
      <c r="G20" t="s" s="10">
        <v>0</v>
      </c>
      <c r="H20" s="25">
        <v>46190</v>
      </c>
      <c r="I20" s="9">
        <f ca="1" t="shared" si="0"/>
      </c>
      <c r="J20" s="14"/>
      <c r="K20" s="11"/>
      <c r="L20" s="11"/>
      <c r="M20" s="11"/>
      <c r="N20" t="s" s="103">
        <v>793</v>
      </c>
      <c r="O20" s="11"/>
      <c r="P20" s="11"/>
    </row>
    <row r="21" spans="1:16" ht="14.5" x14ac:dyDescent="0.25">
      <c r="A21" s="18">
        <v>18</v>
      </c>
      <c r="B21" s="19">
        <v>70000023</v>
      </c>
      <c r="C21" s="19">
        <v>163951</v>
      </c>
      <c r="D21" t="s" s="9">
        <v>722</v>
      </c>
      <c r="E21" t="s" s="9">
        <v>195</v>
      </c>
      <c r="F21" t="s" s="20">
        <v>64</v>
      </c>
      <c r="G21" t="s" s="10">
        <v>177</v>
      </c>
      <c r="H21" s="25">
        <v>25208</v>
      </c>
      <c r="I21" s="9">
        <f ca="1" t="shared" si="0"/>
      </c>
      <c r="J21" s="12">
        <v>1</v>
      </c>
      <c r="K21" s="13">
        <v>2</v>
      </c>
      <c r="L21" s="13">
        <v>4</v>
      </c>
      <c r="M21" s="13"/>
      <c r="N21" s="13"/>
      <c r="O21" s="13"/>
      <c r="P21" s="13"/>
    </row>
    <row r="22" spans="1:16" ht="14.5" x14ac:dyDescent="0.25">
      <c r="A22" s="18">
        <v>19</v>
      </c>
      <c r="B22" s="19">
        <v>70000023</v>
      </c>
      <c r="C22" s="19">
        <v>163952</v>
      </c>
      <c r="D22" t="s" s="9">
        <v>608</v>
      </c>
      <c r="E22" t="s" s="9">
        <v>198</v>
      </c>
      <c r="F22" t="s" s="20">
        <v>228</v>
      </c>
      <c r="G22" t="s" s="10">
        <v>177</v>
      </c>
      <c r="H22" s="25">
        <v>26155</v>
      </c>
      <c r="I22" s="9">
        <f ca="1" t="shared" si="0"/>
      </c>
      <c r="J22" s="12"/>
      <c r="K22" s="13"/>
      <c r="L22" s="13"/>
      <c r="M22" s="13"/>
      <c r="N22" s="13"/>
      <c r="O22" s="13"/>
      <c r="P22" s="13"/>
    </row>
    <row r="23" spans="1:16" ht="14.5" x14ac:dyDescent="0.25">
      <c r="A23" s="18">
        <v>20</v>
      </c>
      <c r="B23" s="19">
        <v>70000023</v>
      </c>
      <c r="C23" s="19">
        <v>163953</v>
      </c>
      <c r="D23" t="s" s="9">
        <v>192</v>
      </c>
      <c r="E23" t="s" s="9">
        <v>198</v>
      </c>
      <c r="F23" t="s" s="20">
        <v>229</v>
      </c>
      <c r="G23" t="s" s="10">
        <v>177</v>
      </c>
      <c r="H23" s="25">
        <v>40539</v>
      </c>
      <c r="I23" s="9">
        <f ca="1" t="shared" si="0"/>
      </c>
      <c r="J23" s="12"/>
      <c r="K23" s="13"/>
      <c r="L23" s="13"/>
      <c r="M23" s="13"/>
      <c r="N23" s="13"/>
      <c r="O23" s="13"/>
      <c r="P23" s="13"/>
    </row>
    <row r="24" spans="1:16" ht="14.5" x14ac:dyDescent="0.25">
      <c r="A24" s="18">
        <v>21</v>
      </c>
      <c r="B24" s="46">
        <v>70000023</v>
      </c>
      <c r="C24" s="19">
        <v>163954</v>
      </c>
      <c r="D24" t="s" s="47">
        <v>192</v>
      </c>
      <c r="E24" t="s" s="9">
        <v>195</v>
      </c>
      <c r="F24" t="s" s="3">
        <v>230</v>
      </c>
      <c r="G24" t="s" s="10">
        <v>177</v>
      </c>
      <c r="H24" s="25">
        <v>42141</v>
      </c>
      <c r="I24" s="9">
        <f ca="1" t="shared" si="0"/>
      </c>
      <c r="J24" s="14"/>
      <c r="K24" s="13"/>
      <c r="L24" s="11"/>
      <c r="M24" s="13"/>
      <c r="N24" s="13"/>
      <c r="O24" s="13"/>
      <c r="P24" s="13"/>
    </row>
    <row r="25" spans="1:16" ht="14.5" x14ac:dyDescent="0.25">
      <c r="A25" s="18">
        <v>22</v>
      </c>
      <c r="B25" s="46">
        <v>70000019</v>
      </c>
      <c r="C25" s="19">
        <v>163955</v>
      </c>
      <c r="D25" t="s" s="48">
        <v>722</v>
      </c>
      <c r="E25" t="s" s="9">
        <v>198</v>
      </c>
      <c r="F25" t="s" s="20">
        <v>62</v>
      </c>
      <c r="G25" t="s" s="10">
        <v>177</v>
      </c>
      <c r="H25" s="25">
        <v>28799</v>
      </c>
      <c r="I25" s="9">
        <f ca="1" t="shared" si="0"/>
      </c>
      <c r="J25" s="12">
        <v>1</v>
      </c>
      <c r="K25" s="13">
        <v>0</v>
      </c>
      <c r="L25" s="13">
        <v>2</v>
      </c>
      <c r="M25" s="13"/>
      <c r="N25" s="13"/>
      <c r="O25" s="13"/>
      <c r="P25" s="13"/>
    </row>
    <row r="26" spans="1:16" ht="14.5" x14ac:dyDescent="0.25">
      <c r="A26" s="18">
        <v>23</v>
      </c>
      <c r="B26" s="19">
        <v>70000019</v>
      </c>
      <c r="C26" s="19">
        <v>163956</v>
      </c>
      <c r="D26" t="s" s="10">
        <v>608</v>
      </c>
      <c r="E26" t="s" s="9">
        <v>195</v>
      </c>
      <c r="F26" t="s" s="3">
        <v>231</v>
      </c>
      <c r="G26" t="s" s="10">
        <v>177</v>
      </c>
      <c r="H26" s="25">
        <v>26402</v>
      </c>
      <c r="I26" s="9">
        <f ca="1" t="shared" si="0"/>
      </c>
      <c r="J26" s="12"/>
      <c r="K26" s="13"/>
      <c r="L26" s="11"/>
      <c r="M26" s="13"/>
      <c r="N26" s="13"/>
      <c r="O26" s="13"/>
      <c r="P26" s="13"/>
    </row>
    <row r="27" spans="1:16" ht="14.5" x14ac:dyDescent="0.25">
      <c r="A27" s="18">
        <v>24</v>
      </c>
      <c r="B27" s="19">
        <v>70000078</v>
      </c>
      <c r="C27" s="19">
        <v>163957</v>
      </c>
      <c r="D27" t="s" s="10">
        <v>722</v>
      </c>
      <c r="E27" t="s" s="9">
        <v>198</v>
      </c>
      <c r="F27" t="s" s="3">
        <v>152</v>
      </c>
      <c r="G27" t="s" s="10">
        <v>177</v>
      </c>
      <c r="H27" s="25">
        <v>35405</v>
      </c>
      <c r="I27" s="9">
        <f ca="1" t="shared" si="0"/>
      </c>
      <c r="J27" s="14">
        <v>0</v>
      </c>
      <c r="K27" s="11">
        <v>0</v>
      </c>
      <c r="L27" s="11">
        <v>1</v>
      </c>
      <c r="M27" s="11"/>
      <c r="N27" s="103"/>
      <c r="O27" s="11"/>
      <c r="P27" s="11"/>
    </row>
    <row r="28" spans="1:16" ht="14.5" x14ac:dyDescent="0.25">
      <c r="A28" s="18">
        <v>25</v>
      </c>
      <c r="B28" s="19">
        <v>70000069</v>
      </c>
      <c r="C28" s="19">
        <v>163958</v>
      </c>
      <c r="D28" t="s" s="9">
        <v>722</v>
      </c>
      <c r="E28" t="s" s="9">
        <v>195</v>
      </c>
      <c r="F28" t="s" s="20">
        <v>121</v>
      </c>
      <c r="G28" t="s" s="10">
        <v>0</v>
      </c>
      <c r="H28" s="25">
        <v>27917</v>
      </c>
      <c r="I28" s="9">
        <f ca="1" t="shared" si="0"/>
      </c>
      <c r="J28" s="12">
        <v>1</v>
      </c>
      <c r="K28" s="13">
        <v>2</v>
      </c>
      <c r="L28" s="13">
        <v>4</v>
      </c>
      <c r="M28" s="13"/>
      <c r="N28" s="13"/>
      <c r="O28" s="13"/>
      <c r="P28" s="13"/>
    </row>
    <row r="29" spans="1:16" ht="14.5" x14ac:dyDescent="0.25">
      <c r="A29" s="18">
        <v>26</v>
      </c>
      <c r="B29" s="19">
        <v>70000069</v>
      </c>
      <c r="C29" s="19">
        <v>163959</v>
      </c>
      <c r="D29" t="s" s="9">
        <v>192</v>
      </c>
      <c r="E29" t="s" s="9">
        <v>198</v>
      </c>
      <c r="F29" t="s" s="20">
        <v>232</v>
      </c>
      <c r="G29" t="s" s="10">
        <v>0</v>
      </c>
      <c r="H29" s="25">
        <v>43293</v>
      </c>
      <c r="I29" s="9">
        <f ca="1" t="shared" si="0"/>
      </c>
      <c r="J29" s="12"/>
      <c r="K29" s="13"/>
      <c r="L29" s="13"/>
      <c r="M29" s="13"/>
      <c r="N29" s="13"/>
      <c r="O29" s="13"/>
      <c r="P29" s="13"/>
    </row>
    <row r="30" spans="1:16" ht="14.5" x14ac:dyDescent="0.25">
      <c r="A30" s="18">
        <v>27</v>
      </c>
      <c r="B30" s="19">
        <v>70000069</v>
      </c>
      <c r="C30" s="19">
        <v>167049</v>
      </c>
      <c r="D30" t="s" s="9">
        <v>608</v>
      </c>
      <c r="E30" t="s" s="9">
        <v>198</v>
      </c>
      <c r="F30" t="s" s="20">
        <v>233</v>
      </c>
      <c r="G30" t="s" s="10">
        <v>0</v>
      </c>
      <c r="H30" s="25">
        <v>31924</v>
      </c>
      <c r="I30" s="9">
        <f ca="1" t="shared" si="0"/>
      </c>
      <c r="J30" s="12"/>
      <c r="K30" s="13"/>
      <c r="L30" s="13"/>
      <c r="M30" s="13"/>
      <c r="N30" s="13"/>
      <c r="O30" s="13"/>
      <c r="P30" s="13"/>
    </row>
    <row r="31" spans="1:16" ht="14.5" x14ac:dyDescent="0.25">
      <c r="A31" s="18">
        <v>28</v>
      </c>
      <c r="B31" s="19">
        <v>70000069</v>
      </c>
      <c r="C31" s="19">
        <v>167741</v>
      </c>
      <c r="D31" t="s" s="10">
        <v>192</v>
      </c>
      <c r="E31" t="s" s="9">
        <v>198</v>
      </c>
      <c r="F31" t="s" s="3">
        <v>234</v>
      </c>
      <c r="G31" t="s" s="10">
        <v>0</v>
      </c>
      <c r="H31" s="25">
        <v>44883</v>
      </c>
      <c r="I31" s="9">
        <f ca="1" t="shared" si="0"/>
      </c>
      <c r="J31" s="14"/>
      <c r="K31" s="11"/>
      <c r="L31" s="11"/>
      <c r="M31" s="11"/>
      <c r="N31" s="103"/>
      <c r="O31" s="11"/>
      <c r="P31" s="11"/>
    </row>
    <row r="32" spans="1:16" ht="14.5" x14ac:dyDescent="0.25">
      <c r="A32" s="18">
        <v>29</v>
      </c>
      <c r="B32" s="19">
        <v>70000052</v>
      </c>
      <c r="C32" s="19">
        <v>163960</v>
      </c>
      <c r="D32" t="s" s="9">
        <v>722</v>
      </c>
      <c r="E32" t="s" s="9">
        <v>195</v>
      </c>
      <c r="F32" t="s" s="3">
        <v>20</v>
      </c>
      <c r="G32" t="s" s="10">
        <v>0</v>
      </c>
      <c r="H32" s="25">
        <v>29768</v>
      </c>
      <c r="I32" s="9">
        <f ca="1" t="shared" si="0"/>
      </c>
      <c r="J32" s="12">
        <v>1</v>
      </c>
      <c r="K32" s="13">
        <v>5</v>
      </c>
      <c r="L32" s="13">
        <v>7</v>
      </c>
      <c r="M32" s="13"/>
      <c r="N32" s="13"/>
      <c r="O32" s="13"/>
      <c r="P32" s="13"/>
    </row>
    <row r="33" spans="1:16" ht="14.5" x14ac:dyDescent="0.25">
      <c r="A33" s="18">
        <v>30</v>
      </c>
      <c r="B33" s="19">
        <v>70000052</v>
      </c>
      <c r="C33" s="19">
        <v>163961</v>
      </c>
      <c r="D33" t="s" s="9">
        <v>608</v>
      </c>
      <c r="E33" t="s" s="9">
        <v>198</v>
      </c>
      <c r="F33" t="s" s="20">
        <v>762</v>
      </c>
      <c r="G33" t="s" s="10">
        <v>0</v>
      </c>
      <c r="H33" s="25">
        <v>32609</v>
      </c>
      <c r="I33" s="9">
        <f ca="1" t="shared" si="0"/>
      </c>
      <c r="J33" s="12"/>
      <c r="K33" s="13"/>
      <c r="L33" s="13"/>
      <c r="M33" s="13"/>
      <c r="N33" s="13"/>
      <c r="O33" s="13"/>
      <c r="P33" s="13"/>
    </row>
    <row r="34" spans="1:16" ht="14.5" x14ac:dyDescent="0.25">
      <c r="A34" s="18">
        <v>31</v>
      </c>
      <c r="B34" s="19">
        <v>70000052</v>
      </c>
      <c r="C34" s="19">
        <v>163962</v>
      </c>
      <c r="D34" t="s" s="9">
        <v>192</v>
      </c>
      <c r="E34" t="s" s="9">
        <v>195</v>
      </c>
      <c r="F34" t="s" s="20">
        <v>235</v>
      </c>
      <c r="G34" t="s" s="10">
        <v>0</v>
      </c>
      <c r="H34" s="25">
        <v>39183</v>
      </c>
      <c r="I34" s="9">
        <f ca="1" t="shared" si="0"/>
      </c>
      <c r="J34" s="12"/>
      <c r="K34" s="13"/>
      <c r="L34" s="13"/>
      <c r="M34" s="13"/>
      <c r="N34" s="13"/>
      <c r="O34" s="13"/>
      <c r="P34" s="13"/>
    </row>
    <row r="35" spans="1:16" ht="14.5" x14ac:dyDescent="0.25">
      <c r="A35" s="18">
        <v>32</v>
      </c>
      <c r="B35" s="19">
        <v>70000052</v>
      </c>
      <c r="C35" s="19">
        <v>163963</v>
      </c>
      <c r="D35" t="s" s="9">
        <v>192</v>
      </c>
      <c r="E35" t="s" s="9">
        <v>195</v>
      </c>
      <c r="F35" t="s" s="20">
        <v>236</v>
      </c>
      <c r="G35" t="s" s="10">
        <v>0</v>
      </c>
      <c r="H35" s="25">
        <v>42160</v>
      </c>
      <c r="I35" s="9">
        <f ca="1" t="shared" si="0"/>
      </c>
      <c r="J35" s="12"/>
      <c r="K35" s="13"/>
      <c r="L35" s="13"/>
      <c r="M35" s="13"/>
      <c r="N35" s="13"/>
      <c r="O35" s="13"/>
      <c r="P35" s="13"/>
    </row>
    <row r="36" spans="1:16" ht="14.5" x14ac:dyDescent="0.25">
      <c r="A36" s="18">
        <v>33</v>
      </c>
      <c r="B36" s="19">
        <v>70000052</v>
      </c>
      <c r="C36" s="19">
        <v>163964</v>
      </c>
      <c r="D36" t="s" s="9">
        <v>192</v>
      </c>
      <c r="E36" t="s" s="9">
        <v>195</v>
      </c>
      <c r="F36" t="s" s="20">
        <v>237</v>
      </c>
      <c r="G36" t="s" s="10">
        <v>0</v>
      </c>
      <c r="H36" s="25">
        <v>42771</v>
      </c>
      <c r="I36" s="9">
        <f ca="1" t="shared" si="0"/>
      </c>
      <c r="J36" s="12"/>
      <c r="K36" s="13"/>
      <c r="L36" s="13"/>
      <c r="M36" s="13"/>
      <c r="N36" s="13"/>
      <c r="O36" s="13"/>
      <c r="P36" s="13"/>
    </row>
    <row r="37" spans="1:16" ht="14.5" x14ac:dyDescent="0.25">
      <c r="A37" s="18">
        <v>34</v>
      </c>
      <c r="B37" s="19">
        <v>70000052</v>
      </c>
      <c r="C37" s="19">
        <v>163965</v>
      </c>
      <c r="D37" t="s" s="9">
        <v>192</v>
      </c>
      <c r="E37" t="s" s="9">
        <v>198</v>
      </c>
      <c r="F37" t="s" s="20">
        <v>238</v>
      </c>
      <c r="G37" t="s" s="10">
        <v>0</v>
      </c>
      <c r="H37" s="25">
        <v>43855</v>
      </c>
      <c r="I37" s="9">
        <f ca="1" t="shared" si="0"/>
      </c>
      <c r="J37" s="12"/>
      <c r="K37" s="13"/>
      <c r="L37" s="13"/>
      <c r="M37" s="13"/>
      <c r="N37" s="13"/>
      <c r="O37" s="13"/>
      <c r="P37" s="13"/>
    </row>
    <row r="38" spans="1:16" ht="14.5" x14ac:dyDescent="0.25">
      <c r="A38" s="18">
        <v>35</v>
      </c>
      <c r="B38" s="19">
        <v>70000052</v>
      </c>
      <c r="C38" s="19">
        <v>173119</v>
      </c>
      <c r="D38" t="s" s="10">
        <v>192</v>
      </c>
      <c r="E38" t="s" s="9">
        <v>195</v>
      </c>
      <c r="F38" t="s" s="3">
        <v>239</v>
      </c>
      <c r="G38" t="s" s="10">
        <v>0</v>
      </c>
      <c r="H38" s="25">
        <v>45743</v>
      </c>
      <c r="I38" s="9">
        <f ca="1" t="shared" si="0"/>
      </c>
      <c r="J38" s="12"/>
      <c r="K38" s="13"/>
      <c r="L38" s="11"/>
      <c r="M38" s="13"/>
      <c r="N38" s="13"/>
      <c r="O38" s="13"/>
      <c r="P38" s="13"/>
    </row>
    <row r="39" spans="1:16" ht="14.5" x14ac:dyDescent="0.25">
      <c r="A39" s="18">
        <v>36</v>
      </c>
      <c r="B39" s="19">
        <v>70000179</v>
      </c>
      <c r="C39" s="19">
        <v>163967</v>
      </c>
      <c r="D39" t="s" s="10">
        <v>722</v>
      </c>
      <c r="E39" t="s" s="9">
        <v>198</v>
      </c>
      <c r="F39" t="s" s="3">
        <v>109</v>
      </c>
      <c r="G39" t="s" s="10">
        <v>177</v>
      </c>
      <c r="H39" s="25">
        <v>31542</v>
      </c>
      <c r="I39" s="9">
        <f ca="1" t="shared" si="0"/>
      </c>
      <c r="J39" s="14">
        <v>0</v>
      </c>
      <c r="K39" s="15">
        <v>0</v>
      </c>
      <c r="L39" s="11">
        <v>1</v>
      </c>
      <c r="M39" s="13"/>
      <c r="N39" s="13"/>
      <c r="O39" s="13"/>
      <c r="P39" s="13"/>
    </row>
    <row r="40" spans="1:16" ht="14.5" x14ac:dyDescent="0.25">
      <c r="A40" s="18">
        <v>37</v>
      </c>
      <c r="B40" s="19">
        <v>70000045</v>
      </c>
      <c r="C40" s="19">
        <v>163968</v>
      </c>
      <c r="D40" t="s" s="9">
        <v>722</v>
      </c>
      <c r="E40" t="s" s="9">
        <v>198</v>
      </c>
      <c r="F40" t="s" s="20">
        <v>149</v>
      </c>
      <c r="G40" t="s" s="10">
        <v>177</v>
      </c>
      <c r="H40" s="25">
        <v>32197</v>
      </c>
      <c r="I40" s="9">
        <f ca="1" t="shared" si="0"/>
      </c>
      <c r="J40" s="12">
        <v>1</v>
      </c>
      <c r="K40" s="13">
        <v>0</v>
      </c>
      <c r="L40" s="13">
        <v>2</v>
      </c>
      <c r="M40" s="13"/>
      <c r="N40" s="13"/>
      <c r="O40" s="13"/>
      <c r="P40" s="13"/>
    </row>
    <row r="41" spans="1:16" ht="14.5" x14ac:dyDescent="0.25">
      <c r="A41" s="18">
        <v>38</v>
      </c>
      <c r="B41" s="19">
        <v>70000045</v>
      </c>
      <c r="C41" s="19">
        <v>163969</v>
      </c>
      <c r="D41" t="s" s="10">
        <v>608</v>
      </c>
      <c r="E41" t="s" s="9">
        <v>195</v>
      </c>
      <c r="F41" t="s" s="3">
        <v>240</v>
      </c>
      <c r="G41" t="s" s="10">
        <v>177</v>
      </c>
      <c r="H41" s="25">
        <v>31981</v>
      </c>
      <c r="I41" s="9">
        <f ca="1" t="shared" si="0"/>
      </c>
      <c r="J41" s="12"/>
      <c r="K41" s="13"/>
      <c r="L41" s="11"/>
      <c r="M41" s="13"/>
      <c r="N41" s="13"/>
      <c r="O41" s="13"/>
      <c r="P41" s="13"/>
    </row>
    <row r="42" spans="1:16" ht="14.5" x14ac:dyDescent="0.25">
      <c r="A42" s="18">
        <v>39</v>
      </c>
      <c r="B42" s="19">
        <v>70000186</v>
      </c>
      <c r="C42" s="19">
        <v>163970</v>
      </c>
      <c r="D42" t="s" s="10">
        <v>722</v>
      </c>
      <c r="E42" t="s" s="9">
        <v>198</v>
      </c>
      <c r="F42" t="s" s="3">
        <v>82</v>
      </c>
      <c r="G42" t="s" s="10">
        <v>177</v>
      </c>
      <c r="H42" s="25">
        <v>32273</v>
      </c>
      <c r="I42" s="9">
        <f ca="1" t="shared" si="0"/>
      </c>
      <c r="J42" s="14">
        <v>0</v>
      </c>
      <c r="K42" s="11">
        <v>0</v>
      </c>
      <c r="L42" s="11">
        <v>1</v>
      </c>
      <c r="M42" s="11"/>
      <c r="N42" s="103"/>
      <c r="O42" s="11"/>
      <c r="P42" s="11"/>
    </row>
    <row r="43" spans="1:16" ht="14.5" x14ac:dyDescent="0.25">
      <c r="A43" s="18">
        <v>40</v>
      </c>
      <c r="B43" s="19">
        <v>70000070</v>
      </c>
      <c r="C43" s="19">
        <v>163971</v>
      </c>
      <c r="D43" t="s" s="9">
        <v>722</v>
      </c>
      <c r="E43" t="s" s="9">
        <v>195</v>
      </c>
      <c r="F43" t="s" s="20">
        <v>122</v>
      </c>
      <c r="G43" t="s" s="10">
        <v>0</v>
      </c>
      <c r="H43" s="25">
        <v>31105</v>
      </c>
      <c r="I43" s="9">
        <f ca="1" t="shared" si="0"/>
      </c>
      <c r="J43" s="12">
        <v>1</v>
      </c>
      <c r="K43" s="13">
        <v>5</v>
      </c>
      <c r="L43" s="13">
        <v>7</v>
      </c>
      <c r="M43" s="13"/>
      <c r="N43" s="13"/>
      <c r="O43" s="13"/>
      <c r="P43" s="13"/>
    </row>
    <row r="44" spans="1:16" ht="14.5" x14ac:dyDescent="0.25">
      <c r="A44" s="18">
        <v>41</v>
      </c>
      <c r="B44" s="19">
        <v>70000070</v>
      </c>
      <c r="C44" s="19">
        <v>163972</v>
      </c>
      <c r="D44" t="s" s="9">
        <v>192</v>
      </c>
      <c r="E44" t="s" s="9">
        <v>198</v>
      </c>
      <c r="F44" t="s" s="20">
        <v>241</v>
      </c>
      <c r="G44" t="s" s="10">
        <v>0</v>
      </c>
      <c r="H44" s="25">
        <v>41336</v>
      </c>
      <c r="I44" s="9">
        <f ca="1" t="shared" si="0"/>
      </c>
      <c r="J44" s="12"/>
      <c r="K44" s="13"/>
      <c r="L44" s="13"/>
      <c r="M44" s="13"/>
      <c r="N44" s="13"/>
      <c r="O44" s="13"/>
      <c r="P44" s="13"/>
    </row>
    <row r="45" spans="1:16" ht="14.5" x14ac:dyDescent="0.25">
      <c r="A45" s="18">
        <v>42</v>
      </c>
      <c r="B45" s="19">
        <v>70000070</v>
      </c>
      <c r="C45" s="19">
        <v>163973</v>
      </c>
      <c r="D45" t="s" s="9">
        <v>192</v>
      </c>
      <c r="E45" t="s" s="9">
        <v>195</v>
      </c>
      <c r="F45" t="s" s="20">
        <v>242</v>
      </c>
      <c r="G45" t="s" s="10">
        <v>0</v>
      </c>
      <c r="H45" s="25">
        <v>42388</v>
      </c>
      <c r="I45" s="9">
        <f ca="1" t="shared" si="0"/>
      </c>
      <c r="J45" s="12"/>
      <c r="K45" s="13"/>
      <c r="L45" s="13"/>
      <c r="M45" s="13"/>
      <c r="N45" s="13"/>
      <c r="O45" s="13"/>
      <c r="P45" s="13"/>
    </row>
    <row r="46" spans="1:16" ht="14.5" x14ac:dyDescent="0.25">
      <c r="A46" s="18">
        <v>43</v>
      </c>
      <c r="B46" s="19">
        <v>70000070</v>
      </c>
      <c r="C46" s="19">
        <v>163974</v>
      </c>
      <c r="D46" t="s" s="9">
        <v>192</v>
      </c>
      <c r="E46" t="s" s="9">
        <v>198</v>
      </c>
      <c r="F46" t="s" s="20">
        <v>243</v>
      </c>
      <c r="G46" t="s" s="10">
        <v>0</v>
      </c>
      <c r="H46" s="25">
        <v>43192</v>
      </c>
      <c r="I46" s="9">
        <f ca="1" t="shared" si="0"/>
      </c>
      <c r="J46" s="12"/>
      <c r="K46" s="13"/>
      <c r="L46" s="13"/>
      <c r="M46" s="13"/>
      <c r="N46" s="13"/>
      <c r="O46" s="13"/>
      <c r="P46" s="13"/>
    </row>
    <row r="47" spans="1:16" ht="14.5" x14ac:dyDescent="0.25">
      <c r="A47" s="18">
        <v>44</v>
      </c>
      <c r="B47" s="19">
        <v>70000070</v>
      </c>
      <c r="C47" s="19">
        <v>167152</v>
      </c>
      <c r="D47" t="s" s="9">
        <v>192</v>
      </c>
      <c r="E47" t="s" s="9">
        <v>198</v>
      </c>
      <c r="F47" t="s" s="20">
        <v>244</v>
      </c>
      <c r="G47" t="s" s="10">
        <v>0</v>
      </c>
      <c r="H47" s="25">
        <v>41714</v>
      </c>
      <c r="I47" s="9">
        <f ca="1" t="shared" si="0"/>
      </c>
      <c r="J47" s="12"/>
      <c r="K47" s="13"/>
      <c r="L47" s="13"/>
      <c r="M47" s="13"/>
      <c r="N47" s="13"/>
      <c r="O47" s="13"/>
      <c r="P47" s="13"/>
    </row>
    <row r="48" spans="1:16" ht="14.5" x14ac:dyDescent="0.25">
      <c r="A48" s="18">
        <v>45</v>
      </c>
      <c r="B48" s="19">
        <v>70000070</v>
      </c>
      <c r="C48" s="19">
        <v>167515</v>
      </c>
      <c r="D48" t="s" s="9">
        <v>608</v>
      </c>
      <c r="E48" t="s" s="9">
        <v>198</v>
      </c>
      <c r="F48" t="s" s="20">
        <v>245</v>
      </c>
      <c r="G48" t="s" s="10">
        <v>0</v>
      </c>
      <c r="H48" s="25">
        <v>35206</v>
      </c>
      <c r="I48" s="9">
        <f ca="1" t="shared" si="0"/>
      </c>
      <c r="J48" s="12"/>
      <c r="K48" s="13"/>
      <c r="L48" s="13"/>
      <c r="M48" s="13"/>
      <c r="N48" s="13"/>
      <c r="O48" s="13"/>
      <c r="P48" s="13"/>
    </row>
    <row r="49" spans="1:16" ht="14.5" x14ac:dyDescent="0.25">
      <c r="A49" s="18">
        <v>46</v>
      </c>
      <c r="B49" s="19">
        <v>70000070</v>
      </c>
      <c r="C49" s="19">
        <v>169243</v>
      </c>
      <c r="D49" t="s" s="10">
        <v>192</v>
      </c>
      <c r="E49" t="s" s="9">
        <v>195</v>
      </c>
      <c r="F49" t="s" s="3">
        <v>246</v>
      </c>
      <c r="G49" t="s" s="10">
        <v>0</v>
      </c>
      <c r="H49" s="25">
        <v>45099</v>
      </c>
      <c r="I49" s="9">
        <f ca="1" t="shared" si="0"/>
      </c>
      <c r="J49" s="14"/>
      <c r="K49" s="11"/>
      <c r="L49" s="11"/>
      <c r="M49" s="11"/>
      <c r="N49" s="103"/>
      <c r="O49" s="11"/>
      <c r="P49" s="11"/>
    </row>
    <row r="50" spans="1:16" ht="14.5" x14ac:dyDescent="0.25">
      <c r="A50" s="18">
        <v>47</v>
      </c>
      <c r="B50" s="19">
        <v>70000215</v>
      </c>
      <c r="C50" s="19">
        <v>163975</v>
      </c>
      <c r="D50" t="s" s="9">
        <v>722</v>
      </c>
      <c r="E50" t="s" s="9">
        <v>195</v>
      </c>
      <c r="F50" t="s" s="20">
        <v>32</v>
      </c>
      <c r="G50" t="s" s="10">
        <v>0</v>
      </c>
      <c r="H50" s="25">
        <v>25275</v>
      </c>
      <c r="I50" s="9">
        <f ca="1" t="shared" si="0"/>
      </c>
      <c r="J50" s="12">
        <v>1</v>
      </c>
      <c r="K50" s="13">
        <v>6</v>
      </c>
      <c r="L50" s="13">
        <v>8</v>
      </c>
      <c r="M50" s="13"/>
      <c r="N50" s="13"/>
      <c r="O50" s="13"/>
      <c r="P50" s="13"/>
    </row>
    <row r="51" spans="1:16" ht="14.5" x14ac:dyDescent="0.25">
      <c r="A51" s="18">
        <v>48</v>
      </c>
      <c r="B51" s="19">
        <v>70000215</v>
      </c>
      <c r="C51" s="19">
        <v>163976</v>
      </c>
      <c r="D51" t="s" s="9">
        <v>608</v>
      </c>
      <c r="E51" t="s" s="9">
        <v>198</v>
      </c>
      <c r="F51" t="s" s="20">
        <v>247</v>
      </c>
      <c r="G51" t="s" s="10">
        <v>0</v>
      </c>
      <c r="H51" s="25">
        <v>27452</v>
      </c>
      <c r="I51" s="9">
        <f ca="1" t="shared" si="0"/>
      </c>
      <c r="J51" s="12"/>
      <c r="K51" s="13"/>
      <c r="L51" s="13"/>
      <c r="M51" s="13"/>
      <c r="N51" s="13"/>
      <c r="O51" s="13"/>
      <c r="P51" s="13"/>
    </row>
    <row r="52" spans="1:16" ht="14.5" x14ac:dyDescent="0.25">
      <c r="A52" s="18">
        <v>49</v>
      </c>
      <c r="B52" s="19">
        <v>70000215</v>
      </c>
      <c r="C52" s="19">
        <v>163977</v>
      </c>
      <c r="D52" t="s" s="9">
        <v>192</v>
      </c>
      <c r="E52" t="s" s="9">
        <v>198</v>
      </c>
      <c r="F52" t="s" s="20">
        <v>248</v>
      </c>
      <c r="G52" t="s" s="10">
        <v>0</v>
      </c>
      <c r="H52" s="25">
        <v>38340</v>
      </c>
      <c r="I52" s="9">
        <f ca="1" t="shared" si="0"/>
      </c>
      <c r="J52" s="12"/>
      <c r="K52" s="13"/>
      <c r="L52" s="13"/>
      <c r="M52" s="13"/>
      <c r="N52" s="13"/>
      <c r="O52" s="13"/>
      <c r="P52" s="13"/>
    </row>
    <row r="53" spans="1:16" ht="14.5" x14ac:dyDescent="0.25">
      <c r="A53" s="18">
        <v>50</v>
      </c>
      <c r="B53" s="19">
        <v>70000215</v>
      </c>
      <c r="C53" s="19">
        <v>163978</v>
      </c>
      <c r="D53" t="s" s="9">
        <v>192</v>
      </c>
      <c r="E53" t="s" s="9">
        <v>198</v>
      </c>
      <c r="F53" t="s" s="20">
        <v>249</v>
      </c>
      <c r="G53" t="s" s="10">
        <v>0</v>
      </c>
      <c r="H53" s="25">
        <v>39544</v>
      </c>
      <c r="I53" s="9">
        <f ca="1" t="shared" si="0"/>
      </c>
      <c r="J53" s="12"/>
      <c r="K53" s="13"/>
      <c r="L53" s="13"/>
      <c r="M53" s="13"/>
      <c r="N53" s="13"/>
      <c r="O53" s="13"/>
      <c r="P53" s="13"/>
    </row>
    <row r="54" spans="1:16" ht="14.5" x14ac:dyDescent="0.25">
      <c r="A54" s="18">
        <v>51</v>
      </c>
      <c r="B54" s="19">
        <v>70000215</v>
      </c>
      <c r="C54" s="19">
        <v>163979</v>
      </c>
      <c r="D54" t="s" s="9">
        <v>192</v>
      </c>
      <c r="E54" t="s" s="9">
        <v>198</v>
      </c>
      <c r="F54" t="s" s="20">
        <v>250</v>
      </c>
      <c r="G54" t="s" s="10">
        <v>0</v>
      </c>
      <c r="H54" s="25">
        <v>41307</v>
      </c>
      <c r="I54" s="9">
        <f ca="1" t="shared" si="0"/>
      </c>
      <c r="J54" s="12"/>
      <c r="K54" s="13"/>
      <c r="L54" s="13"/>
      <c r="M54" s="13"/>
      <c r="N54" s="13"/>
      <c r="O54" s="13"/>
      <c r="P54" s="13"/>
    </row>
    <row r="55" spans="1:16" ht="14.5" x14ac:dyDescent="0.25">
      <c r="A55" s="18">
        <v>52</v>
      </c>
      <c r="B55" s="19">
        <v>70000215</v>
      </c>
      <c r="C55" s="19">
        <v>164813</v>
      </c>
      <c r="D55" t="s" s="9">
        <v>192</v>
      </c>
      <c r="E55" t="s" s="9">
        <v>198</v>
      </c>
      <c r="F55" t="s" s="20">
        <v>251</v>
      </c>
      <c r="G55" t="s" s="10">
        <v>0</v>
      </c>
      <c r="H55" s="25">
        <v>38315</v>
      </c>
      <c r="I55" s="9">
        <f ca="1" t="shared" si="0"/>
      </c>
      <c r="J55" s="12"/>
      <c r="K55" s="13"/>
      <c r="L55" s="13"/>
      <c r="M55" s="13"/>
      <c r="N55" s="13"/>
      <c r="O55" s="13"/>
      <c r="P55" s="13"/>
    </row>
    <row r="56" spans="1:16" ht="14.5" x14ac:dyDescent="0.25">
      <c r="A56" s="18">
        <v>53</v>
      </c>
      <c r="B56" s="19">
        <v>70000215</v>
      </c>
      <c r="C56" s="19">
        <v>164814</v>
      </c>
      <c r="D56" t="s" s="9">
        <v>192</v>
      </c>
      <c r="E56" t="s" s="9">
        <v>195</v>
      </c>
      <c r="F56" t="s" s="20">
        <v>252</v>
      </c>
      <c r="G56" t="s" s="10">
        <v>0</v>
      </c>
      <c r="H56" s="25">
        <v>36688</v>
      </c>
      <c r="I56" s="9">
        <f ca="1" t="shared" si="0"/>
      </c>
      <c r="J56" s="12"/>
      <c r="K56" s="13"/>
      <c r="L56" s="13"/>
      <c r="M56" s="13"/>
      <c r="N56" s="13"/>
      <c r="O56" s="13"/>
      <c r="P56" s="13"/>
    </row>
    <row r="57" spans="1:16" ht="14.5" x14ac:dyDescent="0.25">
      <c r="A57" s="18">
        <v>54</v>
      </c>
      <c r="B57" s="19">
        <v>70000215</v>
      </c>
      <c r="C57" s="19">
        <v>164815</v>
      </c>
      <c r="D57" t="s" s="10">
        <v>192</v>
      </c>
      <c r="E57" t="s" s="9">
        <v>195</v>
      </c>
      <c r="F57" t="s" s="3">
        <v>253</v>
      </c>
      <c r="G57" t="s" s="10">
        <v>0</v>
      </c>
      <c r="H57" s="25">
        <v>37496</v>
      </c>
      <c r="I57" s="9">
        <f ca="1" t="shared" si="0"/>
      </c>
      <c r="J57" s="14"/>
      <c r="K57" s="15"/>
      <c r="L57" s="11"/>
      <c r="M57" s="13"/>
      <c r="N57" s="13"/>
      <c r="O57" s="13"/>
      <c r="P57" s="13"/>
    </row>
    <row r="58" spans="1:16" ht="14.5" x14ac:dyDescent="0.25">
      <c r="A58" s="18">
        <v>55</v>
      </c>
      <c r="B58" s="19">
        <v>70000205</v>
      </c>
      <c r="C58" s="19">
        <v>163983</v>
      </c>
      <c r="D58" t="s" s="9">
        <v>722</v>
      </c>
      <c r="E58" t="s" s="10">
        <v>195</v>
      </c>
      <c r="F58" t="s" s="3">
        <v>15</v>
      </c>
      <c r="G58" t="s" s="10">
        <v>0</v>
      </c>
      <c r="H58" s="25">
        <v>33390</v>
      </c>
      <c r="I58" s="9">
        <f ca="1" t="shared" si="0"/>
      </c>
      <c r="J58" s="12">
        <v>1</v>
      </c>
      <c r="K58" s="13">
        <v>0</v>
      </c>
      <c r="L58" s="13">
        <v>2</v>
      </c>
      <c r="M58" s="13"/>
      <c r="N58" s="13"/>
      <c r="O58" s="13"/>
      <c r="P58" s="13"/>
    </row>
    <row r="59" spans="1:16" ht="14.5" x14ac:dyDescent="0.25">
      <c r="A59" s="18">
        <v>56</v>
      </c>
      <c r="B59" s="19">
        <v>70000205</v>
      </c>
      <c r="C59" s="19">
        <v>177825</v>
      </c>
      <c r="D59" t="s" s="10">
        <v>608</v>
      </c>
      <c r="E59" t="s" s="9">
        <v>198</v>
      </c>
      <c r="F59" t="s" s="3">
        <v>254</v>
      </c>
      <c r="G59" t="s" s="10">
        <v>0</v>
      </c>
      <c r="H59" s="25">
        <v>34168</v>
      </c>
      <c r="I59" s="9">
        <f ca="1" t="shared" si="0"/>
      </c>
      <c r="J59" s="14"/>
      <c r="K59" s="11"/>
      <c r="L59" s="11"/>
      <c r="M59" s="11"/>
      <c r="N59" s="103"/>
      <c r="O59" s="11"/>
      <c r="P59" s="11"/>
    </row>
    <row r="60" spans="1:16" ht="14.5" x14ac:dyDescent="0.25">
      <c r="A60" s="18">
        <v>57</v>
      </c>
      <c r="B60" s="19">
        <v>70000051</v>
      </c>
      <c r="C60" s="19">
        <v>163990</v>
      </c>
      <c r="D60" t="s" s="9">
        <v>722</v>
      </c>
      <c r="E60" t="s" s="9">
        <v>198</v>
      </c>
      <c r="F60" t="s" s="20">
        <v>151</v>
      </c>
      <c r="G60" t="s" s="10">
        <v>177</v>
      </c>
      <c r="H60" s="25">
        <v>34355</v>
      </c>
      <c r="I60" s="9">
        <f ca="1" t="shared" si="0"/>
      </c>
      <c r="J60" s="12">
        <v>1</v>
      </c>
      <c r="K60" s="13">
        <v>4</v>
      </c>
      <c r="L60" s="13">
        <v>6</v>
      </c>
      <c r="M60" s="13"/>
      <c r="N60" s="13"/>
      <c r="O60" s="13"/>
      <c r="P60" s="13"/>
    </row>
    <row r="61" spans="1:16" ht="14.5" x14ac:dyDescent="0.25">
      <c r="A61" s="18">
        <v>58</v>
      </c>
      <c r="B61" s="19">
        <v>70000051</v>
      </c>
      <c r="C61" s="19">
        <v>166966</v>
      </c>
      <c r="D61" t="s" s="9">
        <v>608</v>
      </c>
      <c r="E61" t="s" s="9">
        <v>195</v>
      </c>
      <c r="F61" t="s" s="20">
        <v>255</v>
      </c>
      <c r="G61" t="s" s="10">
        <v>177</v>
      </c>
      <c r="H61" s="25">
        <v>29301</v>
      </c>
      <c r="I61" s="9">
        <f ca="1" t="shared" si="0"/>
      </c>
      <c r="J61" s="12"/>
      <c r="K61" s="13"/>
      <c r="L61" s="13"/>
      <c r="M61" s="13"/>
      <c r="N61" s="13"/>
      <c r="O61" s="13"/>
      <c r="P61" s="13"/>
    </row>
    <row r="62" spans="1:16" ht="14.5" x14ac:dyDescent="0.25">
      <c r="A62" s="18">
        <v>59</v>
      </c>
      <c r="B62" s="19">
        <v>70000051</v>
      </c>
      <c r="C62" s="19">
        <v>166967</v>
      </c>
      <c r="D62" t="s" s="9">
        <v>192</v>
      </c>
      <c r="E62" t="s" s="9">
        <v>198</v>
      </c>
      <c r="F62" t="s" s="20">
        <v>256</v>
      </c>
      <c r="G62" t="s" s="10">
        <v>177</v>
      </c>
      <c r="H62" s="25">
        <v>40873</v>
      </c>
      <c r="I62" s="9">
        <f ca="1" t="shared" si="0"/>
      </c>
      <c r="J62" s="12"/>
      <c r="K62" s="13"/>
      <c r="L62" s="13"/>
      <c r="M62" s="13"/>
      <c r="N62" s="13"/>
      <c r="O62" s="13"/>
      <c r="P62" s="13"/>
    </row>
    <row r="63" spans="1:16" ht="14.5" x14ac:dyDescent="0.25">
      <c r="A63" s="18">
        <v>60</v>
      </c>
      <c r="B63" s="19">
        <v>70000051</v>
      </c>
      <c r="C63" s="19">
        <v>166968</v>
      </c>
      <c r="D63" t="s" s="9">
        <v>192</v>
      </c>
      <c r="E63" t="s" s="9">
        <v>195</v>
      </c>
      <c r="F63" t="s" s="20">
        <v>257</v>
      </c>
      <c r="G63" t="s" s="10">
        <v>177</v>
      </c>
      <c r="H63" s="25">
        <v>41422</v>
      </c>
      <c r="I63" s="9">
        <f ca="1" t="shared" si="0"/>
      </c>
      <c r="J63" s="12"/>
      <c r="K63" s="13"/>
      <c r="L63" s="13"/>
      <c r="M63" s="13"/>
      <c r="N63" s="13"/>
      <c r="O63" s="13"/>
      <c r="P63" s="13"/>
    </row>
    <row r="64" spans="1:16" ht="14.5" x14ac:dyDescent="0.25">
      <c r="A64" s="18">
        <v>61</v>
      </c>
      <c r="B64" s="19">
        <v>70000051</v>
      </c>
      <c r="C64" s="19">
        <v>170334</v>
      </c>
      <c r="D64" t="s" s="9">
        <v>192</v>
      </c>
      <c r="E64" t="s" s="9">
        <v>198</v>
      </c>
      <c r="F64" t="s" s="20">
        <v>258</v>
      </c>
      <c r="G64" t="s" s="10">
        <v>177</v>
      </c>
      <c r="H64" s="25">
        <v>45084</v>
      </c>
      <c r="I64" s="9">
        <f ca="1" t="shared" si="0"/>
      </c>
      <c r="J64" s="12"/>
      <c r="K64" s="13"/>
      <c r="L64" s="13"/>
      <c r="M64" s="13"/>
      <c r="N64" s="13"/>
      <c r="O64" s="13"/>
      <c r="P64" s="13"/>
    </row>
    <row r="65" spans="1:16" ht="14.5" x14ac:dyDescent="0.25">
      <c r="A65" s="18">
        <v>62</v>
      </c>
      <c r="B65" s="19">
        <v>70000051</v>
      </c>
      <c r="C65" s="19">
        <v>175723</v>
      </c>
      <c r="D65" t="s" s="10">
        <v>192</v>
      </c>
      <c r="E65" t="s" s="9">
        <v>195</v>
      </c>
      <c r="F65" t="s" s="3">
        <v>259</v>
      </c>
      <c r="G65" t="s" s="10">
        <v>177</v>
      </c>
      <c r="H65" s="25">
        <v>45806</v>
      </c>
      <c r="I65" s="9">
        <f ca="1" t="shared" si="0"/>
      </c>
      <c r="J65" s="14"/>
      <c r="K65" s="11"/>
      <c r="L65" s="11"/>
      <c r="M65" s="11"/>
      <c r="N65" s="103"/>
      <c r="O65" s="11"/>
      <c r="P65" s="11"/>
    </row>
    <row r="66" spans="1:16" ht="14.5" x14ac:dyDescent="0.25">
      <c r="A66" s="18">
        <v>63</v>
      </c>
      <c r="B66" s="19">
        <v>70000099</v>
      </c>
      <c r="C66" s="19">
        <v>163995</v>
      </c>
      <c r="D66" t="s" s="9">
        <v>722</v>
      </c>
      <c r="E66" t="s" s="9">
        <v>195</v>
      </c>
      <c r="F66" t="s" s="20">
        <v>125</v>
      </c>
      <c r="G66" t="s" s="10">
        <v>0</v>
      </c>
      <c r="H66" s="25">
        <v>26447</v>
      </c>
      <c r="I66" s="9">
        <f ca="1" t="shared" si="0"/>
      </c>
      <c r="J66" s="12">
        <v>1</v>
      </c>
      <c r="K66" s="13">
        <v>4</v>
      </c>
      <c r="L66" s="13">
        <v>6</v>
      </c>
      <c r="M66" s="13"/>
      <c r="N66" s="13"/>
      <c r="O66" s="13"/>
      <c r="P66" s="13"/>
    </row>
    <row r="67" spans="1:16" ht="14.5" x14ac:dyDescent="0.25">
      <c r="A67" s="18">
        <v>64</v>
      </c>
      <c r="B67" s="19">
        <v>70000099</v>
      </c>
      <c r="C67" s="19">
        <v>163996</v>
      </c>
      <c r="D67" t="s" s="9">
        <v>608</v>
      </c>
      <c r="E67" t="s" s="9">
        <v>198</v>
      </c>
      <c r="F67" t="s" s="20">
        <v>260</v>
      </c>
      <c r="G67" t="s" s="10">
        <v>0</v>
      </c>
      <c r="H67" s="25">
        <v>31911</v>
      </c>
      <c r="I67" s="9">
        <f ca="1" t="shared" ref="I67:I130" si="1">DATEDIF(H67,TODAY(),"Y")</f>
      </c>
      <c r="J67" s="12"/>
      <c r="K67" s="13"/>
      <c r="L67" s="13"/>
      <c r="M67" s="13"/>
      <c r="N67" s="13"/>
      <c r="O67" s="13"/>
      <c r="P67" s="13"/>
    </row>
    <row r="68" spans="1:16" ht="14.5" x14ac:dyDescent="0.25">
      <c r="A68" s="18">
        <v>65</v>
      </c>
      <c r="B68" s="19">
        <v>70000099</v>
      </c>
      <c r="C68" s="19">
        <v>163997</v>
      </c>
      <c r="D68" t="s" s="9">
        <v>192</v>
      </c>
      <c r="E68" t="s" s="9">
        <v>198</v>
      </c>
      <c r="F68" t="s" s="20">
        <v>261</v>
      </c>
      <c r="G68" t="s" s="10">
        <v>0</v>
      </c>
      <c r="H68" s="25">
        <v>43248</v>
      </c>
      <c r="I68" s="9">
        <f ca="1" t="shared" si="1"/>
      </c>
      <c r="J68" s="12"/>
      <c r="K68" s="13"/>
      <c r="L68" s="13"/>
      <c r="M68" s="13"/>
      <c r="N68" s="13"/>
      <c r="O68" s="13"/>
      <c r="P68" s="13"/>
    </row>
    <row r="69" spans="1:16" ht="14.5" x14ac:dyDescent="0.25">
      <c r="A69" s="18">
        <v>66</v>
      </c>
      <c r="B69" s="19">
        <v>70000099</v>
      </c>
      <c r="C69" s="19">
        <v>163998</v>
      </c>
      <c r="D69" t="s" s="9">
        <v>192</v>
      </c>
      <c r="E69" t="s" s="9">
        <v>198</v>
      </c>
      <c r="F69" t="s" s="20">
        <v>262</v>
      </c>
      <c r="G69" t="s" s="10">
        <v>0</v>
      </c>
      <c r="H69" s="25">
        <v>39539</v>
      </c>
      <c r="I69" s="9">
        <f ca="1" t="shared" si="1"/>
      </c>
      <c r="J69" s="12"/>
      <c r="K69" s="13"/>
      <c r="L69" s="13"/>
      <c r="M69" s="13"/>
      <c r="N69" s="13"/>
      <c r="O69" s="13"/>
      <c r="P69" s="13"/>
    </row>
    <row r="70" spans="1:16" ht="14.5" x14ac:dyDescent="0.25">
      <c r="A70" s="18">
        <v>67</v>
      </c>
      <c r="B70" s="19">
        <v>70000099</v>
      </c>
      <c r="C70" s="19">
        <v>163999</v>
      </c>
      <c r="D70" t="s" s="9">
        <v>192</v>
      </c>
      <c r="E70" t="s" s="9">
        <v>198</v>
      </c>
      <c r="F70" t="s" s="20">
        <v>263</v>
      </c>
      <c r="G70" t="s" s="10">
        <v>0</v>
      </c>
      <c r="H70" s="25">
        <v>44274</v>
      </c>
      <c r="I70" s="9">
        <f ca="1" t="shared" si="1"/>
      </c>
      <c r="J70" s="12"/>
      <c r="K70" s="13"/>
      <c r="L70" s="13"/>
      <c r="M70" s="13"/>
      <c r="N70" s="13"/>
      <c r="O70" s="13"/>
      <c r="P70" s="13"/>
    </row>
    <row r="71" spans="1:16" ht="14.5" x14ac:dyDescent="0.25">
      <c r="A71" s="18">
        <v>68</v>
      </c>
      <c r="B71" s="19">
        <v>70000099</v>
      </c>
      <c r="C71" s="19">
        <v>165680</v>
      </c>
      <c r="D71" t="s" s="10">
        <v>192</v>
      </c>
      <c r="E71" t="s" s="9">
        <v>198</v>
      </c>
      <c r="F71" t="s" s="3">
        <v>264</v>
      </c>
      <c r="G71" t="s" s="10">
        <v>0</v>
      </c>
      <c r="H71" s="25">
        <v>40370</v>
      </c>
      <c r="I71" s="9">
        <f ca="1" t="shared" si="1"/>
      </c>
      <c r="J71" s="14"/>
      <c r="K71" s="11"/>
      <c r="L71" s="11"/>
      <c r="M71" s="11"/>
      <c r="N71" s="103"/>
      <c r="O71" s="11"/>
      <c r="P71" s="11"/>
    </row>
    <row r="72" spans="1:16" ht="14.5" x14ac:dyDescent="0.25">
      <c r="A72" s="18">
        <v>69</v>
      </c>
      <c r="B72" s="19">
        <v>70000079</v>
      </c>
      <c r="C72" s="19">
        <v>164000</v>
      </c>
      <c r="D72" t="s" s="9">
        <v>722</v>
      </c>
      <c r="E72" t="s" s="9">
        <v>195</v>
      </c>
      <c r="F72" t="s" s="20">
        <v>22</v>
      </c>
      <c r="G72" t="s" s="10">
        <v>0</v>
      </c>
      <c r="H72" s="25">
        <v>28178</v>
      </c>
      <c r="I72" s="9">
        <f ca="1" t="shared" si="1"/>
      </c>
      <c r="J72" s="12">
        <v>1</v>
      </c>
      <c r="K72" s="13">
        <v>4</v>
      </c>
      <c r="L72" s="13">
        <v>6</v>
      </c>
      <c r="M72" s="13"/>
      <c r="N72" s="13"/>
      <c r="O72" s="13"/>
      <c r="P72" s="13"/>
    </row>
    <row r="73" spans="1:16" ht="14.5" x14ac:dyDescent="0.25">
      <c r="A73" s="18">
        <v>70</v>
      </c>
      <c r="B73" s="19">
        <v>70000079</v>
      </c>
      <c r="C73" s="19">
        <v>164001</v>
      </c>
      <c r="D73" t="s" s="9">
        <v>608</v>
      </c>
      <c r="E73" t="s" s="9">
        <v>198</v>
      </c>
      <c r="F73" t="s" s="20">
        <v>265</v>
      </c>
      <c r="G73" t="s" s="10">
        <v>0</v>
      </c>
      <c r="H73" s="25">
        <v>29138</v>
      </c>
      <c r="I73" s="9">
        <f ca="1" t="shared" si="1"/>
      </c>
      <c r="J73" s="12"/>
      <c r="K73" s="13"/>
      <c r="L73" s="13"/>
      <c r="M73" s="13"/>
      <c r="N73" s="13"/>
      <c r="O73" s="13"/>
      <c r="P73" s="13"/>
    </row>
    <row r="74" spans="1:16" ht="14.5" x14ac:dyDescent="0.25">
      <c r="A74" s="18">
        <v>71</v>
      </c>
      <c r="B74" s="19">
        <v>70000079</v>
      </c>
      <c r="C74" s="19">
        <v>164002</v>
      </c>
      <c r="D74" t="s" s="9">
        <v>192</v>
      </c>
      <c r="E74" t="s" s="9">
        <v>198</v>
      </c>
      <c r="F74" t="s" s="20">
        <v>266</v>
      </c>
      <c r="G74" t="s" s="10">
        <v>0</v>
      </c>
      <c r="H74" s="25">
        <v>38292</v>
      </c>
      <c r="I74" s="9">
        <f ca="1" t="shared" si="1"/>
      </c>
      <c r="J74" s="12"/>
      <c r="K74" s="13"/>
      <c r="L74" s="13"/>
      <c r="M74" s="13"/>
      <c r="N74" s="13"/>
      <c r="O74" s="13"/>
      <c r="P74" s="13"/>
    </row>
    <row r="75" spans="1:16" ht="14.5" x14ac:dyDescent="0.25">
      <c r="A75" s="18">
        <v>72</v>
      </c>
      <c r="B75" s="19">
        <v>70000079</v>
      </c>
      <c r="C75" s="19">
        <v>164003</v>
      </c>
      <c r="D75" t="s" s="9">
        <v>192</v>
      </c>
      <c r="E75" t="s" s="9">
        <v>198</v>
      </c>
      <c r="F75" t="s" s="20">
        <v>267</v>
      </c>
      <c r="G75" t="s" s="10">
        <v>0</v>
      </c>
      <c r="H75" s="25">
        <v>40481</v>
      </c>
      <c r="I75" s="9">
        <f ca="1" t="shared" si="1"/>
      </c>
      <c r="J75" s="12"/>
      <c r="K75" s="13"/>
      <c r="L75" s="13"/>
      <c r="M75" s="13"/>
      <c r="N75" s="13"/>
      <c r="O75" s="13"/>
      <c r="P75" s="13"/>
    </row>
    <row r="76" spans="1:16" ht="14.5" x14ac:dyDescent="0.25">
      <c r="A76" s="18">
        <v>73</v>
      </c>
      <c r="B76" s="19">
        <v>70000079</v>
      </c>
      <c r="C76" s="19">
        <v>164004</v>
      </c>
      <c r="D76" t="s" s="9">
        <v>192</v>
      </c>
      <c r="E76" t="s" s="9">
        <v>195</v>
      </c>
      <c r="F76" t="s" s="20">
        <v>268</v>
      </c>
      <c r="G76" t="s" s="10">
        <v>0</v>
      </c>
      <c r="H76" s="25">
        <v>41106</v>
      </c>
      <c r="I76" s="9">
        <f ca="1" t="shared" si="1"/>
      </c>
      <c r="J76" s="12"/>
      <c r="K76" s="13"/>
      <c r="L76" s="13"/>
      <c r="M76" s="13"/>
      <c r="N76" s="13"/>
      <c r="O76" s="13"/>
      <c r="P76" s="13"/>
    </row>
    <row r="77" spans="1:16" ht="14.5" x14ac:dyDescent="0.25">
      <c r="A77" s="18">
        <v>74</v>
      </c>
      <c r="B77" s="19">
        <v>70000079</v>
      </c>
      <c r="C77" s="19">
        <v>164005</v>
      </c>
      <c r="D77" t="s" s="10">
        <v>192</v>
      </c>
      <c r="E77" t="s" s="9">
        <v>198</v>
      </c>
      <c r="F77" t="s" s="3">
        <v>269</v>
      </c>
      <c r="G77" t="s" s="10">
        <v>0</v>
      </c>
      <c r="H77" s="25">
        <v>42130</v>
      </c>
      <c r="I77" s="9">
        <f ca="1" t="shared" si="1"/>
      </c>
      <c r="J77" s="14"/>
      <c r="K77" s="11"/>
      <c r="L77" s="11"/>
      <c r="M77" s="11"/>
      <c r="N77" s="103"/>
      <c r="O77" s="11"/>
      <c r="P77" s="11"/>
    </row>
    <row r="78" spans="1:16" ht="14.5" x14ac:dyDescent="0.25">
      <c r="A78" s="18">
        <v>75</v>
      </c>
      <c r="B78" s="19">
        <v>70000068</v>
      </c>
      <c r="C78" s="19">
        <v>164012</v>
      </c>
      <c r="D78" t="s" s="9">
        <v>722</v>
      </c>
      <c r="E78" t="s" s="9">
        <v>195</v>
      </c>
      <c r="F78" t="s" s="20">
        <v>120</v>
      </c>
      <c r="G78" t="s" s="10">
        <v>0</v>
      </c>
      <c r="H78" s="25">
        <v>32582</v>
      </c>
      <c r="I78" s="9">
        <f ca="1" t="shared" si="1"/>
      </c>
      <c r="J78" s="12">
        <v>1</v>
      </c>
      <c r="K78" s="13">
        <v>3</v>
      </c>
      <c r="L78" s="13">
        <v>5</v>
      </c>
      <c r="M78" s="13"/>
      <c r="N78" s="13"/>
      <c r="O78" s="13"/>
      <c r="P78" s="13"/>
    </row>
    <row r="79" spans="1:16" ht="14.5" x14ac:dyDescent="0.25">
      <c r="A79" s="18">
        <v>76</v>
      </c>
      <c r="B79" s="19">
        <v>70000068</v>
      </c>
      <c r="C79" s="19">
        <v>164013</v>
      </c>
      <c r="D79" t="s" s="9">
        <v>608</v>
      </c>
      <c r="E79" t="s" s="9">
        <v>198</v>
      </c>
      <c r="F79" t="s" s="20">
        <v>270</v>
      </c>
      <c r="G79" t="s" s="10">
        <v>0</v>
      </c>
      <c r="H79" s="25">
        <v>34594</v>
      </c>
      <c r="I79" s="9">
        <f ca="1" t="shared" si="1"/>
      </c>
      <c r="J79" s="12"/>
      <c r="K79" s="13"/>
      <c r="L79" s="13"/>
      <c r="M79" s="13"/>
      <c r="N79" s="13"/>
      <c r="O79" s="13"/>
      <c r="P79" s="13"/>
    </row>
    <row r="80" spans="1:16" ht="14.5" x14ac:dyDescent="0.25">
      <c r="A80" s="18">
        <v>77</v>
      </c>
      <c r="B80" s="19">
        <v>70000068</v>
      </c>
      <c r="C80" s="19">
        <v>164014</v>
      </c>
      <c r="D80" t="s" s="9">
        <v>192</v>
      </c>
      <c r="E80" t="s" s="9">
        <v>198</v>
      </c>
      <c r="F80" t="s" s="20">
        <v>271</v>
      </c>
      <c r="G80" t="s" s="10">
        <v>0</v>
      </c>
      <c r="H80" s="25">
        <v>41779</v>
      </c>
      <c r="I80" s="9">
        <f ca="1" t="shared" si="1"/>
      </c>
      <c r="J80" s="12"/>
      <c r="K80" s="13"/>
      <c r="L80" s="13"/>
      <c r="M80" s="13"/>
      <c r="N80" s="13"/>
      <c r="O80" s="13"/>
      <c r="P80" s="13"/>
    </row>
    <row r="81" spans="1:16" ht="14.5" x14ac:dyDescent="0.25">
      <c r="A81" s="18">
        <v>78</v>
      </c>
      <c r="B81" s="19">
        <v>70000068</v>
      </c>
      <c r="C81" s="19">
        <v>164015</v>
      </c>
      <c r="D81" t="s" s="9">
        <v>192</v>
      </c>
      <c r="E81" t="s" s="9">
        <v>198</v>
      </c>
      <c r="F81" t="s" s="20">
        <v>272</v>
      </c>
      <c r="G81" t="s" s="10">
        <v>0</v>
      </c>
      <c r="H81" s="25">
        <v>44532</v>
      </c>
      <c r="I81" s="9">
        <f ca="1" t="shared" si="1"/>
      </c>
      <c r="J81" s="12"/>
      <c r="K81" s="13"/>
      <c r="L81" s="13"/>
      <c r="M81" s="13"/>
      <c r="N81" s="13"/>
      <c r="O81" s="13"/>
      <c r="P81" s="13"/>
    </row>
    <row r="82" spans="1:16" ht="14.5" x14ac:dyDescent="0.25">
      <c r="A82" s="18">
        <v>79</v>
      </c>
      <c r="B82" s="19">
        <v>70000068</v>
      </c>
      <c r="C82" s="19">
        <v>171168</v>
      </c>
      <c r="D82" t="s" s="10">
        <v>192</v>
      </c>
      <c r="E82" t="s" s="9">
        <v>195</v>
      </c>
      <c r="F82" t="s" s="3">
        <v>273</v>
      </c>
      <c r="G82" t="s" s="10">
        <v>0</v>
      </c>
      <c r="H82" s="25">
        <v>45360</v>
      </c>
      <c r="I82" s="9">
        <f ca="1" t="shared" si="1"/>
      </c>
      <c r="J82" s="14"/>
      <c r="K82" s="11"/>
      <c r="L82" s="11"/>
      <c r="M82" s="11"/>
      <c r="N82" s="103"/>
      <c r="O82" s="11"/>
      <c r="P82" s="11"/>
    </row>
    <row r="83" spans="1:16" ht="14.5" x14ac:dyDescent="0.25">
      <c r="A83" s="18">
        <v>80</v>
      </c>
      <c r="B83" s="19">
        <v>70000085</v>
      </c>
      <c r="C83" s="19">
        <v>164019</v>
      </c>
      <c r="D83" t="s" s="9">
        <v>722</v>
      </c>
      <c r="E83" t="s" s="9">
        <v>195</v>
      </c>
      <c r="F83" t="s" s="20">
        <v>45</v>
      </c>
      <c r="G83" t="s" s="10">
        <v>177</v>
      </c>
      <c r="H83" s="25">
        <v>32706</v>
      </c>
      <c r="I83" s="9">
        <f ca="1" t="shared" si="1"/>
      </c>
      <c r="J83" s="12">
        <v>1</v>
      </c>
      <c r="K83" s="13">
        <v>3</v>
      </c>
      <c r="L83" s="13">
        <v>5</v>
      </c>
      <c r="M83" s="13"/>
      <c r="N83" s="13"/>
      <c r="O83" s="13"/>
      <c r="P83" s="13"/>
    </row>
    <row r="84" spans="1:16" ht="14.5" x14ac:dyDescent="0.25">
      <c r="A84" s="18">
        <v>81</v>
      </c>
      <c r="B84" s="19">
        <v>70000085</v>
      </c>
      <c r="C84" s="19">
        <v>164020</v>
      </c>
      <c r="D84" t="s" s="9">
        <v>608</v>
      </c>
      <c r="E84" t="s" s="9">
        <v>198</v>
      </c>
      <c r="F84" t="s" s="20">
        <v>274</v>
      </c>
      <c r="G84" t="s" s="10">
        <v>177</v>
      </c>
      <c r="H84" s="25">
        <v>34931</v>
      </c>
      <c r="I84" s="9">
        <f ca="1" t="shared" si="1"/>
      </c>
      <c r="J84" s="12"/>
      <c r="K84" s="13"/>
      <c r="L84" s="13"/>
      <c r="M84" s="13"/>
      <c r="N84" s="13"/>
      <c r="O84" s="13"/>
      <c r="P84" s="13"/>
    </row>
    <row r="85" spans="1:16" ht="14.5" x14ac:dyDescent="0.25">
      <c r="A85" s="18">
        <v>82</v>
      </c>
      <c r="B85" s="19">
        <v>70000085</v>
      </c>
      <c r="C85" s="19">
        <v>164021</v>
      </c>
      <c r="D85" t="s" s="9">
        <v>192</v>
      </c>
      <c r="E85" t="s" s="9">
        <v>198</v>
      </c>
      <c r="F85" t="s" s="20">
        <v>275</v>
      </c>
      <c r="G85" t="s" s="10">
        <v>177</v>
      </c>
      <c r="H85" s="25">
        <v>43980</v>
      </c>
      <c r="I85" s="9">
        <f ca="1" t="shared" si="1"/>
      </c>
      <c r="J85" s="12"/>
      <c r="K85" s="13"/>
      <c r="L85" s="13"/>
      <c r="M85" s="13"/>
      <c r="N85" s="13"/>
      <c r="O85" s="13"/>
      <c r="P85" s="13"/>
    </row>
    <row r="86" spans="1:16" ht="14.5" x14ac:dyDescent="0.25">
      <c r="A86" s="18">
        <v>83</v>
      </c>
      <c r="B86" s="19">
        <v>70000085</v>
      </c>
      <c r="C86" s="19">
        <v>164615</v>
      </c>
      <c r="D86" t="s" s="9">
        <v>192</v>
      </c>
      <c r="E86" t="s" s="9">
        <v>195</v>
      </c>
      <c r="F86" t="s" s="20">
        <v>276</v>
      </c>
      <c r="G86" t="s" s="10">
        <v>177</v>
      </c>
      <c r="H86" s="25">
        <v>44560</v>
      </c>
      <c r="I86" s="9">
        <f ca="1" t="shared" si="1"/>
      </c>
      <c r="J86" s="12"/>
      <c r="K86" s="13"/>
      <c r="L86" s="13"/>
      <c r="M86" s="13"/>
      <c r="N86" s="13"/>
      <c r="O86" s="13"/>
      <c r="P86" s="13"/>
    </row>
    <row r="87" spans="1:16" ht="14.5" x14ac:dyDescent="0.25">
      <c r="A87" s="18">
        <v>84</v>
      </c>
      <c r="B87" s="19">
        <v>70000085</v>
      </c>
      <c r="C87" s="19">
        <v>167890</v>
      </c>
      <c r="D87" t="s" s="10">
        <v>192</v>
      </c>
      <c r="E87" t="s" s="9">
        <v>198</v>
      </c>
      <c r="F87" t="s" s="3">
        <v>277</v>
      </c>
      <c r="G87" t="s" s="10">
        <v>177</v>
      </c>
      <c r="H87" s="25">
        <v>44948</v>
      </c>
      <c r="I87" s="9">
        <f ca="1" t="shared" si="1"/>
      </c>
      <c r="J87" s="14"/>
      <c r="K87" s="11"/>
      <c r="L87" s="11"/>
      <c r="M87" s="11"/>
      <c r="N87" s="103"/>
      <c r="O87" s="11"/>
      <c r="P87" s="11"/>
    </row>
    <row r="88" spans="1:16" ht="14.5" x14ac:dyDescent="0.25">
      <c r="A88" s="18">
        <v>85</v>
      </c>
      <c r="B88" s="19">
        <v>70000203</v>
      </c>
      <c r="C88" s="19">
        <v>164022</v>
      </c>
      <c r="D88" t="s" s="9">
        <v>722</v>
      </c>
      <c r="E88" t="s" s="9">
        <v>195</v>
      </c>
      <c r="F88" t="s" s="20">
        <v>161</v>
      </c>
      <c r="G88" t="s" s="10">
        <v>177</v>
      </c>
      <c r="H88" s="25">
        <v>29891</v>
      </c>
      <c r="I88" s="9">
        <f ca="1" t="shared" si="1"/>
      </c>
      <c r="J88" s="12">
        <v>1</v>
      </c>
      <c r="K88" s="13">
        <v>2</v>
      </c>
      <c r="L88" s="13">
        <v>4</v>
      </c>
      <c r="M88" s="13"/>
      <c r="N88" s="13"/>
      <c r="O88" s="13"/>
      <c r="P88" s="13"/>
    </row>
    <row r="89" spans="1:16" ht="14.5" x14ac:dyDescent="0.25">
      <c r="A89" s="18">
        <v>86</v>
      </c>
      <c r="B89" s="19">
        <v>70000203</v>
      </c>
      <c r="C89" s="19">
        <v>164023</v>
      </c>
      <c r="D89" t="s" s="9">
        <v>608</v>
      </c>
      <c r="E89" t="s" s="9">
        <v>198</v>
      </c>
      <c r="F89" t="s" s="20">
        <v>278</v>
      </c>
      <c r="G89" t="s" s="10">
        <v>177</v>
      </c>
      <c r="H89" s="25">
        <v>30426</v>
      </c>
      <c r="I89" s="9">
        <f ca="1" t="shared" si="1"/>
      </c>
      <c r="J89" s="12"/>
      <c r="K89" s="13"/>
      <c r="L89" s="13"/>
      <c r="M89" s="13"/>
      <c r="N89" s="13"/>
      <c r="O89" s="13"/>
      <c r="P89" s="13"/>
    </row>
    <row r="90" spans="1:16" ht="14.5" x14ac:dyDescent="0.25">
      <c r="A90" s="18">
        <v>87</v>
      </c>
      <c r="B90" s="19">
        <v>70000203</v>
      </c>
      <c r="C90" s="19">
        <v>164024</v>
      </c>
      <c r="D90" t="s" s="9">
        <v>192</v>
      </c>
      <c r="E90" t="s" s="9">
        <v>195</v>
      </c>
      <c r="F90" t="s" s="20">
        <v>279</v>
      </c>
      <c r="G90" t="s" s="10">
        <v>177</v>
      </c>
      <c r="H90" s="25">
        <v>40736</v>
      </c>
      <c r="I90" s="9">
        <f ca="1" t="shared" si="1"/>
      </c>
      <c r="J90" s="12"/>
      <c r="K90" s="13"/>
      <c r="L90" s="13"/>
      <c r="M90" s="13"/>
      <c r="N90" s="13"/>
      <c r="O90" s="13"/>
      <c r="P90" s="13"/>
    </row>
    <row r="91" spans="1:16" ht="14.5" x14ac:dyDescent="0.25">
      <c r="A91" s="18">
        <v>88</v>
      </c>
      <c r="B91" s="19">
        <v>70000203</v>
      </c>
      <c r="C91" s="19">
        <v>164025</v>
      </c>
      <c r="D91" t="s" s="10">
        <v>192</v>
      </c>
      <c r="E91" t="s" s="9">
        <v>195</v>
      </c>
      <c r="F91" t="s" s="3">
        <v>280</v>
      </c>
      <c r="G91" t="s" s="10">
        <v>177</v>
      </c>
      <c r="H91" s="25">
        <v>41377</v>
      </c>
      <c r="I91" s="9">
        <f ca="1" t="shared" si="1"/>
      </c>
      <c r="J91" s="14"/>
      <c r="K91" s="11"/>
      <c r="L91" s="11"/>
      <c r="M91" s="11"/>
      <c r="N91" s="103"/>
      <c r="O91" s="11"/>
      <c r="P91" s="11"/>
    </row>
    <row r="92" spans="1:16" ht="14.5" x14ac:dyDescent="0.25">
      <c r="A92" s="18">
        <v>89</v>
      </c>
      <c r="B92" s="19">
        <v>70000082</v>
      </c>
      <c r="C92" s="19">
        <v>164026</v>
      </c>
      <c r="D92" t="s" s="9">
        <v>722</v>
      </c>
      <c r="E92" t="s" s="9">
        <v>195</v>
      </c>
      <c r="F92" t="s" s="20">
        <v>141</v>
      </c>
      <c r="G92" t="s" s="10">
        <v>0</v>
      </c>
      <c r="H92" s="25">
        <v>30794</v>
      </c>
      <c r="I92" s="9">
        <f ca="1" t="shared" si="1"/>
      </c>
      <c r="J92" s="12">
        <v>1</v>
      </c>
      <c r="K92" s="13">
        <v>5</v>
      </c>
      <c r="L92" s="13">
        <v>7</v>
      </c>
      <c r="M92" s="13"/>
      <c r="N92" s="13"/>
      <c r="O92" s="13"/>
      <c r="P92" s="13"/>
    </row>
    <row r="93" spans="1:16" ht="14.5" x14ac:dyDescent="0.25">
      <c r="A93" s="18">
        <v>90</v>
      </c>
      <c r="B93" s="19">
        <v>70000082</v>
      </c>
      <c r="C93" s="19">
        <v>164027</v>
      </c>
      <c r="D93" t="s" s="9">
        <v>608</v>
      </c>
      <c r="E93" t="s" s="9">
        <v>198</v>
      </c>
      <c r="F93" t="s" s="20">
        <v>281</v>
      </c>
      <c r="G93" t="s" s="10">
        <v>0</v>
      </c>
      <c r="H93" s="25">
        <v>36289</v>
      </c>
      <c r="I93" s="9">
        <f ca="1" t="shared" si="1"/>
      </c>
      <c r="J93" s="12"/>
      <c r="K93" s="13"/>
      <c r="L93" s="13"/>
      <c r="M93" s="13"/>
      <c r="N93" s="13"/>
      <c r="O93" s="13"/>
      <c r="P93" s="13"/>
    </row>
    <row r="94" spans="1:16" ht="14.5" x14ac:dyDescent="0.25">
      <c r="A94" s="18">
        <v>91</v>
      </c>
      <c r="B94" s="19">
        <v>70000082</v>
      </c>
      <c r="C94" s="19">
        <v>164028</v>
      </c>
      <c r="D94" t="s" s="9">
        <v>192</v>
      </c>
      <c r="E94" t="s" s="9">
        <v>198</v>
      </c>
      <c r="F94" t="s" s="20">
        <v>282</v>
      </c>
      <c r="G94" t="s" s="10">
        <v>0</v>
      </c>
      <c r="H94" s="25">
        <v>39000</v>
      </c>
      <c r="I94" s="9">
        <f ca="1" t="shared" si="1"/>
      </c>
      <c r="J94" s="12"/>
      <c r="K94" s="13"/>
      <c r="L94" s="13"/>
      <c r="M94" s="13"/>
      <c r="N94" s="13"/>
      <c r="O94" s="13"/>
      <c r="P94" s="13"/>
    </row>
    <row r="95" spans="1:16" ht="14.5" x14ac:dyDescent="0.25">
      <c r="A95" s="18">
        <v>92</v>
      </c>
      <c r="B95" s="19">
        <v>70000082</v>
      </c>
      <c r="C95" s="19">
        <v>164029</v>
      </c>
      <c r="D95" t="s" s="9">
        <v>192</v>
      </c>
      <c r="E95" t="s" s="9">
        <v>198</v>
      </c>
      <c r="F95" t="s" s="20">
        <v>283</v>
      </c>
      <c r="G95" t="s" s="10">
        <v>0</v>
      </c>
      <c r="H95" s="25">
        <v>43911</v>
      </c>
      <c r="I95" s="9">
        <f ca="1" t="shared" si="1"/>
      </c>
      <c r="J95" s="12"/>
      <c r="K95" s="13"/>
      <c r="L95" s="13"/>
      <c r="M95" s="13"/>
      <c r="N95" s="13"/>
      <c r="O95" s="13"/>
      <c r="P95" s="13"/>
    </row>
    <row r="96" spans="1:16" ht="14.5" x14ac:dyDescent="0.25">
      <c r="A96" s="18">
        <v>93</v>
      </c>
      <c r="B96" s="19">
        <v>70000082</v>
      </c>
      <c r="C96" s="19">
        <v>164030</v>
      </c>
      <c r="D96" t="s" s="9">
        <v>192</v>
      </c>
      <c r="E96" t="s" s="9">
        <v>195</v>
      </c>
      <c r="F96" t="s" s="20">
        <v>284</v>
      </c>
      <c r="G96" t="s" s="10">
        <v>0</v>
      </c>
      <c r="H96" s="25">
        <v>43911</v>
      </c>
      <c r="I96" s="9">
        <f ca="1" t="shared" si="1"/>
      </c>
      <c r="J96" s="12"/>
      <c r="K96" s="13"/>
      <c r="L96" s="13"/>
      <c r="M96" s="13"/>
      <c r="N96" s="13"/>
      <c r="O96" s="13"/>
      <c r="P96" s="13"/>
    </row>
    <row r="97" spans="1:16" ht="14.5" x14ac:dyDescent="0.25">
      <c r="A97" s="18">
        <v>94</v>
      </c>
      <c r="B97" s="19">
        <v>70000082</v>
      </c>
      <c r="C97" s="19">
        <v>164816</v>
      </c>
      <c r="D97" t="s" s="9">
        <v>192</v>
      </c>
      <c r="E97" t="s" s="9">
        <v>198</v>
      </c>
      <c r="F97" t="s" s="20">
        <v>285</v>
      </c>
      <c r="G97" t="s" s="10">
        <v>0</v>
      </c>
      <c r="H97" s="25">
        <v>44541</v>
      </c>
      <c r="I97" s="9">
        <f ca="1" t="shared" si="1"/>
      </c>
      <c r="J97" s="12"/>
      <c r="K97" s="13"/>
      <c r="L97" s="13"/>
      <c r="M97" s="13"/>
      <c r="N97" s="13"/>
      <c r="O97" s="13"/>
      <c r="P97" s="13"/>
    </row>
    <row r="98" spans="1:16" ht="14.5" x14ac:dyDescent="0.25">
      <c r="A98" s="18">
        <v>95</v>
      </c>
      <c r="B98" s="19">
        <v>70000082</v>
      </c>
      <c r="C98" s="19">
        <v>171656</v>
      </c>
      <c r="D98" t="s" s="10">
        <v>192</v>
      </c>
      <c r="E98" t="s" s="9">
        <v>198</v>
      </c>
      <c r="F98" t="s" s="3">
        <v>286</v>
      </c>
      <c r="G98" t="s" s="10">
        <v>0</v>
      </c>
      <c r="H98" s="25">
        <v>45482</v>
      </c>
      <c r="I98" s="9">
        <f ca="1" t="shared" si="1"/>
      </c>
      <c r="J98" s="14"/>
      <c r="K98" s="11"/>
      <c r="L98" s="11"/>
      <c r="M98" s="11"/>
      <c r="N98" s="103"/>
      <c r="O98" s="11"/>
      <c r="P98" s="11"/>
    </row>
    <row r="99" spans="1:16" ht="14.5" x14ac:dyDescent="0.25">
      <c r="A99" s="18">
        <v>96</v>
      </c>
      <c r="B99" s="19">
        <v>70000040</v>
      </c>
      <c r="C99" s="19">
        <v>164034</v>
      </c>
      <c r="D99" t="s" s="9">
        <v>722</v>
      </c>
      <c r="E99" t="s" s="9">
        <v>195</v>
      </c>
      <c r="F99" t="s" s="20">
        <v>18</v>
      </c>
      <c r="G99" t="s" s="10">
        <v>0</v>
      </c>
      <c r="H99" s="25">
        <v>31855</v>
      </c>
      <c r="I99" s="9">
        <f ca="1" t="shared" si="1"/>
      </c>
      <c r="J99" s="12">
        <v>1</v>
      </c>
      <c r="K99" s="13">
        <v>4</v>
      </c>
      <c r="L99" s="13">
        <v>6</v>
      </c>
      <c r="M99" s="13"/>
      <c r="N99" s="13"/>
      <c r="O99" s="13"/>
      <c r="P99" s="13"/>
    </row>
    <row r="100" spans="1:16" ht="14.5" x14ac:dyDescent="0.25">
      <c r="A100" s="18">
        <v>97</v>
      </c>
      <c r="B100" s="19">
        <v>70000040</v>
      </c>
      <c r="C100" s="19">
        <v>164035</v>
      </c>
      <c r="D100" t="s" s="9">
        <v>608</v>
      </c>
      <c r="E100" t="s" s="9">
        <v>198</v>
      </c>
      <c r="F100" t="s" s="20">
        <v>287</v>
      </c>
      <c r="G100" t="s" s="10">
        <v>0</v>
      </c>
      <c r="H100" s="25">
        <v>35011</v>
      </c>
      <c r="I100" s="9">
        <f ca="1" t="shared" si="1"/>
      </c>
      <c r="J100" s="12"/>
      <c r="K100" s="13"/>
      <c r="L100" s="13"/>
      <c r="M100" s="13"/>
      <c r="N100" s="13"/>
      <c r="O100" s="13"/>
      <c r="P100" s="13"/>
    </row>
    <row r="101" spans="1:16" ht="14.5" x14ac:dyDescent="0.25">
      <c r="A101" s="18">
        <v>98</v>
      </c>
      <c r="B101" s="19">
        <v>70000040</v>
      </c>
      <c r="C101" s="19">
        <v>164036</v>
      </c>
      <c r="D101" t="s" s="9">
        <v>192</v>
      </c>
      <c r="E101" t="s" s="9">
        <v>195</v>
      </c>
      <c r="F101" t="s" s="20">
        <v>288</v>
      </c>
      <c r="G101" t="s" s="10">
        <v>0</v>
      </c>
      <c r="H101" s="25">
        <v>42635</v>
      </c>
      <c r="I101" s="9">
        <f ca="1" t="shared" si="1"/>
      </c>
      <c r="J101" s="12"/>
      <c r="K101" s="13"/>
      <c r="L101" s="13"/>
      <c r="M101" s="13"/>
      <c r="N101" s="13"/>
      <c r="O101" s="13"/>
      <c r="P101" s="13"/>
    </row>
    <row r="102" spans="1:16" ht="14.5" x14ac:dyDescent="0.25">
      <c r="A102" s="18">
        <v>99</v>
      </c>
      <c r="B102" s="19">
        <v>70000040</v>
      </c>
      <c r="C102" s="19">
        <v>164037</v>
      </c>
      <c r="D102" t="s" s="9">
        <v>192</v>
      </c>
      <c r="E102" t="s" s="9">
        <v>195</v>
      </c>
      <c r="F102" t="s" s="20">
        <v>289</v>
      </c>
      <c r="G102" t="s" s="10">
        <v>0</v>
      </c>
      <c r="H102" s="25">
        <v>43192</v>
      </c>
      <c r="I102" s="9">
        <f ca="1" t="shared" si="1"/>
      </c>
      <c r="J102" s="12"/>
      <c r="K102" s="13"/>
      <c r="L102" s="13"/>
      <c r="M102" s="13"/>
      <c r="N102" s="13"/>
      <c r="O102" s="13"/>
      <c r="P102" s="13"/>
    </row>
    <row r="103" spans="1:16" ht="14.5" x14ac:dyDescent="0.25">
      <c r="A103" s="18">
        <v>100</v>
      </c>
      <c r="B103" s="19">
        <v>70000040</v>
      </c>
      <c r="C103" s="19">
        <v>168420</v>
      </c>
      <c r="D103" t="s" s="9">
        <v>192</v>
      </c>
      <c r="E103" t="s" s="9">
        <v>195</v>
      </c>
      <c r="F103" t="s" s="20">
        <v>290</v>
      </c>
      <c r="G103" t="s" s="10">
        <v>0</v>
      </c>
      <c r="H103" s="25">
        <v>44986</v>
      </c>
      <c r="I103" s="9">
        <f ca="1" t="shared" si="1"/>
      </c>
      <c r="J103" s="12"/>
      <c r="K103" s="13"/>
      <c r="L103" s="13"/>
      <c r="M103" s="13"/>
      <c r="N103" s="13"/>
      <c r="O103" s="13"/>
      <c r="P103" s="13"/>
    </row>
    <row r="104" spans="1:16" ht="14.5" x14ac:dyDescent="0.25">
      <c r="A104" s="18">
        <v>101</v>
      </c>
      <c r="B104" s="19">
        <v>70000040</v>
      </c>
      <c r="C104" s="19">
        <v>176434</v>
      </c>
      <c r="D104" t="s" s="10">
        <v>192</v>
      </c>
      <c r="E104" t="s" s="9">
        <v>195</v>
      </c>
      <c r="F104" t="s" s="3">
        <v>291</v>
      </c>
      <c r="G104" t="s" s="10">
        <v>0</v>
      </c>
      <c r="H104" s="25">
        <v>45989</v>
      </c>
      <c r="I104" s="9">
        <f ca="1" t="shared" si="1"/>
      </c>
      <c r="J104" s="14"/>
      <c r="K104" s="11"/>
      <c r="L104" s="11"/>
      <c r="M104" s="11"/>
      <c r="N104" s="103"/>
      <c r="O104" s="11"/>
      <c r="P104" s="11"/>
    </row>
    <row r="105" spans="1:16" ht="14.5" x14ac:dyDescent="0.25">
      <c r="A105" s="18">
        <v>102</v>
      </c>
      <c r="B105" s="19">
        <v>70000178</v>
      </c>
      <c r="C105" s="19">
        <v>164039</v>
      </c>
      <c r="D105" t="s" s="9">
        <v>722</v>
      </c>
      <c r="E105" t="s" s="9">
        <v>195</v>
      </c>
      <c r="F105" t="s" s="20">
        <v>160</v>
      </c>
      <c r="G105" t="s" s="10">
        <v>177</v>
      </c>
      <c r="H105" s="25">
        <v>27917</v>
      </c>
      <c r="I105" s="9">
        <f ca="1" t="shared" si="1"/>
      </c>
      <c r="J105" s="12">
        <v>1</v>
      </c>
      <c r="K105" s="13">
        <v>5</v>
      </c>
      <c r="L105" s="13">
        <v>7</v>
      </c>
      <c r="M105" s="13"/>
      <c r="N105" s="13"/>
      <c r="O105" s="13"/>
      <c r="P105" s="13"/>
    </row>
    <row r="106" spans="1:16" ht="14.5" x14ac:dyDescent="0.25">
      <c r="A106" s="18">
        <v>103</v>
      </c>
      <c r="B106" s="19">
        <v>70000178</v>
      </c>
      <c r="C106" s="19">
        <v>164040</v>
      </c>
      <c r="D106" t="s" s="9">
        <v>608</v>
      </c>
      <c r="E106" t="s" s="9">
        <v>198</v>
      </c>
      <c r="F106" t="s" s="20">
        <v>292</v>
      </c>
      <c r="G106" t="s" s="10">
        <v>177</v>
      </c>
      <c r="H106" s="25">
        <v>33571</v>
      </c>
      <c r="I106" s="9">
        <f ca="1" t="shared" si="1"/>
      </c>
      <c r="J106" s="12"/>
      <c r="K106" s="13"/>
      <c r="L106" s="13"/>
      <c r="M106" s="13"/>
      <c r="N106" s="13"/>
      <c r="O106" s="13"/>
      <c r="P106" s="13"/>
    </row>
    <row r="107" spans="1:16" ht="14.5" x14ac:dyDescent="0.25">
      <c r="A107" s="18">
        <v>104</v>
      </c>
      <c r="B107" s="19">
        <v>70000178</v>
      </c>
      <c r="C107" s="19">
        <v>164041</v>
      </c>
      <c r="D107" t="s" s="9">
        <v>192</v>
      </c>
      <c r="E107" t="s" s="9">
        <v>198</v>
      </c>
      <c r="F107" t="s" s="20">
        <v>293</v>
      </c>
      <c r="G107" t="s" s="10">
        <v>177</v>
      </c>
      <c r="H107" s="25">
        <v>40412</v>
      </c>
      <c r="I107" s="9">
        <f ca="1" t="shared" si="1"/>
      </c>
      <c r="J107" s="12"/>
      <c r="K107" s="13"/>
      <c r="L107" s="13"/>
      <c r="M107" s="13"/>
      <c r="N107" s="13"/>
      <c r="O107" s="13"/>
      <c r="P107" s="13"/>
    </row>
    <row r="108" spans="1:16" ht="14.5" x14ac:dyDescent="0.25">
      <c r="A108" s="18">
        <v>105</v>
      </c>
      <c r="B108" s="19">
        <v>70000178</v>
      </c>
      <c r="C108" s="19">
        <v>164042</v>
      </c>
      <c r="D108" t="s" s="9">
        <v>192</v>
      </c>
      <c r="E108" t="s" s="9">
        <v>195</v>
      </c>
      <c r="F108" t="s" s="20">
        <v>294</v>
      </c>
      <c r="G108" t="s" s="10">
        <v>177</v>
      </c>
      <c r="H108" s="25">
        <v>42242</v>
      </c>
      <c r="I108" s="9">
        <f ca="1" t="shared" si="1"/>
      </c>
      <c r="J108" s="12"/>
      <c r="K108" s="13"/>
      <c r="L108" s="13"/>
      <c r="M108" s="13"/>
      <c r="N108" s="13"/>
      <c r="O108" s="13"/>
      <c r="P108" s="13"/>
    </row>
    <row r="109" spans="1:16" ht="14.5" x14ac:dyDescent="0.25">
      <c r="A109" s="18">
        <v>106</v>
      </c>
      <c r="B109" s="19">
        <v>70000178</v>
      </c>
      <c r="C109" s="19">
        <v>164043</v>
      </c>
      <c r="D109" t="s" s="9">
        <v>192</v>
      </c>
      <c r="E109" t="s" s="9">
        <v>195</v>
      </c>
      <c r="F109" t="s" s="20">
        <v>295</v>
      </c>
      <c r="G109" t="s" s="10">
        <v>177</v>
      </c>
      <c r="H109" s="25">
        <v>42877</v>
      </c>
      <c r="I109" s="9">
        <f ca="1" t="shared" si="1"/>
      </c>
      <c r="J109" s="12"/>
      <c r="K109" s="13"/>
      <c r="L109" s="13"/>
      <c r="M109" s="13"/>
      <c r="N109" s="13"/>
      <c r="O109" s="13"/>
      <c r="P109" s="13"/>
    </row>
    <row r="110" spans="1:16" ht="14.5" x14ac:dyDescent="0.25">
      <c r="A110" s="18">
        <v>107</v>
      </c>
      <c r="B110" s="19">
        <v>70000178</v>
      </c>
      <c r="C110" s="19">
        <v>164044</v>
      </c>
      <c r="D110" t="s" s="9">
        <v>192</v>
      </c>
      <c r="E110" t="s" s="9">
        <v>195</v>
      </c>
      <c r="F110" t="s" s="20">
        <v>296</v>
      </c>
      <c r="G110" t="s" s="10">
        <v>177</v>
      </c>
      <c r="H110" s="25">
        <v>43591</v>
      </c>
      <c r="I110" s="9">
        <f ca="1" t="shared" si="1"/>
      </c>
      <c r="J110" s="12"/>
      <c r="K110" s="13"/>
      <c r="L110" s="13"/>
      <c r="M110" s="13"/>
      <c r="N110" s="13"/>
      <c r="O110" s="13"/>
      <c r="P110" s="13"/>
    </row>
    <row r="111" spans="1:16" ht="14.5" x14ac:dyDescent="0.25">
      <c r="A111" s="18">
        <v>108</v>
      </c>
      <c r="B111" s="19">
        <v>70000178</v>
      </c>
      <c r="C111" s="19">
        <v>175615</v>
      </c>
      <c r="D111" t="s" s="10">
        <v>192</v>
      </c>
      <c r="E111" t="s" s="9">
        <v>198</v>
      </c>
      <c r="F111" t="s" s="3">
        <v>297</v>
      </c>
      <c r="G111" t="s" s="10">
        <v>177</v>
      </c>
      <c r="H111" s="25">
        <v>45727</v>
      </c>
      <c r="I111" s="9">
        <f ca="1" t="shared" si="1"/>
      </c>
      <c r="J111" s="14"/>
      <c r="K111" s="11"/>
      <c r="L111" s="11"/>
      <c r="M111" s="11"/>
      <c r="N111" s="103"/>
      <c r="O111" s="11"/>
      <c r="P111" s="11"/>
    </row>
    <row r="112" spans="1:16" ht="14.5" x14ac:dyDescent="0.25">
      <c r="A112" s="18">
        <v>109</v>
      </c>
      <c r="B112" s="19">
        <v>70000026</v>
      </c>
      <c r="C112" s="19">
        <v>164045</v>
      </c>
      <c r="D112" t="s" s="9">
        <v>722</v>
      </c>
      <c r="E112" t="s" s="9">
        <v>195</v>
      </c>
      <c r="F112" t="s" s="20">
        <v>113</v>
      </c>
      <c r="G112" t="s" s="10">
        <v>0</v>
      </c>
      <c r="H112" s="25">
        <v>32392</v>
      </c>
      <c r="I112" s="9">
        <f ca="1" t="shared" si="1"/>
      </c>
      <c r="J112" s="12">
        <v>1</v>
      </c>
      <c r="K112" s="13">
        <v>2</v>
      </c>
      <c r="L112" s="13">
        <v>4</v>
      </c>
      <c r="M112" s="13"/>
      <c r="N112" s="13"/>
      <c r="O112" s="13"/>
      <c r="P112" s="13"/>
    </row>
    <row r="113" spans="1:16" ht="14.5" x14ac:dyDescent="0.25">
      <c r="A113" s="18">
        <v>110</v>
      </c>
      <c r="B113" s="19">
        <v>70000026</v>
      </c>
      <c r="C113" s="19">
        <v>164046</v>
      </c>
      <c r="D113" t="s" s="9">
        <v>608</v>
      </c>
      <c r="E113" t="s" s="9">
        <v>198</v>
      </c>
      <c r="F113" t="s" s="20">
        <v>298</v>
      </c>
      <c r="G113" t="s" s="10">
        <v>0</v>
      </c>
      <c r="H113" s="25">
        <v>33188</v>
      </c>
      <c r="I113" s="9">
        <f ca="1" t="shared" si="1"/>
      </c>
      <c r="J113" s="12"/>
      <c r="K113" s="13"/>
      <c r="L113" s="13"/>
      <c r="M113" s="13"/>
      <c r="N113" s="13"/>
      <c r="O113" s="13"/>
      <c r="P113" s="13"/>
    </row>
    <row r="114" spans="1:16" ht="14.5" x14ac:dyDescent="0.25">
      <c r="A114" s="18">
        <v>111</v>
      </c>
      <c r="B114" s="19">
        <v>70000026</v>
      </c>
      <c r="C114" s="19">
        <v>164047</v>
      </c>
      <c r="D114" t="s" s="9">
        <v>192</v>
      </c>
      <c r="E114" t="s" s="9">
        <v>198</v>
      </c>
      <c r="F114" t="s" s="20">
        <v>299</v>
      </c>
      <c r="G114" t="s" s="10">
        <v>0</v>
      </c>
      <c r="H114" s="25">
        <v>44114</v>
      </c>
      <c r="I114" s="9">
        <f ca="1" t="shared" si="1"/>
      </c>
      <c r="J114" s="12"/>
      <c r="K114" s="13"/>
      <c r="L114" s="13"/>
      <c r="M114" s="13"/>
      <c r="N114" s="13"/>
      <c r="O114" s="13"/>
      <c r="P114" s="13"/>
    </row>
    <row r="115" spans="1:16" ht="14.5" x14ac:dyDescent="0.25">
      <c r="A115" s="18">
        <v>112</v>
      </c>
      <c r="B115" s="19">
        <v>70000026</v>
      </c>
      <c r="C115" s="19">
        <v>167616</v>
      </c>
      <c r="D115" t="s" s="10">
        <v>192</v>
      </c>
      <c r="E115" t="s" s="9">
        <v>198</v>
      </c>
      <c r="F115" t="s" s="3">
        <v>300</v>
      </c>
      <c r="G115" t="s" s="10">
        <v>0</v>
      </c>
      <c r="H115" s="25">
        <v>44701</v>
      </c>
      <c r="I115" s="9">
        <f ca="1" t="shared" si="1"/>
      </c>
      <c r="J115" s="14"/>
      <c r="K115" s="15"/>
      <c r="L115" s="11"/>
      <c r="M115" s="13"/>
      <c r="N115" s="13"/>
      <c r="O115" s="13"/>
      <c r="P115" s="13"/>
    </row>
    <row r="116" spans="1:16" ht="14.5" x14ac:dyDescent="0.25">
      <c r="A116" s="18">
        <v>113</v>
      </c>
      <c r="B116" s="19">
        <v>70000027</v>
      </c>
      <c r="C116" s="19">
        <v>164048</v>
      </c>
      <c r="D116" t="s" s="9">
        <v>722</v>
      </c>
      <c r="E116" t="s" s="9">
        <v>195</v>
      </c>
      <c r="F116" t="s" s="20">
        <v>114</v>
      </c>
      <c r="G116" t="s" s="10">
        <v>0</v>
      </c>
      <c r="H116" s="25">
        <v>31255</v>
      </c>
      <c r="I116" s="9">
        <f ca="1" t="shared" si="1"/>
      </c>
      <c r="J116" s="12">
        <v>1</v>
      </c>
      <c r="K116" s="13">
        <v>1</v>
      </c>
      <c r="L116" s="13">
        <v>3</v>
      </c>
      <c r="M116" s="13"/>
      <c r="N116" s="13"/>
      <c r="O116" s="13"/>
      <c r="P116" s="13"/>
    </row>
    <row r="117" spans="1:16" ht="14.5" x14ac:dyDescent="0.25">
      <c r="A117" s="18">
        <v>114</v>
      </c>
      <c r="B117" s="19">
        <v>70000027</v>
      </c>
      <c r="C117" s="19">
        <v>164049</v>
      </c>
      <c r="D117" t="s" s="9">
        <v>608</v>
      </c>
      <c r="E117" t="s" s="9">
        <v>198</v>
      </c>
      <c r="F117" t="s" s="20">
        <v>301</v>
      </c>
      <c r="G117" t="s" s="10">
        <v>0</v>
      </c>
      <c r="H117" s="25">
        <v>33654</v>
      </c>
      <c r="I117" s="9">
        <f ca="1" t="shared" si="1"/>
      </c>
      <c r="J117" s="12"/>
      <c r="K117" s="13"/>
      <c r="L117" s="13"/>
      <c r="M117" s="13"/>
      <c r="N117" s="13"/>
      <c r="O117" s="13"/>
      <c r="P117" s="13"/>
    </row>
    <row r="118" spans="1:16" ht="14.5" x14ac:dyDescent="0.25">
      <c r="A118" s="18">
        <v>115</v>
      </c>
      <c r="B118" s="19">
        <v>70000027</v>
      </c>
      <c r="C118" s="19">
        <v>177814</v>
      </c>
      <c r="D118" t="s" s="10">
        <v>192</v>
      </c>
      <c r="E118" t="s" s="9">
        <v>198</v>
      </c>
      <c r="F118" t="s" s="3">
        <v>302</v>
      </c>
      <c r="G118" t="s" s="10">
        <v>0</v>
      </c>
      <c r="H118" s="25">
        <v>46100</v>
      </c>
      <c r="I118" s="9">
        <f ca="1" t="shared" si="1"/>
      </c>
      <c r="J118" s="12"/>
      <c r="K118" s="11"/>
      <c r="L118" s="11"/>
      <c r="M118" s="11"/>
      <c r="N118" s="103"/>
      <c r="O118" s="11"/>
      <c r="P118" s="11"/>
    </row>
    <row r="119" spans="1:16" ht="14.5" x14ac:dyDescent="0.25">
      <c r="A119" s="18">
        <v>116</v>
      </c>
      <c r="B119" s="19">
        <v>70000118</v>
      </c>
      <c r="C119" s="19">
        <v>164054</v>
      </c>
      <c r="D119" t="s" s="9">
        <v>722</v>
      </c>
      <c r="E119" t="s" s="9">
        <v>198</v>
      </c>
      <c r="F119" t="s" s="20">
        <v>47</v>
      </c>
      <c r="G119" t="s" s="10">
        <v>177</v>
      </c>
      <c r="H119" s="25">
        <v>30115</v>
      </c>
      <c r="I119" s="9">
        <f ca="1" t="shared" si="1"/>
      </c>
      <c r="J119" s="12">
        <v>0</v>
      </c>
      <c r="K119" s="13">
        <v>1</v>
      </c>
      <c r="L119" s="13">
        <v>2</v>
      </c>
      <c r="M119" s="13"/>
      <c r="N119" s="13"/>
      <c r="O119" s="13"/>
      <c r="P119" s="13"/>
    </row>
    <row r="120" spans="1:16" ht="14.5" x14ac:dyDescent="0.25">
      <c r="A120" s="18">
        <v>117</v>
      </c>
      <c r="B120" s="19">
        <v>70000118</v>
      </c>
      <c r="C120" s="19">
        <v>164056</v>
      </c>
      <c r="D120" t="s" s="10">
        <v>192</v>
      </c>
      <c r="E120" t="s" s="9">
        <v>198</v>
      </c>
      <c r="F120" t="s" s="3">
        <v>303</v>
      </c>
      <c r="G120" t="s" s="10">
        <v>177</v>
      </c>
      <c r="H120" s="25">
        <v>40087</v>
      </c>
      <c r="I120" s="9">
        <f ca="1" t="shared" si="1"/>
      </c>
      <c r="J120" s="14"/>
      <c r="K120" s="11"/>
      <c r="L120" s="11"/>
      <c r="M120" s="11"/>
      <c r="N120" s="103"/>
      <c r="O120" s="11"/>
      <c r="P120" s="11"/>
    </row>
    <row r="121" spans="1:16" ht="14.5" x14ac:dyDescent="0.25">
      <c r="A121" s="18">
        <v>118</v>
      </c>
      <c r="B121" s="19">
        <v>70000094</v>
      </c>
      <c r="C121" s="19">
        <v>164058</v>
      </c>
      <c r="D121" t="s" s="9">
        <v>722</v>
      </c>
      <c r="E121" t="s" s="9">
        <v>195</v>
      </c>
      <c r="F121" t="s" s="20">
        <v>153</v>
      </c>
      <c r="G121" t="s" s="10">
        <v>177</v>
      </c>
      <c r="H121" s="25">
        <v>31638</v>
      </c>
      <c r="I121" s="9">
        <f ca="1" t="shared" si="1"/>
      </c>
      <c r="J121" s="12">
        <v>1</v>
      </c>
      <c r="K121" s="13">
        <v>4</v>
      </c>
      <c r="L121" s="13">
        <v>6</v>
      </c>
      <c r="M121" s="13"/>
      <c r="N121" s="13"/>
      <c r="O121" s="13"/>
      <c r="P121" s="13"/>
    </row>
    <row r="122" spans="1:16" ht="14.5" x14ac:dyDescent="0.25">
      <c r="A122" s="18">
        <v>119</v>
      </c>
      <c r="B122" s="19">
        <v>70000094</v>
      </c>
      <c r="C122" s="19">
        <v>164059</v>
      </c>
      <c r="D122" t="s" s="9">
        <v>608</v>
      </c>
      <c r="E122" t="s" s="9">
        <v>198</v>
      </c>
      <c r="F122" t="s" s="20">
        <v>304</v>
      </c>
      <c r="G122" t="s" s="10">
        <v>177</v>
      </c>
      <c r="H122" s="25">
        <v>33537</v>
      </c>
      <c r="I122" s="9">
        <f ca="1" t="shared" si="1"/>
      </c>
      <c r="J122" s="12"/>
      <c r="K122" s="13"/>
      <c r="L122" s="13"/>
      <c r="M122" s="13"/>
      <c r="N122" s="13"/>
      <c r="O122" s="13"/>
      <c r="P122" s="13"/>
    </row>
    <row r="123" spans="1:16" ht="14.5" x14ac:dyDescent="0.25">
      <c r="A123" s="18">
        <v>120</v>
      </c>
      <c r="B123" s="19">
        <v>70000094</v>
      </c>
      <c r="C123" s="19">
        <v>164060</v>
      </c>
      <c r="D123" t="s" s="9">
        <v>192</v>
      </c>
      <c r="E123" t="s" s="9">
        <v>195</v>
      </c>
      <c r="F123" t="s" s="20">
        <v>305</v>
      </c>
      <c r="G123" t="s" s="10">
        <v>177</v>
      </c>
      <c r="H123" s="25">
        <v>42382</v>
      </c>
      <c r="I123" s="9">
        <f ca="1" t="shared" si="1"/>
      </c>
      <c r="J123" s="12"/>
      <c r="K123" s="13"/>
      <c r="L123" s="13"/>
      <c r="M123" s="13"/>
      <c r="N123" s="13"/>
      <c r="O123" s="13"/>
      <c r="P123" s="13"/>
    </row>
    <row r="124" spans="1:16" ht="14.5" x14ac:dyDescent="0.25">
      <c r="A124" s="18">
        <v>121</v>
      </c>
      <c r="B124" s="19">
        <v>70000094</v>
      </c>
      <c r="C124" s="19">
        <v>164061</v>
      </c>
      <c r="D124" t="s" s="9">
        <v>192</v>
      </c>
      <c r="E124" t="s" s="9">
        <v>198</v>
      </c>
      <c r="F124" t="s" s="20">
        <v>306</v>
      </c>
      <c r="G124" t="s" s="10">
        <v>177</v>
      </c>
      <c r="H124" s="25">
        <v>43260</v>
      </c>
      <c r="I124" s="9">
        <f ca="1" t="shared" si="1"/>
      </c>
      <c r="J124" s="12"/>
      <c r="K124" s="13"/>
      <c r="L124" s="13"/>
      <c r="M124" s="13"/>
      <c r="N124" s="13"/>
      <c r="O124" s="13"/>
      <c r="P124" s="13"/>
    </row>
    <row r="125" spans="1:16" ht="14.5" x14ac:dyDescent="0.25">
      <c r="A125" s="18">
        <v>122</v>
      </c>
      <c r="B125" s="19">
        <v>70000094</v>
      </c>
      <c r="C125" s="19">
        <v>164062</v>
      </c>
      <c r="D125" t="s" s="9">
        <v>192</v>
      </c>
      <c r="E125" t="s" s="9">
        <v>198</v>
      </c>
      <c r="F125" t="s" s="20">
        <v>307</v>
      </c>
      <c r="G125" t="s" s="10">
        <v>177</v>
      </c>
      <c r="H125" s="25">
        <v>43717</v>
      </c>
      <c r="I125" s="9">
        <f ca="1" t="shared" si="1"/>
      </c>
      <c r="J125" s="12"/>
      <c r="K125" s="13"/>
      <c r="L125" s="13"/>
      <c r="M125" s="13"/>
      <c r="N125" s="13"/>
      <c r="O125" s="13"/>
      <c r="P125" s="13"/>
    </row>
    <row r="126" spans="1:16" ht="14.5" x14ac:dyDescent="0.25">
      <c r="A126" s="18">
        <v>123</v>
      </c>
      <c r="B126" s="19">
        <v>70000094</v>
      </c>
      <c r="C126" s="19">
        <v>170402</v>
      </c>
      <c r="D126" t="s" s="10">
        <v>192</v>
      </c>
      <c r="E126" t="s" s="9">
        <v>198</v>
      </c>
      <c r="F126" t="s" s="3">
        <v>308</v>
      </c>
      <c r="G126" t="s" s="10">
        <v>177</v>
      </c>
      <c r="H126" s="25">
        <v>45090</v>
      </c>
      <c r="I126" s="9">
        <f ca="1" t="shared" si="1"/>
      </c>
      <c r="J126" s="14"/>
      <c r="K126" s="11"/>
      <c r="L126" s="11"/>
      <c r="M126" s="11"/>
      <c r="N126" s="103"/>
      <c r="O126" s="11"/>
      <c r="P126" s="11"/>
    </row>
    <row r="127" spans="1:16" ht="14.5" x14ac:dyDescent="0.25">
      <c r="A127" s="18">
        <v>124</v>
      </c>
      <c r="B127" s="19">
        <v>70000028</v>
      </c>
      <c r="C127" s="19">
        <v>164063</v>
      </c>
      <c r="D127" t="s" s="9">
        <v>722</v>
      </c>
      <c r="E127" t="s" s="9">
        <v>195</v>
      </c>
      <c r="F127" t="s" s="20">
        <v>115</v>
      </c>
      <c r="G127" t="s" s="10">
        <v>0</v>
      </c>
      <c r="H127" s="25">
        <v>33504</v>
      </c>
      <c r="I127" s="9">
        <f ca="1" t="shared" si="1"/>
      </c>
      <c r="J127" s="12">
        <v>1</v>
      </c>
      <c r="K127" s="13">
        <v>3</v>
      </c>
      <c r="L127" s="13">
        <v>5</v>
      </c>
      <c r="M127" s="13"/>
      <c r="N127" s="13"/>
      <c r="O127" s="13"/>
      <c r="P127" s="13"/>
    </row>
    <row r="128" spans="1:16" ht="14.5" x14ac:dyDescent="0.25">
      <c r="A128" s="18">
        <v>125</v>
      </c>
      <c r="B128" s="19">
        <v>70000028</v>
      </c>
      <c r="C128" s="19">
        <v>164064</v>
      </c>
      <c r="D128" t="s" s="9">
        <v>608</v>
      </c>
      <c r="E128" t="s" s="9">
        <v>198</v>
      </c>
      <c r="F128" t="s" s="20">
        <v>309</v>
      </c>
      <c r="G128" t="s" s="10">
        <v>0</v>
      </c>
      <c r="H128" s="25">
        <v>34229</v>
      </c>
      <c r="I128" s="9">
        <f ca="1" t="shared" si="1"/>
      </c>
      <c r="J128" s="12"/>
      <c r="K128" s="13"/>
      <c r="L128" s="13"/>
      <c r="M128" s="13"/>
      <c r="N128" s="13"/>
      <c r="O128" s="13"/>
      <c r="P128" s="13"/>
    </row>
    <row r="129" spans="1:16" ht="14.5" x14ac:dyDescent="0.25">
      <c r="A129" s="18">
        <v>126</v>
      </c>
      <c r="B129" s="19">
        <v>70000028</v>
      </c>
      <c r="C129" s="19">
        <v>164065</v>
      </c>
      <c r="D129" t="s" s="9">
        <v>192</v>
      </c>
      <c r="E129" t="s" s="9">
        <v>198</v>
      </c>
      <c r="F129" t="s" s="20">
        <v>310</v>
      </c>
      <c r="G129" t="s" s="10">
        <v>0</v>
      </c>
      <c r="H129" s="25">
        <v>43628</v>
      </c>
      <c r="I129" s="9">
        <f ca="1" t="shared" si="1"/>
      </c>
      <c r="J129" s="12"/>
      <c r="K129" s="13"/>
      <c r="L129" s="13"/>
      <c r="M129" s="13"/>
      <c r="N129" s="13"/>
      <c r="O129" s="13"/>
      <c r="P129" s="13"/>
    </row>
    <row r="130" spans="1:16" ht="14.5" x14ac:dyDescent="0.25">
      <c r="A130" s="18">
        <v>127</v>
      </c>
      <c r="B130" s="19">
        <v>70000028</v>
      </c>
      <c r="C130" s="19">
        <v>167471</v>
      </c>
      <c r="D130" t="s" s="10">
        <v>192</v>
      </c>
      <c r="E130" t="s" s="9">
        <v>198</v>
      </c>
      <c r="F130" t="s" s="3">
        <v>311</v>
      </c>
      <c r="G130" t="s" s="10">
        <v>0</v>
      </c>
      <c r="H130" s="25">
        <v>44859</v>
      </c>
      <c r="I130" s="9">
        <f ca="1" t="shared" si="1"/>
      </c>
      <c r="J130" s="14"/>
      <c r="K130" s="15"/>
      <c r="L130" s="11"/>
      <c r="M130" s="13"/>
      <c r="N130" s="13"/>
      <c r="O130" s="13"/>
      <c r="P130" s="13"/>
    </row>
    <row r="131" spans="1:16" ht="14.5" x14ac:dyDescent="0.25">
      <c r="A131" s="18">
        <v>715</v>
      </c>
      <c r="B131" s="19">
        <v>70000028</v>
      </c>
      <c r="C131" s="19">
        <v>178113</v>
      </c>
      <c r="D131" t="s" s="9">
        <v>192</v>
      </c>
      <c r="E131" t="s" s="9">
        <v>198</v>
      </c>
      <c r="F131" t="s" s="20">
        <v>763</v>
      </c>
      <c r="G131" t="s" s="10">
        <v>0</v>
      </c>
      <c r="H131" s="25">
        <v>46019</v>
      </c>
      <c r="I131" s="9">
        <f ca="1" t="shared" ref="I131:I194" si="2">DATEDIF(H131,TODAY(),"Y")</f>
      </c>
      <c r="J131" s="12"/>
      <c r="K131" s="13"/>
      <c r="L131" s="13"/>
      <c r="M131" s="13"/>
      <c r="N131" t="s" s="13">
        <v>794</v>
      </c>
      <c r="O131" s="13"/>
      <c r="P131" s="13"/>
    </row>
    <row r="132" spans="1:16" ht="14.5" x14ac:dyDescent="0.25">
      <c r="A132" s="18">
        <v>128</v>
      </c>
      <c r="B132" s="19">
        <v>70000157</v>
      </c>
      <c r="C132" s="19">
        <v>164066</v>
      </c>
      <c r="D132" t="s" s="10">
        <v>722</v>
      </c>
      <c r="E132" t="s" s="9">
        <v>195</v>
      </c>
      <c r="F132" t="s" s="3">
        <v>159</v>
      </c>
      <c r="G132" t="s" s="10">
        <v>177</v>
      </c>
      <c r="H132" s="25">
        <v>32229</v>
      </c>
      <c r="I132" s="9">
        <f ca="1" t="shared" si="2"/>
      </c>
      <c r="J132" s="14">
        <v>1</v>
      </c>
      <c r="K132" s="11">
        <v>1</v>
      </c>
      <c r="L132" s="11">
        <v>3</v>
      </c>
      <c r="M132" s="11"/>
      <c r="N132" s="103"/>
      <c r="O132" s="11"/>
      <c r="P132" s="11"/>
    </row>
    <row r="133" spans="1:16" ht="14.5" x14ac:dyDescent="0.25">
      <c r="A133" s="18">
        <v>129</v>
      </c>
      <c r="B133" s="19">
        <v>70000157</v>
      </c>
      <c r="C133" s="19">
        <v>174951</v>
      </c>
      <c r="D133" t="s" s="9">
        <v>608</v>
      </c>
      <c r="E133" t="s" s="9">
        <v>198</v>
      </c>
      <c r="F133" t="s" s="20">
        <v>312</v>
      </c>
      <c r="G133" t="s" s="10">
        <v>177</v>
      </c>
      <c r="H133" s="25">
        <v>36345</v>
      </c>
      <c r="I133" s="10">
        <f ca="1" t="shared" si="2"/>
      </c>
      <c r="J133" s="12"/>
      <c r="K133" s="13"/>
      <c r="L133" s="13"/>
      <c r="M133" s="13"/>
      <c r="N133" s="13"/>
      <c r="O133" s="13"/>
      <c r="P133" s="13"/>
    </row>
    <row r="134" spans="1:16" ht="14.5" x14ac:dyDescent="0.25">
      <c r="A134" s="18">
        <v>720</v>
      </c>
      <c r="B134" s="19">
        <v>70000157</v>
      </c>
      <c r="C134" s="19">
        <v>178009</v>
      </c>
      <c r="D134" t="s" s="9">
        <v>192</v>
      </c>
      <c r="E134" t="s" s="9">
        <v>195</v>
      </c>
      <c r="F134" t="s" s="20">
        <v>780</v>
      </c>
      <c r="G134" t="s" s="10">
        <v>177</v>
      </c>
      <c r="H134" s="25">
        <v>46147</v>
      </c>
      <c r="I134" s="9">
        <f ca="1" t="shared" si="2"/>
      </c>
      <c r="J134" s="12"/>
      <c r="K134" s="13"/>
      <c r="L134" s="13"/>
      <c r="M134" t="s" s="13">
        <v>781</v>
      </c>
      <c r="N134" s="13"/>
      <c r="O134" s="13"/>
      <c r="P134" s="13"/>
    </row>
    <row r="135" spans="1:16" ht="14.5" x14ac:dyDescent="0.25">
      <c r="A135" s="18">
        <v>130</v>
      </c>
      <c r="B135" s="19">
        <v>70000064</v>
      </c>
      <c r="C135" s="19">
        <v>164069</v>
      </c>
      <c r="D135" t="s" s="9">
        <v>722</v>
      </c>
      <c r="E135" t="s" s="9">
        <v>195</v>
      </c>
      <c r="F135" t="s" s="20">
        <v>119</v>
      </c>
      <c r="G135" t="s" s="10">
        <v>0</v>
      </c>
      <c r="H135" s="25">
        <v>31917</v>
      </c>
      <c r="I135" s="9">
        <f ca="1" t="shared" si="2"/>
      </c>
      <c r="J135" s="12">
        <v>1</v>
      </c>
      <c r="K135" s="13">
        <v>2</v>
      </c>
      <c r="L135" s="13">
        <v>4</v>
      </c>
      <c r="M135" s="13"/>
      <c r="N135" s="13"/>
      <c r="O135" s="13"/>
      <c r="P135" s="13"/>
    </row>
    <row r="136" spans="1:16" ht="14.5" x14ac:dyDescent="0.25">
      <c r="A136" s="18">
        <v>131</v>
      </c>
      <c r="B136" s="19">
        <v>70000064</v>
      </c>
      <c r="C136" s="19">
        <v>164070</v>
      </c>
      <c r="D136" t="s" s="10">
        <v>608</v>
      </c>
      <c r="E136" t="s" s="9">
        <v>198</v>
      </c>
      <c r="F136" t="s" s="3">
        <v>313</v>
      </c>
      <c r="G136" t="s" s="10">
        <v>0</v>
      </c>
      <c r="H136" s="25">
        <v>33831</v>
      </c>
      <c r="I136" s="9">
        <f ca="1" t="shared" si="2"/>
      </c>
      <c r="J136" s="14"/>
      <c r="K136" s="15"/>
      <c r="L136" s="11"/>
      <c r="M136" s="13"/>
      <c r="N136" s="13"/>
      <c r="O136" s="13"/>
      <c r="P136" s="13"/>
    </row>
    <row r="137" spans="1:16" ht="14.5" x14ac:dyDescent="0.25">
      <c r="A137" s="18">
        <v>132</v>
      </c>
      <c r="B137" s="19">
        <v>70000064</v>
      </c>
      <c r="C137" s="19">
        <v>166146</v>
      </c>
      <c r="D137" t="s" s="9">
        <v>192</v>
      </c>
      <c r="E137" t="s" s="9">
        <v>198</v>
      </c>
      <c r="F137" t="s" s="20">
        <v>314</v>
      </c>
      <c r="G137" t="s" s="10">
        <v>0</v>
      </c>
      <c r="H137" s="25">
        <v>44624</v>
      </c>
      <c r="I137" s="9">
        <f ca="1" t="shared" si="2"/>
      </c>
      <c r="J137" s="12"/>
      <c r="K137" s="13"/>
      <c r="L137" s="13"/>
      <c r="M137" s="13"/>
      <c r="N137" s="13"/>
      <c r="O137" s="13"/>
      <c r="P137" s="13"/>
    </row>
    <row r="138" spans="1:16" ht="14.5" x14ac:dyDescent="0.25">
      <c r="A138" s="18">
        <v>133</v>
      </c>
      <c r="B138" s="19">
        <v>70000064</v>
      </c>
      <c r="C138" s="19">
        <v>170802</v>
      </c>
      <c r="D138" t="s" s="10">
        <v>192</v>
      </c>
      <c r="E138" t="s" s="9">
        <v>195</v>
      </c>
      <c r="F138" t="s" s="3">
        <v>315</v>
      </c>
      <c r="G138" t="s" s="10">
        <v>0</v>
      </c>
      <c r="H138" s="25">
        <v>45316</v>
      </c>
      <c r="I138" s="9">
        <f ca="1" t="shared" si="2"/>
      </c>
      <c r="J138" s="12"/>
      <c r="K138" s="13"/>
      <c r="L138" s="11"/>
      <c r="M138" s="13"/>
      <c r="N138" s="13"/>
      <c r="O138" s="13"/>
      <c r="P138" s="13"/>
    </row>
    <row r="139" spans="1:16" ht="14.5" x14ac:dyDescent="0.25">
      <c r="A139" s="18">
        <v>134</v>
      </c>
      <c r="B139" s="19">
        <v>70000210</v>
      </c>
      <c r="C139" s="19">
        <v>164076</v>
      </c>
      <c r="D139" t="s" s="10">
        <v>722</v>
      </c>
      <c r="E139" t="s" s="9">
        <v>195</v>
      </c>
      <c r="F139" t="s" s="3">
        <v>144</v>
      </c>
      <c r="G139" t="s" s="10">
        <v>0</v>
      </c>
      <c r="H139" s="25">
        <v>33256</v>
      </c>
      <c r="I139" s="9">
        <f ca="1" t="shared" si="2"/>
      </c>
      <c r="J139" s="14">
        <v>1</v>
      </c>
      <c r="K139" s="11">
        <v>1</v>
      </c>
      <c r="L139" s="11">
        <v>3</v>
      </c>
      <c r="M139" s="11"/>
      <c r="N139" s="103"/>
      <c r="O139" s="11"/>
      <c r="P139" s="11"/>
    </row>
    <row r="140" spans="1:16" ht="14.5" x14ac:dyDescent="0.25">
      <c r="A140" s="18">
        <v>135</v>
      </c>
      <c r="B140" s="19">
        <v>70000210</v>
      </c>
      <c r="C140" s="19">
        <v>171697</v>
      </c>
      <c r="D140" t="s" s="9">
        <v>608</v>
      </c>
      <c r="E140" t="s" s="9">
        <v>195</v>
      </c>
      <c r="F140" t="s" s="20">
        <v>316</v>
      </c>
      <c r="G140" t="s" s="10">
        <v>0</v>
      </c>
      <c r="H140" s="25">
        <v>36146</v>
      </c>
      <c r="I140" s="10">
        <f ca="1" t="shared" si="2"/>
      </c>
      <c r="J140" s="12"/>
      <c r="K140" s="13"/>
      <c r="L140" s="13"/>
      <c r="M140" s="13"/>
      <c r="N140" s="13"/>
      <c r="O140" s="13"/>
      <c r="P140" s="13"/>
    </row>
    <row r="141" spans="1:16" ht="14.5" x14ac:dyDescent="0.25">
      <c r="A141" s="18">
        <v>721</v>
      </c>
      <c r="B141" s="19">
        <v>70000210</v>
      </c>
      <c r="C141" s="19">
        <v>178179</v>
      </c>
      <c r="D141" t="s" s="9">
        <v>192</v>
      </c>
      <c r="E141" t="s" s="9">
        <v>198</v>
      </c>
      <c r="F141" t="s" s="20">
        <v>782</v>
      </c>
      <c r="G141" t="s" s="10">
        <v>0</v>
      </c>
      <c r="H141" s="25">
        <v>46191</v>
      </c>
      <c r="I141" s="9">
        <f ca="1" t="shared" si="2"/>
      </c>
      <c r="J141" s="12"/>
      <c r="K141" s="13"/>
      <c r="L141" s="13"/>
      <c r="M141" t="s" s="13">
        <v>781</v>
      </c>
      <c r="N141" t="s" s="13">
        <v>795</v>
      </c>
      <c r="O141" s="13"/>
      <c r="P141" s="13"/>
    </row>
    <row r="142" spans="1:16" ht="14.5" x14ac:dyDescent="0.25">
      <c r="A142" s="18">
        <v>136</v>
      </c>
      <c r="B142" s="19">
        <v>70000134</v>
      </c>
      <c r="C142" s="19">
        <v>164087</v>
      </c>
      <c r="D142" t="s" s="9">
        <v>722</v>
      </c>
      <c r="E142" t="s" s="9">
        <v>195</v>
      </c>
      <c r="F142" t="s" s="20">
        <v>156</v>
      </c>
      <c r="G142" t="s" s="10">
        <v>177</v>
      </c>
      <c r="H142" s="25">
        <v>32874</v>
      </c>
      <c r="I142" s="9">
        <f ca="1" t="shared" si="2"/>
      </c>
      <c r="J142" s="12">
        <v>0</v>
      </c>
      <c r="K142" s="13">
        <v>0</v>
      </c>
      <c r="L142" s="13">
        <v>1</v>
      </c>
      <c r="M142" s="4"/>
      <c r="N142" s="4"/>
      <c r="O142" s="4"/>
      <c r="P142" s="4"/>
    </row>
    <row r="143" spans="1:16" ht="14.5" x14ac:dyDescent="0.25">
      <c r="A143" s="18">
        <v>137</v>
      </c>
      <c r="B143" s="19">
        <v>70000101</v>
      </c>
      <c r="C143" s="19">
        <v>164089</v>
      </c>
      <c r="D143" t="s" s="9">
        <v>722</v>
      </c>
      <c r="E143" t="s" s="9">
        <v>198</v>
      </c>
      <c r="F143" t="s" s="20">
        <v>46</v>
      </c>
      <c r="G143" t="s" s="10">
        <v>0</v>
      </c>
      <c r="H143" s="25">
        <v>30130</v>
      </c>
      <c r="I143" s="9">
        <f ca="1" t="shared" si="2"/>
      </c>
      <c r="J143" s="12">
        <v>1</v>
      </c>
      <c r="K143" s="13">
        <v>4</v>
      </c>
      <c r="L143" s="13">
        <v>6</v>
      </c>
      <c r="M143" s="4"/>
      <c r="N143" s="4"/>
      <c r="O143" s="4"/>
      <c r="P143" s="4"/>
    </row>
    <row r="144" spans="1:16" ht="14.5" x14ac:dyDescent="0.25">
      <c r="A144" s="18">
        <v>138</v>
      </c>
      <c r="B144" s="19">
        <v>70000101</v>
      </c>
      <c r="C144" s="19">
        <v>164090</v>
      </c>
      <c r="D144" t="s" s="9">
        <v>608</v>
      </c>
      <c r="E144" t="s" s="9">
        <v>195</v>
      </c>
      <c r="F144" t="s" s="20">
        <v>317</v>
      </c>
      <c r="G144" t="s" s="10">
        <v>0</v>
      </c>
      <c r="H144" s="25">
        <v>28436</v>
      </c>
      <c r="I144" s="9">
        <f ca="1" t="shared" si="2"/>
      </c>
      <c r="J144" s="12"/>
      <c r="K144" s="13"/>
      <c r="L144" s="13"/>
      <c r="M144" s="4"/>
      <c r="N144" s="4"/>
      <c r="O144" s="4"/>
      <c r="P144" s="4"/>
    </row>
    <row r="145" spans="1:16" ht="14.5" x14ac:dyDescent="0.25">
      <c r="A145" s="18">
        <v>139</v>
      </c>
      <c r="B145" s="19">
        <v>70000101</v>
      </c>
      <c r="C145" s="19">
        <v>164091</v>
      </c>
      <c r="D145" t="s" s="10">
        <v>192</v>
      </c>
      <c r="E145" t="s" s="9">
        <v>198</v>
      </c>
      <c r="F145" t="s" s="3">
        <v>318</v>
      </c>
      <c r="G145" t="s" s="10">
        <v>0</v>
      </c>
      <c r="H145" s="25">
        <v>38318</v>
      </c>
      <c r="I145" s="9">
        <f ca="1" t="shared" si="2"/>
      </c>
      <c r="J145" s="14"/>
      <c r="K145" s="11"/>
      <c r="L145" s="11"/>
      <c r="M145" s="11"/>
      <c r="N145" s="103"/>
      <c r="O145" s="11"/>
      <c r="P145" s="11"/>
    </row>
    <row r="146" spans="1:16" ht="14.5" x14ac:dyDescent="0.25">
      <c r="A146" s="18">
        <v>140</v>
      </c>
      <c r="B146" s="19">
        <v>70000101</v>
      </c>
      <c r="C146" s="19">
        <v>164092</v>
      </c>
      <c r="D146" t="s" s="9">
        <v>192</v>
      </c>
      <c r="E146" t="s" s="9">
        <v>198</v>
      </c>
      <c r="F146" t="s" s="20">
        <v>319</v>
      </c>
      <c r="G146" t="s" s="10">
        <v>0</v>
      </c>
      <c r="H146" s="25">
        <v>42148</v>
      </c>
      <c r="I146" s="9">
        <f ca="1" t="shared" si="2"/>
      </c>
      <c r="J146" s="12"/>
      <c r="K146" s="13"/>
      <c r="L146" s="13"/>
      <c r="M146" s="13"/>
      <c r="N146" s="13"/>
      <c r="O146" s="13"/>
      <c r="P146" s="13"/>
    </row>
    <row r="147" spans="1:16" ht="14.5" x14ac:dyDescent="0.25">
      <c r="A147" s="18">
        <v>141</v>
      </c>
      <c r="B147" s="19">
        <v>70000101</v>
      </c>
      <c r="C147" s="19">
        <v>164093</v>
      </c>
      <c r="D147" t="s" s="9">
        <v>192</v>
      </c>
      <c r="E147" t="s" s="9">
        <v>195</v>
      </c>
      <c r="F147" t="s" s="20">
        <v>320</v>
      </c>
      <c r="G147" t="s" s="10">
        <v>0</v>
      </c>
      <c r="H147" s="25">
        <v>42696</v>
      </c>
      <c r="I147" s="9">
        <f ca="1" t="shared" si="2"/>
      </c>
      <c r="J147" s="12"/>
      <c r="K147" s="13"/>
      <c r="L147" s="13"/>
      <c r="M147" t="s" s="13">
        <v>321</v>
      </c>
      <c r="N147" s="13"/>
      <c r="O147" s="13"/>
      <c r="P147" s="13"/>
    </row>
    <row r="148" spans="1:16" ht="14.5" x14ac:dyDescent="0.25">
      <c r="A148" s="18">
        <v>142</v>
      </c>
      <c r="B148" s="19">
        <v>70000101</v>
      </c>
      <c r="C148" s="19">
        <v>164094</v>
      </c>
      <c r="D148" t="s" s="9">
        <v>192</v>
      </c>
      <c r="E148" t="s" s="9">
        <v>198</v>
      </c>
      <c r="F148" t="s" s="20">
        <v>322</v>
      </c>
      <c r="G148" t="s" s="10">
        <v>0</v>
      </c>
      <c r="H148" s="25">
        <v>40217</v>
      </c>
      <c r="I148" s="9">
        <f ca="1" t="shared" si="2"/>
      </c>
      <c r="J148" s="12"/>
      <c r="K148" s="13"/>
      <c r="L148" s="13"/>
      <c r="M148" t="s" s="13">
        <v>321</v>
      </c>
      <c r="N148" s="13"/>
      <c r="O148" s="13"/>
      <c r="P148" s="13"/>
    </row>
    <row r="149" spans="1:16" ht="14.5" x14ac:dyDescent="0.25">
      <c r="A149" s="18">
        <v>143</v>
      </c>
      <c r="B149" s="19">
        <v>70000155</v>
      </c>
      <c r="C149" s="19">
        <v>164096</v>
      </c>
      <c r="D149" t="s" s="10">
        <v>722</v>
      </c>
      <c r="E149" t="s" s="9">
        <v>198</v>
      </c>
      <c r="F149" t="s" s="3">
        <v>13</v>
      </c>
      <c r="G149" t="s" s="10">
        <v>0</v>
      </c>
      <c r="H149" s="25">
        <v>34084</v>
      </c>
      <c r="I149" s="9">
        <f ca="1" t="shared" si="2"/>
      </c>
      <c r="J149" s="14">
        <v>1</v>
      </c>
      <c r="K149" s="11">
        <v>2</v>
      </c>
      <c r="L149" s="11">
        <v>4</v>
      </c>
      <c r="M149" s="11"/>
      <c r="N149" s="103"/>
      <c r="O149" s="11"/>
      <c r="P149" s="11"/>
    </row>
    <row r="150" spans="1:16" ht="14.5" x14ac:dyDescent="0.25">
      <c r="A150" s="18">
        <v>144</v>
      </c>
      <c r="B150" s="19">
        <v>70000155</v>
      </c>
      <c r="C150" s="19">
        <v>164097</v>
      </c>
      <c r="D150" t="s" s="9">
        <v>192</v>
      </c>
      <c r="E150" t="s" s="9">
        <v>198</v>
      </c>
      <c r="F150" t="s" s="20">
        <v>323</v>
      </c>
      <c r="G150" t="s" s="10">
        <v>0</v>
      </c>
      <c r="H150" s="25">
        <v>38874</v>
      </c>
      <c r="I150" s="9">
        <f ca="1" t="shared" si="2"/>
      </c>
      <c r="J150" s="12"/>
      <c r="K150" s="13"/>
      <c r="L150" s="13"/>
      <c r="M150" s="13"/>
      <c r="N150" s="13"/>
      <c r="O150" s="13"/>
      <c r="P150" s="13"/>
    </row>
    <row r="151" spans="1:16" ht="14.5" x14ac:dyDescent="0.25">
      <c r="A151" s="18">
        <v>145</v>
      </c>
      <c r="B151" s="19">
        <v>70000155</v>
      </c>
      <c r="C151" s="19">
        <v>172024</v>
      </c>
      <c r="D151" t="s" s="9">
        <v>608</v>
      </c>
      <c r="E151" t="s" s="9">
        <v>195</v>
      </c>
      <c r="F151" t="s" s="20">
        <v>324</v>
      </c>
      <c r="G151" t="s" s="10">
        <v>0</v>
      </c>
      <c r="H151" s="25">
        <v>31684</v>
      </c>
      <c r="I151" s="9">
        <f ca="1" t="shared" si="2"/>
      </c>
      <c r="J151" s="12"/>
      <c r="K151" s="13"/>
      <c r="L151" s="13"/>
      <c r="M151" s="13"/>
      <c r="N151" s="13"/>
      <c r="O151" s="13"/>
      <c r="P151" s="13"/>
    </row>
    <row r="152" spans="1:16" ht="14.5" x14ac:dyDescent="0.25">
      <c r="A152" s="18">
        <v>146</v>
      </c>
      <c r="B152" s="19">
        <v>70000155</v>
      </c>
      <c r="C152" s="19">
        <v>175147</v>
      </c>
      <c r="D152" t="s" s="9">
        <v>192</v>
      </c>
      <c r="E152" t="s" s="9">
        <v>195</v>
      </c>
      <c r="F152" t="s" s="20">
        <v>325</v>
      </c>
      <c r="G152" t="s" s="10">
        <v>0</v>
      </c>
      <c r="H152" s="25">
        <v>45857</v>
      </c>
      <c r="I152" s="9">
        <f ca="1" t="shared" si="2"/>
      </c>
      <c r="J152" s="12"/>
      <c r="K152" s="13"/>
      <c r="L152" s="13"/>
      <c r="M152" s="13"/>
      <c r="N152" s="13"/>
      <c r="O152" s="13"/>
      <c r="P152" s="13"/>
    </row>
    <row r="153" spans="1:16" ht="14.5" x14ac:dyDescent="0.25">
      <c r="A153" s="18">
        <v>147</v>
      </c>
      <c r="B153" s="19">
        <v>70000176</v>
      </c>
      <c r="C153" s="19">
        <v>164098</v>
      </c>
      <c r="D153" t="s" s="9">
        <v>722</v>
      </c>
      <c r="E153" t="s" s="9">
        <v>195</v>
      </c>
      <c r="F153" t="s" s="20">
        <v>69</v>
      </c>
      <c r="G153" t="s" s="10">
        <v>177</v>
      </c>
      <c r="H153" s="26">
        <v>28062</v>
      </c>
      <c r="I153" s="9">
        <f ca="1" t="shared" si="2"/>
      </c>
      <c r="J153" s="12">
        <v>1</v>
      </c>
      <c r="K153" s="13">
        <v>6</v>
      </c>
      <c r="L153" s="13">
        <v>8</v>
      </c>
      <c r="M153" s="13"/>
      <c r="N153" s="13"/>
      <c r="O153" s="13"/>
      <c r="P153" s="13"/>
    </row>
    <row r="154" spans="1:16" ht="14.5" x14ac:dyDescent="0.25">
      <c r="A154" s="18">
        <v>148</v>
      </c>
      <c r="B154" s="19">
        <v>70000176</v>
      </c>
      <c r="C154" s="19">
        <v>164099</v>
      </c>
      <c r="D154" t="s" s="9">
        <v>608</v>
      </c>
      <c r="E154" t="s" s="9">
        <v>198</v>
      </c>
      <c r="F154" t="s" s="20">
        <v>326</v>
      </c>
      <c r="G154" t="s" s="10">
        <v>177</v>
      </c>
      <c r="H154" s="25">
        <v>31038</v>
      </c>
      <c r="I154" s="9">
        <f ca="1" t="shared" si="2"/>
      </c>
      <c r="J154" s="12"/>
      <c r="K154" s="13"/>
      <c r="L154" s="13"/>
      <c r="M154" s="13"/>
      <c r="N154" s="13"/>
      <c r="O154" s="13"/>
      <c r="P154" s="13"/>
    </row>
    <row r="155" spans="1:16" ht="14.5" x14ac:dyDescent="0.25">
      <c r="A155" s="18">
        <v>149</v>
      </c>
      <c r="B155" s="19">
        <v>70000176</v>
      </c>
      <c r="C155" s="19">
        <v>164100</v>
      </c>
      <c r="D155" t="s" s="9">
        <v>192</v>
      </c>
      <c r="E155" t="s" s="9">
        <v>198</v>
      </c>
      <c r="F155" t="s" s="20">
        <v>327</v>
      </c>
      <c r="G155" t="s" s="10">
        <v>177</v>
      </c>
      <c r="H155" s="25">
        <v>36986</v>
      </c>
      <c r="I155" s="9">
        <f ca="1" t="shared" si="2"/>
      </c>
      <c r="J155" s="12"/>
      <c r="K155" s="13"/>
      <c r="L155" s="13"/>
      <c r="M155" s="13"/>
      <c r="N155" s="13"/>
      <c r="O155" s="13"/>
      <c r="P155" s="13"/>
    </row>
    <row r="156" spans="1:16" ht="14.5" x14ac:dyDescent="0.25">
      <c r="A156" s="18">
        <v>150</v>
      </c>
      <c r="B156" s="19">
        <v>70000176</v>
      </c>
      <c r="C156" s="19">
        <v>164101</v>
      </c>
      <c r="D156" t="s" s="9">
        <v>192</v>
      </c>
      <c r="E156" t="s" s="9">
        <v>198</v>
      </c>
      <c r="F156" t="s" s="20">
        <v>328</v>
      </c>
      <c r="G156" t="s" s="10">
        <v>177</v>
      </c>
      <c r="H156" s="25">
        <v>37766</v>
      </c>
      <c r="I156" s="9">
        <f ca="1" t="shared" si="2"/>
      </c>
      <c r="J156" s="12"/>
      <c r="K156" s="13"/>
      <c r="L156" s="13"/>
      <c r="M156" s="13"/>
      <c r="N156" s="13"/>
      <c r="O156" s="13"/>
      <c r="P156" s="13"/>
    </row>
    <row r="157" spans="1:16" ht="14.5" x14ac:dyDescent="0.25">
      <c r="A157" s="18">
        <v>151</v>
      </c>
      <c r="B157" s="19">
        <v>70000176</v>
      </c>
      <c r="C157" s="19">
        <v>164102</v>
      </c>
      <c r="D157" t="s" s="10">
        <v>192</v>
      </c>
      <c r="E157" t="s" s="9">
        <v>195</v>
      </c>
      <c r="F157" t="s" s="3">
        <v>329</v>
      </c>
      <c r="G157" t="s" s="10">
        <v>177</v>
      </c>
      <c r="H157" s="25">
        <v>40879</v>
      </c>
      <c r="I157" s="9">
        <f ca="1" t="shared" si="2"/>
      </c>
      <c r="J157" s="12"/>
      <c r="K157" s="13"/>
      <c r="L157" s="11"/>
      <c r="M157" s="13"/>
      <c r="N157" s="13"/>
      <c r="O157" s="13"/>
      <c r="P157" s="13"/>
    </row>
    <row r="158" spans="1:16" ht="14.5" x14ac:dyDescent="0.25">
      <c r="A158" s="18">
        <v>152</v>
      </c>
      <c r="B158" s="19">
        <v>70000176</v>
      </c>
      <c r="C158" s="19">
        <v>164103</v>
      </c>
      <c r="D158" t="s" s="10">
        <v>192</v>
      </c>
      <c r="E158" t="s" s="10">
        <v>198</v>
      </c>
      <c r="F158" t="s" s="3">
        <v>330</v>
      </c>
      <c r="G158" t="s" s="10">
        <v>177</v>
      </c>
      <c r="H158" s="25">
        <v>44393</v>
      </c>
      <c r="I158" s="9">
        <f ca="1" t="shared" si="2"/>
      </c>
      <c r="J158" s="14"/>
      <c r="K158" s="11"/>
      <c r="L158" s="11"/>
      <c r="M158" s="11"/>
      <c r="N158" s="103"/>
      <c r="O158" s="11"/>
      <c r="P158" s="11"/>
    </row>
    <row r="159" spans="1:16" ht="14.5" x14ac:dyDescent="0.25">
      <c r="A159" s="18">
        <v>153</v>
      </c>
      <c r="B159" s="19">
        <v>70000176</v>
      </c>
      <c r="C159" s="19">
        <v>166156</v>
      </c>
      <c r="D159" t="s" s="9">
        <v>192</v>
      </c>
      <c r="E159" t="s" s="9">
        <v>195</v>
      </c>
      <c r="F159" t="s" s="20">
        <v>331</v>
      </c>
      <c r="G159" t="s" s="10">
        <v>177</v>
      </c>
      <c r="H159" s="25">
        <v>38472</v>
      </c>
      <c r="I159" s="10">
        <f ca="1" t="shared" si="2"/>
      </c>
      <c r="J159" s="12"/>
      <c r="K159" s="13"/>
      <c r="L159" s="13"/>
      <c r="M159" s="13"/>
      <c r="N159" s="13"/>
      <c r="O159" s="13"/>
      <c r="P159" s="13"/>
    </row>
    <row r="160" spans="1:16" ht="14.5" x14ac:dyDescent="0.25">
      <c r="A160" s="18">
        <v>154</v>
      </c>
      <c r="B160" s="19">
        <v>70000176</v>
      </c>
      <c r="C160" s="19">
        <v>170488</v>
      </c>
      <c r="D160" t="s" s="9">
        <v>192</v>
      </c>
      <c r="E160" t="s" s="9">
        <v>195</v>
      </c>
      <c r="F160" t="s" s="20">
        <v>332</v>
      </c>
      <c r="G160" t="s" s="10">
        <v>177</v>
      </c>
      <c r="H160" s="25">
        <v>45237</v>
      </c>
      <c r="I160" s="9">
        <f ca="1" t="shared" si="2"/>
      </c>
      <c r="J160" s="12"/>
      <c r="K160" s="13"/>
      <c r="L160" s="13"/>
      <c r="M160" s="13"/>
      <c r="N160" s="13"/>
      <c r="O160" s="13"/>
      <c r="P160" s="13"/>
    </row>
    <row r="161" spans="1:16" ht="14.5" x14ac:dyDescent="0.25">
      <c r="A161" s="18">
        <v>155</v>
      </c>
      <c r="B161" s="19">
        <v>70000048</v>
      </c>
      <c r="C161" s="19">
        <v>164104</v>
      </c>
      <c r="D161" t="s" s="9">
        <v>722</v>
      </c>
      <c r="E161" t="s" s="9">
        <v>198</v>
      </c>
      <c r="F161" t="s" s="20">
        <v>150</v>
      </c>
      <c r="G161" t="s" s="10">
        <v>177</v>
      </c>
      <c r="H161" s="25">
        <v>32543</v>
      </c>
      <c r="I161" s="9">
        <f ca="1" t="shared" si="2"/>
      </c>
      <c r="J161" s="12">
        <v>0</v>
      </c>
      <c r="K161" s="13">
        <v>0</v>
      </c>
      <c r="L161" s="13">
        <v>1</v>
      </c>
      <c r="M161" s="13"/>
      <c r="N161" s="13"/>
      <c r="O161" s="13"/>
      <c r="P161" s="13"/>
    </row>
    <row r="162" spans="1:16" ht="14.5" x14ac:dyDescent="0.25">
      <c r="A162" s="18">
        <v>156</v>
      </c>
      <c r="B162" s="19">
        <v>70000129</v>
      </c>
      <c r="C162" s="19">
        <v>164105</v>
      </c>
      <c r="D162" t="s" s="9">
        <v>722</v>
      </c>
      <c r="E162" t="s" s="9">
        <v>195</v>
      </c>
      <c r="F162" t="s" s="20">
        <v>97</v>
      </c>
      <c r="G162" t="s" s="10">
        <v>0</v>
      </c>
      <c r="H162" s="25">
        <v>30536</v>
      </c>
      <c r="I162" s="9">
        <f ca="1" t="shared" si="2"/>
      </c>
      <c r="J162" s="12">
        <v>1</v>
      </c>
      <c r="K162" s="13">
        <v>7</v>
      </c>
      <c r="L162" s="13">
        <v>9</v>
      </c>
      <c r="M162" s="13"/>
      <c r="N162" s="13"/>
      <c r="O162" s="13"/>
      <c r="P162" s="13"/>
    </row>
    <row r="163" spans="1:16" ht="14.5" x14ac:dyDescent="0.25">
      <c r="A163" s="18">
        <v>157</v>
      </c>
      <c r="B163" s="19">
        <v>70000129</v>
      </c>
      <c r="C163" s="19">
        <v>164106</v>
      </c>
      <c r="D163" t="s" s="9">
        <v>608</v>
      </c>
      <c r="E163" t="s" s="9">
        <v>198</v>
      </c>
      <c r="F163" t="s" s="20">
        <v>333</v>
      </c>
      <c r="G163" t="s" s="10">
        <v>0</v>
      </c>
      <c r="H163" s="25">
        <v>32669</v>
      </c>
      <c r="I163" s="9">
        <f ca="1" t="shared" si="2"/>
      </c>
      <c r="J163" s="12"/>
      <c r="K163" s="13"/>
      <c r="L163" s="13"/>
      <c r="M163" s="13"/>
      <c r="N163" s="13"/>
      <c r="O163" s="13"/>
      <c r="P163" s="13"/>
    </row>
    <row r="164" spans="1:16" ht="14.5" x14ac:dyDescent="0.25">
      <c r="A164" s="18">
        <v>158</v>
      </c>
      <c r="B164" s="19">
        <v>70000129</v>
      </c>
      <c r="C164" s="19">
        <v>164107</v>
      </c>
      <c r="D164" t="s" s="9">
        <v>192</v>
      </c>
      <c r="E164" t="s" s="9">
        <v>195</v>
      </c>
      <c r="F164" t="s" s="20">
        <v>725</v>
      </c>
      <c r="G164" t="s" s="10">
        <v>0</v>
      </c>
      <c r="H164" s="25">
        <v>41548</v>
      </c>
      <c r="I164" s="9">
        <f ca="1" t="shared" si="2"/>
      </c>
      <c r="J164" s="12"/>
      <c r="K164" s="13"/>
      <c r="L164" s="13"/>
      <c r="M164" s="13"/>
      <c r="N164" s="13"/>
      <c r="O164" s="13"/>
      <c r="P164" s="13"/>
    </row>
    <row r="165" spans="1:16" ht="14.5" x14ac:dyDescent="0.25">
      <c r="A165" s="18">
        <v>159</v>
      </c>
      <c r="B165" s="19">
        <v>70000129</v>
      </c>
      <c r="C165" s="19">
        <v>164108</v>
      </c>
      <c r="D165" t="s" s="9">
        <v>192</v>
      </c>
      <c r="E165" t="s" s="9">
        <v>195</v>
      </c>
      <c r="F165" t="s" s="20">
        <v>334</v>
      </c>
      <c r="G165" t="s" s="10">
        <v>0</v>
      </c>
      <c r="H165" s="25">
        <v>42404</v>
      </c>
      <c r="I165" s="9">
        <f ca="1" t="shared" si="2"/>
      </c>
      <c r="J165" s="12"/>
      <c r="K165" s="13"/>
      <c r="L165" s="13"/>
      <c r="M165" s="13"/>
      <c r="N165" s="13"/>
      <c r="O165" s="13"/>
      <c r="P165" s="13"/>
    </row>
    <row r="166" spans="1:16" ht="14.5" x14ac:dyDescent="0.25">
      <c r="A166" s="18">
        <v>160</v>
      </c>
      <c r="B166" s="19">
        <v>70000129</v>
      </c>
      <c r="C166" s="19">
        <v>164109</v>
      </c>
      <c r="D166" t="s" s="9">
        <v>192</v>
      </c>
      <c r="E166" t="s" s="9">
        <v>198</v>
      </c>
      <c r="F166" t="s" s="20">
        <v>335</v>
      </c>
      <c r="G166" t="s" s="10">
        <v>0</v>
      </c>
      <c r="H166" s="25">
        <v>40953</v>
      </c>
      <c r="I166" s="9">
        <f ca="1" t="shared" si="2"/>
      </c>
      <c r="J166" s="12"/>
      <c r="K166" s="13"/>
      <c r="L166" s="13"/>
      <c r="M166" s="13"/>
      <c r="N166" s="13"/>
      <c r="O166" s="13"/>
      <c r="P166" s="13"/>
    </row>
    <row r="167" spans="1:16" ht="14.5" x14ac:dyDescent="0.25">
      <c r="A167" s="18">
        <v>161</v>
      </c>
      <c r="B167" s="19">
        <v>70000129</v>
      </c>
      <c r="C167" s="19">
        <v>164110</v>
      </c>
      <c r="D167" t="s" s="10">
        <v>192</v>
      </c>
      <c r="E167" t="s" s="9">
        <v>195</v>
      </c>
      <c r="F167" t="s" s="3">
        <v>336</v>
      </c>
      <c r="G167" t="s" s="10">
        <v>0</v>
      </c>
      <c r="H167" s="25">
        <v>43654</v>
      </c>
      <c r="I167" s="9">
        <f ca="1" t="shared" si="2"/>
      </c>
      <c r="J167" s="14"/>
      <c r="K167" s="11"/>
      <c r="L167" s="11"/>
      <c r="M167" s="11"/>
      <c r="N167" s="103"/>
      <c r="O167" s="11"/>
      <c r="P167" s="11"/>
    </row>
    <row r="168" spans="1:16" ht="14.5" x14ac:dyDescent="0.25">
      <c r="A168" s="18">
        <v>162</v>
      </c>
      <c r="B168" s="19">
        <v>70000129</v>
      </c>
      <c r="C168" s="19">
        <v>164111</v>
      </c>
      <c r="D168" t="s" s="9">
        <v>192</v>
      </c>
      <c r="E168" t="s" s="9">
        <v>195</v>
      </c>
      <c r="F168" t="s" s="20">
        <v>337</v>
      </c>
      <c r="G168" t="s" s="10">
        <v>0</v>
      </c>
      <c r="H168" s="25">
        <v>37778</v>
      </c>
      <c r="I168" s="9">
        <f ca="1" t="shared" si="2"/>
      </c>
      <c r="J168" s="12"/>
      <c r="K168" s="13"/>
      <c r="L168" s="13"/>
      <c r="M168" s="13"/>
      <c r="N168" s="13"/>
      <c r="O168" s="13"/>
      <c r="P168" s="13"/>
    </row>
    <row r="169" spans="1:16" ht="14.5" x14ac:dyDescent="0.25">
      <c r="A169" s="18">
        <v>163</v>
      </c>
      <c r="B169" s="19">
        <v>70000129</v>
      </c>
      <c r="C169" s="19">
        <v>166048</v>
      </c>
      <c r="D169" t="s" s="9">
        <v>192</v>
      </c>
      <c r="E169" t="s" s="9">
        <v>198</v>
      </c>
      <c r="F169" t="s" s="20">
        <v>338</v>
      </c>
      <c r="G169" t="s" s="10">
        <v>0</v>
      </c>
      <c r="H169" s="25">
        <v>44585</v>
      </c>
      <c r="I169" s="9">
        <f ca="1" t="shared" si="2"/>
      </c>
      <c r="J169" s="12"/>
      <c r="K169" s="13"/>
      <c r="L169" s="13"/>
      <c r="M169" s="13"/>
      <c r="N169" s="13"/>
      <c r="O169" s="13"/>
      <c r="P169" s="13"/>
    </row>
    <row r="170" spans="1:16" ht="14.5" x14ac:dyDescent="0.25">
      <c r="A170" s="18">
        <v>164</v>
      </c>
      <c r="B170" s="19">
        <v>70000129</v>
      </c>
      <c r="C170" s="19">
        <v>175636</v>
      </c>
      <c r="D170" t="s" s="9">
        <v>192</v>
      </c>
      <c r="E170" t="s" s="9">
        <v>195</v>
      </c>
      <c r="F170" t="s" s="20">
        <v>339</v>
      </c>
      <c r="G170" t="s" s="10">
        <v>0</v>
      </c>
      <c r="H170" s="25">
        <v>45882</v>
      </c>
      <c r="I170" s="9">
        <f ca="1" t="shared" si="2"/>
      </c>
      <c r="J170" s="12"/>
      <c r="K170" s="13"/>
      <c r="L170" s="13"/>
      <c r="M170" s="13"/>
      <c r="N170" s="13"/>
      <c r="O170" s="13"/>
      <c r="P170" s="13"/>
    </row>
    <row r="171" spans="1:16" ht="14.5" x14ac:dyDescent="0.25">
      <c r="A171" s="18">
        <v>165</v>
      </c>
      <c r="B171" s="19">
        <v>70000011</v>
      </c>
      <c r="C171" s="19">
        <v>164112</v>
      </c>
      <c r="D171" t="s" s="9">
        <v>722</v>
      </c>
      <c r="E171" t="s" s="9">
        <v>195</v>
      </c>
      <c r="F171" t="s" s="20">
        <v>147</v>
      </c>
      <c r="G171" t="s" s="10">
        <v>0</v>
      </c>
      <c r="H171" s="25">
        <v>25330</v>
      </c>
      <c r="I171" s="9">
        <f ca="1" t="shared" si="2"/>
      </c>
      <c r="J171" s="12">
        <v>1</v>
      </c>
      <c r="K171" s="13">
        <v>3</v>
      </c>
      <c r="L171" s="13">
        <v>5</v>
      </c>
      <c r="M171" s="13"/>
      <c r="N171" s="13"/>
      <c r="O171" s="13"/>
      <c r="P171" s="13"/>
    </row>
    <row r="172" spans="1:16" ht="14.5" x14ac:dyDescent="0.25">
      <c r="A172" s="18">
        <v>166</v>
      </c>
      <c r="B172" s="19">
        <v>70000011</v>
      </c>
      <c r="C172" s="19">
        <v>164113</v>
      </c>
      <c r="D172" t="s" s="10">
        <v>608</v>
      </c>
      <c r="E172" t="s" s="9">
        <v>198</v>
      </c>
      <c r="F172" t="s" s="3">
        <v>340</v>
      </c>
      <c r="G172" t="s" s="10">
        <v>0</v>
      </c>
      <c r="H172" s="25">
        <v>27325</v>
      </c>
      <c r="I172" s="9">
        <f ca="1" t="shared" si="2"/>
      </c>
      <c r="J172" s="14"/>
      <c r="K172" s="15"/>
      <c r="L172" s="11"/>
      <c r="M172" s="15"/>
      <c r="N172" s="13"/>
      <c r="O172" s="15"/>
      <c r="P172" s="15"/>
    </row>
    <row r="173" spans="1:16" ht="14.5" x14ac:dyDescent="0.25">
      <c r="A173" s="18">
        <v>167</v>
      </c>
      <c r="B173" s="19">
        <v>70000011</v>
      </c>
      <c r="C173" s="19">
        <v>164114</v>
      </c>
      <c r="D173" t="s" s="9">
        <v>192</v>
      </c>
      <c r="E173" t="s" s="9">
        <v>195</v>
      </c>
      <c r="F173" t="s" s="20">
        <v>341</v>
      </c>
      <c r="G173" t="s" s="10">
        <v>0</v>
      </c>
      <c r="H173" s="25">
        <v>38165</v>
      </c>
      <c r="I173" s="10">
        <f ca="1" t="shared" si="2"/>
      </c>
      <c r="J173" s="12"/>
      <c r="K173" s="13"/>
      <c r="L173" s="13"/>
      <c r="M173" s="13"/>
      <c r="N173" s="13"/>
      <c r="O173" s="13"/>
      <c r="P173" s="13"/>
    </row>
    <row r="174" spans="1:16" ht="14.5" x14ac:dyDescent="0.25">
      <c r="A174" s="18">
        <v>168</v>
      </c>
      <c r="B174" s="19">
        <v>70000011</v>
      </c>
      <c r="C174" s="19">
        <v>164115</v>
      </c>
      <c r="D174" t="s" s="10">
        <v>192</v>
      </c>
      <c r="E174" t="s" s="9">
        <v>195</v>
      </c>
      <c r="F174" t="s" s="3">
        <v>342</v>
      </c>
      <c r="G174" t="s" s="10">
        <v>0</v>
      </c>
      <c r="H174" s="25">
        <v>38165</v>
      </c>
      <c r="I174" s="9">
        <f ca="1" t="shared" si="2"/>
      </c>
      <c r="J174" s="12"/>
      <c r="K174" s="13"/>
      <c r="L174" s="11"/>
      <c r="M174" s="13"/>
      <c r="N174" s="13"/>
      <c r="O174" s="13"/>
      <c r="P174" s="13"/>
    </row>
    <row r="175" spans="1:16" ht="14.5" x14ac:dyDescent="0.25">
      <c r="A175" s="18">
        <v>169</v>
      </c>
      <c r="B175" s="19">
        <v>70000011</v>
      </c>
      <c r="C175" s="19">
        <v>164116</v>
      </c>
      <c r="D175" t="s" s="10">
        <v>192</v>
      </c>
      <c r="E175" t="s" s="9">
        <v>195</v>
      </c>
      <c r="F175" t="s" s="3">
        <v>343</v>
      </c>
      <c r="G175" t="s" s="10">
        <v>0</v>
      </c>
      <c r="H175" s="25">
        <v>38165</v>
      </c>
      <c r="I175" s="9">
        <f ca="1" t="shared" si="2"/>
      </c>
      <c r="J175" s="12"/>
      <c r="K175" s="13"/>
      <c r="L175" s="11"/>
      <c r="M175" s="13"/>
      <c r="N175" s="13"/>
      <c r="O175" s="13"/>
      <c r="P175" s="13"/>
    </row>
    <row r="176" spans="1:16" ht="14.5" x14ac:dyDescent="0.25">
      <c r="A176" s="18">
        <v>170</v>
      </c>
      <c r="B176" s="19">
        <v>70000024</v>
      </c>
      <c r="C176" s="19">
        <v>164117</v>
      </c>
      <c r="D176" t="s" s="10">
        <v>722</v>
      </c>
      <c r="E176" t="s" s="9">
        <v>195</v>
      </c>
      <c r="F176" t="s" s="3">
        <v>65</v>
      </c>
      <c r="G176" t="s" s="10">
        <v>0</v>
      </c>
      <c r="H176" s="25">
        <v>23836</v>
      </c>
      <c r="I176" s="9">
        <f ca="1" t="shared" si="2"/>
      </c>
      <c r="J176" s="14">
        <v>1</v>
      </c>
      <c r="K176" s="11">
        <v>0</v>
      </c>
      <c r="L176" s="11">
        <v>2</v>
      </c>
      <c r="M176" s="11"/>
      <c r="N176" s="103"/>
      <c r="O176" s="11"/>
      <c r="P176" s="11"/>
    </row>
    <row r="177" spans="1:16" ht="14.5" x14ac:dyDescent="0.25">
      <c r="A177" s="18">
        <v>171</v>
      </c>
      <c r="B177" s="19">
        <v>70000024</v>
      </c>
      <c r="C177" s="19">
        <v>164118</v>
      </c>
      <c r="D177" t="s" s="9">
        <v>608</v>
      </c>
      <c r="E177" t="s" s="9">
        <v>198</v>
      </c>
      <c r="F177" t="s" s="20">
        <v>344</v>
      </c>
      <c r="G177" t="s" s="10">
        <v>0</v>
      </c>
      <c r="H177" s="25">
        <v>28486</v>
      </c>
      <c r="I177" s="9">
        <f ca="1" t="shared" si="2"/>
      </c>
      <c r="J177" s="12"/>
      <c r="K177" s="13"/>
      <c r="L177" s="13"/>
      <c r="M177" s="13"/>
      <c r="N177" s="13"/>
      <c r="O177" s="13"/>
      <c r="P177" s="13"/>
    </row>
    <row r="178" spans="1:16" ht="14.5" x14ac:dyDescent="0.25">
      <c r="A178" s="18">
        <v>172</v>
      </c>
      <c r="B178" s="19">
        <v>70000187</v>
      </c>
      <c r="C178" s="19">
        <v>164119</v>
      </c>
      <c r="D178" t="s" s="9">
        <v>722</v>
      </c>
      <c r="E178" t="s" s="9">
        <v>195</v>
      </c>
      <c r="F178" t="s" s="20">
        <v>83</v>
      </c>
      <c r="G178" t="s" s="10">
        <v>177</v>
      </c>
      <c r="H178" s="25">
        <v>31685</v>
      </c>
      <c r="I178" s="9">
        <f ca="1" t="shared" si="2"/>
      </c>
      <c r="J178" s="12">
        <v>0</v>
      </c>
      <c r="K178" s="13">
        <v>0</v>
      </c>
      <c r="L178" s="13">
        <v>1</v>
      </c>
      <c r="M178" s="13"/>
      <c r="N178" s="13"/>
      <c r="O178" s="13"/>
      <c r="P178" s="13"/>
    </row>
    <row r="179" spans="1:16" ht="14.5" x14ac:dyDescent="0.25">
      <c r="A179" s="18">
        <v>173</v>
      </c>
      <c r="B179" s="19">
        <v>70000208</v>
      </c>
      <c r="C179" s="19">
        <v>164120</v>
      </c>
      <c r="D179" t="s" s="9">
        <v>722</v>
      </c>
      <c r="E179" t="s" s="9">
        <v>195</v>
      </c>
      <c r="F179" t="s" s="20">
        <v>51</v>
      </c>
      <c r="G179" t="s" s="10">
        <v>177</v>
      </c>
      <c r="H179" s="25">
        <v>33139</v>
      </c>
      <c r="I179" s="9">
        <f ca="1" t="shared" si="2"/>
      </c>
      <c r="J179" s="12">
        <v>0</v>
      </c>
      <c r="K179" s="13">
        <v>0</v>
      </c>
      <c r="L179" s="13">
        <v>1</v>
      </c>
      <c r="M179" s="13"/>
      <c r="N179" s="13"/>
      <c r="O179" s="13"/>
      <c r="P179" s="13"/>
    </row>
    <row r="180" spans="1:16" ht="14.5" x14ac:dyDescent="0.25">
      <c r="A180" s="18">
        <v>174</v>
      </c>
      <c r="B180" s="19">
        <v>70000171</v>
      </c>
      <c r="C180" s="19">
        <v>164121</v>
      </c>
      <c r="D180" t="s" s="10">
        <v>722</v>
      </c>
      <c r="E180" t="s" s="9">
        <v>195</v>
      </c>
      <c r="F180" t="s" s="3">
        <v>126</v>
      </c>
      <c r="G180" t="s" s="10">
        <v>0</v>
      </c>
      <c r="H180" s="25">
        <v>32111</v>
      </c>
      <c r="I180" s="9">
        <f ca="1" t="shared" si="2"/>
      </c>
      <c r="J180" s="14">
        <v>1</v>
      </c>
      <c r="K180" s="11">
        <v>2</v>
      </c>
      <c r="L180" s="11">
        <v>4</v>
      </c>
      <c r="M180" s="11"/>
      <c r="N180" s="103"/>
      <c r="O180" s="11"/>
      <c r="P180" s="11"/>
    </row>
    <row r="181" spans="1:16" ht="14.5" x14ac:dyDescent="0.25">
      <c r="A181" s="18">
        <v>175</v>
      </c>
      <c r="B181" s="19">
        <v>70000171</v>
      </c>
      <c r="C181" s="19">
        <v>167739</v>
      </c>
      <c r="D181" t="s" s="9">
        <v>608</v>
      </c>
      <c r="E181" t="s" s="9">
        <v>198</v>
      </c>
      <c r="F181" t="s" s="20">
        <v>345</v>
      </c>
      <c r="G181" t="s" s="10">
        <v>0</v>
      </c>
      <c r="H181" s="25">
        <v>33801</v>
      </c>
      <c r="I181" s="10">
        <f ca="1" t="shared" si="2"/>
      </c>
      <c r="J181" s="12"/>
      <c r="K181" s="13"/>
      <c r="L181" s="13"/>
      <c r="M181" s="13"/>
      <c r="N181" s="13"/>
      <c r="O181" s="13"/>
      <c r="P181" s="13"/>
    </row>
    <row r="182" spans="1:16" ht="14.5" x14ac:dyDescent="0.25">
      <c r="A182" s="18">
        <v>176</v>
      </c>
      <c r="B182" s="19">
        <v>70000171</v>
      </c>
      <c r="C182" s="19">
        <v>171298</v>
      </c>
      <c r="D182" t="s" s="9">
        <v>192</v>
      </c>
      <c r="E182" t="s" s="9">
        <v>198</v>
      </c>
      <c r="F182" t="s" s="20">
        <v>346</v>
      </c>
      <c r="G182" t="s" s="10">
        <v>0</v>
      </c>
      <c r="H182" s="25">
        <v>45378</v>
      </c>
      <c r="I182" s="9">
        <f ca="1" t="shared" si="2"/>
      </c>
      <c r="J182" s="12"/>
      <c r="K182" s="13"/>
      <c r="L182" s="13"/>
      <c r="M182" s="13"/>
      <c r="N182" s="13"/>
      <c r="O182" s="13"/>
      <c r="P182" s="13"/>
    </row>
    <row r="183" spans="1:16" ht="14.5" x14ac:dyDescent="0.25">
      <c r="A183" s="18">
        <v>177</v>
      </c>
      <c r="B183" s="19">
        <v>70000171</v>
      </c>
      <c r="C183" s="19">
        <v>175466</v>
      </c>
      <c r="D183" t="s" s="9">
        <v>192</v>
      </c>
      <c r="E183" t="s" s="9">
        <v>198</v>
      </c>
      <c r="F183" t="s" s="20">
        <v>347</v>
      </c>
      <c r="G183" t="s" s="10">
        <v>0</v>
      </c>
      <c r="H183" s="25">
        <v>45884</v>
      </c>
      <c r="I183" s="9">
        <f ca="1" t="shared" si="2"/>
      </c>
      <c r="J183" s="12"/>
      <c r="K183" s="13"/>
      <c r="L183" s="13"/>
      <c r="M183" s="13"/>
      <c r="N183" s="13"/>
      <c r="O183" s="13"/>
      <c r="P183" s="13"/>
    </row>
    <row r="184" spans="1:16" ht="14.5" x14ac:dyDescent="0.25">
      <c r="A184" s="18">
        <v>178</v>
      </c>
      <c r="B184" s="19">
        <v>70000013</v>
      </c>
      <c r="C184" s="19">
        <v>164122</v>
      </c>
      <c r="D184" t="s" s="9">
        <v>722</v>
      </c>
      <c r="E184" t="s" s="9">
        <v>195</v>
      </c>
      <c r="F184" t="s" s="20">
        <v>91</v>
      </c>
      <c r="G184" t="s" s="10">
        <v>0</v>
      </c>
      <c r="H184" s="25">
        <v>30277</v>
      </c>
      <c r="I184" s="9">
        <f ca="1" t="shared" si="2"/>
      </c>
      <c r="J184" s="12">
        <v>1</v>
      </c>
      <c r="K184" s="13">
        <v>5</v>
      </c>
      <c r="L184" s="13">
        <v>7</v>
      </c>
      <c r="M184" s="13"/>
      <c r="N184" s="13"/>
      <c r="O184" s="13"/>
      <c r="P184" s="13"/>
    </row>
    <row r="185" spans="1:16" ht="14.5" x14ac:dyDescent="0.25">
      <c r="A185" s="18">
        <v>179</v>
      </c>
      <c r="B185" s="19">
        <v>70000013</v>
      </c>
      <c r="C185" s="19">
        <v>164123</v>
      </c>
      <c r="D185" t="s" s="9">
        <v>608</v>
      </c>
      <c r="E185" t="s" s="9">
        <v>198</v>
      </c>
      <c r="F185" t="s" s="20">
        <v>348</v>
      </c>
      <c r="G185" t="s" s="10">
        <v>0</v>
      </c>
      <c r="H185" s="25">
        <v>30779</v>
      </c>
      <c r="I185" s="9">
        <f ca="1" t="shared" si="2"/>
      </c>
      <c r="J185" s="12"/>
      <c r="K185" s="13"/>
      <c r="L185" s="13"/>
      <c r="M185" s="13"/>
      <c r="N185" s="13"/>
      <c r="O185" s="13"/>
      <c r="P185" s="13"/>
    </row>
    <row r="186" spans="1:16" ht="14.5" x14ac:dyDescent="0.25">
      <c r="A186" s="18">
        <v>180</v>
      </c>
      <c r="B186" s="19">
        <v>70000013</v>
      </c>
      <c r="C186" s="19">
        <v>164124</v>
      </c>
      <c r="D186" t="s" s="9">
        <v>192</v>
      </c>
      <c r="E186" t="s" s="9">
        <v>198</v>
      </c>
      <c r="F186" t="s" s="20">
        <v>349</v>
      </c>
      <c r="G186" t="s" s="10">
        <v>0</v>
      </c>
      <c r="H186" s="25">
        <v>41374</v>
      </c>
      <c r="I186" s="9">
        <f ca="1" t="shared" si="2"/>
      </c>
      <c r="J186" s="12"/>
      <c r="K186" s="13"/>
      <c r="L186" s="13"/>
      <c r="M186" s="13"/>
      <c r="N186" s="13"/>
      <c r="O186" s="13"/>
      <c r="P186" s="13"/>
    </row>
    <row r="187" spans="1:16" ht="14.5" x14ac:dyDescent="0.25">
      <c r="A187" s="18">
        <v>181</v>
      </c>
      <c r="B187" s="19">
        <v>70000013</v>
      </c>
      <c r="C187" s="19">
        <v>164125</v>
      </c>
      <c r="D187" t="s" s="10">
        <v>192</v>
      </c>
      <c r="E187" t="s" s="9">
        <v>198</v>
      </c>
      <c r="F187" t="s" s="3">
        <v>350</v>
      </c>
      <c r="G187" t="s" s="10">
        <v>0</v>
      </c>
      <c r="H187" s="25">
        <v>42706</v>
      </c>
      <c r="I187" s="9">
        <f ca="1" t="shared" si="2"/>
      </c>
      <c r="J187" s="14"/>
      <c r="K187" s="15"/>
      <c r="L187" s="11"/>
      <c r="M187" s="13"/>
      <c r="N187" s="13"/>
      <c r="O187" s="13"/>
      <c r="P187" s="13"/>
    </row>
    <row r="188" spans="1:16" ht="14.5" x14ac:dyDescent="0.25">
      <c r="A188" s="18">
        <v>182</v>
      </c>
      <c r="B188" s="19">
        <v>70000013</v>
      </c>
      <c r="C188" s="19">
        <v>164126</v>
      </c>
      <c r="D188" t="s" s="9">
        <v>192</v>
      </c>
      <c r="E188" t="s" s="9">
        <v>198</v>
      </c>
      <c r="F188" t="s" s="20">
        <v>726</v>
      </c>
      <c r="G188" t="s" s="10">
        <v>0</v>
      </c>
      <c r="H188" s="25">
        <v>43111</v>
      </c>
      <c r="I188" s="9">
        <f ca="1" t="shared" si="2"/>
      </c>
      <c r="J188" s="12"/>
      <c r="K188" s="13"/>
      <c r="L188" s="13"/>
      <c r="M188" s="13"/>
      <c r="N188" s="13"/>
      <c r="O188" s="13"/>
      <c r="P188" s="13"/>
    </row>
    <row r="189" spans="1:16" ht="14.5" x14ac:dyDescent="0.25">
      <c r="A189" s="18">
        <v>183</v>
      </c>
      <c r="B189" s="19">
        <v>70000013</v>
      </c>
      <c r="C189" s="19">
        <v>164127</v>
      </c>
      <c r="D189" t="s" s="10">
        <v>192</v>
      </c>
      <c r="E189" t="s" s="9">
        <v>198</v>
      </c>
      <c r="F189" t="s" s="3">
        <v>351</v>
      </c>
      <c r="G189" t="s" s="10">
        <v>0</v>
      </c>
      <c r="H189" s="25">
        <v>44128</v>
      </c>
      <c r="I189" s="9">
        <f ca="1" t="shared" si="2"/>
      </c>
      <c r="J189" s="14"/>
      <c r="K189" s="11"/>
      <c r="L189" s="11"/>
      <c r="M189" s="11"/>
      <c r="N189" s="103"/>
      <c r="O189" s="11"/>
      <c r="P189" s="11"/>
    </row>
    <row r="190" spans="1:16" ht="14.5" x14ac:dyDescent="0.25">
      <c r="A190" s="18">
        <v>184</v>
      </c>
      <c r="B190" s="19">
        <v>70000013</v>
      </c>
      <c r="C190" s="19">
        <v>170591</v>
      </c>
      <c r="D190" t="s" s="9">
        <v>192</v>
      </c>
      <c r="E190" t="s" s="9">
        <v>195</v>
      </c>
      <c r="F190" t="s" s="20">
        <v>352</v>
      </c>
      <c r="G190" t="s" s="10">
        <v>0</v>
      </c>
      <c r="H190" s="25">
        <v>45195</v>
      </c>
      <c r="I190" s="9">
        <f ca="1" t="shared" si="2"/>
      </c>
      <c r="J190" s="12"/>
      <c r="K190" s="13"/>
      <c r="L190" s="13"/>
      <c r="M190" s="13"/>
      <c r="N190" s="13"/>
      <c r="O190" s="13"/>
      <c r="P190" s="13"/>
    </row>
    <row r="191" spans="1:16" ht="14.5" x14ac:dyDescent="0.25">
      <c r="A191" s="18">
        <v>185</v>
      </c>
      <c r="B191" s="19">
        <v>70000137</v>
      </c>
      <c r="C191" s="19">
        <v>164128</v>
      </c>
      <c r="D191" t="s" s="9">
        <v>722</v>
      </c>
      <c r="E191" t="s" s="9">
        <v>195</v>
      </c>
      <c r="F191" t="s" s="20">
        <v>79</v>
      </c>
      <c r="G191" t="s" s="10">
        <v>0</v>
      </c>
      <c r="H191" s="25">
        <v>31303</v>
      </c>
      <c r="I191" s="9">
        <f ca="1" t="shared" si="2"/>
      </c>
      <c r="J191" s="12">
        <v>1</v>
      </c>
      <c r="K191" s="13">
        <v>0</v>
      </c>
      <c r="L191" s="13">
        <v>2</v>
      </c>
      <c r="M191" s="13"/>
      <c r="N191" s="13"/>
      <c r="O191" s="13"/>
      <c r="P191" s="13"/>
    </row>
    <row r="192" spans="1:16" ht="14.5" x14ac:dyDescent="0.25">
      <c r="A192" s="18">
        <v>186</v>
      </c>
      <c r="B192" s="19">
        <v>70000137</v>
      </c>
      <c r="C192" s="19">
        <v>172069</v>
      </c>
      <c r="D192" t="s" s="9">
        <v>608</v>
      </c>
      <c r="E192" t="s" s="9">
        <v>198</v>
      </c>
      <c r="F192" t="s" s="20">
        <v>353</v>
      </c>
      <c r="G192" t="s" s="10">
        <v>0</v>
      </c>
      <c r="H192" s="25">
        <v>34674</v>
      </c>
      <c r="I192" s="9">
        <f ca="1" t="shared" si="2"/>
      </c>
      <c r="J192" s="12"/>
      <c r="K192" s="13"/>
      <c r="L192" s="13"/>
      <c r="M192" s="13"/>
      <c r="N192" s="13"/>
      <c r="O192" s="13"/>
      <c r="P192" s="13"/>
    </row>
    <row r="193" spans="1:16" ht="14.5" x14ac:dyDescent="0.25">
      <c r="A193" s="18">
        <v>187</v>
      </c>
      <c r="B193" s="19">
        <v>70000021</v>
      </c>
      <c r="C193" s="19">
        <v>164129</v>
      </c>
      <c r="D193" t="s" s="10">
        <v>722</v>
      </c>
      <c r="E193" t="s" s="9">
        <v>198</v>
      </c>
      <c r="F193" t="s" s="3">
        <v>63</v>
      </c>
      <c r="G193" t="s" s="10">
        <v>177</v>
      </c>
      <c r="H193" s="25">
        <v>30372</v>
      </c>
      <c r="I193" s="9">
        <f ca="1" t="shared" si="2"/>
      </c>
      <c r="J193" s="14">
        <v>1</v>
      </c>
      <c r="K193" s="11">
        <v>2</v>
      </c>
      <c r="L193" s="11">
        <v>4</v>
      </c>
      <c r="M193" s="11"/>
      <c r="N193" s="103"/>
      <c r="O193" s="11"/>
      <c r="P193" s="11"/>
    </row>
    <row r="194" spans="1:16" ht="14.5" x14ac:dyDescent="0.25">
      <c r="A194" s="18">
        <v>188</v>
      </c>
      <c r="B194" s="19">
        <v>70000021</v>
      </c>
      <c r="C194" s="19">
        <v>164130</v>
      </c>
      <c r="D194" t="s" s="9">
        <v>608</v>
      </c>
      <c r="E194" t="s" s="9">
        <v>195</v>
      </c>
      <c r="F194" t="s" s="20">
        <v>354</v>
      </c>
      <c r="G194" t="s" s="10">
        <v>177</v>
      </c>
      <c r="H194" s="25">
        <v>30415</v>
      </c>
      <c r="I194" s="10">
        <f ca="1" t="shared" si="2"/>
      </c>
      <c r="J194" s="12"/>
      <c r="K194" s="13"/>
      <c r="L194" s="13"/>
      <c r="M194" s="13"/>
      <c r="N194" s="13"/>
      <c r="O194" s="13"/>
      <c r="P194" s="13"/>
    </row>
    <row r="195" spans="1:16" ht="14.5" x14ac:dyDescent="0.25">
      <c r="A195" s="18">
        <v>189</v>
      </c>
      <c r="B195" s="19">
        <v>70000021</v>
      </c>
      <c r="C195" s="19">
        <v>164131</v>
      </c>
      <c r="D195" t="s" s="9">
        <v>192</v>
      </c>
      <c r="E195" t="s" s="9">
        <v>195</v>
      </c>
      <c r="F195" t="s" s="20">
        <v>355</v>
      </c>
      <c r="G195" t="s" s="10">
        <v>177</v>
      </c>
      <c r="H195" s="25">
        <v>42834</v>
      </c>
      <c r="I195" s="9">
        <f ca="1" t="shared" ref="I195:I258" si="3">DATEDIF(H195,TODAY(),"Y")</f>
      </c>
      <c r="J195" s="12"/>
      <c r="K195" s="13"/>
      <c r="L195" s="13"/>
      <c r="M195" s="13"/>
      <c r="N195" s="13"/>
      <c r="O195" s="13"/>
      <c r="P195" s="13"/>
    </row>
    <row r="196" spans="1:16" ht="14.5" x14ac:dyDescent="0.25">
      <c r="A196" s="18">
        <v>190</v>
      </c>
      <c r="B196" s="19">
        <v>70000021</v>
      </c>
      <c r="C196" s="19">
        <v>164132</v>
      </c>
      <c r="D196" t="s" s="9">
        <v>192</v>
      </c>
      <c r="E196" t="s" s="9">
        <v>198</v>
      </c>
      <c r="F196" t="s" s="20">
        <v>356</v>
      </c>
      <c r="G196" t="s" s="10">
        <v>177</v>
      </c>
      <c r="H196" s="25">
        <v>43202</v>
      </c>
      <c r="I196" s="9">
        <f ca="1" t="shared" si="3"/>
      </c>
      <c r="J196" s="12"/>
      <c r="K196" s="13"/>
      <c r="L196" s="13"/>
      <c r="M196" s="13"/>
      <c r="N196" s="13"/>
      <c r="O196" s="13"/>
      <c r="P196" s="13"/>
    </row>
    <row r="197" spans="1:16" ht="14.5" x14ac:dyDescent="0.25">
      <c r="A197" s="18">
        <v>191</v>
      </c>
      <c r="B197" s="19">
        <v>70000124</v>
      </c>
      <c r="C197" s="19">
        <v>164133</v>
      </c>
      <c r="D197" t="s" s="9">
        <v>722</v>
      </c>
      <c r="E197" t="s" s="9">
        <v>195</v>
      </c>
      <c r="F197" t="s" s="20">
        <v>96</v>
      </c>
      <c r="G197" t="s" s="10">
        <v>0</v>
      </c>
      <c r="H197" s="25">
        <v>28108</v>
      </c>
      <c r="I197" s="9">
        <f ca="1" t="shared" si="3"/>
      </c>
      <c r="J197" s="12">
        <v>1</v>
      </c>
      <c r="K197" s="13">
        <v>5</v>
      </c>
      <c r="L197" s="13">
        <v>7</v>
      </c>
      <c r="M197" s="13"/>
      <c r="N197" s="13"/>
      <c r="O197" s="13"/>
      <c r="P197" s="13"/>
    </row>
    <row r="198" spans="1:16" ht="14.5" x14ac:dyDescent="0.25">
      <c r="A198" s="18">
        <v>192</v>
      </c>
      <c r="B198" s="19">
        <v>70000124</v>
      </c>
      <c r="C198" s="19">
        <v>164134</v>
      </c>
      <c r="D198" t="s" s="9">
        <v>608</v>
      </c>
      <c r="E198" t="s" s="9">
        <v>198</v>
      </c>
      <c r="F198" t="s" s="20">
        <v>357</v>
      </c>
      <c r="G198" t="s" s="10">
        <v>0</v>
      </c>
      <c r="H198" s="25">
        <v>30543</v>
      </c>
      <c r="I198" s="9">
        <f ca="1" t="shared" si="3"/>
      </c>
      <c r="J198" s="12"/>
      <c r="K198" s="13"/>
      <c r="L198" s="13"/>
      <c r="M198" s="13"/>
      <c r="N198" s="13"/>
      <c r="O198" s="13"/>
      <c r="P198" s="13"/>
    </row>
    <row r="199" spans="1:16" ht="14.5" x14ac:dyDescent="0.25">
      <c r="A199" s="18">
        <v>193</v>
      </c>
      <c r="B199" s="19">
        <v>70000124</v>
      </c>
      <c r="C199" s="19">
        <v>164135</v>
      </c>
      <c r="D199" t="s" s="9">
        <v>192</v>
      </c>
      <c r="E199" t="s" s="9">
        <v>195</v>
      </c>
      <c r="F199" t="s" s="20">
        <v>358</v>
      </c>
      <c r="G199" t="s" s="10">
        <v>0</v>
      </c>
      <c r="H199" s="25">
        <v>38820</v>
      </c>
      <c r="I199" s="9">
        <f ca="1" t="shared" si="3"/>
      </c>
      <c r="J199" s="12"/>
      <c r="K199" s="13"/>
      <c r="L199" s="13"/>
      <c r="M199" s="13"/>
      <c r="N199" s="13"/>
      <c r="O199" s="13"/>
      <c r="P199" s="13"/>
    </row>
    <row r="200" spans="1:16" ht="14.5" x14ac:dyDescent="0.25">
      <c r="A200" s="18">
        <v>194</v>
      </c>
      <c r="B200" s="19">
        <v>70000124</v>
      </c>
      <c r="C200" s="19">
        <v>164136</v>
      </c>
      <c r="D200" t="s" s="10">
        <v>192</v>
      </c>
      <c r="E200" t="s" s="9">
        <v>195</v>
      </c>
      <c r="F200" t="s" s="3">
        <v>359</v>
      </c>
      <c r="G200" t="s" s="10">
        <v>0</v>
      </c>
      <c r="H200" s="25">
        <v>39294</v>
      </c>
      <c r="I200" s="9">
        <f ca="1" t="shared" si="3"/>
      </c>
      <c r="J200" s="14"/>
      <c r="K200" s="11"/>
      <c r="L200" s="11"/>
      <c r="M200" s="11"/>
      <c r="N200" s="103"/>
      <c r="O200" s="11"/>
      <c r="P200" s="11"/>
    </row>
    <row r="201" spans="1:16" ht="14.5" x14ac:dyDescent="0.25">
      <c r="A201" s="18">
        <v>195</v>
      </c>
      <c r="B201" s="19">
        <v>70000124</v>
      </c>
      <c r="C201" s="19">
        <v>164137</v>
      </c>
      <c r="D201" t="s" s="9">
        <v>192</v>
      </c>
      <c r="E201" t="s" s="9">
        <v>198</v>
      </c>
      <c r="F201" t="s" s="20">
        <v>360</v>
      </c>
      <c r="G201" t="s" s="10">
        <v>0</v>
      </c>
      <c r="H201" s="25">
        <v>40579</v>
      </c>
      <c r="I201" s="9">
        <f ca="1" t="shared" si="3"/>
      </c>
      <c r="J201" s="12"/>
      <c r="K201" s="13"/>
      <c r="L201" s="13"/>
      <c r="M201" s="13"/>
      <c r="N201" s="13"/>
      <c r="O201" s="13"/>
      <c r="P201" s="13"/>
    </row>
    <row r="202" spans="1:16" ht="14.5" x14ac:dyDescent="0.25">
      <c r="A202" s="18">
        <v>196</v>
      </c>
      <c r="B202" s="19">
        <v>70000124</v>
      </c>
      <c r="C202" s="19">
        <v>164138</v>
      </c>
      <c r="D202" t="s" s="9">
        <v>192</v>
      </c>
      <c r="E202" t="s" s="9">
        <v>198</v>
      </c>
      <c r="F202" t="s" s="20">
        <v>361</v>
      </c>
      <c r="G202" t="s" s="10">
        <v>0</v>
      </c>
      <c r="H202" s="25">
        <v>42555</v>
      </c>
      <c r="I202" s="9">
        <f ca="1" t="shared" si="3"/>
      </c>
      <c r="J202" s="12"/>
      <c r="K202" s="13"/>
      <c r="L202" s="13"/>
      <c r="M202" s="13"/>
      <c r="N202" s="13"/>
      <c r="O202" s="13"/>
      <c r="P202" s="13"/>
    </row>
    <row r="203" spans="1:16" ht="14.5" x14ac:dyDescent="0.25">
      <c r="A203" s="18">
        <v>197</v>
      </c>
      <c r="B203" s="19">
        <v>70000124</v>
      </c>
      <c r="C203" s="19">
        <v>164139</v>
      </c>
      <c r="D203" t="s" s="9">
        <v>192</v>
      </c>
      <c r="E203" t="s" s="9">
        <v>195</v>
      </c>
      <c r="F203" t="s" s="20">
        <v>362</v>
      </c>
      <c r="G203" t="s" s="10">
        <v>0</v>
      </c>
      <c r="H203" s="25">
        <v>43869</v>
      </c>
      <c r="I203" s="9">
        <f ca="1" t="shared" si="3"/>
      </c>
      <c r="J203" s="12"/>
      <c r="K203" s="13"/>
      <c r="L203" s="13"/>
      <c r="M203" s="13"/>
      <c r="N203" s="13"/>
      <c r="O203" s="13"/>
      <c r="P203" s="13"/>
    </row>
    <row r="204" spans="1:16" ht="14.5" x14ac:dyDescent="0.25">
      <c r="A204" s="18">
        <v>198</v>
      </c>
      <c r="B204" s="19">
        <v>70000100</v>
      </c>
      <c r="C204" s="19">
        <v>164145</v>
      </c>
      <c r="D204" t="s" s="9">
        <v>722</v>
      </c>
      <c r="E204" t="s" s="9">
        <v>195</v>
      </c>
      <c r="F204" t="s" s="20">
        <v>154</v>
      </c>
      <c r="G204" t="s" s="10">
        <v>177</v>
      </c>
      <c r="H204" s="25">
        <v>27917</v>
      </c>
      <c r="I204" s="9">
        <f ca="1" t="shared" si="3"/>
      </c>
      <c r="J204" s="12">
        <v>1</v>
      </c>
      <c r="K204" s="13">
        <v>8</v>
      </c>
      <c r="L204" s="13">
        <v>10</v>
      </c>
      <c r="M204" s="13"/>
      <c r="N204" s="13"/>
      <c r="O204" s="13"/>
      <c r="P204" s="13"/>
    </row>
    <row r="205" spans="1:16" ht="14.5" x14ac:dyDescent="0.25">
      <c r="A205" s="18">
        <v>199</v>
      </c>
      <c r="B205" s="19">
        <v>70000100</v>
      </c>
      <c r="C205" s="19">
        <v>164146</v>
      </c>
      <c r="D205" t="s" s="9">
        <v>608</v>
      </c>
      <c r="E205" t="s" s="9">
        <v>198</v>
      </c>
      <c r="F205" t="s" s="20">
        <v>363</v>
      </c>
      <c r="G205" t="s" s="10">
        <v>177</v>
      </c>
      <c r="H205" s="25">
        <v>29414</v>
      </c>
      <c r="I205" s="9">
        <f ca="1" t="shared" si="3"/>
      </c>
      <c r="J205" s="12"/>
      <c r="K205" s="13"/>
      <c r="L205" s="13"/>
      <c r="M205" s="13"/>
      <c r="N205" s="13"/>
      <c r="O205" s="13"/>
      <c r="P205" s="13"/>
    </row>
    <row r="206" spans="1:16" ht="14.5" x14ac:dyDescent="0.25">
      <c r="A206" s="18">
        <v>200</v>
      </c>
      <c r="B206" s="19">
        <v>70000100</v>
      </c>
      <c r="C206" s="19">
        <v>164147</v>
      </c>
      <c r="D206" t="s" s="9">
        <v>192</v>
      </c>
      <c r="E206" t="s" s="9">
        <v>198</v>
      </c>
      <c r="F206" t="s" s="20">
        <v>364</v>
      </c>
      <c r="G206" t="s" s="10">
        <v>177</v>
      </c>
      <c r="H206" s="25">
        <v>38172</v>
      </c>
      <c r="I206" s="9">
        <f ca="1" t="shared" si="3"/>
      </c>
      <c r="J206" s="12"/>
      <c r="K206" s="13"/>
      <c r="L206" s="13"/>
      <c r="M206" s="13"/>
      <c r="N206" s="13"/>
      <c r="O206" s="13"/>
      <c r="P206" s="13"/>
    </row>
    <row r="207" spans="1:16" ht="14.5" x14ac:dyDescent="0.25">
      <c r="A207" s="18">
        <v>201</v>
      </c>
      <c r="B207" s="19">
        <v>70000100</v>
      </c>
      <c r="C207" s="19">
        <v>164148</v>
      </c>
      <c r="D207" t="s" s="9">
        <v>192</v>
      </c>
      <c r="E207" t="s" s="9">
        <v>198</v>
      </c>
      <c r="F207" t="s" s="20">
        <v>365</v>
      </c>
      <c r="G207" t="s" s="10">
        <v>177</v>
      </c>
      <c r="H207" s="25">
        <v>38172</v>
      </c>
      <c r="I207" s="9">
        <f ca="1" t="shared" si="3"/>
      </c>
      <c r="J207" s="12"/>
      <c r="K207" s="13"/>
      <c r="L207" s="13"/>
      <c r="M207" s="13"/>
      <c r="N207" s="13"/>
      <c r="O207" s="13"/>
      <c r="P207" s="13"/>
    </row>
    <row r="208" spans="1:16" ht="14.5" x14ac:dyDescent="0.25">
      <c r="A208" s="18">
        <v>202</v>
      </c>
      <c r="B208" s="19">
        <v>70000100</v>
      </c>
      <c r="C208" s="19">
        <v>164149</v>
      </c>
      <c r="D208" t="s" s="9">
        <v>192</v>
      </c>
      <c r="E208" t="s" s="9">
        <v>198</v>
      </c>
      <c r="F208" t="s" s="20">
        <v>366</v>
      </c>
      <c r="G208" t="s" s="10">
        <v>177</v>
      </c>
      <c r="H208" s="25">
        <v>39149</v>
      </c>
      <c r="I208" s="9">
        <f ca="1" t="shared" si="3"/>
      </c>
      <c r="J208" s="12"/>
      <c r="K208" s="13"/>
      <c r="L208" s="13"/>
      <c r="M208" s="13"/>
      <c r="N208" s="13"/>
      <c r="O208" s="13"/>
      <c r="P208" s="13"/>
    </row>
    <row r="209" spans="1:16" ht="14.5" x14ac:dyDescent="0.25">
      <c r="A209" s="18">
        <v>203</v>
      </c>
      <c r="B209" s="19">
        <v>70000100</v>
      </c>
      <c r="C209" s="19">
        <v>164150</v>
      </c>
      <c r="D209" t="s" s="9">
        <v>192</v>
      </c>
      <c r="E209" t="s" s="9">
        <v>198</v>
      </c>
      <c r="F209" t="s" s="20">
        <v>367</v>
      </c>
      <c r="G209" t="s" s="10">
        <v>177</v>
      </c>
      <c r="H209" s="25">
        <v>40500</v>
      </c>
      <c r="I209" s="9">
        <f ca="1" t="shared" si="3"/>
      </c>
      <c r="J209" s="12"/>
      <c r="K209" s="13"/>
      <c r="L209" s="13"/>
      <c r="M209" s="13"/>
      <c r="N209" s="13"/>
      <c r="O209" s="13"/>
      <c r="P209" s="13"/>
    </row>
    <row r="210" spans="1:16" ht="14.5" x14ac:dyDescent="0.25">
      <c r="A210" s="18">
        <v>204</v>
      </c>
      <c r="B210" s="19">
        <v>70000100</v>
      </c>
      <c r="C210" s="19">
        <v>164151</v>
      </c>
      <c r="D210" t="s" s="10">
        <v>192</v>
      </c>
      <c r="E210" t="s" s="9">
        <v>198</v>
      </c>
      <c r="F210" t="s" s="3">
        <v>368</v>
      </c>
      <c r="G210" t="s" s="10">
        <v>177</v>
      </c>
      <c r="H210" s="25">
        <v>41038</v>
      </c>
      <c r="I210" s="9">
        <f ca="1" t="shared" si="3"/>
      </c>
      <c r="J210" s="14"/>
      <c r="K210" s="11"/>
      <c r="L210" s="11"/>
      <c r="M210" s="11"/>
      <c r="N210" s="103"/>
      <c r="O210" s="11"/>
      <c r="P210" s="11"/>
    </row>
    <row r="211" spans="1:16" ht="14.5" x14ac:dyDescent="0.25">
      <c r="A211" s="18">
        <v>205</v>
      </c>
      <c r="B211" s="19">
        <v>70000100</v>
      </c>
      <c r="C211" s="19">
        <v>164152</v>
      </c>
      <c r="D211" t="s" s="9">
        <v>192</v>
      </c>
      <c r="E211" t="s" s="9">
        <v>198</v>
      </c>
      <c r="F211" t="s" s="20">
        <v>369</v>
      </c>
      <c r="G211" t="s" s="10">
        <v>177</v>
      </c>
      <c r="H211" s="25">
        <v>41814</v>
      </c>
      <c r="I211" s="10">
        <f ca="1" t="shared" si="3"/>
      </c>
      <c r="J211" s="12"/>
      <c r="K211" s="13"/>
      <c r="L211" s="13"/>
      <c r="M211" s="13"/>
      <c r="N211" s="13"/>
      <c r="O211" s="13"/>
      <c r="P211" s="13"/>
    </row>
    <row r="212" spans="1:16" ht="14.5" x14ac:dyDescent="0.25">
      <c r="A212" s="18">
        <v>206</v>
      </c>
      <c r="B212" s="19">
        <v>70000100</v>
      </c>
      <c r="C212" s="19">
        <v>164153</v>
      </c>
      <c r="D212" t="s" s="9">
        <v>192</v>
      </c>
      <c r="E212" t="s" s="9">
        <v>195</v>
      </c>
      <c r="F212" t="s" s="20">
        <v>370</v>
      </c>
      <c r="G212" t="s" s="10">
        <v>177</v>
      </c>
      <c r="H212" s="25">
        <v>42708</v>
      </c>
      <c r="I212" s="9">
        <f ca="1" t="shared" si="3"/>
      </c>
      <c r="J212" s="12"/>
      <c r="K212" s="13"/>
      <c r="L212" s="13"/>
      <c r="M212" s="13"/>
      <c r="N212" s="13"/>
      <c r="O212" s="13"/>
      <c r="P212" s="13"/>
    </row>
    <row r="213" spans="1:16" ht="14.5" x14ac:dyDescent="0.25">
      <c r="A213" s="18">
        <v>207</v>
      </c>
      <c r="B213" s="19">
        <v>70000100</v>
      </c>
      <c r="C213" s="19">
        <v>164618</v>
      </c>
      <c r="D213" t="s" s="9">
        <v>192</v>
      </c>
      <c r="E213" t="s" s="9">
        <v>195</v>
      </c>
      <c r="F213" t="s" s="20">
        <v>371</v>
      </c>
      <c r="G213" t="s" s="10">
        <v>177</v>
      </c>
      <c r="H213" s="25">
        <v>36975</v>
      </c>
      <c r="I213" s="9">
        <f ca="1" t="shared" si="3"/>
      </c>
      <c r="J213" s="12"/>
      <c r="K213" s="13"/>
      <c r="L213" s="13"/>
      <c r="M213" s="13"/>
      <c r="N213" s="13"/>
      <c r="O213" s="13"/>
      <c r="P213" s="13"/>
    </row>
    <row r="214" spans="1:16" ht="14.5" x14ac:dyDescent="0.25">
      <c r="A214" s="18">
        <v>208</v>
      </c>
      <c r="B214" s="19">
        <v>70000096</v>
      </c>
      <c r="C214" s="19">
        <v>164154</v>
      </c>
      <c r="D214" t="s" s="9">
        <v>722</v>
      </c>
      <c r="E214" t="s" s="9">
        <v>195</v>
      </c>
      <c r="F214" t="s" s="20">
        <v>124</v>
      </c>
      <c r="G214" t="s" s="10">
        <v>0</v>
      </c>
      <c r="H214" s="25">
        <v>34280</v>
      </c>
      <c r="I214" s="9">
        <f ca="1" t="shared" si="3"/>
      </c>
      <c r="J214" s="12">
        <v>1</v>
      </c>
      <c r="K214" s="13">
        <v>4</v>
      </c>
      <c r="L214" s="13">
        <v>6</v>
      </c>
      <c r="M214" s="13"/>
      <c r="N214" s="13"/>
      <c r="O214" s="13"/>
      <c r="P214" s="13"/>
    </row>
    <row r="215" spans="1:16" ht="14.5" x14ac:dyDescent="0.25">
      <c r="A215" s="18">
        <v>209</v>
      </c>
      <c r="B215" s="19">
        <v>70000096</v>
      </c>
      <c r="C215" s="19">
        <v>164155</v>
      </c>
      <c r="D215" t="s" s="9">
        <v>608</v>
      </c>
      <c r="E215" t="s" s="9">
        <v>198</v>
      </c>
      <c r="F215" t="s" s="20">
        <v>372</v>
      </c>
      <c r="G215" t="s" s="10">
        <v>0</v>
      </c>
      <c r="H215" s="25">
        <v>31248</v>
      </c>
      <c r="I215" s="9">
        <f ca="1" t="shared" si="3"/>
      </c>
      <c r="J215" s="12"/>
      <c r="K215" s="13"/>
      <c r="L215" s="13"/>
      <c r="M215" s="13"/>
      <c r="N215" s="13"/>
      <c r="O215" s="13"/>
      <c r="P215" s="13"/>
    </row>
    <row r="216" spans="1:16" ht="14.5" x14ac:dyDescent="0.25">
      <c r="A216" s="18">
        <v>210</v>
      </c>
      <c r="B216" s="19">
        <v>70000096</v>
      </c>
      <c r="C216" s="19">
        <v>164156</v>
      </c>
      <c r="D216" t="s" s="10">
        <v>192</v>
      </c>
      <c r="E216" t="s" s="9">
        <v>198</v>
      </c>
      <c r="F216" t="s" s="3">
        <v>373</v>
      </c>
      <c r="G216" t="s" s="10">
        <v>0</v>
      </c>
      <c r="H216" s="25">
        <v>39319</v>
      </c>
      <c r="I216" s="9">
        <f ca="1" t="shared" si="3"/>
      </c>
      <c r="J216" s="14"/>
      <c r="K216" s="11"/>
      <c r="L216" s="11"/>
      <c r="M216" s="11"/>
      <c r="N216" s="103"/>
      <c r="O216" s="11"/>
      <c r="P216" s="11"/>
    </row>
    <row r="217" spans="1:16" ht="14.5" x14ac:dyDescent="0.25">
      <c r="A217" s="18">
        <v>211</v>
      </c>
      <c r="B217" s="19">
        <v>70000096</v>
      </c>
      <c r="C217" s="19">
        <v>164157</v>
      </c>
      <c r="D217" t="s" s="9">
        <v>192</v>
      </c>
      <c r="E217" t="s" s="9">
        <v>198</v>
      </c>
      <c r="F217" t="s" s="20">
        <v>374</v>
      </c>
      <c r="G217" t="s" s="10">
        <v>0</v>
      </c>
      <c r="H217" s="25">
        <v>39859</v>
      </c>
      <c r="I217" s="10">
        <f ca="1" t="shared" si="3"/>
      </c>
      <c r="J217" s="12"/>
      <c r="K217" s="13"/>
      <c r="L217" s="13"/>
      <c r="M217" s="13"/>
      <c r="N217" s="13"/>
      <c r="O217" s="13"/>
      <c r="P217" s="13"/>
    </row>
    <row r="218" spans="1:16" ht="14.5" x14ac:dyDescent="0.25">
      <c r="A218" s="18">
        <v>212</v>
      </c>
      <c r="B218" s="19">
        <v>70000096</v>
      </c>
      <c r="C218" s="19">
        <v>164158</v>
      </c>
      <c r="D218" t="s" s="9">
        <v>192</v>
      </c>
      <c r="E218" t="s" s="9">
        <v>198</v>
      </c>
      <c r="F218" t="s" s="20">
        <v>375</v>
      </c>
      <c r="G218" t="s" s="10">
        <v>0</v>
      </c>
      <c r="H218" s="25">
        <v>41748</v>
      </c>
      <c r="I218" s="9">
        <f ca="1" t="shared" si="3"/>
      </c>
      <c r="J218" s="12"/>
      <c r="K218" s="13"/>
      <c r="L218" s="13"/>
      <c r="M218" s="13"/>
      <c r="N218" s="13"/>
      <c r="O218" s="13"/>
      <c r="P218" s="13"/>
    </row>
    <row r="219" spans="1:16" ht="14.5" x14ac:dyDescent="0.25">
      <c r="A219" s="18">
        <v>213</v>
      </c>
      <c r="B219" s="19">
        <v>70000096</v>
      </c>
      <c r="C219" s="19">
        <v>164159</v>
      </c>
      <c r="D219" t="s" s="9">
        <v>192</v>
      </c>
      <c r="E219" t="s" s="9">
        <v>195</v>
      </c>
      <c r="F219" t="s" s="20">
        <v>376</v>
      </c>
      <c r="G219" t="s" s="10">
        <v>0</v>
      </c>
      <c r="H219" s="25">
        <v>43068</v>
      </c>
      <c r="I219" s="9">
        <f ca="1" t="shared" si="3"/>
      </c>
      <c r="J219" s="12"/>
      <c r="K219" s="13"/>
      <c r="L219" s="13"/>
      <c r="M219" s="13"/>
      <c r="N219" s="13"/>
      <c r="O219" s="13"/>
      <c r="P219" s="13"/>
    </row>
    <row r="220" spans="1:16" ht="14.5" x14ac:dyDescent="0.25">
      <c r="A220" s="18">
        <v>214</v>
      </c>
      <c r="B220" s="19">
        <v>70000102</v>
      </c>
      <c r="C220" s="19">
        <v>164160</v>
      </c>
      <c r="D220" t="s" s="9">
        <v>722</v>
      </c>
      <c r="E220" t="s" s="9">
        <v>195</v>
      </c>
      <c r="F220" t="s" s="20">
        <v>95</v>
      </c>
      <c r="G220" t="s" s="10">
        <v>0</v>
      </c>
      <c r="H220" s="25">
        <v>30322</v>
      </c>
      <c r="I220" s="9">
        <f ca="1" t="shared" si="3"/>
      </c>
      <c r="J220" s="12">
        <v>1</v>
      </c>
      <c r="K220" s="13">
        <v>7</v>
      </c>
      <c r="L220" s="13">
        <v>9</v>
      </c>
      <c r="M220" s="13"/>
      <c r="N220" s="13"/>
      <c r="O220" s="13"/>
      <c r="P220" s="13"/>
    </row>
    <row r="221" spans="1:16" ht="14.5" x14ac:dyDescent="0.25">
      <c r="A221" s="18">
        <v>215</v>
      </c>
      <c r="B221" s="19">
        <v>70000102</v>
      </c>
      <c r="C221" s="19">
        <v>164161</v>
      </c>
      <c r="D221" t="s" s="9">
        <v>608</v>
      </c>
      <c r="E221" t="s" s="9">
        <v>198</v>
      </c>
      <c r="F221" t="s" s="20">
        <v>377</v>
      </c>
      <c r="G221" t="s" s="10">
        <v>0</v>
      </c>
      <c r="H221" s="25">
        <v>33728</v>
      </c>
      <c r="I221" s="9">
        <f ca="1" t="shared" si="3"/>
      </c>
      <c r="J221" s="12"/>
      <c r="K221" s="13"/>
      <c r="L221" s="13"/>
      <c r="M221" s="13"/>
      <c r="N221" s="13"/>
      <c r="O221" s="13"/>
      <c r="P221" s="13"/>
    </row>
    <row r="222" spans="1:16" ht="14.5" x14ac:dyDescent="0.25">
      <c r="A222" s="18">
        <v>216</v>
      </c>
      <c r="B222" s="19">
        <v>70000102</v>
      </c>
      <c r="C222" s="19">
        <v>164162</v>
      </c>
      <c r="D222" t="s" s="9">
        <v>192</v>
      </c>
      <c r="E222" t="s" s="9">
        <v>195</v>
      </c>
      <c r="F222" t="s" s="20">
        <v>378</v>
      </c>
      <c r="G222" t="s" s="10">
        <v>0</v>
      </c>
      <c r="H222" s="25">
        <v>39160</v>
      </c>
      <c r="I222" s="9">
        <f ca="1" t="shared" si="3"/>
      </c>
      <c r="J222" s="12"/>
      <c r="K222" s="13"/>
      <c r="L222" s="13"/>
      <c r="M222" s="13"/>
      <c r="N222" s="13"/>
      <c r="O222" s="13"/>
      <c r="P222" s="13"/>
    </row>
    <row r="223" spans="1:16" ht="14.5" x14ac:dyDescent="0.25">
      <c r="A223" s="18">
        <v>217</v>
      </c>
      <c r="B223" s="19">
        <v>70000102</v>
      </c>
      <c r="C223" s="19">
        <v>164163</v>
      </c>
      <c r="D223" t="s" s="9">
        <v>192</v>
      </c>
      <c r="E223" t="s" s="9">
        <v>198</v>
      </c>
      <c r="F223" t="s" s="20">
        <v>379</v>
      </c>
      <c r="G223" t="s" s="10">
        <v>0</v>
      </c>
      <c r="H223" s="25">
        <v>41365</v>
      </c>
      <c r="I223" s="9">
        <f ca="1" t="shared" si="3"/>
      </c>
      <c r="J223" s="12"/>
      <c r="K223" s="13"/>
      <c r="L223" s="13"/>
      <c r="M223" s="13"/>
      <c r="N223" s="13"/>
      <c r="O223" s="13"/>
      <c r="P223" s="13"/>
    </row>
    <row r="224" spans="1:16" ht="14.5" x14ac:dyDescent="0.25">
      <c r="A224" s="18">
        <v>218</v>
      </c>
      <c r="B224" s="19">
        <v>70000102</v>
      </c>
      <c r="C224" s="19">
        <v>164164</v>
      </c>
      <c r="D224" t="s" s="9">
        <v>192</v>
      </c>
      <c r="E224" t="s" s="9">
        <v>195</v>
      </c>
      <c r="F224" t="s" s="20">
        <v>380</v>
      </c>
      <c r="G224" t="s" s="10">
        <v>0</v>
      </c>
      <c r="H224" s="25">
        <v>42807</v>
      </c>
      <c r="I224" s="9">
        <f ca="1" t="shared" si="3"/>
      </c>
      <c r="J224" s="12"/>
      <c r="K224" s="13"/>
      <c r="L224" s="13"/>
      <c r="M224" s="13"/>
      <c r="N224" s="13"/>
      <c r="O224" s="13"/>
      <c r="P224" s="13"/>
    </row>
    <row r="225" spans="1:16" ht="14.5" x14ac:dyDescent="0.25">
      <c r="A225" s="18">
        <v>219</v>
      </c>
      <c r="B225" s="19">
        <v>70000102</v>
      </c>
      <c r="C225" s="19">
        <v>164165</v>
      </c>
      <c r="D225" t="s" s="10">
        <v>192</v>
      </c>
      <c r="E225" t="s" s="9">
        <v>195</v>
      </c>
      <c r="F225" t="s" s="3">
        <v>381</v>
      </c>
      <c r="G225" t="s" s="10">
        <v>0</v>
      </c>
      <c r="H225" s="25">
        <v>43571</v>
      </c>
      <c r="I225" s="9">
        <f ca="1" t="shared" si="3"/>
      </c>
      <c r="J225" s="14"/>
      <c r="K225" s="11"/>
      <c r="L225" s="11"/>
      <c r="M225" s="11"/>
      <c r="N225" s="103"/>
      <c r="O225" s="11"/>
      <c r="P225" s="11"/>
    </row>
    <row r="226" spans="1:16" ht="14.5" x14ac:dyDescent="0.25">
      <c r="A226" s="18">
        <v>220</v>
      </c>
      <c r="B226" s="19">
        <v>70000102</v>
      </c>
      <c r="C226" s="19">
        <v>164166</v>
      </c>
      <c r="D226" t="s" s="9">
        <v>192</v>
      </c>
      <c r="E226" t="s" s="9">
        <v>195</v>
      </c>
      <c r="F226" t="s" s="20">
        <v>727</v>
      </c>
      <c r="G226" t="s" s="10">
        <v>0</v>
      </c>
      <c r="H226" s="25">
        <v>41093</v>
      </c>
      <c r="I226" s="9">
        <f ca="1" t="shared" si="3"/>
      </c>
      <c r="J226" s="12"/>
      <c r="K226" s="13"/>
      <c r="L226" s="13"/>
      <c r="M226" s="13"/>
      <c r="N226" s="13"/>
      <c r="O226" s="13"/>
      <c r="P226" s="13"/>
    </row>
    <row r="227" spans="1:16" ht="14.5" x14ac:dyDescent="0.25">
      <c r="A227" s="18">
        <v>221</v>
      </c>
      <c r="B227" s="19">
        <v>70000102</v>
      </c>
      <c r="C227" s="19">
        <v>171296</v>
      </c>
      <c r="D227" t="s" s="9">
        <v>192</v>
      </c>
      <c r="E227" t="s" s="9">
        <v>195</v>
      </c>
      <c r="F227" t="s" s="20">
        <v>382</v>
      </c>
      <c r="G227" t="s" s="10">
        <v>0</v>
      </c>
      <c r="H227" s="25">
        <v>45154</v>
      </c>
      <c r="I227" s="9">
        <f ca="1" t="shared" si="3"/>
      </c>
      <c r="J227" s="12"/>
      <c r="K227" s="13"/>
      <c r="L227" s="13"/>
      <c r="M227" s="13"/>
      <c r="N227" s="13"/>
      <c r="O227" s="13"/>
      <c r="P227" s="13"/>
    </row>
    <row r="228" spans="1:16" ht="14.5" x14ac:dyDescent="0.25">
      <c r="A228" s="18">
        <v>222</v>
      </c>
      <c r="B228" s="19">
        <v>70000102</v>
      </c>
      <c r="C228" s="19">
        <v>171297</v>
      </c>
      <c r="D228" t="s" s="9">
        <v>192</v>
      </c>
      <c r="E228" t="s" s="9">
        <v>198</v>
      </c>
      <c r="F228" t="s" s="20">
        <v>383</v>
      </c>
      <c r="G228" t="s" s="10">
        <v>0</v>
      </c>
      <c r="H228" s="25">
        <v>45154</v>
      </c>
      <c r="I228" s="9">
        <f ca="1" t="shared" si="3"/>
      </c>
      <c r="J228" s="12"/>
      <c r="K228" s="13"/>
      <c r="L228" s="13"/>
      <c r="M228" s="13"/>
      <c r="N228" s="13"/>
      <c r="O228" s="13"/>
      <c r="P228" s="13"/>
    </row>
    <row r="229" spans="1:16" ht="14.5" x14ac:dyDescent="0.25">
      <c r="A229" s="18">
        <v>223</v>
      </c>
      <c r="B229" s="19">
        <v>70000057</v>
      </c>
      <c r="C229" s="19">
        <v>164167</v>
      </c>
      <c r="D229" t="s" s="10">
        <v>722</v>
      </c>
      <c r="E229" t="s" s="9">
        <v>195</v>
      </c>
      <c r="F229" t="s" s="3">
        <v>104</v>
      </c>
      <c r="G229" t="s" s="10">
        <v>0</v>
      </c>
      <c r="H229" s="25">
        <v>32768</v>
      </c>
      <c r="I229" s="9">
        <f ca="1" t="shared" si="3"/>
      </c>
      <c r="J229" s="14">
        <v>1</v>
      </c>
      <c r="K229" s="11">
        <v>2</v>
      </c>
      <c r="L229" s="11">
        <v>4</v>
      </c>
      <c r="M229" s="11"/>
      <c r="N229" s="103"/>
      <c r="O229" s="11"/>
      <c r="P229" s="11"/>
    </row>
    <row r="230" spans="1:16" ht="14.5" x14ac:dyDescent="0.25">
      <c r="A230" s="18">
        <v>224</v>
      </c>
      <c r="B230" s="19">
        <v>70000057</v>
      </c>
      <c r="C230" s="19">
        <v>164168</v>
      </c>
      <c r="D230" t="s" s="9">
        <v>192</v>
      </c>
      <c r="E230" t="s" s="9">
        <v>198</v>
      </c>
      <c r="F230" t="s" s="20">
        <v>384</v>
      </c>
      <c r="G230" t="s" s="10">
        <v>0</v>
      </c>
      <c r="H230" s="25">
        <v>41770</v>
      </c>
      <c r="I230" s="9">
        <f ca="1" t="shared" si="3"/>
      </c>
      <c r="J230" s="12"/>
      <c r="K230" s="13"/>
      <c r="L230" s="13"/>
      <c r="M230" s="13"/>
      <c r="N230" s="13"/>
      <c r="O230" s="13"/>
      <c r="P230" s="13"/>
    </row>
    <row r="231" spans="1:16" ht="14.5" x14ac:dyDescent="0.25">
      <c r="A231" s="18">
        <v>225</v>
      </c>
      <c r="B231" s="19">
        <v>70000057</v>
      </c>
      <c r="C231" s="19">
        <v>167516</v>
      </c>
      <c r="D231" t="s" s="9">
        <v>608</v>
      </c>
      <c r="E231" t="s" s="9">
        <v>198</v>
      </c>
      <c r="F231" t="s" s="20">
        <v>385</v>
      </c>
      <c r="G231" t="s" s="10">
        <v>0</v>
      </c>
      <c r="H231" s="25">
        <v>34735</v>
      </c>
      <c r="I231" s="9">
        <f ca="1" t="shared" si="3"/>
      </c>
      <c r="J231" s="12"/>
      <c r="K231" s="13"/>
      <c r="L231" s="13"/>
      <c r="M231" s="13"/>
      <c r="N231" s="13"/>
      <c r="O231" s="13"/>
      <c r="P231" s="13"/>
    </row>
    <row r="232" spans="1:16" ht="14.5" x14ac:dyDescent="0.25">
      <c r="A232" s="18">
        <v>226</v>
      </c>
      <c r="B232" s="19">
        <v>70000057</v>
      </c>
      <c r="C232" s="19">
        <v>170062</v>
      </c>
      <c r="D232" t="s" s="9">
        <v>192</v>
      </c>
      <c r="E232" t="s" s="9">
        <v>198</v>
      </c>
      <c r="F232" t="s" s="20">
        <v>386</v>
      </c>
      <c r="G232" t="s" s="10">
        <v>0</v>
      </c>
      <c r="H232" s="25">
        <v>45148</v>
      </c>
      <c r="I232" s="9">
        <f ca="1" t="shared" si="3"/>
      </c>
      <c r="J232" s="12"/>
      <c r="K232" s="13"/>
      <c r="L232" s="13"/>
      <c r="M232" s="13"/>
      <c r="N232" s="13"/>
      <c r="O232" s="13"/>
      <c r="P232" s="13"/>
    </row>
    <row r="233" spans="1:16" ht="14.5" x14ac:dyDescent="0.25">
      <c r="A233" s="18">
        <v>227</v>
      </c>
      <c r="B233" s="19">
        <v>70000059</v>
      </c>
      <c r="C233" s="19">
        <v>164169</v>
      </c>
      <c r="D233" t="s" s="10">
        <v>722</v>
      </c>
      <c r="E233" t="s" s="9">
        <v>195</v>
      </c>
      <c r="F233" t="s" s="3">
        <v>105</v>
      </c>
      <c r="G233" t="s" s="10">
        <v>0</v>
      </c>
      <c r="H233" s="25">
        <v>31885</v>
      </c>
      <c r="I233" s="9">
        <f ca="1" t="shared" si="3"/>
      </c>
      <c r="J233" s="14">
        <v>1</v>
      </c>
      <c r="K233" s="11">
        <v>2</v>
      </c>
      <c r="L233" s="11">
        <v>4</v>
      </c>
      <c r="M233" s="11"/>
      <c r="N233" s="103"/>
      <c r="O233" s="11"/>
      <c r="P233" s="11"/>
    </row>
    <row r="234" spans="1:16" ht="14.5" x14ac:dyDescent="0.25">
      <c r="A234" s="18">
        <v>228</v>
      </c>
      <c r="B234" s="19">
        <v>70000059</v>
      </c>
      <c r="C234" s="19">
        <v>164170</v>
      </c>
      <c r="D234" t="s" s="9">
        <v>608</v>
      </c>
      <c r="E234" t="s" s="9">
        <v>198</v>
      </c>
      <c r="F234" t="s" s="3">
        <v>387</v>
      </c>
      <c r="G234" t="s" s="10">
        <v>0</v>
      </c>
      <c r="H234" s="25">
        <v>34393</v>
      </c>
      <c r="I234" s="10">
        <f ca="1" t="shared" si="3"/>
      </c>
      <c r="J234" s="12"/>
      <c r="K234" s="13"/>
      <c r="L234" s="13"/>
      <c r="M234" s="13"/>
      <c r="N234" s="13"/>
      <c r="O234" s="13"/>
      <c r="P234" s="13"/>
    </row>
    <row r="235" spans="1:16" ht="14.5" x14ac:dyDescent="0.25">
      <c r="A235" s="18">
        <v>229</v>
      </c>
      <c r="B235" s="19">
        <v>70000059</v>
      </c>
      <c r="C235" s="19">
        <v>164171</v>
      </c>
      <c r="D235" t="s" s="9">
        <v>192</v>
      </c>
      <c r="E235" t="s" s="9">
        <v>195</v>
      </c>
      <c r="F235" t="s" s="20">
        <v>388</v>
      </c>
      <c r="G235" t="s" s="10">
        <v>0</v>
      </c>
      <c r="H235" s="25">
        <v>44361</v>
      </c>
      <c r="I235" s="9">
        <f ca="1" t="shared" si="3"/>
      </c>
      <c r="J235" s="12"/>
      <c r="K235" s="13"/>
      <c r="L235" s="13"/>
      <c r="M235" s="13"/>
      <c r="N235" s="13"/>
      <c r="O235" s="13"/>
      <c r="P235" s="13"/>
    </row>
    <row r="236" spans="1:16" ht="14.5" x14ac:dyDescent="0.25">
      <c r="A236" s="18">
        <v>230</v>
      </c>
      <c r="B236" s="19">
        <v>70000059</v>
      </c>
      <c r="C236" s="19">
        <v>168377</v>
      </c>
      <c r="D236" t="s" s="9">
        <v>192</v>
      </c>
      <c r="E236" t="s" s="9">
        <v>195</v>
      </c>
      <c r="F236" t="s" s="20">
        <v>389</v>
      </c>
      <c r="G236" t="s" s="10">
        <v>0</v>
      </c>
      <c r="H236" s="25">
        <v>44992</v>
      </c>
      <c r="I236" s="9">
        <f ca="1" t="shared" si="3"/>
      </c>
      <c r="J236" s="12"/>
      <c r="K236" s="13"/>
      <c r="L236" s="13"/>
      <c r="M236" s="13"/>
      <c r="N236" s="13"/>
      <c r="O236" s="13"/>
      <c r="P236" s="13"/>
    </row>
    <row r="237" spans="1:16" ht="14.5" x14ac:dyDescent="0.25">
      <c r="A237" s="18">
        <v>231</v>
      </c>
      <c r="B237" s="19">
        <v>70000015</v>
      </c>
      <c r="C237" s="19">
        <v>164172</v>
      </c>
      <c r="D237" t="s" s="9">
        <v>722</v>
      </c>
      <c r="E237" t="s" s="9">
        <v>195</v>
      </c>
      <c r="F237" t="s" s="20">
        <v>16</v>
      </c>
      <c r="G237" t="s" s="10">
        <v>0</v>
      </c>
      <c r="H237" s="25">
        <v>32509</v>
      </c>
      <c r="I237" s="9">
        <f ca="1" t="shared" si="3"/>
      </c>
      <c r="J237" s="12">
        <v>1</v>
      </c>
      <c r="K237" s="13">
        <v>7</v>
      </c>
      <c r="L237" s="13">
        <v>9</v>
      </c>
      <c r="M237" s="13"/>
      <c r="N237" s="13"/>
      <c r="O237" s="13"/>
      <c r="P237" s="13"/>
    </row>
    <row r="238" spans="1:16" ht="14.5" x14ac:dyDescent="0.25">
      <c r="A238" s="18">
        <v>232</v>
      </c>
      <c r="B238" s="19">
        <v>70000015</v>
      </c>
      <c r="C238" s="19">
        <v>164173</v>
      </c>
      <c r="D238" t="s" s="9">
        <v>608</v>
      </c>
      <c r="E238" t="s" s="9">
        <v>198</v>
      </c>
      <c r="F238" t="s" s="20">
        <v>797</v>
      </c>
      <c r="G238" t="s" s="10">
        <v>0</v>
      </c>
      <c r="H238" s="25">
        <v>32818</v>
      </c>
      <c r="I238" s="9">
        <f ca="1" t="shared" si="3"/>
      </c>
      <c r="J238" s="12"/>
      <c r="K238" s="13"/>
      <c r="L238" s="13"/>
      <c r="M238" s="13"/>
      <c r="N238" s="13"/>
      <c r="O238" s="13"/>
      <c r="P238" s="13"/>
    </row>
    <row r="239" spans="1:16" ht="14.5" x14ac:dyDescent="0.25">
      <c r="A239" s="18">
        <v>233</v>
      </c>
      <c r="B239" s="19">
        <v>70000015</v>
      </c>
      <c r="C239" s="19">
        <v>164174</v>
      </c>
      <c r="D239" t="s" s="9">
        <v>192</v>
      </c>
      <c r="E239" t="s" s="9">
        <v>195</v>
      </c>
      <c r="F239" t="s" s="20">
        <v>728</v>
      </c>
      <c r="G239" t="s" s="10">
        <v>0</v>
      </c>
      <c r="H239" s="25">
        <v>38696</v>
      </c>
      <c r="I239" s="9">
        <f ca="1" t="shared" si="3"/>
      </c>
      <c r="J239" s="12"/>
      <c r="K239" s="13"/>
      <c r="L239" s="13"/>
      <c r="M239" s="13"/>
      <c r="N239" s="13"/>
      <c r="O239" s="13"/>
      <c r="P239" s="13"/>
    </row>
    <row r="240" spans="1:16" ht="14.5" x14ac:dyDescent="0.25">
      <c r="A240" s="18">
        <v>234</v>
      </c>
      <c r="B240" s="19">
        <v>70000015</v>
      </c>
      <c r="C240" s="19">
        <v>164175</v>
      </c>
      <c r="D240" t="s" s="9">
        <v>192</v>
      </c>
      <c r="E240" t="s" s="9">
        <v>195</v>
      </c>
      <c r="F240" t="s" s="20">
        <v>729</v>
      </c>
      <c r="G240" t="s" s="10">
        <v>0</v>
      </c>
      <c r="H240" s="25">
        <v>40700</v>
      </c>
      <c r="I240" s="9">
        <f ca="1" t="shared" si="3"/>
      </c>
      <c r="J240" s="12"/>
      <c r="K240" s="13"/>
      <c r="L240" s="13"/>
      <c r="M240" s="13"/>
      <c r="N240" s="13"/>
      <c r="O240" s="13"/>
      <c r="P240" s="13"/>
    </row>
    <row r="241" spans="1:16" ht="14.5" x14ac:dyDescent="0.25">
      <c r="A241" s="18">
        <v>235</v>
      </c>
      <c r="B241" s="19">
        <v>70000015</v>
      </c>
      <c r="C241" s="19">
        <v>164176</v>
      </c>
      <c r="D241" t="s" s="9">
        <v>192</v>
      </c>
      <c r="E241" t="s" s="9">
        <v>198</v>
      </c>
      <c r="F241" t="s" s="20">
        <v>730</v>
      </c>
      <c r="G241" t="s" s="10">
        <v>0</v>
      </c>
      <c r="H241" s="25">
        <v>41225</v>
      </c>
      <c r="I241" s="9">
        <f ca="1" t="shared" si="3"/>
      </c>
      <c r="J241" s="12"/>
      <c r="K241" s="13"/>
      <c r="L241" s="13"/>
      <c r="M241" s="13"/>
      <c r="N241" s="13"/>
      <c r="O241" s="13"/>
      <c r="P241" s="13"/>
    </row>
    <row r="242" spans="1:16" ht="14.5" x14ac:dyDescent="0.25">
      <c r="A242" s="18">
        <v>236</v>
      </c>
      <c r="B242" s="19">
        <v>70000015</v>
      </c>
      <c r="C242" s="19">
        <v>164177</v>
      </c>
      <c r="D242" t="s" s="10">
        <v>192</v>
      </c>
      <c r="E242" t="s" s="9">
        <v>198</v>
      </c>
      <c r="F242" t="s" s="3">
        <v>731</v>
      </c>
      <c r="G242" t="s" s="10">
        <v>0</v>
      </c>
      <c r="H242" s="25">
        <v>42035</v>
      </c>
      <c r="I242" s="9">
        <f ca="1" t="shared" si="3"/>
      </c>
      <c r="J242" s="12"/>
      <c r="K242" s="13"/>
      <c r="L242" s="11"/>
      <c r="M242" s="13"/>
      <c r="N242" s="13"/>
      <c r="O242" s="13"/>
      <c r="P242" s="13"/>
    </row>
    <row r="243" spans="1:16" ht="14.5" x14ac:dyDescent="0.25">
      <c r="A243" s="18">
        <v>237</v>
      </c>
      <c r="B243" s="19">
        <v>70000015</v>
      </c>
      <c r="C243" s="19">
        <v>164178</v>
      </c>
      <c r="D243" t="s" s="10">
        <v>192</v>
      </c>
      <c r="E243" t="s" s="9">
        <v>195</v>
      </c>
      <c r="F243" t="s" s="3">
        <v>732</v>
      </c>
      <c r="G243" t="s" s="10">
        <v>0</v>
      </c>
      <c r="H243" s="25">
        <v>37736</v>
      </c>
      <c r="I243" s="9">
        <f ca="1" t="shared" si="3"/>
      </c>
      <c r="J243" s="14"/>
      <c r="K243" s="11"/>
      <c r="L243" s="11"/>
      <c r="M243" s="11"/>
      <c r="N243" s="103"/>
      <c r="O243" s="11"/>
      <c r="P243" s="11"/>
    </row>
    <row r="244" spans="1:16" ht="14.5" x14ac:dyDescent="0.25">
      <c r="A244" s="18">
        <v>238</v>
      </c>
      <c r="B244" s="19">
        <v>70000015</v>
      </c>
      <c r="C244" s="19">
        <v>164179</v>
      </c>
      <c r="D244" t="s" s="9">
        <v>192</v>
      </c>
      <c r="E244" t="s" s="9">
        <v>195</v>
      </c>
      <c r="F244" t="s" s="20">
        <v>390</v>
      </c>
      <c r="G244" t="s" s="10">
        <v>0</v>
      </c>
      <c r="H244" s="25">
        <v>44445</v>
      </c>
      <c r="I244" s="9">
        <f ca="1" t="shared" si="3"/>
      </c>
      <c r="J244" s="12"/>
      <c r="K244" s="13"/>
      <c r="L244" s="13"/>
      <c r="M244" s="13"/>
      <c r="N244" s="13"/>
      <c r="O244" s="13"/>
      <c r="P244" s="13"/>
    </row>
    <row r="245" spans="1:16" ht="14.5" x14ac:dyDescent="0.25">
      <c r="A245" s="18">
        <v>239</v>
      </c>
      <c r="B245" s="19">
        <v>70000015</v>
      </c>
      <c r="C245" s="19">
        <v>166051</v>
      </c>
      <c r="D245" t="s" s="9">
        <v>192</v>
      </c>
      <c r="E245" t="s" s="9">
        <v>198</v>
      </c>
      <c r="F245" t="s" s="20">
        <v>391</v>
      </c>
      <c r="G245" t="s" s="10">
        <v>0</v>
      </c>
      <c r="H245" s="25">
        <v>44638</v>
      </c>
      <c r="I245" s="9">
        <f ca="1" t="shared" si="3"/>
      </c>
      <c r="J245" s="12"/>
      <c r="K245" s="13"/>
      <c r="L245" s="13"/>
      <c r="M245" s="13"/>
      <c r="N245" s="13"/>
      <c r="O245" s="13"/>
      <c r="P245" s="13"/>
    </row>
    <row r="246" spans="1:16" ht="14.5" x14ac:dyDescent="0.25">
      <c r="A246" s="18">
        <v>240</v>
      </c>
      <c r="B246" s="19">
        <v>70000038</v>
      </c>
      <c r="C246" s="19">
        <v>164180</v>
      </c>
      <c r="D246" t="s" s="9">
        <v>722</v>
      </c>
      <c r="E246" t="s" s="9">
        <v>195</v>
      </c>
      <c r="F246" t="s" s="20">
        <v>17</v>
      </c>
      <c r="G246" t="s" s="10">
        <v>0</v>
      </c>
      <c r="H246" s="25">
        <v>29048</v>
      </c>
      <c r="I246" s="9">
        <f ca="1" t="shared" si="3"/>
      </c>
      <c r="J246" s="12">
        <v>0</v>
      </c>
      <c r="K246" s="13">
        <v>0</v>
      </c>
      <c r="L246" s="13">
        <v>1</v>
      </c>
      <c r="M246" s="13"/>
      <c r="N246" s="13"/>
      <c r="O246" s="13"/>
      <c r="P246" s="13"/>
    </row>
    <row r="247" spans="1:16" ht="14.5" x14ac:dyDescent="0.25">
      <c r="A247" s="18">
        <v>241</v>
      </c>
      <c r="B247" s="19">
        <v>70000159</v>
      </c>
      <c r="C247" s="19">
        <v>164182</v>
      </c>
      <c r="D247" t="s" s="10">
        <v>722</v>
      </c>
      <c r="E247" t="s" s="9">
        <v>195</v>
      </c>
      <c r="F247" t="s" s="3">
        <v>80</v>
      </c>
      <c r="G247" t="s" s="10">
        <v>177</v>
      </c>
      <c r="H247" s="25">
        <v>27164</v>
      </c>
      <c r="I247" s="9">
        <f ca="1" t="shared" si="3"/>
      </c>
      <c r="J247" s="12">
        <v>1</v>
      </c>
      <c r="K247" s="11">
        <v>2</v>
      </c>
      <c r="L247" s="11">
        <v>4</v>
      </c>
      <c r="M247" s="11"/>
      <c r="N247" s="103"/>
      <c r="O247" s="11"/>
      <c r="P247" s="11"/>
    </row>
    <row r="248" spans="1:16" ht="14.5" x14ac:dyDescent="0.25">
      <c r="A248" s="18">
        <v>242</v>
      </c>
      <c r="B248" s="19">
        <v>70000159</v>
      </c>
      <c r="C248" s="19">
        <v>164183</v>
      </c>
      <c r="D248" t="s" s="9">
        <v>608</v>
      </c>
      <c r="E248" t="s" s="9">
        <v>198</v>
      </c>
      <c r="F248" t="s" s="20">
        <v>392</v>
      </c>
      <c r="G248" t="s" s="10">
        <v>177</v>
      </c>
      <c r="H248" s="25">
        <v>31457</v>
      </c>
      <c r="I248" s="9">
        <f ca="1" t="shared" si="3"/>
      </c>
      <c r="J248" s="12"/>
      <c r="K248" s="13"/>
      <c r="L248" s="13"/>
      <c r="M248" s="13"/>
      <c r="N248" s="13"/>
      <c r="O248" s="13"/>
      <c r="P248" s="13"/>
    </row>
    <row r="249" spans="1:16" ht="14.5" x14ac:dyDescent="0.25">
      <c r="A249" s="18">
        <v>243</v>
      </c>
      <c r="B249" s="19">
        <v>70000159</v>
      </c>
      <c r="C249" s="19">
        <v>164184</v>
      </c>
      <c r="D249" t="s" s="9">
        <v>192</v>
      </c>
      <c r="E249" t="s" s="9">
        <v>195</v>
      </c>
      <c r="F249" t="s" s="20">
        <v>393</v>
      </c>
      <c r="G249" t="s" s="10">
        <v>177</v>
      </c>
      <c r="H249" s="25">
        <v>41182</v>
      </c>
      <c r="I249" s="9">
        <f ca="1" t="shared" si="3"/>
      </c>
      <c r="J249" s="12"/>
      <c r="K249" s="13"/>
      <c r="L249" s="13"/>
      <c r="M249" s="13"/>
      <c r="N249" s="13"/>
      <c r="O249" s="13"/>
      <c r="P249" s="13"/>
    </row>
    <row r="250" spans="1:16" ht="14.5" x14ac:dyDescent="0.25">
      <c r="A250" s="18">
        <v>244</v>
      </c>
      <c r="B250" s="19">
        <v>70000159</v>
      </c>
      <c r="C250" s="19">
        <v>164185</v>
      </c>
      <c r="D250" t="s" s="9">
        <v>192</v>
      </c>
      <c r="E250" t="s" s="9">
        <v>195</v>
      </c>
      <c r="F250" t="s" s="20">
        <v>394</v>
      </c>
      <c r="G250" t="s" s="10">
        <v>177</v>
      </c>
      <c r="H250" s="25">
        <v>42664</v>
      </c>
      <c r="I250" s="9">
        <f ca="1" t="shared" si="3"/>
      </c>
      <c r="J250" s="12"/>
      <c r="K250" s="13"/>
      <c r="L250" s="13"/>
      <c r="M250" s="13"/>
      <c r="N250" s="13"/>
      <c r="O250" s="13"/>
      <c r="P250" s="13"/>
    </row>
    <row r="251" spans="1:16" ht="14.5" x14ac:dyDescent="0.25">
      <c r="A251" s="18">
        <v>245</v>
      </c>
      <c r="B251" s="19">
        <v>70000043</v>
      </c>
      <c r="C251" s="19">
        <v>164186</v>
      </c>
      <c r="D251" t="s" s="9">
        <v>722</v>
      </c>
      <c r="E251" t="s" s="9">
        <v>195</v>
      </c>
      <c r="F251" t="s" s="20">
        <v>93</v>
      </c>
      <c r="G251" t="s" s="10">
        <v>0</v>
      </c>
      <c r="H251" s="25">
        <v>26131</v>
      </c>
      <c r="I251" s="9">
        <f ca="1" t="shared" si="3"/>
      </c>
      <c r="J251" s="12">
        <v>1</v>
      </c>
      <c r="K251" s="13">
        <v>6</v>
      </c>
      <c r="L251" s="13">
        <v>8</v>
      </c>
      <c r="M251" s="13"/>
      <c r="N251" s="13"/>
      <c r="O251" s="13"/>
      <c r="P251" s="13"/>
    </row>
    <row r="252" spans="1:16" ht="14.5" x14ac:dyDescent="0.25">
      <c r="A252" s="18">
        <v>246</v>
      </c>
      <c r="B252" s="19">
        <v>70000043</v>
      </c>
      <c r="C252" s="19">
        <v>164187</v>
      </c>
      <c r="D252" t="s" s="9">
        <v>608</v>
      </c>
      <c r="E252" t="s" s="9">
        <v>198</v>
      </c>
      <c r="F252" t="s" s="20">
        <v>395</v>
      </c>
      <c r="G252" t="s" s="10">
        <v>0</v>
      </c>
      <c r="H252" s="25">
        <v>30803</v>
      </c>
      <c r="I252" s="9">
        <f ca="1" t="shared" si="3"/>
      </c>
      <c r="J252" s="12"/>
      <c r="K252" s="13"/>
      <c r="L252" s="13"/>
      <c r="M252" s="13"/>
      <c r="N252" s="13"/>
      <c r="O252" s="13"/>
      <c r="P252" s="13"/>
    </row>
    <row r="253" spans="1:16" ht="14.5" x14ac:dyDescent="0.25">
      <c r="A253" s="18">
        <v>247</v>
      </c>
      <c r="B253" s="19">
        <v>70000043</v>
      </c>
      <c r="C253" s="19">
        <v>164188</v>
      </c>
      <c r="D253" t="s" s="9">
        <v>192</v>
      </c>
      <c r="E253" t="s" s="9">
        <v>195</v>
      </c>
      <c r="F253" t="s" s="20">
        <v>396</v>
      </c>
      <c r="G253" t="s" s="10">
        <v>0</v>
      </c>
      <c r="H253" s="25">
        <v>38083</v>
      </c>
      <c r="I253" s="9">
        <f ca="1" t="shared" si="3"/>
      </c>
      <c r="J253" s="12"/>
      <c r="K253" s="13"/>
      <c r="L253" s="13"/>
      <c r="M253" s="13"/>
      <c r="N253" s="13"/>
      <c r="O253" s="13"/>
      <c r="P253" s="13"/>
    </row>
    <row r="254" spans="1:16" ht="14.5" x14ac:dyDescent="0.25">
      <c r="A254" s="18">
        <v>248</v>
      </c>
      <c r="B254" s="19">
        <v>70000043</v>
      </c>
      <c r="C254" s="19">
        <v>164189</v>
      </c>
      <c r="D254" t="s" s="10">
        <v>192</v>
      </c>
      <c r="E254" t="s" s="9">
        <v>195</v>
      </c>
      <c r="F254" t="s" s="3">
        <v>397</v>
      </c>
      <c r="G254" t="s" s="10">
        <v>0</v>
      </c>
      <c r="H254" s="25">
        <v>40577</v>
      </c>
      <c r="I254" s="9">
        <f ca="1" t="shared" si="3"/>
      </c>
      <c r="J254" s="14"/>
      <c r="K254" s="11"/>
      <c r="L254" s="11"/>
      <c r="M254" s="11"/>
      <c r="N254" s="103"/>
      <c r="O254" s="11"/>
      <c r="P254" s="11"/>
    </row>
    <row r="255" spans="1:16" ht="14.5" x14ac:dyDescent="0.25">
      <c r="A255" s="18">
        <v>249</v>
      </c>
      <c r="B255" s="19">
        <v>70000043</v>
      </c>
      <c r="C255" s="19">
        <v>164190</v>
      </c>
      <c r="D255" t="s" s="9">
        <v>192</v>
      </c>
      <c r="E255" t="s" s="9">
        <v>198</v>
      </c>
      <c r="F255" t="s" s="20">
        <v>398</v>
      </c>
      <c r="G255" t="s" s="10">
        <v>0</v>
      </c>
      <c r="H255" s="25">
        <v>41576</v>
      </c>
      <c r="I255" s="9">
        <f ca="1" t="shared" si="3"/>
      </c>
      <c r="J255" s="12"/>
      <c r="K255" s="13"/>
      <c r="L255" s="13"/>
      <c r="M255" s="13"/>
      <c r="N255" s="13"/>
      <c r="O255" s="13"/>
      <c r="P255" s="13"/>
    </row>
    <row r="256" spans="1:16" ht="14.5" x14ac:dyDescent="0.25">
      <c r="A256" s="18">
        <v>250</v>
      </c>
      <c r="B256" s="19">
        <v>70000043</v>
      </c>
      <c r="C256" s="19">
        <v>164191</v>
      </c>
      <c r="D256" t="s" s="9">
        <v>192</v>
      </c>
      <c r="E256" t="s" s="9">
        <v>198</v>
      </c>
      <c r="F256" t="s" s="20">
        <v>399</v>
      </c>
      <c r="G256" t="s" s="10">
        <v>0</v>
      </c>
      <c r="H256" s="25">
        <v>42519</v>
      </c>
      <c r="I256" s="9">
        <f ca="1" t="shared" si="3"/>
      </c>
      <c r="J256" s="12"/>
      <c r="K256" s="13"/>
      <c r="L256" s="13"/>
      <c r="M256" s="13"/>
      <c r="N256" s="13"/>
      <c r="O256" s="13"/>
      <c r="P256" s="13"/>
    </row>
    <row r="257" spans="1:16" ht="14.5" x14ac:dyDescent="0.25">
      <c r="A257" s="18">
        <v>251</v>
      </c>
      <c r="B257" s="19">
        <v>70000043</v>
      </c>
      <c r="C257" s="19">
        <v>164193</v>
      </c>
      <c r="D257" t="s" s="10">
        <v>192</v>
      </c>
      <c r="E257" t="s" s="9">
        <v>195</v>
      </c>
      <c r="F257" t="s" s="3">
        <v>400</v>
      </c>
      <c r="G257" t="s" s="10">
        <v>0</v>
      </c>
      <c r="H257" s="25">
        <v>36694</v>
      </c>
      <c r="I257" s="9">
        <f ca="1" t="shared" si="3"/>
      </c>
      <c r="J257" s="14"/>
      <c r="K257" s="11"/>
      <c r="L257" s="11"/>
      <c r="M257" s="11"/>
      <c r="N257" s="103"/>
      <c r="O257" s="11"/>
      <c r="P257" s="11"/>
    </row>
    <row r="258" spans="1:16" ht="14.5" x14ac:dyDescent="0.25">
      <c r="A258" s="18">
        <v>711</v>
      </c>
      <c r="B258" s="19">
        <v>70000043</v>
      </c>
      <c r="C258" s="19">
        <v>178008</v>
      </c>
      <c r="D258" t="s" s="9">
        <v>192</v>
      </c>
      <c r="E258" t="s" s="9">
        <v>198</v>
      </c>
      <c r="F258" t="s" s="20">
        <v>765</v>
      </c>
      <c r="G258" t="s" s="10">
        <v>0</v>
      </c>
      <c r="H258" s="25">
        <v>46159</v>
      </c>
      <c r="I258" s="9">
        <f ca="1" t="shared" si="3"/>
      </c>
      <c r="J258" s="12"/>
      <c r="K258" s="13"/>
      <c r="L258" s="13"/>
      <c r="M258" s="13"/>
      <c r="N258" t="s" s="13">
        <v>764</v>
      </c>
      <c r="O258" s="13"/>
      <c r="P258" s="13"/>
    </row>
    <row r="259" spans="1:16" ht="14.5" x14ac:dyDescent="0.25">
      <c r="A259" s="18">
        <v>252</v>
      </c>
      <c r="B259" s="19">
        <v>70000152</v>
      </c>
      <c r="C259" s="19">
        <v>164194</v>
      </c>
      <c r="D259" t="s" s="9">
        <v>722</v>
      </c>
      <c r="E259" t="s" s="9">
        <v>195</v>
      </c>
      <c r="F259" t="s" s="20">
        <v>49</v>
      </c>
      <c r="G259" t="s" s="10">
        <v>177</v>
      </c>
      <c r="H259" s="25">
        <v>33329</v>
      </c>
      <c r="I259" s="9">
        <f ca="1" t="shared" ref="I259:I322" si="4">DATEDIF(H259,TODAY(),"Y")</f>
      </c>
      <c r="J259" s="12">
        <v>1</v>
      </c>
      <c r="K259" s="13">
        <v>1</v>
      </c>
      <c r="L259" s="13">
        <v>3</v>
      </c>
      <c r="M259" s="13"/>
      <c r="N259" s="13"/>
      <c r="O259" s="13"/>
      <c r="P259" s="13"/>
    </row>
    <row r="260" spans="1:16" ht="14.5" x14ac:dyDescent="0.25">
      <c r="A260" s="18">
        <v>253</v>
      </c>
      <c r="B260" s="19">
        <v>70000152</v>
      </c>
      <c r="C260" s="19">
        <v>164195</v>
      </c>
      <c r="D260" t="s" s="10">
        <v>608</v>
      </c>
      <c r="E260" t="s" s="9">
        <v>198</v>
      </c>
      <c r="F260" t="s" s="3">
        <v>401</v>
      </c>
      <c r="G260" t="s" s="10">
        <v>177</v>
      </c>
      <c r="H260" s="25">
        <v>34877</v>
      </c>
      <c r="I260" s="9">
        <f ca="1" t="shared" si="4"/>
      </c>
      <c r="J260" s="14"/>
      <c r="K260" s="11"/>
      <c r="L260" s="11"/>
      <c r="M260" s="11"/>
      <c r="N260" s="103"/>
      <c r="O260" s="11"/>
      <c r="P260" s="11"/>
    </row>
    <row r="261" spans="1:16" ht="14.5" x14ac:dyDescent="0.25">
      <c r="A261" s="18">
        <v>254</v>
      </c>
      <c r="B261" s="19">
        <v>70000152</v>
      </c>
      <c r="C261" s="19">
        <v>171649</v>
      </c>
      <c r="D261" t="s" s="9">
        <v>192</v>
      </c>
      <c r="E261" t="s" s="9">
        <v>195</v>
      </c>
      <c r="F261" t="s" s="20">
        <v>402</v>
      </c>
      <c r="G261" t="s" s="10">
        <v>177</v>
      </c>
      <c r="H261" s="25">
        <v>45442</v>
      </c>
      <c r="I261" s="10">
        <f ca="1" t="shared" si="4"/>
      </c>
      <c r="J261" s="12"/>
      <c r="K261" s="13"/>
      <c r="L261" s="13"/>
      <c r="M261" s="13"/>
      <c r="N261" s="13"/>
      <c r="O261" s="13"/>
      <c r="P261" s="13"/>
    </row>
    <row r="262" spans="1:16" ht="14.5" x14ac:dyDescent="0.25">
      <c r="A262" s="18">
        <v>255</v>
      </c>
      <c r="B262" s="19">
        <v>70000164</v>
      </c>
      <c r="C262" s="19">
        <v>164196</v>
      </c>
      <c r="D262" t="s" s="9">
        <v>722</v>
      </c>
      <c r="E262" t="s" s="9">
        <v>195</v>
      </c>
      <c r="F262" t="s" s="20">
        <v>14</v>
      </c>
      <c r="G262" t="s" s="10">
        <v>0</v>
      </c>
      <c r="H262" s="25">
        <v>24105</v>
      </c>
      <c r="I262" s="9">
        <f ca="1" t="shared" si="4"/>
      </c>
      <c r="J262" s="12">
        <v>1</v>
      </c>
      <c r="K262" s="13">
        <v>2</v>
      </c>
      <c r="L262" s="13">
        <v>4</v>
      </c>
      <c r="M262" s="13"/>
      <c r="N262" s="13"/>
      <c r="O262" s="13"/>
      <c r="P262" s="13"/>
    </row>
    <row r="263" spans="1:16" ht="14.5" x14ac:dyDescent="0.25">
      <c r="A263" s="18">
        <v>256</v>
      </c>
      <c r="B263" s="19">
        <v>70000164</v>
      </c>
      <c r="C263" s="19">
        <v>164197</v>
      </c>
      <c r="D263" t="s" s="9">
        <v>608</v>
      </c>
      <c r="E263" t="s" s="9">
        <v>198</v>
      </c>
      <c r="F263" t="s" s="20">
        <v>403</v>
      </c>
      <c r="G263" t="s" s="10">
        <v>0</v>
      </c>
      <c r="H263" s="25">
        <v>32014</v>
      </c>
      <c r="I263" s="9">
        <f ca="1" t="shared" si="4"/>
      </c>
      <c r="J263" s="12"/>
      <c r="K263" s="13"/>
      <c r="L263" s="13"/>
      <c r="M263" s="13"/>
      <c r="N263" s="13"/>
      <c r="O263" s="13"/>
      <c r="P263" s="13"/>
    </row>
    <row r="264" spans="1:16" ht="14.5" x14ac:dyDescent="0.25">
      <c r="A264" s="18">
        <v>257</v>
      </c>
      <c r="B264" s="19">
        <v>70000164</v>
      </c>
      <c r="C264" s="19">
        <v>171935</v>
      </c>
      <c r="D264" t="s" s="10">
        <v>192</v>
      </c>
      <c r="E264" t="s" s="9">
        <v>195</v>
      </c>
      <c r="F264" t="s" s="3">
        <v>404</v>
      </c>
      <c r="G264" t="s" s="10">
        <v>0</v>
      </c>
      <c r="H264" s="25">
        <v>45517</v>
      </c>
      <c r="I264" s="9">
        <f ca="1" t="shared" si="4"/>
      </c>
      <c r="J264" s="14"/>
      <c r="K264" s="11"/>
      <c r="L264" s="11"/>
      <c r="M264" s="11"/>
      <c r="N264" s="103"/>
      <c r="O264" s="11"/>
      <c r="P264" s="11"/>
    </row>
    <row r="265" spans="1:16" ht="14.5" x14ac:dyDescent="0.25">
      <c r="A265" s="18">
        <v>723</v>
      </c>
      <c r="B265" s="19">
        <v>70000164</v>
      </c>
      <c r="C265" s="19">
        <v>177851</v>
      </c>
      <c r="D265" t="s" s="9">
        <v>192</v>
      </c>
      <c r="E265" t="s" s="9">
        <v>195</v>
      </c>
      <c r="F265" t="s" s="20">
        <v>783</v>
      </c>
      <c r="G265" t="s" s="10">
        <v>0</v>
      </c>
      <c r="H265" s="25">
        <v>46161</v>
      </c>
      <c r="I265" s="9">
        <f ca="1" t="shared" si="4"/>
      </c>
      <c r="J265" s="12"/>
      <c r="K265" s="13"/>
      <c r="L265" s="13"/>
      <c r="M265" t="s" s="13">
        <v>781</v>
      </c>
      <c r="N265" s="13"/>
      <c r="O265" s="13"/>
      <c r="P265" s="13"/>
    </row>
    <row r="266" spans="1:16" ht="14.5" x14ac:dyDescent="0.25">
      <c r="A266" s="18">
        <v>258</v>
      </c>
      <c r="B266" s="19">
        <v>70000111</v>
      </c>
      <c r="C266" s="19">
        <v>164198</v>
      </c>
      <c r="D266" t="s" s="9">
        <v>722</v>
      </c>
      <c r="E266" t="s" s="9">
        <v>195</v>
      </c>
      <c r="F266" t="s" s="20">
        <v>12</v>
      </c>
      <c r="G266" t="s" s="10">
        <v>0</v>
      </c>
      <c r="H266" s="25">
        <v>28924</v>
      </c>
      <c r="I266" s="9">
        <f ca="1" t="shared" si="4"/>
      </c>
      <c r="J266" s="12">
        <v>1</v>
      </c>
      <c r="K266" s="13">
        <v>2</v>
      </c>
      <c r="L266" s="13">
        <v>4</v>
      </c>
      <c r="M266" s="13"/>
      <c r="N266" s="13"/>
      <c r="O266" s="13"/>
      <c r="P266" s="13"/>
    </row>
    <row r="267" spans="1:16" ht="14.5" x14ac:dyDescent="0.25">
      <c r="A267" s="18">
        <v>259</v>
      </c>
      <c r="B267" s="19">
        <v>70000111</v>
      </c>
      <c r="C267" s="19">
        <v>164199</v>
      </c>
      <c r="D267" t="s" s="9">
        <v>608</v>
      </c>
      <c r="E267" t="s" s="9">
        <v>198</v>
      </c>
      <c r="F267" t="s" s="20">
        <v>405</v>
      </c>
      <c r="G267" t="s" s="10">
        <v>0</v>
      </c>
      <c r="H267" s="25">
        <v>32762</v>
      </c>
      <c r="I267" s="9">
        <f ca="1" t="shared" si="4"/>
      </c>
      <c r="J267" s="12"/>
      <c r="K267" s="13"/>
      <c r="L267" s="13"/>
      <c r="M267" s="13"/>
      <c r="N267" s="13"/>
      <c r="O267" s="13"/>
      <c r="P267" s="13"/>
    </row>
    <row r="268" spans="1:16" ht="14.5" x14ac:dyDescent="0.25">
      <c r="A268" s="18">
        <v>260</v>
      </c>
      <c r="B268" s="19">
        <v>70000111</v>
      </c>
      <c r="C268" s="19">
        <v>164200</v>
      </c>
      <c r="D268" t="s" s="9">
        <v>192</v>
      </c>
      <c r="E268" t="s" s="9">
        <v>198</v>
      </c>
      <c r="F268" t="s" s="20">
        <v>406</v>
      </c>
      <c r="G268" t="s" s="10">
        <v>0</v>
      </c>
      <c r="H268" s="25">
        <v>44210</v>
      </c>
      <c r="I268" s="9">
        <f ca="1" t="shared" si="4"/>
      </c>
      <c r="J268" s="12"/>
      <c r="K268" s="13"/>
      <c r="L268" s="13"/>
      <c r="M268" s="13"/>
      <c r="N268" s="13"/>
      <c r="O268" s="13"/>
      <c r="P268" s="13"/>
    </row>
    <row r="269" spans="1:16" ht="14.5" x14ac:dyDescent="0.25">
      <c r="A269" s="18">
        <v>261</v>
      </c>
      <c r="B269" s="19">
        <v>70000111</v>
      </c>
      <c r="C269" s="19">
        <v>168431</v>
      </c>
      <c r="D269" t="s" s="9">
        <v>192</v>
      </c>
      <c r="E269" t="s" s="9">
        <v>198</v>
      </c>
      <c r="F269" t="s" s="20">
        <v>407</v>
      </c>
      <c r="G269" t="s" s="10">
        <v>0</v>
      </c>
      <c r="H269" s="25">
        <v>44932</v>
      </c>
      <c r="I269" s="9">
        <f ca="1" t="shared" si="4"/>
      </c>
      <c r="J269" s="12"/>
      <c r="K269" s="13"/>
      <c r="L269" s="13"/>
      <c r="M269" s="13"/>
      <c r="N269" s="13"/>
      <c r="O269" s="13"/>
      <c r="P269" s="13"/>
    </row>
    <row r="270" spans="1:16" ht="14.5" x14ac:dyDescent="0.25">
      <c r="A270" s="18">
        <v>262</v>
      </c>
      <c r="B270" s="19">
        <v>70000175</v>
      </c>
      <c r="C270" s="19">
        <v>164201</v>
      </c>
      <c r="D270" t="s" s="9">
        <v>722</v>
      </c>
      <c r="E270" t="s" s="9">
        <v>195</v>
      </c>
      <c r="F270" t="s" s="20">
        <v>68</v>
      </c>
      <c r="G270" t="s" s="10">
        <v>177</v>
      </c>
      <c r="H270" s="25">
        <v>28866</v>
      </c>
      <c r="I270" s="9">
        <f ca="1" t="shared" si="4"/>
      </c>
      <c r="J270" s="12">
        <v>1</v>
      </c>
      <c r="K270" s="13">
        <v>5</v>
      </c>
      <c r="L270" s="13">
        <v>7</v>
      </c>
      <c r="M270" s="13"/>
      <c r="N270" s="13"/>
      <c r="O270" s="13"/>
      <c r="P270" s="13"/>
    </row>
    <row r="271" spans="1:16" ht="14.5" x14ac:dyDescent="0.25">
      <c r="A271" s="18">
        <v>263</v>
      </c>
      <c r="B271" s="19">
        <v>70000175</v>
      </c>
      <c r="C271" s="19">
        <v>164202</v>
      </c>
      <c r="D271" t="s" s="10">
        <v>608</v>
      </c>
      <c r="E271" t="s" s="10">
        <v>198</v>
      </c>
      <c r="F271" t="s" s="3">
        <v>408</v>
      </c>
      <c r="G271" t="s" s="10">
        <v>177</v>
      </c>
      <c r="H271" s="25">
        <v>29451</v>
      </c>
      <c r="I271" s="9">
        <f ca="1" t="shared" si="4"/>
      </c>
      <c r="J271" s="14"/>
      <c r="K271" s="11"/>
      <c r="L271" s="11"/>
      <c r="M271" s="11"/>
      <c r="N271" s="103"/>
      <c r="O271" s="11"/>
      <c r="P271" s="11"/>
    </row>
    <row r="272" spans="1:16" ht="14.5" x14ac:dyDescent="0.25">
      <c r="A272" s="18">
        <v>264</v>
      </c>
      <c r="B272" s="19">
        <v>70000175</v>
      </c>
      <c r="C272" s="19">
        <v>164203</v>
      </c>
      <c r="D272" t="s" s="9">
        <v>192</v>
      </c>
      <c r="E272" t="s" s="9">
        <v>195</v>
      </c>
      <c r="F272" t="s" s="20">
        <v>409</v>
      </c>
      <c r="G272" t="s" s="10">
        <v>177</v>
      </c>
      <c r="H272" s="25">
        <v>39605</v>
      </c>
      <c r="I272" s="9">
        <f ca="1" t="shared" si="4"/>
      </c>
      <c r="J272" s="12"/>
      <c r="K272" s="13"/>
      <c r="L272" s="13"/>
      <c r="M272" s="13"/>
      <c r="N272" s="13"/>
      <c r="O272" s="13"/>
      <c r="P272" s="13"/>
    </row>
    <row r="273" spans="1:16" ht="14.5" x14ac:dyDescent="0.25">
      <c r="A273" s="18">
        <v>265</v>
      </c>
      <c r="B273" s="19">
        <v>70000175</v>
      </c>
      <c r="C273" s="19">
        <v>164204</v>
      </c>
      <c r="D273" t="s" s="9">
        <v>192</v>
      </c>
      <c r="E273" t="s" s="9">
        <v>195</v>
      </c>
      <c r="F273" t="s" s="20">
        <v>410</v>
      </c>
      <c r="G273" t="s" s="10">
        <v>177</v>
      </c>
      <c r="H273" s="25">
        <v>40310</v>
      </c>
      <c r="I273" s="9">
        <f ca="1" t="shared" si="4"/>
      </c>
      <c r="J273" s="12"/>
      <c r="K273" s="13"/>
      <c r="L273" s="13"/>
      <c r="M273" s="13"/>
      <c r="N273" s="13"/>
      <c r="O273" s="13"/>
      <c r="P273" s="13"/>
    </row>
    <row r="274" spans="1:16" ht="14.5" x14ac:dyDescent="0.25">
      <c r="A274" s="18">
        <v>266</v>
      </c>
      <c r="B274" s="19">
        <v>70000175</v>
      </c>
      <c r="C274" s="19">
        <v>164205</v>
      </c>
      <c r="D274" t="s" s="9">
        <v>192</v>
      </c>
      <c r="E274" t="s" s="9">
        <v>195</v>
      </c>
      <c r="F274" t="s" s="20">
        <v>411</v>
      </c>
      <c r="G274" t="s" s="10">
        <v>177</v>
      </c>
      <c r="H274" s="25">
        <v>41975</v>
      </c>
      <c r="I274" s="9">
        <f ca="1" t="shared" si="4"/>
      </c>
      <c r="J274" s="12"/>
      <c r="K274" s="13"/>
      <c r="L274" s="13"/>
      <c r="M274" s="13"/>
      <c r="N274" s="13"/>
      <c r="O274" s="13"/>
      <c r="P274" s="13"/>
    </row>
    <row r="275" spans="1:16" ht="14.5" x14ac:dyDescent="0.25">
      <c r="A275" s="18">
        <v>267</v>
      </c>
      <c r="B275" s="19">
        <v>70000175</v>
      </c>
      <c r="C275" s="19">
        <v>164206</v>
      </c>
      <c r="D275" t="s" s="10">
        <v>192</v>
      </c>
      <c r="E275" t="s" s="9">
        <v>195</v>
      </c>
      <c r="F275" t="s" s="3">
        <v>412</v>
      </c>
      <c r="G275" t="s" s="10">
        <v>177</v>
      </c>
      <c r="H275" s="25">
        <v>42459</v>
      </c>
      <c r="I275" s="9">
        <f ca="1" t="shared" si="4"/>
      </c>
      <c r="J275" s="12"/>
      <c r="K275" s="11"/>
      <c r="L275" s="11"/>
      <c r="M275" s="11"/>
      <c r="N275" s="103"/>
      <c r="O275" s="11"/>
      <c r="P275" s="11"/>
    </row>
    <row r="276" spans="1:16" ht="14.5" x14ac:dyDescent="0.25">
      <c r="A276" s="18">
        <v>268</v>
      </c>
      <c r="B276" s="19">
        <v>70000175</v>
      </c>
      <c r="C276" s="19">
        <v>175976</v>
      </c>
      <c r="D276" t="s" s="9">
        <v>192</v>
      </c>
      <c r="E276" t="s" s="9">
        <v>195</v>
      </c>
      <c r="F276" t="s" s="20">
        <v>413</v>
      </c>
      <c r="G276" t="s" s="10">
        <v>177</v>
      </c>
      <c r="H276" s="25">
        <v>45660</v>
      </c>
      <c r="I276" s="9">
        <f ca="1" t="shared" si="4"/>
      </c>
      <c r="J276" s="12"/>
      <c r="K276" s="13"/>
      <c r="L276" s="13"/>
      <c r="M276" s="13"/>
      <c r="N276" s="13"/>
      <c r="O276" s="13"/>
      <c r="P276" s="13"/>
    </row>
    <row r="277" spans="1:16" ht="14.5" x14ac:dyDescent="0.25">
      <c r="A277" s="18">
        <v>269</v>
      </c>
      <c r="B277" s="19">
        <v>70000216</v>
      </c>
      <c r="C277" s="19">
        <v>164207</v>
      </c>
      <c r="D277" t="s" s="9">
        <v>722</v>
      </c>
      <c r="E277" t="s" s="9">
        <v>195</v>
      </c>
      <c r="F277" t="s" s="20">
        <v>33</v>
      </c>
      <c r="G277" t="s" s="10">
        <v>0</v>
      </c>
      <c r="H277" s="25">
        <v>31273</v>
      </c>
      <c r="I277" s="9">
        <f ca="1" t="shared" si="4"/>
      </c>
      <c r="J277" s="12">
        <v>1</v>
      </c>
      <c r="K277" s="13">
        <v>2</v>
      </c>
      <c r="L277" s="13">
        <v>4</v>
      </c>
      <c r="M277" s="13"/>
      <c r="N277" s="13"/>
      <c r="O277" s="13"/>
      <c r="P277" s="13"/>
    </row>
    <row r="278" spans="1:16" ht="14.5" x14ac:dyDescent="0.25">
      <c r="A278" s="18">
        <v>270</v>
      </c>
      <c r="B278" s="19">
        <v>70000216</v>
      </c>
      <c r="C278" s="19">
        <v>164208</v>
      </c>
      <c r="D278" t="s" s="10">
        <v>192</v>
      </c>
      <c r="E278" t="s" s="9">
        <v>195</v>
      </c>
      <c r="F278" t="s" s="3">
        <v>414</v>
      </c>
      <c r="G278" t="s" s="10">
        <v>0</v>
      </c>
      <c r="H278" s="25">
        <v>41542</v>
      </c>
      <c r="I278" s="9">
        <f ca="1" t="shared" si="4"/>
      </c>
      <c r="J278" s="14"/>
      <c r="K278" s="11"/>
      <c r="L278" s="11"/>
      <c r="M278" s="11"/>
      <c r="N278" s="103"/>
      <c r="O278" s="11"/>
      <c r="P278" s="11"/>
    </row>
    <row r="279" spans="1:16" ht="14.5" x14ac:dyDescent="0.25">
      <c r="A279" s="18">
        <v>271</v>
      </c>
      <c r="B279" s="19">
        <v>70000216</v>
      </c>
      <c r="C279" s="19">
        <v>169288</v>
      </c>
      <c r="D279" t="s" s="9">
        <v>608</v>
      </c>
      <c r="E279" t="s" s="9">
        <v>198</v>
      </c>
      <c r="F279" t="s" s="20">
        <v>415</v>
      </c>
      <c r="G279" t="s" s="10">
        <v>0</v>
      </c>
      <c r="H279" s="25">
        <v>36025</v>
      </c>
      <c r="I279" s="10">
        <f ca="1" t="shared" si="4"/>
      </c>
      <c r="J279" s="12"/>
      <c r="K279" s="13"/>
      <c r="L279" s="13"/>
      <c r="M279" s="13"/>
      <c r="N279" s="13"/>
      <c r="O279" s="13"/>
      <c r="P279" s="13"/>
    </row>
    <row r="280" spans="1:16" ht="14.5" x14ac:dyDescent="0.25">
      <c r="A280" s="18">
        <v>272</v>
      </c>
      <c r="B280" s="19">
        <v>70000216</v>
      </c>
      <c r="C280" s="19">
        <v>171525</v>
      </c>
      <c r="D280" t="s" s="9">
        <v>192</v>
      </c>
      <c r="E280" t="s" s="9">
        <v>198</v>
      </c>
      <c r="F280" t="s" s="20">
        <v>416</v>
      </c>
      <c r="G280" t="s" s="10">
        <v>0</v>
      </c>
      <c r="H280" s="25">
        <v>45418</v>
      </c>
      <c r="I280" s="9">
        <f ca="1" t="shared" si="4"/>
      </c>
      <c r="J280" s="12"/>
      <c r="K280" s="13"/>
      <c r="L280" s="13"/>
      <c r="M280" s="4"/>
      <c r="N280" s="4"/>
      <c r="O280" s="4"/>
      <c r="P280" s="4"/>
    </row>
    <row r="281" spans="1:16" ht="14.5" x14ac:dyDescent="0.25">
      <c r="A281" s="18">
        <v>273</v>
      </c>
      <c r="B281" s="19">
        <v>70000206</v>
      </c>
      <c r="C281" s="19">
        <v>164209</v>
      </c>
      <c r="D281" t="s" s="9">
        <v>722</v>
      </c>
      <c r="E281" t="s" s="9">
        <v>195</v>
      </c>
      <c r="F281" t="s" s="20">
        <v>84</v>
      </c>
      <c r="G281" t="s" s="10">
        <v>177</v>
      </c>
      <c r="H281" s="25">
        <v>29730</v>
      </c>
      <c r="I281" s="9">
        <f ca="1" t="shared" si="4"/>
      </c>
      <c r="J281" s="12">
        <v>0</v>
      </c>
      <c r="K281" s="13">
        <v>2</v>
      </c>
      <c r="L281" s="13">
        <v>3</v>
      </c>
      <c r="M281" s="13"/>
      <c r="N281" s="13"/>
      <c r="O281" s="13"/>
      <c r="P281" s="13"/>
    </row>
    <row r="282" spans="1:16" ht="14.5" x14ac:dyDescent="0.25">
      <c r="A282" s="18">
        <v>274</v>
      </c>
      <c r="B282" s="19">
        <v>70000206</v>
      </c>
      <c r="C282" s="19">
        <v>164210</v>
      </c>
      <c r="D282" t="s" s="9">
        <v>192</v>
      </c>
      <c r="E282" t="s" s="9">
        <v>198</v>
      </c>
      <c r="F282" t="s" s="20">
        <v>417</v>
      </c>
      <c r="G282" t="s" s="10">
        <v>177</v>
      </c>
      <c r="H282" s="25">
        <v>40800</v>
      </c>
      <c r="I282" s="9">
        <f ca="1" t="shared" si="4"/>
      </c>
      <c r="J282" s="12"/>
      <c r="K282" s="13"/>
      <c r="L282" s="13"/>
      <c r="M282" s="13"/>
      <c r="N282" s="13"/>
      <c r="O282" s="13"/>
      <c r="P282" s="13"/>
    </row>
    <row r="283" spans="1:16" ht="14.5" x14ac:dyDescent="0.25">
      <c r="A283" s="18">
        <v>275</v>
      </c>
      <c r="B283" s="19">
        <v>70000206</v>
      </c>
      <c r="C283" s="19">
        <v>164211</v>
      </c>
      <c r="D283" t="s" s="9">
        <v>192</v>
      </c>
      <c r="E283" t="s" s="9">
        <v>198</v>
      </c>
      <c r="F283" t="s" s="20">
        <v>418</v>
      </c>
      <c r="G283" t="s" s="10">
        <v>177</v>
      </c>
      <c r="H283" s="25">
        <v>41702</v>
      </c>
      <c r="I283" s="9">
        <f ca="1" t="shared" si="4"/>
      </c>
      <c r="J283" s="12"/>
      <c r="K283" s="13"/>
      <c r="L283" s="13"/>
      <c r="M283" s="13"/>
      <c r="N283" s="13"/>
      <c r="O283" s="13"/>
      <c r="P283" s="13"/>
    </row>
    <row r="284" spans="1:16" ht="14.5" x14ac:dyDescent="0.25">
      <c r="A284" s="18">
        <v>276</v>
      </c>
      <c r="B284" s="19">
        <v>70000029</v>
      </c>
      <c r="C284" s="19">
        <v>164213</v>
      </c>
      <c r="D284" t="s" s="9">
        <v>722</v>
      </c>
      <c r="E284" t="s" s="9">
        <v>195</v>
      </c>
      <c r="F284" t="s" s="20">
        <v>116</v>
      </c>
      <c r="G284" t="s" s="10">
        <v>0</v>
      </c>
      <c r="H284" s="25">
        <v>30405</v>
      </c>
      <c r="I284" s="9">
        <f ca="1" t="shared" si="4"/>
      </c>
      <c r="J284" s="12">
        <v>1</v>
      </c>
      <c r="K284" s="13">
        <v>5</v>
      </c>
      <c r="L284" s="13">
        <v>7</v>
      </c>
      <c r="M284" s="13"/>
      <c r="N284" s="13"/>
      <c r="O284" s="13"/>
      <c r="P284" s="13"/>
    </row>
    <row r="285" spans="1:16" ht="14.5" x14ac:dyDescent="0.25">
      <c r="A285" s="18">
        <v>277</v>
      </c>
      <c r="B285" s="19">
        <v>70000029</v>
      </c>
      <c r="C285" s="19">
        <v>164214</v>
      </c>
      <c r="D285" t="s" s="10">
        <v>608</v>
      </c>
      <c r="E285" t="s" s="9">
        <v>198</v>
      </c>
      <c r="F285" t="s" s="3">
        <v>419</v>
      </c>
      <c r="G285" t="s" s="10">
        <v>0</v>
      </c>
      <c r="H285" s="25">
        <v>33065</v>
      </c>
      <c r="I285" s="9">
        <f ca="1" t="shared" si="4"/>
      </c>
      <c r="J285" s="14"/>
      <c r="K285" s="11"/>
      <c r="L285" s="11"/>
      <c r="M285" s="11"/>
      <c r="N285" s="103"/>
      <c r="O285" s="11"/>
      <c r="P285" s="11"/>
    </row>
    <row r="286" spans="1:16" ht="14.5" x14ac:dyDescent="0.25">
      <c r="A286" s="18">
        <v>278</v>
      </c>
      <c r="B286" s="19">
        <v>70000029</v>
      </c>
      <c r="C286" s="19">
        <v>164215</v>
      </c>
      <c r="D286" t="s" s="9">
        <v>192</v>
      </c>
      <c r="E286" t="s" s="9">
        <v>195</v>
      </c>
      <c r="F286" t="s" s="20">
        <v>420</v>
      </c>
      <c r="G286" t="s" s="10">
        <v>0</v>
      </c>
      <c r="H286" s="25">
        <v>40462</v>
      </c>
      <c r="I286" s="9">
        <f ca="1" t="shared" si="4"/>
      </c>
      <c r="J286" s="12"/>
      <c r="K286" s="13"/>
      <c r="L286" s="13"/>
      <c r="M286" t="s" s="13">
        <v>421</v>
      </c>
      <c r="N286" s="13"/>
      <c r="O286" s="13"/>
      <c r="P286" s="13"/>
    </row>
    <row r="287" spans="1:16" ht="14.5" x14ac:dyDescent="0.25">
      <c r="A287" s="18">
        <v>279</v>
      </c>
      <c r="B287" s="19">
        <v>70000029</v>
      </c>
      <c r="C287" s="19">
        <v>164216</v>
      </c>
      <c r="D287" t="s" s="9">
        <v>192</v>
      </c>
      <c r="E287" t="s" s="9">
        <v>195</v>
      </c>
      <c r="F287" t="s" s="20">
        <v>422</v>
      </c>
      <c r="G287" t="s" s="10">
        <v>0</v>
      </c>
      <c r="H287" s="25">
        <v>43990</v>
      </c>
      <c r="I287" s="9">
        <f ca="1" t="shared" si="4"/>
      </c>
      <c r="J287" s="12"/>
      <c r="K287" s="13"/>
      <c r="L287" s="13"/>
      <c r="M287" s="13"/>
      <c r="N287" s="13"/>
      <c r="O287" s="13"/>
      <c r="P287" s="13"/>
    </row>
    <row r="288" spans="1:16" ht="14.5" x14ac:dyDescent="0.25">
      <c r="A288" s="18">
        <v>280</v>
      </c>
      <c r="B288" s="19">
        <v>70000029</v>
      </c>
      <c r="C288" s="19">
        <v>164217</v>
      </c>
      <c r="D288" t="s" s="9">
        <v>192</v>
      </c>
      <c r="E288" t="s" s="9">
        <v>198</v>
      </c>
      <c r="F288" t="s" s="20">
        <v>423</v>
      </c>
      <c r="G288" t="s" s="10">
        <v>0</v>
      </c>
      <c r="H288" s="25">
        <v>42390</v>
      </c>
      <c r="I288" s="9">
        <f ca="1" t="shared" si="4"/>
      </c>
      <c r="J288" s="12"/>
      <c r="K288" s="13"/>
      <c r="L288" s="13"/>
      <c r="M288" s="13"/>
      <c r="N288" s="13"/>
      <c r="O288" s="13"/>
      <c r="P288" s="13"/>
    </row>
    <row r="289" spans="1:16" ht="14.5" x14ac:dyDescent="0.25">
      <c r="A289" s="18">
        <v>281</v>
      </c>
      <c r="B289" s="19">
        <v>70000029</v>
      </c>
      <c r="C289" s="19">
        <v>167740</v>
      </c>
      <c r="D289" t="s" s="9">
        <v>192</v>
      </c>
      <c r="E289" t="s" s="9">
        <v>198</v>
      </c>
      <c r="F289" t="s" s="20">
        <v>424</v>
      </c>
      <c r="G289" t="s" s="10">
        <v>0</v>
      </c>
      <c r="H289" s="25">
        <v>44905</v>
      </c>
      <c r="I289" s="9">
        <f ca="1" t="shared" si="4"/>
      </c>
      <c r="J289" s="12"/>
      <c r="K289" s="13"/>
      <c r="L289" s="13"/>
      <c r="M289" s="13"/>
      <c r="N289" s="13"/>
      <c r="O289" s="13"/>
      <c r="P289" s="13"/>
    </row>
    <row r="290" spans="1:16" ht="14.5" x14ac:dyDescent="0.25">
      <c r="A290" s="18">
        <v>282</v>
      </c>
      <c r="B290" s="19">
        <v>70000029</v>
      </c>
      <c r="C290" s="19">
        <v>176319</v>
      </c>
      <c r="D290" t="s" s="10">
        <v>192</v>
      </c>
      <c r="E290" t="s" s="9">
        <v>198</v>
      </c>
      <c r="F290" t="s" s="3">
        <v>425</v>
      </c>
      <c r="G290" t="s" s="10">
        <v>0</v>
      </c>
      <c r="H290" s="25">
        <v>46061</v>
      </c>
      <c r="I290" s="9">
        <f ca="1" t="shared" si="4"/>
      </c>
      <c r="J290" s="14"/>
      <c r="K290" s="11"/>
      <c r="L290" s="11"/>
      <c r="M290" s="11"/>
      <c r="N290" s="103"/>
      <c r="O290" s="11"/>
      <c r="P290" s="11"/>
    </row>
    <row r="291" spans="1:16" ht="14.5" x14ac:dyDescent="0.25">
      <c r="A291" s="18">
        <v>283</v>
      </c>
      <c r="B291" s="19">
        <v>70000214</v>
      </c>
      <c r="C291" s="19">
        <v>164218</v>
      </c>
      <c r="D291" t="s" s="9">
        <v>722</v>
      </c>
      <c r="E291" t="s" s="9">
        <v>195</v>
      </c>
      <c r="F291" t="s" s="20">
        <v>107</v>
      </c>
      <c r="G291" t="s" s="10">
        <v>0</v>
      </c>
      <c r="H291" s="25">
        <v>32519</v>
      </c>
      <c r="I291" s="9">
        <f ca="1" t="shared" si="4"/>
      </c>
      <c r="J291" s="12">
        <v>1</v>
      </c>
      <c r="K291" s="13">
        <v>3</v>
      </c>
      <c r="L291" s="13">
        <v>5</v>
      </c>
      <c r="M291" s="13"/>
      <c r="N291" s="13"/>
      <c r="O291" s="13"/>
      <c r="P291" s="13"/>
    </row>
    <row r="292" spans="1:16" ht="14.5" x14ac:dyDescent="0.25">
      <c r="A292" s="18">
        <v>284</v>
      </c>
      <c r="B292" s="19">
        <v>70000214</v>
      </c>
      <c r="C292" s="19">
        <v>164219</v>
      </c>
      <c r="D292" t="s" s="9">
        <v>608</v>
      </c>
      <c r="E292" t="s" s="9">
        <v>198</v>
      </c>
      <c r="F292" t="s" s="20">
        <v>426</v>
      </c>
      <c r="G292" t="s" s="10">
        <v>0</v>
      </c>
      <c r="H292" s="25">
        <v>34772</v>
      </c>
      <c r="I292" s="9">
        <f ca="1" t="shared" si="4"/>
      </c>
      <c r="J292" s="12"/>
      <c r="K292" s="13"/>
      <c r="L292" s="13"/>
      <c r="M292" s="13"/>
      <c r="N292" s="13"/>
      <c r="O292" s="13"/>
      <c r="P292" s="13"/>
    </row>
    <row r="293" spans="1:16" ht="14.5" x14ac:dyDescent="0.25">
      <c r="A293" s="18">
        <v>285</v>
      </c>
      <c r="B293" s="19">
        <v>70000214</v>
      </c>
      <c r="C293" s="19">
        <v>164220</v>
      </c>
      <c r="D293" t="s" s="9">
        <v>192</v>
      </c>
      <c r="E293" t="s" s="9">
        <v>195</v>
      </c>
      <c r="F293" t="s" s="20">
        <v>427</v>
      </c>
      <c r="G293" t="s" s="10">
        <v>0</v>
      </c>
      <c r="H293" s="25">
        <v>44163</v>
      </c>
      <c r="I293" s="9">
        <f ca="1" t="shared" si="4"/>
      </c>
      <c r="J293" s="12"/>
      <c r="K293" s="13"/>
      <c r="L293" s="13"/>
      <c r="M293" s="13"/>
      <c r="N293" s="13"/>
      <c r="O293" s="13"/>
      <c r="P293" s="13"/>
    </row>
    <row r="294" spans="1:16" ht="14.5" x14ac:dyDescent="0.25">
      <c r="A294" s="18">
        <v>286</v>
      </c>
      <c r="B294" s="19">
        <v>70000214</v>
      </c>
      <c r="C294" s="19">
        <v>166544</v>
      </c>
      <c r="D294" t="s" s="9">
        <v>192</v>
      </c>
      <c r="E294" t="s" s="9">
        <v>195</v>
      </c>
      <c r="F294" t="s" s="20">
        <v>428</v>
      </c>
      <c r="G294" t="s" s="10">
        <v>0</v>
      </c>
      <c r="H294" s="25">
        <v>44710</v>
      </c>
      <c r="I294" s="9">
        <f ca="1" t="shared" si="4"/>
      </c>
      <c r="J294" s="12"/>
      <c r="K294" s="13"/>
      <c r="L294" s="13"/>
      <c r="M294" s="13"/>
      <c r="N294" s="13"/>
      <c r="O294" s="13"/>
      <c r="P294" s="13"/>
    </row>
    <row r="295" spans="1:16" ht="14.5" x14ac:dyDescent="0.25">
      <c r="A295" s="18">
        <v>287</v>
      </c>
      <c r="B295" s="19">
        <v>70000214</v>
      </c>
      <c r="C295" s="19">
        <v>167742</v>
      </c>
      <c r="D295" t="s" s="10">
        <v>192</v>
      </c>
      <c r="E295" t="s" s="9">
        <v>198</v>
      </c>
      <c r="F295" t="s" s="3">
        <v>429</v>
      </c>
      <c r="G295" t="s" s="10">
        <v>0</v>
      </c>
      <c r="H295" s="25">
        <v>42965</v>
      </c>
      <c r="I295" s="9">
        <f ca="1" t="shared" si="4"/>
      </c>
      <c r="J295" s="14"/>
      <c r="K295" s="11"/>
      <c r="L295" s="11"/>
      <c r="M295" s="11"/>
      <c r="N295" s="103"/>
      <c r="O295" s="11"/>
      <c r="P295" s="11"/>
    </row>
    <row r="296" spans="1:16" ht="14.5" x14ac:dyDescent="0.25">
      <c r="A296" s="18">
        <v>288</v>
      </c>
      <c r="B296" s="19">
        <v>70000185</v>
      </c>
      <c r="C296" s="19">
        <v>164226</v>
      </c>
      <c r="D296" t="s" s="9">
        <v>722</v>
      </c>
      <c r="E296" t="s" s="9">
        <v>195</v>
      </c>
      <c r="F296" t="s" s="20">
        <v>81</v>
      </c>
      <c r="G296" t="s" s="10">
        <v>177</v>
      </c>
      <c r="H296" s="25">
        <v>27867</v>
      </c>
      <c r="I296" s="9">
        <f ca="1" t="shared" si="4"/>
      </c>
      <c r="J296" s="12">
        <v>1</v>
      </c>
      <c r="K296" s="13">
        <v>3</v>
      </c>
      <c r="L296" s="13">
        <v>5</v>
      </c>
      <c r="M296" s="13"/>
      <c r="N296" s="13"/>
      <c r="O296" s="13"/>
      <c r="P296" s="13"/>
    </row>
    <row r="297" spans="1:16" ht="14.5" x14ac:dyDescent="0.25">
      <c r="A297" s="18">
        <v>289</v>
      </c>
      <c r="B297" s="19">
        <v>70000185</v>
      </c>
      <c r="C297" s="19">
        <v>164227</v>
      </c>
      <c r="D297" t="s" s="9">
        <v>608</v>
      </c>
      <c r="E297" t="s" s="9">
        <v>198</v>
      </c>
      <c r="F297" t="s" s="20">
        <v>430</v>
      </c>
      <c r="G297" t="s" s="10">
        <v>177</v>
      </c>
      <c r="H297" s="25">
        <v>27413</v>
      </c>
      <c r="I297" s="9">
        <f ca="1" t="shared" si="4"/>
      </c>
      <c r="J297" s="12"/>
      <c r="K297" s="13"/>
      <c r="L297" s="13"/>
      <c r="M297" s="13"/>
      <c r="N297" s="13"/>
      <c r="O297" s="13"/>
      <c r="P297" s="13"/>
    </row>
    <row r="298" spans="1:16" ht="14.5" x14ac:dyDescent="0.25">
      <c r="A298" s="18">
        <v>290</v>
      </c>
      <c r="B298" s="19">
        <v>70000185</v>
      </c>
      <c r="C298" s="19">
        <v>164228</v>
      </c>
      <c r="D298" t="s" s="9">
        <v>192</v>
      </c>
      <c r="E298" t="s" s="9">
        <v>195</v>
      </c>
      <c r="F298" t="s" s="20">
        <v>431</v>
      </c>
      <c r="G298" t="s" s="10">
        <v>177</v>
      </c>
      <c r="H298" s="25">
        <v>44124</v>
      </c>
      <c r="I298" s="9">
        <f ca="1" t="shared" si="4"/>
      </c>
      <c r="J298" s="12"/>
      <c r="K298" s="13"/>
      <c r="L298" s="13"/>
      <c r="M298" s="13"/>
      <c r="N298" s="13"/>
      <c r="O298" s="13"/>
      <c r="P298" s="13"/>
    </row>
    <row r="299" spans="1:16" ht="14.5" x14ac:dyDescent="0.25">
      <c r="A299" s="18">
        <v>291</v>
      </c>
      <c r="B299" s="19">
        <v>70000185</v>
      </c>
      <c r="C299" s="19">
        <v>164229</v>
      </c>
      <c r="D299" t="s" s="10">
        <v>192</v>
      </c>
      <c r="E299" t="s" s="9">
        <v>195</v>
      </c>
      <c r="F299" t="s" s="3">
        <v>432</v>
      </c>
      <c r="G299" t="s" s="10">
        <v>177</v>
      </c>
      <c r="H299" s="25">
        <v>41044</v>
      </c>
      <c r="I299" s="9">
        <f ca="1" t="shared" si="4"/>
      </c>
      <c r="J299" s="14"/>
      <c r="K299" s="11"/>
      <c r="L299" s="11"/>
      <c r="M299" s="11"/>
      <c r="N299" s="103"/>
      <c r="O299" s="11"/>
      <c r="P299" s="11"/>
    </row>
    <row r="300" spans="1:16" ht="14.5" x14ac:dyDescent="0.25">
      <c r="A300" s="18">
        <v>292</v>
      </c>
      <c r="B300" s="19">
        <v>70000185</v>
      </c>
      <c r="C300" s="19">
        <v>164230</v>
      </c>
      <c r="D300" t="s" s="9">
        <v>192</v>
      </c>
      <c r="E300" t="s" s="9">
        <v>198</v>
      </c>
      <c r="F300" t="s" s="20">
        <v>433</v>
      </c>
      <c r="G300" t="s" s="10">
        <v>177</v>
      </c>
      <c r="H300" s="25">
        <v>39426</v>
      </c>
      <c r="I300" s="9">
        <f ca="1" t="shared" si="4"/>
      </c>
      <c r="J300" s="12"/>
      <c r="K300" s="13"/>
      <c r="L300" s="13"/>
      <c r="M300" s="13"/>
      <c r="N300" s="13"/>
      <c r="O300" s="13"/>
      <c r="P300" s="13"/>
    </row>
    <row r="301" spans="1:16" ht="14.5" x14ac:dyDescent="0.25">
      <c r="A301" s="18">
        <v>293</v>
      </c>
      <c r="B301" s="19">
        <v>70000184</v>
      </c>
      <c r="C301" s="19">
        <v>164231</v>
      </c>
      <c r="D301" t="s" s="9">
        <v>722</v>
      </c>
      <c r="E301" t="s" s="9">
        <v>195</v>
      </c>
      <c r="F301" t="s" s="20">
        <v>50</v>
      </c>
      <c r="G301" t="s" s="10">
        <v>177</v>
      </c>
      <c r="H301" s="25">
        <v>31590</v>
      </c>
      <c r="I301" s="9">
        <f ca="1" t="shared" si="4"/>
      </c>
      <c r="J301" s="12">
        <v>1</v>
      </c>
      <c r="K301" s="13">
        <v>2</v>
      </c>
      <c r="L301" s="13">
        <v>4</v>
      </c>
      <c r="M301" s="13"/>
      <c r="N301" s="13"/>
      <c r="O301" s="13"/>
      <c r="P301" s="13"/>
    </row>
    <row r="302" spans="1:16" ht="14.5" x14ac:dyDescent="0.25">
      <c r="A302" s="18">
        <v>294</v>
      </c>
      <c r="B302" s="19">
        <v>70000184</v>
      </c>
      <c r="C302" s="19">
        <v>164232</v>
      </c>
      <c r="D302" t="s" s="9">
        <v>608</v>
      </c>
      <c r="E302" t="s" s="9">
        <v>198</v>
      </c>
      <c r="F302" t="s" s="20">
        <v>434</v>
      </c>
      <c r="G302" t="s" s="10">
        <v>177</v>
      </c>
      <c r="H302" s="25">
        <v>35322</v>
      </c>
      <c r="I302" s="9">
        <f ca="1" t="shared" si="4"/>
      </c>
      <c r="J302" s="12"/>
      <c r="K302" s="13"/>
      <c r="L302" s="13"/>
      <c r="M302" s="13"/>
      <c r="N302" s="13"/>
      <c r="O302" s="13"/>
      <c r="P302" s="13"/>
    </row>
    <row r="303" spans="1:16" ht="14.5" x14ac:dyDescent="0.25">
      <c r="A303" s="18">
        <v>295</v>
      </c>
      <c r="B303" s="19">
        <v>70000184</v>
      </c>
      <c r="C303" s="19">
        <v>164233</v>
      </c>
      <c r="D303" t="s" s="9">
        <v>192</v>
      </c>
      <c r="E303" t="s" s="9">
        <v>198</v>
      </c>
      <c r="F303" t="s" s="20">
        <v>435</v>
      </c>
      <c r="G303" t="s" s="10">
        <v>177</v>
      </c>
      <c r="H303" s="25">
        <v>44466</v>
      </c>
      <c r="I303" s="9">
        <f ca="1" t="shared" si="4"/>
      </c>
      <c r="J303" s="12"/>
      <c r="K303" s="13"/>
      <c r="L303" s="13"/>
      <c r="M303" s="13"/>
      <c r="N303" s="13"/>
      <c r="O303" s="13"/>
      <c r="P303" s="13"/>
    </row>
    <row r="304" spans="1:16" ht="14.5" x14ac:dyDescent="0.25">
      <c r="A304" s="18">
        <v>296</v>
      </c>
      <c r="B304" s="19">
        <v>70000184</v>
      </c>
      <c r="C304" s="19">
        <v>169261</v>
      </c>
      <c r="D304" t="s" s="9">
        <v>192</v>
      </c>
      <c r="E304" t="s" s="9">
        <v>198</v>
      </c>
      <c r="F304" t="s" s="20">
        <v>436</v>
      </c>
      <c r="G304" t="s" s="10">
        <v>177</v>
      </c>
      <c r="H304" s="25">
        <v>45121</v>
      </c>
      <c r="I304" s="9">
        <f ca="1" t="shared" si="4"/>
      </c>
      <c r="J304" s="12"/>
      <c r="K304" s="13"/>
      <c r="L304" s="13"/>
      <c r="M304" s="13"/>
      <c r="N304" s="13"/>
      <c r="O304" s="13"/>
      <c r="P304" s="13"/>
    </row>
    <row r="305" spans="1:16" ht="14.5" x14ac:dyDescent="0.25">
      <c r="A305" s="18">
        <v>297</v>
      </c>
      <c r="B305" s="19">
        <v>70000093</v>
      </c>
      <c r="C305" s="19">
        <v>164234</v>
      </c>
      <c r="D305" t="s" s="9">
        <v>722</v>
      </c>
      <c r="E305" t="s" s="9">
        <v>195</v>
      </c>
      <c r="F305" t="s" s="20">
        <v>26</v>
      </c>
      <c r="G305" t="s" s="10">
        <v>0</v>
      </c>
      <c r="H305" s="25">
        <v>25543</v>
      </c>
      <c r="I305" s="9">
        <f ca="1" t="shared" si="4"/>
      </c>
      <c r="J305" s="12">
        <v>1</v>
      </c>
      <c r="K305" s="13">
        <v>5</v>
      </c>
      <c r="L305" s="13">
        <v>7</v>
      </c>
      <c r="M305" s="13"/>
      <c r="N305" s="13"/>
      <c r="O305" s="13"/>
      <c r="P305" s="13"/>
    </row>
    <row r="306" spans="1:16" ht="14.5" x14ac:dyDescent="0.25">
      <c r="A306" s="18">
        <v>298</v>
      </c>
      <c r="B306" s="19">
        <v>70000093</v>
      </c>
      <c r="C306" s="19">
        <v>164235</v>
      </c>
      <c r="D306" t="s" s="10">
        <v>608</v>
      </c>
      <c r="E306" t="s" s="9">
        <v>198</v>
      </c>
      <c r="F306" t="s" s="3">
        <v>437</v>
      </c>
      <c r="G306" t="s" s="10">
        <v>0</v>
      </c>
      <c r="H306" s="25">
        <v>26833</v>
      </c>
      <c r="I306" s="9">
        <f ca="1" t="shared" si="4"/>
      </c>
      <c r="J306" s="14"/>
      <c r="K306" s="11"/>
      <c r="L306" s="11"/>
      <c r="M306" s="11"/>
      <c r="N306" s="103"/>
      <c r="O306" s="11"/>
      <c r="P306" s="11"/>
    </row>
    <row r="307" spans="1:16" ht="14.5" x14ac:dyDescent="0.25">
      <c r="A307" s="18">
        <v>299</v>
      </c>
      <c r="B307" s="19">
        <v>70000093</v>
      </c>
      <c r="C307" s="19">
        <v>164236</v>
      </c>
      <c r="D307" t="s" s="9">
        <v>192</v>
      </c>
      <c r="E307" t="s" s="9">
        <v>195</v>
      </c>
      <c r="F307" t="s" s="20">
        <v>438</v>
      </c>
      <c r="G307" t="s" s="10">
        <v>0</v>
      </c>
      <c r="H307" s="25">
        <v>38511</v>
      </c>
      <c r="I307" s="9">
        <f ca="1" t="shared" si="4"/>
      </c>
      <c r="J307" s="12"/>
      <c r="K307" s="13"/>
      <c r="L307" s="13"/>
      <c r="M307" s="13"/>
      <c r="N307" s="13"/>
      <c r="O307" s="13"/>
      <c r="P307" s="13"/>
    </row>
    <row r="308" spans="1:16" ht="14.5" x14ac:dyDescent="0.25">
      <c r="A308" s="18">
        <v>300</v>
      </c>
      <c r="B308" s="19">
        <v>70000093</v>
      </c>
      <c r="C308" s="19">
        <v>164237</v>
      </c>
      <c r="D308" t="s" s="9">
        <v>192</v>
      </c>
      <c r="E308" t="s" s="9">
        <v>195</v>
      </c>
      <c r="F308" t="s" s="20">
        <v>733</v>
      </c>
      <c r="G308" t="s" s="10">
        <v>0</v>
      </c>
      <c r="H308" s="25">
        <v>39160</v>
      </c>
      <c r="I308" s="9">
        <f ca="1" t="shared" si="4"/>
      </c>
      <c r="J308" s="12"/>
      <c r="K308" s="13"/>
      <c r="L308" s="13"/>
      <c r="M308" s="13"/>
      <c r="N308" s="13"/>
      <c r="O308" s="13"/>
      <c r="P308" s="13"/>
    </row>
    <row r="309" spans="1:16" ht="14.5" x14ac:dyDescent="0.25">
      <c r="A309" s="18">
        <v>301</v>
      </c>
      <c r="B309" s="19">
        <v>70000093</v>
      </c>
      <c r="C309" s="19">
        <v>164238</v>
      </c>
      <c r="D309" t="s" s="9">
        <v>192</v>
      </c>
      <c r="E309" t="s" s="9">
        <v>198</v>
      </c>
      <c r="F309" t="s" s="20">
        <v>734</v>
      </c>
      <c r="G309" t="s" s="10">
        <v>0</v>
      </c>
      <c r="H309" s="25">
        <v>42194</v>
      </c>
      <c r="I309" s="9">
        <f ca="1" t="shared" si="4"/>
      </c>
      <c r="J309" s="12"/>
      <c r="K309" s="13"/>
      <c r="L309" s="13"/>
      <c r="M309" s="13"/>
      <c r="N309" s="13"/>
      <c r="O309" s="13"/>
      <c r="P309" s="13"/>
    </row>
    <row r="310" spans="1:16" ht="14.5" x14ac:dyDescent="0.25">
      <c r="A310" s="18">
        <v>302</v>
      </c>
      <c r="B310" s="19">
        <v>70000093</v>
      </c>
      <c r="C310" s="19">
        <v>164239</v>
      </c>
      <c r="D310" t="s" s="9">
        <v>192</v>
      </c>
      <c r="E310" t="s" s="9">
        <v>195</v>
      </c>
      <c r="F310" t="s" s="20">
        <v>439</v>
      </c>
      <c r="G310" t="s" s="10">
        <v>0</v>
      </c>
      <c r="H310" s="25">
        <v>37602</v>
      </c>
      <c r="I310" s="9">
        <f ca="1" t="shared" si="4"/>
      </c>
      <c r="J310" s="12"/>
      <c r="K310" s="13"/>
      <c r="L310" s="13"/>
      <c r="M310" s="13"/>
      <c r="N310" s="13"/>
      <c r="O310" s="13"/>
      <c r="P310" s="13"/>
    </row>
    <row r="311" spans="1:16" ht="14.5" x14ac:dyDescent="0.25">
      <c r="A311" s="18">
        <v>303</v>
      </c>
      <c r="B311" s="19">
        <v>70000093</v>
      </c>
      <c r="C311" s="19">
        <v>164240</v>
      </c>
      <c r="D311" t="s" s="10">
        <v>192</v>
      </c>
      <c r="E311" t="s" s="9">
        <v>195</v>
      </c>
      <c r="F311" t="s" s="3">
        <v>735</v>
      </c>
      <c r="G311" t="s" s="10">
        <v>0</v>
      </c>
      <c r="H311" s="25">
        <v>44118</v>
      </c>
      <c r="I311" s="9">
        <f ca="1" t="shared" si="4"/>
      </c>
      <c r="J311" s="14"/>
      <c r="K311" s="11"/>
      <c r="L311" s="11"/>
      <c r="M311" s="11"/>
      <c r="N311" s="103"/>
      <c r="O311" s="11"/>
      <c r="P311" s="11"/>
    </row>
    <row r="312" spans="1:16" ht="14.5" x14ac:dyDescent="0.25">
      <c r="A312" s="18">
        <v>304</v>
      </c>
      <c r="B312" s="19">
        <v>70000002</v>
      </c>
      <c r="C312" s="19">
        <v>164244</v>
      </c>
      <c r="D312" t="s" s="9">
        <v>722</v>
      </c>
      <c r="E312" t="s" s="9">
        <v>195</v>
      </c>
      <c r="F312" t="s" s="20">
        <v>112</v>
      </c>
      <c r="G312" t="s" s="10">
        <v>747</v>
      </c>
      <c r="H312" s="25">
        <v>31575</v>
      </c>
      <c r="I312" s="9">
        <f ca="1" t="shared" si="4"/>
      </c>
      <c r="J312" s="12">
        <v>1</v>
      </c>
      <c r="K312" s="13">
        <v>3</v>
      </c>
      <c r="L312" s="13">
        <v>5</v>
      </c>
      <c r="M312" s="13"/>
      <c r="N312" s="13"/>
      <c r="O312" s="13"/>
      <c r="P312" s="13"/>
    </row>
    <row r="313" spans="1:16" ht="14.5" x14ac:dyDescent="0.25">
      <c r="A313" s="18">
        <v>305</v>
      </c>
      <c r="B313" s="19">
        <v>70000002</v>
      </c>
      <c r="C313" s="19">
        <v>164245</v>
      </c>
      <c r="D313" t="s" s="9">
        <v>608</v>
      </c>
      <c r="E313" t="s" s="9">
        <v>198</v>
      </c>
      <c r="F313" t="s" s="20">
        <v>440</v>
      </c>
      <c r="G313" t="s" s="10">
        <v>747</v>
      </c>
      <c r="H313" s="25">
        <v>31920</v>
      </c>
      <c r="I313" s="9">
        <f ca="1" t="shared" si="4"/>
      </c>
      <c r="J313" s="12"/>
      <c r="K313" s="13"/>
      <c r="L313" s="13"/>
      <c r="M313" s="13"/>
      <c r="N313" s="13"/>
      <c r="O313" s="13"/>
      <c r="P313" s="13"/>
    </row>
    <row r="314" spans="1:16" ht="14.5" x14ac:dyDescent="0.25">
      <c r="A314" s="18">
        <v>306</v>
      </c>
      <c r="B314" s="19">
        <v>70000002</v>
      </c>
      <c r="C314" s="19">
        <v>164246</v>
      </c>
      <c r="D314" t="s" s="9">
        <v>192</v>
      </c>
      <c r="E314" t="s" s="9">
        <v>198</v>
      </c>
      <c r="F314" t="s" s="20">
        <v>441</v>
      </c>
      <c r="G314" t="s" s="10">
        <v>747</v>
      </c>
      <c r="H314" s="25">
        <v>43502</v>
      </c>
      <c r="I314" s="9">
        <f ca="1" t="shared" si="4"/>
      </c>
      <c r="J314" s="12"/>
      <c r="K314" s="13"/>
      <c r="L314" s="13"/>
      <c r="M314" s="13"/>
      <c r="N314" s="13"/>
      <c r="O314" s="13"/>
      <c r="P314" s="13"/>
    </row>
    <row r="315" spans="1:16" ht="14.5" x14ac:dyDescent="0.25">
      <c r="A315" s="18">
        <v>307</v>
      </c>
      <c r="B315" s="19">
        <v>70000002</v>
      </c>
      <c r="C315" s="19">
        <v>164247</v>
      </c>
      <c r="D315" t="s" s="9">
        <v>192</v>
      </c>
      <c r="E315" t="s" s="9">
        <v>195</v>
      </c>
      <c r="F315" t="s" s="20">
        <v>442</v>
      </c>
      <c r="G315" t="s" s="10">
        <v>747</v>
      </c>
      <c r="H315" s="25">
        <v>44313</v>
      </c>
      <c r="I315" s="9">
        <f ca="1" t="shared" si="4"/>
      </c>
      <c r="J315" s="12"/>
      <c r="K315" s="13"/>
      <c r="L315" s="13"/>
      <c r="M315" s="13"/>
      <c r="N315" s="13"/>
      <c r="O315" s="13"/>
      <c r="P315" s="13"/>
    </row>
    <row r="316" spans="1:16" ht="14.5" x14ac:dyDescent="0.25">
      <c r="A316" s="18">
        <v>308</v>
      </c>
      <c r="B316" s="19">
        <v>70000002</v>
      </c>
      <c r="C316" s="19">
        <v>171652</v>
      </c>
      <c r="D316" t="s" s="9">
        <v>192</v>
      </c>
      <c r="E316" t="s" s="9">
        <v>198</v>
      </c>
      <c r="F316" t="s" s="20">
        <v>443</v>
      </c>
      <c r="G316" t="s" s="10">
        <v>747</v>
      </c>
      <c r="H316" s="25">
        <v>45463</v>
      </c>
      <c r="I316" s="9">
        <f ca="1" t="shared" si="4"/>
      </c>
      <c r="J316" s="12"/>
      <c r="K316" s="13"/>
      <c r="L316" s="13"/>
      <c r="M316" s="13"/>
      <c r="N316" s="13"/>
      <c r="O316" s="13"/>
      <c r="P316" s="13"/>
    </row>
    <row r="317" spans="1:16" ht="14.5" x14ac:dyDescent="0.25">
      <c r="A317" s="18">
        <v>309</v>
      </c>
      <c r="B317" s="19">
        <v>70000109</v>
      </c>
      <c r="C317" s="19">
        <v>164261</v>
      </c>
      <c r="D317" t="s" s="9">
        <v>722</v>
      </c>
      <c r="E317" t="s" s="9">
        <v>195</v>
      </c>
      <c r="F317" t="s" s="20">
        <v>28</v>
      </c>
      <c r="G317" t="s" s="10">
        <v>0</v>
      </c>
      <c r="H317" s="25">
        <v>33072</v>
      </c>
      <c r="I317" s="9">
        <f ca="1" t="shared" si="4"/>
      </c>
      <c r="J317" s="12">
        <v>1</v>
      </c>
      <c r="K317" s="13">
        <v>5</v>
      </c>
      <c r="L317" s="13">
        <v>7</v>
      </c>
      <c r="M317" s="13"/>
      <c r="N317" s="13"/>
      <c r="O317" s="13"/>
      <c r="P317" s="13"/>
    </row>
    <row r="318" spans="1:16" ht="14.5" x14ac:dyDescent="0.25">
      <c r="A318" s="18">
        <v>310</v>
      </c>
      <c r="B318" s="19">
        <v>70000109</v>
      </c>
      <c r="C318" s="19">
        <v>164262</v>
      </c>
      <c r="D318" t="s" s="10">
        <v>608</v>
      </c>
      <c r="E318" t="s" s="9">
        <v>198</v>
      </c>
      <c r="F318" t="s" s="3">
        <v>444</v>
      </c>
      <c r="G318" t="s" s="10">
        <v>0</v>
      </c>
      <c r="H318" s="25">
        <v>33565</v>
      </c>
      <c r="I318" s="9">
        <f ca="1" t="shared" si="4"/>
      </c>
      <c r="J318" s="14"/>
      <c r="K318" s="15"/>
      <c r="L318" s="11"/>
      <c r="M318" s="13"/>
      <c r="N318" s="13"/>
      <c r="O318" s="13"/>
      <c r="P318" s="13"/>
    </row>
    <row r="319" spans="1:16" ht="14.5" x14ac:dyDescent="0.25">
      <c r="A319" s="18">
        <v>311</v>
      </c>
      <c r="B319" s="19">
        <v>70000109</v>
      </c>
      <c r="C319" s="19">
        <v>164263</v>
      </c>
      <c r="D319" t="s" s="9">
        <v>192</v>
      </c>
      <c r="E319" t="s" s="9">
        <v>198</v>
      </c>
      <c r="F319" t="s" s="20">
        <v>445</v>
      </c>
      <c r="G319" t="s" s="10">
        <v>0</v>
      </c>
      <c r="H319" s="25">
        <v>43151</v>
      </c>
      <c r="I319" s="9">
        <f ca="1" t="shared" si="4"/>
      </c>
      <c r="J319" s="12"/>
      <c r="K319" s="13"/>
      <c r="L319" s="13"/>
      <c r="M319" s="13"/>
      <c r="N319" s="13"/>
      <c r="O319" s="13"/>
      <c r="P319" s="13"/>
    </row>
    <row r="320" spans="1:16" ht="14.5" x14ac:dyDescent="0.25">
      <c r="A320" s="18">
        <v>312</v>
      </c>
      <c r="B320" s="19">
        <v>70000109</v>
      </c>
      <c r="C320" s="19">
        <v>164264</v>
      </c>
      <c r="D320" t="s" s="10">
        <v>192</v>
      </c>
      <c r="E320" t="s" s="9">
        <v>198</v>
      </c>
      <c r="F320" t="s" s="3">
        <v>446</v>
      </c>
      <c r="G320" t="s" s="10">
        <v>0</v>
      </c>
      <c r="H320" s="25">
        <v>43151</v>
      </c>
      <c r="I320" s="9">
        <f ca="1" t="shared" si="4"/>
      </c>
      <c r="J320" s="14"/>
      <c r="K320" s="11"/>
      <c r="L320" s="11"/>
      <c r="M320" s="11"/>
      <c r="N320" s="103"/>
      <c r="O320" s="11"/>
      <c r="P320" s="11"/>
    </row>
    <row r="321" spans="1:16" ht="14.5" x14ac:dyDescent="0.25">
      <c r="A321" s="18">
        <v>313</v>
      </c>
      <c r="B321" s="19">
        <v>70000109</v>
      </c>
      <c r="C321" s="19">
        <v>164265</v>
      </c>
      <c r="D321" t="s" s="9">
        <v>192</v>
      </c>
      <c r="E321" t="s" s="9">
        <v>198</v>
      </c>
      <c r="F321" t="s" s="20">
        <v>447</v>
      </c>
      <c r="G321" t="s" s="10">
        <v>0</v>
      </c>
      <c r="H321" s="25">
        <v>43692</v>
      </c>
      <c r="I321" s="9">
        <f ca="1" t="shared" si="4"/>
      </c>
      <c r="J321" s="12"/>
      <c r="K321" s="13"/>
      <c r="L321" s="13"/>
      <c r="M321" s="13"/>
      <c r="N321" s="13"/>
      <c r="O321" s="13"/>
      <c r="P321" s="13"/>
    </row>
    <row r="322" spans="1:16" ht="14.5" x14ac:dyDescent="0.25">
      <c r="A322" s="18">
        <v>314</v>
      </c>
      <c r="B322" s="19">
        <v>70000109</v>
      </c>
      <c r="C322" s="19">
        <v>164266</v>
      </c>
      <c r="D322" t="s" s="9">
        <v>192</v>
      </c>
      <c r="E322" t="s" s="9">
        <v>195</v>
      </c>
      <c r="F322" t="s" s="20">
        <v>448</v>
      </c>
      <c r="G322" t="s" s="10">
        <v>0</v>
      </c>
      <c r="H322" s="25">
        <v>44385</v>
      </c>
      <c r="I322" s="9">
        <f ca="1" t="shared" si="4"/>
      </c>
      <c r="J322" s="12"/>
      <c r="K322" s="13"/>
      <c r="L322" s="13"/>
      <c r="M322" s="13"/>
      <c r="N322" s="13"/>
      <c r="O322" s="13"/>
      <c r="P322" s="13"/>
    </row>
    <row r="323" spans="1:16" ht="14.5" x14ac:dyDescent="0.25">
      <c r="A323" s="18">
        <v>315</v>
      </c>
      <c r="B323" s="19">
        <v>70000109</v>
      </c>
      <c r="C323" s="19">
        <v>172074</v>
      </c>
      <c r="D323" t="s" s="10">
        <v>192</v>
      </c>
      <c r="E323" t="s" s="9">
        <v>198</v>
      </c>
      <c r="F323" t="s" s="3">
        <v>449</v>
      </c>
      <c r="G323" t="s" s="10">
        <v>0</v>
      </c>
      <c r="H323" s="25">
        <v>45564</v>
      </c>
      <c r="I323" s="9">
        <f ca="1" t="shared" ref="I323:I386" si="5">DATEDIF(H323,TODAY(),"Y")</f>
      </c>
      <c r="J323" s="14"/>
      <c r="K323" s="11"/>
      <c r="L323" s="11"/>
      <c r="M323" s="11"/>
      <c r="N323" s="103"/>
      <c r="O323" s="11"/>
      <c r="P323" s="11"/>
    </row>
    <row r="324" spans="1:16" ht="14.5" x14ac:dyDescent="0.25">
      <c r="A324" s="18">
        <v>316</v>
      </c>
      <c r="B324" s="19">
        <v>70000191</v>
      </c>
      <c r="C324" s="19">
        <v>164272</v>
      </c>
      <c r="D324" t="s" s="9">
        <v>722</v>
      </c>
      <c r="E324" t="s" s="9">
        <v>195</v>
      </c>
      <c r="F324" t="s" s="20">
        <v>31</v>
      </c>
      <c r="G324" t="s" s="10">
        <v>0</v>
      </c>
      <c r="H324" s="25">
        <v>31626</v>
      </c>
      <c r="I324" s="9">
        <f ca="1" t="shared" si="5"/>
      </c>
      <c r="J324" s="12">
        <v>1</v>
      </c>
      <c r="K324" s="13">
        <v>0</v>
      </c>
      <c r="L324" s="13">
        <v>2</v>
      </c>
      <c r="M324" s="13"/>
      <c r="N324" s="13"/>
      <c r="O324" s="13"/>
      <c r="P324" s="13"/>
    </row>
    <row r="325" spans="1:16" ht="14.5" x14ac:dyDescent="0.25">
      <c r="A325" s="18">
        <v>317</v>
      </c>
      <c r="B325" s="19">
        <v>70000191</v>
      </c>
      <c r="C325" s="19">
        <v>164273</v>
      </c>
      <c r="D325" t="s" s="9">
        <v>608</v>
      </c>
      <c r="E325" t="s" s="9">
        <v>198</v>
      </c>
      <c r="F325" t="s" s="20">
        <v>450</v>
      </c>
      <c r="G325" t="s" s="10">
        <v>0</v>
      </c>
      <c r="H325" s="25">
        <v>34986</v>
      </c>
      <c r="I325" s="9">
        <f ca="1" t="shared" si="5"/>
      </c>
      <c r="J325" s="12"/>
      <c r="K325" s="13"/>
      <c r="L325" s="13"/>
      <c r="M325" s="13"/>
      <c r="N325" s="13"/>
      <c r="O325" s="13"/>
      <c r="P325" s="13"/>
    </row>
    <row r="326" spans="1:16" ht="14.5" x14ac:dyDescent="0.25">
      <c r="A326" s="18">
        <v>318</v>
      </c>
      <c r="B326" s="19">
        <v>70000067</v>
      </c>
      <c r="C326" s="19">
        <v>164274</v>
      </c>
      <c r="D326" t="s" s="10">
        <v>722</v>
      </c>
      <c r="E326" t="s" s="9">
        <v>195</v>
      </c>
      <c r="F326" t="s" s="3">
        <v>108</v>
      </c>
      <c r="G326" t="s" s="10">
        <v>0</v>
      </c>
      <c r="H326" s="25">
        <v>33425</v>
      </c>
      <c r="I326" s="9">
        <f ca="1" t="shared" si="5"/>
      </c>
      <c r="J326" s="14">
        <v>1</v>
      </c>
      <c r="K326" s="11">
        <v>1</v>
      </c>
      <c r="L326" s="11">
        <v>3</v>
      </c>
      <c r="M326" s="11"/>
      <c r="N326" s="103"/>
      <c r="O326" s="11"/>
      <c r="P326" s="11"/>
    </row>
    <row r="327" spans="1:16" ht="14.5" x14ac:dyDescent="0.25">
      <c r="A327" s="18">
        <v>319</v>
      </c>
      <c r="B327" s="19">
        <v>70000067</v>
      </c>
      <c r="C327" s="19">
        <v>166439</v>
      </c>
      <c r="D327" t="s" s="9">
        <v>608</v>
      </c>
      <c r="E327" t="s" s="9">
        <v>198</v>
      </c>
      <c r="F327" t="s" s="20">
        <v>451</v>
      </c>
      <c r="G327" t="s" s="10">
        <v>0</v>
      </c>
      <c r="H327" s="25">
        <v>37571</v>
      </c>
      <c r="I327" s="10">
        <f ca="1" t="shared" si="5"/>
      </c>
      <c r="J327" s="12"/>
      <c r="K327" s="13"/>
      <c r="L327" s="13"/>
      <c r="M327" s="13"/>
      <c r="N327" s="13"/>
      <c r="O327" s="13"/>
      <c r="P327" s="13"/>
    </row>
    <row r="328" spans="1:16" ht="14.5" x14ac:dyDescent="0.25">
      <c r="A328" s="18">
        <v>320</v>
      </c>
      <c r="B328" s="19">
        <v>70000067</v>
      </c>
      <c r="C328" s="19">
        <v>167050</v>
      </c>
      <c r="D328" t="s" s="9">
        <v>192</v>
      </c>
      <c r="E328" t="s" s="9">
        <v>198</v>
      </c>
      <c r="F328" t="s" s="20">
        <v>452</v>
      </c>
      <c r="G328" t="s" s="10">
        <v>0</v>
      </c>
      <c r="H328" s="25">
        <v>44735</v>
      </c>
      <c r="I328" s="9">
        <f ca="1" t="shared" si="5"/>
      </c>
      <c r="J328" s="12"/>
      <c r="K328" s="13"/>
      <c r="L328" s="13"/>
      <c r="M328" s="13"/>
      <c r="N328" s="13"/>
      <c r="O328" s="13"/>
      <c r="P328" s="13"/>
    </row>
    <row r="329" spans="1:16" ht="14.5" x14ac:dyDescent="0.25">
      <c r="A329" s="18">
        <v>321</v>
      </c>
      <c r="B329" s="19">
        <v>70000204</v>
      </c>
      <c r="C329" s="19">
        <v>164275</v>
      </c>
      <c r="D329" t="s" s="9">
        <v>722</v>
      </c>
      <c r="E329" t="s" s="9">
        <v>195</v>
      </c>
      <c r="F329" t="s" s="20">
        <v>98</v>
      </c>
      <c r="G329" t="s" s="10">
        <v>0</v>
      </c>
      <c r="H329" s="25">
        <v>28290</v>
      </c>
      <c r="I329" s="9">
        <f ca="1" t="shared" si="5"/>
      </c>
      <c r="J329" s="12">
        <v>1</v>
      </c>
      <c r="K329" s="13">
        <v>1</v>
      </c>
      <c r="L329" s="13">
        <v>3</v>
      </c>
      <c r="M329" s="13"/>
      <c r="N329" s="13"/>
      <c r="O329" s="13"/>
      <c r="P329" s="13"/>
    </row>
    <row r="330" spans="1:16" ht="14.5" x14ac:dyDescent="0.25">
      <c r="A330" s="18">
        <v>322</v>
      </c>
      <c r="B330" s="19">
        <v>70000204</v>
      </c>
      <c r="C330" s="19">
        <v>164276</v>
      </c>
      <c r="D330" t="s" s="9">
        <v>608</v>
      </c>
      <c r="E330" t="s" s="9">
        <v>198</v>
      </c>
      <c r="F330" t="s" s="20">
        <v>453</v>
      </c>
      <c r="G330" t="s" s="10">
        <v>0</v>
      </c>
      <c r="H330" s="25">
        <v>30011</v>
      </c>
      <c r="I330" s="9">
        <f ca="1" t="shared" si="5"/>
      </c>
      <c r="J330" s="12"/>
      <c r="K330" s="13"/>
      <c r="L330" s="13"/>
      <c r="M330" s="13"/>
      <c r="N330" s="13"/>
      <c r="O330" s="13"/>
      <c r="P330" s="13"/>
    </row>
    <row r="331" spans="1:16" ht="14.5" x14ac:dyDescent="0.25">
      <c r="A331" s="18">
        <v>323</v>
      </c>
      <c r="B331" s="19">
        <v>70000204</v>
      </c>
      <c r="C331" s="19">
        <v>164275</v>
      </c>
      <c r="D331" t="s" s="9">
        <v>192</v>
      </c>
      <c r="E331" t="s" s="9">
        <v>198</v>
      </c>
      <c r="F331" t="s" s="20">
        <v>736</v>
      </c>
      <c r="G331" t="s" s="10">
        <v>0</v>
      </c>
      <c r="H331" s="25">
        <v>44157</v>
      </c>
      <c r="I331" s="9">
        <f ca="1" t="shared" si="5"/>
      </c>
      <c r="J331" s="12"/>
      <c r="K331" s="13"/>
      <c r="L331" s="13"/>
      <c r="M331" s="13"/>
      <c r="N331" s="13"/>
      <c r="O331" s="13"/>
      <c r="P331" s="13"/>
    </row>
    <row r="332" spans="1:16" ht="14.5" x14ac:dyDescent="0.25">
      <c r="A332" s="18">
        <v>324</v>
      </c>
      <c r="B332" s="19">
        <v>70000008</v>
      </c>
      <c r="C332" s="19">
        <v>164278</v>
      </c>
      <c r="D332" t="s" s="10">
        <v>722</v>
      </c>
      <c r="E332" t="s" s="9">
        <v>195</v>
      </c>
      <c r="F332" t="s" s="3">
        <v>60</v>
      </c>
      <c r="G332" t="s" s="10">
        <v>0</v>
      </c>
      <c r="H332" s="25">
        <v>28524</v>
      </c>
      <c r="I332" s="9">
        <f ca="1" t="shared" si="5"/>
      </c>
      <c r="J332" s="14">
        <v>1</v>
      </c>
      <c r="K332" s="11">
        <v>4</v>
      </c>
      <c r="L332" s="11">
        <v>6</v>
      </c>
      <c r="M332" s="11"/>
      <c r="N332" s="103"/>
      <c r="O332" s="11"/>
      <c r="P332" s="11"/>
    </row>
    <row r="333" spans="1:16" ht="14.5" x14ac:dyDescent="0.25">
      <c r="A333" s="18">
        <v>325</v>
      </c>
      <c r="B333" s="19">
        <v>70000008</v>
      </c>
      <c r="C333" s="19">
        <v>164279</v>
      </c>
      <c r="D333" t="s" s="9">
        <v>608</v>
      </c>
      <c r="E333" t="s" s="9">
        <v>198</v>
      </c>
      <c r="F333" t="s" s="20">
        <v>454</v>
      </c>
      <c r="G333" t="s" s="10">
        <v>0</v>
      </c>
      <c r="H333" s="25">
        <v>30063</v>
      </c>
      <c r="I333" s="9">
        <f ca="1" t="shared" si="5"/>
      </c>
      <c r="J333" s="12"/>
      <c r="K333" s="13"/>
      <c r="L333" s="13"/>
      <c r="M333" s="13"/>
      <c r="N333" s="13"/>
      <c r="O333" s="13"/>
      <c r="P333" s="13"/>
    </row>
    <row r="334" spans="1:16" ht="14.5" x14ac:dyDescent="0.25">
      <c r="A334" s="18">
        <v>326</v>
      </c>
      <c r="B334" s="19">
        <v>70000008</v>
      </c>
      <c r="C334" s="19">
        <v>164280</v>
      </c>
      <c r="D334" t="s" s="9">
        <v>192</v>
      </c>
      <c r="E334" t="s" s="9">
        <v>198</v>
      </c>
      <c r="F334" t="s" s="20">
        <v>455</v>
      </c>
      <c r="G334" t="s" s="10">
        <v>0</v>
      </c>
      <c r="H334" s="25">
        <v>39721</v>
      </c>
      <c r="I334" s="9">
        <f ca="1" t="shared" si="5"/>
      </c>
      <c r="J334" s="12"/>
      <c r="K334" s="13"/>
      <c r="L334" s="13"/>
      <c r="M334" s="13"/>
      <c r="N334" s="13"/>
      <c r="O334" s="13"/>
      <c r="P334" s="13"/>
    </row>
    <row r="335" spans="1:16" ht="14.5" x14ac:dyDescent="0.25">
      <c r="A335" s="18">
        <v>327</v>
      </c>
      <c r="B335" s="19">
        <v>70000008</v>
      </c>
      <c r="C335" s="19">
        <v>164281</v>
      </c>
      <c r="D335" t="s" s="9">
        <v>192</v>
      </c>
      <c r="E335" t="s" s="9">
        <v>195</v>
      </c>
      <c r="F335" t="s" s="20">
        <v>456</v>
      </c>
      <c r="G335" t="s" s="10">
        <v>0</v>
      </c>
      <c r="H335" s="25">
        <v>40538</v>
      </c>
      <c r="I335" s="9">
        <f ca="1" t="shared" si="5"/>
      </c>
      <c r="J335" s="12"/>
      <c r="K335" s="13"/>
      <c r="L335" s="13"/>
      <c r="M335" s="13"/>
      <c r="N335" s="13"/>
      <c r="O335" s="13"/>
      <c r="P335" s="13"/>
    </row>
    <row r="336" spans="1:16" ht="14.5" x14ac:dyDescent="0.25">
      <c r="A336" s="18">
        <v>328</v>
      </c>
      <c r="B336" s="19">
        <v>70000008</v>
      </c>
      <c r="C336" s="19">
        <v>164282</v>
      </c>
      <c r="D336" t="s" s="9">
        <v>192</v>
      </c>
      <c r="E336" t="s" s="9">
        <v>198</v>
      </c>
      <c r="F336" t="s" s="20">
        <v>457</v>
      </c>
      <c r="G336" t="s" s="10">
        <v>0</v>
      </c>
      <c r="H336" s="25">
        <v>41671</v>
      </c>
      <c r="I336" s="9">
        <f ca="1" t="shared" si="5"/>
      </c>
      <c r="J336" s="12"/>
      <c r="K336" s="13"/>
      <c r="L336" s="13"/>
      <c r="M336" s="13"/>
      <c r="N336" s="13"/>
      <c r="O336" s="13"/>
      <c r="P336" s="13"/>
    </row>
    <row r="337" spans="1:16" ht="14.5" x14ac:dyDescent="0.25">
      <c r="A337" s="18">
        <v>329</v>
      </c>
      <c r="B337" s="19">
        <v>70000008</v>
      </c>
      <c r="C337" s="19">
        <v>164283</v>
      </c>
      <c r="D337" t="s" s="10">
        <v>192</v>
      </c>
      <c r="E337" t="s" s="9">
        <v>198</v>
      </c>
      <c r="F337" t="s" s="3">
        <v>458</v>
      </c>
      <c r="G337" t="s" s="10">
        <v>0</v>
      </c>
      <c r="H337" s="25">
        <v>42876</v>
      </c>
      <c r="I337" s="9">
        <f ca="1" t="shared" si="5"/>
      </c>
      <c r="J337" s="14"/>
      <c r="K337" s="11"/>
      <c r="L337" s="11"/>
      <c r="M337" s="11"/>
      <c r="N337" s="103"/>
      <c r="O337" s="11"/>
      <c r="P337" s="11"/>
    </row>
    <row r="338" spans="1:16" ht="14.5" x14ac:dyDescent="0.25">
      <c r="A338" s="18">
        <v>330</v>
      </c>
      <c r="B338" s="19">
        <v>70000063</v>
      </c>
      <c r="C338" s="19">
        <v>164284</v>
      </c>
      <c r="D338" t="s" s="9">
        <v>722</v>
      </c>
      <c r="E338" t="s" s="9">
        <v>195</v>
      </c>
      <c r="F338" t="s" s="20">
        <v>118</v>
      </c>
      <c r="G338" t="s" s="10">
        <v>0</v>
      </c>
      <c r="H338" s="25">
        <v>30284</v>
      </c>
      <c r="I338" s="9">
        <f ca="1" t="shared" si="5"/>
      </c>
      <c r="J338" s="12">
        <v>1</v>
      </c>
      <c r="K338" s="13">
        <v>3</v>
      </c>
      <c r="L338" s="13">
        <v>5</v>
      </c>
      <c r="M338" s="13"/>
      <c r="N338" s="13"/>
      <c r="O338" s="13"/>
      <c r="P338" s="13"/>
    </row>
    <row r="339" spans="1:16" ht="14.5" x14ac:dyDescent="0.25">
      <c r="A339" s="18">
        <v>331</v>
      </c>
      <c r="B339" s="19">
        <v>70000063</v>
      </c>
      <c r="C339" s="19">
        <v>164285</v>
      </c>
      <c r="D339" t="s" s="9">
        <v>192</v>
      </c>
      <c r="E339" t="s" s="9">
        <v>195</v>
      </c>
      <c r="F339" t="s" s="20">
        <v>737</v>
      </c>
      <c r="G339" t="s" s="10">
        <v>0</v>
      </c>
      <c r="H339" s="25">
        <v>40391</v>
      </c>
      <c r="I339" s="9">
        <f ca="1" t="shared" si="5"/>
      </c>
      <c r="J339" s="12"/>
      <c r="K339" s="13"/>
      <c r="L339" s="13"/>
      <c r="M339" s="13"/>
      <c r="N339" s="13"/>
      <c r="O339" s="13"/>
      <c r="P339" s="13"/>
    </row>
    <row r="340" spans="1:16" ht="14.5" x14ac:dyDescent="0.25">
      <c r="A340" s="18">
        <v>332</v>
      </c>
      <c r="B340" s="19">
        <v>70000063</v>
      </c>
      <c r="C340" s="19">
        <v>167934</v>
      </c>
      <c r="D340" t="s" s="9">
        <v>192</v>
      </c>
      <c r="E340" t="s" s="9">
        <v>195</v>
      </c>
      <c r="F340" t="s" s="20">
        <v>459</v>
      </c>
      <c r="G340" t="s" s="10">
        <v>0</v>
      </c>
      <c r="H340" s="25">
        <v>44960</v>
      </c>
      <c r="I340" s="9">
        <f ca="1" t="shared" si="5"/>
      </c>
      <c r="J340" s="12"/>
      <c r="K340" s="13"/>
      <c r="L340" s="13"/>
      <c r="M340" s="13"/>
      <c r="N340" s="13"/>
      <c r="O340" s="13"/>
      <c r="P340" s="13"/>
    </row>
    <row r="341" spans="1:16" ht="14.5" x14ac:dyDescent="0.25">
      <c r="A341" s="18">
        <v>333</v>
      </c>
      <c r="B341" s="19">
        <v>70000063</v>
      </c>
      <c r="C341" s="19">
        <v>172293</v>
      </c>
      <c r="D341" t="s" s="10">
        <v>608</v>
      </c>
      <c r="E341" t="s" s="9">
        <v>198</v>
      </c>
      <c r="F341" t="s" s="3">
        <v>460</v>
      </c>
      <c r="G341" t="s" s="10">
        <v>0</v>
      </c>
      <c r="H341" s="25">
        <v>35535</v>
      </c>
      <c r="I341" s="9">
        <f ca="1" t="shared" si="5"/>
      </c>
      <c r="J341" s="14"/>
      <c r="K341" s="11"/>
      <c r="L341" s="11"/>
      <c r="M341" s="11"/>
      <c r="N341" s="103"/>
      <c r="O341" s="11"/>
      <c r="P341" s="11"/>
    </row>
    <row r="342" spans="1:16" ht="14.5" x14ac:dyDescent="0.25">
      <c r="A342" s="18">
        <v>334</v>
      </c>
      <c r="B342" s="19">
        <v>70000063</v>
      </c>
      <c r="C342" s="19">
        <v>172294</v>
      </c>
      <c r="D342" t="s" s="9">
        <v>192</v>
      </c>
      <c r="E342" t="s" s="9">
        <v>198</v>
      </c>
      <c r="F342" t="s" s="20">
        <v>461</v>
      </c>
      <c r="G342" t="s" s="10">
        <v>0</v>
      </c>
      <c r="H342" s="25">
        <v>45622</v>
      </c>
      <c r="I342" s="9">
        <f ca="1" t="shared" si="5"/>
      </c>
      <c r="J342" s="12"/>
      <c r="K342" s="13"/>
      <c r="L342" s="13"/>
      <c r="M342" s="13"/>
      <c r="N342" s="13"/>
      <c r="O342" s="13"/>
      <c r="P342" s="13"/>
    </row>
    <row r="343" spans="1:16" ht="14.5" x14ac:dyDescent="0.25">
      <c r="A343" s="18">
        <v>335</v>
      </c>
      <c r="B343" s="19">
        <v>70000030</v>
      </c>
      <c r="C343" s="19">
        <v>164290</v>
      </c>
      <c r="D343" t="s" s="9">
        <v>722</v>
      </c>
      <c r="E343" t="s" s="9">
        <v>195</v>
      </c>
      <c r="F343" t="s" s="20">
        <v>117</v>
      </c>
      <c r="G343" t="s" s="10">
        <v>0</v>
      </c>
      <c r="H343" s="25">
        <v>32730</v>
      </c>
      <c r="I343" s="9">
        <f ca="1" t="shared" si="5"/>
      </c>
      <c r="J343" s="12">
        <v>1</v>
      </c>
      <c r="K343" s="13">
        <v>2</v>
      </c>
      <c r="L343" s="13">
        <v>4</v>
      </c>
      <c r="M343" s="13"/>
      <c r="N343" s="13"/>
      <c r="O343" s="13"/>
      <c r="P343" s="13"/>
    </row>
    <row r="344" spans="1:16" ht="14.5" x14ac:dyDescent="0.25">
      <c r="A344" s="18">
        <v>336</v>
      </c>
      <c r="B344" s="19">
        <v>70000030</v>
      </c>
      <c r="C344" s="19">
        <v>167615</v>
      </c>
      <c r="D344" t="s" s="9">
        <v>608</v>
      </c>
      <c r="E344" t="s" s="9">
        <v>198</v>
      </c>
      <c r="F344" t="s" s="20">
        <v>462</v>
      </c>
      <c r="G344" t="s" s="10">
        <v>0</v>
      </c>
      <c r="H344" s="25">
        <v>36694</v>
      </c>
      <c r="I344" s="9">
        <f ca="1" t="shared" si="5"/>
      </c>
      <c r="J344" s="12"/>
      <c r="K344" s="13"/>
      <c r="L344" s="13"/>
      <c r="M344" s="13"/>
      <c r="N344" s="13"/>
      <c r="O344" s="13"/>
      <c r="P344" s="13"/>
    </row>
    <row r="345" spans="1:16" ht="14.5" x14ac:dyDescent="0.25">
      <c r="A345" s="18">
        <v>337</v>
      </c>
      <c r="B345" s="19">
        <v>70000030</v>
      </c>
      <c r="C345" s="19">
        <v>170448</v>
      </c>
      <c r="D345" t="s" s="9">
        <v>192</v>
      </c>
      <c r="E345" t="s" s="9">
        <v>195</v>
      </c>
      <c r="F345" t="s" s="20">
        <v>463</v>
      </c>
      <c r="G345" t="s" s="10">
        <v>0</v>
      </c>
      <c r="H345" s="25">
        <v>45224</v>
      </c>
      <c r="I345" s="9">
        <f ca="1" t="shared" si="5"/>
      </c>
      <c r="J345" s="12"/>
      <c r="K345" s="13"/>
      <c r="L345" s="13"/>
      <c r="M345" s="13"/>
      <c r="N345" s="13"/>
      <c r="O345" s="13"/>
      <c r="P345" s="13"/>
    </row>
    <row r="346" spans="1:16" ht="14.5" x14ac:dyDescent="0.25">
      <c r="A346" s="18">
        <v>338</v>
      </c>
      <c r="B346" s="19">
        <v>70000030</v>
      </c>
      <c r="C346" s="19">
        <v>173592</v>
      </c>
      <c r="D346" t="s" s="9">
        <v>192</v>
      </c>
      <c r="E346" t="s" s="9">
        <v>195</v>
      </c>
      <c r="F346" t="s" s="20">
        <v>464</v>
      </c>
      <c r="G346" t="s" s="10">
        <v>0</v>
      </c>
      <c r="H346" s="25">
        <v>45762</v>
      </c>
      <c r="I346" s="9">
        <f ca="1" t="shared" si="5"/>
      </c>
      <c r="J346" s="12"/>
      <c r="K346" s="13"/>
      <c r="L346" s="13"/>
      <c r="M346" s="13"/>
      <c r="N346" s="13"/>
      <c r="O346" s="13"/>
      <c r="P346" s="13"/>
    </row>
    <row r="347" spans="1:16" ht="14.5" x14ac:dyDescent="0.25">
      <c r="A347" s="18">
        <v>339</v>
      </c>
      <c r="B347" s="19">
        <v>70000046</v>
      </c>
      <c r="C347" s="19">
        <v>164297</v>
      </c>
      <c r="D347" t="s" s="9">
        <v>722</v>
      </c>
      <c r="E347" t="s" s="9">
        <v>195</v>
      </c>
      <c r="F347" t="s" s="20">
        <v>19</v>
      </c>
      <c r="G347" t="s" s="10">
        <v>0</v>
      </c>
      <c r="H347" s="25">
        <v>29323</v>
      </c>
      <c r="I347" s="9">
        <f ca="1" t="shared" si="5"/>
      </c>
      <c r="J347" s="12">
        <v>1</v>
      </c>
      <c r="K347" s="13">
        <v>5</v>
      </c>
      <c r="L347" s="13">
        <v>7</v>
      </c>
      <c r="M347" s="13"/>
      <c r="N347" s="13"/>
      <c r="O347" s="13"/>
      <c r="P347" s="13"/>
    </row>
    <row r="348" spans="1:16" ht="14.5" x14ac:dyDescent="0.25">
      <c r="A348" s="18">
        <v>340</v>
      </c>
      <c r="B348" s="19">
        <v>70000046</v>
      </c>
      <c r="C348" s="19">
        <v>164298</v>
      </c>
      <c r="D348" t="s" s="10">
        <v>608</v>
      </c>
      <c r="E348" t="s" s="9">
        <v>198</v>
      </c>
      <c r="F348" t="s" s="3">
        <v>465</v>
      </c>
      <c r="G348" t="s" s="10">
        <v>0</v>
      </c>
      <c r="H348" s="25">
        <v>31691</v>
      </c>
      <c r="I348" s="9">
        <f ca="1" t="shared" si="5"/>
      </c>
      <c r="J348" s="14"/>
      <c r="K348" s="11"/>
      <c r="L348" s="11"/>
      <c r="M348" s="11"/>
      <c r="N348" s="103"/>
      <c r="O348" s="11"/>
      <c r="P348" s="11"/>
    </row>
    <row r="349" spans="1:16" ht="14.5" x14ac:dyDescent="0.25">
      <c r="A349" s="18">
        <v>341</v>
      </c>
      <c r="B349" s="19">
        <v>70000046</v>
      </c>
      <c r="C349" s="19">
        <v>164299</v>
      </c>
      <c r="D349" t="s" s="9">
        <v>192</v>
      </c>
      <c r="E349" t="s" s="9">
        <v>195</v>
      </c>
      <c r="F349" t="s" s="20">
        <v>466</v>
      </c>
      <c r="G349" t="s" s="10">
        <v>0</v>
      </c>
      <c r="H349" s="25">
        <v>40892</v>
      </c>
      <c r="I349" s="9">
        <f ca="1" t="shared" si="5"/>
      </c>
      <c r="J349" s="12"/>
      <c r="K349" s="13"/>
      <c r="L349" s="13"/>
      <c r="M349" s="13"/>
      <c r="N349" s="13"/>
      <c r="O349" s="13"/>
      <c r="P349" s="13"/>
    </row>
    <row r="350" spans="1:16" ht="14.5" x14ac:dyDescent="0.25">
      <c r="A350" s="18">
        <v>342</v>
      </c>
      <c r="B350" s="19">
        <v>70000046</v>
      </c>
      <c r="C350" s="19">
        <v>164300</v>
      </c>
      <c r="D350" t="s" s="9">
        <v>192</v>
      </c>
      <c r="E350" t="s" s="9">
        <v>198</v>
      </c>
      <c r="F350" t="s" s="20">
        <v>467</v>
      </c>
      <c r="G350" t="s" s="10">
        <v>0</v>
      </c>
      <c r="H350" s="25">
        <v>40892</v>
      </c>
      <c r="I350" s="9">
        <f ca="1" t="shared" si="5"/>
      </c>
      <c r="J350" s="12"/>
      <c r="K350" s="13"/>
      <c r="L350" s="13"/>
      <c r="M350" s="13"/>
      <c r="N350" s="13"/>
      <c r="O350" s="13"/>
      <c r="P350" s="13"/>
    </row>
    <row r="351" spans="1:16" ht="14.5" x14ac:dyDescent="0.25">
      <c r="A351" s="18">
        <v>343</v>
      </c>
      <c r="B351" s="19">
        <v>70000046</v>
      </c>
      <c r="C351" s="19">
        <v>164301</v>
      </c>
      <c r="D351" t="s" s="9">
        <v>192</v>
      </c>
      <c r="E351" t="s" s="9">
        <v>198</v>
      </c>
      <c r="F351" t="s" s="20">
        <v>468</v>
      </c>
      <c r="G351" t="s" s="10">
        <v>0</v>
      </c>
      <c r="H351" s="25">
        <v>42586</v>
      </c>
      <c r="I351" s="9">
        <f ca="1" t="shared" si="5"/>
      </c>
      <c r="J351" s="12"/>
      <c r="K351" s="13"/>
      <c r="L351" s="13"/>
      <c r="M351" s="13"/>
      <c r="N351" s="13"/>
      <c r="O351" s="13"/>
      <c r="P351" s="13"/>
    </row>
    <row r="352" spans="1:16" ht="14.5" x14ac:dyDescent="0.25">
      <c r="A352" s="18">
        <v>344</v>
      </c>
      <c r="B352" s="19">
        <v>70000046</v>
      </c>
      <c r="C352" s="19">
        <v>164302</v>
      </c>
      <c r="D352" t="s" s="9">
        <v>192</v>
      </c>
      <c r="E352" t="s" s="9">
        <v>198</v>
      </c>
      <c r="F352" t="s" s="20">
        <v>469</v>
      </c>
      <c r="G352" t="s" s="10">
        <v>0</v>
      </c>
      <c r="H352" s="25">
        <v>44071</v>
      </c>
      <c r="I352" s="9">
        <f ca="1" t="shared" si="5"/>
      </c>
      <c r="J352" s="12"/>
      <c r="K352" s="13"/>
      <c r="L352" s="13"/>
      <c r="M352" s="13"/>
      <c r="N352" s="13"/>
      <c r="O352" s="13"/>
      <c r="P352" s="13"/>
    </row>
    <row r="353" spans="1:16" ht="14.5" x14ac:dyDescent="0.25">
      <c r="A353" s="18">
        <v>345</v>
      </c>
      <c r="B353" s="19">
        <v>70000046</v>
      </c>
      <c r="C353" s="19">
        <v>164303</v>
      </c>
      <c r="D353" t="s" s="9">
        <v>192</v>
      </c>
      <c r="E353" t="s" s="9">
        <v>198</v>
      </c>
      <c r="F353" t="s" s="20">
        <v>470</v>
      </c>
      <c r="G353" t="s" s="10">
        <v>0</v>
      </c>
      <c r="H353" s="25">
        <v>44071</v>
      </c>
      <c r="I353" s="9">
        <f ca="1" t="shared" si="5"/>
      </c>
      <c r="J353" s="12"/>
      <c r="K353" s="13"/>
      <c r="L353" s="13"/>
      <c r="M353" s="13"/>
      <c r="N353" s="13"/>
      <c r="O353" s="13"/>
      <c r="P353" s="13"/>
    </row>
    <row r="354" spans="1:16" ht="14.5" x14ac:dyDescent="0.25">
      <c r="A354" s="18">
        <v>346</v>
      </c>
      <c r="B354" s="19">
        <v>70000139</v>
      </c>
      <c r="C354" s="19">
        <v>164308</v>
      </c>
      <c r="D354" t="s" s="10">
        <v>722</v>
      </c>
      <c r="E354" t="s" s="9">
        <v>195</v>
      </c>
      <c r="F354" t="s" s="3">
        <v>157</v>
      </c>
      <c r="G354" t="s" s="10">
        <v>177</v>
      </c>
      <c r="H354" s="25">
        <v>30898</v>
      </c>
      <c r="I354" s="9">
        <f ca="1" t="shared" si="5"/>
      </c>
      <c r="J354" s="14">
        <v>1</v>
      </c>
      <c r="K354" s="11">
        <v>4</v>
      </c>
      <c r="L354" s="11">
        <v>6</v>
      </c>
      <c r="M354" s="11"/>
      <c r="N354" s="103"/>
      <c r="O354" s="11"/>
      <c r="P354" s="11"/>
    </row>
    <row r="355" spans="1:16" ht="14.5" x14ac:dyDescent="0.25">
      <c r="A355" s="18">
        <v>347</v>
      </c>
      <c r="B355" s="19">
        <v>70000139</v>
      </c>
      <c r="C355" s="19">
        <v>164309</v>
      </c>
      <c r="D355" t="s" s="9">
        <v>608</v>
      </c>
      <c r="E355" t="s" s="9">
        <v>198</v>
      </c>
      <c r="F355" t="s" s="20">
        <v>471</v>
      </c>
      <c r="G355" t="s" s="10">
        <v>177</v>
      </c>
      <c r="H355" s="25">
        <v>33408</v>
      </c>
      <c r="I355" s="9">
        <f ca="1" t="shared" si="5"/>
      </c>
      <c r="J355" s="12"/>
      <c r="K355" s="13"/>
      <c r="L355" s="13"/>
      <c r="M355" s="13"/>
      <c r="N355" s="13"/>
      <c r="O355" s="13"/>
      <c r="P355" s="13"/>
    </row>
    <row r="356" spans="1:16" ht="14.5" x14ac:dyDescent="0.25">
      <c r="A356" s="18">
        <v>348</v>
      </c>
      <c r="B356" s="19">
        <v>70000139</v>
      </c>
      <c r="C356" s="19">
        <v>164310</v>
      </c>
      <c r="D356" t="s" s="9">
        <v>192</v>
      </c>
      <c r="E356" t="s" s="9">
        <v>195</v>
      </c>
      <c r="F356" t="s" s="20">
        <v>472</v>
      </c>
      <c r="G356" t="s" s="10">
        <v>177</v>
      </c>
      <c r="H356" s="25">
        <v>41752</v>
      </c>
      <c r="I356" s="9">
        <f ca="1" t="shared" si="5"/>
      </c>
      <c r="J356" s="12"/>
      <c r="K356" s="13"/>
      <c r="L356" s="13"/>
      <c r="M356" s="13"/>
      <c r="N356" s="13"/>
      <c r="O356" s="13"/>
      <c r="P356" s="13"/>
    </row>
    <row r="357" spans="1:16" ht="14.5" x14ac:dyDescent="0.25">
      <c r="A357" s="18">
        <v>349</v>
      </c>
      <c r="B357" s="19">
        <v>70000139</v>
      </c>
      <c r="C357" s="19">
        <v>164311</v>
      </c>
      <c r="D357" t="s" s="9">
        <v>192</v>
      </c>
      <c r="E357" t="s" s="9">
        <v>195</v>
      </c>
      <c r="F357" t="s" s="20">
        <v>473</v>
      </c>
      <c r="G357" t="s" s="10">
        <v>177</v>
      </c>
      <c r="H357" s="25">
        <v>42450</v>
      </c>
      <c r="I357" s="9">
        <f ca="1" t="shared" si="5"/>
      </c>
      <c r="J357" s="12"/>
      <c r="K357" s="13"/>
      <c r="L357" s="13"/>
      <c r="M357" s="13"/>
      <c r="N357" s="13"/>
      <c r="O357" s="13"/>
      <c r="P357" s="13"/>
    </row>
    <row r="358" spans="1:16" ht="14.5" x14ac:dyDescent="0.25">
      <c r="A358" s="18">
        <v>350</v>
      </c>
      <c r="B358" s="19">
        <v>70000139</v>
      </c>
      <c r="C358" s="19">
        <v>164312</v>
      </c>
      <c r="D358" t="s" s="9">
        <v>192</v>
      </c>
      <c r="E358" t="s" s="9">
        <v>195</v>
      </c>
      <c r="F358" t="s" s="20">
        <v>474</v>
      </c>
      <c r="G358" t="s" s="10">
        <v>177</v>
      </c>
      <c r="H358" s="25">
        <v>42873</v>
      </c>
      <c r="I358" s="9">
        <f ca="1" t="shared" si="5"/>
      </c>
      <c r="J358" s="12"/>
      <c r="K358" s="13"/>
      <c r="L358" s="13"/>
      <c r="M358" s="13"/>
      <c r="N358" s="13"/>
      <c r="O358" s="13"/>
      <c r="P358" s="13"/>
    </row>
    <row r="359" spans="1:16" ht="14.5" x14ac:dyDescent="0.25">
      <c r="A359" s="18">
        <v>351</v>
      </c>
      <c r="B359" s="19">
        <v>70000139</v>
      </c>
      <c r="C359" s="19">
        <v>165474</v>
      </c>
      <c r="D359" t="s" s="9">
        <v>192</v>
      </c>
      <c r="E359" t="s" s="9">
        <v>198</v>
      </c>
      <c r="F359" t="s" s="20">
        <v>475</v>
      </c>
      <c r="G359" t="s" s="10">
        <v>177</v>
      </c>
      <c r="H359" s="25">
        <v>44157</v>
      </c>
      <c r="I359" s="9">
        <f ca="1" t="shared" si="5"/>
      </c>
      <c r="J359" s="12"/>
      <c r="K359" s="13"/>
      <c r="L359" s="13"/>
      <c r="M359" s="13"/>
      <c r="N359" s="13"/>
      <c r="O359" s="13"/>
      <c r="P359" s="13"/>
    </row>
    <row r="360" spans="1:16" ht="14.5" x14ac:dyDescent="0.25">
      <c r="A360" s="18">
        <v>352</v>
      </c>
      <c r="B360" s="19">
        <v>70000034</v>
      </c>
      <c r="C360" s="19">
        <v>164313</v>
      </c>
      <c r="D360" t="s" s="10">
        <v>722</v>
      </c>
      <c r="E360" t="s" s="9">
        <v>195</v>
      </c>
      <c r="F360" t="s" s="3">
        <v>44</v>
      </c>
      <c r="G360" t="s" s="10">
        <v>177</v>
      </c>
      <c r="H360" s="25">
        <v>31762</v>
      </c>
      <c r="I360" s="9">
        <f ca="1" t="shared" si="5"/>
      </c>
      <c r="J360" s="14">
        <v>1</v>
      </c>
      <c r="K360" s="11">
        <v>4</v>
      </c>
      <c r="L360" s="11">
        <v>6</v>
      </c>
      <c r="M360" s="11"/>
      <c r="N360" s="103"/>
      <c r="O360" s="11"/>
      <c r="P360" s="11"/>
    </row>
    <row r="361" spans="1:16" ht="14.5" x14ac:dyDescent="0.25">
      <c r="A361" s="18">
        <v>353</v>
      </c>
      <c r="B361" s="19">
        <v>70000034</v>
      </c>
      <c r="C361" s="19">
        <v>164314</v>
      </c>
      <c r="D361" t="s" s="9">
        <v>608</v>
      </c>
      <c r="E361" t="s" s="9">
        <v>198</v>
      </c>
      <c r="F361" t="s" s="20">
        <v>476</v>
      </c>
      <c r="G361" t="s" s="10">
        <v>177</v>
      </c>
      <c r="H361" s="25">
        <v>35543</v>
      </c>
      <c r="I361" s="9">
        <f ca="1" t="shared" si="5"/>
      </c>
      <c r="J361" s="12"/>
      <c r="K361" s="13"/>
      <c r="L361" s="13"/>
      <c r="M361" s="13"/>
      <c r="N361" s="13"/>
      <c r="O361" s="13"/>
      <c r="P361" s="13"/>
    </row>
    <row r="362" spans="1:16" ht="14.5" x14ac:dyDescent="0.25">
      <c r="A362" s="18">
        <v>354</v>
      </c>
      <c r="B362" s="19">
        <v>70000034</v>
      </c>
      <c r="C362" s="19">
        <v>164315</v>
      </c>
      <c r="D362" t="s" s="9">
        <v>192</v>
      </c>
      <c r="E362" t="s" s="9">
        <v>195</v>
      </c>
      <c r="F362" t="s" s="20">
        <v>477</v>
      </c>
      <c r="G362" t="s" s="10">
        <v>177</v>
      </c>
      <c r="H362" s="25">
        <v>43772</v>
      </c>
      <c r="I362" s="5">
        <f ca="1" t="shared" si="5"/>
      </c>
      <c r="J362" s="12"/>
      <c r="K362" s="13"/>
      <c r="L362" s="13"/>
      <c r="M362" s="13"/>
      <c r="N362" s="13"/>
      <c r="O362" s="13"/>
      <c r="P362" s="13"/>
    </row>
    <row r="363" spans="1:16" ht="14.5" x14ac:dyDescent="0.25">
      <c r="A363" s="18">
        <v>355</v>
      </c>
      <c r="B363" s="19">
        <v>70000034</v>
      </c>
      <c r="C363" s="19">
        <v>164809</v>
      </c>
      <c r="D363" t="s" s="9">
        <v>192</v>
      </c>
      <c r="E363" t="s" s="9">
        <v>195</v>
      </c>
      <c r="F363" t="s" s="20">
        <v>478</v>
      </c>
      <c r="G363" t="s" s="10">
        <v>177</v>
      </c>
      <c r="H363" s="25">
        <v>44566</v>
      </c>
      <c r="I363" s="9">
        <f ca="1" t="shared" si="5"/>
      </c>
      <c r="J363" s="12"/>
      <c r="K363" s="13"/>
      <c r="L363" s="13"/>
      <c r="M363" s="13"/>
      <c r="N363" s="13"/>
      <c r="O363" s="13"/>
      <c r="P363" s="13"/>
    </row>
    <row r="364" spans="1:16" ht="14.5" x14ac:dyDescent="0.25">
      <c r="A364" s="18">
        <v>356</v>
      </c>
      <c r="B364" s="19">
        <v>70000034</v>
      </c>
      <c r="C364" s="19">
        <v>172626</v>
      </c>
      <c r="D364" t="s" s="10">
        <v>192</v>
      </c>
      <c r="E364" t="s" s="9">
        <v>198</v>
      </c>
      <c r="F364" t="s" s="3">
        <v>479</v>
      </c>
      <c r="G364" t="s" s="10">
        <v>177</v>
      </c>
      <c r="H364" s="25">
        <v>45639</v>
      </c>
      <c r="I364" s="9">
        <f ca="1" t="shared" si="5"/>
      </c>
      <c r="J364" s="14"/>
      <c r="K364" s="11"/>
      <c r="L364" s="11"/>
      <c r="M364" s="11"/>
      <c r="N364" s="103"/>
      <c r="O364" s="11"/>
      <c r="P364" s="11"/>
    </row>
    <row r="365" spans="1:16" ht="14.5" x14ac:dyDescent="0.25">
      <c r="A365" s="18">
        <v>357</v>
      </c>
      <c r="B365" s="19">
        <v>70000034</v>
      </c>
      <c r="C365" s="19">
        <v>177821</v>
      </c>
      <c r="D365" t="s" s="9">
        <v>192</v>
      </c>
      <c r="E365" t="s" s="9">
        <v>195</v>
      </c>
      <c r="F365" t="s" s="20">
        <v>480</v>
      </c>
      <c r="G365" t="s" s="10">
        <v>177</v>
      </c>
      <c r="H365" s="25">
        <v>45996</v>
      </c>
      <c r="I365" s="9">
        <f ca="1" t="shared" si="5"/>
      </c>
      <c r="J365" s="12"/>
      <c r="K365" s="13"/>
      <c r="L365" s="13"/>
      <c r="M365" s="13"/>
      <c r="N365" s="13"/>
      <c r="O365" s="13"/>
      <c r="P365" s="13"/>
    </row>
    <row r="366" spans="1:16" ht="14.5" x14ac:dyDescent="0.25">
      <c r="A366" s="18">
        <v>358</v>
      </c>
      <c r="B366" s="19">
        <v>70000022</v>
      </c>
      <c r="C366" s="19">
        <v>164316</v>
      </c>
      <c r="D366" t="s" s="9">
        <v>722</v>
      </c>
      <c r="E366" t="s" s="9">
        <v>198</v>
      </c>
      <c r="F366" t="s" s="20">
        <v>148</v>
      </c>
      <c r="G366" t="s" s="10">
        <v>177</v>
      </c>
      <c r="H366" s="25">
        <v>29186</v>
      </c>
      <c r="I366" s="9">
        <f ca="1" t="shared" si="5"/>
      </c>
      <c r="J366" s="12">
        <v>1</v>
      </c>
      <c r="K366" s="13">
        <v>2</v>
      </c>
      <c r="L366" s="13">
        <v>4</v>
      </c>
      <c r="M366" s="13"/>
      <c r="N366" s="13"/>
      <c r="O366" s="13"/>
      <c r="P366" s="13"/>
    </row>
    <row r="367" spans="1:16" ht="14.5" x14ac:dyDescent="0.25">
      <c r="A367" s="18">
        <v>359</v>
      </c>
      <c r="B367" s="19">
        <v>70000022</v>
      </c>
      <c r="C367" s="19">
        <v>164317</v>
      </c>
      <c r="D367" t="s" s="10">
        <v>608</v>
      </c>
      <c r="E367" t="s" s="9">
        <v>195</v>
      </c>
      <c r="F367" t="s" s="3">
        <v>481</v>
      </c>
      <c r="G367" t="s" s="10">
        <v>177</v>
      </c>
      <c r="H367" s="25">
        <v>30503</v>
      </c>
      <c r="I367" s="9">
        <f ca="1" t="shared" si="5"/>
      </c>
      <c r="J367" s="14"/>
      <c r="K367" s="11"/>
      <c r="L367" s="11"/>
      <c r="M367" s="11"/>
      <c r="N367" s="103"/>
      <c r="O367" s="11"/>
      <c r="P367" s="11"/>
    </row>
    <row r="368" spans="1:16" ht="14.5" x14ac:dyDescent="0.25">
      <c r="A368" s="18">
        <v>360</v>
      </c>
      <c r="B368" s="19">
        <v>70000022</v>
      </c>
      <c r="C368" s="19">
        <v>164318</v>
      </c>
      <c r="D368" t="s" s="9">
        <v>192</v>
      </c>
      <c r="E368" t="s" s="9">
        <v>195</v>
      </c>
      <c r="F368" t="s" s="20">
        <v>482</v>
      </c>
      <c r="G368" t="s" s="10">
        <v>177</v>
      </c>
      <c r="H368" s="25">
        <v>43890</v>
      </c>
      <c r="I368" s="10">
        <f ca="1" t="shared" si="5"/>
      </c>
      <c r="J368" s="12"/>
      <c r="K368" s="13"/>
      <c r="L368" s="13"/>
      <c r="M368" s="13"/>
      <c r="N368" s="13"/>
      <c r="O368" s="13"/>
      <c r="P368" s="13"/>
    </row>
    <row r="369" spans="1:16" ht="14.5" x14ac:dyDescent="0.25">
      <c r="A369" s="18">
        <v>361</v>
      </c>
      <c r="B369" s="19">
        <v>70000022</v>
      </c>
      <c r="C369" s="19">
        <v>171400</v>
      </c>
      <c r="D369" t="s" s="9">
        <v>192</v>
      </c>
      <c r="E369" t="s" s="9">
        <v>195</v>
      </c>
      <c r="F369" t="s" s="20">
        <v>483</v>
      </c>
      <c r="G369" t="s" s="10">
        <v>177</v>
      </c>
      <c r="H369" s="25">
        <v>45389</v>
      </c>
      <c r="I369" s="5">
        <f ca="1" t="shared" si="5"/>
      </c>
      <c r="J369" s="12"/>
      <c r="K369" s="13"/>
      <c r="L369" s="13"/>
      <c r="M369" s="13"/>
      <c r="N369" s="13"/>
      <c r="O369" s="13"/>
      <c r="P369" s="13"/>
    </row>
    <row r="370" spans="1:16" ht="14.5" x14ac:dyDescent="0.25">
      <c r="A370" s="18">
        <v>362</v>
      </c>
      <c r="B370" s="19">
        <v>70000180</v>
      </c>
      <c r="C370" s="19">
        <v>164319</v>
      </c>
      <c r="D370" t="s" s="9">
        <v>722</v>
      </c>
      <c r="E370" t="s" s="9">
        <v>195</v>
      </c>
      <c r="F370" t="s" s="20">
        <v>75</v>
      </c>
      <c r="G370" t="s" s="10">
        <v>177</v>
      </c>
      <c r="H370" s="25">
        <v>29501</v>
      </c>
      <c r="I370" s="9">
        <f ca="1" t="shared" si="5"/>
      </c>
      <c r="J370" s="12">
        <v>1</v>
      </c>
      <c r="K370" s="13">
        <v>1</v>
      </c>
      <c r="L370" s="13">
        <v>3</v>
      </c>
      <c r="M370" s="13"/>
      <c r="N370" s="13"/>
      <c r="O370" s="13"/>
      <c r="P370" s="13"/>
    </row>
    <row r="371" spans="1:16" ht="14.5" x14ac:dyDescent="0.25">
      <c r="A371" s="18">
        <v>363</v>
      </c>
      <c r="B371" s="19">
        <v>70000180</v>
      </c>
      <c r="C371" s="19">
        <v>164320</v>
      </c>
      <c r="D371" t="s" s="10">
        <v>608</v>
      </c>
      <c r="E371" t="s" s="9">
        <v>198</v>
      </c>
      <c r="F371" t="s" s="3">
        <v>484</v>
      </c>
      <c r="G371" t="s" s="10">
        <v>177</v>
      </c>
      <c r="H371" s="25">
        <v>31675</v>
      </c>
      <c r="I371" s="9">
        <f ca="1" t="shared" si="5"/>
      </c>
      <c r="J371" s="12"/>
      <c r="K371" s="11"/>
      <c r="L371" s="11"/>
      <c r="M371" s="11"/>
      <c r="N371" s="103"/>
      <c r="O371" s="11"/>
      <c r="P371" s="11"/>
    </row>
    <row r="372" spans="1:16" ht="14.5" x14ac:dyDescent="0.25">
      <c r="A372" s="18">
        <v>364</v>
      </c>
      <c r="B372" s="19">
        <v>70000180</v>
      </c>
      <c r="C372" s="19">
        <v>167511</v>
      </c>
      <c r="D372" t="s" s="9">
        <v>192</v>
      </c>
      <c r="E372" t="s" s="9">
        <v>195</v>
      </c>
      <c r="F372" t="s" s="20">
        <v>485</v>
      </c>
      <c r="G372" t="s" s="10">
        <v>177</v>
      </c>
      <c r="H372" s="25">
        <v>44816</v>
      </c>
      <c r="I372" s="9">
        <f ca="1" t="shared" si="5"/>
      </c>
      <c r="J372" s="12"/>
      <c r="K372" s="13"/>
      <c r="L372" s="13"/>
      <c r="M372" s="13"/>
      <c r="N372" s="13"/>
      <c r="O372" s="13"/>
      <c r="P372" s="13"/>
    </row>
    <row r="373" spans="1:16" ht="14.5" x14ac:dyDescent="0.25">
      <c r="A373" s="18">
        <v>365</v>
      </c>
      <c r="B373" s="19">
        <v>70000083</v>
      </c>
      <c r="C373" s="19">
        <v>164321</v>
      </c>
      <c r="D373" t="s" s="9">
        <v>722</v>
      </c>
      <c r="E373" t="s" s="9">
        <v>195</v>
      </c>
      <c r="F373" t="s" s="20">
        <v>142</v>
      </c>
      <c r="G373" t="s" s="10">
        <v>0</v>
      </c>
      <c r="H373" s="25">
        <v>34515</v>
      </c>
      <c r="I373" s="9">
        <f ca="1" t="shared" si="5"/>
      </c>
      <c r="J373" s="12">
        <v>1</v>
      </c>
      <c r="K373" s="13">
        <v>3</v>
      </c>
      <c r="L373" s="13">
        <v>5</v>
      </c>
      <c r="M373" s="13"/>
      <c r="N373" s="13"/>
      <c r="O373" s="13"/>
      <c r="P373" s="13"/>
    </row>
    <row r="374" spans="1:16" ht="14.5" x14ac:dyDescent="0.25">
      <c r="A374" s="18">
        <v>366</v>
      </c>
      <c r="B374" s="19">
        <v>70000083</v>
      </c>
      <c r="C374" s="19">
        <v>164322</v>
      </c>
      <c r="D374" t="s" s="10">
        <v>608</v>
      </c>
      <c r="E374" t="s" s="9">
        <v>198</v>
      </c>
      <c r="F374" t="s" s="3">
        <v>486</v>
      </c>
      <c r="G374" t="s" s="10">
        <v>0</v>
      </c>
      <c r="H374" s="25">
        <v>35145</v>
      </c>
      <c r="I374" s="9">
        <f ca="1" t="shared" si="5"/>
      </c>
      <c r="J374" s="14"/>
      <c r="K374" s="11"/>
      <c r="L374" s="11"/>
      <c r="M374" s="11"/>
      <c r="N374" s="103"/>
      <c r="O374" s="11"/>
      <c r="P374" s="11"/>
    </row>
    <row r="375" spans="1:16" ht="14.5" x14ac:dyDescent="0.25">
      <c r="A375" s="18">
        <v>367</v>
      </c>
      <c r="B375" s="19">
        <v>70000083</v>
      </c>
      <c r="C375" s="19">
        <v>164323</v>
      </c>
      <c r="D375" t="s" s="9">
        <v>192</v>
      </c>
      <c r="E375" t="s" s="9">
        <v>195</v>
      </c>
      <c r="F375" t="s" s="20">
        <v>487</v>
      </c>
      <c r="G375" t="s" s="10">
        <v>0</v>
      </c>
      <c r="H375" s="25">
        <v>44181</v>
      </c>
      <c r="I375" s="9">
        <f ca="1" t="shared" si="5"/>
      </c>
      <c r="J375" s="12"/>
      <c r="K375" s="13"/>
      <c r="L375" s="13"/>
      <c r="M375" s="13"/>
      <c r="N375" s="13"/>
      <c r="O375" s="13"/>
      <c r="P375" s="13"/>
    </row>
    <row r="376" spans="1:16" ht="14.5" x14ac:dyDescent="0.25">
      <c r="A376" s="18">
        <v>368</v>
      </c>
      <c r="B376" s="19">
        <v>70000083</v>
      </c>
      <c r="C376" s="19">
        <v>166414</v>
      </c>
      <c r="D376" t="s" s="9">
        <v>192</v>
      </c>
      <c r="E376" t="s" s="9">
        <v>198</v>
      </c>
      <c r="F376" t="s" s="20">
        <v>488</v>
      </c>
      <c r="G376" t="s" s="10">
        <v>0</v>
      </c>
      <c r="H376" s="25">
        <v>44681</v>
      </c>
      <c r="I376" s="9">
        <f ca="1" t="shared" si="5"/>
      </c>
      <c r="J376" s="12"/>
      <c r="K376" s="13"/>
      <c r="L376" s="13"/>
      <c r="M376" s="13"/>
      <c r="N376" s="13"/>
      <c r="O376" s="13"/>
      <c r="P376" s="13"/>
    </row>
    <row r="377" spans="1:16" ht="14.5" x14ac:dyDescent="0.25">
      <c r="A377" s="18">
        <v>709</v>
      </c>
      <c r="B377" s="19">
        <v>70000083</v>
      </c>
      <c r="C377" s="19">
        <v>178098</v>
      </c>
      <c r="D377" t="s" s="9">
        <v>192</v>
      </c>
      <c r="E377" t="s" s="9">
        <v>198</v>
      </c>
      <c r="F377" t="s" s="20">
        <v>767</v>
      </c>
      <c r="G377" t="s" s="10">
        <v>0</v>
      </c>
      <c r="H377" s="25">
        <v>46195</v>
      </c>
      <c r="I377" s="9">
        <f ca="1" t="shared" si="5"/>
      </c>
      <c r="J377" s="12"/>
      <c r="K377" s="13"/>
      <c r="L377" s="13"/>
      <c r="M377" s="13"/>
      <c r="N377" t="s" s="13">
        <v>766</v>
      </c>
      <c r="O377" s="13"/>
      <c r="P377" s="13"/>
    </row>
    <row r="378" spans="1:16" ht="14.5" x14ac:dyDescent="0.25">
      <c r="A378" s="18">
        <v>369</v>
      </c>
      <c r="B378" s="19">
        <v>70000084</v>
      </c>
      <c r="C378" s="19">
        <v>164326</v>
      </c>
      <c r="D378" t="s" s="10">
        <v>722</v>
      </c>
      <c r="E378" t="s" s="9">
        <v>195</v>
      </c>
      <c r="F378" t="s" s="3">
        <v>143</v>
      </c>
      <c r="G378" t="s" s="10">
        <v>0</v>
      </c>
      <c r="H378" s="25">
        <v>34125</v>
      </c>
      <c r="I378" s="9">
        <f ca="1" t="shared" si="5"/>
      </c>
      <c r="J378" s="14">
        <v>0</v>
      </c>
      <c r="K378" s="15">
        <v>2</v>
      </c>
      <c r="L378" s="11">
        <v>3</v>
      </c>
      <c r="M378" s="13"/>
      <c r="N378" s="13"/>
      <c r="O378" s="13"/>
      <c r="P378" s="13"/>
    </row>
    <row r="379" spans="1:16" ht="14.5" x14ac:dyDescent="0.25">
      <c r="A379" s="18">
        <v>370</v>
      </c>
      <c r="B379" s="19">
        <v>70000084</v>
      </c>
      <c r="C379" s="19">
        <v>164327</v>
      </c>
      <c r="D379" t="s" s="9">
        <v>192</v>
      </c>
      <c r="E379" t="s" s="9">
        <v>198</v>
      </c>
      <c r="F379" t="s" s="20">
        <v>489</v>
      </c>
      <c r="G379" t="s" s="10">
        <v>0</v>
      </c>
      <c r="H379" s="25">
        <v>43740</v>
      </c>
      <c r="I379" s="9">
        <f ca="1" t="shared" si="5"/>
      </c>
      <c r="J379" s="12"/>
      <c r="K379" s="13"/>
      <c r="L379" s="13"/>
      <c r="M379" s="13"/>
      <c r="N379" s="13"/>
      <c r="O379" s="13"/>
      <c r="P379" s="13"/>
    </row>
    <row r="380" spans="1:16" ht="14.5" x14ac:dyDescent="0.25">
      <c r="A380" s="18">
        <v>371</v>
      </c>
      <c r="B380" s="19">
        <v>70000084</v>
      </c>
      <c r="C380" s="19">
        <v>167051</v>
      </c>
      <c r="D380" t="s" s="10">
        <v>192</v>
      </c>
      <c r="E380" t="s" s="9">
        <v>195</v>
      </c>
      <c r="F380" t="s" s="3">
        <v>490</v>
      </c>
      <c r="G380" t="s" s="10">
        <v>0</v>
      </c>
      <c r="H380" s="25">
        <v>44723</v>
      </c>
      <c r="I380" s="9">
        <f ca="1" t="shared" si="5"/>
      </c>
      <c r="J380" s="14"/>
      <c r="K380" s="15"/>
      <c r="L380" s="11"/>
      <c r="M380" s="13"/>
      <c r="N380" s="13"/>
      <c r="O380" s="13"/>
      <c r="P380" s="13"/>
    </row>
    <row r="381" spans="1:16" ht="14.5" x14ac:dyDescent="0.25">
      <c r="A381" s="18">
        <v>372</v>
      </c>
      <c r="B381" s="19">
        <v>70000107</v>
      </c>
      <c r="C381" s="19">
        <v>164328</v>
      </c>
      <c r="D381" t="s" s="9">
        <v>722</v>
      </c>
      <c r="E381" t="s" s="10">
        <v>198</v>
      </c>
      <c r="F381" t="s" s="20">
        <v>66</v>
      </c>
      <c r="G381" t="s" s="10">
        <v>0</v>
      </c>
      <c r="H381" s="25">
        <v>31105</v>
      </c>
      <c r="I381" s="9">
        <f ca="1" t="shared" si="5"/>
      </c>
      <c r="J381" s="12">
        <v>1</v>
      </c>
      <c r="K381" s="13">
        <v>2</v>
      </c>
      <c r="L381" s="13">
        <v>4</v>
      </c>
      <c r="M381" s="13"/>
      <c r="N381" s="13"/>
      <c r="O381" s="13"/>
      <c r="P381" s="13"/>
    </row>
    <row r="382" spans="1:16" ht="14.5" x14ac:dyDescent="0.25">
      <c r="A382" s="18">
        <v>373</v>
      </c>
      <c r="B382" s="19">
        <v>70000107</v>
      </c>
      <c r="C382" s="19">
        <v>164329</v>
      </c>
      <c r="D382" t="s" s="10">
        <v>608</v>
      </c>
      <c r="E382" t="s" s="9">
        <v>195</v>
      </c>
      <c r="F382" t="s" s="3">
        <v>738</v>
      </c>
      <c r="G382" t="s" s="10">
        <v>0</v>
      </c>
      <c r="H382" s="25">
        <v>28282</v>
      </c>
      <c r="I382" s="9">
        <f ca="1" t="shared" si="5"/>
      </c>
      <c r="J382" s="14"/>
      <c r="K382" s="15"/>
      <c r="L382" s="11"/>
      <c r="M382" s="13"/>
      <c r="N382" s="13"/>
      <c r="O382" s="13"/>
      <c r="P382" s="13"/>
    </row>
    <row r="383" spans="1:16" ht="14.5" x14ac:dyDescent="0.25">
      <c r="A383" s="18">
        <v>374</v>
      </c>
      <c r="B383" s="19">
        <v>70000107</v>
      </c>
      <c r="C383" s="19">
        <v>164330</v>
      </c>
      <c r="D383" t="s" s="9">
        <v>192</v>
      </c>
      <c r="E383" t="s" s="9">
        <v>198</v>
      </c>
      <c r="F383" t="s" s="20">
        <v>491</v>
      </c>
      <c r="G383" t="s" s="10">
        <v>0</v>
      </c>
      <c r="H383" s="25">
        <v>40585</v>
      </c>
      <c r="I383" s="9">
        <f ca="1" t="shared" si="5"/>
      </c>
      <c r="J383" s="12"/>
      <c r="K383" s="13"/>
      <c r="L383" s="13"/>
      <c r="M383" s="13"/>
      <c r="N383" s="13"/>
      <c r="O383" s="13"/>
      <c r="P383" s="13"/>
    </row>
    <row r="384" spans="1:16" ht="14.5" x14ac:dyDescent="0.25">
      <c r="A384" s="18">
        <v>375</v>
      </c>
      <c r="B384" s="19">
        <v>70000107</v>
      </c>
      <c r="C384" s="19">
        <v>164331</v>
      </c>
      <c r="D384" t="s" s="10">
        <v>192</v>
      </c>
      <c r="E384" t="s" s="9">
        <v>195</v>
      </c>
      <c r="F384" t="s" s="3">
        <v>492</v>
      </c>
      <c r="G384" t="s" s="10">
        <v>0</v>
      </c>
      <c r="H384" s="25">
        <v>41803</v>
      </c>
      <c r="I384" s="9">
        <f ca="1" t="shared" si="5"/>
      </c>
      <c r="J384" s="12"/>
      <c r="K384" s="11"/>
      <c r="L384" s="11"/>
      <c r="M384" s="11"/>
      <c r="N384" s="103"/>
      <c r="O384" s="11"/>
      <c r="P384" s="11"/>
    </row>
    <row r="385" spans="1:16" ht="14.5" x14ac:dyDescent="0.25">
      <c r="A385" s="18">
        <v>376</v>
      </c>
      <c r="B385" s="19">
        <v>70000135</v>
      </c>
      <c r="C385" s="19">
        <v>164332</v>
      </c>
      <c r="D385" t="s" s="9">
        <v>722</v>
      </c>
      <c r="E385" t="s" s="9">
        <v>195</v>
      </c>
      <c r="F385" t="s" s="20">
        <v>48</v>
      </c>
      <c r="G385" t="s" s="10">
        <v>177</v>
      </c>
      <c r="H385" s="25">
        <v>31172</v>
      </c>
      <c r="I385" s="9">
        <f ca="1" t="shared" si="5"/>
      </c>
      <c r="J385" s="12">
        <v>1</v>
      </c>
      <c r="K385" s="13">
        <v>0</v>
      </c>
      <c r="L385" s="13">
        <v>2</v>
      </c>
      <c r="M385" s="13"/>
      <c r="N385" s="13"/>
      <c r="O385" s="13"/>
      <c r="P385" s="13"/>
    </row>
    <row r="386" spans="1:16" ht="14.5" x14ac:dyDescent="0.25">
      <c r="A386" s="18">
        <v>377</v>
      </c>
      <c r="B386" s="19">
        <v>70000135</v>
      </c>
      <c r="C386" s="19">
        <v>169198</v>
      </c>
      <c r="D386" t="s" s="9">
        <v>608</v>
      </c>
      <c r="E386" t="s" s="9">
        <v>198</v>
      </c>
      <c r="F386" t="s" s="20">
        <v>493</v>
      </c>
      <c r="G386" t="s" s="10">
        <v>177</v>
      </c>
      <c r="H386" s="25">
        <v>33760</v>
      </c>
      <c r="I386" s="9">
        <f ca="1" t="shared" si="5"/>
      </c>
      <c r="J386" s="12"/>
      <c r="K386" s="13"/>
      <c r="L386" s="13"/>
      <c r="M386" s="13"/>
      <c r="N386" s="13"/>
      <c r="O386" s="13"/>
      <c r="P386" s="13"/>
    </row>
    <row r="387" spans="1:16" ht="14.5" x14ac:dyDescent="0.25">
      <c r="A387" s="18">
        <v>378</v>
      </c>
      <c r="B387" s="19">
        <v>70000072</v>
      </c>
      <c r="C387" s="19">
        <v>164333</v>
      </c>
      <c r="D387" t="s" s="9">
        <v>722</v>
      </c>
      <c r="E387" t="s" s="9">
        <v>195</v>
      </c>
      <c r="F387" t="s" s="20">
        <v>123</v>
      </c>
      <c r="G387" t="s" s="10">
        <v>0</v>
      </c>
      <c r="H387" s="25">
        <v>33232</v>
      </c>
      <c r="I387" s="9">
        <f ca="1" t="shared" ref="I387:I450" si="6">DATEDIF(H387,TODAY(),"Y")</f>
      </c>
      <c r="J387" s="12">
        <v>1</v>
      </c>
      <c r="K387" s="13">
        <v>0</v>
      </c>
      <c r="L387" s="13">
        <v>2</v>
      </c>
      <c r="M387" s="13"/>
      <c r="N387" s="13"/>
      <c r="O387" s="13"/>
      <c r="P387" s="13"/>
    </row>
    <row r="388" spans="1:16" ht="14.5" x14ac:dyDescent="0.25">
      <c r="A388" s="18">
        <v>379</v>
      </c>
      <c r="B388" s="19">
        <v>70000072</v>
      </c>
      <c r="C388" s="19">
        <v>177748</v>
      </c>
      <c r="D388" t="s" s="9">
        <v>608</v>
      </c>
      <c r="E388" t="s" s="9">
        <v>198</v>
      </c>
      <c r="F388" t="s" s="20">
        <v>494</v>
      </c>
      <c r="G388" t="s" s="10">
        <v>0</v>
      </c>
      <c r="H388" s="25">
        <v>37086</v>
      </c>
      <c r="I388" s="9">
        <f ca="1" t="shared" si="6"/>
      </c>
      <c r="J388" s="12"/>
      <c r="K388" s="13"/>
      <c r="L388" s="13"/>
      <c r="M388" s="13"/>
      <c r="N388" s="13"/>
      <c r="O388" s="13"/>
      <c r="P388" s="13"/>
    </row>
    <row r="389" spans="1:16" ht="14.5" x14ac:dyDescent="0.25">
      <c r="A389" s="18">
        <v>380</v>
      </c>
      <c r="B389" s="19">
        <v>70000200</v>
      </c>
      <c r="C389" s="19">
        <v>164334</v>
      </c>
      <c r="D389" t="s" s="10">
        <v>722</v>
      </c>
      <c r="E389" t="s" s="9">
        <v>198</v>
      </c>
      <c r="F389" t="s" s="3">
        <v>76</v>
      </c>
      <c r="G389" t="s" s="10">
        <v>177</v>
      </c>
      <c r="H389" s="25">
        <v>32406</v>
      </c>
      <c r="I389" s="9">
        <f ca="1" t="shared" si="6"/>
      </c>
      <c r="J389" s="14">
        <v>1</v>
      </c>
      <c r="K389" s="11">
        <v>0</v>
      </c>
      <c r="L389" s="11">
        <v>2</v>
      </c>
      <c r="M389" s="11"/>
      <c r="N389" s="103"/>
      <c r="O389" s="11"/>
      <c r="P389" s="11"/>
    </row>
    <row r="390" spans="1:16" ht="14.5" x14ac:dyDescent="0.25">
      <c r="A390" s="18">
        <v>381</v>
      </c>
      <c r="B390" s="19">
        <v>70000200</v>
      </c>
      <c r="C390" s="19">
        <v>164335</v>
      </c>
      <c r="D390" t="s" s="9">
        <v>608</v>
      </c>
      <c r="E390" t="s" s="9">
        <v>195</v>
      </c>
      <c r="F390" t="s" s="20">
        <v>495</v>
      </c>
      <c r="G390" t="s" s="10">
        <v>177</v>
      </c>
      <c r="H390" s="25">
        <v>27282</v>
      </c>
      <c r="I390" s="9">
        <f ca="1" t="shared" si="6"/>
      </c>
      <c r="J390" s="12"/>
      <c r="K390" s="13"/>
      <c r="L390" s="13"/>
      <c r="M390" s="13"/>
      <c r="N390" s="13"/>
      <c r="O390" s="13"/>
      <c r="P390" s="13"/>
    </row>
    <row r="391" spans="1:16" ht="14.5" x14ac:dyDescent="0.25">
      <c r="A391" s="18">
        <v>382</v>
      </c>
      <c r="B391" s="19">
        <v>70000104</v>
      </c>
      <c r="C391" s="19">
        <v>164336</v>
      </c>
      <c r="D391" t="s" s="9">
        <v>722</v>
      </c>
      <c r="E391" t="s" s="9">
        <v>195</v>
      </c>
      <c r="F391" t="s" s="3">
        <v>27</v>
      </c>
      <c r="G391" t="s" s="10">
        <v>0</v>
      </c>
      <c r="H391" s="25">
        <v>32600</v>
      </c>
      <c r="I391" s="9">
        <f ca="1" t="shared" si="6"/>
      </c>
      <c r="J391" s="12">
        <v>0</v>
      </c>
      <c r="K391" s="13">
        <v>4</v>
      </c>
      <c r="L391" s="13">
        <v>5</v>
      </c>
      <c r="M391" s="13"/>
      <c r="N391" s="13"/>
      <c r="O391" s="13"/>
      <c r="P391" s="13"/>
    </row>
    <row r="392" spans="1:16" ht="14.5" x14ac:dyDescent="0.25">
      <c r="A392" s="18">
        <v>383</v>
      </c>
      <c r="B392" s="19">
        <v>70000104</v>
      </c>
      <c r="C392" s="19">
        <v>164337</v>
      </c>
      <c r="D392" t="s" s="10">
        <v>192</v>
      </c>
      <c r="E392" t="s" s="9">
        <v>195</v>
      </c>
      <c r="F392" t="s" s="3">
        <v>739</v>
      </c>
      <c r="G392" t="s" s="10">
        <v>0</v>
      </c>
      <c r="H392" s="25">
        <v>40523</v>
      </c>
      <c r="I392" s="9">
        <f ca="1" t="shared" si="6"/>
      </c>
      <c r="J392" s="14"/>
      <c r="K392" s="11"/>
      <c r="L392" s="11"/>
      <c r="M392" s="11"/>
      <c r="N392" s="103"/>
      <c r="O392" s="11"/>
      <c r="P392" s="11"/>
    </row>
    <row r="393" spans="1:16" ht="14.5" x14ac:dyDescent="0.25">
      <c r="A393" s="18">
        <v>384</v>
      </c>
      <c r="B393" s="19">
        <v>70000104</v>
      </c>
      <c r="C393" s="19">
        <v>164338</v>
      </c>
      <c r="D393" t="s" s="9">
        <v>192</v>
      </c>
      <c r="E393" t="s" s="9">
        <v>195</v>
      </c>
      <c r="F393" t="s" s="20">
        <v>496</v>
      </c>
      <c r="G393" t="s" s="10">
        <v>0</v>
      </c>
      <c r="H393" s="25">
        <v>44288</v>
      </c>
      <c r="I393" s="9">
        <f ca="1" t="shared" si="6"/>
      </c>
      <c r="J393" s="12"/>
      <c r="K393" s="13"/>
      <c r="L393" s="13"/>
      <c r="M393" s="13"/>
      <c r="N393" s="13"/>
      <c r="O393" s="13"/>
      <c r="P393" s="13"/>
    </row>
    <row r="394" spans="1:16" ht="14.5" x14ac:dyDescent="0.25">
      <c r="A394" s="18">
        <v>385</v>
      </c>
      <c r="B394" s="19">
        <v>70000104</v>
      </c>
      <c r="C394" s="19">
        <v>164620</v>
      </c>
      <c r="D394" t="s" s="9">
        <v>192</v>
      </c>
      <c r="E394" t="s" s="9">
        <v>195</v>
      </c>
      <c r="F394" t="s" s="20">
        <v>497</v>
      </c>
      <c r="G394" t="s" s="10">
        <v>0</v>
      </c>
      <c r="H394" s="25">
        <v>43361</v>
      </c>
      <c r="I394" s="9">
        <f ca="1" t="shared" si="6"/>
      </c>
      <c r="J394" s="12"/>
      <c r="K394" s="13"/>
      <c r="L394" s="13"/>
      <c r="M394" s="13"/>
      <c r="N394" s="13"/>
      <c r="O394" s="13"/>
      <c r="P394" s="13"/>
    </row>
    <row r="395" spans="1:16" ht="14.5" x14ac:dyDescent="0.25">
      <c r="A395" s="18">
        <v>386</v>
      </c>
      <c r="B395" s="19">
        <v>70000104</v>
      </c>
      <c r="C395" s="19">
        <v>169287</v>
      </c>
      <c r="D395" t="s" s="9">
        <v>192</v>
      </c>
      <c r="E395" t="s" s="9">
        <v>195</v>
      </c>
      <c r="F395" t="s" s="20">
        <v>498</v>
      </c>
      <c r="G395" t="s" s="10">
        <v>0</v>
      </c>
      <c r="H395" s="25">
        <v>45115</v>
      </c>
      <c r="I395" s="9">
        <f ca="1" t="shared" si="6"/>
      </c>
      <c r="J395" s="12"/>
      <c r="K395" s="13"/>
      <c r="L395" s="13"/>
      <c r="M395" s="13"/>
      <c r="N395" s="13"/>
      <c r="O395" s="13"/>
      <c r="P395" s="13"/>
    </row>
    <row r="396" spans="1:16" ht="14.5" x14ac:dyDescent="0.25">
      <c r="A396" s="18">
        <v>387</v>
      </c>
      <c r="B396" s="19">
        <v>70000110</v>
      </c>
      <c r="C396" s="19">
        <v>164339</v>
      </c>
      <c r="D396" t="s" s="10">
        <v>722</v>
      </c>
      <c r="E396" t="s" s="9">
        <v>195</v>
      </c>
      <c r="F396" t="s" s="3">
        <v>11</v>
      </c>
      <c r="G396" t="s" s="10">
        <v>177</v>
      </c>
      <c r="H396" s="25">
        <v>32373</v>
      </c>
      <c r="I396" s="9">
        <f ca="1" t="shared" si="6"/>
      </c>
      <c r="J396" s="12">
        <v>1</v>
      </c>
      <c r="K396" s="11">
        <v>2</v>
      </c>
      <c r="L396" s="11">
        <v>4</v>
      </c>
      <c r="M396" s="11"/>
      <c r="N396" s="103"/>
      <c r="O396" s="11"/>
      <c r="P396" s="11"/>
    </row>
    <row r="397" spans="1:16" ht="14.5" x14ac:dyDescent="0.25">
      <c r="A397" s="18">
        <v>388</v>
      </c>
      <c r="B397" s="19">
        <v>70000110</v>
      </c>
      <c r="C397" s="19">
        <v>164340</v>
      </c>
      <c r="D397" t="s" s="9">
        <v>608</v>
      </c>
      <c r="E397" t="s" s="9">
        <v>198</v>
      </c>
      <c r="F397" t="s" s="20">
        <v>499</v>
      </c>
      <c r="G397" t="s" s="10">
        <v>177</v>
      </c>
      <c r="H397" s="25">
        <v>32453</v>
      </c>
      <c r="I397" s="9">
        <f ca="1" t="shared" si="6"/>
      </c>
      <c r="J397" s="12"/>
      <c r="K397" s="13"/>
      <c r="L397" s="13"/>
      <c r="M397" s="13"/>
      <c r="N397" s="13"/>
      <c r="O397" s="13"/>
      <c r="P397" s="13"/>
    </row>
    <row r="398" spans="1:16" ht="14.5" x14ac:dyDescent="0.25">
      <c r="A398" s="18">
        <v>389</v>
      </c>
      <c r="B398" s="19">
        <v>70000110</v>
      </c>
      <c r="C398" s="19">
        <v>164808</v>
      </c>
      <c r="D398" t="s" s="9">
        <v>192</v>
      </c>
      <c r="E398" t="s" s="9">
        <v>198</v>
      </c>
      <c r="F398" t="s" s="20">
        <v>500</v>
      </c>
      <c r="G398" t="s" s="10">
        <v>177</v>
      </c>
      <c r="H398" s="25">
        <v>44567</v>
      </c>
      <c r="I398" s="9">
        <f ca="1" t="shared" si="6"/>
      </c>
      <c r="J398" s="12"/>
      <c r="K398" s="13"/>
      <c r="L398" s="13"/>
      <c r="M398" s="13"/>
      <c r="N398" s="13"/>
      <c r="O398" s="13"/>
      <c r="P398" s="13"/>
    </row>
    <row r="399" spans="1:16" ht="14.5" x14ac:dyDescent="0.25">
      <c r="A399" s="18">
        <v>725</v>
      </c>
      <c r="B399" s="19">
        <v>70000110</v>
      </c>
      <c r="C399" s="19">
        <v>164808</v>
      </c>
      <c r="D399" t="s" s="9">
        <v>192</v>
      </c>
      <c r="E399" t="s" s="9">
        <v>198</v>
      </c>
      <c r="F399" t="s" s="20">
        <v>784</v>
      </c>
      <c r="G399" t="s" s="10">
        <v>177</v>
      </c>
      <c r="H399" s="25">
        <v>44567</v>
      </c>
      <c r="I399" s="9">
        <f ca="1" t="shared" si="6"/>
      </c>
      <c r="J399" s="12"/>
      <c r="K399" s="13"/>
      <c r="L399" s="13"/>
      <c r="M399" t="s" s="13">
        <v>781</v>
      </c>
      <c r="N399" s="13"/>
      <c r="O399" s="13"/>
      <c r="P399" s="13"/>
    </row>
    <row r="400" spans="1:16" ht="14.5" x14ac:dyDescent="0.25">
      <c r="A400" s="18">
        <v>390</v>
      </c>
      <c r="B400" s="19">
        <v>70000091</v>
      </c>
      <c r="C400" s="19">
        <v>164341</v>
      </c>
      <c r="D400" t="s" s="9">
        <v>722</v>
      </c>
      <c r="E400" t="s" s="9">
        <v>195</v>
      </c>
      <c r="F400" t="s" s="20">
        <v>25</v>
      </c>
      <c r="G400" t="s" s="10">
        <v>0</v>
      </c>
      <c r="H400" s="25">
        <v>27307</v>
      </c>
      <c r="I400" s="9">
        <f ca="1" t="shared" si="6"/>
      </c>
      <c r="J400" s="12">
        <v>1</v>
      </c>
      <c r="K400" s="13">
        <v>2</v>
      </c>
      <c r="L400" s="13">
        <v>4</v>
      </c>
      <c r="M400" s="13"/>
      <c r="N400" s="13"/>
      <c r="O400" s="13"/>
      <c r="P400" s="13"/>
    </row>
    <row r="401" spans="1:16" ht="14.5" x14ac:dyDescent="0.25">
      <c r="A401" s="18">
        <v>391</v>
      </c>
      <c r="B401" s="19">
        <v>70000091</v>
      </c>
      <c r="C401" s="19">
        <v>164342</v>
      </c>
      <c r="D401" t="s" s="10">
        <v>608</v>
      </c>
      <c r="E401" t="s" s="9">
        <v>198</v>
      </c>
      <c r="F401" t="s" s="3">
        <v>501</v>
      </c>
      <c r="G401" t="s" s="10">
        <v>0</v>
      </c>
      <c r="H401" s="25">
        <v>31813</v>
      </c>
      <c r="I401" s="9">
        <f ca="1" t="shared" si="6"/>
      </c>
      <c r="J401" s="14"/>
      <c r="K401" s="11"/>
      <c r="L401" s="11"/>
      <c r="M401" s="11"/>
      <c r="N401" s="103"/>
      <c r="O401" s="11"/>
      <c r="P401" s="11"/>
    </row>
    <row r="402" spans="1:16" ht="14.5" x14ac:dyDescent="0.25">
      <c r="A402" s="18">
        <v>392</v>
      </c>
      <c r="B402" s="19">
        <v>70000091</v>
      </c>
      <c r="C402" s="19">
        <v>164343</v>
      </c>
      <c r="D402" t="s" s="9">
        <v>192</v>
      </c>
      <c r="E402" t="s" s="9">
        <v>198</v>
      </c>
      <c r="F402" t="s" s="20">
        <v>502</v>
      </c>
      <c r="G402" t="s" s="10">
        <v>0</v>
      </c>
      <c r="H402" s="25">
        <v>40519</v>
      </c>
      <c r="I402" s="10">
        <f ca="1" t="shared" si="6"/>
      </c>
      <c r="J402" s="12"/>
      <c r="K402" s="13"/>
      <c r="L402" s="13"/>
      <c r="M402" s="13"/>
      <c r="N402" s="13"/>
      <c r="O402" s="13"/>
      <c r="P402" s="13"/>
    </row>
    <row r="403" spans="1:16" ht="14.5" x14ac:dyDescent="0.25">
      <c r="A403" s="18">
        <v>393</v>
      </c>
      <c r="B403" s="19">
        <v>70000091</v>
      </c>
      <c r="C403" s="19">
        <v>164344</v>
      </c>
      <c r="D403" t="s" s="9">
        <v>192</v>
      </c>
      <c r="E403" t="s" s="9">
        <v>198</v>
      </c>
      <c r="F403" t="s" s="20">
        <v>503</v>
      </c>
      <c r="G403" t="s" s="10">
        <v>0</v>
      </c>
      <c r="H403" s="25">
        <v>38088</v>
      </c>
      <c r="I403" s="9">
        <f ca="1" t="shared" si="6"/>
      </c>
      <c r="J403" s="12"/>
      <c r="K403" s="13"/>
      <c r="L403" s="13"/>
      <c r="M403" s="13"/>
      <c r="N403" s="13"/>
      <c r="O403" s="13"/>
      <c r="P403" s="13"/>
    </row>
    <row r="404" spans="1:16" ht="14.5" x14ac:dyDescent="0.25">
      <c r="A404" s="18">
        <v>394</v>
      </c>
      <c r="B404" s="19">
        <v>70000097</v>
      </c>
      <c r="C404" s="19">
        <v>164348</v>
      </c>
      <c r="D404" t="s" s="9">
        <v>722</v>
      </c>
      <c r="E404" t="s" s="9">
        <v>195</v>
      </c>
      <c r="F404" t="s" s="20">
        <v>94</v>
      </c>
      <c r="G404" t="s" s="10">
        <v>0</v>
      </c>
      <c r="H404" s="25">
        <v>32060</v>
      </c>
      <c r="I404" s="9">
        <f ca="1" t="shared" si="6"/>
      </c>
      <c r="J404" s="12">
        <v>0</v>
      </c>
      <c r="K404" s="13">
        <v>4</v>
      </c>
      <c r="L404" s="13">
        <v>5</v>
      </c>
      <c r="M404" s="13"/>
      <c r="N404" s="13"/>
      <c r="O404" s="13"/>
      <c r="P404" s="13"/>
    </row>
    <row r="405" spans="1:16" ht="14.5" x14ac:dyDescent="0.25">
      <c r="A405" s="18">
        <v>395</v>
      </c>
      <c r="B405" s="19">
        <v>70000097</v>
      </c>
      <c r="C405" s="19">
        <v>164349</v>
      </c>
      <c r="D405" t="s" s="9">
        <v>192</v>
      </c>
      <c r="E405" t="s" s="9">
        <v>198</v>
      </c>
      <c r="F405" t="s" s="20">
        <v>504</v>
      </c>
      <c r="G405" t="s" s="10">
        <v>0</v>
      </c>
      <c r="H405" s="25">
        <v>39929</v>
      </c>
      <c r="I405" s="9">
        <f ca="1" t="shared" si="6"/>
      </c>
      <c r="J405" s="12"/>
      <c r="K405" s="13"/>
      <c r="L405" s="13"/>
      <c r="M405" s="13"/>
      <c r="N405" s="13"/>
      <c r="O405" s="13"/>
      <c r="P405" s="13"/>
    </row>
    <row r="406" spans="1:16" ht="14.5" x14ac:dyDescent="0.25">
      <c r="A406" s="18">
        <v>396</v>
      </c>
      <c r="B406" s="19">
        <v>70000097</v>
      </c>
      <c r="C406" s="19">
        <v>164350</v>
      </c>
      <c r="D406" t="s" s="9">
        <v>192</v>
      </c>
      <c r="E406" t="s" s="9">
        <v>195</v>
      </c>
      <c r="F406" t="s" s="20">
        <v>505</v>
      </c>
      <c r="G406" t="s" s="10">
        <v>0</v>
      </c>
      <c r="H406" s="25">
        <v>41411</v>
      </c>
      <c r="I406" s="9">
        <f ca="1" t="shared" si="6"/>
      </c>
      <c r="J406" s="12"/>
      <c r="K406" s="13"/>
      <c r="L406" s="13"/>
      <c r="M406" s="13"/>
      <c r="N406" s="13"/>
      <c r="O406" s="13"/>
      <c r="P406" s="13"/>
    </row>
    <row r="407" spans="1:16" ht="14.5" x14ac:dyDescent="0.25">
      <c r="A407" s="18">
        <v>397</v>
      </c>
      <c r="B407" s="19">
        <v>70000097</v>
      </c>
      <c r="C407" s="19">
        <v>164351</v>
      </c>
      <c r="D407" t="s" s="10">
        <v>192</v>
      </c>
      <c r="E407" t="s" s="9">
        <v>195</v>
      </c>
      <c r="F407" t="s" s="3">
        <v>506</v>
      </c>
      <c r="G407" t="s" s="10">
        <v>0</v>
      </c>
      <c r="H407" s="25">
        <v>43028</v>
      </c>
      <c r="I407" s="9">
        <f ca="1" t="shared" si="6"/>
      </c>
      <c r="J407" s="14"/>
      <c r="K407" s="11"/>
      <c r="L407" s="11"/>
      <c r="M407" s="11"/>
      <c r="N407" s="103"/>
      <c r="O407" s="11"/>
      <c r="P407" s="11"/>
    </row>
    <row r="408" spans="1:16" ht="14.5" x14ac:dyDescent="0.25">
      <c r="A408" s="18">
        <v>398</v>
      </c>
      <c r="B408" s="19">
        <v>70000097</v>
      </c>
      <c r="C408" s="19">
        <v>169286</v>
      </c>
      <c r="D408" t="s" s="9">
        <v>192</v>
      </c>
      <c r="E408" t="s" s="9">
        <v>195</v>
      </c>
      <c r="F408" t="s" s="20">
        <v>507</v>
      </c>
      <c r="G408" t="s" s="10">
        <v>0</v>
      </c>
      <c r="H408" s="25">
        <v>45157</v>
      </c>
      <c r="I408" s="9">
        <f ca="1" t="shared" si="6"/>
      </c>
      <c r="J408" s="12"/>
      <c r="K408" s="13"/>
      <c r="L408" s="13"/>
      <c r="M408" s="13"/>
      <c r="N408" s="13"/>
      <c r="O408" s="13"/>
      <c r="P408" s="13"/>
    </row>
    <row r="409" spans="1:16" ht="14.5" x14ac:dyDescent="0.25">
      <c r="A409" s="18">
        <v>399</v>
      </c>
      <c r="B409" s="19">
        <v>70000076</v>
      </c>
      <c r="C409" s="19">
        <v>164352</v>
      </c>
      <c r="D409" t="s" s="9">
        <v>722</v>
      </c>
      <c r="E409" t="s" s="9">
        <v>195</v>
      </c>
      <c r="F409" t="s" s="20">
        <v>137</v>
      </c>
      <c r="G409" t="s" s="10">
        <v>0</v>
      </c>
      <c r="H409" s="25">
        <v>29763</v>
      </c>
      <c r="I409" s="9">
        <f ca="1" t="shared" si="6"/>
      </c>
      <c r="J409" s="12">
        <v>1</v>
      </c>
      <c r="K409" s="13">
        <v>4</v>
      </c>
      <c r="L409" s="13">
        <v>6</v>
      </c>
      <c r="M409" s="13"/>
      <c r="N409" s="13"/>
      <c r="O409" s="13"/>
      <c r="P409" s="13"/>
    </row>
    <row r="410" spans="1:16" ht="14.5" x14ac:dyDescent="0.25">
      <c r="A410" s="18">
        <v>400</v>
      </c>
      <c r="B410" s="19">
        <v>70000076</v>
      </c>
      <c r="C410" s="19">
        <v>164353</v>
      </c>
      <c r="D410" t="s" s="9">
        <v>608</v>
      </c>
      <c r="E410" t="s" s="9">
        <v>198</v>
      </c>
      <c r="F410" t="s" s="20">
        <v>508</v>
      </c>
      <c r="G410" t="s" s="10">
        <v>0</v>
      </c>
      <c r="H410" s="25">
        <v>32614</v>
      </c>
      <c r="I410" s="9">
        <f ca="1" t="shared" si="6"/>
      </c>
      <c r="J410" s="12"/>
      <c r="K410" s="13"/>
      <c r="L410" s="13"/>
      <c r="M410" s="13"/>
      <c r="N410" s="13"/>
      <c r="O410" s="13"/>
      <c r="P410" s="13"/>
    </row>
    <row r="411" spans="1:16" ht="14.5" x14ac:dyDescent="0.25">
      <c r="A411" s="18">
        <v>401</v>
      </c>
      <c r="B411" s="19">
        <v>70000076</v>
      </c>
      <c r="C411" s="19">
        <v>164354</v>
      </c>
      <c r="D411" t="s" s="9">
        <v>192</v>
      </c>
      <c r="E411" t="s" s="9">
        <v>198</v>
      </c>
      <c r="F411" t="s" s="20">
        <v>509</v>
      </c>
      <c r="G411" t="s" s="10">
        <v>0</v>
      </c>
      <c r="H411" s="25">
        <v>40567</v>
      </c>
      <c r="I411" s="9">
        <f ca="1" t="shared" si="6"/>
      </c>
      <c r="J411" s="12"/>
      <c r="K411" s="13"/>
      <c r="L411" s="13"/>
      <c r="M411" s="13"/>
      <c r="N411" s="13"/>
      <c r="O411" s="13"/>
      <c r="P411" s="13"/>
    </row>
    <row r="412" spans="1:16" ht="14.5" x14ac:dyDescent="0.25">
      <c r="A412" s="18">
        <v>402</v>
      </c>
      <c r="B412" s="19">
        <v>70000076</v>
      </c>
      <c r="C412" s="19">
        <v>164355</v>
      </c>
      <c r="D412" t="s" s="9">
        <v>192</v>
      </c>
      <c r="E412" t="s" s="9">
        <v>198</v>
      </c>
      <c r="F412" t="s" s="20">
        <v>510</v>
      </c>
      <c r="G412" t="s" s="10">
        <v>0</v>
      </c>
      <c r="H412" s="25">
        <v>41697</v>
      </c>
      <c r="I412" s="9">
        <f ca="1" t="shared" si="6"/>
      </c>
      <c r="J412" s="12"/>
      <c r="K412" s="13"/>
      <c r="L412" s="13"/>
      <c r="M412" s="13"/>
      <c r="N412" s="13"/>
      <c r="O412" s="13"/>
      <c r="P412" s="13"/>
    </row>
    <row r="413" spans="1:16" ht="14.5" x14ac:dyDescent="0.25">
      <c r="A413" s="18">
        <v>403</v>
      </c>
      <c r="B413" s="19">
        <v>70000076</v>
      </c>
      <c r="C413" s="19">
        <v>164356</v>
      </c>
      <c r="D413" t="s" s="9">
        <v>192</v>
      </c>
      <c r="E413" t="s" s="9">
        <v>198</v>
      </c>
      <c r="F413" t="s" s="20">
        <v>511</v>
      </c>
      <c r="G413" t="s" s="10">
        <v>0</v>
      </c>
      <c r="H413" s="25">
        <v>43432</v>
      </c>
      <c r="I413" s="9">
        <f ca="1" t="shared" si="6"/>
      </c>
      <c r="J413" s="12"/>
      <c r="K413" s="13"/>
      <c r="L413" s="13"/>
      <c r="M413" s="13"/>
      <c r="N413" s="13"/>
      <c r="O413" s="13"/>
      <c r="P413" s="13"/>
    </row>
    <row r="414" spans="1:16" ht="14.5" x14ac:dyDescent="0.25">
      <c r="A414" s="18">
        <v>404</v>
      </c>
      <c r="B414" s="19">
        <v>70000076</v>
      </c>
      <c r="C414" s="19">
        <v>167907</v>
      </c>
      <c r="D414" t="s" s="10">
        <v>192</v>
      </c>
      <c r="E414" t="s" s="9">
        <v>198</v>
      </c>
      <c r="F414" t="s" s="3">
        <v>512</v>
      </c>
      <c r="G414" t="s" s="10">
        <v>0</v>
      </c>
      <c r="H414" s="25">
        <v>44940</v>
      </c>
      <c r="I414" s="9">
        <f ca="1" t="shared" si="6"/>
      </c>
      <c r="J414" s="14"/>
      <c r="K414" s="11"/>
      <c r="L414" s="11"/>
      <c r="M414" s="11"/>
      <c r="N414" s="103"/>
      <c r="O414" s="11"/>
      <c r="P414" s="11"/>
    </row>
    <row r="415" spans="1:16" ht="14.5" x14ac:dyDescent="0.25">
      <c r="A415" s="18">
        <v>405</v>
      </c>
      <c r="B415" s="19">
        <v>70000056</v>
      </c>
      <c r="C415" s="19">
        <v>164357</v>
      </c>
      <c r="D415" t="s" s="9">
        <v>722</v>
      </c>
      <c r="E415" t="s" s="9">
        <v>195</v>
      </c>
      <c r="F415" t="s" s="20">
        <v>103</v>
      </c>
      <c r="G415" t="s" s="10">
        <v>0</v>
      </c>
      <c r="H415" s="25">
        <v>30206</v>
      </c>
      <c r="I415" s="9">
        <f ca="1" t="shared" si="6"/>
      </c>
      <c r="J415" s="12">
        <v>1</v>
      </c>
      <c r="K415" s="13">
        <v>5</v>
      </c>
      <c r="L415" s="13">
        <v>7</v>
      </c>
      <c r="M415" s="13"/>
      <c r="N415" s="13"/>
      <c r="O415" s="13"/>
      <c r="P415" s="13"/>
    </row>
    <row r="416" spans="1:16" ht="14.5" x14ac:dyDescent="0.25">
      <c r="A416" s="18">
        <v>406</v>
      </c>
      <c r="B416" s="19">
        <v>70000056</v>
      </c>
      <c r="C416" s="19">
        <v>164358</v>
      </c>
      <c r="D416" t="s" s="9">
        <v>608</v>
      </c>
      <c r="E416" t="s" s="9">
        <v>198</v>
      </c>
      <c r="F416" t="s" s="20">
        <v>513</v>
      </c>
      <c r="G416" t="s" s="10">
        <v>0</v>
      </c>
      <c r="H416" s="25">
        <v>31156</v>
      </c>
      <c r="I416" s="9">
        <f ca="1" t="shared" si="6"/>
      </c>
      <c r="J416" s="12"/>
      <c r="K416" s="13"/>
      <c r="L416" s="13"/>
      <c r="M416" s="13"/>
      <c r="N416" s="13"/>
      <c r="O416" s="13"/>
      <c r="P416" s="13"/>
    </row>
    <row r="417" spans="1:16" ht="14.5" x14ac:dyDescent="0.25">
      <c r="A417" s="18">
        <v>407</v>
      </c>
      <c r="B417" s="19">
        <v>70000056</v>
      </c>
      <c r="C417" s="19">
        <v>164359</v>
      </c>
      <c r="D417" t="s" s="9">
        <v>192</v>
      </c>
      <c r="E417" t="s" s="9">
        <v>198</v>
      </c>
      <c r="F417" t="s" s="20">
        <v>514</v>
      </c>
      <c r="G417" t="s" s="10">
        <v>0</v>
      </c>
      <c r="H417" s="25">
        <v>38449</v>
      </c>
      <c r="I417" s="9">
        <f ca="1" t="shared" si="6"/>
      </c>
      <c r="J417" s="12"/>
      <c r="K417" s="13"/>
      <c r="L417" s="13"/>
      <c r="M417" s="13"/>
      <c r="N417" s="13"/>
      <c r="O417" s="13"/>
      <c r="P417" s="13"/>
    </row>
    <row r="418" spans="1:16" ht="14.5" x14ac:dyDescent="0.25">
      <c r="A418" s="18">
        <v>408</v>
      </c>
      <c r="B418" s="19">
        <v>70000056</v>
      </c>
      <c r="C418" s="19">
        <v>164360</v>
      </c>
      <c r="D418" t="s" s="9">
        <v>192</v>
      </c>
      <c r="E418" t="s" s="9">
        <v>195</v>
      </c>
      <c r="F418" t="s" s="20">
        <v>515</v>
      </c>
      <c r="G418" t="s" s="10">
        <v>0</v>
      </c>
      <c r="H418" s="25">
        <v>43869</v>
      </c>
      <c r="I418" s="9">
        <f ca="1" t="shared" si="6"/>
      </c>
      <c r="J418" s="12"/>
      <c r="K418" s="13"/>
      <c r="L418" s="13"/>
      <c r="M418" s="13"/>
      <c r="N418" s="13"/>
      <c r="O418" s="13"/>
      <c r="P418" s="13"/>
    </row>
    <row r="419" spans="1:16" ht="14.5" x14ac:dyDescent="0.25">
      <c r="A419" s="18">
        <v>409</v>
      </c>
      <c r="B419" s="19">
        <v>70000056</v>
      </c>
      <c r="C419" s="19">
        <v>164361</v>
      </c>
      <c r="D419" t="s" s="10">
        <v>192</v>
      </c>
      <c r="E419" t="s" s="9">
        <v>195</v>
      </c>
      <c r="F419" t="s" s="3">
        <v>516</v>
      </c>
      <c r="G419" t="s" s="10">
        <v>0</v>
      </c>
      <c r="H419" s="25">
        <v>37025</v>
      </c>
      <c r="I419" s="9">
        <f ca="1" t="shared" si="6"/>
      </c>
      <c r="J419" s="14"/>
      <c r="K419" s="11"/>
      <c r="L419" s="11"/>
      <c r="M419" s="11"/>
      <c r="N419" s="103"/>
      <c r="O419" s="11"/>
      <c r="P419" s="11"/>
    </row>
    <row r="420" spans="1:16" ht="14.5" x14ac:dyDescent="0.25">
      <c r="A420" s="18">
        <v>410</v>
      </c>
      <c r="B420" s="19">
        <v>70000056</v>
      </c>
      <c r="C420" s="19">
        <v>177233</v>
      </c>
      <c r="D420" t="s" s="9">
        <v>192</v>
      </c>
      <c r="E420" t="s" s="9">
        <v>195</v>
      </c>
      <c r="F420" t="s" s="20">
        <v>517</v>
      </c>
      <c r="G420" t="s" s="10">
        <v>0</v>
      </c>
      <c r="H420" s="25">
        <v>44524</v>
      </c>
      <c r="I420" s="9">
        <f ca="1" t="shared" si="6"/>
      </c>
      <c r="J420" s="12"/>
      <c r="K420" s="13"/>
      <c r="L420" s="13"/>
      <c r="M420" s="13"/>
      <c r="N420" s="13"/>
      <c r="O420" s="13"/>
      <c r="P420" s="13"/>
    </row>
    <row r="421" spans="1:16" ht="14.5" x14ac:dyDescent="0.25">
      <c r="A421" s="18">
        <v>411</v>
      </c>
      <c r="B421" s="19">
        <v>70000056</v>
      </c>
      <c r="C421" s="19">
        <v>166147</v>
      </c>
      <c r="D421" t="s" s="9">
        <v>192</v>
      </c>
      <c r="E421" t="s" s="9">
        <v>198</v>
      </c>
      <c r="F421" t="s" s="20">
        <v>518</v>
      </c>
      <c r="G421" t="s" s="10">
        <v>0</v>
      </c>
      <c r="H421" s="25">
        <v>41536</v>
      </c>
      <c r="I421" s="9">
        <f ca="1" t="shared" si="6"/>
      </c>
      <c r="J421" s="12"/>
      <c r="K421" s="13"/>
      <c r="L421" s="13"/>
      <c r="M421" s="13"/>
      <c r="N421" s="13"/>
      <c r="O421" s="13"/>
      <c r="P421" s="13"/>
    </row>
    <row r="422" spans="1:16" ht="14.5" x14ac:dyDescent="0.25">
      <c r="A422" s="18">
        <v>412</v>
      </c>
      <c r="B422" s="19">
        <v>70000117</v>
      </c>
      <c r="C422" s="19">
        <v>164370</v>
      </c>
      <c r="D422" t="s" s="9">
        <v>722</v>
      </c>
      <c r="E422" t="s" s="9">
        <v>195</v>
      </c>
      <c r="F422" t="s" s="20">
        <v>155</v>
      </c>
      <c r="G422" t="s" s="10">
        <v>177</v>
      </c>
      <c r="H422" s="25">
        <v>28560</v>
      </c>
      <c r="I422" s="9">
        <f ca="1" t="shared" si="6"/>
      </c>
      <c r="J422" s="12">
        <v>1</v>
      </c>
      <c r="K422" s="13">
        <v>3</v>
      </c>
      <c r="L422" s="13">
        <v>5</v>
      </c>
      <c r="M422" s="13"/>
      <c r="N422" s="13"/>
      <c r="O422" s="13"/>
      <c r="P422" s="13"/>
    </row>
    <row r="423" spans="1:16" ht="14.5" x14ac:dyDescent="0.25">
      <c r="A423" s="18">
        <v>413</v>
      </c>
      <c r="B423" s="19">
        <v>70000117</v>
      </c>
      <c r="C423" s="19">
        <v>164371</v>
      </c>
      <c r="D423" t="s" s="10">
        <v>608</v>
      </c>
      <c r="E423" t="s" s="9">
        <v>198</v>
      </c>
      <c r="F423" t="s" s="3">
        <v>519</v>
      </c>
      <c r="G423" t="s" s="10">
        <v>177</v>
      </c>
      <c r="H423" s="25">
        <v>31995</v>
      </c>
      <c r="I423" s="9">
        <f ca="1" t="shared" si="6"/>
      </c>
      <c r="J423" s="14"/>
      <c r="K423" s="11"/>
      <c r="L423" s="11"/>
      <c r="M423" s="11"/>
      <c r="N423" s="103"/>
      <c r="O423" s="11"/>
      <c r="P423" s="11"/>
    </row>
    <row r="424" spans="1:16" ht="14.5" x14ac:dyDescent="0.25">
      <c r="A424" s="18">
        <v>414</v>
      </c>
      <c r="B424" s="19">
        <v>70000117</v>
      </c>
      <c r="C424" s="19">
        <v>164372</v>
      </c>
      <c r="D424" t="s" s="9">
        <v>192</v>
      </c>
      <c r="E424" t="s" s="9">
        <v>195</v>
      </c>
      <c r="F424" t="s" s="20">
        <v>520</v>
      </c>
      <c r="G424" t="s" s="10">
        <v>177</v>
      </c>
      <c r="H424" s="25">
        <v>41371</v>
      </c>
      <c r="I424" s="9">
        <f ca="1" t="shared" si="6"/>
      </c>
      <c r="J424" s="12"/>
      <c r="K424" s="13"/>
      <c r="L424" s="13"/>
      <c r="M424" s="13"/>
      <c r="N424" s="13"/>
      <c r="O424" s="13"/>
      <c r="P424" s="13"/>
    </row>
    <row r="425" spans="1:16" ht="14.5" x14ac:dyDescent="0.25">
      <c r="A425" s="18">
        <v>415</v>
      </c>
      <c r="B425" s="19">
        <v>70000117</v>
      </c>
      <c r="C425" s="19">
        <v>164373</v>
      </c>
      <c r="D425" t="s" s="9">
        <v>192</v>
      </c>
      <c r="E425" t="s" s="9">
        <v>195</v>
      </c>
      <c r="F425" t="s" s="20">
        <v>521</v>
      </c>
      <c r="G425" t="s" s="10">
        <v>177</v>
      </c>
      <c r="H425" s="25">
        <v>41855</v>
      </c>
      <c r="I425" s="9">
        <f ca="1" t="shared" si="6"/>
      </c>
      <c r="J425" s="12"/>
      <c r="K425" s="13"/>
      <c r="L425" s="13"/>
      <c r="M425" s="13"/>
      <c r="N425" s="13"/>
      <c r="O425" s="13"/>
      <c r="P425" s="13"/>
    </row>
    <row r="426" spans="1:16" ht="14.5" x14ac:dyDescent="0.25">
      <c r="A426" s="18">
        <v>416</v>
      </c>
      <c r="B426" s="19">
        <v>70000117</v>
      </c>
      <c r="C426" s="19">
        <v>164374</v>
      </c>
      <c r="D426" t="s" s="9">
        <v>192</v>
      </c>
      <c r="E426" t="s" s="9">
        <v>195</v>
      </c>
      <c r="F426" t="s" s="20">
        <v>522</v>
      </c>
      <c r="G426" t="s" s="10">
        <v>177</v>
      </c>
      <c r="H426" s="25">
        <v>44047</v>
      </c>
      <c r="I426" s="9">
        <f ca="1" t="shared" si="6"/>
      </c>
      <c r="J426" s="12"/>
      <c r="K426" s="13"/>
      <c r="L426" s="13"/>
      <c r="M426" s="13"/>
      <c r="N426" s="13"/>
      <c r="O426" s="13"/>
      <c r="P426" s="13"/>
    </row>
    <row r="427" spans="1:16" ht="14.5" x14ac:dyDescent="0.25">
      <c r="A427" s="18">
        <v>417</v>
      </c>
      <c r="B427" s="19">
        <v>70000080</v>
      </c>
      <c r="C427" s="19">
        <v>164385</v>
      </c>
      <c r="D427" t="s" s="9">
        <v>722</v>
      </c>
      <c r="E427" t="s" s="9">
        <v>198</v>
      </c>
      <c r="F427" t="s" s="20">
        <v>139</v>
      </c>
      <c r="G427" t="s" s="10">
        <v>0</v>
      </c>
      <c r="H427" s="25">
        <v>32347</v>
      </c>
      <c r="I427" s="9">
        <f ca="1" t="shared" si="6"/>
      </c>
      <c r="J427" s="12">
        <v>1</v>
      </c>
      <c r="K427" s="13">
        <v>2</v>
      </c>
      <c r="L427" s="13">
        <v>4</v>
      </c>
      <c r="M427" s="13"/>
      <c r="N427" s="13"/>
      <c r="O427" s="13"/>
      <c r="P427" s="13"/>
    </row>
    <row r="428" spans="1:16" ht="14.5" x14ac:dyDescent="0.25">
      <c r="A428" s="18">
        <v>418</v>
      </c>
      <c r="B428" s="19">
        <v>70000080</v>
      </c>
      <c r="C428" s="19">
        <v>164386</v>
      </c>
      <c r="D428" t="s" s="9">
        <v>608</v>
      </c>
      <c r="E428" t="s" s="9">
        <v>195</v>
      </c>
      <c r="F428" t="s" s="20">
        <v>523</v>
      </c>
      <c r="G428" t="s" s="10">
        <v>0</v>
      </c>
      <c r="H428" s="25">
        <v>43971</v>
      </c>
      <c r="I428" s="9">
        <f ca="1" t="shared" si="6"/>
      </c>
      <c r="J428" s="12"/>
      <c r="K428" s="13"/>
      <c r="L428" s="13"/>
      <c r="M428" s="13"/>
      <c r="N428" s="13"/>
      <c r="O428" s="13"/>
      <c r="P428" s="13"/>
    </row>
    <row r="429" spans="1:16" ht="14.5" x14ac:dyDescent="0.25">
      <c r="A429" s="18">
        <v>419</v>
      </c>
      <c r="B429" s="19">
        <v>70000080</v>
      </c>
      <c r="C429" s="19">
        <v>164387</v>
      </c>
      <c r="D429" t="s" s="9">
        <v>192</v>
      </c>
      <c r="E429" t="s" s="9">
        <v>195</v>
      </c>
      <c r="F429" t="s" s="20">
        <v>524</v>
      </c>
      <c r="G429" t="s" s="10">
        <v>0</v>
      </c>
      <c r="H429" s="25">
        <v>43033</v>
      </c>
      <c r="I429" s="9">
        <f ca="1" t="shared" si="6"/>
      </c>
      <c r="J429" s="12"/>
      <c r="K429" s="13"/>
      <c r="L429" s="13"/>
      <c r="M429" s="13"/>
      <c r="N429" s="13"/>
      <c r="O429" s="13"/>
      <c r="P429" s="13"/>
    </row>
    <row r="430" spans="1:16" ht="14.5" x14ac:dyDescent="0.25">
      <c r="A430" s="18">
        <v>420</v>
      </c>
      <c r="B430" s="19">
        <v>70000080</v>
      </c>
      <c r="C430" s="19">
        <v>164388</v>
      </c>
      <c r="D430" t="s" s="10">
        <v>192</v>
      </c>
      <c r="E430" t="s" s="9">
        <v>195</v>
      </c>
      <c r="F430" t="s" s="3">
        <v>525</v>
      </c>
      <c r="G430" t="s" s="10">
        <v>0</v>
      </c>
      <c r="H430" s="25">
        <v>43971</v>
      </c>
      <c r="I430" s="9">
        <f ca="1" t="shared" si="6"/>
      </c>
      <c r="J430" s="12"/>
      <c r="K430" s="11"/>
      <c r="L430" s="11"/>
      <c r="M430" s="11"/>
      <c r="N430" s="103"/>
      <c r="O430" s="11"/>
      <c r="P430" s="11"/>
    </row>
    <row r="431" spans="1:16" ht="14.5" x14ac:dyDescent="0.25">
      <c r="A431" s="18">
        <v>421</v>
      </c>
      <c r="B431" s="19">
        <v>70000042</v>
      </c>
      <c r="C431" s="19">
        <v>164401</v>
      </c>
      <c r="D431" t="s" s="9">
        <v>722</v>
      </c>
      <c r="E431" t="s" s="9">
        <v>195</v>
      </c>
      <c r="F431" t="s" s="20">
        <v>92</v>
      </c>
      <c r="G431" t="s" s="10">
        <v>0</v>
      </c>
      <c r="H431" s="25">
        <v>25820</v>
      </c>
      <c r="I431" s="9">
        <f ca="1" t="shared" si="6"/>
      </c>
      <c r="J431" s="12">
        <v>1</v>
      </c>
      <c r="K431" s="13">
        <v>5</v>
      </c>
      <c r="L431" s="13">
        <v>7</v>
      </c>
      <c r="M431" s="13"/>
      <c r="N431" s="13"/>
      <c r="O431" s="13"/>
      <c r="P431" s="13"/>
    </row>
    <row r="432" spans="1:16" ht="14.5" x14ac:dyDescent="0.25">
      <c r="A432" s="18">
        <v>422</v>
      </c>
      <c r="B432" s="19">
        <v>70000042</v>
      </c>
      <c r="C432" s="19">
        <v>164403</v>
      </c>
      <c r="D432" t="s" s="9">
        <v>192</v>
      </c>
      <c r="E432" t="s" s="9">
        <v>198</v>
      </c>
      <c r="F432" t="s" s="20">
        <v>526</v>
      </c>
      <c r="G432" t="s" s="10">
        <v>0</v>
      </c>
      <c r="H432" s="25">
        <v>37709</v>
      </c>
      <c r="I432" s="9">
        <f ca="1" t="shared" si="6"/>
      </c>
      <c r="J432" s="12"/>
      <c r="K432" s="13"/>
      <c r="L432" s="13"/>
      <c r="M432" s="13"/>
      <c r="N432" s="13"/>
      <c r="O432" s="13"/>
      <c r="P432" s="13"/>
    </row>
    <row r="433" spans="1:16" ht="14.5" x14ac:dyDescent="0.25">
      <c r="A433" s="18">
        <v>423</v>
      </c>
      <c r="B433" s="19">
        <v>70000042</v>
      </c>
      <c r="C433" s="19">
        <v>164404</v>
      </c>
      <c r="D433" t="s" s="10">
        <v>192</v>
      </c>
      <c r="E433" t="s" s="9">
        <v>195</v>
      </c>
      <c r="F433" t="s" s="3">
        <v>527</v>
      </c>
      <c r="G433" t="s" s="10">
        <v>0</v>
      </c>
      <c r="H433" s="25">
        <v>38960</v>
      </c>
      <c r="I433" s="9">
        <f ca="1" t="shared" si="6"/>
      </c>
      <c r="J433" s="14"/>
      <c r="K433" s="11"/>
      <c r="L433" s="11"/>
      <c r="M433" s="11"/>
      <c r="N433" s="103"/>
      <c r="O433" s="11"/>
      <c r="P433" s="11"/>
    </row>
    <row r="434" spans="1:16" ht="14.5" x14ac:dyDescent="0.25">
      <c r="A434" s="18">
        <v>424</v>
      </c>
      <c r="B434" s="19">
        <v>70000042</v>
      </c>
      <c r="C434" s="19">
        <v>164405</v>
      </c>
      <c r="D434" t="s" s="9">
        <v>192</v>
      </c>
      <c r="E434" t="s" s="9">
        <v>195</v>
      </c>
      <c r="F434" t="s" s="20">
        <v>528</v>
      </c>
      <c r="G434" t="s" s="10">
        <v>0</v>
      </c>
      <c r="H434" s="25">
        <v>41858</v>
      </c>
      <c r="I434" s="9">
        <f ca="1" t="shared" si="6"/>
      </c>
      <c r="J434" s="12"/>
      <c r="K434" s="13"/>
      <c r="L434" s="13"/>
      <c r="M434" s="13"/>
      <c r="N434" s="13"/>
      <c r="O434" s="13"/>
      <c r="P434" s="13"/>
    </row>
    <row r="435" spans="1:16" ht="14.5" x14ac:dyDescent="0.25">
      <c r="A435" s="18">
        <v>425</v>
      </c>
      <c r="B435" s="19">
        <v>70000042</v>
      </c>
      <c r="C435" s="19">
        <v>164406</v>
      </c>
      <c r="D435" t="s" s="9">
        <v>192</v>
      </c>
      <c r="E435" t="s" s="9">
        <v>195</v>
      </c>
      <c r="F435" t="s" s="20">
        <v>529</v>
      </c>
      <c r="G435" t="s" s="10">
        <v>0</v>
      </c>
      <c r="H435" s="25">
        <v>36596</v>
      </c>
      <c r="I435" s="9">
        <f ca="1" t="shared" si="6"/>
      </c>
      <c r="J435" s="12"/>
      <c r="K435" s="13"/>
      <c r="L435" s="13"/>
      <c r="M435" s="13"/>
      <c r="N435" s="13"/>
      <c r="O435" s="13"/>
      <c r="P435" s="13"/>
    </row>
    <row r="436" spans="1:16" ht="14.5" x14ac:dyDescent="0.25">
      <c r="A436" s="18">
        <v>426</v>
      </c>
      <c r="B436" s="19">
        <v>70000042</v>
      </c>
      <c r="C436" s="19">
        <v>168830</v>
      </c>
      <c r="D436" t="s" s="9">
        <v>608</v>
      </c>
      <c r="E436" t="s" s="9">
        <v>198</v>
      </c>
      <c r="F436" t="s" s="20">
        <v>530</v>
      </c>
      <c r="G436" t="s" s="10">
        <v>0</v>
      </c>
      <c r="H436" s="25">
        <v>31170</v>
      </c>
      <c r="I436" s="9">
        <f ca="1" t="shared" si="6"/>
      </c>
      <c r="J436" s="12"/>
      <c r="K436" s="13"/>
      <c r="L436" s="13"/>
      <c r="M436" s="13"/>
      <c r="N436" s="13"/>
      <c r="O436" s="13"/>
      <c r="P436" s="13"/>
    </row>
    <row r="437" spans="1:16" ht="14.5" x14ac:dyDescent="0.25">
      <c r="A437" s="18">
        <v>427</v>
      </c>
      <c r="B437" s="19">
        <v>70000042</v>
      </c>
      <c r="C437" s="19">
        <v>175429</v>
      </c>
      <c r="D437" t="s" s="9">
        <v>192</v>
      </c>
      <c r="E437" t="s" s="9">
        <v>198</v>
      </c>
      <c r="F437" t="s" s="20">
        <v>531</v>
      </c>
      <c r="G437" t="s" s="10">
        <v>0</v>
      </c>
      <c r="H437" s="25">
        <v>45875</v>
      </c>
      <c r="I437" s="5">
        <f ca="1" t="shared" si="6"/>
      </c>
      <c r="J437" s="12"/>
      <c r="K437" s="13"/>
      <c r="L437" s="13"/>
      <c r="M437" s="13"/>
      <c r="N437" s="13"/>
      <c r="O437" s="13"/>
      <c r="P437" s="13"/>
    </row>
    <row r="438" spans="1:16" ht="14.5" x14ac:dyDescent="0.25">
      <c r="A438" s="18">
        <v>428</v>
      </c>
      <c r="B438" s="19">
        <v>70000116</v>
      </c>
      <c r="C438" s="19">
        <v>164408</v>
      </c>
      <c r="D438" t="s" s="9">
        <v>722</v>
      </c>
      <c r="E438" t="s" s="9">
        <v>195</v>
      </c>
      <c r="F438" t="s" s="20">
        <v>30</v>
      </c>
      <c r="G438" t="s" s="10">
        <v>0</v>
      </c>
      <c r="H438" s="25">
        <v>30546</v>
      </c>
      <c r="I438" s="9">
        <f ca="1" t="shared" si="6"/>
      </c>
      <c r="J438" s="12">
        <v>0</v>
      </c>
      <c r="K438" s="13">
        <v>2</v>
      </c>
      <c r="L438" s="13">
        <v>3</v>
      </c>
      <c r="M438" s="13"/>
      <c r="N438" s="13"/>
      <c r="O438" s="13"/>
      <c r="P438" s="13"/>
    </row>
    <row r="439" spans="1:16" ht="14.5" x14ac:dyDescent="0.25">
      <c r="A439" s="18">
        <v>429</v>
      </c>
      <c r="B439" s="19">
        <v>70000116</v>
      </c>
      <c r="C439" s="19">
        <v>164409</v>
      </c>
      <c r="D439" t="s" s="9">
        <v>192</v>
      </c>
      <c r="E439" t="s" s="9">
        <v>195</v>
      </c>
      <c r="F439" t="s" s="20">
        <v>532</v>
      </c>
      <c r="G439" t="s" s="10">
        <v>0</v>
      </c>
      <c r="H439" s="25">
        <v>39975</v>
      </c>
      <c r="I439" s="9">
        <f ca="1" t="shared" si="6"/>
      </c>
      <c r="J439" s="12"/>
      <c r="K439" s="13"/>
      <c r="L439" s="13"/>
      <c r="M439" s="13"/>
      <c r="N439" s="13"/>
      <c r="O439" s="13"/>
      <c r="P439" s="13"/>
    </row>
    <row r="440" spans="1:16" ht="14.5" x14ac:dyDescent="0.25">
      <c r="A440" s="18">
        <v>430</v>
      </c>
      <c r="B440" s="19">
        <v>70000116</v>
      </c>
      <c r="C440" s="19">
        <v>164410</v>
      </c>
      <c r="D440" t="s" s="10">
        <v>192</v>
      </c>
      <c r="E440" t="s" s="9">
        <v>198</v>
      </c>
      <c r="F440" t="s" s="3">
        <v>533</v>
      </c>
      <c r="G440" t="s" s="10">
        <v>0</v>
      </c>
      <c r="H440" s="25">
        <v>38224</v>
      </c>
      <c r="I440" s="9">
        <f ca="1" t="shared" si="6"/>
      </c>
      <c r="J440" s="14"/>
      <c r="K440" s="11"/>
      <c r="L440" s="11"/>
      <c r="M440" s="11"/>
      <c r="N440" s="103"/>
      <c r="O440" s="11"/>
      <c r="P440" s="11"/>
    </row>
    <row r="441" spans="1:16" ht="14.5" x14ac:dyDescent="0.25">
      <c r="A441" s="18">
        <v>431</v>
      </c>
      <c r="B441" s="19">
        <v>70000061</v>
      </c>
      <c r="C441" s="19">
        <v>164411</v>
      </c>
      <c r="D441" t="s" s="9">
        <v>722</v>
      </c>
      <c r="E441" t="s" s="9">
        <v>195</v>
      </c>
      <c r="F441" t="s" s="20">
        <v>106</v>
      </c>
      <c r="G441" t="s" s="10">
        <v>0</v>
      </c>
      <c r="H441" s="25">
        <v>25800</v>
      </c>
      <c r="I441" s="9">
        <f ca="1" t="shared" si="6"/>
      </c>
      <c r="J441" s="12">
        <v>1</v>
      </c>
      <c r="K441" s="13">
        <v>5</v>
      </c>
      <c r="L441" s="13">
        <v>7</v>
      </c>
      <c r="M441" s="13"/>
      <c r="N441" s="13"/>
      <c r="O441" s="13"/>
      <c r="P441" s="13"/>
    </row>
    <row r="442" spans="1:16" ht="14.5" x14ac:dyDescent="0.25">
      <c r="A442" s="18">
        <v>432</v>
      </c>
      <c r="B442" s="19">
        <v>70000061</v>
      </c>
      <c r="C442" s="19">
        <v>164412</v>
      </c>
      <c r="D442" t="s" s="9">
        <v>608</v>
      </c>
      <c r="E442" t="s" s="9">
        <v>198</v>
      </c>
      <c r="F442" t="s" s="20">
        <v>534</v>
      </c>
      <c r="G442" t="s" s="10">
        <v>0</v>
      </c>
      <c r="H442" s="25">
        <v>29642</v>
      </c>
      <c r="I442" s="9">
        <f ca="1" t="shared" si="6"/>
      </c>
      <c r="J442" s="12"/>
      <c r="K442" s="13"/>
      <c r="L442" s="13"/>
      <c r="M442" s="13"/>
      <c r="N442" s="13"/>
      <c r="O442" s="13"/>
      <c r="P442" s="13"/>
    </row>
    <row r="443" spans="1:16" ht="14.5" x14ac:dyDescent="0.25">
      <c r="A443" s="18">
        <v>433</v>
      </c>
      <c r="B443" s="19">
        <v>70000061</v>
      </c>
      <c r="C443" s="19">
        <v>164413</v>
      </c>
      <c r="D443" t="s" s="9">
        <v>192</v>
      </c>
      <c r="E443" t="s" s="9">
        <v>198</v>
      </c>
      <c r="F443" t="s" s="20">
        <v>535</v>
      </c>
      <c r="G443" t="s" s="10">
        <v>0</v>
      </c>
      <c r="H443" s="25">
        <v>40510</v>
      </c>
      <c r="I443" s="9">
        <f ca="1" t="shared" si="6"/>
      </c>
      <c r="J443" s="12"/>
      <c r="K443" s="13"/>
      <c r="L443" s="13"/>
      <c r="M443" s="13"/>
      <c r="N443" s="13"/>
      <c r="O443" s="13"/>
      <c r="P443" s="13"/>
    </row>
    <row r="444" spans="1:16" ht="14.5" x14ac:dyDescent="0.25">
      <c r="A444" s="18">
        <v>434</v>
      </c>
      <c r="B444" s="19">
        <v>70000061</v>
      </c>
      <c r="C444" s="19">
        <v>164414</v>
      </c>
      <c r="D444" t="s" s="9">
        <v>192</v>
      </c>
      <c r="E444" t="s" s="9">
        <v>195</v>
      </c>
      <c r="F444" t="s" s="20">
        <v>536</v>
      </c>
      <c r="G444" t="s" s="10">
        <v>0</v>
      </c>
      <c r="H444" s="25">
        <v>41534</v>
      </c>
      <c r="I444" s="9">
        <f ca="1" t="shared" si="6"/>
      </c>
      <c r="J444" s="12"/>
      <c r="K444" s="13"/>
      <c r="L444" s="13"/>
      <c r="M444" s="13"/>
      <c r="N444" s="13"/>
      <c r="O444" s="13"/>
      <c r="P444" s="13"/>
    </row>
    <row r="445" spans="1:16" ht="14.5" x14ac:dyDescent="0.25">
      <c r="A445" s="18">
        <v>435</v>
      </c>
      <c r="B445" s="19">
        <v>70000061</v>
      </c>
      <c r="C445" s="19">
        <v>164415</v>
      </c>
      <c r="D445" t="s" s="9">
        <v>192</v>
      </c>
      <c r="E445" t="s" s="9">
        <v>195</v>
      </c>
      <c r="F445" t="s" s="20">
        <v>537</v>
      </c>
      <c r="G445" t="s" s="10">
        <v>0</v>
      </c>
      <c r="H445" s="25">
        <v>42478</v>
      </c>
      <c r="I445" s="9">
        <f ca="1" t="shared" si="6"/>
      </c>
      <c r="J445" s="12"/>
      <c r="K445" s="13"/>
      <c r="L445" s="13"/>
      <c r="M445" s="13"/>
      <c r="N445" s="13"/>
      <c r="O445" s="13"/>
      <c r="P445" s="13"/>
    </row>
    <row r="446" spans="1:16" ht="14.5" x14ac:dyDescent="0.25">
      <c r="A446" s="18">
        <v>436</v>
      </c>
      <c r="B446" s="19">
        <v>70000061</v>
      </c>
      <c r="C446" s="19">
        <v>164416</v>
      </c>
      <c r="D446" t="s" s="10">
        <v>192</v>
      </c>
      <c r="E446" t="s" s="9">
        <v>198</v>
      </c>
      <c r="F446" t="s" s="3">
        <v>538</v>
      </c>
      <c r="G446" t="s" s="10">
        <v>0</v>
      </c>
      <c r="H446" s="25">
        <v>44112</v>
      </c>
      <c r="I446" s="9">
        <f ca="1" t="shared" si="6"/>
      </c>
      <c r="J446" s="14"/>
      <c r="K446" s="11"/>
      <c r="L446" s="11"/>
      <c r="M446" s="11"/>
      <c r="N446" s="103"/>
      <c r="O446" s="11"/>
      <c r="P446" s="11"/>
    </row>
    <row r="447" spans="1:16" ht="14.5" x14ac:dyDescent="0.25">
      <c r="A447" s="18">
        <v>437</v>
      </c>
      <c r="B447" s="19">
        <v>70000061</v>
      </c>
      <c r="C447" s="19">
        <v>168421</v>
      </c>
      <c r="D447" t="s" s="9">
        <v>192</v>
      </c>
      <c r="E447" t="s" s="9">
        <v>195</v>
      </c>
      <c r="F447" t="s" s="20">
        <v>539</v>
      </c>
      <c r="G447" t="s" s="10">
        <v>0</v>
      </c>
      <c r="H447" s="25">
        <v>40673</v>
      </c>
      <c r="I447" s="10">
        <f ca="1" t="shared" si="6"/>
      </c>
      <c r="J447" s="12"/>
      <c r="K447" s="13"/>
      <c r="L447" s="13"/>
      <c r="M447" s="13"/>
      <c r="N447" s="13"/>
      <c r="O447" s="13"/>
      <c r="P447" s="13"/>
    </row>
    <row r="448" spans="1:16" ht="14.5" x14ac:dyDescent="0.25">
      <c r="A448" s="18">
        <v>438</v>
      </c>
      <c r="B448" s="19">
        <v>70000115</v>
      </c>
      <c r="C448" s="19">
        <v>164418</v>
      </c>
      <c r="D448" t="s" s="9">
        <v>722</v>
      </c>
      <c r="E448" t="s" s="9">
        <v>195</v>
      </c>
      <c r="F448" t="s" s="20">
        <v>29</v>
      </c>
      <c r="G448" t="s" s="10">
        <v>0</v>
      </c>
      <c r="H448" s="25">
        <v>28210</v>
      </c>
      <c r="I448" s="9">
        <f ca="1" t="shared" si="6"/>
      </c>
      <c r="J448" s="12">
        <v>1</v>
      </c>
      <c r="K448" s="13">
        <v>4</v>
      </c>
      <c r="L448" s="13">
        <v>6</v>
      </c>
      <c r="M448" s="13"/>
      <c r="N448" s="13"/>
      <c r="O448" s="13"/>
      <c r="P448" s="13"/>
    </row>
    <row r="449" spans="1:16" ht="14.5" x14ac:dyDescent="0.25">
      <c r="A449" s="18">
        <v>439</v>
      </c>
      <c r="B449" s="19">
        <v>70000115</v>
      </c>
      <c r="C449" s="19">
        <v>164419</v>
      </c>
      <c r="D449" t="s" s="9">
        <v>608</v>
      </c>
      <c r="E449" t="s" s="9">
        <v>198</v>
      </c>
      <c r="F449" t="s" s="20">
        <v>540</v>
      </c>
      <c r="G449" t="s" s="10">
        <v>0</v>
      </c>
      <c r="H449" s="25">
        <v>31431</v>
      </c>
      <c r="I449" s="9">
        <f ca="1" t="shared" si="6"/>
      </c>
      <c r="J449" s="12"/>
      <c r="K449" s="13"/>
      <c r="L449" s="13"/>
      <c r="M449" s="13"/>
      <c r="N449" s="13"/>
      <c r="O449" s="13"/>
      <c r="P449" s="13"/>
    </row>
    <row r="450" spans="1:16" ht="14.5" x14ac:dyDescent="0.25">
      <c r="A450" s="18">
        <v>440</v>
      </c>
      <c r="B450" s="19">
        <v>70000115</v>
      </c>
      <c r="C450" s="19">
        <v>164420</v>
      </c>
      <c r="D450" t="s" s="10">
        <v>192</v>
      </c>
      <c r="E450" t="s" s="9">
        <v>195</v>
      </c>
      <c r="F450" t="s" s="3">
        <v>541</v>
      </c>
      <c r="G450" t="s" s="10">
        <v>0</v>
      </c>
      <c r="H450" s="25">
        <v>39483</v>
      </c>
      <c r="I450" s="9">
        <f ca="1" t="shared" si="6"/>
      </c>
      <c r="J450" s="14"/>
      <c r="K450" s="11"/>
      <c r="L450" s="11"/>
      <c r="M450" s="11"/>
      <c r="N450" s="103"/>
      <c r="O450" s="11"/>
      <c r="P450" s="11"/>
    </row>
    <row r="451" spans="1:16" ht="14.5" x14ac:dyDescent="0.25">
      <c r="A451" s="18">
        <v>441</v>
      </c>
      <c r="B451" s="19">
        <v>70000115</v>
      </c>
      <c r="C451" s="19">
        <v>164421</v>
      </c>
      <c r="D451" t="s" s="9">
        <v>192</v>
      </c>
      <c r="E451" t="s" s="9">
        <v>195</v>
      </c>
      <c r="F451" t="s" s="20">
        <v>542</v>
      </c>
      <c r="G451" t="s" s="10">
        <v>0</v>
      </c>
      <c r="H451" s="25">
        <v>42677</v>
      </c>
      <c r="I451" s="10">
        <f ca="1" t="shared" ref="I451:I514" si="7">DATEDIF(H451,TODAY(),"Y")</f>
      </c>
      <c r="J451" s="12"/>
      <c r="K451" s="13"/>
      <c r="L451" s="13"/>
      <c r="M451" s="13"/>
      <c r="N451" s="13"/>
      <c r="O451" s="13"/>
      <c r="P451" s="13"/>
    </row>
    <row r="452" spans="1:16" ht="14.5" x14ac:dyDescent="0.25">
      <c r="A452" s="18">
        <v>442</v>
      </c>
      <c r="B452" s="19">
        <v>70000115</v>
      </c>
      <c r="C452" s="19">
        <v>164422</v>
      </c>
      <c r="D452" t="s" s="9">
        <v>192</v>
      </c>
      <c r="E452" t="s" s="9">
        <v>195</v>
      </c>
      <c r="F452" t="s" s="20">
        <v>740</v>
      </c>
      <c r="G452" t="s" s="10">
        <v>0</v>
      </c>
      <c r="H452" s="25">
        <v>43388</v>
      </c>
      <c r="I452" s="9">
        <f ca="1" t="shared" si="7"/>
      </c>
      <c r="J452" s="12"/>
      <c r="K452" s="13"/>
      <c r="L452" s="13"/>
      <c r="M452" s="13"/>
      <c r="N452" s="13"/>
      <c r="O452" s="13"/>
      <c r="P452" s="13"/>
    </row>
    <row r="453" spans="1:16" ht="14.5" x14ac:dyDescent="0.25">
      <c r="A453" s="18">
        <v>443</v>
      </c>
      <c r="B453" s="19">
        <v>70000115</v>
      </c>
      <c r="C453" s="19">
        <v>164423</v>
      </c>
      <c r="D453" t="s" s="9">
        <v>192</v>
      </c>
      <c r="E453" t="s" s="9">
        <v>195</v>
      </c>
      <c r="F453" t="s" s="20">
        <v>543</v>
      </c>
      <c r="G453" t="s" s="10">
        <v>0</v>
      </c>
      <c r="H453" s="27">
        <v>44238</v>
      </c>
      <c r="I453" s="9">
        <f ca="1" t="shared" si="7"/>
      </c>
      <c r="J453" s="12"/>
      <c r="K453" s="13"/>
      <c r="L453" s="13"/>
      <c r="M453" s="13"/>
      <c r="N453" s="13"/>
      <c r="O453" s="13"/>
      <c r="P453" s="13"/>
    </row>
    <row r="454" spans="1:16" ht="14.5" x14ac:dyDescent="0.25">
      <c r="A454" s="18">
        <v>444</v>
      </c>
      <c r="B454" s="19">
        <v>70000032</v>
      </c>
      <c r="C454" s="19">
        <v>164427</v>
      </c>
      <c r="D454" t="s" s="9">
        <v>722</v>
      </c>
      <c r="E454" t="s" s="9">
        <v>195</v>
      </c>
      <c r="F454" t="s" s="20">
        <v>6</v>
      </c>
      <c r="G454" t="s" s="10">
        <v>0</v>
      </c>
      <c r="H454" s="25">
        <v>32748</v>
      </c>
      <c r="I454" s="9">
        <f ca="1" t="shared" si="7"/>
      </c>
      <c r="J454" s="12">
        <v>1</v>
      </c>
      <c r="K454" s="13">
        <v>2</v>
      </c>
      <c r="L454" s="13">
        <v>4</v>
      </c>
      <c r="M454" s="13"/>
      <c r="N454" s="13"/>
      <c r="O454" s="13"/>
      <c r="P454" s="13"/>
    </row>
    <row r="455" spans="1:16" ht="14.5" x14ac:dyDescent="0.25">
      <c r="A455" s="18">
        <v>445</v>
      </c>
      <c r="B455" s="19">
        <v>70000032</v>
      </c>
      <c r="C455" s="19">
        <v>164428</v>
      </c>
      <c r="D455" t="s" s="9">
        <v>608</v>
      </c>
      <c r="E455" t="s" s="9">
        <v>198</v>
      </c>
      <c r="F455" t="s" s="20">
        <v>544</v>
      </c>
      <c r="G455" t="s" s="10">
        <v>0</v>
      </c>
      <c r="H455" s="25">
        <v>35034</v>
      </c>
      <c r="I455" s="9">
        <f ca="1" t="shared" si="7"/>
      </c>
      <c r="J455" s="12"/>
      <c r="K455" s="13"/>
      <c r="L455" s="13"/>
      <c r="M455" s="13"/>
      <c r="N455" s="13"/>
      <c r="O455" s="13"/>
      <c r="P455" s="13"/>
    </row>
    <row r="456" spans="1:16" ht="14.5" x14ac:dyDescent="0.25">
      <c r="A456" s="18">
        <v>446</v>
      </c>
      <c r="B456" s="19">
        <v>70000032</v>
      </c>
      <c r="C456" s="19">
        <v>164429</v>
      </c>
      <c r="D456" t="s" s="9">
        <v>192</v>
      </c>
      <c r="E456" t="s" s="9">
        <v>195</v>
      </c>
      <c r="F456" t="s" s="20">
        <v>545</v>
      </c>
      <c r="G456" t="s" s="10">
        <v>0</v>
      </c>
      <c r="H456" s="25">
        <v>44442</v>
      </c>
      <c r="I456" s="9">
        <f ca="1" t="shared" si="7"/>
      </c>
      <c r="J456" s="12"/>
      <c r="K456" s="13"/>
      <c r="L456" s="13"/>
      <c r="M456" s="13"/>
      <c r="N456" s="13"/>
      <c r="O456" s="13"/>
      <c r="P456" s="13"/>
    </row>
    <row r="457" spans="1:16" ht="14.5" x14ac:dyDescent="0.25">
      <c r="A457" s="18">
        <v>447</v>
      </c>
      <c r="B457" s="19">
        <v>70000032</v>
      </c>
      <c r="C457" s="19">
        <v>171983</v>
      </c>
      <c r="D457" t="s" s="10">
        <v>192</v>
      </c>
      <c r="E457" t="s" s="9">
        <v>195</v>
      </c>
      <c r="F457" t="s" s="3">
        <v>546</v>
      </c>
      <c r="G457" t="s" s="10">
        <v>0</v>
      </c>
      <c r="H457" s="25">
        <v>45545</v>
      </c>
      <c r="I457" s="9">
        <f ca="1" t="shared" si="7"/>
      </c>
      <c r="J457" s="14"/>
      <c r="K457" s="11"/>
      <c r="L457" s="11"/>
      <c r="M457" s="11"/>
      <c r="N457" s="103"/>
      <c r="O457" s="11"/>
      <c r="P457" s="11"/>
    </row>
    <row r="458" spans="1:16" ht="14.5" x14ac:dyDescent="0.25">
      <c r="A458" s="18">
        <v>448</v>
      </c>
      <c r="B458" s="19">
        <v>70000049</v>
      </c>
      <c r="C458" s="19">
        <v>164430</v>
      </c>
      <c r="D458" t="s" s="9">
        <v>722</v>
      </c>
      <c r="E458" t="s" s="9">
        <v>195</v>
      </c>
      <c r="F458" t="s" s="20">
        <v>136</v>
      </c>
      <c r="G458" t="s" s="10">
        <v>0</v>
      </c>
      <c r="H458" s="25">
        <v>23282</v>
      </c>
      <c r="I458" s="9">
        <f ca="1" t="shared" si="7"/>
      </c>
      <c r="J458" s="12">
        <v>1</v>
      </c>
      <c r="K458" s="13">
        <v>5</v>
      </c>
      <c r="L458" s="13">
        <v>7</v>
      </c>
      <c r="M458" s="13"/>
      <c r="N458" s="13"/>
      <c r="O458" s="13"/>
      <c r="P458" s="13"/>
    </row>
    <row r="459" spans="1:16" ht="14.5" x14ac:dyDescent="0.25">
      <c r="A459" s="18">
        <v>449</v>
      </c>
      <c r="B459" s="19">
        <v>70000049</v>
      </c>
      <c r="C459" s="19">
        <v>164431</v>
      </c>
      <c r="D459" t="s" s="9">
        <v>608</v>
      </c>
      <c r="E459" t="s" s="9">
        <v>198</v>
      </c>
      <c r="F459" t="s" s="20">
        <v>547</v>
      </c>
      <c r="G459" t="s" s="10">
        <v>0</v>
      </c>
      <c r="H459" s="25">
        <v>25185</v>
      </c>
      <c r="I459" s="9">
        <f ca="1" t="shared" si="7"/>
      </c>
      <c r="J459" s="12"/>
      <c r="K459" s="13"/>
      <c r="L459" s="13"/>
      <c r="M459" s="13"/>
      <c r="N459" s="13"/>
      <c r="O459" s="13"/>
      <c r="P459" s="13"/>
    </row>
    <row r="460" spans="1:16" ht="14.5" x14ac:dyDescent="0.25">
      <c r="A460" s="18">
        <v>450</v>
      </c>
      <c r="B460" s="19">
        <v>70000049</v>
      </c>
      <c r="C460" s="19">
        <v>164432</v>
      </c>
      <c r="D460" t="s" s="9">
        <v>192</v>
      </c>
      <c r="E460" t="s" s="9">
        <v>195</v>
      </c>
      <c r="F460" t="s" s="20">
        <v>548</v>
      </c>
      <c r="G460" t="s" s="10">
        <v>0</v>
      </c>
      <c r="H460" s="25">
        <v>41801</v>
      </c>
      <c r="I460" s="9">
        <f ca="1" t="shared" si="7"/>
      </c>
      <c r="J460" s="12"/>
      <c r="K460" s="13"/>
      <c r="L460" s="13"/>
      <c r="M460" s="13"/>
      <c r="N460" s="13"/>
      <c r="O460" s="13"/>
      <c r="P460" s="13"/>
    </row>
    <row r="461" spans="1:16" ht="14.5" x14ac:dyDescent="0.25">
      <c r="A461" s="18">
        <v>451</v>
      </c>
      <c r="B461" s="19">
        <v>70000049</v>
      </c>
      <c r="C461" s="19">
        <v>164433</v>
      </c>
      <c r="D461" t="s" s="9">
        <v>192</v>
      </c>
      <c r="E461" t="s" s="9">
        <v>195</v>
      </c>
      <c r="F461" t="s" s="20">
        <v>549</v>
      </c>
      <c r="G461" t="s" s="10">
        <v>0</v>
      </c>
      <c r="H461" s="25">
        <v>39622</v>
      </c>
      <c r="I461" s="9">
        <f ca="1" t="shared" si="7"/>
      </c>
      <c r="J461" s="12"/>
      <c r="K461" s="13"/>
      <c r="L461" s="13"/>
      <c r="M461" s="13"/>
      <c r="N461" s="13"/>
      <c r="O461" s="13"/>
      <c r="P461" s="13"/>
    </row>
    <row r="462" spans="1:16" ht="14.5" x14ac:dyDescent="0.25">
      <c r="A462" s="18">
        <v>452</v>
      </c>
      <c r="B462" s="19">
        <v>70000049</v>
      </c>
      <c r="C462" s="19">
        <v>164682</v>
      </c>
      <c r="D462" t="s" s="9">
        <v>192</v>
      </c>
      <c r="E462" t="s" s="9">
        <v>195</v>
      </c>
      <c r="F462" t="s" s="20">
        <v>550</v>
      </c>
      <c r="G462" t="s" s="10">
        <v>0</v>
      </c>
      <c r="H462" s="25">
        <v>36555</v>
      </c>
      <c r="I462" s="9">
        <f ca="1" t="shared" si="7"/>
      </c>
      <c r="J462" s="12"/>
      <c r="K462" s="13"/>
      <c r="L462" s="13"/>
      <c r="M462" s="13"/>
      <c r="N462" s="13"/>
      <c r="O462" s="13"/>
      <c r="P462" s="13"/>
    </row>
    <row r="463" spans="1:16" ht="14.5" x14ac:dyDescent="0.25">
      <c r="A463" s="18">
        <v>453</v>
      </c>
      <c r="B463" s="19">
        <v>70000049</v>
      </c>
      <c r="C463" s="19">
        <v>164810</v>
      </c>
      <c r="D463" t="s" s="10">
        <v>192</v>
      </c>
      <c r="E463" t="s" s="9">
        <v>195</v>
      </c>
      <c r="F463" t="s" s="3">
        <v>551</v>
      </c>
      <c r="G463" t="s" s="10">
        <v>0</v>
      </c>
      <c r="H463" s="25">
        <v>38149</v>
      </c>
      <c r="I463" s="9">
        <f ca="1" t="shared" si="7"/>
      </c>
      <c r="J463" s="14"/>
      <c r="K463" s="11"/>
      <c r="L463" s="11"/>
      <c r="M463" s="11"/>
      <c r="N463" s="103"/>
      <c r="O463" s="11"/>
      <c r="P463" s="11"/>
    </row>
    <row r="464" spans="1:16" ht="14.5" x14ac:dyDescent="0.25">
      <c r="A464" s="18">
        <v>454</v>
      </c>
      <c r="B464" s="19">
        <v>70000049</v>
      </c>
      <c r="C464" s="19">
        <v>164811</v>
      </c>
      <c r="D464" t="s" s="9">
        <v>192</v>
      </c>
      <c r="E464" t="s" s="9">
        <v>195</v>
      </c>
      <c r="F464" t="s" s="3">
        <v>552</v>
      </c>
      <c r="G464" t="s" s="10">
        <v>0</v>
      </c>
      <c r="H464" s="25">
        <v>36555</v>
      </c>
      <c r="I464" s="10">
        <f ca="1" t="shared" si="7"/>
      </c>
      <c r="J464" s="12"/>
      <c r="K464" s="13"/>
      <c r="L464" s="13"/>
      <c r="M464" s="13"/>
      <c r="N464" s="13"/>
      <c r="O464" s="13"/>
      <c r="P464" s="13"/>
    </row>
    <row r="465" spans="1:16" ht="14.5" x14ac:dyDescent="0.25">
      <c r="A465" s="18">
        <v>455</v>
      </c>
      <c r="B465" s="19">
        <v>70000130</v>
      </c>
      <c r="C465" s="19">
        <v>164439</v>
      </c>
      <c r="D465" t="s" s="9">
        <v>722</v>
      </c>
      <c r="E465" t="s" s="9">
        <v>195</v>
      </c>
      <c r="F465" t="s" s="20">
        <v>67</v>
      </c>
      <c r="G465" t="s" s="10">
        <v>177</v>
      </c>
      <c r="H465" s="25">
        <v>26862</v>
      </c>
      <c r="I465" s="9">
        <f ca="1" t="shared" si="7"/>
      </c>
      <c r="J465" s="12">
        <v>1</v>
      </c>
      <c r="K465" s="13">
        <v>4</v>
      </c>
      <c r="L465" s="13">
        <v>6</v>
      </c>
      <c r="M465" s="13"/>
      <c r="N465" s="13"/>
      <c r="O465" s="13"/>
      <c r="P465" s="13"/>
    </row>
    <row r="466" spans="1:16" ht="14.5" x14ac:dyDescent="0.25">
      <c r="A466" s="18">
        <v>456</v>
      </c>
      <c r="B466" s="19">
        <v>70000130</v>
      </c>
      <c r="C466" s="19">
        <v>164440</v>
      </c>
      <c r="D466" t="s" s="9">
        <v>608</v>
      </c>
      <c r="E466" t="s" s="9">
        <v>198</v>
      </c>
      <c r="F466" t="s" s="20">
        <v>553</v>
      </c>
      <c r="G466" t="s" s="10">
        <v>177</v>
      </c>
      <c r="H466" s="25">
        <v>30527</v>
      </c>
      <c r="I466" s="9">
        <f ca="1" t="shared" si="7"/>
      </c>
      <c r="J466" s="12"/>
      <c r="K466" s="13"/>
      <c r="L466" s="13"/>
      <c r="M466" s="13"/>
      <c r="N466" s="13"/>
      <c r="O466" s="13"/>
      <c r="P466" s="13"/>
    </row>
    <row r="467" spans="1:16" ht="14.5" x14ac:dyDescent="0.25">
      <c r="A467" s="18">
        <v>457</v>
      </c>
      <c r="B467" s="19">
        <v>70000130</v>
      </c>
      <c r="C467" s="19">
        <v>164441</v>
      </c>
      <c r="D467" t="s" s="10">
        <v>192</v>
      </c>
      <c r="E467" t="s" s="9">
        <v>195</v>
      </c>
      <c r="F467" t="s" s="3">
        <v>554</v>
      </c>
      <c r="G467" t="s" s="10">
        <v>177</v>
      </c>
      <c r="H467" s="25">
        <v>40741</v>
      </c>
      <c r="I467" s="9">
        <f ca="1" t="shared" si="7"/>
      </c>
      <c r="J467" s="14"/>
      <c r="K467" s="11"/>
      <c r="L467" s="11"/>
      <c r="M467" s="11"/>
      <c r="N467" s="103"/>
      <c r="O467" s="11"/>
      <c r="P467" s="11"/>
    </row>
    <row r="468" spans="1:16" ht="14.5" x14ac:dyDescent="0.25">
      <c r="A468" s="18">
        <v>458</v>
      </c>
      <c r="B468" s="19">
        <v>70000130</v>
      </c>
      <c r="C468" s="19">
        <v>164442</v>
      </c>
      <c r="D468" t="s" s="9">
        <v>192</v>
      </c>
      <c r="E468" t="s" s="9">
        <v>195</v>
      </c>
      <c r="F468" t="s" s="20">
        <v>555</v>
      </c>
      <c r="G468" t="s" s="10">
        <v>177</v>
      </c>
      <c r="H468" s="25">
        <v>41337</v>
      </c>
      <c r="I468" s="10">
        <f ca="1" t="shared" si="7"/>
      </c>
      <c r="J468" s="12"/>
      <c r="K468" s="13"/>
      <c r="L468" s="13"/>
      <c r="M468" s="13"/>
      <c r="N468" s="13"/>
      <c r="O468" s="13"/>
      <c r="P468" s="13"/>
    </row>
    <row r="469" spans="1:16" ht="14.5" x14ac:dyDescent="0.25">
      <c r="A469" s="18">
        <v>459</v>
      </c>
      <c r="B469" s="19">
        <v>70000130</v>
      </c>
      <c r="C469" s="19">
        <v>164444</v>
      </c>
      <c r="D469" t="s" s="9">
        <v>192</v>
      </c>
      <c r="E469" t="s" s="9">
        <v>195</v>
      </c>
      <c r="F469" t="s" s="20">
        <v>556</v>
      </c>
      <c r="G469" t="s" s="10">
        <v>177</v>
      </c>
      <c r="H469" s="25">
        <v>43861</v>
      </c>
      <c r="I469" s="5">
        <f ca="1" t="shared" si="7"/>
      </c>
      <c r="J469" s="12"/>
      <c r="K469" s="13"/>
      <c r="L469" s="13"/>
      <c r="M469" s="13"/>
      <c r="N469" s="13"/>
      <c r="O469" s="13"/>
      <c r="P469" s="13"/>
    </row>
    <row r="470" spans="1:16" ht="14.5" x14ac:dyDescent="0.25">
      <c r="A470" s="18">
        <v>460</v>
      </c>
      <c r="B470" s="19">
        <v>70000130</v>
      </c>
      <c r="C470" s="19">
        <v>164445</v>
      </c>
      <c r="D470" t="s" s="9">
        <v>192</v>
      </c>
      <c r="E470" t="s" s="9">
        <v>195</v>
      </c>
      <c r="F470" t="s" s="20">
        <v>557</v>
      </c>
      <c r="G470" t="s" s="10">
        <v>177</v>
      </c>
      <c r="H470" s="25">
        <v>43861</v>
      </c>
      <c r="I470" s="9">
        <f ca="1" t="shared" si="7"/>
      </c>
      <c r="J470" s="12"/>
      <c r="K470" s="13"/>
      <c r="L470" s="13"/>
      <c r="M470" s="13"/>
      <c r="N470" s="13"/>
      <c r="O470" s="13"/>
      <c r="P470" s="13"/>
    </row>
    <row r="471" spans="1:16" ht="14.5" x14ac:dyDescent="0.25">
      <c r="A471" s="18">
        <v>461</v>
      </c>
      <c r="B471" s="19">
        <v>70000077</v>
      </c>
      <c r="C471" s="19">
        <v>164446</v>
      </c>
      <c r="D471" t="s" s="9">
        <v>722</v>
      </c>
      <c r="E471" t="s" s="9">
        <v>195</v>
      </c>
      <c r="F471" t="s" s="20">
        <v>138</v>
      </c>
      <c r="G471" t="s" s="10">
        <v>0</v>
      </c>
      <c r="H471" s="25">
        <v>33577</v>
      </c>
      <c r="I471" s="9">
        <f ca="1" t="shared" si="7"/>
      </c>
      <c r="J471" s="12">
        <v>1</v>
      </c>
      <c r="K471" s="13">
        <v>2</v>
      </c>
      <c r="L471" s="13">
        <v>4</v>
      </c>
      <c r="M471" s="13"/>
      <c r="N471" s="13"/>
      <c r="O471" s="13"/>
      <c r="P471" s="13"/>
    </row>
    <row r="472" spans="1:16" ht="14.5" x14ac:dyDescent="0.25">
      <c r="A472" s="18">
        <v>462</v>
      </c>
      <c r="B472" s="19">
        <v>70000077</v>
      </c>
      <c r="C472" s="19">
        <v>164447</v>
      </c>
      <c r="D472" t="s" s="9">
        <v>608</v>
      </c>
      <c r="E472" t="s" s="9">
        <v>198</v>
      </c>
      <c r="F472" t="s" s="20">
        <v>798</v>
      </c>
      <c r="G472" t="s" s="10">
        <v>0</v>
      </c>
      <c r="H472" s="25">
        <v>33646</v>
      </c>
      <c r="I472" s="9">
        <f ca="1" t="shared" si="7"/>
      </c>
      <c r="J472" s="12"/>
      <c r="K472" s="13"/>
      <c r="L472" s="13"/>
      <c r="M472" s="13"/>
      <c r="N472" s="13"/>
      <c r="O472" s="13"/>
      <c r="P472" s="13"/>
    </row>
    <row r="473" spans="1:16" ht="14.5" x14ac:dyDescent="0.25">
      <c r="A473" s="18">
        <v>463</v>
      </c>
      <c r="B473" s="19">
        <v>70000077</v>
      </c>
      <c r="C473" s="19">
        <v>164448</v>
      </c>
      <c r="D473" t="s" s="10">
        <v>192</v>
      </c>
      <c r="E473" t="s" s="9">
        <v>195</v>
      </c>
      <c r="F473" t="s" s="3">
        <v>558</v>
      </c>
      <c r="G473" t="s" s="10">
        <v>0</v>
      </c>
      <c r="H473" s="25">
        <v>43610</v>
      </c>
      <c r="I473" s="9">
        <f ca="1" t="shared" si="7"/>
      </c>
      <c r="J473" s="12"/>
      <c r="K473" s="11"/>
      <c r="L473" s="11"/>
      <c r="M473" s="11"/>
      <c r="N473" s="103"/>
      <c r="O473" s="11"/>
      <c r="P473" s="11"/>
    </row>
    <row r="474" spans="1:16" ht="14.5" x14ac:dyDescent="0.25">
      <c r="A474" s="18">
        <v>464</v>
      </c>
      <c r="B474" s="19">
        <v>70000077</v>
      </c>
      <c r="C474" s="19">
        <v>165677</v>
      </c>
      <c r="D474" t="s" s="9">
        <v>192</v>
      </c>
      <c r="E474" t="s" s="9">
        <v>195</v>
      </c>
      <c r="F474" t="s" s="20">
        <v>559</v>
      </c>
      <c r="G474" t="s" s="10">
        <v>0</v>
      </c>
      <c r="H474" s="25">
        <v>44589</v>
      </c>
      <c r="I474" s="9">
        <f ca="1" t="shared" si="7"/>
      </c>
      <c r="J474" s="12"/>
      <c r="K474" s="13"/>
      <c r="L474" s="13"/>
      <c r="M474" s="13"/>
      <c r="N474" s="13"/>
      <c r="O474" s="13"/>
      <c r="P474" s="13"/>
    </row>
    <row r="475" spans="1:16" ht="14.5" x14ac:dyDescent="0.25">
      <c r="A475" s="18">
        <v>465</v>
      </c>
      <c r="B475" s="19">
        <v>70000081</v>
      </c>
      <c r="C475" s="19">
        <v>164460</v>
      </c>
      <c r="D475" t="s" s="10">
        <v>722</v>
      </c>
      <c r="E475" t="s" s="9">
        <v>195</v>
      </c>
      <c r="F475" t="s" s="3">
        <v>140</v>
      </c>
      <c r="G475" t="s" s="10">
        <v>0</v>
      </c>
      <c r="H475" s="25">
        <v>28513</v>
      </c>
      <c r="I475" s="9">
        <f ca="1" t="shared" si="7"/>
      </c>
      <c r="J475" s="14">
        <v>1</v>
      </c>
      <c r="K475" s="11">
        <v>4</v>
      </c>
      <c r="L475" s="11">
        <v>6</v>
      </c>
      <c r="M475" s="11"/>
      <c r="N475" s="103"/>
      <c r="O475" s="11"/>
      <c r="P475" s="11"/>
    </row>
    <row r="476" spans="1:16" ht="14.5" x14ac:dyDescent="0.25">
      <c r="A476" s="18">
        <v>466</v>
      </c>
      <c r="B476" s="19">
        <v>70000081</v>
      </c>
      <c r="C476" s="19">
        <v>164461</v>
      </c>
      <c r="D476" t="s" s="9">
        <v>608</v>
      </c>
      <c r="E476" t="s" s="9">
        <v>198</v>
      </c>
      <c r="F476" t="s" s="20">
        <v>560</v>
      </c>
      <c r="G476" t="s" s="10">
        <v>0</v>
      </c>
      <c r="H476" s="25">
        <v>32426</v>
      </c>
      <c r="I476" s="9">
        <f ca="1" t="shared" si="7"/>
      </c>
      <c r="J476" s="12"/>
      <c r="K476" s="13"/>
      <c r="L476" s="13"/>
      <c r="M476" s="13"/>
      <c r="N476" s="13"/>
      <c r="O476" s="13"/>
      <c r="P476" s="13"/>
    </row>
    <row r="477" spans="1:16" ht="14.5" x14ac:dyDescent="0.25">
      <c r="A477" s="18">
        <v>467</v>
      </c>
      <c r="B477" s="19">
        <v>70000081</v>
      </c>
      <c r="C477" s="19">
        <v>164462</v>
      </c>
      <c r="D477" t="s" s="9">
        <v>192</v>
      </c>
      <c r="E477" t="s" s="9">
        <v>198</v>
      </c>
      <c r="F477" t="s" s="20">
        <v>561</v>
      </c>
      <c r="G477" t="s" s="10">
        <v>0</v>
      </c>
      <c r="H477" s="25">
        <v>40339</v>
      </c>
      <c r="I477" s="9">
        <f ca="1" t="shared" si="7"/>
      </c>
      <c r="J477" s="12"/>
      <c r="K477" s="13"/>
      <c r="L477" s="13"/>
      <c r="M477" s="13"/>
      <c r="N477" s="13"/>
      <c r="O477" s="13"/>
      <c r="P477" s="13"/>
    </row>
    <row r="478" spans="1:16" ht="14.5" x14ac:dyDescent="0.25">
      <c r="A478" s="18">
        <v>468</v>
      </c>
      <c r="B478" s="19">
        <v>70000081</v>
      </c>
      <c r="C478" s="19">
        <v>164463</v>
      </c>
      <c r="D478" t="s" s="9">
        <v>192</v>
      </c>
      <c r="E478" t="s" s="9">
        <v>195</v>
      </c>
      <c r="F478" t="s" s="20">
        <v>562</v>
      </c>
      <c r="G478" t="s" s="10">
        <v>0</v>
      </c>
      <c r="H478" s="25">
        <v>44023</v>
      </c>
      <c r="I478" s="9">
        <f ca="1" t="shared" si="7"/>
      </c>
      <c r="J478" s="12"/>
      <c r="K478" s="13"/>
      <c r="L478" s="13"/>
      <c r="M478" s="13"/>
      <c r="N478" s="13"/>
      <c r="O478" s="13"/>
      <c r="P478" s="13"/>
    </row>
    <row r="479" spans="1:16" ht="14.5" x14ac:dyDescent="0.25">
      <c r="A479" s="18">
        <v>469</v>
      </c>
      <c r="B479" s="19">
        <v>70000081</v>
      </c>
      <c r="C479" s="19">
        <v>164464</v>
      </c>
      <c r="D479" t="s" s="10">
        <v>192</v>
      </c>
      <c r="E479" t="s" s="9">
        <v>198</v>
      </c>
      <c r="F479" t="s" s="3">
        <v>563</v>
      </c>
      <c r="G479" t="s" s="10">
        <v>0</v>
      </c>
      <c r="H479" s="25">
        <v>44286</v>
      </c>
      <c r="I479" s="9">
        <f ca="1" t="shared" si="7"/>
      </c>
      <c r="J479" s="14"/>
      <c r="K479" s="11"/>
      <c r="L479" s="11"/>
      <c r="M479" s="11"/>
      <c r="N479" s="103"/>
      <c r="O479" s="11"/>
      <c r="P479" s="11"/>
    </row>
    <row r="480" spans="1:16" ht="14.5" x14ac:dyDescent="0.25">
      <c r="A480" s="18">
        <v>470</v>
      </c>
      <c r="B480" s="19">
        <v>70000081</v>
      </c>
      <c r="C480" s="19">
        <v>168831</v>
      </c>
      <c r="D480" t="s" s="9">
        <v>192</v>
      </c>
      <c r="E480" t="s" s="9">
        <v>198</v>
      </c>
      <c r="F480" t="s" s="20">
        <v>564</v>
      </c>
      <c r="G480" t="s" s="10">
        <v>0</v>
      </c>
      <c r="H480" s="25">
        <v>45076</v>
      </c>
      <c r="I480" s="9">
        <f ca="1" t="shared" si="7"/>
      </c>
      <c r="J480" s="12"/>
      <c r="K480" s="13"/>
      <c r="L480" s="13"/>
      <c r="M480" s="13"/>
      <c r="N480" s="13"/>
      <c r="O480" s="13"/>
      <c r="P480" s="13"/>
    </row>
    <row r="481" spans="1:16" ht="14.5" x14ac:dyDescent="0.25">
      <c r="A481" s="18">
        <v>471</v>
      </c>
      <c r="B481" s="19">
        <v>70000050</v>
      </c>
      <c r="C481" s="19">
        <v>164465</v>
      </c>
      <c r="D481" t="s" s="9">
        <v>722</v>
      </c>
      <c r="E481" t="s" s="9">
        <v>195</v>
      </c>
      <c r="F481" t="s" s="20">
        <v>135</v>
      </c>
      <c r="G481" t="s" s="10">
        <v>0</v>
      </c>
      <c r="H481" s="25">
        <v>27214</v>
      </c>
      <c r="I481" s="9">
        <f ca="1" t="shared" si="7"/>
      </c>
      <c r="J481" s="12">
        <v>0</v>
      </c>
      <c r="K481" s="13">
        <v>1</v>
      </c>
      <c r="L481" s="13">
        <v>2</v>
      </c>
      <c r="M481" s="13"/>
      <c r="N481" s="13"/>
      <c r="O481" s="13"/>
      <c r="P481" s="13"/>
    </row>
    <row r="482" spans="1:16" ht="14.5" x14ac:dyDescent="0.25">
      <c r="A482" s="18">
        <v>472</v>
      </c>
      <c r="B482" s="19">
        <v>70000050</v>
      </c>
      <c r="C482" s="19">
        <v>168430</v>
      </c>
      <c r="D482" t="s" s="9">
        <v>192</v>
      </c>
      <c r="E482" t="s" s="9">
        <v>198</v>
      </c>
      <c r="F482" t="s" s="20">
        <v>565</v>
      </c>
      <c r="G482" t="s" s="10">
        <v>0</v>
      </c>
      <c r="H482" s="25">
        <v>45061</v>
      </c>
      <c r="I482" s="9">
        <f ca="1" t="shared" si="7"/>
      </c>
      <c r="J482" s="12"/>
      <c r="K482" s="13"/>
      <c r="L482" s="13"/>
      <c r="M482" s="13"/>
      <c r="N482" s="13"/>
      <c r="O482" s="13"/>
      <c r="P482" s="13"/>
    </row>
    <row r="483" spans="1:16" ht="14.5" x14ac:dyDescent="0.25">
      <c r="A483" s="18">
        <v>473</v>
      </c>
      <c r="B483" s="19">
        <v>70000144</v>
      </c>
      <c r="C483" s="19">
        <v>164467</v>
      </c>
      <c r="D483" t="s" s="9">
        <v>722</v>
      </c>
      <c r="E483" t="s" s="9">
        <v>195</v>
      </c>
      <c r="F483" t="s" s="20">
        <v>158</v>
      </c>
      <c r="G483" t="s" s="10">
        <v>177</v>
      </c>
      <c r="H483" s="25">
        <v>32435</v>
      </c>
      <c r="I483" s="9">
        <f ca="1" t="shared" si="7"/>
      </c>
      <c r="J483" s="12">
        <v>1</v>
      </c>
      <c r="K483" s="13">
        <v>2</v>
      </c>
      <c r="L483" s="13">
        <v>4</v>
      </c>
      <c r="M483" s="13"/>
      <c r="N483" s="13"/>
      <c r="O483" s="13"/>
      <c r="P483" s="13"/>
    </row>
    <row r="484" spans="1:16" ht="14.5" x14ac:dyDescent="0.25">
      <c r="A484" s="18">
        <v>474</v>
      </c>
      <c r="B484" s="19">
        <v>70000144</v>
      </c>
      <c r="C484" s="19">
        <v>164468</v>
      </c>
      <c r="D484" t="s" s="9">
        <v>608</v>
      </c>
      <c r="E484" t="s" s="9">
        <v>198</v>
      </c>
      <c r="F484" t="s" s="20">
        <v>566</v>
      </c>
      <c r="G484" t="s" s="10">
        <v>177</v>
      </c>
      <c r="H484" s="25">
        <v>34436</v>
      </c>
      <c r="I484" s="9">
        <f ca="1" t="shared" si="7"/>
      </c>
      <c r="J484" s="12"/>
      <c r="K484" s="13"/>
      <c r="L484" s="13"/>
      <c r="M484" s="13"/>
      <c r="N484" s="13"/>
      <c r="O484" s="13"/>
      <c r="P484" s="13"/>
    </row>
    <row r="485" spans="1:16" ht="14.5" x14ac:dyDescent="0.25">
      <c r="A485" s="18">
        <v>475</v>
      </c>
      <c r="B485" s="19">
        <v>70000144</v>
      </c>
      <c r="C485" s="19">
        <v>164817</v>
      </c>
      <c r="D485" t="s" s="9">
        <v>192</v>
      </c>
      <c r="E485" t="s" s="9">
        <v>198</v>
      </c>
      <c r="F485" t="s" s="20">
        <v>567</v>
      </c>
      <c r="G485" t="s" s="10">
        <v>177</v>
      </c>
      <c r="H485" s="25">
        <v>44513</v>
      </c>
      <c r="I485" s="9">
        <f ca="1" t="shared" si="7"/>
      </c>
      <c r="J485" s="12"/>
      <c r="K485" s="13"/>
      <c r="L485" s="13"/>
      <c r="M485" s="13"/>
      <c r="N485" s="13"/>
      <c r="O485" s="13"/>
      <c r="P485" s="13"/>
    </row>
    <row r="486" spans="1:16" ht="14.5" x14ac:dyDescent="0.25">
      <c r="A486" s="18">
        <v>476</v>
      </c>
      <c r="B486" s="19">
        <v>70000144</v>
      </c>
      <c r="C486" s="19">
        <v>171282</v>
      </c>
      <c r="D486" t="s" s="10">
        <v>192</v>
      </c>
      <c r="E486" t="s" s="9">
        <v>198</v>
      </c>
      <c r="F486" t="s" s="3">
        <v>568</v>
      </c>
      <c r="G486" t="s" s="10">
        <v>177</v>
      </c>
      <c r="H486" s="25">
        <v>45265</v>
      </c>
      <c r="I486" s="9">
        <f ca="1" t="shared" si="7"/>
      </c>
      <c r="J486" s="14"/>
      <c r="K486" s="11"/>
      <c r="L486" s="11"/>
      <c r="M486" s="11"/>
      <c r="N486" s="103"/>
      <c r="O486" s="11"/>
      <c r="P486" s="11"/>
    </row>
    <row r="487" spans="1:16" ht="14.5" x14ac:dyDescent="0.25">
      <c r="A487" s="18">
        <v>477</v>
      </c>
      <c r="B487" s="19">
        <v>70000058</v>
      </c>
      <c r="C487" s="19">
        <v>164481</v>
      </c>
      <c r="D487" t="s" s="9">
        <v>722</v>
      </c>
      <c r="E487" t="s" s="9">
        <v>195</v>
      </c>
      <c r="F487" t="s" s="20">
        <v>21</v>
      </c>
      <c r="G487" t="s" s="10">
        <v>0</v>
      </c>
      <c r="H487" s="25">
        <v>31705</v>
      </c>
      <c r="I487" s="6">
        <f ca="1" t="shared" si="7"/>
      </c>
      <c r="J487" s="12">
        <v>1</v>
      </c>
      <c r="K487" s="13">
        <v>5</v>
      </c>
      <c r="L487" s="13">
        <v>7</v>
      </c>
      <c r="M487" s="13"/>
      <c r="N487" s="13"/>
      <c r="O487" s="13"/>
      <c r="P487" s="13"/>
    </row>
    <row r="488" spans="1:16" ht="14.5" x14ac:dyDescent="0.25">
      <c r="A488" s="18">
        <v>478</v>
      </c>
      <c r="B488" s="19">
        <v>70000058</v>
      </c>
      <c r="C488" s="19">
        <v>164482</v>
      </c>
      <c r="D488" t="s" s="9">
        <v>608</v>
      </c>
      <c r="E488" t="s" s="9">
        <v>198</v>
      </c>
      <c r="F488" t="s" s="20">
        <v>569</v>
      </c>
      <c r="G488" t="s" s="10">
        <v>0</v>
      </c>
      <c r="H488" s="25">
        <v>32182</v>
      </c>
      <c r="I488" s="9">
        <f ca="1" t="shared" si="7"/>
      </c>
      <c r="J488" s="12"/>
      <c r="K488" s="13"/>
      <c r="L488" s="13"/>
      <c r="M488" s="13"/>
      <c r="N488" s="13"/>
      <c r="O488" s="13"/>
      <c r="P488" s="13"/>
    </row>
    <row r="489" spans="1:16" ht="14.5" x14ac:dyDescent="0.25">
      <c r="A489" s="18">
        <v>479</v>
      </c>
      <c r="B489" s="19">
        <v>70000058</v>
      </c>
      <c r="C489" s="19">
        <v>164483</v>
      </c>
      <c r="D489" t="s" s="9">
        <v>192</v>
      </c>
      <c r="E489" t="s" s="9">
        <v>195</v>
      </c>
      <c r="F489" t="s" s="20">
        <v>570</v>
      </c>
      <c r="G489" t="s" s="10">
        <v>0</v>
      </c>
      <c r="H489" s="25">
        <v>44258</v>
      </c>
      <c r="I489" s="9">
        <f ca="1" t="shared" si="7"/>
      </c>
      <c r="J489" s="12"/>
      <c r="K489" s="13"/>
      <c r="L489" s="13"/>
      <c r="M489" s="13"/>
      <c r="N489" s="13"/>
      <c r="O489" s="13"/>
      <c r="P489" s="13"/>
    </row>
    <row r="490" spans="1:16" ht="14.5" x14ac:dyDescent="0.25">
      <c r="A490" s="18">
        <v>480</v>
      </c>
      <c r="B490" s="19">
        <v>70000058</v>
      </c>
      <c r="C490" s="19">
        <v>164484</v>
      </c>
      <c r="D490" t="s" s="9">
        <v>192</v>
      </c>
      <c r="E490" t="s" s="9">
        <v>198</v>
      </c>
      <c r="F490" t="s" s="20">
        <v>571</v>
      </c>
      <c r="G490" t="s" s="10">
        <v>0</v>
      </c>
      <c r="H490" s="25">
        <v>39915</v>
      </c>
      <c r="I490" s="9">
        <f ca="1" t="shared" si="7"/>
      </c>
      <c r="J490" s="12"/>
      <c r="K490" s="13"/>
      <c r="L490" s="13"/>
      <c r="M490" s="13"/>
      <c r="N490" s="13"/>
      <c r="O490" s="13"/>
      <c r="P490" s="13"/>
    </row>
    <row r="491" spans="1:16" ht="14.5" x14ac:dyDescent="0.25">
      <c r="A491" s="18">
        <v>481</v>
      </c>
      <c r="B491" s="19">
        <v>70000058</v>
      </c>
      <c r="C491" s="19">
        <v>164485</v>
      </c>
      <c r="D491" t="s" s="9">
        <v>192</v>
      </c>
      <c r="E491" t="s" s="9">
        <v>198</v>
      </c>
      <c r="F491" t="s" s="20">
        <v>572</v>
      </c>
      <c r="G491" t="s" s="10">
        <v>0</v>
      </c>
      <c r="H491" s="25">
        <v>41504</v>
      </c>
      <c r="I491" s="9">
        <f ca="1" t="shared" si="7"/>
      </c>
      <c r="J491" s="12"/>
      <c r="K491" s="13"/>
      <c r="L491" s="13"/>
      <c r="M491" s="13"/>
      <c r="N491" s="13"/>
      <c r="O491" s="13"/>
      <c r="P491" s="13"/>
    </row>
    <row r="492" spans="1:16" ht="14.5" x14ac:dyDescent="0.25">
      <c r="A492" s="18">
        <v>482</v>
      </c>
      <c r="B492" s="19">
        <v>70000058</v>
      </c>
      <c r="C492" s="19">
        <v>164624</v>
      </c>
      <c r="D492" t="s" s="9">
        <v>192</v>
      </c>
      <c r="E492" t="s" s="9">
        <v>198</v>
      </c>
      <c r="F492" t="s" s="20">
        <v>573</v>
      </c>
      <c r="G492" t="s" s="10">
        <v>0</v>
      </c>
      <c r="H492" s="25">
        <v>42470</v>
      </c>
      <c r="I492" s="9">
        <f ca="1" t="shared" si="7"/>
      </c>
      <c r="J492" s="12"/>
      <c r="K492" s="13"/>
      <c r="L492" s="13"/>
      <c r="M492" s="13"/>
      <c r="N492" s="13"/>
      <c r="O492" s="13"/>
      <c r="P492" s="13"/>
    </row>
    <row r="493" spans="1:16" ht="14.5" x14ac:dyDescent="0.25">
      <c r="A493" s="18">
        <v>483</v>
      </c>
      <c r="B493" s="19">
        <v>70000058</v>
      </c>
      <c r="C493" s="19">
        <v>166050</v>
      </c>
      <c r="D493" t="s" s="10">
        <v>192</v>
      </c>
      <c r="E493" t="s" s="9">
        <v>198</v>
      </c>
      <c r="F493" t="s" s="3">
        <v>574</v>
      </c>
      <c r="G493" t="s" s="10">
        <v>0</v>
      </c>
      <c r="H493" s="25">
        <v>42656</v>
      </c>
      <c r="I493" s="9">
        <f ca="1" t="shared" si="7"/>
      </c>
      <c r="J493" s="14"/>
      <c r="K493" s="11"/>
      <c r="L493" s="11"/>
      <c r="M493" s="11"/>
      <c r="N493" s="103"/>
      <c r="O493" s="11"/>
      <c r="P493" s="11"/>
    </row>
    <row r="494" spans="1:16" ht="14.5" x14ac:dyDescent="0.25">
      <c r="A494" s="18">
        <v>484</v>
      </c>
      <c r="B494" s="19">
        <v>70000088</v>
      </c>
      <c r="C494" s="19">
        <v>164486</v>
      </c>
      <c r="D494" t="s" s="9">
        <v>722</v>
      </c>
      <c r="E494" t="s" s="9">
        <v>195</v>
      </c>
      <c r="F494" t="s" s="20">
        <v>24</v>
      </c>
      <c r="G494" t="s" s="10">
        <v>0</v>
      </c>
      <c r="H494" s="25">
        <v>33662</v>
      </c>
      <c r="I494" s="5">
        <f ca="1" t="shared" si="7"/>
      </c>
      <c r="J494" s="12">
        <v>1</v>
      </c>
      <c r="K494" s="13">
        <v>5</v>
      </c>
      <c r="L494" s="13">
        <v>7</v>
      </c>
      <c r="M494" s="13"/>
      <c r="N494" s="13"/>
      <c r="O494" s="13"/>
      <c r="P494" s="13"/>
    </row>
    <row r="495" spans="1:16" ht="14.5" x14ac:dyDescent="0.25">
      <c r="A495" s="18">
        <v>485</v>
      </c>
      <c r="B495" s="19">
        <v>70000088</v>
      </c>
      <c r="C495" s="19">
        <v>164487</v>
      </c>
      <c r="D495" t="s" s="9">
        <v>608</v>
      </c>
      <c r="E495" t="s" s="9">
        <v>198</v>
      </c>
      <c r="F495" t="s" s="20">
        <v>575</v>
      </c>
      <c r="G495" t="s" s="10">
        <v>0</v>
      </c>
      <c r="H495" s="25">
        <v>33971</v>
      </c>
      <c r="I495" s="9">
        <f ca="1" t="shared" si="7"/>
      </c>
      <c r="J495" s="12"/>
      <c r="K495" s="13"/>
      <c r="L495" s="13"/>
      <c r="M495" s="13"/>
      <c r="N495" s="13"/>
      <c r="O495" s="13"/>
      <c r="P495" s="13"/>
    </row>
    <row r="496" spans="1:16" ht="14.5" x14ac:dyDescent="0.25">
      <c r="A496" s="18">
        <v>486</v>
      </c>
      <c r="B496" s="19">
        <v>70000088</v>
      </c>
      <c r="C496" s="19">
        <v>164488</v>
      </c>
      <c r="D496" t="s" s="9">
        <v>192</v>
      </c>
      <c r="E496" t="s" s="9">
        <v>195</v>
      </c>
      <c r="F496" t="s" s="20">
        <v>741</v>
      </c>
      <c r="G496" t="s" s="10">
        <v>0</v>
      </c>
      <c r="H496" s="25">
        <v>40145</v>
      </c>
      <c r="I496" s="9">
        <f ca="1" t="shared" si="7"/>
      </c>
      <c r="J496" s="12"/>
      <c r="K496" s="13"/>
      <c r="L496" s="13"/>
      <c r="M496" s="13"/>
      <c r="N496" s="13"/>
      <c r="O496" s="13"/>
      <c r="P496" s="13"/>
    </row>
    <row r="497" spans="1:16" ht="14.5" x14ac:dyDescent="0.25">
      <c r="A497" s="18">
        <v>487</v>
      </c>
      <c r="B497" s="19">
        <v>70000088</v>
      </c>
      <c r="C497" s="19">
        <v>164489</v>
      </c>
      <c r="D497" t="s" s="10">
        <v>192</v>
      </c>
      <c r="E497" t="s" s="10">
        <v>195</v>
      </c>
      <c r="F497" t="s" s="3">
        <v>742</v>
      </c>
      <c r="G497" t="s" s="10">
        <v>0</v>
      </c>
      <c r="H497" s="25">
        <v>40676</v>
      </c>
      <c r="I497" s="9">
        <f ca="1" t="shared" si="7"/>
      </c>
      <c r="J497" s="14"/>
      <c r="K497" s="11"/>
      <c r="L497" s="11"/>
      <c r="M497" s="11"/>
      <c r="N497" s="103"/>
      <c r="O497" s="11"/>
      <c r="P497" s="11"/>
    </row>
    <row r="498" spans="1:16" ht="14.5" x14ac:dyDescent="0.25">
      <c r="A498" s="18">
        <v>488</v>
      </c>
      <c r="B498" s="19">
        <v>70000088</v>
      </c>
      <c r="C498" s="19">
        <v>164490</v>
      </c>
      <c r="D498" t="s" s="9">
        <v>192</v>
      </c>
      <c r="E498" t="s" s="9">
        <v>198</v>
      </c>
      <c r="F498" t="s" s="20">
        <v>576</v>
      </c>
      <c r="G498" t="s" s="10">
        <v>0</v>
      </c>
      <c r="H498" s="25">
        <v>44109</v>
      </c>
      <c r="I498" s="9">
        <f ca="1" t="shared" si="7"/>
      </c>
      <c r="J498" s="12"/>
      <c r="K498" s="13"/>
      <c r="L498" s="13"/>
      <c r="M498" s="13"/>
      <c r="N498" s="13"/>
      <c r="O498" s="13"/>
      <c r="P498" s="13"/>
    </row>
    <row r="499" spans="1:16" ht="14.5" x14ac:dyDescent="0.25">
      <c r="A499" s="18">
        <v>489</v>
      </c>
      <c r="B499" s="19">
        <v>70000088</v>
      </c>
      <c r="C499" s="19">
        <v>167816</v>
      </c>
      <c r="D499" t="s" s="9">
        <v>192</v>
      </c>
      <c r="E499" t="s" s="9">
        <v>195</v>
      </c>
      <c r="F499" t="s" s="20">
        <v>577</v>
      </c>
      <c r="G499" t="s" s="10">
        <v>0</v>
      </c>
      <c r="H499" s="25">
        <v>42029</v>
      </c>
      <c r="I499" s="9">
        <f ca="1" t="shared" si="7"/>
      </c>
      <c r="J499" s="12"/>
      <c r="K499" s="13"/>
      <c r="L499" s="13"/>
      <c r="M499" s="13"/>
      <c r="N499" s="13"/>
      <c r="O499" s="13"/>
      <c r="P499" s="13"/>
    </row>
    <row r="500" spans="1:16" ht="14.5" x14ac:dyDescent="0.25">
      <c r="A500" s="18">
        <v>490</v>
      </c>
      <c r="B500" s="19">
        <v>70000088</v>
      </c>
      <c r="C500" s="19">
        <v>170489</v>
      </c>
      <c r="D500" t="s" s="9">
        <v>192</v>
      </c>
      <c r="E500" t="s" s="9">
        <v>198</v>
      </c>
      <c r="F500" t="s" s="20">
        <v>578</v>
      </c>
      <c r="G500" t="s" s="10">
        <v>0</v>
      </c>
      <c r="H500" s="25">
        <v>45260</v>
      </c>
      <c r="I500" s="9">
        <f ca="1" t="shared" si="7"/>
      </c>
      <c r="J500" s="12"/>
      <c r="K500" s="13"/>
      <c r="L500" s="13"/>
      <c r="M500" s="13"/>
      <c r="N500" s="13"/>
      <c r="O500" s="13"/>
      <c r="P500" s="13"/>
    </row>
    <row r="501" spans="1:16" ht="14.5" x14ac:dyDescent="0.25">
      <c r="A501" s="18">
        <v>491</v>
      </c>
      <c r="B501" s="19">
        <v>70000211</v>
      </c>
      <c r="C501" s="19">
        <v>164495</v>
      </c>
      <c r="D501" t="s" s="9">
        <v>722</v>
      </c>
      <c r="E501" t="s" s="9">
        <v>195</v>
      </c>
      <c r="F501" t="s" s="20">
        <v>127</v>
      </c>
      <c r="G501" t="s" s="10">
        <v>0</v>
      </c>
      <c r="H501" s="25">
        <v>33567</v>
      </c>
      <c r="I501" s="9">
        <f ca="1" t="shared" si="7"/>
      </c>
      <c r="J501" s="12">
        <v>1</v>
      </c>
      <c r="K501" s="13">
        <v>2</v>
      </c>
      <c r="L501" s="13">
        <v>4</v>
      </c>
      <c r="M501" s="13"/>
      <c r="N501" s="13"/>
      <c r="O501" s="13"/>
      <c r="P501" s="13"/>
    </row>
    <row r="502" spans="1:16" ht="14.5" x14ac:dyDescent="0.25">
      <c r="A502" s="18">
        <v>492</v>
      </c>
      <c r="B502" s="19">
        <v>70000211</v>
      </c>
      <c r="C502" s="19">
        <v>164496</v>
      </c>
      <c r="D502" t="s" s="10">
        <v>192</v>
      </c>
      <c r="E502" t="s" s="9">
        <v>195</v>
      </c>
      <c r="F502" t="s" s="3">
        <v>579</v>
      </c>
      <c r="G502" t="s" s="10">
        <v>0</v>
      </c>
      <c r="H502" s="25">
        <v>43482</v>
      </c>
      <c r="I502" s="9">
        <f ca="1" t="shared" si="7"/>
      </c>
      <c r="J502" s="14"/>
      <c r="K502" s="11"/>
      <c r="L502" s="11"/>
      <c r="M502" s="11"/>
      <c r="N502" s="103"/>
      <c r="O502" s="11"/>
      <c r="P502" s="11"/>
    </row>
    <row r="503" spans="1:16" ht="14.5" x14ac:dyDescent="0.25">
      <c r="A503" s="18">
        <v>493</v>
      </c>
      <c r="B503" s="19">
        <v>70000211</v>
      </c>
      <c r="C503" s="19">
        <v>170130</v>
      </c>
      <c r="D503" t="s" s="9">
        <v>608</v>
      </c>
      <c r="E503" t="s" s="9">
        <v>198</v>
      </c>
      <c r="F503" t="s" s="20">
        <v>580</v>
      </c>
      <c r="G503" t="s" s="10">
        <v>0</v>
      </c>
      <c r="H503" s="25">
        <v>36143</v>
      </c>
      <c r="I503" s="9">
        <f ca="1" t="shared" si="7"/>
      </c>
      <c r="J503" s="12"/>
      <c r="K503" s="13"/>
      <c r="L503" s="13"/>
      <c r="M503" s="13"/>
      <c r="N503" s="13"/>
      <c r="O503" s="13"/>
      <c r="P503" s="13"/>
    </row>
    <row r="504" spans="1:16" ht="14.5" x14ac:dyDescent="0.25">
      <c r="A504" s="18">
        <v>494</v>
      </c>
      <c r="B504" s="19">
        <v>70000211</v>
      </c>
      <c r="C504" s="19">
        <v>170566</v>
      </c>
      <c r="D504" t="s" s="9">
        <v>192</v>
      </c>
      <c r="E504" t="s" s="9">
        <v>198</v>
      </c>
      <c r="F504" t="s" s="20">
        <v>581</v>
      </c>
      <c r="G504" t="s" s="10">
        <v>0</v>
      </c>
      <c r="H504" s="25">
        <v>45285</v>
      </c>
      <c r="I504" s="9">
        <f ca="1" t="shared" si="7"/>
      </c>
      <c r="J504" s="12"/>
      <c r="K504" s="13"/>
      <c r="L504" s="13"/>
      <c r="M504" s="13"/>
      <c r="N504" s="13"/>
      <c r="O504" s="13"/>
      <c r="P504" s="13"/>
    </row>
    <row r="505" spans="1:16" ht="14.5" x14ac:dyDescent="0.25">
      <c r="A505" s="18">
        <v>495</v>
      </c>
      <c r="B505" s="19">
        <v>70000033</v>
      </c>
      <c r="C505" s="19">
        <v>164497</v>
      </c>
      <c r="D505" t="s" s="9">
        <v>722</v>
      </c>
      <c r="E505" t="s" s="9">
        <v>195</v>
      </c>
      <c r="F505" t="s" s="20">
        <v>102</v>
      </c>
      <c r="G505" t="s" s="10">
        <v>0</v>
      </c>
      <c r="H505" s="25">
        <v>32408</v>
      </c>
      <c r="I505" s="9">
        <f ca="1" t="shared" si="7"/>
      </c>
      <c r="J505" s="12">
        <v>1</v>
      </c>
      <c r="K505" s="13">
        <v>3</v>
      </c>
      <c r="L505" s="13">
        <v>5</v>
      </c>
      <c r="M505" s="13"/>
      <c r="N505" s="13"/>
      <c r="O505" s="13"/>
      <c r="P505" s="13"/>
    </row>
    <row r="506" spans="1:16" ht="14.5" x14ac:dyDescent="0.25">
      <c r="A506" s="18">
        <v>496</v>
      </c>
      <c r="B506" s="19">
        <v>70000033</v>
      </c>
      <c r="C506" s="19">
        <v>164498</v>
      </c>
      <c r="D506" t="s" s="9">
        <v>608</v>
      </c>
      <c r="E506" t="s" s="9">
        <v>198</v>
      </c>
      <c r="F506" t="s" s="20">
        <v>582</v>
      </c>
      <c r="G506" t="s" s="10">
        <v>0</v>
      </c>
      <c r="H506" s="25">
        <v>34128</v>
      </c>
      <c r="I506" s="9">
        <f ca="1" t="shared" si="7"/>
      </c>
      <c r="J506" s="12"/>
      <c r="K506" s="13"/>
      <c r="L506" s="13"/>
      <c r="M506" s="13"/>
      <c r="N506" s="13"/>
      <c r="O506" s="13"/>
      <c r="P506" s="13"/>
    </row>
    <row r="507" spans="1:16" ht="14.5" x14ac:dyDescent="0.25">
      <c r="A507" s="18">
        <v>497</v>
      </c>
      <c r="B507" s="19">
        <v>70000033</v>
      </c>
      <c r="C507" s="19">
        <v>164499</v>
      </c>
      <c r="D507" t="s" s="9">
        <v>192</v>
      </c>
      <c r="E507" t="s" s="9">
        <v>195</v>
      </c>
      <c r="F507" t="s" s="20">
        <v>583</v>
      </c>
      <c r="G507" t="s" s="10">
        <v>0</v>
      </c>
      <c r="H507" s="25">
        <v>43218</v>
      </c>
      <c r="I507" s="9">
        <f ca="1" t="shared" si="7"/>
      </c>
      <c r="J507" s="12"/>
      <c r="K507" s="13"/>
      <c r="L507" s="13"/>
      <c r="M507" s="13"/>
      <c r="N507" s="13"/>
      <c r="O507" s="13"/>
      <c r="P507" s="13"/>
    </row>
    <row r="508" spans="1:16" ht="14.5" x14ac:dyDescent="0.25">
      <c r="A508" s="18">
        <v>498</v>
      </c>
      <c r="B508" s="19">
        <v>70000033</v>
      </c>
      <c r="C508" s="19">
        <v>164500</v>
      </c>
      <c r="D508" t="s" s="9">
        <v>192</v>
      </c>
      <c r="E508" t="s" s="9">
        <v>195</v>
      </c>
      <c r="F508" t="s" s="20">
        <v>584</v>
      </c>
      <c r="G508" t="s" s="10">
        <v>0</v>
      </c>
      <c r="H508" s="25">
        <v>43651</v>
      </c>
      <c r="I508" s="9">
        <f ca="1" t="shared" si="7"/>
      </c>
      <c r="J508" s="12"/>
      <c r="K508" s="13"/>
      <c r="L508" s="13"/>
      <c r="M508" s="13"/>
      <c r="N508" s="13"/>
      <c r="O508" s="13"/>
      <c r="P508" s="13"/>
    </row>
    <row r="509" spans="1:16" ht="14.5" x14ac:dyDescent="0.25">
      <c r="A509" s="18">
        <v>499</v>
      </c>
      <c r="B509" s="19">
        <v>70000033</v>
      </c>
      <c r="C509" s="19">
        <v>170752</v>
      </c>
      <c r="D509" t="s" s="10">
        <v>192</v>
      </c>
      <c r="E509" t="s" s="9">
        <v>198</v>
      </c>
      <c r="F509" t="s" s="3">
        <v>585</v>
      </c>
      <c r="G509" t="s" s="10">
        <v>0</v>
      </c>
      <c r="H509" s="25">
        <v>45264</v>
      </c>
      <c r="I509" s="9">
        <f ca="1" t="shared" si="7"/>
      </c>
      <c r="J509" s="14"/>
      <c r="K509" s="11"/>
      <c r="L509" s="11"/>
      <c r="M509" s="11"/>
      <c r="N509" s="103"/>
      <c r="O509" s="11"/>
      <c r="P509" s="11"/>
    </row>
    <row r="510" spans="1:16" ht="14.5" x14ac:dyDescent="0.25">
      <c r="A510" s="18">
        <v>500</v>
      </c>
      <c r="B510" s="19">
        <v>70000212</v>
      </c>
      <c r="C510" s="19">
        <v>164501</v>
      </c>
      <c r="D510" t="s" s="9">
        <v>722</v>
      </c>
      <c r="E510" t="s" s="9">
        <v>195</v>
      </c>
      <c r="F510" t="s" s="20">
        <v>128</v>
      </c>
      <c r="G510" t="s" s="10">
        <v>0</v>
      </c>
      <c r="H510" s="25">
        <v>26801</v>
      </c>
      <c r="I510" s="9">
        <f ca="1" t="shared" si="7"/>
      </c>
      <c r="J510" s="12">
        <v>0</v>
      </c>
      <c r="K510" s="13">
        <v>6</v>
      </c>
      <c r="L510" s="13">
        <v>7</v>
      </c>
      <c r="M510" s="13"/>
      <c r="N510" s="13"/>
      <c r="O510" s="13"/>
      <c r="P510" s="13"/>
    </row>
    <row r="511" spans="1:16" ht="14.5" x14ac:dyDescent="0.25">
      <c r="A511" s="18">
        <v>501</v>
      </c>
      <c r="B511" s="19">
        <v>70000212</v>
      </c>
      <c r="C511" s="19">
        <v>164502</v>
      </c>
      <c r="D511" t="s" s="9">
        <v>192</v>
      </c>
      <c r="E511" t="s" s="9">
        <v>195</v>
      </c>
      <c r="F511" t="s" s="20">
        <v>743</v>
      </c>
      <c r="G511" t="s" s="10">
        <v>0</v>
      </c>
      <c r="H511" s="25">
        <v>43552</v>
      </c>
      <c r="I511" s="9">
        <f ca="1" t="shared" si="7"/>
      </c>
      <c r="J511" s="12"/>
      <c r="K511" s="13"/>
      <c r="L511" s="13"/>
      <c r="M511" s="4"/>
      <c r="N511" s="4"/>
      <c r="O511" s="4"/>
      <c r="P511" s="4"/>
    </row>
    <row r="512" spans="1:16" ht="14.5" x14ac:dyDescent="0.25">
      <c r="A512" s="18">
        <v>502</v>
      </c>
      <c r="B512" s="19">
        <v>70000212</v>
      </c>
      <c r="C512" s="19">
        <v>164503</v>
      </c>
      <c r="D512" t="s" s="9">
        <v>192</v>
      </c>
      <c r="E512" t="s" s="9">
        <v>195</v>
      </c>
      <c r="F512" t="s" s="20">
        <v>586</v>
      </c>
      <c r="G512" t="s" s="10">
        <v>0</v>
      </c>
      <c r="H512" s="25">
        <v>41415</v>
      </c>
      <c r="I512" s="9">
        <f ca="1" t="shared" si="7"/>
      </c>
      <c r="J512" s="12"/>
      <c r="K512" s="13"/>
      <c r="L512" s="13"/>
      <c r="M512" s="13"/>
      <c r="N512" s="13"/>
      <c r="O512" s="13"/>
      <c r="P512" s="13"/>
    </row>
    <row r="513" spans="1:16" ht="14.5" x14ac:dyDescent="0.25">
      <c r="A513" s="18">
        <v>503</v>
      </c>
      <c r="B513" s="19">
        <v>70000212</v>
      </c>
      <c r="C513" s="19">
        <v>165442</v>
      </c>
      <c r="D513" t="s" s="9">
        <v>192</v>
      </c>
      <c r="E513" t="s" s="9">
        <v>198</v>
      </c>
      <c r="F513" t="s" s="20">
        <v>587</v>
      </c>
      <c r="G513" t="s" s="10">
        <v>0</v>
      </c>
      <c r="H513" s="25">
        <v>36988</v>
      </c>
      <c r="I513" s="5">
        <f ca="1" t="shared" si="7"/>
      </c>
      <c r="J513" s="12"/>
      <c r="K513" s="13"/>
      <c r="L513" s="13"/>
      <c r="M513" s="13"/>
      <c r="N513" s="13"/>
      <c r="O513" s="13"/>
      <c r="P513" s="13"/>
    </row>
    <row r="514" spans="1:16" ht="14.5" x14ac:dyDescent="0.25">
      <c r="A514" s="18">
        <v>504</v>
      </c>
      <c r="B514" s="19">
        <v>70000212</v>
      </c>
      <c r="C514" s="19">
        <v>165443</v>
      </c>
      <c r="D514" t="s" s="10">
        <v>192</v>
      </c>
      <c r="E514" t="s" s="9">
        <v>195</v>
      </c>
      <c r="F514" t="s" s="3">
        <v>588</v>
      </c>
      <c r="G514" t="s" s="10">
        <v>0</v>
      </c>
      <c r="H514" s="25">
        <v>37177</v>
      </c>
      <c r="I514" s="9">
        <f ca="1" t="shared" si="7"/>
      </c>
      <c r="J514" s="12"/>
      <c r="K514" s="11"/>
      <c r="L514" s="11"/>
      <c r="M514" s="11"/>
      <c r="N514" s="103"/>
      <c r="O514" s="11"/>
      <c r="P514" s="11"/>
    </row>
    <row r="515" spans="1:16" ht="14.5" x14ac:dyDescent="0.25">
      <c r="A515" s="18">
        <v>505</v>
      </c>
      <c r="B515" s="19">
        <v>70000212</v>
      </c>
      <c r="C515" s="19">
        <v>165444</v>
      </c>
      <c r="D515" t="s" s="9">
        <v>192</v>
      </c>
      <c r="E515" t="s" s="9">
        <v>198</v>
      </c>
      <c r="F515" t="s" s="20">
        <v>589</v>
      </c>
      <c r="G515" t="s" s="10">
        <v>0</v>
      </c>
      <c r="H515" s="25">
        <v>37177</v>
      </c>
      <c r="I515" s="9">
        <f ca="1" t="shared" ref="I515:I578" si="8">DATEDIF(H515,TODAY(),"Y")</f>
      </c>
      <c r="J515" s="12"/>
      <c r="K515" s="13"/>
      <c r="L515" s="13"/>
      <c r="M515" s="13"/>
      <c r="N515" s="13"/>
      <c r="O515" s="13"/>
      <c r="P515" s="13"/>
    </row>
    <row r="516" spans="1:16" ht="14.5" x14ac:dyDescent="0.25">
      <c r="A516" s="18">
        <v>506</v>
      </c>
      <c r="B516" s="19">
        <v>70000212</v>
      </c>
      <c r="C516" s="19">
        <v>165445</v>
      </c>
      <c r="D516" t="s" s="9">
        <v>192</v>
      </c>
      <c r="E516" t="s" s="9">
        <v>195</v>
      </c>
      <c r="F516" t="s" s="20">
        <v>590</v>
      </c>
      <c r="G516" t="s" s="10">
        <v>0</v>
      </c>
      <c r="H516" s="25">
        <v>38947</v>
      </c>
      <c r="I516" s="9">
        <f ca="1" t="shared" si="8"/>
      </c>
      <c r="J516" s="12"/>
      <c r="K516" s="13"/>
      <c r="L516" s="13"/>
      <c r="M516" s="13"/>
      <c r="N516" s="13"/>
      <c r="O516" s="13"/>
      <c r="P516" s="13"/>
    </row>
    <row r="517" spans="1:16" ht="14.5" x14ac:dyDescent="0.25">
      <c r="A517" s="18">
        <v>507</v>
      </c>
      <c r="B517" s="19">
        <v>70000177</v>
      </c>
      <c r="C517" s="19">
        <v>164507</v>
      </c>
      <c r="D517" t="s" s="10">
        <v>722</v>
      </c>
      <c r="E517" t="s" s="9">
        <v>195</v>
      </c>
      <c r="F517" t="s" s="3">
        <v>70</v>
      </c>
      <c r="G517" t="s" s="10">
        <v>177</v>
      </c>
      <c r="H517" s="25">
        <v>30120</v>
      </c>
      <c r="I517" s="9">
        <f ca="1" t="shared" si="8"/>
      </c>
      <c r="J517" s="14">
        <v>1</v>
      </c>
      <c r="K517" s="11">
        <v>3</v>
      </c>
      <c r="L517" s="11">
        <v>5</v>
      </c>
      <c r="M517" s="11"/>
      <c r="N517" s="103"/>
      <c r="O517" s="11"/>
      <c r="P517" s="11"/>
    </row>
    <row r="518" spans="1:16" ht="14.5" x14ac:dyDescent="0.25">
      <c r="A518" s="18">
        <v>508</v>
      </c>
      <c r="B518" s="19">
        <v>70000177</v>
      </c>
      <c r="C518" s="19">
        <v>164508</v>
      </c>
      <c r="D518" t="s" s="9">
        <v>608</v>
      </c>
      <c r="E518" t="s" s="9">
        <v>198</v>
      </c>
      <c r="F518" t="s" s="20">
        <v>591</v>
      </c>
      <c r="G518" t="s" s="10">
        <v>177</v>
      </c>
      <c r="H518" s="25">
        <v>31910</v>
      </c>
      <c r="I518" s="9">
        <f ca="1" t="shared" si="8"/>
      </c>
      <c r="J518" s="12"/>
      <c r="K518" s="13"/>
      <c r="L518" s="13"/>
      <c r="M518" s="13"/>
      <c r="N518" s="13"/>
      <c r="O518" s="13"/>
      <c r="P518" s="13"/>
    </row>
    <row r="519" spans="1:16" ht="14.5" x14ac:dyDescent="0.25">
      <c r="A519" s="18">
        <v>509</v>
      </c>
      <c r="B519" s="19">
        <v>70000177</v>
      </c>
      <c r="C519" s="19">
        <v>164509</v>
      </c>
      <c r="D519" t="s" s="9">
        <v>192</v>
      </c>
      <c r="E519" t="s" s="9">
        <v>195</v>
      </c>
      <c r="F519" t="s" s="20">
        <v>592</v>
      </c>
      <c r="G519" t="s" s="10">
        <v>177</v>
      </c>
      <c r="H519" s="25">
        <v>42181</v>
      </c>
      <c r="I519" s="9">
        <f ca="1" t="shared" si="8"/>
      </c>
      <c r="J519" s="12"/>
      <c r="K519" s="13"/>
      <c r="L519" s="13"/>
      <c r="M519" t="s" s="13">
        <v>321</v>
      </c>
      <c r="N519" s="13"/>
      <c r="O519" s="13"/>
      <c r="P519" s="13"/>
    </row>
    <row r="520" spans="1:16" ht="14.5" x14ac:dyDescent="0.25">
      <c r="A520" s="18">
        <v>510</v>
      </c>
      <c r="B520" s="19">
        <v>70000177</v>
      </c>
      <c r="C520" s="19">
        <v>164510</v>
      </c>
      <c r="D520" t="s" s="9">
        <v>192</v>
      </c>
      <c r="E520" t="s" s="9">
        <v>198</v>
      </c>
      <c r="F520" t="s" s="20">
        <v>593</v>
      </c>
      <c r="G520" t="s" s="10">
        <v>177</v>
      </c>
      <c r="H520" s="25">
        <v>43564</v>
      </c>
      <c r="I520" s="9">
        <f ca="1" t="shared" si="8"/>
      </c>
      <c r="J520" s="12"/>
      <c r="K520" s="13"/>
      <c r="L520" s="13"/>
      <c r="M520" s="13"/>
      <c r="N520" s="13"/>
      <c r="O520" s="13"/>
      <c r="P520" s="13"/>
    </row>
    <row r="521" spans="1:16" ht="14.5" x14ac:dyDescent="0.25">
      <c r="A521" s="18">
        <v>511</v>
      </c>
      <c r="B521" s="19">
        <v>70000177</v>
      </c>
      <c r="C521" s="19">
        <v>164511</v>
      </c>
      <c r="D521" t="s" s="10">
        <v>192</v>
      </c>
      <c r="E521" t="s" s="9">
        <v>195</v>
      </c>
      <c r="F521" t="s" s="3">
        <v>594</v>
      </c>
      <c r="G521" t="s" s="10">
        <v>177</v>
      </c>
      <c r="H521" s="25">
        <v>43564</v>
      </c>
      <c r="I521" s="9">
        <f ca="1" t="shared" si="8"/>
      </c>
      <c r="J521" s="12"/>
      <c r="K521" s="13"/>
      <c r="L521" s="11"/>
      <c r="M521" s="13"/>
      <c r="N521" s="13"/>
      <c r="O521" s="13"/>
      <c r="P521" s="13"/>
    </row>
    <row r="522" spans="1:16" ht="14.5" x14ac:dyDescent="0.25">
      <c r="A522" s="18">
        <v>512</v>
      </c>
      <c r="B522" s="19">
        <v>70000087</v>
      </c>
      <c r="C522" s="19">
        <v>164512</v>
      </c>
      <c r="D522" t="s" s="10">
        <v>722</v>
      </c>
      <c r="E522" t="s" s="9">
        <v>198</v>
      </c>
      <c r="F522" t="s" s="3">
        <v>23</v>
      </c>
      <c r="G522" t="s" s="10">
        <v>0</v>
      </c>
      <c r="H522" s="25">
        <v>30793</v>
      </c>
      <c r="I522" s="9">
        <f ca="1" t="shared" si="8"/>
      </c>
      <c r="J522" s="14">
        <v>0</v>
      </c>
      <c r="K522" s="11">
        <v>2</v>
      </c>
      <c r="L522" s="11">
        <v>3</v>
      </c>
      <c r="M522" s="11"/>
      <c r="N522" s="103"/>
      <c r="O522" s="11"/>
      <c r="P522" s="11"/>
    </row>
    <row r="523" spans="1:16" ht="14.5" x14ac:dyDescent="0.25">
      <c r="A523" s="18">
        <v>513</v>
      </c>
      <c r="B523" s="19">
        <v>70000087</v>
      </c>
      <c r="C523" s="19">
        <v>164513</v>
      </c>
      <c r="D523" t="s" s="9">
        <v>192</v>
      </c>
      <c r="E523" t="s" s="9">
        <v>198</v>
      </c>
      <c r="F523" t="s" s="20">
        <v>595</v>
      </c>
      <c r="G523" t="s" s="10">
        <v>0</v>
      </c>
      <c r="H523" s="25">
        <v>37446</v>
      </c>
      <c r="I523" s="9">
        <f ca="1" t="shared" si="8"/>
      </c>
      <c r="J523" s="12"/>
      <c r="K523" s="13"/>
      <c r="L523" s="13"/>
      <c r="M523" s="13"/>
      <c r="N523" s="13"/>
      <c r="O523" s="13"/>
      <c r="P523" s="13"/>
    </row>
    <row r="524" spans="1:16" ht="14.5" x14ac:dyDescent="0.25">
      <c r="A524" s="18">
        <v>514</v>
      </c>
      <c r="B524" s="19">
        <v>70000087</v>
      </c>
      <c r="C524" s="19">
        <v>164514</v>
      </c>
      <c r="D524" t="s" s="9">
        <v>192</v>
      </c>
      <c r="E524" t="s" s="9">
        <v>198</v>
      </c>
      <c r="F524" t="s" s="20">
        <v>596</v>
      </c>
      <c r="G524" t="s" s="10">
        <v>0</v>
      </c>
      <c r="H524" s="25">
        <v>39568</v>
      </c>
      <c r="I524" s="9">
        <f ca="1" t="shared" si="8"/>
      </c>
      <c r="J524" s="12"/>
      <c r="K524" s="13"/>
      <c r="L524" s="13"/>
      <c r="M524" s="13"/>
      <c r="N524" s="13"/>
      <c r="O524" s="13"/>
      <c r="P524" s="13"/>
    </row>
    <row r="525" spans="1:16" ht="14.5" x14ac:dyDescent="0.25">
      <c r="A525" s="18">
        <v>515</v>
      </c>
      <c r="B525" s="19">
        <v>70000009</v>
      </c>
      <c r="C525" s="19">
        <v>164515</v>
      </c>
      <c r="D525" t="s" s="9">
        <v>722</v>
      </c>
      <c r="E525" t="s" s="9">
        <v>195</v>
      </c>
      <c r="F525" t="s" s="20">
        <v>61</v>
      </c>
      <c r="G525" t="s" s="10">
        <v>177</v>
      </c>
      <c r="H525" s="25">
        <v>25429</v>
      </c>
      <c r="I525" s="9">
        <f ca="1" t="shared" si="8"/>
      </c>
      <c r="J525" s="12">
        <v>1</v>
      </c>
      <c r="K525" s="13">
        <v>2</v>
      </c>
      <c r="L525" s="13">
        <v>4</v>
      </c>
      <c r="M525" s="13"/>
      <c r="N525" s="13"/>
      <c r="O525" s="13"/>
      <c r="P525" s="13"/>
    </row>
    <row r="526" spans="1:16" ht="14.5" x14ac:dyDescent="0.25">
      <c r="A526" s="18">
        <v>516</v>
      </c>
      <c r="B526" s="19">
        <v>70000009</v>
      </c>
      <c r="C526" s="19">
        <v>164516</v>
      </c>
      <c r="D526" t="s" s="10">
        <v>192</v>
      </c>
      <c r="E526" t="s" s="9">
        <v>198</v>
      </c>
      <c r="F526" t="s" s="3">
        <v>597</v>
      </c>
      <c r="G526" t="s" s="10">
        <v>177</v>
      </c>
      <c r="H526" s="25">
        <v>37404</v>
      </c>
      <c r="I526" s="9">
        <f ca="1" t="shared" si="8"/>
      </c>
      <c r="J526" s="14"/>
      <c r="K526" s="11"/>
      <c r="L526" s="11"/>
      <c r="M526" s="11"/>
      <c r="N526" s="103"/>
      <c r="O526" s="11"/>
      <c r="P526" s="11"/>
    </row>
    <row r="527" spans="1:16" ht="14.5" x14ac:dyDescent="0.25">
      <c r="A527" s="18">
        <v>517</v>
      </c>
      <c r="B527" s="19">
        <v>70000009</v>
      </c>
      <c r="C527" s="19">
        <v>164517</v>
      </c>
      <c r="D527" t="s" s="9">
        <v>192</v>
      </c>
      <c r="E527" t="s" s="9">
        <v>198</v>
      </c>
      <c r="F527" t="s" s="20">
        <v>598</v>
      </c>
      <c r="G527" t="s" s="10">
        <v>177</v>
      </c>
      <c r="H527" s="25">
        <v>40311</v>
      </c>
      <c r="I527" s="9">
        <f ca="1" t="shared" si="8"/>
      </c>
      <c r="J527" s="12"/>
      <c r="K527" s="13"/>
      <c r="L527" s="13"/>
      <c r="M527" s="13"/>
      <c r="N527" s="13"/>
      <c r="O527" s="13"/>
      <c r="P527" s="13"/>
    </row>
    <row r="528" spans="1:16" ht="14.5" x14ac:dyDescent="0.25">
      <c r="A528" s="18">
        <v>518</v>
      </c>
      <c r="B528" s="19">
        <v>70000009</v>
      </c>
      <c r="C528" s="19">
        <v>165433</v>
      </c>
      <c r="D528" t="s" s="9">
        <v>608</v>
      </c>
      <c r="E528" t="s" s="9">
        <v>198</v>
      </c>
      <c r="F528" t="s" s="20">
        <v>599</v>
      </c>
      <c r="G528" t="s" s="10">
        <v>177</v>
      </c>
      <c r="H528" s="25">
        <v>27096</v>
      </c>
      <c r="I528" s="9">
        <f ca="1" t="shared" si="8"/>
      </c>
      <c r="J528" s="12"/>
      <c r="K528" s="13"/>
      <c r="L528" s="13"/>
      <c r="M528" s="13"/>
      <c r="N528" s="13"/>
      <c r="O528" s="13"/>
      <c r="P528" s="13"/>
    </row>
    <row r="529" spans="1:16" ht="14.5" x14ac:dyDescent="0.25">
      <c r="A529" s="18">
        <v>519</v>
      </c>
      <c r="B529" s="19">
        <v>70000220</v>
      </c>
      <c r="C529" s="19">
        <v>165446</v>
      </c>
      <c r="D529" t="s" s="10">
        <v>722</v>
      </c>
      <c r="E529" t="s" s="9">
        <v>195</v>
      </c>
      <c r="F529" t="s" s="3">
        <v>110</v>
      </c>
      <c r="G529" t="s" s="10">
        <v>177</v>
      </c>
      <c r="H529" s="25">
        <v>33784</v>
      </c>
      <c r="I529" s="9">
        <f ca="1" t="shared" si="8"/>
      </c>
      <c r="J529" s="12">
        <v>0</v>
      </c>
      <c r="K529" s="11">
        <v>0</v>
      </c>
      <c r="L529" s="11">
        <v>1</v>
      </c>
      <c r="M529" s="11"/>
      <c r="N529" s="103"/>
      <c r="O529" s="11"/>
      <c r="P529" s="11"/>
    </row>
    <row r="530" spans="1:16" ht="14.5" x14ac:dyDescent="0.25">
      <c r="A530" s="18">
        <v>520</v>
      </c>
      <c r="B530" s="19">
        <v>70000226</v>
      </c>
      <c r="C530" s="19">
        <v>166151</v>
      </c>
      <c r="D530" t="s" s="9">
        <v>722</v>
      </c>
      <c r="E530" t="s" s="9">
        <v>195</v>
      </c>
      <c r="F530" t="s" s="20">
        <v>129</v>
      </c>
      <c r="G530" t="s" s="10">
        <v>0</v>
      </c>
      <c r="H530" s="25">
        <v>34015</v>
      </c>
      <c r="I530" s="9">
        <f ca="1" t="shared" si="8"/>
      </c>
      <c r="J530" s="12">
        <v>1</v>
      </c>
      <c r="K530" s="13">
        <v>2</v>
      </c>
      <c r="L530" s="13">
        <v>4</v>
      </c>
      <c r="M530" s="13"/>
      <c r="N530" s="13"/>
      <c r="O530" s="13"/>
      <c r="P530" s="13"/>
    </row>
    <row r="531" spans="1:16" ht="14.5" x14ac:dyDescent="0.25">
      <c r="A531" s="18">
        <v>521</v>
      </c>
      <c r="B531" s="19">
        <v>70000226</v>
      </c>
      <c r="C531" s="19">
        <v>166152</v>
      </c>
      <c r="D531" t="s" s="9">
        <v>608</v>
      </c>
      <c r="E531" t="s" s="9">
        <v>198</v>
      </c>
      <c r="F531" t="s" s="20">
        <v>600</v>
      </c>
      <c r="G531" t="s" s="10">
        <v>0</v>
      </c>
      <c r="H531" s="25">
        <v>36078</v>
      </c>
      <c r="I531" s="9">
        <f ca="1" t="shared" si="8"/>
      </c>
      <c r="J531" s="12"/>
      <c r="K531" s="13"/>
      <c r="L531" s="13"/>
      <c r="M531" s="13"/>
      <c r="N531" s="13"/>
      <c r="O531" s="13"/>
      <c r="P531" s="13"/>
    </row>
    <row r="532" spans="1:16" ht="14.5" x14ac:dyDescent="0.25">
      <c r="A532" s="18">
        <v>522</v>
      </c>
      <c r="B532" s="19">
        <v>70000226</v>
      </c>
      <c r="C532" s="19">
        <v>170567</v>
      </c>
      <c r="D532" t="s" s="9">
        <v>192</v>
      </c>
      <c r="E532" t="s" s="9">
        <v>198</v>
      </c>
      <c r="F532" t="s" s="20">
        <v>601</v>
      </c>
      <c r="G532" t="s" s="10">
        <v>0</v>
      </c>
      <c r="H532" s="25">
        <v>45227</v>
      </c>
      <c r="I532" s="9">
        <f ca="1" t="shared" si="8"/>
      </c>
      <c r="J532" s="12"/>
      <c r="K532" s="13"/>
      <c r="L532" s="13"/>
      <c r="M532" s="13"/>
      <c r="N532" s="13"/>
      <c r="O532" s="13"/>
      <c r="P532" s="13"/>
    </row>
    <row r="533" spans="1:16" ht="14.5" x14ac:dyDescent="0.25">
      <c r="A533" s="18">
        <v>523</v>
      </c>
      <c r="B533" s="19">
        <v>70000226</v>
      </c>
      <c r="C533" s="19">
        <v>175436</v>
      </c>
      <c r="D533" t="s" s="10">
        <v>192</v>
      </c>
      <c r="E533" t="s" s="9">
        <v>198</v>
      </c>
      <c r="F533" t="s" s="3">
        <v>602</v>
      </c>
      <c r="G533" t="s" s="10">
        <v>0</v>
      </c>
      <c r="H533" s="25">
        <v>45836</v>
      </c>
      <c r="I533" s="9">
        <f ca="1" t="shared" si="8"/>
      </c>
      <c r="J533" s="14"/>
      <c r="K533" s="15"/>
      <c r="L533" s="11"/>
      <c r="M533" s="13"/>
      <c r="N533" s="13"/>
      <c r="O533" s="13"/>
      <c r="P533" s="13"/>
    </row>
    <row r="534" spans="1:16" ht="14.5" x14ac:dyDescent="0.25">
      <c r="A534" s="18">
        <v>524</v>
      </c>
      <c r="B534" s="19">
        <v>70000227</v>
      </c>
      <c r="C534" s="19">
        <v>166153</v>
      </c>
      <c r="D534" t="s" s="9">
        <v>722</v>
      </c>
      <c r="E534" t="s" s="9">
        <v>195</v>
      </c>
      <c r="F534" t="s" s="20">
        <v>34</v>
      </c>
      <c r="G534" t="s" s="10">
        <v>0</v>
      </c>
      <c r="H534" s="25">
        <v>32528</v>
      </c>
      <c r="I534" s="9">
        <f ca="1" t="shared" si="8"/>
      </c>
      <c r="J534" s="12">
        <v>1</v>
      </c>
      <c r="K534" s="13">
        <v>1</v>
      </c>
      <c r="L534" s="13">
        <v>3</v>
      </c>
      <c r="M534" s="13"/>
      <c r="N534" s="13"/>
      <c r="O534" s="13"/>
      <c r="P534" s="13"/>
    </row>
    <row r="535" spans="1:16" ht="14.5" x14ac:dyDescent="0.25">
      <c r="A535" s="18">
        <v>525</v>
      </c>
      <c r="B535" s="19">
        <v>70000227</v>
      </c>
      <c r="C535" s="19">
        <v>166154</v>
      </c>
      <c r="D535" t="s" s="9">
        <v>608</v>
      </c>
      <c r="E535" t="s" s="9">
        <v>198</v>
      </c>
      <c r="F535" t="s" s="20">
        <v>603</v>
      </c>
      <c r="G535" t="s" s="10">
        <v>0</v>
      </c>
      <c r="H535" s="25">
        <v>33805</v>
      </c>
      <c r="I535" s="9">
        <f ca="1" t="shared" si="8"/>
      </c>
      <c r="J535" s="12"/>
      <c r="K535" s="13"/>
      <c r="L535" s="13"/>
      <c r="M535" s="13"/>
      <c r="N535" s="13"/>
      <c r="O535" s="13"/>
      <c r="P535" s="13"/>
    </row>
    <row r="536" spans="1:16" ht="14.5" x14ac:dyDescent="0.25">
      <c r="A536" s="18">
        <v>526</v>
      </c>
      <c r="B536" s="19">
        <v>70000227</v>
      </c>
      <c r="C536" s="19">
        <v>166155</v>
      </c>
      <c r="D536" t="s" s="10">
        <v>192</v>
      </c>
      <c r="E536" t="s" s="9">
        <v>198</v>
      </c>
      <c r="F536" t="s" s="3">
        <v>604</v>
      </c>
      <c r="G536" t="s" s="10">
        <v>0</v>
      </c>
      <c r="H536" s="25">
        <v>44325</v>
      </c>
      <c r="I536" s="9">
        <f ca="1" t="shared" si="8"/>
      </c>
      <c r="J536" s="14"/>
      <c r="K536" s="11"/>
      <c r="L536" s="11"/>
      <c r="M536" s="11"/>
      <c r="N536" s="103"/>
      <c r="O536" s="11"/>
      <c r="P536" s="11"/>
    </row>
    <row r="537" spans="1:16" ht="14.5" x14ac:dyDescent="0.25">
      <c r="A537" s="18">
        <v>527</v>
      </c>
      <c r="B537" s="19">
        <v>70000229</v>
      </c>
      <c r="C537" s="19">
        <v>166546</v>
      </c>
      <c r="D537" t="s" s="9">
        <v>722</v>
      </c>
      <c r="E537" t="s" s="9">
        <v>195</v>
      </c>
      <c r="F537" t="s" s="20">
        <v>35</v>
      </c>
      <c r="G537" t="s" s="10">
        <v>0</v>
      </c>
      <c r="H537" s="25">
        <v>30317</v>
      </c>
      <c r="I537" s="9">
        <f ca="1" t="shared" si="8"/>
      </c>
      <c r="J537" s="12">
        <v>0</v>
      </c>
      <c r="K537" s="13">
        <v>3</v>
      </c>
      <c r="L537" s="13">
        <v>4</v>
      </c>
      <c r="M537" s="13"/>
      <c r="N537" s="13"/>
      <c r="O537" s="13"/>
      <c r="P537" s="13"/>
    </row>
    <row r="538" spans="1:16" ht="14.5" x14ac:dyDescent="0.25">
      <c r="A538" s="18">
        <v>528</v>
      </c>
      <c r="B538" s="19">
        <v>70000229</v>
      </c>
      <c r="C538" s="19">
        <v>166547</v>
      </c>
      <c r="D538" t="s" s="9">
        <v>192</v>
      </c>
      <c r="E538" t="s" s="9">
        <v>195</v>
      </c>
      <c r="F538" t="s" s="20">
        <v>605</v>
      </c>
      <c r="G538" t="s" s="10">
        <v>0</v>
      </c>
      <c r="H538" s="25">
        <v>42865</v>
      </c>
      <c r="I538" s="9">
        <f ca="1" t="shared" si="8"/>
      </c>
      <c r="J538" s="12"/>
      <c r="K538" s="13"/>
      <c r="L538" s="13"/>
      <c r="M538" s="13"/>
      <c r="N538" s="13"/>
      <c r="O538" s="13"/>
      <c r="P538" s="13"/>
    </row>
    <row r="539" spans="1:16" ht="14.5" x14ac:dyDescent="0.25">
      <c r="A539" s="18">
        <v>529</v>
      </c>
      <c r="B539" s="19">
        <v>70000229</v>
      </c>
      <c r="C539" s="19">
        <v>166548</v>
      </c>
      <c r="D539" t="s" s="9">
        <v>192</v>
      </c>
      <c r="E539" t="s" s="9">
        <v>198</v>
      </c>
      <c r="F539" t="s" s="20">
        <v>606</v>
      </c>
      <c r="G539" t="s" s="10">
        <v>0</v>
      </c>
      <c r="H539" s="25">
        <v>43708</v>
      </c>
      <c r="I539" s="9">
        <f ca="1" t="shared" si="8"/>
      </c>
      <c r="J539" s="12"/>
      <c r="K539" s="13"/>
      <c r="L539" s="13"/>
      <c r="M539" s="13"/>
      <c r="N539" s="13"/>
      <c r="O539" s="13"/>
      <c r="P539" s="13"/>
    </row>
    <row r="540" spans="1:16" ht="14.5" x14ac:dyDescent="0.25">
      <c r="A540" s="18">
        <v>530</v>
      </c>
      <c r="B540" s="19">
        <v>70000229</v>
      </c>
      <c r="C540" s="19">
        <v>175896</v>
      </c>
      <c r="D540" t="s" s="9">
        <v>192</v>
      </c>
      <c r="E540" t="s" s="9">
        <v>198</v>
      </c>
      <c r="F540" t="s" s="20">
        <v>607</v>
      </c>
      <c r="G540" t="s" s="10">
        <v>0</v>
      </c>
      <c r="H540" s="25">
        <v>45756</v>
      </c>
      <c r="I540" s="9">
        <f ca="1" t="shared" si="8"/>
      </c>
      <c r="J540" s="12"/>
      <c r="K540" s="13"/>
      <c r="L540" s="13"/>
      <c r="M540" s="13"/>
      <c r="N540" s="13"/>
      <c r="O540" s="13"/>
      <c r="P540" s="13"/>
    </row>
    <row r="541" spans="1:16" ht="14.5" x14ac:dyDescent="0.25">
      <c r="A541" s="18">
        <v>531</v>
      </c>
      <c r="B541" s="19">
        <v>70000235</v>
      </c>
      <c r="C541" s="19">
        <v>166768</v>
      </c>
      <c r="D541" t="s" s="9">
        <v>722</v>
      </c>
      <c r="E541" t="s" s="9">
        <v>198</v>
      </c>
      <c r="F541" t="s" s="20">
        <v>162</v>
      </c>
      <c r="G541" t="s" s="10">
        <v>177</v>
      </c>
      <c r="H541" s="25">
        <v>35574</v>
      </c>
      <c r="I541" s="9">
        <f ca="1" t="shared" si="8"/>
      </c>
      <c r="J541" s="12">
        <v>1</v>
      </c>
      <c r="K541" s="13">
        <v>1</v>
      </c>
      <c r="L541" s="13">
        <v>3</v>
      </c>
      <c r="M541" s="13"/>
      <c r="N541" s="13"/>
      <c r="O541" s="13"/>
      <c r="P541" s="13"/>
    </row>
    <row r="542" spans="1:16" ht="14.5" x14ac:dyDescent="0.25">
      <c r="A542" s="18">
        <v>532</v>
      </c>
      <c r="B542" s="19">
        <v>70000235</v>
      </c>
      <c r="C542" s="19">
        <v>176144</v>
      </c>
      <c r="D542" t="s" s="10">
        <v>608</v>
      </c>
      <c r="E542" t="s" s="9">
        <v>195</v>
      </c>
      <c r="F542" t="s" s="3">
        <v>609</v>
      </c>
      <c r="G542" t="s" s="10">
        <v>177</v>
      </c>
      <c r="H542" s="25">
        <v>34207</v>
      </c>
      <c r="I542" s="9">
        <f ca="1" t="shared" si="8"/>
      </c>
      <c r="J542" s="14"/>
      <c r="K542" s="11"/>
      <c r="L542" s="11"/>
      <c r="M542" s="11"/>
      <c r="N542" s="103"/>
      <c r="O542" s="11"/>
      <c r="P542" s="11"/>
    </row>
    <row r="543" spans="1:16" ht="14.5" x14ac:dyDescent="0.25">
      <c r="A543" s="18">
        <v>533</v>
      </c>
      <c r="B543" s="19">
        <v>70000235</v>
      </c>
      <c r="C543" s="19">
        <v>176151</v>
      </c>
      <c r="D543" t="s" s="9">
        <v>192</v>
      </c>
      <c r="E543" t="s" s="9">
        <v>195</v>
      </c>
      <c r="F543" t="s" s="20">
        <v>610</v>
      </c>
      <c r="G543" t="s" s="10">
        <v>177</v>
      </c>
      <c r="H543" s="25">
        <v>46006</v>
      </c>
      <c r="I543" s="9">
        <f ca="1" t="shared" si="8"/>
      </c>
      <c r="J543" s="12"/>
      <c r="K543" s="13"/>
      <c r="L543" s="13"/>
      <c r="M543" s="13"/>
      <c r="N543" s="13"/>
      <c r="O543" s="13"/>
      <c r="P543" s="13"/>
    </row>
    <row r="544" spans="1:16" ht="14.5" x14ac:dyDescent="0.25">
      <c r="A544" s="18">
        <v>534</v>
      </c>
      <c r="B544" s="19">
        <v>70000236</v>
      </c>
      <c r="C544" s="19">
        <v>166769</v>
      </c>
      <c r="D544" t="s" s="9">
        <v>722</v>
      </c>
      <c r="E544" t="s" s="9">
        <v>195</v>
      </c>
      <c r="F544" t="s" s="20">
        <v>85</v>
      </c>
      <c r="G544" t="s" s="10">
        <v>177</v>
      </c>
      <c r="H544" s="25">
        <v>28626</v>
      </c>
      <c r="I544" s="9">
        <f ca="1" t="shared" si="8"/>
      </c>
      <c r="J544" s="12">
        <v>1</v>
      </c>
      <c r="K544" s="13">
        <v>3</v>
      </c>
      <c r="L544" s="13">
        <v>5</v>
      </c>
      <c r="M544" s="13"/>
      <c r="N544" s="13"/>
      <c r="O544" s="13"/>
      <c r="P544" s="13"/>
    </row>
    <row r="545" spans="1:16" ht="14.5" x14ac:dyDescent="0.25">
      <c r="A545" s="18">
        <v>535</v>
      </c>
      <c r="B545" s="19">
        <v>70000236</v>
      </c>
      <c r="C545" s="19">
        <v>166770</v>
      </c>
      <c r="D545" t="s" s="9">
        <v>192</v>
      </c>
      <c r="E545" t="s" s="9">
        <v>198</v>
      </c>
      <c r="F545" t="s" s="20">
        <v>611</v>
      </c>
      <c r="G545" t="s" s="10">
        <v>177</v>
      </c>
      <c r="H545" s="25">
        <v>39949</v>
      </c>
      <c r="I545" s="9">
        <f ca="1" t="shared" si="8"/>
      </c>
      <c r="J545" s="12"/>
      <c r="K545" s="13"/>
      <c r="L545" s="13"/>
      <c r="M545" s="13"/>
      <c r="N545" s="13"/>
      <c r="O545" s="13"/>
      <c r="P545" s="13"/>
    </row>
    <row r="546" spans="1:16" ht="14.5" x14ac:dyDescent="0.25">
      <c r="A546" s="18">
        <v>536</v>
      </c>
      <c r="B546" s="19">
        <v>70000236</v>
      </c>
      <c r="C546" s="19">
        <v>166771</v>
      </c>
      <c r="D546" t="s" s="9">
        <v>192</v>
      </c>
      <c r="E546" t="s" s="9">
        <v>198</v>
      </c>
      <c r="F546" t="s" s="20">
        <v>612</v>
      </c>
      <c r="G546" t="s" s="10">
        <v>177</v>
      </c>
      <c r="H546" s="25">
        <v>44577</v>
      </c>
      <c r="I546" s="9">
        <f ca="1" t="shared" si="8"/>
      </c>
      <c r="J546" s="12"/>
      <c r="K546" s="13"/>
      <c r="L546" s="13"/>
      <c r="M546" s="13"/>
      <c r="N546" s="13"/>
      <c r="O546" s="13"/>
      <c r="P546" s="13"/>
    </row>
    <row r="547" spans="1:16" ht="14.5" x14ac:dyDescent="0.25">
      <c r="A547" s="18">
        <v>537</v>
      </c>
      <c r="B547" s="19">
        <v>70000236</v>
      </c>
      <c r="C547" s="19">
        <v>168599</v>
      </c>
      <c r="D547" t="s" s="9">
        <v>192</v>
      </c>
      <c r="E547" t="s" s="9">
        <v>195</v>
      </c>
      <c r="F547" t="s" s="20">
        <v>613</v>
      </c>
      <c r="G547" t="s" s="10">
        <v>177</v>
      </c>
      <c r="H547" s="25">
        <v>44934</v>
      </c>
      <c r="I547" s="9">
        <f ca="1" t="shared" si="8"/>
      </c>
      <c r="J547" s="12"/>
      <c r="K547" s="13"/>
      <c r="L547" s="13"/>
      <c r="M547" s="13"/>
      <c r="N547" s="13"/>
      <c r="O547" s="13"/>
      <c r="P547" s="13"/>
    </row>
    <row r="548" spans="1:16" ht="14.5" x14ac:dyDescent="0.25">
      <c r="A548" s="18">
        <v>539</v>
      </c>
      <c r="B548" s="19">
        <v>70000236</v>
      </c>
      <c r="C548" s="19">
        <v>171916</v>
      </c>
      <c r="D548" t="s" s="10">
        <v>608</v>
      </c>
      <c r="E548" t="s" s="9">
        <v>198</v>
      </c>
      <c r="F548" t="s" s="3">
        <v>614</v>
      </c>
      <c r="G548" t="s" s="10">
        <v>177</v>
      </c>
      <c r="H548" s="25">
        <v>35115</v>
      </c>
      <c r="I548" s="9">
        <f ca="1" t="shared" si="8"/>
      </c>
      <c r="J548" s="14"/>
      <c r="K548" s="11"/>
      <c r="L548" s="11"/>
      <c r="M548" s="11"/>
      <c r="N548" s="103"/>
      <c r="O548" s="11"/>
      <c r="P548" s="11"/>
    </row>
    <row r="549" spans="1:16" ht="14.5" x14ac:dyDescent="0.25">
      <c r="A549" s="18">
        <v>540</v>
      </c>
      <c r="B549" s="19">
        <v>70000237</v>
      </c>
      <c r="C549" s="19">
        <v>166948</v>
      </c>
      <c r="D549" t="s" s="9">
        <v>722</v>
      </c>
      <c r="E549" t="s" s="9">
        <v>195</v>
      </c>
      <c r="F549" t="s" s="20">
        <v>163</v>
      </c>
      <c r="G549" t="s" s="10">
        <v>177</v>
      </c>
      <c r="H549" s="25">
        <v>32694</v>
      </c>
      <c r="I549" s="9">
        <f ca="1" t="shared" si="8"/>
      </c>
      <c r="J549" s="12">
        <v>1</v>
      </c>
      <c r="K549" s="13">
        <v>4</v>
      </c>
      <c r="L549" s="13">
        <v>6</v>
      </c>
      <c r="M549" s="13"/>
      <c r="N549" s="13"/>
      <c r="O549" s="13"/>
      <c r="P549" s="13"/>
    </row>
    <row r="550" spans="1:16" ht="14.5" x14ac:dyDescent="0.25">
      <c r="A550" s="18">
        <v>541</v>
      </c>
      <c r="B550" s="19">
        <v>70000237</v>
      </c>
      <c r="C550" s="19">
        <v>166949</v>
      </c>
      <c r="D550" t="s" s="9">
        <v>608</v>
      </c>
      <c r="E550" t="s" s="9">
        <v>198</v>
      </c>
      <c r="F550" t="s" s="20">
        <v>615</v>
      </c>
      <c r="G550" t="s" s="10">
        <v>177</v>
      </c>
      <c r="H550" s="25">
        <v>34541</v>
      </c>
      <c r="I550" s="9">
        <f ca="1" t="shared" si="8"/>
      </c>
      <c r="J550" s="12"/>
      <c r="K550" s="13"/>
      <c r="L550" s="13"/>
      <c r="M550" s="13"/>
      <c r="N550" s="13"/>
      <c r="O550" s="13"/>
      <c r="P550" s="13"/>
    </row>
    <row r="551" spans="1:16" ht="14.5" x14ac:dyDescent="0.25">
      <c r="A551" s="18">
        <v>542</v>
      </c>
      <c r="B551" s="19">
        <v>70000237</v>
      </c>
      <c r="C551" s="19">
        <v>166962</v>
      </c>
      <c r="D551" t="s" s="9">
        <v>192</v>
      </c>
      <c r="E551" t="s" s="9">
        <v>198</v>
      </c>
      <c r="F551" t="s" s="20">
        <v>616</v>
      </c>
      <c r="G551" t="s" s="10">
        <v>177</v>
      </c>
      <c r="H551" s="25">
        <v>43147</v>
      </c>
      <c r="I551" s="9">
        <f ca="1" t="shared" si="8"/>
      </c>
      <c r="J551" s="12"/>
      <c r="K551" s="13"/>
      <c r="L551" s="13"/>
      <c r="M551" s="13"/>
      <c r="N551" s="13"/>
      <c r="O551" s="13"/>
      <c r="P551" s="13"/>
    </row>
    <row r="552" spans="1:16" ht="14.5" x14ac:dyDescent="0.25">
      <c r="A552" s="18">
        <v>543</v>
      </c>
      <c r="B552" s="19">
        <v>70000237</v>
      </c>
      <c r="C552" s="19">
        <v>166963</v>
      </c>
      <c r="D552" t="s" s="10">
        <v>192</v>
      </c>
      <c r="E552" t="s" s="9">
        <v>195</v>
      </c>
      <c r="F552" t="s" s="3">
        <v>617</v>
      </c>
      <c r="G552" t="s" s="10">
        <v>177</v>
      </c>
      <c r="H552" s="25">
        <v>39860</v>
      </c>
      <c r="I552" s="9">
        <f ca="1" t="shared" si="8"/>
      </c>
      <c r="J552" s="14"/>
      <c r="K552" s="15"/>
      <c r="L552" s="11"/>
      <c r="M552" s="15"/>
      <c r="N552" s="13"/>
      <c r="O552" s="15"/>
      <c r="P552" s="15"/>
    </row>
    <row r="553" spans="1:16" ht="14.5" x14ac:dyDescent="0.25">
      <c r="A553" s="18">
        <v>544</v>
      </c>
      <c r="B553" s="19">
        <v>70000237</v>
      </c>
      <c r="C553" s="19">
        <v>170032</v>
      </c>
      <c r="D553" t="s" s="9">
        <v>192</v>
      </c>
      <c r="E553" t="s" s="9">
        <v>195</v>
      </c>
      <c r="F553" t="s" s="20">
        <v>618</v>
      </c>
      <c r="G553" t="s" s="10">
        <v>177</v>
      </c>
      <c r="H553" s="25">
        <v>45178</v>
      </c>
      <c r="I553" s="9">
        <f ca="1" t="shared" si="8"/>
      </c>
      <c r="J553" s="12"/>
      <c r="K553" s="13"/>
      <c r="L553" s="13"/>
      <c r="M553" s="13"/>
      <c r="N553" s="13"/>
      <c r="O553" s="13"/>
      <c r="P553" s="13"/>
    </row>
    <row r="554" spans="1:16" ht="14.5" x14ac:dyDescent="0.25">
      <c r="A554" s="18">
        <v>545</v>
      </c>
      <c r="B554" s="19">
        <v>70000237</v>
      </c>
      <c r="C554" s="19">
        <v>175633</v>
      </c>
      <c r="D554" t="s" s="10">
        <v>192</v>
      </c>
      <c r="E554" t="s" s="9">
        <v>195</v>
      </c>
      <c r="F554" t="s" s="3">
        <v>619</v>
      </c>
      <c r="G554" t="s" s="10">
        <v>177</v>
      </c>
      <c r="H554" s="25">
        <v>45858</v>
      </c>
      <c r="I554" s="9">
        <f ca="1" t="shared" si="8"/>
      </c>
      <c r="J554" s="12"/>
      <c r="K554" s="11"/>
      <c r="L554" s="11"/>
      <c r="M554" s="11"/>
      <c r="N554" s="103"/>
      <c r="O554" s="11"/>
      <c r="P554" s="11"/>
    </row>
    <row r="555" spans="1:16" ht="14.5" x14ac:dyDescent="0.25">
      <c r="A555" s="18">
        <v>546</v>
      </c>
      <c r="B555" s="19">
        <v>70000238</v>
      </c>
      <c r="C555" s="19">
        <v>166950</v>
      </c>
      <c r="D555" t="s" s="9">
        <v>722</v>
      </c>
      <c r="E555" t="s" s="9">
        <v>195</v>
      </c>
      <c r="F555" t="s" s="20">
        <v>164</v>
      </c>
      <c r="G555" t="s" s="10">
        <v>0</v>
      </c>
      <c r="H555" s="25">
        <v>32373</v>
      </c>
      <c r="I555" s="9">
        <f ca="1" t="shared" si="8"/>
      </c>
      <c r="J555" s="12">
        <v>1</v>
      </c>
      <c r="K555" s="13">
        <v>2</v>
      </c>
      <c r="L555" s="13">
        <v>4</v>
      </c>
      <c r="M555" s="13"/>
      <c r="N555" s="13"/>
      <c r="O555" s="13"/>
      <c r="P555" s="13"/>
    </row>
    <row r="556" spans="1:16" ht="14.5" x14ac:dyDescent="0.25">
      <c r="A556" s="18">
        <v>547</v>
      </c>
      <c r="B556" s="19">
        <v>70000238</v>
      </c>
      <c r="C556" s="19">
        <v>166951</v>
      </c>
      <c r="D556" t="s" s="10">
        <v>608</v>
      </c>
      <c r="E556" t="s" s="9">
        <v>198</v>
      </c>
      <c r="F556" t="s" s="3">
        <v>620</v>
      </c>
      <c r="G556" t="s" s="10">
        <v>0</v>
      </c>
      <c r="H556" s="25">
        <v>33604</v>
      </c>
      <c r="I556" s="9">
        <f ca="1" t="shared" si="8"/>
      </c>
      <c r="J556" s="14"/>
      <c r="K556" s="11"/>
      <c r="L556" s="11"/>
      <c r="M556" s="11"/>
      <c r="N556" s="103"/>
      <c r="O556" s="11"/>
      <c r="P556" s="11"/>
    </row>
    <row r="557" spans="1:16" ht="14.5" x14ac:dyDescent="0.25">
      <c r="A557" s="18">
        <v>548</v>
      </c>
      <c r="B557" s="19">
        <v>70000238</v>
      </c>
      <c r="C557" s="19">
        <v>166952</v>
      </c>
      <c r="D557" t="s" s="9">
        <v>192</v>
      </c>
      <c r="E557" t="s" s="9">
        <v>195</v>
      </c>
      <c r="F557" t="s" s="20">
        <v>621</v>
      </c>
      <c r="G557" t="s" s="10">
        <v>0</v>
      </c>
      <c r="H557" s="25">
        <v>43132</v>
      </c>
      <c r="I557" s="9">
        <f ca="1" t="shared" si="8"/>
      </c>
      <c r="J557" s="12"/>
      <c r="K557" s="13"/>
      <c r="L557" s="13"/>
      <c r="M557" s="13"/>
      <c r="N557" s="13"/>
      <c r="O557" s="13"/>
      <c r="P557" s="13"/>
    </row>
    <row r="558" spans="1:16" ht="14.5" x14ac:dyDescent="0.25">
      <c r="A558" s="18">
        <v>549</v>
      </c>
      <c r="B558" s="19">
        <v>70000238</v>
      </c>
      <c r="C558" s="19">
        <v>166953</v>
      </c>
      <c r="D558" t="s" s="9">
        <v>192</v>
      </c>
      <c r="E558" t="s" s="9">
        <v>198</v>
      </c>
      <c r="F558" t="s" s="20">
        <v>622</v>
      </c>
      <c r="G558" t="s" s="10">
        <v>0</v>
      </c>
      <c r="H558" s="25">
        <v>44259</v>
      </c>
      <c r="I558" s="9">
        <f ca="1" t="shared" si="8"/>
      </c>
      <c r="J558" s="12"/>
      <c r="K558" s="13"/>
      <c r="L558" s="13"/>
      <c r="M558" s="13"/>
      <c r="N558" s="13"/>
      <c r="O558" s="13"/>
      <c r="P558" s="13"/>
    </row>
    <row r="559" spans="1:16" ht="14.5" x14ac:dyDescent="0.25">
      <c r="A559" s="18">
        <v>550</v>
      </c>
      <c r="B559" s="19">
        <v>70000239</v>
      </c>
      <c r="C559" s="19">
        <v>167200</v>
      </c>
      <c r="D559" t="s" s="10">
        <v>722</v>
      </c>
      <c r="E559" t="s" s="9">
        <v>195</v>
      </c>
      <c r="F559" t="s" s="3">
        <v>173</v>
      </c>
      <c r="G559" t="s" s="10">
        <v>0</v>
      </c>
      <c r="H559" s="25">
        <v>29317</v>
      </c>
      <c r="I559" s="9">
        <f ca="1" t="shared" si="8"/>
      </c>
      <c r="J559" s="12">
        <v>1</v>
      </c>
      <c r="K559" s="13">
        <v>0</v>
      </c>
      <c r="L559" s="11">
        <v>2</v>
      </c>
      <c r="M559" s="13"/>
      <c r="N559" s="13"/>
      <c r="O559" s="13"/>
      <c r="P559" s="13"/>
    </row>
    <row r="560" spans="1:16" ht="14.5" x14ac:dyDescent="0.25">
      <c r="A560" s="18">
        <v>551</v>
      </c>
      <c r="B560" s="19">
        <v>70000239</v>
      </c>
      <c r="C560" s="19">
        <v>170449</v>
      </c>
      <c r="D560" t="s" s="10">
        <v>608</v>
      </c>
      <c r="E560" t="s" s="9">
        <v>198</v>
      </c>
      <c r="F560" t="s" s="3">
        <v>623</v>
      </c>
      <c r="G560" t="s" s="10">
        <v>0</v>
      </c>
      <c r="H560" s="25">
        <v>34172</v>
      </c>
      <c r="I560" s="9">
        <f ca="1" t="shared" si="8"/>
      </c>
      <c r="J560" s="12"/>
      <c r="K560" s="13"/>
      <c r="L560" s="11"/>
      <c r="M560" s="13"/>
      <c r="N560" s="13"/>
      <c r="O560" s="13"/>
      <c r="P560" s="13"/>
    </row>
    <row r="561" spans="1:16" ht="14.5" x14ac:dyDescent="0.25">
      <c r="A561" s="18">
        <v>552</v>
      </c>
      <c r="B561" s="19">
        <v>70000245</v>
      </c>
      <c r="C561" s="19">
        <v>167504</v>
      </c>
      <c r="D561" t="s" s="10">
        <v>722</v>
      </c>
      <c r="E561" t="s" s="9">
        <v>198</v>
      </c>
      <c r="F561" t="s" s="3">
        <v>53</v>
      </c>
      <c r="G561" t="s" s="10">
        <v>177</v>
      </c>
      <c r="H561" s="25">
        <v>35522</v>
      </c>
      <c r="I561" s="9">
        <f ca="1" t="shared" si="8"/>
      </c>
      <c r="J561" s="14">
        <v>0</v>
      </c>
      <c r="K561" s="15">
        <v>1</v>
      </c>
      <c r="L561" s="11">
        <v>2</v>
      </c>
      <c r="M561" s="15"/>
      <c r="N561" s="13"/>
      <c r="O561" s="15"/>
      <c r="P561" s="15"/>
    </row>
    <row r="562" spans="1:16" ht="14.5" x14ac:dyDescent="0.25">
      <c r="A562" s="18">
        <v>553</v>
      </c>
      <c r="B562" s="19">
        <v>70000245</v>
      </c>
      <c r="C562" s="19">
        <v>175697</v>
      </c>
      <c r="D562" t="s" s="9">
        <v>192</v>
      </c>
      <c r="E562" t="s" s="9">
        <v>195</v>
      </c>
      <c r="F562" t="s" s="20">
        <v>624</v>
      </c>
      <c r="G562" t="s" s="10">
        <v>177</v>
      </c>
      <c r="H562" s="25">
        <v>45902</v>
      </c>
      <c r="I562" s="9">
        <f ca="1" t="shared" si="8"/>
      </c>
      <c r="J562" s="12"/>
      <c r="K562" s="13"/>
      <c r="L562" s="13"/>
      <c r="M562" s="13"/>
      <c r="N562" s="13"/>
      <c r="O562" s="13"/>
      <c r="P562" s="13"/>
    </row>
    <row r="563" spans="1:16" ht="14.5" x14ac:dyDescent="0.25">
      <c r="A563" s="18">
        <v>554</v>
      </c>
      <c r="B563" s="19">
        <v>70000241</v>
      </c>
      <c r="C563" s="19">
        <v>167505</v>
      </c>
      <c r="D563" t="s" s="10">
        <v>722</v>
      </c>
      <c r="E563" t="s" s="9">
        <v>195</v>
      </c>
      <c r="F563" t="s" s="3">
        <v>86</v>
      </c>
      <c r="G563" t="s" s="10">
        <v>0</v>
      </c>
      <c r="H563" s="25">
        <v>29902</v>
      </c>
      <c r="I563" s="9">
        <f ca="1" t="shared" si="8"/>
      </c>
      <c r="J563" s="14">
        <v>1</v>
      </c>
      <c r="K563" s="11">
        <v>2</v>
      </c>
      <c r="L563" s="11">
        <v>4</v>
      </c>
      <c r="M563" s="11"/>
      <c r="N563" s="103"/>
      <c r="O563" s="11"/>
      <c r="P563" s="11"/>
    </row>
    <row r="564" spans="1:16" ht="14.5" x14ac:dyDescent="0.25">
      <c r="A564" s="18">
        <v>555</v>
      </c>
      <c r="B564" s="19">
        <v>70000241</v>
      </c>
      <c r="C564" s="19">
        <v>171879</v>
      </c>
      <c r="D564" t="s" s="9">
        <v>608</v>
      </c>
      <c r="E564" t="s" s="9">
        <v>198</v>
      </c>
      <c r="F564" t="s" s="20">
        <v>625</v>
      </c>
      <c r="G564" t="s" s="10">
        <v>0</v>
      </c>
      <c r="H564" s="25">
        <v>31542</v>
      </c>
      <c r="I564" s="9">
        <f ca="1" t="shared" si="8"/>
      </c>
      <c r="J564" s="12"/>
      <c r="K564" s="13"/>
      <c r="L564" s="13"/>
      <c r="M564" s="13"/>
      <c r="N564" s="13"/>
      <c r="O564" s="13"/>
      <c r="P564" s="13"/>
    </row>
    <row r="565" spans="1:16" ht="14.5" x14ac:dyDescent="0.25">
      <c r="A565" s="18">
        <v>556</v>
      </c>
      <c r="B565" s="19">
        <v>70000241</v>
      </c>
      <c r="C565" s="19">
        <v>171880</v>
      </c>
      <c r="D565" t="s" s="9">
        <v>192</v>
      </c>
      <c r="E565" t="s" s="9">
        <v>198</v>
      </c>
      <c r="F565" t="s" s="20">
        <v>626</v>
      </c>
      <c r="G565" t="s" s="10">
        <v>0</v>
      </c>
      <c r="H565" s="25">
        <v>41661</v>
      </c>
      <c r="I565" s="9">
        <f ca="1" t="shared" si="8"/>
      </c>
      <c r="J565" s="12"/>
      <c r="K565" s="13"/>
      <c r="L565" s="13"/>
      <c r="M565" s="13"/>
      <c r="N565" s="13"/>
      <c r="O565" s="13"/>
      <c r="P565" s="13"/>
    </row>
    <row r="566" spans="1:16" ht="14.5" x14ac:dyDescent="0.25">
      <c r="A566" s="18">
        <v>717</v>
      </c>
      <c r="B566" s="19">
        <v>70000241</v>
      </c>
      <c r="C566" s="19">
        <v>176035</v>
      </c>
      <c r="D566" t="s" s="9">
        <v>192</v>
      </c>
      <c r="E566" t="s" s="9">
        <v>195</v>
      </c>
      <c r="F566" t="s" s="20">
        <v>785</v>
      </c>
      <c r="G566" t="s" s="10">
        <v>0</v>
      </c>
      <c r="H566" s="25">
        <v>45989</v>
      </c>
      <c r="I566" s="9">
        <f ca="1" t="shared" si="8"/>
      </c>
      <c r="J566" s="12"/>
      <c r="K566" s="13"/>
      <c r="L566" s="13"/>
      <c r="M566" t="s" s="13">
        <v>781</v>
      </c>
      <c r="N566" s="13"/>
      <c r="O566" s="13"/>
      <c r="P566" s="13"/>
    </row>
    <row r="567" spans="1:16" ht="14.5" x14ac:dyDescent="0.25">
      <c r="A567" s="18">
        <v>557</v>
      </c>
      <c r="B567" s="19">
        <v>70000244</v>
      </c>
      <c r="C567" s="19">
        <v>167517</v>
      </c>
      <c r="D567" t="s" s="9">
        <v>722</v>
      </c>
      <c r="E567" t="s" s="9">
        <v>195</v>
      </c>
      <c r="F567" t="s" s="20">
        <v>132</v>
      </c>
      <c r="G567" t="s" s="10">
        <v>0</v>
      </c>
      <c r="H567" s="25">
        <v>34103</v>
      </c>
      <c r="I567" s="9">
        <f ca="1" t="shared" si="8"/>
      </c>
      <c r="J567" s="12">
        <v>0</v>
      </c>
      <c r="K567" s="13">
        <v>0</v>
      </c>
      <c r="L567" s="13">
        <v>1</v>
      </c>
      <c r="M567" s="13"/>
      <c r="N567" s="13"/>
      <c r="O567" s="13"/>
      <c r="P567" s="13"/>
    </row>
    <row r="568" spans="1:16" ht="14.5" x14ac:dyDescent="0.25">
      <c r="A568" s="18">
        <v>558</v>
      </c>
      <c r="B568" s="19">
        <v>70000242</v>
      </c>
      <c r="C568" s="19">
        <v>167518</v>
      </c>
      <c r="D568" t="s" s="9">
        <v>722</v>
      </c>
      <c r="E568" t="s" s="9">
        <v>195</v>
      </c>
      <c r="F568" t="s" s="20">
        <v>130</v>
      </c>
      <c r="G568" t="s" s="10">
        <v>0</v>
      </c>
      <c r="H568" s="25">
        <v>32865</v>
      </c>
      <c r="I568" s="9">
        <f ca="1" t="shared" si="8"/>
      </c>
      <c r="J568" s="12">
        <v>0</v>
      </c>
      <c r="K568" s="13">
        <v>0</v>
      </c>
      <c r="L568" s="13">
        <v>1</v>
      </c>
      <c r="M568" s="13"/>
      <c r="N568" s="13"/>
      <c r="O568" s="13"/>
      <c r="P568" s="13"/>
    </row>
    <row r="569" spans="1:16" ht="14.5" x14ac:dyDescent="0.25">
      <c r="A569" s="18">
        <v>559</v>
      </c>
      <c r="B569" s="19">
        <v>70000243</v>
      </c>
      <c r="C569" s="19">
        <v>167519</v>
      </c>
      <c r="D569" t="s" s="9">
        <v>722</v>
      </c>
      <c r="E569" t="s" s="9">
        <v>195</v>
      </c>
      <c r="F569" t="s" s="20">
        <v>131</v>
      </c>
      <c r="G569" t="s" s="10">
        <v>0</v>
      </c>
      <c r="H569" s="25">
        <v>31767</v>
      </c>
      <c r="I569" s="9">
        <f ca="1" t="shared" si="8"/>
      </c>
      <c r="J569" s="12">
        <v>1</v>
      </c>
      <c r="K569" s="13">
        <v>1</v>
      </c>
      <c r="L569" s="13">
        <v>3</v>
      </c>
      <c r="M569" s="13"/>
      <c r="N569" s="13"/>
      <c r="O569" s="13"/>
      <c r="P569" s="13"/>
    </row>
    <row r="570" spans="1:16" ht="14.5" x14ac:dyDescent="0.25">
      <c r="A570" s="18">
        <v>560</v>
      </c>
      <c r="B570" s="19">
        <v>70000243</v>
      </c>
      <c r="C570" s="19">
        <v>172793</v>
      </c>
      <c r="D570" t="s" s="9">
        <v>608</v>
      </c>
      <c r="E570" t="s" s="9">
        <v>198</v>
      </c>
      <c r="F570" t="s" s="20">
        <v>627</v>
      </c>
      <c r="G570" t="s" s="10">
        <v>0</v>
      </c>
      <c r="H570" s="25">
        <v>35603</v>
      </c>
      <c r="I570" s="9">
        <f ca="1" t="shared" si="8"/>
      </c>
      <c r="J570" s="12"/>
      <c r="K570" s="13"/>
      <c r="L570" s="13"/>
      <c r="M570" s="13"/>
      <c r="N570" s="13"/>
      <c r="O570" s="13"/>
      <c r="P570" s="13"/>
    </row>
    <row r="571" spans="1:16" ht="14.5" x14ac:dyDescent="0.25">
      <c r="A571" s="18">
        <v>719</v>
      </c>
      <c r="B571" s="19">
        <v>70000243</v>
      </c>
      <c r="C571" s="19">
        <v>176026</v>
      </c>
      <c r="D571" t="s" s="9">
        <v>192</v>
      </c>
      <c r="E571" t="s" s="9">
        <v>195</v>
      </c>
      <c r="F571" t="s" s="20">
        <v>786</v>
      </c>
      <c r="G571" t="s" s="10">
        <v>0</v>
      </c>
      <c r="H571" s="25">
        <v>46001</v>
      </c>
      <c r="I571" s="9">
        <f ca="1" t="shared" si="8"/>
      </c>
      <c r="J571" s="12"/>
      <c r="K571" s="13"/>
      <c r="L571" s="13"/>
      <c r="M571" t="s" s="13">
        <v>781</v>
      </c>
      <c r="N571" s="13"/>
      <c r="O571" s="13"/>
      <c r="P571" s="13"/>
    </row>
    <row r="572" spans="1:16" ht="14.5" x14ac:dyDescent="0.25">
      <c r="A572" s="18">
        <v>561</v>
      </c>
      <c r="B572" s="19">
        <v>70000246</v>
      </c>
      <c r="C572" s="19">
        <v>167618</v>
      </c>
      <c r="D572" t="s" s="9">
        <v>722</v>
      </c>
      <c r="E572" t="s" s="9">
        <v>195</v>
      </c>
      <c r="F572" t="s" s="20">
        <v>165</v>
      </c>
      <c r="G572" t="s" s="10">
        <v>177</v>
      </c>
      <c r="H572" s="25">
        <v>28711</v>
      </c>
      <c r="I572" s="9">
        <f ca="1" t="shared" si="8"/>
      </c>
      <c r="J572" s="12">
        <v>1</v>
      </c>
      <c r="K572" s="13">
        <v>8</v>
      </c>
      <c r="L572" s="13">
        <v>10</v>
      </c>
      <c r="M572" s="13"/>
      <c r="N572" s="13"/>
      <c r="O572" s="13"/>
      <c r="P572" s="13"/>
    </row>
    <row r="573" spans="1:16" ht="14.5" x14ac:dyDescent="0.25">
      <c r="A573" s="18">
        <v>562</v>
      </c>
      <c r="B573" s="19">
        <v>70000246</v>
      </c>
      <c r="C573" s="19">
        <v>167619</v>
      </c>
      <c r="D573" t="s" s="10">
        <v>608</v>
      </c>
      <c r="E573" t="s" s="9">
        <v>198</v>
      </c>
      <c r="F573" t="s" s="3">
        <v>628</v>
      </c>
      <c r="G573" t="s" s="10">
        <v>177</v>
      </c>
      <c r="H573" s="25">
        <v>31988</v>
      </c>
      <c r="I573" s="9">
        <f ca="1" t="shared" si="8"/>
      </c>
      <c r="J573" s="14"/>
      <c r="K573" s="11"/>
      <c r="L573" s="11"/>
      <c r="M573" s="11"/>
      <c r="N573" s="103"/>
      <c r="O573" s="11"/>
      <c r="P573" s="11"/>
    </row>
    <row r="574" spans="1:16" ht="14.5" x14ac:dyDescent="0.25">
      <c r="A574" s="18">
        <v>563</v>
      </c>
      <c r="B574" s="19">
        <v>70000246</v>
      </c>
      <c r="C574" s="19">
        <v>167620</v>
      </c>
      <c r="D574" t="s" s="9">
        <v>192</v>
      </c>
      <c r="E574" t="s" s="9">
        <v>195</v>
      </c>
      <c r="F574" t="s" s="20">
        <v>629</v>
      </c>
      <c r="G574" t="s" s="10">
        <v>177</v>
      </c>
      <c r="H574" s="25">
        <v>39611</v>
      </c>
      <c r="I574" s="9">
        <f ca="1" t="shared" si="8"/>
      </c>
      <c r="J574" s="12"/>
      <c r="K574" s="13"/>
      <c r="L574" s="13"/>
      <c r="M574" s="13"/>
      <c r="N574" s="13"/>
      <c r="O574" s="13"/>
      <c r="P574" s="13"/>
    </row>
    <row r="575" spans="1:16" ht="14.5" x14ac:dyDescent="0.25">
      <c r="A575" s="18">
        <v>564</v>
      </c>
      <c r="B575" s="19">
        <v>70000246</v>
      </c>
      <c r="C575" s="19">
        <v>167621</v>
      </c>
      <c r="D575" t="s" s="9">
        <v>192</v>
      </c>
      <c r="E575" t="s" s="9">
        <v>195</v>
      </c>
      <c r="F575" t="s" s="20">
        <v>630</v>
      </c>
      <c r="G575" t="s" s="10">
        <v>177</v>
      </c>
      <c r="H575" s="25">
        <v>40116</v>
      </c>
      <c r="I575" s="9">
        <f ca="1" t="shared" si="8"/>
      </c>
      <c r="J575" s="12"/>
      <c r="K575" s="13"/>
      <c r="L575" s="13"/>
      <c r="M575" s="13"/>
      <c r="N575" s="13"/>
      <c r="O575" s="13"/>
      <c r="P575" s="13"/>
    </row>
    <row r="576" spans="1:16" ht="14.5" x14ac:dyDescent="0.25">
      <c r="A576" s="18">
        <v>565</v>
      </c>
      <c r="B576" s="19">
        <v>70000246</v>
      </c>
      <c r="C576" s="19">
        <v>167622</v>
      </c>
      <c r="D576" t="s" s="9">
        <v>192</v>
      </c>
      <c r="E576" t="s" s="9">
        <v>198</v>
      </c>
      <c r="F576" t="s" s="20">
        <v>631</v>
      </c>
      <c r="G576" t="s" s="10">
        <v>177</v>
      </c>
      <c r="H576" s="25">
        <v>40658</v>
      </c>
      <c r="I576" s="9">
        <f ca="1" t="shared" si="8"/>
      </c>
      <c r="J576" s="12"/>
      <c r="K576" s="13"/>
      <c r="L576" s="13"/>
      <c r="M576" s="13"/>
      <c r="N576" s="13"/>
      <c r="O576" s="13"/>
      <c r="P576" s="13"/>
    </row>
    <row r="577" spans="1:16" ht="14.5" x14ac:dyDescent="0.25">
      <c r="A577" s="18">
        <v>566</v>
      </c>
      <c r="B577" s="19">
        <v>70000246</v>
      </c>
      <c r="C577" s="19">
        <v>167623</v>
      </c>
      <c r="D577" t="s" s="9">
        <v>192</v>
      </c>
      <c r="E577" t="s" s="9">
        <v>195</v>
      </c>
      <c r="F577" t="s" s="20">
        <v>632</v>
      </c>
      <c r="G577" t="s" s="10">
        <v>177</v>
      </c>
      <c r="H577" s="25">
        <v>41881</v>
      </c>
      <c r="I577" s="9">
        <f ca="1" t="shared" si="8"/>
      </c>
      <c r="J577" s="12"/>
      <c r="K577" s="13"/>
      <c r="L577" s="13"/>
      <c r="M577" s="13"/>
      <c r="N577" s="13"/>
      <c r="O577" s="13"/>
      <c r="P577" s="13"/>
    </row>
    <row r="578" spans="1:16" ht="14.5" x14ac:dyDescent="0.25">
      <c r="A578" s="18">
        <v>567</v>
      </c>
      <c r="B578" s="19">
        <v>70000246</v>
      </c>
      <c r="C578" s="19">
        <v>167624</v>
      </c>
      <c r="D578" t="s" s="10">
        <v>192</v>
      </c>
      <c r="E578" t="s" s="9">
        <v>198</v>
      </c>
      <c r="F578" t="s" s="3">
        <v>633</v>
      </c>
      <c r="G578" t="s" s="10">
        <v>177</v>
      </c>
      <c r="H578" s="25">
        <v>42386</v>
      </c>
      <c r="I578" s="9">
        <f ca="1" t="shared" si="8"/>
      </c>
      <c r="J578" s="14"/>
      <c r="K578" s="15"/>
      <c r="L578" s="11"/>
      <c r="M578" s="15"/>
      <c r="N578" s="13"/>
      <c r="O578" s="15"/>
      <c r="P578" s="15"/>
    </row>
    <row r="579" spans="1:16" ht="14.5" x14ac:dyDescent="0.25">
      <c r="A579" s="18">
        <v>568</v>
      </c>
      <c r="B579" s="19">
        <v>70000246</v>
      </c>
      <c r="C579" s="19">
        <v>167625</v>
      </c>
      <c r="D579" t="s" s="9">
        <v>192</v>
      </c>
      <c r="E579" t="s" s="9">
        <v>198</v>
      </c>
      <c r="F579" t="s" s="20">
        <v>634</v>
      </c>
      <c r="G579" t="s" s="10">
        <v>177</v>
      </c>
      <c r="H579" s="25">
        <v>43090</v>
      </c>
      <c r="I579" s="9">
        <f ca="1" t="shared" ref="I579:I642" si="9">DATEDIF(H579,TODAY(),"Y")</f>
      </c>
      <c r="J579" s="12"/>
      <c r="K579" s="13"/>
      <c r="L579" s="13"/>
      <c r="M579" s="13"/>
      <c r="N579" s="13"/>
      <c r="O579" s="13"/>
      <c r="P579" s="13"/>
    </row>
    <row r="580" spans="1:16" ht="14.5" x14ac:dyDescent="0.25">
      <c r="A580" s="18">
        <v>569</v>
      </c>
      <c r="B580" s="19">
        <v>70000246</v>
      </c>
      <c r="C580" s="19">
        <v>167626</v>
      </c>
      <c r="D580" t="s" s="10">
        <v>192</v>
      </c>
      <c r="E580" t="s" s="9">
        <v>198</v>
      </c>
      <c r="F580" t="s" s="3">
        <v>635</v>
      </c>
      <c r="G580" t="s" s="10">
        <v>177</v>
      </c>
      <c r="H580" s="25">
        <v>43536</v>
      </c>
      <c r="I580" s="9">
        <f ca="1" t="shared" si="9"/>
      </c>
      <c r="J580" s="14"/>
      <c r="K580" s="11"/>
      <c r="L580" s="11"/>
      <c r="M580" s="11"/>
      <c r="N580" s="103"/>
      <c r="O580" s="11"/>
      <c r="P580" s="11"/>
    </row>
    <row r="581" spans="1:16" ht="14.5" x14ac:dyDescent="0.25">
      <c r="A581" s="18">
        <v>570</v>
      </c>
      <c r="B581" s="19">
        <v>70000246</v>
      </c>
      <c r="C581" s="19">
        <v>167627</v>
      </c>
      <c r="D581" t="s" s="9">
        <v>192</v>
      </c>
      <c r="E581" t="s" s="9">
        <v>198</v>
      </c>
      <c r="F581" t="s" s="20">
        <v>636</v>
      </c>
      <c r="G581" t="s" s="10">
        <v>177</v>
      </c>
      <c r="H581" s="25">
        <v>44613</v>
      </c>
      <c r="I581" s="9">
        <f ca="1" t="shared" si="9"/>
      </c>
      <c r="J581" s="12"/>
      <c r="K581" s="13"/>
      <c r="L581" s="13"/>
      <c r="M581" s="13"/>
      <c r="N581" s="13"/>
      <c r="O581" s="13"/>
      <c r="P581" s="13"/>
    </row>
    <row r="582" spans="1:16" ht="14.5" x14ac:dyDescent="0.25">
      <c r="A582" s="18">
        <v>571</v>
      </c>
      <c r="B582" s="19">
        <v>70000247</v>
      </c>
      <c r="C582" s="19">
        <v>167891</v>
      </c>
      <c r="D582" t="s" s="9">
        <v>722</v>
      </c>
      <c r="E582" t="s" s="9">
        <v>195</v>
      </c>
      <c r="F582" t="s" s="20">
        <v>174</v>
      </c>
      <c r="G582" t="s" s="10">
        <v>0</v>
      </c>
      <c r="H582" s="25">
        <v>31779</v>
      </c>
      <c r="I582" s="9">
        <f ca="1" t="shared" si="9"/>
      </c>
      <c r="J582" s="12">
        <v>1</v>
      </c>
      <c r="K582" s="13">
        <v>3</v>
      </c>
      <c r="L582" s="13">
        <v>5</v>
      </c>
      <c r="M582" s="13"/>
      <c r="N582" s="13"/>
      <c r="O582" s="13"/>
      <c r="P582" s="13"/>
    </row>
    <row r="583" spans="1:16" ht="14.5" x14ac:dyDescent="0.25">
      <c r="A583" s="18">
        <v>572</v>
      </c>
      <c r="B583" s="19">
        <v>70000247</v>
      </c>
      <c r="C583" s="19">
        <v>167892</v>
      </c>
      <c r="D583" t="s" s="9">
        <v>192</v>
      </c>
      <c r="E583" t="s" s="9">
        <v>195</v>
      </c>
      <c r="F583" t="s" s="20">
        <v>637</v>
      </c>
      <c r="G583" t="s" s="10">
        <v>0</v>
      </c>
      <c r="H583" s="25">
        <v>44343</v>
      </c>
      <c r="I583" s="9">
        <f ca="1" t="shared" si="9"/>
      </c>
      <c r="J583" s="12"/>
      <c r="K583" s="13"/>
      <c r="L583" s="13"/>
      <c r="M583" s="13"/>
      <c r="N583" s="13"/>
      <c r="O583" s="13"/>
      <c r="P583" s="13"/>
    </row>
    <row r="584" spans="1:16" ht="14.5" x14ac:dyDescent="0.25">
      <c r="A584" s="18">
        <v>573</v>
      </c>
      <c r="B584" s="19">
        <v>70000247</v>
      </c>
      <c r="C584" s="19">
        <v>170233</v>
      </c>
      <c r="D584" t="s" s="9">
        <v>608</v>
      </c>
      <c r="E584" t="s" s="9">
        <v>198</v>
      </c>
      <c r="F584" t="s" s="20">
        <v>638</v>
      </c>
      <c r="G584" t="s" s="10">
        <v>0</v>
      </c>
      <c r="H584" s="25">
        <v>33862</v>
      </c>
      <c r="I584" s="9">
        <f ca="1" t="shared" si="9"/>
      </c>
      <c r="J584" s="12"/>
      <c r="K584" s="13"/>
      <c r="L584" s="13"/>
      <c r="M584" s="13"/>
      <c r="N584" s="13"/>
      <c r="O584" s="13"/>
      <c r="P584" s="13"/>
    </row>
    <row r="585" spans="1:16" ht="14.5" x14ac:dyDescent="0.25">
      <c r="A585" s="18">
        <v>574</v>
      </c>
      <c r="B585" s="19">
        <v>70000247</v>
      </c>
      <c r="C585" s="19">
        <v>170793</v>
      </c>
      <c r="D585" t="s" s="10">
        <v>192</v>
      </c>
      <c r="E585" t="s" s="9">
        <v>198</v>
      </c>
      <c r="F585" t="s" s="3">
        <v>639</v>
      </c>
      <c r="G585" t="s" s="10">
        <v>0</v>
      </c>
      <c r="H585" s="25">
        <v>45313</v>
      </c>
      <c r="I585" s="9">
        <f ca="1" t="shared" si="9"/>
      </c>
      <c r="J585" s="14"/>
      <c r="K585" s="11"/>
      <c r="L585" s="11"/>
      <c r="M585" s="11"/>
      <c r="N585" s="103"/>
      <c r="O585" s="11"/>
      <c r="P585" s="11"/>
    </row>
    <row r="586" spans="1:16" ht="14.5" x14ac:dyDescent="0.25">
      <c r="A586" s="18">
        <v>575</v>
      </c>
      <c r="B586" s="19">
        <v>70000247</v>
      </c>
      <c r="C586" s="19">
        <v>175444</v>
      </c>
      <c r="D586" t="s" s="9">
        <v>192</v>
      </c>
      <c r="E586" t="s" s="9">
        <v>195</v>
      </c>
      <c r="F586" t="s" s="20">
        <v>640</v>
      </c>
      <c r="G586" t="s" s="10">
        <v>0</v>
      </c>
      <c r="H586" s="25">
        <v>45878</v>
      </c>
      <c r="I586" s="9">
        <f ca="1" t="shared" si="9"/>
      </c>
      <c r="J586" s="12"/>
      <c r="K586" s="13"/>
      <c r="L586" s="13"/>
      <c r="M586" s="13"/>
      <c r="N586" s="13"/>
      <c r="O586" s="13"/>
      <c r="P586" s="13"/>
    </row>
    <row r="587" spans="1:16" ht="14.5" x14ac:dyDescent="0.25">
      <c r="A587" s="18">
        <v>576</v>
      </c>
      <c r="B587" s="19">
        <v>70000250</v>
      </c>
      <c r="C587" s="19">
        <v>168450</v>
      </c>
      <c r="D587" t="s" s="9">
        <v>722</v>
      </c>
      <c r="E587" t="s" s="9">
        <v>198</v>
      </c>
      <c r="F587" t="s" s="20">
        <v>54</v>
      </c>
      <c r="G587" t="s" s="10">
        <v>177</v>
      </c>
      <c r="H587" s="25">
        <v>35969</v>
      </c>
      <c r="I587" s="9">
        <f ca="1" t="shared" si="9"/>
      </c>
      <c r="J587" s="12">
        <v>0</v>
      </c>
      <c r="K587" s="13">
        <v>1</v>
      </c>
      <c r="L587" s="13">
        <v>2</v>
      </c>
      <c r="M587" s="13"/>
      <c r="N587" s="13"/>
      <c r="O587" s="13"/>
      <c r="P587" s="13"/>
    </row>
    <row r="588" spans="1:16" ht="14.5" x14ac:dyDescent="0.25">
      <c r="A588" s="18">
        <v>577</v>
      </c>
      <c r="B588" s="19">
        <v>70000250</v>
      </c>
      <c r="C588" s="19">
        <v>176085</v>
      </c>
      <c r="D588" t="s" s="10">
        <v>192</v>
      </c>
      <c r="E588" t="s" s="9">
        <v>198</v>
      </c>
      <c r="F588" t="s" s="3">
        <v>641</v>
      </c>
      <c r="G588" t="s" s="10">
        <v>177</v>
      </c>
      <c r="H588" s="25">
        <v>45981</v>
      </c>
      <c r="I588" s="9">
        <f ca="1" t="shared" si="9"/>
      </c>
      <c r="J588" s="14"/>
      <c r="K588" s="11"/>
      <c r="L588" s="11"/>
      <c r="M588" s="11"/>
      <c r="N588" s="103"/>
      <c r="O588" s="11"/>
      <c r="P588" s="11"/>
    </row>
    <row r="589" spans="1:16" ht="14.5" x14ac:dyDescent="0.25">
      <c r="A589" s="18">
        <v>578</v>
      </c>
      <c r="B589" s="19">
        <v>70000252</v>
      </c>
      <c r="C589" s="19">
        <v>168839</v>
      </c>
      <c r="D589" t="s" s="9">
        <v>722</v>
      </c>
      <c r="E589" t="s" s="9">
        <v>195</v>
      </c>
      <c r="F589" t="s" s="20">
        <v>7</v>
      </c>
      <c r="G589" t="s" s="10">
        <v>0</v>
      </c>
      <c r="H589" s="25">
        <v>31613</v>
      </c>
      <c r="I589" s="9">
        <f ca="1" t="shared" si="9"/>
      </c>
      <c r="J589" s="12">
        <v>1</v>
      </c>
      <c r="K589" s="13">
        <v>3</v>
      </c>
      <c r="L589" s="13">
        <v>5</v>
      </c>
      <c r="M589" s="13"/>
      <c r="N589" s="13"/>
      <c r="O589" s="13"/>
      <c r="P589" s="13"/>
    </row>
    <row r="590" spans="1:16" ht="14.5" x14ac:dyDescent="0.25">
      <c r="A590" s="18">
        <v>579</v>
      </c>
      <c r="B590" s="19">
        <v>70000252</v>
      </c>
      <c r="C590" s="19">
        <v>169248</v>
      </c>
      <c r="D590" t="s" s="9">
        <v>608</v>
      </c>
      <c r="E590" t="s" s="9">
        <v>198</v>
      </c>
      <c r="F590" t="s" s="20">
        <v>642</v>
      </c>
      <c r="G590" t="s" s="10">
        <v>0</v>
      </c>
      <c r="H590" s="25">
        <v>34208</v>
      </c>
      <c r="I590" s="9">
        <f ca="1" t="shared" si="9"/>
      </c>
      <c r="J590" s="12"/>
      <c r="K590" s="13"/>
      <c r="L590" s="13"/>
      <c r="M590" s="13"/>
      <c r="N590" s="13"/>
      <c r="O590" s="13"/>
      <c r="P590" s="13"/>
    </row>
    <row r="591" spans="1:16" ht="14.5" x14ac:dyDescent="0.25">
      <c r="A591" s="18">
        <v>580</v>
      </c>
      <c r="B591" s="19">
        <v>70000252</v>
      </c>
      <c r="C591" s="19">
        <v>169249</v>
      </c>
      <c r="D591" t="s" s="9">
        <v>192</v>
      </c>
      <c r="E591" t="s" s="9">
        <v>198</v>
      </c>
      <c r="F591" t="s" s="20">
        <v>643</v>
      </c>
      <c r="G591" t="s" s="10">
        <v>0</v>
      </c>
      <c r="H591" s="25">
        <v>42636</v>
      </c>
      <c r="I591" s="9">
        <f ca="1" t="shared" si="9"/>
      </c>
      <c r="J591" s="12"/>
      <c r="K591" s="13"/>
      <c r="L591" s="13"/>
      <c r="M591" s="13"/>
      <c r="N591" s="13"/>
      <c r="O591" s="13"/>
      <c r="P591" s="13"/>
    </row>
    <row r="592" spans="1:16" ht="14.5" x14ac:dyDescent="0.25">
      <c r="A592" s="18">
        <v>581</v>
      </c>
      <c r="B592" s="19">
        <v>70000252</v>
      </c>
      <c r="C592" s="19">
        <v>169250</v>
      </c>
      <c r="D592" t="s" s="9">
        <v>192</v>
      </c>
      <c r="E592" t="s" s="9">
        <v>195</v>
      </c>
      <c r="F592" t="s" s="3">
        <v>644</v>
      </c>
      <c r="G592" t="s" s="10">
        <v>0</v>
      </c>
      <c r="H592" s="25">
        <v>44210</v>
      </c>
      <c r="I592" s="9">
        <f ca="1" t="shared" si="9"/>
      </c>
      <c r="J592" s="12"/>
      <c r="K592" s="13"/>
      <c r="L592" s="13"/>
      <c r="M592" s="13"/>
      <c r="N592" s="13"/>
      <c r="O592" s="13"/>
      <c r="P592" s="13"/>
    </row>
    <row r="593" spans="1:16" ht="14.5" x14ac:dyDescent="0.25">
      <c r="A593" s="18">
        <v>582</v>
      </c>
      <c r="B593" s="19">
        <v>70000252</v>
      </c>
      <c r="C593" s="19">
        <v>169251</v>
      </c>
      <c r="D593" t="s" s="9">
        <v>192</v>
      </c>
      <c r="E593" t="s" s="9">
        <v>198</v>
      </c>
      <c r="F593" t="s" s="20">
        <v>645</v>
      </c>
      <c r="G593" t="s" s="10">
        <v>0</v>
      </c>
      <c r="H593" s="25">
        <v>43641</v>
      </c>
      <c r="I593" s="9">
        <f ca="1" t="shared" si="9"/>
      </c>
      <c r="J593" s="12"/>
      <c r="K593" s="13"/>
      <c r="L593" s="13"/>
      <c r="M593" s="13"/>
      <c r="N593" s="13"/>
      <c r="O593" s="13"/>
      <c r="P593" s="13"/>
    </row>
    <row r="594" spans="1:16" ht="14.5" x14ac:dyDescent="0.25">
      <c r="A594" s="18">
        <v>583</v>
      </c>
      <c r="B594" s="19">
        <v>70000253</v>
      </c>
      <c r="C594" s="19">
        <v>169195</v>
      </c>
      <c r="D594" t="s" s="9">
        <v>722</v>
      </c>
      <c r="E594" t="s" s="9">
        <v>195</v>
      </c>
      <c r="F594" t="s" s="20">
        <v>9</v>
      </c>
      <c r="G594" t="s" s="10">
        <v>177</v>
      </c>
      <c r="H594" s="25">
        <v>33937</v>
      </c>
      <c r="I594" s="9">
        <f ca="1" t="shared" si="9"/>
      </c>
      <c r="J594" s="12">
        <v>1</v>
      </c>
      <c r="K594" s="13">
        <v>1</v>
      </c>
      <c r="L594" s="13">
        <v>3</v>
      </c>
      <c r="M594" s="13"/>
      <c r="N594" s="13"/>
      <c r="O594" s="13"/>
      <c r="P594" s="13"/>
    </row>
    <row r="595" spans="1:16" ht="14.5" x14ac:dyDescent="0.25">
      <c r="A595" s="18">
        <v>584</v>
      </c>
      <c r="B595" s="19">
        <v>70000253</v>
      </c>
      <c r="C595" s="19">
        <v>169196</v>
      </c>
      <c r="D595" t="s" s="10">
        <v>608</v>
      </c>
      <c r="E595" t="s" s="9">
        <v>198</v>
      </c>
      <c r="F595" t="s" s="3">
        <v>646</v>
      </c>
      <c r="G595" t="s" s="10">
        <v>177</v>
      </c>
      <c r="H595" s="25">
        <v>35058</v>
      </c>
      <c r="I595" s="9">
        <f ca="1" t="shared" si="9"/>
      </c>
      <c r="J595" s="14"/>
      <c r="K595" s="11"/>
      <c r="L595" s="11"/>
      <c r="M595" s="11"/>
      <c r="N595" s="103"/>
      <c r="O595" s="11"/>
      <c r="P595" s="11"/>
    </row>
    <row r="596" spans="1:16" ht="14.5" x14ac:dyDescent="0.25">
      <c r="A596" s="18">
        <v>585</v>
      </c>
      <c r="B596" s="19">
        <v>70000253</v>
      </c>
      <c r="C596" s="19">
        <v>169197</v>
      </c>
      <c r="D596" t="s" s="9">
        <v>192</v>
      </c>
      <c r="E596" t="s" s="9">
        <v>198</v>
      </c>
      <c r="F596" t="s" s="20">
        <v>647</v>
      </c>
      <c r="G596" t="s" s="10">
        <v>177</v>
      </c>
      <c r="H596" s="25">
        <v>44411</v>
      </c>
      <c r="I596" s="9">
        <f ca="1" t="shared" si="9"/>
      </c>
      <c r="J596" s="12"/>
      <c r="K596" s="13"/>
      <c r="L596" s="13"/>
      <c r="M596" s="13"/>
      <c r="N596" s="13"/>
      <c r="O596" s="13"/>
      <c r="P596" s="13"/>
    </row>
    <row r="597" spans="1:16" ht="14.5" x14ac:dyDescent="0.25">
      <c r="A597" s="18">
        <v>586</v>
      </c>
      <c r="B597" s="19">
        <v>70000254</v>
      </c>
      <c r="C597" s="19">
        <v>169236</v>
      </c>
      <c r="D597" t="s" s="9">
        <v>722</v>
      </c>
      <c r="E597" t="s" s="9">
        <v>195</v>
      </c>
      <c r="F597" t="s" s="20">
        <v>111</v>
      </c>
      <c r="G597" t="s" s="10">
        <v>177</v>
      </c>
      <c r="H597" s="25">
        <v>30279</v>
      </c>
      <c r="I597" s="9">
        <f ca="1" t="shared" si="9"/>
      </c>
      <c r="J597" s="12">
        <v>1</v>
      </c>
      <c r="K597" s="13">
        <v>5</v>
      </c>
      <c r="L597" s="13">
        <v>7</v>
      </c>
      <c r="M597" s="13"/>
      <c r="N597" s="13"/>
      <c r="O597" s="13"/>
      <c r="P597" s="13"/>
    </row>
    <row r="598" spans="1:16" ht="14.5" x14ac:dyDescent="0.25">
      <c r="A598" s="18">
        <v>587</v>
      </c>
      <c r="B598" s="19">
        <v>70000254</v>
      </c>
      <c r="C598" s="19">
        <v>169237</v>
      </c>
      <c r="D598" t="s" s="10">
        <v>608</v>
      </c>
      <c r="E598" t="s" s="9">
        <v>198</v>
      </c>
      <c r="F598" t="s" s="3">
        <v>648</v>
      </c>
      <c r="G598" t="s" s="10">
        <v>177</v>
      </c>
      <c r="H598" s="25">
        <v>32108</v>
      </c>
      <c r="I598" s="9">
        <f ca="1" t="shared" si="9"/>
      </c>
      <c r="J598" s="14"/>
      <c r="K598" s="11"/>
      <c r="L598" s="11"/>
      <c r="M598" s="11"/>
      <c r="N598" s="103"/>
      <c r="O598" s="11"/>
      <c r="P598" s="11"/>
    </row>
    <row r="599" spans="1:16" ht="14.5" x14ac:dyDescent="0.25">
      <c r="A599" s="18">
        <v>588</v>
      </c>
      <c r="B599" s="19">
        <v>70000254</v>
      </c>
      <c r="C599" s="19">
        <v>169238</v>
      </c>
      <c r="D599" t="s" s="9">
        <v>192</v>
      </c>
      <c r="E599" t="s" s="9">
        <v>195</v>
      </c>
      <c r="F599" t="s" s="20">
        <v>649</v>
      </c>
      <c r="G599" t="s" s="10">
        <v>177</v>
      </c>
      <c r="H599" s="25">
        <v>44783</v>
      </c>
      <c r="I599" s="9">
        <f ca="1" t="shared" si="9"/>
      </c>
      <c r="J599" s="12"/>
      <c r="K599" s="13"/>
      <c r="L599" s="13"/>
      <c r="M599" s="13"/>
      <c r="N599" s="13"/>
      <c r="O599" s="13"/>
      <c r="P599" s="13"/>
    </row>
    <row r="600" spans="1:16" ht="14.5" x14ac:dyDescent="0.25">
      <c r="A600" s="18">
        <v>589</v>
      </c>
      <c r="B600" s="19">
        <v>70000254</v>
      </c>
      <c r="C600" s="19">
        <v>169239</v>
      </c>
      <c r="D600" t="s" s="9">
        <v>192</v>
      </c>
      <c r="E600" t="s" s="9">
        <v>198</v>
      </c>
      <c r="F600" t="s" s="20">
        <v>650</v>
      </c>
      <c r="G600" t="s" s="10">
        <v>177</v>
      </c>
      <c r="H600" s="25">
        <v>41427</v>
      </c>
      <c r="I600" s="9">
        <f ca="1" t="shared" si="9"/>
      </c>
      <c r="J600" s="12"/>
      <c r="K600" s="13"/>
      <c r="L600" s="13"/>
      <c r="M600" s="13"/>
      <c r="N600" s="13"/>
      <c r="O600" s="13"/>
      <c r="P600" s="13"/>
    </row>
    <row r="601" spans="1:16" ht="14.5" x14ac:dyDescent="0.25">
      <c r="A601" s="18">
        <v>590</v>
      </c>
      <c r="B601" s="19">
        <v>70000254</v>
      </c>
      <c r="C601" s="19">
        <v>169240</v>
      </c>
      <c r="D601" t="s" s="9">
        <v>192</v>
      </c>
      <c r="E601" t="s" s="9">
        <v>195</v>
      </c>
      <c r="F601" t="s" s="20">
        <v>651</v>
      </c>
      <c r="G601" t="s" s="10">
        <v>177</v>
      </c>
      <c r="H601" s="25">
        <v>42312</v>
      </c>
      <c r="I601" s="9">
        <f ca="1" t="shared" si="9"/>
      </c>
      <c r="J601" s="12"/>
      <c r="K601" s="13"/>
      <c r="L601" s="13"/>
      <c r="M601" s="13"/>
      <c r="N601" s="13"/>
      <c r="O601" s="13"/>
      <c r="P601" s="13"/>
    </row>
    <row r="602" spans="1:16" ht="14.5" x14ac:dyDescent="0.25">
      <c r="A602" s="18">
        <v>591</v>
      </c>
      <c r="B602" s="19">
        <v>70000254</v>
      </c>
      <c r="C602" s="19">
        <v>169241</v>
      </c>
      <c r="D602" t="s" s="9">
        <v>192</v>
      </c>
      <c r="E602" t="s" s="9">
        <v>195</v>
      </c>
      <c r="F602" t="s" s="20">
        <v>652</v>
      </c>
      <c r="G602" t="s" s="10">
        <v>177</v>
      </c>
      <c r="H602" s="25">
        <v>43824</v>
      </c>
      <c r="I602" s="9">
        <f ca="1" t="shared" si="9"/>
      </c>
      <c r="J602" s="12"/>
      <c r="K602" s="13"/>
      <c r="L602" s="13"/>
      <c r="M602" s="13"/>
      <c r="N602" s="13"/>
      <c r="O602" s="13"/>
      <c r="P602" s="13"/>
    </row>
    <row r="603" spans="1:16" ht="14.5" x14ac:dyDescent="0.25">
      <c r="A603" s="18">
        <v>592</v>
      </c>
      <c r="B603" s="19">
        <v>70000254</v>
      </c>
      <c r="C603" s="19">
        <v>171984</v>
      </c>
      <c r="D603" t="s" s="9">
        <v>192</v>
      </c>
      <c r="E603" t="s" s="9">
        <v>198</v>
      </c>
      <c r="F603" t="s" s="20">
        <v>653</v>
      </c>
      <c r="G603" t="s" s="10">
        <v>177</v>
      </c>
      <c r="H603" s="25">
        <v>45512</v>
      </c>
      <c r="I603" s="9">
        <f ca="1" t="shared" si="9"/>
      </c>
      <c r="J603" s="12"/>
      <c r="K603" s="13"/>
      <c r="L603" s="13"/>
      <c r="M603" s="13"/>
      <c r="N603" s="13"/>
      <c r="O603" s="13"/>
      <c r="P603" s="13"/>
    </row>
    <row r="604" spans="1:16" ht="14.5" x14ac:dyDescent="0.25">
      <c r="A604" s="18">
        <v>593</v>
      </c>
      <c r="B604" s="19">
        <v>70000255</v>
      </c>
      <c r="C604" s="19">
        <v>169242</v>
      </c>
      <c r="D604" t="s" s="9">
        <v>722</v>
      </c>
      <c r="E604" t="s" s="9">
        <v>195</v>
      </c>
      <c r="F604" t="s" s="20">
        <v>87</v>
      </c>
      <c r="G604" t="s" s="10">
        <v>0</v>
      </c>
      <c r="H604" s="25">
        <v>34414</v>
      </c>
      <c r="I604" s="9">
        <f ca="1" t="shared" si="9"/>
      </c>
      <c r="J604" s="12">
        <v>1</v>
      </c>
      <c r="K604" s="13">
        <v>1</v>
      </c>
      <c r="L604" s="13">
        <v>3</v>
      </c>
      <c r="M604" s="13"/>
      <c r="N604" s="13"/>
      <c r="O604" s="13"/>
      <c r="P604" s="13"/>
    </row>
    <row r="605" spans="1:16" ht="14.5" x14ac:dyDescent="0.25">
      <c r="A605" s="18">
        <v>594</v>
      </c>
      <c r="B605" s="19">
        <v>70000255</v>
      </c>
      <c r="C605" s="19">
        <v>175155</v>
      </c>
      <c r="D605" t="s" s="10">
        <v>608</v>
      </c>
      <c r="E605" t="s" s="9">
        <v>198</v>
      </c>
      <c r="F605" t="s" s="3">
        <v>654</v>
      </c>
      <c r="G605" t="s" s="10">
        <v>0</v>
      </c>
      <c r="H605" s="25">
        <v>36294</v>
      </c>
      <c r="I605" s="9">
        <f ca="1" t="shared" si="9"/>
      </c>
      <c r="J605" s="14"/>
      <c r="K605" s="15"/>
      <c r="L605" s="11"/>
      <c r="M605" s="15"/>
      <c r="N605" s="13"/>
      <c r="O605" s="15"/>
      <c r="P605" s="15"/>
    </row>
    <row r="606" spans="1:16" ht="14.5" x14ac:dyDescent="0.25">
      <c r="A606" s="18">
        <v>595</v>
      </c>
      <c r="B606" s="19">
        <v>70000255</v>
      </c>
      <c r="C606" s="19">
        <v>175736</v>
      </c>
      <c r="D606" t="s" s="9">
        <v>192</v>
      </c>
      <c r="E606" t="s" s="9">
        <v>195</v>
      </c>
      <c r="F606" t="s" s="20">
        <v>655</v>
      </c>
      <c r="G606" t="s" s="10">
        <v>0</v>
      </c>
      <c r="H606" s="25">
        <v>45934</v>
      </c>
      <c r="I606" s="9">
        <f ca="1" t="shared" si="9"/>
      </c>
      <c r="J606" s="14"/>
      <c r="K606" s="15"/>
      <c r="L606" s="15"/>
      <c r="M606" s="15"/>
      <c r="N606" s="13"/>
      <c r="O606" s="15"/>
      <c r="P606" s="15"/>
    </row>
    <row r="607" spans="1:16" ht="14.5" x14ac:dyDescent="0.25">
      <c r="A607" s="18">
        <v>596</v>
      </c>
      <c r="B607" s="19">
        <v>70000256</v>
      </c>
      <c r="C607" s="19">
        <v>169569</v>
      </c>
      <c r="D607" t="s" s="10">
        <v>722</v>
      </c>
      <c r="E607" t="s" s="9">
        <v>195</v>
      </c>
      <c r="F607" t="s" s="3">
        <v>8</v>
      </c>
      <c r="G607" t="s" s="10">
        <v>177</v>
      </c>
      <c r="H607" s="25">
        <v>30520</v>
      </c>
      <c r="I607" s="9">
        <f ca="1" t="shared" si="9"/>
      </c>
      <c r="J607" s="14">
        <v>1</v>
      </c>
      <c r="K607" s="15">
        <v>5</v>
      </c>
      <c r="L607" s="11">
        <v>7</v>
      </c>
      <c r="M607" s="15"/>
      <c r="N607" s="13"/>
      <c r="O607" s="15"/>
      <c r="P607" s="15"/>
    </row>
    <row r="608" spans="1:16" ht="14.5" x14ac:dyDescent="0.25">
      <c r="A608" s="18">
        <v>597</v>
      </c>
      <c r="B608" s="19">
        <v>70000256</v>
      </c>
      <c r="C608" s="19">
        <v>169570</v>
      </c>
      <c r="D608" t="s" s="9">
        <v>608</v>
      </c>
      <c r="E608" t="s" s="9">
        <v>198</v>
      </c>
      <c r="F608" t="s" s="20">
        <v>744</v>
      </c>
      <c r="G608" t="s" s="10">
        <v>177</v>
      </c>
      <c r="H608" s="25">
        <v>30177</v>
      </c>
      <c r="I608" s="9">
        <f ca="1" t="shared" si="9"/>
      </c>
      <c r="J608" s="12"/>
      <c r="K608" s="13"/>
      <c r="L608" s="13"/>
      <c r="M608" s="13"/>
      <c r="N608" s="13"/>
      <c r="O608" s="13"/>
      <c r="P608" s="13"/>
    </row>
    <row r="609" spans="1:16" ht="14.5" x14ac:dyDescent="0.25">
      <c r="A609" s="18">
        <v>598</v>
      </c>
      <c r="B609" s="19">
        <v>70000256</v>
      </c>
      <c r="C609" s="19">
        <v>169571</v>
      </c>
      <c r="D609" t="s" s="10">
        <v>192</v>
      </c>
      <c r="E609" t="s" s="9">
        <v>195</v>
      </c>
      <c r="F609" t="s" s="3">
        <v>656</v>
      </c>
      <c r="G609" t="s" s="10">
        <v>177</v>
      </c>
      <c r="H609" s="25">
        <v>45097</v>
      </c>
      <c r="I609" s="9">
        <f ca="1" t="shared" si="9"/>
      </c>
      <c r="J609" s="14"/>
      <c r="K609" s="11"/>
      <c r="L609" s="11"/>
      <c r="M609" s="11"/>
      <c r="N609" s="103"/>
      <c r="O609" s="11"/>
      <c r="P609" s="11"/>
    </row>
    <row r="610" spans="1:16" ht="14.5" x14ac:dyDescent="0.25">
      <c r="A610" s="18">
        <v>599</v>
      </c>
      <c r="B610" s="19">
        <v>70000256</v>
      </c>
      <c r="C610" s="19">
        <v>169572</v>
      </c>
      <c r="D610" t="s" s="9">
        <v>192</v>
      </c>
      <c r="E610" t="s" s="9">
        <v>198</v>
      </c>
      <c r="F610" t="s" s="20">
        <v>657</v>
      </c>
      <c r="G610" t="s" s="10">
        <v>177</v>
      </c>
      <c r="H610" s="25">
        <v>43343</v>
      </c>
      <c r="I610" s="9">
        <f ca="1" t="shared" si="9"/>
      </c>
      <c r="J610" s="14"/>
      <c r="K610" s="15"/>
      <c r="L610" s="15"/>
      <c r="M610" s="13"/>
      <c r="N610" s="13"/>
      <c r="O610" s="13"/>
      <c r="P610" s="13"/>
    </row>
    <row r="611" spans="1:16" ht="14.5" x14ac:dyDescent="0.25">
      <c r="A611" s="18">
        <v>600</v>
      </c>
      <c r="B611" s="19">
        <v>70000256</v>
      </c>
      <c r="C611" s="19">
        <v>169573</v>
      </c>
      <c r="D611" t="s" s="9">
        <v>192</v>
      </c>
      <c r="E611" t="s" s="9">
        <v>195</v>
      </c>
      <c r="F611" t="s" s="20">
        <v>658</v>
      </c>
      <c r="G611" t="s" s="10">
        <v>177</v>
      </c>
      <c r="H611" s="25">
        <v>41870</v>
      </c>
      <c r="I611" s="9">
        <f ca="1" t="shared" si="9"/>
      </c>
      <c r="J611" s="14"/>
      <c r="K611" s="15"/>
      <c r="L611" s="15"/>
      <c r="M611" s="13"/>
      <c r="N611" s="13"/>
      <c r="O611" s="13"/>
      <c r="P611" s="13"/>
    </row>
    <row r="612" spans="1:16" ht="14.5" x14ac:dyDescent="0.25">
      <c r="A612" s="18">
        <v>601</v>
      </c>
      <c r="B612" s="19">
        <v>70000256</v>
      </c>
      <c r="C612" s="19">
        <v>169574</v>
      </c>
      <c r="D612" t="s" s="9">
        <v>192</v>
      </c>
      <c r="E612" t="s" s="9">
        <v>195</v>
      </c>
      <c r="F612" t="s" s="20">
        <v>659</v>
      </c>
      <c r="G612" t="s" s="10">
        <v>177</v>
      </c>
      <c r="H612" s="25">
        <v>41384</v>
      </c>
      <c r="I612" s="9">
        <f ca="1" t="shared" si="9"/>
      </c>
      <c r="J612" s="14"/>
      <c r="K612" s="15"/>
      <c r="L612" s="15"/>
      <c r="M612" s="4"/>
      <c r="N612" s="4"/>
      <c r="O612" s="4"/>
      <c r="P612" s="4"/>
    </row>
    <row r="613" spans="1:16" ht="14.5" x14ac:dyDescent="0.25">
      <c r="A613" s="18">
        <v>602</v>
      </c>
      <c r="B613" s="19">
        <v>70000256</v>
      </c>
      <c r="C613" s="19">
        <v>169575</v>
      </c>
      <c r="D613" t="s" s="10">
        <v>192</v>
      </c>
      <c r="E613" t="s" s="9">
        <v>195</v>
      </c>
      <c r="F613" t="s" s="3">
        <v>660</v>
      </c>
      <c r="G613" t="s" s="10">
        <v>177</v>
      </c>
      <c r="H613" s="25">
        <v>40669</v>
      </c>
      <c r="I613" s="9">
        <f ca="1" t="shared" si="9"/>
      </c>
      <c r="J613" s="14"/>
      <c r="K613" s="11"/>
      <c r="L613" s="11"/>
      <c r="M613" s="11"/>
      <c r="N613" s="103"/>
      <c r="O613" s="11"/>
      <c r="P613" s="11"/>
    </row>
    <row r="614" spans="1:16" ht="14.5" x14ac:dyDescent="0.25">
      <c r="A614" s="18">
        <v>603</v>
      </c>
      <c r="B614" s="19">
        <v>70000259</v>
      </c>
      <c r="C614" s="19">
        <v>169686</v>
      </c>
      <c r="D614" t="s" s="9">
        <v>722</v>
      </c>
      <c r="E614" t="s" s="9">
        <v>195</v>
      </c>
      <c r="F614" t="s" s="20">
        <v>55</v>
      </c>
      <c r="G614" t="s" s="10">
        <v>0</v>
      </c>
      <c r="H614" s="25">
        <v>35066</v>
      </c>
      <c r="I614" s="9">
        <f ca="1" t="shared" si="9"/>
      </c>
      <c r="J614" s="14">
        <v>1</v>
      </c>
      <c r="K614" s="15">
        <v>0</v>
      </c>
      <c r="L614" s="15">
        <v>2</v>
      </c>
      <c r="M614" s="13"/>
      <c r="N614" s="13"/>
      <c r="O614" s="13"/>
      <c r="P614" s="13"/>
    </row>
    <row r="615" spans="1:16" ht="14.5" x14ac:dyDescent="0.25">
      <c r="A615" s="18">
        <v>604</v>
      </c>
      <c r="B615" s="19">
        <v>70000259</v>
      </c>
      <c r="C615" s="19">
        <v>171806</v>
      </c>
      <c r="D615" t="s" s="9">
        <v>608</v>
      </c>
      <c r="E615" t="s" s="9">
        <v>198</v>
      </c>
      <c r="F615" t="s" s="20">
        <v>661</v>
      </c>
      <c r="G615" t="s" s="10">
        <v>0</v>
      </c>
      <c r="H615" s="25">
        <v>35867</v>
      </c>
      <c r="I615" s="9">
        <f ca="1" t="shared" si="9"/>
      </c>
      <c r="J615" s="14"/>
      <c r="K615" s="15"/>
      <c r="L615" s="15"/>
      <c r="M615" s="13"/>
      <c r="N615" s="13"/>
      <c r="O615" s="13"/>
      <c r="P615" s="13"/>
    </row>
    <row r="616" spans="1:16" ht="14.5" x14ac:dyDescent="0.25">
      <c r="A616" s="18">
        <v>605</v>
      </c>
      <c r="B616" s="19">
        <v>70000261</v>
      </c>
      <c r="C616" s="19">
        <v>170258</v>
      </c>
      <c r="D616" t="s" s="10">
        <v>722</v>
      </c>
      <c r="E616" t="s" s="9">
        <v>195</v>
      </c>
      <c r="F616" t="s" s="3">
        <v>37</v>
      </c>
      <c r="G616" t="s" s="10">
        <v>0</v>
      </c>
      <c r="H616" s="25">
        <v>32041</v>
      </c>
      <c r="I616" s="9">
        <f ca="1" t="shared" si="9"/>
      </c>
      <c r="J616" s="14">
        <v>1</v>
      </c>
      <c r="K616" s="15">
        <v>0</v>
      </c>
      <c r="L616" s="11">
        <v>2</v>
      </c>
      <c r="M616" s="13"/>
      <c r="N616" s="13"/>
      <c r="O616" s="13"/>
      <c r="P616" s="13"/>
    </row>
    <row r="617" spans="1:16" ht="14.5" x14ac:dyDescent="0.25">
      <c r="A617" s="18">
        <v>606</v>
      </c>
      <c r="B617" s="19">
        <v>70000261</v>
      </c>
      <c r="C617" s="19">
        <v>171860</v>
      </c>
      <c r="D617" t="s" s="10">
        <v>608</v>
      </c>
      <c r="E617" t="s" s="9">
        <v>198</v>
      </c>
      <c r="F617" t="s" s="3">
        <v>662</v>
      </c>
      <c r="G617" t="s" s="10">
        <v>0</v>
      </c>
      <c r="H617" s="25">
        <v>36639</v>
      </c>
      <c r="I617" s="9">
        <f ca="1" t="shared" si="9"/>
      </c>
      <c r="J617" s="14"/>
      <c r="K617" s="11"/>
      <c r="L617" s="11"/>
      <c r="M617" s="11"/>
      <c r="N617" s="103"/>
      <c r="O617" s="11"/>
      <c r="P617" s="11"/>
    </row>
    <row r="618" spans="1:16" ht="14.5" x14ac:dyDescent="0.25">
      <c r="A618" s="18">
        <v>607</v>
      </c>
      <c r="B618" s="19">
        <v>70000262</v>
      </c>
      <c r="C618" s="19">
        <v>170608</v>
      </c>
      <c r="D618" t="s" s="9">
        <v>722</v>
      </c>
      <c r="E618" t="s" s="9">
        <v>195</v>
      </c>
      <c r="F618" t="s" s="20">
        <v>56</v>
      </c>
      <c r="G618" t="s" s="10">
        <v>177</v>
      </c>
      <c r="H618" s="25">
        <v>32653</v>
      </c>
      <c r="I618" s="9">
        <f ca="1" t="shared" si="9"/>
      </c>
      <c r="J618" s="12">
        <v>1</v>
      </c>
      <c r="K618" s="13">
        <v>2</v>
      </c>
      <c r="L618" s="13">
        <v>4</v>
      </c>
      <c r="M618" s="13"/>
      <c r="N618" s="13"/>
      <c r="O618" s="13"/>
      <c r="P618" s="13"/>
    </row>
    <row r="619" spans="1:16" ht="14.5" x14ac:dyDescent="0.25">
      <c r="A619" s="18">
        <v>608</v>
      </c>
      <c r="B619" s="19">
        <v>70000262</v>
      </c>
      <c r="C619" s="19">
        <v>170609</v>
      </c>
      <c r="D619" t="s" s="9">
        <v>608</v>
      </c>
      <c r="E619" t="s" s="9">
        <v>198</v>
      </c>
      <c r="F619" t="s" s="20">
        <v>663</v>
      </c>
      <c r="G619" t="s" s="10">
        <v>177</v>
      </c>
      <c r="H619" s="25">
        <v>33405</v>
      </c>
      <c r="I619" s="9">
        <f ca="1" t="shared" si="9"/>
      </c>
      <c r="J619" s="12"/>
      <c r="K619" s="13"/>
      <c r="L619" s="13"/>
      <c r="M619" s="13"/>
      <c r="N619" s="13"/>
      <c r="O619" s="13"/>
      <c r="P619" s="13"/>
    </row>
    <row r="620" spans="1:16" ht="14.5" x14ac:dyDescent="0.25">
      <c r="A620" s="18">
        <v>609</v>
      </c>
      <c r="B620" s="19">
        <v>70000262</v>
      </c>
      <c r="C620" s="19">
        <v>170610</v>
      </c>
      <c r="D620" t="s" s="10">
        <v>192</v>
      </c>
      <c r="E620" t="s" s="9">
        <v>198</v>
      </c>
      <c r="F620" t="s" s="3">
        <v>664</v>
      </c>
      <c r="G620" t="s" s="10">
        <v>177</v>
      </c>
      <c r="H620" s="25">
        <v>44387</v>
      </c>
      <c r="I620" s="9">
        <f ca="1" t="shared" si="9"/>
      </c>
      <c r="J620" s="12"/>
      <c r="K620" s="13"/>
      <c r="L620" s="11"/>
      <c r="M620" s="13"/>
      <c r="N620" s="13"/>
      <c r="O620" s="13"/>
      <c r="P620" s="13"/>
    </row>
    <row r="621" spans="1:16" ht="14.5" x14ac:dyDescent="0.25">
      <c r="A621" s="18">
        <v>610</v>
      </c>
      <c r="B621" s="19">
        <v>70000262</v>
      </c>
      <c r="C621" s="19">
        <v>171696</v>
      </c>
      <c r="D621" t="s" s="10">
        <v>192</v>
      </c>
      <c r="E621" t="s" s="9">
        <v>198</v>
      </c>
      <c r="F621" t="s" s="3">
        <v>665</v>
      </c>
      <c r="G621" t="s" s="10">
        <v>177</v>
      </c>
      <c r="H621" s="25">
        <v>40102</v>
      </c>
      <c r="I621" s="9">
        <f ca="1" t="shared" si="9"/>
      </c>
      <c r="J621" s="12"/>
      <c r="K621" s="13"/>
      <c r="L621" s="11"/>
      <c r="M621" t="s" s="13">
        <v>321</v>
      </c>
      <c r="N621" s="13"/>
      <c r="O621" s="13"/>
      <c r="P621" s="13"/>
    </row>
    <row r="622" spans="1:16" ht="14.5" x14ac:dyDescent="0.25">
      <c r="A622" s="18">
        <v>611</v>
      </c>
      <c r="B622" s="19">
        <v>70000264</v>
      </c>
      <c r="C622" s="19">
        <v>170790</v>
      </c>
      <c r="D622" t="s" s="10">
        <v>722</v>
      </c>
      <c r="E622" t="s" s="9">
        <v>195</v>
      </c>
      <c r="F622" t="s" s="3">
        <v>133</v>
      </c>
      <c r="G622" t="s" s="10">
        <v>0</v>
      </c>
      <c r="H622" s="25">
        <v>35285</v>
      </c>
      <c r="I622" s="9">
        <f ca="1" t="shared" si="9"/>
      </c>
      <c r="J622" s="12">
        <v>1</v>
      </c>
      <c r="K622" s="13">
        <v>2</v>
      </c>
      <c r="L622" s="11">
        <v>4</v>
      </c>
      <c r="M622" s="13"/>
      <c r="N622" s="13"/>
      <c r="O622" s="13"/>
      <c r="P622" s="13"/>
    </row>
    <row r="623" spans="1:16" ht="14.5" x14ac:dyDescent="0.25">
      <c r="A623" s="18">
        <v>612</v>
      </c>
      <c r="B623" s="19">
        <v>70000264</v>
      </c>
      <c r="C623" s="19">
        <v>170791</v>
      </c>
      <c r="D623" t="s" s="10">
        <v>608</v>
      </c>
      <c r="E623" t="s" s="9">
        <v>198</v>
      </c>
      <c r="F623" t="s" s="3">
        <v>666</v>
      </c>
      <c r="G623" t="s" s="10">
        <v>0</v>
      </c>
      <c r="H623" s="25">
        <v>35450</v>
      </c>
      <c r="I623" s="9">
        <f ca="1" t="shared" si="9"/>
      </c>
      <c r="J623" s="12"/>
      <c r="K623" s="13"/>
      <c r="L623" s="11"/>
      <c r="M623" s="13"/>
      <c r="N623" s="13"/>
      <c r="O623" s="13"/>
      <c r="P623" s="13"/>
    </row>
    <row r="624" spans="1:16" ht="14.5" x14ac:dyDescent="0.25">
      <c r="A624" s="18">
        <v>613</v>
      </c>
      <c r="B624" s="19">
        <v>70000264</v>
      </c>
      <c r="C624" s="19">
        <v>170792</v>
      </c>
      <c r="D624" t="s" s="10">
        <v>192</v>
      </c>
      <c r="E624" t="s" s="9">
        <v>195</v>
      </c>
      <c r="F624" t="s" s="3">
        <v>667</v>
      </c>
      <c r="G624" t="s" s="10">
        <v>0</v>
      </c>
      <c r="H624" s="25">
        <v>45048</v>
      </c>
      <c r="I624" s="9">
        <f ca="1" t="shared" si="9"/>
      </c>
      <c r="J624" s="14"/>
      <c r="K624" s="11"/>
      <c r="L624" s="11"/>
      <c r="M624" s="11"/>
      <c r="N624" s="103"/>
      <c r="O624" s="11"/>
      <c r="P624" s="11"/>
    </row>
    <row r="625" spans="1:16" ht="14.5" x14ac:dyDescent="0.25">
      <c r="A625" s="18">
        <v>708</v>
      </c>
      <c r="B625" s="19">
        <v>70000264</v>
      </c>
      <c r="C625" s="19">
        <v>178022</v>
      </c>
      <c r="D625" t="s" s="9">
        <v>192</v>
      </c>
      <c r="E625" t="s" s="9">
        <v>198</v>
      </c>
      <c r="F625" t="s" s="20">
        <v>769</v>
      </c>
      <c r="G625" t="s" s="10">
        <v>0</v>
      </c>
      <c r="H625" s="25">
        <v>46190</v>
      </c>
      <c r="I625" s="9">
        <f ca="1" t="shared" si="9"/>
      </c>
      <c r="J625" s="12"/>
      <c r="K625" s="13"/>
      <c r="L625" s="13"/>
      <c r="M625" s="13"/>
      <c r="N625" t="s" s="13">
        <v>768</v>
      </c>
      <c r="O625" s="13"/>
      <c r="P625" s="13"/>
    </row>
    <row r="626" spans="1:16" ht="14.5" x14ac:dyDescent="0.25">
      <c r="A626" s="18">
        <v>614</v>
      </c>
      <c r="B626" s="19">
        <v>70000268</v>
      </c>
      <c r="C626" s="19">
        <v>171326</v>
      </c>
      <c r="D626" t="s" s="9">
        <v>722</v>
      </c>
      <c r="E626" t="s" s="9">
        <v>198</v>
      </c>
      <c r="F626" t="s" s="20">
        <v>57</v>
      </c>
      <c r="G626" t="s" s="10">
        <v>177</v>
      </c>
      <c r="H626" s="25">
        <v>36806</v>
      </c>
      <c r="I626" s="9">
        <f ca="1" t="shared" si="9"/>
      </c>
      <c r="J626" s="12">
        <v>0</v>
      </c>
      <c r="K626" s="13">
        <v>0</v>
      </c>
      <c r="L626" s="13">
        <v>1</v>
      </c>
      <c r="M626" s="13"/>
      <c r="N626" s="13"/>
      <c r="O626" s="13"/>
      <c r="P626" s="13"/>
    </row>
    <row r="627" spans="1:16" ht="14.5" x14ac:dyDescent="0.25">
      <c r="A627" s="18">
        <v>615</v>
      </c>
      <c r="B627" s="19">
        <v>70000266</v>
      </c>
      <c r="C627" s="19">
        <v>171363</v>
      </c>
      <c r="D627" t="s" s="9">
        <v>722</v>
      </c>
      <c r="E627" t="s" s="9">
        <v>195</v>
      </c>
      <c r="F627" t="s" s="20">
        <v>100</v>
      </c>
      <c r="G627" t="s" s="10">
        <v>0</v>
      </c>
      <c r="H627" s="25">
        <v>31578</v>
      </c>
      <c r="I627" s="9">
        <f ca="1" t="shared" si="9"/>
      </c>
      <c r="J627" s="12">
        <v>1</v>
      </c>
      <c r="K627" s="13">
        <v>1</v>
      </c>
      <c r="L627" s="13">
        <v>3</v>
      </c>
      <c r="M627" s="13"/>
      <c r="N627" s="13"/>
      <c r="O627" s="13"/>
      <c r="P627" s="13"/>
    </row>
    <row r="628" spans="1:16" ht="14.5" x14ac:dyDescent="0.25">
      <c r="A628" s="18">
        <v>616</v>
      </c>
      <c r="B628" s="19">
        <v>70000266</v>
      </c>
      <c r="C628" s="19">
        <v>171364</v>
      </c>
      <c r="D628" t="s" s="10">
        <v>608</v>
      </c>
      <c r="E628" t="s" s="9">
        <v>198</v>
      </c>
      <c r="F628" t="s" s="3">
        <v>668</v>
      </c>
      <c r="G628" t="s" s="10">
        <v>0</v>
      </c>
      <c r="H628" s="25">
        <v>32830</v>
      </c>
      <c r="I628" s="9">
        <f ca="1" t="shared" si="9"/>
      </c>
      <c r="J628" s="14"/>
      <c r="K628" s="15"/>
      <c r="L628" s="11"/>
      <c r="M628" s="13"/>
      <c r="N628" s="13"/>
      <c r="O628" s="13"/>
      <c r="P628" s="13"/>
    </row>
    <row r="629" spans="1:16" ht="14.5" x14ac:dyDescent="0.25">
      <c r="A629" s="18">
        <v>617</v>
      </c>
      <c r="B629" s="19">
        <v>70000266</v>
      </c>
      <c r="C629" s="19">
        <v>171365</v>
      </c>
      <c r="D629" t="s" s="10">
        <v>192</v>
      </c>
      <c r="E629" t="s" s="9">
        <v>195</v>
      </c>
      <c r="F629" t="s" s="3">
        <v>669</v>
      </c>
      <c r="G629" t="s" s="10">
        <v>0</v>
      </c>
      <c r="H629" s="25">
        <v>44802</v>
      </c>
      <c r="I629" s="9">
        <f ca="1" t="shared" si="9"/>
      </c>
      <c r="J629" s="14"/>
      <c r="K629" s="15"/>
      <c r="L629" s="11"/>
      <c r="M629" s="13"/>
      <c r="N629" s="13"/>
      <c r="O629" s="13"/>
      <c r="P629" s="13"/>
    </row>
    <row r="630" spans="1:16" ht="14.5" x14ac:dyDescent="0.25">
      <c r="A630" s="18">
        <v>618</v>
      </c>
      <c r="B630" s="19">
        <v>70000233</v>
      </c>
      <c r="C630" s="19">
        <v>171493</v>
      </c>
      <c r="D630" t="s" s="10">
        <v>722</v>
      </c>
      <c r="E630" t="s" s="9">
        <v>195</v>
      </c>
      <c r="F630" t="s" s="3">
        <v>99</v>
      </c>
      <c r="G630" t="s" s="10">
        <v>0</v>
      </c>
      <c r="H630" s="25">
        <v>34429</v>
      </c>
      <c r="I630" s="9">
        <f ca="1" t="shared" si="9"/>
      </c>
      <c r="J630" s="14">
        <v>0</v>
      </c>
      <c r="K630" s="15">
        <v>0</v>
      </c>
      <c r="L630" s="11">
        <v>1</v>
      </c>
      <c r="M630" s="13"/>
      <c r="N630" s="13"/>
      <c r="O630" s="13"/>
      <c r="P630" s="13"/>
    </row>
    <row r="631" spans="1:16" ht="14.5" x14ac:dyDescent="0.25">
      <c r="A631" s="18">
        <v>619</v>
      </c>
      <c r="B631" s="19">
        <v>70000232</v>
      </c>
      <c r="C631" s="19">
        <v>171494</v>
      </c>
      <c r="D631" t="s" s="10">
        <v>722</v>
      </c>
      <c r="E631" t="s" s="9">
        <v>195</v>
      </c>
      <c r="F631" t="s" s="3">
        <v>36</v>
      </c>
      <c r="G631" t="s" s="10">
        <v>0</v>
      </c>
      <c r="H631" s="25">
        <v>35114</v>
      </c>
      <c r="I631" s="9">
        <f ca="1" t="shared" si="9"/>
      </c>
      <c r="J631" s="14">
        <v>0</v>
      </c>
      <c r="K631" s="15">
        <v>0</v>
      </c>
      <c r="L631" s="11">
        <v>1</v>
      </c>
      <c r="M631" s="13"/>
      <c r="N631" s="13"/>
      <c r="O631" s="13"/>
      <c r="P631" s="13"/>
    </row>
    <row r="632" spans="1:16" ht="14.5" x14ac:dyDescent="0.25">
      <c r="A632" s="18">
        <v>621</v>
      </c>
      <c r="B632" s="19">
        <v>70000270</v>
      </c>
      <c r="C632" s="19">
        <v>171498</v>
      </c>
      <c r="D632" t="s" s="10">
        <v>722</v>
      </c>
      <c r="E632" t="s" s="9">
        <v>195</v>
      </c>
      <c r="F632" t="s" s="3">
        <v>58</v>
      </c>
      <c r="G632" t="s" s="10">
        <v>0</v>
      </c>
      <c r="H632" s="25">
        <v>36498</v>
      </c>
      <c r="I632" s="9">
        <f ca="1" t="shared" si="9"/>
      </c>
      <c r="J632" s="14">
        <v>0</v>
      </c>
      <c r="K632" s="15">
        <v>0</v>
      </c>
      <c r="L632" s="11">
        <v>1</v>
      </c>
      <c r="M632" s="13"/>
      <c r="N632" s="13"/>
      <c r="O632" s="13"/>
      <c r="P632" s="13"/>
    </row>
    <row r="633" spans="1:16" ht="14.5" x14ac:dyDescent="0.25">
      <c r="A633" s="18">
        <v>622</v>
      </c>
      <c r="B633" s="19">
        <v>70000275</v>
      </c>
      <c r="C633" s="19">
        <v>171499</v>
      </c>
      <c r="D633" t="s" s="10">
        <v>722</v>
      </c>
      <c r="E633" t="s" s="9">
        <v>195</v>
      </c>
      <c r="F633" t="s" s="3">
        <v>77</v>
      </c>
      <c r="G633" t="s" s="10">
        <v>0</v>
      </c>
      <c r="H633" s="25">
        <v>34268</v>
      </c>
      <c r="I633" s="9">
        <f ca="1" t="shared" si="9"/>
      </c>
      <c r="J633" s="14">
        <v>1</v>
      </c>
      <c r="K633" s="15">
        <v>2</v>
      </c>
      <c r="L633" s="11">
        <v>4</v>
      </c>
      <c r="M633" s="13"/>
      <c r="N633" s="13"/>
      <c r="O633" s="13"/>
      <c r="P633" s="13"/>
    </row>
    <row r="634" spans="1:16" ht="14.5" x14ac:dyDescent="0.25">
      <c r="A634" s="18">
        <v>623</v>
      </c>
      <c r="B634" s="19">
        <v>70000275</v>
      </c>
      <c r="C634" s="19">
        <v>171523</v>
      </c>
      <c r="D634" t="s" s="10">
        <v>608</v>
      </c>
      <c r="E634" t="s" s="9">
        <v>198</v>
      </c>
      <c r="F634" t="s" s="3">
        <v>670</v>
      </c>
      <c r="G634" t="s" s="10">
        <v>0</v>
      </c>
      <c r="H634" s="25">
        <v>35488</v>
      </c>
      <c r="I634" s="9">
        <f ca="1" t="shared" si="9"/>
      </c>
      <c r="J634" s="14"/>
      <c r="K634" s="15"/>
      <c r="L634" s="11"/>
      <c r="M634" s="13"/>
      <c r="N634" s="13"/>
      <c r="O634" s="13"/>
      <c r="P634" s="13"/>
    </row>
    <row r="635" spans="1:16" ht="14.5" x14ac:dyDescent="0.25">
      <c r="A635" s="18">
        <v>624</v>
      </c>
      <c r="B635" s="19">
        <v>70000275</v>
      </c>
      <c r="C635" s="19">
        <v>171524</v>
      </c>
      <c r="D635" t="s" s="10">
        <v>192</v>
      </c>
      <c r="E635" t="s" s="9">
        <v>195</v>
      </c>
      <c r="F635" t="s" s="3">
        <v>671</v>
      </c>
      <c r="G635" t="s" s="10">
        <v>0</v>
      </c>
      <c r="H635" s="25">
        <v>45113</v>
      </c>
      <c r="I635" s="9">
        <f ca="1" t="shared" si="9"/>
      </c>
      <c r="J635" s="14"/>
      <c r="K635" s="11"/>
      <c r="L635" s="11"/>
      <c r="M635" s="11"/>
      <c r="N635" s="103"/>
      <c r="O635" s="11"/>
      <c r="P635" s="11"/>
    </row>
    <row r="636" spans="1:16" ht="14.5" x14ac:dyDescent="0.25">
      <c r="A636" s="18">
        <v>625</v>
      </c>
      <c r="B636" s="19">
        <v>70000275</v>
      </c>
      <c r="C636" s="19">
        <v>175006</v>
      </c>
      <c r="D636" t="s" s="9">
        <v>192</v>
      </c>
      <c r="E636" t="s" s="9">
        <v>198</v>
      </c>
      <c r="F636" t="s" s="20">
        <v>672</v>
      </c>
      <c r="G636" t="s" s="10">
        <v>0</v>
      </c>
      <c r="H636" s="25">
        <v>45812</v>
      </c>
      <c r="I636" s="9">
        <f ca="1" t="shared" si="9"/>
      </c>
      <c r="J636" s="12"/>
      <c r="K636" s="13"/>
      <c r="L636" s="13"/>
      <c r="M636" s="13"/>
      <c r="N636" s="13"/>
      <c r="O636" s="13"/>
      <c r="P636" s="13"/>
    </row>
    <row r="637" spans="1:16" ht="14.5" x14ac:dyDescent="0.25">
      <c r="A637" s="18">
        <v>626</v>
      </c>
      <c r="B637" s="19">
        <v>70000276</v>
      </c>
      <c r="C637" s="19">
        <v>171522</v>
      </c>
      <c r="D637" t="s" s="9">
        <v>722</v>
      </c>
      <c r="E637" t="s" s="9">
        <v>195</v>
      </c>
      <c r="F637" t="s" s="20">
        <v>145</v>
      </c>
      <c r="G637" t="s" s="10">
        <v>0</v>
      </c>
      <c r="H637" s="25">
        <v>35765</v>
      </c>
      <c r="I637" s="9">
        <f ca="1" t="shared" si="9"/>
      </c>
      <c r="J637" s="12">
        <v>0</v>
      </c>
      <c r="K637" s="13">
        <v>0</v>
      </c>
      <c r="L637" s="13">
        <v>1</v>
      </c>
      <c r="M637" s="13"/>
      <c r="N637" s="13"/>
      <c r="O637" s="13"/>
      <c r="P637" s="13"/>
    </row>
    <row r="638" spans="1:16" ht="14.5" x14ac:dyDescent="0.25">
      <c r="A638" s="18">
        <v>627</v>
      </c>
      <c r="B638" s="19">
        <v>70000269</v>
      </c>
      <c r="C638" s="19">
        <v>171526</v>
      </c>
      <c r="D638" t="s" s="9">
        <v>722</v>
      </c>
      <c r="E638" t="s" s="9">
        <v>198</v>
      </c>
      <c r="F638" t="s" s="20">
        <v>72</v>
      </c>
      <c r="G638" t="s" s="10">
        <v>177</v>
      </c>
      <c r="H638" s="25">
        <v>36150</v>
      </c>
      <c r="I638" s="9">
        <f ca="1" t="shared" si="9"/>
      </c>
      <c r="J638" s="12">
        <v>0</v>
      </c>
      <c r="K638" s="13">
        <v>0</v>
      </c>
      <c r="L638" s="13">
        <v>1</v>
      </c>
      <c r="M638" s="13"/>
      <c r="N638" s="13"/>
      <c r="O638" s="13"/>
      <c r="P638" s="13"/>
    </row>
    <row r="639" spans="1:16" ht="14.5" x14ac:dyDescent="0.25">
      <c r="A639" s="18">
        <v>628</v>
      </c>
      <c r="B639" s="19">
        <v>70000274</v>
      </c>
      <c r="C639" s="19">
        <v>171527</v>
      </c>
      <c r="D639" t="s" s="10">
        <v>722</v>
      </c>
      <c r="E639" t="s" s="9">
        <v>195</v>
      </c>
      <c r="F639" t="s" s="3">
        <v>59</v>
      </c>
      <c r="G639" t="s" s="10">
        <v>177</v>
      </c>
      <c r="H639" s="25">
        <v>36231</v>
      </c>
      <c r="I639" s="9">
        <f ca="1" t="shared" si="9"/>
      </c>
      <c r="J639" s="14">
        <v>0</v>
      </c>
      <c r="K639" s="15">
        <v>0</v>
      </c>
      <c r="L639" s="11">
        <v>1</v>
      </c>
      <c r="M639" s="15"/>
      <c r="N639" s="13"/>
      <c r="O639" s="15"/>
      <c r="P639" s="15"/>
    </row>
    <row r="640" spans="1:16" ht="14.5" x14ac:dyDescent="0.25">
      <c r="A640" s="18">
        <v>629</v>
      </c>
      <c r="B640" s="19">
        <v>70000291</v>
      </c>
      <c r="C640" s="19">
        <v>171743</v>
      </c>
      <c r="D640" t="s" s="10">
        <v>722</v>
      </c>
      <c r="E640" t="s" s="9">
        <v>195</v>
      </c>
      <c r="F640" t="s" s="3">
        <v>88</v>
      </c>
      <c r="G640" t="s" s="10">
        <v>177</v>
      </c>
      <c r="H640" s="25">
        <v>30476</v>
      </c>
      <c r="I640" s="9">
        <f ca="1" t="shared" si="9"/>
      </c>
      <c r="J640" s="14">
        <v>0</v>
      </c>
      <c r="K640" s="11">
        <v>0</v>
      </c>
      <c r="L640" s="11">
        <v>1</v>
      </c>
      <c r="M640" s="11"/>
      <c r="N640" s="103"/>
      <c r="O640" s="11"/>
      <c r="P640" s="11"/>
    </row>
    <row r="641" spans="1:16" ht="14.5" x14ac:dyDescent="0.25">
      <c r="A641" s="18">
        <v>630</v>
      </c>
      <c r="B641" s="19">
        <v>70000278</v>
      </c>
      <c r="C641" s="19">
        <v>171841</v>
      </c>
      <c r="D641" t="s" s="9">
        <v>722</v>
      </c>
      <c r="E641" t="s" s="9">
        <v>195</v>
      </c>
      <c r="F641" t="s" s="20">
        <v>10</v>
      </c>
      <c r="G641" t="s" s="10">
        <v>177</v>
      </c>
      <c r="H641" s="25">
        <v>34844</v>
      </c>
      <c r="I641" s="9">
        <f ca="1" t="shared" si="9"/>
      </c>
      <c r="J641" s="14">
        <v>0</v>
      </c>
      <c r="K641" s="15">
        <v>0</v>
      </c>
      <c r="L641" s="15">
        <v>1</v>
      </c>
      <c r="M641" s="15"/>
      <c r="N641" s="13"/>
      <c r="O641" s="15"/>
      <c r="P641" s="15"/>
    </row>
    <row r="642" spans="1:16" ht="14.5" x14ac:dyDescent="0.25">
      <c r="A642" s="18">
        <v>631</v>
      </c>
      <c r="B642" s="19">
        <v>70000279</v>
      </c>
      <c r="C642" s="19">
        <v>171861</v>
      </c>
      <c r="D642" t="s" s="9">
        <v>722</v>
      </c>
      <c r="E642" t="s" s="9">
        <v>198</v>
      </c>
      <c r="F642" t="s" s="20">
        <v>78</v>
      </c>
      <c r="G642" t="s" s="10">
        <v>177</v>
      </c>
      <c r="H642" s="25">
        <v>34439</v>
      </c>
      <c r="I642" s="9">
        <f ca="1" t="shared" si="9"/>
      </c>
      <c r="J642" s="14">
        <v>0</v>
      </c>
      <c r="K642" s="15">
        <v>0</v>
      </c>
      <c r="L642" s="15">
        <v>1</v>
      </c>
      <c r="M642" s="15"/>
      <c r="N642" s="13"/>
      <c r="O642" s="15"/>
      <c r="P642" s="15"/>
    </row>
    <row r="643" spans="1:16" ht="14.5" x14ac:dyDescent="0.25">
      <c r="A643" s="18">
        <v>632</v>
      </c>
      <c r="B643" s="19">
        <v>70000280</v>
      </c>
      <c r="C643" s="19">
        <v>172116</v>
      </c>
      <c r="D643" t="s" s="10">
        <v>722</v>
      </c>
      <c r="E643" t="s" s="9">
        <v>195</v>
      </c>
      <c r="F643" t="s" s="3">
        <v>38</v>
      </c>
      <c r="G643" t="s" s="10">
        <v>0</v>
      </c>
      <c r="H643" s="25">
        <v>34128</v>
      </c>
      <c r="I643" s="9">
        <f ca="1" t="shared" ref="I643:I706" si="10">DATEDIF(H643,TODAY(),"Y")</f>
      </c>
      <c r="J643" s="14">
        <v>0</v>
      </c>
      <c r="K643" s="15">
        <v>0</v>
      </c>
      <c r="L643" s="11">
        <v>1</v>
      </c>
      <c r="M643" s="15"/>
      <c r="N643" s="13"/>
      <c r="O643" s="15"/>
      <c r="P643" s="15"/>
    </row>
    <row r="644" spans="1:16" ht="14.5" x14ac:dyDescent="0.25">
      <c r="A644" s="18">
        <v>633</v>
      </c>
      <c r="B644" s="19">
        <v>70000281</v>
      </c>
      <c r="C644" s="19">
        <v>172627</v>
      </c>
      <c r="D644" t="s" s="10">
        <v>722</v>
      </c>
      <c r="E644" t="s" s="9">
        <v>195</v>
      </c>
      <c r="F644" t="s" s="3">
        <v>39</v>
      </c>
      <c r="G644" t="s" s="10">
        <v>0</v>
      </c>
      <c r="H644" s="25">
        <v>30463</v>
      </c>
      <c r="I644" s="9">
        <f ca="1" t="shared" si="10"/>
      </c>
      <c r="J644" s="14">
        <v>1</v>
      </c>
      <c r="K644" s="11">
        <v>2</v>
      </c>
      <c r="L644" s="11">
        <v>4</v>
      </c>
      <c r="M644" s="11"/>
      <c r="N644" s="103"/>
      <c r="O644" s="11"/>
      <c r="P644" s="11"/>
    </row>
    <row r="645" spans="1:16" ht="14.5" x14ac:dyDescent="0.25">
      <c r="A645" s="18">
        <v>634</v>
      </c>
      <c r="B645" s="19">
        <v>70000281</v>
      </c>
      <c r="C645" s="19">
        <v>175019</v>
      </c>
      <c r="D645" t="s" s="9">
        <v>608</v>
      </c>
      <c r="E645" t="s" s="9">
        <v>198</v>
      </c>
      <c r="F645" t="s" s="20">
        <v>673</v>
      </c>
      <c r="G645" t="s" s="10">
        <v>0</v>
      </c>
      <c r="H645" s="25">
        <v>31260</v>
      </c>
      <c r="I645" s="9">
        <f ca="1" t="shared" si="10"/>
      </c>
      <c r="J645" s="14"/>
      <c r="K645" s="15"/>
      <c r="L645" s="15"/>
      <c r="M645" s="15"/>
      <c r="N645" s="13"/>
      <c r="O645" s="15"/>
      <c r="P645" s="15"/>
    </row>
    <row r="646" spans="1:16" ht="14.5" x14ac:dyDescent="0.25">
      <c r="A646" s="18">
        <v>635</v>
      </c>
      <c r="B646" s="19">
        <v>70000281</v>
      </c>
      <c r="C646" s="19">
        <v>175020</v>
      </c>
      <c r="D646" t="s" s="9">
        <v>192</v>
      </c>
      <c r="E646" t="s" s="9">
        <v>198</v>
      </c>
      <c r="F646" t="s" s="20">
        <v>674</v>
      </c>
      <c r="G646" t="s" s="10">
        <v>0</v>
      </c>
      <c r="H646" s="25">
        <v>42313</v>
      </c>
      <c r="I646" s="9">
        <f ca="1" t="shared" si="10"/>
      </c>
      <c r="J646" s="14"/>
      <c r="K646" s="15"/>
      <c r="L646" s="15"/>
      <c r="M646" s="15"/>
      <c r="N646" s="13"/>
      <c r="O646" s="15"/>
      <c r="P646" s="15"/>
    </row>
    <row r="647" spans="1:16" ht="14.5" x14ac:dyDescent="0.25">
      <c r="A647" s="18">
        <v>636</v>
      </c>
      <c r="B647" s="19">
        <v>70000281</v>
      </c>
      <c r="C647" s="19">
        <v>175021</v>
      </c>
      <c r="D647" t="s" s="9">
        <v>192</v>
      </c>
      <c r="E647" t="s" s="9">
        <v>195</v>
      </c>
      <c r="F647" t="s" s="20">
        <v>675</v>
      </c>
      <c r="G647" t="s" s="10">
        <v>0</v>
      </c>
      <c r="H647" s="25">
        <v>45532</v>
      </c>
      <c r="I647" s="9">
        <f ca="1" t="shared" si="10"/>
      </c>
      <c r="J647" s="14"/>
      <c r="K647" s="15"/>
      <c r="L647" s="15"/>
      <c r="M647" s="15"/>
      <c r="N647" s="13"/>
      <c r="O647" s="15"/>
      <c r="P647" s="15"/>
    </row>
    <row r="648" spans="1:16" ht="14.5" x14ac:dyDescent="0.25">
      <c r="A648" s="18">
        <v>637</v>
      </c>
      <c r="B648" s="19">
        <v>70000284</v>
      </c>
      <c r="C648" s="19">
        <v>172641</v>
      </c>
      <c r="D648" t="s" s="9">
        <v>722</v>
      </c>
      <c r="E648" t="s" s="9">
        <v>195</v>
      </c>
      <c r="F648" t="s" s="20">
        <v>41</v>
      </c>
      <c r="G648" t="s" s="10">
        <v>0</v>
      </c>
      <c r="H648" s="25">
        <v>37476</v>
      </c>
      <c r="I648" s="9">
        <f ca="1" t="shared" si="10"/>
      </c>
      <c r="J648" s="14">
        <v>0</v>
      </c>
      <c r="K648" s="15">
        <v>0</v>
      </c>
      <c r="L648" s="15">
        <v>1</v>
      </c>
      <c r="M648" s="15"/>
      <c r="N648" s="13"/>
      <c r="O648" s="15"/>
      <c r="P648" s="15"/>
    </row>
    <row r="649" spans="1:16" ht="14.5" x14ac:dyDescent="0.25">
      <c r="A649" s="18">
        <v>638</v>
      </c>
      <c r="B649" s="19">
        <v>70000283</v>
      </c>
      <c r="C649" s="19">
        <v>172645</v>
      </c>
      <c r="D649" t="s" s="9">
        <v>722</v>
      </c>
      <c r="E649" t="s" s="9">
        <v>195</v>
      </c>
      <c r="F649" t="s" s="20">
        <v>40</v>
      </c>
      <c r="G649" t="s" s="10">
        <v>0</v>
      </c>
      <c r="H649" s="25">
        <v>34339</v>
      </c>
      <c r="I649" s="9">
        <f ca="1" t="shared" si="10"/>
      </c>
      <c r="J649" s="14">
        <v>0</v>
      </c>
      <c r="K649" s="15">
        <v>2</v>
      </c>
      <c r="L649" s="15">
        <v>3</v>
      </c>
      <c r="M649" s="15"/>
      <c r="N649" s="13"/>
      <c r="O649" s="15"/>
      <c r="P649" s="15"/>
    </row>
    <row r="650" spans="1:16" ht="14.5" x14ac:dyDescent="0.25">
      <c r="A650" s="18">
        <v>639</v>
      </c>
      <c r="B650" s="19">
        <v>70000283</v>
      </c>
      <c r="C650" s="19">
        <v>172771</v>
      </c>
      <c r="D650" t="s" s="10">
        <v>192</v>
      </c>
      <c r="E650" t="s" s="9">
        <v>195</v>
      </c>
      <c r="F650" t="s" s="3">
        <v>676</v>
      </c>
      <c r="G650" t="s" s="10">
        <v>0</v>
      </c>
      <c r="H650" s="25">
        <v>41981</v>
      </c>
      <c r="I650" s="9">
        <f ca="1" t="shared" si="10"/>
      </c>
      <c r="J650" s="14"/>
      <c r="K650" s="11"/>
      <c r="L650" s="11"/>
      <c r="M650" s="11"/>
      <c r="N650" s="103"/>
      <c r="O650" s="11"/>
      <c r="P650" s="11"/>
    </row>
    <row r="651" spans="1:16" ht="14.5" x14ac:dyDescent="0.25">
      <c r="A651" s="18">
        <v>640</v>
      </c>
      <c r="B651" s="19">
        <v>70000283</v>
      </c>
      <c r="C651" s="19">
        <v>164235</v>
      </c>
      <c r="D651" t="s" s="9">
        <v>192</v>
      </c>
      <c r="E651" t="s" s="9">
        <v>198</v>
      </c>
      <c r="F651" t="s" s="20">
        <v>437</v>
      </c>
      <c r="G651" t="s" s="10">
        <v>0</v>
      </c>
      <c r="H651" s="25">
        <v>41269</v>
      </c>
      <c r="I651" s="9">
        <f ca="1" t="shared" si="10"/>
      </c>
      <c r="J651" s="14"/>
      <c r="K651" s="15"/>
      <c r="L651" s="15"/>
      <c r="M651" s="15"/>
      <c r="N651" s="13"/>
      <c r="O651" s="15"/>
      <c r="P651" s="15"/>
    </row>
    <row r="652" spans="1:16" ht="14.5" x14ac:dyDescent="0.25">
      <c r="A652" s="18">
        <v>641</v>
      </c>
      <c r="B652" s="19">
        <v>70000285</v>
      </c>
      <c r="C652" s="19">
        <v>172817</v>
      </c>
      <c r="D652" t="s" s="9">
        <v>722</v>
      </c>
      <c r="E652" t="s" s="9">
        <v>198</v>
      </c>
      <c r="F652" t="s" s="20">
        <v>166</v>
      </c>
      <c r="G652" t="s" s="10">
        <v>177</v>
      </c>
      <c r="H652" s="25">
        <v>36193</v>
      </c>
      <c r="I652" s="9">
        <f ca="1" t="shared" si="10"/>
      </c>
      <c r="J652" s="14">
        <v>0</v>
      </c>
      <c r="K652" s="15">
        <v>0</v>
      </c>
      <c r="L652" s="15">
        <v>1</v>
      </c>
      <c r="M652" s="15"/>
      <c r="N652" s="13"/>
      <c r="O652" s="15"/>
      <c r="P652" s="15"/>
    </row>
    <row r="653" spans="1:16" ht="14.5" x14ac:dyDescent="0.25">
      <c r="A653" s="18">
        <v>642</v>
      </c>
      <c r="B653" s="19">
        <v>70000286</v>
      </c>
      <c r="C653" s="19">
        <v>172833</v>
      </c>
      <c r="D653" t="s" s="9">
        <v>722</v>
      </c>
      <c r="E653" t="s" s="9">
        <v>195</v>
      </c>
      <c r="F653" t="s" s="20">
        <v>167</v>
      </c>
      <c r="G653" t="s" s="10">
        <v>177</v>
      </c>
      <c r="H653" s="25">
        <v>30946</v>
      </c>
      <c r="I653" s="9">
        <f ca="1" t="shared" si="10"/>
      </c>
      <c r="J653" s="14">
        <v>1</v>
      </c>
      <c r="K653" s="15">
        <v>4</v>
      </c>
      <c r="L653" s="15">
        <v>6</v>
      </c>
      <c r="M653" s="15"/>
      <c r="N653" s="13"/>
      <c r="O653" s="15"/>
      <c r="P653" s="15"/>
    </row>
    <row r="654" spans="1:16" ht="14.5" x14ac:dyDescent="0.25">
      <c r="A654" s="18">
        <v>643</v>
      </c>
      <c r="B654" s="19">
        <v>70000286</v>
      </c>
      <c r="C654" s="19">
        <v>172834</v>
      </c>
      <c r="D654" t="s" s="10">
        <v>608</v>
      </c>
      <c r="E654" t="s" s="9">
        <v>198</v>
      </c>
      <c r="F654" t="s" s="3">
        <v>677</v>
      </c>
      <c r="G654" t="s" s="10">
        <v>177</v>
      </c>
      <c r="H654" s="25">
        <v>33370</v>
      </c>
      <c r="I654" s="9">
        <f ca="1" t="shared" si="10"/>
      </c>
      <c r="J654" s="14"/>
      <c r="K654" s="11"/>
      <c r="L654" s="11"/>
      <c r="M654" s="11"/>
      <c r="N654" s="103"/>
      <c r="O654" s="11"/>
      <c r="P654" s="11"/>
    </row>
    <row r="655" spans="1:16" ht="14.5" x14ac:dyDescent="0.25">
      <c r="A655" s="18">
        <v>644</v>
      </c>
      <c r="B655" s="19">
        <v>70000286</v>
      </c>
      <c r="C655" s="19">
        <v>172835</v>
      </c>
      <c r="D655" t="s" s="9">
        <v>192</v>
      </c>
      <c r="E655" t="s" s="9">
        <v>198</v>
      </c>
      <c r="F655" t="s" s="20">
        <v>678</v>
      </c>
      <c r="G655" t="s" s="10">
        <v>177</v>
      </c>
      <c r="H655" s="25">
        <v>42498</v>
      </c>
      <c r="I655" s="9">
        <f ca="1" t="shared" si="10"/>
      </c>
      <c r="J655" s="14"/>
      <c r="K655" s="15"/>
      <c r="L655" s="15"/>
      <c r="M655" s="15"/>
      <c r="N655" s="13"/>
      <c r="O655" s="15"/>
      <c r="P655" s="15"/>
    </row>
    <row r="656" spans="1:16" ht="14.5" x14ac:dyDescent="0.25">
      <c r="A656" s="18">
        <v>645</v>
      </c>
      <c r="B656" s="19">
        <v>70000286</v>
      </c>
      <c r="C656" s="19">
        <v>172836</v>
      </c>
      <c r="D656" t="s" s="9">
        <v>192</v>
      </c>
      <c r="E656" t="s" s="9">
        <v>195</v>
      </c>
      <c r="F656" t="s" s="20">
        <v>679</v>
      </c>
      <c r="G656" t="s" s="10">
        <v>177</v>
      </c>
      <c r="H656" s="25">
        <v>43010</v>
      </c>
      <c r="I656" s="9">
        <f ca="1" t="shared" si="10"/>
      </c>
      <c r="J656" s="14"/>
      <c r="K656" s="15"/>
      <c r="L656" s="15"/>
      <c r="M656" s="15"/>
      <c r="N656" s="13"/>
      <c r="O656" s="15"/>
      <c r="P656" s="15"/>
    </row>
    <row r="657" spans="1:16" ht="14.5" x14ac:dyDescent="0.25">
      <c r="A657" s="18">
        <v>646</v>
      </c>
      <c r="B657" s="19">
        <v>70000286</v>
      </c>
      <c r="C657" s="19">
        <v>172837</v>
      </c>
      <c r="D657" t="s" s="10">
        <v>192</v>
      </c>
      <c r="E657" t="s" s="9">
        <v>198</v>
      </c>
      <c r="F657" t="s" s="3">
        <v>680</v>
      </c>
      <c r="G657" t="s" s="10">
        <v>177</v>
      </c>
      <c r="H657" s="25">
        <v>43488</v>
      </c>
      <c r="I657" s="9">
        <f ca="1" t="shared" si="10"/>
      </c>
      <c r="J657" s="14"/>
      <c r="K657" s="11"/>
      <c r="L657" s="11"/>
      <c r="M657" s="11"/>
      <c r="N657" s="103"/>
      <c r="O657" s="11"/>
      <c r="P657" s="11"/>
    </row>
    <row r="658" spans="1:16" ht="14.5" x14ac:dyDescent="0.25">
      <c r="A658" s="18">
        <v>647</v>
      </c>
      <c r="B658" s="19">
        <v>70000286</v>
      </c>
      <c r="C658" s="19">
        <v>172838</v>
      </c>
      <c r="D658" t="s" s="9">
        <v>192</v>
      </c>
      <c r="E658" t="s" s="9">
        <v>195</v>
      </c>
      <c r="F658" t="s" s="20">
        <v>681</v>
      </c>
      <c r="G658" t="s" s="10">
        <v>177</v>
      </c>
      <c r="H658" s="25">
        <v>45642</v>
      </c>
      <c r="I658" s="9">
        <f ca="1" t="shared" si="10"/>
      </c>
      <c r="J658" s="14"/>
      <c r="K658" s="15"/>
      <c r="L658" s="15"/>
      <c r="M658" s="15"/>
      <c r="N658" s="13"/>
      <c r="O658" s="15"/>
      <c r="P658" s="15"/>
    </row>
    <row r="659" spans="1:16" ht="14.5" x14ac:dyDescent="0.25">
      <c r="A659" s="18">
        <v>648</v>
      </c>
      <c r="B659" s="19">
        <v>70000287</v>
      </c>
      <c r="C659" s="19">
        <v>172864</v>
      </c>
      <c r="D659" t="s" s="9">
        <v>722</v>
      </c>
      <c r="E659" t="s" s="9">
        <v>195</v>
      </c>
      <c r="F659" t="s" s="20">
        <v>168</v>
      </c>
      <c r="G659" t="s" s="10">
        <v>177</v>
      </c>
      <c r="H659" s="25">
        <v>33031</v>
      </c>
      <c r="I659" s="9">
        <f ca="1" t="shared" si="10"/>
      </c>
      <c r="J659" s="14">
        <v>1</v>
      </c>
      <c r="K659" s="15">
        <v>2</v>
      </c>
      <c r="L659" s="15">
        <v>4</v>
      </c>
      <c r="M659" s="15"/>
      <c r="N659" s="13"/>
      <c r="O659" s="15"/>
      <c r="P659" s="15"/>
    </row>
    <row r="660" spans="1:16" ht="14.5" x14ac:dyDescent="0.25">
      <c r="A660" s="18">
        <v>649</v>
      </c>
      <c r="B660" s="19">
        <v>70000287</v>
      </c>
      <c r="C660" s="19">
        <v>172865</v>
      </c>
      <c r="D660" t="s" s="9">
        <v>192</v>
      </c>
      <c r="E660" t="s" s="9">
        <v>195</v>
      </c>
      <c r="F660" t="s" s="20">
        <v>682</v>
      </c>
      <c r="G660" t="s" s="10">
        <v>177</v>
      </c>
      <c r="H660" s="25">
        <v>43261</v>
      </c>
      <c r="I660" s="9">
        <f ca="1" t="shared" si="10"/>
      </c>
      <c r="J660" s="14"/>
      <c r="K660" s="15"/>
      <c r="L660" s="15"/>
      <c r="M660" s="15"/>
      <c r="N660" s="13"/>
      <c r="O660" s="15"/>
      <c r="P660" s="15"/>
    </row>
    <row r="661" spans="1:16" ht="14.5" x14ac:dyDescent="0.25">
      <c r="A661" s="18">
        <v>650</v>
      </c>
      <c r="B661" s="19">
        <v>70000287</v>
      </c>
      <c r="C661" s="19">
        <v>173208</v>
      </c>
      <c r="D661" t="s" s="10">
        <v>608</v>
      </c>
      <c r="E661" t="s" s="9">
        <v>198</v>
      </c>
      <c r="F661" t="s" s="3">
        <v>683</v>
      </c>
      <c r="G661" t="s" s="10">
        <v>177</v>
      </c>
      <c r="H661" s="25">
        <v>34007</v>
      </c>
      <c r="I661" s="9">
        <f ca="1" t="shared" si="10"/>
      </c>
      <c r="J661" s="14"/>
      <c r="K661" s="15"/>
      <c r="L661" s="11"/>
      <c r="M661" s="15"/>
      <c r="N661" s="13"/>
      <c r="O661" s="15"/>
      <c r="P661" s="15"/>
    </row>
    <row r="662" spans="1:16" ht="14.5" x14ac:dyDescent="0.25">
      <c r="A662" s="18">
        <v>651</v>
      </c>
      <c r="B662" s="19">
        <v>70000287</v>
      </c>
      <c r="C662" s="19">
        <v>173209</v>
      </c>
      <c r="D662" t="s" s="10">
        <v>192</v>
      </c>
      <c r="E662" t="s" s="9">
        <v>198</v>
      </c>
      <c r="F662" t="s" s="3">
        <v>684</v>
      </c>
      <c r="G662" t="s" s="10">
        <v>177</v>
      </c>
      <c r="H662" s="25">
        <v>44702</v>
      </c>
      <c r="I662" s="9">
        <f ca="1" t="shared" si="10"/>
      </c>
      <c r="J662" s="14"/>
      <c r="K662" s="11"/>
      <c r="L662" s="11"/>
      <c r="M662" s="11"/>
      <c r="N662" s="103"/>
      <c r="O662" s="11"/>
      <c r="P662" s="11"/>
    </row>
    <row r="663" spans="1:16" ht="14.5" x14ac:dyDescent="0.25">
      <c r="A663" s="18">
        <v>652</v>
      </c>
      <c r="B663" s="19">
        <v>70000288</v>
      </c>
      <c r="C663" s="19">
        <v>172866</v>
      </c>
      <c r="D663" t="s" s="9">
        <v>722</v>
      </c>
      <c r="E663" t="s" s="9">
        <v>195</v>
      </c>
      <c r="F663" t="s" s="20">
        <v>169</v>
      </c>
      <c r="G663" t="s" s="10">
        <v>177</v>
      </c>
      <c r="H663" s="25">
        <v>33290</v>
      </c>
      <c r="I663" s="9">
        <f ca="1" t="shared" si="10"/>
      </c>
      <c r="J663" s="14">
        <v>1</v>
      </c>
      <c r="K663" s="15">
        <v>1</v>
      </c>
      <c r="L663" s="15">
        <v>3</v>
      </c>
      <c r="M663" s="15"/>
      <c r="N663" s="13"/>
      <c r="O663" s="15"/>
      <c r="P663" s="15"/>
    </row>
    <row r="664" spans="1:16" ht="14.5" x14ac:dyDescent="0.25">
      <c r="A664" s="18">
        <v>653</v>
      </c>
      <c r="B664" s="19">
        <v>70000288</v>
      </c>
      <c r="C664" s="19">
        <v>172867</v>
      </c>
      <c r="D664" t="s" s="9">
        <v>608</v>
      </c>
      <c r="E664" t="s" s="9">
        <v>198</v>
      </c>
      <c r="F664" t="s" s="20">
        <v>685</v>
      </c>
      <c r="G664" t="s" s="10">
        <v>177</v>
      </c>
      <c r="H664" s="25">
        <v>35867</v>
      </c>
      <c r="I664" s="9">
        <f ca="1" t="shared" si="10"/>
      </c>
      <c r="J664" s="14"/>
      <c r="K664" s="15"/>
      <c r="L664" s="15"/>
      <c r="M664" s="15"/>
      <c r="N664" s="13"/>
      <c r="O664" s="15"/>
      <c r="P664" s="15"/>
    </row>
    <row r="665" spans="1:16" ht="14.5" x14ac:dyDescent="0.25">
      <c r="A665" s="18">
        <v>654</v>
      </c>
      <c r="B665" s="19">
        <v>70000288</v>
      </c>
      <c r="C665" s="19">
        <v>173544</v>
      </c>
      <c r="D665" t="s" s="9">
        <v>192</v>
      </c>
      <c r="E665" t="s" s="9">
        <v>195</v>
      </c>
      <c r="F665" t="s" s="20">
        <v>686</v>
      </c>
      <c r="G665" t="s" s="10">
        <v>177</v>
      </c>
      <c r="H665" s="25">
        <v>45731</v>
      </c>
      <c r="I665" s="9">
        <f ca="1" t="shared" si="10"/>
      </c>
      <c r="J665" s="14"/>
      <c r="K665" s="15"/>
      <c r="L665" s="15"/>
      <c r="M665" s="15"/>
      <c r="N665" s="13"/>
      <c r="O665" s="15"/>
      <c r="P665" s="15"/>
    </row>
    <row r="666" spans="1:16" ht="14.5" x14ac:dyDescent="0.25">
      <c r="A666" s="18">
        <v>655</v>
      </c>
      <c r="B666" s="19">
        <v>70000290</v>
      </c>
      <c r="C666" s="19">
        <v>173116</v>
      </c>
      <c r="D666" t="s" s="9">
        <v>722</v>
      </c>
      <c r="E666" t="s" s="9">
        <v>195</v>
      </c>
      <c r="F666" t="s" s="20">
        <v>43</v>
      </c>
      <c r="G666" t="s" s="10">
        <v>0</v>
      </c>
      <c r="H666" s="25">
        <v>32351</v>
      </c>
      <c r="I666" s="9">
        <f ca="1" t="shared" si="10"/>
      </c>
      <c r="J666" s="14">
        <v>1</v>
      </c>
      <c r="K666" s="15">
        <v>2</v>
      </c>
      <c r="L666" s="15">
        <v>4</v>
      </c>
      <c r="M666" s="15"/>
      <c r="N666" s="13"/>
      <c r="O666" s="15"/>
      <c r="P666" s="15"/>
    </row>
    <row r="667" spans="1:16" ht="14.5" x14ac:dyDescent="0.25">
      <c r="A667" s="18">
        <v>656</v>
      </c>
      <c r="B667" s="19">
        <v>70000290</v>
      </c>
      <c r="C667" s="19">
        <v>173117</v>
      </c>
      <c r="D667" t="s" s="9">
        <v>608</v>
      </c>
      <c r="E667" t="s" s="9">
        <v>198</v>
      </c>
      <c r="F667" t="s" s="20">
        <v>687</v>
      </c>
      <c r="G667" t="s" s="10">
        <v>0</v>
      </c>
      <c r="H667" s="25">
        <v>34328</v>
      </c>
      <c r="I667" s="9">
        <f ca="1" t="shared" si="10"/>
      </c>
      <c r="J667" s="14"/>
      <c r="K667" s="15"/>
      <c r="L667" s="15"/>
      <c r="M667" s="15"/>
      <c r="N667" s="13"/>
      <c r="O667" s="15"/>
      <c r="P667" s="15"/>
    </row>
    <row r="668" spans="1:16" ht="14.5" x14ac:dyDescent="0.25">
      <c r="A668" s="18">
        <v>657</v>
      </c>
      <c r="B668" s="19">
        <v>70000290</v>
      </c>
      <c r="C668" s="19">
        <v>173118</v>
      </c>
      <c r="D668" t="s" s="9">
        <v>192</v>
      </c>
      <c r="E668" t="s" s="9">
        <v>195</v>
      </c>
      <c r="F668" t="s" s="20">
        <v>688</v>
      </c>
      <c r="G668" t="s" s="10">
        <v>0</v>
      </c>
      <c r="H668" s="25">
        <v>45206</v>
      </c>
      <c r="I668" s="9">
        <f ca="1" t="shared" si="10"/>
      </c>
      <c r="J668" s="14"/>
      <c r="K668" s="15"/>
      <c r="L668" s="15"/>
      <c r="M668" s="15"/>
      <c r="N668" s="13"/>
      <c r="O668" s="15"/>
      <c r="P668" s="15"/>
    </row>
    <row r="669" spans="1:16" ht="14.5" x14ac:dyDescent="0.25">
      <c r="A669" s="18">
        <v>658</v>
      </c>
      <c r="B669" s="19">
        <v>70000290</v>
      </c>
      <c r="C669" s="19">
        <v>173571</v>
      </c>
      <c r="D669" t="s" s="9">
        <v>192</v>
      </c>
      <c r="E669" t="s" s="9">
        <v>195</v>
      </c>
      <c r="F669" t="s" s="20">
        <v>689</v>
      </c>
      <c r="G669" t="s" s="10">
        <v>0</v>
      </c>
      <c r="H669" s="25">
        <v>45615</v>
      </c>
      <c r="I669" s="9">
        <f ca="1" t="shared" si="10"/>
      </c>
      <c r="J669" s="14"/>
      <c r="K669" s="15"/>
      <c r="L669" s="15"/>
      <c r="M669" s="15"/>
      <c r="N669" s="13"/>
      <c r="O669" s="15"/>
      <c r="P669" s="15"/>
    </row>
    <row r="670" spans="1:16" ht="14.5" x14ac:dyDescent="0.25">
      <c r="A670" s="18">
        <v>659</v>
      </c>
      <c r="B670" s="19">
        <v>70000292</v>
      </c>
      <c r="C670" s="19">
        <v>174950</v>
      </c>
      <c r="D670" t="s" s="9">
        <v>722</v>
      </c>
      <c r="E670" t="s" s="9">
        <v>198</v>
      </c>
      <c r="F670" t="s" s="20">
        <v>89</v>
      </c>
      <c r="G670" t="s" s="10">
        <v>177</v>
      </c>
      <c r="H670" s="25">
        <v>36151</v>
      </c>
      <c r="I670" s="9">
        <f ca="1" t="shared" si="10"/>
      </c>
      <c r="J670" s="14">
        <v>0</v>
      </c>
      <c r="K670" s="15">
        <v>0</v>
      </c>
      <c r="L670" s="15">
        <v>1</v>
      </c>
      <c r="M670" s="15"/>
      <c r="N670" s="13"/>
      <c r="O670" s="15"/>
      <c r="P670" s="15"/>
    </row>
    <row r="671" spans="1:16" ht="14.5" x14ac:dyDescent="0.25">
      <c r="A671" s="18">
        <v>660</v>
      </c>
      <c r="B671" s="19">
        <v>70000293</v>
      </c>
      <c r="C671" s="19">
        <v>174971</v>
      </c>
      <c r="D671" t="s" s="10">
        <v>722</v>
      </c>
      <c r="E671" t="s" s="9">
        <v>195</v>
      </c>
      <c r="F671" t="s" s="3">
        <v>90</v>
      </c>
      <c r="G671" t="s" s="10">
        <v>0</v>
      </c>
      <c r="H671" s="25">
        <v>30744</v>
      </c>
      <c r="I671" s="9">
        <f ca="1" t="shared" si="10"/>
      </c>
      <c r="J671" s="14">
        <v>1</v>
      </c>
      <c r="K671" s="15">
        <v>7</v>
      </c>
      <c r="L671" s="11">
        <v>9</v>
      </c>
      <c r="M671" s="15"/>
      <c r="N671" s="13"/>
      <c r="O671" s="15"/>
      <c r="P671" s="15"/>
    </row>
    <row r="672" spans="1:16" ht="14.5" x14ac:dyDescent="0.25">
      <c r="A672" s="18">
        <v>661</v>
      </c>
      <c r="B672" s="19">
        <v>70000293</v>
      </c>
      <c r="C672" s="19">
        <v>175008</v>
      </c>
      <c r="D672" t="s" s="10">
        <v>608</v>
      </c>
      <c r="E672" t="s" s="9">
        <v>198</v>
      </c>
      <c r="F672" t="s" s="3">
        <v>690</v>
      </c>
      <c r="G672" t="s" s="10">
        <v>0</v>
      </c>
      <c r="H672" s="25">
        <v>33209</v>
      </c>
      <c r="I672" s="9">
        <f ca="1" t="shared" si="10"/>
      </c>
      <c r="J672" s="14"/>
      <c r="K672" s="11"/>
      <c r="L672" s="11"/>
      <c r="M672" s="11"/>
      <c r="N672" s="103"/>
      <c r="O672" s="11"/>
      <c r="P672" s="11"/>
    </row>
    <row r="673" spans="1:16" ht="14.5" x14ac:dyDescent="0.25">
      <c r="A673" s="18">
        <v>662</v>
      </c>
      <c r="B673" s="19">
        <v>70000293</v>
      </c>
      <c r="C673" s="19">
        <v>175009</v>
      </c>
      <c r="D673" t="s" s="9">
        <v>192</v>
      </c>
      <c r="E673" t="s" s="9">
        <v>198</v>
      </c>
      <c r="F673" t="s" s="20">
        <v>691</v>
      </c>
      <c r="G673" t="s" s="10">
        <v>0</v>
      </c>
      <c r="H673" s="25">
        <v>40443</v>
      </c>
      <c r="I673" s="9">
        <f ca="1" t="shared" si="10"/>
      </c>
      <c r="J673" s="14"/>
      <c r="K673" s="15"/>
      <c r="L673" s="15"/>
      <c r="M673" s="15"/>
      <c r="N673" s="13"/>
      <c r="O673" s="15"/>
      <c r="P673" s="15"/>
    </row>
    <row r="674" spans="1:16" ht="14.5" x14ac:dyDescent="0.25">
      <c r="A674" s="18">
        <v>663</v>
      </c>
      <c r="B674" s="19">
        <v>70000293</v>
      </c>
      <c r="C674" s="19">
        <v>175010</v>
      </c>
      <c r="D674" t="s" s="9">
        <v>192</v>
      </c>
      <c r="E674" t="s" s="9">
        <v>198</v>
      </c>
      <c r="F674" t="s" s="20">
        <v>692</v>
      </c>
      <c r="G674" t="s" s="10">
        <v>0</v>
      </c>
      <c r="H674" s="25">
        <v>41053</v>
      </c>
      <c r="I674" s="9">
        <f ca="1" t="shared" si="10"/>
      </c>
      <c r="J674" s="14"/>
      <c r="K674" s="15"/>
      <c r="L674" s="15"/>
      <c r="M674" s="15"/>
      <c r="N674" s="13"/>
      <c r="O674" s="15"/>
      <c r="P674" s="15"/>
    </row>
    <row r="675" spans="1:16" ht="14.5" x14ac:dyDescent="0.25">
      <c r="A675" s="18">
        <v>664</v>
      </c>
      <c r="B675" s="19">
        <v>70000293</v>
      </c>
      <c r="C675" s="19">
        <v>175011</v>
      </c>
      <c r="D675" t="s" s="9">
        <v>192</v>
      </c>
      <c r="E675" t="s" s="9">
        <v>198</v>
      </c>
      <c r="F675" t="s" s="20">
        <v>693</v>
      </c>
      <c r="G675" t="s" s="10">
        <v>0</v>
      </c>
      <c r="H675" s="25">
        <v>42487</v>
      </c>
      <c r="I675" s="9">
        <f ca="1" t="shared" si="10"/>
      </c>
      <c r="J675" s="14"/>
      <c r="K675" s="15"/>
      <c r="L675" s="15"/>
      <c r="M675" s="15"/>
      <c r="N675" s="13"/>
      <c r="O675" s="15"/>
      <c r="P675" s="15"/>
    </row>
    <row r="676" spans="1:16" ht="14.5" x14ac:dyDescent="0.25">
      <c r="A676" s="18">
        <v>665</v>
      </c>
      <c r="B676" s="19">
        <v>70000293</v>
      </c>
      <c r="C676" s="19">
        <v>175012</v>
      </c>
      <c r="D676" t="s" s="10">
        <v>192</v>
      </c>
      <c r="E676" t="s" s="9">
        <v>195</v>
      </c>
      <c r="F676" t="s" s="3">
        <v>694</v>
      </c>
      <c r="G676" t="s" s="10">
        <v>0</v>
      </c>
      <c r="H676" s="25">
        <v>43431</v>
      </c>
      <c r="I676" s="9">
        <f ca="1" t="shared" si="10"/>
      </c>
      <c r="J676" s="14"/>
      <c r="K676" s="11"/>
      <c r="L676" s="11"/>
      <c r="M676" s="11"/>
      <c r="N676" s="103"/>
      <c r="O676" s="11"/>
      <c r="P676" s="11"/>
    </row>
    <row r="677" spans="1:16" ht="14.5" x14ac:dyDescent="0.25">
      <c r="A677" s="18">
        <v>666</v>
      </c>
      <c r="B677" s="19">
        <v>70000293</v>
      </c>
      <c r="C677" s="19">
        <v>175013</v>
      </c>
      <c r="D677" t="s" s="9">
        <v>192</v>
      </c>
      <c r="E677" t="s" s="9">
        <v>195</v>
      </c>
      <c r="F677" t="s" s="20">
        <v>695</v>
      </c>
      <c r="G677" t="s" s="10">
        <v>0</v>
      </c>
      <c r="H677" s="25">
        <v>44211</v>
      </c>
      <c r="I677" s="9">
        <f ca="1" t="shared" si="10"/>
      </c>
      <c r="J677" s="14"/>
      <c r="K677" s="15"/>
      <c r="L677" s="15"/>
      <c r="M677" s="15"/>
      <c r="N677" s="13"/>
      <c r="O677" s="15"/>
      <c r="P677" s="15"/>
    </row>
    <row r="678" spans="1:16" ht="14.5" x14ac:dyDescent="0.25">
      <c r="A678" s="18">
        <v>667</v>
      </c>
      <c r="B678" s="19">
        <v>70000293</v>
      </c>
      <c r="C678" s="19">
        <v>175145</v>
      </c>
      <c r="D678" t="s" s="9">
        <v>192</v>
      </c>
      <c r="E678" t="s" s="9">
        <v>198</v>
      </c>
      <c r="F678" t="s" s="20">
        <v>696</v>
      </c>
      <c r="G678" t="s" s="10">
        <v>0</v>
      </c>
      <c r="H678" s="25">
        <v>45721</v>
      </c>
      <c r="I678" s="9">
        <f ca="1" t="shared" si="10"/>
      </c>
      <c r="J678" s="14"/>
      <c r="K678" s="15"/>
      <c r="L678" s="15"/>
      <c r="M678" s="15"/>
      <c r="N678" s="13"/>
      <c r="O678" s="15"/>
      <c r="P678" s="15"/>
    </row>
    <row r="679" spans="1:16" ht="14.5" x14ac:dyDescent="0.25">
      <c r="A679" s="18">
        <v>668</v>
      </c>
      <c r="B679" s="19">
        <v>70000293</v>
      </c>
      <c r="C679" s="19">
        <v>175146</v>
      </c>
      <c r="D679" t="s" s="9">
        <v>192</v>
      </c>
      <c r="E679" t="s" s="9">
        <v>198</v>
      </c>
      <c r="F679" t="s" s="20">
        <v>697</v>
      </c>
      <c r="G679" t="s" s="10">
        <v>0</v>
      </c>
      <c r="H679" s="25">
        <v>45721</v>
      </c>
      <c r="I679" s="9">
        <f ca="1" t="shared" si="10"/>
      </c>
      <c r="J679" s="14"/>
      <c r="K679" s="15"/>
      <c r="L679" s="15"/>
      <c r="M679" s="15"/>
      <c r="N679" s="13"/>
      <c r="O679" s="15"/>
      <c r="P679" s="15"/>
    </row>
    <row r="680" spans="1:16" ht="14.5" x14ac:dyDescent="0.25">
      <c r="A680" s="18">
        <v>669</v>
      </c>
      <c r="B680" s="19">
        <v>70000294</v>
      </c>
      <c r="C680" s="19">
        <v>175381</v>
      </c>
      <c r="D680" t="s" s="10">
        <v>722</v>
      </c>
      <c r="E680" t="s" s="9">
        <v>195</v>
      </c>
      <c r="F680" t="s" s="3">
        <v>146</v>
      </c>
      <c r="G680" t="s" s="10">
        <v>0</v>
      </c>
      <c r="H680" s="25">
        <v>32093</v>
      </c>
      <c r="I680" s="9">
        <f ca="1" t="shared" si="10"/>
      </c>
      <c r="J680" s="14">
        <v>0</v>
      </c>
      <c r="K680" s="11">
        <v>0</v>
      </c>
      <c r="L680" s="11">
        <v>1</v>
      </c>
      <c r="M680" s="11"/>
      <c r="N680" s="103"/>
      <c r="O680" s="11"/>
      <c r="P680" s="11"/>
    </row>
    <row r="681" spans="1:16" ht="14.5" x14ac:dyDescent="0.25">
      <c r="A681" s="18">
        <v>670</v>
      </c>
      <c r="B681" s="19">
        <v>70000297</v>
      </c>
      <c r="C681" s="19">
        <v>175834</v>
      </c>
      <c r="D681" t="s" s="9">
        <v>722</v>
      </c>
      <c r="E681" t="s" s="9">
        <v>195</v>
      </c>
      <c r="F681" t="s" s="20">
        <v>170</v>
      </c>
      <c r="G681" t="s" s="10">
        <v>177</v>
      </c>
      <c r="H681" s="25">
        <v>28839</v>
      </c>
      <c r="I681" s="9">
        <f ca="1" t="shared" si="10"/>
      </c>
      <c r="J681" s="14">
        <v>1</v>
      </c>
      <c r="K681" s="15">
        <v>2</v>
      </c>
      <c r="L681" s="15">
        <v>4</v>
      </c>
      <c r="M681" s="15"/>
      <c r="N681" s="13"/>
      <c r="O681" s="15"/>
      <c r="P681" s="15"/>
    </row>
    <row r="682" spans="1:16" ht="14.5" x14ac:dyDescent="0.25">
      <c r="A682" s="18">
        <v>671</v>
      </c>
      <c r="B682" s="19">
        <v>70000297</v>
      </c>
      <c r="C682" s="19">
        <v>175835</v>
      </c>
      <c r="D682" t="s" s="9">
        <v>608</v>
      </c>
      <c r="E682" t="s" s="9">
        <v>198</v>
      </c>
      <c r="F682" t="s" s="20">
        <v>698</v>
      </c>
      <c r="G682" t="s" s="10">
        <v>177</v>
      </c>
      <c r="H682" s="25">
        <v>29794</v>
      </c>
      <c r="I682" s="9">
        <f ca="1" t="shared" si="10"/>
      </c>
      <c r="J682" s="14"/>
      <c r="K682" s="15"/>
      <c r="L682" s="15"/>
      <c r="M682" s="15"/>
      <c r="N682" s="13"/>
      <c r="O682" s="15"/>
      <c r="P682" s="15"/>
    </row>
    <row r="683" spans="1:16" ht="14.5" x14ac:dyDescent="0.25">
      <c r="A683" s="18">
        <v>672</v>
      </c>
      <c r="B683" s="19">
        <v>70000297</v>
      </c>
      <c r="C683" s="19">
        <v>175836</v>
      </c>
      <c r="D683" t="s" s="9">
        <v>192</v>
      </c>
      <c r="E683" t="s" s="9">
        <v>195</v>
      </c>
      <c r="F683" t="s" s="20">
        <v>699</v>
      </c>
      <c r="G683" t="s" s="10">
        <v>177</v>
      </c>
      <c r="H683" s="25">
        <v>42075</v>
      </c>
      <c r="I683" s="9">
        <f ca="1" t="shared" si="10"/>
      </c>
      <c r="J683" s="14"/>
      <c r="K683" s="15"/>
      <c r="L683" s="15"/>
      <c r="M683" s="15"/>
      <c r="N683" s="13"/>
      <c r="O683" s="15"/>
      <c r="P683" s="15"/>
    </row>
    <row r="684" spans="1:16" ht="14.5" x14ac:dyDescent="0.25">
      <c r="A684" s="18">
        <v>673</v>
      </c>
      <c r="B684" s="19">
        <v>70000297</v>
      </c>
      <c r="C684" s="19">
        <v>175837</v>
      </c>
      <c r="D684" t="s" s="9">
        <v>192</v>
      </c>
      <c r="E684" t="s" s="9">
        <v>198</v>
      </c>
      <c r="F684" t="s" s="20">
        <v>700</v>
      </c>
      <c r="G684" t="s" s="10">
        <v>177</v>
      </c>
      <c r="H684" s="25">
        <v>40581</v>
      </c>
      <c r="I684" s="9">
        <f ca="1" t="shared" si="10"/>
      </c>
      <c r="J684" s="14"/>
      <c r="K684" s="15"/>
      <c r="L684" s="15"/>
      <c r="M684" s="15"/>
      <c r="N684" s="13"/>
      <c r="O684" s="15"/>
      <c r="P684" s="15"/>
    </row>
    <row r="685" spans="1:16" ht="14.5" x14ac:dyDescent="0.25">
      <c r="A685" s="18">
        <v>674</v>
      </c>
      <c r="B685" s="19">
        <v>70000296</v>
      </c>
      <c r="C685" s="19">
        <v>175863</v>
      </c>
      <c r="D685" t="s" s="10">
        <v>722</v>
      </c>
      <c r="E685" t="s" s="9">
        <v>195</v>
      </c>
      <c r="F685" t="s" s="3">
        <v>175</v>
      </c>
      <c r="G685" t="s" s="10">
        <v>177</v>
      </c>
      <c r="H685" s="25">
        <v>34417</v>
      </c>
      <c r="I685" s="9">
        <f ca="1" t="shared" si="10"/>
      </c>
      <c r="J685" s="14">
        <v>1</v>
      </c>
      <c r="K685" s="11">
        <v>2</v>
      </c>
      <c r="L685" s="11">
        <v>4</v>
      </c>
      <c r="M685" s="11"/>
      <c r="N685" s="103"/>
      <c r="O685" s="11"/>
      <c r="P685" s="11"/>
    </row>
    <row r="686" spans="1:16" ht="14.5" x14ac:dyDescent="0.25">
      <c r="A686" s="18">
        <v>675</v>
      </c>
      <c r="B686" s="19">
        <v>70000296</v>
      </c>
      <c r="C686" s="19">
        <v>175864</v>
      </c>
      <c r="D686" t="s" s="9">
        <v>608</v>
      </c>
      <c r="E686" t="s" s="9">
        <v>198</v>
      </c>
      <c r="F686" t="s" s="20">
        <v>701</v>
      </c>
      <c r="G686" t="s" s="10">
        <v>177</v>
      </c>
      <c r="H686" s="25">
        <v>34580</v>
      </c>
      <c r="I686" s="9">
        <f ca="1" t="shared" si="10"/>
      </c>
      <c r="J686" s="14"/>
      <c r="K686" s="15"/>
      <c r="L686" s="15"/>
      <c r="M686" s="15"/>
      <c r="N686" s="13"/>
      <c r="O686" s="15"/>
      <c r="P686" s="15"/>
    </row>
    <row r="687" spans="1:16" ht="14.5" x14ac:dyDescent="0.25">
      <c r="A687" s="18">
        <v>676</v>
      </c>
      <c r="B687" s="19">
        <v>70000296</v>
      </c>
      <c r="C687" s="19">
        <v>175865</v>
      </c>
      <c r="D687" t="s" s="9">
        <v>192</v>
      </c>
      <c r="E687" t="s" s="9">
        <v>195</v>
      </c>
      <c r="F687" t="s" s="20">
        <v>702</v>
      </c>
      <c r="G687" t="s" s="10">
        <v>177</v>
      </c>
      <c r="H687" s="25">
        <v>45695</v>
      </c>
      <c r="I687" s="9">
        <f ca="1" t="shared" si="10"/>
      </c>
      <c r="J687" s="14"/>
      <c r="K687" s="15"/>
      <c r="L687" s="15"/>
      <c r="M687" s="15"/>
      <c r="N687" s="13"/>
      <c r="O687" s="15"/>
      <c r="P687" s="15"/>
    </row>
    <row r="688" spans="1:16" ht="14.5" x14ac:dyDescent="0.25">
      <c r="A688" s="18">
        <v>677</v>
      </c>
      <c r="B688" s="19">
        <v>70000296</v>
      </c>
      <c r="C688" s="19">
        <v>175866</v>
      </c>
      <c r="D688" t="s" s="9">
        <v>192</v>
      </c>
      <c r="E688" t="s" s="10">
        <v>195</v>
      </c>
      <c r="F688" t="s" s="20">
        <v>703</v>
      </c>
      <c r="G688" t="s" s="10">
        <v>177</v>
      </c>
      <c r="H688" s="25">
        <v>45394</v>
      </c>
      <c r="I688" s="9">
        <f ca="1" t="shared" si="10"/>
      </c>
      <c r="J688" s="14"/>
      <c r="K688" s="15"/>
      <c r="L688" s="15"/>
      <c r="M688" s="15"/>
      <c r="N688" s="13"/>
      <c r="O688" s="15"/>
      <c r="P688" s="15"/>
    </row>
    <row r="689" spans="1:16" ht="14.5" x14ac:dyDescent="0.25">
      <c r="A689" s="18">
        <v>678</v>
      </c>
      <c r="B689" s="19">
        <v>70000305</v>
      </c>
      <c r="C689" s="19">
        <v>175951</v>
      </c>
      <c r="D689" t="s" s="10">
        <v>722</v>
      </c>
      <c r="E689" t="s" s="9">
        <v>195</v>
      </c>
      <c r="F689" t="s" s="3">
        <v>171</v>
      </c>
      <c r="G689" t="s" s="10">
        <v>747</v>
      </c>
      <c r="H689" s="25">
        <v>32689</v>
      </c>
      <c r="I689" s="9">
        <f ca="1" t="shared" si="10"/>
      </c>
      <c r="J689" s="14">
        <v>1</v>
      </c>
      <c r="K689" s="15">
        <v>3</v>
      </c>
      <c r="L689" s="11">
        <v>5</v>
      </c>
      <c r="M689" s="15"/>
      <c r="N689" s="13"/>
      <c r="O689" s="15"/>
      <c r="P689" s="15"/>
    </row>
    <row r="690" spans="1:16" ht="14.5" x14ac:dyDescent="0.25">
      <c r="A690" s="18">
        <v>679</v>
      </c>
      <c r="B690" s="19">
        <v>70000305</v>
      </c>
      <c r="C690" s="19">
        <v>175952</v>
      </c>
      <c r="D690" t="s" s="10">
        <v>608</v>
      </c>
      <c r="E690" t="s" s="9">
        <v>198</v>
      </c>
      <c r="F690" t="s" s="3">
        <v>704</v>
      </c>
      <c r="G690" t="s" s="10">
        <v>747</v>
      </c>
      <c r="H690" s="25">
        <v>33853</v>
      </c>
      <c r="I690" s="9">
        <f ca="1" t="shared" si="10"/>
      </c>
      <c r="J690" s="14"/>
      <c r="K690" s="15"/>
      <c r="L690" s="11"/>
      <c r="M690" s="15"/>
      <c r="N690" s="13"/>
      <c r="O690" s="15"/>
      <c r="P690" s="15"/>
    </row>
    <row r="691" spans="1:16" ht="14.5" x14ac:dyDescent="0.25">
      <c r="A691" s="18">
        <v>680</v>
      </c>
      <c r="B691" s="19">
        <v>70000305</v>
      </c>
      <c r="C691" s="19">
        <v>175953</v>
      </c>
      <c r="D691" t="s" s="9">
        <v>192</v>
      </c>
      <c r="E691" t="s" s="9">
        <v>198</v>
      </c>
      <c r="F691" t="s" s="20">
        <v>705</v>
      </c>
      <c r="G691" t="s" s="10">
        <v>747</v>
      </c>
      <c r="H691" s="25">
        <v>43299</v>
      </c>
      <c r="I691" s="9">
        <f ca="1" t="shared" si="10"/>
      </c>
      <c r="J691" s="14"/>
      <c r="K691" s="15"/>
      <c r="L691" s="15"/>
      <c r="M691" s="15"/>
      <c r="N691" s="13"/>
      <c r="O691" s="15"/>
      <c r="P691" s="15"/>
    </row>
    <row r="692" spans="1:16" ht="14.5" x14ac:dyDescent="0.25">
      <c r="A692" s="18">
        <v>681</v>
      </c>
      <c r="B692" s="19">
        <v>70000305</v>
      </c>
      <c r="C692" s="19">
        <v>175954</v>
      </c>
      <c r="D692" t="s" s="9">
        <v>192</v>
      </c>
      <c r="E692" t="s" s="9">
        <v>195</v>
      </c>
      <c r="F692" t="s" s="20">
        <v>706</v>
      </c>
      <c r="G692" t="s" s="10">
        <v>747</v>
      </c>
      <c r="H692" s="25">
        <v>44427</v>
      </c>
      <c r="I692" s="9">
        <f ca="1" t="shared" si="10"/>
      </c>
      <c r="J692" s="14"/>
      <c r="K692" s="15"/>
      <c r="L692" s="15"/>
      <c r="M692" s="15"/>
      <c r="N692" s="13"/>
      <c r="O692" s="15"/>
      <c r="P692" s="15"/>
    </row>
    <row r="693" spans="1:16" ht="14.5" x14ac:dyDescent="0.25">
      <c r="A693" s="18">
        <v>682</v>
      </c>
      <c r="B693" s="19">
        <v>70000305</v>
      </c>
      <c r="C693" s="19">
        <v>175955</v>
      </c>
      <c r="D693" t="s" s="9">
        <v>192</v>
      </c>
      <c r="E693" t="s" s="9">
        <v>198</v>
      </c>
      <c r="F693" t="s" s="20">
        <v>707</v>
      </c>
      <c r="G693" t="s" s="10">
        <v>747</v>
      </c>
      <c r="H693" s="25">
        <v>45661</v>
      </c>
      <c r="I693" s="9">
        <f ca="1" t="shared" si="10"/>
      </c>
      <c r="J693" s="14"/>
      <c r="K693" s="15"/>
      <c r="L693" s="15"/>
      <c r="M693" s="15"/>
      <c r="N693" s="13"/>
      <c r="O693" s="15"/>
      <c r="P693" s="15"/>
    </row>
    <row r="694" spans="1:16" ht="14.5" x14ac:dyDescent="0.25">
      <c r="A694" s="18">
        <v>683</v>
      </c>
      <c r="B694" s="19">
        <v>70000299</v>
      </c>
      <c r="C694" s="19">
        <v>175956</v>
      </c>
      <c r="D694" t="s" s="9">
        <v>722</v>
      </c>
      <c r="E694" t="s" s="9">
        <v>198</v>
      </c>
      <c r="F694" t="s" s="20">
        <v>74</v>
      </c>
      <c r="G694" t="s" s="10">
        <v>747</v>
      </c>
      <c r="H694" s="25">
        <v>30494</v>
      </c>
      <c r="I694" s="9">
        <f ca="1" t="shared" si="10"/>
      </c>
      <c r="J694" s="14">
        <v>0</v>
      </c>
      <c r="K694" s="15">
        <v>3</v>
      </c>
      <c r="L694" s="15">
        <v>4</v>
      </c>
      <c r="M694" s="15"/>
      <c r="N694" s="13"/>
      <c r="O694" s="15"/>
      <c r="P694" s="15"/>
    </row>
    <row r="695" spans="1:16" ht="14.5" x14ac:dyDescent="0.25">
      <c r="A695" s="18">
        <v>684</v>
      </c>
      <c r="B695" s="19">
        <v>70000299</v>
      </c>
      <c r="C695" s="19">
        <v>175957</v>
      </c>
      <c r="D695" t="s" s="10">
        <v>192</v>
      </c>
      <c r="E695" t="s" s="9">
        <v>198</v>
      </c>
      <c r="F695" t="s" s="3">
        <v>708</v>
      </c>
      <c r="G695" t="s" s="10">
        <v>747</v>
      </c>
      <c r="H695" s="25">
        <v>40836</v>
      </c>
      <c r="I695" s="9">
        <f ca="1" t="shared" si="10"/>
      </c>
      <c r="J695" s="14"/>
      <c r="K695" s="11"/>
      <c r="L695" s="11"/>
      <c r="M695" s="11"/>
      <c r="N695" s="103"/>
      <c r="O695" s="11"/>
      <c r="P695" s="11"/>
    </row>
    <row r="696" spans="1:16" ht="14.5" x14ac:dyDescent="0.25">
      <c r="A696" s="18">
        <v>685</v>
      </c>
      <c r="B696" s="19">
        <v>70000299</v>
      </c>
      <c r="C696" s="19">
        <v>175959</v>
      </c>
      <c r="D696" t="s" s="9">
        <v>192</v>
      </c>
      <c r="E696" t="s" s="9">
        <v>198</v>
      </c>
      <c r="F696" t="s" s="20">
        <v>709</v>
      </c>
      <c r="G696" t="s" s="10">
        <v>747</v>
      </c>
      <c r="H696" s="25">
        <v>39810</v>
      </c>
      <c r="I696" s="9">
        <f ca="1" t="shared" si="10"/>
      </c>
      <c r="J696" s="14"/>
      <c r="K696" s="15"/>
      <c r="L696" s="15"/>
      <c r="M696" s="15"/>
      <c r="N696" s="13"/>
      <c r="O696" s="15"/>
      <c r="P696" s="15"/>
    </row>
    <row r="697" spans="1:16" ht="14.5" x14ac:dyDescent="0.25">
      <c r="A697" s="18">
        <v>686</v>
      </c>
      <c r="B697" s="19">
        <v>70000299</v>
      </c>
      <c r="C697" s="19">
        <v>176233</v>
      </c>
      <c r="D697" t="s" s="9">
        <v>192</v>
      </c>
      <c r="E697" t="s" s="9">
        <v>195</v>
      </c>
      <c r="F697" t="s" s="20">
        <v>710</v>
      </c>
      <c r="G697" t="s" s="10">
        <v>747</v>
      </c>
      <c r="H697" s="25">
        <v>39227</v>
      </c>
      <c r="I697" s="9">
        <f ca="1" t="shared" si="10"/>
      </c>
      <c r="J697" s="14"/>
      <c r="K697" s="15"/>
      <c r="L697" s="15"/>
      <c r="M697" s="15"/>
      <c r="N697" s="13"/>
      <c r="O697" s="15"/>
      <c r="P697" s="15"/>
    </row>
    <row r="698" spans="1:16" ht="14.5" x14ac:dyDescent="0.25">
      <c r="A698" s="18">
        <v>687</v>
      </c>
      <c r="B698" s="19">
        <v>70000300</v>
      </c>
      <c r="C698" s="19">
        <v>175964</v>
      </c>
      <c r="D698" t="s" s="9">
        <v>722</v>
      </c>
      <c r="E698" t="s" s="9">
        <v>195</v>
      </c>
      <c r="F698" t="s" s="20">
        <v>101</v>
      </c>
      <c r="G698" t="s" s="10">
        <v>747</v>
      </c>
      <c r="H698" s="25">
        <v>36210</v>
      </c>
      <c r="I698" s="9">
        <f ca="1" t="shared" si="10"/>
      </c>
      <c r="J698" s="14">
        <v>0</v>
      </c>
      <c r="K698" s="15">
        <v>0</v>
      </c>
      <c r="L698" s="15">
        <v>1</v>
      </c>
      <c r="M698" s="15"/>
      <c r="N698" s="13"/>
      <c r="O698" s="15"/>
      <c r="P698" s="15"/>
    </row>
    <row r="699" spans="1:16" ht="14.5" x14ac:dyDescent="0.25">
      <c r="A699" s="18">
        <v>688</v>
      </c>
      <c r="B699" s="19">
        <v>70000302</v>
      </c>
      <c r="C699" s="19">
        <v>175965</v>
      </c>
      <c r="D699" t="s" s="9">
        <v>722</v>
      </c>
      <c r="E699" t="s" s="9">
        <v>195</v>
      </c>
      <c r="F699" t="s" s="20">
        <v>42</v>
      </c>
      <c r="G699" t="s" s="10">
        <v>747</v>
      </c>
      <c r="H699" s="25">
        <v>33260</v>
      </c>
      <c r="I699" s="9">
        <f ca="1" t="shared" si="10"/>
      </c>
      <c r="J699" s="14">
        <v>1</v>
      </c>
      <c r="K699" s="15">
        <v>3</v>
      </c>
      <c r="L699" s="15">
        <v>5</v>
      </c>
      <c r="M699" s="15"/>
      <c r="N699" s="13"/>
      <c r="O699" s="15"/>
      <c r="P699" s="15"/>
    </row>
    <row r="700" spans="1:16" ht="14.5" x14ac:dyDescent="0.25">
      <c r="A700" s="18">
        <v>689</v>
      </c>
      <c r="B700" s="19">
        <v>70000302</v>
      </c>
      <c r="C700" s="19">
        <v>175966</v>
      </c>
      <c r="D700" t="s" s="10">
        <v>608</v>
      </c>
      <c r="E700" t="s" s="9">
        <v>198</v>
      </c>
      <c r="F700" t="s" s="3">
        <v>711</v>
      </c>
      <c r="G700" t="s" s="10">
        <v>747</v>
      </c>
      <c r="H700" s="25">
        <v>35055</v>
      </c>
      <c r="I700" s="9">
        <f ca="1" t="shared" si="10"/>
      </c>
      <c r="J700" s="14"/>
      <c r="K700" s="11"/>
      <c r="L700" s="11"/>
      <c r="M700" s="11"/>
      <c r="N700" s="103"/>
      <c r="O700" s="11"/>
      <c r="P700" s="11"/>
    </row>
    <row r="701" spans="1:16" ht="14.5" x14ac:dyDescent="0.25">
      <c r="A701" s="18">
        <v>690</v>
      </c>
      <c r="B701" s="19">
        <v>70000302</v>
      </c>
      <c r="C701" s="19">
        <v>176155</v>
      </c>
      <c r="D701" t="s" s="9">
        <v>192</v>
      </c>
      <c r="E701" t="s" s="9">
        <v>195</v>
      </c>
      <c r="F701" t="s" s="20">
        <v>712</v>
      </c>
      <c r="G701" t="s" s="10">
        <v>747</v>
      </c>
      <c r="H701" s="25">
        <v>43062</v>
      </c>
      <c r="I701" s="9">
        <f ca="1" t="shared" si="10"/>
      </c>
      <c r="J701" s="12"/>
      <c r="K701" s="13"/>
      <c r="L701" s="13"/>
      <c r="M701" s="13"/>
      <c r="N701" s="13"/>
      <c r="O701" s="13"/>
      <c r="P701" s="13"/>
    </row>
    <row r="702" spans="1:16" ht="14.5" x14ac:dyDescent="0.25">
      <c r="A702" s="18">
        <v>691</v>
      </c>
      <c r="B702" s="19">
        <v>70000302</v>
      </c>
      <c r="C702" s="19">
        <v>176156</v>
      </c>
      <c r="D702" t="s" s="9">
        <v>192</v>
      </c>
      <c r="E702" t="s" s="9">
        <v>198</v>
      </c>
      <c r="F702" t="s" s="20">
        <v>713</v>
      </c>
      <c r="G702" t="s" s="10">
        <v>747</v>
      </c>
      <c r="H702" s="25">
        <v>44177</v>
      </c>
      <c r="I702" s="9">
        <f ca="1" t="shared" si="10"/>
      </c>
      <c r="J702" s="12"/>
      <c r="K702" s="13"/>
      <c r="L702" s="13"/>
      <c r="M702" s="13"/>
      <c r="N702" s="13"/>
      <c r="O702" s="13"/>
      <c r="P702" s="13"/>
    </row>
    <row r="703" spans="1:16" ht="14.5" x14ac:dyDescent="0.25">
      <c r="A703" s="18">
        <v>692</v>
      </c>
      <c r="B703" s="19">
        <v>70000302</v>
      </c>
      <c r="C703" s="19">
        <v>176157</v>
      </c>
      <c r="D703" t="s" s="9">
        <v>192</v>
      </c>
      <c r="E703" t="s" s="9">
        <v>195</v>
      </c>
      <c r="F703" t="s" s="20">
        <v>714</v>
      </c>
      <c r="G703" t="s" s="10">
        <v>747</v>
      </c>
      <c r="H703" s="25">
        <v>43605</v>
      </c>
      <c r="I703" s="9">
        <f ca="1" t="shared" si="10"/>
      </c>
      <c r="J703" s="12"/>
      <c r="K703" s="13"/>
      <c r="L703" s="13"/>
      <c r="M703" s="13"/>
      <c r="N703" s="13"/>
      <c r="O703" s="13"/>
      <c r="P703" s="13"/>
    </row>
    <row r="704" spans="1:16" ht="14.5" x14ac:dyDescent="0.25">
      <c r="A704" s="18">
        <v>693</v>
      </c>
      <c r="B704" s="19">
        <v>70000304</v>
      </c>
      <c r="C704" s="19">
        <v>175967</v>
      </c>
      <c r="D704" t="s" s="10">
        <v>722</v>
      </c>
      <c r="E704" t="s" s="9">
        <v>195</v>
      </c>
      <c r="F704" t="s" s="3">
        <v>134</v>
      </c>
      <c r="G704" t="s" s="10">
        <v>747</v>
      </c>
      <c r="H704" s="25">
        <v>31097</v>
      </c>
      <c r="I704" s="9">
        <f ca="1" t="shared" si="10"/>
      </c>
      <c r="J704" s="14">
        <v>1</v>
      </c>
      <c r="K704" s="11">
        <v>3</v>
      </c>
      <c r="L704" s="11">
        <v>5</v>
      </c>
      <c r="M704" s="11"/>
      <c r="N704" s="103"/>
      <c r="O704" s="11"/>
      <c r="P704" s="11"/>
    </row>
    <row r="705" spans="1:16" ht="14.5" x14ac:dyDescent="0.25">
      <c r="A705" s="18">
        <v>694</v>
      </c>
      <c r="B705" s="19">
        <v>70000304</v>
      </c>
      <c r="C705" s="19">
        <v>175968</v>
      </c>
      <c r="D705" t="s" s="10">
        <v>608</v>
      </c>
      <c r="E705" t="s" s="9">
        <v>198</v>
      </c>
      <c r="F705" t="s" s="3">
        <v>715</v>
      </c>
      <c r="G705" t="s" s="10">
        <v>747</v>
      </c>
      <c r="H705" s="25">
        <v>34830</v>
      </c>
      <c r="I705" s="9">
        <f ca="1" t="shared" si="10"/>
      </c>
      <c r="J705" s="14"/>
      <c r="K705" s="11"/>
      <c r="L705" s="11"/>
      <c r="M705" s="11"/>
      <c r="N705" s="103"/>
      <c r="O705" s="11"/>
      <c r="P705" s="11"/>
    </row>
    <row r="706" spans="1:16" ht="14.5" x14ac:dyDescent="0.25">
      <c r="A706" s="18">
        <v>695</v>
      </c>
      <c r="B706" s="19">
        <v>70000304</v>
      </c>
      <c r="C706" s="19">
        <v>175969</v>
      </c>
      <c r="D706" t="s" s="10">
        <v>192</v>
      </c>
      <c r="E706" t="s" s="9">
        <v>195</v>
      </c>
      <c r="F706" t="s" s="3">
        <v>716</v>
      </c>
      <c r="G706" t="s" s="10">
        <v>747</v>
      </c>
      <c r="H706" s="25">
        <v>44394</v>
      </c>
      <c r="I706" s="9">
        <f ca="1" t="shared" si="10"/>
      </c>
      <c r="J706" s="14"/>
      <c r="K706" s="11"/>
      <c r="L706" s="11"/>
      <c r="M706" s="11"/>
      <c r="N706" s="103"/>
      <c r="O706" s="11"/>
      <c r="P706" s="11"/>
    </row>
    <row r="707" spans="1:16" ht="14.5" x14ac:dyDescent="0.25">
      <c r="A707" s="18">
        <v>696</v>
      </c>
      <c r="B707" s="19">
        <v>70000304</v>
      </c>
      <c r="C707" s="19">
        <v>175970</v>
      </c>
      <c r="D707" t="s" s="10">
        <v>192</v>
      </c>
      <c r="E707" t="s" s="9">
        <v>195</v>
      </c>
      <c r="F707" t="s" s="3">
        <v>717</v>
      </c>
      <c r="G707" t="s" s="10">
        <v>747</v>
      </c>
      <c r="H707" s="25">
        <v>44911</v>
      </c>
      <c r="I707" s="9">
        <f ca="1" t="shared" ref="I707" si="11">DATEDIF(H707,TODAY(),"Y")</f>
      </c>
      <c r="J707" s="14"/>
      <c r="K707" s="11"/>
      <c r="L707" s="11"/>
      <c r="M707" s="11"/>
      <c r="N707" s="103"/>
      <c r="O707" s="11"/>
      <c r="P707" s="11"/>
    </row>
    <row r="708" spans="1:16" ht="14.5" x14ac:dyDescent="0.25">
      <c r="A708" s="18">
        <v>697</v>
      </c>
      <c r="B708" s="19">
        <v>70000304</v>
      </c>
      <c r="C708" s="19">
        <v>175971</v>
      </c>
      <c r="D708" t="s" s="10">
        <v>192</v>
      </c>
      <c r="E708" t="s" s="9">
        <v>198</v>
      </c>
      <c r="F708" t="s" s="3">
        <v>718</v>
      </c>
      <c r="G708" t="s" s="10">
        <v>747</v>
      </c>
      <c r="H708" s="25">
        <v>45843</v>
      </c>
      <c r="I708" s="9">
        <f ca="1" t="shared" ref="I708:I726" si="12">DATEDIF(H708,TODAY(),"Y")</f>
      </c>
      <c r="J708" s="14"/>
      <c r="K708" s="11"/>
      <c r="L708" s="11"/>
      <c r="M708" s="11"/>
      <c r="N708" s="103"/>
      <c r="O708" s="11"/>
      <c r="P708" s="11"/>
    </row>
    <row r="709" spans="1:16" ht="14.5" x14ac:dyDescent="0.25">
      <c r="A709" s="18">
        <v>698</v>
      </c>
      <c r="B709" s="19">
        <v>70000303</v>
      </c>
      <c r="C709" s="19">
        <v>175972</v>
      </c>
      <c r="D709" t="s" s="10">
        <v>722</v>
      </c>
      <c r="E709" t="s" s="9">
        <v>195</v>
      </c>
      <c r="F709" t="s" s="3">
        <v>176</v>
      </c>
      <c r="G709" t="s" s="10">
        <v>747</v>
      </c>
      <c r="H709" s="25">
        <v>33058</v>
      </c>
      <c r="I709" s="9">
        <f ca="1" t="shared" si="12"/>
      </c>
      <c r="J709" s="14">
        <v>1</v>
      </c>
      <c r="K709" s="11">
        <v>2</v>
      </c>
      <c r="L709" s="11">
        <v>4</v>
      </c>
      <c r="M709" s="11"/>
      <c r="N709" s="103"/>
      <c r="O709" s="11"/>
      <c r="P709" s="11"/>
    </row>
    <row r="710" spans="1:16" ht="14.5" x14ac:dyDescent="0.25">
      <c r="A710" s="18">
        <v>699</v>
      </c>
      <c r="B710" s="19">
        <v>70000303</v>
      </c>
      <c r="C710" s="19">
        <v>175973</v>
      </c>
      <c r="D710" t="s" s="10">
        <v>608</v>
      </c>
      <c r="E710" t="s" s="9">
        <v>198</v>
      </c>
      <c r="F710" t="s" s="3">
        <v>719</v>
      </c>
      <c r="G710" t="s" s="10">
        <v>747</v>
      </c>
      <c r="H710" s="25">
        <v>34861</v>
      </c>
      <c r="I710" s="9">
        <f ca="1" t="shared" si="12"/>
      </c>
      <c r="J710" s="14"/>
      <c r="K710" s="11"/>
      <c r="L710" s="11"/>
      <c r="M710" s="11"/>
      <c r="N710" s="103"/>
      <c r="O710" s="11"/>
      <c r="P710" s="11"/>
    </row>
    <row r="711" spans="1:16" ht="14.5" x14ac:dyDescent="0.25">
      <c r="A711" s="18">
        <v>700</v>
      </c>
      <c r="B711" s="19">
        <v>70000303</v>
      </c>
      <c r="C711" s="19">
        <v>175974</v>
      </c>
      <c r="D711" t="s" s="10">
        <v>192</v>
      </c>
      <c r="E711" t="s" s="9">
        <v>198</v>
      </c>
      <c r="F711" t="s" s="3">
        <v>720</v>
      </c>
      <c r="G711" t="s" s="10">
        <v>747</v>
      </c>
      <c r="H711" s="25">
        <v>42844</v>
      </c>
      <c r="I711" s="9">
        <f ca="1" t="shared" si="12"/>
      </c>
      <c r="J711" s="14"/>
      <c r="K711" s="11"/>
      <c r="L711" s="11"/>
      <c r="M711" s="11"/>
      <c r="N711" s="103"/>
      <c r="O711" s="11"/>
      <c r="P711" s="11"/>
    </row>
    <row r="712" spans="1:16" ht="14.5" x14ac:dyDescent="0.25">
      <c r="A712" s="18">
        <v>701</v>
      </c>
      <c r="B712" s="19">
        <v>70000303</v>
      </c>
      <c r="C712" s="19">
        <v>175975</v>
      </c>
      <c r="D712" t="s" s="10">
        <v>192</v>
      </c>
      <c r="E712" t="s" s="9">
        <v>198</v>
      </c>
      <c r="F712" t="s" s="3">
        <v>721</v>
      </c>
      <c r="G712" t="s" s="10">
        <v>747</v>
      </c>
      <c r="H712" s="25">
        <v>45546</v>
      </c>
      <c r="I712" s="9">
        <f ca="1" t="shared" si="12"/>
      </c>
      <c r="J712" s="14"/>
      <c r="K712" s="11"/>
      <c r="L712" s="11"/>
      <c r="M712" s="11"/>
      <c r="N712" s="103"/>
      <c r="O712" s="11"/>
      <c r="P712" s="11"/>
    </row>
    <row r="713" spans="1:16" ht="14.5" x14ac:dyDescent="0.25">
      <c r="A713" s="18">
        <v>702</v>
      </c>
      <c r="B713" s="19">
        <v>70000308</v>
      </c>
      <c r="C713" s="19">
        <v>178039</v>
      </c>
      <c r="D713" t="s" s="10">
        <v>722</v>
      </c>
      <c r="E713" t="s" s="9">
        <v>195</v>
      </c>
      <c r="F713" t="s" s="3">
        <v>1</v>
      </c>
      <c r="G713" t="s" s="10">
        <v>0</v>
      </c>
      <c r="H713" s="25">
        <v>34369</v>
      </c>
      <c r="I713" s="9">
        <f ca="1" t="shared" si="12"/>
      </c>
      <c r="J713" s="14">
        <v>1</v>
      </c>
      <c r="K713" s="11">
        <v>1</v>
      </c>
      <c r="L713" s="11">
        <v>3</v>
      </c>
      <c r="M713" s="11"/>
      <c r="N713" s="103"/>
      <c r="O713" s="11"/>
      <c r="P713" s="11"/>
    </row>
    <row r="714" spans="1:16" ht="14.5" x14ac:dyDescent="0.25">
      <c r="A714" s="18">
        <v>706</v>
      </c>
      <c r="B714" s="19">
        <v>70000308</v>
      </c>
      <c r="C714" s="19">
        <v>178040</v>
      </c>
      <c r="D714" t="s" s="10">
        <v>191</v>
      </c>
      <c r="E714" t="s" s="9">
        <v>198</v>
      </c>
      <c r="F714" t="s" s="3">
        <v>770</v>
      </c>
      <c r="G714" t="s" s="10">
        <v>0</v>
      </c>
      <c r="H714" s="25">
        <v>36041</v>
      </c>
      <c r="I714" s="9">
        <f ca="1" t="shared" si="12"/>
      </c>
      <c r="J714" s="14"/>
      <c r="K714" s="11"/>
      <c r="L714" s="11"/>
      <c r="M714" s="11"/>
      <c r="N714" t="s" s="103">
        <v>796</v>
      </c>
      <c r="O714" s="11"/>
      <c r="P714" s="11"/>
    </row>
    <row r="715" spans="1:16" ht="14.5" x14ac:dyDescent="0.25">
      <c r="A715" s="18">
        <v>707</v>
      </c>
      <c r="B715" s="19">
        <v>70000308</v>
      </c>
      <c r="C715" s="19">
        <v>178041</v>
      </c>
      <c r="D715" t="s" s="10">
        <v>192</v>
      </c>
      <c r="E715" t="s" s="9">
        <v>198</v>
      </c>
      <c r="F715" t="s" s="3">
        <v>771</v>
      </c>
      <c r="G715" t="s" s="10">
        <v>0</v>
      </c>
      <c r="H715" s="25">
        <v>45873</v>
      </c>
      <c r="I715" s="9">
        <f ca="1" t="shared" si="12"/>
      </c>
      <c r="J715" s="14"/>
      <c r="K715" s="11"/>
      <c r="L715" s="11"/>
      <c r="M715" s="11"/>
      <c r="N715" t="s" s="103">
        <v>796</v>
      </c>
      <c r="O715" s="11"/>
      <c r="P715" s="11"/>
    </row>
    <row r="716" spans="1:16" ht="14.5" x14ac:dyDescent="0.25">
      <c r="A716" s="18">
        <v>703</v>
      </c>
      <c r="B716" s="19">
        <v>70000306</v>
      </c>
      <c r="C716" s="19">
        <v>177845</v>
      </c>
      <c r="D716" t="s" s="10">
        <v>722</v>
      </c>
      <c r="E716" t="s" s="9">
        <v>195</v>
      </c>
      <c r="F716" t="s" s="3">
        <v>2</v>
      </c>
      <c r="G716" t="s" s="10">
        <v>0</v>
      </c>
      <c r="H716" s="25">
        <v>33058</v>
      </c>
      <c r="I716" s="9">
        <f ca="1" t="shared" si="12"/>
      </c>
      <c r="J716" s="14">
        <v>1</v>
      </c>
      <c r="K716" s="11">
        <v>3</v>
      </c>
      <c r="L716" s="11">
        <v>5</v>
      </c>
      <c r="M716" s="11"/>
      <c r="N716" s="103"/>
      <c r="O716" s="11"/>
      <c r="P716" s="11"/>
    </row>
    <row r="717" spans="1:16" ht="14.5" x14ac:dyDescent="0.25">
      <c r="A717" s="18">
        <v>718</v>
      </c>
      <c r="B717" s="19">
        <v>70000306</v>
      </c>
      <c r="C717" s="19">
        <v>177849</v>
      </c>
      <c r="D717" t="s" s="10">
        <v>192</v>
      </c>
      <c r="E717" t="s" s="9">
        <v>195</v>
      </c>
      <c r="F717" t="s" s="3">
        <v>789</v>
      </c>
      <c r="G717" t="s" s="10">
        <v>0</v>
      </c>
      <c r="H717" s="25">
        <v>45097</v>
      </c>
      <c r="I717" s="9">
        <f ca="1" t="shared" si="12"/>
      </c>
      <c r="J717" s="14"/>
      <c r="K717" s="11"/>
      <c r="L717" s="11"/>
      <c r="M717" t="s" s="11">
        <v>781</v>
      </c>
      <c r="N717" s="103"/>
      <c r="O717" s="11"/>
      <c r="P717" s="11"/>
    </row>
    <row r="718" spans="1:16" ht="14.5" x14ac:dyDescent="0.25">
      <c r="A718" s="18">
        <v>722</v>
      </c>
      <c r="B718" s="19">
        <v>70000306</v>
      </c>
      <c r="C718" s="19">
        <v>177848</v>
      </c>
      <c r="D718" t="s" s="10">
        <v>192</v>
      </c>
      <c r="E718" t="s" s="9">
        <v>198</v>
      </c>
      <c r="F718" t="s" s="3">
        <v>790</v>
      </c>
      <c r="G718" t="s" s="10">
        <v>0</v>
      </c>
      <c r="H718" s="25">
        <v>44407</v>
      </c>
      <c r="I718" s="9">
        <f ca="1" t="shared" si="12"/>
      </c>
      <c r="J718" s="14"/>
      <c r="K718" s="11"/>
      <c r="L718" s="11"/>
      <c r="M718" t="s" s="11">
        <v>781</v>
      </c>
      <c r="N718" s="103"/>
      <c r="O718" s="11"/>
      <c r="P718" s="11"/>
    </row>
    <row r="719" spans="1:16" ht="14.5" x14ac:dyDescent="0.25">
      <c r="A719" s="18">
        <v>724</v>
      </c>
      <c r="B719" s="19">
        <v>70000306</v>
      </c>
      <c r="C719" s="19">
        <v>177847</v>
      </c>
      <c r="D719" t="s" s="10">
        <v>192</v>
      </c>
      <c r="E719" t="s" s="9">
        <v>198</v>
      </c>
      <c r="F719" t="s" s="3">
        <v>791</v>
      </c>
      <c r="G719" t="s" s="10">
        <v>0</v>
      </c>
      <c r="H719" s="25">
        <v>46119</v>
      </c>
      <c r="I719" s="9">
        <f ca="1" t="shared" si="12"/>
      </c>
      <c r="J719" s="14"/>
      <c r="K719" s="11"/>
      <c r="L719" s="11"/>
      <c r="M719" t="s" s="11">
        <v>781</v>
      </c>
      <c r="N719" s="103"/>
      <c r="O719" s="11"/>
      <c r="P719" s="11"/>
    </row>
    <row r="720" spans="1:16" ht="14.5" x14ac:dyDescent="0.25">
      <c r="A720" s="18">
        <v>726</v>
      </c>
      <c r="B720" s="19">
        <v>70000306</v>
      </c>
      <c r="C720" s="19">
        <v>177846</v>
      </c>
      <c r="D720" t="s" s="10">
        <v>608</v>
      </c>
      <c r="E720" t="s" s="9">
        <v>198</v>
      </c>
      <c r="F720" t="s" s="3">
        <v>792</v>
      </c>
      <c r="G720" t="s" s="10">
        <v>0</v>
      </c>
      <c r="H720" s="25">
        <v>33877</v>
      </c>
      <c r="I720" s="9">
        <f ca="1" t="shared" si="12"/>
      </c>
      <c r="J720" s="14"/>
      <c r="K720" s="11"/>
      <c r="L720" s="11"/>
      <c r="M720" t="s" s="11">
        <v>781</v>
      </c>
      <c r="N720" s="103"/>
      <c r="O720" s="11"/>
      <c r="P720" s="11"/>
    </row>
    <row r="721" spans="1:16" ht="14.5" x14ac:dyDescent="0.25">
      <c r="A721" s="18">
        <v>704</v>
      </c>
      <c r="B721" s="19">
        <v>70000309</v>
      </c>
      <c r="C721" s="19">
        <v>178004</v>
      </c>
      <c r="D721" t="s" s="10">
        <v>722</v>
      </c>
      <c r="E721" t="s" s="9">
        <v>195</v>
      </c>
      <c r="F721" t="s" s="3">
        <v>772</v>
      </c>
      <c r="G721" t="s" s="10">
        <v>0</v>
      </c>
      <c r="H721" s="25">
        <v>31161</v>
      </c>
      <c r="I721" s="9">
        <f ca="1" t="shared" si="12"/>
      </c>
      <c r="J721" s="14">
        <v>1</v>
      </c>
      <c r="K721" s="11">
        <v>2</v>
      </c>
      <c r="L721" s="11">
        <v>4</v>
      </c>
      <c r="M721" s="11"/>
      <c r="N721" s="103"/>
      <c r="O721" s="11"/>
      <c r="P721" s="11"/>
    </row>
    <row r="722" spans="1:16" ht="14.5" x14ac:dyDescent="0.25">
      <c r="A722" s="18">
        <v>712</v>
      </c>
      <c r="B722" s="19">
        <v>70000309</v>
      </c>
      <c r="C722" s="19">
        <v>178005</v>
      </c>
      <c r="D722" t="s" s="10">
        <v>191</v>
      </c>
      <c r="E722" t="s" s="9">
        <v>198</v>
      </c>
      <c r="F722" t="s" s="3">
        <v>774</v>
      </c>
      <c r="G722" t="s" s="10">
        <v>0</v>
      </c>
      <c r="H722" s="25">
        <v>33863</v>
      </c>
      <c r="I722" s="9">
        <f ca="1" t="shared" si="12"/>
      </c>
      <c r="J722" s="14"/>
      <c r="K722" s="11"/>
      <c r="L722" s="11"/>
      <c r="M722" s="11"/>
      <c r="N722" t="s" s="103">
        <v>773</v>
      </c>
      <c r="O722" s="11"/>
      <c r="P722" s="11"/>
    </row>
    <row r="723" spans="1:16" ht="14.5" x14ac:dyDescent="0.25">
      <c r="A723" s="18">
        <v>713</v>
      </c>
      <c r="B723" s="19">
        <v>70000309</v>
      </c>
      <c r="C723" s="19">
        <v>178006</v>
      </c>
      <c r="D723" t="s" s="10">
        <v>192</v>
      </c>
      <c r="E723" t="s" s="9">
        <v>198</v>
      </c>
      <c r="F723" t="s" s="3">
        <v>776</v>
      </c>
      <c r="G723" t="s" s="10">
        <v>0</v>
      </c>
      <c r="H723" s="25">
        <v>42177</v>
      </c>
      <c r="I723" s="9">
        <f ca="1" t="shared" si="12"/>
      </c>
      <c r="J723" s="14"/>
      <c r="K723" s="11"/>
      <c r="L723" s="11"/>
      <c r="M723" s="11"/>
      <c r="N723" t="s" s="103">
        <v>775</v>
      </c>
      <c r="O723" s="11"/>
      <c r="P723" s="11"/>
    </row>
    <row r="724" spans="1:16" ht="14.5" x14ac:dyDescent="0.25">
      <c r="A724" s="18">
        <v>714</v>
      </c>
      <c r="B724" s="19">
        <v>70000309</v>
      </c>
      <c r="C724" s="19">
        <v>178007</v>
      </c>
      <c r="D724" t="s" s="10">
        <v>192</v>
      </c>
      <c r="E724" t="s" s="9">
        <v>195</v>
      </c>
      <c r="F724" t="s" s="3">
        <v>777</v>
      </c>
      <c r="G724" t="s" s="10">
        <v>0</v>
      </c>
      <c r="H724" s="25">
        <v>43917</v>
      </c>
      <c r="I724" s="9">
        <f ca="1" t="shared" si="12"/>
      </c>
      <c r="J724" s="14"/>
      <c r="K724" s="11"/>
      <c r="L724" s="11"/>
      <c r="M724" s="11"/>
      <c r="N724" t="s" s="103">
        <v>775</v>
      </c>
      <c r="O724" s="11"/>
      <c r="P724" s="11"/>
    </row>
    <row r="725" spans="1:16" ht="14.5" x14ac:dyDescent="0.25">
      <c r="A725" s="18">
        <v>705</v>
      </c>
      <c r="B725" s="19">
        <v>70000307</v>
      </c>
      <c r="C725" s="19">
        <v>178003</v>
      </c>
      <c r="D725" t="s" s="10">
        <v>722</v>
      </c>
      <c r="E725" t="s" s="9">
        <v>195</v>
      </c>
      <c r="F725" t="s" s="3">
        <v>3</v>
      </c>
      <c r="G725" t="s" s="10">
        <v>177</v>
      </c>
      <c r="H725" s="25">
        <v>36995</v>
      </c>
      <c r="I725" s="9">
        <f ca="1" t="shared" si="12"/>
      </c>
      <c r="J725" s="14">
        <v>0</v>
      </c>
      <c r="K725" s="11">
        <v>0</v>
      </c>
      <c r="L725" s="11">
        <v>1</v>
      </c>
      <c r="M725" s="11"/>
      <c r="N725" s="103"/>
      <c r="O725" s="11"/>
      <c r="P725" s="11"/>
    </row>
    <row r="726" spans="1:16" ht="14.5" x14ac:dyDescent="0.25">
      <c r="A726" s="18"/>
      <c r="B726" s="19"/>
      <c r="C726" s="19"/>
      <c r="D726" s="10"/>
      <c r="E726" s="9"/>
      <c r="F726" s="3"/>
      <c r="G726" s="10"/>
      <c r="H726" s="25"/>
      <c r="I726" s="9"/>
      <c r="J726" s="14"/>
      <c r="K726" s="11"/>
      <c r="L726" s="11"/>
      <c r="M726" s="11"/>
      <c r="N726" s="103"/>
      <c r="O726" s="11"/>
      <c r="P726" s="11"/>
    </row>
    <row r="727" spans="1:16" ht="14.5" x14ac:dyDescent="0.25">
      <c r="A727" s="18"/>
      <c r="B727" s="19"/>
      <c r="C727" s="19"/>
      <c r="D727" s="10"/>
      <c r="E727" s="9"/>
      <c r="F727" s="3"/>
      <c r="G727" s="10"/>
      <c r="H727" s="25"/>
      <c r="I727" s="9"/>
      <c r="J727" s="14"/>
      <c r="K727" s="11"/>
      <c r="L727" s="11"/>
      <c r="M727" s="11"/>
      <c r="N727" s="103"/>
      <c r="O727" s="11"/>
      <c r="P727" s="11"/>
    </row>
    <row r="728" spans="1:16" ht="14.5" x14ac:dyDescent="0.25">
      <c r="A728" s="18"/>
      <c r="B728" s="19"/>
      <c r="C728" s="19"/>
      <c r="D728" s="10"/>
      <c r="E728" s="9"/>
      <c r="F728" s="3"/>
      <c r="G728" s="10"/>
      <c r="H728" s="25"/>
      <c r="I728" s="9"/>
      <c r="J728" s="14"/>
      <c r="K728" s="11"/>
      <c r="L728" s="11"/>
      <c r="M728" s="11"/>
      <c r="N728" s="103"/>
      <c r="O728" s="11"/>
      <c r="P728" s="11"/>
    </row>
    <row r="729" spans="1:16" ht="14.5" x14ac:dyDescent="0.25">
      <c r="A729" s="18"/>
      <c r="B729" s="19"/>
      <c r="C729" s="19"/>
      <c r="D729" s="10"/>
      <c r="E729" s="9"/>
      <c r="F729" s="3"/>
      <c r="G729" s="10"/>
      <c r="H729" s="25"/>
      <c r="I729" s="9"/>
      <c r="J729" s="14"/>
      <c r="K729" s="11"/>
      <c r="L729" s="11"/>
      <c r="M729" s="11"/>
      <c r="N729" s="103"/>
      <c r="O729" s="11"/>
      <c r="P729" s="11"/>
    </row>
    <row r="730" spans="1:16" ht="14.5" x14ac:dyDescent="0.25">
      <c r="A730" s="18"/>
      <c r="B730" s="19"/>
      <c r="C730" s="19"/>
      <c r="D730" s="10"/>
      <c r="E730" s="9"/>
      <c r="F730" s="3"/>
      <c r="G730" s="10"/>
      <c r="H730" s="25"/>
      <c r="I730" s="9"/>
      <c r="J730" s="14"/>
      <c r="K730" s="11"/>
      <c r="L730" s="11"/>
      <c r="M730" s="11"/>
      <c r="N730" s="103"/>
      <c r="O730" s="11"/>
      <c r="P730" s="11"/>
    </row>
    <row r="731" spans="1:16" ht="14.5" x14ac:dyDescent="0.25">
      <c r="A731" s="18"/>
      <c r="B731" s="19"/>
      <c r="C731" s="19"/>
      <c r="D731" s="10"/>
      <c r="E731" s="9"/>
      <c r="F731" s="3"/>
      <c r="G731" s="10"/>
      <c r="H731" s="25"/>
      <c r="I731" s="9"/>
      <c r="J731" s="14"/>
      <c r="K731" s="11"/>
      <c r="L731" s="11"/>
      <c r="M731" s="11"/>
      <c r="N731" s="103"/>
      <c r="O731" s="11"/>
      <c r="P731" s="11"/>
    </row>
    <row r="732" spans="1:16" ht="14.5" x14ac:dyDescent="0.25">
      <c r="A732" s="18"/>
      <c r="B732" s="19"/>
      <c r="C732" s="19"/>
      <c r="D732" s="10"/>
      <c r="E732" s="9"/>
      <c r="F732" s="3"/>
      <c r="G732" s="10"/>
      <c r="H732" s="25"/>
      <c r="I732" s="9"/>
      <c r="J732" s="14"/>
      <c r="K732" s="11"/>
      <c r="L732" s="11"/>
      <c r="M732" s="11"/>
      <c r="N732" s="103"/>
      <c r="O732" s="11"/>
      <c r="P732" s="11"/>
    </row>
    <row r="733" spans="1:16" ht="14.5" x14ac:dyDescent="0.25">
      <c r="A733" s="18"/>
      <c r="B733" s="19"/>
      <c r="C733" s="19"/>
      <c r="D733" s="10"/>
      <c r="E733" s="9"/>
      <c r="F733" s="3"/>
      <c r="G733" s="10"/>
      <c r="H733" s="25"/>
      <c r="I733" s="9"/>
      <c r="J733" s="14"/>
      <c r="K733" s="11"/>
      <c r="L733" s="11"/>
      <c r="M733" s="11"/>
      <c r="N733" s="103"/>
      <c r="O733" s="11"/>
      <c r="P733" s="11"/>
    </row>
    <row r="734" spans="1:16" ht="14.5" x14ac:dyDescent="0.25">
      <c r="A734" s="18"/>
      <c r="B734" s="19"/>
      <c r="C734" s="19"/>
      <c r="D734" s="10"/>
      <c r="E734" s="9"/>
      <c r="F734" s="3"/>
      <c r="G734" s="10"/>
      <c r="H734" s="25"/>
      <c r="I734" s="9"/>
      <c r="J734" s="14"/>
      <c r="K734" s="11"/>
      <c r="L734" s="11"/>
      <c r="M734" s="11"/>
      <c r="N734" s="103"/>
      <c r="O734" s="11"/>
      <c r="P734" s="11"/>
    </row>
    <row r="735" spans="1:16" ht="14.5" x14ac:dyDescent="0.25">
      <c r="A735" s="18"/>
      <c r="B735" s="19"/>
      <c r="C735" s="19"/>
      <c r="D735" s="10"/>
      <c r="E735" s="9"/>
      <c r="F735" s="3"/>
      <c r="G735" s="10"/>
      <c r="H735" s="25"/>
      <c r="I735" s="9"/>
      <c r="J735" s="14"/>
      <c r="K735" s="11"/>
      <c r="L735" s="11"/>
      <c r="M735" s="11"/>
      <c r="N735" s="103"/>
      <c r="O735" s="11"/>
      <c r="P735" s="11"/>
    </row>
    <row r="736" spans="1:16" ht="14.5" x14ac:dyDescent="0.25">
      <c r="A736" s="18"/>
      <c r="B736" s="19"/>
      <c r="C736" s="19"/>
      <c r="D736" s="10"/>
      <c r="E736" s="9"/>
      <c r="F736" s="3"/>
      <c r="G736" s="10"/>
      <c r="H736" s="25"/>
      <c r="I736" s="9"/>
      <c r="J736" s="14"/>
      <c r="K736" s="11"/>
      <c r="L736" s="11"/>
      <c r="M736" s="11"/>
      <c r="N736" s="103"/>
      <c r="O736" s="11"/>
      <c r="P736" s="11"/>
    </row>
    <row r="737" spans="1:16" ht="14.5" x14ac:dyDescent="0.25">
      <c r="A737" s="18"/>
      <c r="B737" s="19"/>
      <c r="C737" s="19"/>
      <c r="D737" s="10"/>
      <c r="E737" s="9"/>
      <c r="F737" s="3"/>
      <c r="G737" s="10"/>
      <c r="H737" s="25"/>
      <c r="I737" s="9"/>
      <c r="J737" s="14"/>
      <c r="K737" s="11"/>
      <c r="L737" s="11"/>
      <c r="M737" s="11"/>
      <c r="N737" s="103"/>
      <c r="O737" s="11"/>
      <c r="P737" s="11"/>
    </row>
    <row r="738" spans="1:16" ht="14.5" x14ac:dyDescent="0.25">
      <c r="A738" s="18"/>
      <c r="B738" s="19"/>
      <c r="C738" s="19"/>
      <c r="D738" s="10"/>
      <c r="E738" s="9"/>
      <c r="F738" s="3"/>
      <c r="G738" s="10"/>
      <c r="H738" s="25"/>
      <c r="I738" s="9"/>
      <c r="J738" s="14"/>
      <c r="K738" s="11"/>
      <c r="L738" s="11"/>
      <c r="M738" s="11"/>
      <c r="N738" s="103"/>
      <c r="O738" s="11"/>
      <c r="P738" s="11"/>
    </row>
    <row r="739" spans="1:16" ht="14.5" x14ac:dyDescent="0.25">
      <c r="A739" s="18"/>
      <c r="B739" s="19"/>
      <c r="C739" s="19"/>
      <c r="D739" s="10"/>
      <c r="E739" s="9"/>
      <c r="F739" s="3"/>
      <c r="G739" s="10"/>
      <c r="H739" s="25"/>
      <c r="I739" s="9"/>
      <c r="J739" s="14"/>
      <c r="K739" s="11"/>
      <c r="L739" s="11"/>
      <c r="M739" s="11"/>
      <c r="N739" s="103"/>
      <c r="O739" s="11"/>
      <c r="P739" s="11"/>
    </row>
    <row r="740" spans="1:16" ht="14.5" x14ac:dyDescent="0.25">
      <c r="A740" s="18"/>
      <c r="B740" s="19"/>
      <c r="C740" s="19"/>
      <c r="D740" s="10"/>
      <c r="E740" s="9"/>
      <c r="F740" s="3"/>
      <c r="G740" s="10"/>
      <c r="H740" s="25"/>
      <c r="I740" s="9"/>
      <c r="J740" s="14"/>
      <c r="K740" s="11"/>
      <c r="L740" s="11"/>
      <c r="M740" s="11"/>
      <c r="N740" s="103"/>
      <c r="O740" s="11"/>
      <c r="P740" s="11"/>
    </row>
    <row r="741" spans="1:16" ht="14.5" x14ac:dyDescent="0.25">
      <c r="A741" s="18"/>
      <c r="B741" s="19"/>
      <c r="C741" s="19"/>
      <c r="D741" s="10"/>
      <c r="E741" s="9"/>
      <c r="F741" s="3"/>
      <c r="G741" s="10"/>
      <c r="H741" s="25"/>
      <c r="I741" s="9"/>
      <c r="J741" s="14"/>
      <c r="K741" s="11"/>
      <c r="L741" s="11"/>
      <c r="M741" s="11"/>
      <c r="N741" s="103"/>
      <c r="O741" s="11"/>
      <c r="P741" s="11"/>
    </row>
    <row r="742" spans="1:16" ht="14.5" x14ac:dyDescent="0.25">
      <c r="A742" s="18"/>
      <c r="B742" s="19"/>
      <c r="C742" s="19"/>
      <c r="D742" s="10"/>
      <c r="E742" s="9"/>
      <c r="F742" s="3"/>
      <c r="G742" s="10"/>
      <c r="H742" s="25"/>
      <c r="I742" s="9"/>
      <c r="J742" s="14"/>
      <c r="K742" s="11"/>
      <c r="L742" s="11"/>
      <c r="M742" s="11"/>
      <c r="N742" s="103"/>
      <c r="O742" s="11"/>
      <c r="P742" s="11"/>
    </row>
    <row r="743" spans="1:16" ht="14.5" x14ac:dyDescent="0.25">
      <c r="A743" s="18"/>
      <c r="B743" s="19"/>
      <c r="C743" s="19"/>
      <c r="D743" s="10"/>
      <c r="E743" s="9"/>
      <c r="F743" s="3"/>
      <c r="G743" s="10"/>
      <c r="H743" s="25"/>
      <c r="I743" s="9"/>
      <c r="J743" s="14"/>
      <c r="K743" s="11"/>
      <c r="L743" s="11"/>
      <c r="M743" s="11"/>
      <c r="N743" s="103"/>
      <c r="O743" s="11"/>
      <c r="P743" s="11"/>
    </row>
    <row r="744" spans="1:16" ht="14.5" x14ac:dyDescent="0.25">
      <c r="A744" s="18"/>
      <c r="B744" s="19"/>
      <c r="C744" s="19"/>
      <c r="D744" s="10"/>
      <c r="E744" s="9"/>
      <c r="F744" s="3"/>
      <c r="G744" s="10"/>
      <c r="H744" s="25"/>
      <c r="I744" s="9"/>
      <c r="J744" s="14"/>
      <c r="K744" s="11"/>
      <c r="L744" s="11"/>
      <c r="M744" s="11"/>
      <c r="N744" s="103"/>
      <c r="O744" s="11"/>
      <c r="P744" s="11"/>
    </row>
    <row r="745" spans="1:16" ht="14.5" x14ac:dyDescent="0.25">
      <c r="A745" s="18"/>
      <c r="B745" s="19"/>
      <c r="C745" s="19"/>
      <c r="D745" s="10"/>
      <c r="E745" s="9"/>
      <c r="F745" s="3"/>
      <c r="G745" s="10"/>
      <c r="H745" s="25"/>
      <c r="I745" s="9"/>
      <c r="J745" s="14"/>
      <c r="K745" s="11"/>
      <c r="L745" s="11"/>
      <c r="M745" s="11"/>
      <c r="N745" s="103"/>
      <c r="O745" s="11"/>
      <c r="P745" s="11"/>
    </row>
    <row r="746" spans="1:16" ht="14.5" x14ac:dyDescent="0.25">
      <c r="A746" s="18"/>
      <c r="B746" s="19"/>
      <c r="C746" s="19"/>
      <c r="D746" s="10"/>
      <c r="E746" s="9"/>
      <c r="F746" s="3"/>
      <c r="G746" s="10"/>
      <c r="H746" s="25"/>
      <c r="I746" s="9"/>
      <c r="J746" s="14"/>
      <c r="K746" s="11"/>
      <c r="L746" s="11"/>
      <c r="M746" s="11"/>
      <c r="N746" s="103"/>
      <c r="O746" s="11"/>
      <c r="P746" s="11"/>
    </row>
    <row r="747" spans="1:16" ht="14.5" x14ac:dyDescent="0.25">
      <c r="A747" s="18"/>
      <c r="B747" s="19"/>
      <c r="C747" s="19"/>
      <c r="D747" s="10"/>
      <c r="E747" s="9"/>
      <c r="F747" s="3"/>
      <c r="G747" s="10"/>
      <c r="H747" s="25"/>
      <c r="I747" s="9"/>
      <c r="J747" s="14"/>
      <c r="K747" s="11"/>
      <c r="L747" s="11"/>
      <c r="M747" s="11"/>
      <c r="N747" s="103"/>
      <c r="O747" s="11"/>
      <c r="P747" s="11"/>
    </row>
    <row r="748" spans="1:16" ht="14.5" x14ac:dyDescent="0.25">
      <c r="A748" s="18"/>
      <c r="B748" s="19"/>
      <c r="C748" s="19"/>
      <c r="D748" s="10"/>
      <c r="E748" s="9"/>
      <c r="F748" s="3"/>
      <c r="G748" s="10"/>
      <c r="H748" s="25"/>
      <c r="I748" s="9"/>
      <c r="J748" s="14"/>
      <c r="K748" s="11"/>
      <c r="L748" s="11"/>
      <c r="M748" s="11"/>
      <c r="N748" s="103"/>
      <c r="O748" s="11"/>
      <c r="P748" s="11"/>
    </row>
    <row r="749" spans="1:16" ht="14.5" x14ac:dyDescent="0.25">
      <c r="A749" s="18"/>
      <c r="B749" s="19"/>
      <c r="C749" s="19"/>
      <c r="D749" s="10"/>
      <c r="E749" s="9"/>
      <c r="F749" s="3"/>
      <c r="G749" s="10"/>
      <c r="H749" s="25"/>
      <c r="I749" s="9"/>
      <c r="J749" s="14"/>
      <c r="K749" s="11"/>
      <c r="L749" s="11"/>
      <c r="M749" s="11"/>
      <c r="N749" s="103"/>
      <c r="O749" s="11"/>
      <c r="P749" s="11"/>
    </row>
    <row r="750" spans="1:16" ht="14.5" x14ac:dyDescent="0.25">
      <c r="A750" s="18"/>
      <c r="B750" s="19"/>
      <c r="C750" s="19"/>
      <c r="D750" s="10"/>
      <c r="E750" s="9"/>
      <c r="F750" s="3"/>
      <c r="G750" s="10"/>
      <c r="H750" s="25"/>
      <c r="I750" s="9"/>
      <c r="J750" s="14"/>
      <c r="K750" s="11"/>
      <c r="L750" s="11"/>
      <c r="M750" s="11"/>
      <c r="N750" s="103"/>
      <c r="O750" s="11"/>
      <c r="P750" s="11"/>
    </row>
    <row r="751" spans="1:16" ht="14.5" x14ac:dyDescent="0.25">
      <c r="A751" s="18"/>
      <c r="B751" s="19"/>
      <c r="C751" s="19"/>
      <c r="D751" s="10"/>
      <c r="E751" s="9"/>
      <c r="F751" s="3"/>
      <c r="G751" s="10"/>
      <c r="H751" s="25"/>
      <c r="I751" s="9"/>
      <c r="J751" s="14"/>
      <c r="K751" s="11"/>
      <c r="L751" s="11"/>
      <c r="M751" s="11"/>
      <c r="N751" s="103"/>
      <c r="O751" s="11"/>
      <c r="P751" s="11"/>
    </row>
    <row r="752" spans="1:16" ht="14.5" x14ac:dyDescent="0.25">
      <c r="A752" s="18"/>
      <c r="B752" s="19"/>
      <c r="C752" s="19"/>
      <c r="D752" s="10"/>
      <c r="E752" s="9"/>
      <c r="F752" s="3"/>
      <c r="G752" s="10"/>
      <c r="H752" s="25"/>
      <c r="I752" s="9"/>
      <c r="J752" s="14"/>
      <c r="K752" s="11"/>
      <c r="L752" s="11"/>
      <c r="M752" s="11"/>
      <c r="N752" s="103"/>
      <c r="O752" s="11"/>
      <c r="P752" s="11"/>
    </row>
    <row r="753" spans="1:16" ht="14.5" x14ac:dyDescent="0.25">
      <c r="A753" s="18"/>
      <c r="B753" s="19"/>
      <c r="C753" s="19"/>
      <c r="D753" s="10"/>
      <c r="E753" s="9"/>
      <c r="F753" s="3"/>
      <c r="G753" s="10"/>
      <c r="H753" s="25"/>
      <c r="I753" s="9"/>
      <c r="J753" s="14"/>
      <c r="K753" s="11"/>
      <c r="L753" s="11"/>
      <c r="M753" s="11"/>
      <c r="N753" s="103"/>
      <c r="O753" s="11"/>
      <c r="P753" s="11"/>
    </row>
    <row r="754" spans="1:16" ht="14.5" x14ac:dyDescent="0.25">
      <c r="A754" s="18"/>
      <c r="B754" s="19"/>
      <c r="C754" s="19"/>
      <c r="D754" s="10"/>
      <c r="E754" s="9"/>
      <c r="F754" s="3"/>
      <c r="G754" s="10"/>
      <c r="H754" s="25"/>
      <c r="I754" s="9"/>
      <c r="J754" s="14"/>
      <c r="K754" s="11"/>
      <c r="L754" s="11"/>
      <c r="M754" s="11"/>
      <c r="N754" s="103"/>
      <c r="O754" s="11"/>
      <c r="P754" s="11"/>
    </row>
    <row r="755" spans="1:16" ht="14.5" x14ac:dyDescent="0.25">
      <c r="A755" s="18"/>
      <c r="B755" s="19"/>
      <c r="C755" s="19"/>
      <c r="D755" s="10"/>
      <c r="E755" s="9"/>
      <c r="F755" s="3"/>
      <c r="G755" s="10"/>
      <c r="H755" s="25"/>
      <c r="I755" s="9"/>
      <c r="J755" s="14"/>
      <c r="K755" s="11"/>
      <c r="L755" s="11"/>
      <c r="M755" s="11"/>
      <c r="N755" s="103"/>
      <c r="O755" s="11"/>
      <c r="P755" s="11"/>
    </row>
    <row r="756" spans="1:16" ht="14.5" x14ac:dyDescent="0.25">
      <c r="A756" s="18"/>
      <c r="B756" s="19"/>
      <c r="C756" s="19"/>
      <c r="D756" s="10"/>
      <c r="E756" s="9"/>
      <c r="F756" s="3"/>
      <c r="G756" s="10"/>
      <c r="H756" s="25"/>
      <c r="I756" s="9"/>
      <c r="J756" s="14"/>
      <c r="K756" s="11"/>
      <c r="L756" s="11"/>
      <c r="M756" s="11"/>
      <c r="N756" s="103"/>
      <c r="O756" s="11"/>
      <c r="P756" s="11"/>
    </row>
    <row r="757" spans="1:16" ht="14.5" x14ac:dyDescent="0.25">
      <c r="A757" s="18"/>
      <c r="B757" s="19"/>
      <c r="C757" s="19"/>
      <c r="D757" s="10"/>
      <c r="E757" s="9"/>
      <c r="F757" s="3"/>
      <c r="G757" s="10"/>
      <c r="H757" s="25"/>
      <c r="I757" s="9"/>
      <c r="J757" s="14"/>
      <c r="K757" s="11"/>
      <c r="L757" s="11"/>
      <c r="M757" s="11"/>
      <c r="N757" s="103"/>
      <c r="O757" s="11"/>
      <c r="P757" s="11"/>
    </row>
    <row r="758" spans="1:16" ht="14.5" x14ac:dyDescent="0.25">
      <c r="A758" s="18"/>
      <c r="B758" s="19"/>
      <c r="C758" s="19"/>
      <c r="D758" s="10"/>
      <c r="E758" s="9"/>
      <c r="F758" s="3"/>
      <c r="G758" s="10"/>
      <c r="H758" s="25"/>
      <c r="I758" s="9"/>
      <c r="J758" s="14"/>
      <c r="K758" s="11"/>
      <c r="L758" s="11"/>
      <c r="M758" s="11"/>
      <c r="N758" s="103"/>
      <c r="O758" s="11"/>
      <c r="P758" s="11"/>
    </row>
    <row r="759" spans="1:16" ht="14.5" x14ac:dyDescent="0.25">
      <c r="A759" s="18"/>
      <c r="B759" s="19"/>
      <c r="C759" s="19"/>
      <c r="D759" s="10"/>
      <c r="E759" s="9"/>
      <c r="F759" s="3"/>
      <c r="G759" s="10"/>
      <c r="H759" s="25"/>
      <c r="I759" s="9"/>
      <c r="J759" s="14"/>
      <c r="K759" s="11"/>
      <c r="L759" s="11"/>
      <c r="M759" s="11"/>
      <c r="N759" s="103"/>
      <c r="O759" s="11"/>
      <c r="P759" s="11"/>
    </row>
    <row r="760" spans="1:16" ht="14.5" x14ac:dyDescent="0.25">
      <c r="A760" s="18"/>
      <c r="B760" s="19"/>
      <c r="C760" s="19"/>
      <c r="D760" s="10"/>
      <c r="E760" s="9"/>
      <c r="F760" s="3"/>
      <c r="G760" s="10"/>
      <c r="H760" s="25"/>
      <c r="I760" s="9"/>
      <c r="J760" s="14"/>
      <c r="K760" s="11"/>
      <c r="L760" s="11"/>
      <c r="M760" s="11"/>
      <c r="N760" s="103"/>
      <c r="O760" s="11"/>
      <c r="P760" s="11"/>
    </row>
    <row r="761" spans="1:16" ht="14.5" x14ac:dyDescent="0.25">
      <c r="A761" s="18"/>
      <c r="B761" s="19"/>
      <c r="C761" s="19"/>
      <c r="D761" s="10"/>
      <c r="E761" s="9"/>
      <c r="F761" s="3"/>
      <c r="G761" s="10"/>
      <c r="H761" s="25"/>
      <c r="I761" s="9"/>
      <c r="J761" s="14"/>
      <c r="K761" s="11"/>
      <c r="L761" s="11"/>
      <c r="M761" s="11"/>
      <c r="N761" s="103"/>
      <c r="O761" s="11"/>
      <c r="P761" s="11"/>
    </row>
    <row r="762" spans="1:16" ht="14.5" x14ac:dyDescent="0.25">
      <c r="A762" s="18"/>
      <c r="B762" s="19"/>
      <c r="C762" s="19"/>
      <c r="D762" s="10"/>
      <c r="E762" s="9"/>
      <c r="F762" s="3"/>
      <c r="G762" s="10"/>
      <c r="H762" s="25"/>
      <c r="I762" s="9"/>
      <c r="J762" s="14"/>
      <c r="K762" s="11"/>
      <c r="L762" s="11"/>
      <c r="M762" s="11"/>
      <c r="N762" s="103"/>
      <c r="O762" s="11"/>
      <c r="P762" s="11"/>
    </row>
    <row r="763" spans="1:16" ht="14.5" x14ac:dyDescent="0.25">
      <c r="A763" s="18"/>
      <c r="B763" s="19"/>
      <c r="C763" s="19"/>
      <c r="D763" s="10"/>
      <c r="E763" s="9"/>
      <c r="F763" s="3"/>
      <c r="G763" s="10"/>
      <c r="H763" s="25"/>
      <c r="I763" s="9"/>
      <c r="J763" s="14"/>
      <c r="K763" s="11"/>
      <c r="L763" s="11"/>
      <c r="M763" s="11"/>
      <c r="N763" s="103"/>
      <c r="O763" s="11"/>
      <c r="P763" s="11"/>
    </row>
    <row r="764" spans="1:16" ht="14.5" x14ac:dyDescent="0.25">
      <c r="A764" s="18"/>
      <c r="B764" s="19"/>
      <c r="C764" s="19"/>
      <c r="D764" s="10"/>
      <c r="E764" s="9"/>
      <c r="F764" s="3"/>
      <c r="G764" s="10"/>
      <c r="H764" s="25"/>
      <c r="I764" s="9"/>
      <c r="J764" s="14"/>
      <c r="K764" s="11"/>
      <c r="L764" s="11"/>
      <c r="M764" s="11"/>
      <c r="N764" s="103"/>
      <c r="O764" s="11"/>
      <c r="P764" s="11"/>
    </row>
    <row r="765" spans="1:16" ht="14.5" x14ac:dyDescent="0.25">
      <c r="A765" s="18"/>
      <c r="B765" s="19"/>
      <c r="C765" s="19"/>
      <c r="D765" s="10"/>
      <c r="E765" s="9"/>
      <c r="F765" s="3"/>
      <c r="G765" s="10"/>
      <c r="H765" s="25"/>
      <c r="I765" s="9"/>
      <c r="J765" s="14"/>
      <c r="K765" s="11"/>
      <c r="L765" s="11"/>
      <c r="M765" s="11"/>
      <c r="N765" s="103"/>
      <c r="O765" s="11"/>
      <c r="P765" s="11"/>
    </row>
    <row r="766" spans="1:16" ht="14.5" x14ac:dyDescent="0.25">
      <c r="A766" s="18"/>
      <c r="B766" s="19"/>
      <c r="C766" s="19"/>
      <c r="D766" s="10"/>
      <c r="E766" s="9"/>
      <c r="F766" s="3"/>
      <c r="G766" s="10"/>
      <c r="H766" s="25"/>
      <c r="I766" s="9"/>
      <c r="J766" s="14"/>
      <c r="K766" s="11"/>
      <c r="L766" s="11"/>
      <c r="M766" s="11"/>
      <c r="N766" s="103"/>
      <c r="O766" s="11"/>
      <c r="P766" s="11"/>
    </row>
    <row r="767" spans="1:16" ht="14.5" x14ac:dyDescent="0.25">
      <c r="A767" s="18"/>
      <c r="B767" s="19"/>
      <c r="C767" s="19"/>
      <c r="D767" s="10"/>
      <c r="E767" s="9"/>
      <c r="F767" s="3"/>
      <c r="G767" s="10"/>
      <c r="H767" s="25"/>
      <c r="I767" s="9"/>
      <c r="J767" s="14"/>
      <c r="K767" s="11"/>
      <c r="L767" s="11"/>
      <c r="M767" s="11"/>
      <c r="N767" s="103"/>
      <c r="O767" s="11"/>
      <c r="P767" s="11"/>
    </row>
    <row r="768" spans="1:16" ht="14.5" x14ac:dyDescent="0.25">
      <c r="A768" s="18"/>
      <c r="B768" s="19"/>
      <c r="C768" s="19"/>
      <c r="D768" s="10"/>
      <c r="E768" s="9"/>
      <c r="F768" s="3"/>
      <c r="G768" s="10"/>
      <c r="H768" s="25"/>
      <c r="I768" s="9"/>
      <c r="J768" s="14"/>
      <c r="K768" s="11"/>
      <c r="L768" s="11"/>
      <c r="M768" s="11"/>
      <c r="N768" s="103"/>
      <c r="O768" s="11"/>
      <c r="P768" s="11"/>
    </row>
    <row r="769" spans="1:16" ht="14.5" x14ac:dyDescent="0.25">
      <c r="A769" s="18"/>
      <c r="B769" s="19"/>
      <c r="C769" s="19"/>
      <c r="D769" s="10"/>
      <c r="E769" s="9"/>
      <c r="F769" s="3"/>
      <c r="G769" s="10"/>
      <c r="H769" s="25"/>
      <c r="I769" s="9"/>
      <c r="J769" s="14"/>
      <c r="K769" s="11"/>
      <c r="L769" s="11"/>
      <c r="M769" s="11"/>
      <c r="N769" s="103"/>
      <c r="O769" s="11"/>
      <c r="P769" s="11"/>
    </row>
    <row r="770" spans="1:16" ht="14.5" x14ac:dyDescent="0.25">
      <c r="A770" s="18"/>
      <c r="B770" s="19"/>
      <c r="C770" s="19"/>
      <c r="D770" s="10"/>
      <c r="E770" s="9"/>
      <c r="F770" s="3"/>
      <c r="G770" s="10"/>
      <c r="H770" s="25"/>
      <c r="I770" s="9"/>
      <c r="J770" s="14"/>
      <c r="K770" s="11"/>
      <c r="L770" s="11"/>
      <c r="M770" s="11"/>
      <c r="N770" s="103"/>
      <c r="O770" s="11"/>
      <c r="P770" s="11"/>
    </row>
    <row r="771" spans="1:16" ht="14.5" x14ac:dyDescent="0.25">
      <c r="A771" s="18"/>
      <c r="B771" s="19"/>
      <c r="C771" s="19"/>
      <c r="D771" s="10"/>
      <c r="E771" s="9"/>
      <c r="F771" s="3"/>
      <c r="G771" s="10"/>
      <c r="H771" s="25"/>
      <c r="I771" s="9"/>
      <c r="J771" s="14"/>
      <c r="K771" s="11"/>
      <c r="L771" s="11"/>
      <c r="M771" s="11"/>
      <c r="N771" s="103"/>
      <c r="O771" s="11"/>
      <c r="P771" s="11"/>
    </row>
    <row r="772" spans="1:16" ht="14.5" x14ac:dyDescent="0.25">
      <c r="A772" s="18"/>
      <c r="B772" s="19"/>
      <c r="C772" s="19"/>
      <c r="D772" s="10"/>
      <c r="E772" s="9"/>
      <c r="F772" s="3"/>
      <c r="G772" s="10"/>
      <c r="H772" s="25"/>
      <c r="I772" s="9"/>
      <c r="J772" s="14"/>
      <c r="K772" s="11"/>
      <c r="L772" s="11"/>
      <c r="M772" s="11"/>
      <c r="N772" s="103"/>
      <c r="O772" s="11"/>
      <c r="P772" s="11"/>
    </row>
    <row r="773" spans="1:16" ht="14.5" x14ac:dyDescent="0.25">
      <c r="A773" s="18"/>
      <c r="B773" s="19"/>
      <c r="C773" s="19"/>
      <c r="D773" s="10"/>
      <c r="E773" s="9"/>
      <c r="F773" s="3"/>
      <c r="G773" s="10"/>
      <c r="H773" s="25"/>
      <c r="I773" s="9"/>
      <c r="J773" s="14"/>
      <c r="K773" s="11"/>
      <c r="L773" s="11"/>
      <c r="M773" s="11"/>
      <c r="N773" s="103"/>
      <c r="O773" s="11"/>
      <c r="P773" s="11"/>
    </row>
    <row r="774" spans="1:16" ht="14.5" x14ac:dyDescent="0.25">
      <c r="A774" s="18"/>
      <c r="B774" s="19"/>
      <c r="C774" s="19"/>
      <c r="D774" s="10"/>
      <c r="E774" s="9"/>
      <c r="F774" s="3"/>
      <c r="G774" s="10"/>
      <c r="H774" s="25"/>
      <c r="I774" s="9"/>
      <c r="J774" s="14"/>
      <c r="K774" s="11"/>
      <c r="L774" s="11"/>
      <c r="M774" s="11"/>
      <c r="N774" s="103"/>
      <c r="O774" s="11"/>
      <c r="P774" s="11"/>
    </row>
    <row r="775" spans="1:16" ht="14.5" x14ac:dyDescent="0.25">
      <c r="A775" s="18"/>
      <c r="B775" s="19"/>
      <c r="C775" s="19"/>
      <c r="D775" s="10"/>
      <c r="E775" s="9"/>
      <c r="F775" s="3"/>
      <c r="G775" s="10"/>
      <c r="H775" s="25"/>
      <c r="I775" s="9"/>
      <c r="J775" s="14"/>
      <c r="K775" s="11"/>
      <c r="L775" s="11"/>
      <c r="M775" s="11"/>
      <c r="N775" s="103"/>
      <c r="O775" s="11"/>
      <c r="P775" s="11"/>
    </row>
    <row r="776" spans="1:16" ht="14.5" x14ac:dyDescent="0.25">
      <c r="A776" s="18"/>
      <c r="B776" s="19"/>
      <c r="C776" s="19"/>
      <c r="D776" s="10"/>
      <c r="E776" s="9"/>
      <c r="F776" s="3"/>
      <c r="G776" s="10"/>
      <c r="H776" s="25"/>
      <c r="I776" s="9"/>
      <c r="J776" s="14"/>
      <c r="K776" s="11"/>
      <c r="L776" s="11"/>
      <c r="M776" s="11"/>
      <c r="N776" s="103"/>
      <c r="O776" s="11"/>
      <c r="P776" s="11"/>
    </row>
    <row r="777" spans="1:16" ht="14.5" x14ac:dyDescent="0.25">
      <c r="A777" s="18"/>
      <c r="B777" s="19"/>
      <c r="C777" s="19"/>
      <c r="D777" s="10"/>
      <c r="E777" s="9"/>
      <c r="F777" s="3"/>
      <c r="G777" s="10"/>
      <c r="H777" s="25"/>
      <c r="I777" s="9"/>
      <c r="J777" s="14"/>
      <c r="K777" s="11"/>
      <c r="L777" s="11"/>
      <c r="M777" s="11"/>
      <c r="N777" s="103"/>
      <c r="O777" s="11"/>
      <c r="P777" s="11"/>
    </row>
    <row r="778" spans="1:16" ht="14.5" x14ac:dyDescent="0.25">
      <c r="A778" s="18"/>
      <c r="B778" s="19"/>
      <c r="C778" s="19"/>
      <c r="D778" s="10"/>
      <c r="E778" s="9"/>
      <c r="F778" s="3"/>
      <c r="G778" s="10"/>
      <c r="H778" s="25"/>
      <c r="I778" s="9"/>
      <c r="J778" s="14"/>
      <c r="K778" s="11"/>
      <c r="L778" s="11"/>
      <c r="M778" s="11"/>
      <c r="N778" s="103"/>
      <c r="O778" s="11"/>
      <c r="P778" s="11"/>
    </row>
    <row r="779" spans="1:16" ht="14.5" x14ac:dyDescent="0.25">
      <c r="A779" s="18"/>
      <c r="B779" s="19"/>
      <c r="C779" s="19"/>
      <c r="D779" s="10"/>
      <c r="E779" s="9"/>
      <c r="F779" s="3"/>
      <c r="G779" s="10"/>
      <c r="H779" s="25"/>
      <c r="I779" s="9"/>
      <c r="J779" s="14"/>
      <c r="K779" s="11"/>
      <c r="L779" s="11"/>
      <c r="M779" s="11"/>
      <c r="N779" s="103"/>
      <c r="O779" s="11"/>
      <c r="P779" s="11"/>
    </row>
    <row r="780" spans="1:16" ht="14.5" x14ac:dyDescent="0.25">
      <c r="A780" s="18"/>
      <c r="B780" s="19"/>
      <c r="C780" s="19"/>
      <c r="D780" s="10"/>
      <c r="E780" s="9"/>
      <c r="F780" s="3"/>
      <c r="G780" s="10"/>
      <c r="H780" s="25"/>
      <c r="I780" s="9"/>
      <c r="J780" s="14"/>
      <c r="K780" s="11"/>
      <c r="L780" s="11"/>
      <c r="M780" s="11"/>
      <c r="N780" s="103"/>
      <c r="O780" s="11"/>
      <c r="P780" s="11"/>
    </row>
    <row r="781" spans="1:16" ht="14.5" x14ac:dyDescent="0.25">
      <c r="A781" s="18"/>
      <c r="B781" s="19"/>
      <c r="C781" s="19"/>
      <c r="D781" s="10"/>
      <c r="E781" s="9"/>
      <c r="F781" s="3"/>
      <c r="G781" s="10"/>
      <c r="H781" s="25"/>
      <c r="I781" s="9"/>
      <c r="J781" s="14"/>
      <c r="K781" s="11"/>
      <c r="L781" s="11"/>
      <c r="M781" s="11"/>
      <c r="N781" s="103"/>
      <c r="O781" s="11"/>
      <c r="P781" s="11"/>
    </row>
    <row r="782" spans="1:16" ht="14.5" x14ac:dyDescent="0.25">
      <c r="A782" s="18"/>
      <c r="B782" s="19"/>
      <c r="C782" s="19"/>
      <c r="D782" s="10"/>
      <c r="E782" s="9"/>
      <c r="F782" s="3"/>
      <c r="G782" s="10"/>
      <c r="H782" s="25"/>
      <c r="I782" s="9"/>
      <c r="J782" s="14"/>
      <c r="K782" s="11"/>
      <c r="L782" s="11"/>
      <c r="M782" s="11"/>
      <c r="N782" s="103"/>
      <c r="O782" s="11"/>
      <c r="P782" s="11"/>
    </row>
    <row r="783" spans="1:16" ht="14.5" x14ac:dyDescent="0.25">
      <c r="A783" s="18"/>
      <c r="B783" s="19"/>
      <c r="C783" s="19"/>
      <c r="D783" s="10"/>
      <c r="E783" s="9"/>
      <c r="F783" s="3"/>
      <c r="G783" s="10"/>
      <c r="H783" s="25"/>
      <c r="I783" s="9"/>
      <c r="J783" s="14"/>
      <c r="K783" s="11"/>
      <c r="L783" s="11"/>
      <c r="M783" s="11"/>
      <c r="N783" s="103"/>
      <c r="O783" s="11"/>
      <c r="P783" s="11"/>
    </row>
    <row r="784" spans="1:16" ht="14.5" x14ac:dyDescent="0.25">
      <c r="A784" s="18"/>
      <c r="B784" s="19"/>
      <c r="C784" s="19"/>
      <c r="D784" s="10"/>
      <c r="E784" s="9"/>
      <c r="F784" s="3"/>
      <c r="G784" s="10"/>
      <c r="H784" s="25"/>
      <c r="I784" s="9"/>
      <c r="J784" s="14"/>
      <c r="K784" s="11"/>
      <c r="L784" s="11"/>
      <c r="M784" s="11"/>
      <c r="N784" s="103"/>
      <c r="O784" s="11"/>
      <c r="P784" s="11"/>
    </row>
    <row r="785" spans="1:16" ht="14.5" x14ac:dyDescent="0.25">
      <c r="A785" s="18"/>
      <c r="B785" s="19"/>
      <c r="C785" s="19"/>
      <c r="D785" s="10"/>
      <c r="E785" s="9"/>
      <c r="F785" s="3"/>
      <c r="G785" s="10"/>
      <c r="H785" s="25"/>
      <c r="I785" s="9"/>
      <c r="J785" s="14"/>
      <c r="K785" s="11"/>
      <c r="L785" s="11"/>
      <c r="M785" s="11"/>
      <c r="N785" s="103"/>
      <c r="O785" s="11"/>
      <c r="P785" s="11"/>
    </row>
    <row r="786" spans="1:16" ht="14.5" x14ac:dyDescent="0.25">
      <c r="A786" s="18"/>
      <c r="B786" s="19"/>
      <c r="C786" s="19"/>
      <c r="D786" s="10"/>
      <c r="E786" s="9"/>
      <c r="F786" s="3"/>
      <c r="G786" s="10"/>
      <c r="H786" s="25"/>
      <c r="I786" s="9"/>
      <c r="J786" s="14"/>
      <c r="K786" s="11"/>
      <c r="L786" s="11"/>
      <c r="M786" s="11"/>
      <c r="N786" s="103"/>
      <c r="O786" s="11"/>
      <c r="P786" s="11"/>
    </row>
    <row r="787" spans="1:16" ht="14.5" x14ac:dyDescent="0.25">
      <c r="A787" s="18"/>
      <c r="B787" s="19"/>
      <c r="C787" s="19"/>
      <c r="D787" s="10"/>
      <c r="E787" s="9"/>
      <c r="F787" s="3"/>
      <c r="G787" s="10"/>
      <c r="H787" s="25"/>
      <c r="I787" s="9"/>
      <c r="J787" s="14"/>
      <c r="K787" s="11"/>
      <c r="L787" s="11"/>
      <c r="M787" s="11"/>
      <c r="N787" s="103"/>
      <c r="O787" s="11"/>
      <c r="P787" s="11"/>
    </row>
    <row r="788" spans="1:16" ht="14.5" x14ac:dyDescent="0.25">
      <c r="A788" s="18"/>
      <c r="B788" s="19"/>
      <c r="C788" s="19"/>
      <c r="D788" s="10"/>
      <c r="E788" s="9"/>
      <c r="F788" s="3"/>
      <c r="G788" s="10"/>
      <c r="H788" s="25"/>
      <c r="I788" s="9"/>
      <c r="J788" s="14"/>
      <c r="K788" s="11"/>
      <c r="L788" s="11"/>
      <c r="M788" s="11"/>
      <c r="N788" s="103"/>
      <c r="O788" s="11"/>
      <c r="P788" s="11"/>
    </row>
    <row r="789" spans="1:16" ht="14.5" x14ac:dyDescent="0.25">
      <c r="A789" s="18"/>
      <c r="B789" s="19"/>
      <c r="C789" s="19"/>
      <c r="D789" s="10"/>
      <c r="E789" s="9"/>
      <c r="F789" s="3"/>
      <c r="G789" s="10"/>
      <c r="H789" s="25"/>
      <c r="I789" s="9"/>
      <c r="J789" s="14"/>
      <c r="K789" s="11"/>
      <c r="L789" s="11"/>
      <c r="M789" s="11"/>
      <c r="N789" s="103"/>
      <c r="O789" s="11"/>
      <c r="P789" s="11"/>
    </row>
    <row r="790" spans="1:16" ht="14.5" x14ac:dyDescent="0.25">
      <c r="A790" s="18"/>
      <c r="B790" s="19"/>
      <c r="C790" s="19"/>
      <c r="D790" s="10"/>
      <c r="E790" s="9"/>
      <c r="F790" s="3"/>
      <c r="G790" s="10"/>
      <c r="H790" s="25"/>
      <c r="I790" s="9"/>
      <c r="J790" s="14"/>
      <c r="K790" s="11"/>
      <c r="L790" s="11"/>
      <c r="M790" s="11"/>
      <c r="N790" s="103"/>
      <c r="O790" s="11"/>
      <c r="P790" s="11"/>
    </row>
    <row r="791" spans="1:16" ht="14.5" x14ac:dyDescent="0.25">
      <c r="A791" s="18"/>
      <c r="B791" s="19"/>
      <c r="C791" s="19"/>
      <c r="D791" s="10"/>
      <c r="E791" s="9"/>
      <c r="F791" s="3"/>
      <c r="G791" s="10"/>
      <c r="H791" s="25"/>
      <c r="I791" s="9"/>
      <c r="J791" s="14"/>
      <c r="K791" s="11"/>
      <c r="L791" s="11"/>
      <c r="M791" s="11"/>
      <c r="N791" s="103"/>
      <c r="O791" s="11"/>
      <c r="P791" s="11"/>
    </row>
    <row r="792" spans="1:16" ht="14.5" x14ac:dyDescent="0.25">
      <c r="A792" s="18"/>
      <c r="B792" s="19"/>
      <c r="C792" s="19"/>
      <c r="D792" s="10"/>
      <c r="E792" s="9"/>
      <c r="F792" s="3"/>
      <c r="G792" s="10"/>
      <c r="H792" s="25"/>
      <c r="I792" s="9"/>
      <c r="J792" s="14"/>
      <c r="K792" s="11"/>
      <c r="L792" s="11"/>
      <c r="M792" s="11"/>
      <c r="N792" s="103"/>
      <c r="O792" s="11"/>
      <c r="P792" s="11"/>
    </row>
    <row r="793" spans="1:16" ht="14.5" x14ac:dyDescent="0.25">
      <c r="A793" s="18"/>
      <c r="B793" s="19"/>
      <c r="C793" s="19"/>
      <c r="D793" s="10"/>
      <c r="E793" s="9"/>
      <c r="F793" s="3"/>
      <c r="G793" s="10"/>
      <c r="H793" s="25"/>
      <c r="I793" s="9"/>
      <c r="J793" s="14"/>
      <c r="K793" s="11"/>
      <c r="L793" s="11"/>
      <c r="M793" s="11"/>
      <c r="N793" s="103"/>
      <c r="O793" s="11"/>
      <c r="P793" s="11"/>
    </row>
    <row r="794" spans="1:16" ht="14.5" x14ac:dyDescent="0.25">
      <c r="A794" s="18"/>
      <c r="B794" s="19"/>
      <c r="C794" s="19"/>
      <c r="D794" s="10"/>
      <c r="E794" s="9"/>
      <c r="F794" s="3"/>
      <c r="G794" s="10"/>
      <c r="H794" s="25"/>
      <c r="I794" s="9"/>
      <c r="J794" s="14"/>
      <c r="K794" s="11"/>
      <c r="L794" s="11"/>
      <c r="M794" s="11"/>
      <c r="N794" s="103"/>
      <c r="O794" s="11"/>
      <c r="P794" s="11"/>
    </row>
    <row r="795" spans="1:16" ht="14.5" x14ac:dyDescent="0.25">
      <c r="A795" s="18"/>
      <c r="B795" s="19"/>
      <c r="C795" s="19"/>
      <c r="D795" s="10"/>
      <c r="E795" s="9"/>
      <c r="F795" s="3"/>
      <c r="G795" s="10"/>
      <c r="H795" s="25"/>
      <c r="I795" s="9"/>
      <c r="J795" s="14"/>
      <c r="K795" s="11"/>
      <c r="L795" s="11"/>
      <c r="M795" s="11"/>
      <c r="N795" s="103"/>
      <c r="O795" s="11"/>
      <c r="P795" s="11"/>
    </row>
    <row r="796" spans="1:16" ht="14.5" x14ac:dyDescent="0.25">
      <c r="A796" s="18"/>
      <c r="B796" s="19"/>
      <c r="C796" s="19"/>
      <c r="D796" s="10"/>
      <c r="E796" s="9"/>
      <c r="F796" s="3"/>
      <c r="G796" s="10"/>
      <c r="H796" s="25"/>
      <c r="I796" s="9"/>
      <c r="J796" s="14"/>
      <c r="K796" s="11"/>
      <c r="L796" s="11"/>
      <c r="M796" s="11"/>
      <c r="N796" s="103"/>
      <c r="O796" s="11"/>
      <c r="P796" s="11"/>
    </row>
    <row r="797" spans="1:16" ht="14.5" x14ac:dyDescent="0.25">
      <c r="A797" s="18"/>
      <c r="B797" s="19"/>
      <c r="C797" s="19"/>
      <c r="D797" s="10"/>
      <c r="E797" s="9"/>
      <c r="F797" s="3"/>
      <c r="G797" s="10"/>
      <c r="H797" s="25"/>
      <c r="I797" s="9"/>
      <c r="J797" s="14"/>
      <c r="K797" s="11"/>
      <c r="L797" s="11"/>
      <c r="M797" s="11"/>
      <c r="N797" s="103"/>
      <c r="O797" s="11"/>
      <c r="P797" s="11"/>
    </row>
    <row r="798" spans="1:16" ht="14.5" x14ac:dyDescent="0.25">
      <c r="A798" s="18"/>
      <c r="B798" s="19"/>
      <c r="C798" s="19"/>
      <c r="D798" s="10"/>
      <c r="E798" s="9"/>
      <c r="F798" s="3"/>
      <c r="G798" s="10"/>
      <c r="H798" s="25"/>
      <c r="I798" s="9"/>
      <c r="J798" s="14"/>
      <c r="K798" s="11"/>
      <c r="L798" s="11"/>
      <c r="M798" s="11"/>
      <c r="N798" s="103"/>
      <c r="O798" s="11"/>
      <c r="P798" s="11"/>
    </row>
    <row r="799" spans="1:16" ht="14.5" x14ac:dyDescent="0.25">
      <c r="A799" s="18"/>
      <c r="B799" s="19"/>
      <c r="C799" s="19"/>
      <c r="D799" s="10"/>
      <c r="E799" s="9"/>
      <c r="F799" s="3"/>
      <c r="G799" s="10"/>
      <c r="H799" s="25"/>
      <c r="I799" s="9"/>
      <c r="J799" s="14"/>
      <c r="K799" s="11"/>
      <c r="L799" s="11"/>
      <c r="M799" s="11"/>
      <c r="N799" s="103"/>
      <c r="O799" s="11"/>
      <c r="P799" s="11"/>
    </row>
    <row r="800" spans="1:16" ht="14.5" x14ac:dyDescent="0.25">
      <c r="A800" s="18"/>
      <c r="B800" s="19"/>
      <c r="C800" s="19"/>
      <c r="D800" s="10"/>
      <c r="E800" s="9"/>
      <c r="F800" s="3"/>
      <c r="G800" s="10"/>
      <c r="H800" s="25"/>
      <c r="I800" s="9"/>
      <c r="J800" s="14"/>
      <c r="K800" s="11"/>
      <c r="L800" s="11"/>
      <c r="M800" s="11"/>
      <c r="N800" s="103"/>
      <c r="O800" s="11"/>
      <c r="P800" s="11"/>
    </row>
    <row r="801" spans="1:16" ht="14.5" x14ac:dyDescent="0.25">
      <c r="A801" s="18"/>
      <c r="B801" s="19"/>
      <c r="C801" s="19"/>
      <c r="D801" s="10"/>
      <c r="E801" s="9"/>
      <c r="F801" s="3"/>
      <c r="G801" s="10"/>
      <c r="H801" s="25"/>
      <c r="I801" s="9"/>
      <c r="J801" s="14"/>
      <c r="K801" s="11"/>
      <c r="L801" s="11"/>
      <c r="M801" s="11"/>
      <c r="N801" s="103"/>
      <c r="O801" s="11"/>
      <c r="P801" s="11"/>
    </row>
    <row r="802" spans="1:16" ht="14.5" x14ac:dyDescent="0.25">
      <c r="A802" s="18"/>
      <c r="B802" s="19"/>
      <c r="C802" s="19"/>
      <c r="D802" s="10"/>
      <c r="E802" s="9"/>
      <c r="F802" s="3"/>
      <c r="G802" s="10"/>
      <c r="H802" s="25"/>
      <c r="I802" s="9"/>
      <c r="J802" s="14"/>
      <c r="K802" s="11"/>
      <c r="L802" s="11"/>
      <c r="M802" s="11"/>
      <c r="N802" s="103"/>
      <c r="O802" s="11"/>
      <c r="P802" s="11"/>
    </row>
    <row r="803" spans="1:16" ht="14.5" x14ac:dyDescent="0.25">
      <c r="A803" s="18"/>
      <c r="B803" s="19"/>
      <c r="C803" s="19"/>
      <c r="D803" s="10"/>
      <c r="E803" s="9"/>
      <c r="F803" s="3"/>
      <c r="G803" s="10"/>
      <c r="H803" s="25"/>
      <c r="I803" s="9"/>
      <c r="J803" s="14"/>
      <c r="K803" s="11"/>
      <c r="L803" s="11"/>
      <c r="M803" s="11"/>
      <c r="N803" s="103"/>
      <c r="O803" s="11"/>
      <c r="P803" s="11"/>
    </row>
    <row r="804" spans="1:16" ht="14.5" x14ac:dyDescent="0.25">
      <c r="A804" s="18"/>
      <c r="B804" s="19"/>
      <c r="C804" s="19"/>
      <c r="D804" s="10"/>
      <c r="E804" s="9"/>
      <c r="F804" s="3"/>
      <c r="G804" s="10"/>
      <c r="H804" s="25"/>
      <c r="I804" s="9"/>
      <c r="J804" s="14"/>
      <c r="K804" s="11"/>
      <c r="L804" s="11"/>
      <c r="M804" s="11"/>
      <c r="N804" s="103"/>
      <c r="O804" s="11"/>
      <c r="P804" s="11"/>
    </row>
    <row r="805" spans="1:16" ht="14.5" x14ac:dyDescent="0.25">
      <c r="A805" s="18"/>
      <c r="B805" s="19"/>
      <c r="C805" s="19"/>
      <c r="D805" s="10"/>
      <c r="E805" s="9"/>
      <c r="F805" s="3"/>
      <c r="G805" s="10"/>
      <c r="H805" s="25"/>
      <c r="I805" s="9"/>
      <c r="J805" s="14"/>
      <c r="K805" s="11"/>
      <c r="L805" s="11"/>
      <c r="M805" s="11"/>
      <c r="N805" s="103"/>
      <c r="O805" s="11"/>
      <c r="P805" s="11"/>
    </row>
    <row r="806" spans="1:16" ht="14.5" x14ac:dyDescent="0.25">
      <c r="A806" s="18"/>
      <c r="B806" s="19"/>
      <c r="C806" s="19"/>
      <c r="D806" s="10"/>
      <c r="E806" s="9"/>
      <c r="F806" s="3"/>
      <c r="G806" s="10"/>
      <c r="H806" s="25"/>
      <c r="I806" s="9"/>
      <c r="J806" s="14"/>
      <c r="K806" s="11"/>
      <c r="L806" s="11"/>
      <c r="M806" s="11"/>
      <c r="N806" s="103"/>
      <c r="O806" s="11"/>
      <c r="P806" s="11"/>
    </row>
    <row r="807" spans="1:16" ht="14.5" x14ac:dyDescent="0.25">
      <c r="A807" s="18"/>
      <c r="B807" s="19"/>
      <c r="C807" s="19"/>
      <c r="D807" s="10"/>
      <c r="E807" s="9"/>
      <c r="F807" s="3"/>
      <c r="G807" s="10"/>
      <c r="H807" s="25"/>
      <c r="I807" s="9"/>
      <c r="J807" s="14"/>
      <c r="K807" s="11"/>
      <c r="L807" s="11"/>
      <c r="M807" s="11"/>
      <c r="N807" s="103"/>
      <c r="O807" s="11"/>
      <c r="P807" s="11"/>
    </row>
    <row r="808" spans="1:16" ht="14.5" x14ac:dyDescent="0.25">
      <c r="A808" s="18"/>
      <c r="B808" s="19"/>
      <c r="C808" s="19"/>
      <c r="D808" s="10"/>
      <c r="E808" s="9"/>
      <c r="F808" s="3"/>
      <c r="G808" s="10"/>
      <c r="H808" s="25"/>
      <c r="I808" s="9"/>
      <c r="J808" s="14"/>
      <c r="K808" s="11"/>
      <c r="L808" s="11"/>
      <c r="M808" s="11"/>
      <c r="N808" s="103"/>
      <c r="O808" s="11"/>
      <c r="P808" s="11"/>
    </row>
    <row r="809" spans="1:16" ht="14.5" x14ac:dyDescent="0.25">
      <c r="A809" s="18"/>
      <c r="B809" s="19"/>
      <c r="C809" s="19"/>
      <c r="D809" s="10"/>
      <c r="E809" s="9"/>
      <c r="F809" s="3"/>
      <c r="G809" s="10"/>
      <c r="H809" s="25"/>
      <c r="I809" s="9"/>
      <c r="J809" s="14"/>
      <c r="K809" s="11"/>
      <c r="L809" s="11"/>
      <c r="M809" s="11"/>
      <c r="N809" s="103"/>
      <c r="O809" s="11"/>
      <c r="P809" s="11"/>
    </row>
    <row r="810" spans="1:16" ht="14.5" x14ac:dyDescent="0.25">
      <c r="A810" s="18"/>
      <c r="B810" s="19"/>
      <c r="C810" s="19"/>
      <c r="D810" s="10"/>
      <c r="E810" s="9"/>
      <c r="F810" s="3"/>
      <c r="G810" s="10"/>
      <c r="H810" s="25"/>
      <c r="I810" s="9"/>
      <c r="J810" s="14"/>
      <c r="K810" s="11"/>
      <c r="L810" s="11"/>
      <c r="M810" s="11"/>
      <c r="N810" s="103"/>
      <c r="O810" s="11"/>
      <c r="P810" s="11"/>
    </row>
    <row r="811" spans="1:16" ht="14.5" x14ac:dyDescent="0.25">
      <c r="A811" s="18"/>
      <c r="B811" s="19"/>
      <c r="C811" s="19"/>
      <c r="D811" s="10"/>
      <c r="E811" s="9"/>
      <c r="F811" s="3"/>
      <c r="G811" s="10"/>
      <c r="H811" s="25"/>
      <c r="I811" s="9"/>
      <c r="J811" s="14"/>
      <c r="K811" s="11"/>
      <c r="L811" s="11"/>
      <c r="M811" s="11"/>
      <c r="N811" s="103"/>
      <c r="O811" s="11"/>
      <c r="P811" s="11"/>
    </row>
    <row r="812" spans="1:16" ht="14.5" x14ac:dyDescent="0.25">
      <c r="A812" s="18"/>
      <c r="B812" s="19"/>
      <c r="C812" s="19"/>
      <c r="D812" s="10"/>
      <c r="E812" s="9"/>
      <c r="F812" s="3"/>
      <c r="G812" s="10"/>
      <c r="H812" s="25"/>
      <c r="I812" s="9"/>
      <c r="J812" s="14"/>
      <c r="K812" s="11"/>
      <c r="L812" s="11"/>
      <c r="M812" s="11"/>
      <c r="N812" s="103"/>
      <c r="O812" s="11"/>
      <c r="P812" s="11"/>
    </row>
    <row r="813" spans="1:16" ht="14.5" x14ac:dyDescent="0.25">
      <c r="A813" s="18"/>
      <c r="B813" s="19"/>
      <c r="C813" s="19"/>
      <c r="D813" s="10"/>
      <c r="E813" s="9"/>
      <c r="F813" s="3"/>
      <c r="G813" s="10"/>
      <c r="H813" s="25"/>
      <c r="I813" s="9"/>
      <c r="J813" s="14"/>
      <c r="K813" s="11"/>
      <c r="L813" s="11"/>
      <c r="M813" s="11"/>
      <c r="N813" s="103"/>
      <c r="O813" s="11"/>
      <c r="P813" s="11"/>
    </row>
    <row r="814" spans="1:16" ht="14.5" x14ac:dyDescent="0.25">
      <c r="A814" s="18"/>
      <c r="B814" s="19"/>
      <c r="C814" s="19"/>
      <c r="D814" s="10"/>
      <c r="E814" s="9"/>
      <c r="F814" s="3"/>
      <c r="G814" s="10"/>
      <c r="H814" s="25"/>
      <c r="I814" s="9"/>
      <c r="J814" s="14"/>
      <c r="K814" s="11"/>
      <c r="L814" s="11"/>
      <c r="M814" s="11"/>
      <c r="N814" s="103"/>
      <c r="O814" s="11"/>
      <c r="P814" s="11"/>
    </row>
    <row r="815" spans="1:16" ht="14.5" x14ac:dyDescent="0.25">
      <c r="A815" s="18"/>
      <c r="B815" s="19"/>
      <c r="C815" s="19"/>
      <c r="D815" s="10"/>
      <c r="E815" s="9"/>
      <c r="F815" s="3"/>
      <c r="G815" s="10"/>
      <c r="H815" s="25"/>
      <c r="I815" s="9"/>
      <c r="J815" s="14"/>
      <c r="K815" s="11"/>
      <c r="L815" s="11"/>
      <c r="M815" s="11"/>
      <c r="N815" s="103"/>
      <c r="O815" s="11"/>
      <c r="P815" s="11"/>
    </row>
    <row r="816" spans="1:16" ht="14.5" x14ac:dyDescent="0.25">
      <c r="A816" s="18"/>
      <c r="B816" s="19"/>
      <c r="C816" s="19"/>
      <c r="D816" s="10"/>
      <c r="E816" s="9"/>
      <c r="F816" s="3"/>
      <c r="G816" s="10"/>
      <c r="H816" s="25"/>
      <c r="I816" s="9"/>
      <c r="J816" s="14"/>
      <c r="K816" s="11"/>
      <c r="L816" s="11"/>
      <c r="M816" s="11"/>
      <c r="N816" s="103"/>
      <c r="O816" s="11"/>
      <c r="P816" s="11"/>
    </row>
    <row r="817" spans="1:16" ht="14.5" x14ac:dyDescent="0.25">
      <c r="A817" s="18"/>
      <c r="B817" s="19"/>
      <c r="C817" s="19"/>
      <c r="D817" s="10"/>
      <c r="E817" s="9"/>
      <c r="F817" s="3"/>
      <c r="G817" s="10"/>
      <c r="H817" s="25"/>
      <c r="I817" s="9"/>
      <c r="J817" s="14"/>
      <c r="K817" s="11"/>
      <c r="L817" s="11"/>
      <c r="M817" s="11"/>
      <c r="N817" s="103"/>
      <c r="O817" s="11"/>
      <c r="P817" s="11"/>
    </row>
    <row r="818" spans="1:16" ht="14.5" x14ac:dyDescent="0.25">
      <c r="A818" s="18"/>
      <c r="B818" s="19"/>
      <c r="C818" s="19"/>
      <c r="D818" s="10"/>
      <c r="E818" s="9"/>
      <c r="F818" s="3"/>
      <c r="G818" s="10"/>
      <c r="H818" s="25"/>
      <c r="I818" s="9"/>
      <c r="J818" s="14"/>
      <c r="K818" s="11"/>
      <c r="L818" s="11"/>
      <c r="M818" s="11"/>
      <c r="N818" s="103"/>
      <c r="O818" s="11"/>
      <c r="P818" s="11"/>
    </row>
    <row r="819" spans="1:16" ht="14.5" x14ac:dyDescent="0.25">
      <c r="A819" s="18"/>
      <c r="B819" s="19"/>
      <c r="C819" s="19"/>
      <c r="D819" s="10"/>
      <c r="E819" s="9"/>
      <c r="F819" s="3"/>
      <c r="G819" s="10"/>
      <c r="H819" s="25"/>
      <c r="I819" s="9"/>
      <c r="J819" s="14"/>
      <c r="K819" s="11"/>
      <c r="L819" s="11"/>
      <c r="M819" s="11"/>
      <c r="N819" s="103"/>
      <c r="O819" s="11"/>
      <c r="P819" s="11"/>
    </row>
    <row r="820" spans="1:16" ht="14.5" x14ac:dyDescent="0.25">
      <c r="A820" s="18"/>
      <c r="B820" s="19"/>
      <c r="C820" s="19"/>
      <c r="D820" s="10"/>
      <c r="E820" s="9"/>
      <c r="F820" s="3"/>
      <c r="G820" s="10"/>
      <c r="H820" s="25"/>
      <c r="I820" s="9"/>
      <c r="J820" s="14"/>
      <c r="K820" s="11"/>
      <c r="L820" s="11"/>
      <c r="M820" s="11"/>
      <c r="N820" s="103"/>
      <c r="O820" s="11"/>
      <c r="P820" s="11"/>
    </row>
    <row r="821" spans="1:16" ht="14.5" x14ac:dyDescent="0.25">
      <c r="A821" s="18"/>
      <c r="B821" s="19"/>
      <c r="C821" s="19"/>
      <c r="D821" s="10"/>
      <c r="E821" s="9"/>
      <c r="F821" s="3"/>
      <c r="G821" s="10"/>
      <c r="H821" s="25"/>
      <c r="I821" s="9"/>
      <c r="J821" s="14"/>
      <c r="K821" s="11"/>
      <c r="L821" s="11"/>
      <c r="M821" s="11"/>
      <c r="N821" s="103"/>
      <c r="O821" s="11"/>
      <c r="P821" s="11"/>
    </row>
    <row r="822" spans="1:16" ht="14.5" x14ac:dyDescent="0.25">
      <c r="A822" s="18"/>
      <c r="B822" s="19"/>
      <c r="C822" s="19"/>
      <c r="D822" s="10"/>
      <c r="E822" s="9"/>
      <c r="F822" s="3"/>
      <c r="G822" s="10"/>
      <c r="H822" s="25"/>
      <c r="I822" s="9"/>
      <c r="J822" s="14"/>
      <c r="K822" s="11"/>
      <c r="L822" s="11"/>
      <c r="M822" s="11"/>
      <c r="N822" s="103"/>
      <c r="O822" s="11"/>
      <c r="P822" s="11"/>
    </row>
    <row r="823" spans="1:16" ht="14.5" x14ac:dyDescent="0.25">
      <c r="A823" s="18"/>
      <c r="B823" s="19"/>
      <c r="C823" s="19"/>
      <c r="D823" s="10"/>
      <c r="E823" s="9"/>
      <c r="F823" s="3"/>
      <c r="G823" s="10"/>
      <c r="H823" s="25"/>
      <c r="I823" s="9"/>
      <c r="J823" s="14"/>
      <c r="K823" s="11"/>
      <c r="L823" s="11"/>
      <c r="M823" s="11"/>
      <c r="N823" s="103"/>
      <c r="O823" s="11"/>
      <c r="P823" s="11"/>
    </row>
    <row r="824" spans="1:16" ht="14.5" x14ac:dyDescent="0.25">
      <c r="A824" s="18"/>
      <c r="B824" s="19"/>
      <c r="C824" s="19"/>
      <c r="D824" s="10"/>
      <c r="E824" s="9"/>
      <c r="F824" s="3"/>
      <c r="G824" s="10"/>
      <c r="H824" s="25"/>
      <c r="I824" s="9"/>
      <c r="J824" s="14"/>
      <c r="K824" s="11"/>
      <c r="L824" s="11"/>
      <c r="M824" s="11"/>
      <c r="N824" s="103"/>
      <c r="O824" s="11"/>
      <c r="P824" s="11"/>
    </row>
    <row r="825" spans="1:16" ht="14.5" x14ac:dyDescent="0.25">
      <c r="A825" s="18"/>
      <c r="B825" s="19"/>
      <c r="C825" s="19"/>
      <c r="D825" s="10"/>
      <c r="E825" s="9"/>
      <c r="F825" s="3"/>
      <c r="G825" s="10"/>
      <c r="H825" s="25"/>
      <c r="I825" s="9"/>
      <c r="J825" s="14"/>
      <c r="K825" s="11"/>
      <c r="L825" s="11"/>
      <c r="M825" s="11"/>
      <c r="N825" s="103"/>
      <c r="O825" s="11"/>
      <c r="P825" s="11"/>
    </row>
    <row r="826" spans="1:16" ht="14.5" x14ac:dyDescent="0.25">
      <c r="A826" s="18"/>
      <c r="B826" s="19"/>
      <c r="C826" s="19"/>
      <c r="D826" s="10"/>
      <c r="E826" s="9"/>
      <c r="F826" s="3"/>
      <c r="G826" s="10"/>
      <c r="H826" s="25"/>
      <c r="I826" s="9"/>
      <c r="J826" s="14"/>
      <c r="K826" s="11"/>
      <c r="L826" s="11"/>
      <c r="M826" s="11"/>
      <c r="N826" s="103"/>
      <c r="O826" s="11"/>
      <c r="P826" s="11"/>
    </row>
    <row r="827" spans="1:16" ht="14.5" x14ac:dyDescent="0.25">
      <c r="A827" s="18"/>
      <c r="B827" s="19"/>
      <c r="C827" s="19"/>
      <c r="D827" s="10"/>
      <c r="E827" s="9"/>
      <c r="F827" s="3"/>
      <c r="G827" s="10"/>
      <c r="H827" s="25"/>
      <c r="I827" s="9"/>
      <c r="J827" s="14"/>
      <c r="K827" s="11"/>
      <c r="L827" s="11"/>
      <c r="M827" s="11"/>
      <c r="N827" s="103"/>
      <c r="O827" s="11"/>
      <c r="P827" s="11"/>
    </row>
    <row r="828" spans="1:16" ht="14.5" x14ac:dyDescent="0.25">
      <c r="A828" s="18"/>
      <c r="B828" s="19"/>
      <c r="C828" s="19"/>
      <c r="D828" s="10"/>
      <c r="E828" s="9"/>
      <c r="F828" s="3"/>
      <c r="G828" s="10"/>
      <c r="H828" s="25"/>
      <c r="I828" s="9"/>
      <c r="J828" s="14"/>
      <c r="K828" s="11"/>
      <c r="L828" s="11"/>
      <c r="M828" s="11"/>
      <c r="N828" s="103"/>
      <c r="O828" s="11"/>
      <c r="P828" s="11"/>
    </row>
    <row r="829" spans="1:16" ht="14.5" x14ac:dyDescent="0.25">
      <c r="A829" s="18"/>
      <c r="B829" s="19"/>
      <c r="C829" s="19"/>
      <c r="D829" s="10"/>
      <c r="E829" s="9"/>
      <c r="F829" s="3"/>
      <c r="G829" s="10"/>
      <c r="H829" s="25"/>
      <c r="I829" s="9"/>
      <c r="J829" s="14"/>
      <c r="K829" s="11"/>
      <c r="L829" s="11"/>
      <c r="M829" s="11"/>
      <c r="N829" s="103"/>
      <c r="O829" s="11"/>
      <c r="P829" s="11"/>
    </row>
    <row r="830" spans="1:16" ht="14.5" x14ac:dyDescent="0.25">
      <c r="A830" s="18"/>
      <c r="B830" s="19"/>
      <c r="C830" s="19"/>
      <c r="D830" s="10"/>
      <c r="E830" s="9"/>
      <c r="F830" s="3"/>
      <c r="G830" s="10"/>
      <c r="H830" s="25"/>
      <c r="I830" s="9"/>
      <c r="J830" s="14"/>
      <c r="K830" s="11"/>
      <c r="L830" s="11"/>
      <c r="M830" s="11"/>
      <c r="N830" s="103"/>
      <c r="O830" s="11"/>
      <c r="P830" s="11"/>
    </row>
    <row r="831" spans="1:16" ht="14.5" x14ac:dyDescent="0.25">
      <c r="A831" s="18"/>
      <c r="B831" s="19"/>
      <c r="C831" s="19"/>
      <c r="D831" s="10"/>
      <c r="E831" s="9"/>
      <c r="F831" s="3"/>
      <c r="G831" s="10"/>
      <c r="H831" s="25"/>
      <c r="I831" s="9"/>
      <c r="J831" s="14"/>
      <c r="K831" s="11"/>
      <c r="L831" s="11"/>
      <c r="M831" s="11"/>
      <c r="N831" s="103"/>
      <c r="O831" s="11"/>
      <c r="P831" s="11"/>
    </row>
    <row r="832" spans="1:16" ht="14.5" x14ac:dyDescent="0.25">
      <c r="A832" s="18"/>
      <c r="B832" s="19"/>
      <c r="C832" s="19"/>
      <c r="D832" s="10"/>
      <c r="E832" s="9"/>
      <c r="F832" s="3"/>
      <c r="G832" s="10"/>
      <c r="H832" s="25"/>
      <c r="I832" s="9"/>
      <c r="J832" s="14"/>
      <c r="K832" s="11"/>
      <c r="L832" s="11"/>
      <c r="M832" s="11"/>
      <c r="N832" s="103"/>
      <c r="O832" s="11"/>
      <c r="P832" s="11"/>
    </row>
    <row r="833" spans="1:16" ht="14.5" x14ac:dyDescent="0.25">
      <c r="A833" s="18"/>
      <c r="B833" s="19"/>
      <c r="C833" s="19"/>
      <c r="D833" s="10"/>
      <c r="E833" s="9"/>
      <c r="F833" s="3"/>
      <c r="G833" s="10"/>
      <c r="H833" s="25"/>
      <c r="I833" s="9"/>
      <c r="J833" s="14"/>
      <c r="K833" s="11"/>
      <c r="L833" s="11"/>
      <c r="M833" s="11"/>
      <c r="N833" s="103"/>
      <c r="O833" s="11"/>
      <c r="P833" s="11"/>
    </row>
    <row r="834" spans="1:16" ht="14.5" x14ac:dyDescent="0.25">
      <c r="A834" s="18"/>
      <c r="B834" s="19"/>
      <c r="C834" s="19"/>
      <c r="D834" s="10"/>
      <c r="E834" s="9"/>
      <c r="F834" s="3"/>
      <c r="G834" s="10"/>
      <c r="H834" s="25"/>
      <c r="I834" s="9"/>
      <c r="J834" s="14"/>
      <c r="K834" s="11"/>
      <c r="L834" s="11"/>
      <c r="M834" s="11"/>
      <c r="N834" s="103"/>
      <c r="O834" s="11"/>
      <c r="P834" s="11"/>
    </row>
    <row r="835" spans="1:16" ht="14.5" x14ac:dyDescent="0.25">
      <c r="A835" s="18"/>
      <c r="B835" s="19"/>
      <c r="C835" s="19"/>
      <c r="D835" s="10"/>
      <c r="E835" s="9"/>
      <c r="F835" s="3"/>
      <c r="G835" s="10"/>
      <c r="H835" s="25"/>
      <c r="I835" s="9"/>
      <c r="J835" s="14"/>
      <c r="K835" s="11"/>
      <c r="L835" s="11"/>
      <c r="M835" s="11"/>
      <c r="N835" s="103"/>
      <c r="O835" s="11"/>
      <c r="P835" s="11"/>
    </row>
    <row r="836" spans="1:16" ht="14.5" x14ac:dyDescent="0.25">
      <c r="A836" s="18"/>
      <c r="B836" s="19"/>
      <c r="C836" s="19"/>
      <c r="D836" s="10"/>
      <c r="E836" s="9"/>
      <c r="F836" s="3"/>
      <c r="G836" s="10"/>
      <c r="H836" s="25"/>
      <c r="I836" s="9"/>
      <c r="J836" s="14"/>
      <c r="K836" s="11"/>
      <c r="L836" s="11"/>
      <c r="M836" s="11"/>
      <c r="N836" s="103"/>
      <c r="O836" s="11"/>
      <c r="P836" s="11"/>
    </row>
    <row r="837" spans="1:16" ht="14.5" x14ac:dyDescent="0.25">
      <c r="A837" s="18"/>
      <c r="B837" s="19"/>
      <c r="C837" s="19"/>
      <c r="D837" s="10"/>
      <c r="E837" s="9"/>
      <c r="F837" s="3"/>
      <c r="G837" s="10"/>
      <c r="H837" s="25"/>
      <c r="I837" s="9"/>
      <c r="J837" s="14"/>
      <c r="K837" s="11"/>
      <c r="L837" s="11"/>
      <c r="M837" s="11"/>
      <c r="N837" s="103"/>
      <c r="O837" s="11"/>
      <c r="P837" s="11"/>
    </row>
    <row r="838" spans="1:16" ht="14.5" x14ac:dyDescent="0.25">
      <c r="A838" s="18"/>
      <c r="B838" s="19"/>
      <c r="C838" s="19"/>
      <c r="D838" s="10"/>
      <c r="E838" s="9"/>
      <c r="F838" s="3"/>
      <c r="G838" s="10"/>
      <c r="H838" s="25"/>
      <c r="I838" s="9"/>
      <c r="J838" s="14"/>
      <c r="K838" s="11"/>
      <c r="L838" s="11"/>
      <c r="M838" s="11"/>
      <c r="N838" s="103"/>
      <c r="O838" s="11"/>
      <c r="P838" s="11"/>
    </row>
    <row r="839" spans="1:16" ht="14.5" x14ac:dyDescent="0.25">
      <c r="A839" s="18"/>
      <c r="B839" s="19"/>
      <c r="C839" s="19"/>
      <c r="D839" s="10"/>
      <c r="E839" s="9"/>
      <c r="F839" s="3"/>
      <c r="G839" s="10"/>
      <c r="H839" s="25"/>
      <c r="I839" s="9"/>
      <c r="J839" s="14"/>
      <c r="K839" s="11"/>
      <c r="L839" s="11"/>
      <c r="M839" s="11"/>
      <c r="N839" s="103"/>
      <c r="O839" s="11"/>
      <c r="P839" s="11"/>
    </row>
    <row r="840" spans="1:16" ht="14.5" x14ac:dyDescent="0.25">
      <c r="A840" s="18"/>
      <c r="B840" s="19"/>
      <c r="C840" s="19"/>
      <c r="D840" s="10"/>
      <c r="E840" s="9"/>
      <c r="F840" s="3"/>
      <c r="G840" s="10"/>
      <c r="H840" s="25"/>
      <c r="I840" s="9"/>
      <c r="J840" s="14"/>
      <c r="K840" s="11"/>
      <c r="L840" s="11"/>
      <c r="M840" s="11"/>
      <c r="N840" s="103"/>
      <c r="O840" s="11"/>
      <c r="P840" s="11"/>
    </row>
    <row r="841" spans="1:16" ht="14.5" x14ac:dyDescent="0.25">
      <c r="A841" s="18"/>
      <c r="B841" s="19"/>
      <c r="C841" s="19"/>
      <c r="D841" s="10"/>
      <c r="E841" s="9"/>
      <c r="F841" s="3"/>
      <c r="G841" s="10"/>
      <c r="H841" s="25"/>
      <c r="I841" s="9"/>
      <c r="J841" s="14"/>
      <c r="K841" s="11"/>
      <c r="L841" s="11"/>
      <c r="M841" s="11"/>
      <c r="N841" s="103"/>
      <c r="O841" s="11"/>
      <c r="P841" s="11"/>
    </row>
    <row r="842" spans="1:16" ht="14.5" x14ac:dyDescent="0.25">
      <c r="A842" s="18"/>
      <c r="B842" s="19"/>
      <c r="C842" s="19"/>
      <c r="D842" s="10"/>
      <c r="E842" s="9"/>
      <c r="F842" s="3"/>
      <c r="G842" s="10"/>
      <c r="H842" s="25"/>
      <c r="I842" s="9"/>
      <c r="J842" s="14"/>
      <c r="K842" s="11"/>
      <c r="L842" s="11"/>
      <c r="M842" s="11"/>
      <c r="N842" s="103"/>
      <c r="O842" s="11"/>
      <c r="P842" s="11"/>
    </row>
    <row r="843" spans="1:16" ht="14.5" x14ac:dyDescent="0.25">
      <c r="A843" s="18"/>
      <c r="B843" s="19"/>
      <c r="C843" s="19"/>
      <c r="D843" s="10"/>
      <c r="E843" s="9"/>
      <c r="F843" s="3"/>
      <c r="G843" s="10"/>
      <c r="H843" s="25"/>
      <c r="I843" s="9"/>
      <c r="J843" s="14"/>
      <c r="K843" s="11"/>
      <c r="L843" s="11"/>
      <c r="M843" s="11"/>
      <c r="N843" s="103"/>
      <c r="O843" s="11"/>
      <c r="P843" s="11"/>
    </row>
    <row r="844" spans="1:16" ht="14.5" x14ac:dyDescent="0.25">
      <c r="A844" s="18"/>
      <c r="B844" s="19"/>
      <c r="C844" s="19"/>
      <c r="D844" s="10"/>
      <c r="E844" s="9"/>
      <c r="F844" s="3"/>
      <c r="G844" s="10"/>
      <c r="H844" s="25"/>
      <c r="I844" s="9"/>
      <c r="J844" s="14"/>
      <c r="K844" s="11"/>
      <c r="L844" s="11"/>
      <c r="M844" s="11"/>
      <c r="N844" s="103"/>
      <c r="O844" s="11"/>
      <c r="P844" s="11"/>
    </row>
    <row r="845" spans="1:16" ht="14.5" x14ac:dyDescent="0.25">
      <c r="A845" s="18"/>
      <c r="B845" s="19"/>
      <c r="C845" s="19"/>
      <c r="D845" s="10"/>
      <c r="E845" s="9"/>
      <c r="F845" s="3"/>
      <c r="G845" s="10"/>
      <c r="H845" s="25"/>
      <c r="I845" s="9"/>
      <c r="J845" s="14"/>
      <c r="K845" s="11"/>
      <c r="L845" s="11"/>
      <c r="M845" s="11"/>
      <c r="N845" s="103"/>
      <c r="O845" s="11"/>
      <c r="P845" s="11"/>
    </row>
    <row r="846" spans="1:16" ht="14.5" x14ac:dyDescent="0.25">
      <c r="A846" s="18"/>
      <c r="B846" s="19"/>
      <c r="C846" s="19"/>
      <c r="D846" s="10"/>
      <c r="E846" s="9"/>
      <c r="F846" s="3"/>
      <c r="G846" s="10"/>
      <c r="H846" s="25"/>
      <c r="I846" s="9"/>
      <c r="J846" s="14"/>
      <c r="K846" s="11"/>
      <c r="L846" s="11"/>
      <c r="M846" s="11"/>
      <c r="N846" s="103"/>
      <c r="O846" s="11"/>
      <c r="P846" s="11"/>
    </row>
    <row r="847" spans="1:16" ht="14.5" x14ac:dyDescent="0.25">
      <c r="A847" s="18"/>
      <c r="B847" s="19"/>
      <c r="C847" s="19"/>
      <c r="D847" s="10"/>
      <c r="E847" s="9"/>
      <c r="F847" s="3"/>
      <c r="G847" s="10"/>
      <c r="H847" s="25"/>
      <c r="I847" s="9"/>
      <c r="J847" s="14"/>
      <c r="K847" s="11"/>
      <c r="L847" s="11"/>
      <c r="M847" s="11"/>
      <c r="N847" s="103"/>
      <c r="O847" s="11"/>
      <c r="P847" s="11"/>
    </row>
    <row r="848" spans="1:16" ht="14.5" x14ac:dyDescent="0.25">
      <c r="A848" s="18"/>
      <c r="B848" s="19"/>
      <c r="C848" s="19"/>
      <c r="D848" s="10"/>
      <c r="E848" s="9"/>
      <c r="F848" s="3"/>
      <c r="G848" s="10"/>
      <c r="H848" s="25"/>
      <c r="I848" s="9"/>
      <c r="J848" s="14"/>
      <c r="K848" s="11"/>
      <c r="L848" s="11"/>
      <c r="M848" s="11"/>
      <c r="N848" s="103"/>
      <c r="O848" s="11"/>
      <c r="P848" s="11"/>
    </row>
    <row r="849" spans="1:16" ht="14.5" x14ac:dyDescent="0.25">
      <c r="A849" s="18"/>
      <c r="B849" s="19"/>
      <c r="C849" s="19"/>
      <c r="D849" s="10"/>
      <c r="E849" s="9"/>
      <c r="F849" s="3"/>
      <c r="G849" s="10"/>
      <c r="H849" s="25"/>
      <c r="I849" s="9"/>
      <c r="J849" s="14"/>
      <c r="K849" s="11"/>
      <c r="L849" s="11"/>
      <c r="M849" s="11"/>
      <c r="N849" s="103"/>
      <c r="O849" s="11"/>
      <c r="P849" s="11"/>
    </row>
    <row r="850" spans="1:16" ht="14.5" x14ac:dyDescent="0.25">
      <c r="A850" s="18"/>
      <c r="B850" s="19"/>
      <c r="C850" s="19"/>
      <c r="D850" s="10"/>
      <c r="E850" s="9"/>
      <c r="F850" s="3"/>
      <c r="G850" s="10"/>
      <c r="H850" s="25"/>
      <c r="I850" s="9"/>
      <c r="J850" s="14"/>
      <c r="K850" s="11"/>
      <c r="L850" s="11"/>
      <c r="M850" s="11"/>
      <c r="N850" s="103"/>
      <c r="O850" s="11"/>
      <c r="P850" s="11"/>
    </row>
  </sheetData>
  <conditionalFormatting sqref="B3:M850">
    <cfRule type="expression" dxfId="2" priority="3">
      <formula>$D3="Employé"</formula>
    </cfRule>
  </conditionalFormatting>
  <conditionalFormatting sqref="I3 I4:J1048576 I1:J1">
    <cfRule type="cellIs" dxfId="1" priority="8" operator="greaterThan">
      <formula>17</formula>
    </cfRule>
  </conditionalFormatting>
  <conditionalFormatting sqref="N3:P850">
    <cfRule type="expression" dxfId="0" priority="1">
      <formula>$D3="Employé"</formula>
    </cfRule>
  </conditionalFormatting>
  <dataValidations count="1">
    <dataValidation type="list" allowBlank="1" showInputMessage="1" showErrorMessage="1" sqref="D3:D707" xr:uid="{8A056E59-311D-4288-8C1D-8B06B88D7F05}">
      <formula1>"Employé,Conjoint,Enfant"</formula1>
    </dataValidation>
  </dataValidations>
  <hyperlinks>
    <hyperlink ref="N20" r:id="rId26"/>
    <hyperlink ref="N131" r:id="rId27"/>
    <hyperlink ref="N255" r:id="rId3" display="https://ppcafr.sharepoint.com/:b:/r/sites/knshr/HR ADMINISTRATION/ETAT DES INCORPORATIONS/2026/Etat_INCORPORATION_Famille junior, Ndonda pascal, MAKIVOVI et Kindaga.pdf?csf=1&amp;web=1&amp;e=WflqwM" xr:uid="{00000000-0004-0000-0100-000002000000}"/>
    <hyperlink ref="N256" r:id="rId4" display="https://ppcafr.sharepoint.com/:b:/r/sites/knshr/HR ADMINISTRATION/ETAT DES INCORPORATIONS/2026/Etat_INCORPORATION_Famille junior, Ndonda pascal, MAKIVOVI et Kindaga.pdf?csf=1&amp;web=1&amp;e=WflqwM" xr:uid="{00000000-0004-0000-0100-000003000000}"/>
    <hyperlink ref="N371" r:id="rId5" display="https://ppcafr.sharepoint.com/:b:/r/sites/knshr/HR ADMINISTRATION/ETAT DES INCORPORATIONS/2026/Etat_INCORPORATION_ MUSAKO.pdf?csf=1&amp;web=1&amp;e=yddcfo" xr:uid="{00000000-0004-0000-0100-000004000000}"/>
    <hyperlink ref="N374" r:id="rId6" display="https://ppcafr.sharepoint.com/:b:/r/sites/knshr/HR ADMINISTRATION/ETAT DES INCORPORATIONS/2026/Etat_INCORPORATION_ MUSAKO.pdf?csf=1&amp;web=1&amp;e=yddcfo" xr:uid="{00000000-0004-0000-0100-000005000000}"/>
    <hyperlink ref="N616" r:id="rId7" display="https://ppcafr.sharepoint.com/:b:/r/sites/knshr/HR ADMINISTRATION/ETAT DES INCORPORATIONS/2026/Etat_INCORPORATION_ KAMUNGA.pdf?csf=1&amp;web=1&amp;e=6wi2RC" xr:uid="{00000000-0004-0000-0100-000006000000}"/>
    <hyperlink ref="N620" r:id="rId8" display="https://ppcafr.sharepoint.com/:b:/r/sites/knshr/HR ADMINISTRATION/ETAT DES INCORPORATIONS/2026/Etat_INCORPORATION_ KAMUNGA.pdf?csf=1&amp;web=1&amp;e=6wi2RC" xr:uid="{00000000-0004-0000-0100-000007000000}"/>
    <hyperlink ref="N706" r:id="rId9" display="https://ppcafr.sharepoint.com/:b:/r/sites/knshr/HR ADMINISTRATION/ETAT DES INCORPORATIONS/2026/Etat_INCORPORATION_ Famille MASSADI.pdf?csf=1&amp;web=1&amp;e=uQIeav" xr:uid="{00000000-0004-0000-0100-000008000000}"/>
    <hyperlink ref="N707" r:id="rId10" display="https://ppcafr.sharepoint.com/:b:/r/sites/knshr/HR ADMINISTRATION/ETAT DES INCORPORATIONS/2026/Etat_INCORPORATION_ KAMUNGA.pdf?csf=1&amp;web=1&amp;e=6wi2RC" xr:uid="{00000000-0004-0000-0100-000009000000}"/>
    <hyperlink ref="N710" r:id="rId11" display="https://ppcafr.sharepoint.com/:b:/r/sites/knshr/HR ADMINISTRATION/ETAT DES INCORPORATIONS/2026/Etat_INCORPORATION_ Famille MASSADI.pdf?csf=1&amp;web=1&amp;e=uQIeav" xr:uid="{00000000-0004-0000-0100-00000A000000}"/>
    <hyperlink ref="N711" r:id="rId12" display="https://ppcafr.sharepoint.com/:b:/r/sites/knshr/HR ADMINISTRATION/ETAT DES INCORPORATIONS/2026/Etat_INCORPORATION_ KAMUNGA.pdf?csf=1&amp;web=1&amp;e=6wi2RC" xr:uid="{00000000-0004-0000-0100-00000B000000}"/>
    <hyperlink ref="N713" r:id="rId13" display="https://ppcafr.sharepoint.com/:b:/r/sites/knshr/HR ADMINISTRATION/ETAT DES INCORPORATIONS/2026/Etat_INCORPORATION_Famille junior, Ndonda pascal, MAKIVOVI et Kindaga.pdf?csf=1&amp;web=1&amp;e=k1SEhL" xr:uid="{00000000-0004-0000-0100-00000C000000}"/>
    <hyperlink ref="N714" r:id="rId32"/>
    <hyperlink ref="N715" r:id="rId33"/>
    <hyperlink ref="N716" r:id="rId16" display="https://ppcafr.sharepoint.com/:b:/r/sites/knshr/HR ADMINISTRATION/ETAT DES INCORPORATIONS/2026/Etat_INCORPORATION_ KAMUNGA.pdf?csf=1&amp;web=1&amp;e=6wi2RC" xr:uid="{00000000-0004-0000-0100-00000F000000}"/>
    <hyperlink ref="N258" r:id="rId29"/>
    <hyperlink ref="N377" r:id="rId30"/>
    <hyperlink ref="N625" r:id="rId31"/>
    <hyperlink ref="N724" r:id="rId36"/>
    <hyperlink ref="N725" r:id="rId21" xr:uid="{00000000-0004-0000-0100-000014000000}"/>
    <hyperlink ref="N726" r:id="rId22" display="https://ppcafr.sharepoint.com/:b:/r/sites/knshr/HR ADMINISTRATION/ETAT DES INCORPORATIONS/2026/Etat_INCORPORATION_Famille junior, Ndonda pascal, MAKIVOVI et Kindaga.pdf?csf=1&amp;web=1&amp;e=rFFtit" xr:uid="{00000000-0004-0000-0100-000015000000}"/>
    <hyperlink ref="N141" r:id="rId28"/>
    <hyperlink ref="N723" r:id="rId35"/>
    <hyperlink ref="N722" r:id="rId34"/>
  </hyperlinks>
  <pageMargins left="0.78740157499999996" right="0.78740157499999996" top="0.984251969" bottom="0.984251969" header="0" footer="0"/>
  <pageSetup scale="71" fitToHeight="0" orientation="portrait" horizontalDpi="300" verticalDpi="300" r:id="rId2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</vt:lpstr>
      <vt:lpstr>DEPENDANTS</vt:lpstr>
    </vt:vector>
  </TitlesOfParts>
  <Company>PPC Africa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Sacre Zola</dc:creator>
  <cp:lastModifiedBy>Gedeon Massadi</cp:lastModifiedBy>
  <dcterms:created xsi:type="dcterms:W3CDTF">2026-01-28T12:50:02Z</dcterms:created>
  <dcterms:modified xsi:type="dcterms:W3CDTF">2026-07-24T08:35:17Z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0x01010081D9A8DF5CC5C14FBA385E63A86C43A8</vt:lpwstr>
  </property>
  <property fmtid="{D5CDD505-2E9C-101B-9397-08002B2CF9AE}" pid="3" name="MediaServiceImageTags">
    <vt:lpwstr/>
  </property>
</Properties>
</file>