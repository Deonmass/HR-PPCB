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s\hr-rh-app\Excel\templates\guest-house\"/>
    </mc:Choice>
  </mc:AlternateContent>
  <xr:revisionPtr revIDLastSave="0" documentId="13_ncr:1_{3781AB58-492B-45C0-9AED-E24E76F32637}" xr6:coauthVersionLast="47" xr6:coauthVersionMax="47" xr10:uidLastSave="{00000000-0000-0000-0000-000000000000}"/>
  <bookViews>
    <workbookView xWindow="28680" yWindow="-120" windowWidth="29040" windowHeight="15720" xr2:uid="{5DD06A03-791B-452C-A552-C240E4A9DDFC}" activeTab="0"/>
  </bookViews>
  <sheets>
    <sheet name="G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<sst xmlns="http://schemas.openxmlformats.org/spreadsheetml/2006/main">
  <si>
    <t>Total</t>
  </si>
  <si>
    <t>Taux %</t>
  </si>
  <si>
    <t>Room # VIP - ZAMBA</t>
  </si>
  <si>
    <t>Room # 3 - MALANGA</t>
  </si>
  <si>
    <t>Room # 4 - KUMBA</t>
  </si>
  <si>
    <t>Room # 5 - KIASUNGWA</t>
  </si>
  <si>
    <t>Room # 6 - LUKUNGA</t>
  </si>
  <si>
    <t>Room # 7 - BANGU</t>
  </si>
  <si>
    <t>Room # 8 - KWILU</t>
  </si>
  <si>
    <t>Room # 9 - SONGOLOLO</t>
  </si>
  <si>
    <t>Room # 10 - KIMPESE</t>
  </si>
  <si>
    <t>Room # 11 - LUKALA</t>
  </si>
  <si>
    <t>Room # 12 - VAMPA</t>
  </si>
  <si>
    <t>Room # 13 - LUFU</t>
  </si>
  <si>
    <t>Room # 14 - NANGA</t>
  </si>
  <si>
    <t>Room # 15 - NTEMO</t>
  </si>
  <si>
    <t>Room # 16 - MATADI</t>
  </si>
  <si>
    <t>Total General Occupation</t>
  </si>
  <si>
    <t>Taux d occupation %</t>
  </si>
  <si>
    <t>Batiment #2</t>
  </si>
  <si>
    <t>Batiment #1</t>
  </si>
  <si>
    <t>Total Room</t>
  </si>
  <si>
    <t xml:space="preserve">PPCB Village Guesthouse </t>
  </si>
  <si>
    <t>S/T Occupation 2</t>
  </si>
  <si>
    <t>S/T Occupation 1</t>
  </si>
  <si>
    <t>HORS GUEST HOUSE</t>
  </si>
  <si>
    <t>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</si>
</sst>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[$-409]d\-mmm;@"/>
    <numFmt numFmtId="165" formatCode="ddd"/>
  </numFmts>
  <fonts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165" fontId="8" fillId="4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14" fontId="9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7" fillId="4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" fontId="10" fillId="3" borderId="1" xfId="0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1" fontId="9" fillId="5" borderId="5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vertical="center"/>
    </xf>
    <xf numFmtId="9" fontId="9" fillId="5" borderId="1" xfId="0" applyNumberFormat="1" applyFont="1" applyFill="1" applyBorder="1" applyAlignment="1">
      <alignment horizontal="center" vertical="center"/>
    </xf>
    <xf numFmtId="9" fontId="10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5" fontId="8" fillId="4" borderId="8" xfId="0" applyNumberFormat="1" applyFont="1" applyFill="1" applyBorder="1" applyAlignment="1">
      <alignment horizontal="center" vertical="center"/>
    </xf>
    <xf numFmtId="14" fontId="9" fillId="4" borderId="8" xfId="0" applyNumberFormat="1" applyFont="1" applyFill="1" applyBorder="1" applyAlignment="1">
      <alignment horizontal="center"/>
    </xf>
    <xf numFmtId="164" fontId="1" fillId="7" borderId="6" xfId="0" applyNumberFormat="1" applyFont="1" applyFill="1" applyBorder="1" applyAlignment="1">
      <alignment horizontal="center" vertical="center" textRotation="90"/>
    </xf>
    <xf numFmtId="164" fontId="1" fillId="7" borderId="6" xfId="0" applyNumberFormat="1" applyFont="1" applyFill="1" applyBorder="1" applyAlignment="1">
      <alignment horizontal="center"/>
    </xf>
    <xf numFmtId="0" fontId="12" fillId="7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0" fillId="0" borderId="2" xfId="0" applyBorder="1" applyAlignment="1"/>
    <xf numFmtId="0" fontId="10" fillId="4" borderId="3" xfId="0" applyFont="1" applyFill="1" applyBorder="1" applyAlignment="1"/>
    <xf numFmtId="0" fontId="6" fillId="4" borderId="2" xfId="0" applyFont="1" applyFill="1" applyBorder="1" applyAlignment="1">
      <alignment vertical="center"/>
    </xf>
    <xf numFmtId="0" fontId="10" fillId="3" borderId="2" xfId="0" applyFont="1" applyFill="1" applyBorder="1" applyAlignment="1"/>
    <xf numFmtId="0" fontId="5" fillId="0" borderId="2" xfId="0" applyFont="1" applyBorder="1" applyAlignment="1"/>
    <xf numFmtId="0" fontId="11" fillId="0" borderId="0" xfId="0" applyFont="1" applyAlignment="1"/>
    <xf numFmtId="0" fontId="9" fillId="8" borderId="1" xfId="0" applyFont="1" applyFill="1" applyBorder="1" applyAlignment="1">
      <alignment vertical="center"/>
    </xf>
    <xf numFmtId="9" fontId="9" fillId="8" borderId="1" xfId="0" applyNumberFormat="1" applyFont="1" applyFill="1" applyBorder="1" applyAlignment="1">
      <alignment horizontal="center" vertical="center"/>
    </xf>
    <xf numFmtId="9" fontId="10" fillId="8" borderId="0" xfId="0" applyNumberFormat="1" applyFont="1" applyFill="1" applyAlignment="1">
      <alignment horizontal="center" vertical="center"/>
    </xf>
    <xf numFmtId="0" fontId="6" fillId="9" borderId="2" xfId="0" applyFont="1" applyFill="1" applyBorder="1" applyAlignment="1">
      <alignment vertical="center"/>
    </xf>
    <xf numFmtId="165" fontId="8" fillId="9" borderId="1" xfId="0" applyNumberFormat="1" applyFont="1" applyFill="1" applyBorder="1" applyAlignment="1">
      <alignment horizontal="center" vertical="center"/>
    </xf>
    <xf numFmtId="14" fontId="9" fillId="9" borderId="1" xfId="0" applyNumberFormat="1" applyFont="1" applyFill="1" applyBorder="1" applyAlignment="1">
      <alignment horizontal="center"/>
    </xf>
    <xf numFmtId="0" fontId="10" fillId="9" borderId="3" xfId="0" applyFont="1" applyFill="1" applyBorder="1" applyAlignment="1">
      <alignment vertical="center"/>
    </xf>
    <xf numFmtId="1" fontId="7" fillId="9" borderId="4" xfId="0" applyNumberFormat="1" applyFont="1" applyFill="1" applyBorder="1" applyAlignment="1">
      <alignment horizontal="center" vertical="center"/>
    </xf>
    <xf numFmtId="9" fontId="13" fillId="10" borderId="9" xfId="0" applyNumberFormat="1" applyFont="1" applyFill="1" applyBorder="1" applyAlignment="1">
      <alignment horizontal="center"/>
    </xf>
    <xf numFmtId="9" fontId="14" fillId="11" borderId="10" xfId="0" applyNumberFormat="1" applyFont="1" applyFill="1" applyBorder="1" applyAlignment="1">
      <alignment horizontal="center"/>
    </xf>
    <xf numFmtId="9" fontId="15" fillId="12" borderId="11" xfId="0" applyNumberFormat="1" applyFont="1" applyFill="1" applyBorder="1" applyAlignment="1">
      <alignment horizontal="center"/>
    </xf>
    <xf numFmtId="9" fontId="16" fillId="13" borderId="12" xfId="0" applyNumberFormat="1" applyFont="1" applyFill="1" applyBorder="1" applyAlignment="1">
      <alignment horizontal="center"/>
    </xf>
    <xf numFmtId="9" fontId="17" fillId="14" borderId="13" xfId="0" applyNumberFormat="1" applyFont="1" applyFill="1" applyBorder="1" applyAlignment="1">
      <alignment horizontal="center"/>
    </xf>
    <xf numFmtId="9" fontId="18" fillId="15" borderId="14" xfId="0" applyNumberFormat="1" applyFont="1" applyFill="1" applyBorder="1" applyAlignment="1">
      <alignment horizontal="center"/>
    </xf>
    <xf numFmtId="9" fontId="19" fillId="16" borderId="15" xfId="0" applyNumberFormat="1" applyFont="1" applyFill="1" applyBorder="1" applyAlignment="1">
      <alignment horizontal="center"/>
    </xf>
    <xf numFmtId="9" fontId="20" fillId="17" borderId="16" xfId="0" applyNumberFormat="1" applyFont="1" applyFill="1" applyBorder="1" applyAlignment="1">
      <alignment horizontal="center"/>
    </xf>
    <xf numFmtId="9" fontId="21" fillId="18" borderId="17" xfId="0" applyNumberFormat="1" applyFont="1" applyFill="1" applyBorder="1" applyAlignment="1">
      <alignment horizontal="center"/>
    </xf>
    <xf numFmtId="9" fontId="22" fillId="19" borderId="18" xfId="0" applyNumberFormat="1" applyFont="1" applyFill="1" applyBorder="1" applyAlignment="1">
      <alignment horizontal="center"/>
    </xf>
    <xf numFmtId="9" fontId="23" fillId="20" borderId="19" xfId="0" applyNumberFormat="1" applyFont="1" applyFill="1" applyBorder="1" applyAlignment="1">
      <alignment horizontal="center"/>
    </xf>
    <xf numFmtId="9" fontId="24" fillId="21" borderId="20" xfId="0" applyNumberFormat="1" applyFont="1" applyFill="1" applyBorder="1" applyAlignment="1">
      <alignment horizontal="center"/>
    </xf>
    <xf numFmtId="9" fontId="25" fillId="22" borderId="21" xfId="0" applyNumberFormat="1" applyFont="1" applyFill="1" applyBorder="1" applyAlignment="1">
      <alignment horizontal="center"/>
    </xf>
    <xf numFmtId="9" fontId="26" fillId="23" borderId="22" xfId="0" applyNumberFormat="1" applyFont="1" applyFill="1" applyBorder="1" applyAlignment="1">
      <alignment horizontal="center"/>
    </xf>
    <xf numFmtId="9" fontId="27" fillId="24" borderId="23" xfId="0" applyNumberFormat="1" applyFont="1" applyFill="1" applyBorder="1" applyAlignment="1">
      <alignment horizontal="center"/>
    </xf>
    <xf numFmtId="9" fontId="28" fillId="25" borderId="24" xfId="0" applyNumberFormat="1" applyFont="1" applyFill="1" applyBorder="1" applyAlignment="1">
      <alignment horizontal="center"/>
    </xf>
    <xf numFmtId="9" fontId="29" fillId="26" borderId="25" xfId="0" applyNumberFormat="1" applyFont="1" applyFill="1" applyBorder="1" applyAlignment="1">
      <alignment horizontal="center"/>
    </xf>
    <xf numFmtId="9" fontId="30" fillId="27" borderId="26" xfId="0" applyNumberFormat="1" applyFont="1" applyFill="1" applyBorder="1" applyAlignment="1">
      <alignment horizontal="center"/>
    </xf>
    <xf numFmtId="9" fontId="31" fillId="28" borderId="27" xfId="0" applyNumberFormat="1" applyFont="1" applyFill="1" applyBorder="1" applyAlignment="1">
      <alignment horizontal="center"/>
    </xf>
    <xf numFmtId="9" fontId="32" fillId="29" borderId="28" xfId="0" applyNumberFormat="1" applyFont="1" applyFill="1" applyBorder="1" applyAlignment="1">
      <alignment horizontal="center"/>
    </xf>
    <xf numFmtId="9" fontId="33" fillId="30" borderId="29" xfId="0" applyNumberFormat="1" applyFont="1" applyFill="1" applyBorder="1" applyAlignment="1">
      <alignment horizontal="center"/>
    </xf>
    <xf numFmtId="9" fontId="34" fillId="31" borderId="3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405B-814A-4681-99A7-9B5C63B98960}">
  <sheetPr/>
  <sheetViews>
    <sheetView showGridLines="0" tabSelected="1" zoomScale="80" zoomScaleNormal="80" workbookViewId="0">
      <selection activeCell="A2" sqref="A2"/>
    </sheetView>
  </sheetViews>
  <sheetFormatPr defaultRowHeight="14.5" x14ac:dyDescent="0.35"/>
  <cols>
    <col min="1" max="1" width="29.54296875" style="2" bestFit="1" customWidth="1"/>
    <col min="2" max="2" width="13.26953125" style="6" customWidth="1"/>
    <col min="3" max="34" width="8.7265625" style="6"/>
  </cols>
  <sheetData>
    <row r="1" spans="1:34" ht="34.5" x14ac:dyDescent="0.35">
      <c r="A1" t="s" s="25">
        <v>22</v>
      </c>
    </row>
    <row r="2" spans="1:34" ht="16" x14ac:dyDescent="0.4">
      <c r="B2" s="24">
        <v>46174</v>
      </c>
      <c r="C2" s="24">
        <f t="shared" ref="C2:AF2" si="0">B2+1</f>
      </c>
      <c r="D2" s="24">
        <f t="shared" si="0"/>
      </c>
      <c r="E2" s="24">
        <f t="shared" si="0"/>
      </c>
      <c r="F2" s="24">
        <f t="shared" si="0"/>
      </c>
      <c r="G2" s="24">
        <f t="shared" si="0"/>
      </c>
      <c r="H2" s="24">
        <f t="shared" si="0"/>
      </c>
      <c r="I2" s="24">
        <f>H2+1</f>
      </c>
      <c r="J2" s="24">
        <f t="shared" si="0"/>
      </c>
      <c r="K2" s="24">
        <f t="shared" si="0"/>
      </c>
      <c r="L2" s="24">
        <f t="shared" si="0"/>
      </c>
      <c r="M2" s="24">
        <f t="shared" si="0"/>
      </c>
      <c r="N2" s="24">
        <f t="shared" si="0"/>
      </c>
      <c r="O2" s="24">
        <f t="shared" si="0"/>
      </c>
      <c r="P2" s="24">
        <f t="shared" si="0"/>
      </c>
      <c r="Q2" s="24">
        <f t="shared" si="0"/>
      </c>
      <c r="R2" s="24">
        <f t="shared" si="0"/>
      </c>
      <c r="S2" s="24">
        <f t="shared" si="0"/>
      </c>
      <c r="T2" s="24">
        <f t="shared" si="0"/>
      </c>
      <c r="U2" s="24">
        <f t="shared" si="0"/>
      </c>
      <c r="V2" s="24">
        <f t="shared" si="0"/>
      </c>
      <c r="W2" s="24">
        <f t="shared" si="0"/>
      </c>
      <c r="X2" s="24">
        <f t="shared" si="0"/>
      </c>
      <c r="Y2" s="24">
        <f t="shared" si="0"/>
      </c>
      <c r="Z2" s="24">
        <f t="shared" si="0"/>
      </c>
      <c r="AA2" s="24">
        <f t="shared" si="0"/>
      </c>
      <c r="AB2" s="24">
        <f t="shared" si="0"/>
      </c>
      <c r="AC2" s="24">
        <f t="shared" si="0"/>
      </c>
      <c r="AD2" s="24">
        <f t="shared" si="0"/>
      </c>
      <c r="AE2" s="24">
        <f t="shared" si="0"/>
      </c>
      <c r="AF2" s="24">
        <f t="shared" si="0"/>
      </c>
      <c r="AG2" s="23"/>
      <c r="AH2" s="23"/>
    </row>
    <row r="3" spans="1:34" ht="16" x14ac:dyDescent="0.35">
      <c r="A3" t="s" s="26">
        <v>20</v>
      </c>
      <c r="B3" s="21">
        <f t="shared" ref="B3:AF3" si="1">B2</f>
      </c>
      <c r="C3" s="21">
        <f t="shared" si="1"/>
      </c>
      <c r="D3" s="21">
        <f t="shared" si="1"/>
      </c>
      <c r="E3" s="21">
        <f t="shared" si="1"/>
      </c>
      <c r="F3" s="21">
        <f t="shared" si="1"/>
      </c>
      <c r="G3" s="21">
        <f t="shared" si="1"/>
      </c>
      <c r="H3" s="21">
        <f t="shared" si="1"/>
      </c>
      <c r="I3" s="21">
        <f t="shared" si="1"/>
      </c>
      <c r="J3" s="21">
        <f t="shared" si="1"/>
      </c>
      <c r="K3" s="21">
        <f t="shared" si="1"/>
      </c>
      <c r="L3" s="21">
        <f t="shared" si="1"/>
      </c>
      <c r="M3" s="21">
        <f t="shared" si="1"/>
      </c>
      <c r="N3" s="21">
        <f t="shared" si="1"/>
      </c>
      <c r="O3" s="21">
        <f t="shared" si="1"/>
      </c>
      <c r="P3" s="21">
        <f t="shared" si="1"/>
      </c>
      <c r="Q3" s="21">
        <f t="shared" si="1"/>
      </c>
      <c r="R3" s="21">
        <f t="shared" si="1"/>
      </c>
      <c r="S3" s="21">
        <f t="shared" si="1"/>
      </c>
      <c r="T3" s="21">
        <f t="shared" si="1"/>
      </c>
      <c r="U3" s="21">
        <f t="shared" si="1"/>
      </c>
      <c r="V3" s="21">
        <f t="shared" si="1"/>
      </c>
      <c r="W3" s="21">
        <f t="shared" si="1"/>
      </c>
      <c r="X3" s="21">
        <f t="shared" si="1"/>
      </c>
      <c r="Y3" s="21">
        <f t="shared" si="1"/>
      </c>
      <c r="Z3" s="21">
        <f t="shared" si="1"/>
      </c>
      <c r="AA3" s="21">
        <f t="shared" si="1"/>
      </c>
      <c r="AB3" s="21">
        <f t="shared" si="1"/>
      </c>
      <c r="AC3" s="21">
        <f t="shared" si="1"/>
      </c>
      <c r="AD3" s="21">
        <f t="shared" si="1"/>
      </c>
      <c r="AE3" s="21">
        <f t="shared" si="1"/>
      </c>
      <c r="AF3" s="21">
        <f t="shared" si="1"/>
      </c>
      <c r="AG3" t="s" s="22">
        <v>0</v>
      </c>
      <c r="AH3" t="s" s="22">
        <v>1</v>
      </c>
    </row>
    <row r="4" spans="1:34" x14ac:dyDescent="0.35">
      <c r="A4" t="s" s="27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12">
        <f>COUNTIF(B4:AF4,"&lt;&gt;")</f>
      </c>
      <c r="AH4" s="41">
        <f>IFERROR(AG4/DAY(EOMONTH($B$2,0)),0)</f>
      </c>
    </row>
    <row r="5" spans="1:34" x14ac:dyDescent="0.35">
      <c r="A5" t="s" s="27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12">
        <f>COUNTIF(B5:AF5,"&lt;&gt;")</f>
      </c>
      <c r="AH5" s="42">
        <f>IFERROR(AG5/DAY(EOMONTH($B$2,0)),0)</f>
      </c>
    </row>
    <row r="6" spans="1:34" x14ac:dyDescent="0.35">
      <c r="A6" t="s" s="27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12">
        <f>COUNTIF(B6:AF6,"&lt;&gt;")</f>
      </c>
      <c r="AH6" s="43">
        <f>IFERROR(AG6/DAY(EOMONTH($B$2,0)),0)</f>
      </c>
    </row>
    <row r="7" spans="1:34" x14ac:dyDescent="0.35">
      <c r="A7" t="s" s="27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12">
        <f>COUNTIF(B7:AF7,"&lt;&gt;")</f>
      </c>
      <c r="AH7" s="44">
        <f>IFERROR(AG7/DAY(EOMONTH($B$2,0)),0)</f>
      </c>
    </row>
    <row r="8" spans="1:34" x14ac:dyDescent="0.35">
      <c r="A8" t="s" s="27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12">
        <f>COUNTIF(B8:AF8,"&lt;&gt;")</f>
      </c>
      <c r="AH8" s="45">
        <f>IFERROR(AG8/DAY(EOMONTH($B$2,0)),0)</f>
      </c>
    </row>
    <row r="9" spans="1:34" x14ac:dyDescent="0.35">
      <c r="A9" t="s" s="27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12">
        <f>COUNTIF(B9:AF9,"&lt;&gt;")</f>
      </c>
      <c r="AH9" s="46">
        <f>IFERROR(AG9/DAY(EOMONTH($B$2,0)),0)</f>
      </c>
    </row>
    <row r="10" spans="1:34" ht="15" thickBot="1" x14ac:dyDescent="0.4">
      <c r="A10" t="s" s="27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12">
        <f>COUNTIF(B10:AF10,"&lt;&gt;")</f>
      </c>
      <c r="AH10" s="47">
        <f>IFERROR(AG10/DAY(EOMONTH($B$2,0)),0)</f>
      </c>
    </row>
    <row r="11" spans="1:34" ht="16" x14ac:dyDescent="0.4">
      <c r="A11" t="s" s="28">
        <v>24</v>
      </c>
      <c r="B11" s="5">
        <f>COUNTA(B4:B10)</f>
      </c>
      <c r="C11" s="5">
        <f>COUNTA(C4:C10)</f>
      </c>
      <c r="D11" s="5">
        <f t="shared" ref="D11:AF11" si="4">COUNTA(D4:D10)</f>
      </c>
      <c r="E11" s="5">
        <f t="shared" si="4"/>
      </c>
      <c r="F11" s="5">
        <f t="shared" si="4"/>
      </c>
      <c r="G11" s="5">
        <f t="shared" si="4"/>
      </c>
      <c r="H11" s="5">
        <f t="shared" si="4"/>
      </c>
      <c r="I11" s="5">
        <f t="shared" si="4"/>
      </c>
      <c r="J11" s="5">
        <f t="shared" si="4"/>
      </c>
      <c r="K11" s="5">
        <f t="shared" si="4"/>
      </c>
      <c r="L11" s="5">
        <f t="shared" si="4"/>
      </c>
      <c r="M11" s="5">
        <f t="shared" si="4"/>
      </c>
      <c r="N11" s="5">
        <f t="shared" si="4"/>
      </c>
      <c r="O11" s="5">
        <f t="shared" si="4"/>
      </c>
      <c r="P11" s="5">
        <f t="shared" si="4"/>
      </c>
      <c r="Q11" s="5">
        <f t="shared" si="4"/>
      </c>
      <c r="R11" s="5">
        <f t="shared" si="4"/>
      </c>
      <c r="S11" s="5">
        <f t="shared" si="4"/>
      </c>
      <c r="T11" s="5">
        <f t="shared" si="4"/>
      </c>
      <c r="U11" s="5">
        <f t="shared" si="4"/>
      </c>
      <c r="V11" s="5">
        <f t="shared" si="4"/>
      </c>
      <c r="W11" s="5">
        <f t="shared" si="4"/>
      </c>
      <c r="X11" s="5">
        <f t="shared" si="4"/>
      </c>
      <c r="Y11" s="5">
        <f t="shared" si="4"/>
      </c>
      <c r="Z11" s="5">
        <f t="shared" si="4"/>
      </c>
      <c r="AA11" s="5">
        <f t="shared" si="4"/>
      </c>
      <c r="AB11" s="5">
        <f t="shared" si="4"/>
      </c>
      <c r="AC11" s="5">
        <f>COUNTA(AC4:AC10)</f>
      </c>
      <c r="AD11" s="5">
        <f>COUNTA(AD4:AD10)</f>
      </c>
      <c r="AE11" s="5">
        <f>COUNTA(AE4:AE10)</f>
      </c>
      <c r="AF11" s="5">
        <f t="shared" si="4"/>
      </c>
      <c r="AG11" s="13">
        <f t="shared" ref="AG11" si="5">SUM(AG4:AG10)</f>
      </c>
      <c r="AH11" s="15">
        <f>AVERAGE(AH4:AH10)</f>
      </c>
    </row>
    <row r="13" spans="1:34" ht="16" x14ac:dyDescent="0.35">
      <c r="A13" t="s" s="29">
        <v>19</v>
      </c>
      <c r="B13" s="1">
        <f>B2</f>
      </c>
      <c r="C13" s="1">
        <f t="shared" ref="C13:AF13" si="6">C2</f>
      </c>
      <c r="D13" s="1">
        <f t="shared" si="6"/>
      </c>
      <c r="E13" s="1">
        <f t="shared" si="6"/>
      </c>
      <c r="F13" s="1">
        <f t="shared" si="6"/>
      </c>
      <c r="G13" s="1">
        <f t="shared" si="6"/>
      </c>
      <c r="H13" s="1">
        <f t="shared" si="6"/>
      </c>
      <c r="I13" s="1">
        <f t="shared" si="6"/>
      </c>
      <c r="J13" s="1">
        <f t="shared" si="6"/>
      </c>
      <c r="K13" s="1">
        <f t="shared" si="6"/>
      </c>
      <c r="L13" s="1">
        <f t="shared" si="6"/>
      </c>
      <c r="M13" s="1">
        <f t="shared" si="6"/>
      </c>
      <c r="N13" s="1">
        <f t="shared" si="6"/>
      </c>
      <c r="O13" s="1">
        <f t="shared" si="6"/>
      </c>
      <c r="P13" s="1">
        <f t="shared" si="6"/>
      </c>
      <c r="Q13" s="1">
        <f t="shared" si="6"/>
      </c>
      <c r="R13" s="1">
        <f t="shared" si="6"/>
      </c>
      <c r="S13" s="1">
        <f t="shared" si="6"/>
      </c>
      <c r="T13" s="1">
        <f t="shared" si="6"/>
      </c>
      <c r="U13" s="1">
        <f t="shared" si="6"/>
      </c>
      <c r="V13" s="1">
        <f t="shared" si="6"/>
      </c>
      <c r="W13" s="1">
        <f t="shared" si="6"/>
      </c>
      <c r="X13" s="1">
        <f t="shared" si="6"/>
      </c>
      <c r="Y13" s="1">
        <f t="shared" si="6"/>
      </c>
      <c r="Z13" s="1">
        <f t="shared" si="6"/>
      </c>
      <c r="AA13" s="1">
        <f t="shared" si="6"/>
      </c>
      <c r="AB13" s="1">
        <f t="shared" si="6"/>
      </c>
      <c r="AC13" s="1">
        <f t="shared" si="6"/>
      </c>
      <c r="AD13" s="1">
        <f t="shared" si="6"/>
      </c>
      <c r="AE13" s="1">
        <f t="shared" si="6"/>
      </c>
      <c r="AF13" s="1">
        <f t="shared" si="6"/>
      </c>
      <c r="AG13" s="3"/>
      <c r="AH13" s="3"/>
    </row>
    <row r="14" spans="1:34" x14ac:dyDescent="0.35">
      <c r="A14" t="s" s="27">
        <v>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12">
        <f>COUNTIF(B14:AF14,"&lt;&gt;")</f>
      </c>
      <c r="AH14" s="48">
        <f>IFERROR(AG14/DAY(EOMONTH($B$2,0)),0)</f>
      </c>
    </row>
    <row r="15" spans="1:34" x14ac:dyDescent="0.35">
      <c r="A15" t="s" s="27">
        <v>10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12">
        <f>COUNTIF(B15:AF15,"&lt;&gt;")</f>
      </c>
      <c r="AH15" s="49">
        <f>IFERROR(AG15/DAY(EOMONTH($B$2,0)),0)</f>
      </c>
    </row>
    <row r="16" spans="1:34" x14ac:dyDescent="0.35">
      <c r="A16" t="s" s="27">
        <v>11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12">
        <f>COUNTIF(B16:AF16,"&lt;&gt;")</f>
      </c>
      <c r="AH16" s="50">
        <f>IFERROR(AG16/DAY(EOMONTH($B$2,0)),0)</f>
      </c>
    </row>
    <row r="17" spans="1:34" x14ac:dyDescent="0.35">
      <c r="A17" t="s" s="27">
        <v>12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12">
        <f>COUNTIF(B17:AF17,"&lt;&gt;")</f>
      </c>
      <c r="AH17" s="51">
        <f>IFERROR(AG17/DAY(EOMONTH($B$2,0)),0)</f>
      </c>
    </row>
    <row r="18" spans="1:34" x14ac:dyDescent="0.35">
      <c r="A18" t="s" s="27">
        <v>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12">
        <f>COUNTIF(B18:AF18,"&lt;&gt;")</f>
      </c>
      <c r="AH18" s="52">
        <f>IFERROR(AG18/DAY(EOMONTH($B$2,0)),0)</f>
      </c>
    </row>
    <row r="19" spans="1:34" x14ac:dyDescent="0.35">
      <c r="A19" t="s" s="27">
        <v>14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12">
        <f>COUNTIF(B19:AF19,"&lt;&gt;")</f>
      </c>
      <c r="AH19" s="53">
        <f>IFERROR(AG19/DAY(EOMONTH($B$2,0)),0)</f>
      </c>
    </row>
    <row r="20" spans="1:34" x14ac:dyDescent="0.35">
      <c r="A20" t="s" s="27">
        <v>15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12">
        <f>COUNTIF(B20:AF20,"&lt;&gt;")</f>
      </c>
      <c r="AH20" s="54">
        <f>IFERROR(AG20/DAY(EOMONTH($B$2,0)),0)</f>
      </c>
    </row>
    <row r="21" spans="1:34" ht="15" thickBot="1" x14ac:dyDescent="0.4">
      <c r="A21" t="s" s="27">
        <v>16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12">
        <f>COUNTIF(B21:AF21,"&lt;&gt;")</f>
      </c>
      <c r="AH21" s="55">
        <f>IFERROR(AG21/DAY(EOMONTH($B$2,0)),0)</f>
      </c>
    </row>
    <row r="22" spans="1:34" ht="16" x14ac:dyDescent="0.4">
      <c r="A22" t="s" s="28">
        <v>23</v>
      </c>
      <c r="B22" s="5">
        <f>COUNTA(B14:B21)</f>
      </c>
      <c r="C22" s="5">
        <f>COUNTA(C15:C21)</f>
      </c>
      <c r="D22" s="5">
        <f>COUNTA(D15:D21)</f>
      </c>
      <c r="E22" s="5">
        <f t="shared" ref="E22:AF22" si="9">COUNTA(E14:E21)</f>
      </c>
      <c r="F22" s="5">
        <f t="shared" si="9"/>
      </c>
      <c r="G22" s="5">
        <f t="shared" si="9"/>
      </c>
      <c r="H22" s="5">
        <f t="shared" si="9"/>
      </c>
      <c r="I22" s="5">
        <f t="shared" si="9"/>
      </c>
      <c r="J22" s="5">
        <f t="shared" si="9"/>
      </c>
      <c r="K22" s="5">
        <f t="shared" si="9"/>
      </c>
      <c r="L22" s="5">
        <f t="shared" si="9"/>
      </c>
      <c r="M22" s="5">
        <f t="shared" si="9"/>
      </c>
      <c r="N22" s="5">
        <f t="shared" si="9"/>
      </c>
      <c r="O22" s="5">
        <f t="shared" si="9"/>
      </c>
      <c r="P22" s="5">
        <f t="shared" si="9"/>
      </c>
      <c r="Q22" s="5">
        <f t="shared" si="9"/>
      </c>
      <c r="R22" s="5">
        <f t="shared" si="9"/>
      </c>
      <c r="S22" s="5">
        <f t="shared" si="9"/>
      </c>
      <c r="T22" s="5">
        <f>COUNTA(T14:T21)</f>
      </c>
      <c r="U22" s="5">
        <f t="shared" si="9"/>
      </c>
      <c r="V22" s="5">
        <f t="shared" si="9"/>
      </c>
      <c r="W22" s="5">
        <f t="shared" si="9"/>
      </c>
      <c r="X22" s="5">
        <f t="shared" si="9"/>
      </c>
      <c r="Y22" s="5">
        <f t="shared" si="9"/>
      </c>
      <c r="Z22" s="5">
        <f t="shared" si="9"/>
      </c>
      <c r="AA22" s="5">
        <f t="shared" si="9"/>
      </c>
      <c r="AB22" s="5">
        <f t="shared" si="9"/>
      </c>
      <c r="AC22" s="5">
        <f t="shared" si="9"/>
      </c>
      <c r="AD22" s="5">
        <f t="shared" si="9"/>
      </c>
      <c r="AE22" s="5">
        <f t="shared" si="9"/>
      </c>
      <c r="AF22" s="5">
        <f t="shared" si="9"/>
      </c>
      <c r="AG22" s="13">
        <f>SUM(AG14:AG21)</f>
      </c>
      <c r="AH22" s="15">
        <f>SUM(AH14:AH21)</f>
      </c>
    </row>
    <row r="23" spans="1:34" ht="15.5" x14ac:dyDescent="0.35">
      <c r="A23" t="s" s="30">
        <v>17</v>
      </c>
      <c r="B23" s="10">
        <f t="shared" ref="B23:AF23" si="10">B11+B22</f>
      </c>
      <c r="C23" s="10">
        <f t="shared" si="10"/>
      </c>
      <c r="D23" s="10">
        <f t="shared" si="10"/>
      </c>
      <c r="E23" s="10">
        <f t="shared" si="10"/>
      </c>
      <c r="F23" s="10">
        <f t="shared" si="10"/>
      </c>
      <c r="G23" s="10">
        <f t="shared" si="10"/>
      </c>
      <c r="H23" s="10">
        <f t="shared" si="10"/>
      </c>
      <c r="I23" s="10">
        <f t="shared" si="10"/>
      </c>
      <c r="J23" s="10">
        <f t="shared" si="10"/>
      </c>
      <c r="K23" s="10">
        <f t="shared" si="10"/>
      </c>
      <c r="L23" s="10">
        <f t="shared" si="10"/>
      </c>
      <c r="M23" s="10">
        <f t="shared" si="10"/>
      </c>
      <c r="N23" s="10">
        <f t="shared" si="10"/>
      </c>
      <c r="O23" s="10">
        <f t="shared" si="10"/>
      </c>
      <c r="P23" s="10">
        <f t="shared" si="10"/>
      </c>
      <c r="Q23" s="10">
        <f t="shared" si="10"/>
      </c>
      <c r="R23" s="10">
        <f t="shared" si="10"/>
      </c>
      <c r="S23" s="10">
        <f t="shared" si="10"/>
      </c>
      <c r="T23" s="10">
        <f t="shared" si="10"/>
      </c>
      <c r="U23" s="10">
        <f t="shared" si="10"/>
      </c>
      <c r="V23" s="10">
        <f t="shared" si="10"/>
      </c>
      <c r="W23" s="10">
        <f t="shared" si="10"/>
      </c>
      <c r="X23" s="10">
        <f t="shared" si="10"/>
      </c>
      <c r="Y23" s="10">
        <f t="shared" si="10"/>
      </c>
      <c r="Z23" s="10">
        <f t="shared" si="10"/>
      </c>
      <c r="AA23" s="10">
        <f t="shared" si="10"/>
      </c>
      <c r="AB23" s="10">
        <f t="shared" si="10"/>
      </c>
      <c r="AC23" s="10">
        <f t="shared" si="10"/>
      </c>
      <c r="AD23" s="10">
        <f t="shared" si="10"/>
      </c>
      <c r="AE23" s="10">
        <f t="shared" si="10"/>
      </c>
      <c r="AF23" s="10">
        <f t="shared" si="10"/>
      </c>
      <c r="AG23" s="11">
        <f>+AG11+AG22</f>
      </c>
    </row>
    <row r="24" spans="1:34" ht="15.5" x14ac:dyDescent="0.35">
      <c r="A24" t="s" s="31">
        <v>21</v>
      </c>
      <c r="B24" s="7">
        <f>COUNTA($A$14:$A$21,$A$4:$A$10)</f>
      </c>
      <c r="C24" s="7">
        <f t="shared" ref="C24:AF24" si="11">COUNTA($A$14:$A$21,$A$4:$A$10)</f>
      </c>
      <c r="D24" s="7">
        <f t="shared" si="11"/>
      </c>
      <c r="E24" s="7">
        <f t="shared" si="11"/>
      </c>
      <c r="F24" s="7">
        <f t="shared" si="11"/>
      </c>
      <c r="G24" s="7">
        <f t="shared" si="11"/>
      </c>
      <c r="H24" s="7">
        <f t="shared" si="11"/>
      </c>
      <c r="I24" s="7">
        <f t="shared" si="11"/>
      </c>
      <c r="J24" s="7">
        <f t="shared" si="11"/>
      </c>
      <c r="K24" s="7">
        <f t="shared" si="11"/>
      </c>
      <c r="L24" s="7">
        <f t="shared" si="11"/>
      </c>
      <c r="M24" s="7">
        <f t="shared" si="11"/>
      </c>
      <c r="N24" s="7">
        <f t="shared" si="11"/>
      </c>
      <c r="O24" s="7">
        <f t="shared" si="11"/>
      </c>
      <c r="P24" s="7">
        <f t="shared" si="11"/>
      </c>
      <c r="Q24" s="7">
        <f t="shared" si="11"/>
      </c>
      <c r="R24" s="7">
        <f t="shared" si="11"/>
      </c>
      <c r="S24" s="7">
        <f t="shared" si="11"/>
      </c>
      <c r="T24" s="7">
        <f t="shared" si="11"/>
      </c>
      <c r="U24" s="7">
        <f t="shared" si="11"/>
      </c>
      <c r="V24" s="7">
        <f t="shared" si="11"/>
      </c>
      <c r="W24" s="7">
        <f t="shared" si="11"/>
      </c>
      <c r="X24" s="7">
        <f t="shared" si="11"/>
      </c>
      <c r="Y24" s="7">
        <f t="shared" si="11"/>
      </c>
      <c r="Z24" s="7">
        <f t="shared" si="11"/>
      </c>
      <c r="AA24" s="7">
        <f t="shared" si="11"/>
      </c>
      <c r="AB24" s="7">
        <f t="shared" si="11"/>
      </c>
      <c r="AC24" s="7">
        <f t="shared" si="11"/>
      </c>
      <c r="AD24" s="7">
        <f t="shared" si="11"/>
      </c>
      <c r="AE24" s="7">
        <f t="shared" si="11"/>
      </c>
      <c r="AF24" s="7">
        <f t="shared" si="11"/>
      </c>
      <c r="AG24" s="8"/>
    </row>
    <row r="25" spans="1:34" s="20" customFormat="1" ht="20" customHeight="1" x14ac:dyDescent="0.35">
      <c r="A25" t="s" s="16">
        <v>18</v>
      </c>
      <c r="B25" s="17">
        <f>B23/B24</f>
      </c>
      <c r="C25" s="17">
        <f t="shared" ref="C25:AF25" si="12">C23/C24</f>
      </c>
      <c r="D25" s="17">
        <f t="shared" si="12"/>
      </c>
      <c r="E25" s="17">
        <f t="shared" si="12"/>
      </c>
      <c r="F25" s="17">
        <f t="shared" si="12"/>
      </c>
      <c r="G25" s="17">
        <f t="shared" si="12"/>
      </c>
      <c r="H25" s="17">
        <f t="shared" si="12"/>
      </c>
      <c r="I25" s="17">
        <f t="shared" si="12"/>
      </c>
      <c r="J25" s="17">
        <f t="shared" si="12"/>
      </c>
      <c r="K25" s="17">
        <f t="shared" si="12"/>
      </c>
      <c r="L25" s="17">
        <f t="shared" si="12"/>
      </c>
      <c r="M25" s="17">
        <f t="shared" si="12"/>
      </c>
      <c r="N25" s="17">
        <f t="shared" si="12"/>
      </c>
      <c r="O25" s="17">
        <f t="shared" si="12"/>
      </c>
      <c r="P25" s="17">
        <f t="shared" si="12"/>
      </c>
      <c r="Q25" s="17">
        <f t="shared" si="12"/>
      </c>
      <c r="R25" s="17">
        <f t="shared" si="12"/>
      </c>
      <c r="S25" s="17">
        <f t="shared" si="12"/>
      </c>
      <c r="T25" s="17">
        <f t="shared" si="12"/>
      </c>
      <c r="U25" s="17">
        <f t="shared" si="12"/>
      </c>
      <c r="V25" s="17">
        <f t="shared" si="12"/>
      </c>
      <c r="W25" s="17">
        <f t="shared" si="12"/>
      </c>
      <c r="X25" s="17">
        <f t="shared" si="12"/>
      </c>
      <c r="Y25" s="17">
        <f t="shared" si="12"/>
      </c>
      <c r="Z25" s="17">
        <f t="shared" si="12"/>
      </c>
      <c r="AA25" s="17">
        <f t="shared" si="12"/>
      </c>
      <c r="AB25" s="17">
        <f t="shared" si="12"/>
      </c>
      <c r="AC25" s="17">
        <f t="shared" si="12"/>
      </c>
      <c r="AD25" s="17">
        <f t="shared" si="12"/>
      </c>
      <c r="AE25" s="17">
        <f t="shared" si="12"/>
      </c>
      <c r="AF25" s="17">
        <f t="shared" si="12"/>
      </c>
      <c r="AG25" s="18">
        <f>AVERAGE(B25:AF25)</f>
      </c>
      <c r="AH25" s="19"/>
    </row>
    <row r="26" spans="1:34" x14ac:dyDescent="0.35">
      <c r="AG26" s="9"/>
    </row>
    <row r="27" spans="1:34" x14ac:dyDescent="0.35">
      <c r="AG27" s="9"/>
    </row>
    <row r="28" spans="1:34" x14ac:dyDescent="0.35">
      <c r="AG28" s="9"/>
    </row>
    <row r="30" spans="1:34" ht="18.5" x14ac:dyDescent="0.45">
      <c r="A30" t="s" s="32">
        <v>25</v>
      </c>
    </row>
    <row r="31" spans="1:34" ht="16" x14ac:dyDescent="0.35">
      <c r="A31" t="s" s="36">
        <v>26</v>
      </c>
      <c r="B31" s="37">
        <f>B13</f>
      </c>
      <c r="C31" s="37">
        <f t="shared" ref="C31:AF31" si="13">C13</f>
      </c>
      <c r="D31" s="37">
        <f t="shared" si="13"/>
      </c>
      <c r="E31" s="37">
        <f t="shared" si="13"/>
      </c>
      <c r="F31" s="37">
        <f t="shared" si="13"/>
      </c>
      <c r="G31" s="37">
        <f t="shared" si="13"/>
      </c>
      <c r="H31" s="37">
        <f t="shared" si="13"/>
      </c>
      <c r="I31" s="37">
        <f t="shared" si="13"/>
      </c>
      <c r="J31" s="37">
        <f t="shared" si="13"/>
      </c>
      <c r="K31" s="37">
        <f t="shared" si="13"/>
      </c>
      <c r="L31" s="37">
        <f t="shared" si="13"/>
      </c>
      <c r="M31" s="37">
        <f t="shared" si="13"/>
      </c>
      <c r="N31" s="37">
        <f t="shared" si="13"/>
      </c>
      <c r="O31" s="37">
        <f t="shared" si="13"/>
      </c>
      <c r="P31" s="37">
        <f t="shared" si="13"/>
      </c>
      <c r="Q31" s="37">
        <f t="shared" si="13"/>
      </c>
      <c r="R31" s="37">
        <f t="shared" si="13"/>
      </c>
      <c r="S31" s="37">
        <f t="shared" si="13"/>
      </c>
      <c r="T31" s="37">
        <f t="shared" si="13"/>
      </c>
      <c r="U31" s="37">
        <f t="shared" si="13"/>
      </c>
      <c r="V31" s="37">
        <f t="shared" si="13"/>
      </c>
      <c r="W31" s="37">
        <f t="shared" si="13"/>
      </c>
      <c r="X31" s="37">
        <f t="shared" si="13"/>
      </c>
      <c r="Y31" s="37">
        <f t="shared" si="13"/>
      </c>
      <c r="Z31" s="37">
        <f t="shared" si="13"/>
      </c>
      <c r="AA31" s="37">
        <f t="shared" si="13"/>
      </c>
      <c r="AB31" s="37">
        <f t="shared" si="13"/>
      </c>
      <c r="AC31" s="37">
        <f t="shared" si="13"/>
      </c>
      <c r="AD31" s="37">
        <f t="shared" si="13"/>
      </c>
      <c r="AE31" s="37">
        <f t="shared" si="13"/>
      </c>
      <c r="AF31" s="37">
        <f t="shared" si="13"/>
      </c>
      <c r="AG31" t="s" s="38">
        <v>0</v>
      </c>
      <c r="AH31" t="s" s="38">
        <v>1</v>
      </c>
    </row>
    <row r="32" spans="1:34" x14ac:dyDescent="0.35">
      <c r="A32" s="2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12">
        <f>COUNTIF(B32:AF32,"&lt;&gt;")</f>
      </c>
      <c r="AH32" s="56">
        <f>IFERROR(AG32/DAY(EOMONTH($B$2,0)),0)</f>
      </c>
    </row>
    <row r="33" spans="1:34" x14ac:dyDescent="0.35">
      <c r="A33" s="2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12">
        <f>COUNTIF(B33:AF33,"&lt;&gt;")</f>
      </c>
      <c r="AH33" s="57">
        <f>IFERROR(AG33/DAY(EOMONTH($B$2,0)),0)</f>
      </c>
    </row>
    <row r="34" spans="1:34" x14ac:dyDescent="0.35">
      <c r="A34" s="2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12">
        <f>COUNTIF(B34:AF34,"&lt;&gt;")</f>
      </c>
      <c r="AH34" s="58">
        <f>IFERROR(AG34/DAY(EOMONTH($B$2,0)),0)</f>
      </c>
    </row>
    <row r="35" spans="1:34" x14ac:dyDescent="0.35">
      <c r="A35" s="2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12">
        <f>COUNTIF(B35:AF35,"&lt;&gt;")</f>
      </c>
      <c r="AH35" s="59">
        <f>IFERROR(AG35/DAY(EOMONTH($B$2,0)),0)</f>
      </c>
    </row>
    <row r="36" spans="1:34" x14ac:dyDescent="0.35">
      <c r="A36" s="2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12">
        <f>COUNTIF(B36:AF36,"&lt;&gt;")</f>
      </c>
      <c r="AH36" s="60">
        <f>IFERROR(AG36/DAY(EOMONTH($B$2,0)),0)</f>
      </c>
    </row>
    <row r="37" spans="1:34" x14ac:dyDescent="0.35">
      <c r="A37" s="2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12">
        <f>COUNTIF(B37:AF37,"&lt;&gt;")</f>
      </c>
      <c r="AH37" s="61">
        <f>IFERROR(AG37/DAY(EOMONTH($B$2,0)),0)</f>
      </c>
    </row>
    <row r="38" spans="1:34" ht="15" thickBot="1" x14ac:dyDescent="0.4">
      <c r="A38" s="2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12">
        <f>COUNTIF(B38:AF38,"&lt;&gt;")</f>
      </c>
      <c r="AH38" s="62">
        <f>IFERROR(AG38/DAY(EOMONTH($B$2,0)),0)</f>
      </c>
    </row>
    <row r="39" spans="1:34" ht="16" x14ac:dyDescent="0.35">
      <c r="A39" t="s" s="39">
        <v>24</v>
      </c>
      <c r="B39" s="40">
        <f>COUNTA(B32:B38)</f>
      </c>
      <c r="C39" s="40">
        <f>COUNTA(C32:C38)</f>
      </c>
      <c r="D39" s="40">
        <f t="shared" ref="D39:AF39" si="16">COUNTA(D32:D38)</f>
      </c>
      <c r="E39" s="40">
        <f t="shared" si="16"/>
      </c>
      <c r="F39" s="40">
        <f t="shared" si="16"/>
      </c>
      <c r="G39" s="40">
        <f t="shared" si="16"/>
      </c>
      <c r="H39" s="40">
        <f t="shared" si="16"/>
      </c>
      <c r="I39" s="40">
        <f t="shared" si="16"/>
      </c>
      <c r="J39" s="40">
        <f t="shared" si="16"/>
      </c>
      <c r="K39" s="40">
        <f t="shared" si="16"/>
      </c>
      <c r="L39" s="40">
        <f t="shared" si="16"/>
      </c>
      <c r="M39" s="40">
        <f t="shared" si="16"/>
      </c>
      <c r="N39" s="40">
        <f t="shared" si="16"/>
      </c>
      <c r="O39" s="40">
        <f t="shared" si="16"/>
      </c>
      <c r="P39" s="40">
        <f t="shared" si="16"/>
      </c>
      <c r="Q39" s="40">
        <f t="shared" si="16"/>
      </c>
      <c r="R39" s="40">
        <f t="shared" si="16"/>
      </c>
      <c r="S39" s="40">
        <f t="shared" si="16"/>
      </c>
      <c r="T39" s="40">
        <f t="shared" si="16"/>
      </c>
      <c r="U39" s="40">
        <f t="shared" si="16"/>
      </c>
      <c r="V39" s="40">
        <f t="shared" si="16"/>
      </c>
      <c r="W39" s="40">
        <f t="shared" si="16"/>
      </c>
      <c r="X39" s="40">
        <f t="shared" si="16"/>
      </c>
      <c r="Y39" s="40">
        <f t="shared" si="16"/>
      </c>
      <c r="Z39" s="40">
        <f t="shared" si="16"/>
      </c>
      <c r="AA39" s="40">
        <f t="shared" si="16"/>
      </c>
      <c r="AB39" s="40">
        <f t="shared" si="16"/>
      </c>
      <c r="AC39" s="40">
        <f>COUNTA(AC32:AC38)</f>
      </c>
      <c r="AD39" s="40">
        <f>COUNTA(AD32:AD38)</f>
      </c>
      <c r="AE39" s="40">
        <f>COUNTA(AE32:AE38)</f>
      </c>
      <c r="AF39" s="40">
        <f t="shared" ref="AF39:BH39" si="17">COUNTA(AF32:AF38)</f>
      </c>
      <c r="AG39" s="13">
        <f t="shared" ref="AG39" si="18">SUM(AG32:AG38)</f>
      </c>
      <c r="AH39" s="15">
        <f>AVERAGE(AH32:AH38)</f>
      </c>
    </row>
    <row r="40" spans="1:34" ht="15.5" x14ac:dyDescent="0.35">
      <c r="A40" t="s" s="31">
        <v>21</v>
      </c>
      <c r="B40" s="7">
        <f>COUNTA($A$14:$A$21,$A$4:$A$10)</f>
      </c>
      <c r="C40" s="7">
        <f t="shared" ref="C40:AF40" si="19">COUNTA($A$14:$A$21,$A$4:$A$10)</f>
      </c>
      <c r="D40" s="7">
        <f t="shared" si="19"/>
      </c>
      <c r="E40" s="7">
        <f t="shared" si="19"/>
      </c>
      <c r="F40" s="7">
        <f t="shared" si="19"/>
      </c>
      <c r="G40" s="7">
        <f t="shared" si="19"/>
      </c>
      <c r="H40" s="7">
        <f t="shared" si="19"/>
      </c>
      <c r="I40" s="7">
        <f t="shared" si="19"/>
      </c>
      <c r="J40" s="7">
        <f t="shared" si="19"/>
      </c>
      <c r="K40" s="7">
        <f t="shared" si="19"/>
      </c>
      <c r="L40" s="7">
        <f t="shared" si="19"/>
      </c>
      <c r="M40" s="7">
        <f t="shared" si="19"/>
      </c>
      <c r="N40" s="7">
        <f t="shared" si="19"/>
      </c>
      <c r="O40" s="7">
        <f t="shared" si="19"/>
      </c>
      <c r="P40" s="7">
        <f t="shared" si="19"/>
      </c>
      <c r="Q40" s="7">
        <f t="shared" si="19"/>
      </c>
      <c r="R40" s="7">
        <f t="shared" si="19"/>
      </c>
      <c r="S40" s="7">
        <f t="shared" si="19"/>
      </c>
      <c r="T40" s="7">
        <f t="shared" si="19"/>
      </c>
      <c r="U40" s="7">
        <f t="shared" si="19"/>
      </c>
      <c r="V40" s="7">
        <f t="shared" si="19"/>
      </c>
      <c r="W40" s="7">
        <f t="shared" si="19"/>
      </c>
      <c r="X40" s="7">
        <f t="shared" si="19"/>
      </c>
      <c r="Y40" s="7">
        <f t="shared" si="19"/>
      </c>
      <c r="Z40" s="7">
        <f t="shared" si="19"/>
      </c>
      <c r="AA40" s="7">
        <f t="shared" si="19"/>
      </c>
      <c r="AB40" s="7">
        <f t="shared" si="19"/>
      </c>
      <c r="AC40" s="7">
        <f t="shared" si="19"/>
      </c>
      <c r="AD40" s="7">
        <f t="shared" si="19"/>
      </c>
      <c r="AE40" s="7">
        <f t="shared" si="19"/>
      </c>
      <c r="AF40" s="7">
        <f t="shared" si="19"/>
      </c>
      <c r="AG40" s="8"/>
    </row>
    <row r="41" spans="1:34" s="20" customFormat="1" ht="20" customHeight="1" x14ac:dyDescent="0.35">
      <c r="A41" t="s" s="33">
        <v>18</v>
      </c>
      <c r="B41" s="34">
        <f>B39/B40</f>
      </c>
      <c r="C41" s="34">
        <f t="shared" ref="C41:AF41" si="20">C39/C40</f>
      </c>
      <c r="D41" s="34">
        <f t="shared" si="20"/>
      </c>
      <c r="E41" s="34">
        <f t="shared" si="20"/>
      </c>
      <c r="F41" s="34">
        <f t="shared" si="20"/>
      </c>
      <c r="G41" s="34">
        <f t="shared" si="20"/>
      </c>
      <c r="H41" s="34">
        <f t="shared" si="20"/>
      </c>
      <c r="I41" s="34">
        <f t="shared" si="20"/>
      </c>
      <c r="J41" s="34">
        <f t="shared" si="20"/>
      </c>
      <c r="K41" s="34">
        <f t="shared" si="20"/>
      </c>
      <c r="L41" s="34">
        <f t="shared" si="20"/>
      </c>
      <c r="M41" s="34">
        <f t="shared" si="20"/>
      </c>
      <c r="N41" s="34">
        <f t="shared" si="20"/>
      </c>
      <c r="O41" s="34">
        <f t="shared" si="20"/>
      </c>
      <c r="P41" s="34">
        <f t="shared" si="20"/>
      </c>
      <c r="Q41" s="34">
        <f t="shared" si="20"/>
      </c>
      <c r="R41" s="34">
        <f t="shared" si="20"/>
      </c>
      <c r="S41" s="34">
        <f t="shared" si="20"/>
      </c>
      <c r="T41" s="34">
        <f t="shared" si="20"/>
      </c>
      <c r="U41" s="34">
        <f t="shared" si="20"/>
      </c>
      <c r="V41" s="34">
        <f t="shared" si="20"/>
      </c>
      <c r="W41" s="34">
        <f t="shared" si="20"/>
      </c>
      <c r="X41" s="34">
        <f t="shared" si="20"/>
      </c>
      <c r="Y41" s="34">
        <f t="shared" si="20"/>
      </c>
      <c r="Z41" s="34">
        <f t="shared" si="20"/>
      </c>
      <c r="AA41" s="34">
        <f t="shared" si="20"/>
      </c>
      <c r="AB41" s="34">
        <f t="shared" si="20"/>
      </c>
      <c r="AC41" s="34">
        <f t="shared" si="20"/>
      </c>
      <c r="AD41" s="34">
        <f t="shared" si="20"/>
      </c>
      <c r="AE41" s="34">
        <f t="shared" si="20"/>
      </c>
      <c r="AF41" s="34">
        <f t="shared" si="20"/>
      </c>
      <c r="AG41" s="35">
        <f>AVERAGE(B41:AF41)</f>
      </c>
      <c r="AH41" s="19"/>
    </row>
  </sheetData>
  <conditionalFormatting sqref="B5:J10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4:T4 N8:N10 Q9:AB9 O7:AB8 O10:AB10 B6:T6 K7:N7 B7:J10 U4:AF10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8:M10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5:T10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9:P9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4:J21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4:AF21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14:T21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33:J38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32:T32 N36:N38 Q37:AB37 O35:AB36 O38:AB38 B34:T34 K35:N35 B35:J38 U32:AB34 AC32:AF38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36:M38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33:T38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37:P37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Massadi</dc:creator>
  <cp:lastModifiedBy>Gedeon Massadi</cp:lastModifiedBy>
  <dcterms:created xsi:type="dcterms:W3CDTF">2026-07-28T08:24:30Z</dcterms:created>
  <dcterms:modified xsi:type="dcterms:W3CDTF">2026-07-29T10:22:57Z</dcterms:modified>
</cp:coreProperties>
</file>