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pps\hr-rh-app\Excel\templates\guest-house\"/>
    </mc:Choice>
  </mc:AlternateContent>
  <xr:revisionPtr revIDLastSave="0" documentId="8_{A5531780-58E9-4AF1-9569-85E8237A235D}" xr6:coauthVersionLast="47" xr6:coauthVersionMax="47" xr10:uidLastSave="{00000000-0000-0000-0000-000000000000}"/>
  <bookViews>
    <workbookView xWindow="33990" yWindow="6330" windowWidth="14400" windowHeight="7275" firstSheet="35" activeTab="35" xr2:uid="{AFBC43D3-CEAD-47EF-8E17-2982FD2D9F96}"/>
  </bookViews>
  <sheets>
    <sheet name="Planning Sept22 " sheetId="1" state="hidden" r:id="rId1"/>
    <sheet name="Planning Oct22  " sheetId="2" state="hidden" r:id="rId2"/>
    <sheet name="Planning Nov22 " sheetId="3" state="hidden" r:id="rId3"/>
    <sheet name="Planning Dec22  (2)" sheetId="5" state="hidden" r:id="rId4"/>
    <sheet name="Planning Jan 23" sheetId="6" state="hidden" r:id="rId5"/>
    <sheet name="Planning Fev 23" sheetId="7" state="hidden" r:id="rId6"/>
    <sheet name="Planning Mars 23" sheetId="8" state="hidden" r:id="rId7"/>
    <sheet name="Planning April 23" sheetId="9" state="hidden" r:id="rId8"/>
    <sheet name="Planning May 23 " sheetId="10" state="hidden" r:id="rId9"/>
    <sheet name="Planning June 23 " sheetId="11" state="hidden" r:id="rId10"/>
    <sheet name="Planning July 23" sheetId="12" state="hidden" r:id="rId11"/>
    <sheet name="Planning Aug 23" sheetId="13" state="hidden" r:id="rId12"/>
    <sheet name="Planning Sept 23 " sheetId="14" state="hidden" r:id="rId13"/>
    <sheet name="Planning Oct 23" sheetId="15" state="hidden" r:id="rId14"/>
    <sheet name="Planning Nov 23" sheetId="16" state="hidden" r:id="rId15"/>
    <sheet name="Planning DEC 23" sheetId="17" state="hidden" r:id="rId16"/>
    <sheet name="Planning Jan 24" sheetId="18" state="hidden" r:id="rId17"/>
    <sheet name="Planning Fev 24 " sheetId="19" state="hidden" r:id="rId18"/>
    <sheet name="Planning March 24" sheetId="20" state="hidden" r:id="rId19"/>
    <sheet name="Planning Avril 24 " sheetId="21" state="hidden" r:id="rId20"/>
    <sheet name="Planning May 24" sheetId="22" state="hidden" r:id="rId21"/>
    <sheet name="Planning June 24 " sheetId="23" r:id="rId22"/>
    <sheet name="Planning Juil 24" sheetId="24" r:id="rId23"/>
    <sheet name="Planning Aug 24 " sheetId="25" state="hidden" r:id="rId24"/>
    <sheet name="Planning Sept 24 " sheetId="26" state="hidden" r:id="rId25"/>
    <sheet name="Planning Oct 24" sheetId="27" state="hidden" r:id="rId26"/>
    <sheet name="Planning Nov 24 " sheetId="28" state="hidden" r:id="rId27"/>
    <sheet name="Planning Dec 24 " sheetId="30" r:id="rId28"/>
    <sheet name="Planning Dec 24-Following" sheetId="31" r:id="rId29"/>
    <sheet name="Planning Jan 25" sheetId="32" r:id="rId30"/>
    <sheet name="Planning Feb 25 " sheetId="33" r:id="rId31"/>
    <sheet name="Planning march 25" sheetId="34" r:id="rId32"/>
    <sheet name="Planning avril 25" sheetId="35" r:id="rId33"/>
    <sheet name="Planning Mai 25" sheetId="36" r:id="rId34"/>
    <sheet name="Planning Juin 25" sheetId="37" r:id="rId35"/>
    <sheet name="Planning Juillet 25 " sheetId="38" r:id="rId36"/>
    <sheet name="Planning Août 25" sheetId="39" r:id="rId37"/>
    <sheet name="Planning Sept 25 " sheetId="40" r:id="rId38"/>
    <sheet name="Planning Oct 25 " sheetId="41" r:id="rId39"/>
    <sheet name="Planning Nov 25" sheetId="42" r:id="rId40"/>
    <sheet name="Planning Dec 25 " sheetId="43" r:id="rId41"/>
    <sheet name="Planning Jan 26" sheetId="44" r:id="rId42"/>
    <sheet name="Planning Feb 26 " sheetId="45" r:id="rId43"/>
    <sheet name="Planning March 26" sheetId="46" r:id="rId44"/>
    <sheet name="Planning April 26 " sheetId="47" r:id="rId45"/>
    <sheet name="Planning May 26 " sheetId="48" r:id="rId46"/>
    <sheet name="Planning Juin 26" sheetId="49" r:id="rId47"/>
    <sheet name="Planning Juillet 26" sheetId="50" r:id="rId48"/>
    <sheet name="Sheet1" sheetId="4" state="hidden" r:id="rId49"/>
  </sheets>
  <definedNames>
    <definedName name="_xlnm.Print_Area" localSheetId="36">'Planning Août 25'!$A$1:$AF$25</definedName>
    <definedName name="_xlnm.Print_Area" localSheetId="44">'Planning April 26 '!$A$3:$J$30</definedName>
    <definedName name="_xlnm.Print_Area" localSheetId="11">'Planning Aug 23'!$A$3:$V$25</definedName>
    <definedName name="_xlnm.Print_Area" localSheetId="23">'Planning Aug 24 '!$A$1:$AF$25</definedName>
    <definedName name="_xlnm.Print_Area" localSheetId="19">'Planning Avril 24 '!$A$1:$AF$25</definedName>
    <definedName name="_xlnm.Print_Area" localSheetId="32">'Planning avril 25'!$A$1:$AF$25</definedName>
    <definedName name="_xlnm.Print_Area" localSheetId="15">'Planning DEC 23'!$A$3:$V$25</definedName>
    <definedName name="_xlnm.Print_Area" localSheetId="27">'Planning Dec 24 '!$A$1:$AF$25</definedName>
    <definedName name="_xlnm.Print_Area" localSheetId="28">'Planning Dec 24-Following'!$A$1:$AF$25</definedName>
    <definedName name="_xlnm.Print_Area" localSheetId="40">'Planning Dec 25 '!$A$3:$J$30</definedName>
    <definedName name="_xlnm.Print_Area" localSheetId="30">'Planning Feb 25 '!$A$1:$AF$25</definedName>
    <definedName name="_xlnm.Print_Area" localSheetId="42">'Planning Feb 26 '!$A$3:$J$30</definedName>
    <definedName name="_xlnm.Print_Area" localSheetId="17">'Planning Fev 24 '!$A$1:$AF$25</definedName>
    <definedName name="_xlnm.Print_Area" localSheetId="16">'Planning Jan 24'!$A$1:$AF$25</definedName>
    <definedName name="_xlnm.Print_Area" localSheetId="29">'Planning Jan 25'!$A$1:$AF$25</definedName>
    <definedName name="_xlnm.Print_Area" localSheetId="41">'Planning Jan 26'!$A$3:$J$30</definedName>
    <definedName name="_xlnm.Print_Area" localSheetId="22">'Planning Juil 24'!$A$1:$AF$25</definedName>
    <definedName name="_xlnm.Print_Area" localSheetId="35">'Planning Juillet 25 '!$A$1:$AF$25</definedName>
    <definedName name="_xlnm.Print_Area" localSheetId="47">'Planning Juillet 26'!$A$3:$J$30</definedName>
    <definedName name="_xlnm.Print_Area" localSheetId="34">'Planning Juin 25'!$A$1:$AF$25</definedName>
    <definedName name="_xlnm.Print_Area" localSheetId="46">'Planning Juin 26'!$A$3:$J$30</definedName>
    <definedName name="_xlnm.Print_Area" localSheetId="10">'Planning July 23'!$A$3:$V$25</definedName>
    <definedName name="_xlnm.Print_Area" localSheetId="21">'Planning June 24 '!$A$1:$AF$25</definedName>
    <definedName name="_xlnm.Print_Area" localSheetId="33">'Planning Mai 25'!$A$1:$AF$25</definedName>
    <definedName name="_xlnm.Print_Area" localSheetId="18">'Planning March 24'!$A$1:$AF$25</definedName>
    <definedName name="_xlnm.Print_Area" localSheetId="31">'Planning march 25'!$A$1:$AF$25</definedName>
    <definedName name="_xlnm.Print_Area" localSheetId="43">'Planning March 26'!$A$3:$J$30</definedName>
    <definedName name="_xlnm.Print_Area" localSheetId="20">'Planning May 24'!$A$1:$AF$25</definedName>
    <definedName name="_xlnm.Print_Area" localSheetId="45">'Planning May 26 '!$A$3:$J$30</definedName>
    <definedName name="_xlnm.Print_Area" localSheetId="14">'Planning Nov 23'!$A$3:$V$25</definedName>
    <definedName name="_xlnm.Print_Area" localSheetId="26">'Planning Nov 24 '!$A$1:$AE$25</definedName>
    <definedName name="_xlnm.Print_Area" localSheetId="39">'Planning Nov 25'!$A$3:$J$30</definedName>
    <definedName name="_xlnm.Print_Area" localSheetId="13">'Planning Oct 23'!$A$3:$V$25</definedName>
    <definedName name="_xlnm.Print_Area" localSheetId="25">'Planning Oct 24'!$A$1:$AF$25</definedName>
    <definedName name="_xlnm.Print_Area" localSheetId="38">'Planning Oct 25 '!$A$1:$AF$25</definedName>
    <definedName name="_xlnm.Print_Area" localSheetId="12">'Planning Sept 23 '!$A$3:$V$25</definedName>
    <definedName name="_xlnm.Print_Area" localSheetId="24">'Planning Sept 24 '!$A$1:$AF$25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5" i="50" l="1"/>
  <c r="X25" i="50"/>
  <c r="W25" i="50"/>
  <c r="M25" i="50"/>
  <c r="L25" i="50"/>
  <c r="K25" i="50"/>
  <c r="AF24" i="50"/>
  <c r="AF25" i="50" s="1"/>
  <c r="Y24" i="50"/>
  <c r="X24" i="50"/>
  <c r="W24" i="50"/>
  <c r="V24" i="50"/>
  <c r="V25" i="50" s="1"/>
  <c r="U24" i="50"/>
  <c r="U25" i="50" s="1"/>
  <c r="T24" i="50"/>
  <c r="T25" i="50" s="1"/>
  <c r="M24" i="50"/>
  <c r="L24" i="50"/>
  <c r="K24" i="50"/>
  <c r="J24" i="50"/>
  <c r="J25" i="50" s="1"/>
  <c r="I24" i="50"/>
  <c r="I25" i="50" s="1"/>
  <c r="H24" i="50"/>
  <c r="H25" i="50" s="1"/>
  <c r="AF23" i="50"/>
  <c r="AE23" i="50"/>
  <c r="AD23" i="50"/>
  <c r="AC23" i="50"/>
  <c r="AB23" i="50"/>
  <c r="AA23" i="50"/>
  <c r="Z23" i="50"/>
  <c r="Y23" i="50"/>
  <c r="X23" i="50"/>
  <c r="W23" i="50"/>
  <c r="V23" i="50"/>
  <c r="U23" i="50"/>
  <c r="T23" i="50"/>
  <c r="S23" i="50"/>
  <c r="R23" i="50"/>
  <c r="Q23" i="50"/>
  <c r="P23" i="50"/>
  <c r="O23" i="50"/>
  <c r="N23" i="50"/>
  <c r="M23" i="50"/>
  <c r="L23" i="50"/>
  <c r="K23" i="50"/>
  <c r="J23" i="50"/>
  <c r="I23" i="50"/>
  <c r="H23" i="50"/>
  <c r="G23" i="50"/>
  <c r="F23" i="50"/>
  <c r="E23" i="50"/>
  <c r="D23" i="50"/>
  <c r="C23" i="50"/>
  <c r="B23" i="50"/>
  <c r="AG22" i="50"/>
  <c r="AH22" i="50" s="1"/>
  <c r="AG21" i="50"/>
  <c r="AH21" i="50" s="1"/>
  <c r="AG20" i="50"/>
  <c r="AH20" i="50" s="1"/>
  <c r="AG19" i="50"/>
  <c r="AH19" i="50" s="1"/>
  <c r="AG18" i="50"/>
  <c r="AH18" i="50" s="1"/>
  <c r="AG17" i="50"/>
  <c r="AG16" i="50"/>
  <c r="AH16" i="50" s="1"/>
  <c r="AG15" i="50"/>
  <c r="AH15" i="50" s="1"/>
  <c r="AF12" i="50"/>
  <c r="AE12" i="50"/>
  <c r="AE24" i="50" s="1"/>
  <c r="AE25" i="50" s="1"/>
  <c r="AD12" i="50"/>
  <c r="AD24" i="50" s="1"/>
  <c r="AD25" i="50" s="1"/>
  <c r="AC12" i="50"/>
  <c r="AB12" i="50"/>
  <c r="AA12" i="50"/>
  <c r="AA24" i="50" s="1"/>
  <c r="AA25" i="50" s="1"/>
  <c r="Z12" i="50"/>
  <c r="Z24" i="50" s="1"/>
  <c r="Z25" i="50" s="1"/>
  <c r="Y12" i="50"/>
  <c r="X12" i="50"/>
  <c r="W12" i="50"/>
  <c r="V12" i="50"/>
  <c r="U12" i="50"/>
  <c r="T12" i="50"/>
  <c r="S12" i="50"/>
  <c r="S24" i="50" s="1"/>
  <c r="S25" i="50" s="1"/>
  <c r="R12" i="50"/>
  <c r="R24" i="50" s="1"/>
  <c r="R25" i="50" s="1"/>
  <c r="Q12" i="50"/>
  <c r="Q24" i="50" s="1"/>
  <c r="Q25" i="50" s="1"/>
  <c r="P12" i="50"/>
  <c r="P24" i="50" s="1"/>
  <c r="P25" i="50" s="1"/>
  <c r="O12" i="50"/>
  <c r="O24" i="50" s="1"/>
  <c r="O25" i="50" s="1"/>
  <c r="N12" i="50"/>
  <c r="N24" i="50" s="1"/>
  <c r="N25" i="50" s="1"/>
  <c r="M12" i="50"/>
  <c r="L12" i="50"/>
  <c r="K12" i="50"/>
  <c r="J12" i="50"/>
  <c r="I12" i="50"/>
  <c r="H12" i="50"/>
  <c r="G12" i="50"/>
  <c r="G24" i="50" s="1"/>
  <c r="G25" i="50" s="1"/>
  <c r="F12" i="50"/>
  <c r="F24" i="50" s="1"/>
  <c r="F25" i="50" s="1"/>
  <c r="E12" i="50"/>
  <c r="E24" i="50" s="1"/>
  <c r="E25" i="50" s="1"/>
  <c r="D12" i="50"/>
  <c r="D24" i="50" s="1"/>
  <c r="D25" i="50" s="1"/>
  <c r="C12" i="50"/>
  <c r="C24" i="50" s="1"/>
  <c r="C25" i="50" s="1"/>
  <c r="B12" i="50"/>
  <c r="B24" i="50" s="1"/>
  <c r="B25" i="50" s="1"/>
  <c r="AG11" i="50"/>
  <c r="AH11" i="50" s="1"/>
  <c r="AG10" i="50"/>
  <c r="AH10" i="50" s="1"/>
  <c r="AG9" i="50"/>
  <c r="AH9" i="50" s="1"/>
  <c r="AG8" i="50"/>
  <c r="AH8" i="50" s="1"/>
  <c r="AG7" i="50"/>
  <c r="AG6" i="50"/>
  <c r="AH6" i="50" s="1"/>
  <c r="AG5" i="50"/>
  <c r="AH5" i="50" s="1"/>
  <c r="AJ4" i="50"/>
  <c r="B3" i="50"/>
  <c r="C3" i="50" s="1"/>
  <c r="AF23" i="49"/>
  <c r="AE23" i="49"/>
  <c r="AD23" i="49"/>
  <c r="AC23" i="49"/>
  <c r="AB23" i="49"/>
  <c r="AA23" i="49"/>
  <c r="Z23" i="49"/>
  <c r="Z24" i="49" s="1"/>
  <c r="Z25" i="49" s="1"/>
  <c r="Y23" i="49"/>
  <c r="X23" i="49"/>
  <c r="W23" i="49"/>
  <c r="V23" i="49"/>
  <c r="V24" i="49" s="1"/>
  <c r="V25" i="49" s="1"/>
  <c r="U23" i="49"/>
  <c r="U24" i="49" s="1"/>
  <c r="U25" i="49" s="1"/>
  <c r="T23" i="49"/>
  <c r="S23" i="49"/>
  <c r="R23" i="49"/>
  <c r="Q23" i="49"/>
  <c r="P23" i="49"/>
  <c r="O23" i="49"/>
  <c r="N23" i="49"/>
  <c r="M23" i="49"/>
  <c r="L23" i="49"/>
  <c r="K23" i="49"/>
  <c r="J23" i="49"/>
  <c r="I23" i="49"/>
  <c r="H23" i="49"/>
  <c r="G23" i="49"/>
  <c r="F23" i="49"/>
  <c r="E23" i="49"/>
  <c r="D23" i="49"/>
  <c r="C23" i="49"/>
  <c r="B23" i="49"/>
  <c r="AG22" i="49"/>
  <c r="AH22" i="49" s="1"/>
  <c r="AG21" i="49"/>
  <c r="AH21" i="49" s="1"/>
  <c r="AG20" i="49"/>
  <c r="AH20" i="49" s="1"/>
  <c r="AG19" i="49"/>
  <c r="AH19" i="49" s="1"/>
  <c r="AG18" i="49"/>
  <c r="AH18" i="49" s="1"/>
  <c r="AG17" i="49"/>
  <c r="AH17" i="49" s="1"/>
  <c r="AG16" i="49"/>
  <c r="AH16" i="49" s="1"/>
  <c r="AG15" i="49"/>
  <c r="AH15" i="49" s="1"/>
  <c r="AF12" i="49"/>
  <c r="AF24" i="49" s="1"/>
  <c r="AF25" i="49" s="1"/>
  <c r="AE12" i="49"/>
  <c r="AE24" i="49" s="1"/>
  <c r="AE25" i="49" s="1"/>
  <c r="AD12" i="49"/>
  <c r="AD24" i="49" s="1"/>
  <c r="AD25" i="49" s="1"/>
  <c r="AC12" i="49"/>
  <c r="AC24" i="49" s="1"/>
  <c r="AC25" i="49" s="1"/>
  <c r="AB12" i="49"/>
  <c r="AB24" i="49" s="1"/>
  <c r="AB25" i="49" s="1"/>
  <c r="AA12" i="49"/>
  <c r="AA24" i="49" s="1"/>
  <c r="AA25" i="49" s="1"/>
  <c r="Z12" i="49"/>
  <c r="Y12" i="49"/>
  <c r="Y24" i="49" s="1"/>
  <c r="Y25" i="49" s="1"/>
  <c r="X12" i="49"/>
  <c r="X24" i="49" s="1"/>
  <c r="X25" i="49" s="1"/>
  <c r="W12" i="49"/>
  <c r="W24" i="49" s="1"/>
  <c r="W25" i="49" s="1"/>
  <c r="V12" i="49"/>
  <c r="U12" i="49"/>
  <c r="T12" i="49"/>
  <c r="T24" i="49" s="1"/>
  <c r="T25" i="49" s="1"/>
  <c r="S12" i="49"/>
  <c r="S24" i="49" s="1"/>
  <c r="S25" i="49" s="1"/>
  <c r="R12" i="49"/>
  <c r="R24" i="49" s="1"/>
  <c r="R25" i="49" s="1"/>
  <c r="Q12" i="49"/>
  <c r="Q24" i="49" s="1"/>
  <c r="Q25" i="49" s="1"/>
  <c r="P12" i="49"/>
  <c r="O12" i="49"/>
  <c r="N12" i="49"/>
  <c r="M12" i="49"/>
  <c r="M24" i="49" s="1"/>
  <c r="M25" i="49" s="1"/>
  <c r="L12" i="49"/>
  <c r="K12" i="49"/>
  <c r="J12" i="49"/>
  <c r="I12" i="49"/>
  <c r="H12" i="49"/>
  <c r="H24" i="49" s="1"/>
  <c r="H25" i="49" s="1"/>
  <c r="G12" i="49"/>
  <c r="F12" i="49"/>
  <c r="E12" i="49"/>
  <c r="D12" i="49"/>
  <c r="C12" i="49"/>
  <c r="B12" i="49"/>
  <c r="AG11" i="49"/>
  <c r="AH11" i="49" s="1"/>
  <c r="AG10" i="49"/>
  <c r="AH10" i="49" s="1"/>
  <c r="AG9" i="49"/>
  <c r="AH9" i="49" s="1"/>
  <c r="AG8" i="49"/>
  <c r="AH8" i="49" s="1"/>
  <c r="AG7" i="49"/>
  <c r="AH7" i="49" s="1"/>
  <c r="AG6" i="49"/>
  <c r="AH6" i="49" s="1"/>
  <c r="AG5" i="49"/>
  <c r="AH5" i="49" s="1"/>
  <c r="AJ4" i="49"/>
  <c r="B3" i="49"/>
  <c r="C3" i="49" s="1"/>
  <c r="AF23" i="48"/>
  <c r="AE23" i="48"/>
  <c r="AD23" i="48"/>
  <c r="AC23" i="48"/>
  <c r="AB23" i="48"/>
  <c r="AA23" i="48"/>
  <c r="AA24" i="48" s="1"/>
  <c r="AA25" i="48" s="1"/>
  <c r="Z23" i="48"/>
  <c r="Y23" i="48"/>
  <c r="X23" i="48"/>
  <c r="W23" i="48"/>
  <c r="V23" i="48"/>
  <c r="U23" i="48"/>
  <c r="T23" i="48"/>
  <c r="S23" i="48"/>
  <c r="R23" i="48"/>
  <c r="Q23" i="48"/>
  <c r="P23" i="48"/>
  <c r="O23" i="48"/>
  <c r="N23" i="48"/>
  <c r="M23" i="48"/>
  <c r="L23" i="48"/>
  <c r="K23" i="48"/>
  <c r="J23" i="48"/>
  <c r="I23" i="48"/>
  <c r="H23" i="48"/>
  <c r="G23" i="48"/>
  <c r="F23" i="48"/>
  <c r="E23" i="48"/>
  <c r="D23" i="48"/>
  <c r="C23" i="48"/>
  <c r="C24" i="48" s="1"/>
  <c r="C25" i="48" s="1"/>
  <c r="B23" i="48"/>
  <c r="B24" i="48" s="1"/>
  <c r="B25" i="48" s="1"/>
  <c r="AG22" i="48"/>
  <c r="AH22" i="48" s="1"/>
  <c r="AG21" i="48"/>
  <c r="AH21" i="48" s="1"/>
  <c r="AG20" i="48"/>
  <c r="AH20" i="48" s="1"/>
  <c r="AG19" i="48"/>
  <c r="AH19" i="48" s="1"/>
  <c r="AG18" i="48"/>
  <c r="AG17" i="48"/>
  <c r="AH17" i="48" s="1"/>
  <c r="AG16" i="48"/>
  <c r="AH16" i="48" s="1"/>
  <c r="AG15" i="48"/>
  <c r="AH15" i="48" s="1"/>
  <c r="AF12" i="48"/>
  <c r="AE12" i="48"/>
  <c r="AD12" i="48"/>
  <c r="AC12" i="48"/>
  <c r="AB12" i="48"/>
  <c r="AA12" i="48"/>
  <c r="Z12" i="48"/>
  <c r="Y12" i="48"/>
  <c r="X12" i="48"/>
  <c r="W12" i="48"/>
  <c r="V12" i="48"/>
  <c r="U12" i="48"/>
  <c r="T12" i="48"/>
  <c r="S12" i="48"/>
  <c r="R12" i="48"/>
  <c r="Q12" i="48"/>
  <c r="P12" i="48"/>
  <c r="O12" i="48"/>
  <c r="N12" i="48"/>
  <c r="N24" i="48" s="1"/>
  <c r="N25" i="48" s="1"/>
  <c r="M12" i="48"/>
  <c r="L12" i="48"/>
  <c r="K12" i="48"/>
  <c r="J12" i="48"/>
  <c r="I12" i="48"/>
  <c r="H12" i="48"/>
  <c r="G12" i="48"/>
  <c r="F12" i="48"/>
  <c r="E12" i="48"/>
  <c r="D12" i="48"/>
  <c r="C12" i="48"/>
  <c r="B12" i="48"/>
  <c r="AG11" i="48"/>
  <c r="AH11" i="48" s="1"/>
  <c r="AG10" i="48"/>
  <c r="AH10" i="48" s="1"/>
  <c r="AG9" i="48"/>
  <c r="AH9" i="48" s="1"/>
  <c r="AG8" i="48"/>
  <c r="AH8" i="48" s="1"/>
  <c r="AG7" i="48"/>
  <c r="AG6" i="48"/>
  <c r="AH6" i="48" s="1"/>
  <c r="AG5" i="48"/>
  <c r="AH5" i="48" s="1"/>
  <c r="AJ4" i="48"/>
  <c r="B3" i="48"/>
  <c r="C3" i="48" s="1"/>
  <c r="AH16" i="46"/>
  <c r="AH17" i="46"/>
  <c r="AH18" i="46"/>
  <c r="AH19" i="46"/>
  <c r="AH20" i="46"/>
  <c r="AH21" i="46"/>
  <c r="AH22" i="46"/>
  <c r="AH15" i="46"/>
  <c r="AH6" i="46"/>
  <c r="AH7" i="46"/>
  <c r="AH8" i="46"/>
  <c r="AH9" i="46"/>
  <c r="AH10" i="46"/>
  <c r="AH11" i="46"/>
  <c r="AH5" i="46"/>
  <c r="AI39" i="47"/>
  <c r="AF23" i="47"/>
  <c r="AE23" i="47"/>
  <c r="AD23" i="47"/>
  <c r="AC23" i="47"/>
  <c r="AB23" i="47"/>
  <c r="AA23" i="47"/>
  <c r="Z23" i="47"/>
  <c r="Y23" i="47"/>
  <c r="X23" i="47"/>
  <c r="W23" i="47"/>
  <c r="V23" i="47"/>
  <c r="U23" i="47"/>
  <c r="T23" i="47"/>
  <c r="S23" i="47"/>
  <c r="R23" i="47"/>
  <c r="Q23" i="47"/>
  <c r="P23" i="47"/>
  <c r="O23" i="47"/>
  <c r="N23" i="47"/>
  <c r="M23" i="47"/>
  <c r="L23" i="47"/>
  <c r="K23" i="47"/>
  <c r="J23" i="47"/>
  <c r="I23" i="47"/>
  <c r="H23" i="47"/>
  <c r="G23" i="47"/>
  <c r="F23" i="47"/>
  <c r="E23" i="47"/>
  <c r="D23" i="47"/>
  <c r="C23" i="47"/>
  <c r="B23" i="47"/>
  <c r="AG22" i="47"/>
  <c r="AH22" i="47" s="1"/>
  <c r="AG21" i="47"/>
  <c r="AH21" i="47" s="1"/>
  <c r="AG20" i="47"/>
  <c r="AH20" i="47" s="1"/>
  <c r="AG19" i="47"/>
  <c r="AH19" i="47" s="1"/>
  <c r="AG18" i="47"/>
  <c r="AH18" i="47" s="1"/>
  <c r="AG17" i="47"/>
  <c r="AG16" i="47"/>
  <c r="AH16" i="47" s="1"/>
  <c r="AG15" i="47"/>
  <c r="AH15" i="47" s="1"/>
  <c r="AF12" i="47"/>
  <c r="AE12" i="47"/>
  <c r="AD12" i="47"/>
  <c r="AC12" i="47"/>
  <c r="AB12" i="47"/>
  <c r="AA12" i="47"/>
  <c r="Z12" i="47"/>
  <c r="Y12" i="47"/>
  <c r="X12" i="47"/>
  <c r="W12" i="47"/>
  <c r="V12" i="47"/>
  <c r="U12" i="47"/>
  <c r="T12" i="47"/>
  <c r="S12" i="47"/>
  <c r="R12" i="47"/>
  <c r="R24" i="47" s="1"/>
  <c r="R25" i="47" s="1"/>
  <c r="Q12" i="47"/>
  <c r="P12" i="47"/>
  <c r="O12" i="47"/>
  <c r="N12" i="47"/>
  <c r="M12" i="47"/>
  <c r="L12" i="47"/>
  <c r="K12" i="47"/>
  <c r="J12" i="47"/>
  <c r="I12" i="47"/>
  <c r="H12" i="47"/>
  <c r="G12" i="47"/>
  <c r="F12" i="47"/>
  <c r="F24" i="47" s="1"/>
  <c r="F25" i="47" s="1"/>
  <c r="E12" i="47"/>
  <c r="D12" i="47"/>
  <c r="C12" i="47"/>
  <c r="B12" i="47"/>
  <c r="AG11" i="47"/>
  <c r="AH11" i="47" s="1"/>
  <c r="AG10" i="47"/>
  <c r="AH10" i="47" s="1"/>
  <c r="AG9" i="47"/>
  <c r="AH9" i="47" s="1"/>
  <c r="AG8" i="47"/>
  <c r="AH8" i="47" s="1"/>
  <c r="AG7" i="47"/>
  <c r="AH7" i="47" s="1"/>
  <c r="AG6" i="47"/>
  <c r="AH6" i="47" s="1"/>
  <c r="AG5" i="47"/>
  <c r="AH5" i="47" s="1"/>
  <c r="AJ4" i="47"/>
  <c r="B3" i="47"/>
  <c r="B4" i="47" s="1"/>
  <c r="AI39" i="46"/>
  <c r="AF23" i="46"/>
  <c r="AE23" i="46"/>
  <c r="AD23" i="46"/>
  <c r="AC23" i="46"/>
  <c r="AB23" i="46"/>
  <c r="AA23" i="46"/>
  <c r="Z23" i="46"/>
  <c r="Y23" i="46"/>
  <c r="X23" i="46"/>
  <c r="W23" i="46"/>
  <c r="V23" i="46"/>
  <c r="U23" i="46"/>
  <c r="T23" i="46"/>
  <c r="S23" i="46"/>
  <c r="R23" i="46"/>
  <c r="Q23" i="46"/>
  <c r="P23" i="46"/>
  <c r="O23" i="46"/>
  <c r="N23" i="46"/>
  <c r="M23" i="46"/>
  <c r="L23" i="46"/>
  <c r="K23" i="46"/>
  <c r="J23" i="46"/>
  <c r="I23" i="46"/>
  <c r="H23" i="46"/>
  <c r="G23" i="46"/>
  <c r="F23" i="46"/>
  <c r="E23" i="46"/>
  <c r="D23" i="46"/>
  <c r="C23" i="46"/>
  <c r="B23" i="46"/>
  <c r="AG22" i="46"/>
  <c r="AG21" i="46"/>
  <c r="AG20" i="46"/>
  <c r="AG19" i="46"/>
  <c r="AG18" i="46"/>
  <c r="AG17" i="46"/>
  <c r="AG16" i="46"/>
  <c r="AG15" i="46"/>
  <c r="AF12" i="46"/>
  <c r="AE12" i="46"/>
  <c r="AD12" i="46"/>
  <c r="AC12" i="46"/>
  <c r="AB12" i="46"/>
  <c r="AA12" i="46"/>
  <c r="Z12" i="46"/>
  <c r="Z24" i="46" s="1"/>
  <c r="Z25" i="46" s="1"/>
  <c r="Y12" i="46"/>
  <c r="X12" i="46"/>
  <c r="W12" i="46"/>
  <c r="V12" i="46"/>
  <c r="U12" i="46"/>
  <c r="T12" i="46"/>
  <c r="S12" i="46"/>
  <c r="R12" i="46"/>
  <c r="Q12" i="46"/>
  <c r="P12" i="46"/>
  <c r="O12" i="46"/>
  <c r="N12" i="46"/>
  <c r="M12" i="46"/>
  <c r="L12" i="46"/>
  <c r="K12" i="46"/>
  <c r="J12" i="46"/>
  <c r="I12" i="46"/>
  <c r="H12" i="46"/>
  <c r="G12" i="46"/>
  <c r="F12" i="46"/>
  <c r="E12" i="46"/>
  <c r="D12" i="46"/>
  <c r="C12" i="46"/>
  <c r="B12" i="46"/>
  <c r="B24" i="46" s="1"/>
  <c r="B25" i="46" s="1"/>
  <c r="AG11" i="46"/>
  <c r="AG10" i="46"/>
  <c r="AG9" i="46"/>
  <c r="AG8" i="46"/>
  <c r="AG7" i="46"/>
  <c r="AG6" i="46"/>
  <c r="AG5" i="46"/>
  <c r="AJ4" i="46"/>
  <c r="B3" i="46"/>
  <c r="C3" i="46" s="1"/>
  <c r="AI39" i="45"/>
  <c r="AH17" i="45"/>
  <c r="AH18" i="45"/>
  <c r="AH19" i="45"/>
  <c r="AH20" i="45"/>
  <c r="AH21" i="45"/>
  <c r="AH22" i="45"/>
  <c r="AH16" i="45"/>
  <c r="AH15" i="45"/>
  <c r="AH6" i="45"/>
  <c r="AH7" i="45"/>
  <c r="AH8" i="45"/>
  <c r="AH9" i="45"/>
  <c r="AH10" i="45"/>
  <c r="AH11" i="45"/>
  <c r="AF24" i="45"/>
  <c r="AF25" i="45" s="1"/>
  <c r="AF23" i="45"/>
  <c r="AE23" i="45"/>
  <c r="AD23" i="45"/>
  <c r="AC23" i="45"/>
  <c r="AB23" i="45"/>
  <c r="AA23" i="45"/>
  <c r="Z23" i="45"/>
  <c r="Y23" i="45"/>
  <c r="X23" i="45"/>
  <c r="W23" i="45"/>
  <c r="V23" i="45"/>
  <c r="U23" i="45"/>
  <c r="T23" i="45"/>
  <c r="S23" i="45"/>
  <c r="R23" i="45"/>
  <c r="Q23" i="45"/>
  <c r="P23" i="45"/>
  <c r="O23" i="45"/>
  <c r="N23" i="45"/>
  <c r="M23" i="45"/>
  <c r="L23" i="45"/>
  <c r="K23" i="45"/>
  <c r="J23" i="45"/>
  <c r="I23" i="45"/>
  <c r="H23" i="45"/>
  <c r="G23" i="45"/>
  <c r="F23" i="45"/>
  <c r="E23" i="45"/>
  <c r="D23" i="45"/>
  <c r="C23" i="45"/>
  <c r="B23" i="45"/>
  <c r="AG22" i="45"/>
  <c r="AG21" i="45"/>
  <c r="AG20" i="45"/>
  <c r="AG19" i="45"/>
  <c r="AG18" i="45"/>
  <c r="AG17" i="45"/>
  <c r="AG16" i="45"/>
  <c r="AG15" i="45"/>
  <c r="AF12" i="45"/>
  <c r="AE12" i="45"/>
  <c r="AE24" i="45" s="1"/>
  <c r="AE25" i="45" s="1"/>
  <c r="AD12" i="45"/>
  <c r="AD24" i="45" s="1"/>
  <c r="AD25" i="45" s="1"/>
  <c r="AC12" i="45"/>
  <c r="AC24" i="45" s="1"/>
  <c r="AC25" i="45" s="1"/>
  <c r="AB12" i="45"/>
  <c r="AA12" i="45"/>
  <c r="Z12" i="45"/>
  <c r="Y12" i="45"/>
  <c r="Y24" i="45" s="1"/>
  <c r="Y25" i="45" s="1"/>
  <c r="X12" i="45"/>
  <c r="W12" i="45"/>
  <c r="V12" i="45"/>
  <c r="U12" i="45"/>
  <c r="T12" i="45"/>
  <c r="T24" i="45" s="1"/>
  <c r="T25" i="45" s="1"/>
  <c r="S12" i="45"/>
  <c r="R12" i="45"/>
  <c r="Q12" i="45"/>
  <c r="P12" i="45"/>
  <c r="O12" i="45"/>
  <c r="N12" i="45"/>
  <c r="M12" i="45"/>
  <c r="L12" i="45"/>
  <c r="K12" i="45"/>
  <c r="J12" i="45"/>
  <c r="I12" i="45"/>
  <c r="H12" i="45"/>
  <c r="G12" i="45"/>
  <c r="F12" i="45"/>
  <c r="E12" i="45"/>
  <c r="D12" i="45"/>
  <c r="D24" i="45" s="1"/>
  <c r="D25" i="45" s="1"/>
  <c r="C12" i="45"/>
  <c r="B12" i="45"/>
  <c r="AG11" i="45"/>
  <c r="AG10" i="45"/>
  <c r="AG9" i="45"/>
  <c r="AG8" i="45"/>
  <c r="AG7" i="45"/>
  <c r="AG6" i="45"/>
  <c r="AG5" i="45"/>
  <c r="AH5" i="45" s="1"/>
  <c r="AJ4" i="45"/>
  <c r="B4" i="45"/>
  <c r="B3" i="45"/>
  <c r="C3" i="45" s="1"/>
  <c r="AF23" i="44"/>
  <c r="AE23" i="44"/>
  <c r="AD23" i="44"/>
  <c r="AD24" i="44" s="1"/>
  <c r="AD25" i="44" s="1"/>
  <c r="AC23" i="44"/>
  <c r="AB23" i="44"/>
  <c r="AA23" i="44"/>
  <c r="Z23" i="44"/>
  <c r="Y23" i="44"/>
  <c r="X23" i="44"/>
  <c r="W23" i="44"/>
  <c r="V23" i="44"/>
  <c r="U23" i="44"/>
  <c r="T23" i="44"/>
  <c r="S23" i="44"/>
  <c r="R23" i="44"/>
  <c r="Q23" i="44"/>
  <c r="P23" i="44"/>
  <c r="O23" i="44"/>
  <c r="N23" i="44"/>
  <c r="M23" i="44"/>
  <c r="L23" i="44"/>
  <c r="K23" i="44"/>
  <c r="J23" i="44"/>
  <c r="I23" i="44"/>
  <c r="H23" i="44"/>
  <c r="G23" i="44"/>
  <c r="F23" i="44"/>
  <c r="E23" i="44"/>
  <c r="D23" i="44"/>
  <c r="C23" i="44"/>
  <c r="B23" i="44"/>
  <c r="AG22" i="44"/>
  <c r="AH22" i="44" s="1"/>
  <c r="AG21" i="44"/>
  <c r="AH21" i="44" s="1"/>
  <c r="AG20" i="44"/>
  <c r="AH20" i="44" s="1"/>
  <c r="AG19" i="44"/>
  <c r="AH19" i="44" s="1"/>
  <c r="AG18" i="44"/>
  <c r="AH18" i="44" s="1"/>
  <c r="AG17" i="44"/>
  <c r="AG16" i="44"/>
  <c r="AH16" i="44" s="1"/>
  <c r="AG15" i="44"/>
  <c r="AH15" i="44" s="1"/>
  <c r="AF12" i="44"/>
  <c r="AE12" i="44"/>
  <c r="AE24" i="44" s="1"/>
  <c r="AE25" i="44" s="1"/>
  <c r="AD12" i="44"/>
  <c r="AC12" i="44"/>
  <c r="AB12" i="44"/>
  <c r="AA12" i="44"/>
  <c r="Z12" i="44"/>
  <c r="Y12" i="44"/>
  <c r="X12" i="44"/>
  <c r="W12" i="44"/>
  <c r="V12" i="44"/>
  <c r="U12" i="44"/>
  <c r="T12" i="44"/>
  <c r="S12" i="44"/>
  <c r="R12" i="44"/>
  <c r="Q12" i="44"/>
  <c r="P12" i="44"/>
  <c r="O12" i="44"/>
  <c r="N12" i="44"/>
  <c r="M12" i="44"/>
  <c r="L12" i="44"/>
  <c r="K12" i="44"/>
  <c r="J12" i="44"/>
  <c r="I12" i="44"/>
  <c r="H12" i="44"/>
  <c r="G12" i="44"/>
  <c r="F12" i="44"/>
  <c r="E12" i="44"/>
  <c r="D12" i="44"/>
  <c r="C12" i="44"/>
  <c r="B12" i="44"/>
  <c r="AG11" i="44"/>
  <c r="AH11" i="44" s="1"/>
  <c r="AG10" i="44"/>
  <c r="AH10" i="44" s="1"/>
  <c r="AG9" i="44"/>
  <c r="AH9" i="44" s="1"/>
  <c r="AG8" i="44"/>
  <c r="AH8" i="44" s="1"/>
  <c r="AG7" i="44"/>
  <c r="AH7" i="44" s="1"/>
  <c r="AG6" i="44"/>
  <c r="AH6" i="44" s="1"/>
  <c r="AG5" i="44"/>
  <c r="AH5" i="44" s="1"/>
  <c r="AJ4" i="44"/>
  <c r="B3" i="44"/>
  <c r="C3" i="44" s="1"/>
  <c r="AF23" i="43"/>
  <c r="AF24" i="43" s="1"/>
  <c r="AF25" i="43" s="1"/>
  <c r="AE23" i="43"/>
  <c r="AD23" i="43"/>
  <c r="AC23" i="43"/>
  <c r="AB23" i="43"/>
  <c r="AA23" i="43"/>
  <c r="Z23" i="43"/>
  <c r="Y23" i="43"/>
  <c r="X23" i="43"/>
  <c r="W23" i="43"/>
  <c r="V23" i="43"/>
  <c r="U23" i="43"/>
  <c r="T23" i="43"/>
  <c r="S23" i="43"/>
  <c r="R23" i="43"/>
  <c r="Q23" i="43"/>
  <c r="P23" i="43"/>
  <c r="O23" i="43"/>
  <c r="N23" i="43"/>
  <c r="M23" i="43"/>
  <c r="L23" i="43"/>
  <c r="K23" i="43"/>
  <c r="J23" i="43"/>
  <c r="I23" i="43"/>
  <c r="H23" i="43"/>
  <c r="G23" i="43"/>
  <c r="F23" i="43"/>
  <c r="E23" i="43"/>
  <c r="D23" i="43"/>
  <c r="C23" i="43"/>
  <c r="B23" i="43"/>
  <c r="AG22" i="43"/>
  <c r="AH22" i="43" s="1"/>
  <c r="AG21" i="43"/>
  <c r="AH21" i="43" s="1"/>
  <c r="AG20" i="43"/>
  <c r="AH20" i="43" s="1"/>
  <c r="AG19" i="43"/>
  <c r="AH19" i="43" s="1"/>
  <c r="AG18" i="43"/>
  <c r="AH18" i="43" s="1"/>
  <c r="AG17" i="43"/>
  <c r="AH17" i="43" s="1"/>
  <c r="AG16" i="43"/>
  <c r="AH16" i="43" s="1"/>
  <c r="AG15" i="43"/>
  <c r="AH15" i="43" s="1"/>
  <c r="AF12" i="43"/>
  <c r="AE12" i="43"/>
  <c r="AD12" i="43"/>
  <c r="AC12" i="43"/>
  <c r="AB12" i="43"/>
  <c r="AA12" i="43"/>
  <c r="Z12" i="43"/>
  <c r="Y12" i="43"/>
  <c r="X12" i="43"/>
  <c r="W12" i="43"/>
  <c r="V12" i="43"/>
  <c r="U12" i="43"/>
  <c r="T12" i="43"/>
  <c r="S12" i="43"/>
  <c r="R12" i="43"/>
  <c r="Q12" i="43"/>
  <c r="Q24" i="43" s="1"/>
  <c r="Q25" i="43" s="1"/>
  <c r="P12" i="43"/>
  <c r="P24" i="43" s="1"/>
  <c r="P25" i="43" s="1"/>
  <c r="O12" i="43"/>
  <c r="N12" i="43"/>
  <c r="N24" i="43" s="1"/>
  <c r="N25" i="43" s="1"/>
  <c r="M12" i="43"/>
  <c r="M24" i="43" s="1"/>
  <c r="M25" i="43" s="1"/>
  <c r="L12" i="43"/>
  <c r="K12" i="43"/>
  <c r="J12" i="43"/>
  <c r="I12" i="43"/>
  <c r="H12" i="43"/>
  <c r="G12" i="43"/>
  <c r="F12" i="43"/>
  <c r="E12" i="43"/>
  <c r="D12" i="43"/>
  <c r="D24" i="43" s="1"/>
  <c r="D25" i="43" s="1"/>
  <c r="C12" i="43"/>
  <c r="B12" i="43"/>
  <c r="B24" i="43" s="1"/>
  <c r="B25" i="43" s="1"/>
  <c r="AG11" i="43"/>
  <c r="AH11" i="43" s="1"/>
  <c r="AG10" i="43"/>
  <c r="AH10" i="43" s="1"/>
  <c r="AG9" i="43"/>
  <c r="AH9" i="43" s="1"/>
  <c r="AG8" i="43"/>
  <c r="AH8" i="43" s="1"/>
  <c r="AG7" i="43"/>
  <c r="AH7" i="43" s="1"/>
  <c r="AG6" i="43"/>
  <c r="AH6" i="43" s="1"/>
  <c r="AG5" i="43"/>
  <c r="AH5" i="43" s="1"/>
  <c r="AJ4" i="43"/>
  <c r="B4" i="43"/>
  <c r="B3" i="43"/>
  <c r="C3" i="43" s="1"/>
  <c r="AF24" i="42"/>
  <c r="AF25" i="42" s="1"/>
  <c r="AF23" i="42"/>
  <c r="AE23" i="42"/>
  <c r="AD23" i="42"/>
  <c r="AC23" i="42"/>
  <c r="AB23" i="42"/>
  <c r="AA23" i="42"/>
  <c r="Z23" i="42"/>
  <c r="Y23" i="42"/>
  <c r="X23" i="42"/>
  <c r="W23" i="42"/>
  <c r="V23" i="42"/>
  <c r="U23" i="42"/>
  <c r="T23" i="42"/>
  <c r="S23" i="42"/>
  <c r="R23" i="42"/>
  <c r="Q23" i="42"/>
  <c r="P23" i="42"/>
  <c r="O23" i="42"/>
  <c r="N23" i="42"/>
  <c r="M23" i="42"/>
  <c r="L23" i="42"/>
  <c r="K23" i="42"/>
  <c r="J23" i="42"/>
  <c r="I23" i="42"/>
  <c r="H23" i="42"/>
  <c r="G23" i="42"/>
  <c r="F23" i="42"/>
  <c r="E23" i="42"/>
  <c r="D23" i="42"/>
  <c r="C23" i="42"/>
  <c r="B23" i="42"/>
  <c r="AG22" i="42"/>
  <c r="AH22" i="42" s="1"/>
  <c r="AG21" i="42"/>
  <c r="AH21" i="42" s="1"/>
  <c r="AG20" i="42"/>
  <c r="AH20" i="42" s="1"/>
  <c r="AG19" i="42"/>
  <c r="AH19" i="42" s="1"/>
  <c r="AG18" i="42"/>
  <c r="AH18" i="42" s="1"/>
  <c r="AG17" i="42"/>
  <c r="AH17" i="42" s="1"/>
  <c r="AG16" i="42"/>
  <c r="AH16" i="42" s="1"/>
  <c r="AG15" i="42"/>
  <c r="AH15" i="42" s="1"/>
  <c r="AF12" i="42"/>
  <c r="AE12" i="42"/>
  <c r="AD12" i="42"/>
  <c r="AC12" i="42"/>
  <c r="AB12" i="42"/>
  <c r="AA12" i="42"/>
  <c r="Z12" i="42"/>
  <c r="Y12" i="42"/>
  <c r="X12" i="42"/>
  <c r="W12" i="42"/>
  <c r="V12" i="42"/>
  <c r="U12" i="42"/>
  <c r="T12" i="42"/>
  <c r="S12" i="42"/>
  <c r="R12" i="42"/>
  <c r="Q12" i="42"/>
  <c r="Q24" i="42" s="1"/>
  <c r="Q25" i="42" s="1"/>
  <c r="P12" i="42"/>
  <c r="O12" i="42"/>
  <c r="N12" i="42"/>
  <c r="M12" i="42"/>
  <c r="L12" i="42"/>
  <c r="K12" i="42"/>
  <c r="J12" i="42"/>
  <c r="I12" i="42"/>
  <c r="H12" i="42"/>
  <c r="G12" i="42"/>
  <c r="F12" i="42"/>
  <c r="E12" i="42"/>
  <c r="D12" i="42"/>
  <c r="C12" i="42"/>
  <c r="B12" i="42"/>
  <c r="AG11" i="42"/>
  <c r="AH11" i="42" s="1"/>
  <c r="AG10" i="42"/>
  <c r="AH10" i="42" s="1"/>
  <c r="AG9" i="42"/>
  <c r="AH9" i="42" s="1"/>
  <c r="AG8" i="42"/>
  <c r="AH8" i="42" s="1"/>
  <c r="AG7" i="42"/>
  <c r="AH7" i="42" s="1"/>
  <c r="AG6" i="42"/>
  <c r="AH6" i="42" s="1"/>
  <c r="AG5" i="42"/>
  <c r="AH5" i="42" s="1"/>
  <c r="AJ4" i="42"/>
  <c r="B3" i="42"/>
  <c r="B4" i="42" s="1"/>
  <c r="AF23" i="41"/>
  <c r="AE23" i="41"/>
  <c r="AD23" i="41"/>
  <c r="AC23" i="41"/>
  <c r="AB23" i="41"/>
  <c r="AA23" i="41"/>
  <c r="Z23" i="41"/>
  <c r="Y23" i="41"/>
  <c r="X23" i="41"/>
  <c r="W23" i="41"/>
  <c r="V23" i="41"/>
  <c r="U23" i="41"/>
  <c r="T23" i="41"/>
  <c r="S23" i="41"/>
  <c r="R23" i="41"/>
  <c r="Q23" i="41"/>
  <c r="P23" i="41"/>
  <c r="O23" i="41"/>
  <c r="N23" i="41"/>
  <c r="M23" i="41"/>
  <c r="L23" i="41"/>
  <c r="K23" i="41"/>
  <c r="J23" i="41"/>
  <c r="I23" i="41"/>
  <c r="H23" i="41"/>
  <c r="G23" i="41"/>
  <c r="F23" i="41"/>
  <c r="E23" i="41"/>
  <c r="D23" i="41"/>
  <c r="C23" i="41"/>
  <c r="B23" i="41"/>
  <c r="AG22" i="41"/>
  <c r="AH22" i="41" s="1"/>
  <c r="AG21" i="41"/>
  <c r="AH21" i="41" s="1"/>
  <c r="AG20" i="41"/>
  <c r="AH20" i="41" s="1"/>
  <c r="AG19" i="41"/>
  <c r="AH19" i="41" s="1"/>
  <c r="AG18" i="41"/>
  <c r="AH18" i="41" s="1"/>
  <c r="AG17" i="41"/>
  <c r="AH17" i="41" s="1"/>
  <c r="AG16" i="41"/>
  <c r="AH16" i="41" s="1"/>
  <c r="AG15" i="41"/>
  <c r="AH15" i="41" s="1"/>
  <c r="AF12" i="41"/>
  <c r="AE12" i="41"/>
  <c r="AD12" i="41"/>
  <c r="AC12" i="41"/>
  <c r="AB12" i="41"/>
  <c r="AB24" i="41" s="1"/>
  <c r="AB25" i="41" s="1"/>
  <c r="AA12" i="41"/>
  <c r="Z12" i="41"/>
  <c r="Y12" i="41"/>
  <c r="Y24" i="41" s="1"/>
  <c r="Y25" i="41" s="1"/>
  <c r="X12" i="41"/>
  <c r="W12" i="41"/>
  <c r="V12" i="41"/>
  <c r="U12" i="41"/>
  <c r="T12" i="41"/>
  <c r="S12" i="41"/>
  <c r="R12" i="41"/>
  <c r="Q12" i="41"/>
  <c r="P12" i="41"/>
  <c r="O12" i="41"/>
  <c r="N12" i="41"/>
  <c r="M12" i="41"/>
  <c r="L12" i="41"/>
  <c r="K12" i="41"/>
  <c r="K24" i="41" s="1"/>
  <c r="K25" i="41" s="1"/>
  <c r="J12" i="41"/>
  <c r="I12" i="41"/>
  <c r="H12" i="41"/>
  <c r="G12" i="41"/>
  <c r="F12" i="41"/>
  <c r="E12" i="41"/>
  <c r="D12" i="41"/>
  <c r="C12" i="41"/>
  <c r="C24" i="41" s="1"/>
  <c r="C25" i="41" s="1"/>
  <c r="B12" i="41"/>
  <c r="B24" i="41" s="1"/>
  <c r="B25" i="41" s="1"/>
  <c r="AG11" i="41"/>
  <c r="AH11" i="41" s="1"/>
  <c r="AG10" i="41"/>
  <c r="AH10" i="41" s="1"/>
  <c r="AG9" i="41"/>
  <c r="AH9" i="41" s="1"/>
  <c r="AG8" i="41"/>
  <c r="AH8" i="41" s="1"/>
  <c r="AG7" i="41"/>
  <c r="AH7" i="41" s="1"/>
  <c r="AG6" i="41"/>
  <c r="AH6" i="41" s="1"/>
  <c r="AG5" i="41"/>
  <c r="AH5" i="41" s="1"/>
  <c r="AJ4" i="41"/>
  <c r="B3" i="41"/>
  <c r="C3" i="41" s="1"/>
  <c r="AF23" i="40"/>
  <c r="AE23" i="40"/>
  <c r="AD23" i="40"/>
  <c r="AC23" i="40"/>
  <c r="AB23" i="40"/>
  <c r="AA23" i="40"/>
  <c r="Z23" i="40"/>
  <c r="Y23" i="40"/>
  <c r="X23" i="40"/>
  <c r="W23" i="40"/>
  <c r="U23" i="40"/>
  <c r="T23" i="40"/>
  <c r="S23" i="40"/>
  <c r="R23" i="40"/>
  <c r="Q23" i="40"/>
  <c r="P23" i="40"/>
  <c r="O23" i="40"/>
  <c r="N23" i="40"/>
  <c r="M23" i="40"/>
  <c r="L23" i="40"/>
  <c r="K23" i="40"/>
  <c r="J23" i="40"/>
  <c r="I23" i="40"/>
  <c r="H23" i="40"/>
  <c r="G23" i="40"/>
  <c r="F23" i="40"/>
  <c r="E23" i="40"/>
  <c r="D23" i="40"/>
  <c r="C23" i="40"/>
  <c r="B23" i="40"/>
  <c r="AG22" i="40"/>
  <c r="AH22" i="40" s="1"/>
  <c r="AG21" i="40"/>
  <c r="AH21" i="40" s="1"/>
  <c r="AG20" i="40"/>
  <c r="AH20" i="40" s="1"/>
  <c r="AG19" i="40"/>
  <c r="AH19" i="40" s="1"/>
  <c r="AG18" i="40"/>
  <c r="AH18" i="40" s="1"/>
  <c r="AG17" i="40"/>
  <c r="AH17" i="40" s="1"/>
  <c r="AG16" i="40"/>
  <c r="AH16" i="40" s="1"/>
  <c r="AG15" i="40"/>
  <c r="AH15" i="40" s="1"/>
  <c r="AF12" i="40"/>
  <c r="AE12" i="40"/>
  <c r="AD12" i="40"/>
  <c r="AC12" i="40"/>
  <c r="AB12" i="40"/>
  <c r="AA12" i="40"/>
  <c r="Z12" i="40"/>
  <c r="Y12" i="40"/>
  <c r="X12" i="40"/>
  <c r="W12" i="40"/>
  <c r="V12" i="40"/>
  <c r="V23" i="40" s="1"/>
  <c r="U12" i="40"/>
  <c r="T12" i="40"/>
  <c r="S12" i="40"/>
  <c r="R12" i="40"/>
  <c r="Q12" i="40"/>
  <c r="P12" i="40"/>
  <c r="O12" i="40"/>
  <c r="N12" i="40"/>
  <c r="M12" i="40"/>
  <c r="L12" i="40"/>
  <c r="K12" i="40"/>
  <c r="J12" i="40"/>
  <c r="I12" i="40"/>
  <c r="H12" i="40"/>
  <c r="G12" i="40"/>
  <c r="F12" i="40"/>
  <c r="E12" i="40"/>
  <c r="D12" i="40"/>
  <c r="C12" i="40"/>
  <c r="B12" i="40"/>
  <c r="AG11" i="40"/>
  <c r="AH11" i="40" s="1"/>
  <c r="AG10" i="40"/>
  <c r="AH10" i="40" s="1"/>
  <c r="AG9" i="40"/>
  <c r="AH9" i="40" s="1"/>
  <c r="AG8" i="40"/>
  <c r="AH8" i="40" s="1"/>
  <c r="AG7" i="40"/>
  <c r="AH7" i="40" s="1"/>
  <c r="AG6" i="40"/>
  <c r="AH6" i="40" s="1"/>
  <c r="AG5" i="40"/>
  <c r="AH5" i="40" s="1"/>
  <c r="AJ4" i="40"/>
  <c r="B3" i="40"/>
  <c r="C3" i="40" s="1"/>
  <c r="B3" i="39"/>
  <c r="B4" i="39" s="1"/>
  <c r="AF23" i="39"/>
  <c r="AE23" i="39"/>
  <c r="AD23" i="39"/>
  <c r="AC23" i="39"/>
  <c r="AB23" i="39"/>
  <c r="AA23" i="39"/>
  <c r="Z23" i="39"/>
  <c r="Y23" i="39"/>
  <c r="X23" i="39"/>
  <c r="W23" i="39"/>
  <c r="V23" i="39"/>
  <c r="U23" i="39"/>
  <c r="U24" i="39" s="1"/>
  <c r="U25" i="39" s="1"/>
  <c r="T23" i="39"/>
  <c r="S23" i="39"/>
  <c r="R23" i="39"/>
  <c r="Q23" i="39"/>
  <c r="P23" i="39"/>
  <c r="O23" i="39"/>
  <c r="N23" i="39"/>
  <c r="M23" i="39"/>
  <c r="L23" i="39"/>
  <c r="K23" i="39"/>
  <c r="J23" i="39"/>
  <c r="I23" i="39"/>
  <c r="H23" i="39"/>
  <c r="G23" i="39"/>
  <c r="F23" i="39"/>
  <c r="E23" i="39"/>
  <c r="D23" i="39"/>
  <c r="C23" i="39"/>
  <c r="B23" i="39"/>
  <c r="AG22" i="39"/>
  <c r="AH22" i="39" s="1"/>
  <c r="AG21" i="39"/>
  <c r="AH21" i="39" s="1"/>
  <c r="AG20" i="39"/>
  <c r="AH20" i="39" s="1"/>
  <c r="AG19" i="39"/>
  <c r="AH19" i="39" s="1"/>
  <c r="AG18" i="39"/>
  <c r="AH18" i="39" s="1"/>
  <c r="AG17" i="39"/>
  <c r="AH17" i="39" s="1"/>
  <c r="AG16" i="39"/>
  <c r="AH16" i="39" s="1"/>
  <c r="AG15" i="39"/>
  <c r="AF12" i="39"/>
  <c r="AE12" i="39"/>
  <c r="AD12" i="39"/>
  <c r="AC12" i="39"/>
  <c r="AB12" i="39"/>
  <c r="AA12" i="39"/>
  <c r="Z12" i="39"/>
  <c r="Y12" i="39"/>
  <c r="X12" i="39"/>
  <c r="X24" i="39" s="1"/>
  <c r="X25" i="39" s="1"/>
  <c r="W12" i="39"/>
  <c r="V12" i="39"/>
  <c r="U12" i="39"/>
  <c r="T12" i="39"/>
  <c r="S12" i="39"/>
  <c r="R12" i="39"/>
  <c r="Q12" i="39"/>
  <c r="P12" i="39"/>
  <c r="O12" i="39"/>
  <c r="N12" i="39"/>
  <c r="M12" i="39"/>
  <c r="L12" i="39"/>
  <c r="K12" i="39"/>
  <c r="J12" i="39"/>
  <c r="J24" i="39" s="1"/>
  <c r="J25" i="39" s="1"/>
  <c r="I12" i="39"/>
  <c r="H12" i="39"/>
  <c r="G12" i="39"/>
  <c r="F12" i="39"/>
  <c r="E12" i="39"/>
  <c r="D12" i="39"/>
  <c r="C12" i="39"/>
  <c r="B12" i="39"/>
  <c r="AG11" i="39"/>
  <c r="AH11" i="39" s="1"/>
  <c r="AG10" i="39"/>
  <c r="AH10" i="39" s="1"/>
  <c r="AG9" i="39"/>
  <c r="AH9" i="39" s="1"/>
  <c r="AG8" i="39"/>
  <c r="AH8" i="39" s="1"/>
  <c r="AG7" i="39"/>
  <c r="AH7" i="39" s="1"/>
  <c r="AG6" i="39"/>
  <c r="AH6" i="39" s="1"/>
  <c r="AG5" i="39"/>
  <c r="AJ4" i="39"/>
  <c r="C3" i="39"/>
  <c r="C4" i="39" s="1"/>
  <c r="AF23" i="38"/>
  <c r="AE23" i="38"/>
  <c r="AD23" i="38"/>
  <c r="AC23" i="38"/>
  <c r="AB23" i="38"/>
  <c r="AA23" i="38"/>
  <c r="Z23" i="38"/>
  <c r="Y23" i="38"/>
  <c r="X23" i="38"/>
  <c r="W23" i="38"/>
  <c r="V23" i="38"/>
  <c r="U23" i="38"/>
  <c r="T23" i="38"/>
  <c r="S23" i="38"/>
  <c r="R23" i="38"/>
  <c r="Q23" i="38"/>
  <c r="P23" i="38"/>
  <c r="O23" i="38"/>
  <c r="N23" i="38"/>
  <c r="M23" i="38"/>
  <c r="L23" i="38"/>
  <c r="K23" i="38"/>
  <c r="J23" i="38"/>
  <c r="I23" i="38"/>
  <c r="H23" i="38"/>
  <c r="G23" i="38"/>
  <c r="F23" i="38"/>
  <c r="E23" i="38"/>
  <c r="D23" i="38"/>
  <c r="C23" i="38"/>
  <c r="B23" i="38"/>
  <c r="AG22" i="38"/>
  <c r="AH22" i="38" s="1"/>
  <c r="AG21" i="38"/>
  <c r="AH21" i="38" s="1"/>
  <c r="AG20" i="38"/>
  <c r="AH20" i="38" s="1"/>
  <c r="AG19" i="38"/>
  <c r="AH19" i="38" s="1"/>
  <c r="AG18" i="38"/>
  <c r="AH18" i="38" s="1"/>
  <c r="AG17" i="38"/>
  <c r="AH17" i="38" s="1"/>
  <c r="AG16" i="38"/>
  <c r="AH16" i="38" s="1"/>
  <c r="AG15" i="38"/>
  <c r="AH15" i="38" s="1"/>
  <c r="AF12" i="38"/>
  <c r="AE12" i="38"/>
  <c r="AD12" i="38"/>
  <c r="AD24" i="38" s="1"/>
  <c r="AD25" i="38" s="1"/>
  <c r="AC12" i="38"/>
  <c r="AB12" i="38"/>
  <c r="AA12" i="38"/>
  <c r="Z12" i="38"/>
  <c r="Y12" i="38"/>
  <c r="X12" i="38"/>
  <c r="W12" i="38"/>
  <c r="V12" i="38"/>
  <c r="V24" i="38" s="1"/>
  <c r="V25" i="38" s="1"/>
  <c r="U12" i="38"/>
  <c r="T12" i="38"/>
  <c r="S12" i="38"/>
  <c r="R12" i="38"/>
  <c r="Q12" i="38"/>
  <c r="P12" i="38"/>
  <c r="O12" i="38"/>
  <c r="N12" i="38"/>
  <c r="M12" i="38"/>
  <c r="M24" i="38" s="1"/>
  <c r="M25" i="38" s="1"/>
  <c r="L12" i="38"/>
  <c r="L24" i="38" s="1"/>
  <c r="L25" i="38" s="1"/>
  <c r="K12" i="38"/>
  <c r="J12" i="38"/>
  <c r="I12" i="38"/>
  <c r="H12" i="38"/>
  <c r="G12" i="38"/>
  <c r="F12" i="38"/>
  <c r="E12" i="38"/>
  <c r="D12" i="38"/>
  <c r="C12" i="38"/>
  <c r="B12" i="38"/>
  <c r="AG11" i="38"/>
  <c r="AH11" i="38" s="1"/>
  <c r="AG10" i="38"/>
  <c r="AH10" i="38" s="1"/>
  <c r="AG9" i="38"/>
  <c r="AH9" i="38" s="1"/>
  <c r="AG8" i="38"/>
  <c r="AH8" i="38" s="1"/>
  <c r="AG7" i="38"/>
  <c r="AH7" i="38" s="1"/>
  <c r="AG6" i="38"/>
  <c r="AH6" i="38" s="1"/>
  <c r="AG5" i="38"/>
  <c r="AH5" i="38" s="1"/>
  <c r="AJ4" i="38"/>
  <c r="B3" i="38"/>
  <c r="C3" i="38" s="1"/>
  <c r="AH5" i="36"/>
  <c r="AF23" i="37"/>
  <c r="AE23" i="37"/>
  <c r="AD23" i="37"/>
  <c r="AC23" i="37"/>
  <c r="AB23" i="37"/>
  <c r="AA23" i="37"/>
  <c r="Z23" i="37"/>
  <c r="Y23" i="37"/>
  <c r="X23" i="37"/>
  <c r="W23" i="37"/>
  <c r="V23" i="37"/>
  <c r="V24" i="37" s="1"/>
  <c r="V25" i="37" s="1"/>
  <c r="U23" i="37"/>
  <c r="T23" i="37"/>
  <c r="S23" i="37"/>
  <c r="R23" i="37"/>
  <c r="Q23" i="37"/>
  <c r="P23" i="37"/>
  <c r="O23" i="37"/>
  <c r="N23" i="37"/>
  <c r="M23" i="37"/>
  <c r="L23" i="37"/>
  <c r="K23" i="37"/>
  <c r="J23" i="37"/>
  <c r="I23" i="37"/>
  <c r="H23" i="37"/>
  <c r="G23" i="37"/>
  <c r="F23" i="37"/>
  <c r="E23" i="37"/>
  <c r="D23" i="37"/>
  <c r="C23" i="37"/>
  <c r="B23" i="37"/>
  <c r="AG22" i="37"/>
  <c r="AH22" i="37" s="1"/>
  <c r="AG21" i="37"/>
  <c r="AH21" i="37" s="1"/>
  <c r="AG20" i="37"/>
  <c r="AH20" i="37" s="1"/>
  <c r="AG19" i="37"/>
  <c r="AG18" i="37"/>
  <c r="AH18" i="37" s="1"/>
  <c r="AG17" i="37"/>
  <c r="AH17" i="37" s="1"/>
  <c r="AG16" i="37"/>
  <c r="AH16" i="37" s="1"/>
  <c r="AG15" i="37"/>
  <c r="AH15" i="37" s="1"/>
  <c r="AF12" i="37"/>
  <c r="AF24" i="37" s="1"/>
  <c r="AF25" i="37" s="1"/>
  <c r="AE12" i="37"/>
  <c r="AD12" i="37"/>
  <c r="AC12" i="37"/>
  <c r="AB12" i="37"/>
  <c r="AA12" i="37"/>
  <c r="Z12" i="37"/>
  <c r="Y12" i="37"/>
  <c r="X12" i="37"/>
  <c r="W12" i="37"/>
  <c r="V12" i="37"/>
  <c r="U12" i="37"/>
  <c r="T12" i="37"/>
  <c r="S12" i="37"/>
  <c r="R12" i="37"/>
  <c r="Q12" i="37"/>
  <c r="P12" i="37"/>
  <c r="O12" i="37"/>
  <c r="N12" i="37"/>
  <c r="M12" i="37"/>
  <c r="L12" i="37"/>
  <c r="K12" i="37"/>
  <c r="J12" i="37"/>
  <c r="I12" i="37"/>
  <c r="H12" i="37"/>
  <c r="H24" i="37" s="1"/>
  <c r="H25" i="37" s="1"/>
  <c r="G12" i="37"/>
  <c r="F12" i="37"/>
  <c r="E12" i="37"/>
  <c r="D12" i="37"/>
  <c r="C12" i="37"/>
  <c r="B12" i="37"/>
  <c r="AG11" i="37"/>
  <c r="AH11" i="37" s="1"/>
  <c r="AG10" i="37"/>
  <c r="AH10" i="37" s="1"/>
  <c r="AG9" i="37"/>
  <c r="AH9" i="37" s="1"/>
  <c r="AG8" i="37"/>
  <c r="AG7" i="37"/>
  <c r="AH7" i="37" s="1"/>
  <c r="AG6" i="37"/>
  <c r="AH6" i="37" s="1"/>
  <c r="AG5" i="37"/>
  <c r="AH5" i="37" s="1"/>
  <c r="AJ4" i="37"/>
  <c r="B3" i="37"/>
  <c r="C3" i="37" s="1"/>
  <c r="AG25" i="34"/>
  <c r="AG24" i="34"/>
  <c r="AG23" i="34"/>
  <c r="AF23" i="36"/>
  <c r="AE23" i="36"/>
  <c r="AD23" i="36"/>
  <c r="AC23" i="36"/>
  <c r="AB23" i="36"/>
  <c r="AA23" i="36"/>
  <c r="Z23" i="36"/>
  <c r="Y23" i="36"/>
  <c r="X23" i="36"/>
  <c r="W23" i="36"/>
  <c r="V23" i="36"/>
  <c r="U23" i="36"/>
  <c r="T23" i="36"/>
  <c r="S23" i="36"/>
  <c r="R23" i="36"/>
  <c r="Q23" i="36"/>
  <c r="P23" i="36"/>
  <c r="O23" i="36"/>
  <c r="N23" i="36"/>
  <c r="M23" i="36"/>
  <c r="L23" i="36"/>
  <c r="K23" i="36"/>
  <c r="J23" i="36"/>
  <c r="I23" i="36"/>
  <c r="H23" i="36"/>
  <c r="G23" i="36"/>
  <c r="F23" i="36"/>
  <c r="E23" i="36"/>
  <c r="D23" i="36"/>
  <c r="C23" i="36"/>
  <c r="B23" i="36"/>
  <c r="AG22" i="36"/>
  <c r="AH22" i="36" s="1"/>
  <c r="AG21" i="36"/>
  <c r="AH21" i="36" s="1"/>
  <c r="AG20" i="36"/>
  <c r="AH20" i="36" s="1"/>
  <c r="AG19" i="36"/>
  <c r="AH19" i="36" s="1"/>
  <c r="AG18" i="36"/>
  <c r="AH18" i="36" s="1"/>
  <c r="AG17" i="36"/>
  <c r="AH17" i="36" s="1"/>
  <c r="AG16" i="36"/>
  <c r="AH16" i="36" s="1"/>
  <c r="AG15" i="36"/>
  <c r="AH15" i="36" s="1"/>
  <c r="AF12" i="36"/>
  <c r="AE12" i="36"/>
  <c r="AD12" i="36"/>
  <c r="AC12" i="36"/>
  <c r="AB12" i="36"/>
  <c r="AA12" i="36"/>
  <c r="Z12" i="36"/>
  <c r="Y12" i="36"/>
  <c r="X12" i="36"/>
  <c r="W12" i="36"/>
  <c r="V12" i="36"/>
  <c r="U12" i="36"/>
  <c r="T12" i="36"/>
  <c r="S12" i="36"/>
  <c r="R12" i="36"/>
  <c r="Q12" i="36"/>
  <c r="P12" i="36"/>
  <c r="O12" i="36"/>
  <c r="N12" i="36"/>
  <c r="M12" i="36"/>
  <c r="L12" i="36"/>
  <c r="K12" i="36"/>
  <c r="J12" i="36"/>
  <c r="I12" i="36"/>
  <c r="H12" i="36"/>
  <c r="G12" i="36"/>
  <c r="F12" i="36"/>
  <c r="E12" i="36"/>
  <c r="D12" i="36"/>
  <c r="C12" i="36"/>
  <c r="B12" i="36"/>
  <c r="AG11" i="36"/>
  <c r="AH11" i="36" s="1"/>
  <c r="AG10" i="36"/>
  <c r="AH10" i="36" s="1"/>
  <c r="AG9" i="36"/>
  <c r="AH9" i="36" s="1"/>
  <c r="AG8" i="36"/>
  <c r="AH8" i="36" s="1"/>
  <c r="AG7" i="36"/>
  <c r="AH7" i="36" s="1"/>
  <c r="AG6" i="36"/>
  <c r="AH6" i="36" s="1"/>
  <c r="AG5" i="36"/>
  <c r="AJ4" i="36"/>
  <c r="B3" i="36"/>
  <c r="B4" i="36" s="1"/>
  <c r="AF23" i="35"/>
  <c r="AE23" i="35"/>
  <c r="AD23" i="35"/>
  <c r="AC23" i="35"/>
  <c r="AB23" i="35"/>
  <c r="AA23" i="35"/>
  <c r="Z23" i="35"/>
  <c r="Y23" i="35"/>
  <c r="X23" i="35"/>
  <c r="W23" i="35"/>
  <c r="V23" i="35"/>
  <c r="U23" i="35"/>
  <c r="T23" i="35"/>
  <c r="S23" i="35"/>
  <c r="R23" i="35"/>
  <c r="Q23" i="35"/>
  <c r="P23" i="35"/>
  <c r="O23" i="35"/>
  <c r="N23" i="35"/>
  <c r="M23" i="35"/>
  <c r="L23" i="35"/>
  <c r="K23" i="35"/>
  <c r="J23" i="35"/>
  <c r="I23" i="35"/>
  <c r="H23" i="35"/>
  <c r="G23" i="35"/>
  <c r="F23" i="35"/>
  <c r="F24" i="35" s="1"/>
  <c r="F25" i="35" s="1"/>
  <c r="E23" i="35"/>
  <c r="D23" i="35"/>
  <c r="C23" i="35"/>
  <c r="B23" i="35"/>
  <c r="AG22" i="35"/>
  <c r="AH22" i="35" s="1"/>
  <c r="AG21" i="35"/>
  <c r="AH21" i="35" s="1"/>
  <c r="AG20" i="35"/>
  <c r="AH20" i="35" s="1"/>
  <c r="AG19" i="35"/>
  <c r="AH19" i="35" s="1"/>
  <c r="AG18" i="35"/>
  <c r="AH18" i="35" s="1"/>
  <c r="AG17" i="35"/>
  <c r="AH17" i="35" s="1"/>
  <c r="AG16" i="35"/>
  <c r="AH16" i="35" s="1"/>
  <c r="AG15" i="35"/>
  <c r="AH15" i="35" s="1"/>
  <c r="AF12" i="35"/>
  <c r="AF24" i="35" s="1"/>
  <c r="AF25" i="35" s="1"/>
  <c r="AE12" i="35"/>
  <c r="AD12" i="35"/>
  <c r="AC12" i="35"/>
  <c r="AB12" i="35"/>
  <c r="AA12" i="35"/>
  <c r="Z12" i="35"/>
  <c r="Y12" i="35"/>
  <c r="X12" i="35"/>
  <c r="W12" i="35"/>
  <c r="V12" i="35"/>
  <c r="U12" i="35"/>
  <c r="T12" i="35"/>
  <c r="S12" i="35"/>
  <c r="R12" i="35"/>
  <c r="Q12" i="35"/>
  <c r="P12" i="35"/>
  <c r="O12" i="35"/>
  <c r="N12" i="35"/>
  <c r="M12" i="35"/>
  <c r="L12" i="35"/>
  <c r="K12" i="35"/>
  <c r="J12" i="35"/>
  <c r="I12" i="35"/>
  <c r="H12" i="35"/>
  <c r="G12" i="35"/>
  <c r="F12" i="35"/>
  <c r="E12" i="35"/>
  <c r="D12" i="35"/>
  <c r="C12" i="35"/>
  <c r="B12" i="35"/>
  <c r="AG11" i="35"/>
  <c r="AH11" i="35" s="1"/>
  <c r="AG10" i="35"/>
  <c r="AH10" i="35" s="1"/>
  <c r="AG9" i="35"/>
  <c r="AH9" i="35" s="1"/>
  <c r="AG8" i="35"/>
  <c r="AH8" i="35" s="1"/>
  <c r="AG7" i="35"/>
  <c r="AH7" i="35" s="1"/>
  <c r="AG6" i="35"/>
  <c r="AH6" i="35" s="1"/>
  <c r="AG5" i="35"/>
  <c r="AH5" i="35" s="1"/>
  <c r="AJ4" i="35"/>
  <c r="C3" i="35"/>
  <c r="C4" i="35" s="1"/>
  <c r="B3" i="35"/>
  <c r="B4" i="35" s="1"/>
  <c r="AH18" i="34"/>
  <c r="AH19" i="34"/>
  <c r="AH20" i="34"/>
  <c r="AH21" i="34"/>
  <c r="AG22" i="34"/>
  <c r="AH22" i="34" s="1"/>
  <c r="AF23" i="34"/>
  <c r="AE23" i="34"/>
  <c r="AD23" i="34"/>
  <c r="AC23" i="34"/>
  <c r="AB23" i="34"/>
  <c r="AA23" i="34"/>
  <c r="Z23" i="34"/>
  <c r="Y23" i="34"/>
  <c r="X23" i="34"/>
  <c r="W23" i="34"/>
  <c r="V23" i="34"/>
  <c r="U23" i="34"/>
  <c r="T23" i="34"/>
  <c r="S23" i="34"/>
  <c r="R23" i="34"/>
  <c r="Q23" i="34"/>
  <c r="P23" i="34"/>
  <c r="O23" i="34"/>
  <c r="N23" i="34"/>
  <c r="M23" i="34"/>
  <c r="L23" i="34"/>
  <c r="K23" i="34"/>
  <c r="J23" i="34"/>
  <c r="I23" i="34"/>
  <c r="H23" i="34"/>
  <c r="G23" i="34"/>
  <c r="F23" i="34"/>
  <c r="E23" i="34"/>
  <c r="D23" i="34"/>
  <c r="C23" i="34"/>
  <c r="B23" i="34"/>
  <c r="AG21" i="34"/>
  <c r="AG20" i="34"/>
  <c r="AG19" i="34"/>
  <c r="AG18" i="34"/>
  <c r="AG17" i="34"/>
  <c r="AH17" i="34" s="1"/>
  <c r="AG16" i="34"/>
  <c r="AH16" i="34" s="1"/>
  <c r="AG15" i="34"/>
  <c r="AH15" i="34" s="1"/>
  <c r="AF12" i="34"/>
  <c r="AE12" i="34"/>
  <c r="AD12" i="34"/>
  <c r="AC12" i="34"/>
  <c r="AB12" i="34"/>
  <c r="AA12" i="34"/>
  <c r="Z12" i="34"/>
  <c r="Y12" i="34"/>
  <c r="X12" i="34"/>
  <c r="W12" i="34"/>
  <c r="V12" i="34"/>
  <c r="U12" i="34"/>
  <c r="T12" i="34"/>
  <c r="S12" i="34"/>
  <c r="R12" i="34"/>
  <c r="Q12" i="34"/>
  <c r="P12" i="34"/>
  <c r="O12" i="34"/>
  <c r="N12" i="34"/>
  <c r="M12" i="34"/>
  <c r="L12" i="34"/>
  <c r="K12" i="34"/>
  <c r="J12" i="34"/>
  <c r="I12" i="34"/>
  <c r="H12" i="34"/>
  <c r="G12" i="34"/>
  <c r="F12" i="34"/>
  <c r="E12" i="34"/>
  <c r="D12" i="34"/>
  <c r="C12" i="34"/>
  <c r="B12" i="34"/>
  <c r="AG11" i="34"/>
  <c r="AH11" i="34" s="1"/>
  <c r="AG10" i="34"/>
  <c r="AH10" i="34" s="1"/>
  <c r="AG9" i="34"/>
  <c r="AH9" i="34" s="1"/>
  <c r="AG8" i="34"/>
  <c r="AH8" i="34" s="1"/>
  <c r="AG7" i="34"/>
  <c r="AH7" i="34" s="1"/>
  <c r="AG6" i="34"/>
  <c r="AH6" i="34" s="1"/>
  <c r="AG5" i="34"/>
  <c r="AH5" i="34" s="1"/>
  <c r="AJ4" i="34"/>
  <c r="B3" i="34"/>
  <c r="C3" i="34" s="1"/>
  <c r="AF23" i="33"/>
  <c r="AE23" i="33"/>
  <c r="AD23" i="33"/>
  <c r="AC23" i="33"/>
  <c r="AB23" i="33"/>
  <c r="AA23" i="33"/>
  <c r="Z23" i="33"/>
  <c r="Y23" i="33"/>
  <c r="X23" i="33"/>
  <c r="W23" i="33"/>
  <c r="V23" i="33"/>
  <c r="U23" i="33"/>
  <c r="T23" i="33"/>
  <c r="S23" i="33"/>
  <c r="R23" i="33"/>
  <c r="Q23" i="33"/>
  <c r="P23" i="33"/>
  <c r="O23" i="33"/>
  <c r="N23" i="33"/>
  <c r="M23" i="33"/>
  <c r="L23" i="33"/>
  <c r="K23" i="33"/>
  <c r="J23" i="33"/>
  <c r="I23" i="33"/>
  <c r="H23" i="33"/>
  <c r="G23" i="33"/>
  <c r="F23" i="33"/>
  <c r="E23" i="33"/>
  <c r="D23" i="33"/>
  <c r="C23" i="33"/>
  <c r="B23" i="33"/>
  <c r="AG22" i="33"/>
  <c r="AH22" i="33" s="1"/>
  <c r="AG21" i="33"/>
  <c r="AH21" i="33" s="1"/>
  <c r="AG20" i="33"/>
  <c r="AH20" i="33" s="1"/>
  <c r="AG19" i="33"/>
  <c r="AH19" i="33" s="1"/>
  <c r="AG18" i="33"/>
  <c r="AH18" i="33" s="1"/>
  <c r="AG17" i="33"/>
  <c r="AH17" i="33" s="1"/>
  <c r="AG16" i="33"/>
  <c r="AH16" i="33" s="1"/>
  <c r="AG15" i="33"/>
  <c r="AH15" i="33" s="1"/>
  <c r="AF12" i="33"/>
  <c r="AE12" i="33"/>
  <c r="AE24" i="33" s="1"/>
  <c r="AE25" i="33" s="1"/>
  <c r="AD12" i="33"/>
  <c r="AD24" i="33" s="1"/>
  <c r="AD25" i="33" s="1"/>
  <c r="AC12" i="33"/>
  <c r="AB12" i="33"/>
  <c r="AA12" i="33"/>
  <c r="Z12" i="33"/>
  <c r="Y12" i="33"/>
  <c r="X12" i="33"/>
  <c r="W12" i="33"/>
  <c r="V12" i="33"/>
  <c r="U12" i="33"/>
  <c r="T12" i="33"/>
  <c r="S12" i="33"/>
  <c r="R12" i="33"/>
  <c r="R24" i="33" s="1"/>
  <c r="R25" i="33" s="1"/>
  <c r="Q12" i="33"/>
  <c r="P12" i="33"/>
  <c r="O12" i="33"/>
  <c r="N12" i="33"/>
  <c r="M12" i="33"/>
  <c r="L12" i="33"/>
  <c r="K12" i="33"/>
  <c r="J12" i="33"/>
  <c r="I12" i="33"/>
  <c r="H12" i="33"/>
  <c r="G12" i="33"/>
  <c r="F12" i="33"/>
  <c r="E12" i="33"/>
  <c r="E24" i="33" s="1"/>
  <c r="E25" i="33" s="1"/>
  <c r="D12" i="33"/>
  <c r="C12" i="33"/>
  <c r="B12" i="33"/>
  <c r="AG11" i="33"/>
  <c r="AH11" i="33" s="1"/>
  <c r="AG10" i="33"/>
  <c r="AH10" i="33" s="1"/>
  <c r="AG9" i="33"/>
  <c r="AH9" i="33" s="1"/>
  <c r="AG8" i="33"/>
  <c r="AH8" i="33" s="1"/>
  <c r="AG7" i="33"/>
  <c r="AH7" i="33" s="1"/>
  <c r="AG6" i="33"/>
  <c r="AH6" i="33" s="1"/>
  <c r="AG5" i="33"/>
  <c r="AH5" i="33" s="1"/>
  <c r="AJ4" i="33"/>
  <c r="B3" i="33"/>
  <c r="C3" i="33" s="1"/>
  <c r="B24" i="32"/>
  <c r="B25" i="32" s="1"/>
  <c r="AF23" i="32"/>
  <c r="AE23" i="32"/>
  <c r="AD23" i="32"/>
  <c r="AC23" i="32"/>
  <c r="AB23" i="32"/>
  <c r="AA23" i="32"/>
  <c r="Z23" i="32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AG22" i="32"/>
  <c r="AH22" i="32" s="1"/>
  <c r="AG21" i="32"/>
  <c r="AH21" i="32" s="1"/>
  <c r="AG20" i="32"/>
  <c r="AH20" i="32" s="1"/>
  <c r="AG19" i="32"/>
  <c r="AH19" i="32" s="1"/>
  <c r="AG18" i="32"/>
  <c r="AH18" i="32" s="1"/>
  <c r="AG17" i="32"/>
  <c r="AH17" i="32" s="1"/>
  <c r="AG16" i="32"/>
  <c r="AH16" i="32" s="1"/>
  <c r="AG15" i="32"/>
  <c r="AF12" i="32"/>
  <c r="AE12" i="32"/>
  <c r="AD12" i="32"/>
  <c r="AC12" i="32"/>
  <c r="AB12" i="32"/>
  <c r="AA12" i="32"/>
  <c r="Z12" i="32"/>
  <c r="Y12" i="32"/>
  <c r="X12" i="32"/>
  <c r="W12" i="32"/>
  <c r="V12" i="32"/>
  <c r="U12" i="32"/>
  <c r="T12" i="32"/>
  <c r="S12" i="32"/>
  <c r="R12" i="32"/>
  <c r="Q12" i="32"/>
  <c r="P12" i="32"/>
  <c r="O12" i="32"/>
  <c r="N12" i="32"/>
  <c r="M12" i="32"/>
  <c r="L12" i="32"/>
  <c r="K12" i="32"/>
  <c r="J12" i="32"/>
  <c r="I12" i="32"/>
  <c r="H12" i="32"/>
  <c r="G12" i="32"/>
  <c r="F12" i="32"/>
  <c r="E12" i="32"/>
  <c r="D12" i="32"/>
  <c r="D24" i="32" s="1"/>
  <c r="D25" i="32" s="1"/>
  <c r="C12" i="32"/>
  <c r="B12" i="32"/>
  <c r="AG11" i="32"/>
  <c r="AH11" i="32" s="1"/>
  <c r="AG10" i="32"/>
  <c r="AH10" i="32" s="1"/>
  <c r="AG9" i="32"/>
  <c r="AH9" i="32" s="1"/>
  <c r="AG8" i="32"/>
  <c r="AH8" i="32" s="1"/>
  <c r="AG7" i="32"/>
  <c r="AH7" i="32" s="1"/>
  <c r="AG6" i="32"/>
  <c r="AH6" i="32" s="1"/>
  <c r="AG5" i="32"/>
  <c r="AJ4" i="32"/>
  <c r="B4" i="32"/>
  <c r="B3" i="32"/>
  <c r="C3" i="32" s="1"/>
  <c r="J24" i="31"/>
  <c r="J25" i="31" s="1"/>
  <c r="F24" i="31"/>
  <c r="F25" i="31" s="1"/>
  <c r="B24" i="31"/>
  <c r="B25" i="31" s="1"/>
  <c r="AF23" i="31"/>
  <c r="AE23" i="31"/>
  <c r="AD23" i="31"/>
  <c r="AC23" i="31"/>
  <c r="AB23" i="31"/>
  <c r="AA23" i="31"/>
  <c r="Z23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B23" i="31"/>
  <c r="AG22" i="31"/>
  <c r="AH22" i="31" s="1"/>
  <c r="AH21" i="31"/>
  <c r="AG21" i="31"/>
  <c r="AG20" i="31"/>
  <c r="AH20" i="31" s="1"/>
  <c r="AG19" i="31"/>
  <c r="AH19" i="31" s="1"/>
  <c r="AG18" i="31"/>
  <c r="AH18" i="31" s="1"/>
  <c r="AG17" i="31"/>
  <c r="AH17" i="31" s="1"/>
  <c r="AG16" i="31"/>
  <c r="AH16" i="31" s="1"/>
  <c r="AG15" i="31"/>
  <c r="AH15" i="31" s="1"/>
  <c r="AF12" i="31"/>
  <c r="AE12" i="31"/>
  <c r="AD12" i="31"/>
  <c r="AC12" i="31"/>
  <c r="AC24" i="31" s="1"/>
  <c r="AC25" i="31" s="1"/>
  <c r="AB12" i="31"/>
  <c r="AA12" i="31"/>
  <c r="Z12" i="31"/>
  <c r="Y12" i="31"/>
  <c r="Y24" i="31" s="1"/>
  <c r="Y25" i="31" s="1"/>
  <c r="X12" i="31"/>
  <c r="W12" i="31"/>
  <c r="V12" i="31"/>
  <c r="U12" i="31"/>
  <c r="T12" i="31"/>
  <c r="S12" i="31"/>
  <c r="R12" i="31"/>
  <c r="Q12" i="31"/>
  <c r="P12" i="31"/>
  <c r="O12" i="31"/>
  <c r="N12" i="31"/>
  <c r="M12" i="31"/>
  <c r="M24" i="31" s="1"/>
  <c r="M25" i="31" s="1"/>
  <c r="L12" i="31"/>
  <c r="L24" i="31" s="1"/>
  <c r="L25" i="31" s="1"/>
  <c r="K12" i="31"/>
  <c r="K24" i="31" s="1"/>
  <c r="K25" i="31" s="1"/>
  <c r="J12" i="31"/>
  <c r="I12" i="31"/>
  <c r="I24" i="31" s="1"/>
  <c r="I25" i="31" s="1"/>
  <c r="H12" i="31"/>
  <c r="H24" i="31" s="1"/>
  <c r="H25" i="31" s="1"/>
  <c r="G12" i="31"/>
  <c r="G24" i="31" s="1"/>
  <c r="G25" i="31" s="1"/>
  <c r="F12" i="31"/>
  <c r="E12" i="31"/>
  <c r="E24" i="31" s="1"/>
  <c r="E25" i="31" s="1"/>
  <c r="D12" i="31"/>
  <c r="D24" i="31" s="1"/>
  <c r="D25" i="31" s="1"/>
  <c r="C12" i="31"/>
  <c r="C24" i="31" s="1"/>
  <c r="C25" i="31" s="1"/>
  <c r="B12" i="31"/>
  <c r="AG11" i="31"/>
  <c r="AH11" i="31" s="1"/>
  <c r="AG10" i="31"/>
  <c r="AH10" i="31" s="1"/>
  <c r="AG9" i="31"/>
  <c r="AH9" i="31" s="1"/>
  <c r="AG8" i="31"/>
  <c r="AH8" i="31" s="1"/>
  <c r="AG7" i="31"/>
  <c r="AH7" i="31" s="1"/>
  <c r="AH6" i="31"/>
  <c r="AG6" i="31"/>
  <c r="AG5" i="31"/>
  <c r="AJ4" i="31"/>
  <c r="B4" i="31"/>
  <c r="B3" i="31"/>
  <c r="C3" i="31" s="1"/>
  <c r="AF23" i="30"/>
  <c r="AE23" i="30"/>
  <c r="AD23" i="30"/>
  <c r="AD24" i="30" s="1"/>
  <c r="AD25" i="30" s="1"/>
  <c r="AC23" i="30"/>
  <c r="AB23" i="30"/>
  <c r="AA23" i="30"/>
  <c r="Z23" i="30"/>
  <c r="Z24" i="30" s="1"/>
  <c r="Z25" i="30" s="1"/>
  <c r="Y23" i="30"/>
  <c r="Y24" i="30" s="1"/>
  <c r="Y25" i="30" s="1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B23" i="30"/>
  <c r="AG22" i="30"/>
  <c r="AH22" i="30" s="1"/>
  <c r="AG21" i="30"/>
  <c r="AH21" i="30" s="1"/>
  <c r="AG20" i="30"/>
  <c r="AH20" i="30" s="1"/>
  <c r="AG19" i="30"/>
  <c r="AH19" i="30" s="1"/>
  <c r="AG18" i="30"/>
  <c r="AH18" i="30" s="1"/>
  <c r="AG17" i="30"/>
  <c r="AH17" i="30" s="1"/>
  <c r="AG16" i="30"/>
  <c r="AH16" i="30" s="1"/>
  <c r="AG15" i="30"/>
  <c r="AH15" i="30" s="1"/>
  <c r="AF12" i="30"/>
  <c r="AF24" i="30" s="1"/>
  <c r="AF25" i="30" s="1"/>
  <c r="AE12" i="30"/>
  <c r="AD12" i="30"/>
  <c r="AC12" i="30"/>
  <c r="AC24" i="30" s="1"/>
  <c r="AC25" i="30" s="1"/>
  <c r="AB12" i="30"/>
  <c r="AB24" i="30" s="1"/>
  <c r="AB25" i="30" s="1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J12" i="30"/>
  <c r="I12" i="30"/>
  <c r="H12" i="30"/>
  <c r="G12" i="30"/>
  <c r="F12" i="30"/>
  <c r="E12" i="30"/>
  <c r="D12" i="30"/>
  <c r="C12" i="30"/>
  <c r="B12" i="30"/>
  <c r="AG11" i="30"/>
  <c r="AH11" i="30" s="1"/>
  <c r="AG10" i="30"/>
  <c r="AH10" i="30" s="1"/>
  <c r="AG9" i="30"/>
  <c r="AH9" i="30" s="1"/>
  <c r="AG8" i="30"/>
  <c r="AH8" i="30" s="1"/>
  <c r="AG7" i="30"/>
  <c r="AH7" i="30" s="1"/>
  <c r="AG6" i="30"/>
  <c r="AH6" i="30" s="1"/>
  <c r="AG5" i="30"/>
  <c r="AH5" i="30" s="1"/>
  <c r="AJ4" i="30"/>
  <c r="B4" i="30"/>
  <c r="B3" i="30"/>
  <c r="C3" i="30" s="1"/>
  <c r="AE23" i="28"/>
  <c r="AD23" i="28"/>
  <c r="AC23" i="28"/>
  <c r="AB23" i="28"/>
  <c r="AA23" i="28"/>
  <c r="Z23" i="28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AF22" i="28"/>
  <c r="AG22" i="28" s="1"/>
  <c r="AF21" i="28"/>
  <c r="AG21" i="28" s="1"/>
  <c r="AF20" i="28"/>
  <c r="AG20" i="28" s="1"/>
  <c r="AF19" i="28"/>
  <c r="AG19" i="28" s="1"/>
  <c r="AF18" i="28"/>
  <c r="AG18" i="28" s="1"/>
  <c r="AF17" i="28"/>
  <c r="AG17" i="28" s="1"/>
  <c r="AF16" i="28"/>
  <c r="AG16" i="28" s="1"/>
  <c r="AF15" i="28"/>
  <c r="AG15" i="28" s="1"/>
  <c r="AE12" i="28"/>
  <c r="AD12" i="28"/>
  <c r="AC12" i="28"/>
  <c r="AB12" i="28"/>
  <c r="AA12" i="28"/>
  <c r="Z12" i="28"/>
  <c r="Y12" i="28"/>
  <c r="Y24" i="28" s="1"/>
  <c r="Y25" i="28" s="1"/>
  <c r="X12" i="28"/>
  <c r="W12" i="28"/>
  <c r="V12" i="28"/>
  <c r="U12" i="28"/>
  <c r="T12" i="28"/>
  <c r="S12" i="28"/>
  <c r="R12" i="28"/>
  <c r="Q12" i="28"/>
  <c r="P12" i="28"/>
  <c r="O12" i="28"/>
  <c r="N12" i="28"/>
  <c r="M12" i="28"/>
  <c r="L12" i="28"/>
  <c r="K12" i="28"/>
  <c r="J12" i="28"/>
  <c r="I12" i="28"/>
  <c r="H12" i="28"/>
  <c r="G12" i="28"/>
  <c r="F12" i="28"/>
  <c r="E12" i="28"/>
  <c r="D12" i="28"/>
  <c r="C12" i="28"/>
  <c r="B12" i="28"/>
  <c r="AF11" i="28"/>
  <c r="AG11" i="28" s="1"/>
  <c r="AF10" i="28"/>
  <c r="AG10" i="28" s="1"/>
  <c r="AF9" i="28"/>
  <c r="AG9" i="28" s="1"/>
  <c r="AF8" i="28"/>
  <c r="AG8" i="28" s="1"/>
  <c r="AF7" i="28"/>
  <c r="AF6" i="28"/>
  <c r="AG6" i="28" s="1"/>
  <c r="AF5" i="28"/>
  <c r="AG5" i="28" s="1"/>
  <c r="AI4" i="28"/>
  <c r="B3" i="28"/>
  <c r="B4" i="28" s="1"/>
  <c r="AF23" i="27"/>
  <c r="AE23" i="27"/>
  <c r="AD23" i="27"/>
  <c r="AC23" i="27"/>
  <c r="AB23" i="27"/>
  <c r="AA23" i="27"/>
  <c r="Z23" i="27"/>
  <c r="Y23" i="27"/>
  <c r="X23" i="27"/>
  <c r="W23" i="27"/>
  <c r="V23" i="27"/>
  <c r="U23" i="27"/>
  <c r="T23" i="27"/>
  <c r="S23" i="27"/>
  <c r="R23" i="27"/>
  <c r="Q23" i="27"/>
  <c r="P23" i="27"/>
  <c r="O23" i="27"/>
  <c r="N23" i="27"/>
  <c r="M23" i="27"/>
  <c r="L23" i="27"/>
  <c r="K23" i="27"/>
  <c r="J23" i="27"/>
  <c r="I23" i="27"/>
  <c r="H23" i="27"/>
  <c r="G23" i="27"/>
  <c r="F23" i="27"/>
  <c r="E23" i="27"/>
  <c r="D23" i="27"/>
  <c r="C23" i="27"/>
  <c r="B23" i="27"/>
  <c r="AG22" i="27"/>
  <c r="AH22" i="27" s="1"/>
  <c r="AG21" i="27"/>
  <c r="AH21" i="27" s="1"/>
  <c r="AG20" i="27"/>
  <c r="AH20" i="27" s="1"/>
  <c r="AG19" i="27"/>
  <c r="AH19" i="27" s="1"/>
  <c r="AG18" i="27"/>
  <c r="AH18" i="27" s="1"/>
  <c r="AG17" i="27"/>
  <c r="AH17" i="27" s="1"/>
  <c r="AG16" i="27"/>
  <c r="AH16" i="27" s="1"/>
  <c r="AG15" i="27"/>
  <c r="AH15" i="27" s="1"/>
  <c r="AF12" i="27"/>
  <c r="AF24" i="27" s="1"/>
  <c r="AF25" i="27" s="1"/>
  <c r="AE12" i="27"/>
  <c r="AD12" i="27"/>
  <c r="AC12" i="27"/>
  <c r="AB12" i="27"/>
  <c r="AA12" i="27"/>
  <c r="Z12" i="27"/>
  <c r="Y12" i="27"/>
  <c r="X12" i="27"/>
  <c r="W12" i="27"/>
  <c r="V12" i="27"/>
  <c r="U12" i="27"/>
  <c r="T12" i="27"/>
  <c r="S12" i="27"/>
  <c r="R12" i="27"/>
  <c r="Q12" i="27"/>
  <c r="P12" i="27"/>
  <c r="O12" i="27"/>
  <c r="N12" i="27"/>
  <c r="N24" i="27" s="1"/>
  <c r="N25" i="27" s="1"/>
  <c r="M12" i="27"/>
  <c r="L12" i="27"/>
  <c r="K12" i="27"/>
  <c r="J12" i="27"/>
  <c r="I12" i="27"/>
  <c r="H12" i="27"/>
  <c r="H24" i="27" s="1"/>
  <c r="H25" i="27" s="1"/>
  <c r="G12" i="27"/>
  <c r="F12" i="27"/>
  <c r="E12" i="27"/>
  <c r="D12" i="27"/>
  <c r="D24" i="27" s="1"/>
  <c r="D25" i="27" s="1"/>
  <c r="C12" i="27"/>
  <c r="C24" i="27" s="1"/>
  <c r="C25" i="27" s="1"/>
  <c r="B12" i="27"/>
  <c r="B24" i="27" s="1"/>
  <c r="B25" i="27" s="1"/>
  <c r="AG11" i="27"/>
  <c r="AH11" i="27" s="1"/>
  <c r="AG10" i="27"/>
  <c r="AH10" i="27" s="1"/>
  <c r="AG9" i="27"/>
  <c r="AH9" i="27" s="1"/>
  <c r="AG8" i="27"/>
  <c r="AH8" i="27" s="1"/>
  <c r="AG7" i="27"/>
  <c r="AH7" i="27" s="1"/>
  <c r="AG6" i="27"/>
  <c r="AH6" i="27" s="1"/>
  <c r="AG5" i="27"/>
  <c r="AH5" i="27" s="1"/>
  <c r="AJ4" i="27"/>
  <c r="B3" i="27"/>
  <c r="C3" i="27" s="1"/>
  <c r="AF23" i="26"/>
  <c r="AE23" i="26"/>
  <c r="AD23" i="26"/>
  <c r="AC23" i="26"/>
  <c r="AC24" i="26" s="1"/>
  <c r="AC25" i="26" s="1"/>
  <c r="AB23" i="26"/>
  <c r="AA23" i="26"/>
  <c r="Z23" i="26"/>
  <c r="Y23" i="26"/>
  <c r="X23" i="26"/>
  <c r="W23" i="26"/>
  <c r="V23" i="26"/>
  <c r="U23" i="26"/>
  <c r="T23" i="26"/>
  <c r="S23" i="26"/>
  <c r="R23" i="26"/>
  <c r="Q23" i="26"/>
  <c r="P23" i="26"/>
  <c r="O23" i="26"/>
  <c r="N23" i="26"/>
  <c r="M23" i="26"/>
  <c r="L23" i="26"/>
  <c r="K23" i="26"/>
  <c r="J23" i="26"/>
  <c r="I23" i="26"/>
  <c r="H23" i="26"/>
  <c r="G23" i="26"/>
  <c r="F23" i="26"/>
  <c r="E23" i="26"/>
  <c r="D23" i="26"/>
  <c r="C23" i="26"/>
  <c r="B23" i="26"/>
  <c r="AG22" i="26"/>
  <c r="AH22" i="26" s="1"/>
  <c r="AG21" i="26"/>
  <c r="AH21" i="26" s="1"/>
  <c r="AG20" i="26"/>
  <c r="AH20" i="26" s="1"/>
  <c r="AG19" i="26"/>
  <c r="AH19" i="26" s="1"/>
  <c r="AG18" i="26"/>
  <c r="AH18" i="26" s="1"/>
  <c r="AG17" i="26"/>
  <c r="AH17" i="26" s="1"/>
  <c r="AG16" i="26"/>
  <c r="AH16" i="26" s="1"/>
  <c r="AG15" i="26"/>
  <c r="AH15" i="26" s="1"/>
  <c r="AF12" i="26"/>
  <c r="AE12" i="26"/>
  <c r="AD12" i="26"/>
  <c r="AC12" i="26"/>
  <c r="AB12" i="26"/>
  <c r="AA12" i="26"/>
  <c r="Z12" i="26"/>
  <c r="Y12" i="26"/>
  <c r="X12" i="26"/>
  <c r="W12" i="26"/>
  <c r="W24" i="26" s="1"/>
  <c r="W25" i="26" s="1"/>
  <c r="V12" i="26"/>
  <c r="U12" i="26"/>
  <c r="T12" i="26"/>
  <c r="S12" i="26"/>
  <c r="R12" i="26"/>
  <c r="Q12" i="26"/>
  <c r="P12" i="26"/>
  <c r="P24" i="26" s="1"/>
  <c r="P25" i="26" s="1"/>
  <c r="O12" i="26"/>
  <c r="O24" i="26" s="1"/>
  <c r="O25" i="26" s="1"/>
  <c r="N12" i="26"/>
  <c r="M12" i="26"/>
  <c r="L12" i="26"/>
  <c r="K12" i="26"/>
  <c r="J12" i="26"/>
  <c r="I12" i="26"/>
  <c r="H12" i="26"/>
  <c r="G12" i="26"/>
  <c r="F12" i="26"/>
  <c r="E12" i="26"/>
  <c r="D12" i="26"/>
  <c r="C12" i="26"/>
  <c r="B12" i="26"/>
  <c r="AG11" i="26"/>
  <c r="AH11" i="26" s="1"/>
  <c r="AG10" i="26"/>
  <c r="AH10" i="26" s="1"/>
  <c r="AG9" i="26"/>
  <c r="AH9" i="26" s="1"/>
  <c r="AG8" i="26"/>
  <c r="AH8" i="26" s="1"/>
  <c r="AG7" i="26"/>
  <c r="AH7" i="26" s="1"/>
  <c r="AG6" i="26"/>
  <c r="AH6" i="26" s="1"/>
  <c r="AG5" i="26"/>
  <c r="AH5" i="26" s="1"/>
  <c r="AJ4" i="26"/>
  <c r="B3" i="26"/>
  <c r="C3" i="26" s="1"/>
  <c r="AF23" i="25"/>
  <c r="AE23" i="25"/>
  <c r="AD23" i="25"/>
  <c r="AC23" i="25"/>
  <c r="AB23" i="25"/>
  <c r="AA23" i="25"/>
  <c r="Z23" i="25"/>
  <c r="Y23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I23" i="25"/>
  <c r="H23" i="25"/>
  <c r="G23" i="25"/>
  <c r="F23" i="25"/>
  <c r="E23" i="25"/>
  <c r="D23" i="25"/>
  <c r="C23" i="25"/>
  <c r="B23" i="25"/>
  <c r="AG22" i="25"/>
  <c r="AH22" i="25" s="1"/>
  <c r="AG21" i="25"/>
  <c r="AH21" i="25" s="1"/>
  <c r="AG20" i="25"/>
  <c r="AH20" i="25" s="1"/>
  <c r="AG19" i="25"/>
  <c r="AH19" i="25" s="1"/>
  <c r="AG18" i="25"/>
  <c r="AH18" i="25" s="1"/>
  <c r="AG17" i="25"/>
  <c r="AH17" i="25" s="1"/>
  <c r="AG16" i="25"/>
  <c r="AH16" i="25" s="1"/>
  <c r="AG15" i="25"/>
  <c r="AH15" i="25" s="1"/>
  <c r="AF12" i="25"/>
  <c r="AE12" i="25"/>
  <c r="AD12" i="25"/>
  <c r="AD24" i="25" s="1"/>
  <c r="AD25" i="25" s="1"/>
  <c r="AC12" i="25"/>
  <c r="AB12" i="25"/>
  <c r="AA12" i="25"/>
  <c r="Z12" i="25"/>
  <c r="Y12" i="25"/>
  <c r="X12" i="25"/>
  <c r="W12" i="25"/>
  <c r="V12" i="25"/>
  <c r="U12" i="25"/>
  <c r="T12" i="25"/>
  <c r="S12" i="25"/>
  <c r="R12" i="25"/>
  <c r="Q12" i="25"/>
  <c r="P12" i="25"/>
  <c r="O12" i="25"/>
  <c r="N12" i="25"/>
  <c r="M12" i="25"/>
  <c r="L12" i="25"/>
  <c r="K12" i="25"/>
  <c r="J12" i="25"/>
  <c r="I12" i="25"/>
  <c r="H12" i="25"/>
  <c r="G12" i="25"/>
  <c r="F12" i="25"/>
  <c r="E12" i="25"/>
  <c r="D12" i="25"/>
  <c r="C12" i="25"/>
  <c r="B12" i="25"/>
  <c r="AG11" i="25"/>
  <c r="AH11" i="25" s="1"/>
  <c r="AG10" i="25"/>
  <c r="AH10" i="25" s="1"/>
  <c r="AG9" i="25"/>
  <c r="AH9" i="25" s="1"/>
  <c r="AG8" i="25"/>
  <c r="AH8" i="25" s="1"/>
  <c r="AG7" i="25"/>
  <c r="AH7" i="25" s="1"/>
  <c r="AG6" i="25"/>
  <c r="AH6" i="25" s="1"/>
  <c r="AG5" i="25"/>
  <c r="AH5" i="25" s="1"/>
  <c r="AJ4" i="25"/>
  <c r="C4" i="25"/>
  <c r="B4" i="25"/>
  <c r="D3" i="25"/>
  <c r="E3" i="25" s="1"/>
  <c r="C3" i="25"/>
  <c r="B3" i="25"/>
  <c r="AF23" i="24"/>
  <c r="AE23" i="24"/>
  <c r="AD23" i="24"/>
  <c r="AC23" i="24"/>
  <c r="AB23" i="24"/>
  <c r="AA23" i="24"/>
  <c r="Z23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B23" i="24"/>
  <c r="AG22" i="24"/>
  <c r="AH22" i="24" s="1"/>
  <c r="AG21" i="24"/>
  <c r="AH21" i="24" s="1"/>
  <c r="AG20" i="24"/>
  <c r="AH20" i="24" s="1"/>
  <c r="AG19" i="24"/>
  <c r="AH19" i="24" s="1"/>
  <c r="AG18" i="24"/>
  <c r="AH18" i="24" s="1"/>
  <c r="AG17" i="24"/>
  <c r="AH17" i="24" s="1"/>
  <c r="AG16" i="24"/>
  <c r="AH16" i="24" s="1"/>
  <c r="AG15" i="24"/>
  <c r="AH15" i="24" s="1"/>
  <c r="AF12" i="24"/>
  <c r="AE12" i="24"/>
  <c r="AD12" i="24"/>
  <c r="AC12" i="24"/>
  <c r="AB12" i="24"/>
  <c r="AA12" i="24"/>
  <c r="Z12" i="24"/>
  <c r="Y12" i="24"/>
  <c r="X12" i="24"/>
  <c r="W12" i="24"/>
  <c r="V12" i="24"/>
  <c r="U12" i="24"/>
  <c r="T12" i="24"/>
  <c r="S12" i="24"/>
  <c r="R12" i="24"/>
  <c r="Q12" i="24"/>
  <c r="P12" i="24"/>
  <c r="O12" i="24"/>
  <c r="N12" i="24"/>
  <c r="M12" i="24"/>
  <c r="L12" i="24"/>
  <c r="K12" i="24"/>
  <c r="J12" i="24"/>
  <c r="I12" i="24"/>
  <c r="H12" i="24"/>
  <c r="G12" i="24"/>
  <c r="F12" i="24"/>
  <c r="E12" i="24"/>
  <c r="D12" i="24"/>
  <c r="C12" i="24"/>
  <c r="B12" i="24"/>
  <c r="AG11" i="24"/>
  <c r="AH11" i="24" s="1"/>
  <c r="AG10" i="24"/>
  <c r="AH10" i="24" s="1"/>
  <c r="AG9" i="24"/>
  <c r="AH9" i="24" s="1"/>
  <c r="AG8" i="24"/>
  <c r="AH8" i="24" s="1"/>
  <c r="AG7" i="24"/>
  <c r="AH7" i="24" s="1"/>
  <c r="AG6" i="24"/>
  <c r="AH6" i="24" s="1"/>
  <c r="AG5" i="24"/>
  <c r="AH5" i="24" s="1"/>
  <c r="AJ4" i="24"/>
  <c r="B3" i="24"/>
  <c r="B4" i="24" s="1"/>
  <c r="AF24" i="23"/>
  <c r="AF25" i="23" s="1"/>
  <c r="AF23" i="23"/>
  <c r="AE23" i="23"/>
  <c r="AD23" i="23"/>
  <c r="AC23" i="23"/>
  <c r="AB23" i="23"/>
  <c r="AA23" i="23"/>
  <c r="Z23" i="23"/>
  <c r="Y23" i="23"/>
  <c r="X23" i="23"/>
  <c r="W23" i="23"/>
  <c r="V23" i="23"/>
  <c r="U23" i="23"/>
  <c r="T23" i="23"/>
  <c r="S23" i="23"/>
  <c r="R23" i="23"/>
  <c r="Q23" i="23"/>
  <c r="P23" i="23"/>
  <c r="O23" i="23"/>
  <c r="N23" i="23"/>
  <c r="M23" i="23"/>
  <c r="L23" i="23"/>
  <c r="K23" i="23"/>
  <c r="J23" i="23"/>
  <c r="I23" i="23"/>
  <c r="H23" i="23"/>
  <c r="G23" i="23"/>
  <c r="F23" i="23"/>
  <c r="E23" i="23"/>
  <c r="D23" i="23"/>
  <c r="C23" i="23"/>
  <c r="B23" i="23"/>
  <c r="AG22" i="23"/>
  <c r="AH22" i="23" s="1"/>
  <c r="AG21" i="23"/>
  <c r="AH21" i="23" s="1"/>
  <c r="AG20" i="23"/>
  <c r="AH20" i="23" s="1"/>
  <c r="AG19" i="23"/>
  <c r="AH19" i="23" s="1"/>
  <c r="AG18" i="23"/>
  <c r="AH18" i="23" s="1"/>
  <c r="AG17" i="23"/>
  <c r="AH17" i="23" s="1"/>
  <c r="AG16" i="23"/>
  <c r="AH16" i="23" s="1"/>
  <c r="AG15" i="23"/>
  <c r="AF12" i="23"/>
  <c r="AE12" i="23"/>
  <c r="AD12" i="23"/>
  <c r="AC12" i="23"/>
  <c r="AB12" i="23"/>
  <c r="AA12" i="23"/>
  <c r="Z12" i="23"/>
  <c r="Y12" i="23"/>
  <c r="X12" i="23"/>
  <c r="W12" i="23"/>
  <c r="V12" i="23"/>
  <c r="U12" i="23"/>
  <c r="T12" i="23"/>
  <c r="S12" i="23"/>
  <c r="R12" i="23"/>
  <c r="Q12" i="23"/>
  <c r="P12" i="23"/>
  <c r="O12" i="23"/>
  <c r="N12" i="23"/>
  <c r="M12" i="23"/>
  <c r="L12" i="23"/>
  <c r="K12" i="23"/>
  <c r="J12" i="23"/>
  <c r="I12" i="23"/>
  <c r="H12" i="23"/>
  <c r="G12" i="23"/>
  <c r="F12" i="23"/>
  <c r="E12" i="23"/>
  <c r="D12" i="23"/>
  <c r="C12" i="23"/>
  <c r="B12" i="23"/>
  <c r="AG11" i="23"/>
  <c r="AH11" i="23" s="1"/>
  <c r="AG10" i="23"/>
  <c r="AH10" i="23" s="1"/>
  <c r="AG9" i="23"/>
  <c r="AH9" i="23" s="1"/>
  <c r="AG8" i="23"/>
  <c r="AH8" i="23" s="1"/>
  <c r="AG7" i="23"/>
  <c r="AH7" i="23" s="1"/>
  <c r="AG6" i="23"/>
  <c r="AH6" i="23" s="1"/>
  <c r="AG5" i="23"/>
  <c r="AH5" i="23" s="1"/>
  <c r="AJ4" i="23"/>
  <c r="B3" i="23"/>
  <c r="C3" i="23" s="1"/>
  <c r="AF23" i="22"/>
  <c r="AE23" i="22"/>
  <c r="AD23" i="22"/>
  <c r="AC23" i="22"/>
  <c r="AB23" i="22"/>
  <c r="AA23" i="22"/>
  <c r="Z23" i="22"/>
  <c r="Y23" i="22"/>
  <c r="X23" i="22"/>
  <c r="W23" i="22"/>
  <c r="V23" i="22"/>
  <c r="U23" i="22"/>
  <c r="T23" i="22"/>
  <c r="S23" i="22"/>
  <c r="R23" i="22"/>
  <c r="Q23" i="22"/>
  <c r="P23" i="22"/>
  <c r="O23" i="22"/>
  <c r="N23" i="22"/>
  <c r="M23" i="22"/>
  <c r="L23" i="22"/>
  <c r="K23" i="22"/>
  <c r="J23" i="22"/>
  <c r="I23" i="22"/>
  <c r="H23" i="22"/>
  <c r="G23" i="22"/>
  <c r="F23" i="22"/>
  <c r="E23" i="22"/>
  <c r="D23" i="22"/>
  <c r="C23" i="22"/>
  <c r="B23" i="22"/>
  <c r="AG22" i="22"/>
  <c r="AH22" i="22" s="1"/>
  <c r="AG21" i="22"/>
  <c r="AH21" i="22" s="1"/>
  <c r="AG20" i="22"/>
  <c r="AG19" i="22"/>
  <c r="AH19" i="22" s="1"/>
  <c r="AG18" i="22"/>
  <c r="AH18" i="22" s="1"/>
  <c r="AG17" i="22"/>
  <c r="AH17" i="22" s="1"/>
  <c r="AG16" i="22"/>
  <c r="AH16" i="22" s="1"/>
  <c r="AG15" i="22"/>
  <c r="AH15" i="22" s="1"/>
  <c r="AF12" i="22"/>
  <c r="AE12" i="22"/>
  <c r="AD12" i="22"/>
  <c r="AC12" i="22"/>
  <c r="AB12" i="22"/>
  <c r="AA12" i="22"/>
  <c r="Z12" i="22"/>
  <c r="Y12" i="22"/>
  <c r="X12" i="22"/>
  <c r="W12" i="22"/>
  <c r="V12" i="22"/>
  <c r="U12" i="22"/>
  <c r="T12" i="22"/>
  <c r="S12" i="22"/>
  <c r="R12" i="22"/>
  <c r="Q12" i="22"/>
  <c r="P12" i="22"/>
  <c r="O12" i="22"/>
  <c r="N12" i="22"/>
  <c r="M12" i="22"/>
  <c r="L12" i="22"/>
  <c r="K12" i="22"/>
  <c r="J12" i="22"/>
  <c r="I12" i="22"/>
  <c r="H12" i="22"/>
  <c r="G12" i="22"/>
  <c r="F12" i="22"/>
  <c r="E12" i="22"/>
  <c r="D12" i="22"/>
  <c r="C12" i="22"/>
  <c r="B12" i="22"/>
  <c r="AG11" i="22"/>
  <c r="AH11" i="22" s="1"/>
  <c r="AG10" i="22"/>
  <c r="AH10" i="22" s="1"/>
  <c r="AG9" i="22"/>
  <c r="AG8" i="22"/>
  <c r="AH8" i="22" s="1"/>
  <c r="AG7" i="22"/>
  <c r="AH7" i="22" s="1"/>
  <c r="AG6" i="22"/>
  <c r="AH6" i="22" s="1"/>
  <c r="AG5" i="22"/>
  <c r="AH5" i="22" s="1"/>
  <c r="AJ4" i="22"/>
  <c r="B3" i="22"/>
  <c r="C3" i="22" s="1"/>
  <c r="AG20" i="20"/>
  <c r="AH20" i="20" s="1"/>
  <c r="AF23" i="21"/>
  <c r="AE23" i="21"/>
  <c r="AD23" i="21"/>
  <c r="AC23" i="21"/>
  <c r="AB23" i="21"/>
  <c r="AA23" i="21"/>
  <c r="Z23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AG22" i="21"/>
  <c r="AH22" i="21" s="1"/>
  <c r="AG21" i="21"/>
  <c r="AH21" i="21" s="1"/>
  <c r="AG20" i="21"/>
  <c r="AH20" i="21" s="1"/>
  <c r="AG19" i="21"/>
  <c r="AH19" i="21" s="1"/>
  <c r="AG18" i="21"/>
  <c r="AG17" i="21"/>
  <c r="AH17" i="21" s="1"/>
  <c r="AG16" i="21"/>
  <c r="AH16" i="21" s="1"/>
  <c r="AG15" i="21"/>
  <c r="AH15" i="21" s="1"/>
  <c r="AF12" i="21"/>
  <c r="AF24" i="21" s="1"/>
  <c r="AF25" i="21" s="1"/>
  <c r="AE12" i="21"/>
  <c r="AD12" i="21"/>
  <c r="AC12" i="21"/>
  <c r="AB12" i="21"/>
  <c r="AA12" i="21"/>
  <c r="Z12" i="21"/>
  <c r="Y12" i="21"/>
  <c r="X12" i="21"/>
  <c r="W12" i="21"/>
  <c r="V12" i="21"/>
  <c r="U12" i="21"/>
  <c r="T12" i="21"/>
  <c r="S12" i="21"/>
  <c r="R12" i="21"/>
  <c r="Q12" i="21"/>
  <c r="P12" i="21"/>
  <c r="O12" i="21"/>
  <c r="N12" i="21"/>
  <c r="M12" i="21"/>
  <c r="L12" i="21"/>
  <c r="K12" i="21"/>
  <c r="J12" i="21"/>
  <c r="I12" i="21"/>
  <c r="H12" i="21"/>
  <c r="G12" i="21"/>
  <c r="F12" i="21"/>
  <c r="E12" i="21"/>
  <c r="D12" i="21"/>
  <c r="C12" i="21"/>
  <c r="B12" i="21"/>
  <c r="AG11" i="21"/>
  <c r="AH11" i="21" s="1"/>
  <c r="AG10" i="21"/>
  <c r="AH10" i="21" s="1"/>
  <c r="AG9" i="21"/>
  <c r="AG8" i="21"/>
  <c r="AH8" i="21" s="1"/>
  <c r="AG7" i="21"/>
  <c r="AH7" i="21" s="1"/>
  <c r="AG6" i="21"/>
  <c r="AH6" i="21" s="1"/>
  <c r="AG5" i="21"/>
  <c r="AH5" i="21" s="1"/>
  <c r="AJ4" i="21"/>
  <c r="B3" i="21"/>
  <c r="B4" i="21" s="1"/>
  <c r="AF23" i="20"/>
  <c r="AE23" i="20"/>
  <c r="AD23" i="20"/>
  <c r="AC23" i="20"/>
  <c r="AB23" i="20"/>
  <c r="AA23" i="20"/>
  <c r="Z23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B23" i="20"/>
  <c r="AG22" i="20"/>
  <c r="AH22" i="20" s="1"/>
  <c r="AG21" i="20"/>
  <c r="AH21" i="20" s="1"/>
  <c r="AG19" i="20"/>
  <c r="AH19" i="20" s="1"/>
  <c r="AG18" i="20"/>
  <c r="AH18" i="20" s="1"/>
  <c r="AG17" i="20"/>
  <c r="AH17" i="20" s="1"/>
  <c r="AG16" i="20"/>
  <c r="AH16" i="20" s="1"/>
  <c r="AG15" i="20"/>
  <c r="AH15" i="20" s="1"/>
  <c r="AF12" i="20"/>
  <c r="AE12" i="20"/>
  <c r="AD12" i="20"/>
  <c r="AC12" i="20"/>
  <c r="AB12" i="20"/>
  <c r="AA12" i="20"/>
  <c r="Z12" i="20"/>
  <c r="Y12" i="20"/>
  <c r="X12" i="20"/>
  <c r="W12" i="20"/>
  <c r="V12" i="20"/>
  <c r="U12" i="20"/>
  <c r="T12" i="20"/>
  <c r="S12" i="20"/>
  <c r="R12" i="20"/>
  <c r="Q12" i="20"/>
  <c r="P12" i="20"/>
  <c r="O12" i="20"/>
  <c r="N12" i="20"/>
  <c r="M12" i="20"/>
  <c r="L12" i="20"/>
  <c r="K12" i="20"/>
  <c r="J12" i="20"/>
  <c r="I12" i="20"/>
  <c r="H12" i="20"/>
  <c r="G12" i="20"/>
  <c r="F12" i="20"/>
  <c r="E12" i="20"/>
  <c r="D12" i="20"/>
  <c r="C12" i="20"/>
  <c r="B12" i="20"/>
  <c r="AG11" i="20"/>
  <c r="AH11" i="20" s="1"/>
  <c r="AG10" i="20"/>
  <c r="AH10" i="20" s="1"/>
  <c r="AG9" i="20"/>
  <c r="AH9" i="20" s="1"/>
  <c r="AG8" i="20"/>
  <c r="AH8" i="20" s="1"/>
  <c r="AG7" i="20"/>
  <c r="AH7" i="20" s="1"/>
  <c r="AG6" i="20"/>
  <c r="AH6" i="20" s="1"/>
  <c r="AG5" i="20"/>
  <c r="AH5" i="20" s="1"/>
  <c r="AJ4" i="20"/>
  <c r="B3" i="20"/>
  <c r="C3" i="20" s="1"/>
  <c r="AF23" i="19"/>
  <c r="AE23" i="19"/>
  <c r="AD23" i="19"/>
  <c r="AC23" i="19"/>
  <c r="AB23" i="19"/>
  <c r="AA23" i="19"/>
  <c r="Z23" i="19"/>
  <c r="Y23" i="19"/>
  <c r="X23" i="19"/>
  <c r="W23" i="19"/>
  <c r="V23" i="19"/>
  <c r="U23" i="19"/>
  <c r="T23" i="19"/>
  <c r="S23" i="19"/>
  <c r="R23" i="19"/>
  <c r="Q23" i="19"/>
  <c r="P23" i="19"/>
  <c r="O23" i="19"/>
  <c r="N23" i="19"/>
  <c r="M23" i="19"/>
  <c r="L23" i="19"/>
  <c r="K23" i="19"/>
  <c r="J23" i="19"/>
  <c r="I23" i="19"/>
  <c r="H23" i="19"/>
  <c r="G23" i="19"/>
  <c r="F23" i="19"/>
  <c r="E23" i="19"/>
  <c r="D23" i="19"/>
  <c r="C23" i="19"/>
  <c r="B23" i="19"/>
  <c r="AG22" i="19"/>
  <c r="AH22" i="19" s="1"/>
  <c r="AG21" i="19"/>
  <c r="AH21" i="19" s="1"/>
  <c r="AG20" i="19"/>
  <c r="AH20" i="19" s="1"/>
  <c r="AG19" i="19"/>
  <c r="AH19" i="19" s="1"/>
  <c r="AG18" i="19"/>
  <c r="AH18" i="19" s="1"/>
  <c r="AG17" i="19"/>
  <c r="AH17" i="19" s="1"/>
  <c r="AG16" i="19"/>
  <c r="AH16" i="19" s="1"/>
  <c r="AG15" i="19"/>
  <c r="AH15" i="19" s="1"/>
  <c r="AF12" i="19"/>
  <c r="AF24" i="19" s="1"/>
  <c r="AF25" i="19" s="1"/>
  <c r="AE12" i="19"/>
  <c r="AD12" i="19"/>
  <c r="AC12" i="19"/>
  <c r="AB12" i="19"/>
  <c r="AA12" i="19"/>
  <c r="Z12" i="19"/>
  <c r="Y12" i="19"/>
  <c r="X12" i="19"/>
  <c r="W12" i="19"/>
  <c r="V12" i="19"/>
  <c r="U12" i="19"/>
  <c r="T12" i="19"/>
  <c r="S12" i="19"/>
  <c r="R12" i="19"/>
  <c r="Q12" i="19"/>
  <c r="P12" i="19"/>
  <c r="O12" i="19"/>
  <c r="N12" i="19"/>
  <c r="M12" i="19"/>
  <c r="L12" i="19"/>
  <c r="K12" i="19"/>
  <c r="J12" i="19"/>
  <c r="I12" i="19"/>
  <c r="H12" i="19"/>
  <c r="G12" i="19"/>
  <c r="F12" i="19"/>
  <c r="E12" i="19"/>
  <c r="D12" i="19"/>
  <c r="D24" i="19" s="1"/>
  <c r="D25" i="19" s="1"/>
  <c r="C12" i="19"/>
  <c r="B12" i="19"/>
  <c r="AG11" i="19"/>
  <c r="AH11" i="19" s="1"/>
  <c r="AG10" i="19"/>
  <c r="AH10" i="19" s="1"/>
  <c r="AG9" i="19"/>
  <c r="AH9" i="19" s="1"/>
  <c r="AG8" i="19"/>
  <c r="AH8" i="19" s="1"/>
  <c r="AG7" i="19"/>
  <c r="AH7" i="19" s="1"/>
  <c r="AG6" i="19"/>
  <c r="AH6" i="19" s="1"/>
  <c r="AG5" i="19"/>
  <c r="AH5" i="19" s="1"/>
  <c r="AJ4" i="19"/>
  <c r="B3" i="19"/>
  <c r="C3" i="19" s="1"/>
  <c r="AF23" i="18"/>
  <c r="AE23" i="18"/>
  <c r="AD23" i="18"/>
  <c r="AC23" i="18"/>
  <c r="AB23" i="18"/>
  <c r="AA23" i="18"/>
  <c r="Z23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AG22" i="18"/>
  <c r="AH22" i="18" s="1"/>
  <c r="AG21" i="18"/>
  <c r="AH21" i="18" s="1"/>
  <c r="AG20" i="18"/>
  <c r="AH20" i="18" s="1"/>
  <c r="AG19" i="18"/>
  <c r="AH19" i="18" s="1"/>
  <c r="AG18" i="18"/>
  <c r="AH18" i="18" s="1"/>
  <c r="AG17" i="18"/>
  <c r="AH17" i="18" s="1"/>
  <c r="AG16" i="18"/>
  <c r="AH16" i="18" s="1"/>
  <c r="AG15" i="18"/>
  <c r="AH15" i="18" s="1"/>
  <c r="AF12" i="18"/>
  <c r="AE12" i="18"/>
  <c r="AD12" i="18"/>
  <c r="AC12" i="18"/>
  <c r="AB12" i="18"/>
  <c r="AA12" i="18"/>
  <c r="Z12" i="18"/>
  <c r="Y12" i="18"/>
  <c r="X12" i="18"/>
  <c r="W12" i="18"/>
  <c r="V12" i="18"/>
  <c r="U12" i="18"/>
  <c r="T12" i="18"/>
  <c r="S12" i="18"/>
  <c r="R12" i="18"/>
  <c r="Q12" i="18"/>
  <c r="P12" i="18"/>
  <c r="O12" i="18"/>
  <c r="N12" i="18"/>
  <c r="M12" i="18"/>
  <c r="L12" i="18"/>
  <c r="K12" i="18"/>
  <c r="J12" i="18"/>
  <c r="I12" i="18"/>
  <c r="H12" i="18"/>
  <c r="G12" i="18"/>
  <c r="F12" i="18"/>
  <c r="E12" i="18"/>
  <c r="D12" i="18"/>
  <c r="C12" i="18"/>
  <c r="B12" i="18"/>
  <c r="AG11" i="18"/>
  <c r="AH11" i="18" s="1"/>
  <c r="AG10" i="18"/>
  <c r="AH10" i="18" s="1"/>
  <c r="AG9" i="18"/>
  <c r="AH9" i="18" s="1"/>
  <c r="AG8" i="18"/>
  <c r="AH8" i="18" s="1"/>
  <c r="AG7" i="18"/>
  <c r="AG6" i="18"/>
  <c r="AH6" i="18" s="1"/>
  <c r="AG5" i="18"/>
  <c r="AH5" i="18" s="1"/>
  <c r="AJ4" i="18"/>
  <c r="B3" i="18"/>
  <c r="C3" i="18" s="1"/>
  <c r="AF23" i="17"/>
  <c r="AF24" i="17"/>
  <c r="AF25" i="17" s="1"/>
  <c r="AE23" i="17"/>
  <c r="AD23" i="17"/>
  <c r="AC23" i="17"/>
  <c r="AB23" i="17"/>
  <c r="AA23" i="17"/>
  <c r="Z23" i="17"/>
  <c r="Y23" i="17"/>
  <c r="Y24" i="17" s="1"/>
  <c r="Y25" i="17" s="1"/>
  <c r="X23" i="17"/>
  <c r="W23" i="17"/>
  <c r="V23" i="17"/>
  <c r="U23" i="17"/>
  <c r="T23" i="17"/>
  <c r="S23" i="17"/>
  <c r="R23" i="17"/>
  <c r="Q23" i="17"/>
  <c r="P23" i="17"/>
  <c r="O23" i="17"/>
  <c r="N23" i="17"/>
  <c r="M23" i="17"/>
  <c r="M24" i="17" s="1"/>
  <c r="M25" i="17" s="1"/>
  <c r="L23" i="17"/>
  <c r="K23" i="17"/>
  <c r="J23" i="17"/>
  <c r="I23" i="17"/>
  <c r="H23" i="17"/>
  <c r="G23" i="17"/>
  <c r="F23" i="17"/>
  <c r="E23" i="17"/>
  <c r="D23" i="17"/>
  <c r="C23" i="17"/>
  <c r="B23" i="17"/>
  <c r="AG22" i="17"/>
  <c r="AH22" i="17" s="1"/>
  <c r="AG21" i="17"/>
  <c r="AH21" i="17" s="1"/>
  <c r="AG20" i="17"/>
  <c r="AH20" i="17" s="1"/>
  <c r="AG19" i="17"/>
  <c r="AH19" i="17" s="1"/>
  <c r="AG18" i="17"/>
  <c r="AH18" i="17" s="1"/>
  <c r="AG17" i="17"/>
  <c r="AH17" i="17" s="1"/>
  <c r="AG16" i="17"/>
  <c r="AH16" i="17" s="1"/>
  <c r="AG15" i="17"/>
  <c r="AH15" i="17" s="1"/>
  <c r="AF12" i="17"/>
  <c r="AE12" i="17"/>
  <c r="AD12" i="17"/>
  <c r="AC12" i="17"/>
  <c r="AC24" i="17" s="1"/>
  <c r="AC25" i="17" s="1"/>
  <c r="AB12" i="17"/>
  <c r="AA12" i="17"/>
  <c r="Z12" i="17"/>
  <c r="Y12" i="17"/>
  <c r="X12" i="17"/>
  <c r="X24" i="17" s="1"/>
  <c r="X25" i="17" s="1"/>
  <c r="W12" i="17"/>
  <c r="V12" i="17"/>
  <c r="U12" i="17"/>
  <c r="T12" i="17"/>
  <c r="S12" i="17"/>
  <c r="R12" i="17"/>
  <c r="Q12" i="17"/>
  <c r="P12" i="17"/>
  <c r="O12" i="17"/>
  <c r="N12" i="17"/>
  <c r="M12" i="17"/>
  <c r="L12" i="17"/>
  <c r="L24" i="17"/>
  <c r="L25" i="17"/>
  <c r="K12" i="17"/>
  <c r="K24" i="17"/>
  <c r="K25" i="17"/>
  <c r="J12" i="17"/>
  <c r="I12" i="17"/>
  <c r="H12" i="17"/>
  <c r="G12" i="17"/>
  <c r="F12" i="17"/>
  <c r="E12" i="17"/>
  <c r="D12" i="17"/>
  <c r="C12" i="17"/>
  <c r="B12" i="17"/>
  <c r="AG11" i="17"/>
  <c r="AH11" i="17" s="1"/>
  <c r="AG10" i="17"/>
  <c r="AH10" i="17" s="1"/>
  <c r="AG9" i="17"/>
  <c r="AH9" i="17" s="1"/>
  <c r="AG8" i="17"/>
  <c r="AH8" i="17" s="1"/>
  <c r="AG7" i="17"/>
  <c r="AH7" i="17" s="1"/>
  <c r="AG6" i="17"/>
  <c r="AH6" i="17" s="1"/>
  <c r="AG5" i="17"/>
  <c r="AH5" i="17"/>
  <c r="AJ4" i="17"/>
  <c r="B3" i="17"/>
  <c r="C3" i="17"/>
  <c r="B12" i="16"/>
  <c r="AE23" i="16"/>
  <c r="AD23" i="16"/>
  <c r="AC23" i="16"/>
  <c r="AB23" i="16"/>
  <c r="AA23" i="16"/>
  <c r="Z23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B23" i="16"/>
  <c r="AF22" i="16"/>
  <c r="AG22" i="16"/>
  <c r="AF21" i="16"/>
  <c r="AG21" i="16"/>
  <c r="AF20" i="16"/>
  <c r="AG20" i="16"/>
  <c r="AF19" i="16"/>
  <c r="AG19" i="16"/>
  <c r="AF18" i="16"/>
  <c r="AG18" i="16"/>
  <c r="AF17" i="16"/>
  <c r="AF16" i="16"/>
  <c r="AG16" i="16"/>
  <c r="AF15" i="16"/>
  <c r="AG15" i="16"/>
  <c r="AE12" i="16"/>
  <c r="AD12" i="16"/>
  <c r="AC12" i="16"/>
  <c r="AB12" i="16"/>
  <c r="AA12" i="16"/>
  <c r="Z12" i="16"/>
  <c r="Y12" i="16"/>
  <c r="X12" i="16"/>
  <c r="W12" i="16"/>
  <c r="V12" i="16"/>
  <c r="U12" i="16"/>
  <c r="T12" i="16"/>
  <c r="S12" i="16"/>
  <c r="R12" i="16"/>
  <c r="Q12" i="16"/>
  <c r="P12" i="16"/>
  <c r="O12" i="16"/>
  <c r="N12" i="16"/>
  <c r="M12" i="16"/>
  <c r="L12" i="16"/>
  <c r="K12" i="16"/>
  <c r="J12" i="16"/>
  <c r="I12" i="16"/>
  <c r="H12" i="16"/>
  <c r="G12" i="16"/>
  <c r="F12" i="16"/>
  <c r="E12" i="16"/>
  <c r="D12" i="16"/>
  <c r="C12" i="16"/>
  <c r="AF11" i="16"/>
  <c r="AG11" i="16"/>
  <c r="AF10" i="16"/>
  <c r="AG10" i="16"/>
  <c r="AF9" i="16"/>
  <c r="AG9" i="16"/>
  <c r="AF8" i="16"/>
  <c r="AG8" i="16"/>
  <c r="AF7" i="16"/>
  <c r="AF6" i="16"/>
  <c r="AG6" i="16"/>
  <c r="AF5" i="16"/>
  <c r="AG5" i="16"/>
  <c r="AI4" i="16"/>
  <c r="B3" i="16"/>
  <c r="C3" i="16"/>
  <c r="AG16" i="15"/>
  <c r="AH16" i="15"/>
  <c r="AG17" i="15"/>
  <c r="AH17" i="15"/>
  <c r="AG18" i="15"/>
  <c r="AH18" i="15"/>
  <c r="AG19" i="15"/>
  <c r="AH19" i="15"/>
  <c r="AG20" i="15"/>
  <c r="AH20" i="15"/>
  <c r="AG21" i="15"/>
  <c r="AH21" i="15"/>
  <c r="AG22" i="15"/>
  <c r="AH22" i="15"/>
  <c r="AG15" i="15"/>
  <c r="AH15" i="15"/>
  <c r="AG6" i="15"/>
  <c r="AH6" i="15"/>
  <c r="AG7" i="15"/>
  <c r="AH7" i="15"/>
  <c r="AG8" i="15"/>
  <c r="AH8" i="15"/>
  <c r="AG9" i="15"/>
  <c r="AG10" i="15"/>
  <c r="AH10" i="15"/>
  <c r="AG11" i="15"/>
  <c r="AH11" i="15"/>
  <c r="AG5" i="15"/>
  <c r="AH5" i="15"/>
  <c r="AF3" i="15"/>
  <c r="AF4" i="15"/>
  <c r="AF12" i="15"/>
  <c r="AF23" i="15"/>
  <c r="AE23" i="15"/>
  <c r="AD23" i="15"/>
  <c r="AC23" i="15"/>
  <c r="AB23" i="15"/>
  <c r="AA23" i="15"/>
  <c r="Z23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E12" i="15"/>
  <c r="AD12" i="15"/>
  <c r="AC12" i="15"/>
  <c r="AB12" i="15"/>
  <c r="AA12" i="15"/>
  <c r="Z12" i="15"/>
  <c r="Y12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J4" i="15"/>
  <c r="B3" i="15"/>
  <c r="B4" i="15"/>
  <c r="AF5" i="14"/>
  <c r="AG5" i="14"/>
  <c r="AE23" i="14"/>
  <c r="AD23" i="14"/>
  <c r="AC23" i="14"/>
  <c r="AB23" i="14"/>
  <c r="AA23" i="14"/>
  <c r="Z23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AF22" i="14"/>
  <c r="AG22" i="14"/>
  <c r="AF21" i="14"/>
  <c r="AG21" i="14"/>
  <c r="AF20" i="14"/>
  <c r="AG20" i="14"/>
  <c r="AF19" i="14"/>
  <c r="AG19" i="14"/>
  <c r="AF18" i="14"/>
  <c r="AG18" i="14"/>
  <c r="AF17" i="14"/>
  <c r="AG17" i="14"/>
  <c r="AF16" i="14"/>
  <c r="AG16" i="14"/>
  <c r="AF15" i="14"/>
  <c r="AE12" i="14"/>
  <c r="AD12" i="14"/>
  <c r="AC12" i="14"/>
  <c r="AB12" i="14"/>
  <c r="AA12" i="14"/>
  <c r="Z12" i="14"/>
  <c r="Y12" i="14"/>
  <c r="X12" i="14"/>
  <c r="W12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J12" i="14"/>
  <c r="I12" i="14"/>
  <c r="H12" i="14"/>
  <c r="G12" i="14"/>
  <c r="F12" i="14"/>
  <c r="E12" i="14"/>
  <c r="D12" i="14"/>
  <c r="C12" i="14"/>
  <c r="B12" i="14"/>
  <c r="AF11" i="14"/>
  <c r="AG11" i="14"/>
  <c r="AF10" i="14"/>
  <c r="AG10" i="14"/>
  <c r="AF9" i="14"/>
  <c r="AG9" i="14"/>
  <c r="AF8" i="14"/>
  <c r="AG8" i="14"/>
  <c r="AF7" i="14"/>
  <c r="AG7" i="14"/>
  <c r="AF6" i="14"/>
  <c r="AG6" i="14"/>
  <c r="AI4" i="14"/>
  <c r="B3" i="14"/>
  <c r="C3" i="14"/>
  <c r="I12" i="13"/>
  <c r="J24" i="17"/>
  <c r="J25" i="17"/>
  <c r="X24" i="16"/>
  <c r="X25" i="16"/>
  <c r="H24" i="17"/>
  <c r="H25" i="17"/>
  <c r="I24" i="17"/>
  <c r="I25" i="17"/>
  <c r="E24" i="17"/>
  <c r="E25" i="17"/>
  <c r="F24" i="17"/>
  <c r="F25" i="17"/>
  <c r="B24" i="17"/>
  <c r="B25" i="17"/>
  <c r="C24" i="17"/>
  <c r="C25" i="17"/>
  <c r="B4" i="17"/>
  <c r="D24" i="17"/>
  <c r="D25" i="17"/>
  <c r="G24" i="17"/>
  <c r="G25" i="17"/>
  <c r="C4" i="17"/>
  <c r="D3" i="17"/>
  <c r="Y24" i="16"/>
  <c r="Y25" i="16"/>
  <c r="V24" i="16"/>
  <c r="V25" i="16"/>
  <c r="W24" i="16"/>
  <c r="W25" i="16"/>
  <c r="U24" i="16"/>
  <c r="U25" i="16"/>
  <c r="AD24" i="16"/>
  <c r="AD25" i="16"/>
  <c r="AA24" i="16"/>
  <c r="AA25" i="16"/>
  <c r="AB24" i="16"/>
  <c r="AB25" i="16"/>
  <c r="AC24" i="16"/>
  <c r="AC25" i="16"/>
  <c r="AE24" i="16"/>
  <c r="AE25" i="16"/>
  <c r="Z24" i="16"/>
  <c r="Z25" i="16"/>
  <c r="S24" i="16"/>
  <c r="S25" i="16"/>
  <c r="T24" i="16"/>
  <c r="T25" i="16"/>
  <c r="R24" i="16"/>
  <c r="R25" i="16"/>
  <c r="P24" i="16"/>
  <c r="P25" i="16"/>
  <c r="O24" i="16"/>
  <c r="O25" i="16"/>
  <c r="Q24" i="16"/>
  <c r="Q25" i="16"/>
  <c r="M24" i="16"/>
  <c r="M25" i="16"/>
  <c r="L24" i="16"/>
  <c r="L25" i="16"/>
  <c r="N24" i="16"/>
  <c r="N25" i="16"/>
  <c r="F24" i="16"/>
  <c r="F25" i="16"/>
  <c r="D24" i="16"/>
  <c r="D25" i="16"/>
  <c r="G24" i="16"/>
  <c r="G25" i="16"/>
  <c r="C24" i="16"/>
  <c r="C25" i="16"/>
  <c r="X24" i="15"/>
  <c r="X25" i="15"/>
  <c r="U24" i="15"/>
  <c r="U25" i="15"/>
  <c r="V24" i="15"/>
  <c r="V25" i="15"/>
  <c r="AD24" i="15"/>
  <c r="AD25" i="15"/>
  <c r="AC24" i="15"/>
  <c r="AC25" i="15"/>
  <c r="AF12" i="16"/>
  <c r="E24" i="16"/>
  <c r="E25" i="16"/>
  <c r="B4" i="16"/>
  <c r="H24" i="16"/>
  <c r="H25" i="16"/>
  <c r="I24" i="16"/>
  <c r="I25" i="16"/>
  <c r="J24" i="16"/>
  <c r="J25" i="16"/>
  <c r="K24" i="16"/>
  <c r="K25" i="16"/>
  <c r="AF23" i="16"/>
  <c r="B24" i="16"/>
  <c r="B25" i="16"/>
  <c r="D3" i="16"/>
  <c r="C4" i="16"/>
  <c r="AG17" i="16"/>
  <c r="AG23" i="16"/>
  <c r="AG7" i="16"/>
  <c r="AG12" i="16"/>
  <c r="L24" i="15"/>
  <c r="L25" i="15"/>
  <c r="I24" i="15"/>
  <c r="I25" i="15"/>
  <c r="J24" i="15"/>
  <c r="J25" i="15"/>
  <c r="K24" i="15"/>
  <c r="K25" i="15"/>
  <c r="F24" i="15"/>
  <c r="F25" i="15"/>
  <c r="AF24" i="15"/>
  <c r="AF25" i="15"/>
  <c r="Y24" i="15"/>
  <c r="Y25" i="15"/>
  <c r="B24" i="15"/>
  <c r="B25" i="15"/>
  <c r="Z24" i="15"/>
  <c r="Z25" i="15"/>
  <c r="O24" i="15"/>
  <c r="O25" i="15"/>
  <c r="P24" i="15"/>
  <c r="P25" i="15"/>
  <c r="R24" i="15"/>
  <c r="R25" i="15"/>
  <c r="G24" i="15"/>
  <c r="G25" i="15"/>
  <c r="S24" i="15"/>
  <c r="S25" i="15"/>
  <c r="AE24" i="15"/>
  <c r="AE25" i="15"/>
  <c r="N24" i="15"/>
  <c r="N25" i="15"/>
  <c r="C24" i="15"/>
  <c r="C25" i="15"/>
  <c r="D24" i="15"/>
  <c r="D25" i="15"/>
  <c r="E24" i="15"/>
  <c r="E25" i="15"/>
  <c r="M24" i="15"/>
  <c r="M25" i="15"/>
  <c r="AA24" i="15"/>
  <c r="AA25" i="15"/>
  <c r="AB24" i="15"/>
  <c r="AB25" i="15"/>
  <c r="Q24" i="15"/>
  <c r="Q25" i="15"/>
  <c r="H24" i="15"/>
  <c r="H25" i="15"/>
  <c r="T24" i="15"/>
  <c r="T25" i="15"/>
  <c r="AH23" i="15"/>
  <c r="W24" i="15"/>
  <c r="W25" i="15"/>
  <c r="AH9" i="15"/>
  <c r="AH12" i="15"/>
  <c r="AG12" i="15"/>
  <c r="AG23" i="15"/>
  <c r="C3" i="15"/>
  <c r="X24" i="14"/>
  <c r="X25" i="14"/>
  <c r="Z24" i="14"/>
  <c r="Z25" i="14"/>
  <c r="N24" i="14"/>
  <c r="N25" i="14"/>
  <c r="M24" i="14"/>
  <c r="M25" i="14"/>
  <c r="L24" i="14"/>
  <c r="L25" i="14"/>
  <c r="AF23" i="14"/>
  <c r="AG15" i="14"/>
  <c r="AG23" i="14"/>
  <c r="I24" i="14"/>
  <c r="I25" i="14"/>
  <c r="U24" i="14"/>
  <c r="U25" i="14"/>
  <c r="T24" i="14"/>
  <c r="T25" i="14"/>
  <c r="AF12" i="14"/>
  <c r="B24" i="14"/>
  <c r="B25" i="14"/>
  <c r="O24" i="14"/>
  <c r="O25" i="14"/>
  <c r="D24" i="14"/>
  <c r="D25" i="14"/>
  <c r="AB24" i="14"/>
  <c r="AB25" i="14"/>
  <c r="E24" i="14"/>
  <c r="E25" i="14"/>
  <c r="Q24" i="14"/>
  <c r="Q25" i="14"/>
  <c r="AC24" i="14"/>
  <c r="AC25" i="14"/>
  <c r="C24" i="14"/>
  <c r="C25" i="14"/>
  <c r="AE24" i="14"/>
  <c r="AE25" i="14"/>
  <c r="AA24" i="14"/>
  <c r="AA25" i="14"/>
  <c r="P24" i="14"/>
  <c r="P25" i="14"/>
  <c r="G24" i="14"/>
  <c r="G25" i="14"/>
  <c r="S24" i="14"/>
  <c r="S25" i="14"/>
  <c r="H24" i="14"/>
  <c r="H25" i="14"/>
  <c r="R24" i="14"/>
  <c r="R25" i="14"/>
  <c r="AD24" i="14"/>
  <c r="AD25" i="14"/>
  <c r="J24" i="14"/>
  <c r="J25" i="14"/>
  <c r="V24" i="14"/>
  <c r="V25" i="14"/>
  <c r="F24" i="14"/>
  <c r="F25" i="14"/>
  <c r="K24" i="14"/>
  <c r="K25" i="14"/>
  <c r="W24" i="14"/>
  <c r="W25" i="14"/>
  <c r="Y24" i="14"/>
  <c r="Y25" i="14"/>
  <c r="D3" i="14"/>
  <c r="C4" i="14"/>
  <c r="AG12" i="14"/>
  <c r="B4" i="14"/>
  <c r="AF23" i="13"/>
  <c r="AE23" i="13"/>
  <c r="AD23" i="13"/>
  <c r="AC23" i="13"/>
  <c r="AB23" i="13"/>
  <c r="AA23" i="13"/>
  <c r="Z23" i="13"/>
  <c r="Y23" i="13"/>
  <c r="X23" i="13"/>
  <c r="W23" i="13"/>
  <c r="V23" i="13"/>
  <c r="U23" i="13"/>
  <c r="T23" i="13"/>
  <c r="S23" i="13"/>
  <c r="R23" i="13"/>
  <c r="Q23" i="13"/>
  <c r="P23" i="13"/>
  <c r="O23" i="13"/>
  <c r="N23" i="13"/>
  <c r="M23" i="13"/>
  <c r="L23" i="13"/>
  <c r="K23" i="13"/>
  <c r="J23" i="13"/>
  <c r="I23" i="13"/>
  <c r="H23" i="13"/>
  <c r="G23" i="13"/>
  <c r="F23" i="13"/>
  <c r="E23" i="13"/>
  <c r="D23" i="13"/>
  <c r="C23" i="13"/>
  <c r="B23" i="13"/>
  <c r="AG22" i="13"/>
  <c r="AH22" i="13"/>
  <c r="AG21" i="13"/>
  <c r="AH21" i="13"/>
  <c r="AG20" i="13"/>
  <c r="AH20" i="13"/>
  <c r="AG19" i="13"/>
  <c r="AH19" i="13"/>
  <c r="AG18" i="13"/>
  <c r="AH18" i="13"/>
  <c r="AG17" i="13"/>
  <c r="AH17" i="13"/>
  <c r="AG16" i="13"/>
  <c r="AH16" i="13"/>
  <c r="AG15" i="13"/>
  <c r="AH15" i="13"/>
  <c r="AF12" i="13"/>
  <c r="AE12" i="13"/>
  <c r="AD12" i="13"/>
  <c r="AC12" i="13"/>
  <c r="AB12" i="13"/>
  <c r="AA12" i="13"/>
  <c r="Z12" i="13"/>
  <c r="Y12" i="13"/>
  <c r="X12" i="13"/>
  <c r="W12" i="13"/>
  <c r="V12" i="13"/>
  <c r="U12" i="13"/>
  <c r="T12" i="13"/>
  <c r="S12" i="13"/>
  <c r="R12" i="13"/>
  <c r="Q12" i="13"/>
  <c r="P12" i="13"/>
  <c r="O12" i="13"/>
  <c r="N12" i="13"/>
  <c r="M12" i="13"/>
  <c r="L12" i="13"/>
  <c r="K12" i="13"/>
  <c r="J12" i="13"/>
  <c r="H12" i="13"/>
  <c r="G12" i="13"/>
  <c r="F12" i="13"/>
  <c r="E12" i="13"/>
  <c r="D12" i="13"/>
  <c r="C12" i="13"/>
  <c r="B12" i="13"/>
  <c r="B24" i="13"/>
  <c r="B25" i="13"/>
  <c r="AG11" i="13"/>
  <c r="AH11" i="13"/>
  <c r="AG10" i="13"/>
  <c r="AH10" i="13"/>
  <c r="AG9" i="13"/>
  <c r="AH9" i="13"/>
  <c r="AG8" i="13"/>
  <c r="AH8" i="13"/>
  <c r="AG7" i="13"/>
  <c r="AH7" i="13"/>
  <c r="AG6" i="13"/>
  <c r="AH6" i="13"/>
  <c r="AG5" i="13"/>
  <c r="AH5" i="13"/>
  <c r="AJ4" i="13"/>
  <c r="B3" i="13"/>
  <c r="C3" i="13"/>
  <c r="D4" i="17"/>
  <c r="E3" i="17"/>
  <c r="AF24" i="16"/>
  <c r="AF25" i="16"/>
  <c r="E3" i="16"/>
  <c r="D4" i="16"/>
  <c r="AG25" i="15"/>
  <c r="AG24" i="15"/>
  <c r="C4" i="15"/>
  <c r="D3" i="15"/>
  <c r="AF24" i="13"/>
  <c r="AF25" i="13"/>
  <c r="AF24" i="14"/>
  <c r="AF25" i="14"/>
  <c r="E3" i="14"/>
  <c r="D4" i="14"/>
  <c r="AB24" i="13"/>
  <c r="AB25" i="13"/>
  <c r="AC24" i="13"/>
  <c r="AC25" i="13"/>
  <c r="AD24" i="13"/>
  <c r="AD25" i="13"/>
  <c r="O24" i="13"/>
  <c r="O25" i="13"/>
  <c r="P24" i="13"/>
  <c r="P25" i="13"/>
  <c r="Z24" i="13"/>
  <c r="Z25" i="13"/>
  <c r="T24" i="13"/>
  <c r="T25" i="13"/>
  <c r="AA24" i="13"/>
  <c r="AA25" i="13"/>
  <c r="X24" i="13"/>
  <c r="X25" i="13"/>
  <c r="Y24" i="13"/>
  <c r="Y25" i="13"/>
  <c r="V24" i="13"/>
  <c r="V25" i="13"/>
  <c r="U24" i="13"/>
  <c r="U25" i="13"/>
  <c r="W24" i="13"/>
  <c r="W25" i="13"/>
  <c r="K24" i="13"/>
  <c r="K25" i="13"/>
  <c r="J24" i="13"/>
  <c r="J25" i="13"/>
  <c r="I24" i="13"/>
  <c r="I25" i="13"/>
  <c r="C24" i="13"/>
  <c r="C25" i="13"/>
  <c r="M24" i="13"/>
  <c r="M25" i="13"/>
  <c r="H24" i="13"/>
  <c r="H25" i="13"/>
  <c r="L24" i="13"/>
  <c r="L25" i="13"/>
  <c r="N24" i="13"/>
  <c r="N25" i="13"/>
  <c r="D24" i="13"/>
  <c r="D25" i="13"/>
  <c r="AH23" i="13"/>
  <c r="B4" i="13"/>
  <c r="R24" i="13"/>
  <c r="R25" i="13"/>
  <c r="E24" i="13"/>
  <c r="E25" i="13"/>
  <c r="Q24" i="13"/>
  <c r="Q25" i="13"/>
  <c r="F24" i="13"/>
  <c r="F25" i="13"/>
  <c r="G24" i="13"/>
  <c r="G25" i="13"/>
  <c r="S24" i="13"/>
  <c r="S25" i="13"/>
  <c r="AE24" i="13"/>
  <c r="AE25" i="13"/>
  <c r="C4" i="13"/>
  <c r="D3" i="13"/>
  <c r="AH12" i="13"/>
  <c r="AG12" i="13"/>
  <c r="AG23" i="13"/>
  <c r="F3" i="17"/>
  <c r="E4" i="17"/>
  <c r="F3" i="16"/>
  <c r="E4" i="16"/>
  <c r="D4" i="15"/>
  <c r="E3" i="15"/>
  <c r="E4" i="14"/>
  <c r="F3" i="14"/>
  <c r="AG25" i="13"/>
  <c r="AG24" i="13"/>
  <c r="D4" i="13"/>
  <c r="E3" i="13"/>
  <c r="AG11" i="12"/>
  <c r="AH11" i="12"/>
  <c r="AG6" i="12"/>
  <c r="AH6" i="12"/>
  <c r="AG7" i="12"/>
  <c r="AH7" i="12"/>
  <c r="AG8" i="12"/>
  <c r="AH8" i="12"/>
  <c r="AG9" i="12"/>
  <c r="AH9" i="12"/>
  <c r="AG10" i="12"/>
  <c r="AF23" i="12"/>
  <c r="AE23" i="12"/>
  <c r="AD23" i="12"/>
  <c r="AC23" i="12"/>
  <c r="AB23" i="12"/>
  <c r="AA23" i="12"/>
  <c r="Z23" i="12"/>
  <c r="Y23" i="12"/>
  <c r="X23" i="12"/>
  <c r="W23" i="12"/>
  <c r="V23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C23" i="12"/>
  <c r="B23" i="12"/>
  <c r="AG22" i="12"/>
  <c r="AH22" i="12"/>
  <c r="AG21" i="12"/>
  <c r="AH21" i="12"/>
  <c r="AG20" i="12"/>
  <c r="AH20" i="12"/>
  <c r="AG19" i="12"/>
  <c r="AH19" i="12"/>
  <c r="AG18" i="12"/>
  <c r="AH18" i="12"/>
  <c r="AG17" i="12"/>
  <c r="AH17" i="12"/>
  <c r="AG16" i="12"/>
  <c r="AH16" i="12"/>
  <c r="AG15" i="12"/>
  <c r="AF12" i="12"/>
  <c r="AE12" i="12"/>
  <c r="AD12" i="12"/>
  <c r="AC12" i="12"/>
  <c r="AB12" i="12"/>
  <c r="AA12" i="12"/>
  <c r="Z12" i="12"/>
  <c r="Y12" i="12"/>
  <c r="X12" i="12"/>
  <c r="W12" i="12"/>
  <c r="V12" i="12"/>
  <c r="U12" i="12"/>
  <c r="T12" i="12"/>
  <c r="S12" i="12"/>
  <c r="R12" i="12"/>
  <c r="Q12" i="12"/>
  <c r="P12" i="12"/>
  <c r="O12" i="12"/>
  <c r="N12" i="12"/>
  <c r="M12" i="12"/>
  <c r="L12" i="12"/>
  <c r="K12" i="12"/>
  <c r="J12" i="12"/>
  <c r="I12" i="12"/>
  <c r="H12" i="12"/>
  <c r="G12" i="12"/>
  <c r="F12" i="12"/>
  <c r="E12" i="12"/>
  <c r="D12" i="12"/>
  <c r="C12" i="12"/>
  <c r="B12" i="12"/>
  <c r="AG5" i="12"/>
  <c r="AH5" i="12"/>
  <c r="AJ4" i="12"/>
  <c r="B3" i="12"/>
  <c r="C3" i="12"/>
  <c r="AF23" i="11"/>
  <c r="AE23" i="11"/>
  <c r="AD23" i="11"/>
  <c r="AC23" i="11"/>
  <c r="AB23" i="11"/>
  <c r="AA23" i="11"/>
  <c r="Z23" i="11"/>
  <c r="Y23" i="11"/>
  <c r="X23" i="11"/>
  <c r="W23" i="11"/>
  <c r="V23" i="11"/>
  <c r="U23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C23" i="11"/>
  <c r="B23" i="11"/>
  <c r="AG22" i="11"/>
  <c r="AH22" i="11"/>
  <c r="AG21" i="11"/>
  <c r="AH21" i="11"/>
  <c r="AG20" i="11"/>
  <c r="AH20" i="11"/>
  <c r="AG19" i="11"/>
  <c r="AH19" i="11"/>
  <c r="AG18" i="11"/>
  <c r="AH18" i="11"/>
  <c r="AG17" i="11"/>
  <c r="AH17" i="11"/>
  <c r="AG16" i="11"/>
  <c r="AH16" i="11"/>
  <c r="AG15" i="11"/>
  <c r="AH15" i="11"/>
  <c r="AF12" i="11"/>
  <c r="AE12" i="11"/>
  <c r="AD12" i="11"/>
  <c r="AC12" i="11"/>
  <c r="AB12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P24" i="11"/>
  <c r="P25" i="11"/>
  <c r="O12" i="11"/>
  <c r="O24" i="11"/>
  <c r="O25" i="11"/>
  <c r="N12" i="11"/>
  <c r="M12" i="11"/>
  <c r="M24" i="11"/>
  <c r="M25" i="11"/>
  <c r="L12" i="11"/>
  <c r="K12" i="11"/>
  <c r="J12" i="11"/>
  <c r="I12" i="11"/>
  <c r="H12" i="11"/>
  <c r="G12" i="11"/>
  <c r="F12" i="11"/>
  <c r="E12" i="11"/>
  <c r="E24" i="11"/>
  <c r="E25" i="11"/>
  <c r="D12" i="11"/>
  <c r="C12" i="11"/>
  <c r="B12" i="11"/>
  <c r="AG11" i="11"/>
  <c r="AH11" i="11"/>
  <c r="AG10" i="11"/>
  <c r="AH10" i="11"/>
  <c r="AG9" i="11"/>
  <c r="AG8" i="11"/>
  <c r="AH8" i="11"/>
  <c r="AG7" i="11"/>
  <c r="AH7" i="11"/>
  <c r="AG6" i="11"/>
  <c r="AH6" i="11"/>
  <c r="AG5" i="11"/>
  <c r="AH5" i="11"/>
  <c r="AJ4" i="11"/>
  <c r="B3" i="11"/>
  <c r="C3" i="11"/>
  <c r="Z23" i="10"/>
  <c r="Z24" i="10"/>
  <c r="Z25" i="10"/>
  <c r="V12" i="10"/>
  <c r="W12" i="10"/>
  <c r="AF12" i="10"/>
  <c r="AF23" i="10"/>
  <c r="AG16" i="10"/>
  <c r="AG17" i="10"/>
  <c r="AH17" i="10"/>
  <c r="AG18" i="10"/>
  <c r="AH18" i="10"/>
  <c r="AG19" i="10"/>
  <c r="AH19" i="10"/>
  <c r="AG20" i="10"/>
  <c r="AH20" i="10"/>
  <c r="AG21" i="10"/>
  <c r="AH21" i="10"/>
  <c r="AG22" i="10"/>
  <c r="AG15" i="10"/>
  <c r="AH15" i="10"/>
  <c r="AG6" i="10"/>
  <c r="AH6" i="10"/>
  <c r="AG7" i="10"/>
  <c r="AH7" i="10"/>
  <c r="AG8" i="10"/>
  <c r="AH8" i="10"/>
  <c r="AG9" i="10"/>
  <c r="AH9" i="10"/>
  <c r="AG10" i="10"/>
  <c r="AH10" i="10"/>
  <c r="AG11" i="10"/>
  <c r="AH11" i="10"/>
  <c r="AG5" i="10"/>
  <c r="AH5" i="10"/>
  <c r="AD4" i="10"/>
  <c r="AE4" i="10"/>
  <c r="AF4" i="10"/>
  <c r="AF3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X12" i="10"/>
  <c r="Y12" i="10"/>
  <c r="Z12" i="10"/>
  <c r="AA12" i="10"/>
  <c r="AB12" i="10"/>
  <c r="AC12" i="10"/>
  <c r="AD12" i="10"/>
  <c r="AE12" i="10"/>
  <c r="C12" i="10"/>
  <c r="AE23" i="10"/>
  <c r="AD23" i="10"/>
  <c r="AC23" i="10"/>
  <c r="AB23" i="10"/>
  <c r="AA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H24" i="10"/>
  <c r="H25" i="10"/>
  <c r="G23" i="10"/>
  <c r="F23" i="10"/>
  <c r="E23" i="10"/>
  <c r="E24" i="10"/>
  <c r="E25" i="10"/>
  <c r="D23" i="10"/>
  <c r="C23" i="10"/>
  <c r="B23" i="10"/>
  <c r="AH22" i="10"/>
  <c r="B12" i="10"/>
  <c r="AJ4" i="10"/>
  <c r="B3" i="10"/>
  <c r="C3" i="10"/>
  <c r="AD25" i="7"/>
  <c r="AI4" i="9"/>
  <c r="AE23" i="9"/>
  <c r="AD23" i="9"/>
  <c r="AC23" i="9"/>
  <c r="AB23" i="9"/>
  <c r="AA23" i="9"/>
  <c r="Z23" i="9"/>
  <c r="Z24" i="9"/>
  <c r="Z25" i="9"/>
  <c r="Y23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L24" i="9"/>
  <c r="L25" i="9"/>
  <c r="K23" i="9"/>
  <c r="K24" i="9"/>
  <c r="K25" i="9"/>
  <c r="J23" i="9"/>
  <c r="J24" i="9"/>
  <c r="J25" i="9"/>
  <c r="I23" i="9"/>
  <c r="H23" i="9"/>
  <c r="G23" i="9"/>
  <c r="F23" i="9"/>
  <c r="F24" i="9"/>
  <c r="F25" i="9"/>
  <c r="E23" i="9"/>
  <c r="E24" i="9"/>
  <c r="E25" i="9"/>
  <c r="D23" i="9"/>
  <c r="C23" i="9"/>
  <c r="B23" i="9"/>
  <c r="AF22" i="9"/>
  <c r="AG22" i="9"/>
  <c r="AF21" i="9"/>
  <c r="AG21" i="9"/>
  <c r="AF20" i="9"/>
  <c r="AG20" i="9"/>
  <c r="AF19" i="9"/>
  <c r="AG19" i="9"/>
  <c r="AF18" i="9"/>
  <c r="AG18" i="9"/>
  <c r="AF17" i="9"/>
  <c r="AG17" i="9"/>
  <c r="AF16" i="9"/>
  <c r="AG16" i="9"/>
  <c r="AF15" i="9"/>
  <c r="AG15" i="9"/>
  <c r="AE12" i="9"/>
  <c r="AD12" i="9"/>
  <c r="AC12" i="9"/>
  <c r="AB12" i="9"/>
  <c r="AA12" i="9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B12" i="9"/>
  <c r="AF11" i="9"/>
  <c r="AG11" i="9"/>
  <c r="AF10" i="9"/>
  <c r="AG10" i="9"/>
  <c r="AF9" i="9"/>
  <c r="AG9" i="9"/>
  <c r="AF8" i="9"/>
  <c r="AG8" i="9"/>
  <c r="AF7" i="9"/>
  <c r="AG7" i="9"/>
  <c r="AF6" i="9"/>
  <c r="AG6" i="9"/>
  <c r="AF5" i="9"/>
  <c r="AG5" i="9"/>
  <c r="B3" i="9"/>
  <c r="B4" i="9"/>
  <c r="AB12" i="8"/>
  <c r="AC12" i="8"/>
  <c r="AC24" i="8"/>
  <c r="AC25" i="8"/>
  <c r="AD12" i="8"/>
  <c r="AD24" i="8"/>
  <c r="AD25" i="8"/>
  <c r="AE12" i="8"/>
  <c r="AF12" i="8"/>
  <c r="AF23" i="8"/>
  <c r="AF24" i="8"/>
  <c r="AF25" i="8"/>
  <c r="AC23" i="8"/>
  <c r="AD23" i="8"/>
  <c r="AE23" i="8"/>
  <c r="D24" i="9"/>
  <c r="D25" i="9"/>
  <c r="B24" i="9"/>
  <c r="B25" i="9"/>
  <c r="C3" i="9"/>
  <c r="AE24" i="8"/>
  <c r="AE25" i="8"/>
  <c r="AE19" i="7"/>
  <c r="AE20" i="7"/>
  <c r="AE22" i="7"/>
  <c r="AE15" i="7"/>
  <c r="AE5" i="7"/>
  <c r="AB23" i="8"/>
  <c r="AA23" i="8"/>
  <c r="Z23" i="8"/>
  <c r="Y23" i="8"/>
  <c r="X23" i="8"/>
  <c r="W23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B23" i="8"/>
  <c r="AG22" i="8"/>
  <c r="AH22" i="8"/>
  <c r="AG21" i="8"/>
  <c r="AH21" i="8"/>
  <c r="AG20" i="8"/>
  <c r="AH20" i="8"/>
  <c r="AG19" i="8"/>
  <c r="AH19" i="8"/>
  <c r="AG18" i="8"/>
  <c r="AH18" i="8"/>
  <c r="AG17" i="8"/>
  <c r="AH17" i="8"/>
  <c r="AG16" i="8"/>
  <c r="AH16" i="8"/>
  <c r="AG15" i="8"/>
  <c r="AH15" i="8"/>
  <c r="AA12" i="8"/>
  <c r="Z12" i="8"/>
  <c r="Y12" i="8"/>
  <c r="X12" i="8"/>
  <c r="W12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B12" i="8"/>
  <c r="AG11" i="8"/>
  <c r="AH11" i="8"/>
  <c r="AG10" i="8"/>
  <c r="AH10" i="8"/>
  <c r="AG9" i="8"/>
  <c r="AH9" i="8"/>
  <c r="AG8" i="8"/>
  <c r="AH8" i="8"/>
  <c r="AG7" i="8"/>
  <c r="AH7" i="8"/>
  <c r="AG6" i="8"/>
  <c r="AH6" i="8"/>
  <c r="AG5" i="8"/>
  <c r="AH5" i="8"/>
  <c r="AJ4" i="8"/>
  <c r="B3" i="8"/>
  <c r="C3" i="8"/>
  <c r="AC23" i="7"/>
  <c r="AB23" i="7"/>
  <c r="AA23" i="7"/>
  <c r="Z23" i="7"/>
  <c r="Y23" i="7"/>
  <c r="X23" i="7"/>
  <c r="W23" i="7"/>
  <c r="V23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H23" i="7"/>
  <c r="G23" i="7"/>
  <c r="F23" i="7"/>
  <c r="E23" i="7"/>
  <c r="D23" i="7"/>
  <c r="C23" i="7"/>
  <c r="B23" i="7"/>
  <c r="AD22" i="7"/>
  <c r="AD21" i="7"/>
  <c r="AE21" i="7"/>
  <c r="AD20" i="7"/>
  <c r="AD19" i="7"/>
  <c r="AD18" i="7"/>
  <c r="AE18" i="7"/>
  <c r="AD17" i="7"/>
  <c r="AE17" i="7"/>
  <c r="AD16" i="7"/>
  <c r="AE16" i="7"/>
  <c r="AD15" i="7"/>
  <c r="AC12" i="7"/>
  <c r="AB12" i="7"/>
  <c r="AA12" i="7"/>
  <c r="Z12" i="7"/>
  <c r="Y12" i="7"/>
  <c r="X12" i="7"/>
  <c r="W12" i="7"/>
  <c r="V12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G12" i="7"/>
  <c r="F12" i="7"/>
  <c r="E12" i="7"/>
  <c r="D12" i="7"/>
  <c r="C12" i="7"/>
  <c r="B12" i="7"/>
  <c r="AD11" i="7"/>
  <c r="AE11" i="7"/>
  <c r="AD10" i="7"/>
  <c r="AE10" i="7"/>
  <c r="AD9" i="7"/>
  <c r="AE9" i="7"/>
  <c r="AD8" i="7"/>
  <c r="AE8" i="7"/>
  <c r="AD7" i="7"/>
  <c r="AE7" i="7"/>
  <c r="AD6" i="7"/>
  <c r="AE6" i="7"/>
  <c r="AD5" i="7"/>
  <c r="AG4" i="7"/>
  <c r="B3" i="7"/>
  <c r="C3" i="7"/>
  <c r="AF23" i="6"/>
  <c r="AE23" i="6"/>
  <c r="AD23" i="6"/>
  <c r="AC23" i="6"/>
  <c r="AB23" i="6"/>
  <c r="AA23" i="6"/>
  <c r="Z23" i="6"/>
  <c r="Y23" i="6"/>
  <c r="X23" i="6"/>
  <c r="W23" i="6"/>
  <c r="V23" i="6"/>
  <c r="V24" i="6"/>
  <c r="V25" i="6"/>
  <c r="U23" i="6"/>
  <c r="T23" i="6"/>
  <c r="S23" i="6"/>
  <c r="R23" i="6"/>
  <c r="Q23" i="6"/>
  <c r="P23" i="6"/>
  <c r="O23" i="6"/>
  <c r="N23" i="6"/>
  <c r="M23" i="6"/>
  <c r="M24" i="6"/>
  <c r="M25" i="6"/>
  <c r="L23" i="6"/>
  <c r="K23" i="6"/>
  <c r="J23" i="6"/>
  <c r="I23" i="6"/>
  <c r="H23" i="6"/>
  <c r="G23" i="6"/>
  <c r="F23" i="6"/>
  <c r="E23" i="6"/>
  <c r="D23" i="6"/>
  <c r="C23" i="6"/>
  <c r="B23" i="6"/>
  <c r="AG22" i="6"/>
  <c r="AH22" i="6"/>
  <c r="AG21" i="6"/>
  <c r="AH21" i="6"/>
  <c r="AG20" i="6"/>
  <c r="AH20" i="6"/>
  <c r="AG19" i="6"/>
  <c r="AH19" i="6"/>
  <c r="AG18" i="6"/>
  <c r="AH18" i="6"/>
  <c r="AG17" i="6"/>
  <c r="AH17" i="6"/>
  <c r="AG16" i="6"/>
  <c r="AH16" i="6"/>
  <c r="AG15" i="6"/>
  <c r="AF12" i="6"/>
  <c r="AE12" i="6"/>
  <c r="AD12" i="6"/>
  <c r="AC12" i="6"/>
  <c r="AB12" i="6"/>
  <c r="AA12" i="6"/>
  <c r="Z12" i="6"/>
  <c r="Y12" i="6"/>
  <c r="X12" i="6"/>
  <c r="W12" i="6"/>
  <c r="V12" i="6"/>
  <c r="U12" i="6"/>
  <c r="T12" i="6"/>
  <c r="S12" i="6"/>
  <c r="R12" i="6"/>
  <c r="Q12" i="6"/>
  <c r="P12" i="6"/>
  <c r="O12" i="6"/>
  <c r="N12" i="6"/>
  <c r="M12" i="6"/>
  <c r="L12" i="6"/>
  <c r="K12" i="6"/>
  <c r="J12" i="6"/>
  <c r="I12" i="6"/>
  <c r="H12" i="6"/>
  <c r="G12" i="6"/>
  <c r="F12" i="6"/>
  <c r="E12" i="6"/>
  <c r="D12" i="6"/>
  <c r="C12" i="6"/>
  <c r="B12" i="6"/>
  <c r="AG11" i="6"/>
  <c r="AH11" i="6"/>
  <c r="AG10" i="6"/>
  <c r="AH10" i="6"/>
  <c r="AG9" i="6"/>
  <c r="AH9" i="6"/>
  <c r="AG8" i="6"/>
  <c r="AH8" i="6"/>
  <c r="AG7" i="6"/>
  <c r="AH7" i="6"/>
  <c r="AG6" i="6"/>
  <c r="AH6" i="6"/>
  <c r="AG5" i="6"/>
  <c r="AH5" i="6"/>
  <c r="AJ4" i="6"/>
  <c r="B3" i="6"/>
  <c r="B4" i="6"/>
  <c r="C4" i="9"/>
  <c r="D3" i="9"/>
  <c r="Z24" i="8"/>
  <c r="Z25" i="8"/>
  <c r="W24" i="8"/>
  <c r="W25" i="8"/>
  <c r="Y24" i="8"/>
  <c r="Y25" i="8"/>
  <c r="X24" i="8"/>
  <c r="X25" i="8"/>
  <c r="V24" i="8"/>
  <c r="V25" i="8"/>
  <c r="M24" i="8"/>
  <c r="M25" i="8"/>
  <c r="L24" i="8"/>
  <c r="L25" i="8"/>
  <c r="N24" i="8"/>
  <c r="N25" i="8"/>
  <c r="S24" i="8"/>
  <c r="S25" i="8"/>
  <c r="K24" i="8"/>
  <c r="K25" i="8"/>
  <c r="B24" i="8"/>
  <c r="B25" i="8"/>
  <c r="J24" i="8"/>
  <c r="J25" i="8"/>
  <c r="F24" i="8"/>
  <c r="F25" i="8"/>
  <c r="R24" i="8"/>
  <c r="R25" i="8"/>
  <c r="G24" i="8"/>
  <c r="G25" i="8"/>
  <c r="C24" i="8"/>
  <c r="C25" i="8"/>
  <c r="O24" i="8"/>
  <c r="O25" i="8"/>
  <c r="AA24" i="8"/>
  <c r="AA25" i="8"/>
  <c r="D24" i="8"/>
  <c r="D25" i="8"/>
  <c r="P24" i="8"/>
  <c r="P25" i="8"/>
  <c r="AB24" i="8"/>
  <c r="AB25" i="8"/>
  <c r="E24" i="8"/>
  <c r="E25" i="8"/>
  <c r="Q24" i="8"/>
  <c r="Q25" i="8"/>
  <c r="AH12" i="8"/>
  <c r="H24" i="8"/>
  <c r="H25" i="8"/>
  <c r="T24" i="8"/>
  <c r="T25" i="8"/>
  <c r="I24" i="8"/>
  <c r="I25" i="8"/>
  <c r="U24" i="8"/>
  <c r="U25" i="8"/>
  <c r="C4" i="8"/>
  <c r="D3" i="8"/>
  <c r="D4" i="8"/>
  <c r="AG23" i="8"/>
  <c r="AG12" i="8"/>
  <c r="B4" i="8"/>
  <c r="X24" i="7"/>
  <c r="X25" i="7"/>
  <c r="K24" i="7"/>
  <c r="K25" i="7"/>
  <c r="J24" i="7"/>
  <c r="J25" i="7"/>
  <c r="AD24" i="6"/>
  <c r="AD25" i="6"/>
  <c r="I24" i="7"/>
  <c r="I25" i="7"/>
  <c r="F24" i="7"/>
  <c r="F25" i="7"/>
  <c r="E24" i="7"/>
  <c r="E25" i="7"/>
  <c r="G24" i="7"/>
  <c r="G25" i="7"/>
  <c r="H24" i="7"/>
  <c r="H25" i="7"/>
  <c r="O24" i="7"/>
  <c r="O25" i="7"/>
  <c r="Z24" i="7"/>
  <c r="Z25" i="7"/>
  <c r="AA24" i="7"/>
  <c r="AA25" i="7"/>
  <c r="P24" i="7"/>
  <c r="P25" i="7"/>
  <c r="AB24" i="7"/>
  <c r="AB25" i="7"/>
  <c r="V24" i="7"/>
  <c r="V25" i="7"/>
  <c r="W24" i="7"/>
  <c r="W25" i="7"/>
  <c r="N24" i="7"/>
  <c r="N25" i="7"/>
  <c r="S24" i="7"/>
  <c r="S25" i="7"/>
  <c r="AC24" i="7"/>
  <c r="AC25" i="7"/>
  <c r="R24" i="7"/>
  <c r="R25" i="7"/>
  <c r="T24" i="7"/>
  <c r="T25" i="7"/>
  <c r="Q24" i="7"/>
  <c r="Q25" i="7"/>
  <c r="U24" i="7"/>
  <c r="U25" i="7"/>
  <c r="B24" i="7"/>
  <c r="B25" i="7"/>
  <c r="C24" i="7"/>
  <c r="C25" i="7"/>
  <c r="L24" i="7"/>
  <c r="L25" i="7"/>
  <c r="D24" i="7"/>
  <c r="D25" i="7"/>
  <c r="Y24" i="7"/>
  <c r="Y25" i="7"/>
  <c r="AD12" i="7"/>
  <c r="M24" i="7"/>
  <c r="M25" i="7"/>
  <c r="D3" i="7"/>
  <c r="C4" i="7"/>
  <c r="AE12" i="7"/>
  <c r="B4" i="7"/>
  <c r="AD23" i="7"/>
  <c r="AC24" i="6"/>
  <c r="AC25" i="6"/>
  <c r="W24" i="6"/>
  <c r="W25" i="6"/>
  <c r="AB24" i="6"/>
  <c r="AB25" i="6"/>
  <c r="Y24" i="6"/>
  <c r="Y25" i="6"/>
  <c r="P24" i="6"/>
  <c r="P25" i="6"/>
  <c r="Q24" i="6"/>
  <c r="Q25" i="6"/>
  <c r="U24" i="6"/>
  <c r="U25" i="6"/>
  <c r="J24" i="6"/>
  <c r="J25" i="6"/>
  <c r="R24" i="6"/>
  <c r="R25" i="6"/>
  <c r="I24" i="6"/>
  <c r="I25" i="6"/>
  <c r="K24" i="6"/>
  <c r="K25" i="6"/>
  <c r="G24" i="6"/>
  <c r="G25" i="6"/>
  <c r="F24" i="6"/>
  <c r="F25" i="6"/>
  <c r="D24" i="6"/>
  <c r="D25" i="6"/>
  <c r="E24" i="6"/>
  <c r="E25" i="6"/>
  <c r="AF24" i="6"/>
  <c r="AF25" i="6"/>
  <c r="AG23" i="6"/>
  <c r="C3" i="6"/>
  <c r="L24" i="6"/>
  <c r="L25" i="6"/>
  <c r="N24" i="6"/>
  <c r="N25" i="6"/>
  <c r="C24" i="6"/>
  <c r="C25" i="6"/>
  <c r="O24" i="6"/>
  <c r="O25" i="6"/>
  <c r="AA24" i="6"/>
  <c r="AA25" i="6"/>
  <c r="X24" i="6"/>
  <c r="X25" i="6"/>
  <c r="AH15" i="6"/>
  <c r="B24" i="6"/>
  <c r="B25" i="6"/>
  <c r="Z24" i="6"/>
  <c r="Z25" i="6"/>
  <c r="S24" i="6"/>
  <c r="S25" i="6"/>
  <c r="AE24" i="6"/>
  <c r="AE25" i="6"/>
  <c r="H24" i="6"/>
  <c r="H25" i="6"/>
  <c r="T24" i="6"/>
  <c r="T25" i="6"/>
  <c r="AH12" i="6"/>
  <c r="AG12" i="6"/>
  <c r="C23" i="5"/>
  <c r="D23" i="5"/>
  <c r="E23" i="5"/>
  <c r="E24" i="5"/>
  <c r="E25" i="5"/>
  <c r="F23" i="5"/>
  <c r="F24" i="5"/>
  <c r="F25" i="5"/>
  <c r="G23" i="5"/>
  <c r="H23" i="5"/>
  <c r="I23" i="5"/>
  <c r="J23" i="5"/>
  <c r="J24" i="5"/>
  <c r="J25" i="5"/>
  <c r="K23" i="5"/>
  <c r="K24" i="5"/>
  <c r="K25" i="5"/>
  <c r="L23" i="5"/>
  <c r="L24" i="5"/>
  <c r="L25" i="5"/>
  <c r="M23" i="5"/>
  <c r="M24" i="5"/>
  <c r="M25" i="5"/>
  <c r="N23" i="5"/>
  <c r="O23" i="5"/>
  <c r="P23" i="5"/>
  <c r="Q23" i="5"/>
  <c r="R23" i="5"/>
  <c r="R24" i="5"/>
  <c r="R25" i="5"/>
  <c r="S23" i="5"/>
  <c r="S24" i="5"/>
  <c r="S25" i="5"/>
  <c r="T23" i="5"/>
  <c r="T24" i="5"/>
  <c r="T25" i="5"/>
  <c r="U23" i="5"/>
  <c r="V23" i="5"/>
  <c r="W23" i="5"/>
  <c r="X23" i="5"/>
  <c r="Y23" i="5"/>
  <c r="Z23" i="5"/>
  <c r="AA23" i="5"/>
  <c r="AB23" i="5"/>
  <c r="AC23" i="5"/>
  <c r="AD23" i="5"/>
  <c r="AD24" i="5"/>
  <c r="AD25" i="5"/>
  <c r="AE23" i="5"/>
  <c r="AF23" i="5"/>
  <c r="AF24" i="5"/>
  <c r="AF25" i="5"/>
  <c r="B23" i="5"/>
  <c r="B24" i="5"/>
  <c r="B25" i="5"/>
  <c r="AG22" i="5"/>
  <c r="AH22" i="5"/>
  <c r="AG21" i="5"/>
  <c r="AH21" i="5"/>
  <c r="AG20" i="5"/>
  <c r="AG19" i="5"/>
  <c r="AH19" i="5"/>
  <c r="AG18" i="5"/>
  <c r="AH18" i="5"/>
  <c r="AG17" i="5"/>
  <c r="AH17" i="5"/>
  <c r="AG16" i="5"/>
  <c r="AH16" i="5"/>
  <c r="AG15" i="5"/>
  <c r="AH15" i="5"/>
  <c r="G25" i="5"/>
  <c r="C24" i="5"/>
  <c r="C25" i="5"/>
  <c r="D24" i="5"/>
  <c r="D25" i="5"/>
  <c r="G24" i="5"/>
  <c r="H24" i="5"/>
  <c r="H25" i="5"/>
  <c r="I24" i="5"/>
  <c r="I25" i="5"/>
  <c r="AG6" i="5"/>
  <c r="AG7" i="5"/>
  <c r="AG8" i="5"/>
  <c r="AG9" i="5"/>
  <c r="AG10" i="5"/>
  <c r="AG11" i="5"/>
  <c r="AG5" i="5"/>
  <c r="N12" i="5"/>
  <c r="O12" i="5"/>
  <c r="P12" i="5"/>
  <c r="P24" i="5"/>
  <c r="P25" i="5"/>
  <c r="Q12" i="5"/>
  <c r="R12" i="5"/>
  <c r="S12" i="5"/>
  <c r="T12" i="5"/>
  <c r="U12" i="5"/>
  <c r="U24" i="5"/>
  <c r="U25" i="5"/>
  <c r="V12" i="5"/>
  <c r="V24" i="5"/>
  <c r="V25" i="5"/>
  <c r="W12" i="5"/>
  <c r="X12" i="5"/>
  <c r="Y12" i="5"/>
  <c r="Z12" i="5"/>
  <c r="AA12" i="5"/>
  <c r="AB12" i="5"/>
  <c r="AC12" i="5"/>
  <c r="AD12" i="5"/>
  <c r="AE12" i="5"/>
  <c r="AF12" i="5"/>
  <c r="C12" i="5"/>
  <c r="D12" i="5"/>
  <c r="E12" i="5"/>
  <c r="F12" i="5"/>
  <c r="G12" i="5"/>
  <c r="H12" i="5"/>
  <c r="I12" i="5"/>
  <c r="J12" i="5"/>
  <c r="K12" i="5"/>
  <c r="L12" i="5"/>
  <c r="M12" i="5"/>
  <c r="B12" i="5"/>
  <c r="E3" i="9"/>
  <c r="D4" i="9"/>
  <c r="AG24" i="8"/>
  <c r="AG25" i="8"/>
  <c r="E3" i="8"/>
  <c r="E4" i="8"/>
  <c r="AD24" i="7"/>
  <c r="E3" i="7"/>
  <c r="D4" i="7"/>
  <c r="AG25" i="6"/>
  <c r="AG24" i="6"/>
  <c r="D3" i="6"/>
  <c r="C4" i="6"/>
  <c r="AE24" i="5"/>
  <c r="AE25" i="5"/>
  <c r="AC24" i="5"/>
  <c r="AC25" i="5"/>
  <c r="AB24" i="5"/>
  <c r="AB25" i="5"/>
  <c r="AA24" i="5"/>
  <c r="AA25" i="5"/>
  <c r="Z24" i="5"/>
  <c r="Z25" i="5"/>
  <c r="Y24" i="5"/>
  <c r="Y25" i="5"/>
  <c r="X24" i="5"/>
  <c r="X25" i="5"/>
  <c r="W24" i="5"/>
  <c r="W25" i="5"/>
  <c r="AG23" i="5"/>
  <c r="AH20" i="5"/>
  <c r="Q24" i="5"/>
  <c r="Q25" i="5"/>
  <c r="N24" i="5"/>
  <c r="N25" i="5"/>
  <c r="O24" i="5"/>
  <c r="O25" i="5"/>
  <c r="AH11" i="5"/>
  <c r="AH10" i="5"/>
  <c r="AH9" i="5"/>
  <c r="AH8" i="5"/>
  <c r="AH7" i="5"/>
  <c r="AH6" i="5"/>
  <c r="AG12" i="5"/>
  <c r="F3" i="9"/>
  <c r="E4" i="9"/>
  <c r="F3" i="8"/>
  <c r="F4" i="8"/>
  <c r="F3" i="7"/>
  <c r="E4" i="7"/>
  <c r="E3" i="6"/>
  <c r="D4" i="6"/>
  <c r="AG24" i="5"/>
  <c r="AG25" i="5"/>
  <c r="AH5" i="5"/>
  <c r="AH12" i="5"/>
  <c r="G3" i="9"/>
  <c r="F4" i="9"/>
  <c r="G3" i="8"/>
  <c r="G4" i="8"/>
  <c r="F4" i="7"/>
  <c r="G3" i="7"/>
  <c r="F3" i="6"/>
  <c r="E4" i="6"/>
  <c r="AJ4" i="5"/>
  <c r="B3" i="5"/>
  <c r="B4" i="5"/>
  <c r="AG4" i="3"/>
  <c r="B3" i="3"/>
  <c r="B4" i="3"/>
  <c r="AH4" i="2"/>
  <c r="B3" i="2"/>
  <c r="B4" i="2"/>
  <c r="AH4" i="1"/>
  <c r="B3" i="1"/>
  <c r="C3" i="1"/>
  <c r="H3" i="9"/>
  <c r="G4" i="9"/>
  <c r="H3" i="8"/>
  <c r="H4" i="8"/>
  <c r="G4" i="7"/>
  <c r="H3" i="7"/>
  <c r="F4" i="6"/>
  <c r="G3" i="6"/>
  <c r="C3" i="5"/>
  <c r="C3" i="3"/>
  <c r="C3" i="2"/>
  <c r="D3" i="1"/>
  <c r="C4" i="1"/>
  <c r="B4" i="1"/>
  <c r="I3" i="9"/>
  <c r="H4" i="9"/>
  <c r="I3" i="8"/>
  <c r="I4" i="8"/>
  <c r="H4" i="7"/>
  <c r="I3" i="7"/>
  <c r="G4" i="6"/>
  <c r="H3" i="6"/>
  <c r="C4" i="5"/>
  <c r="D3" i="5"/>
  <c r="C4" i="3"/>
  <c r="D3" i="3"/>
  <c r="C4" i="2"/>
  <c r="D3" i="2"/>
  <c r="D4" i="1"/>
  <c r="E3" i="1"/>
  <c r="J3" i="9"/>
  <c r="I4" i="9"/>
  <c r="J3" i="8"/>
  <c r="J4" i="8"/>
  <c r="I4" i="7"/>
  <c r="J3" i="7"/>
  <c r="I3" i="6"/>
  <c r="H4" i="6"/>
  <c r="D4" i="5"/>
  <c r="E3" i="5"/>
  <c r="D4" i="3"/>
  <c r="E3" i="3"/>
  <c r="E3" i="2"/>
  <c r="D4" i="2"/>
  <c r="E4" i="1"/>
  <c r="F3" i="1"/>
  <c r="J4" i="9"/>
  <c r="K3" i="9"/>
  <c r="K3" i="8"/>
  <c r="K4" i="8"/>
  <c r="J4" i="7"/>
  <c r="K3" i="7"/>
  <c r="J3" i="6"/>
  <c r="I4" i="6"/>
  <c r="E4" i="5"/>
  <c r="F3" i="5"/>
  <c r="E4" i="3"/>
  <c r="F3" i="3"/>
  <c r="E4" i="2"/>
  <c r="F3" i="2"/>
  <c r="G3" i="1"/>
  <c r="F4" i="1"/>
  <c r="K4" i="9"/>
  <c r="L3" i="9"/>
  <c r="L3" i="8"/>
  <c r="L4" i="8"/>
  <c r="K4" i="7"/>
  <c r="L3" i="7"/>
  <c r="J4" i="6"/>
  <c r="K3" i="6"/>
  <c r="F4" i="5"/>
  <c r="G3" i="5"/>
  <c r="G3" i="3"/>
  <c r="F4" i="3"/>
  <c r="F4" i="2"/>
  <c r="G3" i="2"/>
  <c r="G4" i="1"/>
  <c r="H3" i="1"/>
  <c r="L4" i="9"/>
  <c r="M3" i="9"/>
  <c r="M3" i="8"/>
  <c r="M4" i="8"/>
  <c r="L4" i="7"/>
  <c r="M3" i="7"/>
  <c r="K4" i="6"/>
  <c r="L3" i="6"/>
  <c r="H3" i="5"/>
  <c r="G4" i="5"/>
  <c r="G4" i="3"/>
  <c r="H3" i="3"/>
  <c r="G4" i="2"/>
  <c r="H3" i="2"/>
  <c r="I3" i="2"/>
  <c r="H4" i="1"/>
  <c r="I3" i="1"/>
  <c r="N3" i="9"/>
  <c r="M4" i="9"/>
  <c r="N3" i="8"/>
  <c r="N4" i="8"/>
  <c r="N3" i="7"/>
  <c r="M4" i="7"/>
  <c r="M3" i="6"/>
  <c r="L4" i="6"/>
  <c r="I3" i="5"/>
  <c r="H4" i="5"/>
  <c r="H4" i="3"/>
  <c r="I3" i="3"/>
  <c r="H4" i="2"/>
  <c r="I4" i="1"/>
  <c r="J3" i="1"/>
  <c r="N4" i="9"/>
  <c r="O3" i="9"/>
  <c r="O3" i="8"/>
  <c r="O4" i="8"/>
  <c r="O3" i="7"/>
  <c r="N4" i="7"/>
  <c r="N3" i="6"/>
  <c r="M4" i="6"/>
  <c r="J3" i="5"/>
  <c r="I4" i="5"/>
  <c r="J3" i="3"/>
  <c r="I4" i="3"/>
  <c r="I4" i="2"/>
  <c r="J3" i="2"/>
  <c r="K3" i="1"/>
  <c r="J4" i="1"/>
  <c r="O4" i="9"/>
  <c r="P3" i="9"/>
  <c r="P3" i="8"/>
  <c r="P4" i="8"/>
  <c r="P3" i="7"/>
  <c r="O4" i="7"/>
  <c r="O3" i="6"/>
  <c r="N4" i="6"/>
  <c r="K3" i="5"/>
  <c r="J4" i="5"/>
  <c r="J4" i="3"/>
  <c r="K3" i="3"/>
  <c r="J4" i="2"/>
  <c r="K3" i="2"/>
  <c r="L3" i="1"/>
  <c r="K4" i="1"/>
  <c r="Q3" i="9"/>
  <c r="P4" i="9"/>
  <c r="Q3" i="8"/>
  <c r="Q4" i="8"/>
  <c r="Q3" i="7"/>
  <c r="P4" i="7"/>
  <c r="P3" i="6"/>
  <c r="O4" i="6"/>
  <c r="L3" i="5"/>
  <c r="K4" i="5"/>
  <c r="K4" i="3"/>
  <c r="L3" i="3"/>
  <c r="K4" i="2"/>
  <c r="L3" i="2"/>
  <c r="L4" i="1"/>
  <c r="M3" i="1"/>
  <c r="R3" i="9"/>
  <c r="Q4" i="9"/>
  <c r="R3" i="8"/>
  <c r="R4" i="8"/>
  <c r="R3" i="7"/>
  <c r="Q4" i="7"/>
  <c r="Q3" i="6"/>
  <c r="P4" i="6"/>
  <c r="L4" i="5"/>
  <c r="M3" i="5"/>
  <c r="L4" i="3"/>
  <c r="M3" i="3"/>
  <c r="M3" i="2"/>
  <c r="L4" i="2"/>
  <c r="N3" i="1"/>
  <c r="M4" i="1"/>
  <c r="S3" i="9"/>
  <c r="R4" i="9"/>
  <c r="S3" i="8"/>
  <c r="S4" i="8"/>
  <c r="S3" i="7"/>
  <c r="R4" i="7"/>
  <c r="R3" i="6"/>
  <c r="Q4" i="6"/>
  <c r="M4" i="5"/>
  <c r="N3" i="5"/>
  <c r="N3" i="3"/>
  <c r="M4" i="3"/>
  <c r="M4" i="2"/>
  <c r="N3" i="2"/>
  <c r="O3" i="1"/>
  <c r="N4" i="1"/>
  <c r="S4" i="9"/>
  <c r="T3" i="9"/>
  <c r="T3" i="8"/>
  <c r="T4" i="8"/>
  <c r="S4" i="7"/>
  <c r="T3" i="7"/>
  <c r="R4" i="6"/>
  <c r="S3" i="6"/>
  <c r="N4" i="5"/>
  <c r="O3" i="5"/>
  <c r="O3" i="3"/>
  <c r="N4" i="3"/>
  <c r="N4" i="2"/>
  <c r="O3" i="2"/>
  <c r="O4" i="1"/>
  <c r="P3" i="1"/>
  <c r="U3" i="9"/>
  <c r="T4" i="9"/>
  <c r="U3" i="8"/>
  <c r="U4" i="8"/>
  <c r="T4" i="7"/>
  <c r="U3" i="7"/>
  <c r="S4" i="6"/>
  <c r="T3" i="6"/>
  <c r="O4" i="5"/>
  <c r="P3" i="5"/>
  <c r="O4" i="3"/>
  <c r="P3" i="3"/>
  <c r="O4" i="2"/>
  <c r="P3" i="2"/>
  <c r="P4" i="1"/>
  <c r="Q3" i="1"/>
  <c r="V3" i="9"/>
  <c r="U4" i="9"/>
  <c r="V3" i="8"/>
  <c r="V4" i="8"/>
  <c r="U4" i="7"/>
  <c r="V3" i="7"/>
  <c r="T4" i="6"/>
  <c r="U3" i="6"/>
  <c r="P4" i="5"/>
  <c r="Q3" i="5"/>
  <c r="Q3" i="3"/>
  <c r="P4" i="3"/>
  <c r="Q3" i="2"/>
  <c r="P4" i="2"/>
  <c r="Q4" i="1"/>
  <c r="R3" i="1"/>
  <c r="V4" i="9"/>
  <c r="W3" i="9"/>
  <c r="W3" i="8"/>
  <c r="W4" i="8"/>
  <c r="V4" i="7"/>
  <c r="W3" i="7"/>
  <c r="U4" i="6"/>
  <c r="V3" i="6"/>
  <c r="Q4" i="5"/>
  <c r="R3" i="5"/>
  <c r="R3" i="3"/>
  <c r="Q4" i="3"/>
  <c r="Q4" i="2"/>
  <c r="R3" i="2"/>
  <c r="S3" i="1"/>
  <c r="R4" i="1"/>
  <c r="W4" i="9"/>
  <c r="X3" i="9"/>
  <c r="X3" i="8"/>
  <c r="X4" i="8"/>
  <c r="W4" i="7"/>
  <c r="X3" i="7"/>
  <c r="V4" i="6"/>
  <c r="W3" i="6"/>
  <c r="S3" i="5"/>
  <c r="R4" i="5"/>
  <c r="S3" i="3"/>
  <c r="R4" i="3"/>
  <c r="R4" i="2"/>
  <c r="S3" i="2"/>
  <c r="T3" i="1"/>
  <c r="S4" i="1"/>
  <c r="X4" i="9"/>
  <c r="Y3" i="9"/>
  <c r="Y3" i="8"/>
  <c r="Y4" i="8"/>
  <c r="X4" i="7"/>
  <c r="Y3" i="7"/>
  <c r="W4" i="6"/>
  <c r="X3" i="6"/>
  <c r="T3" i="5"/>
  <c r="S4" i="5"/>
  <c r="S4" i="3"/>
  <c r="T3" i="3"/>
  <c r="S4" i="2"/>
  <c r="T3" i="2"/>
  <c r="T4" i="1"/>
  <c r="U3" i="1"/>
  <c r="Z3" i="9"/>
  <c r="Y4" i="9"/>
  <c r="Z3" i="8"/>
  <c r="Z4" i="8"/>
  <c r="Z3" i="7"/>
  <c r="Y4" i="7"/>
  <c r="X4" i="6"/>
  <c r="Y3" i="6"/>
  <c r="U3" i="5"/>
  <c r="T4" i="5"/>
  <c r="T4" i="3"/>
  <c r="U3" i="3"/>
  <c r="U3" i="2"/>
  <c r="T4" i="2"/>
  <c r="U4" i="1"/>
  <c r="V3" i="1"/>
  <c r="Z4" i="9"/>
  <c r="AA3" i="9"/>
  <c r="AA3" i="8"/>
  <c r="AA4" i="8"/>
  <c r="AA3" i="7"/>
  <c r="Z4" i="7"/>
  <c r="Z3" i="6"/>
  <c r="Y4" i="6"/>
  <c r="V3" i="5"/>
  <c r="U4" i="5"/>
  <c r="V3" i="3"/>
  <c r="U4" i="3"/>
  <c r="U4" i="2"/>
  <c r="V3" i="2"/>
  <c r="W3" i="1"/>
  <c r="V4" i="1"/>
  <c r="AA4" i="9"/>
  <c r="AB3" i="9"/>
  <c r="AB3" i="8"/>
  <c r="AB3" i="7"/>
  <c r="AA4" i="7"/>
  <c r="AA3" i="6"/>
  <c r="Z4" i="6"/>
  <c r="W3" i="5"/>
  <c r="V4" i="5"/>
  <c r="W3" i="3"/>
  <c r="V4" i="3"/>
  <c r="V4" i="2"/>
  <c r="W3" i="2"/>
  <c r="W4" i="1"/>
  <c r="X3" i="1"/>
  <c r="AC3" i="9"/>
  <c r="AB4" i="9"/>
  <c r="AB4" i="8"/>
  <c r="AC3" i="8"/>
  <c r="AC3" i="7"/>
  <c r="AB4" i="7"/>
  <c r="AB3" i="6"/>
  <c r="AA4" i="6"/>
  <c r="X3" i="5"/>
  <c r="W4" i="5"/>
  <c r="W4" i="3"/>
  <c r="X3" i="3"/>
  <c r="W4" i="2"/>
  <c r="X3" i="2"/>
  <c r="X4" i="1"/>
  <c r="Y3" i="1"/>
  <c r="AD3" i="9"/>
  <c r="AC4" i="9"/>
  <c r="AD3" i="8"/>
  <c r="AC4" i="8"/>
  <c r="AC4" i="7"/>
  <c r="AC3" i="6"/>
  <c r="AB4" i="6"/>
  <c r="X4" i="5"/>
  <c r="Y3" i="5"/>
  <c r="X4" i="3"/>
  <c r="Y3" i="3"/>
  <c r="Y3" i="2"/>
  <c r="X4" i="2"/>
  <c r="Y4" i="1"/>
  <c r="Z3" i="1"/>
  <c r="AE3" i="9"/>
  <c r="AD4" i="9"/>
  <c r="AE3" i="8"/>
  <c r="AD4" i="8"/>
  <c r="AD3" i="6"/>
  <c r="AC4" i="6"/>
  <c r="Z3" i="5"/>
  <c r="Y4" i="5"/>
  <c r="Z3" i="3"/>
  <c r="Y4" i="3"/>
  <c r="Y4" i="2"/>
  <c r="Z3" i="2"/>
  <c r="AA3" i="1"/>
  <c r="Z4" i="1"/>
  <c r="AE4" i="9"/>
  <c r="AF3" i="8"/>
  <c r="AF4" i="8"/>
  <c r="AE4" i="8"/>
  <c r="AD4" i="6"/>
  <c r="AE3" i="6"/>
  <c r="AA3" i="5"/>
  <c r="Z4" i="5"/>
  <c r="AA3" i="3"/>
  <c r="Z4" i="3"/>
  <c r="Z4" i="2"/>
  <c r="AA3" i="2"/>
  <c r="AB3" i="1"/>
  <c r="AA4" i="1"/>
  <c r="AE4" i="6"/>
  <c r="AF3" i="6"/>
  <c r="AF4" i="6"/>
  <c r="AA4" i="5"/>
  <c r="AB3" i="5"/>
  <c r="AA4" i="3"/>
  <c r="AB3" i="3"/>
  <c r="AA4" i="2"/>
  <c r="AB3" i="2"/>
  <c r="AB4" i="1"/>
  <c r="AC3" i="1"/>
  <c r="AB4" i="5"/>
  <c r="AC3" i="5"/>
  <c r="AB4" i="3"/>
  <c r="AC3" i="3"/>
  <c r="AC3" i="2"/>
  <c r="AB4" i="2"/>
  <c r="AC4" i="1"/>
  <c r="AD3" i="1"/>
  <c r="AC4" i="5"/>
  <c r="AD3" i="5"/>
  <c r="AD3" i="3"/>
  <c r="AC4" i="3"/>
  <c r="AC4" i="2"/>
  <c r="AD3" i="2"/>
  <c r="AE3" i="1"/>
  <c r="AD4" i="1"/>
  <c r="AD4" i="5"/>
  <c r="AE3" i="5"/>
  <c r="AE3" i="3"/>
  <c r="AD4" i="3"/>
  <c r="AD4" i="2"/>
  <c r="AE3" i="2"/>
  <c r="AE4" i="1"/>
  <c r="AE4" i="5"/>
  <c r="AF3" i="5"/>
  <c r="AF4" i="5"/>
  <c r="AE4" i="3"/>
  <c r="AE4" i="2"/>
  <c r="AF3" i="2"/>
  <c r="AF4" i="2"/>
  <c r="I24" i="9"/>
  <c r="I25" i="9"/>
  <c r="H24" i="9"/>
  <c r="H25" i="9"/>
  <c r="G24" i="9"/>
  <c r="G25" i="9"/>
  <c r="F4" i="17"/>
  <c r="G3" i="17"/>
  <c r="G3" i="16"/>
  <c r="F4" i="16"/>
  <c r="F3" i="15"/>
  <c r="E4" i="15"/>
  <c r="F4" i="14"/>
  <c r="G3" i="14"/>
  <c r="F3" i="13"/>
  <c r="E4" i="13"/>
  <c r="AF24" i="12"/>
  <c r="AF25" i="12"/>
  <c r="Y24" i="12"/>
  <c r="Y25" i="12"/>
  <c r="Z24" i="12"/>
  <c r="Z25" i="12"/>
  <c r="X24" i="12"/>
  <c r="X25" i="12"/>
  <c r="B4" i="12"/>
  <c r="W24" i="12"/>
  <c r="W25" i="12"/>
  <c r="AE24" i="12"/>
  <c r="AE25" i="12"/>
  <c r="C24" i="12"/>
  <c r="C25" i="12"/>
  <c r="U24" i="12"/>
  <c r="U25" i="12"/>
  <c r="AA24" i="12"/>
  <c r="AA25" i="12"/>
  <c r="T24" i="12"/>
  <c r="T25" i="12"/>
  <c r="K24" i="12"/>
  <c r="K25" i="12"/>
  <c r="L24" i="12"/>
  <c r="L25" i="12"/>
  <c r="H24" i="12"/>
  <c r="H25" i="12"/>
  <c r="M24" i="12"/>
  <c r="M25" i="12"/>
  <c r="O24" i="12"/>
  <c r="O25" i="12"/>
  <c r="N24" i="12"/>
  <c r="N25" i="12"/>
  <c r="D24" i="12"/>
  <c r="D25" i="12"/>
  <c r="P24" i="12"/>
  <c r="P25" i="12"/>
  <c r="AB24" i="12"/>
  <c r="AB25" i="12"/>
  <c r="AC24" i="12"/>
  <c r="AC25" i="12"/>
  <c r="AD24" i="12"/>
  <c r="AD25" i="12"/>
  <c r="B24" i="12"/>
  <c r="B25" i="12"/>
  <c r="AG23" i="12"/>
  <c r="I24" i="12"/>
  <c r="I25" i="12"/>
  <c r="J24" i="12"/>
  <c r="J25" i="12"/>
  <c r="G24" i="12"/>
  <c r="G25" i="12"/>
  <c r="AB24" i="11"/>
  <c r="AB25" i="11"/>
  <c r="AC24" i="11"/>
  <c r="AC25" i="11"/>
  <c r="AA24" i="11"/>
  <c r="AA25" i="11"/>
  <c r="S24" i="12"/>
  <c r="S25" i="12"/>
  <c r="AG12" i="12"/>
  <c r="E24" i="12"/>
  <c r="E25" i="12"/>
  <c r="Q24" i="12"/>
  <c r="Q25" i="12"/>
  <c r="F24" i="12"/>
  <c r="F25" i="12"/>
  <c r="R24" i="12"/>
  <c r="R25" i="12"/>
  <c r="AH15" i="12"/>
  <c r="AH23" i="12"/>
  <c r="AH10" i="12"/>
  <c r="AH12" i="12"/>
  <c r="V24" i="12"/>
  <c r="V25" i="12"/>
  <c r="D3" i="12"/>
  <c r="C4" i="12"/>
  <c r="AF24" i="11"/>
  <c r="AF25" i="11"/>
  <c r="Y24" i="11"/>
  <c r="Y25" i="11"/>
  <c r="Z24" i="11"/>
  <c r="Z25" i="11"/>
  <c r="AD24" i="11"/>
  <c r="AD25" i="11"/>
  <c r="X24" i="11"/>
  <c r="X25" i="11"/>
  <c r="V24" i="11"/>
  <c r="V25" i="11"/>
  <c r="Q24" i="11"/>
  <c r="Q25" i="11"/>
  <c r="W24" i="11"/>
  <c r="W25" i="11"/>
  <c r="N24" i="11"/>
  <c r="N25" i="11"/>
  <c r="U24" i="11"/>
  <c r="U25" i="11"/>
  <c r="I24" i="11"/>
  <c r="I25" i="11"/>
  <c r="J24" i="11"/>
  <c r="J25" i="11"/>
  <c r="K24" i="11"/>
  <c r="K25" i="11"/>
  <c r="L24" i="11"/>
  <c r="L25" i="11"/>
  <c r="D24" i="11"/>
  <c r="D25" i="11"/>
  <c r="C24" i="11"/>
  <c r="C25" i="11"/>
  <c r="R24" i="11"/>
  <c r="R25" i="11"/>
  <c r="H24" i="11"/>
  <c r="H25" i="11"/>
  <c r="T24" i="11"/>
  <c r="T25" i="11"/>
  <c r="AG12" i="11"/>
  <c r="AF24" i="10"/>
  <c r="AF25" i="10"/>
  <c r="AE24" i="10"/>
  <c r="AE25" i="10"/>
  <c r="F24" i="11"/>
  <c r="F25" i="11"/>
  <c r="G24" i="11"/>
  <c r="G25" i="11"/>
  <c r="S24" i="11"/>
  <c r="S25" i="11"/>
  <c r="AE24" i="11"/>
  <c r="AE25" i="11"/>
  <c r="AG23" i="11"/>
  <c r="AH23" i="11"/>
  <c r="AH9" i="11"/>
  <c r="B24" i="11"/>
  <c r="B25" i="11"/>
  <c r="AH12" i="11"/>
  <c r="D3" i="11"/>
  <c r="C4" i="11"/>
  <c r="B4" i="11"/>
  <c r="AC24" i="10"/>
  <c r="AC25" i="10"/>
  <c r="B4" i="10"/>
  <c r="U24" i="10"/>
  <c r="U25" i="10"/>
  <c r="V24" i="10"/>
  <c r="V25" i="10"/>
  <c r="T24" i="10"/>
  <c r="T25" i="10"/>
  <c r="Q24" i="10"/>
  <c r="Q25" i="10"/>
  <c r="J24" i="10"/>
  <c r="J25" i="10"/>
  <c r="I24" i="10"/>
  <c r="I25" i="10"/>
  <c r="G24" i="10"/>
  <c r="G25" i="10"/>
  <c r="S24" i="10"/>
  <c r="S25" i="10"/>
  <c r="K24" i="10"/>
  <c r="K25" i="10"/>
  <c r="W24" i="10"/>
  <c r="W25" i="10"/>
  <c r="X24" i="10"/>
  <c r="X25" i="10"/>
  <c r="L24" i="10"/>
  <c r="L25" i="10"/>
  <c r="AB24" i="10"/>
  <c r="AB25" i="10"/>
  <c r="P24" i="10"/>
  <c r="P25" i="10"/>
  <c r="D24" i="10"/>
  <c r="D25" i="10"/>
  <c r="AA24" i="10"/>
  <c r="AA25" i="10"/>
  <c r="O24" i="10"/>
  <c r="O25" i="10"/>
  <c r="N24" i="10"/>
  <c r="N25" i="10"/>
  <c r="Y24" i="10"/>
  <c r="Y25" i="10"/>
  <c r="M24" i="10"/>
  <c r="M25" i="10"/>
  <c r="AG23" i="10"/>
  <c r="AD24" i="10"/>
  <c r="AD25" i="10"/>
  <c r="R24" i="10"/>
  <c r="R25" i="10"/>
  <c r="F24" i="10"/>
  <c r="F25" i="10"/>
  <c r="AH16" i="10"/>
  <c r="B24" i="10"/>
  <c r="B25" i="10"/>
  <c r="C4" i="10"/>
  <c r="D3" i="10"/>
  <c r="AH12" i="10"/>
  <c r="AG12" i="10"/>
  <c r="AD24" i="9"/>
  <c r="AD25" i="9"/>
  <c r="AE24" i="9"/>
  <c r="AE25" i="9"/>
  <c r="AB24" i="9"/>
  <c r="AB25" i="9"/>
  <c r="AC24" i="9"/>
  <c r="AC25" i="9"/>
  <c r="T24" i="9"/>
  <c r="T25" i="9"/>
  <c r="AA24" i="9"/>
  <c r="AA25" i="9"/>
  <c r="R24" i="9"/>
  <c r="R25" i="9"/>
  <c r="S24" i="9"/>
  <c r="S25" i="9"/>
  <c r="X24" i="9"/>
  <c r="X25" i="9"/>
  <c r="Y24" i="9"/>
  <c r="Y25" i="9"/>
  <c r="Q24" i="9"/>
  <c r="Q25" i="9"/>
  <c r="V24" i="9"/>
  <c r="V25" i="9"/>
  <c r="W24" i="9"/>
  <c r="W25" i="9"/>
  <c r="AF23" i="9"/>
  <c r="P24" i="9"/>
  <c r="P25" i="9"/>
  <c r="U24" i="9"/>
  <c r="U25" i="9"/>
  <c r="M24" i="9"/>
  <c r="M25" i="9"/>
  <c r="N24" i="9"/>
  <c r="N25" i="9"/>
  <c r="O24" i="9"/>
  <c r="O25" i="9"/>
  <c r="AG12" i="9"/>
  <c r="AF12" i="9"/>
  <c r="G4" i="17"/>
  <c r="H3" i="17"/>
  <c r="G4" i="16"/>
  <c r="H3" i="16"/>
  <c r="G3" i="15"/>
  <c r="F4" i="15"/>
  <c r="H3" i="14"/>
  <c r="G4" i="14"/>
  <c r="G3" i="13"/>
  <c r="F4" i="13"/>
  <c r="AG24" i="12"/>
  <c r="AG25" i="12"/>
  <c r="D4" i="12"/>
  <c r="E3" i="12"/>
  <c r="AG24" i="11"/>
  <c r="AG25" i="11"/>
  <c r="AG25" i="10"/>
  <c r="E3" i="11"/>
  <c r="D4" i="11"/>
  <c r="AG24" i="10"/>
  <c r="D4" i="10"/>
  <c r="E3" i="10"/>
  <c r="AF24" i="9"/>
  <c r="H4" i="17"/>
  <c r="I3" i="17"/>
  <c r="H4" i="16"/>
  <c r="I3" i="16"/>
  <c r="G4" i="15"/>
  <c r="H3" i="15"/>
  <c r="H4" i="14"/>
  <c r="I3" i="14"/>
  <c r="G4" i="13"/>
  <c r="H3" i="13"/>
  <c r="F3" i="12"/>
  <c r="E4" i="12"/>
  <c r="F3" i="11"/>
  <c r="E4" i="11"/>
  <c r="E4" i="10"/>
  <c r="F3" i="10"/>
  <c r="I4" i="17"/>
  <c r="J3" i="17"/>
  <c r="I4" i="16"/>
  <c r="J3" i="16"/>
  <c r="I3" i="15"/>
  <c r="H4" i="15"/>
  <c r="I4" i="14"/>
  <c r="J3" i="14"/>
  <c r="H4" i="13"/>
  <c r="I3" i="13"/>
  <c r="G3" i="12"/>
  <c r="F4" i="12"/>
  <c r="G3" i="11"/>
  <c r="F4" i="11"/>
  <c r="F4" i="10"/>
  <c r="G3" i="10"/>
  <c r="K3" i="17"/>
  <c r="J4" i="17"/>
  <c r="J4" i="16"/>
  <c r="K3" i="16"/>
  <c r="J3" i="15"/>
  <c r="I4" i="15"/>
  <c r="K3" i="14"/>
  <c r="J4" i="14"/>
  <c r="I4" i="13"/>
  <c r="J3" i="13"/>
  <c r="G4" i="12"/>
  <c r="H3" i="12"/>
  <c r="H3" i="11"/>
  <c r="G4" i="11"/>
  <c r="H3" i="10"/>
  <c r="G4" i="10"/>
  <c r="K4" i="17"/>
  <c r="L3" i="17"/>
  <c r="K4" i="16"/>
  <c r="L3" i="16"/>
  <c r="J4" i="15"/>
  <c r="K3" i="15"/>
  <c r="L3" i="14"/>
  <c r="K4" i="14"/>
  <c r="J4" i="13"/>
  <c r="K3" i="13"/>
  <c r="H4" i="12"/>
  <c r="I3" i="12"/>
  <c r="H4" i="11"/>
  <c r="I3" i="11"/>
  <c r="I3" i="10"/>
  <c r="H4" i="10"/>
  <c r="M3" i="17"/>
  <c r="L4" i="17"/>
  <c r="L4" i="16"/>
  <c r="M3" i="16"/>
  <c r="K4" i="15"/>
  <c r="L3" i="15"/>
  <c r="L4" i="14"/>
  <c r="M3" i="14"/>
  <c r="L3" i="13"/>
  <c r="K4" i="13"/>
  <c r="J3" i="12"/>
  <c r="I4" i="12"/>
  <c r="I4" i="11"/>
  <c r="J3" i="11"/>
  <c r="J3" i="10"/>
  <c r="I4" i="10"/>
  <c r="N3" i="17"/>
  <c r="M4" i="17"/>
  <c r="N3" i="16"/>
  <c r="M4" i="16"/>
  <c r="M3" i="15"/>
  <c r="L4" i="15"/>
  <c r="M4" i="14"/>
  <c r="N3" i="14"/>
  <c r="L4" i="13"/>
  <c r="M3" i="13"/>
  <c r="K3" i="12"/>
  <c r="J4" i="12"/>
  <c r="J4" i="11"/>
  <c r="K3" i="11"/>
  <c r="K3" i="10"/>
  <c r="J4" i="10"/>
  <c r="O3" i="17"/>
  <c r="N4" i="17"/>
  <c r="O3" i="16"/>
  <c r="N4" i="16"/>
  <c r="M4" i="15"/>
  <c r="N3" i="15"/>
  <c r="O3" i="14"/>
  <c r="N4" i="14"/>
  <c r="N3" i="13"/>
  <c r="M4" i="13"/>
  <c r="K4" i="12"/>
  <c r="L3" i="12"/>
  <c r="K4" i="11"/>
  <c r="L3" i="11"/>
  <c r="L3" i="10"/>
  <c r="K4" i="10"/>
  <c r="P3" i="17"/>
  <c r="O4" i="17"/>
  <c r="P3" i="16"/>
  <c r="O4" i="16"/>
  <c r="N4" i="15"/>
  <c r="O3" i="15"/>
  <c r="O4" i="14"/>
  <c r="P3" i="14"/>
  <c r="N4" i="13"/>
  <c r="O3" i="13"/>
  <c r="L4" i="12"/>
  <c r="M3" i="12"/>
  <c r="L4" i="11"/>
  <c r="M3" i="11"/>
  <c r="L4" i="10"/>
  <c r="M3" i="10"/>
  <c r="P4" i="17"/>
  <c r="Q3" i="17"/>
  <c r="Q3" i="16"/>
  <c r="P4" i="16"/>
  <c r="O4" i="15"/>
  <c r="P3" i="15"/>
  <c r="P4" i="14"/>
  <c r="Q3" i="14"/>
  <c r="P3" i="13"/>
  <c r="O4" i="13"/>
  <c r="N3" i="12"/>
  <c r="M4" i="12"/>
  <c r="N3" i="11"/>
  <c r="M4" i="11"/>
  <c r="M4" i="10"/>
  <c r="N3" i="10"/>
  <c r="R3" i="17"/>
  <c r="Q4" i="17"/>
  <c r="Q4" i="16"/>
  <c r="R3" i="16"/>
  <c r="P4" i="15"/>
  <c r="Q3" i="15"/>
  <c r="Q4" i="14"/>
  <c r="R3" i="14"/>
  <c r="Q3" i="13"/>
  <c r="P4" i="13"/>
  <c r="O3" i="12"/>
  <c r="N4" i="12"/>
  <c r="O3" i="11"/>
  <c r="N4" i="11"/>
  <c r="N4" i="10"/>
  <c r="O3" i="10"/>
  <c r="R4" i="17"/>
  <c r="S3" i="17"/>
  <c r="S3" i="16"/>
  <c r="R4" i="16"/>
  <c r="R3" i="15"/>
  <c r="Q4" i="15"/>
  <c r="R4" i="14"/>
  <c r="S3" i="14"/>
  <c r="Q4" i="13"/>
  <c r="R3" i="13"/>
  <c r="P3" i="12"/>
  <c r="O4" i="12"/>
  <c r="P3" i="11"/>
  <c r="O4" i="11"/>
  <c r="O4" i="10"/>
  <c r="P3" i="10"/>
  <c r="S4" i="17"/>
  <c r="T3" i="17"/>
  <c r="S4" i="16"/>
  <c r="T3" i="16"/>
  <c r="S3" i="15"/>
  <c r="R4" i="15"/>
  <c r="T3" i="14"/>
  <c r="S4" i="14"/>
  <c r="S3" i="13"/>
  <c r="R4" i="13"/>
  <c r="P4" i="12"/>
  <c r="Q3" i="12"/>
  <c r="Q3" i="11"/>
  <c r="P4" i="11"/>
  <c r="P4" i="10"/>
  <c r="Q3" i="10"/>
  <c r="T4" i="17"/>
  <c r="U3" i="17"/>
  <c r="T4" i="16"/>
  <c r="U3" i="16"/>
  <c r="S4" i="15"/>
  <c r="T3" i="15"/>
  <c r="T4" i="14"/>
  <c r="U3" i="14"/>
  <c r="T3" i="13"/>
  <c r="S4" i="13"/>
  <c r="R3" i="12"/>
  <c r="Q4" i="12"/>
  <c r="R3" i="11"/>
  <c r="Q4" i="11"/>
  <c r="Q4" i="10"/>
  <c r="R3" i="10"/>
  <c r="V3" i="17"/>
  <c r="U4" i="17"/>
  <c r="U4" i="16"/>
  <c r="V3" i="16"/>
  <c r="U3" i="15"/>
  <c r="T4" i="15"/>
  <c r="U4" i="14"/>
  <c r="V3" i="14"/>
  <c r="T4" i="13"/>
  <c r="U3" i="13"/>
  <c r="S3" i="12"/>
  <c r="R4" i="12"/>
  <c r="S3" i="11"/>
  <c r="R4" i="11"/>
  <c r="R4" i="10"/>
  <c r="S3" i="10"/>
  <c r="W3" i="17"/>
  <c r="V4" i="17"/>
  <c r="V4" i="16"/>
  <c r="W3" i="16"/>
  <c r="V3" i="15"/>
  <c r="U4" i="15"/>
  <c r="W3" i="14"/>
  <c r="V4" i="14"/>
  <c r="U4" i="13"/>
  <c r="V3" i="13"/>
  <c r="S4" i="12"/>
  <c r="T3" i="12"/>
  <c r="S4" i="11"/>
  <c r="T3" i="11"/>
  <c r="T3" i="10"/>
  <c r="S4" i="10"/>
  <c r="W4" i="17"/>
  <c r="X3" i="17"/>
  <c r="X3" i="16"/>
  <c r="W4" i="16"/>
  <c r="V4" i="15"/>
  <c r="W3" i="15"/>
  <c r="X3" i="14"/>
  <c r="W4" i="14"/>
  <c r="W3" i="13"/>
  <c r="V4" i="13"/>
  <c r="T4" i="12"/>
  <c r="U3" i="12"/>
  <c r="T4" i="11"/>
  <c r="U3" i="11"/>
  <c r="U3" i="10"/>
  <c r="T4" i="10"/>
  <c r="Y3" i="17"/>
  <c r="X4" i="17"/>
  <c r="X4" i="16"/>
  <c r="Y3" i="16"/>
  <c r="W4" i="15"/>
  <c r="X3" i="15"/>
  <c r="Y3" i="14"/>
  <c r="X4" i="14"/>
  <c r="W4" i="13"/>
  <c r="X3" i="13"/>
  <c r="U4" i="12"/>
  <c r="V3" i="12"/>
  <c r="U4" i="11"/>
  <c r="V3" i="11"/>
  <c r="V3" i="10"/>
  <c r="U4" i="10"/>
  <c r="Z3" i="17"/>
  <c r="Y4" i="17"/>
  <c r="Z3" i="16"/>
  <c r="Y4" i="16"/>
  <c r="Y3" i="15"/>
  <c r="X4" i="15"/>
  <c r="Y4" i="14"/>
  <c r="Z3" i="14"/>
  <c r="X4" i="13"/>
  <c r="Y3" i="13"/>
  <c r="W3" i="12"/>
  <c r="V4" i="12"/>
  <c r="V4" i="11"/>
  <c r="W3" i="11"/>
  <c r="W3" i="10"/>
  <c r="V4" i="10"/>
  <c r="AA3" i="17"/>
  <c r="Z4" i="17"/>
  <c r="AA3" i="16"/>
  <c r="Z4" i="16"/>
  <c r="Y4" i="15"/>
  <c r="Z3" i="15"/>
  <c r="AA3" i="14"/>
  <c r="Z4" i="14"/>
  <c r="Z3" i="13"/>
  <c r="Y4" i="13"/>
  <c r="W4" i="12"/>
  <c r="X3" i="12"/>
  <c r="W4" i="11"/>
  <c r="X3" i="11"/>
  <c r="X3" i="10"/>
  <c r="W4" i="10"/>
  <c r="AA4" i="17"/>
  <c r="AB3" i="17"/>
  <c r="AB3" i="16"/>
  <c r="AA4" i="16"/>
  <c r="Z4" i="15"/>
  <c r="AA3" i="15"/>
  <c r="AB3" i="14"/>
  <c r="AA4" i="14"/>
  <c r="AA3" i="13"/>
  <c r="Z4" i="13"/>
  <c r="X4" i="12"/>
  <c r="Y3" i="12"/>
  <c r="X4" i="11"/>
  <c r="Y3" i="11"/>
  <c r="X4" i="10"/>
  <c r="Y3" i="10"/>
  <c r="AB4" i="17"/>
  <c r="AC3" i="17"/>
  <c r="AC3" i="16"/>
  <c r="AB4" i="16"/>
  <c r="AA4" i="15"/>
  <c r="AB3" i="15"/>
  <c r="AC3" i="14"/>
  <c r="AB4" i="14"/>
  <c r="AB3" i="13"/>
  <c r="AA4" i="13"/>
  <c r="Z3" i="12"/>
  <c r="Y4" i="12"/>
  <c r="Z3" i="11"/>
  <c r="Y4" i="11"/>
  <c r="Y4" i="10"/>
  <c r="Z3" i="10"/>
  <c r="AD3" i="17"/>
  <c r="AC4" i="17"/>
  <c r="AD3" i="16"/>
  <c r="AC4" i="16"/>
  <c r="AB4" i="15"/>
  <c r="AC3" i="15"/>
  <c r="AD3" i="14"/>
  <c r="AC4" i="14"/>
  <c r="AC3" i="13"/>
  <c r="AB4" i="13"/>
  <c r="AA3" i="12"/>
  <c r="Z4" i="12"/>
  <c r="AA3" i="11"/>
  <c r="Z4" i="11"/>
  <c r="Z4" i="10"/>
  <c r="AA3" i="10"/>
  <c r="AD4" i="17"/>
  <c r="AE3" i="17"/>
  <c r="AE3" i="16"/>
  <c r="AD4" i="16"/>
  <c r="AD3" i="15"/>
  <c r="AC4" i="15"/>
  <c r="AE3" i="14"/>
  <c r="AD4" i="14"/>
  <c r="AD3" i="13"/>
  <c r="AC4" i="13"/>
  <c r="AA4" i="12"/>
  <c r="AB3" i="12"/>
  <c r="AB3" i="11"/>
  <c r="AA4" i="11"/>
  <c r="AA4" i="10"/>
  <c r="AB3" i="10"/>
  <c r="AF3" i="17"/>
  <c r="AF4" i="17"/>
  <c r="AE4" i="17"/>
  <c r="AE4" i="16"/>
  <c r="AE3" i="15"/>
  <c r="AE4" i="15"/>
  <c r="AD4" i="15"/>
  <c r="AE4" i="14"/>
  <c r="AE3" i="13"/>
  <c r="AD4" i="13"/>
  <c r="AB4" i="12"/>
  <c r="AC3" i="12"/>
  <c r="AC3" i="11"/>
  <c r="AB4" i="11"/>
  <c r="AB4" i="10"/>
  <c r="AC3" i="10"/>
  <c r="AE4" i="13"/>
  <c r="AF3" i="13"/>
  <c r="AF4" i="13"/>
  <c r="AD3" i="12"/>
  <c r="AC4" i="12"/>
  <c r="AD3" i="11"/>
  <c r="AC4" i="11"/>
  <c r="AC4" i="10"/>
  <c r="AD3" i="10"/>
  <c r="AE3" i="12"/>
  <c r="AD4" i="12"/>
  <c r="AE3" i="11"/>
  <c r="AD4" i="11"/>
  <c r="AE3" i="10"/>
  <c r="C24" i="10"/>
  <c r="C25" i="10"/>
  <c r="AE4" i="12"/>
  <c r="AF3" i="12"/>
  <c r="AF4" i="12"/>
  <c r="AE4" i="11"/>
  <c r="AF3" i="11"/>
  <c r="AF4" i="11"/>
  <c r="AC24" i="50" l="1"/>
  <c r="AC25" i="50" s="1"/>
  <c r="AB24" i="50"/>
  <c r="AB25" i="50" s="1"/>
  <c r="AG23" i="50"/>
  <c r="AG12" i="50"/>
  <c r="B4" i="50"/>
  <c r="D3" i="50"/>
  <c r="C4" i="50"/>
  <c r="AH17" i="50"/>
  <c r="AH7" i="50"/>
  <c r="AH12" i="50" s="1"/>
  <c r="C24" i="49"/>
  <c r="C25" i="49" s="1"/>
  <c r="AE24" i="48"/>
  <c r="AE25" i="48" s="1"/>
  <c r="D24" i="49"/>
  <c r="D25" i="49" s="1"/>
  <c r="F24" i="49"/>
  <c r="F25" i="49" s="1"/>
  <c r="B24" i="49"/>
  <c r="B25" i="49" s="1"/>
  <c r="O24" i="49"/>
  <c r="O25" i="49" s="1"/>
  <c r="P24" i="49"/>
  <c r="P25" i="49" s="1"/>
  <c r="L24" i="49"/>
  <c r="L25" i="49" s="1"/>
  <c r="E24" i="49"/>
  <c r="E25" i="49" s="1"/>
  <c r="G24" i="49"/>
  <c r="G25" i="49" s="1"/>
  <c r="I24" i="49"/>
  <c r="I25" i="49" s="1"/>
  <c r="J24" i="49"/>
  <c r="J25" i="49" s="1"/>
  <c r="K24" i="49"/>
  <c r="K25" i="49" s="1"/>
  <c r="N24" i="49"/>
  <c r="N25" i="49" s="1"/>
  <c r="AH12" i="49"/>
  <c r="D3" i="49"/>
  <c r="C4" i="49"/>
  <c r="B4" i="49"/>
  <c r="AG12" i="49"/>
  <c r="AG23" i="49"/>
  <c r="S24" i="48"/>
  <c r="S25" i="48" s="1"/>
  <c r="T24" i="48"/>
  <c r="T25" i="48" s="1"/>
  <c r="U24" i="48"/>
  <c r="U25" i="48" s="1"/>
  <c r="V24" i="48"/>
  <c r="V25" i="48" s="1"/>
  <c r="W24" i="48"/>
  <c r="W25" i="48" s="1"/>
  <c r="X24" i="48"/>
  <c r="X25" i="48" s="1"/>
  <c r="Y24" i="48"/>
  <c r="Y25" i="48" s="1"/>
  <c r="Z24" i="48"/>
  <c r="Z25" i="48" s="1"/>
  <c r="AD24" i="47"/>
  <c r="AD25" i="47" s="1"/>
  <c r="AE24" i="47"/>
  <c r="AE25" i="47" s="1"/>
  <c r="AF24" i="47"/>
  <c r="AF25" i="47" s="1"/>
  <c r="O24" i="48"/>
  <c r="O25" i="48" s="1"/>
  <c r="L24" i="48"/>
  <c r="L25" i="48" s="1"/>
  <c r="M24" i="48"/>
  <c r="M25" i="48" s="1"/>
  <c r="AF24" i="48"/>
  <c r="AF25" i="48" s="1"/>
  <c r="B4" i="48"/>
  <c r="H24" i="48"/>
  <c r="H25" i="48" s="1"/>
  <c r="G24" i="48"/>
  <c r="G25" i="48" s="1"/>
  <c r="I24" i="48"/>
  <c r="I25" i="48" s="1"/>
  <c r="J24" i="48"/>
  <c r="J25" i="48" s="1"/>
  <c r="AG12" i="48"/>
  <c r="K24" i="48"/>
  <c r="K25" i="48" s="1"/>
  <c r="D24" i="48"/>
  <c r="D25" i="48" s="1"/>
  <c r="E24" i="48"/>
  <c r="E25" i="48" s="1"/>
  <c r="Q24" i="48"/>
  <c r="Q25" i="48" s="1"/>
  <c r="AC24" i="48"/>
  <c r="AC25" i="48" s="1"/>
  <c r="P24" i="48"/>
  <c r="P25" i="48" s="1"/>
  <c r="F24" i="48"/>
  <c r="F25" i="48" s="1"/>
  <c r="R24" i="48"/>
  <c r="R25" i="48" s="1"/>
  <c r="AD24" i="48"/>
  <c r="AD25" i="48" s="1"/>
  <c r="AG23" i="48"/>
  <c r="AB24" i="48"/>
  <c r="AB25" i="48" s="1"/>
  <c r="D3" i="48"/>
  <c r="C4" i="48"/>
  <c r="AH7" i="48"/>
  <c r="AH12" i="48" s="1"/>
  <c r="AH18" i="48"/>
  <c r="S24" i="47"/>
  <c r="S25" i="47" s="1"/>
  <c r="Z24" i="47"/>
  <c r="Z25" i="47" s="1"/>
  <c r="M24" i="47"/>
  <c r="M25" i="47" s="1"/>
  <c r="Y24" i="47"/>
  <c r="Y25" i="47" s="1"/>
  <c r="X24" i="47"/>
  <c r="X25" i="47" s="1"/>
  <c r="N24" i="47"/>
  <c r="N25" i="47" s="1"/>
  <c r="L24" i="47"/>
  <c r="L25" i="47" s="1"/>
  <c r="G24" i="47"/>
  <c r="G25" i="47" s="1"/>
  <c r="B24" i="47"/>
  <c r="B25" i="47" s="1"/>
  <c r="I24" i="47"/>
  <c r="I25" i="47" s="1"/>
  <c r="U24" i="47"/>
  <c r="U25" i="47" s="1"/>
  <c r="J24" i="47"/>
  <c r="J25" i="47" s="1"/>
  <c r="V24" i="47"/>
  <c r="V25" i="47" s="1"/>
  <c r="K24" i="47"/>
  <c r="K25" i="47" s="1"/>
  <c r="W24" i="47"/>
  <c r="W25" i="47" s="1"/>
  <c r="AG23" i="47"/>
  <c r="C24" i="47"/>
  <c r="C25" i="47" s="1"/>
  <c r="O24" i="47"/>
  <c r="O25" i="47" s="1"/>
  <c r="AA24" i="47"/>
  <c r="AA25" i="47" s="1"/>
  <c r="D24" i="47"/>
  <c r="D25" i="47" s="1"/>
  <c r="P24" i="47"/>
  <c r="P25" i="47" s="1"/>
  <c r="AB24" i="47"/>
  <c r="AB25" i="47" s="1"/>
  <c r="E24" i="47"/>
  <c r="E25" i="47" s="1"/>
  <c r="Q24" i="47"/>
  <c r="Q25" i="47" s="1"/>
  <c r="AC24" i="47"/>
  <c r="AC25" i="47" s="1"/>
  <c r="AH17" i="47"/>
  <c r="H24" i="47"/>
  <c r="H25" i="47" s="1"/>
  <c r="T24" i="47"/>
  <c r="T25" i="47" s="1"/>
  <c r="AH12" i="47"/>
  <c r="C3" i="47"/>
  <c r="D3" i="47" s="1"/>
  <c r="D4" i="47" s="1"/>
  <c r="E3" i="47"/>
  <c r="C4" i="47"/>
  <c r="AG12" i="47"/>
  <c r="F24" i="46"/>
  <c r="F25" i="46" s="1"/>
  <c r="I24" i="46"/>
  <c r="I25" i="46" s="1"/>
  <c r="H24" i="46"/>
  <c r="H25" i="46" s="1"/>
  <c r="N24" i="46"/>
  <c r="N25" i="46" s="1"/>
  <c r="B4" i="46"/>
  <c r="G24" i="46"/>
  <c r="G25" i="46" s="1"/>
  <c r="K24" i="46"/>
  <c r="K25" i="46" s="1"/>
  <c r="L24" i="46"/>
  <c r="L25" i="46" s="1"/>
  <c r="S24" i="46"/>
  <c r="S25" i="46" s="1"/>
  <c r="R24" i="46"/>
  <c r="R25" i="46" s="1"/>
  <c r="U24" i="46"/>
  <c r="U25" i="46" s="1"/>
  <c r="T24" i="46"/>
  <c r="T25" i="46" s="1"/>
  <c r="W24" i="46"/>
  <c r="W25" i="46" s="1"/>
  <c r="X24" i="46"/>
  <c r="X25" i="46" s="1"/>
  <c r="AE24" i="46"/>
  <c r="AE25" i="46" s="1"/>
  <c r="AD24" i="46"/>
  <c r="AD25" i="46" s="1"/>
  <c r="AF24" i="46"/>
  <c r="AF25" i="46" s="1"/>
  <c r="J24" i="46"/>
  <c r="J25" i="46" s="1"/>
  <c r="V24" i="46"/>
  <c r="V25" i="46" s="1"/>
  <c r="C24" i="46"/>
  <c r="C25" i="46" s="1"/>
  <c r="O24" i="46"/>
  <c r="O25" i="46" s="1"/>
  <c r="AA24" i="46"/>
  <c r="AA25" i="46" s="1"/>
  <c r="D24" i="46"/>
  <c r="D25" i="46" s="1"/>
  <c r="P24" i="46"/>
  <c r="P25" i="46" s="1"/>
  <c r="AB24" i="46"/>
  <c r="AB25" i="46" s="1"/>
  <c r="E24" i="46"/>
  <c r="E25" i="46" s="1"/>
  <c r="Q24" i="46"/>
  <c r="Q25" i="46" s="1"/>
  <c r="AC24" i="46"/>
  <c r="AC25" i="46" s="1"/>
  <c r="AG23" i="46"/>
  <c r="M24" i="46"/>
  <c r="M25" i="46" s="1"/>
  <c r="Y24" i="46"/>
  <c r="Y25" i="46" s="1"/>
  <c r="AG12" i="46"/>
  <c r="D3" i="46"/>
  <c r="C4" i="46"/>
  <c r="AH12" i="46"/>
  <c r="AB24" i="45"/>
  <c r="AB25" i="45" s="1"/>
  <c r="X24" i="45"/>
  <c r="X25" i="45" s="1"/>
  <c r="Z24" i="45"/>
  <c r="Z25" i="45" s="1"/>
  <c r="V24" i="45"/>
  <c r="V25" i="45" s="1"/>
  <c r="P24" i="45"/>
  <c r="P25" i="45" s="1"/>
  <c r="R24" i="45"/>
  <c r="R25" i="45" s="1"/>
  <c r="N24" i="45"/>
  <c r="N25" i="45" s="1"/>
  <c r="M24" i="45"/>
  <c r="M25" i="45" s="1"/>
  <c r="L24" i="45"/>
  <c r="L25" i="45" s="1"/>
  <c r="K24" i="45"/>
  <c r="K25" i="45" s="1"/>
  <c r="J24" i="45"/>
  <c r="J25" i="45" s="1"/>
  <c r="F24" i="45"/>
  <c r="F25" i="45" s="1"/>
  <c r="H24" i="45"/>
  <c r="H25" i="45" s="1"/>
  <c r="B24" i="45"/>
  <c r="B25" i="45" s="1"/>
  <c r="AF24" i="44"/>
  <c r="AF25" i="44" s="1"/>
  <c r="AC24" i="44"/>
  <c r="AC25" i="44" s="1"/>
  <c r="AB24" i="44"/>
  <c r="AB25" i="44" s="1"/>
  <c r="AA24" i="44"/>
  <c r="AA25" i="44" s="1"/>
  <c r="W24" i="45"/>
  <c r="W25" i="45" s="1"/>
  <c r="AG23" i="45"/>
  <c r="C24" i="45"/>
  <c r="C25" i="45" s="1"/>
  <c r="O24" i="45"/>
  <c r="O25" i="45" s="1"/>
  <c r="AA24" i="45"/>
  <c r="AA25" i="45" s="1"/>
  <c r="E24" i="45"/>
  <c r="E25" i="45" s="1"/>
  <c r="Q24" i="45"/>
  <c r="Q25" i="45" s="1"/>
  <c r="G24" i="45"/>
  <c r="G25" i="45" s="1"/>
  <c r="S24" i="45"/>
  <c r="S25" i="45" s="1"/>
  <c r="I24" i="45"/>
  <c r="I25" i="45" s="1"/>
  <c r="U24" i="45"/>
  <c r="U25" i="45" s="1"/>
  <c r="AG12" i="45"/>
  <c r="D3" i="45"/>
  <c r="C4" i="45"/>
  <c r="AH12" i="45"/>
  <c r="R24" i="44"/>
  <c r="R25" i="44" s="1"/>
  <c r="P24" i="44"/>
  <c r="P25" i="44" s="1"/>
  <c r="Q24" i="44"/>
  <c r="Q25" i="44" s="1"/>
  <c r="Z24" i="43"/>
  <c r="Z25" i="43" s="1"/>
  <c r="AB24" i="43"/>
  <c r="AB25" i="43" s="1"/>
  <c r="AC24" i="43"/>
  <c r="AC25" i="43" s="1"/>
  <c r="AD24" i="43"/>
  <c r="AD25" i="43" s="1"/>
  <c r="X24" i="43"/>
  <c r="X25" i="43" s="1"/>
  <c r="Y24" i="43"/>
  <c r="Y25" i="43" s="1"/>
  <c r="AA24" i="43"/>
  <c r="AA25" i="43" s="1"/>
  <c r="L24" i="43"/>
  <c r="L25" i="43" s="1"/>
  <c r="AE24" i="43"/>
  <c r="AE25" i="43" s="1"/>
  <c r="B24" i="44"/>
  <c r="B25" i="44" s="1"/>
  <c r="D24" i="44"/>
  <c r="D25" i="44" s="1"/>
  <c r="E24" i="44"/>
  <c r="E25" i="44" s="1"/>
  <c r="F24" i="44"/>
  <c r="F25" i="44" s="1"/>
  <c r="G24" i="44"/>
  <c r="G25" i="44" s="1"/>
  <c r="H24" i="44"/>
  <c r="H25" i="44" s="1"/>
  <c r="O24" i="44"/>
  <c r="O25" i="44" s="1"/>
  <c r="S24" i="44"/>
  <c r="S25" i="44" s="1"/>
  <c r="T24" i="44"/>
  <c r="T25" i="44" s="1"/>
  <c r="Y24" i="44"/>
  <c r="Y25" i="44" s="1"/>
  <c r="M24" i="44"/>
  <c r="M25" i="44" s="1"/>
  <c r="I24" i="44"/>
  <c r="I25" i="44" s="1"/>
  <c r="U24" i="44"/>
  <c r="U25" i="44" s="1"/>
  <c r="J24" i="44"/>
  <c r="J25" i="44" s="1"/>
  <c r="V24" i="44"/>
  <c r="V25" i="44" s="1"/>
  <c r="K24" i="44"/>
  <c r="K25" i="44" s="1"/>
  <c r="W24" i="44"/>
  <c r="W25" i="44" s="1"/>
  <c r="L24" i="44"/>
  <c r="L25" i="44" s="1"/>
  <c r="X24" i="44"/>
  <c r="X25" i="44" s="1"/>
  <c r="AG23" i="44"/>
  <c r="AH23" i="44" s="1"/>
  <c r="N24" i="44"/>
  <c r="N25" i="44" s="1"/>
  <c r="Z24" i="44"/>
  <c r="Z25" i="44" s="1"/>
  <c r="AH17" i="44"/>
  <c r="AH12" i="44"/>
  <c r="AG12" i="44"/>
  <c r="C24" i="44"/>
  <c r="C25" i="44" s="1"/>
  <c r="D3" i="44"/>
  <c r="C4" i="44"/>
  <c r="B4" i="44"/>
  <c r="AD24" i="42"/>
  <c r="AD25" i="42" s="1"/>
  <c r="AE24" i="42"/>
  <c r="AE25" i="42" s="1"/>
  <c r="AC24" i="42"/>
  <c r="AC25" i="42" s="1"/>
  <c r="H24" i="43"/>
  <c r="H25" i="43" s="1"/>
  <c r="T24" i="43"/>
  <c r="T25" i="43" s="1"/>
  <c r="O24" i="43"/>
  <c r="O25" i="43" s="1"/>
  <c r="R24" i="43"/>
  <c r="R25" i="43" s="1"/>
  <c r="I24" i="43"/>
  <c r="I25" i="43" s="1"/>
  <c r="U24" i="43"/>
  <c r="U25" i="43" s="1"/>
  <c r="F24" i="43"/>
  <c r="F25" i="43" s="1"/>
  <c r="C24" i="43"/>
  <c r="C25" i="43" s="1"/>
  <c r="E24" i="43"/>
  <c r="E25" i="43" s="1"/>
  <c r="J24" i="43"/>
  <c r="J25" i="43" s="1"/>
  <c r="V24" i="43"/>
  <c r="V25" i="43" s="1"/>
  <c r="K24" i="43"/>
  <c r="K25" i="43" s="1"/>
  <c r="W24" i="43"/>
  <c r="W25" i="43" s="1"/>
  <c r="G24" i="43"/>
  <c r="G25" i="43" s="1"/>
  <c r="S24" i="43"/>
  <c r="S25" i="43" s="1"/>
  <c r="AH12" i="43"/>
  <c r="C4" i="43"/>
  <c r="D3" i="43"/>
  <c r="AG12" i="43"/>
  <c r="AG23" i="43"/>
  <c r="AH23" i="43" s="1"/>
  <c r="Y24" i="42"/>
  <c r="Y25" i="42" s="1"/>
  <c r="AB24" i="42"/>
  <c r="AB25" i="42" s="1"/>
  <c r="W24" i="42"/>
  <c r="W25" i="42" s="1"/>
  <c r="X24" i="42"/>
  <c r="X25" i="42" s="1"/>
  <c r="R24" i="42"/>
  <c r="R25" i="42" s="1"/>
  <c r="S24" i="42"/>
  <c r="S25" i="42" s="1"/>
  <c r="U24" i="42"/>
  <c r="U25" i="42" s="1"/>
  <c r="M24" i="42"/>
  <c r="M25" i="42" s="1"/>
  <c r="N24" i="42"/>
  <c r="N25" i="42" s="1"/>
  <c r="L24" i="42"/>
  <c r="L25" i="42" s="1"/>
  <c r="I24" i="42"/>
  <c r="I25" i="42" s="1"/>
  <c r="H24" i="42"/>
  <c r="H25" i="42" s="1"/>
  <c r="AF24" i="41"/>
  <c r="AF25" i="41" s="1"/>
  <c r="G24" i="42"/>
  <c r="G25" i="42" s="1"/>
  <c r="C24" i="42"/>
  <c r="C25" i="42" s="1"/>
  <c r="B24" i="42"/>
  <c r="B25" i="42" s="1"/>
  <c r="AE24" i="41"/>
  <c r="AE25" i="41" s="1"/>
  <c r="T24" i="42"/>
  <c r="T25" i="42" s="1"/>
  <c r="V24" i="42"/>
  <c r="V25" i="42" s="1"/>
  <c r="Z24" i="42"/>
  <c r="Z25" i="42" s="1"/>
  <c r="AA24" i="42"/>
  <c r="AA25" i="42" s="1"/>
  <c r="O24" i="42"/>
  <c r="O25" i="42" s="1"/>
  <c r="P24" i="42"/>
  <c r="P25" i="42" s="1"/>
  <c r="F24" i="42"/>
  <c r="F25" i="42" s="1"/>
  <c r="J24" i="42"/>
  <c r="J25" i="42" s="1"/>
  <c r="K24" i="42"/>
  <c r="K25" i="42" s="1"/>
  <c r="D24" i="42"/>
  <c r="D25" i="42" s="1"/>
  <c r="E24" i="42"/>
  <c r="E25" i="42" s="1"/>
  <c r="C3" i="42"/>
  <c r="AH12" i="42"/>
  <c r="AG12" i="42"/>
  <c r="AG23" i="42"/>
  <c r="AH23" i="42" s="1"/>
  <c r="AD24" i="41"/>
  <c r="AD25" i="41" s="1"/>
  <c r="AC24" i="41"/>
  <c r="AC25" i="41" s="1"/>
  <c r="AA24" i="41"/>
  <c r="AA25" i="41" s="1"/>
  <c r="Z24" i="41"/>
  <c r="Z25" i="41" s="1"/>
  <c r="X24" i="41"/>
  <c r="X25" i="41" s="1"/>
  <c r="V24" i="41"/>
  <c r="V25" i="41" s="1"/>
  <c r="T24" i="41"/>
  <c r="T25" i="41" s="1"/>
  <c r="S24" i="41"/>
  <c r="S25" i="41" s="1"/>
  <c r="U24" i="41"/>
  <c r="U25" i="41" s="1"/>
  <c r="W24" i="41"/>
  <c r="W25" i="41" s="1"/>
  <c r="Q24" i="41"/>
  <c r="Q25" i="41" s="1"/>
  <c r="L24" i="41"/>
  <c r="L25" i="41" s="1"/>
  <c r="P24" i="41"/>
  <c r="P25" i="41" s="1"/>
  <c r="M24" i="41"/>
  <c r="M25" i="41" s="1"/>
  <c r="F24" i="41"/>
  <c r="F25" i="41" s="1"/>
  <c r="D24" i="41"/>
  <c r="D25" i="41" s="1"/>
  <c r="E24" i="41"/>
  <c r="E25" i="41" s="1"/>
  <c r="O24" i="41"/>
  <c r="O25" i="41" s="1"/>
  <c r="N24" i="41"/>
  <c r="N25" i="41" s="1"/>
  <c r="R24" i="41"/>
  <c r="R25" i="41" s="1"/>
  <c r="J24" i="41"/>
  <c r="J25" i="41" s="1"/>
  <c r="H24" i="41"/>
  <c r="H25" i="41" s="1"/>
  <c r="I24" i="41"/>
  <c r="I25" i="41" s="1"/>
  <c r="G24" i="41"/>
  <c r="G25" i="41" s="1"/>
  <c r="AC24" i="40"/>
  <c r="AC25" i="40" s="1"/>
  <c r="AD24" i="40"/>
  <c r="AD25" i="40" s="1"/>
  <c r="X24" i="40"/>
  <c r="X25" i="40" s="1"/>
  <c r="AF24" i="40"/>
  <c r="AF25" i="40" s="1"/>
  <c r="C24" i="40"/>
  <c r="C25" i="40" s="1"/>
  <c r="AA24" i="40"/>
  <c r="AA25" i="40" s="1"/>
  <c r="AB24" i="40"/>
  <c r="AB25" i="40" s="1"/>
  <c r="Y24" i="40"/>
  <c r="Y25" i="40" s="1"/>
  <c r="AE24" i="40"/>
  <c r="AE25" i="40" s="1"/>
  <c r="U24" i="40"/>
  <c r="U25" i="40" s="1"/>
  <c r="V24" i="40"/>
  <c r="V25" i="40" s="1"/>
  <c r="R24" i="40"/>
  <c r="R25" i="40" s="1"/>
  <c r="S24" i="40"/>
  <c r="S25" i="40" s="1"/>
  <c r="P24" i="40"/>
  <c r="P25" i="40" s="1"/>
  <c r="O24" i="40"/>
  <c r="O25" i="40" s="1"/>
  <c r="Q24" i="40"/>
  <c r="Q25" i="40" s="1"/>
  <c r="T24" i="40"/>
  <c r="T25" i="40" s="1"/>
  <c r="Z24" i="40"/>
  <c r="Z25" i="40" s="1"/>
  <c r="N24" i="40"/>
  <c r="N25" i="40" s="1"/>
  <c r="J24" i="40"/>
  <c r="J25" i="40" s="1"/>
  <c r="M24" i="40"/>
  <c r="M25" i="40" s="1"/>
  <c r="L24" i="40"/>
  <c r="L25" i="40" s="1"/>
  <c r="K24" i="40"/>
  <c r="K25" i="40" s="1"/>
  <c r="D24" i="40"/>
  <c r="D25" i="40" s="1"/>
  <c r="E24" i="40"/>
  <c r="E25" i="40" s="1"/>
  <c r="F24" i="40"/>
  <c r="F25" i="40" s="1"/>
  <c r="H24" i="40"/>
  <c r="H25" i="40" s="1"/>
  <c r="I24" i="40"/>
  <c r="I25" i="40" s="1"/>
  <c r="G24" i="40"/>
  <c r="G25" i="40" s="1"/>
  <c r="AG23" i="41"/>
  <c r="AH23" i="41" s="1"/>
  <c r="AG12" i="41"/>
  <c r="C4" i="41"/>
  <c r="D3" i="41"/>
  <c r="AH12" i="41"/>
  <c r="B4" i="41"/>
  <c r="AD24" i="39"/>
  <c r="AD25" i="39" s="1"/>
  <c r="AF24" i="39"/>
  <c r="AF25" i="39" s="1"/>
  <c r="AE24" i="39"/>
  <c r="AE25" i="39" s="1"/>
  <c r="AB24" i="39"/>
  <c r="AB25" i="39" s="1"/>
  <c r="AC24" i="39"/>
  <c r="AC25" i="39" s="1"/>
  <c r="AA24" i="39"/>
  <c r="AA25" i="39" s="1"/>
  <c r="Z24" i="39"/>
  <c r="Z25" i="39" s="1"/>
  <c r="V24" i="39"/>
  <c r="V25" i="39" s="1"/>
  <c r="W24" i="39"/>
  <c r="W25" i="39" s="1"/>
  <c r="Y24" i="39"/>
  <c r="Y25" i="39" s="1"/>
  <c r="T24" i="39"/>
  <c r="T25" i="39" s="1"/>
  <c r="S24" i="39"/>
  <c r="S25" i="39" s="1"/>
  <c r="R24" i="39"/>
  <c r="R25" i="39" s="1"/>
  <c r="Q24" i="39"/>
  <c r="Q25" i="39" s="1"/>
  <c r="W24" i="40"/>
  <c r="W25" i="40" s="1"/>
  <c r="B4" i="40"/>
  <c r="AG23" i="40"/>
  <c r="AH23" i="40" s="1"/>
  <c r="B24" i="40"/>
  <c r="B25" i="40" s="1"/>
  <c r="AG12" i="40"/>
  <c r="D3" i="40"/>
  <c r="C4" i="40"/>
  <c r="AH12" i="40"/>
  <c r="I24" i="39"/>
  <c r="I25" i="39" s="1"/>
  <c r="C24" i="39"/>
  <c r="C25" i="39" s="1"/>
  <c r="G24" i="39"/>
  <c r="G25" i="39" s="1"/>
  <c r="K24" i="39"/>
  <c r="K25" i="39" s="1"/>
  <c r="O24" i="39"/>
  <c r="O25" i="39" s="1"/>
  <c r="H24" i="39"/>
  <c r="H25" i="39" s="1"/>
  <c r="M24" i="39"/>
  <c r="M25" i="39" s="1"/>
  <c r="F24" i="39"/>
  <c r="F25" i="39" s="1"/>
  <c r="L24" i="39"/>
  <c r="L25" i="39" s="1"/>
  <c r="P24" i="39"/>
  <c r="P25" i="39" s="1"/>
  <c r="N24" i="39"/>
  <c r="N25" i="39" s="1"/>
  <c r="D24" i="39"/>
  <c r="D25" i="39" s="1"/>
  <c r="E24" i="39"/>
  <c r="E25" i="39" s="1"/>
  <c r="AG23" i="39"/>
  <c r="AH23" i="39" s="1"/>
  <c r="B24" i="39"/>
  <c r="B25" i="39" s="1"/>
  <c r="AF24" i="38"/>
  <c r="AF25" i="38" s="1"/>
  <c r="B24" i="38"/>
  <c r="B25" i="38" s="1"/>
  <c r="AE24" i="38"/>
  <c r="AE25" i="38" s="1"/>
  <c r="AB24" i="38"/>
  <c r="AB25" i="38" s="1"/>
  <c r="AC24" i="38"/>
  <c r="AC25" i="38" s="1"/>
  <c r="W24" i="38"/>
  <c r="W25" i="38" s="1"/>
  <c r="X24" i="38"/>
  <c r="X25" i="38" s="1"/>
  <c r="T24" i="38"/>
  <c r="T25" i="38" s="1"/>
  <c r="S24" i="38"/>
  <c r="S25" i="38" s="1"/>
  <c r="R24" i="38"/>
  <c r="R25" i="38" s="1"/>
  <c r="AG12" i="39"/>
  <c r="AH15" i="39"/>
  <c r="D3" i="39"/>
  <c r="D4" i="39" s="1"/>
  <c r="AH5" i="39"/>
  <c r="AH12" i="39" s="1"/>
  <c r="H24" i="38"/>
  <c r="H25" i="38" s="1"/>
  <c r="I24" i="38"/>
  <c r="I25" i="38" s="1"/>
  <c r="J24" i="38"/>
  <c r="J25" i="38" s="1"/>
  <c r="N24" i="38"/>
  <c r="N25" i="38" s="1"/>
  <c r="G24" i="38"/>
  <c r="G25" i="38" s="1"/>
  <c r="K24" i="38"/>
  <c r="K25" i="38" s="1"/>
  <c r="F24" i="38"/>
  <c r="F25" i="38" s="1"/>
  <c r="AA24" i="38"/>
  <c r="AA25" i="38" s="1"/>
  <c r="Y24" i="38"/>
  <c r="Y25" i="38" s="1"/>
  <c r="C24" i="38"/>
  <c r="C25" i="38" s="1"/>
  <c r="O24" i="38"/>
  <c r="O25" i="38" s="1"/>
  <c r="D24" i="38"/>
  <c r="D25" i="38" s="1"/>
  <c r="P24" i="38"/>
  <c r="P25" i="38" s="1"/>
  <c r="E24" i="38"/>
  <c r="E25" i="38" s="1"/>
  <c r="Q24" i="38"/>
  <c r="Q25" i="38" s="1"/>
  <c r="Z24" i="38"/>
  <c r="Z25" i="38" s="1"/>
  <c r="U24" i="38"/>
  <c r="U25" i="38" s="1"/>
  <c r="W24" i="37"/>
  <c r="W25" i="37" s="1"/>
  <c r="AG12" i="38"/>
  <c r="AG23" i="38"/>
  <c r="AH23" i="38" s="1"/>
  <c r="D3" i="38"/>
  <c r="C4" i="38"/>
  <c r="AH12" i="38"/>
  <c r="B4" i="38"/>
  <c r="U24" i="37"/>
  <c r="U25" i="37" s="1"/>
  <c r="T24" i="37"/>
  <c r="T25" i="37" s="1"/>
  <c r="J24" i="37"/>
  <c r="J25" i="37" s="1"/>
  <c r="I24" i="37"/>
  <c r="I25" i="37" s="1"/>
  <c r="K24" i="37"/>
  <c r="K25" i="37" s="1"/>
  <c r="L24" i="37"/>
  <c r="L25" i="37" s="1"/>
  <c r="X24" i="37"/>
  <c r="X25" i="37" s="1"/>
  <c r="M24" i="37"/>
  <c r="M25" i="37" s="1"/>
  <c r="Y24" i="37"/>
  <c r="Y25" i="37" s="1"/>
  <c r="N24" i="37"/>
  <c r="N25" i="37" s="1"/>
  <c r="Z24" i="37"/>
  <c r="Z25" i="37" s="1"/>
  <c r="C24" i="37"/>
  <c r="C25" i="37" s="1"/>
  <c r="O24" i="37"/>
  <c r="O25" i="37" s="1"/>
  <c r="AA24" i="37"/>
  <c r="AA25" i="37" s="1"/>
  <c r="D24" i="37"/>
  <c r="D25" i="37" s="1"/>
  <c r="P24" i="37"/>
  <c r="P25" i="37" s="1"/>
  <c r="AB24" i="37"/>
  <c r="AB25" i="37" s="1"/>
  <c r="E24" i="37"/>
  <c r="E25" i="37" s="1"/>
  <c r="Q24" i="37"/>
  <c r="Q25" i="37" s="1"/>
  <c r="F24" i="37"/>
  <c r="F25" i="37" s="1"/>
  <c r="R24" i="37"/>
  <c r="R25" i="37" s="1"/>
  <c r="AD24" i="37"/>
  <c r="AD25" i="37" s="1"/>
  <c r="AC24" i="37"/>
  <c r="AC25" i="37" s="1"/>
  <c r="G24" i="37"/>
  <c r="G25" i="37" s="1"/>
  <c r="S24" i="37"/>
  <c r="S25" i="37" s="1"/>
  <c r="AE24" i="37"/>
  <c r="AE25" i="37" s="1"/>
  <c r="B24" i="37"/>
  <c r="B25" i="37" s="1"/>
  <c r="AG23" i="37"/>
  <c r="AH23" i="37" s="1"/>
  <c r="AG12" i="37"/>
  <c r="D3" i="37"/>
  <c r="C4" i="37"/>
  <c r="B4" i="37"/>
  <c r="AH8" i="37"/>
  <c r="AH12" i="37" s="1"/>
  <c r="AH19" i="37"/>
  <c r="V24" i="36"/>
  <c r="V25" i="36" s="1"/>
  <c r="U24" i="36"/>
  <c r="U25" i="36" s="1"/>
  <c r="C3" i="36"/>
  <c r="D3" i="36" s="1"/>
  <c r="E3" i="36" s="1"/>
  <c r="S24" i="36"/>
  <c r="S25" i="36" s="1"/>
  <c r="AE24" i="36"/>
  <c r="AE25" i="36" s="1"/>
  <c r="W24" i="36"/>
  <c r="W25" i="36" s="1"/>
  <c r="R24" i="36"/>
  <c r="R25" i="36" s="1"/>
  <c r="AD24" i="36"/>
  <c r="AD25" i="36" s="1"/>
  <c r="T24" i="36"/>
  <c r="T25" i="36" s="1"/>
  <c r="X24" i="36"/>
  <c r="X25" i="36" s="1"/>
  <c r="N24" i="36"/>
  <c r="N25" i="36" s="1"/>
  <c r="I24" i="36"/>
  <c r="I25" i="36" s="1"/>
  <c r="AF24" i="36"/>
  <c r="AF25" i="36" s="1"/>
  <c r="K24" i="36"/>
  <c r="K25" i="36" s="1"/>
  <c r="L24" i="36"/>
  <c r="L25" i="36" s="1"/>
  <c r="J24" i="36"/>
  <c r="J25" i="36" s="1"/>
  <c r="H24" i="36"/>
  <c r="H25" i="36" s="1"/>
  <c r="F24" i="36"/>
  <c r="F25" i="36" s="1"/>
  <c r="G24" i="36"/>
  <c r="G25" i="36" s="1"/>
  <c r="AG23" i="36"/>
  <c r="AG23" i="35"/>
  <c r="D24" i="36"/>
  <c r="D25" i="36" s="1"/>
  <c r="P24" i="36"/>
  <c r="P25" i="36" s="1"/>
  <c r="AB24" i="36"/>
  <c r="AB25" i="36" s="1"/>
  <c r="E24" i="36"/>
  <c r="E25" i="36" s="1"/>
  <c r="Q24" i="36"/>
  <c r="Q25" i="36" s="1"/>
  <c r="AC24" i="36"/>
  <c r="AC25" i="36" s="1"/>
  <c r="M24" i="36"/>
  <c r="M25" i="36" s="1"/>
  <c r="Y24" i="36"/>
  <c r="Y25" i="36" s="1"/>
  <c r="Z24" i="36"/>
  <c r="Z25" i="36" s="1"/>
  <c r="C24" i="36"/>
  <c r="C25" i="36" s="1"/>
  <c r="O24" i="36"/>
  <c r="O25" i="36" s="1"/>
  <c r="AA24" i="36"/>
  <c r="AA25" i="36" s="1"/>
  <c r="B24" i="36"/>
  <c r="B25" i="36" s="1"/>
  <c r="AG12" i="36"/>
  <c r="D4" i="36"/>
  <c r="C4" i="36"/>
  <c r="AH12" i="36"/>
  <c r="AB24" i="35"/>
  <c r="AB25" i="35" s="1"/>
  <c r="X24" i="35"/>
  <c r="X25" i="35" s="1"/>
  <c r="Y24" i="35"/>
  <c r="Y25" i="35" s="1"/>
  <c r="Z24" i="35"/>
  <c r="Z25" i="35" s="1"/>
  <c r="M24" i="35"/>
  <c r="M25" i="35" s="1"/>
  <c r="U24" i="35"/>
  <c r="U25" i="35" s="1"/>
  <c r="H24" i="35"/>
  <c r="H25" i="35" s="1"/>
  <c r="G24" i="35"/>
  <c r="G25" i="35" s="1"/>
  <c r="T24" i="35"/>
  <c r="T25" i="35" s="1"/>
  <c r="N24" i="35"/>
  <c r="N25" i="35" s="1"/>
  <c r="L24" i="35"/>
  <c r="L25" i="35" s="1"/>
  <c r="I24" i="35"/>
  <c r="I25" i="35" s="1"/>
  <c r="B24" i="35"/>
  <c r="B25" i="35" s="1"/>
  <c r="Q24" i="35"/>
  <c r="Q25" i="35" s="1"/>
  <c r="AC24" i="35"/>
  <c r="AC25" i="35" s="1"/>
  <c r="R24" i="35"/>
  <c r="R25" i="35" s="1"/>
  <c r="AD24" i="35"/>
  <c r="AD25" i="35" s="1"/>
  <c r="S24" i="35"/>
  <c r="S25" i="35" s="1"/>
  <c r="AE24" i="35"/>
  <c r="AE25" i="35" s="1"/>
  <c r="V24" i="35"/>
  <c r="V25" i="35" s="1"/>
  <c r="W24" i="35"/>
  <c r="W25" i="35" s="1"/>
  <c r="J24" i="35"/>
  <c r="J25" i="35" s="1"/>
  <c r="K24" i="35"/>
  <c r="K25" i="35" s="1"/>
  <c r="D24" i="35"/>
  <c r="D25" i="35" s="1"/>
  <c r="P24" i="35"/>
  <c r="P25" i="35" s="1"/>
  <c r="E24" i="35"/>
  <c r="E25" i="35" s="1"/>
  <c r="C24" i="35"/>
  <c r="C25" i="35" s="1"/>
  <c r="O24" i="35"/>
  <c r="O25" i="35" s="1"/>
  <c r="AA24" i="35"/>
  <c r="AA25" i="35" s="1"/>
  <c r="AH12" i="35"/>
  <c r="D3" i="35"/>
  <c r="E3" i="35" s="1"/>
  <c r="F3" i="35" s="1"/>
  <c r="E4" i="35"/>
  <c r="D4" i="35"/>
  <c r="AG12" i="35"/>
  <c r="AD24" i="34"/>
  <c r="AD25" i="34" s="1"/>
  <c r="AE24" i="34"/>
  <c r="AE25" i="34" s="1"/>
  <c r="AC24" i="34"/>
  <c r="AC25" i="34" s="1"/>
  <c r="AF24" i="34"/>
  <c r="AF25" i="34" s="1"/>
  <c r="AA24" i="34"/>
  <c r="AA25" i="34" s="1"/>
  <c r="AB24" i="34"/>
  <c r="AB25" i="34" s="1"/>
  <c r="R24" i="34"/>
  <c r="R25" i="34" s="1"/>
  <c r="T24" i="34"/>
  <c r="T25" i="34" s="1"/>
  <c r="AH23" i="34"/>
  <c r="V24" i="34"/>
  <c r="V25" i="34" s="1"/>
  <c r="Y24" i="34"/>
  <c r="Y25" i="34" s="1"/>
  <c r="Z24" i="34"/>
  <c r="Z25" i="34" s="1"/>
  <c r="S24" i="34"/>
  <c r="S25" i="34" s="1"/>
  <c r="U24" i="34"/>
  <c r="U25" i="34" s="1"/>
  <c r="X24" i="34"/>
  <c r="X25" i="34" s="1"/>
  <c r="W24" i="34"/>
  <c r="W25" i="34" s="1"/>
  <c r="G24" i="34"/>
  <c r="G25" i="34" s="1"/>
  <c r="I24" i="34"/>
  <c r="I25" i="34" s="1"/>
  <c r="AF24" i="33"/>
  <c r="AF25" i="33" s="1"/>
  <c r="H24" i="34"/>
  <c r="H25" i="34" s="1"/>
  <c r="N24" i="34"/>
  <c r="N25" i="34" s="1"/>
  <c r="P24" i="34"/>
  <c r="P25" i="34" s="1"/>
  <c r="Q24" i="34"/>
  <c r="Q25" i="34" s="1"/>
  <c r="X24" i="33"/>
  <c r="X25" i="33" s="1"/>
  <c r="Y24" i="33"/>
  <c r="Y25" i="33" s="1"/>
  <c r="AA24" i="33"/>
  <c r="AA25" i="33" s="1"/>
  <c r="AB24" i="33"/>
  <c r="AB25" i="33" s="1"/>
  <c r="AC24" i="33"/>
  <c r="AC25" i="33" s="1"/>
  <c r="J24" i="34"/>
  <c r="D24" i="34"/>
  <c r="D25" i="34" s="1"/>
  <c r="T24" i="33"/>
  <c r="T25" i="33" s="1"/>
  <c r="E24" i="34"/>
  <c r="E25" i="34" s="1"/>
  <c r="F24" i="34"/>
  <c r="F25" i="34" s="1"/>
  <c r="K24" i="34"/>
  <c r="K25" i="34" s="1"/>
  <c r="C24" i="34"/>
  <c r="C25" i="34" s="1"/>
  <c r="O24" i="34"/>
  <c r="O25" i="34" s="1"/>
  <c r="L24" i="34"/>
  <c r="L25" i="34" s="1"/>
  <c r="B24" i="34"/>
  <c r="B25" i="34" s="1"/>
  <c r="M24" i="34"/>
  <c r="M25" i="34" s="1"/>
  <c r="B4" i="34"/>
  <c r="D3" i="34"/>
  <c r="C4" i="34"/>
  <c r="AH12" i="34"/>
  <c r="AG12" i="34"/>
  <c r="O24" i="33"/>
  <c r="O25" i="33" s="1"/>
  <c r="P24" i="33"/>
  <c r="P25" i="33" s="1"/>
  <c r="Q24" i="33"/>
  <c r="Q25" i="33" s="1"/>
  <c r="S24" i="33"/>
  <c r="S25" i="33" s="1"/>
  <c r="L24" i="33"/>
  <c r="L25" i="33" s="1"/>
  <c r="M24" i="33"/>
  <c r="M25" i="33" s="1"/>
  <c r="T24" i="32"/>
  <c r="T25" i="32" s="1"/>
  <c r="AB24" i="32"/>
  <c r="AB25" i="32" s="1"/>
  <c r="AC24" i="32"/>
  <c r="AC25" i="32" s="1"/>
  <c r="AD24" i="32"/>
  <c r="AD25" i="32" s="1"/>
  <c r="AF24" i="32"/>
  <c r="AF25" i="32" s="1"/>
  <c r="C24" i="33"/>
  <c r="C25" i="33" s="1"/>
  <c r="D24" i="33"/>
  <c r="D25" i="33" s="1"/>
  <c r="G24" i="33"/>
  <c r="G25" i="33" s="1"/>
  <c r="F24" i="33"/>
  <c r="F25" i="33" s="1"/>
  <c r="H24" i="33"/>
  <c r="H25" i="33" s="1"/>
  <c r="I24" i="33"/>
  <c r="I25" i="33" s="1"/>
  <c r="U24" i="33"/>
  <c r="U25" i="33" s="1"/>
  <c r="AH23" i="33"/>
  <c r="J24" i="33"/>
  <c r="J25" i="33" s="1"/>
  <c r="V24" i="33"/>
  <c r="V25" i="33" s="1"/>
  <c r="K24" i="33"/>
  <c r="K25" i="33" s="1"/>
  <c r="W24" i="33"/>
  <c r="W25" i="33" s="1"/>
  <c r="B24" i="33"/>
  <c r="B25" i="33" s="1"/>
  <c r="N24" i="33"/>
  <c r="N25" i="33" s="1"/>
  <c r="Z24" i="33"/>
  <c r="Z25" i="33" s="1"/>
  <c r="C4" i="33"/>
  <c r="D3" i="33"/>
  <c r="E3" i="33" s="1"/>
  <c r="B4" i="33"/>
  <c r="F3" i="33"/>
  <c r="E4" i="33"/>
  <c r="AH12" i="33"/>
  <c r="AG12" i="33"/>
  <c r="AG23" i="33"/>
  <c r="Z24" i="32"/>
  <c r="Z25" i="32" s="1"/>
  <c r="Y24" i="32"/>
  <c r="Y25" i="32" s="1"/>
  <c r="V24" i="32"/>
  <c r="V25" i="32" s="1"/>
  <c r="X24" i="32"/>
  <c r="X25" i="32" s="1"/>
  <c r="U24" i="32"/>
  <c r="U25" i="32" s="1"/>
  <c r="Q24" i="32"/>
  <c r="Q25" i="32" s="1"/>
  <c r="P24" i="32"/>
  <c r="P25" i="32" s="1"/>
  <c r="J24" i="32"/>
  <c r="J25" i="32" s="1"/>
  <c r="R24" i="32"/>
  <c r="R25" i="32" s="1"/>
  <c r="K24" i="32"/>
  <c r="K25" i="32" s="1"/>
  <c r="O24" i="32"/>
  <c r="O25" i="32" s="1"/>
  <c r="S24" i="32"/>
  <c r="S25" i="32" s="1"/>
  <c r="W24" i="32"/>
  <c r="W25" i="32" s="1"/>
  <c r="AA24" i="32"/>
  <c r="AA25" i="32" s="1"/>
  <c r="AE24" i="32"/>
  <c r="AE25" i="32" s="1"/>
  <c r="F24" i="32"/>
  <c r="F25" i="32" s="1"/>
  <c r="N24" i="32"/>
  <c r="N25" i="32" s="1"/>
  <c r="M24" i="32"/>
  <c r="M25" i="32" s="1"/>
  <c r="L24" i="32"/>
  <c r="L25" i="32" s="1"/>
  <c r="I24" i="32"/>
  <c r="I25" i="32" s="1"/>
  <c r="H24" i="32"/>
  <c r="H25" i="32" s="1"/>
  <c r="G24" i="32"/>
  <c r="G25" i="32" s="1"/>
  <c r="E24" i="32"/>
  <c r="E25" i="32" s="1"/>
  <c r="AG12" i="32"/>
  <c r="C24" i="32"/>
  <c r="C25" i="32" s="1"/>
  <c r="AG23" i="32"/>
  <c r="AH15" i="32"/>
  <c r="AH23" i="32" s="1"/>
  <c r="D3" i="32"/>
  <c r="C4" i="32"/>
  <c r="AH5" i="32"/>
  <c r="AH12" i="32" s="1"/>
  <c r="V24" i="31"/>
  <c r="V25" i="31" s="1"/>
  <c r="AA24" i="31"/>
  <c r="AA25" i="31" s="1"/>
  <c r="AE24" i="31"/>
  <c r="AE25" i="31" s="1"/>
  <c r="Z24" i="31"/>
  <c r="Z25" i="31" s="1"/>
  <c r="AD24" i="31"/>
  <c r="AD25" i="31" s="1"/>
  <c r="X24" i="31"/>
  <c r="X25" i="31" s="1"/>
  <c r="AB24" i="31"/>
  <c r="AB25" i="31" s="1"/>
  <c r="AF24" i="31"/>
  <c r="AF25" i="31" s="1"/>
  <c r="W24" i="31"/>
  <c r="W25" i="31" s="1"/>
  <c r="U24" i="31"/>
  <c r="U25" i="31" s="1"/>
  <c r="T24" i="31"/>
  <c r="T25" i="31" s="1"/>
  <c r="R24" i="31"/>
  <c r="R25" i="31" s="1"/>
  <c r="AG23" i="31"/>
  <c r="P24" i="31"/>
  <c r="P25" i="31" s="1"/>
  <c r="N24" i="31"/>
  <c r="N25" i="31" s="1"/>
  <c r="Q24" i="31"/>
  <c r="Q25" i="31" s="1"/>
  <c r="O24" i="31"/>
  <c r="O25" i="31" s="1"/>
  <c r="S24" i="31"/>
  <c r="S25" i="31" s="1"/>
  <c r="AG12" i="31"/>
  <c r="AH23" i="31"/>
  <c r="D3" i="31"/>
  <c r="C4" i="31"/>
  <c r="AH5" i="31"/>
  <c r="AH12" i="31" s="1"/>
  <c r="P24" i="30"/>
  <c r="P25" i="30" s="1"/>
  <c r="Q24" i="30"/>
  <c r="Q25" i="30" s="1"/>
  <c r="T24" i="30"/>
  <c r="T25" i="30" s="1"/>
  <c r="S24" i="30"/>
  <c r="S25" i="30" s="1"/>
  <c r="I24" i="30"/>
  <c r="I25" i="30" s="1"/>
  <c r="H24" i="30"/>
  <c r="H25" i="30" s="1"/>
  <c r="AD24" i="28"/>
  <c r="AD25" i="28" s="1"/>
  <c r="AB24" i="28"/>
  <c r="AB25" i="28" s="1"/>
  <c r="G24" i="30"/>
  <c r="G25" i="30" s="1"/>
  <c r="F24" i="30"/>
  <c r="F25" i="30" s="1"/>
  <c r="R24" i="30"/>
  <c r="R25" i="30" s="1"/>
  <c r="AE24" i="30"/>
  <c r="AE25" i="30" s="1"/>
  <c r="L24" i="30"/>
  <c r="L25" i="30" s="1"/>
  <c r="X24" i="30"/>
  <c r="X25" i="30" s="1"/>
  <c r="AA24" i="30"/>
  <c r="AA25" i="30" s="1"/>
  <c r="U24" i="30"/>
  <c r="U25" i="30" s="1"/>
  <c r="V24" i="30"/>
  <c r="V25" i="30" s="1"/>
  <c r="W24" i="30"/>
  <c r="W25" i="30" s="1"/>
  <c r="J24" i="30"/>
  <c r="J25" i="30" s="1"/>
  <c r="K24" i="30"/>
  <c r="K25" i="30" s="1"/>
  <c r="O24" i="30"/>
  <c r="O25" i="30" s="1"/>
  <c r="M24" i="30"/>
  <c r="M25" i="30" s="1"/>
  <c r="N24" i="30"/>
  <c r="N25" i="30" s="1"/>
  <c r="B24" i="30"/>
  <c r="B25" i="30" s="1"/>
  <c r="C24" i="30"/>
  <c r="C25" i="30" s="1"/>
  <c r="D24" i="30"/>
  <c r="D25" i="30" s="1"/>
  <c r="E24" i="30"/>
  <c r="E25" i="30" s="1"/>
  <c r="AH12" i="30"/>
  <c r="AC24" i="28"/>
  <c r="AC25" i="28" s="1"/>
  <c r="C24" i="28"/>
  <c r="C25" i="28" s="1"/>
  <c r="AH23" i="30"/>
  <c r="D3" i="30"/>
  <c r="C4" i="30"/>
  <c r="AG12" i="30"/>
  <c r="AG23" i="30"/>
  <c r="AE24" i="28"/>
  <c r="AE25" i="28" s="1"/>
  <c r="AA24" i="28"/>
  <c r="AA25" i="28" s="1"/>
  <c r="W24" i="28"/>
  <c r="W25" i="28" s="1"/>
  <c r="R24" i="28"/>
  <c r="R25" i="28" s="1"/>
  <c r="T24" i="28"/>
  <c r="T25" i="28" s="1"/>
  <c r="U24" i="28"/>
  <c r="U25" i="28" s="1"/>
  <c r="S24" i="28"/>
  <c r="S25" i="28" s="1"/>
  <c r="P24" i="28"/>
  <c r="P25" i="28" s="1"/>
  <c r="Q24" i="28"/>
  <c r="Q25" i="28" s="1"/>
  <c r="K24" i="28"/>
  <c r="K25" i="28" s="1"/>
  <c r="I24" i="28"/>
  <c r="I25" i="28" s="1"/>
  <c r="F24" i="28"/>
  <c r="F25" i="28" s="1"/>
  <c r="E24" i="28"/>
  <c r="E25" i="28" s="1"/>
  <c r="G24" i="28"/>
  <c r="G25" i="28" s="1"/>
  <c r="H24" i="28"/>
  <c r="H25" i="28" s="1"/>
  <c r="D24" i="28"/>
  <c r="D25" i="28" s="1"/>
  <c r="AE24" i="27"/>
  <c r="AE25" i="27" s="1"/>
  <c r="X24" i="27"/>
  <c r="X25" i="27" s="1"/>
  <c r="AB24" i="27"/>
  <c r="AB25" i="27" s="1"/>
  <c r="Z24" i="27"/>
  <c r="Z25" i="27" s="1"/>
  <c r="AA24" i="27"/>
  <c r="AA25" i="27" s="1"/>
  <c r="O24" i="28"/>
  <c r="O25" i="28" s="1"/>
  <c r="L24" i="28"/>
  <c r="L25" i="28" s="1"/>
  <c r="M24" i="28"/>
  <c r="M25" i="28" s="1"/>
  <c r="J24" i="28"/>
  <c r="J25" i="28" s="1"/>
  <c r="V24" i="28"/>
  <c r="V25" i="28" s="1"/>
  <c r="X24" i="28"/>
  <c r="X25" i="28" s="1"/>
  <c r="N24" i="28"/>
  <c r="N25" i="28" s="1"/>
  <c r="Z24" i="28"/>
  <c r="Z25" i="28" s="1"/>
  <c r="AG23" i="28"/>
  <c r="B24" i="28"/>
  <c r="B25" i="28" s="1"/>
  <c r="AF12" i="28"/>
  <c r="AG7" i="28"/>
  <c r="AG12" i="28" s="1"/>
  <c r="C3" i="28"/>
  <c r="AF23" i="28"/>
  <c r="S24" i="27"/>
  <c r="S25" i="27" s="1"/>
  <c r="T24" i="27"/>
  <c r="T25" i="27" s="1"/>
  <c r="V24" i="27"/>
  <c r="V25" i="27" s="1"/>
  <c r="W24" i="27"/>
  <c r="W25" i="27" s="1"/>
  <c r="Y24" i="27"/>
  <c r="Y25" i="27" s="1"/>
  <c r="E24" i="27"/>
  <c r="E25" i="27" s="1"/>
  <c r="AC24" i="27"/>
  <c r="AC25" i="27" s="1"/>
  <c r="AD24" i="27"/>
  <c r="AD25" i="27" s="1"/>
  <c r="U24" i="27"/>
  <c r="U25" i="27" s="1"/>
  <c r="G24" i="27"/>
  <c r="G25" i="27" s="1"/>
  <c r="F24" i="27"/>
  <c r="F25" i="27" s="1"/>
  <c r="P24" i="27"/>
  <c r="P25" i="27" s="1"/>
  <c r="R24" i="27"/>
  <c r="R25" i="27" s="1"/>
  <c r="Q24" i="27"/>
  <c r="Q25" i="27" s="1"/>
  <c r="O24" i="27"/>
  <c r="O25" i="27" s="1"/>
  <c r="I24" i="27"/>
  <c r="I25" i="27" s="1"/>
  <c r="AD24" i="26"/>
  <c r="AD25" i="26" s="1"/>
  <c r="AB24" i="26"/>
  <c r="AB25" i="26" s="1"/>
  <c r="AA24" i="26"/>
  <c r="AA25" i="26" s="1"/>
  <c r="AG12" i="27"/>
  <c r="J24" i="27"/>
  <c r="J25" i="27" s="1"/>
  <c r="K24" i="27"/>
  <c r="K25" i="27" s="1"/>
  <c r="L24" i="27"/>
  <c r="L25" i="27" s="1"/>
  <c r="M24" i="27"/>
  <c r="M25" i="27" s="1"/>
  <c r="AG23" i="27"/>
  <c r="AH12" i="27"/>
  <c r="AH23" i="27"/>
  <c r="C4" i="27"/>
  <c r="D3" i="27"/>
  <c r="B4" i="27"/>
  <c r="F24" i="26"/>
  <c r="F25" i="26" s="1"/>
  <c r="B24" i="26"/>
  <c r="B25" i="26" s="1"/>
  <c r="Q24" i="26"/>
  <c r="Q25" i="26" s="1"/>
  <c r="R24" i="26"/>
  <c r="R25" i="26" s="1"/>
  <c r="L24" i="26"/>
  <c r="L25" i="26" s="1"/>
  <c r="D24" i="26"/>
  <c r="D25" i="26" s="1"/>
  <c r="E24" i="26"/>
  <c r="E25" i="26" s="1"/>
  <c r="C24" i="26"/>
  <c r="C25" i="26" s="1"/>
  <c r="AF24" i="25"/>
  <c r="AF25" i="25" s="1"/>
  <c r="R24" i="25"/>
  <c r="R25" i="25" s="1"/>
  <c r="Q24" i="25"/>
  <c r="Q25" i="25" s="1"/>
  <c r="K24" i="26"/>
  <c r="K25" i="26" s="1"/>
  <c r="B4" i="26"/>
  <c r="H24" i="26"/>
  <c r="H25" i="26" s="1"/>
  <c r="T24" i="26"/>
  <c r="T25" i="26" s="1"/>
  <c r="AF24" i="26"/>
  <c r="AF25" i="26" s="1"/>
  <c r="I24" i="26"/>
  <c r="I25" i="26" s="1"/>
  <c r="U24" i="26"/>
  <c r="U25" i="26" s="1"/>
  <c r="J24" i="26"/>
  <c r="J25" i="26" s="1"/>
  <c r="V24" i="26"/>
  <c r="V25" i="26" s="1"/>
  <c r="X24" i="26"/>
  <c r="X25" i="26" s="1"/>
  <c r="M24" i="26"/>
  <c r="M25" i="26" s="1"/>
  <c r="Y24" i="26"/>
  <c r="Y25" i="26" s="1"/>
  <c r="AH23" i="26"/>
  <c r="AG23" i="26"/>
  <c r="AE24" i="26"/>
  <c r="AE25" i="26" s="1"/>
  <c r="S24" i="26"/>
  <c r="S25" i="26" s="1"/>
  <c r="Z24" i="26"/>
  <c r="Z25" i="26" s="1"/>
  <c r="N24" i="26"/>
  <c r="N25" i="26" s="1"/>
  <c r="G24" i="26"/>
  <c r="G25" i="26" s="1"/>
  <c r="AG12" i="26"/>
  <c r="AH12" i="26"/>
  <c r="D3" i="26"/>
  <c r="C4" i="26"/>
  <c r="AC24" i="25"/>
  <c r="AC25" i="25" s="1"/>
  <c r="AE24" i="25"/>
  <c r="AE25" i="25" s="1"/>
  <c r="AB24" i="25"/>
  <c r="AB25" i="25" s="1"/>
  <c r="U24" i="25"/>
  <c r="U25" i="25" s="1"/>
  <c r="X24" i="25"/>
  <c r="X25" i="25" s="1"/>
  <c r="S24" i="25"/>
  <c r="S25" i="25" s="1"/>
  <c r="T24" i="25"/>
  <c r="T25" i="25" s="1"/>
  <c r="W24" i="25"/>
  <c r="W25" i="25" s="1"/>
  <c r="P24" i="25"/>
  <c r="P25" i="25" s="1"/>
  <c r="L24" i="25"/>
  <c r="L25" i="25" s="1"/>
  <c r="K24" i="25"/>
  <c r="K25" i="25" s="1"/>
  <c r="G24" i="25"/>
  <c r="G25" i="25" s="1"/>
  <c r="H24" i="25"/>
  <c r="H25" i="25" s="1"/>
  <c r="B24" i="25"/>
  <c r="B25" i="25" s="1"/>
  <c r="D24" i="25"/>
  <c r="D25" i="25" s="1"/>
  <c r="E24" i="25"/>
  <c r="E25" i="25" s="1"/>
  <c r="C24" i="25"/>
  <c r="C25" i="25" s="1"/>
  <c r="F24" i="25"/>
  <c r="F25" i="25" s="1"/>
  <c r="I24" i="25"/>
  <c r="I25" i="25" s="1"/>
  <c r="J24" i="25"/>
  <c r="J25" i="25" s="1"/>
  <c r="V24" i="25"/>
  <c r="V25" i="25" s="1"/>
  <c r="M24" i="25"/>
  <c r="M25" i="25" s="1"/>
  <c r="Y24" i="25"/>
  <c r="Y25" i="25" s="1"/>
  <c r="N24" i="25"/>
  <c r="N25" i="25" s="1"/>
  <c r="Z24" i="25"/>
  <c r="Z25" i="25" s="1"/>
  <c r="AH12" i="25"/>
  <c r="O24" i="25"/>
  <c r="O25" i="25" s="1"/>
  <c r="AA24" i="25"/>
  <c r="AA25" i="25" s="1"/>
  <c r="AG12" i="25"/>
  <c r="D4" i="25"/>
  <c r="F3" i="25"/>
  <c r="E4" i="25"/>
  <c r="AH23" i="25"/>
  <c r="AG23" i="25"/>
  <c r="AE24" i="24"/>
  <c r="AE25" i="24" s="1"/>
  <c r="AF24" i="24"/>
  <c r="AF25" i="24" s="1"/>
  <c r="AD24" i="24"/>
  <c r="AD25" i="24" s="1"/>
  <c r="Y24" i="24"/>
  <c r="Y25" i="24" s="1"/>
  <c r="V24" i="24"/>
  <c r="V25" i="24" s="1"/>
  <c r="X24" i="24"/>
  <c r="X25" i="24" s="1"/>
  <c r="N24" i="24"/>
  <c r="N25" i="24" s="1"/>
  <c r="O24" i="24"/>
  <c r="O25" i="24" s="1"/>
  <c r="P24" i="24"/>
  <c r="P25" i="24" s="1"/>
  <c r="Q24" i="24"/>
  <c r="Q25" i="24" s="1"/>
  <c r="R24" i="24"/>
  <c r="R25" i="24" s="1"/>
  <c r="S24" i="24"/>
  <c r="S25" i="24" s="1"/>
  <c r="T24" i="24"/>
  <c r="T25" i="24" s="1"/>
  <c r="W24" i="24"/>
  <c r="W25" i="24" s="1"/>
  <c r="M24" i="24"/>
  <c r="M25" i="24" s="1"/>
  <c r="L24" i="24"/>
  <c r="L25" i="24" s="1"/>
  <c r="F24" i="24"/>
  <c r="F25" i="24" s="1"/>
  <c r="J24" i="24"/>
  <c r="J25" i="24" s="1"/>
  <c r="D24" i="24"/>
  <c r="D25" i="24" s="1"/>
  <c r="AD24" i="23"/>
  <c r="AD25" i="23" s="1"/>
  <c r="N24" i="23"/>
  <c r="N25" i="23" s="1"/>
  <c r="O24" i="23"/>
  <c r="O25" i="23" s="1"/>
  <c r="K24" i="24"/>
  <c r="K25" i="24" s="1"/>
  <c r="G24" i="24"/>
  <c r="G25" i="24" s="1"/>
  <c r="H24" i="24"/>
  <c r="H25" i="24" s="1"/>
  <c r="E24" i="24"/>
  <c r="E25" i="24" s="1"/>
  <c r="B24" i="24"/>
  <c r="B25" i="24" s="1"/>
  <c r="M24" i="23"/>
  <c r="M25" i="23" s="1"/>
  <c r="P24" i="23"/>
  <c r="P25" i="23" s="1"/>
  <c r="S24" i="23"/>
  <c r="S25" i="23" s="1"/>
  <c r="Q24" i="23"/>
  <c r="Q25" i="23" s="1"/>
  <c r="L24" i="23"/>
  <c r="L25" i="23" s="1"/>
  <c r="K24" i="23"/>
  <c r="K25" i="23" s="1"/>
  <c r="C24" i="24"/>
  <c r="C25" i="24" s="1"/>
  <c r="C3" i="24"/>
  <c r="D3" i="24" s="1"/>
  <c r="E3" i="24" s="1"/>
  <c r="I24" i="24"/>
  <c r="I25" i="24" s="1"/>
  <c r="U24" i="24"/>
  <c r="U25" i="24" s="1"/>
  <c r="AG12" i="24"/>
  <c r="Z24" i="24"/>
  <c r="Z25" i="24" s="1"/>
  <c r="AA24" i="24"/>
  <c r="AA25" i="24" s="1"/>
  <c r="AH23" i="24"/>
  <c r="AB24" i="24"/>
  <c r="AB25" i="24" s="1"/>
  <c r="AG23" i="24"/>
  <c r="AC24" i="24"/>
  <c r="AC25" i="24" s="1"/>
  <c r="AH12" i="24"/>
  <c r="AE24" i="23"/>
  <c r="AE25" i="23" s="1"/>
  <c r="AC24" i="23"/>
  <c r="AC25" i="23" s="1"/>
  <c r="X24" i="23"/>
  <c r="X25" i="23" s="1"/>
  <c r="Y24" i="23"/>
  <c r="Y25" i="23" s="1"/>
  <c r="AA24" i="23"/>
  <c r="AA25" i="23" s="1"/>
  <c r="W24" i="23"/>
  <c r="W25" i="23" s="1"/>
  <c r="G24" i="23"/>
  <c r="G25" i="23" s="1"/>
  <c r="H24" i="23"/>
  <c r="H25" i="23" s="1"/>
  <c r="F24" i="23"/>
  <c r="F25" i="23" s="1"/>
  <c r="C24" i="23"/>
  <c r="C25" i="23" s="1"/>
  <c r="R24" i="23"/>
  <c r="R25" i="23" s="1"/>
  <c r="O24" i="22"/>
  <c r="O25" i="22" s="1"/>
  <c r="Y24" i="22"/>
  <c r="Y25" i="22" s="1"/>
  <c r="AF24" i="22"/>
  <c r="AF25" i="22" s="1"/>
  <c r="N24" i="22"/>
  <c r="N25" i="22" s="1"/>
  <c r="M24" i="22"/>
  <c r="M25" i="22" s="1"/>
  <c r="K24" i="22"/>
  <c r="K25" i="22" s="1"/>
  <c r="E24" i="23"/>
  <c r="E25" i="23" s="1"/>
  <c r="D24" i="23"/>
  <c r="D25" i="23" s="1"/>
  <c r="X24" i="22"/>
  <c r="X25" i="22" s="1"/>
  <c r="W24" i="22"/>
  <c r="W25" i="22" s="1"/>
  <c r="AD24" i="22"/>
  <c r="AD25" i="22" s="1"/>
  <c r="AE24" i="22"/>
  <c r="AE25" i="22" s="1"/>
  <c r="T24" i="23"/>
  <c r="T25" i="23" s="1"/>
  <c r="U24" i="23"/>
  <c r="U25" i="23" s="1"/>
  <c r="V24" i="23"/>
  <c r="V25" i="23" s="1"/>
  <c r="Z24" i="23"/>
  <c r="Z25" i="23" s="1"/>
  <c r="AB24" i="23"/>
  <c r="AB25" i="23" s="1"/>
  <c r="B4" i="23"/>
  <c r="I24" i="23"/>
  <c r="I25" i="23" s="1"/>
  <c r="AG23" i="23"/>
  <c r="J24" i="23"/>
  <c r="J25" i="23" s="1"/>
  <c r="AH15" i="23"/>
  <c r="AH23" i="23" s="1"/>
  <c r="B24" i="23"/>
  <c r="B25" i="23" s="1"/>
  <c r="D3" i="23"/>
  <c r="C4" i="23"/>
  <c r="AH12" i="23"/>
  <c r="AG12" i="23"/>
  <c r="Z24" i="21"/>
  <c r="Z25" i="21" s="1"/>
  <c r="B24" i="22"/>
  <c r="B25" i="22" s="1"/>
  <c r="F24" i="22"/>
  <c r="F25" i="22" s="1"/>
  <c r="C24" i="22"/>
  <c r="C25" i="22" s="1"/>
  <c r="D24" i="22"/>
  <c r="D25" i="22" s="1"/>
  <c r="E24" i="22"/>
  <c r="E25" i="22" s="1"/>
  <c r="H24" i="22"/>
  <c r="H25" i="22" s="1"/>
  <c r="G24" i="22"/>
  <c r="G25" i="22" s="1"/>
  <c r="AA24" i="22"/>
  <c r="AA25" i="22" s="1"/>
  <c r="AB24" i="22"/>
  <c r="AB25" i="22" s="1"/>
  <c r="AC24" i="22"/>
  <c r="AC25" i="22" s="1"/>
  <c r="Z24" i="22"/>
  <c r="Z25" i="22" s="1"/>
  <c r="T24" i="22"/>
  <c r="T25" i="22" s="1"/>
  <c r="P24" i="22"/>
  <c r="P25" i="22" s="1"/>
  <c r="I24" i="22"/>
  <c r="I25" i="22" s="1"/>
  <c r="U24" i="22"/>
  <c r="U25" i="22" s="1"/>
  <c r="J24" i="22"/>
  <c r="J25" i="22" s="1"/>
  <c r="V24" i="22"/>
  <c r="V25" i="22" s="1"/>
  <c r="L24" i="22"/>
  <c r="L25" i="22" s="1"/>
  <c r="Q24" i="22"/>
  <c r="Q25" i="22" s="1"/>
  <c r="R24" i="22"/>
  <c r="R25" i="22" s="1"/>
  <c r="AG23" i="22"/>
  <c r="S24" i="22"/>
  <c r="S25" i="22" s="1"/>
  <c r="AG12" i="22"/>
  <c r="D3" i="22"/>
  <c r="C4" i="22"/>
  <c r="B4" i="22"/>
  <c r="AH9" i="22"/>
  <c r="AH12" i="22" s="1"/>
  <c r="AH20" i="22"/>
  <c r="AH23" i="22" s="1"/>
  <c r="W24" i="21"/>
  <c r="W25" i="21" s="1"/>
  <c r="N24" i="21"/>
  <c r="N25" i="21" s="1"/>
  <c r="S24" i="21"/>
  <c r="S25" i="21" s="1"/>
  <c r="AA24" i="21"/>
  <c r="AA25" i="21" s="1"/>
  <c r="AD24" i="21"/>
  <c r="AD25" i="21" s="1"/>
  <c r="AE24" i="21"/>
  <c r="AE25" i="21" s="1"/>
  <c r="V24" i="21"/>
  <c r="V25" i="21" s="1"/>
  <c r="Y24" i="21"/>
  <c r="Y25" i="21" s="1"/>
  <c r="P24" i="21"/>
  <c r="P25" i="21" s="1"/>
  <c r="Q24" i="21"/>
  <c r="Q25" i="21" s="1"/>
  <c r="R24" i="21"/>
  <c r="R25" i="21" s="1"/>
  <c r="U24" i="21"/>
  <c r="U25" i="21" s="1"/>
  <c r="L24" i="21"/>
  <c r="L25" i="21" s="1"/>
  <c r="K24" i="21"/>
  <c r="K25" i="21" s="1"/>
  <c r="I24" i="21"/>
  <c r="I25" i="21" s="1"/>
  <c r="E24" i="21"/>
  <c r="E25" i="21" s="1"/>
  <c r="D24" i="21"/>
  <c r="D25" i="21" s="1"/>
  <c r="G24" i="21"/>
  <c r="G25" i="21" s="1"/>
  <c r="F24" i="21"/>
  <c r="F25" i="21" s="1"/>
  <c r="AF24" i="20"/>
  <c r="AF25" i="20" s="1"/>
  <c r="B24" i="21"/>
  <c r="B25" i="21" s="1"/>
  <c r="AE24" i="20"/>
  <c r="AE25" i="20" s="1"/>
  <c r="Z24" i="20"/>
  <c r="Z25" i="20" s="1"/>
  <c r="AB24" i="21"/>
  <c r="AB25" i="21" s="1"/>
  <c r="AC24" i="21"/>
  <c r="AC25" i="21" s="1"/>
  <c r="X24" i="21"/>
  <c r="X25" i="21" s="1"/>
  <c r="H24" i="21"/>
  <c r="H25" i="21" s="1"/>
  <c r="T24" i="21"/>
  <c r="T25" i="21" s="1"/>
  <c r="J24" i="21"/>
  <c r="J25" i="21" s="1"/>
  <c r="M24" i="21"/>
  <c r="M25" i="21" s="1"/>
  <c r="C24" i="21"/>
  <c r="C25" i="21" s="1"/>
  <c r="O24" i="21"/>
  <c r="O25" i="21" s="1"/>
  <c r="AG23" i="21"/>
  <c r="AG12" i="21"/>
  <c r="C3" i="21"/>
  <c r="AH18" i="21"/>
  <c r="AH23" i="21" s="1"/>
  <c r="AH9" i="21"/>
  <c r="AH12" i="21" s="1"/>
  <c r="M24" i="20"/>
  <c r="M25" i="20" s="1"/>
  <c r="AB24" i="20"/>
  <c r="AB25" i="20" s="1"/>
  <c r="AC24" i="20"/>
  <c r="AC25" i="20" s="1"/>
  <c r="AD24" i="20"/>
  <c r="AD25" i="20" s="1"/>
  <c r="R24" i="20"/>
  <c r="R25" i="20" s="1"/>
  <c r="L24" i="20"/>
  <c r="L25" i="20" s="1"/>
  <c r="H24" i="20"/>
  <c r="H25" i="20" s="1"/>
  <c r="J24" i="20"/>
  <c r="J25" i="20" s="1"/>
  <c r="V24" i="20"/>
  <c r="V25" i="20" s="1"/>
  <c r="I24" i="20"/>
  <c r="I25" i="20" s="1"/>
  <c r="K24" i="20"/>
  <c r="K25" i="20" s="1"/>
  <c r="D24" i="20"/>
  <c r="D25" i="20" s="1"/>
  <c r="F24" i="20"/>
  <c r="F25" i="20" s="1"/>
  <c r="N24" i="20"/>
  <c r="N25" i="20" s="1"/>
  <c r="P24" i="20"/>
  <c r="P25" i="20" s="1"/>
  <c r="Q24" i="20"/>
  <c r="Q25" i="20" s="1"/>
  <c r="AA24" i="20"/>
  <c r="AA25" i="20" s="1"/>
  <c r="X24" i="20"/>
  <c r="X25" i="20" s="1"/>
  <c r="Y24" i="20"/>
  <c r="Y25" i="20" s="1"/>
  <c r="W24" i="20"/>
  <c r="W25" i="20" s="1"/>
  <c r="O24" i="20"/>
  <c r="O25" i="20" s="1"/>
  <c r="S24" i="20"/>
  <c r="S25" i="20" s="1"/>
  <c r="T24" i="20"/>
  <c r="T25" i="20" s="1"/>
  <c r="U24" i="20"/>
  <c r="U25" i="20" s="1"/>
  <c r="G24" i="20"/>
  <c r="G25" i="20" s="1"/>
  <c r="C24" i="20"/>
  <c r="C25" i="20" s="1"/>
  <c r="E24" i="20"/>
  <c r="E25" i="20" s="1"/>
  <c r="B24" i="20"/>
  <c r="B25" i="20" s="1"/>
  <c r="AH12" i="20"/>
  <c r="AG12" i="20"/>
  <c r="D3" i="20"/>
  <c r="C4" i="20"/>
  <c r="AH23" i="20"/>
  <c r="B4" i="20"/>
  <c r="AG23" i="20"/>
  <c r="T24" i="19"/>
  <c r="T25" i="19" s="1"/>
  <c r="Z24" i="19"/>
  <c r="Z25" i="19" s="1"/>
  <c r="AA24" i="19"/>
  <c r="AA25" i="19" s="1"/>
  <c r="AB24" i="19"/>
  <c r="AB25" i="19" s="1"/>
  <c r="AC24" i="19"/>
  <c r="AC25" i="19" s="1"/>
  <c r="V24" i="19"/>
  <c r="V25" i="19" s="1"/>
  <c r="C24" i="19"/>
  <c r="C25" i="19" s="1"/>
  <c r="N24" i="19"/>
  <c r="N25" i="19" s="1"/>
  <c r="O24" i="19"/>
  <c r="O25" i="19" s="1"/>
  <c r="P24" i="19"/>
  <c r="P25" i="19" s="1"/>
  <c r="Q24" i="19"/>
  <c r="Q25" i="19" s="1"/>
  <c r="E24" i="19"/>
  <c r="E25" i="19" s="1"/>
  <c r="J24" i="19"/>
  <c r="J25" i="19" s="1"/>
  <c r="H24" i="19"/>
  <c r="H25" i="19" s="1"/>
  <c r="AF24" i="18"/>
  <c r="AF25" i="18" s="1"/>
  <c r="B24" i="19"/>
  <c r="B25" i="19" s="1"/>
  <c r="F24" i="19"/>
  <c r="F25" i="19" s="1"/>
  <c r="R24" i="19"/>
  <c r="R25" i="19" s="1"/>
  <c r="AD24" i="19"/>
  <c r="AD25" i="19" s="1"/>
  <c r="G24" i="19"/>
  <c r="G25" i="19" s="1"/>
  <c r="S24" i="19"/>
  <c r="S25" i="19" s="1"/>
  <c r="AE24" i="19"/>
  <c r="AE25" i="19" s="1"/>
  <c r="I24" i="19"/>
  <c r="I25" i="19" s="1"/>
  <c r="U24" i="19"/>
  <c r="U25" i="19" s="1"/>
  <c r="AG23" i="19"/>
  <c r="K24" i="19"/>
  <c r="K25" i="19" s="1"/>
  <c r="W24" i="19"/>
  <c r="W25" i="19" s="1"/>
  <c r="L24" i="19"/>
  <c r="L25" i="19" s="1"/>
  <c r="X24" i="19"/>
  <c r="X25" i="19" s="1"/>
  <c r="M24" i="19"/>
  <c r="M25" i="19" s="1"/>
  <c r="Y24" i="19"/>
  <c r="Y25" i="19" s="1"/>
  <c r="AH12" i="19"/>
  <c r="C4" i="19"/>
  <c r="D3" i="19"/>
  <c r="AH23" i="19"/>
  <c r="B4" i="19"/>
  <c r="AG12" i="19"/>
  <c r="AA24" i="18"/>
  <c r="AA25" i="18" s="1"/>
  <c r="AD24" i="18"/>
  <c r="AD25" i="18" s="1"/>
  <c r="AC24" i="18"/>
  <c r="AC25" i="18" s="1"/>
  <c r="Y24" i="18"/>
  <c r="Y25" i="18" s="1"/>
  <c r="B24" i="18"/>
  <c r="B25" i="18" s="1"/>
  <c r="AE24" i="18"/>
  <c r="AE25" i="18" s="1"/>
  <c r="U24" i="18"/>
  <c r="U25" i="18" s="1"/>
  <c r="V24" i="18"/>
  <c r="V25" i="18" s="1"/>
  <c r="Z24" i="18"/>
  <c r="Z25" i="18" s="1"/>
  <c r="AB24" i="18"/>
  <c r="AB25" i="18" s="1"/>
  <c r="L24" i="18"/>
  <c r="L25" i="18" s="1"/>
  <c r="M24" i="18"/>
  <c r="M25" i="18" s="1"/>
  <c r="J24" i="18"/>
  <c r="J25" i="18" s="1"/>
  <c r="S24" i="18"/>
  <c r="S25" i="18" s="1"/>
  <c r="N24" i="18"/>
  <c r="N25" i="18" s="1"/>
  <c r="I24" i="18"/>
  <c r="I25" i="18" s="1"/>
  <c r="G24" i="18"/>
  <c r="G25" i="18" s="1"/>
  <c r="AE24" i="17"/>
  <c r="AE25" i="17" s="1"/>
  <c r="AD24" i="17"/>
  <c r="AD25" i="17" s="1"/>
  <c r="AA24" i="17"/>
  <c r="AA25" i="17" s="1"/>
  <c r="Z24" i="17"/>
  <c r="Z25" i="17" s="1"/>
  <c r="AB24" i="17"/>
  <c r="AB25" i="17" s="1"/>
  <c r="V24" i="17"/>
  <c r="V25" i="17" s="1"/>
  <c r="R24" i="17"/>
  <c r="R25" i="17" s="1"/>
  <c r="U24" i="17"/>
  <c r="U25" i="17" s="1"/>
  <c r="S24" i="17"/>
  <c r="S25" i="17" s="1"/>
  <c r="Q24" i="17"/>
  <c r="Q25" i="17" s="1"/>
  <c r="O24" i="17"/>
  <c r="O25" i="17" s="1"/>
  <c r="T24" i="17"/>
  <c r="T25" i="17" s="1"/>
  <c r="W24" i="17"/>
  <c r="W25" i="17" s="1"/>
  <c r="AH12" i="17"/>
  <c r="P24" i="17"/>
  <c r="P25" i="17" s="1"/>
  <c r="D24" i="18"/>
  <c r="D25" i="18" s="1"/>
  <c r="P24" i="18"/>
  <c r="P25" i="18" s="1"/>
  <c r="E24" i="18"/>
  <c r="E25" i="18" s="1"/>
  <c r="Q24" i="18"/>
  <c r="Q25" i="18" s="1"/>
  <c r="F24" i="18"/>
  <c r="F25" i="18" s="1"/>
  <c r="R24" i="18"/>
  <c r="R25" i="18" s="1"/>
  <c r="H24" i="18"/>
  <c r="H25" i="18" s="1"/>
  <c r="T24" i="18"/>
  <c r="T25" i="18" s="1"/>
  <c r="K24" i="18"/>
  <c r="K25" i="18" s="1"/>
  <c r="W24" i="18"/>
  <c r="W25" i="18" s="1"/>
  <c r="X24" i="18"/>
  <c r="X25" i="18" s="1"/>
  <c r="AH23" i="18"/>
  <c r="B4" i="18"/>
  <c r="O24" i="18"/>
  <c r="O25" i="18" s="1"/>
  <c r="C24" i="18"/>
  <c r="C25" i="18" s="1"/>
  <c r="AG12" i="18"/>
  <c r="D3" i="18"/>
  <c r="C4" i="18"/>
  <c r="AH7" i="18"/>
  <c r="AH12" i="18" s="1"/>
  <c r="AG23" i="18"/>
  <c r="AG12" i="17"/>
  <c r="N24" i="17"/>
  <c r="N25" i="17" s="1"/>
  <c r="AG23" i="17"/>
  <c r="AH23" i="17"/>
  <c r="AG25" i="50" l="1"/>
  <c r="AG24" i="50"/>
  <c r="E3" i="50"/>
  <c r="D4" i="50"/>
  <c r="AG25" i="49"/>
  <c r="AG24" i="49"/>
  <c r="E3" i="49"/>
  <c r="D4" i="49"/>
  <c r="AG25" i="48"/>
  <c r="AG24" i="48"/>
  <c r="D4" i="48"/>
  <c r="E3" i="48"/>
  <c r="AG25" i="47"/>
  <c r="AG24" i="47"/>
  <c r="F3" i="47"/>
  <c r="E4" i="47"/>
  <c r="AG25" i="46"/>
  <c r="AG24" i="46"/>
  <c r="E3" i="46"/>
  <c r="D4" i="46"/>
  <c r="AG25" i="45"/>
  <c r="AG24" i="45"/>
  <c r="E3" i="45"/>
  <c r="D4" i="45"/>
  <c r="AG24" i="44"/>
  <c r="AG25" i="44"/>
  <c r="E3" i="44"/>
  <c r="D4" i="44"/>
  <c r="AG25" i="43"/>
  <c r="AG24" i="43"/>
  <c r="E3" i="43"/>
  <c r="D4" i="43"/>
  <c r="AG25" i="42"/>
  <c r="AG24" i="42"/>
  <c r="C4" i="42"/>
  <c r="D3" i="42"/>
  <c r="AG25" i="41"/>
  <c r="AG25" i="40"/>
  <c r="AG24" i="41"/>
  <c r="E3" i="41"/>
  <c r="D4" i="41"/>
  <c r="AG24" i="40"/>
  <c r="E3" i="40"/>
  <c r="D4" i="40"/>
  <c r="AG24" i="39"/>
  <c r="AG25" i="39"/>
  <c r="E3" i="39"/>
  <c r="E4" i="39" s="1"/>
  <c r="AG25" i="38"/>
  <c r="AG24" i="38"/>
  <c r="E3" i="38"/>
  <c r="D4" i="38"/>
  <c r="AG25" i="37"/>
  <c r="AG24" i="37"/>
  <c r="D4" i="37"/>
  <c r="E3" i="37"/>
  <c r="AG24" i="36"/>
  <c r="AH23" i="36"/>
  <c r="AG25" i="36"/>
  <c r="AG24" i="35"/>
  <c r="AG25" i="35"/>
  <c r="AH23" i="35"/>
  <c r="F3" i="36"/>
  <c r="E4" i="36"/>
  <c r="G3" i="35"/>
  <c r="F4" i="35"/>
  <c r="J25" i="34"/>
  <c r="E3" i="34"/>
  <c r="D4" i="34"/>
  <c r="AG25" i="33"/>
  <c r="D4" i="33"/>
  <c r="AG24" i="33"/>
  <c r="G3" i="33"/>
  <c r="F4" i="33"/>
  <c r="AG25" i="32"/>
  <c r="AG24" i="32"/>
  <c r="D4" i="32"/>
  <c r="E3" i="32"/>
  <c r="AG24" i="31"/>
  <c r="AG25" i="31"/>
  <c r="D4" i="31"/>
  <c r="E3" i="31"/>
  <c r="AG25" i="30"/>
  <c r="AG24" i="30"/>
  <c r="E3" i="30"/>
  <c r="D4" i="30"/>
  <c r="AF25" i="28"/>
  <c r="AF24" i="28"/>
  <c r="C4" i="28"/>
  <c r="D3" i="28"/>
  <c r="AG25" i="27"/>
  <c r="AG24" i="27"/>
  <c r="E3" i="27"/>
  <c r="D4" i="27"/>
  <c r="AG24" i="26"/>
  <c r="AG25" i="26"/>
  <c r="E3" i="26"/>
  <c r="D4" i="26"/>
  <c r="AG25" i="25"/>
  <c r="AG24" i="25"/>
  <c r="G3" i="25"/>
  <c r="F4" i="25"/>
  <c r="AG24" i="24"/>
  <c r="D4" i="24"/>
  <c r="C4" i="24"/>
  <c r="AG25" i="24"/>
  <c r="F3" i="24"/>
  <c r="E4" i="24"/>
  <c r="AG25" i="23"/>
  <c r="AG24" i="23"/>
  <c r="E3" i="23"/>
  <c r="D4" i="23"/>
  <c r="AG24" i="22"/>
  <c r="AG25" i="22"/>
  <c r="E3" i="22"/>
  <c r="D4" i="22"/>
  <c r="AG25" i="20"/>
  <c r="AG25" i="21"/>
  <c r="AG24" i="21"/>
  <c r="C4" i="21"/>
  <c r="D3" i="21"/>
  <c r="AG24" i="20"/>
  <c r="E3" i="20"/>
  <c r="D4" i="20"/>
  <c r="AG24" i="19"/>
  <c r="AG25" i="19"/>
  <c r="E3" i="19"/>
  <c r="D4" i="19"/>
  <c r="AG25" i="17"/>
  <c r="AG25" i="18"/>
  <c r="AG24" i="18"/>
  <c r="E3" i="18"/>
  <c r="D4" i="18"/>
  <c r="AG24" i="17"/>
  <c r="F3" i="50" l="1"/>
  <c r="E4" i="50"/>
  <c r="F3" i="49"/>
  <c r="E4" i="49"/>
  <c r="E4" i="48"/>
  <c r="F3" i="48"/>
  <c r="G3" i="47"/>
  <c r="F4" i="47"/>
  <c r="F3" i="46"/>
  <c r="E4" i="46"/>
  <c r="F3" i="45"/>
  <c r="E4" i="45"/>
  <c r="F3" i="44"/>
  <c r="E4" i="44"/>
  <c r="F3" i="43"/>
  <c r="E4" i="43"/>
  <c r="E3" i="42"/>
  <c r="D4" i="42"/>
  <c r="F3" i="41"/>
  <c r="E4" i="41"/>
  <c r="F3" i="40"/>
  <c r="E4" i="40"/>
  <c r="F3" i="39"/>
  <c r="E4" i="38"/>
  <c r="F3" i="38"/>
  <c r="F3" i="37"/>
  <c r="E4" i="37"/>
  <c r="G3" i="36"/>
  <c r="F4" i="36"/>
  <c r="H3" i="35"/>
  <c r="G4" i="35"/>
  <c r="F3" i="34"/>
  <c r="E4" i="34"/>
  <c r="H3" i="33"/>
  <c r="G4" i="33"/>
  <c r="E4" i="32"/>
  <c r="F3" i="32"/>
  <c r="F3" i="31"/>
  <c r="E4" i="31"/>
  <c r="F3" i="30"/>
  <c r="E4" i="30"/>
  <c r="E3" i="28"/>
  <c r="D4" i="28"/>
  <c r="E4" i="27"/>
  <c r="F3" i="27"/>
  <c r="F3" i="26"/>
  <c r="E4" i="26"/>
  <c r="H3" i="25"/>
  <c r="G4" i="25"/>
  <c r="G3" i="24"/>
  <c r="F4" i="24"/>
  <c r="F3" i="23"/>
  <c r="E4" i="23"/>
  <c r="F3" i="22"/>
  <c r="E4" i="22"/>
  <c r="E3" i="21"/>
  <c r="D4" i="21"/>
  <c r="F3" i="20"/>
  <c r="E4" i="20"/>
  <c r="F3" i="19"/>
  <c r="E4" i="19"/>
  <c r="F3" i="18"/>
  <c r="E4" i="18"/>
  <c r="G3" i="50" l="1"/>
  <c r="F4" i="50"/>
  <c r="G3" i="49"/>
  <c r="F4" i="49"/>
  <c r="G3" i="48"/>
  <c r="F4" i="48"/>
  <c r="H3" i="47"/>
  <c r="G4" i="47"/>
  <c r="F4" i="46"/>
  <c r="G3" i="46"/>
  <c r="G3" i="45"/>
  <c r="F4" i="45"/>
  <c r="G3" i="44"/>
  <c r="F4" i="44"/>
  <c r="G3" i="43"/>
  <c r="F4" i="43"/>
  <c r="F3" i="42"/>
  <c r="E4" i="42"/>
  <c r="G3" i="41"/>
  <c r="F4" i="41"/>
  <c r="G3" i="40"/>
  <c r="F4" i="40"/>
  <c r="G3" i="39"/>
  <c r="F4" i="39"/>
  <c r="F4" i="38"/>
  <c r="G3" i="38"/>
  <c r="G3" i="37"/>
  <c r="F4" i="37"/>
  <c r="H3" i="36"/>
  <c r="G4" i="36"/>
  <c r="H4" i="35"/>
  <c r="I3" i="35"/>
  <c r="G3" i="34"/>
  <c r="F4" i="34"/>
  <c r="I3" i="33"/>
  <c r="H4" i="33"/>
  <c r="G3" i="32"/>
  <c r="F4" i="32"/>
  <c r="G3" i="31"/>
  <c r="F4" i="31"/>
  <c r="G3" i="30"/>
  <c r="F4" i="30"/>
  <c r="F3" i="28"/>
  <c r="E4" i="28"/>
  <c r="F4" i="27"/>
  <c r="G3" i="27"/>
  <c r="G3" i="26"/>
  <c r="F4" i="26"/>
  <c r="H4" i="25"/>
  <c r="I3" i="25"/>
  <c r="H3" i="24"/>
  <c r="G4" i="24"/>
  <c r="G3" i="23"/>
  <c r="F4" i="23"/>
  <c r="G3" i="22"/>
  <c r="F4" i="22"/>
  <c r="F3" i="21"/>
  <c r="E4" i="21"/>
  <c r="G3" i="20"/>
  <c r="F4" i="20"/>
  <c r="G3" i="19"/>
  <c r="F4" i="19"/>
  <c r="G3" i="18"/>
  <c r="F4" i="18"/>
  <c r="G4" i="50" l="1"/>
  <c r="H3" i="50"/>
  <c r="G4" i="49"/>
  <c r="H3" i="49"/>
  <c r="H3" i="48"/>
  <c r="G4" i="48"/>
  <c r="H4" i="47"/>
  <c r="I3" i="47"/>
  <c r="G4" i="46"/>
  <c r="H3" i="46"/>
  <c r="H3" i="45"/>
  <c r="G4" i="45"/>
  <c r="H3" i="44"/>
  <c r="G4" i="44"/>
  <c r="H3" i="43"/>
  <c r="G4" i="43"/>
  <c r="G3" i="42"/>
  <c r="F4" i="42"/>
  <c r="H3" i="41"/>
  <c r="G4" i="41"/>
  <c r="G4" i="40"/>
  <c r="H3" i="40"/>
  <c r="G4" i="39"/>
  <c r="H3" i="39"/>
  <c r="H3" i="38"/>
  <c r="G4" i="38"/>
  <c r="H3" i="37"/>
  <c r="G4" i="37"/>
  <c r="H4" i="36"/>
  <c r="I3" i="36"/>
  <c r="I4" i="35"/>
  <c r="J3" i="35"/>
  <c r="H3" i="34"/>
  <c r="G4" i="34"/>
  <c r="I4" i="33"/>
  <c r="J3" i="33"/>
  <c r="H3" i="32"/>
  <c r="G4" i="32"/>
  <c r="G4" i="31"/>
  <c r="H3" i="31"/>
  <c r="H3" i="30"/>
  <c r="G4" i="30"/>
  <c r="F4" i="28"/>
  <c r="G3" i="28"/>
  <c r="G4" i="27"/>
  <c r="H3" i="27"/>
  <c r="G4" i="26"/>
  <c r="H3" i="26"/>
  <c r="I4" i="25"/>
  <c r="J3" i="25"/>
  <c r="I3" i="24"/>
  <c r="H4" i="24"/>
  <c r="H3" i="23"/>
  <c r="G4" i="23"/>
  <c r="H3" i="22"/>
  <c r="G4" i="22"/>
  <c r="G3" i="21"/>
  <c r="F4" i="21"/>
  <c r="H3" i="20"/>
  <c r="G4" i="20"/>
  <c r="G4" i="19"/>
  <c r="H3" i="19"/>
  <c r="H3" i="18"/>
  <c r="G4" i="18"/>
  <c r="H4" i="50" l="1"/>
  <c r="I3" i="50"/>
  <c r="H4" i="49"/>
  <c r="I3" i="49"/>
  <c r="H4" i="48"/>
  <c r="I3" i="48"/>
  <c r="I4" i="47"/>
  <c r="J3" i="47"/>
  <c r="H4" i="46"/>
  <c r="I3" i="46"/>
  <c r="H4" i="45"/>
  <c r="I3" i="45"/>
  <c r="H4" i="44"/>
  <c r="I3" i="44"/>
  <c r="H4" i="43"/>
  <c r="I3" i="43"/>
  <c r="G4" i="42"/>
  <c r="H3" i="42"/>
  <c r="H4" i="41"/>
  <c r="I3" i="41"/>
  <c r="H4" i="40"/>
  <c r="I3" i="40"/>
  <c r="H4" i="39"/>
  <c r="I3" i="39"/>
  <c r="H4" i="38"/>
  <c r="I3" i="38"/>
  <c r="H4" i="37"/>
  <c r="I3" i="37"/>
  <c r="J3" i="36"/>
  <c r="I4" i="36"/>
  <c r="J4" i="35"/>
  <c r="K3" i="35"/>
  <c r="H4" i="34"/>
  <c r="I3" i="34"/>
  <c r="J4" i="33"/>
  <c r="K3" i="33"/>
  <c r="I3" i="32"/>
  <c r="H4" i="32"/>
  <c r="H4" i="31"/>
  <c r="I3" i="31"/>
  <c r="I3" i="30"/>
  <c r="H4" i="30"/>
  <c r="H3" i="28"/>
  <c r="G4" i="28"/>
  <c r="H4" i="27"/>
  <c r="I3" i="27"/>
  <c r="H4" i="26"/>
  <c r="I3" i="26"/>
  <c r="J4" i="25"/>
  <c r="K3" i="25"/>
  <c r="I4" i="24"/>
  <c r="J3" i="24"/>
  <c r="H4" i="23"/>
  <c r="I3" i="23"/>
  <c r="H4" i="22"/>
  <c r="I3" i="22"/>
  <c r="H3" i="21"/>
  <c r="G4" i="21"/>
  <c r="H4" i="20"/>
  <c r="I3" i="20"/>
  <c r="H4" i="19"/>
  <c r="I3" i="19"/>
  <c r="H4" i="18"/>
  <c r="I3" i="18"/>
  <c r="I4" i="50" l="1"/>
  <c r="J3" i="50"/>
  <c r="I4" i="49"/>
  <c r="J3" i="49"/>
  <c r="I4" i="48"/>
  <c r="J3" i="48"/>
  <c r="J4" i="47"/>
  <c r="K3" i="47"/>
  <c r="I4" i="46"/>
  <c r="J3" i="46"/>
  <c r="I4" i="45"/>
  <c r="J3" i="45"/>
  <c r="I4" i="44"/>
  <c r="J3" i="44"/>
  <c r="J3" i="43"/>
  <c r="I4" i="43"/>
  <c r="H4" i="42"/>
  <c r="I3" i="42"/>
  <c r="I4" i="41"/>
  <c r="J3" i="41"/>
  <c r="I4" i="40"/>
  <c r="J3" i="40"/>
  <c r="J3" i="39"/>
  <c r="I4" i="39"/>
  <c r="I4" i="38"/>
  <c r="J3" i="38"/>
  <c r="I4" i="37"/>
  <c r="J3" i="37"/>
  <c r="J4" i="36"/>
  <c r="K3" i="36"/>
  <c r="K4" i="35"/>
  <c r="L3" i="35"/>
  <c r="I4" i="34"/>
  <c r="J3" i="34"/>
  <c r="K4" i="33"/>
  <c r="L3" i="33"/>
  <c r="I4" i="32"/>
  <c r="J3" i="32"/>
  <c r="I4" i="31"/>
  <c r="J3" i="31"/>
  <c r="I4" i="30"/>
  <c r="J3" i="30"/>
  <c r="H4" i="28"/>
  <c r="I3" i="28"/>
  <c r="J3" i="27"/>
  <c r="I4" i="27"/>
  <c r="I4" i="26"/>
  <c r="J3" i="26"/>
  <c r="K4" i="25"/>
  <c r="L3" i="25"/>
  <c r="J4" i="24"/>
  <c r="K3" i="24"/>
  <c r="I4" i="23"/>
  <c r="J3" i="23"/>
  <c r="I4" i="22"/>
  <c r="J3" i="22"/>
  <c r="H4" i="21"/>
  <c r="I3" i="21"/>
  <c r="I4" i="20"/>
  <c r="J3" i="20"/>
  <c r="I4" i="19"/>
  <c r="J3" i="19"/>
  <c r="I4" i="18"/>
  <c r="J3" i="18"/>
  <c r="J4" i="50" l="1"/>
  <c r="K3" i="50"/>
  <c r="J4" i="49"/>
  <c r="K3" i="49"/>
  <c r="K3" i="48"/>
  <c r="J4" i="48"/>
  <c r="K4" i="47"/>
  <c r="L3" i="47"/>
  <c r="J4" i="46"/>
  <c r="K3" i="46"/>
  <c r="J4" i="45"/>
  <c r="K3" i="45"/>
  <c r="J4" i="44"/>
  <c r="K3" i="44"/>
  <c r="J4" i="43"/>
  <c r="K3" i="43"/>
  <c r="J3" i="42"/>
  <c r="I4" i="42"/>
  <c r="J4" i="41"/>
  <c r="K3" i="41"/>
  <c r="J4" i="40"/>
  <c r="K3" i="40"/>
  <c r="J4" i="39"/>
  <c r="K3" i="39"/>
  <c r="J4" i="38"/>
  <c r="K3" i="38"/>
  <c r="J4" i="37"/>
  <c r="K3" i="37"/>
  <c r="K4" i="36"/>
  <c r="L3" i="36"/>
  <c r="L4" i="35"/>
  <c r="M3" i="35"/>
  <c r="J4" i="34"/>
  <c r="K3" i="34"/>
  <c r="L4" i="33"/>
  <c r="M3" i="33"/>
  <c r="J4" i="32"/>
  <c r="K3" i="32"/>
  <c r="K3" i="31"/>
  <c r="J4" i="31"/>
  <c r="J4" i="30"/>
  <c r="K3" i="30"/>
  <c r="J3" i="28"/>
  <c r="I4" i="28"/>
  <c r="J4" i="27"/>
  <c r="K3" i="27"/>
  <c r="J4" i="26"/>
  <c r="K3" i="26"/>
  <c r="L4" i="25"/>
  <c r="M3" i="25"/>
  <c r="K4" i="24"/>
  <c r="L3" i="24"/>
  <c r="J4" i="23"/>
  <c r="K3" i="23"/>
  <c r="J4" i="22"/>
  <c r="K3" i="22"/>
  <c r="I4" i="21"/>
  <c r="J3" i="21"/>
  <c r="J4" i="20"/>
  <c r="K3" i="20"/>
  <c r="J4" i="19"/>
  <c r="K3" i="19"/>
  <c r="J4" i="18"/>
  <c r="K3" i="18"/>
  <c r="K4" i="50" l="1"/>
  <c r="L3" i="50"/>
  <c r="K4" i="49"/>
  <c r="L3" i="49"/>
  <c r="L3" i="48"/>
  <c r="K4" i="48"/>
  <c r="L4" i="47"/>
  <c r="M3" i="47"/>
  <c r="K4" i="46"/>
  <c r="L3" i="46"/>
  <c r="K4" i="45"/>
  <c r="L3" i="45"/>
  <c r="K4" i="44"/>
  <c r="L3" i="44"/>
  <c r="L3" i="43"/>
  <c r="K4" i="43"/>
  <c r="J4" i="42"/>
  <c r="K3" i="42"/>
  <c r="K4" i="41"/>
  <c r="L3" i="41"/>
  <c r="K4" i="40"/>
  <c r="L3" i="40"/>
  <c r="K4" i="39"/>
  <c r="L3" i="39"/>
  <c r="K4" i="38"/>
  <c r="L3" i="38"/>
  <c r="K4" i="37"/>
  <c r="L3" i="37"/>
  <c r="L4" i="36"/>
  <c r="M3" i="36"/>
  <c r="M4" i="35"/>
  <c r="N3" i="35"/>
  <c r="K4" i="34"/>
  <c r="L3" i="34"/>
  <c r="M4" i="33"/>
  <c r="N3" i="33"/>
  <c r="L3" i="32"/>
  <c r="K4" i="32"/>
  <c r="K4" i="31"/>
  <c r="L3" i="31"/>
  <c r="K4" i="30"/>
  <c r="L3" i="30"/>
  <c r="K3" i="28"/>
  <c r="J4" i="28"/>
  <c r="L3" i="27"/>
  <c r="K4" i="27"/>
  <c r="K4" i="26"/>
  <c r="L3" i="26"/>
  <c r="M4" i="25"/>
  <c r="N3" i="25"/>
  <c r="L4" i="24"/>
  <c r="M3" i="24"/>
  <c r="K4" i="23"/>
  <c r="L3" i="23"/>
  <c r="K4" i="22"/>
  <c r="L3" i="22"/>
  <c r="J4" i="21"/>
  <c r="K3" i="21"/>
  <c r="K4" i="20"/>
  <c r="L3" i="20"/>
  <c r="K4" i="19"/>
  <c r="L3" i="19"/>
  <c r="K4" i="18"/>
  <c r="L3" i="18"/>
  <c r="L4" i="50" l="1"/>
  <c r="M3" i="50"/>
  <c r="L4" i="49"/>
  <c r="M3" i="49"/>
  <c r="L4" i="48"/>
  <c r="M3" i="48"/>
  <c r="M4" i="47"/>
  <c r="N3" i="47"/>
  <c r="M3" i="46"/>
  <c r="L4" i="46"/>
  <c r="L4" i="45"/>
  <c r="M3" i="45"/>
  <c r="L4" i="44"/>
  <c r="M3" i="44"/>
  <c r="L4" i="43"/>
  <c r="M3" i="43"/>
  <c r="K4" i="42"/>
  <c r="L3" i="42"/>
  <c r="L4" i="41"/>
  <c r="M3" i="41"/>
  <c r="L4" i="40"/>
  <c r="M3" i="40"/>
  <c r="M3" i="39"/>
  <c r="L4" i="39"/>
  <c r="M3" i="38"/>
  <c r="L4" i="38"/>
  <c r="L4" i="37"/>
  <c r="M3" i="37"/>
  <c r="M4" i="36"/>
  <c r="N3" i="36"/>
  <c r="O3" i="35"/>
  <c r="N4" i="35"/>
  <c r="L4" i="34"/>
  <c r="M3" i="34"/>
  <c r="N4" i="33"/>
  <c r="O3" i="33"/>
  <c r="L4" i="32"/>
  <c r="M3" i="32"/>
  <c r="L4" i="31"/>
  <c r="M3" i="31"/>
  <c r="L4" i="30"/>
  <c r="M3" i="30"/>
  <c r="L3" i="28"/>
  <c r="K4" i="28"/>
  <c r="M3" i="27"/>
  <c r="L4" i="27"/>
  <c r="L4" i="26"/>
  <c r="M3" i="26"/>
  <c r="O3" i="25"/>
  <c r="N4" i="25"/>
  <c r="M4" i="24"/>
  <c r="N3" i="24"/>
  <c r="L4" i="23"/>
  <c r="M3" i="23"/>
  <c r="L4" i="22"/>
  <c r="M3" i="22"/>
  <c r="K4" i="21"/>
  <c r="L3" i="21"/>
  <c r="L4" i="20"/>
  <c r="M3" i="20"/>
  <c r="L4" i="19"/>
  <c r="M3" i="19"/>
  <c r="L4" i="18"/>
  <c r="M3" i="18"/>
  <c r="N3" i="50" l="1"/>
  <c r="M4" i="50"/>
  <c r="N3" i="49"/>
  <c r="M4" i="49"/>
  <c r="M4" i="48"/>
  <c r="N3" i="48"/>
  <c r="N4" i="47"/>
  <c r="O3" i="47"/>
  <c r="N3" i="46"/>
  <c r="M4" i="46"/>
  <c r="M4" i="45"/>
  <c r="N3" i="45"/>
  <c r="M4" i="44"/>
  <c r="N3" i="44"/>
  <c r="M4" i="43"/>
  <c r="N3" i="43"/>
  <c r="L4" i="42"/>
  <c r="M3" i="42"/>
  <c r="M4" i="41"/>
  <c r="N3" i="41"/>
  <c r="M4" i="40"/>
  <c r="N3" i="40"/>
  <c r="N3" i="39"/>
  <c r="M4" i="39"/>
  <c r="M4" i="38"/>
  <c r="N3" i="38"/>
  <c r="M4" i="37"/>
  <c r="N3" i="37"/>
  <c r="O3" i="36"/>
  <c r="N4" i="36"/>
  <c r="P3" i="35"/>
  <c r="O4" i="35"/>
  <c r="M4" i="34"/>
  <c r="N3" i="34"/>
  <c r="P3" i="33"/>
  <c r="O4" i="33"/>
  <c r="M4" i="32"/>
  <c r="N3" i="32"/>
  <c r="N3" i="31"/>
  <c r="M4" i="31"/>
  <c r="M4" i="30"/>
  <c r="N3" i="30"/>
  <c r="L4" i="28"/>
  <c r="M3" i="28"/>
  <c r="N3" i="27"/>
  <c r="M4" i="27"/>
  <c r="N3" i="26"/>
  <c r="M4" i="26"/>
  <c r="P3" i="25"/>
  <c r="O4" i="25"/>
  <c r="N4" i="24"/>
  <c r="O3" i="24"/>
  <c r="M4" i="23"/>
  <c r="N3" i="23"/>
  <c r="M4" i="22"/>
  <c r="N3" i="22"/>
  <c r="L4" i="21"/>
  <c r="M3" i="21"/>
  <c r="M4" i="20"/>
  <c r="N3" i="20"/>
  <c r="N3" i="19"/>
  <c r="M4" i="19"/>
  <c r="M4" i="18"/>
  <c r="N3" i="18"/>
  <c r="O3" i="50" l="1"/>
  <c r="N4" i="50"/>
  <c r="O3" i="49"/>
  <c r="N4" i="49"/>
  <c r="O3" i="48"/>
  <c r="N4" i="48"/>
  <c r="P3" i="47"/>
  <c r="O4" i="47"/>
  <c r="O3" i="46"/>
  <c r="N4" i="46"/>
  <c r="O3" i="45"/>
  <c r="N4" i="45"/>
  <c r="O3" i="44"/>
  <c r="N4" i="44"/>
  <c r="O3" i="43"/>
  <c r="N4" i="43"/>
  <c r="M4" i="42"/>
  <c r="N3" i="42"/>
  <c r="O3" i="41"/>
  <c r="N4" i="41"/>
  <c r="O3" i="40"/>
  <c r="N4" i="40"/>
  <c r="O3" i="39"/>
  <c r="N4" i="39"/>
  <c r="O3" i="38"/>
  <c r="N4" i="38"/>
  <c r="O3" i="37"/>
  <c r="N4" i="37"/>
  <c r="P3" i="36"/>
  <c r="O4" i="36"/>
  <c r="Q3" i="35"/>
  <c r="P4" i="35"/>
  <c r="O3" i="34"/>
  <c r="N4" i="34"/>
  <c r="Q3" i="33"/>
  <c r="P4" i="33"/>
  <c r="O3" i="32"/>
  <c r="N4" i="32"/>
  <c r="O3" i="31"/>
  <c r="N4" i="31"/>
  <c r="N4" i="30"/>
  <c r="O3" i="30"/>
  <c r="M4" i="28"/>
  <c r="N3" i="28"/>
  <c r="O3" i="27"/>
  <c r="N4" i="27"/>
  <c r="O3" i="26"/>
  <c r="N4" i="26"/>
  <c r="Q3" i="25"/>
  <c r="P4" i="25"/>
  <c r="P3" i="24"/>
  <c r="O4" i="24"/>
  <c r="O3" i="23"/>
  <c r="N4" i="23"/>
  <c r="O3" i="22"/>
  <c r="N4" i="22"/>
  <c r="N3" i="21"/>
  <c r="M4" i="21"/>
  <c r="O3" i="20"/>
  <c r="N4" i="20"/>
  <c r="O3" i="19"/>
  <c r="N4" i="19"/>
  <c r="O3" i="18"/>
  <c r="N4" i="18"/>
  <c r="P3" i="50" l="1"/>
  <c r="O4" i="50"/>
  <c r="P3" i="49"/>
  <c r="O4" i="49"/>
  <c r="P3" i="48"/>
  <c r="O4" i="48"/>
  <c r="Q3" i="47"/>
  <c r="P4" i="47"/>
  <c r="P3" i="46"/>
  <c r="O4" i="46"/>
  <c r="P3" i="45"/>
  <c r="O4" i="45"/>
  <c r="P3" i="44"/>
  <c r="O4" i="44"/>
  <c r="O4" i="43"/>
  <c r="P3" i="43"/>
  <c r="O3" i="42"/>
  <c r="N4" i="42"/>
  <c r="P3" i="41"/>
  <c r="O4" i="41"/>
  <c r="P3" i="40"/>
  <c r="O4" i="40"/>
  <c r="O4" i="39"/>
  <c r="P3" i="39"/>
  <c r="P3" i="38"/>
  <c r="O4" i="38"/>
  <c r="O4" i="37"/>
  <c r="P3" i="37"/>
  <c r="Q3" i="36"/>
  <c r="P4" i="36"/>
  <c r="R3" i="35"/>
  <c r="Q4" i="35"/>
  <c r="P3" i="34"/>
  <c r="O4" i="34"/>
  <c r="R3" i="33"/>
  <c r="Q4" i="33"/>
  <c r="P3" i="32"/>
  <c r="O4" i="32"/>
  <c r="P3" i="31"/>
  <c r="O4" i="31"/>
  <c r="P3" i="30"/>
  <c r="O4" i="30"/>
  <c r="O3" i="28"/>
  <c r="N4" i="28"/>
  <c r="O4" i="27"/>
  <c r="P3" i="27"/>
  <c r="P3" i="26"/>
  <c r="O4" i="26"/>
  <c r="R3" i="25"/>
  <c r="Q4" i="25"/>
  <c r="Q3" i="24"/>
  <c r="P4" i="24"/>
  <c r="P3" i="23"/>
  <c r="O4" i="23"/>
  <c r="P3" i="22"/>
  <c r="O4" i="22"/>
  <c r="O3" i="21"/>
  <c r="N4" i="21"/>
  <c r="P3" i="20"/>
  <c r="O4" i="20"/>
  <c r="P3" i="19"/>
  <c r="O4" i="19"/>
  <c r="P3" i="18"/>
  <c r="O4" i="18"/>
  <c r="Q3" i="50" l="1"/>
  <c r="P4" i="50"/>
  <c r="Q3" i="49"/>
  <c r="P4" i="49"/>
  <c r="P4" i="48"/>
  <c r="Q3" i="48"/>
  <c r="R3" i="47"/>
  <c r="Q4" i="47"/>
  <c r="Q3" i="46"/>
  <c r="P4" i="46"/>
  <c r="Q3" i="45"/>
  <c r="P4" i="45"/>
  <c r="Q3" i="44"/>
  <c r="P4" i="44"/>
  <c r="Q3" i="43"/>
  <c r="P4" i="43"/>
  <c r="P3" i="42"/>
  <c r="O4" i="42"/>
  <c r="Q3" i="41"/>
  <c r="P4" i="41"/>
  <c r="Q3" i="40"/>
  <c r="P4" i="40"/>
  <c r="P4" i="39"/>
  <c r="Q3" i="39"/>
  <c r="Q3" i="38"/>
  <c r="P4" i="38"/>
  <c r="Q3" i="37"/>
  <c r="P4" i="37"/>
  <c r="R3" i="36"/>
  <c r="Q4" i="36"/>
  <c r="S3" i="35"/>
  <c r="R4" i="35"/>
  <c r="Q3" i="34"/>
  <c r="P4" i="34"/>
  <c r="S3" i="33"/>
  <c r="R4" i="33"/>
  <c r="Q3" i="32"/>
  <c r="P4" i="32"/>
  <c r="P4" i="31"/>
  <c r="Q3" i="31"/>
  <c r="Q3" i="30"/>
  <c r="P4" i="30"/>
  <c r="O4" i="28"/>
  <c r="P3" i="28"/>
  <c r="Q3" i="27"/>
  <c r="P4" i="27"/>
  <c r="Q3" i="26"/>
  <c r="P4" i="26"/>
  <c r="S3" i="25"/>
  <c r="R4" i="25"/>
  <c r="R3" i="24"/>
  <c r="Q4" i="24"/>
  <c r="Q3" i="23"/>
  <c r="P4" i="23"/>
  <c r="Q3" i="22"/>
  <c r="P4" i="22"/>
  <c r="P3" i="21"/>
  <c r="O4" i="21"/>
  <c r="Q3" i="20"/>
  <c r="P4" i="20"/>
  <c r="Q3" i="19"/>
  <c r="P4" i="19"/>
  <c r="Q3" i="18"/>
  <c r="P4" i="18"/>
  <c r="R3" i="50" l="1"/>
  <c r="Q4" i="50"/>
  <c r="R3" i="49"/>
  <c r="Q4" i="49"/>
  <c r="Q4" i="48"/>
  <c r="R3" i="48"/>
  <c r="S3" i="47"/>
  <c r="R4" i="47"/>
  <c r="R3" i="46"/>
  <c r="Q4" i="46"/>
  <c r="R3" i="45"/>
  <c r="Q4" i="45"/>
  <c r="R3" i="44"/>
  <c r="Q4" i="44"/>
  <c r="R3" i="43"/>
  <c r="Q4" i="43"/>
  <c r="Q3" i="42"/>
  <c r="P4" i="42"/>
  <c r="R3" i="41"/>
  <c r="Q4" i="41"/>
  <c r="R3" i="40"/>
  <c r="Q4" i="40"/>
  <c r="R3" i="39"/>
  <c r="Q4" i="39"/>
  <c r="R3" i="38"/>
  <c r="Q4" i="38"/>
  <c r="R3" i="37"/>
  <c r="Q4" i="37"/>
  <c r="S3" i="36"/>
  <c r="R4" i="36"/>
  <c r="T3" i="35"/>
  <c r="S4" i="35"/>
  <c r="R3" i="34"/>
  <c r="Q4" i="34"/>
  <c r="T3" i="33"/>
  <c r="S4" i="33"/>
  <c r="Q4" i="32"/>
  <c r="R3" i="32"/>
  <c r="Q4" i="31"/>
  <c r="R3" i="31"/>
  <c r="R3" i="30"/>
  <c r="Q4" i="30"/>
  <c r="P4" i="28"/>
  <c r="Q3" i="28"/>
  <c r="Q4" i="27"/>
  <c r="R3" i="27"/>
  <c r="R3" i="26"/>
  <c r="Q4" i="26"/>
  <c r="T3" i="25"/>
  <c r="S4" i="25"/>
  <c r="S3" i="24"/>
  <c r="R4" i="24"/>
  <c r="R3" i="23"/>
  <c r="Q4" i="23"/>
  <c r="R3" i="22"/>
  <c r="Q4" i="22"/>
  <c r="Q3" i="21"/>
  <c r="P4" i="21"/>
  <c r="R3" i="20"/>
  <c r="Q4" i="20"/>
  <c r="R3" i="19"/>
  <c r="Q4" i="19"/>
  <c r="R3" i="18"/>
  <c r="Q4" i="18"/>
  <c r="S3" i="50" l="1"/>
  <c r="R4" i="50"/>
  <c r="S3" i="49"/>
  <c r="R4" i="49"/>
  <c r="S3" i="48"/>
  <c r="R4" i="48"/>
  <c r="T3" i="47"/>
  <c r="S4" i="47"/>
  <c r="R4" i="46"/>
  <c r="S3" i="46"/>
  <c r="S3" i="45"/>
  <c r="R4" i="45"/>
  <c r="S3" i="44"/>
  <c r="R4" i="44"/>
  <c r="S3" i="43"/>
  <c r="R4" i="43"/>
  <c r="R3" i="42"/>
  <c r="Q4" i="42"/>
  <c r="S3" i="41"/>
  <c r="R4" i="41"/>
  <c r="S3" i="40"/>
  <c r="R4" i="40"/>
  <c r="S3" i="39"/>
  <c r="R4" i="39"/>
  <c r="R4" i="38"/>
  <c r="S3" i="38"/>
  <c r="R4" i="37"/>
  <c r="S3" i="37"/>
  <c r="T3" i="36"/>
  <c r="S4" i="36"/>
  <c r="T4" i="35"/>
  <c r="U3" i="35"/>
  <c r="S3" i="34"/>
  <c r="R4" i="34"/>
  <c r="T4" i="33"/>
  <c r="U3" i="33"/>
  <c r="R4" i="32"/>
  <c r="S3" i="32"/>
  <c r="S3" i="31"/>
  <c r="R4" i="31"/>
  <c r="S3" i="30"/>
  <c r="R4" i="30"/>
  <c r="Q4" i="28"/>
  <c r="R3" i="28"/>
  <c r="R4" i="27"/>
  <c r="S3" i="27"/>
  <c r="S3" i="26"/>
  <c r="R4" i="26"/>
  <c r="T4" i="25"/>
  <c r="U3" i="25"/>
  <c r="T3" i="24"/>
  <c r="S4" i="24"/>
  <c r="S3" i="23"/>
  <c r="R4" i="23"/>
  <c r="S3" i="22"/>
  <c r="R4" i="22"/>
  <c r="R3" i="21"/>
  <c r="Q4" i="21"/>
  <c r="S3" i="20"/>
  <c r="R4" i="20"/>
  <c r="S3" i="19"/>
  <c r="R4" i="19"/>
  <c r="S3" i="18"/>
  <c r="R4" i="18"/>
  <c r="S4" i="50" l="1"/>
  <c r="T3" i="50"/>
  <c r="S4" i="49"/>
  <c r="T3" i="49"/>
  <c r="T3" i="48"/>
  <c r="S4" i="48"/>
  <c r="T4" i="47"/>
  <c r="U3" i="47"/>
  <c r="S4" i="46"/>
  <c r="T3" i="46"/>
  <c r="T3" i="45"/>
  <c r="S4" i="45"/>
  <c r="T3" i="44"/>
  <c r="S4" i="44"/>
  <c r="T3" i="43"/>
  <c r="S4" i="43"/>
  <c r="S3" i="42"/>
  <c r="R4" i="42"/>
  <c r="S4" i="41"/>
  <c r="T3" i="41"/>
  <c r="S4" i="40"/>
  <c r="T3" i="40"/>
  <c r="S4" i="39"/>
  <c r="T3" i="39"/>
  <c r="T3" i="38"/>
  <c r="S4" i="38"/>
  <c r="T3" i="37"/>
  <c r="S4" i="37"/>
  <c r="T4" i="36"/>
  <c r="U3" i="36"/>
  <c r="U4" i="35"/>
  <c r="V3" i="35"/>
  <c r="T3" i="34"/>
  <c r="S4" i="34"/>
  <c r="U4" i="33"/>
  <c r="V3" i="33"/>
  <c r="T3" i="32"/>
  <c r="S4" i="32"/>
  <c r="S4" i="31"/>
  <c r="T3" i="31"/>
  <c r="T3" i="30"/>
  <c r="S4" i="30"/>
  <c r="S3" i="28"/>
  <c r="R4" i="28"/>
  <c r="S4" i="27"/>
  <c r="T3" i="27"/>
  <c r="S4" i="26"/>
  <c r="T3" i="26"/>
  <c r="U4" i="25"/>
  <c r="V3" i="25"/>
  <c r="U3" i="24"/>
  <c r="T4" i="24"/>
  <c r="T3" i="23"/>
  <c r="S4" i="23"/>
  <c r="T3" i="22"/>
  <c r="S4" i="22"/>
  <c r="S3" i="21"/>
  <c r="R4" i="21"/>
  <c r="T3" i="20"/>
  <c r="S4" i="20"/>
  <c r="S4" i="19"/>
  <c r="T3" i="19"/>
  <c r="T3" i="18"/>
  <c r="S4" i="18"/>
  <c r="T4" i="50" l="1"/>
  <c r="U3" i="50"/>
  <c r="T4" i="49"/>
  <c r="U3" i="49"/>
  <c r="T4" i="48"/>
  <c r="U3" i="48"/>
  <c r="U4" i="47"/>
  <c r="V3" i="47"/>
  <c r="T4" i="46"/>
  <c r="U3" i="46"/>
  <c r="T4" i="45"/>
  <c r="U3" i="45"/>
  <c r="U3" i="44"/>
  <c r="T4" i="44"/>
  <c r="T4" i="43"/>
  <c r="U3" i="43"/>
  <c r="T3" i="42"/>
  <c r="S4" i="42"/>
  <c r="T4" i="41"/>
  <c r="U3" i="41"/>
  <c r="T4" i="40"/>
  <c r="U3" i="40"/>
  <c r="U3" i="39"/>
  <c r="T4" i="39"/>
  <c r="T4" i="38"/>
  <c r="U3" i="38"/>
  <c r="T4" i="37"/>
  <c r="U3" i="37"/>
  <c r="U4" i="36"/>
  <c r="V3" i="36"/>
  <c r="V4" i="35"/>
  <c r="W3" i="35"/>
  <c r="T4" i="34"/>
  <c r="U3" i="34"/>
  <c r="V4" i="33"/>
  <c r="W3" i="33"/>
  <c r="T4" i="32"/>
  <c r="U3" i="32"/>
  <c r="T4" i="31"/>
  <c r="U3" i="31"/>
  <c r="T4" i="30"/>
  <c r="U3" i="30"/>
  <c r="T3" i="28"/>
  <c r="S4" i="28"/>
  <c r="T4" i="27"/>
  <c r="U3" i="27"/>
  <c r="T4" i="26"/>
  <c r="U3" i="26"/>
  <c r="V4" i="25"/>
  <c r="W3" i="25"/>
  <c r="U4" i="24"/>
  <c r="V3" i="24"/>
  <c r="T4" i="23"/>
  <c r="U3" i="23"/>
  <c r="T4" i="22"/>
  <c r="U3" i="22"/>
  <c r="T3" i="21"/>
  <c r="S4" i="21"/>
  <c r="T4" i="20"/>
  <c r="U3" i="20"/>
  <c r="T4" i="19"/>
  <c r="U3" i="19"/>
  <c r="T4" i="18"/>
  <c r="U3" i="18"/>
  <c r="U4" i="50" l="1"/>
  <c r="V3" i="50"/>
  <c r="U4" i="49"/>
  <c r="V3" i="49"/>
  <c r="U4" i="48"/>
  <c r="V3" i="48"/>
  <c r="V4" i="47"/>
  <c r="W3" i="47"/>
  <c r="U4" i="46"/>
  <c r="V3" i="46"/>
  <c r="U4" i="45"/>
  <c r="V3" i="45"/>
  <c r="U4" i="44"/>
  <c r="V3" i="44"/>
  <c r="V3" i="43"/>
  <c r="U4" i="43"/>
  <c r="T4" i="42"/>
  <c r="U3" i="42"/>
  <c r="U4" i="41"/>
  <c r="V3" i="41"/>
  <c r="U4" i="40"/>
  <c r="V3" i="40"/>
  <c r="V3" i="39"/>
  <c r="U4" i="39"/>
  <c r="U4" i="38"/>
  <c r="V3" i="38"/>
  <c r="U4" i="37"/>
  <c r="V3" i="37"/>
  <c r="V4" i="36"/>
  <c r="W3" i="36"/>
  <c r="W4" i="35"/>
  <c r="X3" i="35"/>
  <c r="U4" i="34"/>
  <c r="V3" i="34"/>
  <c r="W4" i="33"/>
  <c r="X3" i="33"/>
  <c r="U4" i="32"/>
  <c r="V3" i="32"/>
  <c r="V3" i="31"/>
  <c r="U4" i="31"/>
  <c r="U4" i="30"/>
  <c r="V3" i="30"/>
  <c r="T4" i="28"/>
  <c r="U3" i="28"/>
  <c r="V3" i="27"/>
  <c r="U4" i="27"/>
  <c r="U4" i="26"/>
  <c r="V3" i="26"/>
  <c r="W4" i="25"/>
  <c r="X3" i="25"/>
  <c r="V4" i="24"/>
  <c r="W3" i="24"/>
  <c r="U4" i="23"/>
  <c r="V3" i="23"/>
  <c r="U4" i="22"/>
  <c r="V3" i="22"/>
  <c r="T4" i="21"/>
  <c r="U3" i="21"/>
  <c r="U4" i="20"/>
  <c r="V3" i="20"/>
  <c r="U4" i="19"/>
  <c r="V3" i="19"/>
  <c r="U4" i="18"/>
  <c r="V3" i="18"/>
  <c r="V4" i="50" l="1"/>
  <c r="W3" i="50"/>
  <c r="V4" i="49"/>
  <c r="W3" i="49"/>
  <c r="W3" i="48"/>
  <c r="V4" i="48"/>
  <c r="W4" i="47"/>
  <c r="X3" i="47"/>
  <c r="V4" i="46"/>
  <c r="W3" i="46"/>
  <c r="V4" i="45"/>
  <c r="W3" i="45"/>
  <c r="V4" i="44"/>
  <c r="W3" i="44"/>
  <c r="V4" i="43"/>
  <c r="W3" i="43"/>
  <c r="U4" i="42"/>
  <c r="V3" i="42"/>
  <c r="V4" i="41"/>
  <c r="W3" i="41"/>
  <c r="V4" i="40"/>
  <c r="W3" i="40"/>
  <c r="V4" i="39"/>
  <c r="W3" i="39"/>
  <c r="V4" i="38"/>
  <c r="W3" i="38"/>
  <c r="W3" i="37"/>
  <c r="V4" i="37"/>
  <c r="W4" i="36"/>
  <c r="X3" i="36"/>
  <c r="X4" i="35"/>
  <c r="Y3" i="35"/>
  <c r="V4" i="34"/>
  <c r="W3" i="34"/>
  <c r="X4" i="33"/>
  <c r="Y3" i="33"/>
  <c r="W3" i="32"/>
  <c r="V4" i="32"/>
  <c r="W3" i="31"/>
  <c r="V4" i="31"/>
  <c r="V4" i="30"/>
  <c r="W3" i="30"/>
  <c r="V3" i="28"/>
  <c r="U4" i="28"/>
  <c r="V4" i="27"/>
  <c r="W3" i="27"/>
  <c r="V4" i="26"/>
  <c r="W3" i="26"/>
  <c r="X4" i="25"/>
  <c r="Y3" i="25"/>
  <c r="W4" i="24"/>
  <c r="X3" i="24"/>
  <c r="V4" i="23"/>
  <c r="W3" i="23"/>
  <c r="V4" i="22"/>
  <c r="W3" i="22"/>
  <c r="U4" i="21"/>
  <c r="V3" i="21"/>
  <c r="V4" i="20"/>
  <c r="W3" i="20"/>
  <c r="V4" i="19"/>
  <c r="W3" i="19"/>
  <c r="V4" i="18"/>
  <c r="W3" i="18"/>
  <c r="W4" i="50" l="1"/>
  <c r="X3" i="50"/>
  <c r="W4" i="49"/>
  <c r="X3" i="49"/>
  <c r="X3" i="48"/>
  <c r="W4" i="48"/>
  <c r="X4" i="47"/>
  <c r="Y3" i="47"/>
  <c r="W4" i="46"/>
  <c r="X3" i="46"/>
  <c r="W4" i="45"/>
  <c r="X3" i="45"/>
  <c r="W4" i="44"/>
  <c r="X3" i="44"/>
  <c r="W4" i="43"/>
  <c r="X3" i="43"/>
  <c r="V4" i="42"/>
  <c r="W3" i="42"/>
  <c r="W4" i="41"/>
  <c r="X3" i="41"/>
  <c r="W4" i="40"/>
  <c r="X3" i="40"/>
  <c r="W4" i="39"/>
  <c r="X3" i="39"/>
  <c r="X3" i="38"/>
  <c r="W4" i="38"/>
  <c r="W4" i="37"/>
  <c r="X3" i="37"/>
  <c r="X4" i="36"/>
  <c r="Y3" i="36"/>
  <c r="Y4" i="35"/>
  <c r="Z3" i="35"/>
  <c r="W4" i="34"/>
  <c r="X3" i="34"/>
  <c r="Y4" i="33"/>
  <c r="Z3" i="33"/>
  <c r="X3" i="32"/>
  <c r="W4" i="32"/>
  <c r="W4" i="31"/>
  <c r="X3" i="31"/>
  <c r="W4" i="30"/>
  <c r="X3" i="30"/>
  <c r="V4" i="28"/>
  <c r="W3" i="28"/>
  <c r="X3" i="27"/>
  <c r="W4" i="27"/>
  <c r="W4" i="26"/>
  <c r="X3" i="26"/>
  <c r="Y4" i="25"/>
  <c r="Z3" i="25"/>
  <c r="X4" i="24"/>
  <c r="Y3" i="24"/>
  <c r="W4" i="23"/>
  <c r="X3" i="23"/>
  <c r="W4" i="22"/>
  <c r="X3" i="22"/>
  <c r="V4" i="21"/>
  <c r="W3" i="21"/>
  <c r="W4" i="20"/>
  <c r="X3" i="20"/>
  <c r="W4" i="19"/>
  <c r="X3" i="19"/>
  <c r="W4" i="18"/>
  <c r="X3" i="18"/>
  <c r="X4" i="50" l="1"/>
  <c r="Y3" i="50"/>
  <c r="X4" i="49"/>
  <c r="Y3" i="49"/>
  <c r="X4" i="48"/>
  <c r="Y3" i="48"/>
  <c r="Y4" i="47"/>
  <c r="Z3" i="47"/>
  <c r="Y3" i="46"/>
  <c r="X4" i="46"/>
  <c r="X4" i="45"/>
  <c r="Y3" i="45"/>
  <c r="X4" i="44"/>
  <c r="Y3" i="44"/>
  <c r="X4" i="43"/>
  <c r="Y3" i="43"/>
  <c r="W4" i="42"/>
  <c r="X3" i="42"/>
  <c r="X4" i="41"/>
  <c r="Y3" i="41"/>
  <c r="X4" i="40"/>
  <c r="Y3" i="40"/>
  <c r="Y3" i="39"/>
  <c r="X4" i="39"/>
  <c r="Y3" i="38"/>
  <c r="X4" i="38"/>
  <c r="X4" i="37"/>
  <c r="Y3" i="37"/>
  <c r="Y4" i="36"/>
  <c r="Z3" i="36"/>
  <c r="AA3" i="35"/>
  <c r="Z4" i="35"/>
  <c r="X4" i="34"/>
  <c r="Y3" i="34"/>
  <c r="AA3" i="33"/>
  <c r="Z4" i="33"/>
  <c r="Y3" i="32"/>
  <c r="X4" i="32"/>
  <c r="X4" i="31"/>
  <c r="Y3" i="31"/>
  <c r="X4" i="30"/>
  <c r="Y3" i="30"/>
  <c r="W4" i="28"/>
  <c r="X3" i="28"/>
  <c r="Y3" i="27"/>
  <c r="X4" i="27"/>
  <c r="X4" i="26"/>
  <c r="Y3" i="26"/>
  <c r="AA3" i="25"/>
  <c r="Z4" i="25"/>
  <c r="Y4" i="24"/>
  <c r="Z3" i="24"/>
  <c r="X4" i="23"/>
  <c r="Y3" i="23"/>
  <c r="X4" i="22"/>
  <c r="Y3" i="22"/>
  <c r="W4" i="21"/>
  <c r="X3" i="21"/>
  <c r="X4" i="20"/>
  <c r="Y3" i="20"/>
  <c r="X4" i="19"/>
  <c r="Y3" i="19"/>
  <c r="X4" i="18"/>
  <c r="Y3" i="18"/>
  <c r="Z3" i="50" l="1"/>
  <c r="Y4" i="50"/>
  <c r="Z3" i="49"/>
  <c r="Y4" i="49"/>
  <c r="Y4" i="48"/>
  <c r="Z3" i="48"/>
  <c r="Z4" i="47"/>
  <c r="AA3" i="47"/>
  <c r="Z3" i="46"/>
  <c r="Y4" i="46"/>
  <c r="Y4" i="45"/>
  <c r="Z3" i="45"/>
  <c r="Y4" i="44"/>
  <c r="Z3" i="44"/>
  <c r="Y4" i="43"/>
  <c r="Z3" i="43"/>
  <c r="X4" i="42"/>
  <c r="Y3" i="42"/>
  <c r="Z3" i="41"/>
  <c r="Y4" i="41"/>
  <c r="Z3" i="40"/>
  <c r="Y4" i="40"/>
  <c r="Z3" i="39"/>
  <c r="Y4" i="39"/>
  <c r="Y4" i="38"/>
  <c r="Z3" i="38"/>
  <c r="Y4" i="37"/>
  <c r="Z3" i="37"/>
  <c r="AA3" i="36"/>
  <c r="Z4" i="36"/>
  <c r="AB3" i="35"/>
  <c r="AA4" i="35"/>
  <c r="Y4" i="34"/>
  <c r="Z3" i="34"/>
  <c r="AB3" i="33"/>
  <c r="AA4" i="33"/>
  <c r="Y4" i="32"/>
  <c r="Z3" i="32"/>
  <c r="Z3" i="31"/>
  <c r="Y4" i="31"/>
  <c r="Y4" i="30"/>
  <c r="Z3" i="30"/>
  <c r="X4" i="28"/>
  <c r="Y3" i="28"/>
  <c r="Z3" i="27"/>
  <c r="Y4" i="27"/>
  <c r="Z3" i="26"/>
  <c r="Y4" i="26"/>
  <c r="AB3" i="25"/>
  <c r="AA4" i="25"/>
  <c r="Z4" i="24"/>
  <c r="AA3" i="24"/>
  <c r="Y4" i="23"/>
  <c r="Z3" i="23"/>
  <c r="Y4" i="22"/>
  <c r="Z3" i="22"/>
  <c r="Y3" i="21"/>
  <c r="X4" i="21"/>
  <c r="Y4" i="20"/>
  <c r="Z3" i="20"/>
  <c r="Z3" i="19"/>
  <c r="Y4" i="19"/>
  <c r="Y4" i="18"/>
  <c r="Z3" i="18"/>
  <c r="AA3" i="50" l="1"/>
  <c r="Z4" i="50"/>
  <c r="AA3" i="49"/>
  <c r="Z4" i="49"/>
  <c r="AA3" i="48"/>
  <c r="Z4" i="48"/>
  <c r="AB3" i="47"/>
  <c r="AA4" i="47"/>
  <c r="AA3" i="46"/>
  <c r="Z4" i="46"/>
  <c r="AA3" i="45"/>
  <c r="Z4" i="45"/>
  <c r="AA3" i="44"/>
  <c r="Z4" i="44"/>
  <c r="AA3" i="43"/>
  <c r="Z4" i="43"/>
  <c r="Y4" i="42"/>
  <c r="Z3" i="42"/>
  <c r="AA3" i="41"/>
  <c r="Z4" i="41"/>
  <c r="AA3" i="40"/>
  <c r="Z4" i="40"/>
  <c r="AA3" i="39"/>
  <c r="Z4" i="39"/>
  <c r="AA3" i="38"/>
  <c r="Z4" i="38"/>
  <c r="AA3" i="37"/>
  <c r="Z4" i="37"/>
  <c r="AB3" i="36"/>
  <c r="AA4" i="36"/>
  <c r="AC3" i="35"/>
  <c r="AB4" i="35"/>
  <c r="AA3" i="34"/>
  <c r="Z4" i="34"/>
  <c r="AC3" i="33"/>
  <c r="AB4" i="33"/>
  <c r="Z4" i="32"/>
  <c r="AA3" i="32"/>
  <c r="AA3" i="31"/>
  <c r="Z4" i="31"/>
  <c r="Z4" i="30"/>
  <c r="AA3" i="30"/>
  <c r="Y4" i="28"/>
  <c r="Z3" i="28"/>
  <c r="AA3" i="27"/>
  <c r="Z4" i="27"/>
  <c r="AA3" i="26"/>
  <c r="Z4" i="26"/>
  <c r="AC3" i="25"/>
  <c r="AB4" i="25"/>
  <c r="AB3" i="24"/>
  <c r="AA4" i="24"/>
  <c r="AA3" i="23"/>
  <c r="Z4" i="23"/>
  <c r="AA3" i="22"/>
  <c r="Z4" i="22"/>
  <c r="Y4" i="21"/>
  <c r="Z3" i="21"/>
  <c r="AA3" i="20"/>
  <c r="Z4" i="20"/>
  <c r="AA3" i="19"/>
  <c r="Z4" i="19"/>
  <c r="AA3" i="18"/>
  <c r="Z4" i="18"/>
  <c r="AB3" i="50" l="1"/>
  <c r="AA4" i="50"/>
  <c r="AB3" i="49"/>
  <c r="AA4" i="49"/>
  <c r="AB3" i="48"/>
  <c r="AA4" i="48"/>
  <c r="AC3" i="47"/>
  <c r="AB4" i="47"/>
  <c r="AB3" i="46"/>
  <c r="AA4" i="46"/>
  <c r="AB3" i="45"/>
  <c r="AA4" i="45"/>
  <c r="AB3" i="44"/>
  <c r="AA4" i="44"/>
  <c r="AA4" i="43"/>
  <c r="AB3" i="43"/>
  <c r="AA3" i="42"/>
  <c r="Z4" i="42"/>
  <c r="AB3" i="41"/>
  <c r="AA4" i="41"/>
  <c r="AB3" i="40"/>
  <c r="AA4" i="40"/>
  <c r="AA4" i="39"/>
  <c r="AB3" i="39"/>
  <c r="AB3" i="38"/>
  <c r="AA4" i="38"/>
  <c r="AB3" i="37"/>
  <c r="AA4" i="37"/>
  <c r="AC3" i="36"/>
  <c r="AB4" i="36"/>
  <c r="AD3" i="35"/>
  <c r="AC4" i="35"/>
  <c r="AA4" i="34"/>
  <c r="AB3" i="34"/>
  <c r="AD3" i="33"/>
  <c r="AC4" i="33"/>
  <c r="AB3" i="32"/>
  <c r="AA4" i="32"/>
  <c r="AB3" i="31"/>
  <c r="AA4" i="31"/>
  <c r="AB3" i="30"/>
  <c r="AA4" i="30"/>
  <c r="AA3" i="28"/>
  <c r="Z4" i="28"/>
  <c r="AA4" i="27"/>
  <c r="AB3" i="27"/>
  <c r="AB3" i="26"/>
  <c r="AA4" i="26"/>
  <c r="AD3" i="25"/>
  <c r="AC4" i="25"/>
  <c r="AC3" i="24"/>
  <c r="AB4" i="24"/>
  <c r="AB3" i="23"/>
  <c r="AA4" i="23"/>
  <c r="AB3" i="22"/>
  <c r="AA4" i="22"/>
  <c r="AA3" i="21"/>
  <c r="Z4" i="21"/>
  <c r="AB3" i="20"/>
  <c r="AA4" i="20"/>
  <c r="AB3" i="19"/>
  <c r="AA4" i="19"/>
  <c r="AB3" i="18"/>
  <c r="AA4" i="18"/>
  <c r="AC3" i="50" l="1"/>
  <c r="AB4" i="50"/>
  <c r="AC3" i="49"/>
  <c r="AB4" i="49"/>
  <c r="AB4" i="48"/>
  <c r="AC3" i="48"/>
  <c r="AD3" i="47"/>
  <c r="AC4" i="47"/>
  <c r="AC3" i="46"/>
  <c r="AD3" i="46" s="1"/>
  <c r="AE3" i="46" s="1"/>
  <c r="AF3" i="46" s="1"/>
  <c r="AB4" i="46"/>
  <c r="AC3" i="45"/>
  <c r="AB4" i="45"/>
  <c r="AC3" i="44"/>
  <c r="AB4" i="44"/>
  <c r="AC3" i="43"/>
  <c r="AB4" i="43"/>
  <c r="AB3" i="42"/>
  <c r="AA4" i="42"/>
  <c r="AC3" i="41"/>
  <c r="AB4" i="41"/>
  <c r="AC3" i="40"/>
  <c r="AB4" i="40"/>
  <c r="AB4" i="39"/>
  <c r="AC3" i="39"/>
  <c r="AC3" i="38"/>
  <c r="AB4" i="38"/>
  <c r="AB4" i="37"/>
  <c r="AC3" i="37"/>
  <c r="AD3" i="36"/>
  <c r="AC4" i="36"/>
  <c r="AE3" i="35"/>
  <c r="AD4" i="35"/>
  <c r="AC3" i="34"/>
  <c r="AB4" i="34"/>
  <c r="AE3" i="33"/>
  <c r="AD4" i="33"/>
  <c r="AB4" i="32"/>
  <c r="AC3" i="32"/>
  <c r="AB4" i="31"/>
  <c r="AC3" i="31"/>
  <c r="AC3" i="30"/>
  <c r="AB4" i="30"/>
  <c r="AB3" i="28"/>
  <c r="AA4" i="28"/>
  <c r="AC3" i="27"/>
  <c r="AB4" i="27"/>
  <c r="AC3" i="26"/>
  <c r="AB4" i="26"/>
  <c r="AE3" i="25"/>
  <c r="AD4" i="25"/>
  <c r="AD3" i="24"/>
  <c r="AC4" i="24"/>
  <c r="AC3" i="23"/>
  <c r="AB4" i="23"/>
  <c r="AC3" i="22"/>
  <c r="AB4" i="22"/>
  <c r="AA4" i="21"/>
  <c r="AB3" i="21"/>
  <c r="AC3" i="20"/>
  <c r="AB4" i="20"/>
  <c r="AC3" i="19"/>
  <c r="AB4" i="19"/>
  <c r="AC3" i="18"/>
  <c r="AB4" i="18"/>
  <c r="AD3" i="50" l="1"/>
  <c r="AC4" i="50"/>
  <c r="AD3" i="49"/>
  <c r="AC4" i="49"/>
  <c r="AC4" i="48"/>
  <c r="AD3" i="48"/>
  <c r="AE3" i="47"/>
  <c r="AD4" i="47"/>
  <c r="AC4" i="46"/>
  <c r="AD3" i="45"/>
  <c r="AC4" i="45"/>
  <c r="AD3" i="44"/>
  <c r="AC4" i="44"/>
  <c r="AC4" i="43"/>
  <c r="AD3" i="43"/>
  <c r="AC3" i="42"/>
  <c r="AB4" i="42"/>
  <c r="AD3" i="41"/>
  <c r="AC4" i="41"/>
  <c r="AD3" i="40"/>
  <c r="AC4" i="40"/>
  <c r="AD3" i="39"/>
  <c r="AC4" i="39"/>
  <c r="AC4" i="38"/>
  <c r="AD3" i="38"/>
  <c r="AD3" i="37"/>
  <c r="AC4" i="37"/>
  <c r="AE3" i="36"/>
  <c r="AD4" i="36"/>
  <c r="AF3" i="35"/>
  <c r="AF4" i="35" s="1"/>
  <c r="AE4" i="35"/>
  <c r="AD3" i="34"/>
  <c r="AC4" i="34"/>
  <c r="AF3" i="33"/>
  <c r="AF4" i="33" s="1"/>
  <c r="AE4" i="33"/>
  <c r="AC4" i="32"/>
  <c r="AD3" i="32"/>
  <c r="AC4" i="31"/>
  <c r="AD3" i="31"/>
  <c r="AD3" i="30"/>
  <c r="AC4" i="30"/>
  <c r="AC3" i="28"/>
  <c r="AB4" i="28"/>
  <c r="AC4" i="27"/>
  <c r="AD3" i="27"/>
  <c r="AD3" i="26"/>
  <c r="AC4" i="26"/>
  <c r="AF3" i="25"/>
  <c r="AF4" i="25" s="1"/>
  <c r="AE4" i="25"/>
  <c r="AE3" i="24"/>
  <c r="AD4" i="24"/>
  <c r="AD3" i="23"/>
  <c r="AC4" i="23"/>
  <c r="AD3" i="22"/>
  <c r="AC4" i="22"/>
  <c r="AB4" i="21"/>
  <c r="AC3" i="21"/>
  <c r="AD3" i="20"/>
  <c r="AC4" i="20"/>
  <c r="AD3" i="19"/>
  <c r="AC4" i="19"/>
  <c r="AD3" i="18"/>
  <c r="AC4" i="18"/>
  <c r="AE3" i="50" l="1"/>
  <c r="AD4" i="50"/>
  <c r="AE3" i="49"/>
  <c r="AD4" i="49"/>
  <c r="AE3" i="48"/>
  <c r="AD4" i="48"/>
  <c r="AF3" i="47"/>
  <c r="AF4" i="47" s="1"/>
  <c r="AE4" i="47"/>
  <c r="AD4" i="46"/>
  <c r="AE3" i="45"/>
  <c r="AD4" i="45"/>
  <c r="AE3" i="44"/>
  <c r="AD4" i="44"/>
  <c r="AE3" i="43"/>
  <c r="AD4" i="43"/>
  <c r="AD3" i="42"/>
  <c r="AC4" i="42"/>
  <c r="AE3" i="41"/>
  <c r="AD4" i="41"/>
  <c r="AE3" i="40"/>
  <c r="AD4" i="40"/>
  <c r="AD4" i="39"/>
  <c r="AE3" i="39"/>
  <c r="AD4" i="38"/>
  <c r="AE3" i="38"/>
  <c r="AE3" i="37"/>
  <c r="AD4" i="37"/>
  <c r="AF3" i="36"/>
  <c r="AF4" i="36" s="1"/>
  <c r="AE4" i="36"/>
  <c r="AE3" i="34"/>
  <c r="AD4" i="34"/>
  <c r="AE3" i="32"/>
  <c r="AD4" i="32"/>
  <c r="AE3" i="31"/>
  <c r="AD4" i="31"/>
  <c r="AE3" i="30"/>
  <c r="AD4" i="30"/>
  <c r="AD3" i="28"/>
  <c r="AC4" i="28"/>
  <c r="AD4" i="27"/>
  <c r="AE3" i="27"/>
  <c r="AE3" i="26"/>
  <c r="AD4" i="26"/>
  <c r="AF3" i="24"/>
  <c r="AF4" i="24" s="1"/>
  <c r="AE4" i="24"/>
  <c r="AE3" i="23"/>
  <c r="AD4" i="23"/>
  <c r="AE3" i="22"/>
  <c r="AD4" i="22"/>
  <c r="AD3" i="21"/>
  <c r="AC4" i="21"/>
  <c r="AE3" i="20"/>
  <c r="AD4" i="20"/>
  <c r="AE3" i="19"/>
  <c r="AD4" i="19"/>
  <c r="AE3" i="18"/>
  <c r="AD4" i="18"/>
  <c r="AE4" i="50" l="1"/>
  <c r="AF3" i="50"/>
  <c r="AF4" i="50" s="1"/>
  <c r="AE4" i="49"/>
  <c r="AF3" i="49"/>
  <c r="AF4" i="49" s="1"/>
  <c r="AF3" i="48"/>
  <c r="AF4" i="48" s="1"/>
  <c r="AE4" i="48"/>
  <c r="AE4" i="46"/>
  <c r="AF4" i="46"/>
  <c r="AF3" i="45"/>
  <c r="AF4" i="45" s="1"/>
  <c r="AE4" i="45"/>
  <c r="AF3" i="44"/>
  <c r="AF4" i="44" s="1"/>
  <c r="AE4" i="44"/>
  <c r="AF3" i="43"/>
  <c r="AF4" i="43" s="1"/>
  <c r="AE4" i="43"/>
  <c r="AE3" i="42"/>
  <c r="AD4" i="42"/>
  <c r="AF3" i="41"/>
  <c r="AF4" i="41" s="1"/>
  <c r="AE4" i="41"/>
  <c r="AE4" i="40"/>
  <c r="AF3" i="40"/>
  <c r="AF4" i="40" s="1"/>
  <c r="AE4" i="39"/>
  <c r="AF3" i="39"/>
  <c r="AF4" i="39" s="1"/>
  <c r="AF3" i="38"/>
  <c r="AF4" i="38" s="1"/>
  <c r="AE4" i="38"/>
  <c r="AF3" i="37"/>
  <c r="AF4" i="37" s="1"/>
  <c r="AE4" i="37"/>
  <c r="AF3" i="34"/>
  <c r="AF4" i="34" s="1"/>
  <c r="AE4" i="34"/>
  <c r="AF3" i="32"/>
  <c r="AF4" i="32" s="1"/>
  <c r="AE4" i="32"/>
  <c r="AE4" i="31"/>
  <c r="AF3" i="31"/>
  <c r="AF4" i="31" s="1"/>
  <c r="AF3" i="30"/>
  <c r="AF4" i="30" s="1"/>
  <c r="AE4" i="30"/>
  <c r="AE3" i="28"/>
  <c r="AD4" i="28"/>
  <c r="AF3" i="27"/>
  <c r="AF4" i="27" s="1"/>
  <c r="AE4" i="27"/>
  <c r="AE4" i="26"/>
  <c r="AF3" i="26"/>
  <c r="AF4" i="26" s="1"/>
  <c r="AF3" i="23"/>
  <c r="AF4" i="23" s="1"/>
  <c r="AE4" i="23"/>
  <c r="AF3" i="22"/>
  <c r="AF4" i="22" s="1"/>
  <c r="AE4" i="22"/>
  <c r="AE3" i="21"/>
  <c r="AD4" i="21"/>
  <c r="AF3" i="20"/>
  <c r="AF4" i="20" s="1"/>
  <c r="AE4" i="20"/>
  <c r="AE4" i="19"/>
  <c r="AF3" i="19"/>
  <c r="AF4" i="19" s="1"/>
  <c r="AF3" i="18"/>
  <c r="AF4" i="18" s="1"/>
  <c r="AE4" i="18"/>
  <c r="AF3" i="42" l="1"/>
  <c r="AF4" i="42" s="1"/>
  <c r="AE4" i="42"/>
  <c r="AE4" i="28"/>
  <c r="AF3" i="21"/>
  <c r="AF4" i="21" s="1"/>
  <c r="AE4" i="21"/>
  <c r="C25" i="9"/>
  <c r="C24" i="9"/>
  <c r="C12" i="9"/>
</calcChain>
</file>

<file path=xl/sharedStrings.xml><?xml version="1.0" encoding="utf-8"?>
<sst xmlns="http://schemas.openxmlformats.org/spreadsheetml/2006/main" count="15570" uniqueCount="1193">
  <si>
    <t>BOOKING PLAN</t>
  </si>
  <si>
    <t xml:space="preserve">PPCB Village Guesthouse 
</t>
  </si>
  <si>
    <t>ROOM</t>
  </si>
  <si>
    <t>Room # VIP - ZAMBA</t>
  </si>
  <si>
    <t>Del gouv</t>
  </si>
  <si>
    <t>Iqbal</t>
  </si>
  <si>
    <t>sarah</t>
  </si>
  <si>
    <t>Room # 3 - MALANGA</t>
  </si>
  <si>
    <t>fran</t>
  </si>
  <si>
    <t>Yolene</t>
  </si>
  <si>
    <t>Craig</t>
  </si>
  <si>
    <t>Room # 4 - KUMBA</t>
  </si>
  <si>
    <t>Divine</t>
  </si>
  <si>
    <t>Jean J</t>
  </si>
  <si>
    <t>lisangola</t>
  </si>
  <si>
    <t>Room # 5 - KIASUNGWA</t>
  </si>
  <si>
    <t>Natha</t>
  </si>
  <si>
    <t>Zynga</t>
  </si>
  <si>
    <t>Room # 6 - LUKUNGA</t>
  </si>
  <si>
    <t>Cynthia</t>
  </si>
  <si>
    <t>Room # 7 - BANGU</t>
  </si>
  <si>
    <t>Daisy</t>
  </si>
  <si>
    <t>Nissie</t>
  </si>
  <si>
    <t>Dyna</t>
  </si>
  <si>
    <t>Room # 8 - KWILU</t>
  </si>
  <si>
    <t>Afridex</t>
  </si>
  <si>
    <t>Mena</t>
  </si>
  <si>
    <t>Alain</t>
  </si>
  <si>
    <t>PPCB Village Guesthouse 
BRAVO</t>
  </si>
  <si>
    <t>Room</t>
  </si>
  <si>
    <t>Room # 9 - SONGOLOLO</t>
  </si>
  <si>
    <t>Guylain</t>
  </si>
  <si>
    <t>GS</t>
  </si>
  <si>
    <t>Oli</t>
  </si>
  <si>
    <t>Tractafric</t>
  </si>
  <si>
    <t>Room # 10 - KIMPESE</t>
  </si>
  <si>
    <t>Abeille</t>
  </si>
  <si>
    <t>JMK</t>
  </si>
  <si>
    <t>Christophe</t>
  </si>
  <si>
    <t>Room # 11 - LUKALA</t>
  </si>
  <si>
    <t>Eddo</t>
  </si>
  <si>
    <t>Iso</t>
  </si>
  <si>
    <t>Room # 12 - VAMPA</t>
  </si>
  <si>
    <t>audit</t>
  </si>
  <si>
    <t>Francis</t>
  </si>
  <si>
    <t>Room # 13 - LUFU</t>
  </si>
  <si>
    <t>Stag</t>
  </si>
  <si>
    <t>Room # 14 - NANGA</t>
  </si>
  <si>
    <t>Willy</t>
  </si>
  <si>
    <t>Issuer</t>
  </si>
  <si>
    <t>Room # 15 - NTEMO</t>
  </si>
  <si>
    <t>Room # 16 - MATADI</t>
  </si>
  <si>
    <t>ChauF Bgfib</t>
  </si>
  <si>
    <t>banga</t>
  </si>
  <si>
    <t>Visitor Name</t>
  </si>
  <si>
    <t>Check IN</t>
  </si>
  <si>
    <t>Check out</t>
  </si>
  <si>
    <t>Purpose</t>
  </si>
  <si>
    <t>Department</t>
  </si>
  <si>
    <t>Laetitia</t>
  </si>
  <si>
    <t>Marketing</t>
  </si>
  <si>
    <t>28/09/2022</t>
  </si>
  <si>
    <t>30/09/2022</t>
  </si>
  <si>
    <t>Mission to the plant - Huduma project</t>
  </si>
  <si>
    <t>Brigitte</t>
  </si>
  <si>
    <t>Jonathan</t>
  </si>
  <si>
    <t>laetitia</t>
  </si>
  <si>
    <t>Bob Seke</t>
  </si>
  <si>
    <t>Audit</t>
  </si>
  <si>
    <t>Issue related to HR and IFRC Revenue and Receivables review</t>
  </si>
  <si>
    <t>Christelle</t>
  </si>
  <si>
    <t>Nalola</t>
  </si>
  <si>
    <t>Veringa</t>
  </si>
  <si>
    <t>HO</t>
  </si>
  <si>
    <t>Projet agricole : plantation</t>
  </si>
  <si>
    <t>christelle</t>
  </si>
  <si>
    <t>nalola</t>
  </si>
  <si>
    <t>veringa</t>
  </si>
  <si>
    <t>cynthia</t>
  </si>
  <si>
    <t>Bob</t>
  </si>
  <si>
    <t>Vivi</t>
  </si>
  <si>
    <t>yolene</t>
  </si>
  <si>
    <t>Moise</t>
  </si>
  <si>
    <t>Sarah</t>
  </si>
  <si>
    <t>CNSS</t>
  </si>
  <si>
    <t>Jean Jac</t>
  </si>
  <si>
    <t>Oscar</t>
  </si>
  <si>
    <t>Env</t>
  </si>
  <si>
    <t>Engen</t>
  </si>
  <si>
    <t>Delitech</t>
  </si>
  <si>
    <t>Kananga</t>
  </si>
  <si>
    <t>Bamanisa</t>
  </si>
  <si>
    <t>Nelly</t>
  </si>
  <si>
    <t>Kalaa</t>
  </si>
  <si>
    <t>Stephane</t>
  </si>
  <si>
    <t>Achille</t>
  </si>
  <si>
    <t>Muzadi</t>
  </si>
  <si>
    <t>Tanya</t>
  </si>
  <si>
    <t>Yanice</t>
  </si>
  <si>
    <t>Edgar</t>
  </si>
  <si>
    <t>Kalaa driver</t>
  </si>
  <si>
    <t>Mamba</t>
  </si>
  <si>
    <t>Bamanisa driver</t>
  </si>
  <si>
    <t>Sales ISF</t>
  </si>
  <si>
    <t>17/10/2022</t>
  </si>
  <si>
    <t>26/10/2022</t>
  </si>
  <si>
    <t>Meet engineering end users, planner and warehouse team for the plant orders and services</t>
  </si>
  <si>
    <t>19/10/2022</t>
  </si>
  <si>
    <t>Work with Karim</t>
  </si>
  <si>
    <t>Production coll7gues</t>
  </si>
  <si>
    <t>17/11/2022</t>
  </si>
  <si>
    <t>3 operator supports for 1 month in production department</t>
  </si>
  <si>
    <t>25/09/2022</t>
  </si>
  <si>
    <t>24/10/202</t>
  </si>
  <si>
    <t>Gouv</t>
  </si>
  <si>
    <t>Pro supp</t>
  </si>
  <si>
    <t>Equity</t>
  </si>
  <si>
    <t>Caesare</t>
  </si>
  <si>
    <t>Tabitha</t>
  </si>
  <si>
    <t>Driver Ndo</t>
  </si>
  <si>
    <t>Ben</t>
  </si>
  <si>
    <t>24/10/2022</t>
  </si>
  <si>
    <t>28/10/2022</t>
  </si>
  <si>
    <t>Vibration measurement and analysis</t>
  </si>
  <si>
    <t>Formateur</t>
  </si>
  <si>
    <t>Mining Insp</t>
  </si>
  <si>
    <t>Agricole</t>
  </si>
  <si>
    <t>Prof</t>
  </si>
  <si>
    <t>oscar</t>
  </si>
  <si>
    <t>Ali</t>
  </si>
  <si>
    <t>Rimels</t>
  </si>
  <si>
    <t>AG VIVI</t>
  </si>
  <si>
    <t>Aubin</t>
  </si>
  <si>
    <t>SA - Ben</t>
  </si>
  <si>
    <t>Honore</t>
  </si>
  <si>
    <t>Huduma</t>
  </si>
  <si>
    <t>Fardc</t>
  </si>
  <si>
    <t>Aubin - garage</t>
  </si>
  <si>
    <t>Prof Albert</t>
  </si>
  <si>
    <t>Rostard</t>
  </si>
  <si>
    <t>Pierrot</t>
  </si>
  <si>
    <t>Daniel</t>
  </si>
  <si>
    <t>Goh Guede</t>
  </si>
  <si>
    <t>Banga</t>
  </si>
  <si>
    <t>Tresor</t>
  </si>
  <si>
    <t>Huduma-peintre</t>
  </si>
  <si>
    <t>Petit lutin</t>
  </si>
  <si>
    <t>Hemedi</t>
  </si>
  <si>
    <t>christian</t>
  </si>
  <si>
    <t>Jean jac</t>
  </si>
  <si>
    <t>Eng richar</t>
  </si>
  <si>
    <t>Malick</t>
  </si>
  <si>
    <t>IQBAL</t>
  </si>
  <si>
    <t>EDGARD</t>
  </si>
  <si>
    <t>STEPHANE</t>
  </si>
  <si>
    <t>MUZADI</t>
  </si>
  <si>
    <t>ACHILLE</t>
  </si>
  <si>
    <t>CHRISTELLE</t>
  </si>
  <si>
    <t>ZYNGA</t>
  </si>
  <si>
    <t>TANYA</t>
  </si>
  <si>
    <t>RIAAN</t>
  </si>
  <si>
    <t>SARAH N</t>
  </si>
  <si>
    <t>FRANCIS</t>
  </si>
  <si>
    <t>SYNDIC</t>
  </si>
  <si>
    <t>INSPECT TRA</t>
  </si>
  <si>
    <t>Rachi</t>
  </si>
  <si>
    <t>Sarah El</t>
  </si>
  <si>
    <t>SA</t>
  </si>
  <si>
    <t>Bupa</t>
  </si>
  <si>
    <t>Wenga</t>
  </si>
  <si>
    <t>JP Sales</t>
  </si>
  <si>
    <t>Sarah Le</t>
  </si>
  <si>
    <t>Mehdi</t>
  </si>
  <si>
    <t>Eureka</t>
  </si>
  <si>
    <t>Total</t>
  </si>
  <si>
    <t>Taux %</t>
  </si>
  <si>
    <t>Total Occupation</t>
  </si>
  <si>
    <t xml:space="preserve">Sarah </t>
  </si>
  <si>
    <t>Total General Occupation</t>
  </si>
  <si>
    <t>Taux d occupation %</t>
  </si>
  <si>
    <t>Average</t>
  </si>
  <si>
    <t>Rostant</t>
  </si>
  <si>
    <t>Masudi</t>
  </si>
  <si>
    <t>Fire ext</t>
  </si>
  <si>
    <t>HSE</t>
  </si>
  <si>
    <t>FARDC</t>
  </si>
  <si>
    <t>Auditeur</t>
  </si>
  <si>
    <t>Topo</t>
  </si>
  <si>
    <t>Rolly</t>
  </si>
  <si>
    <t>Nyankotowa</t>
  </si>
  <si>
    <t>Cilu</t>
  </si>
  <si>
    <t>Dgrkc boris</t>
  </si>
  <si>
    <t>Driver guylain</t>
  </si>
  <si>
    <t>Jean Jack</t>
  </si>
  <si>
    <t>Alain Kin</t>
  </si>
  <si>
    <t>Mine conducteur</t>
  </si>
  <si>
    <t>Herve</t>
  </si>
  <si>
    <t>Aaron</t>
  </si>
  <si>
    <t>Ops Prod</t>
  </si>
  <si>
    <t>Vuvu espoir</t>
  </si>
  <si>
    <t>Iso Form</t>
  </si>
  <si>
    <t>Maanda</t>
  </si>
  <si>
    <t>Bill</t>
  </si>
  <si>
    <t>Iso caritas</t>
  </si>
  <si>
    <t>Prof environ</t>
  </si>
  <si>
    <t>C. Zynga</t>
  </si>
  <si>
    <t>IQBAL Mother</t>
  </si>
  <si>
    <t>Rostand</t>
  </si>
  <si>
    <t>Willy Mbasha</t>
  </si>
  <si>
    <t>Ngetu</t>
  </si>
  <si>
    <t>Lassen</t>
  </si>
  <si>
    <t>Zeeman</t>
  </si>
  <si>
    <t>Perumal</t>
  </si>
  <si>
    <t>Jean martin</t>
  </si>
  <si>
    <t>Hugo</t>
  </si>
  <si>
    <t>Beekeping</t>
  </si>
  <si>
    <t>Christelle b</t>
  </si>
  <si>
    <t>Ecobank</t>
  </si>
  <si>
    <t>Jean Pierre</t>
  </si>
  <si>
    <t>Denise ntonta</t>
  </si>
  <si>
    <t>Makumbu</t>
  </si>
  <si>
    <t>Ziegler</t>
  </si>
  <si>
    <t>Costa</t>
  </si>
  <si>
    <t>Massin</t>
  </si>
  <si>
    <t>Bande</t>
  </si>
  <si>
    <t>Ester Mokamba</t>
  </si>
  <si>
    <t>Deloitte</t>
  </si>
  <si>
    <t>Patrick client</t>
  </si>
  <si>
    <t>Formatrice</t>
  </si>
  <si>
    <t>Eale</t>
  </si>
  <si>
    <t>Bamanisa sec</t>
  </si>
  <si>
    <t>Bamanisa garde</t>
  </si>
  <si>
    <t xml:space="preserve">Willy </t>
  </si>
  <si>
    <t>Jean Jacque</t>
  </si>
  <si>
    <t>INPP</t>
  </si>
  <si>
    <t>vivi</t>
  </si>
  <si>
    <t>Canal +</t>
  </si>
  <si>
    <t>CFAO</t>
  </si>
  <si>
    <t>Yves yaya</t>
  </si>
  <si>
    <t>Nsembolo</t>
  </si>
  <si>
    <t>Divengele</t>
  </si>
  <si>
    <t>Jjacques</t>
  </si>
  <si>
    <t>Iso tabita</t>
  </si>
  <si>
    <t>Iso Edgard</t>
  </si>
  <si>
    <t>JP Bas</t>
  </si>
  <si>
    <t>Iso paul</t>
  </si>
  <si>
    <t>Lumanisa</t>
  </si>
  <si>
    <t>ISO Cert</t>
  </si>
  <si>
    <t>J Jacques</t>
  </si>
  <si>
    <t>Kiesse</t>
  </si>
  <si>
    <t>Ophta</t>
  </si>
  <si>
    <t>Nbr Days</t>
  </si>
  <si>
    <t>Riaan</t>
  </si>
  <si>
    <t>Piet</t>
  </si>
  <si>
    <t>Francois</t>
  </si>
  <si>
    <t>Emraan</t>
  </si>
  <si>
    <t>Hygo</t>
  </si>
  <si>
    <t>Max</t>
  </si>
  <si>
    <t>Sania</t>
  </si>
  <si>
    <t>Shahzad</t>
  </si>
  <si>
    <t>Vuvu</t>
  </si>
  <si>
    <t>Clementine</t>
  </si>
  <si>
    <t>Rigobert</t>
  </si>
  <si>
    <t>ENV</t>
  </si>
  <si>
    <t>ConsMin</t>
  </si>
  <si>
    <t>PWC</t>
  </si>
  <si>
    <t>Jean pierre</t>
  </si>
  <si>
    <t>Kimpese</t>
  </si>
  <si>
    <t>PPC Village</t>
  </si>
  <si>
    <t>Place</t>
  </si>
  <si>
    <t>Claude</t>
  </si>
  <si>
    <t>H Cynthia</t>
  </si>
  <si>
    <t>Fynt hotel</t>
  </si>
  <si>
    <t>A. bamanisa</t>
  </si>
  <si>
    <t>Mike kabongo</t>
  </si>
  <si>
    <t>Claude Mota</t>
  </si>
  <si>
    <t>Deborah</t>
  </si>
  <si>
    <t>Digiciment</t>
  </si>
  <si>
    <t>Apix</t>
  </si>
  <si>
    <t>Becs</t>
  </si>
  <si>
    <t>Mbasha</t>
  </si>
  <si>
    <t>AEL</t>
  </si>
  <si>
    <t>Medi</t>
  </si>
  <si>
    <t>Yanis</t>
  </si>
  <si>
    <t>NRJ</t>
  </si>
  <si>
    <t>Damat</t>
  </si>
  <si>
    <t>Sonatrans</t>
  </si>
  <si>
    <t>TransFaida</t>
  </si>
  <si>
    <t>TFCE</t>
  </si>
  <si>
    <t>Bank Food</t>
  </si>
  <si>
    <t>Smile</t>
  </si>
  <si>
    <t>COMENAF</t>
  </si>
  <si>
    <t>SCPT</t>
  </si>
  <si>
    <t>Medhi</t>
  </si>
  <si>
    <t>MIKE</t>
  </si>
  <si>
    <t>chauffeurs</t>
  </si>
  <si>
    <t>Garde</t>
  </si>
  <si>
    <t>Konde</t>
  </si>
  <si>
    <t>Mota</t>
  </si>
  <si>
    <t>Sodimex</t>
  </si>
  <si>
    <t>chauffeur/garde</t>
  </si>
  <si>
    <t>Auditor-Elie</t>
  </si>
  <si>
    <t>Sofibank</t>
  </si>
  <si>
    <t>Avocat</t>
  </si>
  <si>
    <t>inspector Energy</t>
  </si>
  <si>
    <t>Happy</t>
  </si>
  <si>
    <t>Makaba</t>
  </si>
  <si>
    <t>ACEMS</t>
  </si>
  <si>
    <t>Inspector mining</t>
  </si>
  <si>
    <t>Unikin prof</t>
  </si>
  <si>
    <t>Snel</t>
  </si>
  <si>
    <t>Envi</t>
  </si>
  <si>
    <t>Jean Jacques</t>
  </si>
  <si>
    <t>Tractrafric</t>
  </si>
  <si>
    <t>Espoir</t>
  </si>
  <si>
    <t>Alain Kalombo</t>
  </si>
  <si>
    <t>Banga Banga</t>
  </si>
  <si>
    <t>Jeef tatu</t>
  </si>
  <si>
    <t>Chauff aime</t>
  </si>
  <si>
    <t>Sinoma</t>
  </si>
  <si>
    <t>Leon Banza</t>
  </si>
  <si>
    <t>PCW</t>
  </si>
  <si>
    <t>Diela</t>
  </si>
  <si>
    <t>Branding</t>
  </si>
  <si>
    <t>Michel</t>
  </si>
  <si>
    <t>Jean Jacq</t>
  </si>
  <si>
    <t>Roland</t>
  </si>
  <si>
    <t>Andrew</t>
  </si>
  <si>
    <t>Christelle Manalolo</t>
  </si>
  <si>
    <t>Del Bamanisa</t>
  </si>
  <si>
    <t>kananga</t>
  </si>
  <si>
    <t>Gervais</t>
  </si>
  <si>
    <t>Jean Martin</t>
  </si>
  <si>
    <t>Jean Pierre B</t>
  </si>
  <si>
    <t>chauf zongo</t>
  </si>
  <si>
    <t>honore</t>
  </si>
  <si>
    <t>Inspect travail</t>
  </si>
  <si>
    <t>Manalola</t>
  </si>
  <si>
    <t>Jeef</t>
  </si>
  <si>
    <t>Paul Venter</t>
  </si>
  <si>
    <t>Arvind</t>
  </si>
  <si>
    <t>Richard</t>
  </si>
  <si>
    <t>Mokango</t>
  </si>
  <si>
    <t>EFM -Prod</t>
  </si>
  <si>
    <t>Cris Mbogo</t>
  </si>
  <si>
    <t>Journaliste</t>
  </si>
  <si>
    <t>Env-Anastatie</t>
  </si>
  <si>
    <t>EMCS</t>
  </si>
  <si>
    <t>Dany Patrick</t>
  </si>
  <si>
    <t>Chitente</t>
  </si>
  <si>
    <t>Joseph-audit</t>
  </si>
  <si>
    <t>Biyou</t>
  </si>
  <si>
    <t>Civil Eng</t>
  </si>
  <si>
    <t>Vangu2</t>
  </si>
  <si>
    <t>Nelson</t>
  </si>
  <si>
    <t>Cyrille</t>
  </si>
  <si>
    <t>CNE</t>
  </si>
  <si>
    <t xml:space="preserve">Shahid </t>
  </si>
  <si>
    <t>Elvis Kqpella</t>
  </si>
  <si>
    <t>Michee Beta</t>
  </si>
  <si>
    <t>Chris Loemba</t>
  </si>
  <si>
    <t>Felly</t>
  </si>
  <si>
    <t>Fardc-Afridex</t>
  </si>
  <si>
    <t>Omega topo</t>
  </si>
  <si>
    <t>Eddy Mambimbi</t>
  </si>
  <si>
    <t>Congo Surveillance</t>
  </si>
  <si>
    <t xml:space="preserve">Mission </t>
  </si>
  <si>
    <t>Access control to the plant</t>
  </si>
  <si>
    <t>2 nights</t>
  </si>
  <si>
    <t>Avocat matadi</t>
  </si>
  <si>
    <t>Jarzan</t>
  </si>
  <si>
    <t>Herve Kisula</t>
  </si>
  <si>
    <t>Duplessis</t>
  </si>
  <si>
    <t>Pascal</t>
  </si>
  <si>
    <t>Edgard</t>
  </si>
  <si>
    <t>Max+Ali</t>
  </si>
  <si>
    <t>Cahier de charge signature</t>
  </si>
  <si>
    <t>Romain</t>
  </si>
  <si>
    <t>DGRAD - Hydrolique</t>
  </si>
  <si>
    <t>Stockage de charbon</t>
  </si>
  <si>
    <t>Henock</t>
  </si>
  <si>
    <t>hugo</t>
  </si>
  <si>
    <t>achille</t>
  </si>
  <si>
    <t>makumbu</t>
  </si>
  <si>
    <t>oscard</t>
  </si>
  <si>
    <t>Jonas</t>
  </si>
  <si>
    <t>clovis</t>
  </si>
  <si>
    <t>Jean jacques</t>
  </si>
  <si>
    <t>hochea-univ</t>
  </si>
  <si>
    <t>dorcas- univ</t>
  </si>
  <si>
    <t>Max-univ</t>
  </si>
  <si>
    <t>Epiroc</t>
  </si>
  <si>
    <t>Boniface wife</t>
  </si>
  <si>
    <t>visiteur</t>
  </si>
  <si>
    <t>Mananga</t>
  </si>
  <si>
    <t>Calvin-garage</t>
  </si>
  <si>
    <t>Bisidi-garage</t>
  </si>
  <si>
    <t>zynga</t>
  </si>
  <si>
    <t>Ramses</t>
  </si>
  <si>
    <t>Christ-warehouse</t>
  </si>
  <si>
    <t>Congo Surveil</t>
  </si>
  <si>
    <t>Olivier mola</t>
  </si>
  <si>
    <t>Shadid</t>
  </si>
  <si>
    <t>Jean P bashige</t>
  </si>
  <si>
    <t>Florry</t>
  </si>
  <si>
    <t xml:space="preserve">Vangu </t>
  </si>
  <si>
    <t>Boniface</t>
  </si>
  <si>
    <t>Mme Patricia</t>
  </si>
  <si>
    <t>Makondele</t>
  </si>
  <si>
    <t>Chauf Patricia</t>
  </si>
  <si>
    <t>Kahasha</t>
  </si>
  <si>
    <t>Khanan</t>
  </si>
  <si>
    <t>Delon</t>
  </si>
  <si>
    <t>Sema</t>
  </si>
  <si>
    <t>Nozipho</t>
  </si>
  <si>
    <t>francais Herve</t>
  </si>
  <si>
    <t>Adom intrument</t>
  </si>
  <si>
    <t xml:space="preserve">Felly </t>
  </si>
  <si>
    <t>Adonice</t>
  </si>
  <si>
    <t>Masoso</t>
  </si>
  <si>
    <t>Garege foreman</t>
  </si>
  <si>
    <t>Sacre zola</t>
  </si>
  <si>
    <t>Manix</t>
  </si>
  <si>
    <t>J Jacques/ali</t>
  </si>
  <si>
    <t>ali</t>
  </si>
  <si>
    <t>Ngudi</t>
  </si>
  <si>
    <t>Nathan IT</t>
  </si>
  <si>
    <t>Tractafric trainer</t>
  </si>
  <si>
    <t>Congo surv Addy</t>
  </si>
  <si>
    <t>DGC Africa</t>
  </si>
  <si>
    <t>Jean P. Mav</t>
  </si>
  <si>
    <t>Jean P. Bash</t>
  </si>
  <si>
    <t>Medard</t>
  </si>
  <si>
    <t>Fifi</t>
  </si>
  <si>
    <t>Flore</t>
  </si>
  <si>
    <t>Ndala</t>
  </si>
  <si>
    <t>boniface</t>
  </si>
  <si>
    <t>MD</t>
  </si>
  <si>
    <t>Gerard - CDT</t>
  </si>
  <si>
    <t>Christelle Veringa</t>
  </si>
  <si>
    <t>CDT-Gerard</t>
  </si>
  <si>
    <t>Okusa Gabriel-HR Forma</t>
  </si>
  <si>
    <t>OTUC - Union</t>
  </si>
  <si>
    <t>Olivier Mola</t>
  </si>
  <si>
    <t>Daniel lutumba</t>
  </si>
  <si>
    <t>Ali driver</t>
  </si>
  <si>
    <t>Digital Photograp</t>
  </si>
  <si>
    <t>Kowlassur-Engin survey</t>
  </si>
  <si>
    <t>Bill driver</t>
  </si>
  <si>
    <t>Michael Kenya</t>
  </si>
  <si>
    <t>DGRAD</t>
  </si>
  <si>
    <t>Congo surv</t>
  </si>
  <si>
    <t>Oscard</t>
  </si>
  <si>
    <t>Sinoma Operator</t>
  </si>
  <si>
    <t>: mesurage matiere premiere</t>
  </si>
  <si>
    <t>2 Techniciens</t>
  </si>
  <si>
    <t>5 Nobael Techniciens</t>
  </si>
  <si>
    <t>: ventillation of warehouse</t>
  </si>
  <si>
    <t>14/11/2023</t>
  </si>
  <si>
    <t xml:space="preserve">1 Unikin Professor : </t>
  </si>
  <si>
    <t>coal dust analysis</t>
  </si>
  <si>
    <t>16/11/2023</t>
  </si>
  <si>
    <t xml:space="preserve">2 auditors </t>
  </si>
  <si>
    <t>20/11/2023</t>
  </si>
  <si>
    <t>24/11/2023</t>
  </si>
  <si>
    <t>Audit deliotte</t>
  </si>
  <si>
    <t>Presidence-Marie</t>
  </si>
  <si>
    <t>Tractafric Papy</t>
  </si>
  <si>
    <t>CFAO Tech</t>
  </si>
  <si>
    <t>Gouverner</t>
  </si>
  <si>
    <t>Minitre sante</t>
  </si>
  <si>
    <t>Fabrice Ndala</t>
  </si>
  <si>
    <t>Driver Ali</t>
  </si>
  <si>
    <t>Michel Mokanga</t>
  </si>
  <si>
    <t>Vivi Palace</t>
  </si>
  <si>
    <t>Vuvu  Espoir</t>
  </si>
  <si>
    <t>Engelbretcht-maintenance purpose</t>
  </si>
  <si>
    <t>Tenda</t>
  </si>
  <si>
    <t>MD Visitor</t>
  </si>
  <si>
    <t>Toubi</t>
  </si>
  <si>
    <t>Michel Mokonga</t>
  </si>
  <si>
    <t>Escorter</t>
  </si>
  <si>
    <t>Auditor</t>
  </si>
  <si>
    <t>Mining</t>
  </si>
  <si>
    <t>Informaticien</t>
  </si>
  <si>
    <t>Geresse-CFAO</t>
  </si>
  <si>
    <t>Eureka-Junior</t>
  </si>
  <si>
    <t>Boni</t>
  </si>
  <si>
    <t>Tresor Maneka</t>
  </si>
  <si>
    <t>Driver Henock</t>
  </si>
  <si>
    <t>Eddo Makivovi</t>
  </si>
  <si>
    <t>Servtech</t>
  </si>
  <si>
    <t>Max Safety</t>
  </si>
  <si>
    <t>Cedric Muzadi</t>
  </si>
  <si>
    <t>John marcheur</t>
  </si>
  <si>
    <t>Daniel Mboudi</t>
  </si>
  <si>
    <t xml:space="preserve">William kasonde </t>
  </si>
  <si>
    <t xml:space="preserve">Mwenze Delphine </t>
  </si>
  <si>
    <t>Qaiser Muhammad</t>
  </si>
  <si>
    <t>Jean Bakomito</t>
  </si>
  <si>
    <t>Achille driver</t>
  </si>
  <si>
    <t>Zimbabween Anita</t>
  </si>
  <si>
    <t>Ali - Banga Chauffeur</t>
  </si>
  <si>
    <t>Felly AEL</t>
  </si>
  <si>
    <t>AEL Assis</t>
  </si>
  <si>
    <t>Sacre</t>
  </si>
  <si>
    <t>Radiocom</t>
  </si>
  <si>
    <t>Environ</t>
  </si>
  <si>
    <t>Francis Malonda</t>
  </si>
  <si>
    <t>Equipe PPC</t>
  </si>
  <si>
    <t>Ali - Chauffeur</t>
  </si>
  <si>
    <t>Gauthier com</t>
  </si>
  <si>
    <t>Yves Com</t>
  </si>
  <si>
    <t>Calvin com</t>
  </si>
  <si>
    <t>OCC</t>
  </si>
  <si>
    <t>Daniel lutumba labo</t>
  </si>
  <si>
    <t>Wendy</t>
  </si>
  <si>
    <t>Garage repair</t>
  </si>
  <si>
    <t>Peter Cimko</t>
  </si>
  <si>
    <t>jean jacques</t>
  </si>
  <si>
    <t>sacre</t>
  </si>
  <si>
    <t>ANADEC</t>
  </si>
  <si>
    <t>Michel mokanga</t>
  </si>
  <si>
    <t>Paul nsasa</t>
  </si>
  <si>
    <t>Paul Tsasa</t>
  </si>
  <si>
    <t>Espoir vuvu</t>
  </si>
  <si>
    <t>IFC</t>
  </si>
  <si>
    <t>Gapy Mabanzo</t>
  </si>
  <si>
    <t>David Iso</t>
  </si>
  <si>
    <t>Arron Iso</t>
  </si>
  <si>
    <t>Michel Mokango</t>
  </si>
  <si>
    <t>Mining Sangi</t>
  </si>
  <si>
    <t>Sales visit</t>
  </si>
  <si>
    <t>ALI</t>
  </si>
  <si>
    <t>Arnorld</t>
  </si>
  <si>
    <t>vuvu espoir</t>
  </si>
  <si>
    <t>kuasa</t>
  </si>
  <si>
    <t>henock</t>
  </si>
  <si>
    <t>Chako</t>
  </si>
  <si>
    <t>Sharp audit</t>
  </si>
  <si>
    <t>Prod team</t>
  </si>
  <si>
    <t>Chauffeur Ibrahim</t>
  </si>
  <si>
    <t>Bamanisa Ibrahim</t>
  </si>
  <si>
    <t>Bisita</t>
  </si>
  <si>
    <t>Syndicat Otuc</t>
  </si>
  <si>
    <t>BFS - IT</t>
  </si>
  <si>
    <t>CDT</t>
  </si>
  <si>
    <t>CNPRI</t>
  </si>
  <si>
    <t>Docteur ORL</t>
  </si>
  <si>
    <t>Chauff achille</t>
  </si>
  <si>
    <t>Ibrahim bamanisa</t>
  </si>
  <si>
    <t>Fabrice kinier bamanisa</t>
  </si>
  <si>
    <t>Garde du corp bam</t>
  </si>
  <si>
    <t>Chauff bam</t>
  </si>
  <si>
    <t>Inspect Hydraucarbure</t>
  </si>
  <si>
    <t>Oscar Munza</t>
  </si>
  <si>
    <t>Mr Barend</t>
  </si>
  <si>
    <t>Banga banga</t>
  </si>
  <si>
    <t>BANK Mission</t>
  </si>
  <si>
    <t>Carine Ewuli</t>
  </si>
  <si>
    <t>Chauff Ali</t>
  </si>
  <si>
    <t>AEL Jonathan</t>
  </si>
  <si>
    <t>AEL Felly</t>
  </si>
  <si>
    <t>AEL assistant</t>
  </si>
  <si>
    <t>Simon Ndo</t>
  </si>
  <si>
    <t>Guylain eng</t>
  </si>
  <si>
    <t>Nsingi garage</t>
  </si>
  <si>
    <t>Equity Bcdc</t>
  </si>
  <si>
    <t>Pere charles</t>
  </si>
  <si>
    <t>Pitso SA</t>
  </si>
  <si>
    <t>Vangu vangu</t>
  </si>
  <si>
    <t>Pitso</t>
  </si>
  <si>
    <t>Afriidex</t>
  </si>
  <si>
    <t>Chauff Pitso</t>
  </si>
  <si>
    <t>SA Visitor</t>
  </si>
  <si>
    <t>Cedric Zynga</t>
  </si>
  <si>
    <t>Angele Bahati</t>
  </si>
  <si>
    <t>Emmanuel K</t>
  </si>
  <si>
    <t>Carine E</t>
  </si>
  <si>
    <t>Junior Kasongo</t>
  </si>
  <si>
    <t>Joseph Marhegeko</t>
  </si>
  <si>
    <t>Happy Iyanga</t>
  </si>
  <si>
    <t>Arnold Ngaba</t>
  </si>
  <si>
    <t>Ben Paulin</t>
  </si>
  <si>
    <t>Flory Ngindu OCC</t>
  </si>
  <si>
    <t>Giscard mining</t>
  </si>
  <si>
    <t>Bill ngangala</t>
  </si>
  <si>
    <t>Nobael team</t>
  </si>
  <si>
    <t>Garage Standby</t>
  </si>
  <si>
    <t>Driver Honore</t>
  </si>
  <si>
    <t xml:space="preserve">Power back up </t>
  </si>
  <si>
    <t>Driver Jean Jacques</t>
  </si>
  <si>
    <t>Chinese</t>
  </si>
  <si>
    <t>Chinese driver</t>
  </si>
  <si>
    <t>Dubois francois</t>
  </si>
  <si>
    <t>Deborah K.</t>
  </si>
  <si>
    <t>yves ramazani</t>
  </si>
  <si>
    <t>Patrick kodjawa</t>
  </si>
  <si>
    <t>Gervais Kabamba</t>
  </si>
  <si>
    <t>Patrick Kodjawa</t>
  </si>
  <si>
    <t>Bamanisa soeur</t>
  </si>
  <si>
    <t>Bamanisa chauffeur</t>
  </si>
  <si>
    <t>Jean P, Mavuangala</t>
  </si>
  <si>
    <t>Cyrille Kone</t>
  </si>
  <si>
    <t>Jean P, Bashige</t>
  </si>
  <si>
    <t>Banga banga-J Jacques</t>
  </si>
  <si>
    <t>Delly K</t>
  </si>
  <si>
    <t>Lucio</t>
  </si>
  <si>
    <t>Hassan</t>
  </si>
  <si>
    <t>Jonathan AEL</t>
  </si>
  <si>
    <t>AEL Ass</t>
  </si>
  <si>
    <t>Emmanuel Sta</t>
  </si>
  <si>
    <t xml:space="preserve">Graduate </t>
  </si>
  <si>
    <t>Lucien Kabanga</t>
  </si>
  <si>
    <t>Graduate nzita</t>
  </si>
  <si>
    <t>Strelly</t>
  </si>
  <si>
    <t>Stephane Kilondo</t>
  </si>
  <si>
    <t>Emmanuel Mawete</t>
  </si>
  <si>
    <t>Environment</t>
  </si>
  <si>
    <t>Afridex - FARDC</t>
  </si>
  <si>
    <t>Guy Paulin</t>
  </si>
  <si>
    <t>Ali Chauff</t>
  </si>
  <si>
    <t>Consult piscine</t>
  </si>
  <si>
    <t>Prof env Unikin</t>
  </si>
  <si>
    <t>KPMG</t>
  </si>
  <si>
    <t>Charité Graduate</t>
  </si>
  <si>
    <t>Caleb Tshiombe</t>
  </si>
  <si>
    <t>Consult ecole</t>
  </si>
  <si>
    <t>Francis malonda</t>
  </si>
  <si>
    <t>Strelly Olivier</t>
  </si>
  <si>
    <t>Tsasa paul</t>
  </si>
  <si>
    <t>Ali - banga banga</t>
  </si>
  <si>
    <t>Papy &amp; sophie</t>
  </si>
  <si>
    <t>Emma &amp; Gaelle</t>
  </si>
  <si>
    <t>Pauline, Plamedi</t>
  </si>
  <si>
    <t xml:space="preserve">Ali </t>
  </si>
  <si>
    <t>Exco Beton</t>
  </si>
  <si>
    <t>Servtec</t>
  </si>
  <si>
    <t>Otuc</t>
  </si>
  <si>
    <t>Hlubi</t>
  </si>
  <si>
    <t>Younoussa andre</t>
  </si>
  <si>
    <t>Dooh Mbarga</t>
  </si>
  <si>
    <t>Thaddee</t>
  </si>
  <si>
    <t>SHETEC environ</t>
  </si>
  <si>
    <t>Production team standby</t>
  </si>
  <si>
    <t>Shahid amin</t>
  </si>
  <si>
    <t>Consultant serge</t>
  </si>
  <si>
    <t>Min Sante</t>
  </si>
  <si>
    <t>Michel Lomena</t>
  </si>
  <si>
    <t>Kenneth Watuwila</t>
  </si>
  <si>
    <t>Digitalway Jean fidele</t>
  </si>
  <si>
    <t>Bitala</t>
  </si>
  <si>
    <t>Daniel Lutumba</t>
  </si>
  <si>
    <t>Sapeurs pompier</t>
  </si>
  <si>
    <t>Rema tiptop-Etienne</t>
  </si>
  <si>
    <t>Rema tiptop-Michel</t>
  </si>
  <si>
    <t>Du Bois</t>
  </si>
  <si>
    <t>Camerounais</t>
  </si>
  <si>
    <t>Electrical Standby</t>
  </si>
  <si>
    <t>Mecanical Standby</t>
  </si>
  <si>
    <t>Younouma</t>
  </si>
  <si>
    <t>Dieu Merci</t>
  </si>
  <si>
    <t>Clapton</t>
  </si>
  <si>
    <t>Mining standby</t>
  </si>
  <si>
    <t>Guylain Bukaka</t>
  </si>
  <si>
    <t>Cameroun</t>
  </si>
  <si>
    <t>Ali Driver</t>
  </si>
  <si>
    <t>Djeff</t>
  </si>
  <si>
    <t>Protocol gouv</t>
  </si>
  <si>
    <t>Dooke</t>
  </si>
  <si>
    <t>Maneka</t>
  </si>
  <si>
    <t>Dheins</t>
  </si>
  <si>
    <t>Mutshi</t>
  </si>
  <si>
    <t>Delegation gouv</t>
  </si>
  <si>
    <t>Environment luzayamo</t>
  </si>
  <si>
    <t>Environment colby</t>
  </si>
  <si>
    <t>Environment modeste</t>
  </si>
  <si>
    <t>Environment mbaku</t>
  </si>
  <si>
    <t>Madame Patience</t>
  </si>
  <si>
    <t>Dimpex</t>
  </si>
  <si>
    <t>Expo beton guest</t>
  </si>
  <si>
    <t>Willy mbasha</t>
  </si>
  <si>
    <t>Nobael</t>
  </si>
  <si>
    <t>Grasinda</t>
  </si>
  <si>
    <t>Grace</t>
  </si>
  <si>
    <t>Peintre</t>
  </si>
  <si>
    <t>Inspecteur environ</t>
  </si>
  <si>
    <t>Gouverneur KC</t>
  </si>
  <si>
    <t>Ms Carine E</t>
  </si>
  <si>
    <t>Nurse Espoir</t>
  </si>
  <si>
    <t>Env Albert</t>
  </si>
  <si>
    <t>Env Edifa tonton</t>
  </si>
  <si>
    <t>Env kikuni</t>
  </si>
  <si>
    <t>Env Mutombo</t>
  </si>
  <si>
    <t>Env Serge Emama</t>
  </si>
  <si>
    <t>Env Jumatamo</t>
  </si>
  <si>
    <t>She training</t>
  </si>
  <si>
    <t>driver honore</t>
  </si>
  <si>
    <t>Nurse Vuvu</t>
  </si>
  <si>
    <t>Benjamin ilunga GPRS</t>
  </si>
  <si>
    <t>Georges Luamba GPRS</t>
  </si>
  <si>
    <t>Digital Muya</t>
  </si>
  <si>
    <t>Digital Ndongala</t>
  </si>
  <si>
    <t>Maison 44</t>
  </si>
  <si>
    <t>Maison 41</t>
  </si>
  <si>
    <t>Maison 45</t>
  </si>
  <si>
    <t>Maison 7</t>
  </si>
  <si>
    <t>Maison 11</t>
  </si>
  <si>
    <t>Driver Banga Banga</t>
  </si>
  <si>
    <t>Digital Assistance</t>
  </si>
  <si>
    <t>Tshishishi CPA</t>
  </si>
  <si>
    <t>Nick CPA</t>
  </si>
  <si>
    <t>Driver CPA</t>
  </si>
  <si>
    <t>Maison 28 Bis</t>
  </si>
  <si>
    <t>Technician truck oil</t>
  </si>
  <si>
    <t>Consultant PPC School</t>
  </si>
  <si>
    <t>Professeur Univ</t>
  </si>
  <si>
    <t>Romuald</t>
  </si>
  <si>
    <t>JP Mutshi</t>
  </si>
  <si>
    <t>Paul Tshasa</t>
  </si>
  <si>
    <t>Grace  audit</t>
  </si>
  <si>
    <t>Inspecteur afridex</t>
  </si>
  <si>
    <t>IT Support technician</t>
  </si>
  <si>
    <t>Elise eng</t>
  </si>
  <si>
    <t>Patrick Eng</t>
  </si>
  <si>
    <t>Shahid</t>
  </si>
  <si>
    <t>Mining div prov Miniette</t>
  </si>
  <si>
    <t>Mining div prov Gode</t>
  </si>
  <si>
    <t>Gauthier</t>
  </si>
  <si>
    <t>Congo surveillance</t>
  </si>
  <si>
    <t>Production Standby</t>
  </si>
  <si>
    <t>Auditeur Jonathan-CPM</t>
  </si>
  <si>
    <t>Consultant CPM</t>
  </si>
  <si>
    <t>Veru Kowlassur</t>
  </si>
  <si>
    <t>Rachie</t>
  </si>
  <si>
    <t>Electrician</t>
  </si>
  <si>
    <t>SOGAZ</t>
  </si>
  <si>
    <t>Cedric zinga</t>
  </si>
  <si>
    <t>Mr Okusa</t>
  </si>
  <si>
    <t>Me Achille</t>
  </si>
  <si>
    <t>Mme Grassinda</t>
  </si>
  <si>
    <t>CDT Seraphin</t>
  </si>
  <si>
    <t>CDT Gerard</t>
  </si>
  <si>
    <t>Delphin EPIROC</t>
  </si>
  <si>
    <t>EPIROC</t>
  </si>
  <si>
    <t>OTUC Seraphin</t>
  </si>
  <si>
    <t>DG Primex</t>
  </si>
  <si>
    <t>DAgentPrimex</t>
  </si>
  <si>
    <t>Richard Trainer Production</t>
  </si>
  <si>
    <t>Driver JP Mutshi</t>
  </si>
  <si>
    <t>ORC</t>
  </si>
  <si>
    <t>Fire services</t>
  </si>
  <si>
    <t>Grâce Asika</t>
  </si>
  <si>
    <t>Honoré Samba</t>
  </si>
  <si>
    <t>Bijdelices</t>
  </si>
  <si>
    <t>Blanchard Mina</t>
  </si>
  <si>
    <t>Benjamin-Permanent</t>
  </si>
  <si>
    <t>DuBois</t>
  </si>
  <si>
    <t>Dieudonné Nzuzi</t>
  </si>
  <si>
    <t>David</t>
  </si>
  <si>
    <t>Technicien bip sonor</t>
  </si>
  <si>
    <t>Carine</t>
  </si>
  <si>
    <t>Mboudi</t>
  </si>
  <si>
    <t>Mavuangala</t>
  </si>
  <si>
    <t>Du bois</t>
  </si>
  <si>
    <t>Trainer Cam</t>
  </si>
  <si>
    <t>Daniel Shetec</t>
  </si>
  <si>
    <t>Dieu batukwemi</t>
  </si>
  <si>
    <t>medard</t>
  </si>
  <si>
    <t>Paul tsasa</t>
  </si>
  <si>
    <t>Audit Grace</t>
  </si>
  <si>
    <t>Audit Mola</t>
  </si>
  <si>
    <t>Louis Eteme</t>
  </si>
  <si>
    <t>JP driver</t>
  </si>
  <si>
    <t>Visit Paul Tsasa</t>
  </si>
  <si>
    <t>Driver JP</t>
  </si>
  <si>
    <t>Gym Coach</t>
  </si>
  <si>
    <t>Mavuzi damas</t>
  </si>
  <si>
    <t>Ali + jean jacques</t>
  </si>
  <si>
    <t>House 7</t>
  </si>
  <si>
    <t>Daniel Nga trainer Pro Ops</t>
  </si>
  <si>
    <t>Assistant Shetec</t>
  </si>
  <si>
    <t>Geoscan</t>
  </si>
  <si>
    <t>Richard SA</t>
  </si>
  <si>
    <t>Francois alex</t>
  </si>
  <si>
    <t>Audit Env</t>
  </si>
  <si>
    <t>Blanchard</t>
  </si>
  <si>
    <t>Oxano</t>
  </si>
  <si>
    <t>Bitutu Mine</t>
  </si>
  <si>
    <t>Inspecteur mines</t>
  </si>
  <si>
    <t>Mon choux le standard</t>
  </si>
  <si>
    <t>General FARDC</t>
  </si>
  <si>
    <t>Occ</t>
  </si>
  <si>
    <t>Nelly N</t>
  </si>
  <si>
    <t>Bitutu</t>
  </si>
  <si>
    <t>Ewuli</t>
  </si>
  <si>
    <t>O. Mola</t>
  </si>
  <si>
    <t>J. Jacques</t>
  </si>
  <si>
    <t xml:space="preserve">Difflo-HR Defensive </t>
  </si>
  <si>
    <t>Djeef</t>
  </si>
  <si>
    <t>Tsasa</t>
  </si>
  <si>
    <t>JP Driver</t>
  </si>
  <si>
    <t>Eng standby</t>
  </si>
  <si>
    <t>Evan Mechanical eng</t>
  </si>
  <si>
    <t>Blanchard Eng</t>
  </si>
  <si>
    <t>Keren Stagiaire</t>
  </si>
  <si>
    <t>AEL Assistant Sarang</t>
  </si>
  <si>
    <t>Nobael Mefert</t>
  </si>
  <si>
    <t>Melchior Buhendwa</t>
  </si>
  <si>
    <t>Francis sebastien</t>
  </si>
  <si>
    <t>Valentin Mayunga</t>
  </si>
  <si>
    <t>Iniobong Archibong</t>
  </si>
  <si>
    <t>Primex</t>
  </si>
  <si>
    <t>Chinois</t>
  </si>
  <si>
    <t>Audit ISO</t>
  </si>
  <si>
    <t>Grassinda</t>
  </si>
  <si>
    <t>Babala</t>
  </si>
  <si>
    <t>ISA</t>
  </si>
  <si>
    <t>Grace simba</t>
  </si>
  <si>
    <t>Le standard</t>
  </si>
  <si>
    <t>Eng electrician</t>
  </si>
  <si>
    <t>Driver Merlin</t>
  </si>
  <si>
    <t>Mario Telles</t>
  </si>
  <si>
    <t>Alex Eng</t>
  </si>
  <si>
    <t>Alex reparation betoniere</t>
  </si>
  <si>
    <t>Deepak</t>
  </si>
  <si>
    <t>Prof achille envir</t>
  </si>
  <si>
    <t>Assist prof</t>
  </si>
  <si>
    <t>Cameroon</t>
  </si>
  <si>
    <t>P Tsasa</t>
  </si>
  <si>
    <t>Sales</t>
  </si>
  <si>
    <t>Renotec</t>
  </si>
  <si>
    <t>Vangu Vangu</t>
  </si>
  <si>
    <t>Leonard</t>
  </si>
  <si>
    <t>AEL Assistant</t>
  </si>
  <si>
    <t>Rosette</t>
  </si>
  <si>
    <t>27/04</t>
  </si>
  <si>
    <t>Diflo</t>
  </si>
  <si>
    <t>23/04</t>
  </si>
  <si>
    <t>25/04</t>
  </si>
  <si>
    <t>Addy  kelio</t>
  </si>
  <si>
    <t>Stephane kelio</t>
  </si>
  <si>
    <t>Sam Kenya</t>
  </si>
  <si>
    <t>Sarag AEL</t>
  </si>
  <si>
    <t>Sarah couture</t>
  </si>
  <si>
    <t>aubim Eng</t>
  </si>
  <si>
    <t>Francois du bois</t>
  </si>
  <si>
    <t>KBG Couture</t>
  </si>
  <si>
    <t>Josue Couture</t>
  </si>
  <si>
    <t>HOTEL LA ROSETTE</t>
  </si>
  <si>
    <t>Alex. Bamanisa</t>
  </si>
  <si>
    <t>Joel Krief</t>
  </si>
  <si>
    <t>Patrick Kahasha</t>
  </si>
  <si>
    <t>Antoine Babala</t>
  </si>
  <si>
    <t>Edgar Odipo</t>
  </si>
  <si>
    <t>Achille M.</t>
  </si>
  <si>
    <t xml:space="preserve">Pilotte </t>
  </si>
  <si>
    <t>Co Pilotte</t>
  </si>
  <si>
    <t>Mecano avion</t>
  </si>
  <si>
    <t>Photographe</t>
  </si>
  <si>
    <t>Videaste</t>
  </si>
  <si>
    <t>Chauffeur Ali</t>
  </si>
  <si>
    <t>Chauffeur Banga</t>
  </si>
  <si>
    <t>Kimpese hotel la Rosette</t>
  </si>
  <si>
    <t>Digital way</t>
  </si>
  <si>
    <t>Christelle Manalola</t>
  </si>
  <si>
    <t>Honore-Ali</t>
  </si>
  <si>
    <t>sarah couture</t>
  </si>
  <si>
    <t>Inspecteur Mine</t>
  </si>
  <si>
    <t>Monchou le standard</t>
  </si>
  <si>
    <t>Mutambwe</t>
  </si>
  <si>
    <t>Tchibinda</t>
  </si>
  <si>
    <t>Chauffeur JP</t>
  </si>
  <si>
    <t>Tresor saidi</t>
  </si>
  <si>
    <t>Lusala</t>
  </si>
  <si>
    <t>Rodrigue electrician</t>
  </si>
  <si>
    <t>Tchibinda primex</t>
  </si>
  <si>
    <t>Mutambwe Primex</t>
  </si>
  <si>
    <t>Tresor Saidi</t>
  </si>
  <si>
    <t>TGI Mbanza</t>
  </si>
  <si>
    <t>Conseiller Insp Travail</t>
  </si>
  <si>
    <t>Directeur Pro Travail</t>
  </si>
  <si>
    <t>Chauff Insp Travail</t>
  </si>
  <si>
    <t>Dean</t>
  </si>
  <si>
    <t>CEO ORC</t>
  </si>
  <si>
    <t>Mukendi Insp T</t>
  </si>
  <si>
    <t>Kitoko Insp T</t>
  </si>
  <si>
    <t>Yossa Labo</t>
  </si>
  <si>
    <t>Kalongi cameroon</t>
  </si>
  <si>
    <t>Job Katompa Cameroon</t>
  </si>
  <si>
    <t>Blanchard electrician</t>
  </si>
  <si>
    <t>Propeint 1</t>
  </si>
  <si>
    <t>Monzebe insp afridex</t>
  </si>
  <si>
    <t>Longela insp afridex</t>
  </si>
  <si>
    <t>Beya insp afridex</t>
  </si>
  <si>
    <t>Lucky</t>
  </si>
  <si>
    <t>Rodrigue</t>
  </si>
  <si>
    <t>CO2 AEL</t>
  </si>
  <si>
    <t>PM visitor</t>
  </si>
  <si>
    <t>Omega Topo</t>
  </si>
  <si>
    <t>Electrical standby</t>
  </si>
  <si>
    <t>Isabelle Bombe</t>
  </si>
  <si>
    <t>andrew</t>
  </si>
  <si>
    <t>Emmanuel Qte</t>
  </si>
  <si>
    <t>Insp Environ</t>
  </si>
  <si>
    <t>Djeef Logistic</t>
  </si>
  <si>
    <t>Loxea</t>
  </si>
  <si>
    <t>Guylain AFR</t>
  </si>
  <si>
    <t>Blanchard elec standby</t>
  </si>
  <si>
    <t>Opportunity service</t>
  </si>
  <si>
    <t xml:space="preserve">Emma mechanical </t>
  </si>
  <si>
    <t>Charles pongo</t>
  </si>
  <si>
    <t>Mechanical</t>
  </si>
  <si>
    <t>Yannick Afridex</t>
  </si>
  <si>
    <t>Sarang AEL</t>
  </si>
  <si>
    <t>Prmex</t>
  </si>
  <si>
    <t>MTS</t>
  </si>
  <si>
    <t>Visitor Mining</t>
  </si>
  <si>
    <t>Trésor Maneka</t>
  </si>
  <si>
    <t>Visiteur DG</t>
  </si>
  <si>
    <t>Guy</t>
  </si>
  <si>
    <t>Kisoka</t>
  </si>
  <si>
    <t>Inspect AFRIDEX</t>
  </si>
  <si>
    <t>GAMA</t>
  </si>
  <si>
    <t>Antoine</t>
  </si>
  <si>
    <t>Inspect Mines</t>
  </si>
  <si>
    <t>La Rosette</t>
  </si>
  <si>
    <t>22/07</t>
  </si>
  <si>
    <t>23/07</t>
  </si>
  <si>
    <t>Mining inspection</t>
  </si>
  <si>
    <t>Achille Mutombo</t>
  </si>
  <si>
    <t>Kiesse Banguli</t>
  </si>
  <si>
    <t>Marie Yowali</t>
  </si>
  <si>
    <t>Tanya Ndaya</t>
  </si>
  <si>
    <t xml:space="preserve">Grassinda </t>
  </si>
  <si>
    <t>Diane Bilonda</t>
  </si>
  <si>
    <t>Helena Kiloso</t>
  </si>
  <si>
    <t>Nelly Biganiro</t>
  </si>
  <si>
    <t>Stephanie Ndongala</t>
  </si>
  <si>
    <t>Hotel Mont Sinai</t>
  </si>
  <si>
    <t>Hotel Basile Fils</t>
  </si>
  <si>
    <t>JP Mavuangala</t>
  </si>
  <si>
    <t>Hugo Mbale</t>
  </si>
  <si>
    <t>Treso Maneka</t>
  </si>
  <si>
    <t>Joseph Marhegero</t>
  </si>
  <si>
    <t>Mr Patrick Kahasha</t>
  </si>
  <si>
    <t>Ms Carine Ewuli</t>
  </si>
  <si>
    <t>Mr Achille</t>
  </si>
  <si>
    <t>Mr Boniface</t>
  </si>
  <si>
    <t>Banga/Ali</t>
  </si>
  <si>
    <t>Mr Willy Mbasha</t>
  </si>
  <si>
    <t>Chauf Kiddy</t>
  </si>
  <si>
    <t>Ndongala trainer</t>
  </si>
  <si>
    <t>Jeanette trainer</t>
  </si>
  <si>
    <t>Driver kiddy</t>
  </si>
  <si>
    <t>Martin Kabenge-TDB</t>
  </si>
  <si>
    <t>Thomas Ratemo-TDB</t>
  </si>
  <si>
    <t>Faith Mutavi-TDB</t>
  </si>
  <si>
    <t>Madaka Tumbo-TDB</t>
  </si>
  <si>
    <t>Ambrose Sunya-TDB</t>
  </si>
  <si>
    <t>LRS Cable repair</t>
  </si>
  <si>
    <t>Robert - trainer</t>
  </si>
  <si>
    <t>Driver TBD</t>
  </si>
  <si>
    <t>Damas</t>
  </si>
  <si>
    <t>Prod trainer</t>
  </si>
  <si>
    <t>Alexander Labo</t>
  </si>
  <si>
    <t>kibamy prince HSE</t>
  </si>
  <si>
    <t>Miche beta HSE</t>
  </si>
  <si>
    <t>Guy Michel  - trainer</t>
  </si>
  <si>
    <t>Rian</t>
  </si>
  <si>
    <t>Ngah</t>
  </si>
  <si>
    <t>Mulumba-ENG</t>
  </si>
  <si>
    <t>Declair - Electrician</t>
  </si>
  <si>
    <t>Miche beta Fire service</t>
  </si>
  <si>
    <t>Production</t>
  </si>
  <si>
    <t>Mohamed</t>
  </si>
  <si>
    <t>Reda ali</t>
  </si>
  <si>
    <t>Walid</t>
  </si>
  <si>
    <t>Abdelghany</t>
  </si>
  <si>
    <t>EMCS Driver</t>
  </si>
  <si>
    <t>ENCS Driver</t>
  </si>
  <si>
    <t>Stephanie</t>
  </si>
  <si>
    <t>House 32</t>
  </si>
  <si>
    <t>Elodie</t>
  </si>
  <si>
    <t>Dolin</t>
  </si>
  <si>
    <t>Eric Kani</t>
  </si>
  <si>
    <t>Christian Ngudi</t>
  </si>
  <si>
    <t>Dorly Nsakala</t>
  </si>
  <si>
    <t>Emmanuel Kamungoma</t>
  </si>
  <si>
    <t>Diane</t>
  </si>
  <si>
    <t>El nathan kalala</t>
  </si>
  <si>
    <t>Alex Tshiaba</t>
  </si>
  <si>
    <t>Johnny Minganu</t>
  </si>
  <si>
    <t>Yve Mwanabwana</t>
  </si>
  <si>
    <t>Antony babala</t>
  </si>
  <si>
    <t>Patrick Kahasa</t>
  </si>
  <si>
    <t>Landrine Maneka</t>
  </si>
  <si>
    <t>Seraphin Kabangu</t>
  </si>
  <si>
    <t>Ben Paulin Kadima</t>
  </si>
  <si>
    <t>Jean P Bashigue</t>
  </si>
  <si>
    <t>Tamgno Fabio</t>
  </si>
  <si>
    <t>Mohamed - Egyptian</t>
  </si>
  <si>
    <t>Reda ali - Egyptian</t>
  </si>
  <si>
    <t>Walid - Egyptian</t>
  </si>
  <si>
    <t>Abdelghany - Egyptian</t>
  </si>
  <si>
    <t>Legende</t>
  </si>
  <si>
    <t>Kimpese -</t>
  </si>
  <si>
    <t>KIMPESE HOTEL BOOKING</t>
  </si>
  <si>
    <t>HOUSE 7</t>
  </si>
  <si>
    <t>Alexendra</t>
  </si>
  <si>
    <t>Travel by Plan</t>
  </si>
  <si>
    <t>Ali - Kilenda</t>
  </si>
  <si>
    <t>House 17 - Serge Muakasa</t>
  </si>
  <si>
    <t>Cameroun Youmoussa</t>
  </si>
  <si>
    <t>Cameroun Mpile</t>
  </si>
  <si>
    <t>Cameroun Dooh</t>
  </si>
  <si>
    <t>Ramazani XRD</t>
  </si>
  <si>
    <t>Sall Amadou XRD</t>
  </si>
  <si>
    <t>Mme Pelagie</t>
  </si>
  <si>
    <t>Prod Ngonog</t>
  </si>
  <si>
    <t>Prod Vangu</t>
  </si>
  <si>
    <t>Freddy Papal Francais</t>
  </si>
  <si>
    <t>IT Project</t>
  </si>
  <si>
    <t>Panafric technician</t>
  </si>
  <si>
    <t>Sodex - guy tango</t>
  </si>
  <si>
    <t>Sodex - Mme steve</t>
  </si>
  <si>
    <t>Bamanisa team</t>
  </si>
  <si>
    <t>Banque Mondial</t>
  </si>
  <si>
    <t>Driver Erick</t>
  </si>
  <si>
    <t>Guy Paule</t>
  </si>
  <si>
    <t>Bams tech lab</t>
  </si>
  <si>
    <t>Maison 31</t>
  </si>
  <si>
    <t>Maison 6</t>
  </si>
  <si>
    <t>MD Kahasha</t>
  </si>
  <si>
    <t>Bams</t>
  </si>
  <si>
    <t>Chauffeur Alex</t>
  </si>
  <si>
    <t>Clan Nanga</t>
  </si>
  <si>
    <t>Ali + honore</t>
  </si>
  <si>
    <t>Alexander</t>
  </si>
  <si>
    <t>Garde Bams+driver</t>
  </si>
  <si>
    <t>Chauffeur Honore</t>
  </si>
  <si>
    <t>Serge Bazola</t>
  </si>
  <si>
    <t>Papy muzila</t>
  </si>
  <si>
    <t>Michael Booke</t>
  </si>
  <si>
    <t>Engelbretch</t>
  </si>
  <si>
    <t>Guylain Wampangulua</t>
  </si>
  <si>
    <t>JP Muthi</t>
  </si>
  <si>
    <t>Min Env</t>
  </si>
  <si>
    <t>Hydrocarbure</t>
  </si>
  <si>
    <t>Glody Ngoma</t>
  </si>
  <si>
    <t>Chauffeur Manalola</t>
  </si>
  <si>
    <t>Daniel Ntumba</t>
  </si>
  <si>
    <t>Andre Marie Qty</t>
  </si>
  <si>
    <t>IT Camera</t>
  </si>
  <si>
    <t>Team building trainer</t>
  </si>
  <si>
    <t>Sodex</t>
  </si>
  <si>
    <t>Michael booke</t>
  </si>
  <si>
    <t>Psychologue Matondo</t>
  </si>
  <si>
    <t>Psychologue Baseka</t>
  </si>
  <si>
    <t>Emma Mawete</t>
  </si>
  <si>
    <t>Theophile</t>
  </si>
  <si>
    <t>Auditor Stephanie</t>
  </si>
  <si>
    <t>Declairk</t>
  </si>
  <si>
    <t>Jonathan ael</t>
  </si>
  <si>
    <t>Decorateur</t>
  </si>
  <si>
    <t>DJ Musique</t>
  </si>
  <si>
    <t>Pere noel</t>
  </si>
  <si>
    <t>Chauff Soeur</t>
  </si>
  <si>
    <t>Vivi Palace inv</t>
  </si>
  <si>
    <t>Dauphin Mci</t>
  </si>
  <si>
    <t>Ass dauphin</t>
  </si>
  <si>
    <t>decorateur</t>
  </si>
  <si>
    <t>chauffeur Kin Mara</t>
  </si>
  <si>
    <t>Me Biyou</t>
  </si>
  <si>
    <t>Min Interieur</t>
  </si>
  <si>
    <t>Sevim labo</t>
  </si>
  <si>
    <t>Mme Carine</t>
  </si>
  <si>
    <t>Mr Muzadi</t>
  </si>
  <si>
    <t>Mr Serge Bazola</t>
  </si>
  <si>
    <t>Mr Michael</t>
  </si>
  <si>
    <t>Mr Edgar</t>
  </si>
  <si>
    <t>Mme Tanya</t>
  </si>
  <si>
    <t>Mme Stephanie</t>
  </si>
  <si>
    <t>Mr Olivier Mola</t>
  </si>
  <si>
    <t>Mr Patrick Panda</t>
  </si>
  <si>
    <t>Francois du Bois</t>
  </si>
  <si>
    <t>Egyptian</t>
  </si>
  <si>
    <t>driver Ali</t>
  </si>
  <si>
    <t>driver kahasha</t>
  </si>
  <si>
    <t>Manix Mulolo</t>
  </si>
  <si>
    <t>Papy Muzila</t>
  </si>
  <si>
    <t>Hotel Basil Fils</t>
  </si>
  <si>
    <t>Formateur Veritas</t>
  </si>
  <si>
    <t>Jean Jacques_Banga</t>
  </si>
  <si>
    <t>Guylain Elec standby</t>
  </si>
  <si>
    <t>Ministre Provincial</t>
  </si>
  <si>
    <t>ORC CEC</t>
  </si>
  <si>
    <t>Michael Boko</t>
  </si>
  <si>
    <t>Serge bazola</t>
  </si>
  <si>
    <t>JP Chauffeur</t>
  </si>
  <si>
    <t>Pretre</t>
  </si>
  <si>
    <t>DGRAD Mission site</t>
  </si>
  <si>
    <t>Declairk elect</t>
  </si>
  <si>
    <t>Emmanuel mawete</t>
  </si>
  <si>
    <t>Ir Ives Mundele</t>
  </si>
  <si>
    <t>Prof Environment</t>
  </si>
  <si>
    <t>Ir Matondo</t>
  </si>
  <si>
    <t>Ali, Jean Jacques</t>
  </si>
  <si>
    <t>Chauffeur Loxea</t>
  </si>
  <si>
    <t>Environment Eddy</t>
  </si>
  <si>
    <t>Environment audit</t>
  </si>
  <si>
    <t>Environment Audit</t>
  </si>
  <si>
    <t>Driver for Sud African</t>
  </si>
  <si>
    <t>Sud African</t>
  </si>
  <si>
    <t>Zaira technician</t>
  </si>
  <si>
    <t>driver Eric</t>
  </si>
  <si>
    <t>Environment Lushi</t>
  </si>
  <si>
    <t>stephanie</t>
  </si>
  <si>
    <t>Fabrice design</t>
  </si>
  <si>
    <t>Hotel Kimpese</t>
  </si>
  <si>
    <t>Hotel Basile</t>
  </si>
  <si>
    <t>Hotel la rosette</t>
  </si>
  <si>
    <t>Maison 5</t>
  </si>
  <si>
    <t>Maison 32</t>
  </si>
  <si>
    <t>TBC</t>
  </si>
  <si>
    <t>Benny</t>
  </si>
  <si>
    <t>Maison Sacré</t>
  </si>
  <si>
    <t>Maison Jonas</t>
  </si>
  <si>
    <t>Chauffeur JJ</t>
  </si>
  <si>
    <t>Kinshasa</t>
  </si>
  <si>
    <t>Press</t>
  </si>
  <si>
    <t>total</t>
  </si>
  <si>
    <t>Brainding team</t>
  </si>
  <si>
    <t>Insp Trans Eng Lourd</t>
  </si>
  <si>
    <t>Ael Felly</t>
  </si>
  <si>
    <t>Ael Jonathan</t>
  </si>
  <si>
    <t>Chauf andrew</t>
  </si>
  <si>
    <t>Bell - EKMM</t>
  </si>
  <si>
    <t>Sud africain</t>
  </si>
  <si>
    <t>Bernard Mutinda-keynia</t>
  </si>
  <si>
    <t>Sam Kane-keynia</t>
  </si>
  <si>
    <t>Mawete emma</t>
  </si>
  <si>
    <t>Yves Sakiema</t>
  </si>
  <si>
    <t>Soeur bam saidi</t>
  </si>
  <si>
    <t>Yves sakiema</t>
  </si>
  <si>
    <t>Stagiaire Amani</t>
  </si>
  <si>
    <t>Chauff chansard</t>
  </si>
  <si>
    <t>Min Mine</t>
  </si>
  <si>
    <t>Mawette</t>
  </si>
  <si>
    <t>Moderatrice 8 mars</t>
  </si>
  <si>
    <t>Gouverneur</t>
  </si>
  <si>
    <t>Visiteur Andrew</t>
  </si>
  <si>
    <t>Delegation Gouv</t>
  </si>
  <si>
    <t>P. Kahasha</t>
  </si>
  <si>
    <t>Valery Couture</t>
  </si>
  <si>
    <t>Sarah Couture</t>
  </si>
  <si>
    <t>Fiston Couture</t>
  </si>
  <si>
    <t>Chauf Ali</t>
  </si>
  <si>
    <t>Transformer</t>
  </si>
  <si>
    <t>Auditrice</t>
  </si>
  <si>
    <t>Christian Andrew</t>
  </si>
  <si>
    <t>Chansard</t>
  </si>
  <si>
    <t>JM Kiasi</t>
  </si>
  <si>
    <t>Felicien Katondi</t>
  </si>
  <si>
    <t>Christian Banza</t>
  </si>
  <si>
    <t>Mbayitiraki-CNPRI</t>
  </si>
  <si>
    <t>Lemo Petrus-CNPRI</t>
  </si>
  <si>
    <t>Inspector Soeur Ecole</t>
  </si>
  <si>
    <t>Ali chauffeur</t>
  </si>
  <si>
    <t>Camera system</t>
  </si>
  <si>
    <t>HR Visitor</t>
  </si>
  <si>
    <t>Chauff sakiema</t>
  </si>
  <si>
    <t>Formateur HSE</t>
  </si>
  <si>
    <t>Visiteur MD</t>
  </si>
  <si>
    <t>Gouvernement</t>
  </si>
  <si>
    <t>Chauff Kiddy</t>
  </si>
  <si>
    <t>PPC Kala</t>
  </si>
  <si>
    <t>Guy Sodex</t>
  </si>
  <si>
    <t>Medecin Check an</t>
  </si>
  <si>
    <t>Chauf Yves</t>
  </si>
  <si>
    <t>Environnement</t>
  </si>
  <si>
    <t>QA OCC</t>
  </si>
  <si>
    <t>Prof Unikin</t>
  </si>
  <si>
    <t xml:space="preserve">Jeef </t>
  </si>
  <si>
    <t>Delegation Onatra</t>
  </si>
  <si>
    <t>Jerry lubudi</t>
  </si>
  <si>
    <t>Hitclif-Afr du Sud</t>
  </si>
  <si>
    <t>Comic</t>
  </si>
  <si>
    <t>Mr Kalaa</t>
  </si>
  <si>
    <t>Mr A. Babala</t>
  </si>
  <si>
    <t>Fils Kalaa</t>
  </si>
  <si>
    <t>Mr Kalaa Assistant</t>
  </si>
  <si>
    <t>Ali, Claude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</si>
</sst>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[$-409]d\-mmm;@"/>
    <numFmt numFmtId="165" formatCode="ddd"/>
    <numFmt numFmtId="166" formatCode="[$-409]d\-mmm\-yy;@"/>
  </numFmts>
  <fonts count="2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2"/>
      <color rgb="FF0070C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9"/>
      <color rgb="FFFF0000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9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1"/>
      <name val="Aptos"/>
      <family val="2"/>
    </font>
    <font>
      <sz val="11"/>
      <color rgb="FFFF000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6" fillId="0" borderId="0" applyFont="0" applyFill="0" applyBorder="0" applyAlignment="0" applyProtection="0"/>
  </cellStyleXfs>
  <cellXfs count="135">
    <xf numFmtId="0" fontId="0" fillId="0" borderId="0" xfId="0"/>
    <xf numFmtId="0" fontId="2" fillId="3" borderId="3" xfId="0" applyFont="1" applyFill="1" applyBorder="1" applyAlignment="1">
      <alignment horizontal="center" vertical="center" wrapText="1"/>
    </xf>
    <xf numFmtId="164" fontId="3" fillId="0" borderId="4" xfId="0" applyNumberFormat="1" applyFont="1" applyBorder="1" applyAlignment="1">
      <alignment horizontal="center" vertical="center" textRotation="90"/>
    </xf>
    <xf numFmtId="0" fontId="4" fillId="3" borderId="5" xfId="0" applyFont="1" applyFill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 textRotation="90"/>
    </xf>
    <xf numFmtId="166" fontId="5" fillId="4" borderId="0" xfId="0" applyNumberFormat="1" applyFont="1" applyFill="1" applyAlignment="1">
      <alignment horizontal="center" vertical="center"/>
    </xf>
    <xf numFmtId="166" fontId="6" fillId="4" borderId="0" xfId="0" applyNumberFormat="1" applyFont="1" applyFill="1" applyAlignment="1">
      <alignment horizontal="center" vertical="center"/>
    </xf>
    <xf numFmtId="0" fontId="0" fillId="0" borderId="5" xfId="0" applyBorder="1"/>
    <xf numFmtId="0" fontId="7" fillId="0" borderId="4" xfId="0" applyFont="1" applyBorder="1"/>
    <xf numFmtId="16" fontId="0" fillId="0" borderId="0" xfId="0" applyNumberFormat="1"/>
    <xf numFmtId="0" fontId="0" fillId="5" borderId="5" xfId="0" applyFill="1" applyBorder="1"/>
    <xf numFmtId="0" fontId="3" fillId="5" borderId="6" xfId="0" applyFont="1" applyFill="1" applyBorder="1"/>
    <xf numFmtId="0" fontId="3" fillId="5" borderId="7" xfId="0" applyFont="1" applyFill="1" applyBorder="1"/>
    <xf numFmtId="0" fontId="4" fillId="4" borderId="3" xfId="0" applyFont="1" applyFill="1" applyBorder="1" applyAlignment="1">
      <alignment horizontal="center" vertical="center" wrapText="1"/>
    </xf>
    <xf numFmtId="0" fontId="0" fillId="6" borderId="4" xfId="0" applyFill="1" applyBorder="1"/>
    <xf numFmtId="0" fontId="7" fillId="6" borderId="4" xfId="0" applyFont="1" applyFill="1" applyBorder="1"/>
    <xf numFmtId="0" fontId="4" fillId="4" borderId="8" xfId="0" applyFont="1" applyFill="1" applyBorder="1" applyAlignment="1">
      <alignment horizontal="center" vertical="center"/>
    </xf>
    <xf numFmtId="0" fontId="0" fillId="5" borderId="1" xfId="0" applyFill="1" applyBorder="1"/>
    <xf numFmtId="0" fontId="0" fillId="5" borderId="2" xfId="0" applyFill="1" applyBorder="1"/>
    <xf numFmtId="0" fontId="8" fillId="7" borderId="4" xfId="0" applyFont="1" applyFill="1" applyBorder="1" applyAlignment="1">
      <alignment horizontal="center" vertical="center"/>
    </xf>
    <xf numFmtId="0" fontId="0" fillId="0" borderId="4" xfId="0" applyBorder="1"/>
    <xf numFmtId="14" fontId="0" fillId="0" borderId="4" xfId="0" applyNumberFormat="1" applyBorder="1"/>
    <xf numFmtId="164" fontId="3" fillId="8" borderId="4" xfId="0" applyNumberFormat="1" applyFont="1" applyFill="1" applyBorder="1" applyAlignment="1">
      <alignment horizontal="center" vertical="center" textRotation="90"/>
    </xf>
    <xf numFmtId="165" fontId="1" fillId="8" borderId="4" xfId="0" applyNumberFormat="1" applyFont="1" applyFill="1" applyBorder="1" applyAlignment="1">
      <alignment horizontal="center" vertical="center" textRotation="90"/>
    </xf>
    <xf numFmtId="0" fontId="7" fillId="8" borderId="4" xfId="0" applyFont="1" applyFill="1" applyBorder="1"/>
    <xf numFmtId="0" fontId="0" fillId="8" borderId="4" xfId="0" applyFill="1" applyBorder="1"/>
    <xf numFmtId="0" fontId="7" fillId="5" borderId="4" xfId="0" applyFont="1" applyFill="1" applyBorder="1"/>
    <xf numFmtId="0" fontId="7" fillId="8" borderId="4" xfId="0" applyFont="1" applyFill="1" applyBorder="1" applyAlignment="1">
      <alignment horizontal="center"/>
    </xf>
    <xf numFmtId="0" fontId="10" fillId="8" borderId="4" xfId="0" applyFont="1" applyFill="1" applyBorder="1"/>
    <xf numFmtId="0" fontId="0" fillId="0" borderId="9" xfId="0" applyBorder="1"/>
    <xf numFmtId="0" fontId="10" fillId="9" borderId="4" xfId="0" applyFont="1" applyFill="1" applyBorder="1"/>
    <xf numFmtId="0" fontId="10" fillId="5" borderId="4" xfId="0" applyFont="1" applyFill="1" applyBorder="1"/>
    <xf numFmtId="164" fontId="3" fillId="9" borderId="4" xfId="0" applyNumberFormat="1" applyFont="1" applyFill="1" applyBorder="1" applyAlignment="1">
      <alignment horizontal="center" vertical="center" textRotation="90"/>
    </xf>
    <xf numFmtId="165" fontId="1" fillId="9" borderId="4" xfId="0" applyNumberFormat="1" applyFont="1" applyFill="1" applyBorder="1" applyAlignment="1">
      <alignment horizontal="center" vertical="center" textRotation="90"/>
    </xf>
    <xf numFmtId="0" fontId="7" fillId="9" borderId="4" xfId="0" applyFont="1" applyFill="1" applyBorder="1"/>
    <xf numFmtId="0" fontId="0" fillId="9" borderId="4" xfId="0" applyFill="1" applyBorder="1"/>
    <xf numFmtId="164" fontId="3" fillId="0" borderId="0" xfId="0" applyNumberFormat="1" applyFont="1" applyAlignment="1">
      <alignment horizontal="center" vertical="center" textRotation="90"/>
    </xf>
    <xf numFmtId="0" fontId="0" fillId="6" borderId="0" xfId="0" applyFill="1"/>
    <xf numFmtId="0" fontId="0" fillId="5" borderId="0" xfId="0" applyFill="1"/>
    <xf numFmtId="14" fontId="11" fillId="0" borderId="4" xfId="0" applyNumberFormat="1" applyFont="1" applyBorder="1" applyAlignment="1">
      <alignment textRotation="90"/>
    </xf>
    <xf numFmtId="14" fontId="12" fillId="0" borderId="4" xfId="0" applyNumberFormat="1" applyFont="1" applyBorder="1" applyAlignment="1">
      <alignment textRotation="90"/>
    </xf>
    <xf numFmtId="0" fontId="11" fillId="10" borderId="4" xfId="0" applyFont="1" applyFill="1" applyBorder="1"/>
    <xf numFmtId="1" fontId="12" fillId="11" borderId="4" xfId="0" applyNumberFormat="1" applyFont="1" applyFill="1" applyBorder="1"/>
    <xf numFmtId="0" fontId="13" fillId="12" borderId="4" xfId="0" applyFont="1" applyFill="1" applyBorder="1"/>
    <xf numFmtId="1" fontId="12" fillId="13" borderId="10" xfId="0" applyNumberFormat="1" applyFont="1" applyFill="1" applyBorder="1"/>
    <xf numFmtId="0" fontId="13" fillId="0" borderId="11" xfId="0" applyFont="1" applyBorder="1"/>
    <xf numFmtId="1" fontId="3" fillId="5" borderId="6" xfId="0" applyNumberFormat="1" applyFont="1" applyFill="1" applyBorder="1"/>
    <xf numFmtId="0" fontId="13" fillId="0" borderId="5" xfId="0" applyFont="1" applyBorder="1"/>
    <xf numFmtId="0" fontId="12" fillId="11" borderId="4" xfId="0" applyFont="1" applyFill="1" applyBorder="1"/>
    <xf numFmtId="0" fontId="13" fillId="0" borderId="0" xfId="0" applyFont="1"/>
    <xf numFmtId="1" fontId="13" fillId="14" borderId="0" xfId="0" applyNumberFormat="1" applyFont="1" applyFill="1"/>
    <xf numFmtId="0" fontId="11" fillId="0" borderId="0" xfId="0" applyFont="1"/>
    <xf numFmtId="1" fontId="13" fillId="0" borderId="4" xfId="0" applyNumberFormat="1" applyFont="1" applyBorder="1"/>
    <xf numFmtId="0" fontId="7" fillId="15" borderId="4" xfId="0" applyFont="1" applyFill="1" applyBorder="1"/>
    <xf numFmtId="0" fontId="10" fillId="0" borderId="4" xfId="0" applyFont="1" applyBorder="1"/>
    <xf numFmtId="0" fontId="14" fillId="0" borderId="4" xfId="0" applyFont="1" applyBorder="1"/>
    <xf numFmtId="16" fontId="0" fillId="0" borderId="4" xfId="0" applyNumberFormat="1" applyBorder="1"/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43" fontId="0" fillId="0" borderId="0" xfId="1" applyFont="1"/>
    <xf numFmtId="0" fontId="0" fillId="5" borderId="4" xfId="0" applyFill="1" applyBorder="1"/>
    <xf numFmtId="0" fontId="7" fillId="0" borderId="4" xfId="0" applyFont="1" applyBorder="1" applyAlignment="1">
      <alignment horizontal="center"/>
    </xf>
    <xf numFmtId="0" fontId="7" fillId="16" borderId="4" xfId="0" applyFont="1" applyFill="1" applyBorder="1"/>
    <xf numFmtId="0" fontId="14" fillId="16" borderId="4" xfId="0" applyFont="1" applyFill="1" applyBorder="1"/>
    <xf numFmtId="1" fontId="13" fillId="0" borderId="0" xfId="0" applyNumberFormat="1" applyFont="1"/>
    <xf numFmtId="0" fontId="1" fillId="2" borderId="0" xfId="0" applyFont="1" applyFill="1" applyAlignment="1">
      <alignment horizontal="center"/>
    </xf>
    <xf numFmtId="1" fontId="12" fillId="13" borderId="4" xfId="0" applyNumberFormat="1" applyFont="1" applyFill="1" applyBorder="1"/>
    <xf numFmtId="0" fontId="14" fillId="0" borderId="4" xfId="0" applyFont="1" applyBorder="1" applyAlignment="1">
      <alignment horizontal="center"/>
    </xf>
    <xf numFmtId="0" fontId="14" fillId="5" borderId="4" xfId="0" applyFont="1" applyFill="1" applyBorder="1"/>
    <xf numFmtId="0" fontId="14" fillId="14" borderId="4" xfId="0" applyFont="1" applyFill="1" applyBorder="1"/>
    <xf numFmtId="0" fontId="7" fillId="14" borderId="4" xfId="0" applyFont="1" applyFill="1" applyBorder="1"/>
    <xf numFmtId="0" fontId="15" fillId="0" borderId="0" xfId="0" applyFont="1"/>
    <xf numFmtId="0" fontId="15" fillId="5" borderId="0" xfId="0" applyFont="1" applyFill="1"/>
    <xf numFmtId="0" fontId="7" fillId="17" borderId="4" xfId="0" applyFont="1" applyFill="1" applyBorder="1"/>
    <xf numFmtId="0" fontId="14" fillId="15" borderId="4" xfId="0" applyFont="1" applyFill="1" applyBorder="1"/>
    <xf numFmtId="0" fontId="7" fillId="0" borderId="10" xfId="0" applyFont="1" applyBorder="1"/>
    <xf numFmtId="0" fontId="14" fillId="9" borderId="4" xfId="0" applyFont="1" applyFill="1" applyBorder="1"/>
    <xf numFmtId="0" fontId="7" fillId="13" borderId="4" xfId="0" applyFont="1" applyFill="1" applyBorder="1"/>
    <xf numFmtId="0" fontId="14" fillId="13" borderId="4" xfId="0" applyFont="1" applyFill="1" applyBorder="1"/>
    <xf numFmtId="0" fontId="14" fillId="0" borderId="10" xfId="0" applyFont="1" applyBorder="1"/>
    <xf numFmtId="0" fontId="14" fillId="17" borderId="4" xfId="0" applyFont="1" applyFill="1" applyBorder="1"/>
    <xf numFmtId="0" fontId="10" fillId="17" borderId="4" xfId="0" applyFont="1" applyFill="1" applyBorder="1"/>
    <xf numFmtId="0" fontId="7" fillId="18" borderId="4" xfId="0" applyFont="1" applyFill="1" applyBorder="1"/>
    <xf numFmtId="0" fontId="0" fillId="16" borderId="0" xfId="0" applyFill="1"/>
    <xf numFmtId="0" fontId="0" fillId="18" borderId="0" xfId="0" applyFill="1"/>
    <xf numFmtId="0" fontId="0" fillId="19" borderId="0" xfId="0" applyFill="1"/>
    <xf numFmtId="0" fontId="0" fillId="2" borderId="0" xfId="0" applyFill="1"/>
    <xf numFmtId="0" fontId="14" fillId="0" borderId="0" xfId="0" applyFont="1"/>
    <xf numFmtId="0" fontId="14" fillId="18" borderId="4" xfId="0" applyFont="1" applyFill="1" applyBorder="1"/>
    <xf numFmtId="0" fontId="14" fillId="20" borderId="4" xfId="0" applyFont="1" applyFill="1" applyBorder="1"/>
    <xf numFmtId="0" fontId="14" fillId="3" borderId="4" xfId="0" applyFont="1" applyFill="1" applyBorder="1"/>
    <xf numFmtId="0" fontId="15" fillId="5" borderId="4" xfId="0" applyFont="1" applyFill="1" applyBorder="1" applyAlignment="1">
      <alignment vertical="center" wrapText="1"/>
    </xf>
    <xf numFmtId="0" fontId="18" fillId="0" borderId="0" xfId="0" applyFont="1" applyAlignment="1">
      <alignment vertical="center"/>
    </xf>
    <xf numFmtId="4" fontId="18" fillId="0" borderId="0" xfId="0" applyNumberFormat="1" applyFont="1" applyAlignment="1">
      <alignment vertical="center"/>
    </xf>
    <xf numFmtId="0" fontId="15" fillId="18" borderId="4" xfId="0" applyFont="1" applyFill="1" applyBorder="1" applyAlignment="1">
      <alignment vertical="center" wrapText="1"/>
    </xf>
    <xf numFmtId="0" fontId="0" fillId="16" borderId="4" xfId="0" applyFill="1" applyBorder="1"/>
    <xf numFmtId="1" fontId="3" fillId="18" borderId="6" xfId="0" applyNumberFormat="1" applyFont="1" applyFill="1" applyBorder="1"/>
    <xf numFmtId="164" fontId="3" fillId="18" borderId="4" xfId="0" applyNumberFormat="1" applyFont="1" applyFill="1" applyBorder="1" applyAlignment="1">
      <alignment horizontal="center" vertical="center" textRotation="90"/>
    </xf>
    <xf numFmtId="165" fontId="1" fillId="18" borderId="4" xfId="0" applyNumberFormat="1" applyFont="1" applyFill="1" applyBorder="1" applyAlignment="1">
      <alignment horizontal="center" vertical="center" textRotation="90"/>
    </xf>
    <xf numFmtId="0" fontId="7" fillId="21" borderId="4" xfId="0" applyFont="1" applyFill="1" applyBorder="1"/>
    <xf numFmtId="0" fontId="0" fillId="21" borderId="0" xfId="0" applyFill="1"/>
    <xf numFmtId="0" fontId="12" fillId="0" borderId="0" xfId="0" applyFont="1"/>
    <xf numFmtId="1" fontId="12" fillId="0" borderId="0" xfId="0" applyNumberFormat="1" applyFont="1"/>
    <xf numFmtId="0" fontId="7" fillId="11" borderId="4" xfId="0" applyFont="1" applyFill="1" applyBorder="1"/>
    <xf numFmtId="0" fontId="14" fillId="11" borderId="4" xfId="0" applyFont="1" applyFill="1" applyBorder="1"/>
    <xf numFmtId="0" fontId="14" fillId="10" borderId="4" xfId="0" applyFont="1" applyFill="1" applyBorder="1"/>
    <xf numFmtId="0" fontId="7" fillId="10" borderId="4" xfId="0" applyFont="1" applyFill="1" applyBorder="1"/>
    <xf numFmtId="0" fontId="0" fillId="10" borderId="4" xfId="0" applyFill="1" applyBorder="1" applyAlignment="1">
      <alignment horizontal="center"/>
    </xf>
    <xf numFmtId="0" fontId="0" fillId="17" borderId="4" xfId="0" applyFill="1" applyBorder="1" applyAlignment="1">
      <alignment horizontal="center"/>
    </xf>
    <xf numFmtId="0" fontId="0" fillId="10" borderId="4" xfId="0" applyFill="1" applyBorder="1"/>
    <xf numFmtId="0" fontId="15" fillId="8" borderId="13" xfId="0" applyFont="1" applyFill="1" applyBorder="1"/>
    <xf numFmtId="0" fontId="15" fillId="8" borderId="14" xfId="0" applyFont="1" applyFill="1" applyBorder="1"/>
    <xf numFmtId="0" fontId="14" fillId="8" borderId="4" xfId="0" applyFont="1" applyFill="1" applyBorder="1"/>
    <xf numFmtId="0" fontId="0" fillId="8" borderId="5" xfId="0" applyFill="1" applyBorder="1"/>
    <xf numFmtId="0" fontId="0" fillId="22" borderId="4" xfId="0" applyFill="1" applyBorder="1"/>
    <xf numFmtId="0" fontId="0" fillId="17" borderId="4" xfId="0" applyFill="1" applyBorder="1"/>
    <xf numFmtId="0" fontId="0" fillId="17" borderId="0" xfId="0" applyFill="1"/>
    <xf numFmtId="0" fontId="0" fillId="17" borderId="12" xfId="0" applyFill="1" applyBorder="1" applyAlignment="1">
      <alignment horizontal="center"/>
    </xf>
    <xf numFmtId="0" fontId="19" fillId="17" borderId="4" xfId="0" applyFont="1" applyFill="1" applyBorder="1"/>
    <xf numFmtId="0" fontId="19" fillId="10" borderId="0" xfId="0" applyFont="1" applyFill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7" fillId="5" borderId="1" xfId="0" applyFont="1" applyFill="1" applyBorder="1" applyAlignment="1">
      <alignment horizontal="center" vertical="center"/>
    </xf>
    <xf numFmtId="0" fontId="17" fillId="5" borderId="2" xfId="0" applyFont="1" applyFill="1" applyBorder="1" applyAlignment="1">
      <alignment horizontal="center" vertical="center"/>
    </xf>
    <xf numFmtId="0" fontId="17" fillId="5" borderId="12" xfId="0" applyFont="1" applyFill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15" fillId="5" borderId="7" xfId="0" applyFon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15" fillId="5" borderId="1" xfId="0" applyFont="1" applyFill="1" applyBorder="1" applyAlignment="1">
      <alignment horizontal="center"/>
    </xf>
    <xf numFmtId="0" fontId="15" fillId="5" borderId="2" xfId="0" applyFont="1" applyFill="1" applyBorder="1" applyAlignment="1">
      <alignment horizontal="center"/>
    </xf>
    <xf numFmtId="0" fontId="15" fillId="5" borderId="12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A62E0-A415-451C-B34F-0CD14B34DCCF}">
  <dimension ref="A1:AO44"/>
  <sheetViews>
    <sheetView zoomScale="80" zoomScaleNormal="80" workbookViewId="0">
      <selection activeCell="V7" sqref="V7"/>
    </sheetView>
  </sheetViews>
  <sheetFormatPr defaultRowHeight="14.5" x14ac:dyDescent="0.35"/>
  <cols>
    <col min="1" max="1" width="23.81640625" bestFit="1" customWidth="1"/>
    <col min="2" max="8" width="3.81640625" hidden="1" customWidth="1"/>
    <col min="9" max="10" width="8.453125" bestFit="1" customWidth="1"/>
    <col min="11" max="14" width="7.453125" bestFit="1" customWidth="1"/>
    <col min="15" max="15" width="11.453125" bestFit="1" customWidth="1"/>
    <col min="16" max="18" width="7.453125" bestFit="1" customWidth="1"/>
    <col min="19" max="25" width="9.1796875" bestFit="1" customWidth="1"/>
    <col min="26" max="28" width="10.1796875" bestFit="1" customWidth="1"/>
    <col min="29" max="29" width="9.1796875" bestFit="1" customWidth="1"/>
    <col min="30" max="31" width="10.1796875" bestFit="1" customWidth="1"/>
    <col min="32" max="32" width="4.7265625" customWidth="1"/>
    <col min="33" max="33" width="12.81640625" hidden="1" customWidth="1"/>
    <col min="34" max="35" width="0" hidden="1" customWidth="1"/>
    <col min="36" max="36" width="3.26953125" customWidth="1"/>
    <col min="37" max="37" width="18.81640625" customWidth="1"/>
    <col min="38" max="38" width="15" customWidth="1"/>
    <col min="39" max="39" width="10.81640625" customWidth="1"/>
    <col min="40" max="40" width="12.54296875" customWidth="1"/>
    <col min="41" max="41" width="63.54296875" bestFit="1" customWidth="1"/>
  </cols>
  <sheetData>
    <row r="1" spans="1:41" ht="15.5" x14ac:dyDescent="0.35">
      <c r="A1" s="120" t="s">
        <v>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</row>
    <row r="2" spans="1:41" ht="15" thickBot="1" x14ac:dyDescent="0.4"/>
    <row r="3" spans="1:41" ht="45.75" customHeight="1" x14ac:dyDescent="0.35">
      <c r="A3" s="1" t="s">
        <v>1</v>
      </c>
      <c r="B3" s="2">
        <f>AG4</f>
        <v>44805</v>
      </c>
      <c r="C3" s="2">
        <f t="shared" ref="C3:AE3" si="0">B3+1</f>
        <v>44806</v>
      </c>
      <c r="D3" s="2">
        <f t="shared" si="0"/>
        <v>44807</v>
      </c>
      <c r="E3" s="2">
        <f t="shared" si="0"/>
        <v>44808</v>
      </c>
      <c r="F3" s="2">
        <f t="shared" si="0"/>
        <v>44809</v>
      </c>
      <c r="G3" s="2">
        <f t="shared" si="0"/>
        <v>44810</v>
      </c>
      <c r="H3" s="2">
        <f t="shared" si="0"/>
        <v>44811</v>
      </c>
      <c r="I3" s="2">
        <f t="shared" si="0"/>
        <v>44812</v>
      </c>
      <c r="J3" s="2">
        <f t="shared" si="0"/>
        <v>44813</v>
      </c>
      <c r="K3" s="2">
        <f t="shared" si="0"/>
        <v>44814</v>
      </c>
      <c r="L3" s="2">
        <f t="shared" si="0"/>
        <v>44815</v>
      </c>
      <c r="M3" s="2">
        <f t="shared" si="0"/>
        <v>44816</v>
      </c>
      <c r="N3" s="2">
        <f t="shared" si="0"/>
        <v>44817</v>
      </c>
      <c r="O3" s="2">
        <f t="shared" si="0"/>
        <v>44818</v>
      </c>
      <c r="P3" s="2">
        <f t="shared" si="0"/>
        <v>44819</v>
      </c>
      <c r="Q3" s="2">
        <f t="shared" si="0"/>
        <v>44820</v>
      </c>
      <c r="R3" s="2">
        <f t="shared" si="0"/>
        <v>44821</v>
      </c>
      <c r="S3" s="2">
        <f t="shared" si="0"/>
        <v>44822</v>
      </c>
      <c r="T3" s="2">
        <f t="shared" si="0"/>
        <v>44823</v>
      </c>
      <c r="U3" s="2">
        <f t="shared" si="0"/>
        <v>44824</v>
      </c>
      <c r="V3" s="2">
        <f t="shared" si="0"/>
        <v>44825</v>
      </c>
      <c r="W3" s="2">
        <f t="shared" si="0"/>
        <v>44826</v>
      </c>
      <c r="X3" s="2">
        <f t="shared" si="0"/>
        <v>44827</v>
      </c>
      <c r="Y3" s="2">
        <f t="shared" si="0"/>
        <v>44828</v>
      </c>
      <c r="Z3" s="2">
        <f t="shared" si="0"/>
        <v>44829</v>
      </c>
      <c r="AA3" s="2">
        <f t="shared" si="0"/>
        <v>44830</v>
      </c>
      <c r="AB3" s="2">
        <f t="shared" si="0"/>
        <v>44831</v>
      </c>
      <c r="AC3" s="2">
        <f t="shared" si="0"/>
        <v>44832</v>
      </c>
      <c r="AD3" s="2">
        <f t="shared" si="0"/>
        <v>44833</v>
      </c>
      <c r="AE3" s="2">
        <f t="shared" si="0"/>
        <v>44834</v>
      </c>
    </row>
    <row r="4" spans="1:41" ht="28.5" x14ac:dyDescent="0.35">
      <c r="A4" s="3" t="s">
        <v>2</v>
      </c>
      <c r="B4" s="4">
        <f t="shared" ref="B4:AE4" si="1">B3</f>
        <v>44805</v>
      </c>
      <c r="C4" s="4">
        <f t="shared" si="1"/>
        <v>44806</v>
      </c>
      <c r="D4" s="4">
        <f t="shared" si="1"/>
        <v>44807</v>
      </c>
      <c r="E4" s="4">
        <f t="shared" si="1"/>
        <v>44808</v>
      </c>
      <c r="F4" s="4">
        <f t="shared" si="1"/>
        <v>44809</v>
      </c>
      <c r="G4" s="4">
        <f t="shared" si="1"/>
        <v>44810</v>
      </c>
      <c r="H4" s="4">
        <f t="shared" si="1"/>
        <v>44811</v>
      </c>
      <c r="I4" s="4">
        <f t="shared" si="1"/>
        <v>44812</v>
      </c>
      <c r="J4" s="4">
        <f t="shared" si="1"/>
        <v>44813</v>
      </c>
      <c r="K4" s="4">
        <f t="shared" si="1"/>
        <v>44814</v>
      </c>
      <c r="L4" s="4">
        <f t="shared" si="1"/>
        <v>44815</v>
      </c>
      <c r="M4" s="4">
        <f t="shared" si="1"/>
        <v>44816</v>
      </c>
      <c r="N4" s="4">
        <f t="shared" si="1"/>
        <v>44817</v>
      </c>
      <c r="O4" s="4">
        <f t="shared" si="1"/>
        <v>44818</v>
      </c>
      <c r="P4" s="4">
        <f t="shared" si="1"/>
        <v>44819</v>
      </c>
      <c r="Q4" s="4">
        <f t="shared" si="1"/>
        <v>44820</v>
      </c>
      <c r="R4" s="4">
        <f t="shared" si="1"/>
        <v>44821</v>
      </c>
      <c r="S4" s="4">
        <f t="shared" si="1"/>
        <v>44822</v>
      </c>
      <c r="T4" s="4">
        <f t="shared" si="1"/>
        <v>44823</v>
      </c>
      <c r="U4" s="4">
        <f t="shared" si="1"/>
        <v>44824</v>
      </c>
      <c r="V4" s="4">
        <f t="shared" si="1"/>
        <v>44825</v>
      </c>
      <c r="W4" s="4">
        <f t="shared" si="1"/>
        <v>44826</v>
      </c>
      <c r="X4" s="4">
        <f t="shared" si="1"/>
        <v>44827</v>
      </c>
      <c r="Y4" s="4">
        <f t="shared" si="1"/>
        <v>44828</v>
      </c>
      <c r="Z4" s="4">
        <f t="shared" si="1"/>
        <v>44829</v>
      </c>
      <c r="AA4" s="4">
        <f t="shared" si="1"/>
        <v>44830</v>
      </c>
      <c r="AB4" s="4">
        <f t="shared" si="1"/>
        <v>44831</v>
      </c>
      <c r="AC4" s="4">
        <f t="shared" si="1"/>
        <v>44832</v>
      </c>
      <c r="AD4" s="4">
        <f t="shared" si="1"/>
        <v>44833</v>
      </c>
      <c r="AE4" s="4">
        <f t="shared" si="1"/>
        <v>44834</v>
      </c>
      <c r="AG4" s="5">
        <v>44805</v>
      </c>
      <c r="AH4" s="6">
        <f>EOMONTH(AG4,0)</f>
        <v>44834</v>
      </c>
      <c r="AK4" s="19" t="s">
        <v>54</v>
      </c>
      <c r="AL4" s="19" t="s">
        <v>58</v>
      </c>
      <c r="AM4" s="19" t="s">
        <v>55</v>
      </c>
      <c r="AN4" s="19" t="s">
        <v>56</v>
      </c>
      <c r="AO4" s="19" t="s">
        <v>57</v>
      </c>
    </row>
    <row r="5" spans="1:41" x14ac:dyDescent="0.35">
      <c r="A5" s="7" t="s">
        <v>3</v>
      </c>
      <c r="B5" s="8"/>
      <c r="C5" s="8"/>
      <c r="D5" s="8"/>
      <c r="E5" s="8" t="s">
        <v>4</v>
      </c>
      <c r="F5" s="8"/>
      <c r="G5" s="8" t="s">
        <v>4</v>
      </c>
      <c r="H5" s="8" t="s">
        <v>4</v>
      </c>
      <c r="I5" s="8" t="s">
        <v>4</v>
      </c>
      <c r="J5" s="8" t="s">
        <v>4</v>
      </c>
      <c r="K5" s="8"/>
      <c r="L5" s="8"/>
      <c r="M5" s="8"/>
      <c r="N5" s="8"/>
      <c r="O5" s="8" t="s">
        <v>5</v>
      </c>
      <c r="P5" s="8" t="s">
        <v>5</v>
      </c>
      <c r="Q5" s="8"/>
      <c r="R5" s="8"/>
      <c r="S5" s="8"/>
      <c r="T5" s="8"/>
      <c r="U5" s="8"/>
      <c r="V5" s="8"/>
      <c r="W5" s="8"/>
      <c r="X5" s="8"/>
      <c r="Y5" s="8"/>
      <c r="Z5" s="8"/>
      <c r="AA5" s="8" t="s">
        <v>6</v>
      </c>
      <c r="AB5" s="8"/>
      <c r="AC5" s="8"/>
      <c r="AD5" s="8"/>
      <c r="AE5" s="8"/>
      <c r="AK5" s="20" t="s">
        <v>59</v>
      </c>
      <c r="AL5" s="20" t="s">
        <v>60</v>
      </c>
      <c r="AM5" s="20" t="s">
        <v>61</v>
      </c>
      <c r="AN5" s="20" t="s">
        <v>62</v>
      </c>
      <c r="AO5" s="20" t="s">
        <v>63</v>
      </c>
    </row>
    <row r="6" spans="1:41" x14ac:dyDescent="0.35">
      <c r="A6" s="7" t="s">
        <v>7</v>
      </c>
      <c r="B6" s="8"/>
      <c r="C6" s="8"/>
      <c r="D6" s="8"/>
      <c r="E6" s="8" t="s">
        <v>4</v>
      </c>
      <c r="F6" s="8"/>
      <c r="G6" s="8" t="s">
        <v>4</v>
      </c>
      <c r="H6" s="8" t="s">
        <v>4</v>
      </c>
      <c r="I6" s="8" t="s">
        <v>4</v>
      </c>
      <c r="J6" s="8" t="s">
        <v>4</v>
      </c>
      <c r="K6" s="8"/>
      <c r="L6" s="8"/>
      <c r="M6" s="8"/>
      <c r="N6" s="8"/>
      <c r="O6" s="8" t="s">
        <v>8</v>
      </c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 t="s">
        <v>9</v>
      </c>
      <c r="AB6" s="8" t="s">
        <v>10</v>
      </c>
      <c r="AC6" s="8" t="s">
        <v>10</v>
      </c>
      <c r="AD6" s="8" t="s">
        <v>10</v>
      </c>
      <c r="AE6" s="8"/>
      <c r="AK6" s="20" t="s">
        <v>67</v>
      </c>
      <c r="AL6" s="20" t="s">
        <v>68</v>
      </c>
      <c r="AM6" s="21">
        <v>44630</v>
      </c>
      <c r="AN6" s="21">
        <v>44722</v>
      </c>
      <c r="AO6" s="20" t="s">
        <v>69</v>
      </c>
    </row>
    <row r="7" spans="1:41" x14ac:dyDescent="0.35">
      <c r="A7" s="7" t="s">
        <v>11</v>
      </c>
      <c r="B7" s="8"/>
      <c r="C7" s="8"/>
      <c r="D7" s="8"/>
      <c r="E7" s="8" t="s">
        <v>4</v>
      </c>
      <c r="F7" s="8"/>
      <c r="G7" s="8" t="s">
        <v>4</v>
      </c>
      <c r="H7" s="8" t="s">
        <v>4</v>
      </c>
      <c r="I7" s="8" t="s">
        <v>4</v>
      </c>
      <c r="J7" s="8" t="s">
        <v>4</v>
      </c>
      <c r="K7" s="8"/>
      <c r="L7" s="8"/>
      <c r="M7" s="8"/>
      <c r="N7" s="8"/>
      <c r="O7" s="8" t="s">
        <v>12</v>
      </c>
      <c r="P7" s="8"/>
      <c r="Q7" s="8"/>
      <c r="R7" s="8"/>
      <c r="S7" s="8"/>
      <c r="T7" s="8"/>
      <c r="U7" s="8" t="s">
        <v>13</v>
      </c>
      <c r="V7" s="8" t="s">
        <v>14</v>
      </c>
      <c r="W7" s="8" t="s">
        <v>14</v>
      </c>
      <c r="X7" s="8" t="s">
        <v>14</v>
      </c>
      <c r="Y7" s="8" t="s">
        <v>14</v>
      </c>
      <c r="Z7" s="8" t="s">
        <v>14</v>
      </c>
      <c r="AA7" s="8" t="s">
        <v>14</v>
      </c>
      <c r="AB7" s="8" t="s">
        <v>14</v>
      </c>
      <c r="AC7" s="8" t="s">
        <v>14</v>
      </c>
      <c r="AD7" s="8" t="s">
        <v>14</v>
      </c>
      <c r="AE7" s="8" t="s">
        <v>14</v>
      </c>
      <c r="AK7" s="20"/>
      <c r="AL7" s="20"/>
      <c r="AM7" s="20"/>
      <c r="AN7" s="20"/>
      <c r="AO7" s="20"/>
    </row>
    <row r="8" spans="1:41" ht="15" customHeight="1" x14ac:dyDescent="0.35">
      <c r="A8" s="7" t="s">
        <v>15</v>
      </c>
      <c r="B8" s="8"/>
      <c r="C8" s="8"/>
      <c r="D8" s="8"/>
      <c r="E8" s="8" t="s">
        <v>4</v>
      </c>
      <c r="F8" s="8"/>
      <c r="G8" s="8" t="s">
        <v>4</v>
      </c>
      <c r="H8" s="8" t="s">
        <v>4</v>
      </c>
      <c r="I8" s="8" t="s">
        <v>4</v>
      </c>
      <c r="J8" s="8" t="s">
        <v>4</v>
      </c>
      <c r="K8" s="8"/>
      <c r="L8" s="8"/>
      <c r="M8" s="8"/>
      <c r="N8" s="8"/>
      <c r="O8" s="8" t="s">
        <v>16</v>
      </c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 t="s">
        <v>17</v>
      </c>
      <c r="AB8" s="8" t="s">
        <v>17</v>
      </c>
      <c r="AC8" s="8"/>
      <c r="AD8" s="8" t="s">
        <v>66</v>
      </c>
      <c r="AE8" s="8" t="s">
        <v>75</v>
      </c>
      <c r="AI8" s="9"/>
      <c r="AK8" s="20"/>
      <c r="AL8" s="20"/>
      <c r="AM8" s="20"/>
      <c r="AN8" s="20"/>
      <c r="AO8" s="20"/>
    </row>
    <row r="9" spans="1:41" ht="15.75" customHeight="1" x14ac:dyDescent="0.35">
      <c r="A9" s="7" t="s">
        <v>18</v>
      </c>
      <c r="B9" s="8" t="s">
        <v>19</v>
      </c>
      <c r="C9" s="8" t="s">
        <v>19</v>
      </c>
      <c r="D9" s="8" t="s">
        <v>19</v>
      </c>
      <c r="E9" s="8" t="s">
        <v>19</v>
      </c>
      <c r="F9" s="8" t="s">
        <v>19</v>
      </c>
      <c r="G9" s="8" t="s">
        <v>19</v>
      </c>
      <c r="H9" s="8" t="s">
        <v>19</v>
      </c>
      <c r="I9" s="8" t="s">
        <v>19</v>
      </c>
      <c r="J9" s="8" t="s">
        <v>19</v>
      </c>
      <c r="K9" s="8" t="s">
        <v>19</v>
      </c>
      <c r="L9" s="8" t="s">
        <v>19</v>
      </c>
      <c r="M9" s="8" t="s">
        <v>19</v>
      </c>
      <c r="N9" s="8" t="s">
        <v>19</v>
      </c>
      <c r="O9" s="8" t="s">
        <v>19</v>
      </c>
      <c r="P9" s="8" t="s">
        <v>19</v>
      </c>
      <c r="Q9" s="8" t="s">
        <v>19</v>
      </c>
      <c r="R9" s="8" t="s">
        <v>19</v>
      </c>
      <c r="S9" s="8" t="s">
        <v>19</v>
      </c>
      <c r="T9" s="8" t="s">
        <v>19</v>
      </c>
      <c r="U9" s="8" t="s">
        <v>19</v>
      </c>
      <c r="V9" s="8" t="s">
        <v>19</v>
      </c>
      <c r="W9" s="8" t="s">
        <v>19</v>
      </c>
      <c r="X9" s="8" t="s">
        <v>19</v>
      </c>
      <c r="Y9" s="8" t="s">
        <v>19</v>
      </c>
      <c r="Z9" s="8" t="s">
        <v>19</v>
      </c>
      <c r="AA9" s="8" t="s">
        <v>19</v>
      </c>
      <c r="AB9" s="8" t="s">
        <v>19</v>
      </c>
      <c r="AC9" s="8" t="s">
        <v>19</v>
      </c>
      <c r="AD9" s="8" t="s">
        <v>19</v>
      </c>
      <c r="AE9" s="8" t="s">
        <v>19</v>
      </c>
      <c r="AK9" s="20"/>
      <c r="AL9" s="20"/>
      <c r="AM9" s="20"/>
      <c r="AN9" s="20"/>
      <c r="AO9" s="20"/>
    </row>
    <row r="10" spans="1:41" ht="15.75" customHeight="1" x14ac:dyDescent="0.35">
      <c r="A10" s="7" t="s">
        <v>20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 t="s">
        <v>21</v>
      </c>
      <c r="P10" s="8" t="s">
        <v>22</v>
      </c>
      <c r="Q10" s="8" t="s">
        <v>22</v>
      </c>
      <c r="R10" s="8"/>
      <c r="S10" s="8"/>
      <c r="T10" s="8"/>
      <c r="U10" s="8"/>
      <c r="V10" s="8"/>
      <c r="W10" s="8"/>
      <c r="X10" s="8"/>
      <c r="Y10" s="8"/>
      <c r="Z10" s="8" t="s">
        <v>23</v>
      </c>
      <c r="AA10" s="8" t="s">
        <v>23</v>
      </c>
      <c r="AB10" s="8" t="s">
        <v>23</v>
      </c>
      <c r="AC10" s="8" t="s">
        <v>64</v>
      </c>
      <c r="AD10" s="8" t="s">
        <v>64</v>
      </c>
      <c r="AE10" s="8" t="s">
        <v>77</v>
      </c>
      <c r="AK10" s="20"/>
      <c r="AL10" s="20"/>
      <c r="AM10" s="20"/>
      <c r="AN10" s="20"/>
      <c r="AO10" s="20"/>
    </row>
    <row r="11" spans="1:41" ht="15.75" customHeight="1" x14ac:dyDescent="0.35">
      <c r="A11" s="7" t="s">
        <v>24</v>
      </c>
      <c r="B11" s="8"/>
      <c r="C11" s="8"/>
      <c r="D11" s="8"/>
      <c r="E11" s="8" t="s">
        <v>25</v>
      </c>
      <c r="F11" s="8" t="s">
        <v>25</v>
      </c>
      <c r="G11" s="8" t="s">
        <v>25</v>
      </c>
      <c r="H11" s="8" t="s">
        <v>25</v>
      </c>
      <c r="I11" s="8"/>
      <c r="J11" s="8"/>
      <c r="K11" s="8"/>
      <c r="L11" s="8"/>
      <c r="M11" s="8"/>
      <c r="N11" s="8"/>
      <c r="O11" s="8" t="s">
        <v>26</v>
      </c>
      <c r="P11" s="8"/>
      <c r="Q11" s="8"/>
      <c r="R11" s="8"/>
      <c r="S11" s="8"/>
      <c r="T11" s="8" t="s">
        <v>27</v>
      </c>
      <c r="U11" s="8" t="s">
        <v>27</v>
      </c>
      <c r="V11" s="8" t="s">
        <v>27</v>
      </c>
      <c r="W11" s="8" t="s">
        <v>27</v>
      </c>
      <c r="X11" s="8" t="s">
        <v>27</v>
      </c>
      <c r="Y11" s="8" t="s">
        <v>27</v>
      </c>
      <c r="Z11" s="8" t="s">
        <v>27</v>
      </c>
      <c r="AA11" s="8" t="s">
        <v>27</v>
      </c>
      <c r="AB11" s="8" t="s">
        <v>27</v>
      </c>
      <c r="AC11" s="8" t="s">
        <v>27</v>
      </c>
      <c r="AD11" s="8" t="s">
        <v>27</v>
      </c>
      <c r="AE11" s="8" t="s">
        <v>27</v>
      </c>
      <c r="AK11" s="20"/>
      <c r="AL11" s="20"/>
      <c r="AM11" s="20"/>
      <c r="AN11" s="20"/>
      <c r="AO11" s="20"/>
    </row>
    <row r="12" spans="1:41" ht="15" customHeight="1" x14ac:dyDescent="0.35">
      <c r="A12" s="10"/>
      <c r="B12" s="11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K12" s="20"/>
      <c r="AL12" s="20"/>
      <c r="AM12" s="20"/>
      <c r="AN12" s="20"/>
      <c r="AO12" s="20"/>
    </row>
    <row r="13" spans="1:41" ht="51" hidden="1" customHeight="1" x14ac:dyDescent="0.35">
      <c r="A13" s="13" t="s">
        <v>28</v>
      </c>
      <c r="B13" s="14"/>
      <c r="C13" s="14"/>
      <c r="D13" s="14"/>
      <c r="E13" s="14"/>
      <c r="F13" s="14"/>
      <c r="G13" s="14"/>
      <c r="H13" s="14"/>
      <c r="I13" s="14"/>
      <c r="J13" s="15"/>
      <c r="K13" s="15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5"/>
      <c r="W13" s="15"/>
      <c r="X13" s="14"/>
      <c r="Y13" s="14"/>
      <c r="Z13" s="14"/>
      <c r="AA13" s="14"/>
      <c r="AB13" s="14"/>
      <c r="AC13" s="14"/>
      <c r="AD13" s="14"/>
      <c r="AE13" s="14"/>
      <c r="AK13" s="20"/>
      <c r="AL13" s="20"/>
      <c r="AM13" s="20"/>
      <c r="AN13" s="20"/>
      <c r="AO13" s="20"/>
    </row>
    <row r="14" spans="1:41" ht="28.5" hidden="1" x14ac:dyDescent="0.35">
      <c r="A14" s="16" t="s">
        <v>29</v>
      </c>
      <c r="B14" s="14"/>
      <c r="C14" s="14"/>
      <c r="D14" s="14"/>
      <c r="E14" s="14"/>
      <c r="F14" s="14"/>
      <c r="G14" s="14"/>
      <c r="H14" s="14"/>
      <c r="I14" s="14"/>
      <c r="J14" s="15"/>
      <c r="K14" s="15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5"/>
      <c r="W14" s="15"/>
      <c r="X14" s="14"/>
      <c r="Y14" s="14"/>
      <c r="Z14" s="14"/>
      <c r="AA14" s="14"/>
      <c r="AB14" s="14"/>
      <c r="AC14" s="14"/>
      <c r="AD14" s="14"/>
      <c r="AE14" s="14"/>
      <c r="AK14" s="20"/>
      <c r="AL14" s="20"/>
      <c r="AM14" s="20"/>
      <c r="AN14" s="20"/>
      <c r="AO14" s="20"/>
    </row>
    <row r="15" spans="1:41" x14ac:dyDescent="0.35">
      <c r="A15" s="7" t="s">
        <v>30</v>
      </c>
      <c r="B15" s="8" t="s">
        <v>31</v>
      </c>
      <c r="C15" s="8" t="s">
        <v>31</v>
      </c>
      <c r="D15" s="8"/>
      <c r="E15" s="8" t="s">
        <v>25</v>
      </c>
      <c r="F15" s="8"/>
      <c r="G15" s="8"/>
      <c r="H15" s="8"/>
      <c r="I15" s="8"/>
      <c r="J15" s="8"/>
      <c r="K15" s="8"/>
      <c r="L15" s="8"/>
      <c r="M15" s="8"/>
      <c r="N15" s="8" t="s">
        <v>32</v>
      </c>
      <c r="O15" s="8" t="s">
        <v>33</v>
      </c>
      <c r="P15" s="8"/>
      <c r="Q15" s="8"/>
      <c r="R15" s="8"/>
      <c r="S15" s="8" t="s">
        <v>34</v>
      </c>
      <c r="T15" s="8" t="s">
        <v>34</v>
      </c>
      <c r="U15" s="8" t="s">
        <v>34</v>
      </c>
      <c r="V15" s="8" t="s">
        <v>34</v>
      </c>
      <c r="W15" s="8" t="s">
        <v>34</v>
      </c>
      <c r="X15" s="8" t="s">
        <v>34</v>
      </c>
      <c r="Y15" s="8" t="s">
        <v>34</v>
      </c>
      <c r="Z15" s="8" t="s">
        <v>34</v>
      </c>
      <c r="AA15" s="8" t="s">
        <v>34</v>
      </c>
      <c r="AB15" s="8" t="s">
        <v>34</v>
      </c>
      <c r="AC15" s="8" t="s">
        <v>34</v>
      </c>
      <c r="AD15" s="8" t="s">
        <v>34</v>
      </c>
      <c r="AE15" s="8" t="s">
        <v>34</v>
      </c>
      <c r="AK15" s="20"/>
      <c r="AL15" s="20"/>
      <c r="AM15" s="20"/>
      <c r="AN15" s="20"/>
      <c r="AO15" s="20"/>
    </row>
    <row r="16" spans="1:41" x14ac:dyDescent="0.35">
      <c r="A16" s="7" t="s">
        <v>35</v>
      </c>
      <c r="B16" s="8"/>
      <c r="C16" s="8"/>
      <c r="D16" s="8"/>
      <c r="E16" s="8"/>
      <c r="F16" s="8"/>
      <c r="G16" s="8" t="s">
        <v>25</v>
      </c>
      <c r="H16" s="8" t="s">
        <v>36</v>
      </c>
      <c r="I16" s="8" t="s">
        <v>36</v>
      </c>
      <c r="J16" s="8"/>
      <c r="K16" s="8"/>
      <c r="L16" s="8"/>
      <c r="M16" s="8"/>
      <c r="N16" s="8"/>
      <c r="O16" s="8" t="s">
        <v>37</v>
      </c>
      <c r="P16" s="8"/>
      <c r="Q16" s="8"/>
      <c r="R16" s="8"/>
      <c r="S16" s="8"/>
      <c r="T16" s="8"/>
      <c r="U16" s="8"/>
      <c r="V16" s="8"/>
      <c r="W16" s="8"/>
      <c r="X16" s="8"/>
      <c r="Y16" s="8"/>
      <c r="Z16" s="8" t="s">
        <v>38</v>
      </c>
      <c r="AA16" s="8" t="s">
        <v>38</v>
      </c>
      <c r="AB16" s="8" t="s">
        <v>38</v>
      </c>
      <c r="AC16" s="8"/>
      <c r="AD16" s="8"/>
      <c r="AE16" s="8" t="s">
        <v>76</v>
      </c>
      <c r="AK16" s="20"/>
      <c r="AL16" s="20"/>
      <c r="AM16" s="20"/>
      <c r="AN16" s="20"/>
      <c r="AO16" s="20"/>
    </row>
    <row r="17" spans="1:41" x14ac:dyDescent="0.35">
      <c r="A17" s="7" t="s">
        <v>39</v>
      </c>
      <c r="B17" s="8" t="s">
        <v>40</v>
      </c>
      <c r="C17" s="8"/>
      <c r="D17" s="8" t="s">
        <v>41</v>
      </c>
      <c r="E17" s="8" t="s">
        <v>41</v>
      </c>
      <c r="F17" s="8" t="s">
        <v>41</v>
      </c>
      <c r="G17" s="8" t="s">
        <v>41</v>
      </c>
      <c r="H17" s="8" t="s">
        <v>41</v>
      </c>
      <c r="I17" s="8" t="s">
        <v>41</v>
      </c>
      <c r="J17" s="8" t="s">
        <v>41</v>
      </c>
      <c r="K17" s="8" t="s">
        <v>41</v>
      </c>
      <c r="L17" s="8" t="s">
        <v>41</v>
      </c>
      <c r="M17" s="8" t="s">
        <v>41</v>
      </c>
      <c r="N17" s="8" t="s">
        <v>41</v>
      </c>
      <c r="O17" s="8" t="s">
        <v>41</v>
      </c>
      <c r="P17" s="8" t="s">
        <v>41</v>
      </c>
      <c r="Q17" s="8" t="s">
        <v>41</v>
      </c>
      <c r="R17" s="8" t="s">
        <v>41</v>
      </c>
      <c r="S17" s="8" t="s">
        <v>41</v>
      </c>
      <c r="T17" s="8" t="s">
        <v>41</v>
      </c>
      <c r="U17" s="8" t="s">
        <v>41</v>
      </c>
      <c r="V17" s="8" t="s">
        <v>41</v>
      </c>
      <c r="W17" s="8" t="s">
        <v>41</v>
      </c>
      <c r="X17" s="8" t="s">
        <v>41</v>
      </c>
      <c r="Y17" s="8" t="s">
        <v>41</v>
      </c>
      <c r="Z17" s="8" t="s">
        <v>41</v>
      </c>
      <c r="AA17" s="8" t="s">
        <v>41</v>
      </c>
      <c r="AB17" s="8" t="s">
        <v>41</v>
      </c>
      <c r="AC17" s="8" t="s">
        <v>41</v>
      </c>
      <c r="AD17" s="8" t="s">
        <v>41</v>
      </c>
      <c r="AE17" s="8" t="s">
        <v>41</v>
      </c>
      <c r="AK17" s="20"/>
      <c r="AL17" s="20"/>
      <c r="AM17" s="20"/>
      <c r="AN17" s="20"/>
      <c r="AO17" s="20"/>
    </row>
    <row r="18" spans="1:41" x14ac:dyDescent="0.35">
      <c r="A18" s="7" t="s">
        <v>42</v>
      </c>
      <c r="B18" s="8" t="s">
        <v>43</v>
      </c>
      <c r="C18" s="8" t="s">
        <v>43</v>
      </c>
      <c r="D18" s="8" t="s">
        <v>43</v>
      </c>
      <c r="E18" s="8" t="s">
        <v>43</v>
      </c>
      <c r="F18" s="8" t="s">
        <v>43</v>
      </c>
      <c r="G18" s="8" t="s">
        <v>43</v>
      </c>
      <c r="H18" s="8" t="s">
        <v>36</v>
      </c>
      <c r="I18" s="8" t="s">
        <v>36</v>
      </c>
      <c r="J18" s="8"/>
      <c r="K18" s="8" t="s">
        <v>44</v>
      </c>
      <c r="L18" s="8" t="s">
        <v>44</v>
      </c>
      <c r="M18" s="8" t="s">
        <v>44</v>
      </c>
      <c r="N18" s="8" t="s">
        <v>44</v>
      </c>
      <c r="O18" s="8" t="s">
        <v>44</v>
      </c>
      <c r="P18" s="8" t="s">
        <v>44</v>
      </c>
      <c r="Q18" s="8" t="s">
        <v>44</v>
      </c>
      <c r="R18" s="8" t="s">
        <v>44</v>
      </c>
      <c r="S18" s="8" t="s">
        <v>34</v>
      </c>
      <c r="T18" s="8" t="s">
        <v>34</v>
      </c>
      <c r="U18" s="8" t="s">
        <v>34</v>
      </c>
      <c r="V18" s="8" t="s">
        <v>34</v>
      </c>
      <c r="W18" s="8" t="s">
        <v>34</v>
      </c>
      <c r="X18" s="8" t="s">
        <v>34</v>
      </c>
      <c r="Y18" s="8" t="s">
        <v>34</v>
      </c>
      <c r="Z18" s="8" t="s">
        <v>34</v>
      </c>
      <c r="AA18" s="8" t="s">
        <v>34</v>
      </c>
      <c r="AB18" s="8" t="s">
        <v>34</v>
      </c>
      <c r="AC18" s="8" t="s">
        <v>34</v>
      </c>
      <c r="AD18" s="8" t="s">
        <v>34</v>
      </c>
      <c r="AE18" s="8" t="s">
        <v>34</v>
      </c>
      <c r="AK18" s="20"/>
      <c r="AL18" s="20"/>
      <c r="AM18" s="20"/>
      <c r="AN18" s="20"/>
      <c r="AO18" s="20"/>
    </row>
    <row r="19" spans="1:41" x14ac:dyDescent="0.35">
      <c r="A19" s="7" t="s">
        <v>45</v>
      </c>
      <c r="B19" s="8"/>
      <c r="C19" s="8"/>
      <c r="D19" s="8"/>
      <c r="E19" s="8" t="s">
        <v>46</v>
      </c>
      <c r="F19" s="8" t="s">
        <v>46</v>
      </c>
      <c r="G19" s="8" t="s">
        <v>46</v>
      </c>
      <c r="H19" s="8" t="s">
        <v>46</v>
      </c>
      <c r="I19" s="8" t="s">
        <v>46</v>
      </c>
      <c r="J19" s="8" t="s">
        <v>46</v>
      </c>
      <c r="K19" s="8" t="s">
        <v>46</v>
      </c>
      <c r="L19" s="8" t="s">
        <v>46</v>
      </c>
      <c r="M19" s="8" t="s">
        <v>46</v>
      </c>
      <c r="N19" s="8" t="s">
        <v>46</v>
      </c>
      <c r="O19" s="8" t="s">
        <v>46</v>
      </c>
      <c r="P19" s="8" t="s">
        <v>46</v>
      </c>
      <c r="Q19" s="8" t="s">
        <v>46</v>
      </c>
      <c r="R19" s="8" t="s">
        <v>46</v>
      </c>
      <c r="S19" s="8" t="s">
        <v>46</v>
      </c>
      <c r="T19" s="8" t="s">
        <v>46</v>
      </c>
      <c r="U19" s="8" t="s">
        <v>46</v>
      </c>
      <c r="V19" s="8" t="s">
        <v>46</v>
      </c>
      <c r="W19" s="8" t="s">
        <v>46</v>
      </c>
      <c r="X19" s="8" t="s">
        <v>46</v>
      </c>
      <c r="Y19" s="8" t="s">
        <v>46</v>
      </c>
      <c r="Z19" s="8" t="s">
        <v>46</v>
      </c>
      <c r="AA19" s="8" t="s">
        <v>46</v>
      </c>
      <c r="AB19" s="8" t="s">
        <v>46</v>
      </c>
      <c r="AC19" s="8" t="s">
        <v>46</v>
      </c>
      <c r="AD19" s="8" t="s">
        <v>46</v>
      </c>
      <c r="AE19" s="8" t="s">
        <v>46</v>
      </c>
      <c r="AK19" s="20"/>
      <c r="AL19" s="20"/>
      <c r="AM19" s="20"/>
      <c r="AN19" s="20"/>
      <c r="AO19" s="20"/>
    </row>
    <row r="20" spans="1:41" x14ac:dyDescent="0.35">
      <c r="A20" s="7" t="s">
        <v>47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 t="s">
        <v>48</v>
      </c>
      <c r="P20" s="8"/>
      <c r="Q20" s="8"/>
      <c r="R20" s="8"/>
      <c r="S20" s="8"/>
      <c r="T20" s="8"/>
      <c r="U20" s="8"/>
      <c r="V20" s="8"/>
      <c r="W20" s="8"/>
      <c r="X20" s="8"/>
      <c r="Y20" s="8"/>
      <c r="Z20" s="8" t="s">
        <v>49</v>
      </c>
      <c r="AA20" s="8" t="s">
        <v>49</v>
      </c>
      <c r="AB20" s="8" t="s">
        <v>49</v>
      </c>
      <c r="AC20" s="8" t="s">
        <v>49</v>
      </c>
      <c r="AD20" s="8" t="s">
        <v>49</v>
      </c>
      <c r="AE20" s="8" t="s">
        <v>49</v>
      </c>
      <c r="AK20" s="20"/>
      <c r="AL20" s="20"/>
      <c r="AM20" s="20"/>
      <c r="AN20" s="20"/>
      <c r="AO20" s="20"/>
    </row>
    <row r="21" spans="1:41" x14ac:dyDescent="0.35">
      <c r="A21" s="7" t="s">
        <v>50</v>
      </c>
      <c r="B21" s="8" t="s">
        <v>43</v>
      </c>
      <c r="C21" s="8" t="s">
        <v>43</v>
      </c>
      <c r="D21" s="8" t="s">
        <v>43</v>
      </c>
      <c r="E21" s="8" t="s">
        <v>43</v>
      </c>
      <c r="F21" s="8" t="s">
        <v>43</v>
      </c>
      <c r="G21" s="8" t="s">
        <v>43</v>
      </c>
      <c r="H21" s="8" t="s">
        <v>36</v>
      </c>
      <c r="I21" s="8" t="s">
        <v>36</v>
      </c>
      <c r="J21" s="8"/>
      <c r="K21" s="8"/>
      <c r="L21" s="8"/>
      <c r="M21" s="8"/>
      <c r="N21" s="8"/>
      <c r="O21" s="8" t="s">
        <v>32</v>
      </c>
      <c r="P21" s="8"/>
      <c r="Q21" s="8"/>
      <c r="R21" s="8"/>
      <c r="S21" s="8" t="s">
        <v>34</v>
      </c>
      <c r="T21" s="8" t="s">
        <v>34</v>
      </c>
      <c r="U21" s="8" t="s">
        <v>34</v>
      </c>
      <c r="V21" s="8" t="s">
        <v>34</v>
      </c>
      <c r="W21" s="8" t="s">
        <v>34</v>
      </c>
      <c r="X21" s="8" t="s">
        <v>34</v>
      </c>
      <c r="Y21" s="8" t="s">
        <v>34</v>
      </c>
      <c r="Z21" s="8" t="s">
        <v>34</v>
      </c>
      <c r="AA21" s="8" t="s">
        <v>34</v>
      </c>
      <c r="AB21" s="8" t="s">
        <v>34</v>
      </c>
      <c r="AC21" s="8" t="s">
        <v>34</v>
      </c>
      <c r="AD21" s="8" t="s">
        <v>34</v>
      </c>
      <c r="AE21" s="8" t="s">
        <v>34</v>
      </c>
      <c r="AK21" s="20"/>
      <c r="AL21" s="20"/>
      <c r="AM21" s="20"/>
      <c r="AN21" s="20"/>
      <c r="AO21" s="20"/>
    </row>
    <row r="22" spans="1:41" x14ac:dyDescent="0.35">
      <c r="A22" s="7" t="s">
        <v>51</v>
      </c>
      <c r="B22" s="8"/>
      <c r="C22" s="8"/>
      <c r="D22" s="8" t="s">
        <v>31</v>
      </c>
      <c r="E22" s="8"/>
      <c r="F22" s="8"/>
      <c r="G22" s="8" t="s">
        <v>43</v>
      </c>
      <c r="H22" s="8"/>
      <c r="I22" s="8"/>
      <c r="J22" s="8"/>
      <c r="K22" s="8"/>
      <c r="L22" s="8" t="s">
        <v>31</v>
      </c>
      <c r="M22" s="8" t="s">
        <v>31</v>
      </c>
      <c r="N22" s="8" t="s">
        <v>31</v>
      </c>
      <c r="O22" s="8" t="s">
        <v>52</v>
      </c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 t="s">
        <v>53</v>
      </c>
      <c r="AB22" s="8"/>
      <c r="AC22" s="8" t="s">
        <v>65</v>
      </c>
      <c r="AD22" s="8" t="s">
        <v>65</v>
      </c>
      <c r="AE22" s="8" t="s">
        <v>65</v>
      </c>
      <c r="AK22" s="20"/>
      <c r="AL22" s="20"/>
      <c r="AM22" s="20"/>
      <c r="AN22" s="20"/>
      <c r="AO22" s="20"/>
    </row>
    <row r="23" spans="1:41" x14ac:dyDescent="0.35">
      <c r="B23" s="17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K23" s="20"/>
      <c r="AL23" s="20"/>
      <c r="AM23" s="20"/>
      <c r="AN23" s="20"/>
      <c r="AO23" s="20"/>
    </row>
    <row r="44" ht="13.5" customHeight="1" x14ac:dyDescent="0.35"/>
  </sheetData>
  <mergeCells count="1">
    <mergeCell ref="A1:AE1"/>
  </mergeCells>
  <phoneticPr fontId="9" type="noConversion"/>
  <conditionalFormatting sqref="B13:I14 L13:U14 X13:AE14 B15:AE22 B5:AE11">
    <cfRule type="colorScale" priority="2">
      <colorScale>
        <cfvo type="num" val="1"/>
        <cfvo type="max"/>
        <color theme="4" tint="0.59999389629810485"/>
        <color theme="5" tint="0.59999389629810485"/>
      </colorScale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33302-9723-4149-A111-43B5C8BAE2D7}">
  <dimension ref="A1:AO44"/>
  <sheetViews>
    <sheetView zoomScale="80" zoomScaleNormal="80" workbookViewId="0">
      <selection activeCell="AE19" sqref="AE19:AF19"/>
    </sheetView>
  </sheetViews>
  <sheetFormatPr defaultRowHeight="14.5" x14ac:dyDescent="0.35"/>
  <cols>
    <col min="1" max="1" width="30.26953125" bestFit="1" customWidth="1"/>
    <col min="2" max="4" width="7.453125" hidden="1" customWidth="1"/>
    <col min="5" max="5" width="8.453125" hidden="1" customWidth="1"/>
    <col min="6" max="6" width="9.1796875" hidden="1" customWidth="1"/>
    <col min="7" max="8" width="8.453125" hidden="1" customWidth="1"/>
    <col min="9" max="9" width="8.54296875" hidden="1" customWidth="1"/>
    <col min="10" max="10" width="8.453125" hidden="1" customWidth="1"/>
    <col min="11" max="13" width="7.453125" hidden="1" customWidth="1"/>
    <col min="14" max="16" width="6.453125" hidden="1" customWidth="1"/>
    <col min="17" max="17" width="7.453125" hidden="1" customWidth="1"/>
    <col min="18" max="18" width="7.453125" bestFit="1" customWidth="1"/>
    <col min="19" max="25" width="9.1796875" bestFit="1" customWidth="1"/>
    <col min="26" max="28" width="10.1796875" bestFit="1" customWidth="1"/>
    <col min="29" max="29" width="9.1796875" bestFit="1" customWidth="1"/>
    <col min="30" max="30" width="10.1796875" bestFit="1" customWidth="1"/>
    <col min="31" max="32" width="9.1796875" bestFit="1" customWidth="1"/>
    <col min="33" max="33" width="8.54296875" bestFit="1" customWidth="1"/>
    <col min="34" max="34" width="8.7265625" bestFit="1" customWidth="1"/>
    <col min="35" max="35" width="0" hidden="1" customWidth="1"/>
    <col min="36" max="36" width="3.26953125" customWidth="1"/>
    <col min="37" max="37" width="21.7265625" bestFit="1" customWidth="1"/>
    <col min="38" max="38" width="15" customWidth="1"/>
    <col min="39" max="39" width="10.81640625" customWidth="1"/>
    <col min="40" max="40" width="12.54296875" customWidth="1"/>
    <col min="41" max="41" width="94.1796875" bestFit="1" customWidth="1"/>
  </cols>
  <sheetData>
    <row r="1" spans="1:41" ht="15.5" x14ac:dyDescent="0.35">
      <c r="A1" s="120" t="s">
        <v>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</row>
    <row r="2" spans="1:41" ht="15" thickBot="1" x14ac:dyDescent="0.4"/>
    <row r="3" spans="1:41" ht="45.75" customHeight="1" x14ac:dyDescent="0.35">
      <c r="A3" s="1" t="s">
        <v>1</v>
      </c>
      <c r="B3" s="2">
        <f>AG4</f>
        <v>44835</v>
      </c>
      <c r="C3" s="2">
        <f t="shared" ref="C3:AF3" si="0">B3+1</f>
        <v>44836</v>
      </c>
      <c r="D3" s="2">
        <f t="shared" si="0"/>
        <v>44837</v>
      </c>
      <c r="E3" s="2">
        <f t="shared" si="0"/>
        <v>44838</v>
      </c>
      <c r="F3" s="2">
        <f t="shared" si="0"/>
        <v>44839</v>
      </c>
      <c r="G3" s="2">
        <f t="shared" si="0"/>
        <v>44840</v>
      </c>
      <c r="H3" s="2">
        <f t="shared" si="0"/>
        <v>44841</v>
      </c>
      <c r="I3" s="2">
        <f>H3+1</f>
        <v>44842</v>
      </c>
      <c r="J3" s="2">
        <f t="shared" si="0"/>
        <v>44843</v>
      </c>
      <c r="K3" s="2">
        <f t="shared" si="0"/>
        <v>44844</v>
      </c>
      <c r="L3" s="2">
        <f t="shared" si="0"/>
        <v>44845</v>
      </c>
      <c r="M3" s="2">
        <f t="shared" si="0"/>
        <v>44846</v>
      </c>
      <c r="N3" s="22">
        <f t="shared" si="0"/>
        <v>44847</v>
      </c>
      <c r="O3" s="22">
        <f t="shared" si="0"/>
        <v>44848</v>
      </c>
      <c r="P3" s="22">
        <f t="shared" si="0"/>
        <v>44849</v>
      </c>
      <c r="Q3" s="2">
        <f t="shared" si="0"/>
        <v>44850</v>
      </c>
      <c r="R3" s="2">
        <f t="shared" si="0"/>
        <v>44851</v>
      </c>
      <c r="S3" s="2">
        <f t="shared" si="0"/>
        <v>44852</v>
      </c>
      <c r="T3" s="2">
        <f t="shared" si="0"/>
        <v>44853</v>
      </c>
      <c r="U3" s="2">
        <f t="shared" si="0"/>
        <v>44854</v>
      </c>
      <c r="V3" s="2">
        <f t="shared" si="0"/>
        <v>44855</v>
      </c>
      <c r="W3" s="2">
        <f t="shared" si="0"/>
        <v>44856</v>
      </c>
      <c r="X3" s="2">
        <f t="shared" si="0"/>
        <v>44857</v>
      </c>
      <c r="Y3" s="2">
        <f t="shared" si="0"/>
        <v>44858</v>
      </c>
      <c r="Z3" s="2">
        <f t="shared" si="0"/>
        <v>44859</v>
      </c>
      <c r="AA3" s="2">
        <f t="shared" si="0"/>
        <v>44860</v>
      </c>
      <c r="AB3" s="2">
        <f t="shared" si="0"/>
        <v>44861</v>
      </c>
      <c r="AC3" s="2">
        <f t="shared" si="0"/>
        <v>44862</v>
      </c>
      <c r="AD3" s="2">
        <f t="shared" si="0"/>
        <v>44863</v>
      </c>
      <c r="AE3" s="2">
        <f t="shared" si="0"/>
        <v>44864</v>
      </c>
      <c r="AF3" s="2">
        <f t="shared" si="0"/>
        <v>44865</v>
      </c>
    </row>
    <row r="4" spans="1:41" ht="28.5" x14ac:dyDescent="0.35">
      <c r="A4" s="3" t="s">
        <v>2</v>
      </c>
      <c r="B4" s="4">
        <f t="shared" ref="B4:AE4" si="1">B3</f>
        <v>44835</v>
      </c>
      <c r="C4" s="4">
        <f t="shared" si="1"/>
        <v>44836</v>
      </c>
      <c r="D4" s="4">
        <f t="shared" si="1"/>
        <v>44837</v>
      </c>
      <c r="E4" s="4">
        <f t="shared" si="1"/>
        <v>44838</v>
      </c>
      <c r="F4" s="4">
        <f t="shared" si="1"/>
        <v>44839</v>
      </c>
      <c r="G4" s="4">
        <f t="shared" si="1"/>
        <v>44840</v>
      </c>
      <c r="H4" s="4">
        <f t="shared" si="1"/>
        <v>44841</v>
      </c>
      <c r="I4" s="4">
        <f t="shared" si="1"/>
        <v>44842</v>
      </c>
      <c r="J4" s="4">
        <f t="shared" si="1"/>
        <v>44843</v>
      </c>
      <c r="K4" s="4">
        <f t="shared" si="1"/>
        <v>44844</v>
      </c>
      <c r="L4" s="4">
        <f t="shared" si="1"/>
        <v>44845</v>
      </c>
      <c r="M4" s="4">
        <f t="shared" si="1"/>
        <v>44846</v>
      </c>
      <c r="N4" s="23">
        <f t="shared" si="1"/>
        <v>44847</v>
      </c>
      <c r="O4" s="23">
        <f t="shared" si="1"/>
        <v>44848</v>
      </c>
      <c r="P4" s="23">
        <f t="shared" si="1"/>
        <v>44849</v>
      </c>
      <c r="Q4" s="4">
        <f t="shared" si="1"/>
        <v>44850</v>
      </c>
      <c r="R4" s="4">
        <f t="shared" si="1"/>
        <v>44851</v>
      </c>
      <c r="S4" s="4">
        <f t="shared" si="1"/>
        <v>44852</v>
      </c>
      <c r="T4" s="4">
        <f t="shared" si="1"/>
        <v>44853</v>
      </c>
      <c r="U4" s="4">
        <f t="shared" si="1"/>
        <v>44854</v>
      </c>
      <c r="V4" s="4">
        <f t="shared" si="1"/>
        <v>44855</v>
      </c>
      <c r="W4" s="4">
        <f t="shared" si="1"/>
        <v>44856</v>
      </c>
      <c r="X4" s="4">
        <f t="shared" si="1"/>
        <v>44857</v>
      </c>
      <c r="Y4" s="4">
        <f t="shared" si="1"/>
        <v>44858</v>
      </c>
      <c r="Z4" s="4">
        <f t="shared" si="1"/>
        <v>44859</v>
      </c>
      <c r="AA4" s="4">
        <f t="shared" si="1"/>
        <v>44860</v>
      </c>
      <c r="AB4" s="4">
        <f t="shared" si="1"/>
        <v>44861</v>
      </c>
      <c r="AC4" s="4">
        <f t="shared" si="1"/>
        <v>44862</v>
      </c>
      <c r="AD4" s="4">
        <f t="shared" si="1"/>
        <v>44863</v>
      </c>
      <c r="AE4" s="4">
        <f t="shared" si="1"/>
        <v>44864</v>
      </c>
      <c r="AF4" s="4">
        <f t="shared" ref="AF4" si="2">AF3</f>
        <v>44865</v>
      </c>
      <c r="AG4" s="5">
        <v>44835</v>
      </c>
      <c r="AH4" s="6">
        <f>EOMONTH(AG4,0)</f>
        <v>44865</v>
      </c>
      <c r="AK4" s="19" t="s">
        <v>54</v>
      </c>
      <c r="AL4" s="19" t="s">
        <v>58</v>
      </c>
      <c r="AM4" s="19" t="s">
        <v>55</v>
      </c>
      <c r="AN4" s="19" t="s">
        <v>56</v>
      </c>
      <c r="AO4" s="19" t="s">
        <v>57</v>
      </c>
    </row>
    <row r="5" spans="1:41" x14ac:dyDescent="0.35">
      <c r="A5" s="7" t="s">
        <v>3</v>
      </c>
      <c r="B5" s="8"/>
      <c r="C5" s="8"/>
      <c r="D5" s="8"/>
      <c r="E5" s="8"/>
      <c r="F5" s="8" t="s">
        <v>83</v>
      </c>
      <c r="G5" s="8"/>
      <c r="H5" s="8"/>
      <c r="I5" s="8"/>
      <c r="J5" s="8"/>
      <c r="K5" s="8"/>
      <c r="L5" s="8"/>
      <c r="M5" s="8"/>
      <c r="N5" s="24" t="s">
        <v>5</v>
      </c>
      <c r="O5" s="24" t="s">
        <v>5</v>
      </c>
      <c r="P5" s="24"/>
      <c r="Q5" s="8"/>
      <c r="R5" s="8" t="s">
        <v>114</v>
      </c>
      <c r="S5" s="8" t="s">
        <v>114</v>
      </c>
      <c r="T5" s="8"/>
      <c r="U5" s="8" t="s">
        <v>116</v>
      </c>
      <c r="V5" s="8" t="s">
        <v>116</v>
      </c>
      <c r="W5" s="8" t="s">
        <v>116</v>
      </c>
      <c r="X5" s="8"/>
      <c r="Y5" s="8"/>
      <c r="Z5" s="8"/>
      <c r="AA5" s="8"/>
      <c r="AB5" s="8"/>
      <c r="AC5" s="8"/>
      <c r="AD5" s="8"/>
      <c r="AE5" s="8"/>
      <c r="AF5" s="8"/>
      <c r="AK5" s="20" t="s">
        <v>59</v>
      </c>
      <c r="AL5" s="20" t="s">
        <v>60</v>
      </c>
      <c r="AM5" s="20" t="s">
        <v>61</v>
      </c>
      <c r="AN5" s="20" t="s">
        <v>62</v>
      </c>
      <c r="AO5" s="20" t="s">
        <v>63</v>
      </c>
    </row>
    <row r="6" spans="1:41" x14ac:dyDescent="0.35">
      <c r="A6" s="7" t="s">
        <v>7</v>
      </c>
      <c r="B6" s="8"/>
      <c r="C6" s="8"/>
      <c r="D6" s="8"/>
      <c r="E6" s="8"/>
      <c r="F6" s="8" t="s">
        <v>81</v>
      </c>
      <c r="G6" s="26" t="s">
        <v>84</v>
      </c>
      <c r="H6" s="8"/>
      <c r="I6" s="8"/>
      <c r="J6" s="8"/>
      <c r="K6" s="8"/>
      <c r="L6" s="8"/>
      <c r="M6" s="8" t="s">
        <v>90</v>
      </c>
      <c r="N6" s="24" t="s">
        <v>90</v>
      </c>
      <c r="O6" s="24" t="s">
        <v>90</v>
      </c>
      <c r="P6" s="24"/>
      <c r="Q6" s="8"/>
      <c r="R6" s="8" t="s">
        <v>114</v>
      </c>
      <c r="S6" s="8" t="s">
        <v>114</v>
      </c>
      <c r="T6" s="8" t="s">
        <v>81</v>
      </c>
      <c r="U6" s="8" t="s">
        <v>81</v>
      </c>
      <c r="V6" s="8" t="s">
        <v>81</v>
      </c>
      <c r="W6" s="8"/>
      <c r="X6" s="8"/>
      <c r="Y6" s="8"/>
      <c r="Z6" s="8"/>
      <c r="AA6" s="8"/>
      <c r="AB6" s="8"/>
      <c r="AC6" s="8"/>
      <c r="AD6" s="8"/>
      <c r="AE6" s="8"/>
      <c r="AF6" s="8"/>
      <c r="AK6" s="20" t="s">
        <v>67</v>
      </c>
      <c r="AL6" s="20" t="s">
        <v>68</v>
      </c>
      <c r="AM6" s="21">
        <v>44630</v>
      </c>
      <c r="AN6" s="21">
        <v>44722</v>
      </c>
      <c r="AO6" s="20" t="s">
        <v>69</v>
      </c>
    </row>
    <row r="7" spans="1:41" x14ac:dyDescent="0.35">
      <c r="A7" s="7" t="s">
        <v>11</v>
      </c>
      <c r="B7" s="8" t="s">
        <v>14</v>
      </c>
      <c r="C7" s="8" t="s">
        <v>14</v>
      </c>
      <c r="D7" s="8" t="s">
        <v>14</v>
      </c>
      <c r="E7" s="8" t="s">
        <v>14</v>
      </c>
      <c r="F7" s="8" t="s">
        <v>14</v>
      </c>
      <c r="G7" s="8" t="s">
        <v>14</v>
      </c>
      <c r="H7" s="8" t="s">
        <v>14</v>
      </c>
      <c r="I7" s="8" t="s">
        <v>14</v>
      </c>
      <c r="J7" s="8" t="s">
        <v>14</v>
      </c>
      <c r="K7" s="8" t="s">
        <v>14</v>
      </c>
      <c r="L7" s="8" t="s">
        <v>14</v>
      </c>
      <c r="M7" s="8" t="s">
        <v>14</v>
      </c>
      <c r="N7" s="24" t="s">
        <v>91</v>
      </c>
      <c r="O7" s="24" t="s">
        <v>91</v>
      </c>
      <c r="P7" s="24"/>
      <c r="Q7" s="8"/>
      <c r="R7" s="8" t="s">
        <v>114</v>
      </c>
      <c r="S7" s="8" t="s">
        <v>114</v>
      </c>
      <c r="T7" s="8" t="s">
        <v>22</v>
      </c>
      <c r="U7" s="8" t="s">
        <v>22</v>
      </c>
      <c r="V7" s="8" t="s">
        <v>22</v>
      </c>
      <c r="W7" s="8" t="s">
        <v>22</v>
      </c>
      <c r="X7" s="8" t="s">
        <v>22</v>
      </c>
      <c r="Y7" s="8" t="s">
        <v>22</v>
      </c>
      <c r="Z7" s="8" t="s">
        <v>22</v>
      </c>
      <c r="AA7" s="8" t="s">
        <v>22</v>
      </c>
      <c r="AB7" s="8" t="s">
        <v>22</v>
      </c>
      <c r="AC7" s="8" t="s">
        <v>22</v>
      </c>
      <c r="AD7" s="8" t="s">
        <v>22</v>
      </c>
      <c r="AE7" s="8" t="s">
        <v>22</v>
      </c>
      <c r="AF7" s="8" t="s">
        <v>22</v>
      </c>
      <c r="AK7" s="20" t="s">
        <v>70</v>
      </c>
      <c r="AL7" s="20" t="s">
        <v>73</v>
      </c>
      <c r="AM7" s="20" t="s">
        <v>62</v>
      </c>
      <c r="AN7" s="21">
        <v>44571</v>
      </c>
      <c r="AO7" s="20" t="s">
        <v>74</v>
      </c>
    </row>
    <row r="8" spans="1:41" ht="15" customHeight="1" x14ac:dyDescent="0.35">
      <c r="A8" s="7" t="s">
        <v>15</v>
      </c>
      <c r="B8" s="8" t="s">
        <v>75</v>
      </c>
      <c r="C8" s="8"/>
      <c r="D8" s="8"/>
      <c r="E8" s="8"/>
      <c r="F8" s="8" t="s">
        <v>37</v>
      </c>
      <c r="G8" s="8" t="s">
        <v>37</v>
      </c>
      <c r="H8" s="8" t="s">
        <v>37</v>
      </c>
      <c r="I8" s="8"/>
      <c r="J8" s="8"/>
      <c r="K8" s="8"/>
      <c r="L8" s="8"/>
      <c r="M8" s="8"/>
      <c r="N8" s="24" t="s">
        <v>93</v>
      </c>
      <c r="O8" s="24" t="s">
        <v>93</v>
      </c>
      <c r="P8" s="24"/>
      <c r="Q8" s="8"/>
      <c r="R8" s="8" t="s">
        <v>114</v>
      </c>
      <c r="S8" s="8" t="s">
        <v>114</v>
      </c>
      <c r="T8" s="8" t="s">
        <v>92</v>
      </c>
      <c r="U8" s="8" t="s">
        <v>116</v>
      </c>
      <c r="V8" s="8" t="s">
        <v>116</v>
      </c>
      <c r="W8" s="8" t="s">
        <v>116</v>
      </c>
      <c r="X8" s="8"/>
      <c r="Y8" s="8"/>
      <c r="Z8" s="8"/>
      <c r="AA8" s="8"/>
      <c r="AB8" s="8"/>
      <c r="AC8" s="8"/>
      <c r="AD8" s="8"/>
      <c r="AE8" s="8"/>
      <c r="AF8" s="8"/>
      <c r="AI8" s="9"/>
      <c r="AK8" s="20" t="s">
        <v>71</v>
      </c>
      <c r="AL8" s="20" t="s">
        <v>73</v>
      </c>
      <c r="AM8" s="20" t="s">
        <v>62</v>
      </c>
      <c r="AN8" s="21">
        <v>44571</v>
      </c>
      <c r="AO8" s="20" t="s">
        <v>74</v>
      </c>
    </row>
    <row r="9" spans="1:41" ht="15.75" customHeight="1" x14ac:dyDescent="0.35">
      <c r="A9" s="7" t="s">
        <v>18</v>
      </c>
      <c r="B9" s="8" t="s">
        <v>78</v>
      </c>
      <c r="C9" s="8"/>
      <c r="D9" s="8"/>
      <c r="E9" s="8"/>
      <c r="F9" s="8" t="s">
        <v>82</v>
      </c>
      <c r="G9" s="8" t="s">
        <v>82</v>
      </c>
      <c r="H9" s="8" t="s">
        <v>82</v>
      </c>
      <c r="I9" s="8" t="s">
        <v>82</v>
      </c>
      <c r="J9" s="8" t="s">
        <v>82</v>
      </c>
      <c r="K9" s="8"/>
      <c r="L9" s="8"/>
      <c r="M9" s="8"/>
      <c r="N9" s="24" t="s">
        <v>94</v>
      </c>
      <c r="O9" s="24" t="s">
        <v>94</v>
      </c>
      <c r="P9" s="24"/>
      <c r="Q9" s="8"/>
      <c r="R9" s="8" t="s">
        <v>114</v>
      </c>
      <c r="S9" s="8" t="s">
        <v>114</v>
      </c>
      <c r="T9" s="8"/>
      <c r="U9" s="8" t="s">
        <v>116</v>
      </c>
      <c r="V9" s="8" t="s">
        <v>116</v>
      </c>
      <c r="W9" s="8" t="s">
        <v>116</v>
      </c>
      <c r="X9" s="8"/>
      <c r="Y9" s="8"/>
      <c r="Z9" s="8"/>
      <c r="AA9" s="8"/>
      <c r="AB9" s="8" t="s">
        <v>127</v>
      </c>
      <c r="AC9" s="8"/>
      <c r="AD9" s="8"/>
      <c r="AE9" s="8"/>
      <c r="AF9" s="8"/>
      <c r="AK9" s="20" t="s">
        <v>72</v>
      </c>
      <c r="AL9" s="20" t="s">
        <v>73</v>
      </c>
      <c r="AM9" s="20" t="s">
        <v>62</v>
      </c>
      <c r="AN9" s="21">
        <v>44571</v>
      </c>
      <c r="AO9" s="20" t="s">
        <v>74</v>
      </c>
    </row>
    <row r="10" spans="1:41" ht="15.75" customHeight="1" x14ac:dyDescent="0.35">
      <c r="A10" s="7" t="s">
        <v>20</v>
      </c>
      <c r="B10" s="8" t="s">
        <v>77</v>
      </c>
      <c r="C10" s="8"/>
      <c r="D10" s="8" t="s">
        <v>79</v>
      </c>
      <c r="E10" s="8" t="s">
        <v>79</v>
      </c>
      <c r="F10" s="8" t="s">
        <v>79</v>
      </c>
      <c r="G10" s="26" t="s">
        <v>84</v>
      </c>
      <c r="H10" s="8"/>
      <c r="I10" s="8"/>
      <c r="J10" s="8"/>
      <c r="K10" s="8"/>
      <c r="L10" s="8"/>
      <c r="M10" s="8" t="s">
        <v>95</v>
      </c>
      <c r="N10" s="24" t="s">
        <v>95</v>
      </c>
      <c r="O10" s="24" t="s">
        <v>95</v>
      </c>
      <c r="P10" s="24"/>
      <c r="Q10" s="8"/>
      <c r="R10" s="8" t="s">
        <v>114</v>
      </c>
      <c r="S10" s="8" t="s">
        <v>114</v>
      </c>
      <c r="T10" s="8"/>
      <c r="U10" s="8" t="s">
        <v>92</v>
      </c>
      <c r="V10" s="8" t="s">
        <v>92</v>
      </c>
      <c r="W10" s="8" t="s">
        <v>92</v>
      </c>
      <c r="X10" s="8" t="s">
        <v>92</v>
      </c>
      <c r="Y10" s="8" t="s">
        <v>92</v>
      </c>
      <c r="Z10" s="8" t="s">
        <v>92</v>
      </c>
      <c r="AA10" s="8" t="s">
        <v>92</v>
      </c>
      <c r="AB10" s="8" t="s">
        <v>92</v>
      </c>
      <c r="AC10" s="8" t="s">
        <v>92</v>
      </c>
      <c r="AD10" s="8"/>
      <c r="AE10" s="8"/>
      <c r="AF10" s="8"/>
      <c r="AK10" s="20" t="s">
        <v>92</v>
      </c>
      <c r="AL10" s="20" t="s">
        <v>73</v>
      </c>
      <c r="AM10" s="20" t="s">
        <v>104</v>
      </c>
      <c r="AN10" s="20" t="s">
        <v>105</v>
      </c>
      <c r="AO10" s="20" t="s">
        <v>106</v>
      </c>
    </row>
    <row r="11" spans="1:41" ht="15.75" customHeight="1" x14ac:dyDescent="0.35">
      <c r="A11" s="7" t="s">
        <v>24</v>
      </c>
      <c r="B11" s="8" t="s">
        <v>27</v>
      </c>
      <c r="C11" s="8" t="s">
        <v>27</v>
      </c>
      <c r="D11" s="8" t="s">
        <v>27</v>
      </c>
      <c r="E11" s="8" t="s">
        <v>27</v>
      </c>
      <c r="F11" s="8" t="s">
        <v>27</v>
      </c>
      <c r="G11" s="26" t="s">
        <v>84</v>
      </c>
      <c r="H11" s="8"/>
      <c r="I11" s="8"/>
      <c r="J11" s="8"/>
      <c r="K11" s="8" t="s">
        <v>88</v>
      </c>
      <c r="L11" s="8"/>
      <c r="M11" s="8"/>
      <c r="N11" s="24" t="s">
        <v>96</v>
      </c>
      <c r="O11" s="24" t="s">
        <v>96</v>
      </c>
      <c r="P11" s="24"/>
      <c r="Q11" s="8"/>
      <c r="R11" s="8" t="s">
        <v>114</v>
      </c>
      <c r="S11" s="8" t="s">
        <v>114</v>
      </c>
      <c r="T11" s="8" t="s">
        <v>118</v>
      </c>
      <c r="U11" s="8" t="s">
        <v>118</v>
      </c>
      <c r="V11" s="8" t="s">
        <v>118</v>
      </c>
      <c r="W11" s="8"/>
      <c r="X11" s="8"/>
      <c r="Y11" s="8"/>
      <c r="Z11" s="8"/>
      <c r="AA11" s="8"/>
      <c r="AB11" s="8" t="s">
        <v>133</v>
      </c>
      <c r="AC11" s="8" t="s">
        <v>133</v>
      </c>
      <c r="AD11" s="8" t="s">
        <v>133</v>
      </c>
      <c r="AE11" s="8" t="s">
        <v>133</v>
      </c>
      <c r="AF11" s="8" t="s">
        <v>133</v>
      </c>
      <c r="AK11" s="20" t="s">
        <v>103</v>
      </c>
      <c r="AL11" s="20"/>
      <c r="AM11" s="20" t="s">
        <v>104</v>
      </c>
      <c r="AN11" s="20" t="s">
        <v>107</v>
      </c>
      <c r="AO11" s="20" t="s">
        <v>108</v>
      </c>
    </row>
    <row r="12" spans="1:41" ht="15" customHeight="1" x14ac:dyDescent="0.35">
      <c r="A12" s="10"/>
      <c r="B12" s="11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29"/>
      <c r="AK12" s="20" t="s">
        <v>109</v>
      </c>
      <c r="AL12" s="20"/>
      <c r="AM12" s="20" t="s">
        <v>104</v>
      </c>
      <c r="AN12" s="20" t="s">
        <v>110</v>
      </c>
      <c r="AO12" s="20" t="s">
        <v>111</v>
      </c>
    </row>
    <row r="13" spans="1:41" ht="51" hidden="1" customHeight="1" x14ac:dyDescent="0.35">
      <c r="A13" s="13" t="s">
        <v>28</v>
      </c>
      <c r="B13" s="14"/>
      <c r="C13" s="14"/>
      <c r="D13" s="14"/>
      <c r="E13" s="14"/>
      <c r="F13" s="14"/>
      <c r="G13" s="14"/>
      <c r="H13" s="14"/>
      <c r="I13" s="14"/>
      <c r="J13" s="15"/>
      <c r="K13" s="15"/>
      <c r="L13" s="14"/>
      <c r="M13" s="14"/>
      <c r="N13" s="25"/>
      <c r="O13" s="25"/>
      <c r="P13" s="25"/>
      <c r="Q13" s="14"/>
      <c r="R13" s="14"/>
      <c r="S13" s="14"/>
      <c r="T13" s="14"/>
      <c r="U13" s="14"/>
      <c r="V13" s="15"/>
      <c r="W13" s="15"/>
      <c r="X13" s="14"/>
      <c r="Y13" s="14"/>
      <c r="Z13" s="14"/>
      <c r="AA13" s="14"/>
      <c r="AB13" s="14"/>
      <c r="AC13" s="14"/>
      <c r="AD13" s="14"/>
      <c r="AE13" s="14"/>
      <c r="AF13" s="14"/>
      <c r="AK13" s="20"/>
      <c r="AL13" s="20"/>
      <c r="AM13" s="20"/>
      <c r="AN13" s="20"/>
      <c r="AO13" s="20"/>
    </row>
    <row r="14" spans="1:41" ht="28.5" hidden="1" x14ac:dyDescent="0.35">
      <c r="A14" s="16" t="s">
        <v>29</v>
      </c>
      <c r="B14" s="14"/>
      <c r="C14" s="14"/>
      <c r="D14" s="14"/>
      <c r="E14" s="14"/>
      <c r="F14" s="14"/>
      <c r="G14" s="14"/>
      <c r="H14" s="14"/>
      <c r="I14" s="14"/>
      <c r="J14" s="15"/>
      <c r="K14" s="15"/>
      <c r="L14" s="14"/>
      <c r="M14" s="14"/>
      <c r="N14" s="25"/>
      <c r="O14" s="25"/>
      <c r="P14" s="25"/>
      <c r="Q14" s="14"/>
      <c r="R14" s="14"/>
      <c r="S14" s="14"/>
      <c r="T14" s="14"/>
      <c r="U14" s="14"/>
      <c r="V14" s="15"/>
      <c r="W14" s="15"/>
      <c r="X14" s="14"/>
      <c r="Y14" s="14"/>
      <c r="Z14" s="14"/>
      <c r="AA14" s="14"/>
      <c r="AB14" s="14"/>
      <c r="AC14" s="14"/>
      <c r="AD14" s="14"/>
      <c r="AE14" s="14"/>
      <c r="AF14" s="14"/>
      <c r="AK14" s="20"/>
      <c r="AL14" s="20"/>
      <c r="AM14" s="20"/>
      <c r="AN14" s="20"/>
      <c r="AO14" s="20"/>
    </row>
    <row r="15" spans="1:41" x14ac:dyDescent="0.35">
      <c r="A15" s="7" t="s">
        <v>30</v>
      </c>
      <c r="B15" s="8" t="s">
        <v>34</v>
      </c>
      <c r="C15" s="8" t="s">
        <v>34</v>
      </c>
      <c r="D15" s="8"/>
      <c r="E15" s="8"/>
      <c r="F15" s="8"/>
      <c r="G15" s="8" t="s">
        <v>87</v>
      </c>
      <c r="H15" s="8" t="s">
        <v>87</v>
      </c>
      <c r="I15" s="8"/>
      <c r="J15" s="8"/>
      <c r="K15" s="8" t="s">
        <v>89</v>
      </c>
      <c r="L15" s="8"/>
      <c r="M15" s="8"/>
      <c r="N15" s="27" t="s">
        <v>17</v>
      </c>
      <c r="O15" s="27" t="s">
        <v>17</v>
      </c>
      <c r="P15" s="27"/>
      <c r="Q15" s="8"/>
      <c r="R15" s="8" t="s">
        <v>114</v>
      </c>
      <c r="S15" s="8" t="s">
        <v>114</v>
      </c>
      <c r="T15" s="8" t="s">
        <v>25</v>
      </c>
      <c r="U15" s="8" t="s">
        <v>25</v>
      </c>
      <c r="V15" s="8" t="s">
        <v>25</v>
      </c>
      <c r="W15" s="8"/>
      <c r="X15" s="8"/>
      <c r="Y15" s="8"/>
      <c r="Z15" s="8"/>
      <c r="AA15" s="8" t="s">
        <v>126</v>
      </c>
      <c r="AB15" s="8" t="s">
        <v>126</v>
      </c>
      <c r="AC15" s="8" t="s">
        <v>126</v>
      </c>
      <c r="AD15" s="8"/>
      <c r="AE15" s="8"/>
      <c r="AF15" s="8"/>
      <c r="AK15" s="20" t="s">
        <v>49</v>
      </c>
      <c r="AL15" s="20"/>
      <c r="AM15" s="20" t="s">
        <v>112</v>
      </c>
      <c r="AN15" s="20" t="s">
        <v>113</v>
      </c>
      <c r="AO15" s="20" t="s">
        <v>49</v>
      </c>
    </row>
    <row r="16" spans="1:41" x14ac:dyDescent="0.35">
      <c r="A16" s="7" t="s">
        <v>35</v>
      </c>
      <c r="B16" s="8" t="s">
        <v>76</v>
      </c>
      <c r="C16" s="8"/>
      <c r="D16" s="8" t="s">
        <v>80</v>
      </c>
      <c r="E16" s="8" t="s">
        <v>80</v>
      </c>
      <c r="F16" s="8"/>
      <c r="G16" s="8" t="s">
        <v>87</v>
      </c>
      <c r="H16" s="8" t="s">
        <v>87</v>
      </c>
      <c r="I16" s="8"/>
      <c r="J16" s="8"/>
      <c r="K16" s="8" t="s">
        <v>89</v>
      </c>
      <c r="L16" s="8"/>
      <c r="M16" s="8"/>
      <c r="N16" s="24" t="s">
        <v>97</v>
      </c>
      <c r="O16" s="24" t="s">
        <v>97</v>
      </c>
      <c r="P16" s="24"/>
      <c r="Q16" s="8"/>
      <c r="R16" s="8" t="s">
        <v>114</v>
      </c>
      <c r="S16" s="8" t="s">
        <v>114</v>
      </c>
      <c r="T16" s="8" t="s">
        <v>119</v>
      </c>
      <c r="U16" s="8" t="s">
        <v>124</v>
      </c>
      <c r="V16" s="8" t="s">
        <v>124</v>
      </c>
      <c r="W16" s="8" t="s">
        <v>124</v>
      </c>
      <c r="X16" s="8"/>
      <c r="Y16" s="8"/>
      <c r="Z16" s="8"/>
      <c r="AA16" s="8" t="s">
        <v>126</v>
      </c>
      <c r="AB16" s="8" t="s">
        <v>126</v>
      </c>
      <c r="AC16" s="8" t="s">
        <v>128</v>
      </c>
      <c r="AD16" s="8" t="s">
        <v>128</v>
      </c>
      <c r="AE16" s="8" t="s">
        <v>128</v>
      </c>
      <c r="AF16" s="8" t="s">
        <v>128</v>
      </c>
      <c r="AK16" s="20" t="s">
        <v>120</v>
      </c>
      <c r="AL16" s="20" t="s">
        <v>73</v>
      </c>
      <c r="AM16" s="20" t="s">
        <v>121</v>
      </c>
      <c r="AN16" s="20" t="s">
        <v>122</v>
      </c>
      <c r="AO16" s="20" t="s">
        <v>123</v>
      </c>
    </row>
    <row r="17" spans="1:41" x14ac:dyDescent="0.35">
      <c r="A17" s="7" t="s">
        <v>39</v>
      </c>
      <c r="B17" s="8" t="s">
        <v>41</v>
      </c>
      <c r="C17" s="8" t="s">
        <v>41</v>
      </c>
      <c r="D17" s="8" t="s">
        <v>41</v>
      </c>
      <c r="E17" s="8" t="s">
        <v>41</v>
      </c>
      <c r="F17" s="8" t="s">
        <v>41</v>
      </c>
      <c r="G17" s="26" t="s">
        <v>84</v>
      </c>
      <c r="H17" s="8"/>
      <c r="I17" s="8"/>
      <c r="J17" s="8"/>
      <c r="K17" s="8"/>
      <c r="L17" s="8"/>
      <c r="M17" s="8"/>
      <c r="N17" s="24" t="s">
        <v>98</v>
      </c>
      <c r="O17" s="24" t="s">
        <v>98</v>
      </c>
      <c r="P17" s="24"/>
      <c r="Q17" s="8" t="s">
        <v>103</v>
      </c>
      <c r="R17" s="8" t="s">
        <v>103</v>
      </c>
      <c r="S17" s="8" t="s">
        <v>103</v>
      </c>
      <c r="T17" s="8" t="s">
        <v>85</v>
      </c>
      <c r="U17" s="8" t="s">
        <v>85</v>
      </c>
      <c r="V17" s="8" t="s">
        <v>85</v>
      </c>
      <c r="W17" s="8"/>
      <c r="X17" s="8"/>
      <c r="Y17" s="8" t="s">
        <v>125</v>
      </c>
      <c r="Z17" s="8" t="s">
        <v>125</v>
      </c>
      <c r="AA17" s="8" t="s">
        <v>126</v>
      </c>
      <c r="AB17" s="8" t="s">
        <v>126</v>
      </c>
      <c r="AC17" s="8" t="s">
        <v>129</v>
      </c>
      <c r="AD17" s="8"/>
      <c r="AE17" s="8"/>
      <c r="AF17" s="8"/>
      <c r="AK17" s="20"/>
      <c r="AL17" s="20"/>
      <c r="AM17" s="20"/>
      <c r="AN17" s="20"/>
      <c r="AO17" s="20"/>
    </row>
    <row r="18" spans="1:41" x14ac:dyDescent="0.35">
      <c r="A18" s="7" t="s">
        <v>42</v>
      </c>
      <c r="B18" s="8" t="s">
        <v>34</v>
      </c>
      <c r="C18" s="8" t="s">
        <v>34</v>
      </c>
      <c r="D18" s="8" t="s">
        <v>86</v>
      </c>
      <c r="E18" s="8" t="s">
        <v>86</v>
      </c>
      <c r="F18" s="8" t="s">
        <v>86</v>
      </c>
      <c r="G18" s="8" t="s">
        <v>86</v>
      </c>
      <c r="H18" s="8" t="s">
        <v>86</v>
      </c>
      <c r="I18" s="8" t="s">
        <v>86</v>
      </c>
      <c r="J18" s="8"/>
      <c r="K18" s="8" t="s">
        <v>89</v>
      </c>
      <c r="L18" s="8"/>
      <c r="M18" s="8"/>
      <c r="N18" s="24" t="s">
        <v>37</v>
      </c>
      <c r="O18" s="24" t="s">
        <v>37</v>
      </c>
      <c r="P18" s="24"/>
      <c r="Q18" s="8" t="s">
        <v>103</v>
      </c>
      <c r="R18" s="8" t="s">
        <v>103</v>
      </c>
      <c r="S18" s="8" t="s">
        <v>103</v>
      </c>
      <c r="T18" s="8" t="s">
        <v>103</v>
      </c>
      <c r="U18" s="8" t="s">
        <v>103</v>
      </c>
      <c r="V18" s="8" t="s">
        <v>103</v>
      </c>
      <c r="W18" s="8" t="s">
        <v>103</v>
      </c>
      <c r="X18" s="8"/>
      <c r="Y18" s="8" t="s">
        <v>125</v>
      </c>
      <c r="Z18" s="8" t="s">
        <v>125</v>
      </c>
      <c r="AA18" s="8"/>
      <c r="AB18" s="8"/>
      <c r="AC18" s="8"/>
      <c r="AD18" s="8"/>
      <c r="AE18" s="8"/>
      <c r="AF18" s="8"/>
      <c r="AK18" s="20"/>
      <c r="AL18" s="20"/>
      <c r="AM18" s="20"/>
      <c r="AN18" s="20"/>
      <c r="AO18" s="20"/>
    </row>
    <row r="19" spans="1:41" x14ac:dyDescent="0.35">
      <c r="A19" s="7" t="s">
        <v>45</v>
      </c>
      <c r="B19" s="8" t="s">
        <v>46</v>
      </c>
      <c r="C19" s="8" t="s">
        <v>46</v>
      </c>
      <c r="D19" s="8" t="s">
        <v>46</v>
      </c>
      <c r="E19" s="8" t="s">
        <v>46</v>
      </c>
      <c r="F19" s="8" t="s">
        <v>46</v>
      </c>
      <c r="G19" s="8" t="s">
        <v>46</v>
      </c>
      <c r="H19" s="8" t="s">
        <v>46</v>
      </c>
      <c r="I19" s="8" t="s">
        <v>46</v>
      </c>
      <c r="J19" s="8"/>
      <c r="K19" s="8" t="s">
        <v>89</v>
      </c>
      <c r="L19" s="8"/>
      <c r="M19" s="8"/>
      <c r="N19" s="28" t="s">
        <v>99</v>
      </c>
      <c r="O19" s="28" t="s">
        <v>99</v>
      </c>
      <c r="P19" s="24"/>
      <c r="Q19" s="8"/>
      <c r="R19" s="8" t="s">
        <v>114</v>
      </c>
      <c r="S19" s="8" t="s">
        <v>114</v>
      </c>
      <c r="T19" s="8"/>
      <c r="U19" s="8" t="s">
        <v>49</v>
      </c>
      <c r="V19" s="8" t="s">
        <v>49</v>
      </c>
      <c r="W19" s="8" t="s">
        <v>49</v>
      </c>
      <c r="X19" s="8" t="s">
        <v>49</v>
      </c>
      <c r="Y19" s="8" t="s">
        <v>49</v>
      </c>
      <c r="Z19" s="8" t="s">
        <v>49</v>
      </c>
      <c r="AA19" s="30" t="s">
        <v>49</v>
      </c>
      <c r="AB19" s="30" t="s">
        <v>49</v>
      </c>
      <c r="AC19" s="30" t="s">
        <v>49</v>
      </c>
      <c r="AD19" s="30" t="s">
        <v>49</v>
      </c>
      <c r="AE19" s="30" t="s">
        <v>49</v>
      </c>
      <c r="AF19" s="30" t="s">
        <v>49</v>
      </c>
      <c r="AK19" s="20"/>
      <c r="AL19" s="20"/>
      <c r="AM19" s="20"/>
      <c r="AN19" s="20"/>
      <c r="AO19" s="20"/>
    </row>
    <row r="20" spans="1:41" x14ac:dyDescent="0.35">
      <c r="A20" s="7" t="s">
        <v>47</v>
      </c>
      <c r="B20" s="8" t="s">
        <v>49</v>
      </c>
      <c r="C20" s="8" t="s">
        <v>49</v>
      </c>
      <c r="D20" s="8" t="s">
        <v>49</v>
      </c>
      <c r="E20" s="8" t="s">
        <v>49</v>
      </c>
      <c r="F20" s="8" t="s">
        <v>49</v>
      </c>
      <c r="G20" s="8" t="s">
        <v>49</v>
      </c>
      <c r="H20" s="8" t="s">
        <v>49</v>
      </c>
      <c r="I20" s="8" t="s">
        <v>49</v>
      </c>
      <c r="J20" s="8" t="s">
        <v>49</v>
      </c>
      <c r="K20" s="8" t="s">
        <v>49</v>
      </c>
      <c r="L20" s="8" t="s">
        <v>49</v>
      </c>
      <c r="M20" s="8" t="s">
        <v>49</v>
      </c>
      <c r="N20" s="24" t="s">
        <v>100</v>
      </c>
      <c r="O20" s="24" t="s">
        <v>100</v>
      </c>
      <c r="P20" s="8" t="s">
        <v>49</v>
      </c>
      <c r="Q20" s="8" t="s">
        <v>49</v>
      </c>
      <c r="R20" s="8" t="s">
        <v>49</v>
      </c>
      <c r="S20" s="8" t="s">
        <v>49</v>
      </c>
      <c r="T20" s="8" t="s">
        <v>115</v>
      </c>
      <c r="U20" s="8" t="s">
        <v>115</v>
      </c>
      <c r="V20" s="8" t="s">
        <v>115</v>
      </c>
      <c r="W20" s="8" t="s">
        <v>115</v>
      </c>
      <c r="X20" s="8" t="s">
        <v>115</v>
      </c>
      <c r="Y20" s="8" t="s">
        <v>115</v>
      </c>
      <c r="Z20" s="8" t="s">
        <v>115</v>
      </c>
      <c r="AA20" s="8" t="s">
        <v>115</v>
      </c>
      <c r="AB20" s="8" t="s">
        <v>115</v>
      </c>
      <c r="AC20" s="8" t="s">
        <v>115</v>
      </c>
      <c r="AD20" s="8" t="s">
        <v>115</v>
      </c>
      <c r="AE20" s="8" t="s">
        <v>115</v>
      </c>
      <c r="AF20" s="8" t="s">
        <v>115</v>
      </c>
      <c r="AK20" s="20"/>
      <c r="AL20" s="20"/>
      <c r="AM20" s="20"/>
      <c r="AN20" s="20"/>
      <c r="AO20" s="20"/>
    </row>
    <row r="21" spans="1:41" x14ac:dyDescent="0.35">
      <c r="A21" s="7" t="s">
        <v>50</v>
      </c>
      <c r="B21" s="8" t="s">
        <v>34</v>
      </c>
      <c r="C21" s="8" t="s">
        <v>34</v>
      </c>
      <c r="D21" s="8"/>
      <c r="E21" s="8"/>
      <c r="F21" s="8" t="s">
        <v>85</v>
      </c>
      <c r="G21" s="26" t="s">
        <v>84</v>
      </c>
      <c r="H21" s="8"/>
      <c r="I21" s="8"/>
      <c r="J21" s="8"/>
      <c r="K21" s="8" t="s">
        <v>25</v>
      </c>
      <c r="L21" s="8" t="s">
        <v>25</v>
      </c>
      <c r="M21" s="8"/>
      <c r="N21" s="24" t="s">
        <v>101</v>
      </c>
      <c r="O21" s="24" t="s">
        <v>101</v>
      </c>
      <c r="P21" s="24"/>
      <c r="Q21" s="8"/>
      <c r="R21" s="8" t="s">
        <v>22</v>
      </c>
      <c r="S21" s="8" t="s">
        <v>22</v>
      </c>
      <c r="T21" s="8"/>
      <c r="U21" s="8" t="s">
        <v>124</v>
      </c>
      <c r="V21" s="8" t="s">
        <v>124</v>
      </c>
      <c r="W21" s="8" t="s">
        <v>124</v>
      </c>
      <c r="X21" s="8"/>
      <c r="Y21" s="8" t="s">
        <v>125</v>
      </c>
      <c r="Z21" s="8"/>
      <c r="AA21" s="8"/>
      <c r="AB21" s="8"/>
      <c r="AC21" s="8"/>
      <c r="AD21" s="8"/>
      <c r="AE21" s="8" t="s">
        <v>65</v>
      </c>
      <c r="AF21" s="8" t="s">
        <v>65</v>
      </c>
      <c r="AK21" s="20"/>
      <c r="AL21" s="20"/>
      <c r="AM21" s="20"/>
      <c r="AN21" s="20"/>
      <c r="AO21" s="20"/>
    </row>
    <row r="22" spans="1:41" x14ac:dyDescent="0.35">
      <c r="A22" s="7" t="s">
        <v>51</v>
      </c>
      <c r="B22" s="8" t="s">
        <v>65</v>
      </c>
      <c r="C22" s="8" t="s">
        <v>65</v>
      </c>
      <c r="D22" s="8" t="s">
        <v>65</v>
      </c>
      <c r="E22" s="8" t="s">
        <v>65</v>
      </c>
      <c r="F22" s="8" t="s">
        <v>65</v>
      </c>
      <c r="G22" s="8" t="s">
        <v>65</v>
      </c>
      <c r="H22" s="8" t="s">
        <v>65</v>
      </c>
      <c r="I22" s="8" t="s">
        <v>65</v>
      </c>
      <c r="J22" s="8" t="s">
        <v>65</v>
      </c>
      <c r="K22" s="8"/>
      <c r="L22" s="8"/>
      <c r="M22" s="8"/>
      <c r="N22" s="24" t="s">
        <v>102</v>
      </c>
      <c r="O22" s="24" t="s">
        <v>102</v>
      </c>
      <c r="P22" s="24"/>
      <c r="Q22" s="8"/>
      <c r="R22" s="8" t="s">
        <v>117</v>
      </c>
      <c r="S22" s="8" t="s">
        <v>117</v>
      </c>
      <c r="T22" s="8" t="s">
        <v>115</v>
      </c>
      <c r="U22" s="8" t="s">
        <v>115</v>
      </c>
      <c r="V22" s="8" t="s">
        <v>115</v>
      </c>
      <c r="W22" s="8" t="s">
        <v>115</v>
      </c>
      <c r="X22" s="8" t="s">
        <v>115</v>
      </c>
      <c r="Y22" s="8" t="s">
        <v>115</v>
      </c>
      <c r="Z22" s="8" t="s">
        <v>115</v>
      </c>
      <c r="AA22" s="8" t="s">
        <v>115</v>
      </c>
      <c r="AB22" s="8" t="s">
        <v>115</v>
      </c>
      <c r="AC22" s="8" t="s">
        <v>115</v>
      </c>
      <c r="AD22" s="8" t="s">
        <v>115</v>
      </c>
      <c r="AE22" s="8" t="s">
        <v>115</v>
      </c>
      <c r="AF22" s="8" t="s">
        <v>115</v>
      </c>
      <c r="AK22" s="20"/>
      <c r="AL22" s="20"/>
      <c r="AM22" s="20"/>
      <c r="AN22" s="20"/>
      <c r="AO22" s="20"/>
    </row>
    <row r="23" spans="1:41" x14ac:dyDescent="0.35">
      <c r="A23" s="10"/>
      <c r="B23" s="17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K23" s="20"/>
      <c r="AL23" s="20"/>
      <c r="AM23" s="20"/>
      <c r="AN23" s="20"/>
      <c r="AO23" s="20"/>
    </row>
    <row r="44" ht="13.5" customHeight="1" x14ac:dyDescent="0.35"/>
  </sheetData>
  <mergeCells count="1">
    <mergeCell ref="A1:AE1"/>
  </mergeCells>
  <phoneticPr fontId="9" type="noConversion"/>
  <conditionalFormatting sqref="B13:I14 L13:U14 X13:AF14 B8:T10 X8:AF9 U10:AF10 B15:V15 B5:AF7 X15:AC15 B16:AC17 AD15:AF17 B11:AF11 B18:AF22">
    <cfRule type="colorScale" priority="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U8:W9">
    <cfRule type="colorScale" priority="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W15">
    <cfRule type="colorScale" priority="1">
      <colorScale>
        <cfvo type="num" val="1"/>
        <cfvo type="max"/>
        <color theme="4" tint="0.59999389629810485"/>
        <color theme="5" tint="0.59999389629810485"/>
      </colorScale>
    </cfRule>
  </conditionalFormatting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765F0-040C-4706-B7D4-A553BE57EAE1}">
  <dimension ref="A1:AN44"/>
  <sheetViews>
    <sheetView zoomScale="80" zoomScaleNormal="80" workbookViewId="0">
      <pane xSplit="1" ySplit="4" topLeftCell="O5" activePane="bottomRight" state="frozen"/>
      <selection pane="topRight" activeCell="B1" sqref="B1"/>
      <selection pane="bottomLeft" activeCell="A5" sqref="A5"/>
      <selection pane="bottomRight" activeCell="X30" sqref="X30"/>
    </sheetView>
  </sheetViews>
  <sheetFormatPr defaultRowHeight="14.5" x14ac:dyDescent="0.35"/>
  <cols>
    <col min="1" max="1" width="30.26953125" bestFit="1" customWidth="1"/>
    <col min="2" max="10" width="9.1796875" bestFit="1" customWidth="1"/>
    <col min="11" max="12" width="8.54296875" bestFit="1" customWidth="1"/>
    <col min="13" max="13" width="8.81640625" bestFit="1" customWidth="1"/>
    <col min="14" max="15" width="14.453125" bestFit="1" customWidth="1"/>
    <col min="16" max="16" width="13.54296875" bestFit="1" customWidth="1"/>
    <col min="17" max="17" width="8.81640625" bestFit="1" customWidth="1"/>
    <col min="18" max="18" width="7.453125" bestFit="1" customWidth="1"/>
    <col min="19" max="25" width="9.1796875" bestFit="1" customWidth="1"/>
    <col min="26" max="28" width="10.1796875" bestFit="1" customWidth="1"/>
    <col min="29" max="29" width="9.1796875" bestFit="1" customWidth="1"/>
    <col min="30" max="30" width="10.1796875" bestFit="1" customWidth="1"/>
    <col min="31" max="31" width="9.1796875" bestFit="1" customWidth="1"/>
    <col min="32" max="32" width="8.54296875" bestFit="1" customWidth="1"/>
    <col min="33" max="33" width="8.7265625" bestFit="1" customWidth="1"/>
    <col min="34" max="34" width="0" hidden="1" customWidth="1"/>
    <col min="35" max="35" width="3.26953125" customWidth="1"/>
    <col min="36" max="36" width="21.7265625" bestFit="1" customWidth="1"/>
    <col min="37" max="37" width="15" customWidth="1"/>
    <col min="38" max="38" width="10.81640625" customWidth="1"/>
    <col min="39" max="39" width="12.54296875" customWidth="1"/>
    <col min="40" max="40" width="94.1796875" bestFit="1" customWidth="1"/>
  </cols>
  <sheetData>
    <row r="1" spans="1:40" ht="15.5" x14ac:dyDescent="0.35">
      <c r="A1" s="120" t="s">
        <v>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</row>
    <row r="2" spans="1:40" ht="15" thickBot="1" x14ac:dyDescent="0.4"/>
    <row r="3" spans="1:40" ht="45.75" customHeight="1" x14ac:dyDescent="0.35">
      <c r="A3" s="1" t="s">
        <v>1</v>
      </c>
      <c r="B3" s="2">
        <f>AF4</f>
        <v>44866</v>
      </c>
      <c r="C3" s="2">
        <f t="shared" ref="C3:AE3" si="0">B3+1</f>
        <v>44867</v>
      </c>
      <c r="D3" s="2">
        <f t="shared" si="0"/>
        <v>44868</v>
      </c>
      <c r="E3" s="2">
        <f t="shared" si="0"/>
        <v>44869</v>
      </c>
      <c r="F3" s="2">
        <f t="shared" si="0"/>
        <v>44870</v>
      </c>
      <c r="G3" s="2">
        <f t="shared" si="0"/>
        <v>44871</v>
      </c>
      <c r="H3" s="2">
        <f t="shared" si="0"/>
        <v>44872</v>
      </c>
      <c r="I3" s="2">
        <f>H3+1</f>
        <v>44873</v>
      </c>
      <c r="J3" s="2">
        <f t="shared" si="0"/>
        <v>44874</v>
      </c>
      <c r="K3" s="2">
        <f t="shared" si="0"/>
        <v>44875</v>
      </c>
      <c r="L3" s="2">
        <f t="shared" si="0"/>
        <v>44876</v>
      </c>
      <c r="M3" s="2">
        <f t="shared" si="0"/>
        <v>44877</v>
      </c>
      <c r="N3" s="2">
        <f t="shared" si="0"/>
        <v>44878</v>
      </c>
      <c r="O3" s="2">
        <f t="shared" si="0"/>
        <v>44879</v>
      </c>
      <c r="P3" s="2">
        <f t="shared" si="0"/>
        <v>44880</v>
      </c>
      <c r="Q3" s="2">
        <f t="shared" si="0"/>
        <v>44881</v>
      </c>
      <c r="R3" s="2">
        <f t="shared" si="0"/>
        <v>44882</v>
      </c>
      <c r="S3" s="2">
        <f t="shared" si="0"/>
        <v>44883</v>
      </c>
      <c r="T3" s="2">
        <f t="shared" si="0"/>
        <v>44884</v>
      </c>
      <c r="U3" s="2">
        <f t="shared" si="0"/>
        <v>44885</v>
      </c>
      <c r="V3" s="2">
        <f t="shared" si="0"/>
        <v>44886</v>
      </c>
      <c r="W3" s="2">
        <f t="shared" si="0"/>
        <v>44887</v>
      </c>
      <c r="X3" s="2">
        <f t="shared" si="0"/>
        <v>44888</v>
      </c>
      <c r="Y3" s="2">
        <f t="shared" si="0"/>
        <v>44889</v>
      </c>
      <c r="Z3" s="2">
        <f t="shared" si="0"/>
        <v>44890</v>
      </c>
      <c r="AA3" s="2">
        <f t="shared" si="0"/>
        <v>44891</v>
      </c>
      <c r="AB3" s="2">
        <f t="shared" si="0"/>
        <v>44892</v>
      </c>
      <c r="AC3" s="2">
        <f t="shared" si="0"/>
        <v>44893</v>
      </c>
      <c r="AD3" s="2">
        <f t="shared" si="0"/>
        <v>44894</v>
      </c>
      <c r="AE3" s="2">
        <f t="shared" si="0"/>
        <v>44895</v>
      </c>
    </row>
    <row r="4" spans="1:40" ht="28.5" x14ac:dyDescent="0.35">
      <c r="A4" s="3" t="s">
        <v>2</v>
      </c>
      <c r="B4" s="4">
        <f t="shared" ref="B4:AE4" si="1">B3</f>
        <v>44866</v>
      </c>
      <c r="C4" s="4">
        <f t="shared" si="1"/>
        <v>44867</v>
      </c>
      <c r="D4" s="4">
        <f t="shared" si="1"/>
        <v>44868</v>
      </c>
      <c r="E4" s="4">
        <f t="shared" si="1"/>
        <v>44869</v>
      </c>
      <c r="F4" s="4">
        <f t="shared" si="1"/>
        <v>44870</v>
      </c>
      <c r="G4" s="4">
        <f t="shared" si="1"/>
        <v>44871</v>
      </c>
      <c r="H4" s="4">
        <f t="shared" si="1"/>
        <v>44872</v>
      </c>
      <c r="I4" s="4">
        <f t="shared" si="1"/>
        <v>44873</v>
      </c>
      <c r="J4" s="4">
        <f t="shared" si="1"/>
        <v>44874</v>
      </c>
      <c r="K4" s="4">
        <f t="shared" si="1"/>
        <v>44875</v>
      </c>
      <c r="L4" s="4">
        <f t="shared" si="1"/>
        <v>44876</v>
      </c>
      <c r="M4" s="4">
        <f t="shared" si="1"/>
        <v>44877</v>
      </c>
      <c r="N4" s="4">
        <f t="shared" si="1"/>
        <v>44878</v>
      </c>
      <c r="O4" s="4">
        <f t="shared" si="1"/>
        <v>44879</v>
      </c>
      <c r="P4" s="4">
        <f t="shared" si="1"/>
        <v>44880</v>
      </c>
      <c r="Q4" s="4">
        <f t="shared" si="1"/>
        <v>44881</v>
      </c>
      <c r="R4" s="4">
        <f t="shared" si="1"/>
        <v>44882</v>
      </c>
      <c r="S4" s="4">
        <f t="shared" si="1"/>
        <v>44883</v>
      </c>
      <c r="T4" s="4">
        <f t="shared" si="1"/>
        <v>44884</v>
      </c>
      <c r="U4" s="4">
        <f t="shared" si="1"/>
        <v>44885</v>
      </c>
      <c r="V4" s="4">
        <f t="shared" si="1"/>
        <v>44886</v>
      </c>
      <c r="W4" s="4">
        <f t="shared" si="1"/>
        <v>44887</v>
      </c>
      <c r="X4" s="4">
        <f t="shared" si="1"/>
        <v>44888</v>
      </c>
      <c r="Y4" s="4">
        <f t="shared" si="1"/>
        <v>44889</v>
      </c>
      <c r="Z4" s="4">
        <f t="shared" si="1"/>
        <v>44890</v>
      </c>
      <c r="AA4" s="4">
        <f t="shared" si="1"/>
        <v>44891</v>
      </c>
      <c r="AB4" s="4">
        <f t="shared" si="1"/>
        <v>44892</v>
      </c>
      <c r="AC4" s="4">
        <f t="shared" si="1"/>
        <v>44893</v>
      </c>
      <c r="AD4" s="4">
        <f t="shared" si="1"/>
        <v>44894</v>
      </c>
      <c r="AE4" s="4">
        <f t="shared" si="1"/>
        <v>44895</v>
      </c>
      <c r="AF4" s="5">
        <v>44866</v>
      </c>
      <c r="AG4" s="6">
        <f>EOMONTH(AF4,0)</f>
        <v>44895</v>
      </c>
      <c r="AJ4" s="19" t="s">
        <v>54</v>
      </c>
      <c r="AK4" s="19" t="s">
        <v>58</v>
      </c>
      <c r="AL4" s="19" t="s">
        <v>55</v>
      </c>
      <c r="AM4" s="19" t="s">
        <v>56</v>
      </c>
      <c r="AN4" s="19" t="s">
        <v>57</v>
      </c>
    </row>
    <row r="5" spans="1:40" x14ac:dyDescent="0.35">
      <c r="A5" s="7" t="s">
        <v>3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 t="s">
        <v>131</v>
      </c>
      <c r="U5" s="8" t="s">
        <v>131</v>
      </c>
      <c r="V5" s="8"/>
      <c r="W5" s="8"/>
      <c r="X5" s="8"/>
      <c r="Y5" s="8"/>
      <c r="Z5" s="8"/>
      <c r="AA5" s="8"/>
      <c r="AB5" s="8"/>
      <c r="AC5" s="8" t="s">
        <v>166</v>
      </c>
      <c r="AD5" s="8" t="s">
        <v>166</v>
      </c>
      <c r="AE5" s="8" t="s">
        <v>166</v>
      </c>
      <c r="AJ5" s="20"/>
      <c r="AK5" s="20"/>
      <c r="AL5" s="20"/>
      <c r="AM5" s="20"/>
      <c r="AN5" s="20"/>
    </row>
    <row r="6" spans="1:40" x14ac:dyDescent="0.35">
      <c r="A6" s="7" t="s">
        <v>7</v>
      </c>
      <c r="B6" s="8"/>
      <c r="C6" s="8"/>
      <c r="D6" s="8"/>
      <c r="E6" s="8"/>
      <c r="F6" s="8"/>
      <c r="G6" s="8"/>
      <c r="H6" s="8"/>
      <c r="I6" s="8"/>
      <c r="J6" s="8" t="s">
        <v>9</v>
      </c>
      <c r="K6" s="8" t="s">
        <v>9</v>
      </c>
      <c r="L6" s="8"/>
      <c r="M6" s="8"/>
      <c r="N6" s="8"/>
      <c r="O6" s="8"/>
      <c r="P6" s="8"/>
      <c r="Q6" s="8"/>
      <c r="R6" s="8" t="s">
        <v>9</v>
      </c>
      <c r="S6" s="8"/>
      <c r="T6" s="8" t="s">
        <v>131</v>
      </c>
      <c r="U6" s="8" t="s">
        <v>131</v>
      </c>
      <c r="V6" s="8"/>
      <c r="W6" s="8"/>
      <c r="X6" s="8" t="s">
        <v>90</v>
      </c>
      <c r="Y6" s="8" t="s">
        <v>90</v>
      </c>
      <c r="Z6" s="8" t="s">
        <v>90</v>
      </c>
      <c r="AA6" s="8"/>
      <c r="AB6" s="8"/>
      <c r="AC6" s="8" t="s">
        <v>168</v>
      </c>
      <c r="AD6" s="8" t="s">
        <v>168</v>
      </c>
      <c r="AE6" s="8" t="s">
        <v>168</v>
      </c>
      <c r="AJ6" s="20"/>
      <c r="AK6" s="20"/>
      <c r="AL6" s="21"/>
      <c r="AM6" s="21"/>
      <c r="AN6" s="20"/>
    </row>
    <row r="7" spans="1:40" x14ac:dyDescent="0.35">
      <c r="A7" s="7" t="s">
        <v>11</v>
      </c>
      <c r="B7" s="8"/>
      <c r="C7" s="8"/>
      <c r="D7" s="8"/>
      <c r="E7" s="8"/>
      <c r="F7" s="8"/>
      <c r="G7" s="8"/>
      <c r="H7" s="8"/>
      <c r="I7" s="8"/>
      <c r="J7" s="26"/>
      <c r="K7" s="8"/>
      <c r="L7" s="8"/>
      <c r="M7" s="8"/>
      <c r="N7" s="8" t="s">
        <v>80</v>
      </c>
      <c r="O7" s="8"/>
      <c r="P7" s="8"/>
      <c r="Q7" s="8"/>
      <c r="R7" s="8"/>
      <c r="S7" s="8"/>
      <c r="T7" s="8" t="s">
        <v>131</v>
      </c>
      <c r="U7" s="8" t="s">
        <v>131</v>
      </c>
      <c r="V7" s="8"/>
      <c r="W7" s="8"/>
      <c r="X7" s="8" t="s">
        <v>48</v>
      </c>
      <c r="Y7" s="8" t="s">
        <v>48</v>
      </c>
      <c r="Z7" s="8" t="s">
        <v>48</v>
      </c>
      <c r="AA7" s="8"/>
      <c r="AB7" s="8" t="s">
        <v>148</v>
      </c>
      <c r="AC7" s="8" t="s">
        <v>148</v>
      </c>
      <c r="AD7" s="8" t="s">
        <v>148</v>
      </c>
      <c r="AE7" s="8"/>
      <c r="AJ7" s="20"/>
      <c r="AK7" s="20"/>
      <c r="AL7" s="20"/>
      <c r="AM7" s="21"/>
      <c r="AN7" s="20"/>
    </row>
    <row r="8" spans="1:40" ht="15" customHeight="1" x14ac:dyDescent="0.35">
      <c r="A8" s="7" t="s">
        <v>15</v>
      </c>
      <c r="B8" s="8"/>
      <c r="C8" s="8" t="s">
        <v>130</v>
      </c>
      <c r="D8" s="8" t="s">
        <v>130</v>
      </c>
      <c r="E8" s="8" t="s">
        <v>130</v>
      </c>
      <c r="F8" s="8"/>
      <c r="G8" s="8"/>
      <c r="H8" s="8"/>
      <c r="I8" s="8"/>
      <c r="J8" s="8"/>
      <c r="K8" s="8"/>
      <c r="L8" s="8"/>
      <c r="M8" s="8"/>
      <c r="N8" s="8" t="s">
        <v>136</v>
      </c>
      <c r="O8" s="8" t="s">
        <v>136</v>
      </c>
      <c r="P8" s="8"/>
      <c r="Q8" s="8"/>
      <c r="R8" s="8"/>
      <c r="S8" s="8"/>
      <c r="T8" s="8"/>
      <c r="U8" s="8"/>
      <c r="V8" s="8" t="s">
        <v>141</v>
      </c>
      <c r="W8" s="8" t="s">
        <v>141</v>
      </c>
      <c r="X8" s="8" t="s">
        <v>141</v>
      </c>
      <c r="Y8" s="8" t="s">
        <v>141</v>
      </c>
      <c r="Z8" s="26" t="s">
        <v>146</v>
      </c>
      <c r="AA8" s="8"/>
      <c r="AB8" s="8" t="s">
        <v>147</v>
      </c>
      <c r="AC8" s="8" t="s">
        <v>147</v>
      </c>
      <c r="AD8" s="8" t="s">
        <v>147</v>
      </c>
      <c r="AE8" s="8"/>
      <c r="AH8" s="9"/>
      <c r="AJ8" s="20"/>
      <c r="AK8" s="20"/>
      <c r="AL8" s="20"/>
      <c r="AM8" s="21"/>
      <c r="AN8" s="20"/>
    </row>
    <row r="9" spans="1:40" ht="15.75" customHeight="1" x14ac:dyDescent="0.35">
      <c r="A9" s="7" t="s">
        <v>18</v>
      </c>
      <c r="B9" s="8" t="s">
        <v>9</v>
      </c>
      <c r="C9" s="8" t="s">
        <v>9</v>
      </c>
      <c r="D9" s="8"/>
      <c r="E9" s="8"/>
      <c r="F9" s="8"/>
      <c r="G9" s="8"/>
      <c r="H9" s="8"/>
      <c r="I9" s="8"/>
      <c r="J9" s="8" t="s">
        <v>134</v>
      </c>
      <c r="K9" s="8" t="s">
        <v>134</v>
      </c>
      <c r="L9" s="8"/>
      <c r="M9" s="8"/>
      <c r="N9" s="8" t="s">
        <v>25</v>
      </c>
      <c r="O9" s="8" t="s">
        <v>25</v>
      </c>
      <c r="P9" s="8"/>
      <c r="Q9" s="8"/>
      <c r="R9" s="8"/>
      <c r="S9" s="8"/>
      <c r="T9" s="8" t="s">
        <v>140</v>
      </c>
      <c r="U9" s="8" t="s">
        <v>140</v>
      </c>
      <c r="V9" s="8" t="s">
        <v>140</v>
      </c>
      <c r="W9" s="8" t="s">
        <v>142</v>
      </c>
      <c r="X9" s="8" t="s">
        <v>142</v>
      </c>
      <c r="Y9" s="8" t="s">
        <v>142</v>
      </c>
      <c r="Z9" s="8" t="s">
        <v>142</v>
      </c>
      <c r="AA9" s="8" t="s">
        <v>142</v>
      </c>
      <c r="AB9" s="8" t="s">
        <v>142</v>
      </c>
      <c r="AC9" s="8" t="s">
        <v>167</v>
      </c>
      <c r="AD9" s="8" t="s">
        <v>167</v>
      </c>
      <c r="AE9" s="8" t="s">
        <v>167</v>
      </c>
      <c r="AJ9" s="20"/>
      <c r="AK9" s="20"/>
      <c r="AL9" s="20"/>
      <c r="AM9" s="21"/>
      <c r="AN9" s="20"/>
    </row>
    <row r="10" spans="1:40" ht="15.75" customHeight="1" x14ac:dyDescent="0.35">
      <c r="A10" s="7" t="s">
        <v>20</v>
      </c>
      <c r="B10" s="8"/>
      <c r="C10" s="8"/>
      <c r="D10" s="8"/>
      <c r="E10" s="8"/>
      <c r="F10" s="8"/>
      <c r="G10" s="8" t="s">
        <v>132</v>
      </c>
      <c r="H10" s="8" t="s">
        <v>132</v>
      </c>
      <c r="I10" s="8" t="s">
        <v>132</v>
      </c>
      <c r="J10" s="8" t="s">
        <v>132</v>
      </c>
      <c r="K10" s="8" t="s">
        <v>132</v>
      </c>
      <c r="L10" s="8" t="s">
        <v>132</v>
      </c>
      <c r="M10" s="8" t="s">
        <v>132</v>
      </c>
      <c r="N10" s="8" t="s">
        <v>137</v>
      </c>
      <c r="O10" s="8" t="s">
        <v>137</v>
      </c>
      <c r="P10" s="8" t="s">
        <v>137</v>
      </c>
      <c r="Q10" s="8" t="s">
        <v>137</v>
      </c>
      <c r="R10" s="8" t="s">
        <v>137</v>
      </c>
      <c r="S10" s="8" t="s">
        <v>137</v>
      </c>
      <c r="T10" s="8" t="s">
        <v>137</v>
      </c>
      <c r="U10" s="8" t="s">
        <v>137</v>
      </c>
      <c r="V10" s="8" t="s">
        <v>137</v>
      </c>
      <c r="W10" s="8" t="s">
        <v>137</v>
      </c>
      <c r="X10" s="8" t="s">
        <v>137</v>
      </c>
      <c r="Y10" s="8" t="s">
        <v>137</v>
      </c>
      <c r="Z10" s="8" t="s">
        <v>137</v>
      </c>
      <c r="AA10" s="8" t="s">
        <v>137</v>
      </c>
      <c r="AB10" s="8" t="s">
        <v>147</v>
      </c>
      <c r="AC10" s="8" t="s">
        <v>167</v>
      </c>
      <c r="AD10" s="8" t="s">
        <v>167</v>
      </c>
      <c r="AE10" s="8" t="s">
        <v>167</v>
      </c>
      <c r="AJ10" s="20"/>
      <c r="AK10" s="20"/>
      <c r="AL10" s="20"/>
      <c r="AM10" s="20"/>
      <c r="AN10" s="20"/>
    </row>
    <row r="11" spans="1:40" ht="15.75" customHeight="1" x14ac:dyDescent="0.35">
      <c r="A11" s="7" t="s">
        <v>24</v>
      </c>
      <c r="B11" s="8" t="s">
        <v>133</v>
      </c>
      <c r="C11" s="8" t="s">
        <v>133</v>
      </c>
      <c r="D11" s="8"/>
      <c r="E11" s="8"/>
      <c r="F11" s="8"/>
      <c r="G11" s="8"/>
      <c r="H11" s="8"/>
      <c r="I11" s="8"/>
      <c r="J11" s="8" t="s">
        <v>135</v>
      </c>
      <c r="K11" s="8" t="s">
        <v>135</v>
      </c>
      <c r="L11" s="8" t="s">
        <v>135</v>
      </c>
      <c r="M11" s="8" t="s">
        <v>135</v>
      </c>
      <c r="N11" s="8" t="s">
        <v>135</v>
      </c>
      <c r="O11" s="8" t="s">
        <v>135</v>
      </c>
      <c r="P11" s="8" t="s">
        <v>138</v>
      </c>
      <c r="Q11" s="8" t="s">
        <v>138</v>
      </c>
      <c r="R11" s="8" t="s">
        <v>129</v>
      </c>
      <c r="S11" s="8"/>
      <c r="T11" s="8"/>
      <c r="U11" s="8"/>
      <c r="V11" s="8" t="s">
        <v>143</v>
      </c>
      <c r="W11" s="8"/>
      <c r="X11" s="8" t="s">
        <v>9</v>
      </c>
      <c r="Y11" s="8" t="s">
        <v>9</v>
      </c>
      <c r="Z11" s="8" t="s">
        <v>9</v>
      </c>
      <c r="AA11" s="8" t="s">
        <v>9</v>
      </c>
      <c r="AB11" s="8"/>
      <c r="AC11" s="8" t="s">
        <v>151</v>
      </c>
      <c r="AD11" s="8" t="s">
        <v>151</v>
      </c>
      <c r="AE11" s="8" t="s">
        <v>151</v>
      </c>
      <c r="AJ11" s="20"/>
      <c r="AK11" s="20"/>
      <c r="AL11" s="20"/>
      <c r="AM11" s="20"/>
      <c r="AN11" s="20"/>
    </row>
    <row r="12" spans="1:40" ht="15" customHeight="1" x14ac:dyDescent="0.35">
      <c r="A12" s="10"/>
      <c r="B12" s="11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29"/>
      <c r="AJ12" s="20"/>
      <c r="AK12" s="20"/>
      <c r="AL12" s="20"/>
      <c r="AM12" s="20"/>
      <c r="AN12" s="20"/>
    </row>
    <row r="13" spans="1:40" ht="51" hidden="1" customHeight="1" x14ac:dyDescent="0.35">
      <c r="A13" s="13" t="s">
        <v>28</v>
      </c>
      <c r="B13" s="14"/>
      <c r="C13" s="14"/>
      <c r="D13" s="14"/>
      <c r="E13" s="14"/>
      <c r="F13" s="14"/>
      <c r="G13" s="14"/>
      <c r="H13" s="14"/>
      <c r="I13" s="14"/>
      <c r="J13" s="15"/>
      <c r="K13" s="15"/>
      <c r="L13" s="14"/>
      <c r="M13" s="14"/>
      <c r="N13" s="25"/>
      <c r="O13" s="25"/>
      <c r="P13" s="25"/>
      <c r="Q13" s="14"/>
      <c r="R13" s="14"/>
      <c r="S13" s="14"/>
      <c r="T13" s="14"/>
      <c r="U13" s="14"/>
      <c r="V13" s="15"/>
      <c r="W13" s="15"/>
      <c r="X13" s="14"/>
      <c r="Y13" s="14"/>
      <c r="Z13" s="14"/>
      <c r="AA13" s="14"/>
      <c r="AB13" s="14"/>
      <c r="AC13" s="14"/>
      <c r="AD13" s="14"/>
      <c r="AE13" s="14"/>
      <c r="AJ13" s="20"/>
      <c r="AK13" s="20"/>
      <c r="AL13" s="20"/>
      <c r="AM13" s="20"/>
      <c r="AN13" s="20"/>
    </row>
    <row r="14" spans="1:40" ht="28.5" hidden="1" x14ac:dyDescent="0.35">
      <c r="A14" s="16" t="s">
        <v>29</v>
      </c>
      <c r="B14" s="14"/>
      <c r="C14" s="14"/>
      <c r="D14" s="14"/>
      <c r="E14" s="14"/>
      <c r="F14" s="14"/>
      <c r="G14" s="14"/>
      <c r="H14" s="14"/>
      <c r="I14" s="14"/>
      <c r="J14" s="15"/>
      <c r="K14" s="15"/>
      <c r="L14" s="14"/>
      <c r="M14" s="14"/>
      <c r="N14" s="25"/>
      <c r="O14" s="25"/>
      <c r="P14" s="25"/>
      <c r="Q14" s="14"/>
      <c r="R14" s="14"/>
      <c r="S14" s="14"/>
      <c r="T14" s="14"/>
      <c r="U14" s="14"/>
      <c r="V14" s="15"/>
      <c r="W14" s="15"/>
      <c r="X14" s="14"/>
      <c r="Y14" s="14"/>
      <c r="Z14" s="14"/>
      <c r="AA14" s="14"/>
      <c r="AB14" s="14"/>
      <c r="AC14" s="14"/>
      <c r="AD14" s="14"/>
      <c r="AE14" s="14"/>
      <c r="AJ14" s="20"/>
      <c r="AK14" s="20"/>
      <c r="AL14" s="20"/>
      <c r="AM14" s="20"/>
      <c r="AN14" s="20"/>
    </row>
    <row r="15" spans="1:40" x14ac:dyDescent="0.35">
      <c r="A15" s="7" t="s">
        <v>30</v>
      </c>
      <c r="B15" s="8"/>
      <c r="C15" s="8"/>
      <c r="D15" s="8"/>
      <c r="E15" s="8"/>
      <c r="F15" s="8"/>
      <c r="G15" s="8"/>
      <c r="H15" s="8"/>
      <c r="I15" s="8"/>
      <c r="J15" s="8" t="s">
        <v>135</v>
      </c>
      <c r="K15" s="8" t="s">
        <v>135</v>
      </c>
      <c r="L15" s="8" t="s">
        <v>135</v>
      </c>
      <c r="M15" s="8" t="s">
        <v>135</v>
      </c>
      <c r="N15" s="8" t="s">
        <v>135</v>
      </c>
      <c r="O15" s="8" t="s">
        <v>135</v>
      </c>
      <c r="P15" s="8"/>
      <c r="Q15" s="8"/>
      <c r="R15" s="8"/>
      <c r="S15" s="8"/>
      <c r="T15" s="8"/>
      <c r="U15" s="8"/>
      <c r="V15" s="8"/>
      <c r="W15" s="8"/>
      <c r="X15" s="8" t="s">
        <v>144</v>
      </c>
      <c r="Y15" s="8"/>
      <c r="Z15" s="26" t="s">
        <v>146</v>
      </c>
      <c r="AA15" s="8"/>
      <c r="AB15" s="8"/>
      <c r="AC15" s="8"/>
      <c r="AD15" s="8"/>
      <c r="AE15" s="8"/>
      <c r="AJ15" s="20"/>
      <c r="AK15" s="20"/>
      <c r="AL15" s="20"/>
      <c r="AM15" s="20"/>
      <c r="AN15" s="20"/>
    </row>
    <row r="16" spans="1:40" x14ac:dyDescent="0.35">
      <c r="A16" s="7" t="s">
        <v>35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 t="s">
        <v>134</v>
      </c>
      <c r="R16" s="8"/>
      <c r="S16" s="8"/>
      <c r="T16" s="8"/>
      <c r="U16" s="8"/>
      <c r="V16" s="8"/>
      <c r="W16" s="8"/>
      <c r="X16" s="8" t="s">
        <v>134</v>
      </c>
      <c r="Y16" s="8" t="s">
        <v>134</v>
      </c>
      <c r="Z16" s="8" t="s">
        <v>134</v>
      </c>
      <c r="AA16" s="8" t="s">
        <v>134</v>
      </c>
      <c r="AB16" s="8" t="s">
        <v>165</v>
      </c>
      <c r="AC16" s="8"/>
      <c r="AD16" s="8"/>
      <c r="AE16" s="8"/>
      <c r="AJ16" s="20"/>
      <c r="AK16" s="20"/>
      <c r="AL16" s="20"/>
      <c r="AM16" s="20"/>
      <c r="AN16" s="20"/>
    </row>
    <row r="17" spans="1:40" x14ac:dyDescent="0.35">
      <c r="A17" s="7" t="s">
        <v>39</v>
      </c>
      <c r="B17" s="8"/>
      <c r="C17" s="8"/>
      <c r="D17" s="8"/>
      <c r="E17" s="8"/>
      <c r="F17" s="8"/>
      <c r="G17" s="8"/>
      <c r="H17" s="8"/>
      <c r="I17" s="8"/>
      <c r="J17" s="8" t="s">
        <v>135</v>
      </c>
      <c r="K17" s="8" t="s">
        <v>135</v>
      </c>
      <c r="L17" s="8" t="s">
        <v>135</v>
      </c>
      <c r="M17" s="8" t="s">
        <v>135</v>
      </c>
      <c r="N17" s="8" t="s">
        <v>135</v>
      </c>
      <c r="O17" s="8" t="s">
        <v>135</v>
      </c>
      <c r="P17" s="8"/>
      <c r="Q17" s="8"/>
      <c r="R17" s="8" t="s">
        <v>101</v>
      </c>
      <c r="S17" s="8" t="s">
        <v>139</v>
      </c>
      <c r="T17" s="8" t="s">
        <v>139</v>
      </c>
      <c r="U17" s="8" t="s">
        <v>139</v>
      </c>
      <c r="V17" s="8" t="s">
        <v>139</v>
      </c>
      <c r="W17" s="8" t="s">
        <v>139</v>
      </c>
      <c r="X17" s="8" t="s">
        <v>139</v>
      </c>
      <c r="Y17" s="8" t="s">
        <v>139</v>
      </c>
      <c r="Z17" s="8" t="s">
        <v>139</v>
      </c>
      <c r="AA17" s="8"/>
      <c r="AB17" s="8"/>
      <c r="AC17" s="8"/>
      <c r="AD17" s="8"/>
      <c r="AE17" s="8"/>
      <c r="AJ17" s="20"/>
      <c r="AK17" s="20"/>
      <c r="AL17" s="20"/>
      <c r="AM17" s="20"/>
      <c r="AN17" s="20"/>
    </row>
    <row r="18" spans="1:40" x14ac:dyDescent="0.35">
      <c r="A18" s="7" t="s">
        <v>42</v>
      </c>
      <c r="B18" s="8"/>
      <c r="C18" s="8"/>
      <c r="D18" s="8"/>
      <c r="E18" s="8"/>
      <c r="F18" s="8"/>
      <c r="G18" s="8"/>
      <c r="H18" s="8"/>
      <c r="I18" s="8"/>
      <c r="J18" s="8" t="s">
        <v>34</v>
      </c>
      <c r="K18" s="8" t="s">
        <v>34</v>
      </c>
      <c r="L18" s="8" t="s">
        <v>34</v>
      </c>
      <c r="M18" s="8"/>
      <c r="N18" s="8"/>
      <c r="O18" s="8"/>
      <c r="P18" s="8"/>
      <c r="Q18" s="8"/>
      <c r="R18" s="8" t="s">
        <v>101</v>
      </c>
      <c r="S18" s="8"/>
      <c r="T18" s="8"/>
      <c r="U18" s="8"/>
      <c r="V18" s="8"/>
      <c r="W18" s="31" t="s">
        <v>145</v>
      </c>
      <c r="X18" s="8"/>
      <c r="Y18" s="8" t="s">
        <v>150</v>
      </c>
      <c r="Z18" s="8" t="s">
        <v>150</v>
      </c>
      <c r="AA18" s="8" t="s">
        <v>150</v>
      </c>
      <c r="AB18" s="8" t="s">
        <v>150</v>
      </c>
      <c r="AC18" s="8"/>
      <c r="AD18" s="8"/>
      <c r="AE18" s="8"/>
      <c r="AJ18" s="20"/>
      <c r="AK18" s="20"/>
      <c r="AL18" s="20"/>
      <c r="AM18" s="20"/>
      <c r="AN18" s="20"/>
    </row>
    <row r="19" spans="1:40" x14ac:dyDescent="0.35">
      <c r="A19" s="7" t="s">
        <v>45</v>
      </c>
      <c r="B19" s="8" t="s">
        <v>49</v>
      </c>
      <c r="C19" s="8" t="s">
        <v>49</v>
      </c>
      <c r="D19" s="8" t="s">
        <v>49</v>
      </c>
      <c r="E19" s="8" t="s">
        <v>49</v>
      </c>
      <c r="F19" s="8" t="s">
        <v>49</v>
      </c>
      <c r="G19" s="8"/>
      <c r="H19" s="8"/>
      <c r="I19" s="8"/>
      <c r="J19" s="26"/>
      <c r="K19" s="8"/>
      <c r="L19" s="8" t="s">
        <v>135</v>
      </c>
      <c r="M19" s="8" t="s">
        <v>135</v>
      </c>
      <c r="N19" s="8" t="s">
        <v>135</v>
      </c>
      <c r="O19" s="8" t="s">
        <v>135</v>
      </c>
      <c r="P19" s="8"/>
      <c r="Q19" s="8"/>
      <c r="R19" s="8"/>
      <c r="S19" s="8"/>
      <c r="T19" s="8"/>
      <c r="U19" s="8"/>
      <c r="V19" s="8"/>
      <c r="W19" s="31" t="s">
        <v>145</v>
      </c>
      <c r="X19" s="8"/>
      <c r="Y19" s="8" t="s">
        <v>34</v>
      </c>
      <c r="Z19" s="8" t="s">
        <v>34</v>
      </c>
      <c r="AA19" s="8" t="s">
        <v>34</v>
      </c>
      <c r="AB19" s="8" t="s">
        <v>34</v>
      </c>
      <c r="AC19" s="8" t="s">
        <v>34</v>
      </c>
      <c r="AD19" s="8" t="s">
        <v>34</v>
      </c>
      <c r="AE19" s="8" t="s">
        <v>34</v>
      </c>
      <c r="AJ19" s="20"/>
      <c r="AK19" s="20"/>
      <c r="AL19" s="20"/>
      <c r="AM19" s="20"/>
      <c r="AN19" s="20"/>
    </row>
    <row r="20" spans="1:40" x14ac:dyDescent="0.35">
      <c r="A20" s="7" t="s">
        <v>47</v>
      </c>
      <c r="B20" s="8" t="s">
        <v>115</v>
      </c>
      <c r="C20" s="8" t="s">
        <v>115</v>
      </c>
      <c r="D20" s="8" t="s">
        <v>115</v>
      </c>
      <c r="E20" s="8" t="s">
        <v>115</v>
      </c>
      <c r="F20" s="8" t="s">
        <v>115</v>
      </c>
      <c r="G20" s="8" t="s">
        <v>115</v>
      </c>
      <c r="H20" s="8" t="s">
        <v>115</v>
      </c>
      <c r="I20" s="8" t="s">
        <v>115</v>
      </c>
      <c r="J20" s="8" t="s">
        <v>115</v>
      </c>
      <c r="K20" s="8" t="s">
        <v>115</v>
      </c>
      <c r="L20" s="8" t="s">
        <v>115</v>
      </c>
      <c r="M20" s="8" t="s">
        <v>115</v>
      </c>
      <c r="N20" s="8" t="s">
        <v>115</v>
      </c>
      <c r="O20" s="8" t="s">
        <v>115</v>
      </c>
      <c r="P20" s="8" t="s">
        <v>115</v>
      </c>
      <c r="Q20" s="8" t="s">
        <v>115</v>
      </c>
      <c r="R20" s="8" t="s">
        <v>115</v>
      </c>
      <c r="S20" s="8" t="s">
        <v>115</v>
      </c>
      <c r="T20" s="8" t="s">
        <v>115</v>
      </c>
      <c r="U20" s="8" t="s">
        <v>115</v>
      </c>
      <c r="V20" s="8" t="s">
        <v>115</v>
      </c>
      <c r="W20" s="8" t="s">
        <v>115</v>
      </c>
      <c r="X20" s="8" t="s">
        <v>115</v>
      </c>
      <c r="Y20" s="8" t="s">
        <v>115</v>
      </c>
      <c r="Z20" s="8" t="s">
        <v>115</v>
      </c>
      <c r="AA20" s="8" t="s">
        <v>115</v>
      </c>
      <c r="AB20" s="8" t="s">
        <v>115</v>
      </c>
      <c r="AC20" s="8" t="s">
        <v>115</v>
      </c>
      <c r="AD20" s="8" t="s">
        <v>115</v>
      </c>
      <c r="AE20" s="8" t="s">
        <v>115</v>
      </c>
      <c r="AJ20" s="20"/>
      <c r="AK20" s="20"/>
      <c r="AL20" s="20"/>
      <c r="AM20" s="20"/>
      <c r="AN20" s="20"/>
    </row>
    <row r="21" spans="1:40" x14ac:dyDescent="0.35">
      <c r="A21" s="7" t="s">
        <v>50</v>
      </c>
      <c r="B21" s="8" t="s">
        <v>65</v>
      </c>
      <c r="C21" s="8" t="s">
        <v>65</v>
      </c>
      <c r="D21" s="8" t="s">
        <v>65</v>
      </c>
      <c r="E21" s="8" t="s">
        <v>65</v>
      </c>
      <c r="F21" s="8" t="s">
        <v>65</v>
      </c>
      <c r="G21" s="8" t="s">
        <v>65</v>
      </c>
      <c r="H21" s="8" t="s">
        <v>65</v>
      </c>
      <c r="I21" s="8" t="s">
        <v>65</v>
      </c>
      <c r="J21" s="8" t="s">
        <v>65</v>
      </c>
      <c r="K21" s="8" t="s">
        <v>65</v>
      </c>
      <c r="L21" s="8" t="s">
        <v>65</v>
      </c>
      <c r="M21" s="8" t="s">
        <v>65</v>
      </c>
      <c r="N21" s="8" t="s">
        <v>65</v>
      </c>
      <c r="O21" s="8" t="s">
        <v>65</v>
      </c>
      <c r="P21" s="8" t="s">
        <v>65</v>
      </c>
      <c r="Q21" s="8"/>
      <c r="R21" s="8"/>
      <c r="S21" s="8"/>
      <c r="T21" s="8"/>
      <c r="U21" s="8"/>
      <c r="V21" s="8"/>
      <c r="W21" s="8"/>
      <c r="X21" s="8"/>
      <c r="Y21" s="8" t="s">
        <v>149</v>
      </c>
      <c r="Z21" s="26" t="s">
        <v>146</v>
      </c>
      <c r="AA21" s="8"/>
      <c r="AB21" s="8"/>
      <c r="AC21" s="8"/>
      <c r="AD21" s="8"/>
      <c r="AE21" s="8"/>
      <c r="AJ21" s="20"/>
      <c r="AK21" s="20"/>
      <c r="AL21" s="20"/>
      <c r="AM21" s="20"/>
      <c r="AN21" s="20"/>
    </row>
    <row r="22" spans="1:40" x14ac:dyDescent="0.35">
      <c r="A22" s="7" t="s">
        <v>51</v>
      </c>
      <c r="B22" s="8" t="s">
        <v>115</v>
      </c>
      <c r="C22" s="8" t="s">
        <v>115</v>
      </c>
      <c r="D22" s="8" t="s">
        <v>115</v>
      </c>
      <c r="E22" s="8" t="s">
        <v>115</v>
      </c>
      <c r="F22" s="8" t="s">
        <v>115</v>
      </c>
      <c r="G22" s="8" t="s">
        <v>115</v>
      </c>
      <c r="H22" s="8" t="s">
        <v>115</v>
      </c>
      <c r="I22" s="8" t="s">
        <v>115</v>
      </c>
      <c r="J22" s="8" t="s">
        <v>115</v>
      </c>
      <c r="K22" s="8" t="s">
        <v>115</v>
      </c>
      <c r="L22" s="8" t="s">
        <v>115</v>
      </c>
      <c r="M22" s="8" t="s">
        <v>115</v>
      </c>
      <c r="N22" s="8" t="s">
        <v>115</v>
      </c>
      <c r="O22" s="8" t="s">
        <v>115</v>
      </c>
      <c r="P22" s="8" t="s">
        <v>115</v>
      </c>
      <c r="Q22" s="8" t="s">
        <v>115</v>
      </c>
      <c r="R22" s="8" t="s">
        <v>115</v>
      </c>
      <c r="S22" s="8" t="s">
        <v>115</v>
      </c>
      <c r="T22" s="8" t="s">
        <v>115</v>
      </c>
      <c r="U22" s="8" t="s">
        <v>115</v>
      </c>
      <c r="V22" s="8" t="s">
        <v>115</v>
      </c>
      <c r="W22" s="8" t="s">
        <v>115</v>
      </c>
      <c r="X22" s="8" t="s">
        <v>115</v>
      </c>
      <c r="Y22" s="8" t="s">
        <v>115</v>
      </c>
      <c r="Z22" s="8" t="s">
        <v>115</v>
      </c>
      <c r="AA22" s="8" t="s">
        <v>115</v>
      </c>
      <c r="AB22" s="8" t="s">
        <v>115</v>
      </c>
      <c r="AC22" s="8" t="s">
        <v>115</v>
      </c>
      <c r="AD22" s="8" t="s">
        <v>115</v>
      </c>
      <c r="AE22" s="8" t="s">
        <v>115</v>
      </c>
      <c r="AJ22" s="20"/>
      <c r="AK22" s="20"/>
      <c r="AL22" s="20"/>
      <c r="AM22" s="20"/>
      <c r="AN22" s="20"/>
    </row>
    <row r="23" spans="1:40" x14ac:dyDescent="0.35">
      <c r="A23" s="10"/>
      <c r="B23" s="17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J23" s="20"/>
      <c r="AK23" s="20"/>
      <c r="AL23" s="20"/>
      <c r="AM23" s="20"/>
      <c r="AN23" s="20"/>
    </row>
    <row r="44" ht="13.5" customHeight="1" x14ac:dyDescent="0.35"/>
  </sheetData>
  <mergeCells count="1">
    <mergeCell ref="A1:AE1"/>
  </mergeCells>
  <conditionalFormatting sqref="B11:C11">
    <cfRule type="colorScale" priority="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3:I14 L13:U14 X13:AE14 Q21:AE21 D11:AE11 B15:AE20 B22:AE22 B5:AE10">
    <cfRule type="colorScale" priority="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21:P21">
    <cfRule type="colorScale" priority="2">
      <colorScale>
        <cfvo type="num" val="1"/>
        <cfvo type="max"/>
        <color theme="4" tint="0.59999389629810485"/>
        <color theme="5" tint="0.59999389629810485"/>
      </colorScale>
    </cfRule>
  </conditionalFormatting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361AC-ECB6-4A6B-A93C-66B1C9E6916E}">
  <dimension ref="A1:AQ44"/>
  <sheetViews>
    <sheetView zoomScale="80" zoomScaleNormal="80" workbookViewId="0">
      <pane xSplit="1" ySplit="4" topLeftCell="K5" activePane="bottomRight" state="frozen"/>
      <selection pane="topRight" activeCell="B1" sqref="B1"/>
      <selection pane="bottomLeft" activeCell="A5" sqref="A5"/>
      <selection pane="bottomRight" activeCell="Y9" sqref="Y9"/>
    </sheetView>
  </sheetViews>
  <sheetFormatPr defaultRowHeight="14.5" x14ac:dyDescent="0.35"/>
  <cols>
    <col min="1" max="1" width="29.54296875" bestFit="1" customWidth="1"/>
    <col min="2" max="7" width="8.7265625" bestFit="1" customWidth="1"/>
    <col min="8" max="10" width="12.1796875" bestFit="1" customWidth="1"/>
    <col min="11" max="11" width="6.81640625" bestFit="1" customWidth="1"/>
    <col min="12" max="12" width="8" bestFit="1" customWidth="1"/>
    <col min="13" max="15" width="8.26953125" bestFit="1" customWidth="1"/>
    <col min="16" max="16" width="6.81640625" bestFit="1" customWidth="1"/>
    <col min="17" max="23" width="7.453125" bestFit="1" customWidth="1"/>
    <col min="24" max="30" width="7.7265625" bestFit="1" customWidth="1"/>
    <col min="31" max="32" width="10.81640625" bestFit="1" customWidth="1"/>
    <col min="33" max="33" width="5.7265625" bestFit="1" customWidth="1"/>
    <col min="34" max="34" width="9.1796875" customWidth="1"/>
    <col min="35" max="35" width="8.54296875" hidden="1" customWidth="1"/>
    <col min="36" max="36" width="8.7265625" hidden="1" customWidth="1"/>
    <col min="37" max="37" width="0" hidden="1" customWidth="1"/>
    <col min="38" max="38" width="3.26953125" hidden="1" customWidth="1"/>
    <col min="39" max="39" width="21.7265625" hidden="1" customWidth="1"/>
    <col min="40" max="40" width="15" hidden="1" customWidth="1"/>
    <col min="41" max="41" width="10.81640625" hidden="1" customWidth="1"/>
    <col min="42" max="42" width="12.54296875" hidden="1" customWidth="1"/>
    <col min="43" max="43" width="94.1796875" hidden="1" customWidth="1"/>
  </cols>
  <sheetData>
    <row r="1" spans="1:43" ht="15.5" x14ac:dyDescent="0.35">
      <c r="A1" s="120" t="s">
        <v>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</row>
    <row r="2" spans="1:43" ht="15" thickBot="1" x14ac:dyDescent="0.4"/>
    <row r="3" spans="1:43" ht="45.75" customHeight="1" x14ac:dyDescent="0.35">
      <c r="A3" s="1" t="s">
        <v>1</v>
      </c>
      <c r="B3" s="2">
        <f>AI4</f>
        <v>44896</v>
      </c>
      <c r="C3" s="2">
        <f t="shared" ref="C3:AF3" si="0">B3+1</f>
        <v>44897</v>
      </c>
      <c r="D3" s="2">
        <f t="shared" si="0"/>
        <v>44898</v>
      </c>
      <c r="E3" s="2">
        <f t="shared" si="0"/>
        <v>44899</v>
      </c>
      <c r="F3" s="2">
        <f t="shared" si="0"/>
        <v>44900</v>
      </c>
      <c r="G3" s="2">
        <f t="shared" si="0"/>
        <v>44901</v>
      </c>
      <c r="H3" s="2">
        <f t="shared" si="0"/>
        <v>44902</v>
      </c>
      <c r="I3" s="32">
        <f>H3+1</f>
        <v>44903</v>
      </c>
      <c r="J3" s="32">
        <f t="shared" si="0"/>
        <v>44904</v>
      </c>
      <c r="K3" s="2">
        <f t="shared" si="0"/>
        <v>44905</v>
      </c>
      <c r="L3" s="2">
        <f t="shared" si="0"/>
        <v>44906</v>
      </c>
      <c r="M3" s="2">
        <f t="shared" si="0"/>
        <v>44907</v>
      </c>
      <c r="N3" s="2">
        <f t="shared" si="0"/>
        <v>44908</v>
      </c>
      <c r="O3" s="2">
        <f t="shared" si="0"/>
        <v>44909</v>
      </c>
      <c r="P3" s="2">
        <f t="shared" si="0"/>
        <v>44910</v>
      </c>
      <c r="Q3" s="2">
        <f t="shared" si="0"/>
        <v>44911</v>
      </c>
      <c r="R3" s="2">
        <f t="shared" si="0"/>
        <v>44912</v>
      </c>
      <c r="S3" s="2">
        <f t="shared" si="0"/>
        <v>44913</v>
      </c>
      <c r="T3" s="2">
        <f t="shared" si="0"/>
        <v>44914</v>
      </c>
      <c r="U3" s="2">
        <f t="shared" si="0"/>
        <v>44915</v>
      </c>
      <c r="V3" s="2">
        <f t="shared" si="0"/>
        <v>44916</v>
      </c>
      <c r="W3" s="2">
        <f t="shared" si="0"/>
        <v>44917</v>
      </c>
      <c r="X3" s="2">
        <f t="shared" si="0"/>
        <v>44918</v>
      </c>
      <c r="Y3" s="2">
        <f t="shared" si="0"/>
        <v>44919</v>
      </c>
      <c r="Z3" s="2">
        <f t="shared" si="0"/>
        <v>44920</v>
      </c>
      <c r="AA3" s="2">
        <f t="shared" si="0"/>
        <v>44921</v>
      </c>
      <c r="AB3" s="2">
        <f t="shared" si="0"/>
        <v>44922</v>
      </c>
      <c r="AC3" s="2">
        <f t="shared" si="0"/>
        <v>44923</v>
      </c>
      <c r="AD3" s="2">
        <f t="shared" si="0"/>
        <v>44924</v>
      </c>
      <c r="AE3" s="2">
        <f t="shared" si="0"/>
        <v>44925</v>
      </c>
      <c r="AF3" s="2">
        <f t="shared" si="0"/>
        <v>44926</v>
      </c>
      <c r="AG3" s="36"/>
      <c r="AH3" s="36"/>
    </row>
    <row r="4" spans="1:43" ht="31.5" customHeight="1" x14ac:dyDescent="0.35">
      <c r="A4" s="3" t="s">
        <v>2</v>
      </c>
      <c r="B4" s="4">
        <f t="shared" ref="B4:AF4" si="1">B3</f>
        <v>44896</v>
      </c>
      <c r="C4" s="4">
        <f t="shared" si="1"/>
        <v>44897</v>
      </c>
      <c r="D4" s="4">
        <f t="shared" si="1"/>
        <v>44898</v>
      </c>
      <c r="E4" s="4">
        <f t="shared" si="1"/>
        <v>44899</v>
      </c>
      <c r="F4" s="4">
        <f t="shared" si="1"/>
        <v>44900</v>
      </c>
      <c r="G4" s="4">
        <f t="shared" si="1"/>
        <v>44901</v>
      </c>
      <c r="H4" s="4">
        <f t="shared" si="1"/>
        <v>44902</v>
      </c>
      <c r="I4" s="33">
        <f t="shared" si="1"/>
        <v>44903</v>
      </c>
      <c r="J4" s="33">
        <f t="shared" si="1"/>
        <v>44904</v>
      </c>
      <c r="K4" s="4">
        <f t="shared" si="1"/>
        <v>44905</v>
      </c>
      <c r="L4" s="4">
        <f t="shared" si="1"/>
        <v>44906</v>
      </c>
      <c r="M4" s="4">
        <f t="shared" si="1"/>
        <v>44907</v>
      </c>
      <c r="N4" s="4">
        <f t="shared" si="1"/>
        <v>44908</v>
      </c>
      <c r="O4" s="4">
        <f t="shared" si="1"/>
        <v>44909</v>
      </c>
      <c r="P4" s="4">
        <f t="shared" si="1"/>
        <v>44910</v>
      </c>
      <c r="Q4" s="4">
        <f t="shared" si="1"/>
        <v>44911</v>
      </c>
      <c r="R4" s="4">
        <f t="shared" si="1"/>
        <v>44912</v>
      </c>
      <c r="S4" s="4">
        <f t="shared" si="1"/>
        <v>44913</v>
      </c>
      <c r="T4" s="4">
        <f t="shared" si="1"/>
        <v>44914</v>
      </c>
      <c r="U4" s="4">
        <f t="shared" si="1"/>
        <v>44915</v>
      </c>
      <c r="V4" s="4">
        <f t="shared" si="1"/>
        <v>44916</v>
      </c>
      <c r="W4" s="4">
        <f t="shared" si="1"/>
        <v>44917</v>
      </c>
      <c r="X4" s="4">
        <f t="shared" si="1"/>
        <v>44918</v>
      </c>
      <c r="Y4" s="4">
        <f t="shared" si="1"/>
        <v>44919</v>
      </c>
      <c r="Z4" s="4">
        <f t="shared" si="1"/>
        <v>44920</v>
      </c>
      <c r="AA4" s="4">
        <f t="shared" si="1"/>
        <v>44921</v>
      </c>
      <c r="AB4" s="4">
        <f t="shared" si="1"/>
        <v>44922</v>
      </c>
      <c r="AC4" s="4">
        <f t="shared" si="1"/>
        <v>44923</v>
      </c>
      <c r="AD4" s="4">
        <f t="shared" si="1"/>
        <v>44924</v>
      </c>
      <c r="AE4" s="4">
        <f t="shared" si="1"/>
        <v>44925</v>
      </c>
      <c r="AF4" s="4">
        <f t="shared" si="1"/>
        <v>44926</v>
      </c>
      <c r="AG4" s="39" t="s">
        <v>174</v>
      </c>
      <c r="AH4" s="40" t="s">
        <v>175</v>
      </c>
      <c r="AI4" s="5">
        <v>44896</v>
      </c>
      <c r="AJ4" s="6">
        <f>EOMONTH(AI4,0)</f>
        <v>44926</v>
      </c>
      <c r="AM4" s="19" t="s">
        <v>54</v>
      </c>
      <c r="AN4" s="19" t="s">
        <v>58</v>
      </c>
      <c r="AO4" s="19" t="s">
        <v>55</v>
      </c>
      <c r="AP4" s="19" t="s">
        <v>56</v>
      </c>
      <c r="AQ4" s="19" t="s">
        <v>57</v>
      </c>
    </row>
    <row r="5" spans="1:43" x14ac:dyDescent="0.35">
      <c r="A5" s="7" t="s">
        <v>3</v>
      </c>
      <c r="B5" s="8" t="s">
        <v>177</v>
      </c>
      <c r="C5" s="8"/>
      <c r="D5" s="8"/>
      <c r="E5" s="8"/>
      <c r="F5" s="8"/>
      <c r="G5" s="8"/>
      <c r="H5" s="8"/>
      <c r="I5" s="34" t="s">
        <v>152</v>
      </c>
      <c r="J5" s="34" t="s">
        <v>152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41">
        <f>COUNTA(B5:AF5)</f>
        <v>3</v>
      </c>
      <c r="AH5" s="42">
        <f>AG5*100/31</f>
        <v>9.67741935483871</v>
      </c>
      <c r="AM5" s="20"/>
      <c r="AN5" s="20"/>
      <c r="AO5" s="20"/>
      <c r="AP5" s="20"/>
      <c r="AQ5" s="20"/>
    </row>
    <row r="6" spans="1:43" x14ac:dyDescent="0.35">
      <c r="A6" s="7" t="s">
        <v>7</v>
      </c>
      <c r="B6" s="8"/>
      <c r="C6" s="8"/>
      <c r="D6" s="8"/>
      <c r="E6" s="8"/>
      <c r="F6" s="8"/>
      <c r="G6" s="8"/>
      <c r="H6" s="8"/>
      <c r="I6" s="34" t="s">
        <v>154</v>
      </c>
      <c r="J6" s="34" t="s">
        <v>154</v>
      </c>
      <c r="K6" s="8"/>
      <c r="L6" s="8"/>
      <c r="M6" s="8" t="s">
        <v>9</v>
      </c>
      <c r="N6" s="8" t="s">
        <v>9</v>
      </c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41">
        <f t="shared" ref="AG6:AG11" si="2">COUNTA(B6:AF6)</f>
        <v>4</v>
      </c>
      <c r="AH6" s="42">
        <f>AG6*100/31</f>
        <v>12.903225806451612</v>
      </c>
      <c r="AM6" s="20"/>
      <c r="AN6" s="20"/>
      <c r="AO6" s="21"/>
      <c r="AP6" s="21"/>
      <c r="AQ6" s="20"/>
    </row>
    <row r="7" spans="1:43" x14ac:dyDescent="0.35">
      <c r="A7" s="7" t="s">
        <v>11</v>
      </c>
      <c r="B7" s="8"/>
      <c r="C7" s="8"/>
      <c r="D7" s="8"/>
      <c r="E7" s="8"/>
      <c r="F7" s="8"/>
      <c r="G7" s="8"/>
      <c r="H7" s="8"/>
      <c r="I7" s="34" t="s">
        <v>153</v>
      </c>
      <c r="J7" s="34" t="s">
        <v>153</v>
      </c>
      <c r="K7" s="8"/>
      <c r="L7" s="8"/>
      <c r="M7" s="8" t="s">
        <v>48</v>
      </c>
      <c r="N7" s="8" t="s">
        <v>48</v>
      </c>
      <c r="O7" s="8"/>
      <c r="P7" s="8"/>
      <c r="Q7" s="8"/>
      <c r="R7" s="8"/>
      <c r="S7" s="8"/>
      <c r="T7" s="8"/>
      <c r="U7" s="8"/>
      <c r="V7" s="8"/>
      <c r="W7" s="8"/>
      <c r="X7" s="8" t="s">
        <v>186</v>
      </c>
      <c r="Y7" s="8" t="s">
        <v>186</v>
      </c>
      <c r="Z7" s="8" t="s">
        <v>186</v>
      </c>
      <c r="AA7" s="8" t="s">
        <v>186</v>
      </c>
      <c r="AB7" s="8" t="s">
        <v>186</v>
      </c>
      <c r="AC7" s="8" t="s">
        <v>186</v>
      </c>
      <c r="AD7" s="8" t="s">
        <v>186</v>
      </c>
      <c r="AE7" s="8" t="s">
        <v>186</v>
      </c>
      <c r="AF7" s="8"/>
      <c r="AG7" s="41">
        <f t="shared" si="2"/>
        <v>12</v>
      </c>
      <c r="AH7" s="42">
        <f t="shared" ref="AH7:AH11" si="3">AG7*100/31</f>
        <v>38.70967741935484</v>
      </c>
      <c r="AM7" s="20"/>
      <c r="AN7" s="20"/>
      <c r="AO7" s="20"/>
      <c r="AP7" s="21"/>
      <c r="AQ7" s="20"/>
    </row>
    <row r="8" spans="1:43" ht="15" customHeight="1" x14ac:dyDescent="0.35">
      <c r="A8" s="7" t="s">
        <v>15</v>
      </c>
      <c r="B8" s="8"/>
      <c r="C8" s="8"/>
      <c r="D8" s="8"/>
      <c r="E8" s="8"/>
      <c r="F8" s="8" t="s">
        <v>37</v>
      </c>
      <c r="G8" s="8" t="s">
        <v>37</v>
      </c>
      <c r="H8" s="8" t="s">
        <v>37</v>
      </c>
      <c r="I8" s="34" t="s">
        <v>37</v>
      </c>
      <c r="J8" s="34" t="s">
        <v>37</v>
      </c>
      <c r="K8" s="8"/>
      <c r="L8" s="8" t="s">
        <v>170</v>
      </c>
      <c r="M8" s="8" t="s">
        <v>170</v>
      </c>
      <c r="N8" s="8" t="s">
        <v>170</v>
      </c>
      <c r="O8" s="8" t="s">
        <v>170</v>
      </c>
      <c r="P8" s="8"/>
      <c r="Q8" s="8"/>
      <c r="R8" s="8"/>
      <c r="S8" s="8"/>
      <c r="T8" s="8"/>
      <c r="U8" s="8" t="s">
        <v>184</v>
      </c>
      <c r="V8" s="8" t="s">
        <v>184</v>
      </c>
      <c r="W8" s="8" t="s">
        <v>184</v>
      </c>
      <c r="X8" s="8" t="s">
        <v>184</v>
      </c>
      <c r="Y8" s="8"/>
      <c r="Z8" s="8"/>
      <c r="AA8" s="8"/>
      <c r="AB8" s="8"/>
      <c r="AC8" s="8"/>
      <c r="AD8" s="8"/>
      <c r="AE8" s="8"/>
      <c r="AF8" s="8"/>
      <c r="AG8" s="41">
        <f t="shared" si="2"/>
        <v>13</v>
      </c>
      <c r="AH8" s="42">
        <f t="shared" si="3"/>
        <v>41.935483870967744</v>
      </c>
      <c r="AK8" s="9"/>
      <c r="AM8" s="20"/>
      <c r="AN8" s="20"/>
      <c r="AO8" s="20"/>
      <c r="AP8" s="21"/>
      <c r="AQ8" s="20"/>
    </row>
    <row r="9" spans="1:43" ht="15.75" customHeight="1" x14ac:dyDescent="0.35">
      <c r="A9" s="7" t="s">
        <v>18</v>
      </c>
      <c r="B9" s="8"/>
      <c r="C9" s="8"/>
      <c r="D9" s="8"/>
      <c r="E9" s="8"/>
      <c r="F9" s="8" t="s">
        <v>79</v>
      </c>
      <c r="G9" s="8" t="s">
        <v>79</v>
      </c>
      <c r="H9" s="8" t="s">
        <v>79</v>
      </c>
      <c r="I9" s="34" t="s">
        <v>155</v>
      </c>
      <c r="J9" s="34" t="s">
        <v>155</v>
      </c>
      <c r="K9" s="8" t="s">
        <v>80</v>
      </c>
      <c r="L9" s="8" t="s">
        <v>80</v>
      </c>
      <c r="M9" s="8" t="s">
        <v>80</v>
      </c>
      <c r="N9" s="8" t="s">
        <v>80</v>
      </c>
      <c r="O9" s="8" t="s">
        <v>80</v>
      </c>
      <c r="P9" s="8" t="s">
        <v>80</v>
      </c>
      <c r="Q9" s="8" t="s">
        <v>80</v>
      </c>
      <c r="R9" s="8"/>
      <c r="S9" s="8"/>
      <c r="T9" s="8"/>
      <c r="U9" s="8" t="s">
        <v>184</v>
      </c>
      <c r="V9" s="8" t="s">
        <v>184</v>
      </c>
      <c r="W9" s="8" t="s">
        <v>184</v>
      </c>
      <c r="X9" s="8" t="s">
        <v>184</v>
      </c>
      <c r="Y9" s="8"/>
      <c r="Z9" s="8"/>
      <c r="AA9" s="8"/>
      <c r="AB9" s="8"/>
      <c r="AC9" s="8"/>
      <c r="AD9" s="8"/>
      <c r="AE9" s="8" t="s">
        <v>189</v>
      </c>
      <c r="AF9" s="8" t="s">
        <v>189</v>
      </c>
      <c r="AG9" s="41">
        <f t="shared" si="2"/>
        <v>18</v>
      </c>
      <c r="AH9" s="42">
        <f t="shared" si="3"/>
        <v>58.064516129032256</v>
      </c>
      <c r="AM9" s="20"/>
      <c r="AN9" s="20"/>
      <c r="AO9" s="20"/>
      <c r="AP9" s="21"/>
      <c r="AQ9" s="20"/>
    </row>
    <row r="10" spans="1:43" ht="15.75" customHeight="1" x14ac:dyDescent="0.35">
      <c r="A10" s="7" t="s">
        <v>20</v>
      </c>
      <c r="B10" s="8"/>
      <c r="C10" s="8"/>
      <c r="D10" s="8"/>
      <c r="E10" s="8"/>
      <c r="F10" s="8" t="s">
        <v>161</v>
      </c>
      <c r="G10" s="8" t="s">
        <v>161</v>
      </c>
      <c r="H10" s="8" t="s">
        <v>161</v>
      </c>
      <c r="I10" s="34" t="s">
        <v>156</v>
      </c>
      <c r="J10" s="34" t="s">
        <v>156</v>
      </c>
      <c r="K10" s="8"/>
      <c r="L10" s="8"/>
      <c r="M10" s="8" t="s">
        <v>171</v>
      </c>
      <c r="N10" s="8"/>
      <c r="O10" s="8"/>
      <c r="P10" s="8"/>
      <c r="Q10" s="8"/>
      <c r="R10" s="8"/>
      <c r="S10" s="8"/>
      <c r="T10" s="8"/>
      <c r="U10" s="8"/>
      <c r="V10" s="8"/>
      <c r="W10" s="8" t="s">
        <v>25</v>
      </c>
      <c r="X10" s="8" t="s">
        <v>25</v>
      </c>
      <c r="Y10" s="8"/>
      <c r="Z10" s="8"/>
      <c r="AA10" s="8"/>
      <c r="AB10" s="8"/>
      <c r="AC10" s="8"/>
      <c r="AD10" s="8"/>
      <c r="AE10" s="8"/>
      <c r="AF10" s="8"/>
      <c r="AG10" s="41">
        <f t="shared" si="2"/>
        <v>8</v>
      </c>
      <c r="AH10" s="42">
        <f t="shared" si="3"/>
        <v>25.806451612903224</v>
      </c>
      <c r="AM10" s="20"/>
      <c r="AN10" s="20"/>
      <c r="AO10" s="20"/>
      <c r="AP10" s="20"/>
      <c r="AQ10" s="20"/>
    </row>
    <row r="11" spans="1:43" ht="15.75" customHeight="1" thickBot="1" x14ac:dyDescent="0.4">
      <c r="A11" s="7" t="s">
        <v>24</v>
      </c>
      <c r="B11" s="8"/>
      <c r="C11" s="8"/>
      <c r="D11" s="8"/>
      <c r="E11" s="8"/>
      <c r="F11" s="8"/>
      <c r="G11" s="8"/>
      <c r="H11" s="8"/>
      <c r="I11" s="34" t="s">
        <v>164</v>
      </c>
      <c r="J11" s="34" t="s">
        <v>164</v>
      </c>
      <c r="K11" s="8"/>
      <c r="L11" s="8"/>
      <c r="M11" s="8" t="s">
        <v>172</v>
      </c>
      <c r="N11" s="8"/>
      <c r="O11" s="8"/>
      <c r="P11" s="8"/>
      <c r="Q11" s="8"/>
      <c r="R11" s="8"/>
      <c r="S11" s="8"/>
      <c r="T11" s="8"/>
      <c r="U11" s="8"/>
      <c r="V11" s="8"/>
      <c r="W11" s="8" t="s">
        <v>184</v>
      </c>
      <c r="X11" s="8" t="s">
        <v>184</v>
      </c>
      <c r="Y11" s="8"/>
      <c r="Z11" s="8" t="s">
        <v>187</v>
      </c>
      <c r="AA11" s="8" t="s">
        <v>187</v>
      </c>
      <c r="AB11" s="8" t="s">
        <v>187</v>
      </c>
      <c r="AC11" s="8" t="s">
        <v>187</v>
      </c>
      <c r="AD11" s="8" t="s">
        <v>187</v>
      </c>
      <c r="AE11" s="8"/>
      <c r="AF11" s="8"/>
      <c r="AG11" s="41">
        <f t="shared" si="2"/>
        <v>10</v>
      </c>
      <c r="AH11" s="42">
        <f t="shared" si="3"/>
        <v>32.258064516129032</v>
      </c>
      <c r="AM11" s="20"/>
      <c r="AN11" s="20"/>
      <c r="AO11" s="20"/>
      <c r="AP11" s="20"/>
      <c r="AQ11" s="20"/>
    </row>
    <row r="12" spans="1:43" ht="15" customHeight="1" x14ac:dyDescent="0.35">
      <c r="A12" s="45" t="s">
        <v>176</v>
      </c>
      <c r="B12" s="46">
        <f>COUNTA(B5:B11)</f>
        <v>1</v>
      </c>
      <c r="C12" s="46">
        <f t="shared" ref="C12:M12" si="4">COUNTA(C5:C11)</f>
        <v>0</v>
      </c>
      <c r="D12" s="46">
        <f t="shared" si="4"/>
        <v>0</v>
      </c>
      <c r="E12" s="46">
        <f t="shared" si="4"/>
        <v>0</v>
      </c>
      <c r="F12" s="46">
        <f t="shared" si="4"/>
        <v>3</v>
      </c>
      <c r="G12" s="46">
        <f t="shared" si="4"/>
        <v>3</v>
      </c>
      <c r="H12" s="46">
        <f t="shared" si="4"/>
        <v>3</v>
      </c>
      <c r="I12" s="46">
        <f t="shared" si="4"/>
        <v>7</v>
      </c>
      <c r="J12" s="46">
        <f t="shared" si="4"/>
        <v>7</v>
      </c>
      <c r="K12" s="46">
        <f t="shared" si="4"/>
        <v>1</v>
      </c>
      <c r="L12" s="46">
        <f t="shared" si="4"/>
        <v>2</v>
      </c>
      <c r="M12" s="46">
        <f t="shared" si="4"/>
        <v>6</v>
      </c>
      <c r="N12" s="46">
        <f t="shared" ref="N12" si="5">COUNTA(N5:N11)</f>
        <v>4</v>
      </c>
      <c r="O12" s="46">
        <f t="shared" ref="O12" si="6">COUNTA(O5:O11)</f>
        <v>2</v>
      </c>
      <c r="P12" s="46">
        <f t="shared" ref="P12" si="7">COUNTA(P5:P11)</f>
        <v>1</v>
      </c>
      <c r="Q12" s="46">
        <f t="shared" ref="Q12" si="8">COUNTA(Q5:Q11)</f>
        <v>1</v>
      </c>
      <c r="R12" s="46">
        <f t="shared" ref="R12" si="9">COUNTA(R5:R11)</f>
        <v>0</v>
      </c>
      <c r="S12" s="46">
        <f t="shared" ref="S12" si="10">COUNTA(S5:S11)</f>
        <v>0</v>
      </c>
      <c r="T12" s="46">
        <f t="shared" ref="T12" si="11">COUNTA(T5:T11)</f>
        <v>0</v>
      </c>
      <c r="U12" s="46">
        <f t="shared" ref="U12" si="12">COUNTA(U5:U11)</f>
        <v>2</v>
      </c>
      <c r="V12" s="46">
        <f t="shared" ref="V12" si="13">COUNTA(V5:V11)</f>
        <v>2</v>
      </c>
      <c r="W12" s="46">
        <f t="shared" ref="W12" si="14">COUNTA(W5:W11)</f>
        <v>4</v>
      </c>
      <c r="X12" s="46">
        <f t="shared" ref="X12" si="15">COUNTA(X5:X11)</f>
        <v>5</v>
      </c>
      <c r="Y12" s="46">
        <f t="shared" ref="Y12" si="16">COUNTA(Y5:Y11)</f>
        <v>1</v>
      </c>
      <c r="Z12" s="46">
        <f t="shared" ref="Z12" si="17">COUNTA(Z5:Z11)</f>
        <v>2</v>
      </c>
      <c r="AA12" s="46">
        <f t="shared" ref="AA12" si="18">COUNTA(AA5:AA11)</f>
        <v>2</v>
      </c>
      <c r="AB12" s="46">
        <f t="shared" ref="AB12" si="19">COUNTA(AB5:AB11)</f>
        <v>2</v>
      </c>
      <c r="AC12" s="46">
        <f t="shared" ref="AC12" si="20">COUNTA(AC5:AC11)</f>
        <v>2</v>
      </c>
      <c r="AD12" s="46">
        <f t="shared" ref="AD12" si="21">COUNTA(AD5:AD11)</f>
        <v>2</v>
      </c>
      <c r="AE12" s="46">
        <f t="shared" ref="AE12" si="22">COUNTA(AE5:AE11)</f>
        <v>2</v>
      </c>
      <c r="AF12" s="46">
        <f t="shared" ref="AF12" si="23">COUNTA(AF5:AF11)</f>
        <v>1</v>
      </c>
      <c r="AG12" s="43">
        <f t="shared" ref="AG12" si="24">SUM(AG5:AG11)</f>
        <v>68</v>
      </c>
      <c r="AH12" s="44">
        <f>AVERAGE(AH5:AH11)</f>
        <v>31.336405529953915</v>
      </c>
      <c r="AI12" s="29"/>
      <c r="AM12" s="20"/>
      <c r="AN12" s="20"/>
      <c r="AO12" s="20"/>
      <c r="AP12" s="20"/>
      <c r="AQ12" s="20"/>
    </row>
    <row r="13" spans="1:43" ht="51" hidden="1" customHeight="1" x14ac:dyDescent="0.35">
      <c r="A13" s="13" t="s">
        <v>28</v>
      </c>
      <c r="B13" s="14"/>
      <c r="C13" s="14"/>
      <c r="D13" s="14"/>
      <c r="E13" s="14"/>
      <c r="F13" s="14"/>
      <c r="G13" s="14"/>
      <c r="H13" s="14"/>
      <c r="I13" s="35"/>
      <c r="J13" s="34"/>
      <c r="K13" s="15"/>
      <c r="L13" s="14"/>
      <c r="M13" s="14"/>
      <c r="N13" s="25"/>
      <c r="O13" s="25"/>
      <c r="P13" s="25"/>
      <c r="Q13" s="14"/>
      <c r="R13" s="14"/>
      <c r="S13" s="14"/>
      <c r="T13" s="14"/>
      <c r="U13" s="14"/>
      <c r="V13" s="15"/>
      <c r="W13" s="15"/>
      <c r="X13" s="14"/>
      <c r="Y13" s="14"/>
      <c r="Z13" s="14"/>
      <c r="AA13" s="14"/>
      <c r="AB13" s="14"/>
      <c r="AC13" s="14"/>
      <c r="AD13" s="14"/>
      <c r="AE13" s="14"/>
      <c r="AF13" s="14"/>
      <c r="AG13" s="37"/>
      <c r="AH13" s="37"/>
      <c r="AM13" s="20"/>
      <c r="AN13" s="20"/>
      <c r="AO13" s="20"/>
      <c r="AP13" s="20"/>
      <c r="AQ13" s="20"/>
    </row>
    <row r="14" spans="1:43" ht="28.5" hidden="1" x14ac:dyDescent="0.35">
      <c r="A14" s="16" t="s">
        <v>29</v>
      </c>
      <c r="B14" s="14"/>
      <c r="C14" s="14"/>
      <c r="D14" s="14"/>
      <c r="E14" s="14"/>
      <c r="F14" s="14"/>
      <c r="G14" s="14"/>
      <c r="H14" s="14"/>
      <c r="I14" s="35"/>
      <c r="J14" s="34"/>
      <c r="K14" s="15"/>
      <c r="L14" s="14"/>
      <c r="M14" s="14"/>
      <c r="N14" s="25"/>
      <c r="O14" s="25"/>
      <c r="P14" s="25"/>
      <c r="Q14" s="14"/>
      <c r="R14" s="14"/>
      <c r="S14" s="14"/>
      <c r="T14" s="14"/>
      <c r="U14" s="14"/>
      <c r="V14" s="15"/>
      <c r="W14" s="15"/>
      <c r="X14" s="14"/>
      <c r="Y14" s="14"/>
      <c r="Z14" s="14"/>
      <c r="AA14" s="14"/>
      <c r="AB14" s="14"/>
      <c r="AC14" s="14"/>
      <c r="AD14" s="14"/>
      <c r="AE14" s="14"/>
      <c r="AF14" s="14"/>
      <c r="AG14" s="37"/>
      <c r="AH14" s="37"/>
      <c r="AM14" s="20"/>
      <c r="AN14" s="20"/>
      <c r="AO14" s="20"/>
      <c r="AP14" s="20"/>
      <c r="AQ14" s="20"/>
    </row>
    <row r="15" spans="1:43" x14ac:dyDescent="0.35">
      <c r="A15" s="7" t="s">
        <v>30</v>
      </c>
      <c r="B15" s="8"/>
      <c r="C15" s="8"/>
      <c r="D15" s="8"/>
      <c r="E15" s="8"/>
      <c r="F15" s="8"/>
      <c r="G15" s="8"/>
      <c r="H15" s="8"/>
      <c r="I15" s="34" t="s">
        <v>158</v>
      </c>
      <c r="J15" s="34" t="s">
        <v>158</v>
      </c>
      <c r="K15" s="8"/>
      <c r="L15" s="8"/>
      <c r="M15" s="8"/>
      <c r="N15" s="8"/>
      <c r="O15" s="8"/>
      <c r="P15" s="8"/>
      <c r="Q15" s="8"/>
      <c r="R15" s="8" t="s">
        <v>86</v>
      </c>
      <c r="S15" s="8" t="s">
        <v>86</v>
      </c>
      <c r="T15" s="8" t="s">
        <v>86</v>
      </c>
      <c r="U15" s="8" t="s">
        <v>86</v>
      </c>
      <c r="V15" s="8" t="s">
        <v>86</v>
      </c>
      <c r="W15" s="8" t="s">
        <v>86</v>
      </c>
      <c r="X15" s="8" t="s">
        <v>186</v>
      </c>
      <c r="Y15" s="8" t="s">
        <v>186</v>
      </c>
      <c r="Z15" s="8" t="s">
        <v>186</v>
      </c>
      <c r="AA15" s="8" t="s">
        <v>186</v>
      </c>
      <c r="AB15" s="8" t="s">
        <v>186</v>
      </c>
      <c r="AC15" s="8" t="s">
        <v>186</v>
      </c>
      <c r="AD15" s="8" t="s">
        <v>186</v>
      </c>
      <c r="AE15" s="8" t="s">
        <v>186</v>
      </c>
      <c r="AF15" s="8"/>
      <c r="AG15" s="41">
        <f>COUNTA(B15:AF15)</f>
        <v>16</v>
      </c>
      <c r="AH15" s="42">
        <f>AG15*100/31</f>
        <v>51.612903225806448</v>
      </c>
      <c r="AM15" s="20"/>
      <c r="AN15" s="20"/>
      <c r="AO15" s="20"/>
      <c r="AP15" s="20"/>
      <c r="AQ15" s="20"/>
    </row>
    <row r="16" spans="1:43" x14ac:dyDescent="0.35">
      <c r="A16" s="7" t="s">
        <v>35</v>
      </c>
      <c r="B16" s="8"/>
      <c r="C16" s="8"/>
      <c r="D16" s="8"/>
      <c r="E16" s="8"/>
      <c r="F16" s="8"/>
      <c r="G16" s="8"/>
      <c r="H16" s="8"/>
      <c r="I16" s="34" t="s">
        <v>159</v>
      </c>
      <c r="J16" s="34" t="s">
        <v>159</v>
      </c>
      <c r="K16" s="8"/>
      <c r="L16" s="8"/>
      <c r="M16" s="8" t="s">
        <v>173</v>
      </c>
      <c r="N16" s="8"/>
      <c r="O16" s="8"/>
      <c r="P16" s="8"/>
      <c r="Q16" s="8"/>
      <c r="R16" s="8" t="s">
        <v>182</v>
      </c>
      <c r="S16" s="8" t="s">
        <v>182</v>
      </c>
      <c r="T16" s="8" t="s">
        <v>182</v>
      </c>
      <c r="U16" s="8"/>
      <c r="V16" s="8"/>
      <c r="W16" s="8" t="s">
        <v>184</v>
      </c>
      <c r="X16" s="8" t="s">
        <v>184</v>
      </c>
      <c r="Y16" s="8"/>
      <c r="Z16" s="8"/>
      <c r="AA16" s="8"/>
      <c r="AB16" s="8" t="s">
        <v>187</v>
      </c>
      <c r="AC16" s="8" t="s">
        <v>187</v>
      </c>
      <c r="AD16" s="8" t="s">
        <v>187</v>
      </c>
      <c r="AE16" s="8"/>
      <c r="AF16" s="8"/>
      <c r="AG16" s="41">
        <f t="shared" ref="AG16:AG22" si="25">COUNTA(B16:AF16)</f>
        <v>11</v>
      </c>
      <c r="AH16" s="42">
        <f>AG16*100/31</f>
        <v>35.483870967741936</v>
      </c>
      <c r="AM16" s="20"/>
      <c r="AN16" s="20"/>
      <c r="AO16" s="20"/>
      <c r="AP16" s="20"/>
      <c r="AQ16" s="20"/>
    </row>
    <row r="17" spans="1:43" x14ac:dyDescent="0.35">
      <c r="A17" s="7" t="s">
        <v>39</v>
      </c>
      <c r="B17" s="8"/>
      <c r="C17" s="8"/>
      <c r="D17" s="8"/>
      <c r="E17" s="8"/>
      <c r="F17" s="8"/>
      <c r="G17" s="8"/>
      <c r="H17" s="8"/>
      <c r="I17" s="34" t="s">
        <v>157</v>
      </c>
      <c r="J17" s="34" t="s">
        <v>157</v>
      </c>
      <c r="K17" s="8"/>
      <c r="L17" s="8"/>
      <c r="M17" s="8" t="s">
        <v>173</v>
      </c>
      <c r="N17" s="8"/>
      <c r="O17" s="8"/>
      <c r="P17" s="8"/>
      <c r="Q17" s="8" t="s">
        <v>181</v>
      </c>
      <c r="R17" s="8" t="s">
        <v>181</v>
      </c>
      <c r="S17" s="8" t="s">
        <v>181</v>
      </c>
      <c r="T17" s="8" t="s">
        <v>181</v>
      </c>
      <c r="U17" s="8" t="s">
        <v>181</v>
      </c>
      <c r="V17" s="8" t="s">
        <v>181</v>
      </c>
      <c r="W17" s="8" t="s">
        <v>181</v>
      </c>
      <c r="X17" s="8" t="s">
        <v>181</v>
      </c>
      <c r="Y17" s="8"/>
      <c r="Z17" s="8"/>
      <c r="AA17" s="8"/>
      <c r="AB17" s="8"/>
      <c r="AC17" s="8" t="s">
        <v>188</v>
      </c>
      <c r="AD17" s="8" t="s">
        <v>188</v>
      </c>
      <c r="AE17" s="8" t="s">
        <v>188</v>
      </c>
      <c r="AF17" s="8" t="s">
        <v>188</v>
      </c>
      <c r="AG17" s="41">
        <f t="shared" si="25"/>
        <v>15</v>
      </c>
      <c r="AH17" s="42">
        <f t="shared" ref="AH17:AH22" si="26">AG17*100/31</f>
        <v>48.387096774193552</v>
      </c>
      <c r="AM17" s="20"/>
      <c r="AN17" s="20"/>
      <c r="AO17" s="20"/>
      <c r="AP17" s="20"/>
      <c r="AQ17" s="20"/>
    </row>
    <row r="18" spans="1:43" x14ac:dyDescent="0.35">
      <c r="A18" s="7" t="s">
        <v>42</v>
      </c>
      <c r="B18" s="8"/>
      <c r="C18" s="8"/>
      <c r="D18" s="8"/>
      <c r="E18" s="8"/>
      <c r="F18" s="8" t="s">
        <v>13</v>
      </c>
      <c r="G18" s="8"/>
      <c r="H18" s="8"/>
      <c r="I18" s="34" t="s">
        <v>161</v>
      </c>
      <c r="J18" s="34" t="s">
        <v>161</v>
      </c>
      <c r="K18" s="8"/>
      <c r="L18" s="8"/>
      <c r="M18" s="8"/>
      <c r="N18" s="8" t="s">
        <v>70</v>
      </c>
      <c r="O18" s="8" t="s">
        <v>70</v>
      </c>
      <c r="P18" s="8"/>
      <c r="Q18" s="8"/>
      <c r="R18" s="8"/>
      <c r="S18" s="8" t="s">
        <v>183</v>
      </c>
      <c r="T18" s="8" t="s">
        <v>183</v>
      </c>
      <c r="U18" s="8" t="s">
        <v>183</v>
      </c>
      <c r="V18" s="8" t="s">
        <v>183</v>
      </c>
      <c r="W18" s="8" t="s">
        <v>183</v>
      </c>
      <c r="X18" s="8"/>
      <c r="Y18" s="8"/>
      <c r="Z18" s="8" t="s">
        <v>187</v>
      </c>
      <c r="AA18" s="8" t="s">
        <v>187</v>
      </c>
      <c r="AB18" s="8" t="s">
        <v>187</v>
      </c>
      <c r="AC18" s="8" t="s">
        <v>187</v>
      </c>
      <c r="AD18" s="8" t="s">
        <v>187</v>
      </c>
      <c r="AE18" s="8"/>
      <c r="AF18" s="8"/>
      <c r="AG18" s="41">
        <f t="shared" si="25"/>
        <v>15</v>
      </c>
      <c r="AH18" s="42">
        <f t="shared" si="26"/>
        <v>48.387096774193552</v>
      </c>
      <c r="AM18" s="20"/>
      <c r="AN18" s="20"/>
      <c r="AO18" s="20"/>
      <c r="AP18" s="20"/>
      <c r="AQ18" s="20"/>
    </row>
    <row r="19" spans="1:43" x14ac:dyDescent="0.35">
      <c r="A19" s="7" t="s">
        <v>45</v>
      </c>
      <c r="B19" s="8" t="s">
        <v>34</v>
      </c>
      <c r="C19" s="8" t="s">
        <v>34</v>
      </c>
      <c r="D19" s="8" t="s">
        <v>34</v>
      </c>
      <c r="E19" s="8" t="s">
        <v>34</v>
      </c>
      <c r="F19" s="8" t="s">
        <v>34</v>
      </c>
      <c r="G19" s="8" t="s">
        <v>34</v>
      </c>
      <c r="H19" s="8" t="s">
        <v>34</v>
      </c>
      <c r="I19" s="34" t="s">
        <v>162</v>
      </c>
      <c r="J19" s="34" t="s">
        <v>162</v>
      </c>
      <c r="K19" s="8"/>
      <c r="L19" s="8"/>
      <c r="M19" s="8" t="s">
        <v>173</v>
      </c>
      <c r="N19" s="8" t="s">
        <v>70</v>
      </c>
      <c r="O19" s="8" t="s">
        <v>70</v>
      </c>
      <c r="P19" s="8"/>
      <c r="Q19" s="8"/>
      <c r="R19" s="8"/>
      <c r="S19" s="8" t="s">
        <v>183</v>
      </c>
      <c r="T19" s="8" t="s">
        <v>183</v>
      </c>
      <c r="U19" s="8" t="s">
        <v>183</v>
      </c>
      <c r="V19" s="8" t="s">
        <v>183</v>
      </c>
      <c r="W19" s="8" t="s">
        <v>183</v>
      </c>
      <c r="X19" s="8"/>
      <c r="Y19" s="8"/>
      <c r="Z19" s="8" t="s">
        <v>187</v>
      </c>
      <c r="AA19" s="8" t="s">
        <v>187</v>
      </c>
      <c r="AB19" s="8" t="s">
        <v>187</v>
      </c>
      <c r="AC19" s="8" t="s">
        <v>187</v>
      </c>
      <c r="AD19" s="8" t="s">
        <v>187</v>
      </c>
      <c r="AE19" s="8" t="s">
        <v>181</v>
      </c>
      <c r="AF19" s="8" t="s">
        <v>181</v>
      </c>
      <c r="AG19" s="41">
        <f t="shared" si="25"/>
        <v>24</v>
      </c>
      <c r="AH19" s="42">
        <f t="shared" si="26"/>
        <v>77.41935483870968</v>
      </c>
      <c r="AM19" s="20"/>
      <c r="AN19" s="20"/>
      <c r="AO19" s="20"/>
      <c r="AP19" s="20"/>
      <c r="AQ19" s="20"/>
    </row>
    <row r="20" spans="1:43" x14ac:dyDescent="0.35">
      <c r="A20" s="7" t="s">
        <v>47</v>
      </c>
      <c r="B20" s="8"/>
      <c r="C20" s="8"/>
      <c r="D20" s="8"/>
      <c r="E20" s="8"/>
      <c r="F20" s="8"/>
      <c r="G20" s="8"/>
      <c r="H20" s="8"/>
      <c r="I20" s="34" t="s">
        <v>160</v>
      </c>
      <c r="J20" s="34" t="s">
        <v>160</v>
      </c>
      <c r="K20" s="34" t="s">
        <v>160</v>
      </c>
      <c r="L20" s="34" t="s">
        <v>160</v>
      </c>
      <c r="M20" s="34" t="s">
        <v>160</v>
      </c>
      <c r="N20" s="8" t="s">
        <v>169</v>
      </c>
      <c r="O20" s="8" t="s">
        <v>169</v>
      </c>
      <c r="P20" s="8" t="s">
        <v>169</v>
      </c>
      <c r="Q20" s="8" t="s">
        <v>169</v>
      </c>
      <c r="R20" s="8" t="s">
        <v>169</v>
      </c>
      <c r="S20" s="8" t="s">
        <v>169</v>
      </c>
      <c r="T20" s="8" t="s">
        <v>169</v>
      </c>
      <c r="U20" s="8" t="s">
        <v>169</v>
      </c>
      <c r="V20" s="8" t="s">
        <v>169</v>
      </c>
      <c r="W20" s="8" t="s">
        <v>169</v>
      </c>
      <c r="X20" s="8" t="s">
        <v>169</v>
      </c>
      <c r="Y20" s="8" t="s">
        <v>169</v>
      </c>
      <c r="Z20" s="8" t="s">
        <v>169</v>
      </c>
      <c r="AA20" s="8" t="s">
        <v>169</v>
      </c>
      <c r="AB20" s="8" t="s">
        <v>169</v>
      </c>
      <c r="AC20" s="8" t="s">
        <v>169</v>
      </c>
      <c r="AD20" s="8" t="s">
        <v>169</v>
      </c>
      <c r="AE20" s="8" t="s">
        <v>169</v>
      </c>
      <c r="AF20" s="8" t="s">
        <v>169</v>
      </c>
      <c r="AG20" s="41">
        <f t="shared" si="25"/>
        <v>24</v>
      </c>
      <c r="AH20" s="42">
        <f t="shared" si="26"/>
        <v>77.41935483870968</v>
      </c>
      <c r="AM20" s="20"/>
      <c r="AN20" s="20"/>
      <c r="AO20" s="20"/>
      <c r="AP20" s="20"/>
      <c r="AQ20" s="20"/>
    </row>
    <row r="21" spans="1:43" x14ac:dyDescent="0.35">
      <c r="A21" s="7" t="s">
        <v>50</v>
      </c>
      <c r="B21" s="8" t="s">
        <v>169</v>
      </c>
      <c r="C21" s="8" t="s">
        <v>169</v>
      </c>
      <c r="D21" s="8" t="s">
        <v>169</v>
      </c>
      <c r="E21" s="8" t="s">
        <v>169</v>
      </c>
      <c r="F21" s="8" t="s">
        <v>169</v>
      </c>
      <c r="G21" s="8" t="s">
        <v>169</v>
      </c>
      <c r="H21" s="8" t="s">
        <v>169</v>
      </c>
      <c r="I21" s="34" t="s">
        <v>164</v>
      </c>
      <c r="J21" s="34" t="s">
        <v>164</v>
      </c>
      <c r="K21" s="8" t="s">
        <v>169</v>
      </c>
      <c r="L21" s="8" t="s">
        <v>169</v>
      </c>
      <c r="M21" s="8" t="s">
        <v>169</v>
      </c>
      <c r="N21" s="8"/>
      <c r="O21" s="8"/>
      <c r="P21" s="8"/>
      <c r="Q21" s="8"/>
      <c r="R21" s="8"/>
      <c r="S21" s="8"/>
      <c r="T21" s="8"/>
      <c r="U21" s="8"/>
      <c r="V21" s="8" t="s">
        <v>185</v>
      </c>
      <c r="W21" s="8" t="s">
        <v>185</v>
      </c>
      <c r="X21" s="8"/>
      <c r="Y21" s="8"/>
      <c r="Z21" s="8"/>
      <c r="AA21" s="8"/>
      <c r="AB21" s="8"/>
      <c r="AC21" s="8"/>
      <c r="AD21" s="8"/>
      <c r="AE21" s="8" t="s">
        <v>195</v>
      </c>
      <c r="AF21" s="8" t="s">
        <v>195</v>
      </c>
      <c r="AG21" s="41">
        <f t="shared" si="25"/>
        <v>16</v>
      </c>
      <c r="AH21" s="42">
        <f t="shared" si="26"/>
        <v>51.612903225806448</v>
      </c>
      <c r="AM21" s="20"/>
      <c r="AN21" s="20"/>
      <c r="AO21" s="20"/>
      <c r="AP21" s="20"/>
      <c r="AQ21" s="20"/>
    </row>
    <row r="22" spans="1:43" ht="15" thickBot="1" x14ac:dyDescent="0.4">
      <c r="A22" s="7" t="s">
        <v>51</v>
      </c>
      <c r="B22" s="8"/>
      <c r="C22" s="8"/>
      <c r="D22" s="8"/>
      <c r="E22" s="8"/>
      <c r="F22" s="8"/>
      <c r="G22" s="8"/>
      <c r="H22" s="8" t="s">
        <v>164</v>
      </c>
      <c r="I22" s="34" t="s">
        <v>163</v>
      </c>
      <c r="J22" s="34" t="s">
        <v>163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 t="s">
        <v>184</v>
      </c>
      <c r="X22" s="8"/>
      <c r="Y22" s="8"/>
      <c r="Z22" s="8"/>
      <c r="AA22" s="8"/>
      <c r="AB22" s="8"/>
      <c r="AC22" s="8"/>
      <c r="AD22" s="8"/>
      <c r="AE22" s="8"/>
      <c r="AF22" s="8"/>
      <c r="AG22" s="41">
        <f t="shared" si="25"/>
        <v>4</v>
      </c>
      <c r="AH22" s="42">
        <f t="shared" si="26"/>
        <v>12.903225806451612</v>
      </c>
      <c r="AM22" s="20"/>
      <c r="AN22" s="20"/>
      <c r="AO22" s="20"/>
      <c r="AP22" s="20"/>
      <c r="AQ22" s="20"/>
    </row>
    <row r="23" spans="1:43" ht="15.5" x14ac:dyDescent="0.35">
      <c r="A23" s="45" t="s">
        <v>176</v>
      </c>
      <c r="B23" s="46">
        <f>COUNTA(B15:B22)</f>
        <v>2</v>
      </c>
      <c r="C23" s="46">
        <f t="shared" ref="C23:AF23" si="27">COUNTA(C15:C22)</f>
        <v>2</v>
      </c>
      <c r="D23" s="46">
        <f t="shared" si="27"/>
        <v>2</v>
      </c>
      <c r="E23" s="46">
        <f t="shared" si="27"/>
        <v>2</v>
      </c>
      <c r="F23" s="46">
        <f t="shared" si="27"/>
        <v>3</v>
      </c>
      <c r="G23" s="46">
        <f t="shared" si="27"/>
        <v>2</v>
      </c>
      <c r="H23" s="46">
        <f t="shared" si="27"/>
        <v>3</v>
      </c>
      <c r="I23" s="46">
        <f t="shared" si="27"/>
        <v>8</v>
      </c>
      <c r="J23" s="46">
        <f t="shared" si="27"/>
        <v>8</v>
      </c>
      <c r="K23" s="46">
        <f t="shared" si="27"/>
        <v>2</v>
      </c>
      <c r="L23" s="46">
        <f t="shared" si="27"/>
        <v>2</v>
      </c>
      <c r="M23" s="46">
        <f t="shared" si="27"/>
        <v>5</v>
      </c>
      <c r="N23" s="46">
        <f t="shared" si="27"/>
        <v>3</v>
      </c>
      <c r="O23" s="46">
        <f t="shared" si="27"/>
        <v>3</v>
      </c>
      <c r="P23" s="46">
        <f t="shared" si="27"/>
        <v>1</v>
      </c>
      <c r="Q23" s="46">
        <f t="shared" si="27"/>
        <v>2</v>
      </c>
      <c r="R23" s="46">
        <f t="shared" si="27"/>
        <v>4</v>
      </c>
      <c r="S23" s="46">
        <f t="shared" si="27"/>
        <v>6</v>
      </c>
      <c r="T23" s="46">
        <f t="shared" si="27"/>
        <v>6</v>
      </c>
      <c r="U23" s="46">
        <f t="shared" si="27"/>
        <v>5</v>
      </c>
      <c r="V23" s="46">
        <f t="shared" si="27"/>
        <v>6</v>
      </c>
      <c r="W23" s="46">
        <f t="shared" si="27"/>
        <v>8</v>
      </c>
      <c r="X23" s="46">
        <f t="shared" si="27"/>
        <v>4</v>
      </c>
      <c r="Y23" s="46">
        <f t="shared" si="27"/>
        <v>2</v>
      </c>
      <c r="Z23" s="46">
        <f t="shared" si="27"/>
        <v>4</v>
      </c>
      <c r="AA23" s="46">
        <f t="shared" si="27"/>
        <v>4</v>
      </c>
      <c r="AB23" s="46">
        <f t="shared" si="27"/>
        <v>5</v>
      </c>
      <c r="AC23" s="46">
        <f t="shared" si="27"/>
        <v>6</v>
      </c>
      <c r="AD23" s="46">
        <f t="shared" si="27"/>
        <v>6</v>
      </c>
      <c r="AE23" s="46">
        <f t="shared" si="27"/>
        <v>5</v>
      </c>
      <c r="AF23" s="46">
        <f t="shared" si="27"/>
        <v>4</v>
      </c>
      <c r="AG23" s="43">
        <f>SUM(AG15:AG22)</f>
        <v>125</v>
      </c>
      <c r="AM23" s="20"/>
      <c r="AN23" s="20"/>
      <c r="AO23" s="20"/>
      <c r="AP23" s="20"/>
      <c r="AQ23" s="20"/>
    </row>
    <row r="24" spans="1:43" ht="15.5" x14ac:dyDescent="0.35">
      <c r="A24" s="47" t="s">
        <v>178</v>
      </c>
      <c r="B24" s="52">
        <f>B12+B23</f>
        <v>3</v>
      </c>
      <c r="C24" s="52">
        <f t="shared" ref="C24:AF24" si="28">C12+C23</f>
        <v>2</v>
      </c>
      <c r="D24" s="52">
        <f t="shared" si="28"/>
        <v>2</v>
      </c>
      <c r="E24" s="52">
        <f t="shared" si="28"/>
        <v>2</v>
      </c>
      <c r="F24" s="52">
        <f t="shared" si="28"/>
        <v>6</v>
      </c>
      <c r="G24" s="52">
        <f t="shared" si="28"/>
        <v>5</v>
      </c>
      <c r="H24" s="52">
        <f t="shared" si="28"/>
        <v>6</v>
      </c>
      <c r="I24" s="52">
        <f t="shared" si="28"/>
        <v>15</v>
      </c>
      <c r="J24" s="52">
        <f t="shared" si="28"/>
        <v>15</v>
      </c>
      <c r="K24" s="52">
        <f t="shared" si="28"/>
        <v>3</v>
      </c>
      <c r="L24" s="52">
        <f t="shared" si="28"/>
        <v>4</v>
      </c>
      <c r="M24" s="52">
        <f t="shared" si="28"/>
        <v>11</v>
      </c>
      <c r="N24" s="52">
        <f t="shared" si="28"/>
        <v>7</v>
      </c>
      <c r="O24" s="52">
        <f t="shared" si="28"/>
        <v>5</v>
      </c>
      <c r="P24" s="52">
        <f t="shared" si="28"/>
        <v>2</v>
      </c>
      <c r="Q24" s="52">
        <f t="shared" si="28"/>
        <v>3</v>
      </c>
      <c r="R24" s="52">
        <f t="shared" si="28"/>
        <v>4</v>
      </c>
      <c r="S24" s="52">
        <f t="shared" si="28"/>
        <v>6</v>
      </c>
      <c r="T24" s="52">
        <f t="shared" si="28"/>
        <v>6</v>
      </c>
      <c r="U24" s="52">
        <f t="shared" si="28"/>
        <v>7</v>
      </c>
      <c r="V24" s="52">
        <f t="shared" si="28"/>
        <v>8</v>
      </c>
      <c r="W24" s="52">
        <f t="shared" si="28"/>
        <v>12</v>
      </c>
      <c r="X24" s="52">
        <f t="shared" si="28"/>
        <v>9</v>
      </c>
      <c r="Y24" s="52">
        <f t="shared" si="28"/>
        <v>3</v>
      </c>
      <c r="Z24" s="52">
        <f t="shared" si="28"/>
        <v>6</v>
      </c>
      <c r="AA24" s="52">
        <f t="shared" si="28"/>
        <v>6</v>
      </c>
      <c r="AB24" s="52">
        <f t="shared" si="28"/>
        <v>7</v>
      </c>
      <c r="AC24" s="52">
        <f t="shared" si="28"/>
        <v>8</v>
      </c>
      <c r="AD24" s="52">
        <f t="shared" si="28"/>
        <v>8</v>
      </c>
      <c r="AE24" s="52">
        <f t="shared" si="28"/>
        <v>7</v>
      </c>
      <c r="AF24" s="52">
        <f t="shared" si="28"/>
        <v>5</v>
      </c>
      <c r="AG24" s="49">
        <f>+AG12+AG23</f>
        <v>193</v>
      </c>
    </row>
    <row r="25" spans="1:43" ht="15.5" x14ac:dyDescent="0.35">
      <c r="A25" s="48" t="s">
        <v>179</v>
      </c>
      <c r="B25" s="42">
        <f>B24*100/15</f>
        <v>20</v>
      </c>
      <c r="C25" s="42">
        <f t="shared" ref="C25:AF25" si="29">C24*100/15</f>
        <v>13.333333333333334</v>
      </c>
      <c r="D25" s="42">
        <f t="shared" si="29"/>
        <v>13.333333333333334</v>
      </c>
      <c r="E25" s="42">
        <f t="shared" si="29"/>
        <v>13.333333333333334</v>
      </c>
      <c r="F25" s="42">
        <f t="shared" si="29"/>
        <v>40</v>
      </c>
      <c r="G25" s="42">
        <f t="shared" si="29"/>
        <v>33.333333333333336</v>
      </c>
      <c r="H25" s="42">
        <f t="shared" si="29"/>
        <v>40</v>
      </c>
      <c r="I25" s="42">
        <f t="shared" si="29"/>
        <v>100</v>
      </c>
      <c r="J25" s="42">
        <f t="shared" si="29"/>
        <v>100</v>
      </c>
      <c r="K25" s="42">
        <f t="shared" si="29"/>
        <v>20</v>
      </c>
      <c r="L25" s="42">
        <f t="shared" si="29"/>
        <v>26.666666666666668</v>
      </c>
      <c r="M25" s="42">
        <f t="shared" si="29"/>
        <v>73.333333333333329</v>
      </c>
      <c r="N25" s="42">
        <f t="shared" si="29"/>
        <v>46.666666666666664</v>
      </c>
      <c r="O25" s="42">
        <f t="shared" si="29"/>
        <v>33.333333333333336</v>
      </c>
      <c r="P25" s="42">
        <f t="shared" si="29"/>
        <v>13.333333333333334</v>
      </c>
      <c r="Q25" s="42">
        <f t="shared" si="29"/>
        <v>20</v>
      </c>
      <c r="R25" s="42">
        <f t="shared" si="29"/>
        <v>26.666666666666668</v>
      </c>
      <c r="S25" s="42">
        <f t="shared" si="29"/>
        <v>40</v>
      </c>
      <c r="T25" s="42">
        <f t="shared" si="29"/>
        <v>40</v>
      </c>
      <c r="U25" s="42">
        <f t="shared" si="29"/>
        <v>46.666666666666664</v>
      </c>
      <c r="V25" s="42">
        <f t="shared" si="29"/>
        <v>53.333333333333336</v>
      </c>
      <c r="W25" s="42">
        <f t="shared" si="29"/>
        <v>80</v>
      </c>
      <c r="X25" s="42">
        <f t="shared" si="29"/>
        <v>60</v>
      </c>
      <c r="Y25" s="42">
        <f t="shared" si="29"/>
        <v>20</v>
      </c>
      <c r="Z25" s="42">
        <f t="shared" si="29"/>
        <v>40</v>
      </c>
      <c r="AA25" s="42">
        <f t="shared" si="29"/>
        <v>40</v>
      </c>
      <c r="AB25" s="42">
        <f t="shared" si="29"/>
        <v>46.666666666666664</v>
      </c>
      <c r="AC25" s="42">
        <f t="shared" si="29"/>
        <v>53.333333333333336</v>
      </c>
      <c r="AD25" s="42">
        <f t="shared" si="29"/>
        <v>53.333333333333336</v>
      </c>
      <c r="AE25" s="42">
        <f t="shared" si="29"/>
        <v>46.666666666666664</v>
      </c>
      <c r="AF25" s="42">
        <f t="shared" si="29"/>
        <v>33.333333333333336</v>
      </c>
      <c r="AG25" s="50">
        <f>AVERAGE(C25:AF25)</f>
        <v>42.222222222222221</v>
      </c>
      <c r="AH25" s="51" t="s">
        <v>180</v>
      </c>
    </row>
    <row r="44" ht="13.5" customHeight="1" x14ac:dyDescent="0.35"/>
  </sheetData>
  <mergeCells count="1">
    <mergeCell ref="A1:AE1"/>
  </mergeCells>
  <conditionalFormatting sqref="B11:C11">
    <cfRule type="colorScale" priority="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9:H19">
    <cfRule type="colorScale" priority="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I21">
    <cfRule type="colorScale" priority="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I22:J22 B21:H21 K21:P21">
    <cfRule type="colorScale" priority="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J21">
    <cfRule type="colorScale" priority="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L13:U14 X13:AH14 B22:H22 B20:H20 B13:I18 I19:I20 J20:M20 D11:W11 K22:AF22 B10:W10 X10:AF11 B5:AF9 J15:AF19 Q21:AF21">
    <cfRule type="colorScale" priority="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N20:AF20">
    <cfRule type="colorScale" priority="1">
      <colorScale>
        <cfvo type="num" val="1"/>
        <cfvo type="max"/>
        <color theme="4" tint="0.59999389629810485"/>
        <color theme="5" tint="0.59999389629810485"/>
      </colorScale>
    </cfRule>
  </conditionalFormatting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C8489-7C3F-440B-A5CE-2D4EE05F79EB}">
  <dimension ref="A1:AQ44"/>
  <sheetViews>
    <sheetView zoomScale="106" zoomScaleNormal="106" workbookViewId="0">
      <pane xSplit="1" ySplit="4" topLeftCell="D5" activePane="bottomRight" state="frozen"/>
      <selection pane="topRight" activeCell="B1" sqref="B1"/>
      <selection pane="bottomLeft" activeCell="A5" sqref="A5"/>
      <selection pane="bottomRight" activeCell="T11" sqref="T11"/>
    </sheetView>
  </sheetViews>
  <sheetFormatPr defaultRowHeight="14.5" x14ac:dyDescent="0.35"/>
  <cols>
    <col min="1" max="1" width="28.54296875" bestFit="1" customWidth="1"/>
    <col min="2" max="7" width="12.81640625" bestFit="1" customWidth="1"/>
    <col min="8" max="8" width="9" bestFit="1" customWidth="1"/>
    <col min="9" max="14" width="7.453125" bestFit="1" customWidth="1"/>
    <col min="15" max="19" width="9.26953125" bestFit="1" customWidth="1"/>
    <col min="20" max="24" width="7.453125" bestFit="1" customWidth="1"/>
    <col min="25" max="25" width="8.453125" bestFit="1" customWidth="1"/>
    <col min="26" max="26" width="9.54296875" bestFit="1" customWidth="1"/>
    <col min="27" max="28" width="8.453125" bestFit="1" customWidth="1"/>
    <col min="29" max="32" width="7.81640625" bestFit="1" customWidth="1"/>
    <col min="33" max="33" width="4.54296875" bestFit="1" customWidth="1"/>
    <col min="34" max="34" width="8.7265625" bestFit="1" customWidth="1"/>
    <col min="35" max="35" width="7.1796875" bestFit="1" customWidth="1"/>
    <col min="36" max="36" width="6.81640625" bestFit="1" customWidth="1"/>
    <col min="37" max="37" width="0" hidden="1" customWidth="1"/>
    <col min="38" max="38" width="0.1796875" hidden="1" customWidth="1"/>
    <col min="39" max="39" width="13.453125" bestFit="1" customWidth="1"/>
    <col min="40" max="40" width="12.453125" bestFit="1" customWidth="1"/>
    <col min="41" max="41" width="9.81640625" bestFit="1" customWidth="1"/>
    <col min="42" max="42" width="10.81640625" bestFit="1" customWidth="1"/>
    <col min="43" max="43" width="9.1796875" bestFit="1" customWidth="1"/>
    <col min="44" max="44" width="0" hidden="1" customWidth="1"/>
  </cols>
  <sheetData>
    <row r="1" spans="1:43" ht="15.5" x14ac:dyDescent="0.35">
      <c r="A1" s="120" t="s">
        <v>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</row>
    <row r="2" spans="1:43" ht="15" thickBot="1" x14ac:dyDescent="0.4"/>
    <row r="3" spans="1:43" ht="45.75" customHeight="1" x14ac:dyDescent="0.35">
      <c r="A3" s="1" t="s">
        <v>1</v>
      </c>
      <c r="B3" s="2">
        <f>AI4</f>
        <v>44927</v>
      </c>
      <c r="C3" s="2">
        <f t="shared" ref="C3:AF3" si="0">B3+1</f>
        <v>44928</v>
      </c>
      <c r="D3" s="2">
        <f t="shared" si="0"/>
        <v>44929</v>
      </c>
      <c r="E3" s="2">
        <f t="shared" si="0"/>
        <v>44930</v>
      </c>
      <c r="F3" s="2">
        <f t="shared" si="0"/>
        <v>44931</v>
      </c>
      <c r="G3" s="2">
        <f t="shared" si="0"/>
        <v>44932</v>
      </c>
      <c r="H3" s="2">
        <f t="shared" si="0"/>
        <v>44933</v>
      </c>
      <c r="I3" s="2">
        <f>H3+1</f>
        <v>44934</v>
      </c>
      <c r="J3" s="2">
        <f t="shared" si="0"/>
        <v>44935</v>
      </c>
      <c r="K3" s="2">
        <f t="shared" si="0"/>
        <v>44936</v>
      </c>
      <c r="L3" s="2">
        <f t="shared" si="0"/>
        <v>44937</v>
      </c>
      <c r="M3" s="2">
        <f t="shared" si="0"/>
        <v>44938</v>
      </c>
      <c r="N3" s="2">
        <f t="shared" si="0"/>
        <v>44939</v>
      </c>
      <c r="O3" s="2">
        <f t="shared" si="0"/>
        <v>44940</v>
      </c>
      <c r="P3" s="2">
        <f t="shared" si="0"/>
        <v>44941</v>
      </c>
      <c r="Q3" s="2">
        <f t="shared" si="0"/>
        <v>44942</v>
      </c>
      <c r="R3" s="2">
        <f t="shared" si="0"/>
        <v>44943</v>
      </c>
      <c r="S3" s="2">
        <f t="shared" si="0"/>
        <v>44944</v>
      </c>
      <c r="T3" s="2">
        <f t="shared" si="0"/>
        <v>44945</v>
      </c>
      <c r="U3" s="2">
        <f t="shared" si="0"/>
        <v>44946</v>
      </c>
      <c r="V3" s="2">
        <f t="shared" si="0"/>
        <v>44947</v>
      </c>
      <c r="W3" s="2">
        <f t="shared" si="0"/>
        <v>44948</v>
      </c>
      <c r="X3" s="2">
        <f t="shared" si="0"/>
        <v>44949</v>
      </c>
      <c r="Y3" s="2">
        <f t="shared" si="0"/>
        <v>44950</v>
      </c>
      <c r="Z3" s="2">
        <f t="shared" si="0"/>
        <v>44951</v>
      </c>
      <c r="AA3" s="2">
        <f t="shared" si="0"/>
        <v>44952</v>
      </c>
      <c r="AB3" s="2">
        <f t="shared" si="0"/>
        <v>44953</v>
      </c>
      <c r="AC3" s="2">
        <f t="shared" si="0"/>
        <v>44954</v>
      </c>
      <c r="AD3" s="2">
        <f t="shared" si="0"/>
        <v>44955</v>
      </c>
      <c r="AE3" s="2">
        <f t="shared" si="0"/>
        <v>44956</v>
      </c>
      <c r="AF3" s="2">
        <f t="shared" si="0"/>
        <v>44957</v>
      </c>
      <c r="AG3" s="36"/>
      <c r="AH3" s="36"/>
    </row>
    <row r="4" spans="1:43" ht="31.5" customHeight="1" x14ac:dyDescent="0.35">
      <c r="A4" s="3" t="s">
        <v>2</v>
      </c>
      <c r="B4" s="4">
        <f t="shared" ref="B4:AF4" si="1">B3</f>
        <v>44927</v>
      </c>
      <c r="C4" s="4">
        <f t="shared" si="1"/>
        <v>44928</v>
      </c>
      <c r="D4" s="4">
        <f t="shared" si="1"/>
        <v>44929</v>
      </c>
      <c r="E4" s="4">
        <f t="shared" si="1"/>
        <v>44930</v>
      </c>
      <c r="F4" s="4">
        <f t="shared" si="1"/>
        <v>44931</v>
      </c>
      <c r="G4" s="4">
        <f t="shared" si="1"/>
        <v>44932</v>
      </c>
      <c r="H4" s="4">
        <f t="shared" si="1"/>
        <v>44933</v>
      </c>
      <c r="I4" s="4">
        <f t="shared" si="1"/>
        <v>44934</v>
      </c>
      <c r="J4" s="4">
        <f t="shared" si="1"/>
        <v>44935</v>
      </c>
      <c r="K4" s="4">
        <f t="shared" si="1"/>
        <v>44936</v>
      </c>
      <c r="L4" s="4">
        <f t="shared" si="1"/>
        <v>44937</v>
      </c>
      <c r="M4" s="4">
        <f t="shared" si="1"/>
        <v>44938</v>
      </c>
      <c r="N4" s="4">
        <f t="shared" si="1"/>
        <v>44939</v>
      </c>
      <c r="O4" s="4">
        <f t="shared" si="1"/>
        <v>44940</v>
      </c>
      <c r="P4" s="4">
        <f t="shared" si="1"/>
        <v>44941</v>
      </c>
      <c r="Q4" s="4">
        <f t="shared" si="1"/>
        <v>44942</v>
      </c>
      <c r="R4" s="4">
        <f t="shared" si="1"/>
        <v>44943</v>
      </c>
      <c r="S4" s="4">
        <f t="shared" si="1"/>
        <v>44944</v>
      </c>
      <c r="T4" s="4">
        <f t="shared" si="1"/>
        <v>44945</v>
      </c>
      <c r="U4" s="4">
        <f t="shared" si="1"/>
        <v>44946</v>
      </c>
      <c r="V4" s="4">
        <f t="shared" si="1"/>
        <v>44947</v>
      </c>
      <c r="W4" s="4">
        <f t="shared" si="1"/>
        <v>44948</v>
      </c>
      <c r="X4" s="4">
        <f t="shared" si="1"/>
        <v>44949</v>
      </c>
      <c r="Y4" s="4">
        <f t="shared" si="1"/>
        <v>44950</v>
      </c>
      <c r="Z4" s="4">
        <f t="shared" si="1"/>
        <v>44951</v>
      </c>
      <c r="AA4" s="4">
        <f t="shared" si="1"/>
        <v>44952</v>
      </c>
      <c r="AB4" s="4">
        <f t="shared" si="1"/>
        <v>44953</v>
      </c>
      <c r="AC4" s="4">
        <f t="shared" si="1"/>
        <v>44954</v>
      </c>
      <c r="AD4" s="4">
        <f t="shared" si="1"/>
        <v>44955</v>
      </c>
      <c r="AE4" s="4">
        <f t="shared" si="1"/>
        <v>44956</v>
      </c>
      <c r="AF4" s="4">
        <f t="shared" si="1"/>
        <v>44957</v>
      </c>
      <c r="AG4" s="39" t="s">
        <v>174</v>
      </c>
      <c r="AH4" s="40" t="s">
        <v>175</v>
      </c>
      <c r="AI4" s="5">
        <v>44927</v>
      </c>
      <c r="AJ4" s="6">
        <f>EOMONTH(AI4,0)</f>
        <v>44957</v>
      </c>
      <c r="AM4" s="19" t="s">
        <v>54</v>
      </c>
      <c r="AN4" s="19" t="s">
        <v>58</v>
      </c>
      <c r="AO4" s="19" t="s">
        <v>55</v>
      </c>
      <c r="AP4" s="19" t="s">
        <v>56</v>
      </c>
      <c r="AQ4" s="19" t="s">
        <v>57</v>
      </c>
    </row>
    <row r="5" spans="1:43" x14ac:dyDescent="0.35">
      <c r="A5" s="7" t="s">
        <v>3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53"/>
      <c r="Z5" s="53"/>
      <c r="AA5" s="53"/>
      <c r="AB5" s="53"/>
      <c r="AC5" s="53"/>
      <c r="AD5" s="53"/>
      <c r="AE5" s="8" t="s">
        <v>97</v>
      </c>
      <c r="AF5" s="8" t="s">
        <v>97</v>
      </c>
      <c r="AG5" s="41">
        <f>COUNTA(B5:AF5)</f>
        <v>2</v>
      </c>
      <c r="AH5" s="42">
        <f>AG5*100/31</f>
        <v>6.4516129032258061</v>
      </c>
      <c r="AM5" s="20"/>
      <c r="AN5" s="20"/>
      <c r="AO5" s="20"/>
      <c r="AP5" s="20"/>
      <c r="AQ5" s="20"/>
    </row>
    <row r="6" spans="1:43" x14ac:dyDescent="0.35">
      <c r="A6" s="7" t="s">
        <v>7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 t="s">
        <v>34</v>
      </c>
      <c r="AA6" s="8" t="s">
        <v>34</v>
      </c>
      <c r="AB6" s="8" t="s">
        <v>34</v>
      </c>
      <c r="AC6" s="8" t="s">
        <v>34</v>
      </c>
      <c r="AD6" s="8" t="s">
        <v>34</v>
      </c>
      <c r="AE6" s="8" t="s">
        <v>34</v>
      </c>
      <c r="AF6" s="8" t="s">
        <v>34</v>
      </c>
      <c r="AG6" s="41">
        <f t="shared" ref="AG6:AG11" si="2">COUNTA(B6:AF6)</f>
        <v>7</v>
      </c>
      <c r="AH6" s="42">
        <f>AG6*100/31</f>
        <v>22.580645161290324</v>
      </c>
      <c r="AM6" s="20"/>
      <c r="AN6" s="20"/>
      <c r="AO6" s="21"/>
      <c r="AP6" s="21"/>
      <c r="AQ6" s="20"/>
    </row>
    <row r="7" spans="1:43" x14ac:dyDescent="0.35">
      <c r="A7" s="7" t="s">
        <v>11</v>
      </c>
      <c r="B7" s="8"/>
      <c r="C7" s="8"/>
      <c r="D7" s="8" t="s">
        <v>191</v>
      </c>
      <c r="E7" s="8" t="s">
        <v>191</v>
      </c>
      <c r="F7" s="8" t="s">
        <v>191</v>
      </c>
      <c r="G7" s="8" t="s">
        <v>191</v>
      </c>
      <c r="H7" s="8" t="s">
        <v>191</v>
      </c>
      <c r="I7" s="8"/>
      <c r="J7" s="8"/>
      <c r="K7" s="8"/>
      <c r="L7" s="8"/>
      <c r="M7" s="8"/>
      <c r="N7" s="8"/>
      <c r="O7" s="8"/>
      <c r="P7" s="8" t="s">
        <v>200</v>
      </c>
      <c r="Q7" s="8" t="s">
        <v>200</v>
      </c>
      <c r="R7" s="8" t="s">
        <v>200</v>
      </c>
      <c r="S7" s="8"/>
      <c r="T7" s="8"/>
      <c r="U7" s="8"/>
      <c r="V7" s="8"/>
      <c r="W7" s="8"/>
      <c r="X7" s="8"/>
      <c r="Y7" s="8" t="s">
        <v>203</v>
      </c>
      <c r="Z7" s="8" t="s">
        <v>203</v>
      </c>
      <c r="AA7" s="8" t="s">
        <v>203</v>
      </c>
      <c r="AB7" s="8" t="s">
        <v>203</v>
      </c>
      <c r="AC7" s="8"/>
      <c r="AD7" s="8"/>
      <c r="AE7" s="8" t="s">
        <v>9</v>
      </c>
      <c r="AF7" s="8"/>
      <c r="AG7" s="41">
        <f t="shared" si="2"/>
        <v>13</v>
      </c>
      <c r="AH7" s="42">
        <f t="shared" ref="AH7:AH11" si="3">AG7*100/31</f>
        <v>41.935483870967744</v>
      </c>
      <c r="AM7" s="20"/>
      <c r="AN7" s="20"/>
      <c r="AO7" s="20"/>
      <c r="AP7" s="21"/>
      <c r="AQ7" s="20"/>
    </row>
    <row r="8" spans="1:43" ht="15" customHeight="1" x14ac:dyDescent="0.35">
      <c r="A8" s="7" t="s">
        <v>15</v>
      </c>
      <c r="B8" s="8"/>
      <c r="C8" s="8"/>
      <c r="D8" s="8" t="s">
        <v>192</v>
      </c>
      <c r="E8" s="8"/>
      <c r="F8" s="8" t="s">
        <v>194</v>
      </c>
      <c r="G8" s="8" t="s">
        <v>194</v>
      </c>
      <c r="H8" s="8" t="s">
        <v>194</v>
      </c>
      <c r="I8" s="8" t="s">
        <v>194</v>
      </c>
      <c r="J8" s="8" t="s">
        <v>194</v>
      </c>
      <c r="K8" s="8" t="s">
        <v>194</v>
      </c>
      <c r="L8" s="8" t="s">
        <v>194</v>
      </c>
      <c r="M8" s="8" t="s">
        <v>194</v>
      </c>
      <c r="N8" s="8" t="s">
        <v>194</v>
      </c>
      <c r="O8" s="8" t="s">
        <v>194</v>
      </c>
      <c r="P8" s="8" t="s">
        <v>194</v>
      </c>
      <c r="Q8" s="8" t="s">
        <v>194</v>
      </c>
      <c r="R8" s="8" t="s">
        <v>194</v>
      </c>
      <c r="S8" s="8" t="s">
        <v>194</v>
      </c>
      <c r="T8" s="8"/>
      <c r="U8" s="8"/>
      <c r="V8" s="8"/>
      <c r="W8" s="8"/>
      <c r="X8" s="8"/>
      <c r="Y8" s="8"/>
      <c r="Z8" s="8" t="s">
        <v>204</v>
      </c>
      <c r="AA8" s="8"/>
      <c r="AB8" s="8"/>
      <c r="AC8" s="8"/>
      <c r="AD8" s="8"/>
      <c r="AE8" s="8" t="s">
        <v>214</v>
      </c>
      <c r="AF8" s="8" t="s">
        <v>214</v>
      </c>
      <c r="AG8" s="41">
        <f t="shared" si="2"/>
        <v>18</v>
      </c>
      <c r="AH8" s="42">
        <f t="shared" si="3"/>
        <v>58.064516129032256</v>
      </c>
      <c r="AK8" s="9"/>
      <c r="AM8" s="20"/>
      <c r="AN8" s="20"/>
      <c r="AO8" s="20"/>
      <c r="AP8" s="21"/>
      <c r="AQ8" s="20"/>
    </row>
    <row r="9" spans="1:43" ht="15.75" customHeight="1" x14ac:dyDescent="0.35">
      <c r="A9" s="7" t="s">
        <v>18</v>
      </c>
      <c r="B9" s="8" t="s">
        <v>189</v>
      </c>
      <c r="C9" s="8" t="s">
        <v>189</v>
      </c>
      <c r="D9" s="8" t="s">
        <v>189</v>
      </c>
      <c r="E9" s="8" t="s">
        <v>189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 t="s">
        <v>201</v>
      </c>
      <c r="X9" s="8" t="s">
        <v>201</v>
      </c>
      <c r="Y9" s="8" t="s">
        <v>201</v>
      </c>
      <c r="Z9" s="8" t="s">
        <v>201</v>
      </c>
      <c r="AA9" s="8" t="s">
        <v>201</v>
      </c>
      <c r="AB9" s="8" t="s">
        <v>87</v>
      </c>
      <c r="AC9" s="8" t="s">
        <v>87</v>
      </c>
      <c r="AD9" s="8" t="s">
        <v>87</v>
      </c>
      <c r="AE9" s="8" t="s">
        <v>87</v>
      </c>
      <c r="AF9" s="8" t="s">
        <v>87</v>
      </c>
      <c r="AG9" s="41">
        <f t="shared" si="2"/>
        <v>14</v>
      </c>
      <c r="AH9" s="42">
        <f t="shared" si="3"/>
        <v>45.161290322580648</v>
      </c>
      <c r="AM9" s="20"/>
      <c r="AN9" s="20"/>
      <c r="AO9" s="20"/>
      <c r="AP9" s="21"/>
      <c r="AQ9" s="20"/>
    </row>
    <row r="10" spans="1:43" ht="15.75" customHeight="1" x14ac:dyDescent="0.35">
      <c r="A10" s="7" t="s">
        <v>20</v>
      </c>
      <c r="B10" s="8"/>
      <c r="C10" s="8"/>
      <c r="D10" s="8" t="s">
        <v>191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 t="s">
        <v>120</v>
      </c>
      <c r="X10" s="8" t="s">
        <v>120</v>
      </c>
      <c r="Y10" s="8" t="s">
        <v>120</v>
      </c>
      <c r="Z10" s="8" t="s">
        <v>120</v>
      </c>
      <c r="AA10" s="8" t="s">
        <v>120</v>
      </c>
      <c r="AB10" s="8" t="s">
        <v>207</v>
      </c>
      <c r="AC10" s="8" t="s">
        <v>207</v>
      </c>
      <c r="AD10" s="8" t="s">
        <v>207</v>
      </c>
      <c r="AE10" s="8" t="s">
        <v>207</v>
      </c>
      <c r="AF10" s="8" t="s">
        <v>207</v>
      </c>
      <c r="AG10" s="41">
        <f t="shared" si="2"/>
        <v>11</v>
      </c>
      <c r="AH10" s="42">
        <f t="shared" si="3"/>
        <v>35.483870967741936</v>
      </c>
      <c r="AM10" s="20"/>
      <c r="AN10" s="20"/>
      <c r="AO10" s="20"/>
      <c r="AP10" s="20"/>
      <c r="AQ10" s="20"/>
    </row>
    <row r="11" spans="1:43" ht="15.75" customHeight="1" thickBot="1" x14ac:dyDescent="0.4">
      <c r="A11" s="7" t="s">
        <v>24</v>
      </c>
      <c r="B11" s="8"/>
      <c r="C11" s="8"/>
      <c r="D11" s="8" t="s">
        <v>193</v>
      </c>
      <c r="E11" s="8"/>
      <c r="F11" s="8"/>
      <c r="G11" s="8"/>
      <c r="H11" s="8"/>
      <c r="I11" s="8"/>
      <c r="J11" s="8"/>
      <c r="K11" s="8"/>
      <c r="L11" s="8"/>
      <c r="M11" s="8"/>
      <c r="N11" s="8"/>
      <c r="O11" s="8" t="s">
        <v>199</v>
      </c>
      <c r="P11" s="8" t="s">
        <v>199</v>
      </c>
      <c r="Q11" s="8" t="s">
        <v>199</v>
      </c>
      <c r="R11" s="8" t="s">
        <v>199</v>
      </c>
      <c r="S11" s="8" t="s">
        <v>199</v>
      </c>
      <c r="T11" s="8"/>
      <c r="U11" s="8"/>
      <c r="V11" s="8"/>
      <c r="W11" s="8"/>
      <c r="X11" s="8"/>
      <c r="Y11" s="8" t="s">
        <v>25</v>
      </c>
      <c r="Z11" s="8" t="s">
        <v>25</v>
      </c>
      <c r="AA11" s="8"/>
      <c r="AB11" s="8" t="s">
        <v>87</v>
      </c>
      <c r="AC11" s="8" t="s">
        <v>87</v>
      </c>
      <c r="AD11" s="8" t="s">
        <v>87</v>
      </c>
      <c r="AE11" s="8" t="s">
        <v>87</v>
      </c>
      <c r="AF11" s="8" t="s">
        <v>87</v>
      </c>
      <c r="AG11" s="41">
        <f t="shared" si="2"/>
        <v>13</v>
      </c>
      <c r="AH11" s="42">
        <f t="shared" si="3"/>
        <v>41.935483870967744</v>
      </c>
      <c r="AM11" s="20"/>
      <c r="AN11" s="20"/>
      <c r="AO11" s="20"/>
      <c r="AP11" s="20"/>
      <c r="AQ11" s="20"/>
    </row>
    <row r="12" spans="1:43" ht="15" customHeight="1" x14ac:dyDescent="0.35">
      <c r="A12" s="45" t="s">
        <v>176</v>
      </c>
      <c r="B12" s="46">
        <f>COUNTA(B5:B11)</f>
        <v>1</v>
      </c>
      <c r="C12" s="46">
        <f t="shared" ref="C12:AF12" si="4">COUNTA(C5:C11)</f>
        <v>1</v>
      </c>
      <c r="D12" s="46">
        <f t="shared" si="4"/>
        <v>5</v>
      </c>
      <c r="E12" s="46">
        <f t="shared" si="4"/>
        <v>2</v>
      </c>
      <c r="F12" s="46">
        <f t="shared" si="4"/>
        <v>2</v>
      </c>
      <c r="G12" s="46">
        <f t="shared" si="4"/>
        <v>2</v>
      </c>
      <c r="H12" s="46">
        <f t="shared" si="4"/>
        <v>2</v>
      </c>
      <c r="I12" s="46">
        <f t="shared" si="4"/>
        <v>1</v>
      </c>
      <c r="J12" s="46">
        <f t="shared" si="4"/>
        <v>1</v>
      </c>
      <c r="K12" s="46">
        <f t="shared" si="4"/>
        <v>1</v>
      </c>
      <c r="L12" s="46">
        <f t="shared" si="4"/>
        <v>1</v>
      </c>
      <c r="M12" s="46">
        <f t="shared" si="4"/>
        <v>1</v>
      </c>
      <c r="N12" s="46">
        <f t="shared" si="4"/>
        <v>1</v>
      </c>
      <c r="O12" s="46">
        <f t="shared" si="4"/>
        <v>2</v>
      </c>
      <c r="P12" s="46">
        <f t="shared" si="4"/>
        <v>3</v>
      </c>
      <c r="Q12" s="46">
        <f t="shared" si="4"/>
        <v>3</v>
      </c>
      <c r="R12" s="46">
        <f t="shared" si="4"/>
        <v>3</v>
      </c>
      <c r="S12" s="46">
        <f t="shared" si="4"/>
        <v>2</v>
      </c>
      <c r="T12" s="46">
        <f t="shared" si="4"/>
        <v>0</v>
      </c>
      <c r="U12" s="46">
        <f t="shared" si="4"/>
        <v>0</v>
      </c>
      <c r="V12" s="46">
        <f t="shared" si="4"/>
        <v>0</v>
      </c>
      <c r="W12" s="46">
        <f t="shared" si="4"/>
        <v>2</v>
      </c>
      <c r="X12" s="46">
        <f t="shared" si="4"/>
        <v>2</v>
      </c>
      <c r="Y12" s="46">
        <f t="shared" si="4"/>
        <v>4</v>
      </c>
      <c r="Z12" s="46">
        <f t="shared" si="4"/>
        <v>6</v>
      </c>
      <c r="AA12" s="46">
        <f t="shared" si="4"/>
        <v>4</v>
      </c>
      <c r="AB12" s="46">
        <f t="shared" si="4"/>
        <v>5</v>
      </c>
      <c r="AC12" s="46">
        <f t="shared" si="4"/>
        <v>4</v>
      </c>
      <c r="AD12" s="46">
        <f t="shared" si="4"/>
        <v>4</v>
      </c>
      <c r="AE12" s="46">
        <f t="shared" si="4"/>
        <v>7</v>
      </c>
      <c r="AF12" s="46">
        <f t="shared" si="4"/>
        <v>6</v>
      </c>
      <c r="AG12" s="43">
        <f t="shared" ref="AG12" si="5">SUM(AG5:AG11)</f>
        <v>78</v>
      </c>
      <c r="AH12" s="44">
        <f>AVERAGE(AH5:AH11)</f>
        <v>35.944700460829495</v>
      </c>
      <c r="AI12" s="29"/>
      <c r="AM12" s="20"/>
      <c r="AN12" s="20"/>
      <c r="AO12" s="20"/>
      <c r="AP12" s="20"/>
      <c r="AQ12" s="20"/>
    </row>
    <row r="13" spans="1:43" ht="51" hidden="1" customHeight="1" x14ac:dyDescent="0.35">
      <c r="A13" s="13" t="s">
        <v>28</v>
      </c>
      <c r="B13" s="14"/>
      <c r="C13" s="14"/>
      <c r="D13" s="14"/>
      <c r="E13" s="14"/>
      <c r="F13" s="14"/>
      <c r="G13" s="14"/>
      <c r="H13" s="14"/>
      <c r="I13" s="35"/>
      <c r="J13" s="34"/>
      <c r="K13" s="15"/>
      <c r="L13" s="14"/>
      <c r="M13" s="14"/>
      <c r="N13" s="25"/>
      <c r="O13" s="25"/>
      <c r="P13" s="25"/>
      <c r="Q13" s="14"/>
      <c r="R13" s="14"/>
      <c r="S13" s="14"/>
      <c r="T13" s="14"/>
      <c r="U13" s="14"/>
      <c r="V13" s="15"/>
      <c r="W13" s="15"/>
      <c r="X13" s="14"/>
      <c r="Y13" s="14"/>
      <c r="Z13" s="14"/>
      <c r="AA13" s="14"/>
      <c r="AB13" s="14"/>
      <c r="AC13" s="14"/>
      <c r="AD13" s="14"/>
      <c r="AE13" s="14"/>
      <c r="AF13" s="14"/>
      <c r="AG13" s="37"/>
      <c r="AH13" s="37"/>
      <c r="AM13" s="20"/>
      <c r="AN13" s="20"/>
      <c r="AO13" s="20"/>
      <c r="AP13" s="20"/>
      <c r="AQ13" s="20"/>
    </row>
    <row r="14" spans="1:43" ht="28.5" hidden="1" x14ac:dyDescent="0.35">
      <c r="A14" s="16" t="s">
        <v>29</v>
      </c>
      <c r="B14" s="14"/>
      <c r="C14" s="14"/>
      <c r="D14" s="14"/>
      <c r="E14" s="14"/>
      <c r="F14" s="14"/>
      <c r="G14" s="14"/>
      <c r="H14" s="14"/>
      <c r="I14" s="35"/>
      <c r="J14" s="34"/>
      <c r="K14" s="15"/>
      <c r="L14" s="14"/>
      <c r="M14" s="14"/>
      <c r="N14" s="25"/>
      <c r="O14" s="25"/>
      <c r="P14" s="25"/>
      <c r="Q14" s="14"/>
      <c r="R14" s="14"/>
      <c r="S14" s="14"/>
      <c r="T14" s="14"/>
      <c r="U14" s="14"/>
      <c r="V14" s="15"/>
      <c r="W14" s="15"/>
      <c r="X14" s="14"/>
      <c r="Y14" s="14"/>
      <c r="Z14" s="14"/>
      <c r="AA14" s="14"/>
      <c r="AB14" s="14"/>
      <c r="AC14" s="14"/>
      <c r="AD14" s="14"/>
      <c r="AE14" s="14"/>
      <c r="AF14" s="14"/>
      <c r="AG14" s="37"/>
      <c r="AH14" s="37"/>
      <c r="AM14" s="20"/>
      <c r="AN14" s="20"/>
      <c r="AO14" s="20"/>
      <c r="AP14" s="20"/>
      <c r="AQ14" s="20"/>
    </row>
    <row r="15" spans="1:43" x14ac:dyDescent="0.35">
      <c r="A15" s="7" t="s">
        <v>30</v>
      </c>
      <c r="B15" s="8"/>
      <c r="C15" s="8"/>
      <c r="D15" s="8" t="s">
        <v>191</v>
      </c>
      <c r="E15" s="8" t="s">
        <v>191</v>
      </c>
      <c r="F15" s="8" t="s">
        <v>191</v>
      </c>
      <c r="G15" s="8" t="s">
        <v>191</v>
      </c>
      <c r="H15" s="8" t="s">
        <v>191</v>
      </c>
      <c r="I15" s="8" t="s">
        <v>25</v>
      </c>
      <c r="J15" s="8" t="s">
        <v>25</v>
      </c>
      <c r="K15" s="8"/>
      <c r="L15" s="8"/>
      <c r="M15" s="8"/>
      <c r="N15" s="8" t="s">
        <v>197</v>
      </c>
      <c r="O15" s="8" t="s">
        <v>197</v>
      </c>
      <c r="P15" s="8" t="s">
        <v>197</v>
      </c>
      <c r="Q15" s="8" t="s">
        <v>197</v>
      </c>
      <c r="R15" s="8" t="s">
        <v>197</v>
      </c>
      <c r="S15" s="8" t="s">
        <v>197</v>
      </c>
      <c r="T15" s="8" t="s">
        <v>197</v>
      </c>
      <c r="U15" s="8" t="s">
        <v>197</v>
      </c>
      <c r="V15" s="8" t="s">
        <v>197</v>
      </c>
      <c r="W15" s="8" t="s">
        <v>197</v>
      </c>
      <c r="X15" s="8" t="s">
        <v>197</v>
      </c>
      <c r="Y15" s="8" t="s">
        <v>197</v>
      </c>
      <c r="Z15" s="8" t="s">
        <v>197</v>
      </c>
      <c r="AA15" s="8" t="s">
        <v>197</v>
      </c>
      <c r="AB15" s="8" t="s">
        <v>87</v>
      </c>
      <c r="AC15" s="8" t="s">
        <v>87</v>
      </c>
      <c r="AD15" s="8" t="s">
        <v>87</v>
      </c>
      <c r="AE15" s="8" t="s">
        <v>87</v>
      </c>
      <c r="AF15" s="8"/>
      <c r="AG15" s="41">
        <f>COUNTA(B15:AF15)</f>
        <v>25</v>
      </c>
      <c r="AH15" s="42">
        <f>AG15*100/31</f>
        <v>80.645161290322577</v>
      </c>
      <c r="AM15" s="20"/>
      <c r="AN15" s="20"/>
      <c r="AO15" s="20"/>
      <c r="AP15" s="20"/>
      <c r="AQ15" s="20"/>
    </row>
    <row r="16" spans="1:43" x14ac:dyDescent="0.35">
      <c r="A16" s="7" t="s">
        <v>35</v>
      </c>
      <c r="B16" s="8"/>
      <c r="C16" s="8" t="s">
        <v>190</v>
      </c>
      <c r="D16" s="8" t="s">
        <v>190</v>
      </c>
      <c r="E16" s="8" t="s">
        <v>190</v>
      </c>
      <c r="F16" s="8" t="s">
        <v>190</v>
      </c>
      <c r="G16" s="8" t="s">
        <v>190</v>
      </c>
      <c r="H16" s="8" t="s">
        <v>190</v>
      </c>
      <c r="I16" s="8"/>
      <c r="J16" s="8"/>
      <c r="K16" s="8"/>
      <c r="L16" s="8"/>
      <c r="M16" s="8"/>
      <c r="N16" s="8" t="s">
        <v>128</v>
      </c>
      <c r="O16" s="8" t="s">
        <v>128</v>
      </c>
      <c r="P16" s="8" t="s">
        <v>128</v>
      </c>
      <c r="Q16" s="8"/>
      <c r="R16" s="8"/>
      <c r="S16" s="8" t="s">
        <v>202</v>
      </c>
      <c r="T16" s="8"/>
      <c r="U16" s="8"/>
      <c r="V16" s="8"/>
      <c r="W16" s="8"/>
      <c r="X16" s="8"/>
      <c r="Y16" s="8"/>
      <c r="Z16" s="8" t="s">
        <v>136</v>
      </c>
      <c r="AA16" s="8"/>
      <c r="AB16" s="8" t="s">
        <v>87</v>
      </c>
      <c r="AC16" s="8" t="s">
        <v>87</v>
      </c>
      <c r="AD16" s="8" t="s">
        <v>87</v>
      </c>
      <c r="AE16" s="8" t="s">
        <v>87</v>
      </c>
      <c r="AF16" s="8" t="s">
        <v>87</v>
      </c>
      <c r="AG16" s="41">
        <f t="shared" ref="AG16:AG22" si="6">COUNTA(B16:AF16)</f>
        <v>16</v>
      </c>
      <c r="AH16" s="42">
        <f>AG16*100/31</f>
        <v>51.612903225806448</v>
      </c>
      <c r="AM16" s="20"/>
      <c r="AN16" s="20"/>
      <c r="AO16" s="20"/>
      <c r="AP16" s="20"/>
      <c r="AQ16" s="20"/>
    </row>
    <row r="17" spans="1:43" x14ac:dyDescent="0.35">
      <c r="A17" s="7" t="s">
        <v>39</v>
      </c>
      <c r="B17" s="8" t="s">
        <v>188</v>
      </c>
      <c r="C17" s="8" t="s">
        <v>188</v>
      </c>
      <c r="D17" s="8" t="s">
        <v>188</v>
      </c>
      <c r="E17" s="8" t="s">
        <v>188</v>
      </c>
      <c r="F17" s="8"/>
      <c r="G17" s="8"/>
      <c r="H17" s="8"/>
      <c r="I17" s="8" t="s">
        <v>196</v>
      </c>
      <c r="J17" s="8" t="s">
        <v>196</v>
      </c>
      <c r="K17" s="8" t="s">
        <v>196</v>
      </c>
      <c r="L17" s="8" t="s">
        <v>196</v>
      </c>
      <c r="M17" s="8" t="s">
        <v>196</v>
      </c>
      <c r="N17" s="8" t="s">
        <v>196</v>
      </c>
      <c r="O17" s="8" t="s">
        <v>196</v>
      </c>
      <c r="P17" s="8" t="s">
        <v>196</v>
      </c>
      <c r="Q17" s="8" t="s">
        <v>196</v>
      </c>
      <c r="R17" s="8" t="s">
        <v>196</v>
      </c>
      <c r="S17" s="8" t="s">
        <v>196</v>
      </c>
      <c r="T17" s="8" t="s">
        <v>196</v>
      </c>
      <c r="U17" s="8" t="s">
        <v>196</v>
      </c>
      <c r="V17" s="8" t="s">
        <v>196</v>
      </c>
      <c r="W17" s="8" t="s">
        <v>196</v>
      </c>
      <c r="X17" s="8" t="s">
        <v>196</v>
      </c>
      <c r="Y17" s="8" t="s">
        <v>196</v>
      </c>
      <c r="Z17" s="8" t="s">
        <v>196</v>
      </c>
      <c r="AA17" s="8" t="s">
        <v>196</v>
      </c>
      <c r="AB17" s="8" t="s">
        <v>196</v>
      </c>
      <c r="AC17" s="8" t="s">
        <v>196</v>
      </c>
      <c r="AD17" s="8" t="s">
        <v>196</v>
      </c>
      <c r="AE17" s="8" t="s">
        <v>196</v>
      </c>
      <c r="AF17" s="8" t="s">
        <v>196</v>
      </c>
      <c r="AG17" s="41">
        <f t="shared" si="6"/>
        <v>28</v>
      </c>
      <c r="AH17" s="42">
        <f t="shared" ref="AH17:AH22" si="7">AG17*100/31</f>
        <v>90.322580645161295</v>
      </c>
      <c r="AM17" s="20"/>
      <c r="AN17" s="20"/>
      <c r="AO17" s="20"/>
      <c r="AP17" s="20"/>
      <c r="AQ17" s="20"/>
    </row>
    <row r="18" spans="1:43" x14ac:dyDescent="0.35">
      <c r="A18" s="7" t="s">
        <v>42</v>
      </c>
      <c r="B18" s="8"/>
      <c r="C18" s="8" t="s">
        <v>190</v>
      </c>
      <c r="D18" s="8" t="s">
        <v>190</v>
      </c>
      <c r="E18" s="8" t="s">
        <v>190</v>
      </c>
      <c r="F18" s="8" t="s">
        <v>190</v>
      </c>
      <c r="G18" s="8" t="s">
        <v>190</v>
      </c>
      <c r="H18" s="8" t="s">
        <v>190</v>
      </c>
      <c r="I18" s="8"/>
      <c r="J18" s="8"/>
      <c r="K18" s="8"/>
      <c r="L18" s="8"/>
      <c r="M18" s="8" t="s">
        <v>198</v>
      </c>
      <c r="N18" s="8" t="s">
        <v>198</v>
      </c>
      <c r="O18" s="8" t="s">
        <v>198</v>
      </c>
      <c r="P18" s="8" t="s">
        <v>198</v>
      </c>
      <c r="Q18" s="8" t="s">
        <v>198</v>
      </c>
      <c r="R18" s="8" t="s">
        <v>198</v>
      </c>
      <c r="S18" s="8" t="s">
        <v>198</v>
      </c>
      <c r="T18" s="8" t="s">
        <v>198</v>
      </c>
      <c r="U18" s="8" t="s">
        <v>198</v>
      </c>
      <c r="V18" s="8" t="s">
        <v>198</v>
      </c>
      <c r="W18" s="8" t="s">
        <v>198</v>
      </c>
      <c r="X18" s="8" t="s">
        <v>198</v>
      </c>
      <c r="Y18" s="8" t="s">
        <v>198</v>
      </c>
      <c r="Z18" s="8" t="s">
        <v>198</v>
      </c>
      <c r="AA18" s="8" t="s">
        <v>198</v>
      </c>
      <c r="AB18" s="8" t="s">
        <v>198</v>
      </c>
      <c r="AC18" s="8" t="s">
        <v>198</v>
      </c>
      <c r="AD18" s="8" t="s">
        <v>198</v>
      </c>
      <c r="AE18" s="8" t="s">
        <v>198</v>
      </c>
      <c r="AF18" s="8" t="s">
        <v>198</v>
      </c>
      <c r="AG18" s="41">
        <f t="shared" si="6"/>
        <v>26</v>
      </c>
      <c r="AH18" s="42">
        <f t="shared" si="7"/>
        <v>83.870967741935488</v>
      </c>
      <c r="AM18" s="20"/>
      <c r="AN18" s="20"/>
      <c r="AO18" s="20"/>
      <c r="AP18" s="20"/>
      <c r="AQ18" s="20"/>
    </row>
    <row r="19" spans="1:43" x14ac:dyDescent="0.35">
      <c r="A19" s="7" t="s">
        <v>45</v>
      </c>
      <c r="B19" s="8" t="s">
        <v>181</v>
      </c>
      <c r="C19" s="8" t="s">
        <v>181</v>
      </c>
      <c r="D19" s="8" t="s">
        <v>181</v>
      </c>
      <c r="E19" s="8" t="s">
        <v>181</v>
      </c>
      <c r="F19" s="8" t="s">
        <v>181</v>
      </c>
      <c r="G19" s="8" t="s">
        <v>181</v>
      </c>
      <c r="H19" s="8" t="s">
        <v>185</v>
      </c>
      <c r="I19" s="8"/>
      <c r="J19" s="8"/>
      <c r="K19" s="8"/>
      <c r="L19" s="8"/>
      <c r="M19" s="8" t="s">
        <v>198</v>
      </c>
      <c r="N19" s="8" t="s">
        <v>198</v>
      </c>
      <c r="O19" s="8" t="s">
        <v>198</v>
      </c>
      <c r="P19" s="8" t="s">
        <v>198</v>
      </c>
      <c r="Q19" s="8" t="s">
        <v>198</v>
      </c>
      <c r="R19" s="8" t="s">
        <v>198</v>
      </c>
      <c r="S19" s="8" t="s">
        <v>198</v>
      </c>
      <c r="T19" s="8" t="s">
        <v>198</v>
      </c>
      <c r="U19" s="8" t="s">
        <v>198</v>
      </c>
      <c r="V19" s="8" t="s">
        <v>198</v>
      </c>
      <c r="W19" s="8" t="s">
        <v>198</v>
      </c>
      <c r="X19" s="8" t="s">
        <v>198</v>
      </c>
      <c r="Y19" s="8" t="s">
        <v>198</v>
      </c>
      <c r="Z19" s="8" t="s">
        <v>198</v>
      </c>
      <c r="AA19" s="8" t="s">
        <v>198</v>
      </c>
      <c r="AB19" s="8" t="s">
        <v>198</v>
      </c>
      <c r="AC19" s="8" t="s">
        <v>198</v>
      </c>
      <c r="AD19" s="8" t="s">
        <v>198</v>
      </c>
      <c r="AE19" s="8" t="s">
        <v>198</v>
      </c>
      <c r="AF19" s="8" t="s">
        <v>198</v>
      </c>
      <c r="AG19" s="41">
        <f t="shared" si="6"/>
        <v>27</v>
      </c>
      <c r="AH19" s="42">
        <f t="shared" si="7"/>
        <v>87.096774193548384</v>
      </c>
      <c r="AM19" s="20"/>
      <c r="AN19" s="20"/>
      <c r="AO19" s="20"/>
      <c r="AP19" s="20"/>
      <c r="AQ19" s="20"/>
    </row>
    <row r="20" spans="1:43" x14ac:dyDescent="0.35">
      <c r="A20" s="7" t="s">
        <v>47</v>
      </c>
      <c r="B20" s="8" t="s">
        <v>169</v>
      </c>
      <c r="C20" s="8" t="s">
        <v>169</v>
      </c>
      <c r="D20" s="8" t="s">
        <v>169</v>
      </c>
      <c r="E20" s="8" t="s">
        <v>169</v>
      </c>
      <c r="F20" s="8" t="s">
        <v>169</v>
      </c>
      <c r="G20" s="8" t="s">
        <v>169</v>
      </c>
      <c r="H20" s="8" t="s">
        <v>169</v>
      </c>
      <c r="I20" s="8" t="s">
        <v>169</v>
      </c>
      <c r="J20" s="8" t="s">
        <v>169</v>
      </c>
      <c r="K20" s="8" t="s">
        <v>169</v>
      </c>
      <c r="L20" s="8" t="s">
        <v>169</v>
      </c>
      <c r="M20" s="8" t="s">
        <v>169</v>
      </c>
      <c r="N20" s="53" t="s">
        <v>169</v>
      </c>
      <c r="O20" s="8" t="s">
        <v>169</v>
      </c>
      <c r="P20" s="8" t="s">
        <v>169</v>
      </c>
      <c r="Q20" s="8" t="s">
        <v>169</v>
      </c>
      <c r="R20" s="8" t="s">
        <v>169</v>
      </c>
      <c r="S20" s="8" t="s">
        <v>169</v>
      </c>
      <c r="T20" s="8" t="s">
        <v>169</v>
      </c>
      <c r="U20" s="8" t="s">
        <v>169</v>
      </c>
      <c r="V20" s="8" t="s">
        <v>169</v>
      </c>
      <c r="W20" s="8" t="s">
        <v>169</v>
      </c>
      <c r="X20" s="8" t="s">
        <v>169</v>
      </c>
      <c r="Y20" s="8" t="s">
        <v>169</v>
      </c>
      <c r="Z20" s="8" t="s">
        <v>169</v>
      </c>
      <c r="AA20" s="8" t="s">
        <v>169</v>
      </c>
      <c r="AB20" s="8" t="s">
        <v>169</v>
      </c>
      <c r="AC20" s="8" t="s">
        <v>169</v>
      </c>
      <c r="AD20" s="8" t="s">
        <v>169</v>
      </c>
      <c r="AE20" s="8" t="s">
        <v>169</v>
      </c>
      <c r="AF20" s="8" t="s">
        <v>169</v>
      </c>
      <c r="AG20" s="41">
        <f t="shared" si="6"/>
        <v>31</v>
      </c>
      <c r="AH20" s="42">
        <f t="shared" si="7"/>
        <v>100</v>
      </c>
      <c r="AM20" s="20"/>
      <c r="AN20" s="20"/>
      <c r="AO20" s="20"/>
      <c r="AP20" s="20"/>
      <c r="AQ20" s="20"/>
    </row>
    <row r="21" spans="1:43" x14ac:dyDescent="0.35">
      <c r="A21" s="7" t="s">
        <v>50</v>
      </c>
      <c r="B21" s="8" t="s">
        <v>195</v>
      </c>
      <c r="C21" s="8" t="s">
        <v>195</v>
      </c>
      <c r="D21" s="8" t="s">
        <v>195</v>
      </c>
      <c r="E21" s="8" t="s">
        <v>195</v>
      </c>
      <c r="F21" s="8" t="s">
        <v>195</v>
      </c>
      <c r="G21" s="8" t="s">
        <v>195</v>
      </c>
      <c r="H21" s="8"/>
      <c r="I21" s="8"/>
      <c r="J21" s="8"/>
      <c r="K21" s="8"/>
      <c r="L21" s="8"/>
      <c r="M21" s="8"/>
      <c r="N21" s="8" t="s">
        <v>181</v>
      </c>
      <c r="O21" s="8" t="s">
        <v>181</v>
      </c>
      <c r="P21" s="8" t="s">
        <v>181</v>
      </c>
      <c r="Q21" s="8" t="s">
        <v>181</v>
      </c>
      <c r="R21" s="8" t="s">
        <v>181</v>
      </c>
      <c r="S21" s="8" t="s">
        <v>181</v>
      </c>
      <c r="T21" s="8" t="s">
        <v>181</v>
      </c>
      <c r="U21" s="8" t="s">
        <v>181</v>
      </c>
      <c r="V21" s="8"/>
      <c r="W21" s="8"/>
      <c r="X21" s="8"/>
      <c r="Y21" s="8" t="s">
        <v>25</v>
      </c>
      <c r="Z21" s="8" t="s">
        <v>25</v>
      </c>
      <c r="AA21" s="8" t="s">
        <v>34</v>
      </c>
      <c r="AB21" s="8" t="s">
        <v>34</v>
      </c>
      <c r="AC21" s="8" t="s">
        <v>34</v>
      </c>
      <c r="AD21" s="8" t="s">
        <v>34</v>
      </c>
      <c r="AE21" s="8" t="s">
        <v>34</v>
      </c>
      <c r="AF21" s="8" t="s">
        <v>34</v>
      </c>
      <c r="AG21" s="41">
        <f t="shared" si="6"/>
        <v>22</v>
      </c>
      <c r="AH21" s="42">
        <f t="shared" si="7"/>
        <v>70.967741935483872</v>
      </c>
      <c r="AM21" s="20"/>
      <c r="AN21" s="20"/>
      <c r="AO21" s="20"/>
      <c r="AP21" s="20"/>
      <c r="AQ21" s="20"/>
    </row>
    <row r="22" spans="1:43" ht="15" thickBot="1" x14ac:dyDescent="0.4">
      <c r="A22" s="7" t="s">
        <v>51</v>
      </c>
      <c r="B22" s="8"/>
      <c r="C22" s="8" t="s">
        <v>190</v>
      </c>
      <c r="D22" s="8" t="s">
        <v>190</v>
      </c>
      <c r="E22" s="8" t="s">
        <v>190</v>
      </c>
      <c r="F22" s="8" t="s">
        <v>190</v>
      </c>
      <c r="G22" s="8" t="s">
        <v>190</v>
      </c>
      <c r="H22" s="8" t="s">
        <v>190</v>
      </c>
      <c r="I22" s="8"/>
      <c r="J22" s="8"/>
      <c r="K22" s="8"/>
      <c r="L22" s="8"/>
      <c r="M22" s="8"/>
      <c r="N22" s="8" t="s">
        <v>198</v>
      </c>
      <c r="O22" s="8" t="s">
        <v>198</v>
      </c>
      <c r="P22" s="8" t="s">
        <v>198</v>
      </c>
      <c r="Q22" s="8" t="s">
        <v>198</v>
      </c>
      <c r="R22" s="8" t="s">
        <v>198</v>
      </c>
      <c r="S22" s="8" t="s">
        <v>198</v>
      </c>
      <c r="T22" s="8" t="s">
        <v>198</v>
      </c>
      <c r="U22" s="8" t="s">
        <v>198</v>
      </c>
      <c r="V22" s="8" t="s">
        <v>198</v>
      </c>
      <c r="W22" s="8" t="s">
        <v>198</v>
      </c>
      <c r="X22" s="8" t="s">
        <v>198</v>
      </c>
      <c r="Y22" s="8" t="s">
        <v>198</v>
      </c>
      <c r="Z22" s="8" t="s">
        <v>198</v>
      </c>
      <c r="AA22" s="8" t="s">
        <v>198</v>
      </c>
      <c r="AB22" s="8" t="s">
        <v>198</v>
      </c>
      <c r="AC22" s="8" t="s">
        <v>198</v>
      </c>
      <c r="AD22" s="8" t="s">
        <v>198</v>
      </c>
      <c r="AE22" s="8" t="s">
        <v>198</v>
      </c>
      <c r="AF22" s="8" t="s">
        <v>198</v>
      </c>
      <c r="AG22" s="41">
        <f t="shared" si="6"/>
        <v>25</v>
      </c>
      <c r="AH22" s="42">
        <f t="shared" si="7"/>
        <v>80.645161290322577</v>
      </c>
      <c r="AM22" s="20"/>
      <c r="AN22" s="20"/>
      <c r="AO22" s="20"/>
      <c r="AP22" s="20"/>
      <c r="AQ22" s="20"/>
    </row>
    <row r="23" spans="1:43" ht="15.5" x14ac:dyDescent="0.35">
      <c r="A23" s="45" t="s">
        <v>176</v>
      </c>
      <c r="B23" s="46">
        <f>COUNTA(B15:B22)</f>
        <v>4</v>
      </c>
      <c r="C23" s="46">
        <f t="shared" ref="C23:AF23" si="8">COUNTA(C15:C22)</f>
        <v>7</v>
      </c>
      <c r="D23" s="46">
        <f t="shared" si="8"/>
        <v>8</v>
      </c>
      <c r="E23" s="46">
        <f t="shared" si="8"/>
        <v>8</v>
      </c>
      <c r="F23" s="46">
        <f t="shared" si="8"/>
        <v>7</v>
      </c>
      <c r="G23" s="46">
        <f t="shared" si="8"/>
        <v>7</v>
      </c>
      <c r="H23" s="46">
        <f t="shared" si="8"/>
        <v>6</v>
      </c>
      <c r="I23" s="46">
        <f t="shared" si="8"/>
        <v>3</v>
      </c>
      <c r="J23" s="46">
        <f t="shared" si="8"/>
        <v>3</v>
      </c>
      <c r="K23" s="46">
        <f t="shared" si="8"/>
        <v>2</v>
      </c>
      <c r="L23" s="46">
        <f t="shared" si="8"/>
        <v>2</v>
      </c>
      <c r="M23" s="46">
        <f t="shared" si="8"/>
        <v>4</v>
      </c>
      <c r="N23" s="46">
        <f t="shared" si="8"/>
        <v>8</v>
      </c>
      <c r="O23" s="46">
        <f t="shared" si="8"/>
        <v>8</v>
      </c>
      <c r="P23" s="46">
        <f t="shared" si="8"/>
        <v>8</v>
      </c>
      <c r="Q23" s="46">
        <f t="shared" si="8"/>
        <v>7</v>
      </c>
      <c r="R23" s="46">
        <f t="shared" si="8"/>
        <v>7</v>
      </c>
      <c r="S23" s="46">
        <f t="shared" si="8"/>
        <v>8</v>
      </c>
      <c r="T23" s="46">
        <f t="shared" si="8"/>
        <v>7</v>
      </c>
      <c r="U23" s="46">
        <f t="shared" si="8"/>
        <v>7</v>
      </c>
      <c r="V23" s="46">
        <f t="shared" si="8"/>
        <v>6</v>
      </c>
      <c r="W23" s="46">
        <f t="shared" si="8"/>
        <v>6</v>
      </c>
      <c r="X23" s="46">
        <f t="shared" si="8"/>
        <v>6</v>
      </c>
      <c r="Y23" s="46">
        <f t="shared" si="8"/>
        <v>7</v>
      </c>
      <c r="Z23" s="46">
        <f t="shared" si="8"/>
        <v>8</v>
      </c>
      <c r="AA23" s="46">
        <f t="shared" si="8"/>
        <v>7</v>
      </c>
      <c r="AB23" s="46">
        <f t="shared" si="8"/>
        <v>8</v>
      </c>
      <c r="AC23" s="46">
        <f t="shared" si="8"/>
        <v>8</v>
      </c>
      <c r="AD23" s="46">
        <f t="shared" si="8"/>
        <v>8</v>
      </c>
      <c r="AE23" s="46">
        <f t="shared" si="8"/>
        <v>8</v>
      </c>
      <c r="AF23" s="46">
        <f t="shared" si="8"/>
        <v>7</v>
      </c>
      <c r="AG23" s="43">
        <f>SUM(AG15:AG22)</f>
        <v>200</v>
      </c>
      <c r="AH23" s="38"/>
      <c r="AM23" s="20"/>
      <c r="AN23" s="20"/>
      <c r="AO23" s="20"/>
      <c r="AP23" s="20"/>
      <c r="AQ23" s="20"/>
    </row>
    <row r="24" spans="1:43" ht="15.5" x14ac:dyDescent="0.35">
      <c r="A24" s="47" t="s">
        <v>178</v>
      </c>
      <c r="B24" s="52">
        <f>B12+B23</f>
        <v>5</v>
      </c>
      <c r="C24" s="52">
        <f t="shared" ref="C24:AF24" si="9">C12+C23</f>
        <v>8</v>
      </c>
      <c r="D24" s="52">
        <f t="shared" si="9"/>
        <v>13</v>
      </c>
      <c r="E24" s="52">
        <f t="shared" si="9"/>
        <v>10</v>
      </c>
      <c r="F24" s="52">
        <f t="shared" si="9"/>
        <v>9</v>
      </c>
      <c r="G24" s="52">
        <f t="shared" si="9"/>
        <v>9</v>
      </c>
      <c r="H24" s="52">
        <f t="shared" si="9"/>
        <v>8</v>
      </c>
      <c r="I24" s="52">
        <f t="shared" si="9"/>
        <v>4</v>
      </c>
      <c r="J24" s="52">
        <f t="shared" si="9"/>
        <v>4</v>
      </c>
      <c r="K24" s="52">
        <f t="shared" si="9"/>
        <v>3</v>
      </c>
      <c r="L24" s="52">
        <f t="shared" si="9"/>
        <v>3</v>
      </c>
      <c r="M24" s="52">
        <f t="shared" si="9"/>
        <v>5</v>
      </c>
      <c r="N24" s="52">
        <f t="shared" si="9"/>
        <v>9</v>
      </c>
      <c r="O24" s="52">
        <f t="shared" si="9"/>
        <v>10</v>
      </c>
      <c r="P24" s="52">
        <f t="shared" si="9"/>
        <v>11</v>
      </c>
      <c r="Q24" s="52">
        <f t="shared" si="9"/>
        <v>10</v>
      </c>
      <c r="R24" s="52">
        <f t="shared" si="9"/>
        <v>10</v>
      </c>
      <c r="S24" s="52">
        <f t="shared" si="9"/>
        <v>10</v>
      </c>
      <c r="T24" s="52">
        <f t="shared" si="9"/>
        <v>7</v>
      </c>
      <c r="U24" s="52">
        <f t="shared" si="9"/>
        <v>7</v>
      </c>
      <c r="V24" s="52">
        <f t="shared" si="9"/>
        <v>6</v>
      </c>
      <c r="W24" s="52">
        <f t="shared" si="9"/>
        <v>8</v>
      </c>
      <c r="X24" s="52">
        <f t="shared" si="9"/>
        <v>8</v>
      </c>
      <c r="Y24" s="52">
        <f t="shared" si="9"/>
        <v>11</v>
      </c>
      <c r="Z24" s="52">
        <f t="shared" si="9"/>
        <v>14</v>
      </c>
      <c r="AA24" s="52">
        <f t="shared" si="9"/>
        <v>11</v>
      </c>
      <c r="AB24" s="52">
        <f t="shared" si="9"/>
        <v>13</v>
      </c>
      <c r="AC24" s="52">
        <f t="shared" si="9"/>
        <v>12</v>
      </c>
      <c r="AD24" s="52">
        <f t="shared" si="9"/>
        <v>12</v>
      </c>
      <c r="AE24" s="52">
        <f t="shared" si="9"/>
        <v>15</v>
      </c>
      <c r="AF24" s="52">
        <f t="shared" si="9"/>
        <v>13</v>
      </c>
      <c r="AG24" s="49">
        <f>+AG12+AG23</f>
        <v>278</v>
      </c>
    </row>
    <row r="25" spans="1:43" ht="15.5" x14ac:dyDescent="0.35">
      <c r="A25" s="48" t="s">
        <v>179</v>
      </c>
      <c r="B25" s="42">
        <f>B24*100/15</f>
        <v>33.333333333333336</v>
      </c>
      <c r="C25" s="42">
        <f t="shared" ref="C25:AF25" si="10">C24*100/15</f>
        <v>53.333333333333336</v>
      </c>
      <c r="D25" s="42">
        <f t="shared" si="10"/>
        <v>86.666666666666671</v>
      </c>
      <c r="E25" s="42">
        <f t="shared" si="10"/>
        <v>66.666666666666671</v>
      </c>
      <c r="F25" s="42">
        <f t="shared" si="10"/>
        <v>60</v>
      </c>
      <c r="G25" s="42">
        <f t="shared" si="10"/>
        <v>60</v>
      </c>
      <c r="H25" s="42">
        <f t="shared" si="10"/>
        <v>53.333333333333336</v>
      </c>
      <c r="I25" s="42">
        <f t="shared" si="10"/>
        <v>26.666666666666668</v>
      </c>
      <c r="J25" s="42">
        <f t="shared" si="10"/>
        <v>26.666666666666668</v>
      </c>
      <c r="K25" s="42">
        <f t="shared" si="10"/>
        <v>20</v>
      </c>
      <c r="L25" s="42">
        <f t="shared" si="10"/>
        <v>20</v>
      </c>
      <c r="M25" s="42">
        <f t="shared" si="10"/>
        <v>33.333333333333336</v>
      </c>
      <c r="N25" s="42">
        <f t="shared" si="10"/>
        <v>60</v>
      </c>
      <c r="O25" s="42">
        <f t="shared" si="10"/>
        <v>66.666666666666671</v>
      </c>
      <c r="P25" s="42">
        <f t="shared" si="10"/>
        <v>73.333333333333329</v>
      </c>
      <c r="Q25" s="42">
        <f t="shared" si="10"/>
        <v>66.666666666666671</v>
      </c>
      <c r="R25" s="42">
        <f t="shared" si="10"/>
        <v>66.666666666666671</v>
      </c>
      <c r="S25" s="42">
        <f t="shared" si="10"/>
        <v>66.666666666666671</v>
      </c>
      <c r="T25" s="42">
        <f t="shared" si="10"/>
        <v>46.666666666666664</v>
      </c>
      <c r="U25" s="42">
        <f t="shared" si="10"/>
        <v>46.666666666666664</v>
      </c>
      <c r="V25" s="42">
        <f t="shared" si="10"/>
        <v>40</v>
      </c>
      <c r="W25" s="42">
        <f t="shared" si="10"/>
        <v>53.333333333333336</v>
      </c>
      <c r="X25" s="42">
        <f t="shared" si="10"/>
        <v>53.333333333333336</v>
      </c>
      <c r="Y25" s="42">
        <f t="shared" si="10"/>
        <v>73.333333333333329</v>
      </c>
      <c r="Z25" s="42">
        <f t="shared" si="10"/>
        <v>93.333333333333329</v>
      </c>
      <c r="AA25" s="42">
        <f t="shared" si="10"/>
        <v>73.333333333333329</v>
      </c>
      <c r="AB25" s="42">
        <f t="shared" si="10"/>
        <v>86.666666666666671</v>
      </c>
      <c r="AC25" s="42">
        <f t="shared" si="10"/>
        <v>80</v>
      </c>
      <c r="AD25" s="42">
        <f t="shared" si="10"/>
        <v>80</v>
      </c>
      <c r="AE25" s="42">
        <f t="shared" si="10"/>
        <v>100</v>
      </c>
      <c r="AF25" s="42">
        <f t="shared" si="10"/>
        <v>86.666666666666671</v>
      </c>
      <c r="AG25" s="50">
        <f>AVERAGE(C25:AF25)</f>
        <v>60.666666666666657</v>
      </c>
      <c r="AH25" s="51" t="s">
        <v>180</v>
      </c>
    </row>
    <row r="44" ht="13.5" customHeight="1" x14ac:dyDescent="0.35"/>
  </sheetData>
  <mergeCells count="1">
    <mergeCell ref="A1:AE1"/>
  </mergeCells>
  <conditionalFormatting sqref="B11:C11">
    <cfRule type="colorScale" priority="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21:G21">
    <cfRule type="colorScale" priority="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20:AF20">
    <cfRule type="colorScale" priority="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H21 J22 K21:U21">
    <cfRule type="colorScale" priority="8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H19:I19">
    <cfRule type="colorScale" priority="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I21">
    <cfRule type="colorScale" priority="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J21">
    <cfRule type="colorScale" priority="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L13:U14 X13:AH14 B17:B19 B13:I16 C17:I18 B22:I22 C19:G19 D11:W11 B9:AA10 K22:AF22 V21:AF21 X9:AF11 B5:AF8 J15:AF19">
    <cfRule type="colorScale" priority="9">
      <colorScale>
        <cfvo type="num" val="1"/>
        <cfvo type="max"/>
        <color theme="4" tint="0.59999389629810485"/>
        <color theme="5" tint="0.59999389629810485"/>
      </colorScale>
    </cfRule>
  </conditionalFormatting>
  <pageMargins left="0.7" right="0.7" top="0.75" bottom="0.75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5D7DC-B5F7-4E67-B933-55F140972A77}">
  <dimension ref="A1:AO44"/>
  <sheetViews>
    <sheetView zoomScaleNormal="100" workbookViewId="0">
      <pane xSplit="1" ySplit="4" topLeftCell="M5" activePane="bottomRight" state="frozen"/>
      <selection pane="topRight" activeCell="B1" sqref="B1"/>
      <selection pane="bottomLeft" activeCell="A5" sqref="A5"/>
      <selection pane="bottomRight" activeCell="AD25" sqref="AD25"/>
    </sheetView>
  </sheetViews>
  <sheetFormatPr defaultRowHeight="14.5" x14ac:dyDescent="0.35"/>
  <cols>
    <col min="1" max="1" width="28.81640625" bestFit="1" customWidth="1"/>
    <col min="2" max="3" width="7.7265625" bestFit="1" customWidth="1"/>
    <col min="4" max="4" width="9.54296875" bestFit="1" customWidth="1"/>
    <col min="5" max="5" width="8.81640625" bestFit="1" customWidth="1"/>
    <col min="6" max="6" width="7.7265625" bestFit="1" customWidth="1"/>
    <col min="7" max="8" width="9.1796875" bestFit="1" customWidth="1"/>
    <col min="9" max="11" width="11.1796875" bestFit="1" customWidth="1"/>
    <col min="12" max="13" width="9.54296875" bestFit="1" customWidth="1"/>
    <col min="14" max="16" width="11.54296875" bestFit="1" customWidth="1"/>
    <col min="17" max="22" width="10.54296875" bestFit="1" customWidth="1"/>
    <col min="23" max="29" width="5" bestFit="1" customWidth="1"/>
    <col min="30" max="30" width="4.81640625" bestFit="1" customWidth="1"/>
    <col min="31" max="31" width="8.1796875" bestFit="1" customWidth="1"/>
    <col min="32" max="33" width="7.453125" bestFit="1" customWidth="1"/>
    <col min="34" max="34" width="0" hidden="1" customWidth="1"/>
    <col min="35" max="35" width="0.1796875" hidden="1" customWidth="1"/>
    <col min="36" max="36" width="13.7265625" bestFit="1" customWidth="1"/>
    <col min="37" max="37" width="12.453125" bestFit="1" customWidth="1"/>
    <col min="38" max="38" width="9.81640625" bestFit="1" customWidth="1"/>
    <col min="39" max="39" width="10.81640625" bestFit="1" customWidth="1"/>
    <col min="40" max="40" width="9.26953125" bestFit="1" customWidth="1"/>
    <col min="41" max="41" width="9.81640625" hidden="1" customWidth="1"/>
  </cols>
  <sheetData>
    <row r="1" spans="1:40" ht="15.5" x14ac:dyDescent="0.35">
      <c r="A1" s="120" t="s">
        <v>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</row>
    <row r="2" spans="1:40" ht="15" thickBot="1" x14ac:dyDescent="0.4"/>
    <row r="3" spans="1:40" ht="45.75" customHeight="1" x14ac:dyDescent="0.35">
      <c r="A3" s="1" t="s">
        <v>1</v>
      </c>
      <c r="B3" s="2">
        <f>AF4</f>
        <v>44958</v>
      </c>
      <c r="C3" s="2">
        <f t="shared" ref="C3:AC3" si="0">B3+1</f>
        <v>44959</v>
      </c>
      <c r="D3" s="2">
        <f t="shared" si="0"/>
        <v>44960</v>
      </c>
      <c r="E3" s="2">
        <f t="shared" si="0"/>
        <v>44961</v>
      </c>
      <c r="F3" s="2">
        <f t="shared" si="0"/>
        <v>44962</v>
      </c>
      <c r="G3" s="2">
        <f t="shared" si="0"/>
        <v>44963</v>
      </c>
      <c r="H3" s="2">
        <f t="shared" si="0"/>
        <v>44964</v>
      </c>
      <c r="I3" s="2">
        <f>H3+1</f>
        <v>44965</v>
      </c>
      <c r="J3" s="2">
        <f t="shared" si="0"/>
        <v>44966</v>
      </c>
      <c r="K3" s="2">
        <f t="shared" si="0"/>
        <v>44967</v>
      </c>
      <c r="L3" s="2">
        <f t="shared" si="0"/>
        <v>44968</v>
      </c>
      <c r="M3" s="2">
        <f t="shared" si="0"/>
        <v>44969</v>
      </c>
      <c r="N3" s="2">
        <f t="shared" si="0"/>
        <v>44970</v>
      </c>
      <c r="O3" s="2">
        <f t="shared" si="0"/>
        <v>44971</v>
      </c>
      <c r="P3" s="2">
        <f t="shared" si="0"/>
        <v>44972</v>
      </c>
      <c r="Q3" s="2">
        <f t="shared" si="0"/>
        <v>44973</v>
      </c>
      <c r="R3" s="2">
        <f t="shared" si="0"/>
        <v>44974</v>
      </c>
      <c r="S3" s="2">
        <f t="shared" si="0"/>
        <v>44975</v>
      </c>
      <c r="T3" s="2">
        <f t="shared" si="0"/>
        <v>44976</v>
      </c>
      <c r="U3" s="2">
        <f t="shared" si="0"/>
        <v>44977</v>
      </c>
      <c r="V3" s="2">
        <f t="shared" si="0"/>
        <v>44978</v>
      </c>
      <c r="W3" s="2">
        <f t="shared" si="0"/>
        <v>44979</v>
      </c>
      <c r="X3" s="2">
        <f t="shared" si="0"/>
        <v>44980</v>
      </c>
      <c r="Y3" s="2">
        <f t="shared" si="0"/>
        <v>44981</v>
      </c>
      <c r="Z3" s="2">
        <f t="shared" si="0"/>
        <v>44982</v>
      </c>
      <c r="AA3" s="2">
        <f t="shared" si="0"/>
        <v>44983</v>
      </c>
      <c r="AB3" s="2">
        <f t="shared" si="0"/>
        <v>44984</v>
      </c>
      <c r="AC3" s="2">
        <f t="shared" si="0"/>
        <v>44985</v>
      </c>
      <c r="AD3" s="36"/>
      <c r="AE3" s="36"/>
    </row>
    <row r="4" spans="1:40" ht="31.5" customHeight="1" x14ac:dyDescent="0.35">
      <c r="A4" s="3" t="s">
        <v>2</v>
      </c>
      <c r="B4" s="4">
        <f t="shared" ref="B4:AC4" si="1">B3</f>
        <v>44958</v>
      </c>
      <c r="C4" s="4">
        <f t="shared" si="1"/>
        <v>44959</v>
      </c>
      <c r="D4" s="4">
        <f t="shared" si="1"/>
        <v>44960</v>
      </c>
      <c r="E4" s="4">
        <f t="shared" si="1"/>
        <v>44961</v>
      </c>
      <c r="F4" s="4">
        <f t="shared" si="1"/>
        <v>44962</v>
      </c>
      <c r="G4" s="4">
        <f t="shared" si="1"/>
        <v>44963</v>
      </c>
      <c r="H4" s="4">
        <f t="shared" si="1"/>
        <v>44964</v>
      </c>
      <c r="I4" s="4">
        <f t="shared" si="1"/>
        <v>44965</v>
      </c>
      <c r="J4" s="4">
        <f t="shared" si="1"/>
        <v>44966</v>
      </c>
      <c r="K4" s="4">
        <f t="shared" si="1"/>
        <v>44967</v>
      </c>
      <c r="L4" s="4">
        <f t="shared" si="1"/>
        <v>44968</v>
      </c>
      <c r="M4" s="4">
        <f t="shared" si="1"/>
        <v>44969</v>
      </c>
      <c r="N4" s="4">
        <f t="shared" si="1"/>
        <v>44970</v>
      </c>
      <c r="O4" s="4">
        <f t="shared" si="1"/>
        <v>44971</v>
      </c>
      <c r="P4" s="4">
        <f t="shared" si="1"/>
        <v>44972</v>
      </c>
      <c r="Q4" s="4">
        <f t="shared" si="1"/>
        <v>44973</v>
      </c>
      <c r="R4" s="4">
        <f t="shared" si="1"/>
        <v>44974</v>
      </c>
      <c r="S4" s="4">
        <f t="shared" si="1"/>
        <v>44975</v>
      </c>
      <c r="T4" s="4">
        <f t="shared" si="1"/>
        <v>44976</v>
      </c>
      <c r="U4" s="4">
        <f t="shared" si="1"/>
        <v>44977</v>
      </c>
      <c r="V4" s="4">
        <f t="shared" si="1"/>
        <v>44978</v>
      </c>
      <c r="W4" s="4">
        <f t="shared" si="1"/>
        <v>44979</v>
      </c>
      <c r="X4" s="4">
        <f t="shared" si="1"/>
        <v>44980</v>
      </c>
      <c r="Y4" s="4">
        <f t="shared" si="1"/>
        <v>44981</v>
      </c>
      <c r="Z4" s="4">
        <f t="shared" si="1"/>
        <v>44982</v>
      </c>
      <c r="AA4" s="4">
        <f t="shared" si="1"/>
        <v>44983</v>
      </c>
      <c r="AB4" s="4">
        <f t="shared" si="1"/>
        <v>44984</v>
      </c>
      <c r="AC4" s="4">
        <f t="shared" si="1"/>
        <v>44985</v>
      </c>
      <c r="AD4" s="39" t="s">
        <v>174</v>
      </c>
      <c r="AE4" s="40" t="s">
        <v>175</v>
      </c>
      <c r="AF4" s="5">
        <v>44958</v>
      </c>
      <c r="AG4" s="6">
        <f>EOMONTH(AF4,0)</f>
        <v>44985</v>
      </c>
      <c r="AJ4" s="19" t="s">
        <v>54</v>
      </c>
      <c r="AK4" s="19" t="s">
        <v>58</v>
      </c>
      <c r="AL4" s="19" t="s">
        <v>55</v>
      </c>
      <c r="AM4" s="19" t="s">
        <v>56</v>
      </c>
      <c r="AN4" s="19" t="s">
        <v>57</v>
      </c>
    </row>
    <row r="5" spans="1:40" x14ac:dyDescent="0.35">
      <c r="A5" s="7" t="s">
        <v>3</v>
      </c>
      <c r="B5" s="8"/>
      <c r="C5" s="8"/>
      <c r="D5" s="55" t="s">
        <v>216</v>
      </c>
      <c r="E5" s="54"/>
      <c r="F5" s="54"/>
      <c r="G5" s="55"/>
      <c r="H5" s="55"/>
      <c r="I5" s="55" t="s">
        <v>152</v>
      </c>
      <c r="J5" s="55" t="s">
        <v>152</v>
      </c>
      <c r="K5" s="55" t="s">
        <v>152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41">
        <f t="shared" ref="AD5:AD11" si="2">COUNTA(B5:AC5)</f>
        <v>4</v>
      </c>
      <c r="AE5" s="42">
        <f>AD5*100/28</f>
        <v>14.285714285714286</v>
      </c>
      <c r="AJ5" s="20"/>
      <c r="AK5" s="20"/>
      <c r="AL5" s="20"/>
      <c r="AM5" s="20"/>
      <c r="AN5" s="20"/>
    </row>
    <row r="6" spans="1:40" x14ac:dyDescent="0.35">
      <c r="A6" s="7" t="s">
        <v>7</v>
      </c>
      <c r="B6" s="8"/>
      <c r="C6" s="8"/>
      <c r="D6" s="54"/>
      <c r="E6" s="54"/>
      <c r="F6" s="54"/>
      <c r="G6" s="55"/>
      <c r="H6" s="55"/>
      <c r="I6" s="55" t="s">
        <v>206</v>
      </c>
      <c r="J6" s="55" t="s">
        <v>206</v>
      </c>
      <c r="K6" s="55" t="s">
        <v>206</v>
      </c>
      <c r="L6" s="8"/>
      <c r="M6" s="8"/>
      <c r="N6" s="8"/>
      <c r="O6" s="8" t="s">
        <v>90</v>
      </c>
      <c r="P6" s="8" t="s">
        <v>90</v>
      </c>
      <c r="Q6" s="8" t="s">
        <v>90</v>
      </c>
      <c r="R6" s="8" t="s">
        <v>90</v>
      </c>
      <c r="S6" s="8" t="s">
        <v>230</v>
      </c>
      <c r="T6" s="55" t="s">
        <v>226</v>
      </c>
      <c r="U6" s="55" t="s">
        <v>226</v>
      </c>
      <c r="V6" s="55" t="s">
        <v>226</v>
      </c>
      <c r="W6" s="55" t="s">
        <v>226</v>
      </c>
      <c r="X6" s="55" t="s">
        <v>226</v>
      </c>
      <c r="Y6" s="55" t="s">
        <v>226</v>
      </c>
      <c r="Z6" s="55"/>
      <c r="AA6" s="55"/>
      <c r="AB6" s="55"/>
      <c r="AC6" s="8"/>
      <c r="AD6" s="41">
        <f t="shared" si="2"/>
        <v>14</v>
      </c>
      <c r="AE6" s="42">
        <f>AD6*100/28</f>
        <v>50</v>
      </c>
      <c r="AJ6" s="20"/>
      <c r="AK6" s="20"/>
      <c r="AL6" s="21"/>
      <c r="AM6" s="21"/>
      <c r="AN6" s="20"/>
    </row>
    <row r="7" spans="1:40" x14ac:dyDescent="0.35">
      <c r="A7" s="7" t="s">
        <v>11</v>
      </c>
      <c r="B7" s="8"/>
      <c r="C7" s="8"/>
      <c r="D7" s="55" t="s">
        <v>215</v>
      </c>
      <c r="E7" s="55" t="s">
        <v>215</v>
      </c>
      <c r="F7" s="54"/>
      <c r="G7" s="55" t="s">
        <v>209</v>
      </c>
      <c r="H7" s="55" t="s">
        <v>209</v>
      </c>
      <c r="I7" s="55" t="s">
        <v>209</v>
      </c>
      <c r="J7" s="55" t="s">
        <v>209</v>
      </c>
      <c r="K7" s="55" t="s">
        <v>209</v>
      </c>
      <c r="L7" s="8"/>
      <c r="M7" s="8"/>
      <c r="N7" s="8"/>
      <c r="O7" s="8" t="s">
        <v>9</v>
      </c>
      <c r="P7" s="8" t="s">
        <v>9</v>
      </c>
      <c r="Q7" s="8" t="s">
        <v>9</v>
      </c>
      <c r="R7" s="8" t="s">
        <v>9</v>
      </c>
      <c r="S7" s="8" t="s">
        <v>230</v>
      </c>
      <c r="T7" s="8" t="s">
        <v>230</v>
      </c>
      <c r="U7" s="8"/>
      <c r="V7" s="8" t="s">
        <v>234</v>
      </c>
      <c r="W7" s="8" t="s">
        <v>234</v>
      </c>
      <c r="X7" s="8"/>
      <c r="Y7" s="8"/>
      <c r="Z7" s="8"/>
      <c r="AA7" s="8"/>
      <c r="AB7" s="8"/>
      <c r="AC7" s="8"/>
      <c r="AD7" s="41">
        <f t="shared" si="2"/>
        <v>15</v>
      </c>
      <c r="AE7" s="42">
        <f t="shared" ref="AE7:AE11" si="3">AD7*100/28</f>
        <v>53.571428571428569</v>
      </c>
      <c r="AJ7" s="20"/>
      <c r="AK7" s="20"/>
      <c r="AL7" s="20"/>
      <c r="AM7" s="21"/>
      <c r="AN7" s="20"/>
    </row>
    <row r="8" spans="1:40" ht="15" customHeight="1" x14ac:dyDescent="0.35">
      <c r="A8" s="7" t="s">
        <v>15</v>
      </c>
      <c r="B8" s="8"/>
      <c r="C8" s="8"/>
      <c r="D8" s="55" t="s">
        <v>215</v>
      </c>
      <c r="E8" s="55" t="s">
        <v>215</v>
      </c>
      <c r="F8" s="8"/>
      <c r="G8" s="55" t="s">
        <v>210</v>
      </c>
      <c r="H8" s="55" t="s">
        <v>210</v>
      </c>
      <c r="I8" s="55" t="s">
        <v>210</v>
      </c>
      <c r="J8" s="55" t="s">
        <v>210</v>
      </c>
      <c r="K8" s="55" t="s">
        <v>210</v>
      </c>
      <c r="L8" s="8"/>
      <c r="M8" s="8"/>
      <c r="N8" s="8"/>
      <c r="O8" s="8"/>
      <c r="P8" s="8" t="s">
        <v>222</v>
      </c>
      <c r="Q8" s="8" t="s">
        <v>222</v>
      </c>
      <c r="R8" s="8" t="s">
        <v>222</v>
      </c>
      <c r="S8" s="8" t="s">
        <v>222</v>
      </c>
      <c r="T8" s="8" t="s">
        <v>230</v>
      </c>
      <c r="U8" s="8"/>
      <c r="V8" s="8" t="s">
        <v>234</v>
      </c>
      <c r="W8" s="8" t="s">
        <v>234</v>
      </c>
      <c r="X8" s="8"/>
      <c r="Y8" s="8"/>
      <c r="Z8" s="8"/>
      <c r="AA8" s="8"/>
      <c r="AB8" s="8"/>
      <c r="AC8" s="8"/>
      <c r="AD8" s="41">
        <f t="shared" si="2"/>
        <v>14</v>
      </c>
      <c r="AE8" s="42">
        <f t="shared" si="3"/>
        <v>50</v>
      </c>
      <c r="AH8" s="9"/>
      <c r="AJ8" s="20"/>
      <c r="AK8" s="20"/>
      <c r="AL8" s="20"/>
      <c r="AM8" s="21"/>
      <c r="AN8" s="20"/>
    </row>
    <row r="9" spans="1:40" ht="15.75" customHeight="1" x14ac:dyDescent="0.35">
      <c r="A9" s="7" t="s">
        <v>18</v>
      </c>
      <c r="B9" s="8"/>
      <c r="C9" s="8" t="s">
        <v>217</v>
      </c>
      <c r="D9" s="8" t="s">
        <v>217</v>
      </c>
      <c r="E9" s="8"/>
      <c r="F9" s="8"/>
      <c r="G9" s="55" t="s">
        <v>218</v>
      </c>
      <c r="H9" s="55" t="s">
        <v>218</v>
      </c>
      <c r="I9" s="55" t="s">
        <v>218</v>
      </c>
      <c r="J9" s="55" t="s">
        <v>218</v>
      </c>
      <c r="K9" s="55" t="s">
        <v>218</v>
      </c>
      <c r="L9" s="54"/>
      <c r="M9" s="8"/>
      <c r="N9" s="8" t="s">
        <v>219</v>
      </c>
      <c r="O9" s="8" t="s">
        <v>219</v>
      </c>
      <c r="P9" s="8" t="s">
        <v>223</v>
      </c>
      <c r="Q9" s="8" t="s">
        <v>223</v>
      </c>
      <c r="R9" s="8" t="s">
        <v>223</v>
      </c>
      <c r="S9" s="8" t="s">
        <v>223</v>
      </c>
      <c r="T9" s="8"/>
      <c r="U9" s="8"/>
      <c r="V9" s="8" t="s">
        <v>234</v>
      </c>
      <c r="W9" s="8" t="s">
        <v>234</v>
      </c>
      <c r="X9" s="8"/>
      <c r="Y9" s="8"/>
      <c r="Z9" s="8"/>
      <c r="AA9" s="8"/>
      <c r="AB9" s="8" t="s">
        <v>244</v>
      </c>
      <c r="AC9" s="8"/>
      <c r="AD9" s="41">
        <f t="shared" si="2"/>
        <v>16</v>
      </c>
      <c r="AE9" s="42">
        <f t="shared" si="3"/>
        <v>57.142857142857146</v>
      </c>
      <c r="AJ9" s="20"/>
      <c r="AK9" s="20"/>
      <c r="AL9" s="20"/>
      <c r="AM9" s="21"/>
      <c r="AN9" s="20"/>
    </row>
    <row r="10" spans="1:40" ht="15.75" customHeight="1" x14ac:dyDescent="0.35">
      <c r="A10" s="7" t="s">
        <v>20</v>
      </c>
      <c r="B10" s="8"/>
      <c r="C10" s="8" t="s">
        <v>217</v>
      </c>
      <c r="D10" s="8" t="s">
        <v>217</v>
      </c>
      <c r="E10" s="8"/>
      <c r="F10" s="8"/>
      <c r="G10" s="55" t="s">
        <v>211</v>
      </c>
      <c r="H10" s="55" t="s">
        <v>211</v>
      </c>
      <c r="I10" s="55" t="s">
        <v>211</v>
      </c>
      <c r="J10" s="55" t="s">
        <v>211</v>
      </c>
      <c r="K10" s="55" t="s">
        <v>211</v>
      </c>
      <c r="L10" s="8"/>
      <c r="M10" s="8"/>
      <c r="N10" s="8"/>
      <c r="O10" s="8"/>
      <c r="P10" s="8" t="s">
        <v>224</v>
      </c>
      <c r="Q10" s="8" t="s">
        <v>224</v>
      </c>
      <c r="R10" s="8" t="s">
        <v>224</v>
      </c>
      <c r="S10" s="8" t="s">
        <v>224</v>
      </c>
      <c r="T10" s="8"/>
      <c r="U10" s="8"/>
      <c r="V10" s="8" t="s">
        <v>232</v>
      </c>
      <c r="W10" s="8" t="s">
        <v>232</v>
      </c>
      <c r="X10" s="8"/>
      <c r="Y10" s="8" t="s">
        <v>207</v>
      </c>
      <c r="Z10" s="8" t="s">
        <v>207</v>
      </c>
      <c r="AA10" s="8" t="s">
        <v>207</v>
      </c>
      <c r="AB10" s="8" t="s">
        <v>207</v>
      </c>
      <c r="AC10" s="8" t="s">
        <v>207</v>
      </c>
      <c r="AD10" s="41">
        <f t="shared" si="2"/>
        <v>18</v>
      </c>
      <c r="AE10" s="42">
        <f t="shared" si="3"/>
        <v>64.285714285714292</v>
      </c>
      <c r="AJ10" s="20"/>
      <c r="AK10" s="20"/>
      <c r="AL10" s="20"/>
      <c r="AM10" s="20"/>
      <c r="AN10" s="20"/>
    </row>
    <row r="11" spans="1:40" ht="15.75" customHeight="1" thickBot="1" x14ac:dyDescent="0.4">
      <c r="A11" s="7" t="s">
        <v>24</v>
      </c>
      <c r="B11" s="8" t="s">
        <v>207</v>
      </c>
      <c r="C11" s="8" t="s">
        <v>207</v>
      </c>
      <c r="D11" s="8" t="s">
        <v>217</v>
      </c>
      <c r="E11" s="8"/>
      <c r="F11" s="8"/>
      <c r="G11" s="55" t="s">
        <v>212</v>
      </c>
      <c r="H11" s="55" t="s">
        <v>212</v>
      </c>
      <c r="I11" s="55" t="s">
        <v>212</v>
      </c>
      <c r="J11" s="55" t="s">
        <v>212</v>
      </c>
      <c r="K11" s="55" t="s">
        <v>212</v>
      </c>
      <c r="L11" s="54"/>
      <c r="M11" s="55" t="s">
        <v>227</v>
      </c>
      <c r="N11" s="55" t="s">
        <v>227</v>
      </c>
      <c r="O11" s="55" t="s">
        <v>227</v>
      </c>
      <c r="P11" s="8" t="s">
        <v>221</v>
      </c>
      <c r="Q11" s="8" t="s">
        <v>221</v>
      </c>
      <c r="R11" s="8" t="s">
        <v>221</v>
      </c>
      <c r="S11" s="8" t="s">
        <v>221</v>
      </c>
      <c r="T11" s="55" t="s">
        <v>226</v>
      </c>
      <c r="U11" s="55" t="s">
        <v>226</v>
      </c>
      <c r="V11" s="55" t="s">
        <v>226</v>
      </c>
      <c r="W11" s="55" t="s">
        <v>226</v>
      </c>
      <c r="X11" s="55" t="s">
        <v>239</v>
      </c>
      <c r="Y11" s="55"/>
      <c r="Z11" s="8"/>
      <c r="AA11" s="8"/>
      <c r="AB11" s="8"/>
      <c r="AC11" s="8"/>
      <c r="AD11" s="41">
        <f t="shared" si="2"/>
        <v>20</v>
      </c>
      <c r="AE11" s="42">
        <f t="shared" si="3"/>
        <v>71.428571428571431</v>
      </c>
      <c r="AJ11" s="20"/>
      <c r="AK11" s="20"/>
      <c r="AL11" s="20"/>
      <c r="AM11" s="20"/>
      <c r="AN11" s="20"/>
    </row>
    <row r="12" spans="1:40" ht="15" customHeight="1" x14ac:dyDescent="0.35">
      <c r="A12" s="45" t="s">
        <v>176</v>
      </c>
      <c r="B12" s="46">
        <f>COUNTA(B5:B11)</f>
        <v>1</v>
      </c>
      <c r="C12" s="46">
        <f t="shared" ref="C12:AC12" si="4">COUNTA(C5:C11)</f>
        <v>3</v>
      </c>
      <c r="D12" s="46">
        <f t="shared" si="4"/>
        <v>6</v>
      </c>
      <c r="E12" s="46">
        <f t="shared" si="4"/>
        <v>2</v>
      </c>
      <c r="F12" s="46">
        <f t="shared" si="4"/>
        <v>0</v>
      </c>
      <c r="G12" s="46">
        <f t="shared" si="4"/>
        <v>5</v>
      </c>
      <c r="H12" s="46">
        <f t="shared" si="4"/>
        <v>5</v>
      </c>
      <c r="I12" s="46">
        <f t="shared" si="4"/>
        <v>7</v>
      </c>
      <c r="J12" s="46">
        <f t="shared" si="4"/>
        <v>7</v>
      </c>
      <c r="K12" s="46">
        <f t="shared" si="4"/>
        <v>7</v>
      </c>
      <c r="L12" s="46">
        <f t="shared" si="4"/>
        <v>0</v>
      </c>
      <c r="M12" s="46">
        <f t="shared" si="4"/>
        <v>1</v>
      </c>
      <c r="N12" s="46">
        <f t="shared" si="4"/>
        <v>2</v>
      </c>
      <c r="O12" s="46">
        <f t="shared" si="4"/>
        <v>4</v>
      </c>
      <c r="P12" s="46">
        <f t="shared" si="4"/>
        <v>6</v>
      </c>
      <c r="Q12" s="46">
        <f t="shared" si="4"/>
        <v>6</v>
      </c>
      <c r="R12" s="46">
        <f t="shared" si="4"/>
        <v>6</v>
      </c>
      <c r="S12" s="46">
        <f t="shared" si="4"/>
        <v>6</v>
      </c>
      <c r="T12" s="46">
        <f t="shared" si="4"/>
        <v>4</v>
      </c>
      <c r="U12" s="46">
        <f t="shared" si="4"/>
        <v>2</v>
      </c>
      <c r="V12" s="46">
        <f t="shared" si="4"/>
        <v>6</v>
      </c>
      <c r="W12" s="46">
        <f t="shared" si="4"/>
        <v>6</v>
      </c>
      <c r="X12" s="46">
        <f t="shared" si="4"/>
        <v>2</v>
      </c>
      <c r="Y12" s="46">
        <f t="shared" si="4"/>
        <v>2</v>
      </c>
      <c r="Z12" s="46">
        <f t="shared" si="4"/>
        <v>1</v>
      </c>
      <c r="AA12" s="46">
        <f t="shared" si="4"/>
        <v>1</v>
      </c>
      <c r="AB12" s="46">
        <f t="shared" si="4"/>
        <v>2</v>
      </c>
      <c r="AC12" s="46">
        <f t="shared" si="4"/>
        <v>1</v>
      </c>
      <c r="AD12" s="43">
        <f t="shared" ref="AD12" si="5">SUM(AD5:AD11)</f>
        <v>101</v>
      </c>
      <c r="AE12" s="44">
        <f>AVERAGE(AE5:AE11)</f>
        <v>51.530612244897959</v>
      </c>
      <c r="AF12" s="29"/>
      <c r="AJ12" s="20"/>
      <c r="AK12" s="20"/>
      <c r="AL12" s="20"/>
      <c r="AM12" s="20"/>
      <c r="AN12" s="20"/>
    </row>
    <row r="13" spans="1:40" ht="51" hidden="1" customHeight="1" x14ac:dyDescent="0.35">
      <c r="A13" s="13" t="s">
        <v>28</v>
      </c>
      <c r="B13" s="14"/>
      <c r="C13" s="14"/>
      <c r="D13" s="14"/>
      <c r="E13" s="14"/>
      <c r="F13" s="14"/>
      <c r="G13" s="14"/>
      <c r="H13" s="14"/>
      <c r="I13" s="35"/>
      <c r="J13" s="34"/>
      <c r="K13" s="15"/>
      <c r="L13" s="14"/>
      <c r="M13" s="14"/>
      <c r="N13" s="25"/>
      <c r="O13" s="25"/>
      <c r="P13" s="25"/>
      <c r="Q13" s="14"/>
      <c r="R13" s="14"/>
      <c r="S13" s="14"/>
      <c r="T13" s="14"/>
      <c r="U13" s="14"/>
      <c r="V13" s="15"/>
      <c r="W13" s="15"/>
      <c r="X13" s="14"/>
      <c r="Y13" s="14"/>
      <c r="Z13" s="14"/>
      <c r="AA13" s="14"/>
      <c r="AB13" s="14"/>
      <c r="AC13" s="14"/>
      <c r="AD13" s="37"/>
      <c r="AE13" s="37"/>
      <c r="AJ13" s="20"/>
      <c r="AK13" s="20"/>
      <c r="AL13" s="20"/>
      <c r="AM13" s="20"/>
      <c r="AN13" s="20"/>
    </row>
    <row r="14" spans="1:40" ht="28.5" hidden="1" x14ac:dyDescent="0.35">
      <c r="A14" s="16" t="s">
        <v>29</v>
      </c>
      <c r="B14" s="14"/>
      <c r="C14" s="14"/>
      <c r="D14" s="14"/>
      <c r="E14" s="14"/>
      <c r="F14" s="14"/>
      <c r="G14" s="14"/>
      <c r="H14" s="14"/>
      <c r="I14" s="35"/>
      <c r="J14" s="34"/>
      <c r="K14" s="15"/>
      <c r="L14" s="14"/>
      <c r="M14" s="14"/>
      <c r="N14" s="25"/>
      <c r="O14" s="25"/>
      <c r="P14" s="25"/>
      <c r="Q14" s="14"/>
      <c r="R14" s="14"/>
      <c r="S14" s="14"/>
      <c r="T14" s="14"/>
      <c r="U14" s="14"/>
      <c r="V14" s="15"/>
      <c r="W14" s="15"/>
      <c r="X14" s="14"/>
      <c r="Y14" s="14"/>
      <c r="Z14" s="14"/>
      <c r="AA14" s="14"/>
      <c r="AB14" s="14"/>
      <c r="AC14" s="14"/>
      <c r="AD14" s="37"/>
      <c r="AE14" s="37"/>
      <c r="AJ14" s="20"/>
      <c r="AK14" s="20"/>
      <c r="AL14" s="20"/>
      <c r="AM14" s="20"/>
      <c r="AN14" s="20"/>
    </row>
    <row r="15" spans="1:40" x14ac:dyDescent="0.35">
      <c r="A15" s="7" t="s">
        <v>30</v>
      </c>
      <c r="B15" s="8" t="s">
        <v>205</v>
      </c>
      <c r="C15" s="8" t="s">
        <v>205</v>
      </c>
      <c r="D15" s="8" t="s">
        <v>205</v>
      </c>
      <c r="E15" s="8" t="s">
        <v>205</v>
      </c>
      <c r="F15" s="8"/>
      <c r="G15" s="55" t="s">
        <v>185</v>
      </c>
      <c r="H15" s="55" t="s">
        <v>185</v>
      </c>
      <c r="I15" s="54"/>
      <c r="J15" s="54"/>
      <c r="K15" s="54"/>
      <c r="L15" s="54"/>
      <c r="M15" s="54"/>
      <c r="N15" s="8"/>
      <c r="O15" s="8"/>
      <c r="P15" s="8" t="s">
        <v>92</v>
      </c>
      <c r="Q15" s="8" t="s">
        <v>92</v>
      </c>
      <c r="R15" s="8" t="s">
        <v>92</v>
      </c>
      <c r="S15" s="8" t="s">
        <v>92</v>
      </c>
      <c r="T15" s="8" t="s">
        <v>92</v>
      </c>
      <c r="U15" s="8" t="s">
        <v>80</v>
      </c>
      <c r="V15" s="8" t="s">
        <v>235</v>
      </c>
      <c r="W15" s="54" t="s">
        <v>173</v>
      </c>
      <c r="X15" s="54" t="s">
        <v>173</v>
      </c>
      <c r="Y15" s="54" t="s">
        <v>173</v>
      </c>
      <c r="Z15" s="54" t="s">
        <v>173</v>
      </c>
      <c r="AA15" s="54" t="s">
        <v>173</v>
      </c>
      <c r="AB15" s="54" t="s">
        <v>173</v>
      </c>
      <c r="AC15" s="54" t="s">
        <v>173</v>
      </c>
      <c r="AD15" s="41">
        <f t="shared" ref="AD15:AD22" si="6">COUNTA(B15:AC15)</f>
        <v>20</v>
      </c>
      <c r="AE15" s="42">
        <f>AD15*100/28</f>
        <v>71.428571428571431</v>
      </c>
      <c r="AJ15" s="20"/>
      <c r="AK15" s="20"/>
      <c r="AL15" s="20"/>
      <c r="AM15" s="20"/>
      <c r="AN15" s="20"/>
    </row>
    <row r="16" spans="1:40" x14ac:dyDescent="0.35">
      <c r="A16" s="7" t="s">
        <v>35</v>
      </c>
      <c r="B16" s="8" t="s">
        <v>97</v>
      </c>
      <c r="C16" s="8" t="s">
        <v>97</v>
      </c>
      <c r="D16" s="8" t="s">
        <v>97</v>
      </c>
      <c r="E16" s="8" t="s">
        <v>97</v>
      </c>
      <c r="F16" s="8" t="s">
        <v>97</v>
      </c>
      <c r="G16" s="8" t="s">
        <v>97</v>
      </c>
      <c r="H16" s="8"/>
      <c r="I16" s="55" t="s">
        <v>213</v>
      </c>
      <c r="J16" s="55" t="s">
        <v>213</v>
      </c>
      <c r="K16" s="55" t="s">
        <v>213</v>
      </c>
      <c r="L16" s="55"/>
      <c r="M16" s="55"/>
      <c r="N16" s="55"/>
      <c r="O16" s="55"/>
      <c r="P16" s="55" t="s">
        <v>228</v>
      </c>
      <c r="Q16" s="55" t="s">
        <v>228</v>
      </c>
      <c r="R16" s="55" t="s">
        <v>228</v>
      </c>
      <c r="S16" s="54"/>
      <c r="T16" s="55" t="s">
        <v>229</v>
      </c>
      <c r="U16" s="55" t="s">
        <v>229</v>
      </c>
      <c r="V16" s="55" t="s">
        <v>229</v>
      </c>
      <c r="W16" s="55" t="s">
        <v>229</v>
      </c>
      <c r="X16" s="55" t="s">
        <v>229</v>
      </c>
      <c r="Y16" s="55" t="s">
        <v>229</v>
      </c>
      <c r="Z16" s="8"/>
      <c r="AA16" s="8"/>
      <c r="AB16" s="8" t="s">
        <v>241</v>
      </c>
      <c r="AC16" s="8"/>
      <c r="AD16" s="41">
        <f t="shared" si="6"/>
        <v>19</v>
      </c>
      <c r="AE16" s="42">
        <f>AD16*100/28</f>
        <v>67.857142857142861</v>
      </c>
      <c r="AJ16" s="20"/>
      <c r="AK16" s="20"/>
      <c r="AL16" s="20"/>
      <c r="AM16" s="20"/>
      <c r="AN16" s="20"/>
    </row>
    <row r="17" spans="1:40" x14ac:dyDescent="0.35">
      <c r="A17" s="7" t="s">
        <v>39</v>
      </c>
      <c r="B17" s="8" t="s">
        <v>196</v>
      </c>
      <c r="C17" s="8" t="s">
        <v>196</v>
      </c>
      <c r="D17" s="8" t="s">
        <v>196</v>
      </c>
      <c r="E17" s="8" t="s">
        <v>196</v>
      </c>
      <c r="F17" s="8" t="s">
        <v>196</v>
      </c>
      <c r="G17" s="8" t="s">
        <v>196</v>
      </c>
      <c r="H17" s="8" t="s">
        <v>196</v>
      </c>
      <c r="I17" s="8" t="s">
        <v>196</v>
      </c>
      <c r="J17" s="8" t="s">
        <v>196</v>
      </c>
      <c r="K17" s="8" t="s">
        <v>196</v>
      </c>
      <c r="L17" s="8"/>
      <c r="M17" s="8"/>
      <c r="N17" s="8"/>
      <c r="O17" s="8"/>
      <c r="P17" s="8" t="s">
        <v>118</v>
      </c>
      <c r="Q17" s="8" t="s">
        <v>118</v>
      </c>
      <c r="R17" s="8" t="s">
        <v>118</v>
      </c>
      <c r="S17" s="8"/>
      <c r="T17" s="8"/>
      <c r="U17" s="8" t="s">
        <v>92</v>
      </c>
      <c r="V17" s="8" t="s">
        <v>92</v>
      </c>
      <c r="W17" s="8" t="s">
        <v>92</v>
      </c>
      <c r="X17" s="8" t="s">
        <v>92</v>
      </c>
      <c r="Y17" s="8" t="s">
        <v>240</v>
      </c>
      <c r="Z17" s="8" t="s">
        <v>240</v>
      </c>
      <c r="AA17" s="8" t="s">
        <v>240</v>
      </c>
      <c r="AB17" s="8"/>
      <c r="AC17" s="8"/>
      <c r="AD17" s="41">
        <f t="shared" si="6"/>
        <v>20</v>
      </c>
      <c r="AE17" s="42">
        <f t="shared" ref="AE17:AE22" si="7">AD17*100/28</f>
        <v>71.428571428571431</v>
      </c>
      <c r="AJ17" s="20"/>
      <c r="AK17" s="20"/>
      <c r="AL17" s="20"/>
      <c r="AM17" s="20"/>
      <c r="AN17" s="20"/>
    </row>
    <row r="18" spans="1:40" x14ac:dyDescent="0.35">
      <c r="A18" s="7" t="s">
        <v>42</v>
      </c>
      <c r="B18" s="8"/>
      <c r="C18" s="8"/>
      <c r="D18" s="8"/>
      <c r="E18" s="8"/>
      <c r="F18" s="8" t="s">
        <v>198</v>
      </c>
      <c r="G18" s="8" t="s">
        <v>198</v>
      </c>
      <c r="H18" s="8" t="s">
        <v>198</v>
      </c>
      <c r="I18" s="8" t="s">
        <v>198</v>
      </c>
      <c r="J18" s="8" t="s">
        <v>198</v>
      </c>
      <c r="K18" s="8" t="s">
        <v>198</v>
      </c>
      <c r="L18" s="8" t="s">
        <v>198</v>
      </c>
      <c r="M18" s="8" t="s">
        <v>198</v>
      </c>
      <c r="N18" s="8" t="s">
        <v>198</v>
      </c>
      <c r="O18" s="8" t="s">
        <v>198</v>
      </c>
      <c r="P18" s="8" t="s">
        <v>198</v>
      </c>
      <c r="Q18" s="8" t="s">
        <v>198</v>
      </c>
      <c r="R18" s="8" t="s">
        <v>198</v>
      </c>
      <c r="S18" s="8" t="s">
        <v>198</v>
      </c>
      <c r="T18" s="8" t="s">
        <v>198</v>
      </c>
      <c r="U18" s="8"/>
      <c r="V18" s="8" t="s">
        <v>143</v>
      </c>
      <c r="W18" s="54" t="s">
        <v>236</v>
      </c>
      <c r="X18" s="54" t="s">
        <v>236</v>
      </c>
      <c r="Y18" s="55" t="s">
        <v>86</v>
      </c>
      <c r="Z18" s="55" t="s">
        <v>86</v>
      </c>
      <c r="AA18" s="55" t="s">
        <v>86</v>
      </c>
      <c r="AB18" s="55"/>
      <c r="AC18" s="55"/>
      <c r="AD18" s="41">
        <f t="shared" si="6"/>
        <v>21</v>
      </c>
      <c r="AE18" s="42">
        <f t="shared" si="7"/>
        <v>75</v>
      </c>
      <c r="AJ18" s="20"/>
      <c r="AK18" s="20"/>
      <c r="AL18" s="20"/>
      <c r="AM18" s="20"/>
      <c r="AN18" s="20"/>
    </row>
    <row r="19" spans="1:40" x14ac:dyDescent="0.35">
      <c r="A19" s="7" t="s">
        <v>45</v>
      </c>
      <c r="B19" s="8"/>
      <c r="C19" s="8" t="s">
        <v>217</v>
      </c>
      <c r="D19" s="8" t="s">
        <v>217</v>
      </c>
      <c r="E19" s="8"/>
      <c r="F19" s="8" t="s">
        <v>198</v>
      </c>
      <c r="G19" s="8" t="s">
        <v>198</v>
      </c>
      <c r="H19" s="8" t="s">
        <v>198</v>
      </c>
      <c r="I19" s="8" t="s">
        <v>198</v>
      </c>
      <c r="J19" s="8" t="s">
        <v>198</v>
      </c>
      <c r="K19" s="8" t="s">
        <v>198</v>
      </c>
      <c r="L19" s="8" t="s">
        <v>198</v>
      </c>
      <c r="M19" s="8" t="s">
        <v>198</v>
      </c>
      <c r="N19" s="8" t="s">
        <v>198</v>
      </c>
      <c r="O19" s="8" t="s">
        <v>198</v>
      </c>
      <c r="P19" s="8" t="s">
        <v>198</v>
      </c>
      <c r="Q19" s="8" t="s">
        <v>198</v>
      </c>
      <c r="R19" s="8" t="s">
        <v>198</v>
      </c>
      <c r="S19" s="8" t="s">
        <v>198</v>
      </c>
      <c r="T19" s="8" t="s">
        <v>198</v>
      </c>
      <c r="U19" s="8" t="s">
        <v>237</v>
      </c>
      <c r="V19" s="8" t="s">
        <v>237</v>
      </c>
      <c r="W19" s="8" t="s">
        <v>237</v>
      </c>
      <c r="X19" s="8" t="s">
        <v>237</v>
      </c>
      <c r="Y19" s="8" t="s">
        <v>237</v>
      </c>
      <c r="Z19" s="8"/>
      <c r="AA19" s="8"/>
      <c r="AB19" s="8"/>
      <c r="AC19" s="8"/>
      <c r="AD19" s="41">
        <f t="shared" si="6"/>
        <v>22</v>
      </c>
      <c r="AE19" s="42">
        <f t="shared" si="7"/>
        <v>78.571428571428569</v>
      </c>
      <c r="AJ19" s="20"/>
      <c r="AK19" s="20"/>
      <c r="AL19" s="20"/>
      <c r="AM19" s="20"/>
      <c r="AN19" s="20"/>
    </row>
    <row r="20" spans="1:40" x14ac:dyDescent="0.35">
      <c r="A20" s="7" t="s">
        <v>47</v>
      </c>
      <c r="B20" s="8" t="s">
        <v>169</v>
      </c>
      <c r="C20" s="8" t="s">
        <v>169</v>
      </c>
      <c r="D20" s="8" t="s">
        <v>169</v>
      </c>
      <c r="E20" s="8" t="s">
        <v>169</v>
      </c>
      <c r="F20" s="8" t="s">
        <v>169</v>
      </c>
      <c r="G20" s="8" t="s">
        <v>169</v>
      </c>
      <c r="H20" s="8" t="s">
        <v>169</v>
      </c>
      <c r="I20" s="8" t="s">
        <v>169</v>
      </c>
      <c r="J20" s="8" t="s">
        <v>169</v>
      </c>
      <c r="K20" s="8" t="s">
        <v>169</v>
      </c>
      <c r="L20" s="8" t="s">
        <v>169</v>
      </c>
      <c r="M20" s="8" t="s">
        <v>169</v>
      </c>
      <c r="N20" s="8" t="s">
        <v>169</v>
      </c>
      <c r="O20" s="8" t="s">
        <v>169</v>
      </c>
      <c r="P20" s="8" t="s">
        <v>225</v>
      </c>
      <c r="Q20" s="8" t="s">
        <v>225</v>
      </c>
      <c r="R20" s="8" t="s">
        <v>225</v>
      </c>
      <c r="S20" s="54"/>
      <c r="T20" s="54" t="s">
        <v>233</v>
      </c>
      <c r="U20" s="54"/>
      <c r="V20" s="54" t="s">
        <v>173</v>
      </c>
      <c r="W20" s="54" t="s">
        <v>173</v>
      </c>
      <c r="X20" s="54" t="s">
        <v>173</v>
      </c>
      <c r="Y20" s="54" t="s">
        <v>173</v>
      </c>
      <c r="Z20" s="54" t="s">
        <v>173</v>
      </c>
      <c r="AA20" s="54" t="s">
        <v>173</v>
      </c>
      <c r="AB20" s="54" t="s">
        <v>173</v>
      </c>
      <c r="AC20" s="54" t="s">
        <v>173</v>
      </c>
      <c r="AD20" s="41">
        <f t="shared" si="6"/>
        <v>26</v>
      </c>
      <c r="AE20" s="42">
        <f t="shared" si="7"/>
        <v>92.857142857142861</v>
      </c>
      <c r="AJ20" s="20"/>
      <c r="AK20" s="20"/>
      <c r="AL20" s="20"/>
      <c r="AM20" s="20"/>
      <c r="AN20" s="20"/>
    </row>
    <row r="21" spans="1:40" x14ac:dyDescent="0.35">
      <c r="A21" s="7" t="s">
        <v>50</v>
      </c>
      <c r="B21" s="8"/>
      <c r="C21" s="8"/>
      <c r="D21" s="8"/>
      <c r="E21" s="8"/>
      <c r="F21" s="8"/>
      <c r="G21" s="55" t="s">
        <v>25</v>
      </c>
      <c r="H21" s="55" t="s">
        <v>25</v>
      </c>
      <c r="I21" s="55" t="s">
        <v>208</v>
      </c>
      <c r="J21" s="55" t="s">
        <v>208</v>
      </c>
      <c r="K21" s="55" t="s">
        <v>208</v>
      </c>
      <c r="L21" s="8" t="s">
        <v>220</v>
      </c>
      <c r="M21" s="8" t="s">
        <v>220</v>
      </c>
      <c r="N21" s="55"/>
      <c r="O21" s="55"/>
      <c r="P21" s="55" t="s">
        <v>22</v>
      </c>
      <c r="Q21" s="55" t="s">
        <v>22</v>
      </c>
      <c r="R21" s="55" t="s">
        <v>22</v>
      </c>
      <c r="S21" s="55" t="s">
        <v>231</v>
      </c>
      <c r="T21" s="55" t="s">
        <v>231</v>
      </c>
      <c r="U21" s="55"/>
      <c r="V21" s="54"/>
      <c r="W21" s="54"/>
      <c r="X21" s="55" t="s">
        <v>238</v>
      </c>
      <c r="Y21" s="55" t="s">
        <v>238</v>
      </c>
      <c r="Z21" s="54"/>
      <c r="AA21" s="54"/>
      <c r="AB21" s="54"/>
      <c r="AC21" s="54"/>
      <c r="AD21" s="41">
        <f t="shared" si="6"/>
        <v>14</v>
      </c>
      <c r="AE21" s="42">
        <f t="shared" si="7"/>
        <v>50</v>
      </c>
      <c r="AJ21" s="20"/>
      <c r="AK21" s="20"/>
      <c r="AL21" s="20"/>
      <c r="AM21" s="20"/>
      <c r="AN21" s="20"/>
    </row>
    <row r="22" spans="1:40" ht="15" thickBot="1" x14ac:dyDescent="0.4">
      <c r="A22" s="7" t="s">
        <v>51</v>
      </c>
      <c r="B22" s="8" t="s">
        <v>34</v>
      </c>
      <c r="C22" s="8" t="s">
        <v>34</v>
      </c>
      <c r="D22" s="8" t="s">
        <v>34</v>
      </c>
      <c r="E22" s="8" t="s">
        <v>34</v>
      </c>
      <c r="F22" s="8" t="s">
        <v>34</v>
      </c>
      <c r="G22" s="8" t="s">
        <v>34</v>
      </c>
      <c r="H22" s="8" t="s">
        <v>34</v>
      </c>
      <c r="I22" s="8" t="s">
        <v>34</v>
      </c>
      <c r="J22" s="8" t="s">
        <v>34</v>
      </c>
      <c r="K22" s="8" t="s">
        <v>34</v>
      </c>
      <c r="L22" s="8"/>
      <c r="M22" s="8"/>
      <c r="N22" s="8"/>
      <c r="O22" s="8" t="s">
        <v>134</v>
      </c>
      <c r="P22" s="8" t="s">
        <v>134</v>
      </c>
      <c r="Q22" s="8" t="s">
        <v>134</v>
      </c>
      <c r="R22" s="8" t="s">
        <v>134</v>
      </c>
      <c r="S22" s="8"/>
      <c r="T22" s="8"/>
      <c r="U22" s="54"/>
      <c r="V22" s="54" t="s">
        <v>173</v>
      </c>
      <c r="W22" s="54" t="s">
        <v>173</v>
      </c>
      <c r="X22" s="54" t="s">
        <v>173</v>
      </c>
      <c r="Y22" s="54" t="s">
        <v>173</v>
      </c>
      <c r="Z22" s="54" t="s">
        <v>173</v>
      </c>
      <c r="AA22" s="54" t="s">
        <v>173</v>
      </c>
      <c r="AB22" s="54" t="s">
        <v>173</v>
      </c>
      <c r="AC22" s="54" t="s">
        <v>173</v>
      </c>
      <c r="AD22" s="41">
        <f t="shared" si="6"/>
        <v>22</v>
      </c>
      <c r="AE22" s="42">
        <f t="shared" si="7"/>
        <v>78.571428571428569</v>
      </c>
      <c r="AJ22" s="20"/>
      <c r="AK22" s="20"/>
      <c r="AL22" s="20"/>
      <c r="AM22" s="20"/>
      <c r="AN22" s="20"/>
    </row>
    <row r="23" spans="1:40" ht="15.5" x14ac:dyDescent="0.35">
      <c r="A23" s="45" t="s">
        <v>176</v>
      </c>
      <c r="B23" s="46">
        <f>COUNTA(B15:B22)</f>
        <v>5</v>
      </c>
      <c r="C23" s="46">
        <f t="shared" ref="C23:AC23" si="8">COUNTA(C15:C22)</f>
        <v>6</v>
      </c>
      <c r="D23" s="46">
        <f t="shared" si="8"/>
        <v>6</v>
      </c>
      <c r="E23" s="46">
        <f t="shared" si="8"/>
        <v>5</v>
      </c>
      <c r="F23" s="46">
        <f t="shared" si="8"/>
        <v>6</v>
      </c>
      <c r="G23" s="46">
        <f t="shared" si="8"/>
        <v>8</v>
      </c>
      <c r="H23" s="46">
        <f t="shared" si="8"/>
        <v>7</v>
      </c>
      <c r="I23" s="46">
        <f t="shared" si="8"/>
        <v>7</v>
      </c>
      <c r="J23" s="46">
        <f t="shared" si="8"/>
        <v>7</v>
      </c>
      <c r="K23" s="46">
        <f t="shared" si="8"/>
        <v>7</v>
      </c>
      <c r="L23" s="46">
        <f t="shared" si="8"/>
        <v>4</v>
      </c>
      <c r="M23" s="46">
        <f t="shared" si="8"/>
        <v>4</v>
      </c>
      <c r="N23" s="46">
        <f t="shared" si="8"/>
        <v>3</v>
      </c>
      <c r="O23" s="46">
        <f t="shared" si="8"/>
        <v>4</v>
      </c>
      <c r="P23" s="46">
        <f t="shared" si="8"/>
        <v>8</v>
      </c>
      <c r="Q23" s="46">
        <f t="shared" si="8"/>
        <v>8</v>
      </c>
      <c r="R23" s="46">
        <f t="shared" si="8"/>
        <v>8</v>
      </c>
      <c r="S23" s="46">
        <f t="shared" si="8"/>
        <v>4</v>
      </c>
      <c r="T23" s="46">
        <f t="shared" si="8"/>
        <v>6</v>
      </c>
      <c r="U23" s="46">
        <f t="shared" si="8"/>
        <v>4</v>
      </c>
      <c r="V23" s="46">
        <f t="shared" si="8"/>
        <v>7</v>
      </c>
      <c r="W23" s="46">
        <f t="shared" si="8"/>
        <v>7</v>
      </c>
      <c r="X23" s="46">
        <f t="shared" si="8"/>
        <v>8</v>
      </c>
      <c r="Y23" s="46">
        <f t="shared" si="8"/>
        <v>8</v>
      </c>
      <c r="Z23" s="46">
        <f t="shared" si="8"/>
        <v>5</v>
      </c>
      <c r="AA23" s="46">
        <f t="shared" si="8"/>
        <v>5</v>
      </c>
      <c r="AB23" s="46">
        <f t="shared" si="8"/>
        <v>4</v>
      </c>
      <c r="AC23" s="46">
        <f t="shared" si="8"/>
        <v>3</v>
      </c>
      <c r="AD23" s="43">
        <f>SUM(AD15:AD22)</f>
        <v>164</v>
      </c>
      <c r="AE23" s="38"/>
      <c r="AJ23" s="20"/>
      <c r="AK23" s="20"/>
      <c r="AL23" s="20"/>
      <c r="AM23" s="20"/>
      <c r="AN23" s="20"/>
    </row>
    <row r="24" spans="1:40" ht="15.5" x14ac:dyDescent="0.35">
      <c r="A24" s="47" t="s">
        <v>178</v>
      </c>
      <c r="B24" s="52">
        <f>B12+B23</f>
        <v>6</v>
      </c>
      <c r="C24" s="52">
        <f t="shared" ref="C24:AC24" si="9">C12+C23</f>
        <v>9</v>
      </c>
      <c r="D24" s="52">
        <f t="shared" si="9"/>
        <v>12</v>
      </c>
      <c r="E24" s="52">
        <f t="shared" si="9"/>
        <v>7</v>
      </c>
      <c r="F24" s="52">
        <f t="shared" si="9"/>
        <v>6</v>
      </c>
      <c r="G24" s="52">
        <f t="shared" si="9"/>
        <v>13</v>
      </c>
      <c r="H24" s="52">
        <f t="shared" si="9"/>
        <v>12</v>
      </c>
      <c r="I24" s="52">
        <f t="shared" si="9"/>
        <v>14</v>
      </c>
      <c r="J24" s="52">
        <f t="shared" si="9"/>
        <v>14</v>
      </c>
      <c r="K24" s="52">
        <f t="shared" si="9"/>
        <v>14</v>
      </c>
      <c r="L24" s="52">
        <f t="shared" si="9"/>
        <v>4</v>
      </c>
      <c r="M24" s="52">
        <f t="shared" si="9"/>
        <v>5</v>
      </c>
      <c r="N24" s="52">
        <f t="shared" si="9"/>
        <v>5</v>
      </c>
      <c r="O24" s="52">
        <f t="shared" si="9"/>
        <v>8</v>
      </c>
      <c r="P24" s="52">
        <f t="shared" si="9"/>
        <v>14</v>
      </c>
      <c r="Q24" s="52">
        <f t="shared" si="9"/>
        <v>14</v>
      </c>
      <c r="R24" s="52">
        <f t="shared" si="9"/>
        <v>14</v>
      </c>
      <c r="S24" s="52">
        <f t="shared" si="9"/>
        <v>10</v>
      </c>
      <c r="T24" s="52">
        <f t="shared" si="9"/>
        <v>10</v>
      </c>
      <c r="U24" s="52">
        <f t="shared" si="9"/>
        <v>6</v>
      </c>
      <c r="V24" s="52">
        <f t="shared" si="9"/>
        <v>13</v>
      </c>
      <c r="W24" s="52">
        <f t="shared" si="9"/>
        <v>13</v>
      </c>
      <c r="X24" s="52">
        <f t="shared" si="9"/>
        <v>10</v>
      </c>
      <c r="Y24" s="52">
        <f t="shared" si="9"/>
        <v>10</v>
      </c>
      <c r="Z24" s="52">
        <f t="shared" si="9"/>
        <v>6</v>
      </c>
      <c r="AA24" s="52">
        <f t="shared" si="9"/>
        <v>6</v>
      </c>
      <c r="AB24" s="52">
        <f t="shared" si="9"/>
        <v>6</v>
      </c>
      <c r="AC24" s="52">
        <f t="shared" si="9"/>
        <v>4</v>
      </c>
      <c r="AD24" s="49">
        <f>+AD12+AD23</f>
        <v>265</v>
      </c>
    </row>
    <row r="25" spans="1:40" ht="15.5" x14ac:dyDescent="0.35">
      <c r="A25" s="48" t="s">
        <v>179</v>
      </c>
      <c r="B25" s="42">
        <f>B24*100/15</f>
        <v>40</v>
      </c>
      <c r="C25" s="42">
        <f t="shared" ref="C25:AC25" si="10">C24*100/15</f>
        <v>60</v>
      </c>
      <c r="D25" s="42">
        <f t="shared" si="10"/>
        <v>80</v>
      </c>
      <c r="E25" s="42">
        <f t="shared" si="10"/>
        <v>46.666666666666664</v>
      </c>
      <c r="F25" s="42">
        <f t="shared" si="10"/>
        <v>40</v>
      </c>
      <c r="G25" s="42">
        <f t="shared" si="10"/>
        <v>86.666666666666671</v>
      </c>
      <c r="H25" s="42">
        <f t="shared" si="10"/>
        <v>80</v>
      </c>
      <c r="I25" s="42">
        <f t="shared" si="10"/>
        <v>93.333333333333329</v>
      </c>
      <c r="J25" s="42">
        <f t="shared" si="10"/>
        <v>93.333333333333329</v>
      </c>
      <c r="K25" s="42">
        <f t="shared" si="10"/>
        <v>93.333333333333329</v>
      </c>
      <c r="L25" s="42">
        <f t="shared" si="10"/>
        <v>26.666666666666668</v>
      </c>
      <c r="M25" s="42">
        <f t="shared" si="10"/>
        <v>33.333333333333336</v>
      </c>
      <c r="N25" s="42">
        <f t="shared" si="10"/>
        <v>33.333333333333336</v>
      </c>
      <c r="O25" s="42">
        <f t="shared" si="10"/>
        <v>53.333333333333336</v>
      </c>
      <c r="P25" s="42">
        <f t="shared" si="10"/>
        <v>93.333333333333329</v>
      </c>
      <c r="Q25" s="42">
        <f t="shared" si="10"/>
        <v>93.333333333333329</v>
      </c>
      <c r="R25" s="42">
        <f t="shared" si="10"/>
        <v>93.333333333333329</v>
      </c>
      <c r="S25" s="42">
        <f t="shared" si="10"/>
        <v>66.666666666666671</v>
      </c>
      <c r="T25" s="42">
        <f t="shared" si="10"/>
        <v>66.666666666666671</v>
      </c>
      <c r="U25" s="42">
        <f t="shared" si="10"/>
        <v>40</v>
      </c>
      <c r="V25" s="42">
        <f t="shared" si="10"/>
        <v>86.666666666666671</v>
      </c>
      <c r="W25" s="42">
        <f t="shared" si="10"/>
        <v>86.666666666666671</v>
      </c>
      <c r="X25" s="42">
        <f t="shared" si="10"/>
        <v>66.666666666666671</v>
      </c>
      <c r="Y25" s="42">
        <f t="shared" si="10"/>
        <v>66.666666666666671</v>
      </c>
      <c r="Z25" s="42">
        <f t="shared" si="10"/>
        <v>40</v>
      </c>
      <c r="AA25" s="42">
        <f t="shared" si="10"/>
        <v>40</v>
      </c>
      <c r="AB25" s="42">
        <f t="shared" si="10"/>
        <v>40</v>
      </c>
      <c r="AC25" s="42">
        <f t="shared" si="10"/>
        <v>26.666666666666668</v>
      </c>
      <c r="AD25" s="50">
        <f>AVERAGE(B25:AC25)</f>
        <v>63.095238095238116</v>
      </c>
      <c r="AE25" s="51" t="s">
        <v>180</v>
      </c>
    </row>
    <row r="44" ht="13.5" customHeight="1" x14ac:dyDescent="0.35"/>
  </sheetData>
  <mergeCells count="1">
    <mergeCell ref="A1:AC1"/>
  </mergeCells>
  <conditionalFormatting sqref="B11:C11">
    <cfRule type="colorScale" priority="20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21:F21">
    <cfRule type="colorScale" priority="19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22:N22">
    <cfRule type="colorScale" priority="1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20:R20">
    <cfRule type="colorScale" priority="4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F18:V18 F19:Y19">
    <cfRule type="colorScale" priority="1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G21:K21">
    <cfRule type="colorScale" priority="1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G17:M17">
    <cfRule type="colorScale" priority="1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L21:M21">
    <cfRule type="colorScale" priority="4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L13:U14 X13:AE14 B13:I14 B18:E19 B17:F17 Z19:AC19 B16:P16 B5:AC5 D11:S11 B6:S6 O22:AC22 AC6 B15:AC15 B7:Y10 T16:AC16 Z7:AC11 W18:AC18 N17:AC17">
    <cfRule type="colorScale" priority="29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N21:U21">
    <cfRule type="colorScale" priority="9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Q16:S16">
    <cfRule type="colorScale" priority="8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S20">
    <cfRule type="colorScale" priority="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T11:Y11">
    <cfRule type="colorScale" priority="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T6:AB6">
    <cfRule type="colorScale" priority="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T20:AC20">
    <cfRule type="colorScale" priority="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V21:W21 Z21:AC21">
    <cfRule type="colorScale" priority="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X21:Y21">
    <cfRule type="colorScale" priority="1">
      <colorScale>
        <cfvo type="num" val="1"/>
        <cfvo type="max"/>
        <color theme="4" tint="0.59999389629810485"/>
        <color theme="5" tint="0.59999389629810485"/>
      </colorScale>
    </cfRule>
  </conditionalFormatting>
  <pageMargins left="0.7" right="0.7" top="0.75" bottom="0.75" header="0.3" footer="0.3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245D8-3F45-4A62-AAC5-F056E3F9936F}">
  <dimension ref="A1:AR44"/>
  <sheetViews>
    <sheetView zoomScale="86" zoomScaleNormal="86" workbookViewId="0">
      <pane xSplit="1" ySplit="4" topLeftCell="S5" activePane="bottomRight" state="frozen"/>
      <selection pane="topRight" activeCell="B1" sqref="B1"/>
      <selection pane="bottomLeft" activeCell="A5" sqref="A5"/>
      <selection pane="bottomRight" activeCell="AG25" sqref="AG25"/>
    </sheetView>
  </sheetViews>
  <sheetFormatPr defaultRowHeight="14.5" x14ac:dyDescent="0.35"/>
  <cols>
    <col min="1" max="1" width="28.81640625" bestFit="1" customWidth="1"/>
    <col min="2" max="3" width="7.7265625" hidden="1" customWidth="1"/>
    <col min="4" max="4" width="9.54296875" hidden="1" customWidth="1"/>
    <col min="5" max="5" width="8.81640625" hidden="1" customWidth="1"/>
    <col min="6" max="6" width="7.7265625" hidden="1" customWidth="1"/>
    <col min="7" max="7" width="6" hidden="1" customWidth="1"/>
    <col min="8" max="8" width="5" hidden="1" customWidth="1"/>
    <col min="9" max="9" width="6.54296875" hidden="1" customWidth="1"/>
    <col min="10" max="10" width="6" hidden="1" customWidth="1"/>
    <col min="11" max="18" width="5" hidden="1" customWidth="1"/>
    <col min="19" max="20" width="5" bestFit="1" customWidth="1"/>
    <col min="21" max="24" width="6.1796875" bestFit="1" customWidth="1"/>
    <col min="25" max="32" width="5.453125" bestFit="1" customWidth="1"/>
    <col min="33" max="33" width="5.26953125" customWidth="1"/>
    <col min="34" max="34" width="8.1796875" bestFit="1" customWidth="1"/>
    <col min="35" max="35" width="7.7265625" bestFit="1" customWidth="1"/>
    <col min="36" max="36" width="6.81640625" bestFit="1" customWidth="1"/>
    <col min="37" max="37" width="0" hidden="1" customWidth="1"/>
    <col min="38" max="38" width="1.453125" hidden="1" customWidth="1"/>
    <col min="39" max="39" width="17.453125" customWidth="1"/>
    <col min="40" max="40" width="12.453125" bestFit="1" customWidth="1"/>
    <col min="41" max="41" width="9.81640625" bestFit="1" customWidth="1"/>
    <col min="42" max="42" width="10.81640625" bestFit="1" customWidth="1"/>
    <col min="43" max="43" width="10.1796875" bestFit="1" customWidth="1"/>
    <col min="44" max="44" width="9.1796875" bestFit="1" customWidth="1"/>
    <col min="45" max="45" width="0.453125" customWidth="1"/>
  </cols>
  <sheetData>
    <row r="1" spans="1:44" ht="15.5" x14ac:dyDescent="0.35">
      <c r="A1" s="120" t="s">
        <v>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121"/>
    </row>
    <row r="2" spans="1:44" ht="15" thickBot="1" x14ac:dyDescent="0.4"/>
    <row r="3" spans="1:44" ht="45.75" customHeight="1" x14ac:dyDescent="0.35">
      <c r="A3" s="1" t="s">
        <v>1</v>
      </c>
      <c r="B3" s="2">
        <f>AI4</f>
        <v>44986</v>
      </c>
      <c r="C3" s="2">
        <f t="shared" ref="C3:AB3" si="0">B3+1</f>
        <v>44987</v>
      </c>
      <c r="D3" s="2">
        <f t="shared" si="0"/>
        <v>44988</v>
      </c>
      <c r="E3" s="2">
        <f t="shared" si="0"/>
        <v>44989</v>
      </c>
      <c r="F3" s="2">
        <f t="shared" si="0"/>
        <v>44990</v>
      </c>
      <c r="G3" s="2">
        <f t="shared" si="0"/>
        <v>44991</v>
      </c>
      <c r="H3" s="2">
        <f t="shared" si="0"/>
        <v>44992</v>
      </c>
      <c r="I3" s="2">
        <f>H3+1</f>
        <v>44993</v>
      </c>
      <c r="J3" s="2">
        <f t="shared" si="0"/>
        <v>44994</v>
      </c>
      <c r="K3" s="2">
        <f t="shared" si="0"/>
        <v>44995</v>
      </c>
      <c r="L3" s="2">
        <f t="shared" si="0"/>
        <v>44996</v>
      </c>
      <c r="M3" s="2">
        <f t="shared" si="0"/>
        <v>44997</v>
      </c>
      <c r="N3" s="2">
        <f t="shared" si="0"/>
        <v>44998</v>
      </c>
      <c r="O3" s="2">
        <f t="shared" si="0"/>
        <v>44999</v>
      </c>
      <c r="P3" s="2">
        <f t="shared" si="0"/>
        <v>45000</v>
      </c>
      <c r="Q3" s="2">
        <f t="shared" si="0"/>
        <v>45001</v>
      </c>
      <c r="R3" s="2">
        <f t="shared" si="0"/>
        <v>45002</v>
      </c>
      <c r="S3" s="2">
        <f t="shared" si="0"/>
        <v>45003</v>
      </c>
      <c r="T3" s="2">
        <f t="shared" si="0"/>
        <v>45004</v>
      </c>
      <c r="U3" s="2">
        <f t="shared" si="0"/>
        <v>45005</v>
      </c>
      <c r="V3" s="2">
        <f t="shared" si="0"/>
        <v>45006</v>
      </c>
      <c r="W3" s="2">
        <f t="shared" si="0"/>
        <v>45007</v>
      </c>
      <c r="X3" s="2">
        <f t="shared" si="0"/>
        <v>45008</v>
      </c>
      <c r="Y3" s="2">
        <f t="shared" si="0"/>
        <v>45009</v>
      </c>
      <c r="Z3" s="2">
        <f t="shared" si="0"/>
        <v>45010</v>
      </c>
      <c r="AA3" s="2">
        <f t="shared" si="0"/>
        <v>45011</v>
      </c>
      <c r="AB3" s="2">
        <f t="shared" si="0"/>
        <v>45012</v>
      </c>
      <c r="AC3" s="2">
        <f t="shared" ref="AC3" si="1">AB3+1</f>
        <v>45013</v>
      </c>
      <c r="AD3" s="2">
        <f t="shared" ref="AD3" si="2">AC3+1</f>
        <v>45014</v>
      </c>
      <c r="AE3" s="2">
        <f t="shared" ref="AE3" si="3">AD3+1</f>
        <v>45015</v>
      </c>
      <c r="AF3" s="2">
        <f t="shared" ref="AF3" si="4">AE3+1</f>
        <v>45016</v>
      </c>
      <c r="AG3" s="36"/>
      <c r="AH3" s="36"/>
      <c r="AM3" s="125"/>
      <c r="AN3" s="125"/>
      <c r="AO3" s="125"/>
      <c r="AP3" s="125"/>
      <c r="AQ3" s="125"/>
    </row>
    <row r="4" spans="1:44" ht="31.5" customHeight="1" x14ac:dyDescent="0.35">
      <c r="A4" s="3" t="s">
        <v>2</v>
      </c>
      <c r="B4" s="4">
        <f t="shared" ref="B4:AF4" si="5">B3</f>
        <v>44986</v>
      </c>
      <c r="C4" s="4">
        <f t="shared" si="5"/>
        <v>44987</v>
      </c>
      <c r="D4" s="4">
        <f t="shared" si="5"/>
        <v>44988</v>
      </c>
      <c r="E4" s="4">
        <f t="shared" si="5"/>
        <v>44989</v>
      </c>
      <c r="F4" s="4">
        <f t="shared" si="5"/>
        <v>44990</v>
      </c>
      <c r="G4" s="4">
        <f t="shared" si="5"/>
        <v>44991</v>
      </c>
      <c r="H4" s="4">
        <f t="shared" si="5"/>
        <v>44992</v>
      </c>
      <c r="I4" s="4">
        <f t="shared" si="5"/>
        <v>44993</v>
      </c>
      <c r="J4" s="4">
        <f t="shared" si="5"/>
        <v>44994</v>
      </c>
      <c r="K4" s="4">
        <f t="shared" si="5"/>
        <v>44995</v>
      </c>
      <c r="L4" s="4">
        <f t="shared" si="5"/>
        <v>44996</v>
      </c>
      <c r="M4" s="4">
        <f t="shared" si="5"/>
        <v>44997</v>
      </c>
      <c r="N4" s="4">
        <f t="shared" si="5"/>
        <v>44998</v>
      </c>
      <c r="O4" s="4">
        <f t="shared" si="5"/>
        <v>44999</v>
      </c>
      <c r="P4" s="4">
        <f t="shared" si="5"/>
        <v>45000</v>
      </c>
      <c r="Q4" s="4">
        <f t="shared" si="5"/>
        <v>45001</v>
      </c>
      <c r="R4" s="4">
        <f t="shared" si="5"/>
        <v>45002</v>
      </c>
      <c r="S4" s="4">
        <f t="shared" si="5"/>
        <v>45003</v>
      </c>
      <c r="T4" s="4">
        <f t="shared" si="5"/>
        <v>45004</v>
      </c>
      <c r="U4" s="4">
        <f t="shared" si="5"/>
        <v>45005</v>
      </c>
      <c r="V4" s="4">
        <f t="shared" si="5"/>
        <v>45006</v>
      </c>
      <c r="W4" s="4">
        <f t="shared" si="5"/>
        <v>45007</v>
      </c>
      <c r="X4" s="4">
        <f t="shared" si="5"/>
        <v>45008</v>
      </c>
      <c r="Y4" s="4">
        <f t="shared" si="5"/>
        <v>45009</v>
      </c>
      <c r="Z4" s="4">
        <f t="shared" si="5"/>
        <v>45010</v>
      </c>
      <c r="AA4" s="4">
        <f t="shared" si="5"/>
        <v>45011</v>
      </c>
      <c r="AB4" s="4">
        <f t="shared" si="5"/>
        <v>45012</v>
      </c>
      <c r="AC4" s="4">
        <f t="shared" si="5"/>
        <v>45013</v>
      </c>
      <c r="AD4" s="4">
        <f t="shared" si="5"/>
        <v>45014</v>
      </c>
      <c r="AE4" s="4">
        <f t="shared" si="5"/>
        <v>45015</v>
      </c>
      <c r="AF4" s="4">
        <f t="shared" si="5"/>
        <v>45016</v>
      </c>
      <c r="AG4" s="39" t="s">
        <v>174</v>
      </c>
      <c r="AH4" s="40" t="s">
        <v>175</v>
      </c>
      <c r="AI4" s="5">
        <v>44986</v>
      </c>
      <c r="AJ4" s="6">
        <f>EOMONTH(AI4,0)</f>
        <v>45016</v>
      </c>
      <c r="AM4" s="19" t="s">
        <v>54</v>
      </c>
      <c r="AN4" s="19" t="s">
        <v>58</v>
      </c>
      <c r="AO4" s="19" t="s">
        <v>55</v>
      </c>
      <c r="AP4" s="19" t="s">
        <v>56</v>
      </c>
      <c r="AQ4" s="19" t="s">
        <v>251</v>
      </c>
      <c r="AR4" s="19" t="s">
        <v>57</v>
      </c>
    </row>
    <row r="5" spans="1:44" x14ac:dyDescent="0.35">
      <c r="A5" s="7" t="s">
        <v>3</v>
      </c>
      <c r="B5" s="8"/>
      <c r="C5" s="8"/>
      <c r="D5" s="55"/>
      <c r="E5" s="54"/>
      <c r="F5" s="54"/>
      <c r="G5" s="55"/>
      <c r="H5" s="55"/>
      <c r="I5" s="55"/>
      <c r="J5" s="55"/>
      <c r="K5" s="55"/>
      <c r="L5" s="8"/>
      <c r="M5" s="8"/>
      <c r="N5" s="8"/>
      <c r="O5" s="55" t="s">
        <v>5</v>
      </c>
      <c r="P5" s="55" t="s">
        <v>5</v>
      </c>
      <c r="Q5" s="55" t="s">
        <v>5</v>
      </c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54" t="s">
        <v>258</v>
      </c>
      <c r="AD5" s="54" t="s">
        <v>258</v>
      </c>
      <c r="AE5" s="54" t="s">
        <v>258</v>
      </c>
      <c r="AF5" s="54"/>
      <c r="AG5" s="41">
        <f t="shared" ref="AG5:AG11" si="6">COUNTA(B5:AF5)</f>
        <v>6</v>
      </c>
      <c r="AH5" s="42">
        <f>AG5*100/31</f>
        <v>19.35483870967742</v>
      </c>
      <c r="AM5" s="20"/>
      <c r="AN5" s="20"/>
      <c r="AO5" s="56"/>
      <c r="AP5" s="56"/>
      <c r="AQ5" s="56"/>
      <c r="AR5" s="20"/>
    </row>
    <row r="6" spans="1:44" x14ac:dyDescent="0.35">
      <c r="A6" s="7" t="s">
        <v>7</v>
      </c>
      <c r="B6" s="8"/>
      <c r="C6" s="8"/>
      <c r="D6" s="54"/>
      <c r="E6" s="54"/>
      <c r="F6" s="54"/>
      <c r="G6" s="55"/>
      <c r="H6" s="55"/>
      <c r="I6" s="55"/>
      <c r="J6" s="55"/>
      <c r="K6" s="55"/>
      <c r="L6" s="8"/>
      <c r="M6" s="8"/>
      <c r="N6" s="8"/>
      <c r="O6" s="55" t="s">
        <v>90</v>
      </c>
      <c r="P6" s="55" t="s">
        <v>90</v>
      </c>
      <c r="Q6" s="55" t="s">
        <v>90</v>
      </c>
      <c r="R6" s="55" t="s">
        <v>90</v>
      </c>
      <c r="S6" s="8"/>
      <c r="T6" s="55"/>
      <c r="U6" s="8" t="s">
        <v>166</v>
      </c>
      <c r="V6" s="8" t="s">
        <v>166</v>
      </c>
      <c r="W6" s="8" t="s">
        <v>166</v>
      </c>
      <c r="X6" s="8" t="s">
        <v>263</v>
      </c>
      <c r="Y6" s="8" t="s">
        <v>263</v>
      </c>
      <c r="Z6" s="8" t="s">
        <v>263</v>
      </c>
      <c r="AA6" s="8" t="s">
        <v>263</v>
      </c>
      <c r="AB6" s="8" t="s">
        <v>263</v>
      </c>
      <c r="AC6" s="8" t="s">
        <v>263</v>
      </c>
      <c r="AD6" s="8" t="s">
        <v>263</v>
      </c>
      <c r="AE6" s="8" t="s">
        <v>263</v>
      </c>
      <c r="AF6" s="8" t="s">
        <v>282</v>
      </c>
      <c r="AG6" s="41">
        <f t="shared" si="6"/>
        <v>16</v>
      </c>
      <c r="AH6" s="42">
        <f>AG6*100/31</f>
        <v>51.612903225806448</v>
      </c>
      <c r="AM6" s="20"/>
      <c r="AN6" s="20"/>
      <c r="AO6" s="56"/>
      <c r="AP6" s="56"/>
      <c r="AQ6" s="56"/>
      <c r="AR6" s="20"/>
    </row>
    <row r="7" spans="1:44" x14ac:dyDescent="0.35">
      <c r="A7" s="7" t="s">
        <v>11</v>
      </c>
      <c r="B7" s="8" t="s">
        <v>242</v>
      </c>
      <c r="C7" s="8" t="s">
        <v>242</v>
      </c>
      <c r="D7" s="8" t="s">
        <v>242</v>
      </c>
      <c r="E7" s="55" t="s">
        <v>247</v>
      </c>
      <c r="F7" s="55" t="s">
        <v>247</v>
      </c>
      <c r="G7" s="55" t="s">
        <v>247</v>
      </c>
      <c r="H7" s="55" t="s">
        <v>247</v>
      </c>
      <c r="I7" s="55" t="s">
        <v>247</v>
      </c>
      <c r="J7" s="55"/>
      <c r="K7" s="55"/>
      <c r="L7" s="8"/>
      <c r="M7" s="8"/>
      <c r="N7" s="8"/>
      <c r="O7" s="55" t="s">
        <v>99</v>
      </c>
      <c r="P7" s="55" t="s">
        <v>99</v>
      </c>
      <c r="Q7" s="55" t="s">
        <v>99</v>
      </c>
      <c r="R7" s="55" t="s">
        <v>99</v>
      </c>
      <c r="S7" s="8"/>
      <c r="T7" s="8"/>
      <c r="U7" s="8" t="s">
        <v>141</v>
      </c>
      <c r="V7" s="8" t="s">
        <v>141</v>
      </c>
      <c r="W7" s="8" t="s">
        <v>141</v>
      </c>
      <c r="X7" s="8" t="s">
        <v>141</v>
      </c>
      <c r="Y7" s="8" t="s">
        <v>141</v>
      </c>
      <c r="Z7" s="8" t="s">
        <v>265</v>
      </c>
      <c r="AA7" s="8" t="s">
        <v>265</v>
      </c>
      <c r="AB7" s="8" t="s">
        <v>265</v>
      </c>
      <c r="AC7" s="8" t="s">
        <v>265</v>
      </c>
      <c r="AD7" s="8" t="s">
        <v>265</v>
      </c>
      <c r="AE7" s="8" t="s">
        <v>265</v>
      </c>
      <c r="AF7" s="8" t="s">
        <v>265</v>
      </c>
      <c r="AG7" s="41">
        <f t="shared" si="6"/>
        <v>24</v>
      </c>
      <c r="AH7" s="42">
        <f t="shared" ref="AH7:AH11" si="7">AG7*100/31</f>
        <v>77.41935483870968</v>
      </c>
      <c r="AM7" s="20"/>
      <c r="AN7" s="20"/>
      <c r="AO7" s="56"/>
      <c r="AP7" s="56"/>
      <c r="AQ7" s="56"/>
      <c r="AR7" s="20"/>
    </row>
    <row r="8" spans="1:44" ht="15" customHeight="1" x14ac:dyDescent="0.35">
      <c r="A8" s="7" t="s">
        <v>15</v>
      </c>
      <c r="B8" s="8" t="s">
        <v>243</v>
      </c>
      <c r="C8" s="8" t="s">
        <v>243</v>
      </c>
      <c r="D8" s="8" t="s">
        <v>243</v>
      </c>
      <c r="E8" s="8" t="s">
        <v>247</v>
      </c>
      <c r="F8" s="8" t="s">
        <v>247</v>
      </c>
      <c r="G8" s="8" t="s">
        <v>247</v>
      </c>
      <c r="H8" s="8" t="s">
        <v>247</v>
      </c>
      <c r="I8" s="8" t="s">
        <v>247</v>
      </c>
      <c r="J8" s="8"/>
      <c r="K8" s="8"/>
      <c r="L8" s="8"/>
      <c r="M8" s="8"/>
      <c r="N8" s="8"/>
      <c r="O8" s="8" t="s">
        <v>257</v>
      </c>
      <c r="P8" s="8" t="s">
        <v>257</v>
      </c>
      <c r="Q8" s="8" t="s">
        <v>259</v>
      </c>
      <c r="R8" s="8" t="s">
        <v>259</v>
      </c>
      <c r="S8" s="8" t="s">
        <v>259</v>
      </c>
      <c r="T8" s="8" t="s">
        <v>259</v>
      </c>
      <c r="U8" s="8" t="s">
        <v>259</v>
      </c>
      <c r="V8" s="8" t="s">
        <v>259</v>
      </c>
      <c r="W8" s="8" t="s">
        <v>259</v>
      </c>
      <c r="X8" s="8" t="s">
        <v>259</v>
      </c>
      <c r="Y8" s="8" t="s">
        <v>259</v>
      </c>
      <c r="Z8" s="55" t="s">
        <v>266</v>
      </c>
      <c r="AA8" s="55" t="s">
        <v>266</v>
      </c>
      <c r="AB8" s="55" t="s">
        <v>266</v>
      </c>
      <c r="AC8" s="55" t="s">
        <v>266</v>
      </c>
      <c r="AD8" s="55" t="s">
        <v>266</v>
      </c>
      <c r="AE8" s="8"/>
      <c r="AF8" s="8" t="s">
        <v>9</v>
      </c>
      <c r="AG8" s="41">
        <f t="shared" si="6"/>
        <v>25</v>
      </c>
      <c r="AH8" s="42">
        <f t="shared" si="7"/>
        <v>80.645161290322577</v>
      </c>
      <c r="AK8" s="9"/>
      <c r="AM8" s="20"/>
      <c r="AN8" s="20"/>
      <c r="AO8" s="20"/>
      <c r="AP8" s="21"/>
      <c r="AQ8" s="21"/>
      <c r="AR8" s="20"/>
    </row>
    <row r="9" spans="1:44" ht="15.75" customHeight="1" x14ac:dyDescent="0.35">
      <c r="A9" s="7" t="s">
        <v>18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O9" s="55" t="s">
        <v>96</v>
      </c>
      <c r="P9" s="55" t="s">
        <v>96</v>
      </c>
      <c r="Q9" s="55" t="s">
        <v>96</v>
      </c>
      <c r="R9" s="8"/>
      <c r="S9" s="8"/>
      <c r="T9" s="8"/>
      <c r="U9" s="8" t="s">
        <v>261</v>
      </c>
      <c r="V9" s="8" t="s">
        <v>261</v>
      </c>
      <c r="W9" s="8" t="s">
        <v>261</v>
      </c>
      <c r="X9" s="8" t="s">
        <v>263</v>
      </c>
      <c r="Y9" s="8" t="s">
        <v>263</v>
      </c>
      <c r="Z9" s="8" t="s">
        <v>263</v>
      </c>
      <c r="AA9" s="8" t="s">
        <v>263</v>
      </c>
      <c r="AB9" s="8" t="s">
        <v>263</v>
      </c>
      <c r="AC9" s="8" t="s">
        <v>263</v>
      </c>
      <c r="AD9" s="8" t="s">
        <v>263</v>
      </c>
      <c r="AE9" s="8" t="s">
        <v>263</v>
      </c>
      <c r="AF9" s="8" t="s">
        <v>281</v>
      </c>
      <c r="AG9" s="41">
        <f t="shared" si="6"/>
        <v>15</v>
      </c>
      <c r="AH9" s="42">
        <f t="shared" si="7"/>
        <v>48.387096774193552</v>
      </c>
      <c r="AM9" s="20"/>
      <c r="AN9" s="20"/>
      <c r="AO9" s="20"/>
      <c r="AP9" s="21"/>
      <c r="AQ9" s="21"/>
      <c r="AR9" s="20"/>
    </row>
    <row r="10" spans="1:44" ht="15.75" customHeight="1" x14ac:dyDescent="0.35">
      <c r="A10" s="7" t="s">
        <v>20</v>
      </c>
      <c r="B10" s="8" t="s">
        <v>207</v>
      </c>
      <c r="C10" s="8" t="s">
        <v>207</v>
      </c>
      <c r="D10" s="8" t="s">
        <v>207</v>
      </c>
      <c r="E10" s="8"/>
      <c r="F10" s="8"/>
      <c r="G10" s="8"/>
      <c r="H10" s="8"/>
      <c r="I10" s="8"/>
      <c r="J10" s="8"/>
      <c r="K10" s="8"/>
      <c r="L10" s="8"/>
      <c r="M10" s="8"/>
      <c r="N10" s="55" t="s">
        <v>95</v>
      </c>
      <c r="O10" s="55" t="s">
        <v>95</v>
      </c>
      <c r="P10" s="55" t="s">
        <v>95</v>
      </c>
      <c r="Q10" s="55" t="s">
        <v>95</v>
      </c>
      <c r="R10" s="55"/>
      <c r="S10" s="8"/>
      <c r="T10" s="8"/>
      <c r="U10" s="8"/>
      <c r="V10" s="54"/>
      <c r="W10" s="54"/>
      <c r="X10" s="8" t="s">
        <v>263</v>
      </c>
      <c r="Y10" s="8" t="s">
        <v>263</v>
      </c>
      <c r="Z10" s="8" t="s">
        <v>263</v>
      </c>
      <c r="AA10" s="8" t="s">
        <v>263</v>
      </c>
      <c r="AB10" s="8" t="s">
        <v>263</v>
      </c>
      <c r="AC10" s="8" t="s">
        <v>263</v>
      </c>
      <c r="AD10" s="8" t="s">
        <v>263</v>
      </c>
      <c r="AE10" s="8" t="s">
        <v>263</v>
      </c>
      <c r="AF10" s="8" t="s">
        <v>280</v>
      </c>
      <c r="AG10" s="41">
        <f t="shared" si="6"/>
        <v>16</v>
      </c>
      <c r="AH10" s="42">
        <f t="shared" si="7"/>
        <v>51.612903225806448</v>
      </c>
      <c r="AM10" s="20"/>
      <c r="AN10" s="20"/>
      <c r="AO10" s="20"/>
      <c r="AP10" s="20"/>
      <c r="AQ10" s="20"/>
      <c r="AR10" s="20"/>
    </row>
    <row r="11" spans="1:44" ht="15.75" customHeight="1" thickBot="1" x14ac:dyDescent="0.4">
      <c r="A11" s="7" t="s">
        <v>24</v>
      </c>
      <c r="B11" s="8" t="s">
        <v>245</v>
      </c>
      <c r="C11" s="8" t="s">
        <v>245</v>
      </c>
      <c r="D11" s="8" t="s">
        <v>245</v>
      </c>
      <c r="E11" s="8"/>
      <c r="F11" s="8"/>
      <c r="G11" s="8"/>
      <c r="H11" s="8"/>
      <c r="I11" s="8"/>
      <c r="J11" s="8"/>
      <c r="K11" s="8"/>
      <c r="L11" s="8"/>
      <c r="M11" s="8"/>
      <c r="N11" s="8" t="s">
        <v>253</v>
      </c>
      <c r="O11" s="8" t="s">
        <v>253</v>
      </c>
      <c r="P11" s="8" t="s">
        <v>253</v>
      </c>
      <c r="Q11" s="8" t="s">
        <v>253</v>
      </c>
      <c r="R11" s="8" t="s">
        <v>253</v>
      </c>
      <c r="S11" s="8"/>
      <c r="T11" s="55"/>
      <c r="U11" s="55" t="s">
        <v>9</v>
      </c>
      <c r="V11" s="55" t="s">
        <v>9</v>
      </c>
      <c r="W11" s="55" t="s">
        <v>9</v>
      </c>
      <c r="X11" s="55" t="s">
        <v>9</v>
      </c>
      <c r="Y11" s="55"/>
      <c r="Z11" s="8" t="s">
        <v>265</v>
      </c>
      <c r="AA11" s="8" t="s">
        <v>265</v>
      </c>
      <c r="AB11" s="8" t="s">
        <v>265</v>
      </c>
      <c r="AC11" s="8" t="s">
        <v>265</v>
      </c>
      <c r="AD11" s="8" t="s">
        <v>265</v>
      </c>
      <c r="AE11" s="8" t="s">
        <v>265</v>
      </c>
      <c r="AF11" s="8" t="s">
        <v>265</v>
      </c>
      <c r="AG11" s="41">
        <f t="shared" si="6"/>
        <v>19</v>
      </c>
      <c r="AH11" s="42">
        <f t="shared" si="7"/>
        <v>61.29032258064516</v>
      </c>
      <c r="AM11" s="20"/>
      <c r="AN11" s="20"/>
      <c r="AO11" s="20"/>
      <c r="AP11" s="20"/>
      <c r="AQ11" s="20"/>
      <c r="AR11" s="20"/>
    </row>
    <row r="12" spans="1:44" ht="15" customHeight="1" x14ac:dyDescent="0.35">
      <c r="A12" s="45" t="s">
        <v>176</v>
      </c>
      <c r="B12" s="46">
        <f>COUNTA(B5:B11)</f>
        <v>4</v>
      </c>
      <c r="C12" s="46">
        <f t="shared" ref="C12:AF12" si="8">COUNTA(C5:C11)</f>
        <v>4</v>
      </c>
      <c r="D12" s="46">
        <f t="shared" si="8"/>
        <v>4</v>
      </c>
      <c r="E12" s="46">
        <f t="shared" si="8"/>
        <v>2</v>
      </c>
      <c r="F12" s="46">
        <f t="shared" si="8"/>
        <v>2</v>
      </c>
      <c r="G12" s="46">
        <f t="shared" si="8"/>
        <v>2</v>
      </c>
      <c r="H12" s="46">
        <f t="shared" si="8"/>
        <v>2</v>
      </c>
      <c r="I12" s="46">
        <f t="shared" si="8"/>
        <v>2</v>
      </c>
      <c r="J12" s="46">
        <f t="shared" si="8"/>
        <v>0</v>
      </c>
      <c r="K12" s="46">
        <f t="shared" si="8"/>
        <v>0</v>
      </c>
      <c r="L12" s="46">
        <f t="shared" si="8"/>
        <v>0</v>
      </c>
      <c r="M12" s="46">
        <f t="shared" si="8"/>
        <v>0</v>
      </c>
      <c r="N12" s="46">
        <f t="shared" si="8"/>
        <v>2</v>
      </c>
      <c r="O12" s="46">
        <f t="shared" si="8"/>
        <v>7</v>
      </c>
      <c r="P12" s="46">
        <f t="shared" si="8"/>
        <v>7</v>
      </c>
      <c r="Q12" s="46">
        <f t="shared" si="8"/>
        <v>7</v>
      </c>
      <c r="R12" s="46">
        <f t="shared" si="8"/>
        <v>4</v>
      </c>
      <c r="S12" s="46">
        <f t="shared" si="8"/>
        <v>1</v>
      </c>
      <c r="T12" s="46">
        <f t="shared" si="8"/>
        <v>1</v>
      </c>
      <c r="U12" s="46">
        <f t="shared" si="8"/>
        <v>5</v>
      </c>
      <c r="V12" s="46">
        <f t="shared" si="8"/>
        <v>5</v>
      </c>
      <c r="W12" s="46">
        <f t="shared" si="8"/>
        <v>5</v>
      </c>
      <c r="X12" s="46">
        <f t="shared" si="8"/>
        <v>6</v>
      </c>
      <c r="Y12" s="46">
        <f t="shared" si="8"/>
        <v>5</v>
      </c>
      <c r="Z12" s="46">
        <f t="shared" si="8"/>
        <v>6</v>
      </c>
      <c r="AA12" s="46">
        <f t="shared" si="8"/>
        <v>6</v>
      </c>
      <c r="AB12" s="46">
        <f t="shared" si="8"/>
        <v>6</v>
      </c>
      <c r="AC12" s="46">
        <f t="shared" si="8"/>
        <v>7</v>
      </c>
      <c r="AD12" s="46">
        <f t="shared" si="8"/>
        <v>7</v>
      </c>
      <c r="AE12" s="46">
        <f t="shared" si="8"/>
        <v>6</v>
      </c>
      <c r="AF12" s="46">
        <f t="shared" si="8"/>
        <v>6</v>
      </c>
      <c r="AG12" s="43">
        <f t="shared" ref="AG12" si="9">SUM(AG5:AG11)</f>
        <v>121</v>
      </c>
      <c r="AH12" s="44">
        <f>AVERAGE(AH5:AH11)</f>
        <v>55.76036866359447</v>
      </c>
      <c r="AI12" s="29"/>
      <c r="AM12" s="20"/>
      <c r="AN12" s="20"/>
      <c r="AO12" s="20"/>
      <c r="AP12" s="20"/>
      <c r="AQ12" s="20"/>
      <c r="AR12" s="20"/>
    </row>
    <row r="13" spans="1:44" ht="51" hidden="1" customHeight="1" x14ac:dyDescent="0.35">
      <c r="A13" s="13" t="s">
        <v>28</v>
      </c>
      <c r="B13" s="14"/>
      <c r="C13" s="14"/>
      <c r="D13" s="14"/>
      <c r="E13" s="14"/>
      <c r="F13" s="14"/>
      <c r="G13" s="14"/>
      <c r="H13" s="14"/>
      <c r="I13" s="35"/>
      <c r="J13" s="34"/>
      <c r="K13" s="15"/>
      <c r="L13" s="14"/>
      <c r="M13" s="14"/>
      <c r="N13" s="25"/>
      <c r="O13" s="25"/>
      <c r="P13" s="25"/>
      <c r="Q13" s="14"/>
      <c r="R13" s="14"/>
      <c r="S13" s="14"/>
      <c r="T13" s="14"/>
      <c r="U13" s="14"/>
      <c r="V13" s="15"/>
      <c r="W13" s="15"/>
      <c r="X13" s="14"/>
      <c r="Y13" s="14"/>
      <c r="Z13" s="14"/>
      <c r="AA13" s="14"/>
      <c r="AB13" s="14"/>
      <c r="AC13" s="14"/>
      <c r="AD13" s="14"/>
      <c r="AE13" s="14"/>
      <c r="AF13" s="14"/>
      <c r="AG13" s="37"/>
      <c r="AH13" s="37"/>
      <c r="AM13" s="20"/>
      <c r="AN13" s="20"/>
      <c r="AO13" s="20"/>
      <c r="AP13" s="20"/>
      <c r="AQ13" s="20"/>
      <c r="AR13" s="20"/>
    </row>
    <row r="14" spans="1:44" ht="28.5" hidden="1" x14ac:dyDescent="0.35">
      <c r="A14" s="16" t="s">
        <v>29</v>
      </c>
      <c r="B14" s="14"/>
      <c r="C14" s="14"/>
      <c r="D14" s="14"/>
      <c r="E14" s="14"/>
      <c r="F14" s="14"/>
      <c r="G14" s="14"/>
      <c r="H14" s="14"/>
      <c r="I14" s="35"/>
      <c r="J14" s="34"/>
      <c r="K14" s="15"/>
      <c r="L14" s="14"/>
      <c r="M14" s="14"/>
      <c r="N14" s="25"/>
      <c r="O14" s="25"/>
      <c r="P14" s="25"/>
      <c r="Q14" s="14"/>
      <c r="R14" s="14"/>
      <c r="S14" s="14"/>
      <c r="T14" s="14"/>
      <c r="U14" s="14"/>
      <c r="V14" s="15"/>
      <c r="W14" s="15"/>
      <c r="X14" s="14"/>
      <c r="Y14" s="14"/>
      <c r="Z14" s="14"/>
      <c r="AA14" s="14"/>
      <c r="AB14" s="14"/>
      <c r="AC14" s="14"/>
      <c r="AD14" s="14"/>
      <c r="AE14" s="14"/>
      <c r="AF14" s="14"/>
      <c r="AG14" s="37"/>
      <c r="AH14" s="37"/>
      <c r="AM14" s="20"/>
      <c r="AN14" s="20"/>
      <c r="AO14" s="20"/>
      <c r="AP14" s="20"/>
      <c r="AQ14" s="20"/>
      <c r="AR14" s="20"/>
    </row>
    <row r="15" spans="1:44" x14ac:dyDescent="0.35">
      <c r="A15" s="7" t="s">
        <v>30</v>
      </c>
      <c r="B15" s="54"/>
      <c r="C15" s="54"/>
      <c r="D15" s="54"/>
      <c r="E15" s="54" t="s">
        <v>248</v>
      </c>
      <c r="F15" s="54"/>
      <c r="G15" s="54"/>
      <c r="H15" s="55"/>
      <c r="I15" s="54"/>
      <c r="J15" s="54"/>
      <c r="K15" s="54"/>
      <c r="L15" s="54"/>
      <c r="M15" s="55" t="s">
        <v>17</v>
      </c>
      <c r="N15" s="55" t="s">
        <v>17</v>
      </c>
      <c r="O15" s="55" t="s">
        <v>17</v>
      </c>
      <c r="P15" s="55" t="s">
        <v>17</v>
      </c>
      <c r="Q15" s="55" t="s">
        <v>17</v>
      </c>
      <c r="R15" s="55" t="s">
        <v>181</v>
      </c>
      <c r="S15" s="55" t="s">
        <v>181</v>
      </c>
      <c r="T15" s="55" t="s">
        <v>181</v>
      </c>
      <c r="U15" s="55" t="s">
        <v>181</v>
      </c>
      <c r="V15" s="55" t="s">
        <v>181</v>
      </c>
      <c r="W15" s="55" t="s">
        <v>181</v>
      </c>
      <c r="X15" s="55" t="s">
        <v>181</v>
      </c>
      <c r="Y15" s="55" t="s">
        <v>263</v>
      </c>
      <c r="Z15" s="55" t="s">
        <v>263</v>
      </c>
      <c r="AA15" s="55" t="s">
        <v>263</v>
      </c>
      <c r="AB15" s="55" t="s">
        <v>263</v>
      </c>
      <c r="AC15" s="55" t="s">
        <v>263</v>
      </c>
      <c r="AD15" s="55" t="s">
        <v>263</v>
      </c>
      <c r="AE15" s="55" t="s">
        <v>263</v>
      </c>
      <c r="AF15" s="55"/>
      <c r="AG15" s="41">
        <f t="shared" ref="AG15:AG22" si="10">COUNTA(B15:AF15)</f>
        <v>20</v>
      </c>
      <c r="AH15" s="42">
        <f>AG15*100/31</f>
        <v>64.516129032258064</v>
      </c>
      <c r="AM15" s="20"/>
      <c r="AN15" s="20"/>
      <c r="AO15" s="20"/>
      <c r="AP15" s="20"/>
      <c r="AQ15" s="20"/>
      <c r="AR15" s="20"/>
    </row>
    <row r="16" spans="1:44" x14ac:dyDescent="0.35">
      <c r="A16" s="7" t="s">
        <v>35</v>
      </c>
      <c r="B16" s="54" t="s">
        <v>173</v>
      </c>
      <c r="C16" s="54" t="s">
        <v>173</v>
      </c>
      <c r="D16" s="54" t="s">
        <v>173</v>
      </c>
      <c r="E16" s="54" t="s">
        <v>173</v>
      </c>
      <c r="F16" s="54" t="s">
        <v>173</v>
      </c>
      <c r="G16" s="54" t="s">
        <v>173</v>
      </c>
      <c r="H16" s="54" t="s">
        <v>173</v>
      </c>
      <c r="I16" s="54" t="s">
        <v>173</v>
      </c>
      <c r="J16" s="54" t="s">
        <v>173</v>
      </c>
      <c r="K16" s="54" t="s">
        <v>173</v>
      </c>
      <c r="L16" s="54"/>
      <c r="M16" s="8" t="s">
        <v>97</v>
      </c>
      <c r="N16" s="8" t="s">
        <v>97</v>
      </c>
      <c r="O16" s="8" t="s">
        <v>97</v>
      </c>
      <c r="P16" s="8" t="s">
        <v>97</v>
      </c>
      <c r="Q16" s="8" t="s">
        <v>97</v>
      </c>
      <c r="R16" s="8" t="s">
        <v>34</v>
      </c>
      <c r="S16" s="8" t="s">
        <v>34</v>
      </c>
      <c r="T16" s="8" t="s">
        <v>34</v>
      </c>
      <c r="U16" s="8" t="s">
        <v>34</v>
      </c>
      <c r="V16" s="8" t="s">
        <v>34</v>
      </c>
      <c r="W16" s="8" t="s">
        <v>34</v>
      </c>
      <c r="X16" s="8" t="s">
        <v>34</v>
      </c>
      <c r="Y16" s="8" t="s">
        <v>34</v>
      </c>
      <c r="Z16" s="8" t="s">
        <v>34</v>
      </c>
      <c r="AA16" s="8" t="s">
        <v>34</v>
      </c>
      <c r="AB16" s="8" t="s">
        <v>34</v>
      </c>
      <c r="AC16" s="8" t="s">
        <v>34</v>
      </c>
      <c r="AD16" s="8" t="s">
        <v>34</v>
      </c>
      <c r="AE16" s="8" t="s">
        <v>34</v>
      </c>
      <c r="AF16" s="8" t="s">
        <v>34</v>
      </c>
      <c r="AG16" s="41">
        <f t="shared" si="10"/>
        <v>30</v>
      </c>
      <c r="AH16" s="42">
        <f>AG16*100/31</f>
        <v>96.774193548387103</v>
      </c>
      <c r="AM16" s="20"/>
      <c r="AN16" s="20"/>
      <c r="AO16" s="56"/>
      <c r="AP16" s="56"/>
      <c r="AQ16" s="20"/>
      <c r="AR16" s="20"/>
    </row>
    <row r="17" spans="1:44" x14ac:dyDescent="0.35">
      <c r="A17" s="7" t="s">
        <v>39</v>
      </c>
      <c r="B17" s="54" t="s">
        <v>173</v>
      </c>
      <c r="C17" s="54" t="s">
        <v>173</v>
      </c>
      <c r="D17" s="54" t="s">
        <v>173</v>
      </c>
      <c r="E17" s="54" t="s">
        <v>173</v>
      </c>
      <c r="F17" s="54" t="s">
        <v>173</v>
      </c>
      <c r="G17" s="54" t="s">
        <v>173</v>
      </c>
      <c r="H17" s="54" t="s">
        <v>173</v>
      </c>
      <c r="I17" s="54" t="s">
        <v>173</v>
      </c>
      <c r="J17" s="54" t="s">
        <v>173</v>
      </c>
      <c r="K17" s="54" t="s">
        <v>173</v>
      </c>
      <c r="L17" s="54"/>
      <c r="M17" s="8" t="s">
        <v>249</v>
      </c>
      <c r="N17" s="8" t="s">
        <v>249</v>
      </c>
      <c r="O17" s="8" t="s">
        <v>249</v>
      </c>
      <c r="P17" s="8" t="s">
        <v>249</v>
      </c>
      <c r="Q17" s="8" t="s">
        <v>249</v>
      </c>
      <c r="R17" s="8"/>
      <c r="S17" s="54"/>
      <c r="T17" s="54"/>
      <c r="U17" s="8" t="s">
        <v>187</v>
      </c>
      <c r="V17" s="8" t="s">
        <v>187</v>
      </c>
      <c r="W17" s="8" t="s">
        <v>187</v>
      </c>
      <c r="X17" s="8" t="s">
        <v>187</v>
      </c>
      <c r="Y17" s="8" t="s">
        <v>187</v>
      </c>
      <c r="Z17" s="8" t="s">
        <v>187</v>
      </c>
      <c r="AA17" s="8" t="s">
        <v>187</v>
      </c>
      <c r="AB17" s="8" t="s">
        <v>187</v>
      </c>
      <c r="AC17" s="8" t="s">
        <v>187</v>
      </c>
      <c r="AD17" s="8" t="s">
        <v>187</v>
      </c>
      <c r="AE17" s="8" t="s">
        <v>187</v>
      </c>
      <c r="AF17" s="8" t="s">
        <v>187</v>
      </c>
      <c r="AG17" s="41">
        <f t="shared" si="10"/>
        <v>27</v>
      </c>
      <c r="AH17" s="42">
        <f t="shared" ref="AH17:AH22" si="11">AG17*100/31</f>
        <v>87.096774193548384</v>
      </c>
      <c r="AM17" s="20"/>
      <c r="AN17" s="20"/>
      <c r="AO17" s="20"/>
      <c r="AP17" s="20"/>
      <c r="AQ17" s="20"/>
      <c r="AR17" s="20"/>
    </row>
    <row r="18" spans="1:44" x14ac:dyDescent="0.35">
      <c r="A18" s="7" t="s">
        <v>42</v>
      </c>
      <c r="B18" s="55"/>
      <c r="C18" s="55"/>
      <c r="D18" s="55" t="s">
        <v>235</v>
      </c>
      <c r="E18" s="55"/>
      <c r="F18" s="55"/>
      <c r="G18" s="8"/>
      <c r="H18" s="8"/>
      <c r="I18" s="8" t="s">
        <v>250</v>
      </c>
      <c r="J18" s="8" t="s">
        <v>250</v>
      </c>
      <c r="K18" s="8" t="s">
        <v>250</v>
      </c>
      <c r="L18" s="8"/>
      <c r="M18" s="8" t="s">
        <v>256</v>
      </c>
      <c r="N18" s="8" t="s">
        <v>256</v>
      </c>
      <c r="O18" s="8" t="s">
        <v>256</v>
      </c>
      <c r="P18" s="8" t="s">
        <v>256</v>
      </c>
      <c r="Q18" s="8" t="s">
        <v>256</v>
      </c>
      <c r="R18" s="8"/>
      <c r="S18" s="55"/>
      <c r="T18" s="55"/>
      <c r="U18" s="8" t="s">
        <v>187</v>
      </c>
      <c r="V18" s="8" t="s">
        <v>187</v>
      </c>
      <c r="W18" s="8" t="s">
        <v>187</v>
      </c>
      <c r="X18" s="8" t="s">
        <v>187</v>
      </c>
      <c r="Y18" s="8" t="s">
        <v>187</v>
      </c>
      <c r="Z18" s="8" t="s">
        <v>187</v>
      </c>
      <c r="AA18" s="8" t="s">
        <v>187</v>
      </c>
      <c r="AB18" s="8" t="s">
        <v>187</v>
      </c>
      <c r="AC18" s="8" t="s">
        <v>187</v>
      </c>
      <c r="AD18" s="8" t="s">
        <v>187</v>
      </c>
      <c r="AE18" s="8" t="s">
        <v>187</v>
      </c>
      <c r="AF18" s="8" t="s">
        <v>187</v>
      </c>
      <c r="AG18" s="41">
        <f t="shared" si="10"/>
        <v>21</v>
      </c>
      <c r="AH18" s="42">
        <f t="shared" si="11"/>
        <v>67.741935483870961</v>
      </c>
      <c r="AM18" s="20"/>
      <c r="AN18" s="20"/>
      <c r="AO18" s="20"/>
      <c r="AP18" s="20"/>
      <c r="AQ18" s="20"/>
      <c r="AR18" s="20"/>
    </row>
    <row r="19" spans="1:44" x14ac:dyDescent="0.35">
      <c r="A19" s="7" t="s">
        <v>45</v>
      </c>
      <c r="B19" s="54" t="s">
        <v>173</v>
      </c>
      <c r="C19" s="54" t="s">
        <v>173</v>
      </c>
      <c r="D19" s="54" t="s">
        <v>173</v>
      </c>
      <c r="E19" s="54" t="s">
        <v>173</v>
      </c>
      <c r="F19" s="54" t="s">
        <v>173</v>
      </c>
      <c r="G19" s="54" t="s">
        <v>173</v>
      </c>
      <c r="H19" s="54" t="s">
        <v>173</v>
      </c>
      <c r="I19" s="54" t="s">
        <v>173</v>
      </c>
      <c r="J19" s="54" t="s">
        <v>173</v>
      </c>
      <c r="K19" s="54" t="s">
        <v>173</v>
      </c>
      <c r="L19" s="54"/>
      <c r="M19" s="8"/>
      <c r="N19" s="8" t="s">
        <v>252</v>
      </c>
      <c r="O19" s="8" t="s">
        <v>252</v>
      </c>
      <c r="P19" s="8" t="s">
        <v>252</v>
      </c>
      <c r="Q19" s="8" t="s">
        <v>252</v>
      </c>
      <c r="R19" s="8" t="s">
        <v>86</v>
      </c>
      <c r="S19" s="8" t="s">
        <v>86</v>
      </c>
      <c r="T19" s="8" t="s">
        <v>86</v>
      </c>
      <c r="U19" s="8" t="s">
        <v>187</v>
      </c>
      <c r="V19" s="8" t="s">
        <v>187</v>
      </c>
      <c r="W19" s="8" t="s">
        <v>187</v>
      </c>
      <c r="X19" s="8" t="s">
        <v>187</v>
      </c>
      <c r="Y19" s="8" t="s">
        <v>187</v>
      </c>
      <c r="Z19" s="8" t="s">
        <v>187</v>
      </c>
      <c r="AA19" s="8" t="s">
        <v>187</v>
      </c>
      <c r="AB19" s="8" t="s">
        <v>187</v>
      </c>
      <c r="AC19" s="8" t="s">
        <v>187</v>
      </c>
      <c r="AD19" s="8" t="s">
        <v>187</v>
      </c>
      <c r="AE19" s="8" t="s">
        <v>187</v>
      </c>
      <c r="AF19" s="8" t="s">
        <v>187</v>
      </c>
      <c r="AG19" s="41">
        <f t="shared" si="10"/>
        <v>29</v>
      </c>
      <c r="AH19" s="42">
        <f t="shared" si="11"/>
        <v>93.548387096774192</v>
      </c>
      <c r="AM19" s="20"/>
      <c r="AN19" s="20"/>
      <c r="AO19" s="20"/>
      <c r="AP19" s="20"/>
      <c r="AQ19" s="20"/>
      <c r="AR19" s="20"/>
    </row>
    <row r="20" spans="1:44" x14ac:dyDescent="0.35">
      <c r="A20" s="7" t="s">
        <v>47</v>
      </c>
      <c r="B20" s="8"/>
      <c r="C20" s="8"/>
      <c r="D20" s="8" t="s">
        <v>244</v>
      </c>
      <c r="E20" s="8" t="s">
        <v>246</v>
      </c>
      <c r="F20" s="8" t="s">
        <v>246</v>
      </c>
      <c r="G20" s="8"/>
      <c r="H20" s="8"/>
      <c r="I20" s="8" t="s">
        <v>185</v>
      </c>
      <c r="J20" s="8"/>
      <c r="K20" s="8"/>
      <c r="L20" s="8"/>
      <c r="M20" s="8"/>
      <c r="N20" s="55" t="s">
        <v>254</v>
      </c>
      <c r="O20" s="55" t="s">
        <v>254</v>
      </c>
      <c r="P20" s="55" t="s">
        <v>254</v>
      </c>
      <c r="Q20" s="55" t="s">
        <v>254</v>
      </c>
      <c r="R20" s="55" t="s">
        <v>260</v>
      </c>
      <c r="S20" s="55" t="s">
        <v>260</v>
      </c>
      <c r="T20" s="55" t="s">
        <v>260</v>
      </c>
      <c r="U20" s="8" t="s">
        <v>248</v>
      </c>
      <c r="V20" s="54"/>
      <c r="W20" s="55" t="s">
        <v>262</v>
      </c>
      <c r="X20" s="55" t="s">
        <v>262</v>
      </c>
      <c r="Y20" s="55" t="s">
        <v>262</v>
      </c>
      <c r="Z20" s="55" t="s">
        <v>262</v>
      </c>
      <c r="AA20" s="55" t="s">
        <v>262</v>
      </c>
      <c r="AB20" s="55" t="s">
        <v>262</v>
      </c>
      <c r="AC20" s="55" t="s">
        <v>262</v>
      </c>
      <c r="AD20" s="55" t="s">
        <v>262</v>
      </c>
      <c r="AE20" s="55" t="s">
        <v>262</v>
      </c>
      <c r="AF20" s="55" t="s">
        <v>262</v>
      </c>
      <c r="AG20" s="41">
        <f t="shared" si="10"/>
        <v>22</v>
      </c>
      <c r="AH20" s="42">
        <f t="shared" si="11"/>
        <v>70.967741935483872</v>
      </c>
      <c r="AM20" s="20"/>
      <c r="AN20" s="20"/>
      <c r="AO20" s="20"/>
      <c r="AP20" s="20"/>
      <c r="AQ20" s="20"/>
      <c r="AR20" s="20"/>
    </row>
    <row r="21" spans="1:44" x14ac:dyDescent="0.35">
      <c r="A21" s="7" t="s">
        <v>50</v>
      </c>
      <c r="B21" s="54"/>
      <c r="C21" s="54"/>
      <c r="D21" s="54"/>
      <c r="E21" s="55" t="s">
        <v>165</v>
      </c>
      <c r="F21" s="55" t="s">
        <v>165</v>
      </c>
      <c r="G21" s="54"/>
      <c r="H21" s="55"/>
      <c r="I21" s="55"/>
      <c r="J21" s="55" t="s">
        <v>25</v>
      </c>
      <c r="K21" s="55"/>
      <c r="L21" s="8"/>
      <c r="M21" s="8"/>
      <c r="N21" s="8" t="s">
        <v>255</v>
      </c>
      <c r="O21" s="8" t="s">
        <v>255</v>
      </c>
      <c r="P21" s="8" t="s">
        <v>255</v>
      </c>
      <c r="Q21" s="8" t="s">
        <v>255</v>
      </c>
      <c r="R21" s="8"/>
      <c r="S21" s="8"/>
      <c r="T21" s="55"/>
      <c r="U21" s="8" t="s">
        <v>187</v>
      </c>
      <c r="V21" s="8" t="s">
        <v>187</v>
      </c>
      <c r="W21" s="8" t="s">
        <v>187</v>
      </c>
      <c r="X21" s="8" t="s">
        <v>187</v>
      </c>
      <c r="Y21" s="8" t="s">
        <v>187</v>
      </c>
      <c r="Z21" s="8" t="s">
        <v>187</v>
      </c>
      <c r="AA21" s="8" t="s">
        <v>187</v>
      </c>
      <c r="AB21" s="8" t="s">
        <v>187</v>
      </c>
      <c r="AC21" s="8" t="s">
        <v>187</v>
      </c>
      <c r="AD21" s="8" t="s">
        <v>187</v>
      </c>
      <c r="AE21" s="8" t="s">
        <v>187</v>
      </c>
      <c r="AF21" s="8" t="s">
        <v>187</v>
      </c>
      <c r="AG21" s="41">
        <f t="shared" si="10"/>
        <v>19</v>
      </c>
      <c r="AH21" s="42">
        <f t="shared" si="11"/>
        <v>61.29032258064516</v>
      </c>
      <c r="AM21" s="20"/>
      <c r="AN21" s="20"/>
      <c r="AO21" s="20"/>
      <c r="AP21" s="20"/>
      <c r="AQ21" s="20"/>
      <c r="AR21" s="20"/>
    </row>
    <row r="22" spans="1:44" ht="15" thickBot="1" x14ac:dyDescent="0.4">
      <c r="A22" s="7" t="s">
        <v>51</v>
      </c>
      <c r="B22" s="54" t="s">
        <v>173</v>
      </c>
      <c r="C22" s="54" t="s">
        <v>173</v>
      </c>
      <c r="D22" s="54" t="s">
        <v>173</v>
      </c>
      <c r="E22" s="54" t="s">
        <v>173</v>
      </c>
      <c r="F22" s="54" t="s">
        <v>173</v>
      </c>
      <c r="G22" s="54" t="s">
        <v>173</v>
      </c>
      <c r="H22" s="54" t="s">
        <v>173</v>
      </c>
      <c r="I22" s="54" t="s">
        <v>173</v>
      </c>
      <c r="J22" s="54" t="s">
        <v>173</v>
      </c>
      <c r="K22" s="54" t="s">
        <v>173</v>
      </c>
      <c r="L22" s="54" t="s">
        <v>173</v>
      </c>
      <c r="M22" s="55" t="s">
        <v>173</v>
      </c>
      <c r="N22" s="55" t="s">
        <v>173</v>
      </c>
      <c r="O22" s="55" t="s">
        <v>173</v>
      </c>
      <c r="P22" s="55" t="s">
        <v>173</v>
      </c>
      <c r="Q22" s="55" t="s">
        <v>173</v>
      </c>
      <c r="R22" s="55" t="s">
        <v>173</v>
      </c>
      <c r="S22" s="55" t="s">
        <v>173</v>
      </c>
      <c r="T22" s="55" t="s">
        <v>173</v>
      </c>
      <c r="U22" s="55" t="s">
        <v>173</v>
      </c>
      <c r="V22" s="55" t="s">
        <v>173</v>
      </c>
      <c r="W22" s="55" t="s">
        <v>173</v>
      </c>
      <c r="X22" s="55" t="s">
        <v>173</v>
      </c>
      <c r="Y22" s="55" t="s">
        <v>173</v>
      </c>
      <c r="Z22" s="55" t="s">
        <v>173</v>
      </c>
      <c r="AA22" s="55" t="s">
        <v>173</v>
      </c>
      <c r="AB22" s="55" t="s">
        <v>264</v>
      </c>
      <c r="AC22" s="55" t="s">
        <v>264</v>
      </c>
      <c r="AD22" s="55" t="s">
        <v>264</v>
      </c>
      <c r="AE22" s="55" t="s">
        <v>264</v>
      </c>
      <c r="AF22" s="55"/>
      <c r="AG22" s="41">
        <f t="shared" si="10"/>
        <v>30</v>
      </c>
      <c r="AH22" s="42">
        <f t="shared" si="11"/>
        <v>96.774193548387103</v>
      </c>
      <c r="AM22" s="20"/>
      <c r="AN22" s="20"/>
      <c r="AO22" s="20"/>
      <c r="AP22" s="20"/>
      <c r="AQ22" s="20"/>
      <c r="AR22" s="20"/>
    </row>
    <row r="23" spans="1:44" ht="15.5" x14ac:dyDescent="0.35">
      <c r="A23" s="45" t="s">
        <v>176</v>
      </c>
      <c r="B23" s="46">
        <f>COUNTA(B15:B22)</f>
        <v>4</v>
      </c>
      <c r="C23" s="46">
        <f t="shared" ref="C23:AF23" si="12">COUNTA(C15:C22)</f>
        <v>4</v>
      </c>
      <c r="D23" s="46">
        <f t="shared" si="12"/>
        <v>6</v>
      </c>
      <c r="E23" s="46">
        <f t="shared" si="12"/>
        <v>7</v>
      </c>
      <c r="F23" s="46">
        <f t="shared" si="12"/>
        <v>6</v>
      </c>
      <c r="G23" s="46">
        <f t="shared" si="12"/>
        <v>4</v>
      </c>
      <c r="H23" s="46">
        <f t="shared" si="12"/>
        <v>4</v>
      </c>
      <c r="I23" s="46">
        <f t="shared" si="12"/>
        <v>6</v>
      </c>
      <c r="J23" s="46">
        <f t="shared" si="12"/>
        <v>6</v>
      </c>
      <c r="K23" s="46">
        <f t="shared" si="12"/>
        <v>5</v>
      </c>
      <c r="L23" s="46">
        <f t="shared" si="12"/>
        <v>1</v>
      </c>
      <c r="M23" s="46">
        <f t="shared" si="12"/>
        <v>5</v>
      </c>
      <c r="N23" s="46">
        <f t="shared" si="12"/>
        <v>8</v>
      </c>
      <c r="O23" s="46">
        <f t="shared" si="12"/>
        <v>8</v>
      </c>
      <c r="P23" s="46">
        <f t="shared" si="12"/>
        <v>8</v>
      </c>
      <c r="Q23" s="46">
        <f t="shared" si="12"/>
        <v>8</v>
      </c>
      <c r="R23" s="46">
        <f t="shared" si="12"/>
        <v>5</v>
      </c>
      <c r="S23" s="46">
        <f t="shared" si="12"/>
        <v>5</v>
      </c>
      <c r="T23" s="46">
        <f t="shared" si="12"/>
        <v>5</v>
      </c>
      <c r="U23" s="46">
        <f t="shared" si="12"/>
        <v>8</v>
      </c>
      <c r="V23" s="46">
        <f t="shared" si="12"/>
        <v>7</v>
      </c>
      <c r="W23" s="46">
        <f t="shared" si="12"/>
        <v>8</v>
      </c>
      <c r="X23" s="46">
        <f t="shared" si="12"/>
        <v>8</v>
      </c>
      <c r="Y23" s="46">
        <f t="shared" si="12"/>
        <v>8</v>
      </c>
      <c r="Z23" s="46">
        <f t="shared" si="12"/>
        <v>8</v>
      </c>
      <c r="AA23" s="46">
        <f t="shared" si="12"/>
        <v>8</v>
      </c>
      <c r="AB23" s="46">
        <f t="shared" si="12"/>
        <v>8</v>
      </c>
      <c r="AC23" s="46">
        <f t="shared" si="12"/>
        <v>8</v>
      </c>
      <c r="AD23" s="46">
        <f t="shared" si="12"/>
        <v>8</v>
      </c>
      <c r="AE23" s="46">
        <f t="shared" si="12"/>
        <v>8</v>
      </c>
      <c r="AF23" s="46">
        <f t="shared" si="12"/>
        <v>6</v>
      </c>
      <c r="AG23" s="43">
        <f>SUM(AG15:AG22)</f>
        <v>198</v>
      </c>
      <c r="AH23" s="38"/>
      <c r="AM23" s="20"/>
      <c r="AN23" s="20"/>
      <c r="AO23" s="20"/>
      <c r="AP23" s="20"/>
      <c r="AQ23" s="20"/>
      <c r="AR23" s="20"/>
    </row>
    <row r="24" spans="1:44" ht="15.5" x14ac:dyDescent="0.35">
      <c r="A24" s="47" t="s">
        <v>178</v>
      </c>
      <c r="B24" s="52">
        <f>B12+B23</f>
        <v>8</v>
      </c>
      <c r="C24" s="52">
        <f t="shared" ref="C24:AF24" si="13">C12+C23</f>
        <v>8</v>
      </c>
      <c r="D24" s="52">
        <f t="shared" si="13"/>
        <v>10</v>
      </c>
      <c r="E24" s="52">
        <f t="shared" si="13"/>
        <v>9</v>
      </c>
      <c r="F24" s="52">
        <f t="shared" si="13"/>
        <v>8</v>
      </c>
      <c r="G24" s="52">
        <f t="shared" si="13"/>
        <v>6</v>
      </c>
      <c r="H24" s="52">
        <f t="shared" si="13"/>
        <v>6</v>
      </c>
      <c r="I24" s="52">
        <f t="shared" si="13"/>
        <v>8</v>
      </c>
      <c r="J24" s="52">
        <f t="shared" si="13"/>
        <v>6</v>
      </c>
      <c r="K24" s="52">
        <f t="shared" si="13"/>
        <v>5</v>
      </c>
      <c r="L24" s="52">
        <f t="shared" si="13"/>
        <v>1</v>
      </c>
      <c r="M24" s="52">
        <f t="shared" si="13"/>
        <v>5</v>
      </c>
      <c r="N24" s="52">
        <f t="shared" si="13"/>
        <v>10</v>
      </c>
      <c r="O24" s="52">
        <f t="shared" si="13"/>
        <v>15</v>
      </c>
      <c r="P24" s="52">
        <f t="shared" si="13"/>
        <v>15</v>
      </c>
      <c r="Q24" s="52">
        <f t="shared" si="13"/>
        <v>15</v>
      </c>
      <c r="R24" s="52">
        <f t="shared" si="13"/>
        <v>9</v>
      </c>
      <c r="S24" s="52">
        <f t="shared" si="13"/>
        <v>6</v>
      </c>
      <c r="T24" s="52">
        <f t="shared" si="13"/>
        <v>6</v>
      </c>
      <c r="U24" s="52">
        <f t="shared" si="13"/>
        <v>13</v>
      </c>
      <c r="V24" s="52">
        <f t="shared" si="13"/>
        <v>12</v>
      </c>
      <c r="W24" s="52">
        <f t="shared" si="13"/>
        <v>13</v>
      </c>
      <c r="X24" s="52">
        <f t="shared" si="13"/>
        <v>14</v>
      </c>
      <c r="Y24" s="52">
        <f t="shared" si="13"/>
        <v>13</v>
      </c>
      <c r="Z24" s="52">
        <f t="shared" si="13"/>
        <v>14</v>
      </c>
      <c r="AA24" s="52">
        <f t="shared" si="13"/>
        <v>14</v>
      </c>
      <c r="AB24" s="52">
        <f t="shared" si="13"/>
        <v>14</v>
      </c>
      <c r="AC24" s="52">
        <f t="shared" si="13"/>
        <v>15</v>
      </c>
      <c r="AD24" s="52">
        <f t="shared" si="13"/>
        <v>15</v>
      </c>
      <c r="AE24" s="52">
        <f t="shared" si="13"/>
        <v>14</v>
      </c>
      <c r="AF24" s="52">
        <f t="shared" si="13"/>
        <v>12</v>
      </c>
      <c r="AG24" s="49">
        <f>+AG12+AG23</f>
        <v>319</v>
      </c>
    </row>
    <row r="25" spans="1:44" ht="15.5" x14ac:dyDescent="0.35">
      <c r="A25" s="48" t="s">
        <v>179</v>
      </c>
      <c r="B25" s="42">
        <f>B24*100/15</f>
        <v>53.333333333333336</v>
      </c>
      <c r="C25" s="42">
        <f t="shared" ref="C25:AF25" si="14">C24*100/15</f>
        <v>53.333333333333336</v>
      </c>
      <c r="D25" s="42">
        <f t="shared" si="14"/>
        <v>66.666666666666671</v>
      </c>
      <c r="E25" s="42">
        <f t="shared" si="14"/>
        <v>60</v>
      </c>
      <c r="F25" s="42">
        <f t="shared" si="14"/>
        <v>53.333333333333336</v>
      </c>
      <c r="G25" s="42">
        <f t="shared" si="14"/>
        <v>40</v>
      </c>
      <c r="H25" s="42">
        <f t="shared" si="14"/>
        <v>40</v>
      </c>
      <c r="I25" s="42">
        <f t="shared" si="14"/>
        <v>53.333333333333336</v>
      </c>
      <c r="J25" s="42">
        <f t="shared" si="14"/>
        <v>40</v>
      </c>
      <c r="K25" s="42">
        <f t="shared" si="14"/>
        <v>33.333333333333336</v>
      </c>
      <c r="L25" s="42">
        <f t="shared" si="14"/>
        <v>6.666666666666667</v>
      </c>
      <c r="M25" s="42">
        <f t="shared" si="14"/>
        <v>33.333333333333336</v>
      </c>
      <c r="N25" s="42">
        <f t="shared" si="14"/>
        <v>66.666666666666671</v>
      </c>
      <c r="O25" s="42">
        <f t="shared" si="14"/>
        <v>100</v>
      </c>
      <c r="P25" s="42">
        <f t="shared" si="14"/>
        <v>100</v>
      </c>
      <c r="Q25" s="42">
        <f t="shared" si="14"/>
        <v>100</v>
      </c>
      <c r="R25" s="42">
        <f t="shared" si="14"/>
        <v>60</v>
      </c>
      <c r="S25" s="42">
        <f t="shared" si="14"/>
        <v>40</v>
      </c>
      <c r="T25" s="42">
        <f t="shared" si="14"/>
        <v>40</v>
      </c>
      <c r="U25" s="42">
        <f t="shared" si="14"/>
        <v>86.666666666666671</v>
      </c>
      <c r="V25" s="42">
        <f t="shared" si="14"/>
        <v>80</v>
      </c>
      <c r="W25" s="42">
        <f t="shared" si="14"/>
        <v>86.666666666666671</v>
      </c>
      <c r="X25" s="42">
        <f t="shared" si="14"/>
        <v>93.333333333333329</v>
      </c>
      <c r="Y25" s="42">
        <f t="shared" si="14"/>
        <v>86.666666666666671</v>
      </c>
      <c r="Z25" s="42">
        <f t="shared" si="14"/>
        <v>93.333333333333329</v>
      </c>
      <c r="AA25" s="42">
        <f t="shared" si="14"/>
        <v>93.333333333333329</v>
      </c>
      <c r="AB25" s="42">
        <f t="shared" si="14"/>
        <v>93.333333333333329</v>
      </c>
      <c r="AC25" s="42">
        <f t="shared" si="14"/>
        <v>100</v>
      </c>
      <c r="AD25" s="42">
        <f t="shared" si="14"/>
        <v>100</v>
      </c>
      <c r="AE25" s="42">
        <f t="shared" si="14"/>
        <v>93.333333333333329</v>
      </c>
      <c r="AF25" s="42">
        <f t="shared" si="14"/>
        <v>80</v>
      </c>
      <c r="AG25" s="50">
        <f>AVERAGE(C25:AF25)</f>
        <v>69.1111111111111</v>
      </c>
      <c r="AH25" s="51" t="s">
        <v>180</v>
      </c>
    </row>
    <row r="44" ht="13.5" customHeight="1" x14ac:dyDescent="0.35"/>
  </sheetData>
  <mergeCells count="2">
    <mergeCell ref="A1:AF1"/>
    <mergeCell ref="AM3:AQ3"/>
  </mergeCells>
  <conditionalFormatting sqref="B20:C20 G20:M20 M19:T19">
    <cfRule type="colorScale" priority="18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0:F10">
    <cfRule type="colorScale" priority="20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8:F18">
    <cfRule type="colorScale" priority="19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21:G21">
    <cfRule type="colorScale" priority="2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8:L8 B11:R11 B9:M9 G10:R10">
    <cfRule type="colorScale" priority="2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6:L16">
    <cfRule type="colorScale" priority="1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7:L17 S17:T17">
    <cfRule type="colorScale" priority="1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9:L19 S18:T18">
    <cfRule type="colorScale" priority="1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D20:F20">
    <cfRule type="colorScale" priority="1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G18:L18">
    <cfRule type="colorScale" priority="2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H21:K21">
    <cfRule type="colorScale" priority="3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L21:S21">
    <cfRule type="colorScale" priority="4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L13:U14 X13:AH14 B13:I14 S11 B6:S6 R9:X9 S10:X10 AE8:AF8 B22:AF22 B5:AF5 Y9:AF10 AF6:AF7 B7:AE7 B15:AF15 Z11:AF11">
    <cfRule type="colorScale" priority="4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M17:R17">
    <cfRule type="colorScale" priority="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M18:R18">
    <cfRule type="colorScale" priority="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M8:AD8">
    <cfRule type="colorScale" priority="1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M16:AF16">
    <cfRule type="colorScale" priority="9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N20:T20">
    <cfRule type="colorScale" priority="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O9:Q9">
    <cfRule type="colorScale" priority="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T6">
    <cfRule type="colorScale" priority="3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T21">
    <cfRule type="colorScale" priority="3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T11:Y11">
    <cfRule type="colorScale" priority="3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U6:AE6">
    <cfRule type="colorScale" priority="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U17:AF19 U20 U21:AF21">
    <cfRule type="colorScale" priority="8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V20:AF20">
    <cfRule type="colorScale" priority="1">
      <colorScale>
        <cfvo type="num" val="1"/>
        <cfvo type="max"/>
        <color theme="4" tint="0.59999389629810485"/>
        <color theme="5" tint="0.59999389629810485"/>
      </colorScale>
    </cfRule>
  </conditionalFormatting>
  <pageMargins left="0.7" right="0.7" top="0.75" bottom="0.75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6398A-31E8-440A-8082-A48CDB38F3D1}">
  <dimension ref="A1:AY54"/>
  <sheetViews>
    <sheetView zoomScale="86" zoomScaleNormal="86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E31" sqref="E31"/>
    </sheetView>
  </sheetViews>
  <sheetFormatPr defaultRowHeight="14.5" x14ac:dyDescent="0.35"/>
  <cols>
    <col min="1" max="1" width="30" bestFit="1" customWidth="1"/>
    <col min="2" max="4" width="8.7265625" bestFit="1" customWidth="1"/>
    <col min="5" max="5" width="8" bestFit="1" customWidth="1"/>
    <col min="6" max="29" width="7.453125" bestFit="1" customWidth="1"/>
    <col min="30" max="30" width="4.1796875" bestFit="1" customWidth="1"/>
    <col min="31" max="31" width="5.453125" bestFit="1" customWidth="1"/>
    <col min="32" max="32" width="5.26953125" customWidth="1"/>
    <col min="33" max="33" width="8.1796875" bestFit="1" customWidth="1"/>
    <col min="34" max="34" width="7.7265625" bestFit="1" customWidth="1"/>
    <col min="35" max="35" width="8.54296875" customWidth="1"/>
    <col min="36" max="36" width="0" hidden="1" customWidth="1"/>
    <col min="37" max="37" width="1.453125" hidden="1" customWidth="1"/>
    <col min="38" max="39" width="34.453125" customWidth="1"/>
    <col min="40" max="40" width="12.453125" bestFit="1" customWidth="1"/>
    <col min="41" max="41" width="9.81640625" bestFit="1" customWidth="1"/>
    <col min="42" max="42" width="10.81640625" bestFit="1" customWidth="1"/>
    <col min="43" max="43" width="10.1796875" bestFit="1" customWidth="1"/>
    <col min="44" max="44" width="9.1796875" bestFit="1" customWidth="1"/>
    <col min="45" max="45" width="0.453125" customWidth="1"/>
    <col min="51" max="51" width="15" bestFit="1" customWidth="1"/>
  </cols>
  <sheetData>
    <row r="1" spans="1:44" ht="15.5" x14ac:dyDescent="0.35">
      <c r="A1" s="120" t="s">
        <v>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</row>
    <row r="2" spans="1:44" ht="15" thickBot="1" x14ac:dyDescent="0.4"/>
    <row r="3" spans="1:44" ht="45.75" customHeight="1" x14ac:dyDescent="0.35">
      <c r="A3" s="1" t="s">
        <v>1</v>
      </c>
      <c r="B3" s="2">
        <f>AH4</f>
        <v>45017</v>
      </c>
      <c r="C3" s="2">
        <f t="shared" ref="C3:AE3" si="0">B3+1</f>
        <v>45018</v>
      </c>
      <c r="D3" s="2">
        <f t="shared" si="0"/>
        <v>45019</v>
      </c>
      <c r="E3" s="2">
        <f t="shared" si="0"/>
        <v>45020</v>
      </c>
      <c r="F3" s="2">
        <f t="shared" si="0"/>
        <v>45021</v>
      </c>
      <c r="G3" s="2">
        <f t="shared" si="0"/>
        <v>45022</v>
      </c>
      <c r="H3" s="2">
        <f t="shared" si="0"/>
        <v>45023</v>
      </c>
      <c r="I3" s="2">
        <f>H3+1</f>
        <v>45024</v>
      </c>
      <c r="J3" s="2">
        <f t="shared" si="0"/>
        <v>45025</v>
      </c>
      <c r="K3" s="2">
        <f t="shared" si="0"/>
        <v>45026</v>
      </c>
      <c r="L3" s="2">
        <f t="shared" si="0"/>
        <v>45027</v>
      </c>
      <c r="M3" s="2">
        <f t="shared" si="0"/>
        <v>45028</v>
      </c>
      <c r="N3" s="2">
        <f t="shared" si="0"/>
        <v>45029</v>
      </c>
      <c r="O3" s="2">
        <f t="shared" si="0"/>
        <v>45030</v>
      </c>
      <c r="P3" s="2">
        <f t="shared" si="0"/>
        <v>45031</v>
      </c>
      <c r="Q3" s="2">
        <f t="shared" si="0"/>
        <v>45032</v>
      </c>
      <c r="R3" s="2">
        <f t="shared" si="0"/>
        <v>45033</v>
      </c>
      <c r="S3" s="2">
        <f t="shared" si="0"/>
        <v>45034</v>
      </c>
      <c r="T3" s="2">
        <f t="shared" si="0"/>
        <v>45035</v>
      </c>
      <c r="U3" s="2">
        <f t="shared" si="0"/>
        <v>45036</v>
      </c>
      <c r="V3" s="2">
        <f t="shared" si="0"/>
        <v>45037</v>
      </c>
      <c r="W3" s="2">
        <f t="shared" si="0"/>
        <v>45038</v>
      </c>
      <c r="X3" s="2">
        <f t="shared" si="0"/>
        <v>45039</v>
      </c>
      <c r="Y3" s="2">
        <f t="shared" si="0"/>
        <v>45040</v>
      </c>
      <c r="Z3" s="2">
        <f t="shared" si="0"/>
        <v>45041</v>
      </c>
      <c r="AA3" s="2">
        <f t="shared" si="0"/>
        <v>45042</v>
      </c>
      <c r="AB3" s="2">
        <f t="shared" si="0"/>
        <v>45043</v>
      </c>
      <c r="AC3" s="2">
        <f t="shared" si="0"/>
        <v>45044</v>
      </c>
      <c r="AD3" s="2">
        <f t="shared" si="0"/>
        <v>45045</v>
      </c>
      <c r="AE3" s="2">
        <f t="shared" si="0"/>
        <v>45046</v>
      </c>
      <c r="AF3" s="36"/>
      <c r="AG3" s="36"/>
      <c r="AL3" s="129" t="s">
        <v>267</v>
      </c>
      <c r="AM3" s="129"/>
      <c r="AN3" s="129"/>
      <c r="AO3" s="129"/>
      <c r="AP3" s="129"/>
      <c r="AQ3" s="129"/>
      <c r="AR3" s="129"/>
    </row>
    <row r="4" spans="1:44" ht="31.5" customHeight="1" x14ac:dyDescent="0.35">
      <c r="A4" s="3" t="s">
        <v>2</v>
      </c>
      <c r="B4" s="4">
        <f t="shared" ref="B4:AE4" si="1">B3</f>
        <v>45017</v>
      </c>
      <c r="C4" s="4">
        <f t="shared" si="1"/>
        <v>45018</v>
      </c>
      <c r="D4" s="4">
        <f t="shared" si="1"/>
        <v>45019</v>
      </c>
      <c r="E4" s="4">
        <f t="shared" si="1"/>
        <v>45020</v>
      </c>
      <c r="F4" s="4">
        <f t="shared" si="1"/>
        <v>45021</v>
      </c>
      <c r="G4" s="4">
        <f t="shared" si="1"/>
        <v>45022</v>
      </c>
      <c r="H4" s="4">
        <f t="shared" si="1"/>
        <v>45023</v>
      </c>
      <c r="I4" s="4">
        <f t="shared" si="1"/>
        <v>45024</v>
      </c>
      <c r="J4" s="4">
        <f t="shared" si="1"/>
        <v>45025</v>
      </c>
      <c r="K4" s="4">
        <f t="shared" si="1"/>
        <v>45026</v>
      </c>
      <c r="L4" s="4">
        <f t="shared" si="1"/>
        <v>45027</v>
      </c>
      <c r="M4" s="4">
        <f t="shared" si="1"/>
        <v>45028</v>
      </c>
      <c r="N4" s="4">
        <f t="shared" si="1"/>
        <v>45029</v>
      </c>
      <c r="O4" s="4">
        <f t="shared" si="1"/>
        <v>45030</v>
      </c>
      <c r="P4" s="4">
        <f t="shared" si="1"/>
        <v>45031</v>
      </c>
      <c r="Q4" s="4">
        <f t="shared" si="1"/>
        <v>45032</v>
      </c>
      <c r="R4" s="4">
        <f t="shared" si="1"/>
        <v>45033</v>
      </c>
      <c r="S4" s="4">
        <f t="shared" si="1"/>
        <v>45034</v>
      </c>
      <c r="T4" s="4">
        <f t="shared" si="1"/>
        <v>45035</v>
      </c>
      <c r="U4" s="4">
        <f t="shared" si="1"/>
        <v>45036</v>
      </c>
      <c r="V4" s="4">
        <f t="shared" si="1"/>
        <v>45037</v>
      </c>
      <c r="W4" s="4">
        <f t="shared" si="1"/>
        <v>45038</v>
      </c>
      <c r="X4" s="4">
        <f t="shared" si="1"/>
        <v>45039</v>
      </c>
      <c r="Y4" s="4">
        <f t="shared" si="1"/>
        <v>45040</v>
      </c>
      <c r="Z4" s="4">
        <f t="shared" si="1"/>
        <v>45041</v>
      </c>
      <c r="AA4" s="4">
        <f t="shared" si="1"/>
        <v>45042</v>
      </c>
      <c r="AB4" s="4">
        <f t="shared" si="1"/>
        <v>45043</v>
      </c>
      <c r="AC4" s="4">
        <f t="shared" si="1"/>
        <v>45044</v>
      </c>
      <c r="AD4" s="4">
        <f t="shared" si="1"/>
        <v>45045</v>
      </c>
      <c r="AE4" s="4">
        <f t="shared" si="1"/>
        <v>45046</v>
      </c>
      <c r="AF4" s="39" t="s">
        <v>174</v>
      </c>
      <c r="AG4" s="40" t="s">
        <v>175</v>
      </c>
      <c r="AH4" s="5">
        <v>45017</v>
      </c>
      <c r="AI4" s="6">
        <f>EOMONTH(AH4,0)</f>
        <v>45046</v>
      </c>
      <c r="AL4" s="19" t="s">
        <v>54</v>
      </c>
      <c r="AM4" s="19"/>
      <c r="AN4" s="19" t="s">
        <v>269</v>
      </c>
      <c r="AO4" s="19" t="s">
        <v>55</v>
      </c>
      <c r="AP4" s="19" t="s">
        <v>56</v>
      </c>
      <c r="AQ4" s="19" t="s">
        <v>251</v>
      </c>
      <c r="AR4" s="19" t="s">
        <v>57</v>
      </c>
    </row>
    <row r="5" spans="1:44" x14ac:dyDescent="0.35">
      <c r="A5" s="7" t="s">
        <v>3</v>
      </c>
      <c r="B5" s="55"/>
      <c r="C5" s="55" t="s">
        <v>5</v>
      </c>
      <c r="D5" s="55" t="s">
        <v>5</v>
      </c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41">
        <f t="shared" ref="AF5:AF11" si="2">COUNTA(B5:AE5)</f>
        <v>2</v>
      </c>
      <c r="AG5" s="42">
        <f>AF5*100/31</f>
        <v>6.4516129032258061</v>
      </c>
      <c r="AL5" s="20"/>
      <c r="AM5" s="20"/>
      <c r="AN5" s="60" t="s">
        <v>272</v>
      </c>
      <c r="AO5" s="56"/>
      <c r="AP5" s="56"/>
      <c r="AQ5" s="56"/>
      <c r="AR5" s="20"/>
    </row>
    <row r="6" spans="1:44" x14ac:dyDescent="0.35">
      <c r="A6" s="7" t="s">
        <v>7</v>
      </c>
      <c r="B6" s="55" t="s">
        <v>90</v>
      </c>
      <c r="C6" s="55" t="s">
        <v>90</v>
      </c>
      <c r="D6" s="55" t="s">
        <v>90</v>
      </c>
      <c r="E6" s="55" t="s">
        <v>90</v>
      </c>
      <c r="F6" s="55"/>
      <c r="G6" s="55"/>
      <c r="H6" s="55"/>
      <c r="I6" s="55"/>
      <c r="J6" s="55"/>
      <c r="K6" s="8"/>
      <c r="L6" s="8"/>
      <c r="M6" s="8"/>
      <c r="N6" s="8" t="s">
        <v>304</v>
      </c>
      <c r="O6" s="62" t="s">
        <v>304</v>
      </c>
      <c r="P6" s="61"/>
      <c r="Q6" s="55" t="s">
        <v>302</v>
      </c>
      <c r="R6" s="55"/>
      <c r="S6" s="61"/>
      <c r="T6" s="61"/>
      <c r="U6" s="61"/>
      <c r="V6" s="8"/>
      <c r="W6" s="8"/>
      <c r="X6" s="8"/>
      <c r="Y6" s="8" t="s">
        <v>306</v>
      </c>
      <c r="Z6" s="8"/>
      <c r="AA6" s="8"/>
      <c r="AB6" s="8"/>
      <c r="AC6" s="8"/>
      <c r="AD6" s="8"/>
      <c r="AE6" s="8"/>
      <c r="AF6" s="41">
        <f t="shared" si="2"/>
        <v>8</v>
      </c>
      <c r="AG6" s="42">
        <f>AF6*100/31</f>
        <v>25.806451612903224</v>
      </c>
      <c r="AL6" s="20" t="s">
        <v>274</v>
      </c>
      <c r="AM6" s="20"/>
      <c r="AN6" s="20"/>
      <c r="AO6" s="56"/>
      <c r="AP6" s="56"/>
      <c r="AQ6" s="56"/>
      <c r="AR6" s="20"/>
    </row>
    <row r="7" spans="1:44" x14ac:dyDescent="0.35">
      <c r="A7" s="7" t="s">
        <v>11</v>
      </c>
      <c r="B7" s="55" t="s">
        <v>265</v>
      </c>
      <c r="C7" s="55" t="s">
        <v>91</v>
      </c>
      <c r="D7" s="55" t="s">
        <v>91</v>
      </c>
      <c r="E7" s="55" t="s">
        <v>91</v>
      </c>
      <c r="F7" s="55" t="s">
        <v>91</v>
      </c>
      <c r="G7" s="55" t="s">
        <v>91</v>
      </c>
      <c r="H7" s="55"/>
      <c r="I7" s="55"/>
      <c r="J7" s="55"/>
      <c r="K7" s="8"/>
      <c r="L7" s="8"/>
      <c r="M7" s="8" t="s">
        <v>187</v>
      </c>
      <c r="N7" s="8" t="s">
        <v>187</v>
      </c>
      <c r="O7" s="62" t="s">
        <v>187</v>
      </c>
      <c r="P7" s="8" t="s">
        <v>187</v>
      </c>
      <c r="Q7" s="55" t="s">
        <v>302</v>
      </c>
      <c r="R7" s="55" t="s">
        <v>305</v>
      </c>
      <c r="S7" s="55" t="s">
        <v>305</v>
      </c>
      <c r="T7" s="55" t="s">
        <v>305</v>
      </c>
      <c r="U7" s="55" t="s">
        <v>305</v>
      </c>
      <c r="V7" s="55" t="s">
        <v>305</v>
      </c>
      <c r="W7" s="55" t="s">
        <v>305</v>
      </c>
      <c r="X7" s="55" t="s">
        <v>305</v>
      </c>
      <c r="Y7" s="55" t="s">
        <v>305</v>
      </c>
      <c r="Z7" s="55" t="s">
        <v>305</v>
      </c>
      <c r="AA7" s="55" t="s">
        <v>305</v>
      </c>
      <c r="AB7" s="8"/>
      <c r="AC7" s="8"/>
      <c r="AD7" s="8"/>
      <c r="AE7" s="8"/>
      <c r="AF7" s="41">
        <f t="shared" si="2"/>
        <v>21</v>
      </c>
      <c r="AG7" s="42">
        <f t="shared" ref="AG7:AG11" si="3">AF7*100/31</f>
        <v>67.741935483870961</v>
      </c>
      <c r="AL7" s="20"/>
      <c r="AM7" s="20"/>
      <c r="AN7" s="57"/>
      <c r="AO7" s="56"/>
      <c r="AP7" s="56"/>
      <c r="AQ7" s="56"/>
      <c r="AR7" s="20"/>
    </row>
    <row r="8" spans="1:44" ht="15" customHeight="1" x14ac:dyDescent="0.35">
      <c r="A8" s="7" t="s">
        <v>15</v>
      </c>
      <c r="B8" s="55" t="s">
        <v>9</v>
      </c>
      <c r="C8" s="55" t="s">
        <v>273</v>
      </c>
      <c r="D8" s="55" t="s">
        <v>273</v>
      </c>
      <c r="E8" s="55"/>
      <c r="F8" s="55"/>
      <c r="G8" s="55"/>
      <c r="H8" s="55"/>
      <c r="I8" s="55"/>
      <c r="J8" s="55"/>
      <c r="K8" s="8"/>
      <c r="L8" s="55"/>
      <c r="M8" s="8" t="s">
        <v>187</v>
      </c>
      <c r="N8" s="8" t="s">
        <v>187</v>
      </c>
      <c r="O8" s="62" t="s">
        <v>187</v>
      </c>
      <c r="P8" s="8" t="s">
        <v>187</v>
      </c>
      <c r="Q8" s="55" t="s">
        <v>302</v>
      </c>
      <c r="R8" s="55"/>
      <c r="S8" s="8"/>
      <c r="T8" s="8"/>
      <c r="U8" s="8"/>
      <c r="V8" s="8"/>
      <c r="W8" s="8"/>
      <c r="X8" s="8"/>
      <c r="Y8" s="8" t="s">
        <v>306</v>
      </c>
      <c r="Z8" s="8"/>
      <c r="AA8" s="54"/>
      <c r="AB8" s="54"/>
      <c r="AC8" s="54"/>
      <c r="AD8" s="8"/>
      <c r="AE8" s="8"/>
      <c r="AF8" s="41">
        <f t="shared" si="2"/>
        <v>9</v>
      </c>
      <c r="AG8" s="42">
        <f t="shared" si="3"/>
        <v>29.032258064516128</v>
      </c>
      <c r="AJ8" s="9"/>
      <c r="AL8" s="20" t="s">
        <v>275</v>
      </c>
      <c r="AM8" s="20"/>
      <c r="AN8" s="57"/>
      <c r="AO8" s="20"/>
      <c r="AP8" s="21"/>
      <c r="AQ8" s="21"/>
      <c r="AR8" s="20"/>
    </row>
    <row r="9" spans="1:44" ht="15.75" customHeight="1" x14ac:dyDescent="0.35">
      <c r="A9" s="7" t="s">
        <v>18</v>
      </c>
      <c r="B9" s="55" t="s">
        <v>281</v>
      </c>
      <c r="C9" s="55" t="s">
        <v>281</v>
      </c>
      <c r="D9" s="55" t="s">
        <v>281</v>
      </c>
      <c r="E9" s="55" t="s">
        <v>281</v>
      </c>
      <c r="F9" s="55" t="s">
        <v>281</v>
      </c>
      <c r="G9" s="55" t="s">
        <v>281</v>
      </c>
      <c r="H9" s="55" t="s">
        <v>281</v>
      </c>
      <c r="I9" s="55" t="s">
        <v>281</v>
      </c>
      <c r="J9" s="55" t="s">
        <v>281</v>
      </c>
      <c r="K9" s="55" t="s">
        <v>281</v>
      </c>
      <c r="L9" s="55" t="s">
        <v>281</v>
      </c>
      <c r="M9" s="55" t="s">
        <v>281</v>
      </c>
      <c r="N9" s="55" t="s">
        <v>281</v>
      </c>
      <c r="O9" s="63" t="s">
        <v>281</v>
      </c>
      <c r="P9" s="55" t="s">
        <v>281</v>
      </c>
      <c r="Q9" s="55" t="s">
        <v>281</v>
      </c>
      <c r="R9" s="55" t="s">
        <v>281</v>
      </c>
      <c r="S9" s="55" t="s">
        <v>281</v>
      </c>
      <c r="T9" s="55" t="s">
        <v>281</v>
      </c>
      <c r="U9" s="55" t="s">
        <v>281</v>
      </c>
      <c r="V9" s="55" t="s">
        <v>281</v>
      </c>
      <c r="W9" s="55" t="s">
        <v>281</v>
      </c>
      <c r="X9" s="55" t="s">
        <v>281</v>
      </c>
      <c r="Y9" s="55" t="s">
        <v>281</v>
      </c>
      <c r="Z9" s="55" t="s">
        <v>281</v>
      </c>
      <c r="AA9" s="55" t="s">
        <v>281</v>
      </c>
      <c r="AB9" s="55" t="s">
        <v>281</v>
      </c>
      <c r="AC9" s="55" t="s">
        <v>281</v>
      </c>
      <c r="AD9" s="55" t="s">
        <v>281</v>
      </c>
      <c r="AE9" s="55" t="s">
        <v>281</v>
      </c>
      <c r="AF9" s="41">
        <f t="shared" si="2"/>
        <v>30</v>
      </c>
      <c r="AG9" s="42">
        <f t="shared" si="3"/>
        <v>96.774193548387103</v>
      </c>
      <c r="AL9" s="20" t="s">
        <v>9</v>
      </c>
      <c r="AM9" s="20"/>
      <c r="AN9" s="57"/>
      <c r="AO9" s="20"/>
      <c r="AP9" s="21"/>
      <c r="AQ9" s="21"/>
      <c r="AR9" s="20"/>
    </row>
    <row r="10" spans="1:44" ht="15.75" customHeight="1" x14ac:dyDescent="0.35">
      <c r="A10" s="7" t="s">
        <v>20</v>
      </c>
      <c r="B10" s="55" t="s">
        <v>280</v>
      </c>
      <c r="C10" s="55" t="s">
        <v>280</v>
      </c>
      <c r="D10" s="55" t="s">
        <v>280</v>
      </c>
      <c r="E10" s="55" t="s">
        <v>299</v>
      </c>
      <c r="F10" s="55"/>
      <c r="G10" s="55"/>
      <c r="H10" s="55" t="s">
        <v>207</v>
      </c>
      <c r="I10" s="55" t="s">
        <v>207</v>
      </c>
      <c r="J10" s="55" t="s">
        <v>207</v>
      </c>
      <c r="K10" s="55" t="s">
        <v>207</v>
      </c>
      <c r="L10" s="55" t="s">
        <v>207</v>
      </c>
      <c r="M10" s="55" t="s">
        <v>207</v>
      </c>
      <c r="N10" s="55" t="s">
        <v>207</v>
      </c>
      <c r="O10" s="55" t="s">
        <v>207</v>
      </c>
      <c r="P10" s="55" t="s">
        <v>207</v>
      </c>
      <c r="Q10" s="55" t="s">
        <v>207</v>
      </c>
      <c r="R10" s="55" t="s">
        <v>207</v>
      </c>
      <c r="S10" s="55" t="s">
        <v>207</v>
      </c>
      <c r="T10" s="55" t="s">
        <v>207</v>
      </c>
      <c r="U10" s="55" t="s">
        <v>207</v>
      </c>
      <c r="V10" s="55" t="s">
        <v>207</v>
      </c>
      <c r="W10" s="8"/>
      <c r="X10" s="8"/>
      <c r="Y10" s="8" t="s">
        <v>37</v>
      </c>
      <c r="Z10" s="8" t="s">
        <v>37</v>
      </c>
      <c r="AA10" s="55" t="s">
        <v>307</v>
      </c>
      <c r="AB10" s="55" t="s">
        <v>307</v>
      </c>
      <c r="AC10" s="55" t="s">
        <v>307</v>
      </c>
      <c r="AD10" s="8" t="s">
        <v>80</v>
      </c>
      <c r="AE10" s="8" t="s">
        <v>80</v>
      </c>
      <c r="AF10" s="41">
        <f t="shared" si="2"/>
        <v>26</v>
      </c>
      <c r="AG10" s="42">
        <f t="shared" si="3"/>
        <v>83.870967741935488</v>
      </c>
      <c r="AL10" s="20"/>
      <c r="AM10" s="20"/>
      <c r="AN10" s="57"/>
      <c r="AO10" s="20"/>
      <c r="AP10" s="20"/>
      <c r="AQ10" s="20"/>
      <c r="AR10" s="20"/>
    </row>
    <row r="11" spans="1:44" ht="15.75" customHeight="1" thickBot="1" x14ac:dyDescent="0.4">
      <c r="A11" s="7" t="s">
        <v>24</v>
      </c>
      <c r="B11" s="55" t="s">
        <v>265</v>
      </c>
      <c r="C11" s="55" t="s">
        <v>294</v>
      </c>
      <c r="D11" s="55" t="s">
        <v>294</v>
      </c>
      <c r="E11" s="8" t="s">
        <v>299</v>
      </c>
      <c r="F11" s="8" t="s">
        <v>299</v>
      </c>
      <c r="G11" s="8" t="s">
        <v>299</v>
      </c>
      <c r="H11" s="8"/>
      <c r="I11" s="8" t="s">
        <v>25</v>
      </c>
      <c r="J11" s="8" t="s">
        <v>301</v>
      </c>
      <c r="K11" s="8" t="s">
        <v>301</v>
      </c>
      <c r="L11" s="8" t="s">
        <v>301</v>
      </c>
      <c r="M11" s="8" t="s">
        <v>301</v>
      </c>
      <c r="N11" s="8" t="s">
        <v>37</v>
      </c>
      <c r="O11" s="62" t="s">
        <v>37</v>
      </c>
      <c r="P11" s="62" t="s">
        <v>37</v>
      </c>
      <c r="Q11" s="55" t="s">
        <v>95</v>
      </c>
      <c r="R11" s="55" t="s">
        <v>95</v>
      </c>
      <c r="S11" s="55" t="s">
        <v>95</v>
      </c>
      <c r="T11" s="55" t="s">
        <v>95</v>
      </c>
      <c r="U11" s="55" t="s">
        <v>95</v>
      </c>
      <c r="V11" s="55"/>
      <c r="W11" s="8"/>
      <c r="X11" s="8"/>
      <c r="Y11" s="8" t="s">
        <v>306</v>
      </c>
      <c r="Z11" s="8"/>
      <c r="AA11" s="55" t="s">
        <v>307</v>
      </c>
      <c r="AB11" s="55" t="s">
        <v>307</v>
      </c>
      <c r="AC11" s="55" t="s">
        <v>307</v>
      </c>
      <c r="AD11" s="8" t="s">
        <v>144</v>
      </c>
      <c r="AE11" s="8" t="s">
        <v>144</v>
      </c>
      <c r="AF11" s="41">
        <f t="shared" si="2"/>
        <v>25</v>
      </c>
      <c r="AG11" s="42">
        <f t="shared" si="3"/>
        <v>80.645161290322577</v>
      </c>
      <c r="AL11" s="20" t="s">
        <v>277</v>
      </c>
      <c r="AM11" s="20"/>
      <c r="AN11" s="20"/>
      <c r="AO11" s="20"/>
      <c r="AP11" s="20"/>
      <c r="AQ11" s="20"/>
      <c r="AR11" s="20"/>
    </row>
    <row r="12" spans="1:44" ht="15" customHeight="1" x14ac:dyDescent="0.35">
      <c r="A12" s="45" t="s">
        <v>176</v>
      </c>
      <c r="B12" s="46">
        <f>COUNTA(B5:B11)</f>
        <v>6</v>
      </c>
      <c r="C12" s="46">
        <f ca="1">COUNTA(C5:C17)</f>
        <v>7</v>
      </c>
      <c r="D12" s="46">
        <f t="shared" ref="D12:AE12" si="4">COUNTA(D5:D11)</f>
        <v>7</v>
      </c>
      <c r="E12" s="46">
        <f t="shared" si="4"/>
        <v>5</v>
      </c>
      <c r="F12" s="46">
        <f t="shared" si="4"/>
        <v>3</v>
      </c>
      <c r="G12" s="46">
        <f t="shared" si="4"/>
        <v>3</v>
      </c>
      <c r="H12" s="46">
        <f t="shared" si="4"/>
        <v>2</v>
      </c>
      <c r="I12" s="46">
        <f t="shared" si="4"/>
        <v>3</v>
      </c>
      <c r="J12" s="46">
        <f t="shared" si="4"/>
        <v>3</v>
      </c>
      <c r="K12" s="46">
        <f t="shared" si="4"/>
        <v>3</v>
      </c>
      <c r="L12" s="46">
        <f t="shared" si="4"/>
        <v>3</v>
      </c>
      <c r="M12" s="46">
        <f t="shared" si="4"/>
        <v>5</v>
      </c>
      <c r="N12" s="46">
        <f t="shared" si="4"/>
        <v>6</v>
      </c>
      <c r="O12" s="46">
        <f t="shared" si="4"/>
        <v>6</v>
      </c>
      <c r="P12" s="46">
        <f t="shared" si="4"/>
        <v>5</v>
      </c>
      <c r="Q12" s="46">
        <f t="shared" si="4"/>
        <v>6</v>
      </c>
      <c r="R12" s="46">
        <f t="shared" si="4"/>
        <v>4</v>
      </c>
      <c r="S12" s="46">
        <f t="shared" si="4"/>
        <v>4</v>
      </c>
      <c r="T12" s="46">
        <f t="shared" si="4"/>
        <v>4</v>
      </c>
      <c r="U12" s="46">
        <f t="shared" si="4"/>
        <v>4</v>
      </c>
      <c r="V12" s="46">
        <f t="shared" si="4"/>
        <v>3</v>
      </c>
      <c r="W12" s="46">
        <f t="shared" si="4"/>
        <v>2</v>
      </c>
      <c r="X12" s="46">
        <f t="shared" si="4"/>
        <v>2</v>
      </c>
      <c r="Y12" s="46">
        <f t="shared" si="4"/>
        <v>6</v>
      </c>
      <c r="Z12" s="46">
        <f t="shared" si="4"/>
        <v>3</v>
      </c>
      <c r="AA12" s="46">
        <f t="shared" si="4"/>
        <v>4</v>
      </c>
      <c r="AB12" s="46">
        <f t="shared" si="4"/>
        <v>3</v>
      </c>
      <c r="AC12" s="46">
        <f t="shared" si="4"/>
        <v>3</v>
      </c>
      <c r="AD12" s="46">
        <f t="shared" si="4"/>
        <v>3</v>
      </c>
      <c r="AE12" s="46">
        <f t="shared" si="4"/>
        <v>3</v>
      </c>
      <c r="AF12" s="43">
        <f t="shared" ref="AF12" si="5">SUM(AF5:AF11)</f>
        <v>121</v>
      </c>
      <c r="AG12" s="44">
        <f>AVERAGE(AG5:AG11)</f>
        <v>55.76036866359447</v>
      </c>
      <c r="AH12" s="29"/>
      <c r="AL12" s="20" t="s">
        <v>278</v>
      </c>
      <c r="AM12" s="20"/>
      <c r="AN12" s="20"/>
      <c r="AO12" s="20"/>
      <c r="AP12" s="20"/>
      <c r="AQ12" s="20"/>
      <c r="AR12" s="20"/>
    </row>
    <row r="13" spans="1:44" ht="85.5" hidden="1" x14ac:dyDescent="0.35">
      <c r="A13" s="13" t="s">
        <v>28</v>
      </c>
      <c r="B13" s="14"/>
      <c r="C13" s="14"/>
      <c r="D13" s="14"/>
      <c r="E13" s="14"/>
      <c r="F13" s="14"/>
      <c r="G13" s="14"/>
      <c r="H13" s="14"/>
      <c r="I13" s="35"/>
      <c r="J13" s="34"/>
      <c r="K13" s="15"/>
      <c r="L13" s="14"/>
      <c r="M13" s="14"/>
      <c r="N13" s="25"/>
      <c r="O13" s="25"/>
      <c r="P13" s="25"/>
      <c r="Q13" s="14"/>
      <c r="R13" s="14"/>
      <c r="S13" s="14"/>
      <c r="T13" s="14"/>
      <c r="U13" s="14"/>
      <c r="V13" s="15"/>
      <c r="W13" s="15"/>
      <c r="X13" s="14"/>
      <c r="Y13" s="14"/>
      <c r="Z13" s="14"/>
      <c r="AA13" s="14"/>
      <c r="AB13" s="14"/>
      <c r="AC13" s="14"/>
      <c r="AD13" s="14"/>
      <c r="AE13" s="14"/>
      <c r="AF13" s="37"/>
      <c r="AG13" s="37"/>
      <c r="AL13" s="20"/>
      <c r="AM13" s="20"/>
      <c r="AN13" s="20"/>
      <c r="AO13" s="20"/>
      <c r="AP13" s="20"/>
      <c r="AQ13" s="20"/>
      <c r="AR13" s="20"/>
    </row>
    <row r="14" spans="1:44" ht="28.5" hidden="1" x14ac:dyDescent="0.35">
      <c r="A14" s="16" t="s">
        <v>29</v>
      </c>
      <c r="B14" s="14"/>
      <c r="C14" s="14"/>
      <c r="D14" s="14"/>
      <c r="E14" s="14"/>
      <c r="F14" s="14"/>
      <c r="G14" s="14"/>
      <c r="H14" s="14"/>
      <c r="I14" s="35"/>
      <c r="J14" s="34"/>
      <c r="K14" s="15"/>
      <c r="L14" s="14"/>
      <c r="M14" s="14"/>
      <c r="N14" s="25"/>
      <c r="O14" s="25"/>
      <c r="P14" s="25"/>
      <c r="Q14" s="14"/>
      <c r="R14" s="14"/>
      <c r="S14" s="14"/>
      <c r="T14" s="14"/>
      <c r="U14" s="14"/>
      <c r="V14" s="15"/>
      <c r="W14" s="15"/>
      <c r="X14" s="14"/>
      <c r="Y14" s="14"/>
      <c r="Z14" s="14"/>
      <c r="AA14" s="14"/>
      <c r="AB14" s="14"/>
      <c r="AC14" s="14"/>
      <c r="AD14" s="14"/>
      <c r="AE14" s="14"/>
      <c r="AF14" s="37"/>
      <c r="AG14" s="37"/>
      <c r="AL14" s="20"/>
      <c r="AM14" s="20"/>
      <c r="AN14" s="20"/>
      <c r="AO14" s="20"/>
      <c r="AP14" s="20"/>
      <c r="AQ14" s="20"/>
      <c r="AR14" s="20"/>
    </row>
    <row r="15" spans="1:44" x14ac:dyDescent="0.35">
      <c r="A15" s="7" t="s">
        <v>30</v>
      </c>
      <c r="B15" s="54"/>
      <c r="C15" t="s">
        <v>257</v>
      </c>
      <c r="D15" t="s">
        <v>257</v>
      </c>
      <c r="E15" s="55" t="s">
        <v>136</v>
      </c>
      <c r="F15" s="8" t="s">
        <v>299</v>
      </c>
      <c r="G15" s="8" t="s">
        <v>299</v>
      </c>
      <c r="H15" s="8" t="s">
        <v>299</v>
      </c>
      <c r="I15" s="8" t="s">
        <v>299</v>
      </c>
      <c r="J15" s="8" t="s">
        <v>299</v>
      </c>
      <c r="K15" s="8" t="s">
        <v>299</v>
      </c>
      <c r="L15" s="8" t="s">
        <v>299</v>
      </c>
      <c r="M15" s="8" t="s">
        <v>299</v>
      </c>
      <c r="N15" s="8" t="s">
        <v>299</v>
      </c>
      <c r="O15" s="8" t="s">
        <v>299</v>
      </c>
      <c r="P15" s="8" t="s">
        <v>299</v>
      </c>
      <c r="Q15" s="8" t="s">
        <v>299</v>
      </c>
      <c r="R15" s="8" t="s">
        <v>299</v>
      </c>
      <c r="S15" s="8" t="s">
        <v>299</v>
      </c>
      <c r="T15" s="8" t="s">
        <v>299</v>
      </c>
      <c r="U15" s="8" t="s">
        <v>299</v>
      </c>
      <c r="V15" s="8" t="s">
        <v>299</v>
      </c>
      <c r="W15" s="8" t="s">
        <v>299</v>
      </c>
      <c r="X15" s="8" t="s">
        <v>299</v>
      </c>
      <c r="Y15" s="8" t="s">
        <v>299</v>
      </c>
      <c r="Z15" s="8" t="s">
        <v>299</v>
      </c>
      <c r="AA15" s="8" t="s">
        <v>299</v>
      </c>
      <c r="AB15" s="8" t="s">
        <v>299</v>
      </c>
      <c r="AC15" s="8" t="s">
        <v>299</v>
      </c>
      <c r="AD15" s="8" t="s">
        <v>299</v>
      </c>
      <c r="AE15" s="8" t="s">
        <v>299</v>
      </c>
      <c r="AF15" s="41">
        <f t="shared" ref="AF15:AF22" si="6">COUNTA(B15:AE15)</f>
        <v>29</v>
      </c>
      <c r="AG15" s="42">
        <f>AF15*100/31</f>
        <v>93.548387096774192</v>
      </c>
      <c r="AL15" s="20" t="s">
        <v>116</v>
      </c>
      <c r="AM15" s="20"/>
      <c r="AN15" s="20"/>
      <c r="AO15" s="20"/>
      <c r="AP15" s="20"/>
      <c r="AQ15" s="20"/>
      <c r="AR15" s="20"/>
    </row>
    <row r="16" spans="1:44" x14ac:dyDescent="0.35">
      <c r="A16" s="7" t="s">
        <v>35</v>
      </c>
      <c r="B16" s="55" t="s">
        <v>34</v>
      </c>
      <c r="C16" s="8" t="s">
        <v>293</v>
      </c>
      <c r="D16" s="8" t="s">
        <v>293</v>
      </c>
      <c r="E16" s="55" t="s">
        <v>25</v>
      </c>
      <c r="F16" s="54"/>
      <c r="G16" s="54"/>
      <c r="H16" s="55" t="s">
        <v>86</v>
      </c>
      <c r="I16" s="55" t="s">
        <v>86</v>
      </c>
      <c r="J16" s="55" t="s">
        <v>86</v>
      </c>
      <c r="K16" s="55" t="s">
        <v>86</v>
      </c>
      <c r="L16" s="55" t="s">
        <v>86</v>
      </c>
      <c r="M16" s="55" t="s">
        <v>86</v>
      </c>
      <c r="N16" s="55" t="s">
        <v>86</v>
      </c>
      <c r="O16" s="55" t="s">
        <v>199</v>
      </c>
      <c r="P16" s="55" t="s">
        <v>199</v>
      </c>
      <c r="Q16" s="55" t="s">
        <v>302</v>
      </c>
      <c r="R16" s="55" t="s">
        <v>143</v>
      </c>
      <c r="S16" s="55" t="s">
        <v>143</v>
      </c>
      <c r="T16" s="55" t="s">
        <v>25</v>
      </c>
      <c r="U16" s="55"/>
      <c r="V16" s="55"/>
      <c r="W16" s="54"/>
      <c r="X16" s="54"/>
      <c r="Y16" s="8"/>
      <c r="Z16" s="55" t="s">
        <v>308</v>
      </c>
      <c r="AA16" s="55" t="s">
        <v>310</v>
      </c>
      <c r="AB16" s="55" t="s">
        <v>310</v>
      </c>
      <c r="AC16" s="55" t="s">
        <v>310</v>
      </c>
      <c r="AD16" s="54"/>
      <c r="AE16" s="55" t="s">
        <v>97</v>
      </c>
      <c r="AF16" s="41">
        <f t="shared" si="6"/>
        <v>22</v>
      </c>
      <c r="AG16" s="42">
        <f>AF16*100/31</f>
        <v>70.967741935483872</v>
      </c>
      <c r="AL16" s="20" t="s">
        <v>173</v>
      </c>
      <c r="AM16" s="20"/>
      <c r="AN16" s="20"/>
      <c r="AO16" s="56"/>
      <c r="AP16" s="56"/>
      <c r="AQ16" s="20"/>
      <c r="AR16" s="20"/>
    </row>
    <row r="17" spans="1:51" x14ac:dyDescent="0.35">
      <c r="A17" s="7" t="s">
        <v>39</v>
      </c>
      <c r="B17" s="55" t="s">
        <v>187</v>
      </c>
      <c r="C17" s="8" t="s">
        <v>298</v>
      </c>
      <c r="D17" s="8" t="s">
        <v>298</v>
      </c>
      <c r="E17" s="55" t="s">
        <v>299</v>
      </c>
      <c r="F17" s="55" t="s">
        <v>299</v>
      </c>
      <c r="G17" s="55" t="s">
        <v>299</v>
      </c>
      <c r="H17" s="55" t="s">
        <v>299</v>
      </c>
      <c r="I17" s="54"/>
      <c r="J17" s="54"/>
      <c r="K17" s="8"/>
      <c r="L17" s="8"/>
      <c r="M17" s="8" t="s">
        <v>187</v>
      </c>
      <c r="N17" s="8" t="s">
        <v>187</v>
      </c>
      <c r="O17" s="8" t="s">
        <v>187</v>
      </c>
      <c r="P17" s="8" t="s">
        <v>187</v>
      </c>
      <c r="Q17" s="8" t="s">
        <v>187</v>
      </c>
      <c r="R17" s="8" t="s">
        <v>187</v>
      </c>
      <c r="S17" s="8" t="s">
        <v>187</v>
      </c>
      <c r="T17" s="8" t="s">
        <v>187</v>
      </c>
      <c r="U17" s="8" t="s">
        <v>187</v>
      </c>
      <c r="V17" s="8" t="s">
        <v>187</v>
      </c>
      <c r="W17" s="8" t="s">
        <v>187</v>
      </c>
      <c r="X17" s="8" t="s">
        <v>187</v>
      </c>
      <c r="Y17" s="8"/>
      <c r="Z17" s="55"/>
      <c r="AA17" s="55" t="s">
        <v>310</v>
      </c>
      <c r="AB17" s="55" t="s">
        <v>310</v>
      </c>
      <c r="AC17" s="55" t="s">
        <v>310</v>
      </c>
      <c r="AD17" s="54"/>
      <c r="AE17" s="55" t="s">
        <v>17</v>
      </c>
      <c r="AF17" s="41">
        <f t="shared" si="6"/>
        <v>23</v>
      </c>
      <c r="AG17" s="42">
        <f t="shared" ref="AG17:AG22" si="7">AF17*100/31</f>
        <v>74.193548387096769</v>
      </c>
      <c r="AL17" s="20" t="s">
        <v>279</v>
      </c>
      <c r="AM17" s="20"/>
      <c r="AN17" s="20"/>
      <c r="AO17" s="20"/>
      <c r="AP17" s="20"/>
      <c r="AQ17" s="20"/>
      <c r="AR17" s="20"/>
      <c r="AX17" s="58"/>
    </row>
    <row r="18" spans="1:51" x14ac:dyDescent="0.35">
      <c r="A18" s="7" t="s">
        <v>42</v>
      </c>
      <c r="B18" s="55" t="s">
        <v>187</v>
      </c>
      <c r="C18" s="55" t="s">
        <v>276</v>
      </c>
      <c r="D18" s="55" t="s">
        <v>276</v>
      </c>
      <c r="E18" s="55" t="s">
        <v>173</v>
      </c>
      <c r="F18" s="55" t="s">
        <v>173</v>
      </c>
      <c r="G18" s="55" t="s">
        <v>173</v>
      </c>
      <c r="H18" s="55" t="s">
        <v>173</v>
      </c>
      <c r="I18" s="55" t="s">
        <v>173</v>
      </c>
      <c r="J18" s="55" t="s">
        <v>173</v>
      </c>
      <c r="K18" s="55" t="s">
        <v>173</v>
      </c>
      <c r="L18" s="8" t="s">
        <v>299</v>
      </c>
      <c r="M18" s="8" t="s">
        <v>299</v>
      </c>
      <c r="N18" s="8" t="s">
        <v>299</v>
      </c>
      <c r="O18" s="8" t="s">
        <v>299</v>
      </c>
      <c r="P18" s="8" t="s">
        <v>299</v>
      </c>
      <c r="Q18" s="8" t="s">
        <v>303</v>
      </c>
      <c r="R18" s="8" t="s">
        <v>303</v>
      </c>
      <c r="S18" s="8" t="s">
        <v>303</v>
      </c>
      <c r="T18" s="8" t="s">
        <v>303</v>
      </c>
      <c r="U18" s="8" t="s">
        <v>303</v>
      </c>
      <c r="V18" s="8"/>
      <c r="W18" s="8"/>
      <c r="X18" s="8"/>
      <c r="Y18" s="8"/>
      <c r="Z18" s="55" t="s">
        <v>308</v>
      </c>
      <c r="AA18" s="55" t="s">
        <v>310</v>
      </c>
      <c r="AB18" s="55" t="s">
        <v>310</v>
      </c>
      <c r="AC18" s="55" t="s">
        <v>310</v>
      </c>
      <c r="AD18" s="54"/>
      <c r="AE18" s="54"/>
      <c r="AF18" s="41">
        <f t="shared" si="6"/>
        <v>24</v>
      </c>
      <c r="AG18" s="42">
        <f t="shared" si="7"/>
        <v>77.41935483870968</v>
      </c>
      <c r="AL18" s="20"/>
      <c r="AM18" s="20"/>
      <c r="AN18" s="20"/>
      <c r="AO18" s="20"/>
      <c r="AP18" s="20"/>
      <c r="AQ18" s="20"/>
      <c r="AR18" s="20"/>
      <c r="AX18" s="58"/>
    </row>
    <row r="19" spans="1:51" x14ac:dyDescent="0.35">
      <c r="A19" s="7" t="s">
        <v>45</v>
      </c>
      <c r="B19" s="55" t="s">
        <v>187</v>
      </c>
      <c r="C19" s="55" t="s">
        <v>283</v>
      </c>
      <c r="D19" s="55" t="s">
        <v>283</v>
      </c>
      <c r="E19" s="55" t="s">
        <v>173</v>
      </c>
      <c r="F19" s="55" t="s">
        <v>173</v>
      </c>
      <c r="G19" s="55" t="s">
        <v>173</v>
      </c>
      <c r="H19" s="55" t="s">
        <v>173</v>
      </c>
      <c r="I19" s="55" t="s">
        <v>173</v>
      </c>
      <c r="J19" s="55" t="s">
        <v>173</v>
      </c>
      <c r="K19" s="55" t="s">
        <v>173</v>
      </c>
      <c r="L19" s="55" t="s">
        <v>173</v>
      </c>
      <c r="M19" s="55" t="s">
        <v>173</v>
      </c>
      <c r="N19" s="8" t="s">
        <v>304</v>
      </c>
      <c r="O19" s="8" t="s">
        <v>304</v>
      </c>
      <c r="P19" s="8" t="s">
        <v>187</v>
      </c>
      <c r="Q19" s="8" t="s">
        <v>187</v>
      </c>
      <c r="R19" s="8" t="s">
        <v>187</v>
      </c>
      <c r="S19" s="8" t="s">
        <v>187</v>
      </c>
      <c r="T19" s="8" t="s">
        <v>187</v>
      </c>
      <c r="U19" s="8" t="s">
        <v>187</v>
      </c>
      <c r="V19" s="8" t="s">
        <v>187</v>
      </c>
      <c r="W19" s="8" t="s">
        <v>187</v>
      </c>
      <c r="X19" s="8" t="s">
        <v>187</v>
      </c>
      <c r="Y19" s="8"/>
      <c r="Z19" s="8"/>
      <c r="AA19" t="s">
        <v>309</v>
      </c>
      <c r="AB19" t="s">
        <v>309</v>
      </c>
      <c r="AC19" t="s">
        <v>309</v>
      </c>
      <c r="AD19" s="55" t="s">
        <v>86</v>
      </c>
      <c r="AE19" s="55" t="s">
        <v>86</v>
      </c>
      <c r="AF19" s="41">
        <f t="shared" si="6"/>
        <v>28</v>
      </c>
      <c r="AG19" s="42">
        <f t="shared" si="7"/>
        <v>90.322580645161295</v>
      </c>
      <c r="AL19" s="20" t="s">
        <v>284</v>
      </c>
      <c r="AM19" s="20"/>
      <c r="AN19" s="20"/>
      <c r="AO19" s="20"/>
      <c r="AP19" s="20"/>
      <c r="AQ19" s="20"/>
      <c r="AR19" s="20"/>
      <c r="AX19" s="58"/>
    </row>
    <row r="20" spans="1:51" x14ac:dyDescent="0.35">
      <c r="A20" s="7" t="s">
        <v>47</v>
      </c>
      <c r="B20" s="55" t="s">
        <v>262</v>
      </c>
      <c r="C20" s="55" t="s">
        <v>297</v>
      </c>
      <c r="D20" s="55" t="s">
        <v>297</v>
      </c>
      <c r="E20" s="55" t="s">
        <v>173</v>
      </c>
      <c r="F20" s="55" t="s">
        <v>173</v>
      </c>
      <c r="G20" s="55" t="s">
        <v>173</v>
      </c>
      <c r="H20" s="55" t="s">
        <v>173</v>
      </c>
      <c r="I20" s="55" t="s">
        <v>173</v>
      </c>
      <c r="J20" s="55" t="s">
        <v>173</v>
      </c>
      <c r="K20" s="55" t="s">
        <v>173</v>
      </c>
      <c r="L20" s="55" t="s">
        <v>173</v>
      </c>
      <c r="M20" s="55" t="s">
        <v>173</v>
      </c>
      <c r="N20" s="54"/>
      <c r="O20" s="54"/>
      <c r="P20" s="8" t="s">
        <v>187</v>
      </c>
      <c r="Q20" s="8" t="s">
        <v>187</v>
      </c>
      <c r="R20" s="8" t="s">
        <v>187</v>
      </c>
      <c r="S20" s="8" t="s">
        <v>187</v>
      </c>
      <c r="T20" s="8" t="s">
        <v>187</v>
      </c>
      <c r="U20" s="8" t="s">
        <v>187</v>
      </c>
      <c r="V20" s="8" t="s">
        <v>187</v>
      </c>
      <c r="W20" s="8" t="s">
        <v>187</v>
      </c>
      <c r="X20" s="8" t="s">
        <v>187</v>
      </c>
      <c r="Y20" s="8"/>
      <c r="AA20" s="55" t="s">
        <v>310</v>
      </c>
      <c r="AB20" s="55" t="s">
        <v>310</v>
      </c>
      <c r="AC20" s="55" t="s">
        <v>310</v>
      </c>
      <c r="AD20" s="54"/>
      <c r="AE20" s="55" t="s">
        <v>173</v>
      </c>
      <c r="AF20" s="41">
        <f t="shared" si="6"/>
        <v>25</v>
      </c>
      <c r="AG20" s="42">
        <f t="shared" si="7"/>
        <v>80.645161290322577</v>
      </c>
      <c r="AL20" s="20" t="s">
        <v>285</v>
      </c>
      <c r="AM20" s="20"/>
      <c r="AN20" s="20"/>
      <c r="AO20" s="20"/>
      <c r="AP20" s="20"/>
      <c r="AQ20" s="20"/>
      <c r="AR20" s="20"/>
      <c r="AX20" s="58"/>
    </row>
    <row r="21" spans="1:51" x14ac:dyDescent="0.35">
      <c r="A21" s="7" t="s">
        <v>50</v>
      </c>
      <c r="B21" s="55" t="s">
        <v>187</v>
      </c>
      <c r="C21" s="55" t="s">
        <v>296</v>
      </c>
      <c r="D21" s="55" t="s">
        <v>296</v>
      </c>
      <c r="E21" s="55" t="s">
        <v>296</v>
      </c>
      <c r="F21" s="54"/>
      <c r="G21" s="55" t="s">
        <v>173</v>
      </c>
      <c r="H21" s="55" t="s">
        <v>173</v>
      </c>
      <c r="I21" s="55" t="s">
        <v>173</v>
      </c>
      <c r="J21" s="55" t="s">
        <v>173</v>
      </c>
      <c r="K21" s="55" t="s">
        <v>173</v>
      </c>
      <c r="L21" s="55" t="s">
        <v>173</v>
      </c>
      <c r="M21" s="55" t="s">
        <v>173</v>
      </c>
      <c r="N21" s="55" t="s">
        <v>173</v>
      </c>
      <c r="O21" s="55" t="s">
        <v>173</v>
      </c>
      <c r="P21" s="55" t="s">
        <v>173</v>
      </c>
      <c r="Q21" s="55" t="s">
        <v>173</v>
      </c>
      <c r="R21" s="55" t="s">
        <v>173</v>
      </c>
      <c r="S21" s="55" t="s">
        <v>173</v>
      </c>
      <c r="T21" s="55" t="s">
        <v>173</v>
      </c>
      <c r="U21" s="55" t="s">
        <v>173</v>
      </c>
      <c r="V21" s="55" t="s">
        <v>173</v>
      </c>
      <c r="W21" s="55" t="s">
        <v>173</v>
      </c>
      <c r="X21" s="55" t="s">
        <v>173</v>
      </c>
      <c r="Y21" s="55" t="s">
        <v>173</v>
      </c>
      <c r="Z21" s="55" t="s">
        <v>173</v>
      </c>
      <c r="AA21" s="55" t="s">
        <v>173</v>
      </c>
      <c r="AB21" s="55" t="s">
        <v>173</v>
      </c>
      <c r="AC21" s="55" t="s">
        <v>173</v>
      </c>
      <c r="AD21" s="54"/>
      <c r="AE21" s="55" t="s">
        <v>173</v>
      </c>
      <c r="AF21" s="41">
        <f t="shared" si="6"/>
        <v>28</v>
      </c>
      <c r="AG21" s="42">
        <f t="shared" si="7"/>
        <v>90.322580645161295</v>
      </c>
      <c r="AL21" s="20" t="s">
        <v>286</v>
      </c>
      <c r="AM21" s="20"/>
      <c r="AN21" s="20"/>
      <c r="AO21" s="56"/>
      <c r="AP21" s="56"/>
      <c r="AQ21" s="20"/>
      <c r="AR21" s="20"/>
      <c r="AX21" s="58"/>
    </row>
    <row r="22" spans="1:51" ht="15" thickBot="1" x14ac:dyDescent="0.4">
      <c r="A22" s="7" t="s">
        <v>51</v>
      </c>
      <c r="B22" s="54"/>
      <c r="C22" s="55" t="s">
        <v>295</v>
      </c>
      <c r="D22" s="55" t="s">
        <v>295</v>
      </c>
      <c r="E22" s="55" t="s">
        <v>300</v>
      </c>
      <c r="F22" s="55" t="s">
        <v>300</v>
      </c>
      <c r="G22" s="55" t="s">
        <v>300</v>
      </c>
      <c r="H22" s="8" t="s">
        <v>299</v>
      </c>
      <c r="I22" s="8" t="s">
        <v>299</v>
      </c>
      <c r="J22" s="8" t="s">
        <v>299</v>
      </c>
      <c r="K22" s="8" t="s">
        <v>299</v>
      </c>
      <c r="L22" s="8" t="s">
        <v>299</v>
      </c>
      <c r="M22" s="8" t="s">
        <v>299</v>
      </c>
      <c r="N22" s="8" t="s">
        <v>299</v>
      </c>
      <c r="O22" s="8" t="s">
        <v>299</v>
      </c>
      <c r="P22" s="8" t="s">
        <v>299</v>
      </c>
      <c r="Q22" s="8" t="s">
        <v>299</v>
      </c>
      <c r="R22" s="8" t="s">
        <v>299</v>
      </c>
      <c r="S22" s="8" t="s">
        <v>299</v>
      </c>
      <c r="T22" s="8" t="s">
        <v>299</v>
      </c>
      <c r="U22" s="8" t="s">
        <v>299</v>
      </c>
      <c r="V22" s="8" t="s">
        <v>299</v>
      </c>
      <c r="W22" s="8" t="s">
        <v>299</v>
      </c>
      <c r="X22" s="8" t="s">
        <v>299</v>
      </c>
      <c r="Y22" s="8" t="s">
        <v>299</v>
      </c>
      <c r="Z22" s="8" t="s">
        <v>299</v>
      </c>
      <c r="AA22" s="8" t="s">
        <v>299</v>
      </c>
      <c r="AB22" s="8" t="s">
        <v>299</v>
      </c>
      <c r="AC22" s="8" t="s">
        <v>299</v>
      </c>
      <c r="AD22" s="8" t="s">
        <v>299</v>
      </c>
      <c r="AE22" s="8" t="s">
        <v>299</v>
      </c>
      <c r="AF22" s="41">
        <f t="shared" si="6"/>
        <v>29</v>
      </c>
      <c r="AG22" s="42">
        <f t="shared" si="7"/>
        <v>93.548387096774192</v>
      </c>
      <c r="AL22" s="20" t="s">
        <v>287</v>
      </c>
      <c r="AM22" s="20"/>
      <c r="AN22" s="20"/>
      <c r="AO22" s="20"/>
      <c r="AP22" s="20"/>
      <c r="AQ22" s="20"/>
      <c r="AR22" s="20"/>
      <c r="AX22" s="58"/>
    </row>
    <row r="23" spans="1:51" ht="15.5" x14ac:dyDescent="0.35">
      <c r="A23" s="45" t="s">
        <v>176</v>
      </c>
      <c r="B23" s="46">
        <f>COUNTA(B15:B22)</f>
        <v>6</v>
      </c>
      <c r="C23" s="46">
        <f>COUNTA(C16:C22)</f>
        <v>7</v>
      </c>
      <c r="D23" s="46">
        <f>COUNTA(D16:D22)</f>
        <v>7</v>
      </c>
      <c r="E23" s="46">
        <f t="shared" ref="E23:AE23" si="8">COUNTA(E15:E22)</f>
        <v>8</v>
      </c>
      <c r="F23" s="46">
        <f t="shared" si="8"/>
        <v>6</v>
      </c>
      <c r="G23" s="46">
        <f t="shared" si="8"/>
        <v>7</v>
      </c>
      <c r="H23" s="46">
        <f t="shared" si="8"/>
        <v>8</v>
      </c>
      <c r="I23" s="46">
        <f t="shared" si="8"/>
        <v>7</v>
      </c>
      <c r="J23" s="46">
        <f t="shared" si="8"/>
        <v>7</v>
      </c>
      <c r="K23" s="46">
        <f t="shared" si="8"/>
        <v>7</v>
      </c>
      <c r="L23" s="46">
        <f t="shared" si="8"/>
        <v>7</v>
      </c>
      <c r="M23" s="46">
        <f t="shared" si="8"/>
        <v>8</v>
      </c>
      <c r="N23" s="46">
        <f t="shared" si="8"/>
        <v>7</v>
      </c>
      <c r="O23" s="46">
        <f t="shared" si="8"/>
        <v>7</v>
      </c>
      <c r="P23" s="46">
        <f t="shared" si="8"/>
        <v>8</v>
      </c>
      <c r="Q23" s="46">
        <f t="shared" si="8"/>
        <v>8</v>
      </c>
      <c r="R23" s="46">
        <f t="shared" si="8"/>
        <v>8</v>
      </c>
      <c r="S23" s="46">
        <f t="shared" si="8"/>
        <v>8</v>
      </c>
      <c r="T23" s="46">
        <f t="shared" si="8"/>
        <v>8</v>
      </c>
      <c r="U23" s="46">
        <f t="shared" si="8"/>
        <v>7</v>
      </c>
      <c r="V23" s="46">
        <f t="shared" si="8"/>
        <v>6</v>
      </c>
      <c r="W23" s="46">
        <f t="shared" si="8"/>
        <v>6</v>
      </c>
      <c r="X23" s="46">
        <f t="shared" si="8"/>
        <v>6</v>
      </c>
      <c r="Y23" s="46">
        <f t="shared" si="8"/>
        <v>3</v>
      </c>
      <c r="Z23" s="46">
        <f t="shared" si="8"/>
        <v>5</v>
      </c>
      <c r="AA23" s="46">
        <f t="shared" si="8"/>
        <v>8</v>
      </c>
      <c r="AB23" s="46">
        <f t="shared" si="8"/>
        <v>8</v>
      </c>
      <c r="AC23" s="46">
        <f t="shared" si="8"/>
        <v>8</v>
      </c>
      <c r="AD23" s="46">
        <f t="shared" si="8"/>
        <v>3</v>
      </c>
      <c r="AE23" s="46">
        <f t="shared" si="8"/>
        <v>7</v>
      </c>
      <c r="AF23" s="43">
        <f>SUM(AF15:AF22)</f>
        <v>208</v>
      </c>
      <c r="AG23" s="38"/>
      <c r="AL23" s="20" t="s">
        <v>288</v>
      </c>
      <c r="AM23" s="20"/>
      <c r="AN23" s="20"/>
      <c r="AO23" s="20"/>
      <c r="AP23" s="20"/>
      <c r="AQ23" s="20"/>
      <c r="AR23" s="20"/>
      <c r="AX23" s="58"/>
    </row>
    <row r="24" spans="1:51" ht="15.5" x14ac:dyDescent="0.35">
      <c r="A24" s="47" t="s">
        <v>178</v>
      </c>
      <c r="B24" s="52">
        <f>B12+B23</f>
        <v>12</v>
      </c>
      <c r="C24" s="52">
        <f t="shared" ref="C24:AE24" ca="1" si="9">C12+C23</f>
        <v>14</v>
      </c>
      <c r="D24" s="52">
        <f t="shared" si="9"/>
        <v>14</v>
      </c>
      <c r="E24" s="52">
        <f t="shared" si="9"/>
        <v>13</v>
      </c>
      <c r="F24" s="52">
        <f t="shared" si="9"/>
        <v>9</v>
      </c>
      <c r="G24" s="52">
        <f t="shared" si="9"/>
        <v>10</v>
      </c>
      <c r="H24" s="52">
        <f t="shared" si="9"/>
        <v>10</v>
      </c>
      <c r="I24" s="52">
        <f t="shared" si="9"/>
        <v>10</v>
      </c>
      <c r="J24" s="52">
        <f t="shared" si="9"/>
        <v>10</v>
      </c>
      <c r="K24" s="52">
        <f t="shared" si="9"/>
        <v>10</v>
      </c>
      <c r="L24" s="52">
        <f t="shared" si="9"/>
        <v>10</v>
      </c>
      <c r="M24" s="52">
        <f t="shared" si="9"/>
        <v>13</v>
      </c>
      <c r="N24" s="52">
        <f t="shared" si="9"/>
        <v>13</v>
      </c>
      <c r="O24" s="52">
        <f t="shared" si="9"/>
        <v>13</v>
      </c>
      <c r="P24" s="52">
        <f t="shared" si="9"/>
        <v>13</v>
      </c>
      <c r="Q24" s="52">
        <f t="shared" si="9"/>
        <v>14</v>
      </c>
      <c r="R24" s="52">
        <f t="shared" si="9"/>
        <v>12</v>
      </c>
      <c r="S24" s="52">
        <f t="shared" si="9"/>
        <v>12</v>
      </c>
      <c r="T24" s="52">
        <f t="shared" si="9"/>
        <v>12</v>
      </c>
      <c r="U24" s="52">
        <f t="shared" si="9"/>
        <v>11</v>
      </c>
      <c r="V24" s="52">
        <f t="shared" si="9"/>
        <v>9</v>
      </c>
      <c r="W24" s="52">
        <f t="shared" si="9"/>
        <v>8</v>
      </c>
      <c r="X24" s="52">
        <f t="shared" si="9"/>
        <v>8</v>
      </c>
      <c r="Y24" s="52">
        <f t="shared" si="9"/>
        <v>9</v>
      </c>
      <c r="Z24" s="52">
        <f t="shared" si="9"/>
        <v>8</v>
      </c>
      <c r="AA24" s="52">
        <f t="shared" si="9"/>
        <v>12</v>
      </c>
      <c r="AB24" s="52">
        <f t="shared" si="9"/>
        <v>11</v>
      </c>
      <c r="AC24" s="52">
        <f t="shared" si="9"/>
        <v>11</v>
      </c>
      <c r="AD24" s="52">
        <f t="shared" si="9"/>
        <v>6</v>
      </c>
      <c r="AE24" s="52">
        <f t="shared" si="9"/>
        <v>10</v>
      </c>
      <c r="AF24" s="49">
        <f>+AF12+AF23</f>
        <v>329</v>
      </c>
      <c r="AL24" s="20" t="s">
        <v>289</v>
      </c>
      <c r="AM24" s="20"/>
      <c r="AN24" s="20"/>
      <c r="AO24" s="20"/>
      <c r="AP24" s="20"/>
      <c r="AQ24" s="20"/>
      <c r="AR24" s="20"/>
      <c r="AX24" s="58"/>
    </row>
    <row r="25" spans="1:51" ht="15.5" x14ac:dyDescent="0.35">
      <c r="A25" s="48" t="s">
        <v>179</v>
      </c>
      <c r="B25" s="42">
        <f>B24*100/15</f>
        <v>80</v>
      </c>
      <c r="C25" s="42">
        <f t="shared" ref="C25:AE25" ca="1" si="10">C24*100/15</f>
        <v>93.333333333333329</v>
      </c>
      <c r="D25" s="42">
        <f t="shared" si="10"/>
        <v>93.333333333333329</v>
      </c>
      <c r="E25" s="42">
        <f t="shared" si="10"/>
        <v>86.666666666666671</v>
      </c>
      <c r="F25" s="42">
        <f t="shared" si="10"/>
        <v>60</v>
      </c>
      <c r="G25" s="42">
        <f t="shared" si="10"/>
        <v>66.666666666666671</v>
      </c>
      <c r="H25" s="42">
        <f t="shared" si="10"/>
        <v>66.666666666666671</v>
      </c>
      <c r="I25" s="42">
        <f t="shared" si="10"/>
        <v>66.666666666666671</v>
      </c>
      <c r="J25" s="42">
        <f t="shared" si="10"/>
        <v>66.666666666666671</v>
      </c>
      <c r="K25" s="42">
        <f t="shared" si="10"/>
        <v>66.666666666666671</v>
      </c>
      <c r="L25" s="42">
        <f t="shared" si="10"/>
        <v>66.666666666666671</v>
      </c>
      <c r="M25" s="42">
        <f t="shared" si="10"/>
        <v>86.666666666666671</v>
      </c>
      <c r="N25" s="42">
        <f t="shared" si="10"/>
        <v>86.666666666666671</v>
      </c>
      <c r="O25" s="42">
        <f t="shared" si="10"/>
        <v>86.666666666666671</v>
      </c>
      <c r="P25" s="42">
        <f t="shared" si="10"/>
        <v>86.666666666666671</v>
      </c>
      <c r="Q25" s="42">
        <f t="shared" si="10"/>
        <v>93.333333333333329</v>
      </c>
      <c r="R25" s="42">
        <f t="shared" si="10"/>
        <v>80</v>
      </c>
      <c r="S25" s="42">
        <f t="shared" si="10"/>
        <v>80</v>
      </c>
      <c r="T25" s="42">
        <f t="shared" si="10"/>
        <v>80</v>
      </c>
      <c r="U25" s="42">
        <f t="shared" si="10"/>
        <v>73.333333333333329</v>
      </c>
      <c r="V25" s="42">
        <f t="shared" si="10"/>
        <v>60</v>
      </c>
      <c r="W25" s="42">
        <f t="shared" si="10"/>
        <v>53.333333333333336</v>
      </c>
      <c r="X25" s="42">
        <f t="shared" si="10"/>
        <v>53.333333333333336</v>
      </c>
      <c r="Y25" s="42">
        <f t="shared" si="10"/>
        <v>60</v>
      </c>
      <c r="Z25" s="42">
        <f t="shared" si="10"/>
        <v>53.333333333333336</v>
      </c>
      <c r="AA25" s="42">
        <f t="shared" si="10"/>
        <v>80</v>
      </c>
      <c r="AB25" s="42">
        <f t="shared" si="10"/>
        <v>73.333333333333329</v>
      </c>
      <c r="AC25" s="42">
        <f t="shared" si="10"/>
        <v>73.333333333333329</v>
      </c>
      <c r="AD25" s="42">
        <f t="shared" si="10"/>
        <v>40</v>
      </c>
      <c r="AE25" s="42">
        <f t="shared" si="10"/>
        <v>66.666666666666671</v>
      </c>
      <c r="AF25" s="64"/>
      <c r="AG25" s="51" t="s">
        <v>180</v>
      </c>
      <c r="AL25" s="20" t="s">
        <v>290</v>
      </c>
      <c r="AM25" s="20"/>
      <c r="AN25" s="20"/>
      <c r="AO25" s="20"/>
      <c r="AP25" s="20"/>
      <c r="AQ25" s="20"/>
      <c r="AR25" s="20"/>
      <c r="AX25" s="58"/>
    </row>
    <row r="26" spans="1:51" x14ac:dyDescent="0.35">
      <c r="AL26" s="20" t="s">
        <v>291</v>
      </c>
      <c r="AM26" s="20"/>
      <c r="AN26" s="20"/>
      <c r="AO26" s="20"/>
      <c r="AP26" s="20"/>
      <c r="AQ26" s="20"/>
      <c r="AR26" s="20"/>
      <c r="AX26" s="58"/>
    </row>
    <row r="27" spans="1:51" x14ac:dyDescent="0.35">
      <c r="AL27" s="20" t="s">
        <v>292</v>
      </c>
      <c r="AM27" s="20"/>
      <c r="AN27" s="20"/>
      <c r="AO27" s="20"/>
      <c r="AP27" s="20"/>
      <c r="AQ27" s="20"/>
      <c r="AR27" s="20"/>
      <c r="AX27" s="58"/>
    </row>
    <row r="28" spans="1:51" x14ac:dyDescent="0.35">
      <c r="AL28" s="20"/>
      <c r="AM28" s="20"/>
      <c r="AN28" s="20"/>
      <c r="AO28" s="20"/>
      <c r="AP28" s="20"/>
      <c r="AQ28" s="20"/>
      <c r="AR28" s="20"/>
      <c r="AX28" s="58"/>
    </row>
    <row r="29" spans="1:51" x14ac:dyDescent="0.35">
      <c r="Z29" s="54" t="s">
        <v>307</v>
      </c>
      <c r="AL29" s="20"/>
      <c r="AM29" s="20"/>
      <c r="AN29" s="20"/>
      <c r="AO29" s="56"/>
      <c r="AP29" s="56"/>
      <c r="AQ29" s="20"/>
      <c r="AR29" s="20"/>
      <c r="AY29" s="59"/>
    </row>
    <row r="30" spans="1:51" x14ac:dyDescent="0.35">
      <c r="Z30" s="54" t="s">
        <v>307</v>
      </c>
      <c r="AL30" s="20"/>
      <c r="AM30" s="20"/>
      <c r="AN30" s="20"/>
      <c r="AO30" s="20"/>
      <c r="AP30" s="20"/>
      <c r="AQ30" s="20"/>
      <c r="AR30" s="20"/>
    </row>
    <row r="31" spans="1:51" x14ac:dyDescent="0.35">
      <c r="Z31" s="54" t="s">
        <v>307</v>
      </c>
      <c r="AL31" s="20"/>
      <c r="AM31" s="20"/>
      <c r="AN31" s="20"/>
      <c r="AO31" s="20"/>
      <c r="AP31" s="20"/>
      <c r="AQ31" s="20"/>
      <c r="AR31" s="20"/>
    </row>
    <row r="32" spans="1:51" x14ac:dyDescent="0.35">
      <c r="AL32" s="20"/>
      <c r="AM32" s="20"/>
      <c r="AN32" s="20"/>
      <c r="AO32" s="20"/>
      <c r="AP32" s="20"/>
      <c r="AQ32" s="20"/>
      <c r="AR32" s="20"/>
    </row>
    <row r="33" spans="38:44" x14ac:dyDescent="0.35">
      <c r="AL33" s="20"/>
      <c r="AM33" s="20"/>
      <c r="AN33" s="20"/>
      <c r="AO33" s="20"/>
      <c r="AP33" s="20"/>
      <c r="AQ33" s="20"/>
      <c r="AR33" s="20"/>
    </row>
    <row r="34" spans="38:44" x14ac:dyDescent="0.35">
      <c r="AL34" s="20"/>
      <c r="AM34" s="20"/>
      <c r="AN34" s="20"/>
      <c r="AO34" s="20"/>
      <c r="AP34" s="20"/>
      <c r="AQ34" s="20"/>
      <c r="AR34" s="20"/>
    </row>
    <row r="35" spans="38:44" x14ac:dyDescent="0.35">
      <c r="AL35" s="20"/>
      <c r="AM35" s="20"/>
      <c r="AN35" s="20"/>
      <c r="AO35" s="20"/>
      <c r="AP35" s="20"/>
      <c r="AQ35" s="20"/>
      <c r="AR35" s="20"/>
    </row>
    <row r="36" spans="38:44" x14ac:dyDescent="0.35">
      <c r="AL36" s="20"/>
      <c r="AM36" s="20"/>
      <c r="AN36" s="20"/>
      <c r="AO36" s="20"/>
      <c r="AP36" s="20"/>
      <c r="AQ36" s="20"/>
      <c r="AR36" s="20"/>
    </row>
    <row r="37" spans="38:44" x14ac:dyDescent="0.35">
      <c r="AL37" s="20"/>
      <c r="AM37" s="20"/>
      <c r="AN37" s="20"/>
      <c r="AO37" s="20"/>
      <c r="AP37" s="20"/>
      <c r="AQ37" s="20"/>
      <c r="AR37" s="20"/>
    </row>
    <row r="38" spans="38:44" x14ac:dyDescent="0.35">
      <c r="AL38" s="20"/>
      <c r="AM38" s="20"/>
      <c r="AN38" s="20"/>
      <c r="AO38" s="20"/>
      <c r="AP38" s="20"/>
      <c r="AQ38" s="20"/>
      <c r="AR38" s="20"/>
    </row>
    <row r="39" spans="38:44" x14ac:dyDescent="0.35">
      <c r="AL39" s="20"/>
      <c r="AM39" s="20"/>
      <c r="AN39" s="20"/>
      <c r="AO39" s="20"/>
      <c r="AP39" s="20"/>
      <c r="AQ39" s="20"/>
      <c r="AR39" s="20"/>
    </row>
    <row r="40" spans="38:44" x14ac:dyDescent="0.35">
      <c r="AL40" s="20"/>
      <c r="AM40" s="20"/>
      <c r="AN40" s="20"/>
      <c r="AO40" s="20"/>
      <c r="AP40" s="20"/>
      <c r="AQ40" s="20"/>
      <c r="AR40" s="20"/>
    </row>
    <row r="41" spans="38:44" x14ac:dyDescent="0.35">
      <c r="AL41" s="20"/>
      <c r="AM41" s="20"/>
      <c r="AN41" s="20"/>
      <c r="AO41" s="20"/>
      <c r="AP41" s="20"/>
      <c r="AQ41" s="20"/>
      <c r="AR41" s="20"/>
    </row>
    <row r="42" spans="38:44" x14ac:dyDescent="0.35">
      <c r="AL42" s="20"/>
      <c r="AM42" s="20"/>
      <c r="AN42" s="20"/>
      <c r="AO42" s="20"/>
      <c r="AP42" s="20"/>
      <c r="AQ42" s="20"/>
      <c r="AR42" s="20"/>
    </row>
    <row r="43" spans="38:44" x14ac:dyDescent="0.35">
      <c r="AL43" s="20"/>
      <c r="AM43" s="20"/>
      <c r="AN43" s="20"/>
      <c r="AO43" s="20"/>
      <c r="AP43" s="20"/>
      <c r="AQ43" s="20"/>
      <c r="AR43" s="20"/>
    </row>
    <row r="44" spans="38:44" ht="13.5" customHeight="1" x14ac:dyDescent="0.35">
      <c r="AL44" s="20"/>
      <c r="AM44" s="20"/>
      <c r="AN44" s="20"/>
      <c r="AO44" s="20"/>
      <c r="AP44" s="20"/>
      <c r="AQ44" s="20"/>
      <c r="AR44" s="20"/>
    </row>
    <row r="45" spans="38:44" x14ac:dyDescent="0.35">
      <c r="AL45" s="20"/>
      <c r="AM45" s="20"/>
      <c r="AN45" s="20"/>
      <c r="AO45" s="20"/>
      <c r="AP45" s="20"/>
      <c r="AQ45" s="20"/>
      <c r="AR45" s="20"/>
    </row>
    <row r="46" spans="38:44" x14ac:dyDescent="0.35">
      <c r="AL46" s="20"/>
      <c r="AM46" s="20"/>
      <c r="AN46" s="20"/>
      <c r="AO46" s="20"/>
      <c r="AP46" s="20"/>
      <c r="AQ46" s="20"/>
      <c r="AR46" s="20"/>
    </row>
    <row r="47" spans="38:44" x14ac:dyDescent="0.35">
      <c r="AL47" s="20"/>
      <c r="AM47" s="20"/>
      <c r="AN47" s="20"/>
      <c r="AO47" s="20"/>
      <c r="AP47" s="20"/>
      <c r="AQ47" s="20"/>
      <c r="AR47" s="20"/>
    </row>
    <row r="48" spans="38:44" x14ac:dyDescent="0.35">
      <c r="AL48" s="20"/>
      <c r="AM48" s="20"/>
      <c r="AN48" s="20"/>
      <c r="AO48" s="20"/>
      <c r="AP48" s="20"/>
      <c r="AQ48" s="20"/>
      <c r="AR48" s="20"/>
    </row>
    <row r="49" spans="38:44" x14ac:dyDescent="0.35">
      <c r="AL49" s="20"/>
      <c r="AM49" s="20"/>
      <c r="AN49" s="20"/>
      <c r="AO49" s="20"/>
      <c r="AP49" s="20"/>
      <c r="AQ49" s="20"/>
      <c r="AR49" s="20"/>
    </row>
    <row r="50" spans="38:44" x14ac:dyDescent="0.35">
      <c r="AL50" s="126" t="s">
        <v>268</v>
      </c>
      <c r="AM50" s="127"/>
      <c r="AN50" s="127"/>
      <c r="AO50" s="127"/>
      <c r="AP50" s="127"/>
      <c r="AQ50" s="127"/>
      <c r="AR50" s="128"/>
    </row>
    <row r="51" spans="38:44" x14ac:dyDescent="0.35">
      <c r="AL51" s="20" t="s">
        <v>208</v>
      </c>
      <c r="AM51" s="20"/>
      <c r="AN51" s="20" t="s">
        <v>271</v>
      </c>
      <c r="AO51" s="20"/>
      <c r="AP51" s="20"/>
      <c r="AQ51" s="20"/>
      <c r="AR51" s="20"/>
    </row>
    <row r="52" spans="38:44" x14ac:dyDescent="0.35">
      <c r="AL52" s="20" t="s">
        <v>9</v>
      </c>
      <c r="AM52" s="20"/>
      <c r="AN52" s="20" t="s">
        <v>271</v>
      </c>
      <c r="AO52" s="20"/>
      <c r="AP52" s="20"/>
      <c r="AQ52" s="20"/>
      <c r="AR52" s="20"/>
    </row>
    <row r="53" spans="38:44" x14ac:dyDescent="0.35">
      <c r="AL53" s="20" t="s">
        <v>270</v>
      </c>
      <c r="AM53" s="20"/>
      <c r="AN53" s="20" t="s">
        <v>271</v>
      </c>
      <c r="AO53" s="20"/>
      <c r="AP53" s="20"/>
      <c r="AQ53" s="20"/>
      <c r="AR53" s="20"/>
    </row>
    <row r="54" spans="38:44" x14ac:dyDescent="0.35">
      <c r="AL54" s="20"/>
      <c r="AM54" s="20"/>
      <c r="AN54" s="20"/>
      <c r="AO54" s="20"/>
      <c r="AP54" s="20"/>
      <c r="AQ54" s="20"/>
      <c r="AR54" s="20"/>
    </row>
  </sheetData>
  <mergeCells count="3">
    <mergeCell ref="A1:AE1"/>
    <mergeCell ref="AL50:AR50"/>
    <mergeCell ref="AL3:AR3"/>
  </mergeCells>
  <conditionalFormatting sqref="B7:B11 C10:D10">
    <cfRule type="colorScale" priority="30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7:B19">
    <cfRule type="colorScale" priority="3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20">
    <cfRule type="colorScale" priority="3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K7:K8 K6:M6 L7:P7 M8:P8 P6 S6:X6 S8:X8">
    <cfRule type="colorScale" priority="2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K17:L17 X17:Y17 X19:Y19">
    <cfRule type="colorScale" priority="28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L13:U14 X13:AG14 B13:I14 B15 C17:C20 B21:C22 B5:AE5 C7:J8 D17:J18 B6:J6 L8 D19:K21 L19:M19 C11:P11 E10:V10 L20:O20 B16:Z16 E15:AE15 K18:Y18 Z17:Z19 AA6:AE6 C9:AE9 AB7:AE7 L21:AD21 Y10:Z11 Y8:Z8 AD15:AE16 AE17 AD19:AE19 D22:AE22 AD8:AE11">
    <cfRule type="colorScale" priority="8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M17:W17">
    <cfRule type="colorScale" priority="2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N6:O6">
    <cfRule type="colorScale" priority="2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N19:O19">
    <cfRule type="colorScale" priority="2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P19:W19">
    <cfRule type="colorScale" priority="1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P20:W20">
    <cfRule type="colorScale" priority="1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Q6:R8 S7:AA7">
    <cfRule type="colorScale" priority="20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Q11:X11">
    <cfRule type="colorScale" priority="18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W10:X10">
    <cfRule type="colorScale" priority="19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X20:Y20">
    <cfRule type="colorScale" priority="1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Y6:Z6">
    <cfRule type="colorScale" priority="1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Z29:Z31">
    <cfRule type="colorScale" priority="1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A8:AC8">
    <cfRule type="colorScale" priority="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A10:AC10">
    <cfRule type="colorScale" priority="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A11:AC11">
    <cfRule type="colorScale" priority="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A16:AC16">
    <cfRule type="colorScale" priority="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A17:AC17">
    <cfRule type="colorScale" priority="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A18:AC18">
    <cfRule type="colorScale" priority="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A20:AC20">
    <cfRule type="colorScale" priority="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D17">
    <cfRule type="colorScale" priority="1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D18:AE18">
    <cfRule type="colorScale" priority="1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D20:AE20 AE21">
    <cfRule type="colorScale" priority="10">
      <colorScale>
        <cfvo type="num" val="1"/>
        <cfvo type="max"/>
        <color theme="4" tint="0.59999389629810485"/>
        <color theme="5" tint="0.59999389629810485"/>
      </colorScale>
    </cfRule>
  </conditionalFormatting>
  <pageMargins left="0.7" right="0.7" top="0.75" bottom="0.75" header="0.3" footer="0.3"/>
  <pageSetup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D3A9A-7DCF-4AFA-B99E-FCF4E7CD6222}">
  <dimension ref="A1:AZ54"/>
  <sheetViews>
    <sheetView zoomScale="86" zoomScaleNormal="86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T17" sqref="T17"/>
    </sheetView>
  </sheetViews>
  <sheetFormatPr defaultRowHeight="14.5" x14ac:dyDescent="0.35"/>
  <cols>
    <col min="1" max="1" width="30" bestFit="1" customWidth="1"/>
    <col min="2" max="4" width="8.7265625" bestFit="1" customWidth="1"/>
    <col min="5" max="5" width="8" bestFit="1" customWidth="1"/>
    <col min="6" max="29" width="7.453125" bestFit="1" customWidth="1"/>
    <col min="30" max="30" width="4.1796875" bestFit="1" customWidth="1"/>
    <col min="31" max="31" width="5.453125" bestFit="1" customWidth="1"/>
    <col min="32" max="32" width="5.453125" customWidth="1"/>
    <col min="33" max="33" width="5.26953125" customWidth="1"/>
    <col min="34" max="34" width="8.1796875" bestFit="1" customWidth="1"/>
    <col min="35" max="35" width="8" bestFit="1" customWidth="1"/>
    <col min="36" max="36" width="8.54296875" customWidth="1"/>
    <col min="37" max="37" width="0" hidden="1" customWidth="1"/>
    <col min="38" max="38" width="1.453125" hidden="1" customWidth="1"/>
    <col min="39" max="40" width="34.453125" customWidth="1"/>
    <col min="41" max="41" width="12.453125" bestFit="1" customWidth="1"/>
    <col min="42" max="42" width="9.81640625" bestFit="1" customWidth="1"/>
    <col min="43" max="43" width="10.81640625" bestFit="1" customWidth="1"/>
    <col min="44" max="44" width="10.1796875" bestFit="1" customWidth="1"/>
    <col min="45" max="45" width="9.1796875" bestFit="1" customWidth="1"/>
    <col min="46" max="46" width="0.453125" customWidth="1"/>
    <col min="52" max="52" width="15" bestFit="1" customWidth="1"/>
  </cols>
  <sheetData>
    <row r="1" spans="1:45" ht="15.5" x14ac:dyDescent="0.35">
      <c r="A1" s="120" t="s">
        <v>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65"/>
    </row>
    <row r="2" spans="1:45" ht="15" thickBot="1" x14ac:dyDescent="0.4"/>
    <row r="3" spans="1:45" ht="45.75" customHeight="1" x14ac:dyDescent="0.35">
      <c r="A3" s="1" t="s">
        <v>1</v>
      </c>
      <c r="B3" s="2">
        <f>AI4</f>
        <v>45047</v>
      </c>
      <c r="C3" s="2">
        <f t="shared" ref="C3:AF3" si="0">B3+1</f>
        <v>45048</v>
      </c>
      <c r="D3" s="2">
        <f t="shared" si="0"/>
        <v>45049</v>
      </c>
      <c r="E3" s="2">
        <f t="shared" si="0"/>
        <v>45050</v>
      </c>
      <c r="F3" s="2">
        <f t="shared" si="0"/>
        <v>45051</v>
      </c>
      <c r="G3" s="2">
        <f t="shared" si="0"/>
        <v>45052</v>
      </c>
      <c r="H3" s="2">
        <f t="shared" si="0"/>
        <v>45053</v>
      </c>
      <c r="I3" s="2">
        <f>H3+1</f>
        <v>45054</v>
      </c>
      <c r="J3" s="2">
        <f t="shared" si="0"/>
        <v>45055</v>
      </c>
      <c r="K3" s="2">
        <f t="shared" si="0"/>
        <v>45056</v>
      </c>
      <c r="L3" s="2">
        <f t="shared" si="0"/>
        <v>45057</v>
      </c>
      <c r="M3" s="2">
        <f t="shared" si="0"/>
        <v>45058</v>
      </c>
      <c r="N3" s="2">
        <f t="shared" si="0"/>
        <v>45059</v>
      </c>
      <c r="O3" s="2">
        <f t="shared" si="0"/>
        <v>45060</v>
      </c>
      <c r="P3" s="2">
        <f t="shared" si="0"/>
        <v>45061</v>
      </c>
      <c r="Q3" s="2">
        <f t="shared" si="0"/>
        <v>45062</v>
      </c>
      <c r="R3" s="2">
        <f t="shared" si="0"/>
        <v>45063</v>
      </c>
      <c r="S3" s="2">
        <f t="shared" si="0"/>
        <v>45064</v>
      </c>
      <c r="T3" s="2">
        <f t="shared" si="0"/>
        <v>45065</v>
      </c>
      <c r="U3" s="2">
        <f t="shared" si="0"/>
        <v>45066</v>
      </c>
      <c r="V3" s="2">
        <f t="shared" si="0"/>
        <v>45067</v>
      </c>
      <c r="W3" s="2">
        <f t="shared" si="0"/>
        <v>45068</v>
      </c>
      <c r="X3" s="2">
        <f t="shared" si="0"/>
        <v>45069</v>
      </c>
      <c r="Y3" s="2">
        <f t="shared" si="0"/>
        <v>45070</v>
      </c>
      <c r="Z3" s="2">
        <f t="shared" si="0"/>
        <v>45071</v>
      </c>
      <c r="AA3" s="2">
        <f t="shared" si="0"/>
        <v>45072</v>
      </c>
      <c r="AB3" s="2">
        <f t="shared" si="0"/>
        <v>45073</v>
      </c>
      <c r="AC3" s="2">
        <f t="shared" si="0"/>
        <v>45074</v>
      </c>
      <c r="AD3" s="2">
        <f t="shared" si="0"/>
        <v>45075</v>
      </c>
      <c r="AE3" s="2">
        <f t="shared" si="0"/>
        <v>45076</v>
      </c>
      <c r="AF3" s="2">
        <f t="shared" si="0"/>
        <v>45077</v>
      </c>
      <c r="AG3" s="36"/>
      <c r="AH3" s="36"/>
      <c r="AM3" s="129" t="s">
        <v>267</v>
      </c>
      <c r="AN3" s="129"/>
      <c r="AO3" s="129"/>
      <c r="AP3" s="129"/>
      <c r="AQ3" s="129"/>
      <c r="AR3" s="129"/>
      <c r="AS3" s="129"/>
    </row>
    <row r="4" spans="1:45" ht="31.5" customHeight="1" x14ac:dyDescent="0.35">
      <c r="A4" s="3" t="s">
        <v>2</v>
      </c>
      <c r="B4" s="4">
        <f t="shared" ref="B4:AF4" si="1">B3</f>
        <v>45047</v>
      </c>
      <c r="C4" s="4">
        <f t="shared" si="1"/>
        <v>45048</v>
      </c>
      <c r="D4" s="4">
        <f t="shared" si="1"/>
        <v>45049</v>
      </c>
      <c r="E4" s="4">
        <f t="shared" si="1"/>
        <v>45050</v>
      </c>
      <c r="F4" s="4">
        <f t="shared" si="1"/>
        <v>45051</v>
      </c>
      <c r="G4" s="4">
        <f t="shared" si="1"/>
        <v>45052</v>
      </c>
      <c r="H4" s="4">
        <f t="shared" si="1"/>
        <v>45053</v>
      </c>
      <c r="I4" s="4">
        <f t="shared" si="1"/>
        <v>45054</v>
      </c>
      <c r="J4" s="4">
        <f t="shared" si="1"/>
        <v>45055</v>
      </c>
      <c r="K4" s="4">
        <f t="shared" si="1"/>
        <v>45056</v>
      </c>
      <c r="L4" s="4">
        <f t="shared" si="1"/>
        <v>45057</v>
      </c>
      <c r="M4" s="4">
        <f t="shared" si="1"/>
        <v>45058</v>
      </c>
      <c r="N4" s="4">
        <f t="shared" si="1"/>
        <v>45059</v>
      </c>
      <c r="O4" s="4">
        <f t="shared" si="1"/>
        <v>45060</v>
      </c>
      <c r="P4" s="4">
        <f t="shared" si="1"/>
        <v>45061</v>
      </c>
      <c r="Q4" s="4">
        <f t="shared" si="1"/>
        <v>45062</v>
      </c>
      <c r="R4" s="4">
        <f t="shared" si="1"/>
        <v>45063</v>
      </c>
      <c r="S4" s="4">
        <f t="shared" si="1"/>
        <v>45064</v>
      </c>
      <c r="T4" s="4">
        <f t="shared" si="1"/>
        <v>45065</v>
      </c>
      <c r="U4" s="4">
        <f t="shared" si="1"/>
        <v>45066</v>
      </c>
      <c r="V4" s="4">
        <f t="shared" si="1"/>
        <v>45067</v>
      </c>
      <c r="W4" s="4">
        <f t="shared" si="1"/>
        <v>45068</v>
      </c>
      <c r="X4" s="4">
        <f t="shared" si="1"/>
        <v>45069</v>
      </c>
      <c r="Y4" s="4">
        <f t="shared" si="1"/>
        <v>45070</v>
      </c>
      <c r="Z4" s="4">
        <f t="shared" si="1"/>
        <v>45071</v>
      </c>
      <c r="AA4" s="4">
        <f t="shared" si="1"/>
        <v>45072</v>
      </c>
      <c r="AB4" s="4">
        <f t="shared" si="1"/>
        <v>45073</v>
      </c>
      <c r="AC4" s="4">
        <f t="shared" si="1"/>
        <v>45074</v>
      </c>
      <c r="AD4" s="4">
        <f t="shared" si="1"/>
        <v>45075</v>
      </c>
      <c r="AE4" s="4">
        <f t="shared" si="1"/>
        <v>45076</v>
      </c>
      <c r="AF4" s="4">
        <f t="shared" si="1"/>
        <v>45077</v>
      </c>
      <c r="AG4" s="39" t="s">
        <v>174</v>
      </c>
      <c r="AH4" s="40" t="s">
        <v>175</v>
      </c>
      <c r="AI4" s="5">
        <v>45047</v>
      </c>
      <c r="AJ4" s="6">
        <f>EOMONTH(AI4,0)</f>
        <v>45077</v>
      </c>
      <c r="AM4" s="19" t="s">
        <v>54</v>
      </c>
      <c r="AN4" s="19"/>
      <c r="AO4" s="19" t="s">
        <v>269</v>
      </c>
      <c r="AP4" s="19" t="s">
        <v>55</v>
      </c>
      <c r="AQ4" s="19" t="s">
        <v>56</v>
      </c>
      <c r="AR4" s="19" t="s">
        <v>251</v>
      </c>
      <c r="AS4" s="19" t="s">
        <v>57</v>
      </c>
    </row>
    <row r="5" spans="1:45" x14ac:dyDescent="0.35">
      <c r="A5" s="7" t="s">
        <v>3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8"/>
      <c r="T5" s="8" t="s">
        <v>326</v>
      </c>
      <c r="U5" s="8" t="s">
        <v>326</v>
      </c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41">
        <f>COUNTA(B5:AF5)</f>
        <v>2</v>
      </c>
      <c r="AH5" s="42">
        <f>AG5*100/31</f>
        <v>6.4516129032258061</v>
      </c>
      <c r="AM5" s="20"/>
      <c r="AN5" s="20"/>
      <c r="AO5" s="60" t="s">
        <v>272</v>
      </c>
      <c r="AP5" s="56"/>
      <c r="AQ5" s="56"/>
      <c r="AR5" s="56"/>
      <c r="AS5" s="20"/>
    </row>
    <row r="6" spans="1:45" x14ac:dyDescent="0.35">
      <c r="A6" s="7" t="s">
        <v>7</v>
      </c>
      <c r="B6" s="55"/>
      <c r="C6" s="55"/>
      <c r="D6" s="55"/>
      <c r="E6" s="55"/>
      <c r="F6" s="55"/>
      <c r="G6" s="55"/>
      <c r="H6" s="55"/>
      <c r="I6" s="55"/>
      <c r="J6" s="55"/>
      <c r="K6" s="8"/>
      <c r="L6" s="8"/>
      <c r="M6" s="8" t="s">
        <v>246</v>
      </c>
      <c r="N6" s="8" t="s">
        <v>246</v>
      </c>
      <c r="O6" s="8" t="s">
        <v>246</v>
      </c>
      <c r="P6" s="8"/>
      <c r="Q6" s="8"/>
      <c r="R6" s="55"/>
      <c r="S6" s="61"/>
      <c r="T6" s="61" t="s">
        <v>48</v>
      </c>
      <c r="U6" s="61" t="s">
        <v>48</v>
      </c>
      <c r="V6" s="61" t="s">
        <v>329</v>
      </c>
      <c r="W6" s="61"/>
      <c r="X6" s="8"/>
      <c r="Y6" s="8" t="s">
        <v>330</v>
      </c>
      <c r="Z6" s="8" t="s">
        <v>330</v>
      </c>
      <c r="AA6" s="8"/>
      <c r="AB6" s="8"/>
      <c r="AC6" s="8"/>
      <c r="AD6" s="8" t="s">
        <v>337</v>
      </c>
      <c r="AE6" s="8" t="s">
        <v>337</v>
      </c>
      <c r="AF6" s="8"/>
      <c r="AG6" s="41">
        <f t="shared" ref="AG6:AG11" si="2">COUNTA(B6:AF6)</f>
        <v>10</v>
      </c>
      <c r="AH6" s="42">
        <f>AG6*100/31</f>
        <v>32.258064516129032</v>
      </c>
      <c r="AM6" s="20" t="s">
        <v>274</v>
      </c>
      <c r="AN6" s="20"/>
      <c r="AO6" s="20"/>
      <c r="AP6" s="56"/>
      <c r="AQ6" s="56"/>
      <c r="AR6" s="56"/>
      <c r="AS6" s="20"/>
    </row>
    <row r="7" spans="1:45" x14ac:dyDescent="0.35">
      <c r="A7" s="7" t="s">
        <v>11</v>
      </c>
      <c r="B7" s="55"/>
      <c r="C7" s="55"/>
      <c r="D7" s="55"/>
      <c r="E7" s="55"/>
      <c r="F7" s="55"/>
      <c r="G7" s="55"/>
      <c r="H7" s="55"/>
      <c r="I7" s="55"/>
      <c r="J7" s="55"/>
      <c r="K7" s="8"/>
      <c r="L7" s="8" t="s">
        <v>213</v>
      </c>
      <c r="M7" s="8" t="s">
        <v>124</v>
      </c>
      <c r="N7" s="8" t="s">
        <v>124</v>
      </c>
      <c r="O7" s="8" t="s">
        <v>124</v>
      </c>
      <c r="P7" s="8" t="s">
        <v>124</v>
      </c>
      <c r="Q7" s="8" t="s">
        <v>124</v>
      </c>
      <c r="R7" s="55"/>
      <c r="S7" s="55" t="s">
        <v>22</v>
      </c>
      <c r="T7" s="55" t="s">
        <v>22</v>
      </c>
      <c r="U7" s="55" t="s">
        <v>22</v>
      </c>
      <c r="V7" s="55" t="s">
        <v>22</v>
      </c>
      <c r="W7" s="55" t="s">
        <v>22</v>
      </c>
      <c r="X7" s="55" t="s">
        <v>22</v>
      </c>
      <c r="Y7" s="55" t="s">
        <v>22</v>
      </c>
      <c r="Z7" s="55" t="s">
        <v>22</v>
      </c>
      <c r="AA7" s="55" t="s">
        <v>22</v>
      </c>
      <c r="AB7" s="55" t="s">
        <v>22</v>
      </c>
      <c r="AC7" s="55" t="s">
        <v>22</v>
      </c>
      <c r="AD7" s="55" t="s">
        <v>22</v>
      </c>
      <c r="AE7" s="55" t="s">
        <v>22</v>
      </c>
      <c r="AF7" s="55" t="s">
        <v>22</v>
      </c>
      <c r="AG7" s="41">
        <f t="shared" si="2"/>
        <v>20</v>
      </c>
      <c r="AH7" s="42">
        <f t="shared" ref="AH7:AH11" si="3">AG7*100/31</f>
        <v>64.516129032258064</v>
      </c>
      <c r="AM7" s="20"/>
      <c r="AN7" s="20"/>
      <c r="AO7" s="57"/>
      <c r="AP7" s="56"/>
      <c r="AQ7" s="56"/>
      <c r="AR7" s="56"/>
      <c r="AS7" s="20"/>
    </row>
    <row r="8" spans="1:45" ht="15" customHeight="1" x14ac:dyDescent="0.35">
      <c r="A8" s="7" t="s">
        <v>15</v>
      </c>
      <c r="B8" s="55"/>
      <c r="C8" s="55"/>
      <c r="D8" s="55"/>
      <c r="E8" s="55"/>
      <c r="F8" s="55"/>
      <c r="G8" s="55"/>
      <c r="H8" s="55" t="s">
        <v>22</v>
      </c>
      <c r="I8" s="55" t="s">
        <v>22</v>
      </c>
      <c r="J8" s="55" t="s">
        <v>22</v>
      </c>
      <c r="K8" s="55" t="s">
        <v>22</v>
      </c>
      <c r="L8" s="55" t="s">
        <v>22</v>
      </c>
      <c r="M8" s="55" t="s">
        <v>22</v>
      </c>
      <c r="N8" s="55" t="s">
        <v>22</v>
      </c>
      <c r="O8" s="55" t="s">
        <v>22</v>
      </c>
      <c r="P8" s="55" t="s">
        <v>22</v>
      </c>
      <c r="Q8" s="55" t="s">
        <v>22</v>
      </c>
      <c r="R8" s="55" t="s">
        <v>22</v>
      </c>
      <c r="S8" s="8"/>
      <c r="T8" s="8" t="s">
        <v>5</v>
      </c>
      <c r="U8" s="8" t="s">
        <v>5</v>
      </c>
      <c r="V8" s="61" t="s">
        <v>329</v>
      </c>
      <c r="W8" s="8"/>
      <c r="X8" s="8"/>
      <c r="Y8" s="8" t="s">
        <v>331</v>
      </c>
      <c r="Z8" s="54"/>
      <c r="AA8" s="54"/>
      <c r="AB8" s="54"/>
      <c r="AC8" s="54"/>
      <c r="AD8" s="8" t="s">
        <v>338</v>
      </c>
      <c r="AE8" s="8" t="s">
        <v>338</v>
      </c>
      <c r="AF8" s="8"/>
      <c r="AG8" s="41">
        <f t="shared" si="2"/>
        <v>17</v>
      </c>
      <c r="AH8" s="42">
        <f t="shared" si="3"/>
        <v>54.838709677419352</v>
      </c>
      <c r="AK8" s="9"/>
      <c r="AM8" s="20" t="s">
        <v>275</v>
      </c>
      <c r="AN8" s="20"/>
      <c r="AO8" s="57"/>
      <c r="AP8" s="20"/>
      <c r="AQ8" s="21"/>
      <c r="AR8" s="21"/>
      <c r="AS8" s="20"/>
    </row>
    <row r="9" spans="1:45" ht="15.75" customHeight="1" x14ac:dyDescent="0.35">
      <c r="A9" s="7" t="s">
        <v>18</v>
      </c>
      <c r="B9" s="55" t="s">
        <v>281</v>
      </c>
      <c r="C9" s="55" t="s">
        <v>281</v>
      </c>
      <c r="D9" s="55" t="s">
        <v>281</v>
      </c>
      <c r="E9" s="55" t="s">
        <v>281</v>
      </c>
      <c r="F9" s="55" t="s">
        <v>281</v>
      </c>
      <c r="G9" s="55" t="s">
        <v>281</v>
      </c>
      <c r="H9" s="55" t="s">
        <v>281</v>
      </c>
      <c r="I9" s="55" t="s">
        <v>281</v>
      </c>
      <c r="J9" s="55"/>
      <c r="K9" s="55"/>
      <c r="L9" s="55"/>
      <c r="M9" s="55"/>
      <c r="N9" s="55"/>
      <c r="O9" s="55" t="s">
        <v>324</v>
      </c>
      <c r="P9" s="55" t="s">
        <v>324</v>
      </c>
      <c r="Q9" s="55" t="s">
        <v>324</v>
      </c>
      <c r="R9" s="55"/>
      <c r="S9" s="55"/>
      <c r="T9" s="55" t="s">
        <v>327</v>
      </c>
      <c r="U9" s="55" t="s">
        <v>327</v>
      </c>
      <c r="V9" s="55"/>
      <c r="W9" s="55"/>
      <c r="X9" s="55"/>
      <c r="Y9" s="55" t="s">
        <v>332</v>
      </c>
      <c r="Z9" s="55" t="s">
        <v>332</v>
      </c>
      <c r="AA9" s="55"/>
      <c r="AB9" s="55"/>
      <c r="AC9" s="55"/>
      <c r="AD9" s="55" t="s">
        <v>270</v>
      </c>
      <c r="AE9" s="55" t="s">
        <v>270</v>
      </c>
      <c r="AF9" s="55"/>
      <c r="AG9" s="41">
        <f t="shared" si="2"/>
        <v>17</v>
      </c>
      <c r="AH9" s="42">
        <f t="shared" si="3"/>
        <v>54.838709677419352</v>
      </c>
      <c r="AM9" s="20" t="s">
        <v>9</v>
      </c>
      <c r="AN9" s="20"/>
      <c r="AO9" s="57"/>
      <c r="AP9" s="20"/>
      <c r="AQ9" s="21"/>
      <c r="AR9" s="21"/>
      <c r="AS9" s="20"/>
    </row>
    <row r="10" spans="1:45" ht="15.75" customHeight="1" x14ac:dyDescent="0.35">
      <c r="A10" s="7" t="s">
        <v>20</v>
      </c>
      <c r="B10" s="8" t="s">
        <v>80</v>
      </c>
      <c r="C10" s="8"/>
      <c r="D10" s="55"/>
      <c r="E10" s="55"/>
      <c r="F10" s="55" t="s">
        <v>315</v>
      </c>
      <c r="G10" s="55" t="s">
        <v>315</v>
      </c>
      <c r="H10" s="55" t="s">
        <v>315</v>
      </c>
      <c r="I10" s="55" t="s">
        <v>315</v>
      </c>
      <c r="J10" s="55" t="s">
        <v>315</v>
      </c>
      <c r="K10" s="55" t="s">
        <v>315</v>
      </c>
      <c r="L10" s="55" t="s">
        <v>315</v>
      </c>
      <c r="M10" s="55" t="s">
        <v>315</v>
      </c>
      <c r="N10" s="55" t="s">
        <v>315</v>
      </c>
      <c r="O10" s="55" t="s">
        <v>315</v>
      </c>
      <c r="P10" s="55" t="s">
        <v>315</v>
      </c>
      <c r="Q10" s="55" t="s">
        <v>315</v>
      </c>
      <c r="R10" s="55" t="s">
        <v>315</v>
      </c>
      <c r="S10" s="55" t="s">
        <v>315</v>
      </c>
      <c r="T10" s="55" t="s">
        <v>315</v>
      </c>
      <c r="U10" s="55" t="s">
        <v>315</v>
      </c>
      <c r="V10" s="55" t="s">
        <v>315</v>
      </c>
      <c r="W10" s="55" t="s">
        <v>315</v>
      </c>
      <c r="X10" s="55" t="s">
        <v>315</v>
      </c>
      <c r="Y10" s="55" t="s">
        <v>315</v>
      </c>
      <c r="Z10" s="55" t="s">
        <v>315</v>
      </c>
      <c r="AA10" s="55" t="s">
        <v>315</v>
      </c>
      <c r="AB10" s="55" t="s">
        <v>315</v>
      </c>
      <c r="AC10" s="55"/>
      <c r="AD10" s="55" t="s">
        <v>339</v>
      </c>
      <c r="AE10" s="55" t="s">
        <v>339</v>
      </c>
      <c r="AF10" s="8" t="s">
        <v>303</v>
      </c>
      <c r="AG10" s="41">
        <f t="shared" si="2"/>
        <v>27</v>
      </c>
      <c r="AH10" s="42">
        <f t="shared" si="3"/>
        <v>87.096774193548384</v>
      </c>
      <c r="AM10" s="20"/>
      <c r="AN10" s="20"/>
      <c r="AO10" s="57"/>
      <c r="AP10" s="20"/>
      <c r="AQ10" s="20"/>
      <c r="AR10" s="20"/>
      <c r="AS10" s="20"/>
    </row>
    <row r="11" spans="1:45" ht="15.75" customHeight="1" thickBot="1" x14ac:dyDescent="0.4">
      <c r="A11" s="7" t="s">
        <v>24</v>
      </c>
      <c r="B11" s="55"/>
      <c r="C11" s="55" t="s">
        <v>311</v>
      </c>
      <c r="D11" s="55"/>
      <c r="E11" s="8"/>
      <c r="F11" s="8"/>
      <c r="G11" s="8"/>
      <c r="H11" s="8" t="s">
        <v>316</v>
      </c>
      <c r="I11" s="8" t="s">
        <v>317</v>
      </c>
      <c r="J11" s="8"/>
      <c r="K11" s="8"/>
      <c r="L11" s="8"/>
      <c r="M11" s="8" t="s">
        <v>322</v>
      </c>
      <c r="N11" s="8" t="s">
        <v>322</v>
      </c>
      <c r="O11" s="8" t="s">
        <v>323</v>
      </c>
      <c r="P11" s="8" t="s">
        <v>10</v>
      </c>
      <c r="Q11" s="8" t="s">
        <v>10</v>
      </c>
      <c r="R11" s="8"/>
      <c r="S11" s="55"/>
      <c r="T11" s="55" t="s">
        <v>328</v>
      </c>
      <c r="U11" s="55"/>
      <c r="V11" s="61" t="s">
        <v>329</v>
      </c>
      <c r="W11" s="8"/>
      <c r="X11" s="8"/>
      <c r="Y11" s="8" t="s">
        <v>333</v>
      </c>
      <c r="Z11" s="55" t="s">
        <v>44</v>
      </c>
      <c r="AA11" s="55"/>
      <c r="AB11" s="55"/>
      <c r="AC11" s="55"/>
      <c r="AD11" s="8"/>
      <c r="AE11" s="8"/>
      <c r="AF11" s="8" t="s">
        <v>342</v>
      </c>
      <c r="AG11" s="41">
        <f t="shared" si="2"/>
        <v>13</v>
      </c>
      <c r="AH11" s="42">
        <f t="shared" si="3"/>
        <v>41.935483870967744</v>
      </c>
      <c r="AM11" s="20" t="s">
        <v>277</v>
      </c>
      <c r="AN11" s="20"/>
      <c r="AO11" s="20"/>
      <c r="AP11" s="20"/>
      <c r="AQ11" s="20"/>
      <c r="AR11" s="20"/>
      <c r="AS11" s="20"/>
    </row>
    <row r="12" spans="1:45" ht="15" customHeight="1" x14ac:dyDescent="0.35">
      <c r="A12" s="45" t="s">
        <v>176</v>
      </c>
      <c r="B12" s="46">
        <f>COUNTA(B5:B11)</f>
        <v>2</v>
      </c>
      <c r="C12" s="46">
        <f>COUNTA(C5:C11)</f>
        <v>2</v>
      </c>
      <c r="D12" s="46">
        <f t="shared" ref="D12:AF12" si="4">COUNTA(D5:D11)</f>
        <v>1</v>
      </c>
      <c r="E12" s="46">
        <f t="shared" si="4"/>
        <v>1</v>
      </c>
      <c r="F12" s="46">
        <f t="shared" si="4"/>
        <v>2</v>
      </c>
      <c r="G12" s="46">
        <f t="shared" si="4"/>
        <v>2</v>
      </c>
      <c r="H12" s="46">
        <f t="shared" si="4"/>
        <v>4</v>
      </c>
      <c r="I12" s="46">
        <f t="shared" si="4"/>
        <v>4</v>
      </c>
      <c r="J12" s="46">
        <f t="shared" si="4"/>
        <v>2</v>
      </c>
      <c r="K12" s="46">
        <f t="shared" si="4"/>
        <v>2</v>
      </c>
      <c r="L12" s="46">
        <f t="shared" si="4"/>
        <v>3</v>
      </c>
      <c r="M12" s="46">
        <f t="shared" si="4"/>
        <v>5</v>
      </c>
      <c r="N12" s="46">
        <f t="shared" si="4"/>
        <v>5</v>
      </c>
      <c r="O12" s="46">
        <f t="shared" si="4"/>
        <v>6</v>
      </c>
      <c r="P12" s="46">
        <f t="shared" si="4"/>
        <v>5</v>
      </c>
      <c r="Q12" s="46">
        <f t="shared" si="4"/>
        <v>5</v>
      </c>
      <c r="R12" s="46">
        <f t="shared" si="4"/>
        <v>2</v>
      </c>
      <c r="S12" s="46">
        <f t="shared" si="4"/>
        <v>2</v>
      </c>
      <c r="T12" s="46">
        <f t="shared" si="4"/>
        <v>7</v>
      </c>
      <c r="U12" s="46">
        <f t="shared" si="4"/>
        <v>6</v>
      </c>
      <c r="V12" s="46">
        <f t="shared" si="4"/>
        <v>5</v>
      </c>
      <c r="W12" s="46">
        <f t="shared" si="4"/>
        <v>2</v>
      </c>
      <c r="X12" s="46">
        <f t="shared" si="4"/>
        <v>2</v>
      </c>
      <c r="Y12" s="46">
        <f t="shared" si="4"/>
        <v>6</v>
      </c>
      <c r="Z12" s="46">
        <f t="shared" si="4"/>
        <v>5</v>
      </c>
      <c r="AA12" s="46">
        <f t="shared" si="4"/>
        <v>2</v>
      </c>
      <c r="AB12" s="46">
        <f t="shared" si="4"/>
        <v>2</v>
      </c>
      <c r="AC12" s="46">
        <f t="shared" si="4"/>
        <v>1</v>
      </c>
      <c r="AD12" s="46">
        <f t="shared" si="4"/>
        <v>5</v>
      </c>
      <c r="AE12" s="46">
        <f t="shared" si="4"/>
        <v>5</v>
      </c>
      <c r="AF12" s="46">
        <f t="shared" si="4"/>
        <v>3</v>
      </c>
      <c r="AG12" s="43">
        <f t="shared" ref="AG12" si="5">SUM(AG5:AG11)</f>
        <v>106</v>
      </c>
      <c r="AH12" s="44">
        <f>AVERAGE(AH5:AH11)</f>
        <v>48.847926267281103</v>
      </c>
      <c r="AI12" s="29"/>
      <c r="AM12" s="20" t="s">
        <v>278</v>
      </c>
      <c r="AN12" s="20"/>
      <c r="AO12" s="20"/>
      <c r="AP12" s="20"/>
      <c r="AQ12" s="20"/>
      <c r="AR12" s="20"/>
      <c r="AS12" s="20"/>
    </row>
    <row r="13" spans="1:45" ht="85.5" hidden="1" x14ac:dyDescent="0.35">
      <c r="A13" s="13" t="s">
        <v>28</v>
      </c>
      <c r="B13" s="14"/>
      <c r="C13" s="14"/>
      <c r="D13" s="14"/>
      <c r="E13" s="14"/>
      <c r="F13" s="14"/>
      <c r="G13" s="14"/>
      <c r="H13" s="14"/>
      <c r="I13" s="35"/>
      <c r="J13" s="34"/>
      <c r="K13" s="15"/>
      <c r="L13" s="14"/>
      <c r="M13" s="14"/>
      <c r="N13" s="25"/>
      <c r="O13" s="25"/>
      <c r="P13" s="25"/>
      <c r="Q13" s="14"/>
      <c r="R13" s="14"/>
      <c r="S13" s="14"/>
      <c r="T13" s="14"/>
      <c r="U13" s="14"/>
      <c r="V13" s="15"/>
      <c r="W13" s="15"/>
      <c r="X13" s="14"/>
      <c r="Y13" s="14"/>
      <c r="Z13" s="14"/>
      <c r="AA13" s="14"/>
      <c r="AB13" s="14"/>
      <c r="AC13" s="14"/>
      <c r="AD13" s="14"/>
      <c r="AE13" s="14"/>
      <c r="AF13" s="37"/>
      <c r="AG13" s="37"/>
      <c r="AH13" s="37"/>
      <c r="AM13" s="20"/>
      <c r="AN13" s="20"/>
      <c r="AO13" s="20"/>
      <c r="AP13" s="20"/>
      <c r="AQ13" s="20"/>
      <c r="AR13" s="20"/>
      <c r="AS13" s="20"/>
    </row>
    <row r="14" spans="1:45" ht="28.5" hidden="1" x14ac:dyDescent="0.35">
      <c r="A14" s="16" t="s">
        <v>29</v>
      </c>
      <c r="B14" s="14"/>
      <c r="C14" s="14"/>
      <c r="D14" s="14"/>
      <c r="E14" s="14"/>
      <c r="F14" s="14"/>
      <c r="G14" s="14"/>
      <c r="H14" s="14"/>
      <c r="I14" s="35"/>
      <c r="J14" s="34"/>
      <c r="K14" s="15"/>
      <c r="L14" s="14"/>
      <c r="M14" s="14"/>
      <c r="N14" s="25"/>
      <c r="O14" s="25"/>
      <c r="P14" s="25"/>
      <c r="Q14" s="14"/>
      <c r="R14" s="14"/>
      <c r="S14" s="14"/>
      <c r="T14" s="14"/>
      <c r="U14" s="14"/>
      <c r="V14" s="15"/>
      <c r="W14" s="15"/>
      <c r="X14" s="14"/>
      <c r="Y14" s="14"/>
      <c r="Z14" s="14"/>
      <c r="AA14" s="14"/>
      <c r="AB14" s="14"/>
      <c r="AC14" s="14"/>
      <c r="AD14" s="14"/>
      <c r="AE14" s="14"/>
      <c r="AF14" s="37"/>
      <c r="AG14" s="37"/>
      <c r="AH14" s="37"/>
      <c r="AM14" s="20"/>
      <c r="AN14" s="20"/>
      <c r="AO14" s="20"/>
      <c r="AP14" s="20"/>
      <c r="AQ14" s="20"/>
      <c r="AR14" s="20"/>
      <c r="AS14" s="20"/>
    </row>
    <row r="15" spans="1:45" x14ac:dyDescent="0.35">
      <c r="A15" s="7" t="s">
        <v>30</v>
      </c>
      <c r="B15" s="8" t="s">
        <v>299</v>
      </c>
      <c r="C15" s="8" t="s">
        <v>299</v>
      </c>
      <c r="D15" s="8" t="s">
        <v>299</v>
      </c>
      <c r="E15" s="8"/>
      <c r="F15" s="8"/>
      <c r="G15" s="8"/>
      <c r="H15" s="8"/>
      <c r="I15" s="8"/>
      <c r="J15" s="8"/>
      <c r="K15" s="8"/>
      <c r="L15" s="8"/>
      <c r="M15" s="8" t="s">
        <v>165</v>
      </c>
      <c r="N15" s="8" t="s">
        <v>165</v>
      </c>
      <c r="O15" s="8" t="s">
        <v>165</v>
      </c>
      <c r="P15" s="8" t="s">
        <v>325</v>
      </c>
      <c r="Q15" s="8" t="s">
        <v>325</v>
      </c>
      <c r="R15" s="8"/>
      <c r="S15" s="55"/>
      <c r="T15" s="8" t="s">
        <v>80</v>
      </c>
      <c r="U15" s="8" t="s">
        <v>80</v>
      </c>
      <c r="V15" s="61" t="s">
        <v>329</v>
      </c>
      <c r="W15" s="8"/>
      <c r="X15" s="8"/>
      <c r="Y15" s="8" t="s">
        <v>324</v>
      </c>
      <c r="Z15" s="8" t="s">
        <v>85</v>
      </c>
      <c r="AA15" s="8" t="s">
        <v>86</v>
      </c>
      <c r="AB15" s="8" t="s">
        <v>86</v>
      </c>
      <c r="AC15" s="8" t="s">
        <v>86</v>
      </c>
      <c r="AD15" s="8" t="s">
        <v>86</v>
      </c>
      <c r="AE15" s="8" t="s">
        <v>86</v>
      </c>
      <c r="AF15" s="8" t="s">
        <v>86</v>
      </c>
      <c r="AG15" s="41">
        <f>COUNTA(B15:AF15)</f>
        <v>19</v>
      </c>
      <c r="AH15" s="42">
        <f>AG15*100/31</f>
        <v>61.29032258064516</v>
      </c>
      <c r="AM15" s="20" t="s">
        <v>116</v>
      </c>
      <c r="AN15" s="20"/>
      <c r="AO15" s="20"/>
      <c r="AP15" s="20"/>
      <c r="AQ15" s="20"/>
      <c r="AR15" s="20"/>
      <c r="AS15" s="20"/>
    </row>
    <row r="16" spans="1:45" x14ac:dyDescent="0.35">
      <c r="A16" s="7" t="s">
        <v>35</v>
      </c>
      <c r="B16" s="55" t="s">
        <v>97</v>
      </c>
      <c r="C16" s="55" t="s">
        <v>97</v>
      </c>
      <c r="D16" s="55" t="s">
        <v>97</v>
      </c>
      <c r="E16" s="55"/>
      <c r="F16" s="55" t="s">
        <v>207</v>
      </c>
      <c r="G16" s="55" t="s">
        <v>207</v>
      </c>
      <c r="H16" s="55" t="s">
        <v>207</v>
      </c>
      <c r="I16" s="55" t="s">
        <v>318</v>
      </c>
      <c r="J16" s="55" t="s">
        <v>319</v>
      </c>
      <c r="K16" s="55" t="s">
        <v>319</v>
      </c>
      <c r="L16" s="55" t="s">
        <v>319</v>
      </c>
      <c r="M16" s="55" t="s">
        <v>319</v>
      </c>
      <c r="N16" s="55" t="s">
        <v>319</v>
      </c>
      <c r="O16" s="55"/>
      <c r="P16" s="55" t="s">
        <v>214</v>
      </c>
      <c r="Q16" s="55" t="s">
        <v>214</v>
      </c>
      <c r="R16" s="55"/>
      <c r="S16" s="55" t="s">
        <v>80</v>
      </c>
      <c r="T16" s="55" t="s">
        <v>80</v>
      </c>
      <c r="U16" s="55" t="s">
        <v>80</v>
      </c>
      <c r="V16" s="55"/>
      <c r="W16" s="55"/>
      <c r="X16" s="55"/>
      <c r="Y16" s="55" t="s">
        <v>44</v>
      </c>
      <c r="Z16" s="55" t="s">
        <v>336</v>
      </c>
      <c r="AA16" s="55"/>
      <c r="AB16" s="55" t="s">
        <v>246</v>
      </c>
      <c r="AC16" s="55" t="s">
        <v>246</v>
      </c>
      <c r="AD16" s="55" t="s">
        <v>246</v>
      </c>
      <c r="AE16" s="55"/>
      <c r="AF16" s="54"/>
      <c r="AG16" s="41">
        <f t="shared" ref="AG16:AG22" si="6">COUNTA(B16:AF16)</f>
        <v>22</v>
      </c>
      <c r="AH16" s="42">
        <f>AG16*100/31</f>
        <v>70.967741935483872</v>
      </c>
      <c r="AM16" s="20" t="s">
        <v>173</v>
      </c>
      <c r="AN16" s="20"/>
      <c r="AO16" s="20"/>
      <c r="AP16" s="56"/>
      <c r="AQ16" s="56"/>
      <c r="AR16" s="20"/>
      <c r="AS16" s="20"/>
    </row>
    <row r="17" spans="1:52" x14ac:dyDescent="0.35">
      <c r="A17" s="7" t="s">
        <v>39</v>
      </c>
      <c r="B17" s="55" t="s">
        <v>17</v>
      </c>
      <c r="C17" s="55" t="s">
        <v>17</v>
      </c>
      <c r="D17" s="55" t="s">
        <v>17</v>
      </c>
      <c r="E17" s="55"/>
      <c r="F17" s="55"/>
      <c r="G17" s="55"/>
      <c r="H17" s="55"/>
      <c r="I17" s="55" t="s">
        <v>207</v>
      </c>
      <c r="J17" s="55" t="s">
        <v>207</v>
      </c>
      <c r="K17" s="55" t="s">
        <v>207</v>
      </c>
      <c r="L17" s="55" t="s">
        <v>207</v>
      </c>
      <c r="M17" s="55" t="s">
        <v>207</v>
      </c>
      <c r="N17" s="55" t="s">
        <v>207</v>
      </c>
      <c r="O17" s="55" t="s">
        <v>207</v>
      </c>
      <c r="P17" s="55" t="s">
        <v>207</v>
      </c>
      <c r="Q17" s="55" t="s">
        <v>207</v>
      </c>
      <c r="R17" s="55" t="s">
        <v>207</v>
      </c>
      <c r="S17" s="55" t="s">
        <v>207</v>
      </c>
      <c r="T17" s="55" t="s">
        <v>207</v>
      </c>
      <c r="U17" s="55" t="s">
        <v>207</v>
      </c>
      <c r="V17" s="55" t="s">
        <v>207</v>
      </c>
      <c r="W17" s="55"/>
      <c r="X17" s="55"/>
      <c r="Y17" s="55" t="s">
        <v>334</v>
      </c>
      <c r="Z17" s="55" t="s">
        <v>336</v>
      </c>
      <c r="AA17" s="55"/>
      <c r="AB17" s="55"/>
      <c r="AC17" s="55"/>
      <c r="AD17" s="54"/>
      <c r="AE17" s="54" t="s">
        <v>340</v>
      </c>
      <c r="AF17" s="54" t="s">
        <v>340</v>
      </c>
      <c r="AG17" s="41">
        <f t="shared" si="6"/>
        <v>21</v>
      </c>
      <c r="AH17" s="42">
        <f t="shared" ref="AH17:AH22" si="7">AG17*100/31</f>
        <v>67.741935483870961</v>
      </c>
      <c r="AM17" s="20" t="s">
        <v>279</v>
      </c>
      <c r="AN17" s="20"/>
      <c r="AO17" s="20"/>
      <c r="AP17" s="20"/>
      <c r="AQ17" s="20"/>
      <c r="AR17" s="20"/>
      <c r="AS17" s="20"/>
      <c r="AY17" s="58"/>
    </row>
    <row r="18" spans="1:52" x14ac:dyDescent="0.35">
      <c r="A18" s="7" t="s">
        <v>42</v>
      </c>
      <c r="B18" s="55" t="s">
        <v>312</v>
      </c>
      <c r="C18" s="55" t="s">
        <v>311</v>
      </c>
      <c r="D18" s="55"/>
      <c r="E18" s="55" t="s">
        <v>313</v>
      </c>
      <c r="F18" s="55" t="s">
        <v>313</v>
      </c>
      <c r="G18" s="55" t="s">
        <v>313</v>
      </c>
      <c r="H18" s="55" t="s">
        <v>313</v>
      </c>
      <c r="I18" s="55" t="s">
        <v>313</v>
      </c>
      <c r="J18" s="55" t="s">
        <v>313</v>
      </c>
      <c r="K18" s="55" t="s">
        <v>313</v>
      </c>
      <c r="L18" s="55" t="s">
        <v>313</v>
      </c>
      <c r="M18" s="55" t="s">
        <v>313</v>
      </c>
      <c r="N18" s="55" t="s">
        <v>313</v>
      </c>
      <c r="O18" s="55" t="s">
        <v>313</v>
      </c>
      <c r="P18" s="55" t="s">
        <v>313</v>
      </c>
      <c r="Q18" s="55" t="s">
        <v>313</v>
      </c>
      <c r="R18" s="55" t="s">
        <v>313</v>
      </c>
      <c r="S18" s="55" t="s">
        <v>313</v>
      </c>
      <c r="T18" s="55" t="s">
        <v>313</v>
      </c>
      <c r="U18" s="55" t="s">
        <v>313</v>
      </c>
      <c r="V18" s="55" t="s">
        <v>313</v>
      </c>
      <c r="W18" s="55" t="s">
        <v>313</v>
      </c>
      <c r="X18" s="55" t="s">
        <v>313</v>
      </c>
      <c r="Y18" s="55" t="s">
        <v>313</v>
      </c>
      <c r="Z18" s="55" t="s">
        <v>313</v>
      </c>
      <c r="AA18" s="55" t="s">
        <v>313</v>
      </c>
      <c r="AB18" s="55" t="s">
        <v>313</v>
      </c>
      <c r="AC18" s="55" t="s">
        <v>313</v>
      </c>
      <c r="AD18" s="55" t="s">
        <v>313</v>
      </c>
      <c r="AE18" s="55" t="s">
        <v>313</v>
      </c>
      <c r="AF18" s="55" t="s">
        <v>313</v>
      </c>
      <c r="AG18" s="41">
        <f t="shared" si="6"/>
        <v>30</v>
      </c>
      <c r="AH18" s="42">
        <f t="shared" si="7"/>
        <v>96.774193548387103</v>
      </c>
      <c r="AM18" s="20"/>
      <c r="AN18" s="20"/>
      <c r="AO18" s="20"/>
      <c r="AP18" s="20"/>
      <c r="AQ18" s="20"/>
      <c r="AR18" s="20"/>
      <c r="AS18" s="20"/>
      <c r="AY18" s="58"/>
    </row>
    <row r="19" spans="1:52" x14ac:dyDescent="0.35">
      <c r="A19" s="7" t="s">
        <v>45</v>
      </c>
      <c r="B19" s="54"/>
      <c r="C19" s="55" t="s">
        <v>311</v>
      </c>
      <c r="D19" s="55"/>
      <c r="E19" s="55" t="s">
        <v>314</v>
      </c>
      <c r="F19" s="55" t="s">
        <v>314</v>
      </c>
      <c r="G19" s="55" t="s">
        <v>314</v>
      </c>
      <c r="H19" s="55" t="s">
        <v>314</v>
      </c>
      <c r="I19" s="55"/>
      <c r="J19" s="55" t="s">
        <v>25</v>
      </c>
      <c r="K19" s="55" t="s">
        <v>320</v>
      </c>
      <c r="L19" s="55" t="s">
        <v>320</v>
      </c>
      <c r="M19" s="55" t="s">
        <v>320</v>
      </c>
      <c r="N19" s="55" t="s">
        <v>320</v>
      </c>
      <c r="O19" s="55" t="s">
        <v>320</v>
      </c>
      <c r="P19" s="55" t="s">
        <v>320</v>
      </c>
      <c r="Q19" s="55" t="s">
        <v>320</v>
      </c>
      <c r="R19" s="55" t="s">
        <v>320</v>
      </c>
      <c r="S19" s="55" t="s">
        <v>320</v>
      </c>
      <c r="T19" s="55" t="s">
        <v>320</v>
      </c>
      <c r="U19" s="55" t="s">
        <v>320</v>
      </c>
      <c r="V19" s="55" t="s">
        <v>320</v>
      </c>
      <c r="W19" s="55" t="s">
        <v>207</v>
      </c>
      <c r="X19" s="55" t="s">
        <v>207</v>
      </c>
      <c r="Y19" s="55" t="s">
        <v>207</v>
      </c>
      <c r="Z19" s="55" t="s">
        <v>207</v>
      </c>
      <c r="AA19" s="55" t="s">
        <v>207</v>
      </c>
      <c r="AB19" s="55" t="s">
        <v>207</v>
      </c>
      <c r="AC19" s="55" t="s">
        <v>207</v>
      </c>
      <c r="AD19" s="55" t="s">
        <v>207</v>
      </c>
      <c r="AE19" s="55" t="s">
        <v>207</v>
      </c>
      <c r="AF19" s="55" t="s">
        <v>207</v>
      </c>
      <c r="AG19" s="41">
        <f t="shared" si="6"/>
        <v>28</v>
      </c>
      <c r="AH19" s="42">
        <f t="shared" si="7"/>
        <v>90.322580645161295</v>
      </c>
      <c r="AM19" s="20" t="s">
        <v>284</v>
      </c>
      <c r="AN19" s="20"/>
      <c r="AO19" s="20"/>
      <c r="AP19" s="20"/>
      <c r="AQ19" s="20"/>
      <c r="AR19" s="20"/>
      <c r="AS19" s="20"/>
      <c r="AY19" s="58"/>
    </row>
    <row r="20" spans="1:52" x14ac:dyDescent="0.35">
      <c r="A20" s="7" t="s">
        <v>47</v>
      </c>
      <c r="B20" s="55" t="s">
        <v>173</v>
      </c>
      <c r="C20" s="55" t="s">
        <v>173</v>
      </c>
      <c r="D20" s="55" t="s">
        <v>173</v>
      </c>
      <c r="E20" s="55" t="s">
        <v>173</v>
      </c>
      <c r="F20" s="55" t="s">
        <v>173</v>
      </c>
      <c r="G20" s="55" t="s">
        <v>173</v>
      </c>
      <c r="H20" s="55" t="s">
        <v>173</v>
      </c>
      <c r="I20" s="55" t="s">
        <v>173</v>
      </c>
      <c r="J20" s="55" t="s">
        <v>173</v>
      </c>
      <c r="K20" s="55" t="s">
        <v>173</v>
      </c>
      <c r="L20" s="55" t="s">
        <v>173</v>
      </c>
      <c r="M20" s="55"/>
      <c r="N20" s="54"/>
      <c r="O20" s="8" t="s">
        <v>323</v>
      </c>
      <c r="P20" s="8" t="s">
        <v>323</v>
      </c>
      <c r="Q20" s="8" t="s">
        <v>323</v>
      </c>
      <c r="R20" s="8" t="s">
        <v>323</v>
      </c>
      <c r="S20" s="8" t="s">
        <v>323</v>
      </c>
      <c r="T20" s="8" t="s">
        <v>323</v>
      </c>
      <c r="U20" s="8" t="s">
        <v>323</v>
      </c>
      <c r="V20" s="8" t="s">
        <v>323</v>
      </c>
      <c r="W20" s="8" t="s">
        <v>323</v>
      </c>
      <c r="X20" s="8" t="s">
        <v>323</v>
      </c>
      <c r="Y20" s="8" t="s">
        <v>323</v>
      </c>
      <c r="Z20" s="8" t="s">
        <v>323</v>
      </c>
      <c r="AA20" s="8" t="s">
        <v>323</v>
      </c>
      <c r="AB20" s="55"/>
      <c r="AC20" s="55"/>
      <c r="AD20" s="55" t="s">
        <v>337</v>
      </c>
      <c r="AE20" s="55" t="s">
        <v>337</v>
      </c>
      <c r="AF20" s="54"/>
      <c r="AG20" s="41">
        <f t="shared" si="6"/>
        <v>26</v>
      </c>
      <c r="AH20" s="42">
        <f t="shared" si="7"/>
        <v>83.870967741935488</v>
      </c>
      <c r="AM20" s="20" t="s">
        <v>285</v>
      </c>
      <c r="AN20" s="20"/>
      <c r="AO20" s="20"/>
      <c r="AP20" s="20"/>
      <c r="AQ20" s="20"/>
      <c r="AR20" s="20"/>
      <c r="AS20" s="20"/>
      <c r="AY20" s="58"/>
    </row>
    <row r="21" spans="1:52" x14ac:dyDescent="0.35">
      <c r="A21" s="7" t="s">
        <v>50</v>
      </c>
      <c r="B21" s="55" t="s">
        <v>173</v>
      </c>
      <c r="C21" s="55" t="s">
        <v>173</v>
      </c>
      <c r="D21" s="55" t="s">
        <v>173</v>
      </c>
      <c r="E21" s="55" t="s">
        <v>173</v>
      </c>
      <c r="F21" s="55" t="s">
        <v>173</v>
      </c>
      <c r="G21" s="55" t="s">
        <v>173</v>
      </c>
      <c r="H21" s="55" t="s">
        <v>173</v>
      </c>
      <c r="I21" s="55" t="s">
        <v>173</v>
      </c>
      <c r="J21" s="55" t="s">
        <v>173</v>
      </c>
      <c r="K21" s="55" t="s">
        <v>321</v>
      </c>
      <c r="L21" s="55" t="s">
        <v>321</v>
      </c>
      <c r="M21" s="55" t="s">
        <v>321</v>
      </c>
      <c r="N21" s="55" t="s">
        <v>321</v>
      </c>
      <c r="O21" s="55" t="s">
        <v>321</v>
      </c>
      <c r="P21" s="55" t="s">
        <v>321</v>
      </c>
      <c r="Q21" s="55" t="s">
        <v>321</v>
      </c>
      <c r="R21" s="55"/>
      <c r="S21" s="55"/>
      <c r="T21" s="55" t="s">
        <v>257</v>
      </c>
      <c r="U21" s="55" t="s">
        <v>257</v>
      </c>
      <c r="V21" s="55"/>
      <c r="W21" s="55"/>
      <c r="X21" s="55"/>
      <c r="Y21" s="55" t="s">
        <v>335</v>
      </c>
      <c r="Z21" s="55" t="s">
        <v>335</v>
      </c>
      <c r="AA21" s="55"/>
      <c r="AB21" s="55"/>
      <c r="AC21" s="55"/>
      <c r="AD21" s="55" t="s">
        <v>335</v>
      </c>
      <c r="AE21" s="55" t="s">
        <v>335</v>
      </c>
      <c r="AF21" s="54"/>
      <c r="AG21" s="41">
        <f t="shared" si="6"/>
        <v>22</v>
      </c>
      <c r="AH21" s="42">
        <f t="shared" si="7"/>
        <v>70.967741935483872</v>
      </c>
      <c r="AM21" s="20" t="s">
        <v>286</v>
      </c>
      <c r="AN21" s="20"/>
      <c r="AO21" s="20"/>
      <c r="AP21" s="56"/>
      <c r="AQ21" s="56"/>
      <c r="AR21" s="20"/>
      <c r="AS21" s="20"/>
      <c r="AY21" s="58"/>
    </row>
    <row r="22" spans="1:52" ht="15" thickBot="1" x14ac:dyDescent="0.4">
      <c r="A22" s="7" t="s">
        <v>51</v>
      </c>
      <c r="B22" s="8" t="s">
        <v>299</v>
      </c>
      <c r="C22" s="8" t="s">
        <v>299</v>
      </c>
      <c r="D22" s="8" t="s">
        <v>299</v>
      </c>
      <c r="E22" s="8"/>
      <c r="F22" s="8"/>
      <c r="G22" s="8"/>
      <c r="H22" s="8"/>
      <c r="I22" s="8"/>
      <c r="J22" s="8"/>
      <c r="K22" s="8"/>
      <c r="L22" s="8"/>
      <c r="M22" s="8" t="s">
        <v>323</v>
      </c>
      <c r="N22" s="8" t="s">
        <v>323</v>
      </c>
      <c r="O22" s="8" t="s">
        <v>323</v>
      </c>
      <c r="P22" s="8" t="s">
        <v>323</v>
      </c>
      <c r="Q22" s="8" t="s">
        <v>323</v>
      </c>
      <c r="R22" s="8" t="s">
        <v>323</v>
      </c>
      <c r="S22" s="8" t="s">
        <v>323</v>
      </c>
      <c r="T22" s="8" t="s">
        <v>323</v>
      </c>
      <c r="U22" s="8" t="s">
        <v>323</v>
      </c>
      <c r="V22" s="8" t="s">
        <v>323</v>
      </c>
      <c r="W22" s="8" t="s">
        <v>323</v>
      </c>
      <c r="X22" s="8" t="s">
        <v>323</v>
      </c>
      <c r="Y22" s="8" t="s">
        <v>323</v>
      </c>
      <c r="Z22" s="8" t="s">
        <v>323</v>
      </c>
      <c r="AA22" s="8" t="s">
        <v>323</v>
      </c>
      <c r="AB22" s="8"/>
      <c r="AC22" s="8"/>
      <c r="AD22" s="54"/>
      <c r="AE22" s="54" t="s">
        <v>341</v>
      </c>
      <c r="AF22" s="54" t="s">
        <v>341</v>
      </c>
      <c r="AG22" s="41">
        <f t="shared" si="6"/>
        <v>20</v>
      </c>
      <c r="AH22" s="42">
        <f t="shared" si="7"/>
        <v>64.516129032258064</v>
      </c>
      <c r="AM22" s="20" t="s">
        <v>287</v>
      </c>
      <c r="AN22" s="20"/>
      <c r="AO22" s="20"/>
      <c r="AP22" s="20"/>
      <c r="AQ22" s="20"/>
      <c r="AR22" s="20"/>
      <c r="AS22" s="20"/>
      <c r="AY22" s="58"/>
    </row>
    <row r="23" spans="1:52" ht="15.5" x14ac:dyDescent="0.35">
      <c r="A23" s="45" t="s">
        <v>176</v>
      </c>
      <c r="B23" s="46">
        <f>COUNTA(B15:B22)</f>
        <v>7</v>
      </c>
      <c r="C23" s="46">
        <f>COUNTA(C16:C22)</f>
        <v>7</v>
      </c>
      <c r="D23" s="46">
        <f>COUNTA(D16:D22)</f>
        <v>5</v>
      </c>
      <c r="E23" s="46">
        <f t="shared" ref="E23:AF23" si="8">COUNTA(E15:E22)</f>
        <v>4</v>
      </c>
      <c r="F23" s="46">
        <f t="shared" si="8"/>
        <v>5</v>
      </c>
      <c r="G23" s="46">
        <f t="shared" si="8"/>
        <v>5</v>
      </c>
      <c r="H23" s="46">
        <f t="shared" si="8"/>
        <v>5</v>
      </c>
      <c r="I23" s="46">
        <f t="shared" si="8"/>
        <v>5</v>
      </c>
      <c r="J23" s="46">
        <f t="shared" si="8"/>
        <v>6</v>
      </c>
      <c r="K23" s="46">
        <f t="shared" si="8"/>
        <v>6</v>
      </c>
      <c r="L23" s="46">
        <f t="shared" si="8"/>
        <v>6</v>
      </c>
      <c r="M23" s="46">
        <f t="shared" si="8"/>
        <v>7</v>
      </c>
      <c r="N23" s="46">
        <f t="shared" si="8"/>
        <v>7</v>
      </c>
      <c r="O23" s="46">
        <f t="shared" si="8"/>
        <v>7</v>
      </c>
      <c r="P23" s="46">
        <f t="shared" si="8"/>
        <v>8</v>
      </c>
      <c r="Q23" s="46">
        <f t="shared" si="8"/>
        <v>8</v>
      </c>
      <c r="R23" s="46">
        <f t="shared" si="8"/>
        <v>5</v>
      </c>
      <c r="S23" s="46">
        <f t="shared" si="8"/>
        <v>6</v>
      </c>
      <c r="T23" s="46">
        <f t="shared" si="8"/>
        <v>8</v>
      </c>
      <c r="U23" s="46">
        <f t="shared" si="8"/>
        <v>8</v>
      </c>
      <c r="V23" s="46">
        <f t="shared" si="8"/>
        <v>6</v>
      </c>
      <c r="W23" s="46">
        <f t="shared" si="8"/>
        <v>4</v>
      </c>
      <c r="X23" s="46">
        <f t="shared" si="8"/>
        <v>4</v>
      </c>
      <c r="Y23" s="46">
        <f t="shared" si="8"/>
        <v>8</v>
      </c>
      <c r="Z23" s="46">
        <f t="shared" si="8"/>
        <v>8</v>
      </c>
      <c r="AA23" s="46">
        <f t="shared" si="8"/>
        <v>5</v>
      </c>
      <c r="AB23" s="46">
        <f t="shared" si="8"/>
        <v>4</v>
      </c>
      <c r="AC23" s="46">
        <f t="shared" si="8"/>
        <v>4</v>
      </c>
      <c r="AD23" s="46">
        <f t="shared" si="8"/>
        <v>6</v>
      </c>
      <c r="AE23" s="46">
        <f t="shared" si="8"/>
        <v>7</v>
      </c>
      <c r="AF23" s="46">
        <f t="shared" si="8"/>
        <v>5</v>
      </c>
      <c r="AG23" s="43">
        <f>SUM(AG15:AG22)</f>
        <v>188</v>
      </c>
      <c r="AH23" s="38"/>
      <c r="AM23" s="20" t="s">
        <v>288</v>
      </c>
      <c r="AN23" s="20"/>
      <c r="AO23" s="20"/>
      <c r="AP23" s="20"/>
      <c r="AQ23" s="20"/>
      <c r="AR23" s="20"/>
      <c r="AS23" s="20"/>
      <c r="AY23" s="58"/>
    </row>
    <row r="24" spans="1:52" ht="15.5" x14ac:dyDescent="0.35">
      <c r="A24" s="47" t="s">
        <v>178</v>
      </c>
      <c r="B24" s="52">
        <f>B12+B23</f>
        <v>9</v>
      </c>
      <c r="C24" s="52">
        <f t="shared" ref="C24:AF24" si="9">C12+C23</f>
        <v>9</v>
      </c>
      <c r="D24" s="52">
        <f t="shared" si="9"/>
        <v>6</v>
      </c>
      <c r="E24" s="52">
        <f t="shared" si="9"/>
        <v>5</v>
      </c>
      <c r="F24" s="52">
        <f t="shared" si="9"/>
        <v>7</v>
      </c>
      <c r="G24" s="52">
        <f t="shared" si="9"/>
        <v>7</v>
      </c>
      <c r="H24" s="52">
        <f t="shared" si="9"/>
        <v>9</v>
      </c>
      <c r="I24" s="52">
        <f t="shared" si="9"/>
        <v>9</v>
      </c>
      <c r="J24" s="52">
        <f t="shared" si="9"/>
        <v>8</v>
      </c>
      <c r="K24" s="52">
        <f t="shared" si="9"/>
        <v>8</v>
      </c>
      <c r="L24" s="52">
        <f t="shared" si="9"/>
        <v>9</v>
      </c>
      <c r="M24" s="52">
        <f t="shared" si="9"/>
        <v>12</v>
      </c>
      <c r="N24" s="52">
        <f t="shared" si="9"/>
        <v>12</v>
      </c>
      <c r="O24" s="52">
        <f t="shared" si="9"/>
        <v>13</v>
      </c>
      <c r="P24" s="52">
        <f t="shared" si="9"/>
        <v>13</v>
      </c>
      <c r="Q24" s="52">
        <f t="shared" si="9"/>
        <v>13</v>
      </c>
      <c r="R24" s="52">
        <f t="shared" si="9"/>
        <v>7</v>
      </c>
      <c r="S24" s="52">
        <f t="shared" si="9"/>
        <v>8</v>
      </c>
      <c r="T24" s="52">
        <f t="shared" si="9"/>
        <v>15</v>
      </c>
      <c r="U24" s="52">
        <f t="shared" si="9"/>
        <v>14</v>
      </c>
      <c r="V24" s="52">
        <f t="shared" si="9"/>
        <v>11</v>
      </c>
      <c r="W24" s="52">
        <f t="shared" si="9"/>
        <v>6</v>
      </c>
      <c r="X24" s="52">
        <f t="shared" si="9"/>
        <v>6</v>
      </c>
      <c r="Y24" s="52">
        <f t="shared" si="9"/>
        <v>14</v>
      </c>
      <c r="Z24" s="52">
        <f t="shared" si="9"/>
        <v>13</v>
      </c>
      <c r="AA24" s="52">
        <f t="shared" si="9"/>
        <v>7</v>
      </c>
      <c r="AB24" s="52">
        <f t="shared" si="9"/>
        <v>6</v>
      </c>
      <c r="AC24" s="52">
        <f t="shared" si="9"/>
        <v>5</v>
      </c>
      <c r="AD24" s="52">
        <f t="shared" si="9"/>
        <v>11</v>
      </c>
      <c r="AE24" s="52">
        <f t="shared" si="9"/>
        <v>12</v>
      </c>
      <c r="AF24" s="52">
        <f t="shared" si="9"/>
        <v>8</v>
      </c>
      <c r="AG24" s="49">
        <f>+AG12+AG23</f>
        <v>294</v>
      </c>
      <c r="AM24" s="20" t="s">
        <v>289</v>
      </c>
      <c r="AN24" s="20"/>
      <c r="AO24" s="20"/>
      <c r="AP24" s="20"/>
      <c r="AQ24" s="20"/>
      <c r="AR24" s="20"/>
      <c r="AS24" s="20"/>
      <c r="AY24" s="58"/>
    </row>
    <row r="25" spans="1:52" ht="15.5" x14ac:dyDescent="0.35">
      <c r="A25" s="48" t="s">
        <v>179</v>
      </c>
      <c r="B25" s="42">
        <f>B24*100/15</f>
        <v>60</v>
      </c>
      <c r="C25" s="42">
        <f t="shared" ref="C25:AF25" si="10">C24*100/15</f>
        <v>60</v>
      </c>
      <c r="D25" s="42">
        <f t="shared" si="10"/>
        <v>40</v>
      </c>
      <c r="E25" s="42">
        <f t="shared" si="10"/>
        <v>33.333333333333336</v>
      </c>
      <c r="F25" s="42">
        <f t="shared" si="10"/>
        <v>46.666666666666664</v>
      </c>
      <c r="G25" s="42">
        <f t="shared" si="10"/>
        <v>46.666666666666664</v>
      </c>
      <c r="H25" s="42">
        <f t="shared" si="10"/>
        <v>60</v>
      </c>
      <c r="I25" s="42">
        <f t="shared" si="10"/>
        <v>60</v>
      </c>
      <c r="J25" s="42">
        <f t="shared" si="10"/>
        <v>53.333333333333336</v>
      </c>
      <c r="K25" s="42">
        <f t="shared" si="10"/>
        <v>53.333333333333336</v>
      </c>
      <c r="L25" s="42">
        <f t="shared" si="10"/>
        <v>60</v>
      </c>
      <c r="M25" s="42">
        <f t="shared" si="10"/>
        <v>80</v>
      </c>
      <c r="N25" s="42">
        <f t="shared" si="10"/>
        <v>80</v>
      </c>
      <c r="O25" s="42">
        <f t="shared" si="10"/>
        <v>86.666666666666671</v>
      </c>
      <c r="P25" s="42">
        <f t="shared" si="10"/>
        <v>86.666666666666671</v>
      </c>
      <c r="Q25" s="42">
        <f t="shared" si="10"/>
        <v>86.666666666666671</v>
      </c>
      <c r="R25" s="42">
        <f t="shared" si="10"/>
        <v>46.666666666666664</v>
      </c>
      <c r="S25" s="42">
        <f t="shared" si="10"/>
        <v>53.333333333333336</v>
      </c>
      <c r="T25" s="42">
        <f t="shared" si="10"/>
        <v>100</v>
      </c>
      <c r="U25" s="42">
        <f t="shared" si="10"/>
        <v>93.333333333333329</v>
      </c>
      <c r="V25" s="42">
        <f t="shared" si="10"/>
        <v>73.333333333333329</v>
      </c>
      <c r="W25" s="42">
        <f t="shared" si="10"/>
        <v>40</v>
      </c>
      <c r="X25" s="42">
        <f t="shared" si="10"/>
        <v>40</v>
      </c>
      <c r="Y25" s="42">
        <f t="shared" si="10"/>
        <v>93.333333333333329</v>
      </c>
      <c r="Z25" s="42">
        <f t="shared" si="10"/>
        <v>86.666666666666671</v>
      </c>
      <c r="AA25" s="42">
        <f t="shared" si="10"/>
        <v>46.666666666666664</v>
      </c>
      <c r="AB25" s="42">
        <f t="shared" si="10"/>
        <v>40</v>
      </c>
      <c r="AC25" s="42">
        <f t="shared" si="10"/>
        <v>33.333333333333336</v>
      </c>
      <c r="AD25" s="42">
        <f t="shared" si="10"/>
        <v>73.333333333333329</v>
      </c>
      <c r="AE25" s="42">
        <f t="shared" si="10"/>
        <v>80</v>
      </c>
      <c r="AF25" s="42">
        <f t="shared" si="10"/>
        <v>53.333333333333336</v>
      </c>
      <c r="AG25" s="50">
        <f>AVERAGE(B25:AF25)</f>
        <v>62.79569892473117</v>
      </c>
      <c r="AH25" s="51" t="s">
        <v>180</v>
      </c>
      <c r="AM25" s="20" t="s">
        <v>290</v>
      </c>
      <c r="AN25" s="20"/>
      <c r="AO25" s="20"/>
      <c r="AP25" s="20"/>
      <c r="AQ25" s="20"/>
      <c r="AR25" s="20"/>
      <c r="AS25" s="20"/>
      <c r="AY25" s="58"/>
    </row>
    <row r="26" spans="1:52" x14ac:dyDescent="0.35">
      <c r="AM26" s="20" t="s">
        <v>291</v>
      </c>
      <c r="AN26" s="20"/>
      <c r="AO26" s="20"/>
      <c r="AP26" s="20"/>
      <c r="AQ26" s="20"/>
      <c r="AR26" s="20"/>
      <c r="AS26" s="20"/>
      <c r="AY26" s="58"/>
    </row>
    <row r="27" spans="1:52" x14ac:dyDescent="0.35">
      <c r="AM27" s="20" t="s">
        <v>292</v>
      </c>
      <c r="AN27" s="20"/>
      <c r="AO27" s="20"/>
      <c r="AP27" s="20"/>
      <c r="AQ27" s="20"/>
      <c r="AR27" s="20"/>
      <c r="AS27" s="20"/>
      <c r="AY27" s="58"/>
    </row>
    <row r="28" spans="1:52" x14ac:dyDescent="0.35">
      <c r="AM28" s="20"/>
      <c r="AN28" s="20"/>
      <c r="AO28" s="20"/>
      <c r="AP28" s="20"/>
      <c r="AQ28" s="20"/>
      <c r="AR28" s="20"/>
      <c r="AS28" s="20"/>
      <c r="AY28" s="58"/>
    </row>
    <row r="29" spans="1:52" x14ac:dyDescent="0.35">
      <c r="AM29" s="20"/>
      <c r="AN29" s="20"/>
      <c r="AO29" s="20"/>
      <c r="AP29" s="56"/>
      <c r="AQ29" s="56"/>
      <c r="AR29" s="20"/>
      <c r="AS29" s="20"/>
      <c r="AZ29" s="59"/>
    </row>
    <row r="30" spans="1:52" x14ac:dyDescent="0.35">
      <c r="AM30" s="20"/>
      <c r="AN30" s="20"/>
      <c r="AO30" s="20"/>
      <c r="AP30" s="20"/>
      <c r="AQ30" s="20"/>
      <c r="AR30" s="20"/>
      <c r="AS30" s="20"/>
    </row>
    <row r="31" spans="1:52" x14ac:dyDescent="0.35">
      <c r="AM31" s="20"/>
      <c r="AN31" s="20"/>
      <c r="AO31" s="20"/>
      <c r="AP31" s="20"/>
      <c r="AQ31" s="20"/>
      <c r="AR31" s="20"/>
      <c r="AS31" s="20"/>
    </row>
    <row r="32" spans="1:52" x14ac:dyDescent="0.35">
      <c r="AM32" s="20"/>
      <c r="AN32" s="20"/>
      <c r="AO32" s="20"/>
      <c r="AP32" s="20"/>
      <c r="AQ32" s="20"/>
      <c r="AR32" s="20"/>
      <c r="AS32" s="20"/>
    </row>
    <row r="33" spans="39:45" x14ac:dyDescent="0.35">
      <c r="AM33" s="20"/>
      <c r="AN33" s="20"/>
      <c r="AO33" s="20"/>
      <c r="AP33" s="20"/>
      <c r="AQ33" s="20"/>
      <c r="AR33" s="20"/>
      <c r="AS33" s="20"/>
    </row>
    <row r="34" spans="39:45" x14ac:dyDescent="0.35">
      <c r="AM34" s="20"/>
      <c r="AN34" s="20"/>
      <c r="AO34" s="20"/>
      <c r="AP34" s="20"/>
      <c r="AQ34" s="20"/>
      <c r="AR34" s="20"/>
      <c r="AS34" s="20"/>
    </row>
    <row r="35" spans="39:45" x14ac:dyDescent="0.35">
      <c r="AM35" s="20"/>
      <c r="AN35" s="20"/>
      <c r="AO35" s="20"/>
      <c r="AP35" s="20"/>
      <c r="AQ35" s="20"/>
      <c r="AR35" s="20"/>
      <c r="AS35" s="20"/>
    </row>
    <row r="36" spans="39:45" x14ac:dyDescent="0.35">
      <c r="AM36" s="20"/>
      <c r="AN36" s="20"/>
      <c r="AO36" s="20"/>
      <c r="AP36" s="20"/>
      <c r="AQ36" s="20"/>
      <c r="AR36" s="20"/>
      <c r="AS36" s="20"/>
    </row>
    <row r="37" spans="39:45" x14ac:dyDescent="0.35">
      <c r="AM37" s="20"/>
      <c r="AN37" s="20"/>
      <c r="AO37" s="20"/>
      <c r="AP37" s="20"/>
      <c r="AQ37" s="20"/>
      <c r="AR37" s="20"/>
      <c r="AS37" s="20"/>
    </row>
    <row r="38" spans="39:45" x14ac:dyDescent="0.35">
      <c r="AM38" s="20"/>
      <c r="AN38" s="20"/>
      <c r="AO38" s="20"/>
      <c r="AP38" s="20"/>
      <c r="AQ38" s="20"/>
      <c r="AR38" s="20"/>
      <c r="AS38" s="20"/>
    </row>
    <row r="39" spans="39:45" x14ac:dyDescent="0.35">
      <c r="AM39" s="20"/>
      <c r="AN39" s="20"/>
      <c r="AO39" s="20"/>
      <c r="AP39" s="20"/>
      <c r="AQ39" s="20"/>
      <c r="AR39" s="20"/>
      <c r="AS39" s="20"/>
    </row>
    <row r="40" spans="39:45" x14ac:dyDescent="0.35">
      <c r="AM40" s="20"/>
      <c r="AN40" s="20"/>
      <c r="AO40" s="20"/>
      <c r="AP40" s="20"/>
      <c r="AQ40" s="20"/>
      <c r="AR40" s="20"/>
      <c r="AS40" s="20"/>
    </row>
    <row r="41" spans="39:45" x14ac:dyDescent="0.35">
      <c r="AM41" s="20"/>
      <c r="AN41" s="20"/>
      <c r="AO41" s="20"/>
      <c r="AP41" s="20"/>
      <c r="AQ41" s="20"/>
      <c r="AR41" s="20"/>
      <c r="AS41" s="20"/>
    </row>
    <row r="42" spans="39:45" x14ac:dyDescent="0.35">
      <c r="AM42" s="20"/>
      <c r="AN42" s="20"/>
      <c r="AO42" s="20"/>
      <c r="AP42" s="20"/>
      <c r="AQ42" s="20"/>
      <c r="AR42" s="20"/>
      <c r="AS42" s="20"/>
    </row>
    <row r="43" spans="39:45" x14ac:dyDescent="0.35">
      <c r="AM43" s="20"/>
      <c r="AN43" s="20"/>
      <c r="AO43" s="20"/>
      <c r="AP43" s="20"/>
      <c r="AQ43" s="20"/>
      <c r="AR43" s="20"/>
      <c r="AS43" s="20"/>
    </row>
    <row r="44" spans="39:45" ht="13.5" customHeight="1" x14ac:dyDescent="0.35">
      <c r="AM44" s="20"/>
      <c r="AN44" s="20"/>
      <c r="AO44" s="20"/>
      <c r="AP44" s="20"/>
      <c r="AQ44" s="20"/>
      <c r="AR44" s="20"/>
      <c r="AS44" s="20"/>
    </row>
    <row r="45" spans="39:45" x14ac:dyDescent="0.35">
      <c r="AM45" s="20"/>
      <c r="AN45" s="20"/>
      <c r="AO45" s="20"/>
      <c r="AP45" s="20"/>
      <c r="AQ45" s="20"/>
      <c r="AR45" s="20"/>
      <c r="AS45" s="20"/>
    </row>
    <row r="46" spans="39:45" x14ac:dyDescent="0.35">
      <c r="AM46" s="20"/>
      <c r="AN46" s="20"/>
      <c r="AO46" s="20"/>
      <c r="AP46" s="20"/>
      <c r="AQ46" s="20"/>
      <c r="AR46" s="20"/>
      <c r="AS46" s="20"/>
    </row>
    <row r="47" spans="39:45" x14ac:dyDescent="0.35">
      <c r="AM47" s="20"/>
      <c r="AN47" s="20"/>
      <c r="AO47" s="20"/>
      <c r="AP47" s="20"/>
      <c r="AQ47" s="20"/>
      <c r="AR47" s="20"/>
      <c r="AS47" s="20"/>
    </row>
    <row r="48" spans="39:45" x14ac:dyDescent="0.35">
      <c r="AM48" s="20"/>
      <c r="AN48" s="20"/>
      <c r="AO48" s="20"/>
      <c r="AP48" s="20"/>
      <c r="AQ48" s="20"/>
      <c r="AR48" s="20"/>
      <c r="AS48" s="20"/>
    </row>
    <row r="49" spans="39:45" x14ac:dyDescent="0.35">
      <c r="AM49" s="20"/>
      <c r="AN49" s="20"/>
      <c r="AO49" s="20"/>
      <c r="AP49" s="20"/>
      <c r="AQ49" s="20"/>
      <c r="AR49" s="20"/>
      <c r="AS49" s="20"/>
    </row>
    <row r="50" spans="39:45" x14ac:dyDescent="0.35">
      <c r="AM50" s="126" t="s">
        <v>268</v>
      </c>
      <c r="AN50" s="127"/>
      <c r="AO50" s="127"/>
      <c r="AP50" s="127"/>
      <c r="AQ50" s="127"/>
      <c r="AR50" s="127"/>
      <c r="AS50" s="128"/>
    </row>
    <row r="51" spans="39:45" x14ac:dyDescent="0.35">
      <c r="AM51" s="20" t="s">
        <v>208</v>
      </c>
      <c r="AN51" s="20"/>
      <c r="AO51" s="20" t="s">
        <v>271</v>
      </c>
      <c r="AP51" s="20"/>
      <c r="AQ51" s="20"/>
      <c r="AR51" s="20"/>
      <c r="AS51" s="20"/>
    </row>
    <row r="52" spans="39:45" x14ac:dyDescent="0.35">
      <c r="AM52" s="20" t="s">
        <v>9</v>
      </c>
      <c r="AN52" s="20"/>
      <c r="AO52" s="20" t="s">
        <v>271</v>
      </c>
      <c r="AP52" s="20"/>
      <c r="AQ52" s="20"/>
      <c r="AR52" s="20"/>
      <c r="AS52" s="20"/>
    </row>
    <row r="53" spans="39:45" x14ac:dyDescent="0.35">
      <c r="AM53" s="20" t="s">
        <v>270</v>
      </c>
      <c r="AN53" s="20"/>
      <c r="AO53" s="20" t="s">
        <v>271</v>
      </c>
      <c r="AP53" s="20"/>
      <c r="AQ53" s="20"/>
      <c r="AR53" s="20"/>
      <c r="AS53" s="20"/>
    </row>
    <row r="54" spans="39:45" x14ac:dyDescent="0.35">
      <c r="AM54" s="20"/>
      <c r="AN54" s="20"/>
      <c r="AO54" s="20"/>
      <c r="AP54" s="20"/>
      <c r="AQ54" s="20"/>
      <c r="AR54" s="20"/>
      <c r="AS54" s="20"/>
    </row>
  </sheetData>
  <mergeCells count="3">
    <mergeCell ref="A1:AE1"/>
    <mergeCell ref="AM3:AS3"/>
    <mergeCell ref="AM50:AS50"/>
  </mergeCells>
  <conditionalFormatting sqref="B7:B8 D10 B11">
    <cfRule type="colorScale" priority="39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8">
    <cfRule type="colorScale" priority="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0:C10">
    <cfRule type="colorScale" priority="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6:F17 S15 I17:AA17 G16:AA16">
    <cfRule type="colorScale" priority="9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5:G15">
    <cfRule type="colorScale" priority="1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22:G22">
    <cfRule type="colorScale" priority="1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20:J21 K20:L20 K21:R21">
    <cfRule type="colorScale" priority="8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K6:Q7 S6:X6 S8:X8">
    <cfRule type="colorScale" priority="3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L13:U14 X13:AH14 B13:I14 C7:J7 B6:J6 Y11 Y8 AD11:AF11 AF16 G17:H17 B9:H9 C8:H8 I8:I9 J8:R8 C11:R11 H15:R15 T15:U15 B19:V19 B5:AF5 M20:AA20 AB6:AF6 AD8:AF8 J9:AF9 E10:AF10 S21:AF21 H22:AF22 W15:AF15 C18:AF18">
    <cfRule type="colorScale" priority="4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R6:R7">
    <cfRule type="colorScale" priority="3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S11:U11 W11:X11">
    <cfRule type="colorScale" priority="3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S7:AF7">
    <cfRule type="colorScale" priority="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V11">
    <cfRule type="colorScale" priority="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V15">
    <cfRule type="colorScale" priority="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W19:AF19">
    <cfRule type="colorScale" priority="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Y6:AA6">
    <cfRule type="colorScale" priority="2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Z11:AA11">
    <cfRule type="colorScale" priority="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Z8:AC8">
    <cfRule type="colorScale" priority="2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B11:AC11">
    <cfRule type="colorScale" priority="1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B17:AC17 AB20:AC20">
    <cfRule type="colorScale" priority="2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B16:AE16">
    <cfRule type="colorScale" priority="1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D17:AF17 AD20:AE20">
    <cfRule type="colorScale" priority="2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F20">
    <cfRule type="colorScale" priority="23">
      <colorScale>
        <cfvo type="num" val="1"/>
        <cfvo type="max"/>
        <color theme="4" tint="0.59999389629810485"/>
        <color theme="5" tint="0.59999389629810485"/>
      </colorScale>
    </cfRule>
  </conditionalFormatting>
  <pageMargins left="0.7" right="0.7" top="0.75" bottom="0.75" header="0.3" footer="0.3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4F097-A92D-43CE-9FE5-22872D770210}">
  <dimension ref="A1:AZ54"/>
  <sheetViews>
    <sheetView zoomScale="86" zoomScaleNormal="86" workbookViewId="0">
      <pane xSplit="1" ySplit="4" topLeftCell="V5" activePane="bottomRight" state="frozen"/>
      <selection pane="topRight" activeCell="B1" sqref="B1"/>
      <selection pane="bottomLeft" activeCell="A5" sqref="A5"/>
      <selection pane="bottomRight" activeCell="X19" sqref="X19"/>
    </sheetView>
  </sheetViews>
  <sheetFormatPr defaultRowHeight="14.5" x14ac:dyDescent="0.35"/>
  <cols>
    <col min="1" max="1" width="43.7265625" bestFit="1" customWidth="1"/>
    <col min="2" max="3" width="8.54296875" bestFit="1" customWidth="1"/>
    <col min="4" max="5" width="8.81640625" bestFit="1" customWidth="1"/>
    <col min="6" max="7" width="9.1796875" bestFit="1" customWidth="1"/>
    <col min="8" max="8" width="11.54296875" bestFit="1" customWidth="1"/>
    <col min="9" max="12" width="8.81640625" bestFit="1" customWidth="1"/>
    <col min="13" max="13" width="10.1796875" bestFit="1" customWidth="1"/>
    <col min="14" max="16" width="10.81640625" bestFit="1" customWidth="1"/>
    <col min="17" max="20" width="8.81640625" bestFit="1" customWidth="1"/>
    <col min="21" max="29" width="7.453125" bestFit="1" customWidth="1"/>
    <col min="30" max="30" width="4.1796875" bestFit="1" customWidth="1"/>
    <col min="31" max="31" width="5.453125" bestFit="1" customWidth="1"/>
    <col min="32" max="32" width="5.453125" hidden="1" customWidth="1"/>
    <col min="33" max="33" width="5.26953125" customWidth="1"/>
    <col min="34" max="34" width="8.1796875" bestFit="1" customWidth="1"/>
    <col min="35" max="35" width="8" hidden="1" customWidth="1"/>
    <col min="36" max="36" width="7.54296875" hidden="1" customWidth="1"/>
    <col min="37" max="37" width="0" hidden="1" customWidth="1"/>
    <col min="38" max="38" width="8.453125" customWidth="1"/>
    <col min="39" max="39" width="17.81640625" bestFit="1" customWidth="1"/>
    <col min="40" max="40" width="34.453125" customWidth="1"/>
    <col min="41" max="41" width="12.453125" bestFit="1" customWidth="1"/>
    <col min="42" max="42" width="9.81640625" bestFit="1" customWidth="1"/>
    <col min="43" max="43" width="10.81640625" bestFit="1" customWidth="1"/>
    <col min="44" max="44" width="10.1796875" bestFit="1" customWidth="1"/>
    <col min="45" max="45" width="9.1796875" bestFit="1" customWidth="1"/>
    <col min="46" max="46" width="0.453125" customWidth="1"/>
    <col min="52" max="52" width="15" bestFit="1" customWidth="1"/>
  </cols>
  <sheetData>
    <row r="1" spans="1:45" ht="15.5" x14ac:dyDescent="0.35">
      <c r="A1" s="120" t="s">
        <v>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65"/>
    </row>
    <row r="2" spans="1:45" ht="15" thickBot="1" x14ac:dyDescent="0.4"/>
    <row r="3" spans="1:45" ht="45.75" customHeight="1" x14ac:dyDescent="0.35">
      <c r="A3" s="1" t="s">
        <v>1</v>
      </c>
      <c r="B3" s="2">
        <f>AI4</f>
        <v>45078</v>
      </c>
      <c r="C3" s="2">
        <f t="shared" ref="C3:AF3" si="0">B3+1</f>
        <v>45079</v>
      </c>
      <c r="D3" s="2">
        <f t="shared" si="0"/>
        <v>45080</v>
      </c>
      <c r="E3" s="2">
        <f t="shared" si="0"/>
        <v>45081</v>
      </c>
      <c r="F3" s="2">
        <f t="shared" si="0"/>
        <v>45082</v>
      </c>
      <c r="G3" s="2">
        <f t="shared" si="0"/>
        <v>45083</v>
      </c>
      <c r="H3" s="2">
        <f t="shared" si="0"/>
        <v>45084</v>
      </c>
      <c r="I3" s="2">
        <f>H3+1</f>
        <v>45085</v>
      </c>
      <c r="J3" s="2">
        <f t="shared" si="0"/>
        <v>45086</v>
      </c>
      <c r="K3" s="2">
        <f t="shared" si="0"/>
        <v>45087</v>
      </c>
      <c r="L3" s="2">
        <f t="shared" si="0"/>
        <v>45088</v>
      </c>
      <c r="M3" s="2">
        <f t="shared" si="0"/>
        <v>45089</v>
      </c>
      <c r="N3" s="2">
        <f t="shared" si="0"/>
        <v>45090</v>
      </c>
      <c r="O3" s="2">
        <f t="shared" si="0"/>
        <v>45091</v>
      </c>
      <c r="P3" s="2">
        <f t="shared" si="0"/>
        <v>45092</v>
      </c>
      <c r="Q3" s="2">
        <f t="shared" si="0"/>
        <v>45093</v>
      </c>
      <c r="R3" s="2">
        <f t="shared" si="0"/>
        <v>45094</v>
      </c>
      <c r="S3" s="2">
        <f t="shared" si="0"/>
        <v>45095</v>
      </c>
      <c r="T3" s="2">
        <f t="shared" si="0"/>
        <v>45096</v>
      </c>
      <c r="U3" s="2">
        <f t="shared" si="0"/>
        <v>45097</v>
      </c>
      <c r="V3" s="2">
        <f t="shared" si="0"/>
        <v>45098</v>
      </c>
      <c r="W3" s="2">
        <f t="shared" si="0"/>
        <v>45099</v>
      </c>
      <c r="X3" s="2">
        <f t="shared" si="0"/>
        <v>45100</v>
      </c>
      <c r="Y3" s="2">
        <f t="shared" si="0"/>
        <v>45101</v>
      </c>
      <c r="Z3" s="2">
        <f t="shared" si="0"/>
        <v>45102</v>
      </c>
      <c r="AA3" s="2">
        <f t="shared" si="0"/>
        <v>45103</v>
      </c>
      <c r="AB3" s="2">
        <f t="shared" si="0"/>
        <v>45104</v>
      </c>
      <c r="AC3" s="2">
        <f t="shared" si="0"/>
        <v>45105</v>
      </c>
      <c r="AD3" s="2">
        <f t="shared" si="0"/>
        <v>45106</v>
      </c>
      <c r="AE3" s="2">
        <f t="shared" si="0"/>
        <v>45107</v>
      </c>
      <c r="AF3" s="2">
        <f t="shared" si="0"/>
        <v>45108</v>
      </c>
      <c r="AG3" s="36"/>
      <c r="AH3" s="36"/>
      <c r="AM3" s="129" t="s">
        <v>267</v>
      </c>
      <c r="AN3" s="129"/>
      <c r="AO3" s="129"/>
      <c r="AP3" s="129"/>
      <c r="AQ3" s="129"/>
      <c r="AR3" s="129"/>
      <c r="AS3" s="129"/>
    </row>
    <row r="4" spans="1:45" ht="31.5" customHeight="1" x14ac:dyDescent="0.35">
      <c r="A4" s="3" t="s">
        <v>2</v>
      </c>
      <c r="B4" s="4">
        <f t="shared" ref="B4:AF4" si="1">B3</f>
        <v>45078</v>
      </c>
      <c r="C4" s="4">
        <f t="shared" si="1"/>
        <v>45079</v>
      </c>
      <c r="D4" s="4">
        <f t="shared" si="1"/>
        <v>45080</v>
      </c>
      <c r="E4" s="4">
        <f t="shared" si="1"/>
        <v>45081</v>
      </c>
      <c r="F4" s="4">
        <f t="shared" si="1"/>
        <v>45082</v>
      </c>
      <c r="G4" s="4">
        <f t="shared" si="1"/>
        <v>45083</v>
      </c>
      <c r="H4" s="4">
        <f t="shared" si="1"/>
        <v>45084</v>
      </c>
      <c r="I4" s="4">
        <f t="shared" si="1"/>
        <v>45085</v>
      </c>
      <c r="J4" s="4">
        <f t="shared" si="1"/>
        <v>45086</v>
      </c>
      <c r="K4" s="4">
        <f t="shared" si="1"/>
        <v>45087</v>
      </c>
      <c r="L4" s="4">
        <f t="shared" si="1"/>
        <v>45088</v>
      </c>
      <c r="M4" s="4">
        <f t="shared" si="1"/>
        <v>45089</v>
      </c>
      <c r="N4" s="4">
        <f t="shared" si="1"/>
        <v>45090</v>
      </c>
      <c r="O4" s="4">
        <f t="shared" si="1"/>
        <v>45091</v>
      </c>
      <c r="P4" s="4">
        <f t="shared" si="1"/>
        <v>45092</v>
      </c>
      <c r="Q4" s="4">
        <f t="shared" si="1"/>
        <v>45093</v>
      </c>
      <c r="R4" s="4">
        <f t="shared" si="1"/>
        <v>45094</v>
      </c>
      <c r="S4" s="4">
        <f t="shared" si="1"/>
        <v>45095</v>
      </c>
      <c r="T4" s="4">
        <f t="shared" si="1"/>
        <v>45096</v>
      </c>
      <c r="U4" s="4">
        <f t="shared" si="1"/>
        <v>45097</v>
      </c>
      <c r="V4" s="4">
        <f t="shared" si="1"/>
        <v>45098</v>
      </c>
      <c r="W4" s="4">
        <f t="shared" si="1"/>
        <v>45099</v>
      </c>
      <c r="X4" s="4">
        <f t="shared" si="1"/>
        <v>45100</v>
      </c>
      <c r="Y4" s="4">
        <f t="shared" si="1"/>
        <v>45101</v>
      </c>
      <c r="Z4" s="4">
        <f t="shared" si="1"/>
        <v>45102</v>
      </c>
      <c r="AA4" s="4">
        <f t="shared" si="1"/>
        <v>45103</v>
      </c>
      <c r="AB4" s="4">
        <f t="shared" si="1"/>
        <v>45104</v>
      </c>
      <c r="AC4" s="4">
        <f t="shared" si="1"/>
        <v>45105</v>
      </c>
      <c r="AD4" s="4">
        <f t="shared" si="1"/>
        <v>45106</v>
      </c>
      <c r="AE4" s="4">
        <f t="shared" si="1"/>
        <v>45107</v>
      </c>
      <c r="AF4" s="4">
        <f t="shared" si="1"/>
        <v>45108</v>
      </c>
      <c r="AG4" s="39" t="s">
        <v>174</v>
      </c>
      <c r="AH4" s="40" t="s">
        <v>175</v>
      </c>
      <c r="AI4" s="5">
        <v>45078</v>
      </c>
      <c r="AJ4" s="6">
        <f>EOMONTH(AI4,0)</f>
        <v>45107</v>
      </c>
      <c r="AM4" s="19" t="s">
        <v>54</v>
      </c>
      <c r="AN4" s="19" t="s">
        <v>366</v>
      </c>
      <c r="AO4" s="19" t="s">
        <v>269</v>
      </c>
      <c r="AP4" s="19" t="s">
        <v>55</v>
      </c>
      <c r="AQ4" s="19" t="s">
        <v>56</v>
      </c>
      <c r="AR4" s="19" t="s">
        <v>251</v>
      </c>
      <c r="AS4" s="19" t="s">
        <v>57</v>
      </c>
    </row>
    <row r="5" spans="1:45" x14ac:dyDescent="0.35">
      <c r="A5" s="7" t="s">
        <v>3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8"/>
      <c r="AG5" s="41">
        <f>COUNTA(B5:AF5)</f>
        <v>0</v>
      </c>
      <c r="AH5" s="42">
        <f>AG5*100/30</f>
        <v>0</v>
      </c>
      <c r="AM5" s="20"/>
      <c r="AN5" s="20"/>
      <c r="AO5" s="20"/>
      <c r="AP5" s="56"/>
      <c r="AQ5" s="56"/>
      <c r="AR5" s="56"/>
      <c r="AS5" s="20"/>
    </row>
    <row r="6" spans="1:45" x14ac:dyDescent="0.35">
      <c r="A6" s="7" t="s">
        <v>7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4"/>
      <c r="V6" s="55" t="s">
        <v>253</v>
      </c>
      <c r="W6" s="55" t="s">
        <v>253</v>
      </c>
      <c r="X6" s="55" t="s">
        <v>253</v>
      </c>
      <c r="Y6" s="55" t="s">
        <v>253</v>
      </c>
      <c r="Z6" s="8" t="s">
        <v>361</v>
      </c>
      <c r="AA6" s="8" t="s">
        <v>361</v>
      </c>
      <c r="AB6" s="8" t="s">
        <v>361</v>
      </c>
      <c r="AC6" s="8" t="s">
        <v>361</v>
      </c>
      <c r="AD6" s="8" t="s">
        <v>361</v>
      </c>
      <c r="AE6" s="8" t="s">
        <v>361</v>
      </c>
      <c r="AF6" s="8"/>
      <c r="AG6" s="41">
        <f t="shared" ref="AG6:AG11" si="2">COUNTA(B6:AF6)</f>
        <v>10</v>
      </c>
      <c r="AH6" s="42">
        <f>AG6*100/30</f>
        <v>33.333333333333336</v>
      </c>
      <c r="AM6" s="20"/>
      <c r="AN6" s="20"/>
      <c r="AO6" s="20"/>
      <c r="AP6" s="56"/>
      <c r="AQ6" s="56"/>
      <c r="AR6" s="56"/>
      <c r="AS6" s="20"/>
    </row>
    <row r="7" spans="1:45" x14ac:dyDescent="0.35">
      <c r="A7" s="7" t="s">
        <v>11</v>
      </c>
      <c r="B7" s="55" t="s">
        <v>22</v>
      </c>
      <c r="C7" s="55" t="s">
        <v>22</v>
      </c>
      <c r="D7" s="55" t="s">
        <v>22</v>
      </c>
      <c r="E7" s="55" t="s">
        <v>22</v>
      </c>
      <c r="F7" s="55" t="s">
        <v>22</v>
      </c>
      <c r="G7" s="55" t="s">
        <v>22</v>
      </c>
      <c r="H7" s="55" t="s">
        <v>22</v>
      </c>
      <c r="I7" s="55" t="s">
        <v>22</v>
      </c>
      <c r="J7" s="55" t="s">
        <v>22</v>
      </c>
      <c r="K7" s="55" t="s">
        <v>22</v>
      </c>
      <c r="L7" s="55" t="s">
        <v>22</v>
      </c>
      <c r="M7" s="55" t="s">
        <v>22</v>
      </c>
      <c r="N7" s="55" t="s">
        <v>22</v>
      </c>
      <c r="O7" s="55" t="s">
        <v>22</v>
      </c>
      <c r="P7" s="55" t="s">
        <v>22</v>
      </c>
      <c r="Q7" s="55" t="s">
        <v>22</v>
      </c>
      <c r="R7" s="55" t="s">
        <v>22</v>
      </c>
      <c r="S7" s="55" t="s">
        <v>22</v>
      </c>
      <c r="T7" s="55" t="s">
        <v>22</v>
      </c>
      <c r="U7" s="55" t="s">
        <v>22</v>
      </c>
      <c r="V7" s="55" t="s">
        <v>22</v>
      </c>
      <c r="W7" s="55" t="s">
        <v>22</v>
      </c>
      <c r="X7" s="55" t="s">
        <v>22</v>
      </c>
      <c r="Y7" s="55" t="s">
        <v>22</v>
      </c>
      <c r="Z7" s="55" t="s">
        <v>22</v>
      </c>
      <c r="AA7" s="55" t="s">
        <v>22</v>
      </c>
      <c r="AB7" s="55" t="s">
        <v>22</v>
      </c>
      <c r="AC7" s="55" t="s">
        <v>22</v>
      </c>
      <c r="AD7" s="55" t="s">
        <v>22</v>
      </c>
      <c r="AE7" s="55" t="s">
        <v>22</v>
      </c>
      <c r="AF7" s="8"/>
      <c r="AG7" s="41">
        <f t="shared" si="2"/>
        <v>30</v>
      </c>
      <c r="AH7" s="42">
        <f>AG7*100/30</f>
        <v>100</v>
      </c>
      <c r="AM7" s="20" t="s">
        <v>365</v>
      </c>
      <c r="AN7" s="20" t="s">
        <v>367</v>
      </c>
      <c r="AO7" s="57"/>
      <c r="AP7" s="56">
        <v>45102</v>
      </c>
      <c r="AQ7" s="56">
        <v>45104</v>
      </c>
      <c r="AR7" s="56" t="s">
        <v>368</v>
      </c>
      <c r="AS7" s="20"/>
    </row>
    <row r="8" spans="1:45" ht="15" customHeight="1" x14ac:dyDescent="0.35">
      <c r="A8" s="7" t="s">
        <v>15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 t="s">
        <v>350</v>
      </c>
      <c r="O8" s="55" t="s">
        <v>350</v>
      </c>
      <c r="P8" s="55" t="s">
        <v>350</v>
      </c>
      <c r="Q8" s="55"/>
      <c r="R8" s="55"/>
      <c r="S8" s="55" t="s">
        <v>141</v>
      </c>
      <c r="T8" s="55" t="s">
        <v>141</v>
      </c>
      <c r="U8" s="55" t="s">
        <v>141</v>
      </c>
      <c r="V8" s="55" t="s">
        <v>141</v>
      </c>
      <c r="W8" s="55" t="s">
        <v>141</v>
      </c>
      <c r="X8" s="55" t="s">
        <v>141</v>
      </c>
      <c r="Y8" s="55" t="s">
        <v>141</v>
      </c>
      <c r="Z8" s="55" t="s">
        <v>44</v>
      </c>
      <c r="AA8" s="55" t="s">
        <v>44</v>
      </c>
      <c r="AB8" s="55" t="s">
        <v>44</v>
      </c>
      <c r="AC8" s="55" t="s">
        <v>44</v>
      </c>
      <c r="AD8" s="55" t="s">
        <v>44</v>
      </c>
      <c r="AE8" s="55" t="s">
        <v>44</v>
      </c>
      <c r="AF8" s="8"/>
      <c r="AG8" s="41">
        <f t="shared" si="2"/>
        <v>16</v>
      </c>
      <c r="AH8" s="42">
        <f t="shared" ref="AH8:AH11" si="3">AG8*100/30</f>
        <v>53.333333333333336</v>
      </c>
      <c r="AK8" s="9"/>
      <c r="AM8" s="20" t="s">
        <v>365</v>
      </c>
      <c r="AN8" s="20" t="s">
        <v>367</v>
      </c>
      <c r="AO8" s="57"/>
      <c r="AP8" s="56">
        <v>45102</v>
      </c>
      <c r="AQ8" s="56">
        <v>45104</v>
      </c>
      <c r="AR8" s="56" t="s">
        <v>368</v>
      </c>
      <c r="AS8" s="20"/>
    </row>
    <row r="9" spans="1:45" ht="15.75" customHeight="1" x14ac:dyDescent="0.35">
      <c r="A9" s="7" t="s">
        <v>18</v>
      </c>
      <c r="B9" s="55"/>
      <c r="C9" s="55"/>
      <c r="D9" s="55"/>
      <c r="E9" s="55"/>
      <c r="F9" s="55"/>
      <c r="G9" s="55" t="s">
        <v>345</v>
      </c>
      <c r="H9" s="55" t="s">
        <v>345</v>
      </c>
      <c r="I9" s="55"/>
      <c r="J9" s="55"/>
      <c r="K9" s="55"/>
      <c r="L9" s="55"/>
      <c r="M9" s="55"/>
      <c r="N9" s="55" t="s">
        <v>351</v>
      </c>
      <c r="O9" s="55" t="s">
        <v>351</v>
      </c>
      <c r="P9" s="55"/>
      <c r="Q9" s="55"/>
      <c r="R9" s="55"/>
      <c r="S9" s="55"/>
      <c r="T9" s="55"/>
      <c r="U9" s="55" t="s">
        <v>356</v>
      </c>
      <c r="V9" s="55" t="s">
        <v>354</v>
      </c>
      <c r="W9" s="55" t="s">
        <v>354</v>
      </c>
      <c r="X9" s="55" t="s">
        <v>354</v>
      </c>
      <c r="Y9" s="55" t="s">
        <v>354</v>
      </c>
      <c r="Z9" s="55" t="s">
        <v>354</v>
      </c>
      <c r="AA9" s="55" t="s">
        <v>354</v>
      </c>
      <c r="AB9" s="55" t="s">
        <v>354</v>
      </c>
      <c r="AC9" s="55" t="s">
        <v>354</v>
      </c>
      <c r="AD9" s="55" t="s">
        <v>354</v>
      </c>
      <c r="AE9" s="55" t="s">
        <v>354</v>
      </c>
      <c r="AF9" s="55"/>
      <c r="AG9" s="41">
        <f t="shared" si="2"/>
        <v>15</v>
      </c>
      <c r="AH9" s="42">
        <f t="shared" si="3"/>
        <v>50</v>
      </c>
      <c r="AM9" s="20" t="s">
        <v>365</v>
      </c>
      <c r="AN9" s="20" t="s">
        <v>367</v>
      </c>
      <c r="AO9" s="57"/>
      <c r="AP9" s="56">
        <v>45102</v>
      </c>
      <c r="AQ9" s="56">
        <v>45104</v>
      </c>
      <c r="AR9" s="56" t="s">
        <v>368</v>
      </c>
      <c r="AS9" s="20"/>
    </row>
    <row r="10" spans="1:45" ht="15.75" customHeight="1" x14ac:dyDescent="0.35">
      <c r="A10" s="7" t="s">
        <v>20</v>
      </c>
      <c r="B10" s="55"/>
      <c r="C10" s="55"/>
      <c r="D10" s="55"/>
      <c r="E10" s="55"/>
      <c r="F10" s="55" t="s">
        <v>344</v>
      </c>
      <c r="G10" s="55" t="s">
        <v>344</v>
      </c>
      <c r="H10" s="55" t="s">
        <v>344</v>
      </c>
      <c r="I10" s="55"/>
      <c r="J10" s="55"/>
      <c r="K10" s="55"/>
      <c r="L10" s="55"/>
      <c r="M10" s="55" t="s">
        <v>347</v>
      </c>
      <c r="N10" s="55" t="s">
        <v>347</v>
      </c>
      <c r="O10" s="55" t="s">
        <v>9</v>
      </c>
      <c r="P10" s="55"/>
      <c r="Q10" s="55"/>
      <c r="R10" s="55" t="s">
        <v>357</v>
      </c>
      <c r="S10" s="55" t="s">
        <v>357</v>
      </c>
      <c r="T10" s="55" t="s">
        <v>357</v>
      </c>
      <c r="U10" s="55"/>
      <c r="V10" s="55" t="s">
        <v>355</v>
      </c>
      <c r="W10" s="55" t="s">
        <v>355</v>
      </c>
      <c r="X10" s="55" t="s">
        <v>355</v>
      </c>
      <c r="Y10" s="55" t="s">
        <v>355</v>
      </c>
      <c r="Z10" s="55" t="s">
        <v>355</v>
      </c>
      <c r="AA10" s="55" t="s">
        <v>355</v>
      </c>
      <c r="AB10" s="55" t="s">
        <v>355</v>
      </c>
      <c r="AC10" s="55" t="s">
        <v>355</v>
      </c>
      <c r="AD10" s="55" t="s">
        <v>355</v>
      </c>
      <c r="AE10" s="55" t="s">
        <v>355</v>
      </c>
      <c r="AF10" s="54" t="s">
        <v>355</v>
      </c>
      <c r="AG10" s="41">
        <f t="shared" si="2"/>
        <v>20</v>
      </c>
      <c r="AH10" s="42">
        <f t="shared" si="3"/>
        <v>66.666666666666671</v>
      </c>
      <c r="AM10" s="20"/>
      <c r="AN10" s="20"/>
      <c r="AO10" s="57"/>
      <c r="AP10" s="20"/>
      <c r="AQ10" s="20"/>
      <c r="AR10" s="20"/>
      <c r="AS10" s="20"/>
    </row>
    <row r="11" spans="1:45" ht="15.75" customHeight="1" thickBot="1" x14ac:dyDescent="0.4">
      <c r="A11" s="7" t="s">
        <v>24</v>
      </c>
      <c r="B11" s="8" t="s">
        <v>342</v>
      </c>
      <c r="C11" s="55"/>
      <c r="D11" s="55"/>
      <c r="E11" s="55"/>
      <c r="F11" s="55"/>
      <c r="G11" s="55" t="s">
        <v>345</v>
      </c>
      <c r="H11" s="55" t="s">
        <v>345</v>
      </c>
      <c r="I11" s="55"/>
      <c r="J11" s="55"/>
      <c r="K11" s="55"/>
      <c r="L11" s="55"/>
      <c r="M11" s="55" t="s">
        <v>347</v>
      </c>
      <c r="N11" s="55" t="s">
        <v>347</v>
      </c>
      <c r="O11" s="55" t="s">
        <v>352</v>
      </c>
      <c r="P11" s="55"/>
      <c r="Q11" s="55"/>
      <c r="R11" s="55"/>
      <c r="S11" s="55"/>
      <c r="T11" s="55"/>
      <c r="U11" s="55" t="s">
        <v>356</v>
      </c>
      <c r="V11" s="55" t="s">
        <v>356</v>
      </c>
      <c r="W11" s="54"/>
      <c r="X11" s="54"/>
      <c r="Y11" s="54"/>
      <c r="Z11" s="8" t="s">
        <v>364</v>
      </c>
      <c r="AA11" s="8" t="s">
        <v>364</v>
      </c>
      <c r="AB11" s="8" t="s">
        <v>37</v>
      </c>
      <c r="AC11" s="8" t="s">
        <v>37</v>
      </c>
      <c r="AD11" s="8" t="s">
        <v>37</v>
      </c>
      <c r="AE11" s="55"/>
      <c r="AF11" s="8"/>
      <c r="AG11" s="41">
        <f t="shared" si="2"/>
        <v>13</v>
      </c>
      <c r="AH11" s="42">
        <f t="shared" si="3"/>
        <v>43.333333333333336</v>
      </c>
      <c r="AM11" s="20"/>
      <c r="AN11" s="20"/>
      <c r="AO11" s="20"/>
      <c r="AP11" s="20"/>
      <c r="AQ11" s="20"/>
      <c r="AR11" s="20"/>
      <c r="AS11" s="20"/>
    </row>
    <row r="12" spans="1:45" ht="15" customHeight="1" x14ac:dyDescent="0.35">
      <c r="A12" s="45" t="s">
        <v>176</v>
      </c>
      <c r="B12" s="46">
        <f>COUNTA(B5:B11)</f>
        <v>2</v>
      </c>
      <c r="C12" s="46">
        <f>COUNTA(C5:C11)</f>
        <v>1</v>
      </c>
      <c r="D12" s="46">
        <f t="shared" ref="D12:AF12" si="4">COUNTA(D5:D11)</f>
        <v>1</v>
      </c>
      <c r="E12" s="46">
        <f t="shared" si="4"/>
        <v>1</v>
      </c>
      <c r="F12" s="46">
        <f t="shared" si="4"/>
        <v>2</v>
      </c>
      <c r="G12" s="46">
        <f t="shared" si="4"/>
        <v>4</v>
      </c>
      <c r="H12" s="46">
        <f t="shared" si="4"/>
        <v>4</v>
      </c>
      <c r="I12" s="46">
        <f t="shared" si="4"/>
        <v>1</v>
      </c>
      <c r="J12" s="46">
        <f t="shared" si="4"/>
        <v>1</v>
      </c>
      <c r="K12" s="46">
        <f t="shared" si="4"/>
        <v>1</v>
      </c>
      <c r="L12" s="46">
        <f t="shared" si="4"/>
        <v>1</v>
      </c>
      <c r="M12" s="46">
        <f t="shared" si="4"/>
        <v>3</v>
      </c>
      <c r="N12" s="46">
        <f t="shared" si="4"/>
        <v>5</v>
      </c>
      <c r="O12" s="46">
        <f t="shared" si="4"/>
        <v>5</v>
      </c>
      <c r="P12" s="46">
        <f t="shared" si="4"/>
        <v>2</v>
      </c>
      <c r="Q12" s="46">
        <f t="shared" si="4"/>
        <v>1</v>
      </c>
      <c r="R12" s="46">
        <f t="shared" si="4"/>
        <v>2</v>
      </c>
      <c r="S12" s="46">
        <f t="shared" si="4"/>
        <v>3</v>
      </c>
      <c r="T12" s="46">
        <f t="shared" si="4"/>
        <v>3</v>
      </c>
      <c r="U12" s="46">
        <f t="shared" si="4"/>
        <v>4</v>
      </c>
      <c r="V12" s="46">
        <f t="shared" si="4"/>
        <v>6</v>
      </c>
      <c r="W12" s="46">
        <f t="shared" si="4"/>
        <v>5</v>
      </c>
      <c r="X12" s="46">
        <f t="shared" si="4"/>
        <v>5</v>
      </c>
      <c r="Y12" s="46">
        <f t="shared" si="4"/>
        <v>5</v>
      </c>
      <c r="Z12" s="46">
        <f t="shared" si="4"/>
        <v>6</v>
      </c>
      <c r="AA12" s="46">
        <f t="shared" si="4"/>
        <v>6</v>
      </c>
      <c r="AB12" s="46">
        <f t="shared" si="4"/>
        <v>6</v>
      </c>
      <c r="AC12" s="46">
        <f t="shared" si="4"/>
        <v>6</v>
      </c>
      <c r="AD12" s="46">
        <f t="shared" si="4"/>
        <v>6</v>
      </c>
      <c r="AE12" s="46">
        <f t="shared" si="4"/>
        <v>5</v>
      </c>
      <c r="AF12" s="46">
        <f t="shared" si="4"/>
        <v>1</v>
      </c>
      <c r="AG12" s="43">
        <f t="shared" ref="AG12" si="5">SUM(AG5:AG11)</f>
        <v>104</v>
      </c>
      <c r="AH12" s="44">
        <f>AVERAGE(AH5:AH11)</f>
        <v>49.523809523809526</v>
      </c>
      <c r="AI12" s="29"/>
      <c r="AM12" s="20"/>
      <c r="AN12" s="20"/>
      <c r="AO12" s="20"/>
      <c r="AP12" s="20"/>
      <c r="AQ12" s="20"/>
      <c r="AR12" s="20"/>
      <c r="AS12" s="20"/>
    </row>
    <row r="13" spans="1:45" ht="57" hidden="1" x14ac:dyDescent="0.35">
      <c r="A13" s="13" t="s">
        <v>28</v>
      </c>
      <c r="B13" s="14"/>
      <c r="C13" s="14"/>
      <c r="D13" s="14"/>
      <c r="E13" s="14"/>
      <c r="F13" s="14"/>
      <c r="G13" s="14"/>
      <c r="H13" s="14"/>
      <c r="I13" s="35"/>
      <c r="J13" s="34"/>
      <c r="K13" s="15"/>
      <c r="L13" s="14"/>
      <c r="M13" s="14"/>
      <c r="N13" s="25"/>
      <c r="O13" s="25"/>
      <c r="P13" s="25"/>
      <c r="Q13" s="14"/>
      <c r="R13" s="14"/>
      <c r="S13" s="14"/>
      <c r="T13" s="14"/>
      <c r="U13" s="14"/>
      <c r="V13" s="15"/>
      <c r="W13" s="15"/>
      <c r="X13" s="14"/>
      <c r="Y13" s="14"/>
      <c r="Z13" s="14"/>
      <c r="AA13" s="14"/>
      <c r="AB13" s="14"/>
      <c r="AC13" s="14"/>
      <c r="AD13" s="14"/>
      <c r="AE13" s="14"/>
      <c r="AF13" s="37"/>
      <c r="AG13" s="37"/>
      <c r="AH13" s="37"/>
      <c r="AM13" s="20"/>
      <c r="AN13" s="20"/>
      <c r="AO13" s="20"/>
      <c r="AP13" s="20"/>
      <c r="AQ13" s="20"/>
      <c r="AR13" s="20"/>
      <c r="AS13" s="20"/>
    </row>
    <row r="14" spans="1:45" ht="28.5" hidden="1" x14ac:dyDescent="0.35">
      <c r="A14" s="16" t="s">
        <v>29</v>
      </c>
      <c r="B14" s="14"/>
      <c r="C14" s="14"/>
      <c r="D14" s="14"/>
      <c r="E14" s="14"/>
      <c r="F14" s="14"/>
      <c r="G14" s="14"/>
      <c r="H14" s="14"/>
      <c r="I14" s="35"/>
      <c r="J14" s="34"/>
      <c r="K14" s="15"/>
      <c r="L14" s="14"/>
      <c r="M14" s="14"/>
      <c r="N14" s="25"/>
      <c r="O14" s="25"/>
      <c r="P14" s="25"/>
      <c r="Q14" s="14"/>
      <c r="R14" s="14"/>
      <c r="S14" s="14"/>
      <c r="T14" s="14"/>
      <c r="U14" s="14"/>
      <c r="V14" s="15"/>
      <c r="W14" s="15"/>
      <c r="X14" s="14"/>
      <c r="Y14" s="14"/>
      <c r="Z14" s="14"/>
      <c r="AA14" s="14"/>
      <c r="AB14" s="14"/>
      <c r="AC14" s="14"/>
      <c r="AD14" s="14"/>
      <c r="AE14" s="14"/>
      <c r="AF14" s="37"/>
      <c r="AG14" s="37"/>
      <c r="AH14" s="37"/>
      <c r="AM14" s="20"/>
      <c r="AN14" s="20"/>
      <c r="AO14" s="20"/>
      <c r="AP14" s="20"/>
      <c r="AQ14" s="20"/>
      <c r="AR14" s="20"/>
      <c r="AS14" s="20"/>
    </row>
    <row r="15" spans="1:45" x14ac:dyDescent="0.35">
      <c r="A15" s="7" t="s">
        <v>30</v>
      </c>
      <c r="B15" s="8" t="s">
        <v>86</v>
      </c>
      <c r="C15" s="8"/>
      <c r="D15" s="8"/>
      <c r="E15" s="8"/>
      <c r="F15" s="8"/>
      <c r="G15" s="8"/>
      <c r="H15" s="8" t="s">
        <v>346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55" t="s">
        <v>356</v>
      </c>
      <c r="V15" s="55"/>
      <c r="W15" s="8"/>
      <c r="X15" s="54"/>
      <c r="Y15" s="8"/>
      <c r="Z15" s="55" t="s">
        <v>358</v>
      </c>
      <c r="AA15" s="55" t="s">
        <v>358</v>
      </c>
      <c r="AB15" s="55" t="s">
        <v>358</v>
      </c>
      <c r="AC15" s="55" t="s">
        <v>358</v>
      </c>
      <c r="AD15" s="55" t="s">
        <v>358</v>
      </c>
      <c r="AE15" s="55" t="s">
        <v>358</v>
      </c>
      <c r="AF15" s="54"/>
      <c r="AG15" s="41">
        <f>COUNTA(B15:AF15)</f>
        <v>9</v>
      </c>
      <c r="AH15" s="42">
        <f>AG15*100/30</f>
        <v>30</v>
      </c>
      <c r="AM15" s="20"/>
      <c r="AN15" s="20"/>
      <c r="AO15" s="20"/>
      <c r="AP15" s="20"/>
      <c r="AQ15" s="20"/>
      <c r="AR15" s="20"/>
      <c r="AS15" s="20"/>
    </row>
    <row r="16" spans="1:45" x14ac:dyDescent="0.35">
      <c r="A16" s="7" t="s">
        <v>35</v>
      </c>
      <c r="B16" s="55"/>
      <c r="C16" s="55" t="s">
        <v>260</v>
      </c>
      <c r="D16" s="55" t="s">
        <v>260</v>
      </c>
      <c r="E16" s="55" t="s">
        <v>260</v>
      </c>
      <c r="F16" s="55"/>
      <c r="G16" s="55" t="s">
        <v>185</v>
      </c>
      <c r="H16" s="55" t="s">
        <v>185</v>
      </c>
      <c r="I16" s="55" t="s">
        <v>185</v>
      </c>
      <c r="J16" s="55"/>
      <c r="K16" s="55"/>
      <c r="L16" s="55"/>
      <c r="M16" s="55" t="s">
        <v>348</v>
      </c>
      <c r="N16" s="55" t="s">
        <v>348</v>
      </c>
      <c r="O16" s="55" t="s">
        <v>348</v>
      </c>
      <c r="P16" s="55" t="s">
        <v>348</v>
      </c>
      <c r="Q16" s="55" t="s">
        <v>260</v>
      </c>
      <c r="R16" s="55" t="s">
        <v>260</v>
      </c>
      <c r="S16" s="55" t="s">
        <v>260</v>
      </c>
      <c r="T16" s="55" t="s">
        <v>307</v>
      </c>
      <c r="U16" s="55" t="s">
        <v>307</v>
      </c>
      <c r="V16" s="55" t="s">
        <v>307</v>
      </c>
      <c r="W16" s="55" t="s">
        <v>307</v>
      </c>
      <c r="X16" s="54"/>
      <c r="Y16" s="55"/>
      <c r="Z16" s="55" t="s">
        <v>359</v>
      </c>
      <c r="AA16" s="55" t="s">
        <v>359</v>
      </c>
      <c r="AB16" s="55" t="s">
        <v>359</v>
      </c>
      <c r="AC16" s="55" t="s">
        <v>359</v>
      </c>
      <c r="AD16" s="55" t="s">
        <v>359</v>
      </c>
      <c r="AE16" s="55" t="s">
        <v>359</v>
      </c>
      <c r="AF16" s="54"/>
      <c r="AG16" s="41">
        <f t="shared" ref="AG16:AG22" si="6">COUNTA(B16:AF16)</f>
        <v>23</v>
      </c>
      <c r="AH16" s="42">
        <f>AG16*100/30</f>
        <v>76.666666666666671</v>
      </c>
      <c r="AM16" s="20"/>
      <c r="AN16" s="20"/>
      <c r="AO16" s="20"/>
      <c r="AP16" s="56"/>
      <c r="AQ16" s="56"/>
      <c r="AR16" s="20"/>
      <c r="AS16" s="20"/>
    </row>
    <row r="17" spans="1:52" x14ac:dyDescent="0.35">
      <c r="A17" s="7" t="s">
        <v>39</v>
      </c>
      <c r="B17" s="54" t="s">
        <v>340</v>
      </c>
      <c r="C17" s="55"/>
      <c r="D17" s="55"/>
      <c r="E17" s="55"/>
      <c r="F17" s="55"/>
      <c r="G17" s="55" t="s">
        <v>25</v>
      </c>
      <c r="H17" s="55" t="s">
        <v>25</v>
      </c>
      <c r="I17" s="55" t="s">
        <v>25</v>
      </c>
      <c r="J17" s="55"/>
      <c r="K17" s="55"/>
      <c r="L17" s="55"/>
      <c r="M17" s="55" t="s">
        <v>349</v>
      </c>
      <c r="N17" s="55" t="s">
        <v>349</v>
      </c>
      <c r="O17" s="55" t="s">
        <v>349</v>
      </c>
      <c r="P17" s="55" t="s">
        <v>349</v>
      </c>
      <c r="Q17" s="55"/>
      <c r="R17" s="55" t="s">
        <v>143</v>
      </c>
      <c r="S17" s="55" t="s">
        <v>143</v>
      </c>
      <c r="T17" s="55" t="s">
        <v>143</v>
      </c>
      <c r="U17" s="55"/>
      <c r="V17" s="54"/>
      <c r="W17" s="55"/>
      <c r="X17" s="54"/>
      <c r="Y17" s="55" t="s">
        <v>369</v>
      </c>
      <c r="Z17" s="55" t="s">
        <v>360</v>
      </c>
      <c r="AA17" s="55" t="s">
        <v>360</v>
      </c>
      <c r="AB17" s="55" t="s">
        <v>360</v>
      </c>
      <c r="AC17" s="55" t="s">
        <v>360</v>
      </c>
      <c r="AD17" s="55" t="s">
        <v>360</v>
      </c>
      <c r="AE17" s="55" t="s">
        <v>360</v>
      </c>
      <c r="AF17" s="54"/>
      <c r="AG17" s="41">
        <f t="shared" si="6"/>
        <v>18</v>
      </c>
      <c r="AH17" s="42">
        <f t="shared" ref="AH17:AH22" si="7">AG17*100/30</f>
        <v>60</v>
      </c>
      <c r="AM17" s="20"/>
      <c r="AN17" s="20"/>
      <c r="AO17" s="20"/>
      <c r="AP17" s="20"/>
      <c r="AQ17" s="20"/>
      <c r="AR17" s="20"/>
      <c r="AS17" s="20"/>
      <c r="AY17" s="58"/>
    </row>
    <row r="18" spans="1:52" x14ac:dyDescent="0.35">
      <c r="A18" s="7" t="s">
        <v>42</v>
      </c>
      <c r="B18" s="55" t="s">
        <v>313</v>
      </c>
      <c r="C18" s="55" t="s">
        <v>313</v>
      </c>
      <c r="D18" s="55" t="s">
        <v>313</v>
      </c>
      <c r="E18" s="55" t="s">
        <v>313</v>
      </c>
      <c r="F18" s="55" t="s">
        <v>313</v>
      </c>
      <c r="G18" s="55"/>
      <c r="H18" s="8" t="s">
        <v>87</v>
      </c>
      <c r="I18" s="8"/>
      <c r="J18" s="8"/>
      <c r="K18" s="8"/>
      <c r="L18" s="8"/>
      <c r="M18" s="8"/>
      <c r="N18" s="8" t="s">
        <v>241</v>
      </c>
      <c r="O18" s="8" t="s">
        <v>129</v>
      </c>
      <c r="P18" s="8" t="s">
        <v>353</v>
      </c>
      <c r="Q18" s="8" t="s">
        <v>353</v>
      </c>
      <c r="R18" s="8" t="s">
        <v>353</v>
      </c>
      <c r="S18" s="8" t="s">
        <v>129</v>
      </c>
      <c r="T18" s="55" t="s">
        <v>307</v>
      </c>
      <c r="U18" s="55" t="s">
        <v>307</v>
      </c>
      <c r="V18" s="55" t="s">
        <v>307</v>
      </c>
      <c r="W18" s="55" t="s">
        <v>307</v>
      </c>
      <c r="X18" s="54"/>
      <c r="Y18" s="8"/>
      <c r="Z18" s="54" t="s">
        <v>365</v>
      </c>
      <c r="AA18" s="54" t="s">
        <v>365</v>
      </c>
      <c r="AB18" s="54" t="s">
        <v>363</v>
      </c>
      <c r="AC18" s="54" t="s">
        <v>363</v>
      </c>
      <c r="AD18" s="54" t="s">
        <v>363</v>
      </c>
      <c r="AE18" s="54" t="s">
        <v>363</v>
      </c>
      <c r="AF18" s="54"/>
      <c r="AG18" s="41">
        <f t="shared" si="6"/>
        <v>22</v>
      </c>
      <c r="AH18" s="42">
        <f t="shared" si="7"/>
        <v>73.333333333333329</v>
      </c>
      <c r="AM18" s="20"/>
      <c r="AN18" s="20"/>
      <c r="AO18" s="20"/>
      <c r="AP18" s="20"/>
      <c r="AQ18" s="20"/>
      <c r="AR18" s="20"/>
      <c r="AS18" s="20"/>
      <c r="AY18" s="58"/>
    </row>
    <row r="19" spans="1:52" x14ac:dyDescent="0.35">
      <c r="A19" s="7" t="s">
        <v>45</v>
      </c>
      <c r="B19" s="55" t="s">
        <v>207</v>
      </c>
      <c r="C19" s="55" t="s">
        <v>207</v>
      </c>
      <c r="D19" s="55" t="s">
        <v>207</v>
      </c>
      <c r="E19" s="55" t="s">
        <v>207</v>
      </c>
      <c r="F19" s="55" t="s">
        <v>207</v>
      </c>
      <c r="G19" s="55" t="s">
        <v>207</v>
      </c>
      <c r="H19" s="55" t="s">
        <v>207</v>
      </c>
      <c r="I19" s="55" t="s">
        <v>207</v>
      </c>
      <c r="J19" s="55" t="s">
        <v>207</v>
      </c>
      <c r="K19" s="55" t="s">
        <v>207</v>
      </c>
      <c r="L19" s="55" t="s">
        <v>207</v>
      </c>
      <c r="M19" s="55" t="s">
        <v>207</v>
      </c>
      <c r="N19" s="55" t="s">
        <v>207</v>
      </c>
      <c r="O19" s="55" t="s">
        <v>207</v>
      </c>
      <c r="P19" s="55" t="s">
        <v>207</v>
      </c>
      <c r="Q19" s="55" t="s">
        <v>207</v>
      </c>
      <c r="R19" s="55" t="s">
        <v>207</v>
      </c>
      <c r="S19" s="55" t="s">
        <v>207</v>
      </c>
      <c r="T19" s="55" t="s">
        <v>207</v>
      </c>
      <c r="U19" s="55" t="s">
        <v>207</v>
      </c>
      <c r="V19" s="55" t="s">
        <v>207</v>
      </c>
      <c r="W19" s="55" t="s">
        <v>207</v>
      </c>
      <c r="X19" s="55" t="s">
        <v>207</v>
      </c>
      <c r="Y19" s="55" t="s">
        <v>207</v>
      </c>
      <c r="Z19" s="55" t="s">
        <v>207</v>
      </c>
      <c r="AA19" s="55" t="s">
        <v>207</v>
      </c>
      <c r="AB19" s="55" t="s">
        <v>207</v>
      </c>
      <c r="AC19" s="55" t="s">
        <v>207</v>
      </c>
      <c r="AD19" s="55" t="s">
        <v>207</v>
      </c>
      <c r="AE19" s="55" t="s">
        <v>207</v>
      </c>
      <c r="AF19" s="54"/>
      <c r="AG19" s="41">
        <f t="shared" si="6"/>
        <v>30</v>
      </c>
      <c r="AH19" s="42">
        <f t="shared" si="7"/>
        <v>100</v>
      </c>
      <c r="AM19" s="20"/>
      <c r="AN19" s="20"/>
      <c r="AO19" s="20"/>
      <c r="AP19" s="20"/>
      <c r="AQ19" s="20"/>
      <c r="AR19" s="20"/>
      <c r="AS19" s="20"/>
      <c r="AY19" s="58"/>
    </row>
    <row r="20" spans="1:52" x14ac:dyDescent="0.35">
      <c r="A20" s="7" t="s">
        <v>47</v>
      </c>
      <c r="B20" s="55"/>
      <c r="C20" s="55"/>
      <c r="D20" s="55"/>
      <c r="E20" s="55"/>
      <c r="F20" s="55"/>
      <c r="G20" s="55" t="s">
        <v>241</v>
      </c>
      <c r="H20" s="55" t="s">
        <v>241</v>
      </c>
      <c r="I20" s="55" t="s">
        <v>173</v>
      </c>
      <c r="J20" s="55" t="s">
        <v>173</v>
      </c>
      <c r="K20" s="55" t="s">
        <v>173</v>
      </c>
      <c r="L20" s="55" t="s">
        <v>173</v>
      </c>
      <c r="M20" s="55"/>
      <c r="N20" s="55"/>
      <c r="O20" s="55"/>
      <c r="P20" s="55"/>
      <c r="Q20" s="55"/>
      <c r="R20" s="55"/>
      <c r="S20" s="55"/>
      <c r="T20" s="55"/>
      <c r="U20" s="8" t="s">
        <v>361</v>
      </c>
      <c r="V20" s="8" t="s">
        <v>361</v>
      </c>
      <c r="W20" s="8" t="s">
        <v>361</v>
      </c>
      <c r="X20" s="8" t="s">
        <v>361</v>
      </c>
      <c r="Y20" s="8" t="s">
        <v>361</v>
      </c>
      <c r="Z20" s="54" t="s">
        <v>365</v>
      </c>
      <c r="AA20" s="54" t="s">
        <v>365</v>
      </c>
      <c r="AB20" s="54" t="s">
        <v>363</v>
      </c>
      <c r="AC20" s="54" t="s">
        <v>363</v>
      </c>
      <c r="AD20" s="54" t="s">
        <v>363</v>
      </c>
      <c r="AE20" s="54" t="s">
        <v>363</v>
      </c>
      <c r="AF20" s="54"/>
      <c r="AG20" s="41">
        <f t="shared" si="6"/>
        <v>17</v>
      </c>
      <c r="AH20" s="42">
        <f t="shared" si="7"/>
        <v>56.666666666666664</v>
      </c>
      <c r="AM20" s="20"/>
      <c r="AN20" s="20"/>
      <c r="AO20" s="20"/>
      <c r="AP20" s="20"/>
      <c r="AQ20" s="20"/>
      <c r="AR20" s="20"/>
      <c r="AS20" s="20"/>
      <c r="AY20" s="58"/>
    </row>
    <row r="21" spans="1:52" x14ac:dyDescent="0.35">
      <c r="A21" s="7" t="s">
        <v>50</v>
      </c>
      <c r="B21" s="8"/>
      <c r="C21" s="8"/>
      <c r="D21" s="8" t="s">
        <v>343</v>
      </c>
      <c r="E21" s="8" t="s">
        <v>343</v>
      </c>
      <c r="F21" s="8" t="s">
        <v>343</v>
      </c>
      <c r="G21" s="8" t="s">
        <v>343</v>
      </c>
      <c r="H21" s="8" t="s">
        <v>343</v>
      </c>
      <c r="I21" s="8" t="s">
        <v>343</v>
      </c>
      <c r="J21" s="8" t="s">
        <v>343</v>
      </c>
      <c r="K21" s="8" t="s">
        <v>343</v>
      </c>
      <c r="L21" s="8"/>
      <c r="M21" s="8"/>
      <c r="N21" s="8" t="s">
        <v>350</v>
      </c>
      <c r="O21" s="8" t="s">
        <v>350</v>
      </c>
      <c r="P21" s="8" t="s">
        <v>350</v>
      </c>
      <c r="Q21" s="8" t="s">
        <v>86</v>
      </c>
      <c r="R21" s="8" t="s">
        <v>86</v>
      </c>
      <c r="S21" s="8" t="s">
        <v>86</v>
      </c>
      <c r="T21" s="8" t="s">
        <v>86</v>
      </c>
      <c r="U21" s="8" t="s">
        <v>86</v>
      </c>
      <c r="V21" s="8" t="s">
        <v>86</v>
      </c>
      <c r="W21" s="8" t="s">
        <v>86</v>
      </c>
      <c r="X21" s="8" t="s">
        <v>86</v>
      </c>
      <c r="Y21" s="8"/>
      <c r="Z21" s="54" t="s">
        <v>365</v>
      </c>
      <c r="AA21" s="54" t="s">
        <v>365</v>
      </c>
      <c r="AB21" s="54" t="s">
        <v>363</v>
      </c>
      <c r="AC21" s="54" t="s">
        <v>363</v>
      </c>
      <c r="AD21" s="54" t="s">
        <v>363</v>
      </c>
      <c r="AE21" s="54" t="s">
        <v>363</v>
      </c>
      <c r="AF21" s="54"/>
      <c r="AG21" s="41">
        <f t="shared" si="6"/>
        <v>25</v>
      </c>
      <c r="AH21" s="42">
        <f t="shared" si="7"/>
        <v>83.333333333333329</v>
      </c>
      <c r="AM21" s="20"/>
      <c r="AN21" s="20"/>
      <c r="AO21" s="20"/>
      <c r="AP21" s="56"/>
      <c r="AQ21" s="56"/>
      <c r="AR21" s="20"/>
      <c r="AS21" s="20"/>
      <c r="AY21" s="58"/>
    </row>
    <row r="22" spans="1:52" ht="15" thickBot="1" x14ac:dyDescent="0.4">
      <c r="A22" s="7" t="s">
        <v>51</v>
      </c>
      <c r="B22" s="54" t="s">
        <v>341</v>
      </c>
      <c r="C22" s="55"/>
      <c r="D22" s="8" t="s">
        <v>343</v>
      </c>
      <c r="E22" s="8" t="s">
        <v>343</v>
      </c>
      <c r="F22" s="8" t="s">
        <v>343</v>
      </c>
      <c r="G22" s="8" t="s">
        <v>343</v>
      </c>
      <c r="H22" s="8" t="s">
        <v>343</v>
      </c>
      <c r="I22" s="8" t="s">
        <v>343</v>
      </c>
      <c r="J22" s="8" t="s">
        <v>343</v>
      </c>
      <c r="K22" s="8" t="s">
        <v>343</v>
      </c>
      <c r="L22" s="8" t="s">
        <v>343</v>
      </c>
      <c r="M22" s="8" t="s">
        <v>343</v>
      </c>
      <c r="N22" s="8" t="s">
        <v>343</v>
      </c>
      <c r="O22" s="8" t="s">
        <v>343</v>
      </c>
      <c r="P22" s="8" t="s">
        <v>343</v>
      </c>
      <c r="Q22" s="8" t="s">
        <v>343</v>
      </c>
      <c r="R22" s="8" t="s">
        <v>343</v>
      </c>
      <c r="S22" s="8" t="s">
        <v>343</v>
      </c>
      <c r="T22" s="8" t="s">
        <v>343</v>
      </c>
      <c r="U22" s="8" t="s">
        <v>343</v>
      </c>
      <c r="V22" s="8" t="s">
        <v>343</v>
      </c>
      <c r="W22" s="8" t="s">
        <v>362</v>
      </c>
      <c r="X22" s="8" t="s">
        <v>362</v>
      </c>
      <c r="Y22" s="8"/>
      <c r="Z22" s="54"/>
      <c r="AA22" s="54" t="s">
        <v>260</v>
      </c>
      <c r="AB22" s="54" t="s">
        <v>260</v>
      </c>
      <c r="AC22" s="54" t="s">
        <v>260</v>
      </c>
      <c r="AD22" s="54" t="s">
        <v>260</v>
      </c>
      <c r="AE22" s="54" t="s">
        <v>260</v>
      </c>
      <c r="AF22" s="54"/>
      <c r="AG22" s="41">
        <f t="shared" si="6"/>
        <v>27</v>
      </c>
      <c r="AH22" s="42">
        <f t="shared" si="7"/>
        <v>90</v>
      </c>
      <c r="AM22" s="20"/>
      <c r="AN22" s="20"/>
      <c r="AO22" s="20"/>
      <c r="AP22" s="20"/>
      <c r="AQ22" s="20"/>
      <c r="AR22" s="20"/>
      <c r="AS22" s="20"/>
      <c r="AY22" s="58"/>
    </row>
    <row r="23" spans="1:52" ht="15.5" x14ac:dyDescent="0.35">
      <c r="A23" s="45" t="s">
        <v>176</v>
      </c>
      <c r="B23" s="46">
        <f>COUNTA(B15:B22)</f>
        <v>5</v>
      </c>
      <c r="C23" s="46">
        <f>COUNTA(C16:C22)</f>
        <v>3</v>
      </c>
      <c r="D23" s="46">
        <f>COUNTA(D16:D22)</f>
        <v>5</v>
      </c>
      <c r="E23" s="46">
        <f t="shared" ref="E23:AF23" si="8">COUNTA(E15:E22)</f>
        <v>5</v>
      </c>
      <c r="F23" s="46">
        <f t="shared" si="8"/>
        <v>4</v>
      </c>
      <c r="G23" s="46">
        <f t="shared" si="8"/>
        <v>6</v>
      </c>
      <c r="H23" s="46">
        <f t="shared" si="8"/>
        <v>8</v>
      </c>
      <c r="I23" s="46">
        <f t="shared" si="8"/>
        <v>6</v>
      </c>
      <c r="J23" s="46">
        <f t="shared" si="8"/>
        <v>4</v>
      </c>
      <c r="K23" s="46">
        <f t="shared" si="8"/>
        <v>4</v>
      </c>
      <c r="L23" s="46">
        <f t="shared" si="8"/>
        <v>3</v>
      </c>
      <c r="M23" s="46">
        <f t="shared" si="8"/>
        <v>4</v>
      </c>
      <c r="N23" s="46">
        <f t="shared" si="8"/>
        <v>6</v>
      </c>
      <c r="O23" s="46">
        <f t="shared" si="8"/>
        <v>6</v>
      </c>
      <c r="P23" s="46">
        <f t="shared" si="8"/>
        <v>6</v>
      </c>
      <c r="Q23" s="46">
        <f t="shared" si="8"/>
        <v>5</v>
      </c>
      <c r="R23" s="46">
        <f t="shared" si="8"/>
        <v>6</v>
      </c>
      <c r="S23" s="46">
        <f t="shared" si="8"/>
        <v>6</v>
      </c>
      <c r="T23" s="46">
        <f t="shared" si="8"/>
        <v>6</v>
      </c>
      <c r="U23" s="46">
        <f t="shared" si="8"/>
        <v>7</v>
      </c>
      <c r="V23" s="46">
        <f t="shared" si="8"/>
        <v>6</v>
      </c>
      <c r="W23" s="46">
        <f t="shared" si="8"/>
        <v>6</v>
      </c>
      <c r="X23" s="46">
        <f t="shared" si="8"/>
        <v>4</v>
      </c>
      <c r="Y23" s="46">
        <f t="shared" si="8"/>
        <v>3</v>
      </c>
      <c r="Z23" s="46">
        <f t="shared" si="8"/>
        <v>7</v>
      </c>
      <c r="AA23" s="46">
        <f t="shared" si="8"/>
        <v>8</v>
      </c>
      <c r="AB23" s="46">
        <f t="shared" si="8"/>
        <v>8</v>
      </c>
      <c r="AC23" s="46">
        <f t="shared" si="8"/>
        <v>8</v>
      </c>
      <c r="AD23" s="46">
        <f t="shared" si="8"/>
        <v>8</v>
      </c>
      <c r="AE23" s="46">
        <f t="shared" si="8"/>
        <v>8</v>
      </c>
      <c r="AF23" s="46">
        <f t="shared" si="8"/>
        <v>0</v>
      </c>
      <c r="AG23" s="43">
        <f>SUM(AG15:AG22)</f>
        <v>171</v>
      </c>
      <c r="AH23" s="66">
        <f>AVERAGE(AH15:AH22)</f>
        <v>71.25</v>
      </c>
      <c r="AM23" s="20"/>
      <c r="AN23" s="20"/>
      <c r="AO23" s="20"/>
      <c r="AP23" s="20"/>
      <c r="AQ23" s="20"/>
      <c r="AR23" s="20"/>
      <c r="AS23" s="20"/>
      <c r="AY23" s="58"/>
    </row>
    <row r="24" spans="1:52" ht="15.5" x14ac:dyDescent="0.35">
      <c r="A24" s="47" t="s">
        <v>178</v>
      </c>
      <c r="B24" s="52">
        <f>B12+B23</f>
        <v>7</v>
      </c>
      <c r="C24" s="52">
        <f t="shared" ref="C24:AF24" si="9">C12+C23</f>
        <v>4</v>
      </c>
      <c r="D24" s="52">
        <f t="shared" si="9"/>
        <v>6</v>
      </c>
      <c r="E24" s="52">
        <f t="shared" si="9"/>
        <v>6</v>
      </c>
      <c r="F24" s="52">
        <f t="shared" si="9"/>
        <v>6</v>
      </c>
      <c r="G24" s="52">
        <f t="shared" si="9"/>
        <v>10</v>
      </c>
      <c r="H24" s="52">
        <f t="shared" si="9"/>
        <v>12</v>
      </c>
      <c r="I24" s="52">
        <f t="shared" si="9"/>
        <v>7</v>
      </c>
      <c r="J24" s="52">
        <f t="shared" si="9"/>
        <v>5</v>
      </c>
      <c r="K24" s="52">
        <f t="shared" si="9"/>
        <v>5</v>
      </c>
      <c r="L24" s="52">
        <f t="shared" si="9"/>
        <v>4</v>
      </c>
      <c r="M24" s="52">
        <f t="shared" si="9"/>
        <v>7</v>
      </c>
      <c r="N24" s="52">
        <f t="shared" si="9"/>
        <v>11</v>
      </c>
      <c r="O24" s="52">
        <f t="shared" si="9"/>
        <v>11</v>
      </c>
      <c r="P24" s="52">
        <f t="shared" si="9"/>
        <v>8</v>
      </c>
      <c r="Q24" s="52">
        <f t="shared" si="9"/>
        <v>6</v>
      </c>
      <c r="R24" s="52">
        <f t="shared" si="9"/>
        <v>8</v>
      </c>
      <c r="S24" s="52">
        <f t="shared" si="9"/>
        <v>9</v>
      </c>
      <c r="T24" s="52">
        <f t="shared" si="9"/>
        <v>9</v>
      </c>
      <c r="U24" s="52">
        <f t="shared" si="9"/>
        <v>11</v>
      </c>
      <c r="V24" s="52">
        <f t="shared" si="9"/>
        <v>12</v>
      </c>
      <c r="W24" s="52">
        <f t="shared" si="9"/>
        <v>11</v>
      </c>
      <c r="X24" s="52">
        <f t="shared" si="9"/>
        <v>9</v>
      </c>
      <c r="Y24" s="52">
        <f t="shared" si="9"/>
        <v>8</v>
      </c>
      <c r="Z24" s="52">
        <f t="shared" si="9"/>
        <v>13</v>
      </c>
      <c r="AA24" s="52">
        <f t="shared" si="9"/>
        <v>14</v>
      </c>
      <c r="AB24" s="52">
        <f t="shared" si="9"/>
        <v>14</v>
      </c>
      <c r="AC24" s="52">
        <f t="shared" si="9"/>
        <v>14</v>
      </c>
      <c r="AD24" s="52">
        <f t="shared" si="9"/>
        <v>14</v>
      </c>
      <c r="AE24" s="52">
        <f t="shared" si="9"/>
        <v>13</v>
      </c>
      <c r="AF24" s="52">
        <f t="shared" si="9"/>
        <v>1</v>
      </c>
      <c r="AG24" s="49">
        <f>+AG12+AG23</f>
        <v>275</v>
      </c>
      <c r="AM24" s="20"/>
      <c r="AN24" s="20"/>
      <c r="AO24" s="20"/>
      <c r="AP24" s="20"/>
      <c r="AQ24" s="20"/>
      <c r="AR24" s="20"/>
      <c r="AS24" s="20"/>
      <c r="AY24" s="58"/>
    </row>
    <row r="25" spans="1:52" ht="15.5" x14ac:dyDescent="0.35">
      <c r="A25" s="48" t="s">
        <v>179</v>
      </c>
      <c r="B25" s="42">
        <f>B24*100/15</f>
        <v>46.666666666666664</v>
      </c>
      <c r="C25" s="42">
        <f t="shared" ref="C25:AF25" si="10">C24*100/15</f>
        <v>26.666666666666668</v>
      </c>
      <c r="D25" s="42">
        <f t="shared" si="10"/>
        <v>40</v>
      </c>
      <c r="E25" s="42">
        <f t="shared" si="10"/>
        <v>40</v>
      </c>
      <c r="F25" s="42">
        <f t="shared" si="10"/>
        <v>40</v>
      </c>
      <c r="G25" s="42">
        <f t="shared" si="10"/>
        <v>66.666666666666671</v>
      </c>
      <c r="H25" s="42">
        <f t="shared" si="10"/>
        <v>80</v>
      </c>
      <c r="I25" s="42">
        <f t="shared" si="10"/>
        <v>46.666666666666664</v>
      </c>
      <c r="J25" s="42">
        <f t="shared" si="10"/>
        <v>33.333333333333336</v>
      </c>
      <c r="K25" s="42">
        <f t="shared" si="10"/>
        <v>33.333333333333336</v>
      </c>
      <c r="L25" s="42">
        <f t="shared" si="10"/>
        <v>26.666666666666668</v>
      </c>
      <c r="M25" s="42">
        <f t="shared" si="10"/>
        <v>46.666666666666664</v>
      </c>
      <c r="N25" s="42">
        <f t="shared" si="10"/>
        <v>73.333333333333329</v>
      </c>
      <c r="O25" s="42">
        <f t="shared" si="10"/>
        <v>73.333333333333329</v>
      </c>
      <c r="P25" s="42">
        <f t="shared" si="10"/>
        <v>53.333333333333336</v>
      </c>
      <c r="Q25" s="42">
        <f t="shared" si="10"/>
        <v>40</v>
      </c>
      <c r="R25" s="42">
        <f t="shared" si="10"/>
        <v>53.333333333333336</v>
      </c>
      <c r="S25" s="42">
        <f t="shared" si="10"/>
        <v>60</v>
      </c>
      <c r="T25" s="42">
        <f t="shared" si="10"/>
        <v>60</v>
      </c>
      <c r="U25" s="42">
        <f t="shared" si="10"/>
        <v>73.333333333333329</v>
      </c>
      <c r="V25" s="42">
        <f t="shared" si="10"/>
        <v>80</v>
      </c>
      <c r="W25" s="42">
        <f t="shared" si="10"/>
        <v>73.333333333333329</v>
      </c>
      <c r="X25" s="42">
        <f t="shared" si="10"/>
        <v>60</v>
      </c>
      <c r="Y25" s="42">
        <f t="shared" si="10"/>
        <v>53.333333333333336</v>
      </c>
      <c r="Z25" s="42">
        <f t="shared" si="10"/>
        <v>86.666666666666671</v>
      </c>
      <c r="AA25" s="42">
        <f t="shared" si="10"/>
        <v>93.333333333333329</v>
      </c>
      <c r="AB25" s="42">
        <f t="shared" si="10"/>
        <v>93.333333333333329</v>
      </c>
      <c r="AC25" s="42">
        <f t="shared" si="10"/>
        <v>93.333333333333329</v>
      </c>
      <c r="AD25" s="42">
        <f t="shared" si="10"/>
        <v>93.333333333333329</v>
      </c>
      <c r="AE25" s="42">
        <f t="shared" si="10"/>
        <v>86.666666666666671</v>
      </c>
      <c r="AF25" s="42">
        <f t="shared" si="10"/>
        <v>6.666666666666667</v>
      </c>
      <c r="AG25" s="50">
        <f>AVERAGE(B25:AF25)</f>
        <v>59.13978494623656</v>
      </c>
      <c r="AH25" s="51" t="s">
        <v>180</v>
      </c>
      <c r="AM25" s="20"/>
      <c r="AN25" s="20"/>
      <c r="AO25" s="20"/>
      <c r="AP25" s="20"/>
      <c r="AQ25" s="20"/>
      <c r="AR25" s="20"/>
      <c r="AS25" s="20"/>
      <c r="AY25" s="58"/>
    </row>
    <row r="26" spans="1:52" x14ac:dyDescent="0.35">
      <c r="AM26" s="20"/>
      <c r="AN26" s="20"/>
      <c r="AO26" s="20"/>
      <c r="AP26" s="20"/>
      <c r="AQ26" s="20"/>
      <c r="AR26" s="20"/>
      <c r="AS26" s="20"/>
      <c r="AY26" s="58"/>
    </row>
    <row r="27" spans="1:52" x14ac:dyDescent="0.35">
      <c r="AM27" s="20"/>
      <c r="AN27" s="20"/>
      <c r="AO27" s="20"/>
      <c r="AP27" s="20"/>
      <c r="AQ27" s="20"/>
      <c r="AR27" s="20"/>
      <c r="AS27" s="20"/>
      <c r="AY27" s="58"/>
    </row>
    <row r="28" spans="1:52" x14ac:dyDescent="0.35">
      <c r="AM28" s="20"/>
      <c r="AN28" s="20"/>
      <c r="AO28" s="20"/>
      <c r="AP28" s="20"/>
      <c r="AQ28" s="20"/>
      <c r="AR28" s="20"/>
      <c r="AS28" s="20"/>
      <c r="AY28" s="58"/>
    </row>
    <row r="29" spans="1:52" x14ac:dyDescent="0.35">
      <c r="AM29" s="20"/>
      <c r="AN29" s="20"/>
      <c r="AO29" s="20"/>
      <c r="AP29" s="56"/>
      <c r="AQ29" s="56"/>
      <c r="AR29" s="20"/>
      <c r="AS29" s="20"/>
      <c r="AZ29" s="59"/>
    </row>
    <row r="30" spans="1:52" x14ac:dyDescent="0.35">
      <c r="AM30" s="20"/>
      <c r="AN30" s="20"/>
      <c r="AO30" s="20"/>
      <c r="AP30" s="20"/>
      <c r="AQ30" s="20"/>
      <c r="AR30" s="20"/>
      <c r="AS30" s="20"/>
    </row>
    <row r="31" spans="1:52" x14ac:dyDescent="0.35">
      <c r="AM31" s="20"/>
      <c r="AN31" s="20"/>
      <c r="AO31" s="20"/>
      <c r="AP31" s="20"/>
      <c r="AQ31" s="20"/>
      <c r="AR31" s="20"/>
      <c r="AS31" s="20"/>
    </row>
    <row r="32" spans="1:52" x14ac:dyDescent="0.35">
      <c r="Z32" s="54" t="s">
        <v>363</v>
      </c>
      <c r="AA32" s="54" t="s">
        <v>363</v>
      </c>
      <c r="AB32" s="54" t="s">
        <v>363</v>
      </c>
      <c r="AC32" s="54" t="s">
        <v>363</v>
      </c>
      <c r="AD32" s="54" t="s">
        <v>363</v>
      </c>
      <c r="AE32" s="54" t="s">
        <v>363</v>
      </c>
      <c r="AM32" s="20"/>
      <c r="AN32" s="20"/>
      <c r="AO32" s="20"/>
      <c r="AP32" s="20"/>
      <c r="AQ32" s="20"/>
      <c r="AR32" s="20"/>
      <c r="AS32" s="20"/>
    </row>
    <row r="33" spans="39:45" x14ac:dyDescent="0.35">
      <c r="AM33" s="20"/>
      <c r="AN33" s="20"/>
      <c r="AO33" s="20"/>
      <c r="AP33" s="20"/>
      <c r="AQ33" s="20"/>
      <c r="AR33" s="20"/>
      <c r="AS33" s="20"/>
    </row>
    <row r="34" spans="39:45" x14ac:dyDescent="0.35">
      <c r="AM34" s="20"/>
      <c r="AN34" s="20"/>
      <c r="AO34" s="20"/>
      <c r="AP34" s="20"/>
      <c r="AQ34" s="20"/>
      <c r="AR34" s="20"/>
      <c r="AS34" s="20"/>
    </row>
    <row r="35" spans="39:45" x14ac:dyDescent="0.35">
      <c r="AM35" s="20"/>
      <c r="AN35" s="20"/>
      <c r="AO35" s="20"/>
      <c r="AP35" s="20"/>
      <c r="AQ35" s="20"/>
      <c r="AR35" s="20"/>
      <c r="AS35" s="20"/>
    </row>
    <row r="36" spans="39:45" x14ac:dyDescent="0.35">
      <c r="AM36" s="20"/>
      <c r="AN36" s="20"/>
      <c r="AO36" s="20"/>
      <c r="AP36" s="20"/>
      <c r="AQ36" s="20"/>
      <c r="AR36" s="20"/>
      <c r="AS36" s="20"/>
    </row>
    <row r="37" spans="39:45" x14ac:dyDescent="0.35">
      <c r="AM37" s="20"/>
      <c r="AN37" s="20"/>
      <c r="AO37" s="20"/>
      <c r="AP37" s="20"/>
      <c r="AQ37" s="20"/>
      <c r="AR37" s="20"/>
      <c r="AS37" s="20"/>
    </row>
    <row r="38" spans="39:45" x14ac:dyDescent="0.35">
      <c r="AM38" s="20"/>
      <c r="AN38" s="20"/>
      <c r="AO38" s="20"/>
      <c r="AP38" s="20"/>
      <c r="AQ38" s="20"/>
      <c r="AR38" s="20"/>
      <c r="AS38" s="20"/>
    </row>
    <row r="39" spans="39:45" x14ac:dyDescent="0.35">
      <c r="AM39" s="20"/>
      <c r="AN39" s="20"/>
      <c r="AO39" s="20"/>
      <c r="AP39" s="20"/>
      <c r="AQ39" s="20"/>
      <c r="AR39" s="20"/>
      <c r="AS39" s="20"/>
    </row>
    <row r="40" spans="39:45" x14ac:dyDescent="0.35">
      <c r="AM40" s="20"/>
      <c r="AN40" s="20"/>
      <c r="AO40" s="20"/>
      <c r="AP40" s="20"/>
      <c r="AQ40" s="20"/>
      <c r="AR40" s="20"/>
      <c r="AS40" s="20"/>
    </row>
    <row r="41" spans="39:45" x14ac:dyDescent="0.35">
      <c r="AM41" s="20"/>
      <c r="AN41" s="20"/>
      <c r="AO41" s="20"/>
      <c r="AP41" s="20"/>
      <c r="AQ41" s="20"/>
      <c r="AR41" s="20"/>
      <c r="AS41" s="20"/>
    </row>
    <row r="42" spans="39:45" x14ac:dyDescent="0.35">
      <c r="AM42" s="20"/>
      <c r="AN42" s="20"/>
      <c r="AO42" s="20"/>
      <c r="AP42" s="20"/>
      <c r="AQ42" s="20"/>
      <c r="AR42" s="20"/>
      <c r="AS42" s="20"/>
    </row>
    <row r="43" spans="39:45" x14ac:dyDescent="0.35">
      <c r="AM43" s="20"/>
      <c r="AN43" s="20"/>
      <c r="AO43" s="20"/>
      <c r="AP43" s="20"/>
      <c r="AQ43" s="20"/>
      <c r="AR43" s="20"/>
      <c r="AS43" s="20"/>
    </row>
    <row r="44" spans="39:45" ht="13.5" customHeight="1" x14ac:dyDescent="0.35">
      <c r="AM44" s="20"/>
      <c r="AN44" s="20"/>
      <c r="AO44" s="20"/>
      <c r="AP44" s="20"/>
      <c r="AQ44" s="20"/>
      <c r="AR44" s="20"/>
      <c r="AS44" s="20"/>
    </row>
    <row r="45" spans="39:45" x14ac:dyDescent="0.35">
      <c r="AM45" s="20"/>
      <c r="AN45" s="20"/>
      <c r="AO45" s="20"/>
      <c r="AP45" s="20"/>
      <c r="AQ45" s="20"/>
      <c r="AR45" s="20"/>
      <c r="AS45" s="20"/>
    </row>
    <row r="46" spans="39:45" x14ac:dyDescent="0.35">
      <c r="AM46" s="20"/>
      <c r="AN46" s="20"/>
      <c r="AO46" s="20"/>
      <c r="AP46" s="20"/>
      <c r="AQ46" s="20"/>
      <c r="AR46" s="20"/>
      <c r="AS46" s="20"/>
    </row>
    <row r="47" spans="39:45" x14ac:dyDescent="0.35">
      <c r="AM47" s="20"/>
      <c r="AN47" s="20"/>
      <c r="AO47" s="20"/>
      <c r="AP47" s="20"/>
      <c r="AQ47" s="20"/>
      <c r="AR47" s="20"/>
      <c r="AS47" s="20"/>
    </row>
    <row r="48" spans="39:45" x14ac:dyDescent="0.35">
      <c r="AM48" s="20"/>
      <c r="AN48" s="20"/>
      <c r="AO48" s="20"/>
      <c r="AP48" s="20"/>
      <c r="AQ48" s="20"/>
      <c r="AR48" s="20"/>
      <c r="AS48" s="20"/>
    </row>
    <row r="49" spans="39:45" x14ac:dyDescent="0.35">
      <c r="AM49" s="20"/>
      <c r="AN49" s="20"/>
      <c r="AO49" s="20"/>
      <c r="AP49" s="20"/>
      <c r="AQ49" s="20"/>
      <c r="AR49" s="20"/>
      <c r="AS49" s="20"/>
    </row>
    <row r="50" spans="39:45" x14ac:dyDescent="0.35">
      <c r="AM50" s="126" t="s">
        <v>268</v>
      </c>
      <c r="AN50" s="127"/>
      <c r="AO50" s="127"/>
      <c r="AP50" s="127"/>
      <c r="AQ50" s="127"/>
      <c r="AR50" s="127"/>
      <c r="AS50" s="128"/>
    </row>
    <row r="51" spans="39:45" x14ac:dyDescent="0.35">
      <c r="AM51" s="20" t="s">
        <v>208</v>
      </c>
      <c r="AN51" s="20"/>
      <c r="AO51" s="20" t="s">
        <v>271</v>
      </c>
      <c r="AP51" s="20"/>
      <c r="AQ51" s="20"/>
      <c r="AR51" s="20"/>
      <c r="AS51" s="20"/>
    </row>
    <row r="52" spans="39:45" x14ac:dyDescent="0.35">
      <c r="AM52" s="20" t="s">
        <v>9</v>
      </c>
      <c r="AN52" s="20"/>
      <c r="AO52" s="20" t="s">
        <v>271</v>
      </c>
      <c r="AP52" s="20"/>
      <c r="AQ52" s="20"/>
      <c r="AR52" s="20"/>
      <c r="AS52" s="20"/>
    </row>
    <row r="53" spans="39:45" x14ac:dyDescent="0.35">
      <c r="AM53" s="20" t="s">
        <v>270</v>
      </c>
      <c r="AN53" s="20"/>
      <c r="AO53" s="20" t="s">
        <v>271</v>
      </c>
      <c r="AP53" s="20"/>
      <c r="AQ53" s="20"/>
      <c r="AR53" s="20"/>
      <c r="AS53" s="20"/>
    </row>
    <row r="54" spans="39:45" x14ac:dyDescent="0.35">
      <c r="AM54" s="20"/>
      <c r="AN54" s="20"/>
      <c r="AO54" s="20"/>
      <c r="AP54" s="20"/>
      <c r="AQ54" s="20"/>
      <c r="AR54" s="20"/>
      <c r="AS54" s="20"/>
    </row>
  </sheetData>
  <mergeCells count="3">
    <mergeCell ref="A1:AE1"/>
    <mergeCell ref="AM3:AS3"/>
    <mergeCell ref="AM50:AS50"/>
  </mergeCells>
  <phoneticPr fontId="9" type="noConversion"/>
  <conditionalFormatting sqref="B11">
    <cfRule type="colorScale" priority="29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5">
    <cfRule type="colorScale" priority="28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7">
    <cfRule type="colorScale" priority="2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22">
    <cfRule type="colorScale" priority="2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8:F18">
    <cfRule type="colorScale" priority="2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21:Y21 H18:S18 X18:Y18 D22:Y22 C15:AE15">
    <cfRule type="colorScale" priority="4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7:AE7">
    <cfRule type="colorScale" priority="30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9:AE19">
    <cfRule type="colorScale" priority="2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C22 G18 B16:P16 B20:T20 C17:U17 W17:Y17 T16:Y16 Z16:AE17">
    <cfRule type="colorScale" priority="39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C11:F11 J11:T11 W11 Y11 B8:Y8">
    <cfRule type="colorScale" priority="5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G11:I11">
    <cfRule type="colorScale" priority="2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L13:U14 X13:AH14 B13:I14 AF19 AF21:AF22 AF15:AF16 AF5:AF9 B9:T9 B10:AF10 B5:AE5 B6:T6 V6:Y6 W9:AE9 AE11:AF11">
    <cfRule type="colorScale" priority="5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Q16:S16">
    <cfRule type="colorScale" priority="2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T18:U18">
    <cfRule type="colorScale" priority="19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U6">
    <cfRule type="colorScale" priority="18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U9">
    <cfRule type="colorScale" priority="1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U11:V11">
    <cfRule type="colorScale" priority="1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U20:Y20">
    <cfRule type="colorScale" priority="20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V9">
    <cfRule type="colorScale" priority="1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V17">
    <cfRule type="colorScale" priority="1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V18:W18">
    <cfRule type="colorScale" priority="2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X11">
    <cfRule type="colorScale" priority="1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Z18:AA18">
    <cfRule type="colorScale" priority="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Z20:AA21">
    <cfRule type="colorScale" priority="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Z11:AD11">
    <cfRule type="colorScale" priority="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Z6:AE6">
    <cfRule type="colorScale" priority="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Z8:AE8">
    <cfRule type="colorScale" priority="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Z22:AE22">
    <cfRule type="colorScale" priority="10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Z32:AE32">
    <cfRule type="colorScale" priority="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B18:AE18">
    <cfRule type="colorScale" priority="1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B20:AE20">
    <cfRule type="colorScale" priority="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B21:AE21">
    <cfRule type="colorScale" priority="1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F17">
    <cfRule type="colorScale" priority="49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F18">
    <cfRule type="colorScale" priority="48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F20">
    <cfRule type="colorScale" priority="47">
      <colorScale>
        <cfvo type="num" val="1"/>
        <cfvo type="max"/>
        <color theme="4" tint="0.59999389629810485"/>
        <color theme="5" tint="0.59999389629810485"/>
      </colorScale>
    </cfRule>
  </conditionalFormatting>
  <pageMargins left="0.7" right="0.7" top="0.75" bottom="0.75" header="0.3" footer="0.3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6B7AA-F91A-43BE-8A84-8BBC9AC55683}">
  <dimension ref="A1:AX27"/>
  <sheetViews>
    <sheetView zoomScale="86" zoomScaleNormal="86" workbookViewId="0">
      <pane xSplit="1" ySplit="4" topLeftCell="P5" activePane="bottomRight" state="frozen"/>
      <selection pane="topRight" activeCell="B1" sqref="B1"/>
      <selection pane="bottomLeft" activeCell="A5" sqref="A5"/>
      <selection pane="bottomRight" activeCell="AD19" sqref="AD19:AF19"/>
    </sheetView>
  </sheetViews>
  <sheetFormatPr defaultRowHeight="14.5" x14ac:dyDescent="0.35"/>
  <cols>
    <col min="1" max="1" width="28.453125" bestFit="1" customWidth="1"/>
    <col min="2" max="5" width="9.1796875" hidden="1" customWidth="1"/>
    <col min="6" max="15" width="7.26953125" hidden="1" customWidth="1"/>
    <col min="16" max="21" width="7.453125" bestFit="1" customWidth="1"/>
    <col min="22" max="22" width="8" bestFit="1" customWidth="1"/>
    <col min="23" max="32" width="5.81640625" bestFit="1" customWidth="1"/>
    <col min="33" max="33" width="5.26953125" bestFit="1" customWidth="1"/>
    <col min="34" max="34" width="8.26953125" bestFit="1" customWidth="1"/>
    <col min="35" max="36" width="6.81640625" bestFit="1" customWidth="1"/>
    <col min="37" max="37" width="0" hidden="1" customWidth="1"/>
    <col min="38" max="38" width="3" customWidth="1"/>
    <col min="39" max="39" width="18.54296875" bestFit="1" customWidth="1"/>
    <col min="40" max="40" width="12.453125" bestFit="1" customWidth="1"/>
    <col min="41" max="41" width="9.81640625" bestFit="1" customWidth="1"/>
    <col min="42" max="42" width="10.81640625" bestFit="1" customWidth="1"/>
    <col min="43" max="43" width="10.1796875" bestFit="1" customWidth="1"/>
    <col min="44" max="44" width="24.81640625" bestFit="1" customWidth="1"/>
    <col min="45" max="45" width="0.453125" customWidth="1"/>
    <col min="51" max="51" width="15" bestFit="1" customWidth="1"/>
  </cols>
  <sheetData>
    <row r="1" spans="1:44" ht="15.5" x14ac:dyDescent="0.35">
      <c r="A1" s="120" t="s">
        <v>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65"/>
    </row>
    <row r="2" spans="1:44" ht="15" thickBot="1" x14ac:dyDescent="0.4"/>
    <row r="3" spans="1:44" ht="45.75" customHeight="1" x14ac:dyDescent="0.35">
      <c r="A3" s="1" t="s">
        <v>1</v>
      </c>
      <c r="B3" s="2">
        <f>AI4</f>
        <v>45108</v>
      </c>
      <c r="C3" s="2">
        <f t="shared" ref="C3:AF3" si="0">B3+1</f>
        <v>45109</v>
      </c>
      <c r="D3" s="2">
        <f t="shared" si="0"/>
        <v>45110</v>
      </c>
      <c r="E3" s="2">
        <f t="shared" si="0"/>
        <v>45111</v>
      </c>
      <c r="F3" s="2">
        <f t="shared" si="0"/>
        <v>45112</v>
      </c>
      <c r="G3" s="2">
        <f t="shared" si="0"/>
        <v>45113</v>
      </c>
      <c r="H3" s="2">
        <f t="shared" si="0"/>
        <v>45114</v>
      </c>
      <c r="I3" s="2">
        <f>H3+1</f>
        <v>45115</v>
      </c>
      <c r="J3" s="2">
        <f t="shared" si="0"/>
        <v>45116</v>
      </c>
      <c r="K3" s="2">
        <f t="shared" si="0"/>
        <v>45117</v>
      </c>
      <c r="L3" s="2">
        <f t="shared" si="0"/>
        <v>45118</v>
      </c>
      <c r="M3" s="2">
        <f t="shared" si="0"/>
        <v>45119</v>
      </c>
      <c r="N3" s="2">
        <f t="shared" si="0"/>
        <v>45120</v>
      </c>
      <c r="O3" s="2">
        <f t="shared" si="0"/>
        <v>45121</v>
      </c>
      <c r="P3" s="2">
        <f t="shared" si="0"/>
        <v>45122</v>
      </c>
      <c r="Q3" s="2">
        <f t="shared" si="0"/>
        <v>45123</v>
      </c>
      <c r="R3" s="2">
        <f t="shared" si="0"/>
        <v>45124</v>
      </c>
      <c r="S3" s="2">
        <f t="shared" si="0"/>
        <v>45125</v>
      </c>
      <c r="T3" s="2">
        <f t="shared" si="0"/>
        <v>45126</v>
      </c>
      <c r="U3" s="2">
        <f t="shared" si="0"/>
        <v>45127</v>
      </c>
      <c r="V3" s="2">
        <f t="shared" si="0"/>
        <v>45128</v>
      </c>
      <c r="W3" s="2">
        <f t="shared" si="0"/>
        <v>45129</v>
      </c>
      <c r="X3" s="2">
        <f t="shared" si="0"/>
        <v>45130</v>
      </c>
      <c r="Y3" s="2">
        <f t="shared" si="0"/>
        <v>45131</v>
      </c>
      <c r="Z3" s="2">
        <f t="shared" si="0"/>
        <v>45132</v>
      </c>
      <c r="AA3" s="2">
        <f t="shared" si="0"/>
        <v>45133</v>
      </c>
      <c r="AB3" s="2">
        <f t="shared" si="0"/>
        <v>45134</v>
      </c>
      <c r="AC3" s="2">
        <f t="shared" si="0"/>
        <v>45135</v>
      </c>
      <c r="AD3" s="2">
        <f t="shared" si="0"/>
        <v>45136</v>
      </c>
      <c r="AE3" s="2">
        <f t="shared" si="0"/>
        <v>45137</v>
      </c>
      <c r="AF3" s="2">
        <f t="shared" si="0"/>
        <v>45138</v>
      </c>
      <c r="AG3" s="36"/>
      <c r="AH3" s="36"/>
      <c r="AM3" s="122" t="s">
        <v>267</v>
      </c>
      <c r="AN3" s="123"/>
      <c r="AO3" s="123"/>
      <c r="AP3" s="123"/>
      <c r="AQ3" s="123"/>
      <c r="AR3" s="124"/>
    </row>
    <row r="4" spans="1:44" ht="31.5" customHeight="1" x14ac:dyDescent="0.35">
      <c r="A4" s="3" t="s">
        <v>2</v>
      </c>
      <c r="B4" s="4">
        <f t="shared" ref="B4:AF4" si="1">B3</f>
        <v>45108</v>
      </c>
      <c r="C4" s="4">
        <f t="shared" si="1"/>
        <v>45109</v>
      </c>
      <c r="D4" s="4">
        <f t="shared" si="1"/>
        <v>45110</v>
      </c>
      <c r="E4" s="4">
        <f t="shared" si="1"/>
        <v>45111</v>
      </c>
      <c r="F4" s="4">
        <f t="shared" si="1"/>
        <v>45112</v>
      </c>
      <c r="G4" s="4">
        <f t="shared" si="1"/>
        <v>45113</v>
      </c>
      <c r="H4" s="4">
        <f t="shared" si="1"/>
        <v>45114</v>
      </c>
      <c r="I4" s="4">
        <f t="shared" si="1"/>
        <v>45115</v>
      </c>
      <c r="J4" s="4">
        <f t="shared" si="1"/>
        <v>45116</v>
      </c>
      <c r="K4" s="4">
        <f t="shared" si="1"/>
        <v>45117</v>
      </c>
      <c r="L4" s="4">
        <f t="shared" si="1"/>
        <v>45118</v>
      </c>
      <c r="M4" s="4">
        <f t="shared" si="1"/>
        <v>45119</v>
      </c>
      <c r="N4" s="4">
        <f t="shared" si="1"/>
        <v>45120</v>
      </c>
      <c r="O4" s="4">
        <f t="shared" si="1"/>
        <v>45121</v>
      </c>
      <c r="P4" s="4">
        <f t="shared" si="1"/>
        <v>45122</v>
      </c>
      <c r="Q4" s="4">
        <f t="shared" si="1"/>
        <v>45123</v>
      </c>
      <c r="R4" s="4">
        <f t="shared" si="1"/>
        <v>45124</v>
      </c>
      <c r="S4" s="4">
        <f t="shared" si="1"/>
        <v>45125</v>
      </c>
      <c r="T4" s="4">
        <f t="shared" si="1"/>
        <v>45126</v>
      </c>
      <c r="U4" s="4">
        <f t="shared" si="1"/>
        <v>45127</v>
      </c>
      <c r="V4" s="4">
        <f t="shared" si="1"/>
        <v>45128</v>
      </c>
      <c r="W4" s="4">
        <f t="shared" si="1"/>
        <v>45129</v>
      </c>
      <c r="X4" s="4">
        <f t="shared" si="1"/>
        <v>45130</v>
      </c>
      <c r="Y4" s="4">
        <f t="shared" si="1"/>
        <v>45131</v>
      </c>
      <c r="Z4" s="4">
        <f t="shared" si="1"/>
        <v>45132</v>
      </c>
      <c r="AA4" s="4">
        <f t="shared" si="1"/>
        <v>45133</v>
      </c>
      <c r="AB4" s="4">
        <f t="shared" si="1"/>
        <v>45134</v>
      </c>
      <c r="AC4" s="4">
        <f t="shared" si="1"/>
        <v>45135</v>
      </c>
      <c r="AD4" s="4">
        <f t="shared" si="1"/>
        <v>45136</v>
      </c>
      <c r="AE4" s="4">
        <f t="shared" si="1"/>
        <v>45137</v>
      </c>
      <c r="AF4" s="4">
        <f t="shared" si="1"/>
        <v>45138</v>
      </c>
      <c r="AG4" s="39" t="s">
        <v>174</v>
      </c>
      <c r="AH4" s="40" t="s">
        <v>175</v>
      </c>
      <c r="AI4" s="5">
        <v>45108</v>
      </c>
      <c r="AJ4" s="6">
        <f>EOMONTH(AI4,0)</f>
        <v>45138</v>
      </c>
      <c r="AM4" s="19" t="s">
        <v>54</v>
      </c>
      <c r="AN4" s="19" t="s">
        <v>269</v>
      </c>
      <c r="AO4" s="19" t="s">
        <v>55</v>
      </c>
      <c r="AP4" s="19" t="s">
        <v>56</v>
      </c>
      <c r="AQ4" s="19" t="s">
        <v>251</v>
      </c>
      <c r="AR4" s="19" t="s">
        <v>57</v>
      </c>
    </row>
    <row r="5" spans="1:44" x14ac:dyDescent="0.35">
      <c r="A5" s="7" t="s">
        <v>3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 t="s">
        <v>5</v>
      </c>
      <c r="U5" s="55"/>
      <c r="V5" s="55"/>
      <c r="W5" s="55"/>
      <c r="X5" s="55"/>
      <c r="Y5" s="55"/>
      <c r="Z5" s="55"/>
      <c r="AA5" s="55"/>
      <c r="AB5" s="55"/>
      <c r="AC5" s="55"/>
      <c r="AD5" s="55" t="s">
        <v>382</v>
      </c>
      <c r="AE5" s="55"/>
      <c r="AF5" s="8"/>
      <c r="AG5" s="41">
        <f>COUNTA(B5:AF5)</f>
        <v>2</v>
      </c>
      <c r="AH5" s="42">
        <f>AG5*100/31</f>
        <v>6.4516129032258061</v>
      </c>
      <c r="AM5" s="20" t="s">
        <v>347</v>
      </c>
      <c r="AN5" s="60" t="s">
        <v>272</v>
      </c>
      <c r="AO5" s="56">
        <v>45124</v>
      </c>
      <c r="AP5" s="56">
        <v>45127</v>
      </c>
      <c r="AQ5" s="57">
        <v>4</v>
      </c>
      <c r="AR5" s="20" t="s">
        <v>376</v>
      </c>
    </row>
    <row r="6" spans="1:44" x14ac:dyDescent="0.35">
      <c r="A6" s="7" t="s">
        <v>7</v>
      </c>
      <c r="B6" s="8" t="s">
        <v>361</v>
      </c>
      <c r="C6" s="8" t="s">
        <v>361</v>
      </c>
      <c r="D6" s="8" t="s">
        <v>361</v>
      </c>
      <c r="E6" s="8" t="s">
        <v>361</v>
      </c>
      <c r="F6" s="8" t="s">
        <v>361</v>
      </c>
      <c r="G6" s="8" t="s">
        <v>361</v>
      </c>
      <c r="H6" s="8" t="s">
        <v>361</v>
      </c>
      <c r="I6" s="8" t="s">
        <v>361</v>
      </c>
      <c r="J6" s="8" t="s">
        <v>361</v>
      </c>
      <c r="K6" s="8" t="s">
        <v>361</v>
      </c>
      <c r="L6" s="8" t="s">
        <v>361</v>
      </c>
      <c r="M6" s="8" t="s">
        <v>361</v>
      </c>
      <c r="N6" s="8" t="s">
        <v>361</v>
      </c>
      <c r="O6" s="8" t="s">
        <v>361</v>
      </c>
      <c r="P6" s="8" t="s">
        <v>361</v>
      </c>
      <c r="Q6" s="8" t="s">
        <v>361</v>
      </c>
      <c r="R6" s="55" t="s">
        <v>95</v>
      </c>
      <c r="S6" s="55" t="s">
        <v>95</v>
      </c>
      <c r="T6" s="55" t="s">
        <v>95</v>
      </c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8"/>
      <c r="AG6" s="41">
        <f t="shared" ref="AG6:AG10" si="2">COUNTA(B6:AF6)</f>
        <v>19</v>
      </c>
      <c r="AH6" s="42">
        <f t="shared" ref="AH6:AH11" si="3">AG6*100/31</f>
        <v>61.29032258064516</v>
      </c>
      <c r="AM6" s="20" t="s">
        <v>347</v>
      </c>
      <c r="AN6" s="60" t="s">
        <v>272</v>
      </c>
      <c r="AO6" s="56">
        <v>45124</v>
      </c>
      <c r="AP6" s="56">
        <v>45127</v>
      </c>
      <c r="AQ6" s="57">
        <v>4</v>
      </c>
      <c r="AR6" s="20" t="s">
        <v>376</v>
      </c>
    </row>
    <row r="7" spans="1:44" x14ac:dyDescent="0.35">
      <c r="A7" s="7" t="s">
        <v>11</v>
      </c>
      <c r="B7" s="55" t="s">
        <v>22</v>
      </c>
      <c r="C7" s="55" t="s">
        <v>22</v>
      </c>
      <c r="D7" s="55" t="s">
        <v>22</v>
      </c>
      <c r="E7" s="55" t="s">
        <v>22</v>
      </c>
      <c r="F7" s="55" t="s">
        <v>22</v>
      </c>
      <c r="G7" s="55" t="s">
        <v>22</v>
      </c>
      <c r="H7" s="55" t="s">
        <v>22</v>
      </c>
      <c r="I7" s="55" t="s">
        <v>22</v>
      </c>
      <c r="J7" s="55" t="s">
        <v>22</v>
      </c>
      <c r="K7" s="55" t="s">
        <v>22</v>
      </c>
      <c r="L7" s="55" t="s">
        <v>22</v>
      </c>
      <c r="M7" s="55" t="s">
        <v>22</v>
      </c>
      <c r="N7" s="55" t="s">
        <v>22</v>
      </c>
      <c r="O7" s="55" t="s">
        <v>22</v>
      </c>
      <c r="P7" s="55" t="s">
        <v>22</v>
      </c>
      <c r="Q7" s="55" t="s">
        <v>22</v>
      </c>
      <c r="R7" s="55" t="s">
        <v>22</v>
      </c>
      <c r="S7" s="55" t="s">
        <v>22</v>
      </c>
      <c r="T7" s="55" t="s">
        <v>22</v>
      </c>
      <c r="U7" s="55" t="s">
        <v>22</v>
      </c>
      <c r="V7" s="55" t="s">
        <v>22</v>
      </c>
      <c r="W7" s="55" t="s">
        <v>22</v>
      </c>
      <c r="X7" s="55" t="s">
        <v>22</v>
      </c>
      <c r="Y7" s="55" t="s">
        <v>22</v>
      </c>
      <c r="Z7" s="55" t="s">
        <v>22</v>
      </c>
      <c r="AA7" s="55" t="s">
        <v>22</v>
      </c>
      <c r="AB7" s="55" t="s">
        <v>22</v>
      </c>
      <c r="AC7" s="55" t="s">
        <v>22</v>
      </c>
      <c r="AD7" s="55" t="s">
        <v>22</v>
      </c>
      <c r="AE7" s="55" t="s">
        <v>22</v>
      </c>
      <c r="AF7" s="55" t="s">
        <v>22</v>
      </c>
      <c r="AG7" s="41">
        <f t="shared" si="2"/>
        <v>31</v>
      </c>
      <c r="AH7" s="42">
        <f t="shared" si="3"/>
        <v>100</v>
      </c>
      <c r="AM7" s="20" t="s">
        <v>347</v>
      </c>
      <c r="AN7" s="60" t="s">
        <v>272</v>
      </c>
      <c r="AO7" s="56">
        <v>45124</v>
      </c>
      <c r="AP7" s="56">
        <v>45127</v>
      </c>
      <c r="AQ7" s="57">
        <v>4</v>
      </c>
      <c r="AR7" s="20" t="s">
        <v>376</v>
      </c>
    </row>
    <row r="8" spans="1:44" ht="15" customHeight="1" x14ac:dyDescent="0.35">
      <c r="A8" s="7" t="s">
        <v>15</v>
      </c>
      <c r="B8" s="55" t="s">
        <v>44</v>
      </c>
      <c r="C8" s="55" t="s">
        <v>44</v>
      </c>
      <c r="D8" s="55" t="s">
        <v>44</v>
      </c>
      <c r="E8" s="55" t="s">
        <v>44</v>
      </c>
      <c r="F8" s="55" t="s">
        <v>44</v>
      </c>
      <c r="G8" s="55" t="s">
        <v>44</v>
      </c>
      <c r="H8" s="55" t="s">
        <v>44</v>
      </c>
      <c r="I8" s="55" t="s">
        <v>44</v>
      </c>
      <c r="J8" s="55" t="s">
        <v>44</v>
      </c>
      <c r="K8" s="55" t="s">
        <v>44</v>
      </c>
      <c r="L8" s="55" t="s">
        <v>44</v>
      </c>
      <c r="M8" s="55" t="s">
        <v>44</v>
      </c>
      <c r="N8" s="55" t="s">
        <v>44</v>
      </c>
      <c r="O8" s="55" t="s">
        <v>44</v>
      </c>
      <c r="P8" s="55" t="s">
        <v>44</v>
      </c>
      <c r="Q8" s="55" t="s">
        <v>44</v>
      </c>
      <c r="R8" s="55" t="s">
        <v>44</v>
      </c>
      <c r="S8" s="55" t="s">
        <v>44</v>
      </c>
      <c r="T8" s="55" t="s">
        <v>44</v>
      </c>
      <c r="U8" s="55" t="s">
        <v>44</v>
      </c>
      <c r="V8" s="55"/>
      <c r="W8" s="55"/>
      <c r="X8" s="55"/>
      <c r="Y8" s="55"/>
      <c r="Z8" s="55"/>
      <c r="AA8" s="55"/>
      <c r="AB8" s="55"/>
      <c r="AC8" s="55"/>
      <c r="AD8" s="55"/>
      <c r="AE8" s="55"/>
      <c r="AF8" s="8"/>
      <c r="AG8" s="41">
        <f t="shared" si="2"/>
        <v>20</v>
      </c>
      <c r="AH8" s="42">
        <f t="shared" si="3"/>
        <v>64.516129032258064</v>
      </c>
      <c r="AK8" s="9"/>
      <c r="AM8" s="20" t="s">
        <v>347</v>
      </c>
      <c r="AN8" s="60" t="s">
        <v>272</v>
      </c>
      <c r="AO8" s="56">
        <v>45124</v>
      </c>
      <c r="AP8" s="56">
        <v>45127</v>
      </c>
      <c r="AQ8" s="57">
        <v>4</v>
      </c>
      <c r="AR8" s="20" t="s">
        <v>376</v>
      </c>
    </row>
    <row r="9" spans="1:44" ht="15.75" customHeight="1" x14ac:dyDescent="0.35">
      <c r="A9" s="7" t="s">
        <v>18</v>
      </c>
      <c r="B9" s="55" t="s">
        <v>354</v>
      </c>
      <c r="C9" s="55" t="s">
        <v>354</v>
      </c>
      <c r="D9" s="55" t="s">
        <v>354</v>
      </c>
      <c r="E9" s="55" t="s">
        <v>354</v>
      </c>
      <c r="F9" s="55" t="s">
        <v>354</v>
      </c>
      <c r="G9" s="55" t="s">
        <v>354</v>
      </c>
      <c r="H9" s="55" t="s">
        <v>354</v>
      </c>
      <c r="I9" s="55" t="s">
        <v>354</v>
      </c>
      <c r="J9" s="55" t="s">
        <v>354</v>
      </c>
      <c r="K9" s="55" t="s">
        <v>354</v>
      </c>
      <c r="L9" s="55" t="s">
        <v>354</v>
      </c>
      <c r="M9" s="55" t="s">
        <v>354</v>
      </c>
      <c r="N9" s="55" t="s">
        <v>354</v>
      </c>
      <c r="O9" s="68" t="s">
        <v>354</v>
      </c>
      <c r="P9" s="55" t="s">
        <v>354</v>
      </c>
      <c r="Q9" s="55" t="s">
        <v>354</v>
      </c>
      <c r="R9" s="55" t="s">
        <v>354</v>
      </c>
      <c r="S9" s="55" t="s">
        <v>354</v>
      </c>
      <c r="T9" s="55" t="s">
        <v>354</v>
      </c>
      <c r="U9" s="55" t="s">
        <v>354</v>
      </c>
      <c r="V9" s="55" t="s">
        <v>354</v>
      </c>
      <c r="W9" s="55" t="s">
        <v>354</v>
      </c>
      <c r="X9" s="55" t="s">
        <v>354</v>
      </c>
      <c r="Y9" s="55" t="s">
        <v>354</v>
      </c>
      <c r="Z9" s="55" t="s">
        <v>354</v>
      </c>
      <c r="AA9" s="55" t="s">
        <v>354</v>
      </c>
      <c r="AB9" s="55" t="s">
        <v>354</v>
      </c>
      <c r="AC9" s="55" t="s">
        <v>354</v>
      </c>
      <c r="AD9" s="55" t="s">
        <v>354</v>
      </c>
      <c r="AE9" s="55" t="s">
        <v>354</v>
      </c>
      <c r="AF9" s="55" t="s">
        <v>354</v>
      </c>
      <c r="AG9" s="41">
        <f t="shared" si="2"/>
        <v>31</v>
      </c>
      <c r="AH9" s="42">
        <f t="shared" si="3"/>
        <v>100</v>
      </c>
      <c r="AM9" s="20" t="s">
        <v>378</v>
      </c>
      <c r="AN9" s="60" t="s">
        <v>272</v>
      </c>
      <c r="AO9" s="56">
        <v>45126</v>
      </c>
      <c r="AP9" s="56">
        <v>45128</v>
      </c>
      <c r="AQ9" s="57">
        <v>2</v>
      </c>
      <c r="AR9" s="20" t="s">
        <v>379</v>
      </c>
    </row>
    <row r="10" spans="1:44" ht="15.75" customHeight="1" x14ac:dyDescent="0.35">
      <c r="A10" s="7" t="s">
        <v>20</v>
      </c>
      <c r="B10" s="55" t="s">
        <v>355</v>
      </c>
      <c r="C10" s="55" t="s">
        <v>355</v>
      </c>
      <c r="D10" s="55" t="s">
        <v>355</v>
      </c>
      <c r="E10" s="55" t="s">
        <v>355</v>
      </c>
      <c r="F10" s="55" t="s">
        <v>355</v>
      </c>
      <c r="G10" s="55" t="s">
        <v>355</v>
      </c>
      <c r="H10" s="55" t="s">
        <v>355</v>
      </c>
      <c r="I10" s="55" t="s">
        <v>355</v>
      </c>
      <c r="J10" s="55" t="s">
        <v>355</v>
      </c>
      <c r="K10" s="55" t="s">
        <v>355</v>
      </c>
      <c r="L10" s="55" t="s">
        <v>355</v>
      </c>
      <c r="M10" s="55" t="s">
        <v>355</v>
      </c>
      <c r="N10" s="55" t="s">
        <v>355</v>
      </c>
      <c r="O10" s="55" t="s">
        <v>355</v>
      </c>
      <c r="P10" s="55" t="s">
        <v>355</v>
      </c>
      <c r="Q10" s="55" t="s">
        <v>355</v>
      </c>
      <c r="R10" s="55" t="s">
        <v>355</v>
      </c>
      <c r="S10" s="55" t="s">
        <v>355</v>
      </c>
      <c r="T10" s="55" t="s">
        <v>355</v>
      </c>
      <c r="U10" s="55" t="s">
        <v>355</v>
      </c>
      <c r="V10" s="55"/>
      <c r="W10" s="54"/>
      <c r="X10" s="55" t="s">
        <v>381</v>
      </c>
      <c r="Y10" s="55" t="s">
        <v>381</v>
      </c>
      <c r="Z10" s="55" t="s">
        <v>381</v>
      </c>
      <c r="AA10" s="55" t="s">
        <v>381</v>
      </c>
      <c r="AB10" s="55" t="s">
        <v>381</v>
      </c>
      <c r="AC10" s="55"/>
      <c r="AD10" s="55"/>
      <c r="AE10" s="54"/>
      <c r="AF10" s="54"/>
      <c r="AG10" s="41">
        <f t="shared" si="2"/>
        <v>25</v>
      </c>
      <c r="AH10" s="42">
        <f t="shared" si="3"/>
        <v>80.645161290322577</v>
      </c>
      <c r="AM10" s="20" t="s">
        <v>378</v>
      </c>
      <c r="AN10" s="60" t="s">
        <v>272</v>
      </c>
      <c r="AO10" s="56">
        <v>45126</v>
      </c>
      <c r="AP10" s="56">
        <v>45128</v>
      </c>
      <c r="AQ10" s="57">
        <v>2</v>
      </c>
      <c r="AR10" s="20" t="s">
        <v>379</v>
      </c>
    </row>
    <row r="11" spans="1:44" ht="15.75" customHeight="1" thickBot="1" x14ac:dyDescent="0.4">
      <c r="A11" s="7" t="s">
        <v>24</v>
      </c>
      <c r="B11" s="54"/>
      <c r="C11" s="55"/>
      <c r="D11" s="55" t="s">
        <v>83</v>
      </c>
      <c r="E11" s="55" t="s">
        <v>83</v>
      </c>
      <c r="F11" s="55" t="s">
        <v>83</v>
      </c>
      <c r="G11" s="55" t="s">
        <v>83</v>
      </c>
      <c r="H11" s="67" t="s">
        <v>37</v>
      </c>
      <c r="I11" s="67" t="s">
        <v>37</v>
      </c>
      <c r="J11" s="55" t="s">
        <v>374</v>
      </c>
      <c r="K11" s="55" t="s">
        <v>374</v>
      </c>
      <c r="L11" s="54"/>
      <c r="M11" s="54"/>
      <c r="N11" s="54"/>
      <c r="O11" s="54"/>
      <c r="P11" s="54"/>
      <c r="Q11" s="55"/>
      <c r="R11" s="8"/>
      <c r="S11" s="8" t="s">
        <v>377</v>
      </c>
      <c r="T11" s="8" t="s">
        <v>377</v>
      </c>
      <c r="U11" s="8"/>
      <c r="V11" s="8"/>
      <c r="W11" s="54"/>
      <c r="X11" s="54"/>
      <c r="Y11" s="54"/>
      <c r="Z11" s="54"/>
      <c r="AA11" s="54"/>
      <c r="AB11" s="54"/>
      <c r="AC11" s="54"/>
      <c r="AD11" s="54"/>
      <c r="AE11" s="54"/>
      <c r="AF11" s="8"/>
      <c r="AG11" s="41">
        <f>COUNTA(B11:AF11)</f>
        <v>10</v>
      </c>
      <c r="AH11" s="42">
        <f t="shared" si="3"/>
        <v>32.258064516129032</v>
      </c>
      <c r="AM11" s="20"/>
      <c r="AN11" s="20"/>
      <c r="AO11" s="20"/>
      <c r="AP11" s="20"/>
      <c r="AQ11" s="20"/>
      <c r="AR11" s="20"/>
    </row>
    <row r="12" spans="1:44" ht="15" customHeight="1" x14ac:dyDescent="0.35">
      <c r="A12" s="45" t="s">
        <v>176</v>
      </c>
      <c r="B12" s="46">
        <f>COUNTA(B5:B11)</f>
        <v>5</v>
      </c>
      <c r="C12" s="46">
        <f>COUNTA(C5:C11)</f>
        <v>5</v>
      </c>
      <c r="D12" s="46">
        <f t="shared" ref="D12:AF12" si="4">COUNTA(D5:D11)</f>
        <v>6</v>
      </c>
      <c r="E12" s="46">
        <f t="shared" si="4"/>
        <v>6</v>
      </c>
      <c r="F12" s="46">
        <f t="shared" si="4"/>
        <v>6</v>
      </c>
      <c r="G12" s="46">
        <f t="shared" si="4"/>
        <v>6</v>
      </c>
      <c r="H12" s="46">
        <f t="shared" si="4"/>
        <v>6</v>
      </c>
      <c r="I12" s="46">
        <f t="shared" si="4"/>
        <v>6</v>
      </c>
      <c r="J12" s="46">
        <f t="shared" si="4"/>
        <v>6</v>
      </c>
      <c r="K12" s="46">
        <f t="shared" si="4"/>
        <v>6</v>
      </c>
      <c r="L12" s="46">
        <f t="shared" si="4"/>
        <v>5</v>
      </c>
      <c r="M12" s="46">
        <f t="shared" si="4"/>
        <v>5</v>
      </c>
      <c r="N12" s="46">
        <f t="shared" si="4"/>
        <v>5</v>
      </c>
      <c r="O12" s="46">
        <f t="shared" si="4"/>
        <v>5</v>
      </c>
      <c r="P12" s="46">
        <f t="shared" si="4"/>
        <v>5</v>
      </c>
      <c r="Q12" s="46">
        <f t="shared" si="4"/>
        <v>5</v>
      </c>
      <c r="R12" s="46">
        <f t="shared" si="4"/>
        <v>5</v>
      </c>
      <c r="S12" s="46">
        <f t="shared" si="4"/>
        <v>6</v>
      </c>
      <c r="T12" s="46">
        <f t="shared" si="4"/>
        <v>7</v>
      </c>
      <c r="U12" s="46">
        <f t="shared" si="4"/>
        <v>4</v>
      </c>
      <c r="V12" s="46">
        <f t="shared" si="4"/>
        <v>2</v>
      </c>
      <c r="W12" s="46">
        <f t="shared" si="4"/>
        <v>2</v>
      </c>
      <c r="X12" s="46">
        <f t="shared" si="4"/>
        <v>3</v>
      </c>
      <c r="Y12" s="46">
        <f t="shared" si="4"/>
        <v>3</v>
      </c>
      <c r="Z12" s="46">
        <f t="shared" si="4"/>
        <v>3</v>
      </c>
      <c r="AA12" s="46">
        <f t="shared" si="4"/>
        <v>3</v>
      </c>
      <c r="AB12" s="46">
        <f t="shared" si="4"/>
        <v>3</v>
      </c>
      <c r="AC12" s="46">
        <f t="shared" si="4"/>
        <v>2</v>
      </c>
      <c r="AD12" s="46">
        <f t="shared" si="4"/>
        <v>3</v>
      </c>
      <c r="AE12" s="46">
        <f t="shared" si="4"/>
        <v>2</v>
      </c>
      <c r="AF12" s="46">
        <f t="shared" si="4"/>
        <v>2</v>
      </c>
      <c r="AG12" s="43">
        <f t="shared" ref="AG12" si="5">SUM(AG5:AG11)</f>
        <v>138</v>
      </c>
      <c r="AH12" s="44">
        <f>AVERAGE(AH5:AH11)</f>
        <v>63.594470046082947</v>
      </c>
      <c r="AI12" s="29"/>
      <c r="AM12" s="20"/>
      <c r="AN12" s="20"/>
      <c r="AO12" s="20"/>
      <c r="AP12" s="20"/>
      <c r="AQ12" s="20"/>
      <c r="AR12" s="20"/>
    </row>
    <row r="13" spans="1:44" ht="85.5" hidden="1" x14ac:dyDescent="0.35">
      <c r="A13" s="13" t="s">
        <v>28</v>
      </c>
      <c r="B13" s="14"/>
      <c r="C13" s="14"/>
      <c r="D13" s="14"/>
      <c r="E13" s="14"/>
      <c r="F13" s="14"/>
      <c r="G13" s="14"/>
      <c r="H13" s="14"/>
      <c r="I13" s="35"/>
      <c r="J13" s="34"/>
      <c r="K13" s="15"/>
      <c r="L13" s="14"/>
      <c r="M13" s="14"/>
      <c r="N13" s="25"/>
      <c r="O13" s="25"/>
      <c r="P13" s="25"/>
      <c r="Q13" s="14"/>
      <c r="R13" s="14"/>
      <c r="S13" s="14"/>
      <c r="T13" s="14"/>
      <c r="U13" s="14"/>
      <c r="V13" s="15"/>
      <c r="W13" s="15"/>
      <c r="X13" s="14"/>
      <c r="Y13" s="14"/>
      <c r="Z13" s="14"/>
      <c r="AA13" s="14"/>
      <c r="AB13" s="14"/>
      <c r="AC13" s="14"/>
      <c r="AD13" s="14"/>
      <c r="AE13" s="14"/>
      <c r="AF13" s="37"/>
      <c r="AG13" s="37"/>
      <c r="AH13" s="37"/>
      <c r="AM13" s="20"/>
      <c r="AN13" s="20"/>
      <c r="AO13" s="20"/>
      <c r="AP13" s="20"/>
      <c r="AQ13" s="20"/>
      <c r="AR13" s="20"/>
    </row>
    <row r="14" spans="1:44" ht="28.5" hidden="1" x14ac:dyDescent="0.35">
      <c r="A14" s="16" t="s">
        <v>29</v>
      </c>
      <c r="B14" s="14"/>
      <c r="C14" s="14"/>
      <c r="D14" s="14"/>
      <c r="E14" s="14"/>
      <c r="F14" s="14"/>
      <c r="G14" s="14"/>
      <c r="H14" s="14"/>
      <c r="I14" s="35"/>
      <c r="J14" s="34"/>
      <c r="K14" s="15"/>
      <c r="L14" s="14"/>
      <c r="M14" s="14"/>
      <c r="N14" s="25"/>
      <c r="O14" s="25"/>
      <c r="P14" s="25"/>
      <c r="Q14" s="14"/>
      <c r="R14" s="14"/>
      <c r="S14" s="14"/>
      <c r="T14" s="14"/>
      <c r="U14" s="14"/>
      <c r="V14" s="15"/>
      <c r="W14" s="15"/>
      <c r="X14" s="14"/>
      <c r="Y14" s="14"/>
      <c r="Z14" s="14"/>
      <c r="AA14" s="14"/>
      <c r="AB14" s="14"/>
      <c r="AC14" s="14"/>
      <c r="AD14" s="14"/>
      <c r="AE14" s="14"/>
      <c r="AF14" s="37"/>
      <c r="AG14" s="37"/>
      <c r="AH14" s="37"/>
      <c r="AM14" s="20"/>
      <c r="AN14" s="20"/>
      <c r="AO14" s="20"/>
      <c r="AP14" s="20"/>
      <c r="AQ14" s="20"/>
      <c r="AR14" s="20"/>
    </row>
    <row r="15" spans="1:44" x14ac:dyDescent="0.35">
      <c r="A15" s="7" t="s">
        <v>30</v>
      </c>
      <c r="B15" s="8"/>
      <c r="C15" s="8"/>
      <c r="D15" s="8" t="s">
        <v>248</v>
      </c>
      <c r="E15" s="8" t="s">
        <v>34</v>
      </c>
      <c r="F15" s="8" t="s">
        <v>34</v>
      </c>
      <c r="G15" s="8" t="s">
        <v>34</v>
      </c>
      <c r="H15" s="8" t="s">
        <v>34</v>
      </c>
      <c r="I15" s="8" t="s">
        <v>34</v>
      </c>
      <c r="J15" s="8" t="s">
        <v>34</v>
      </c>
      <c r="K15" s="8" t="s">
        <v>34</v>
      </c>
      <c r="L15" s="8" t="s">
        <v>34</v>
      </c>
      <c r="M15" s="8" t="s">
        <v>34</v>
      </c>
      <c r="N15" s="8" t="s">
        <v>34</v>
      </c>
      <c r="O15" s="8" t="s">
        <v>34</v>
      </c>
      <c r="P15" s="8" t="s">
        <v>34</v>
      </c>
      <c r="Q15" s="8" t="s">
        <v>34</v>
      </c>
      <c r="R15" s="8" t="s">
        <v>34</v>
      </c>
      <c r="S15" s="8" t="s">
        <v>34</v>
      </c>
      <c r="T15" s="8" t="s">
        <v>34</v>
      </c>
      <c r="U15" s="8" t="s">
        <v>34</v>
      </c>
      <c r="V15" s="8"/>
      <c r="W15" s="8"/>
      <c r="X15" s="8" t="s">
        <v>185</v>
      </c>
      <c r="Y15" s="8" t="s">
        <v>185</v>
      </c>
      <c r="Z15" s="8"/>
      <c r="AA15" s="8"/>
      <c r="AB15" s="8"/>
      <c r="AC15" s="8"/>
      <c r="AD15" s="8" t="s">
        <v>383</v>
      </c>
      <c r="AE15" s="8" t="s">
        <v>383</v>
      </c>
      <c r="AF15" s="54"/>
      <c r="AG15" s="41">
        <f>COUNTA(B15:AF15)</f>
        <v>22</v>
      </c>
      <c r="AH15" s="42">
        <f>AG15*100/31</f>
        <v>70.967741935483872</v>
      </c>
      <c r="AM15" s="20"/>
      <c r="AN15" s="20"/>
      <c r="AO15" s="20"/>
      <c r="AP15" s="20"/>
      <c r="AQ15" s="20"/>
      <c r="AR15" s="20"/>
    </row>
    <row r="16" spans="1:44" x14ac:dyDescent="0.35">
      <c r="A16" s="7" t="s">
        <v>35</v>
      </c>
      <c r="B16" s="55"/>
      <c r="C16" s="55"/>
      <c r="D16" s="55" t="s">
        <v>80</v>
      </c>
      <c r="E16" s="8" t="s">
        <v>34</v>
      </c>
      <c r="F16" s="8" t="s">
        <v>34</v>
      </c>
      <c r="G16" s="8" t="s">
        <v>34</v>
      </c>
      <c r="H16" s="8" t="s">
        <v>34</v>
      </c>
      <c r="I16" s="8" t="s">
        <v>34</v>
      </c>
      <c r="J16" s="8" t="s">
        <v>34</v>
      </c>
      <c r="K16" s="8" t="s">
        <v>34</v>
      </c>
      <c r="L16" s="8" t="s">
        <v>34</v>
      </c>
      <c r="M16" s="8" t="s">
        <v>34</v>
      </c>
      <c r="N16" s="8" t="s">
        <v>34</v>
      </c>
      <c r="O16" s="8" t="s">
        <v>34</v>
      </c>
      <c r="P16" s="8" t="s">
        <v>34</v>
      </c>
      <c r="Q16" s="8" t="s">
        <v>34</v>
      </c>
      <c r="R16" s="8" t="s">
        <v>34</v>
      </c>
      <c r="S16" s="8" t="s">
        <v>34</v>
      </c>
      <c r="T16" s="8" t="s">
        <v>34</v>
      </c>
      <c r="U16" s="8" t="s">
        <v>34</v>
      </c>
      <c r="V16" s="8"/>
      <c r="W16" s="55"/>
      <c r="X16" s="55"/>
      <c r="Y16" s="55"/>
      <c r="Z16" s="55"/>
      <c r="AA16" s="55"/>
      <c r="AB16" s="55"/>
      <c r="AC16" s="55"/>
      <c r="AD16" s="55" t="s">
        <v>382</v>
      </c>
      <c r="AE16" s="55"/>
      <c r="AF16" s="54"/>
      <c r="AG16" s="41">
        <f t="shared" ref="AG16:AG22" si="6">COUNTA(B16:AF16)</f>
        <v>19</v>
      </c>
      <c r="AH16" s="42">
        <f>AG16*100/31</f>
        <v>61.29032258064516</v>
      </c>
      <c r="AM16" s="20"/>
      <c r="AN16" s="20"/>
      <c r="AO16" s="56"/>
      <c r="AP16" s="56"/>
      <c r="AQ16" s="20"/>
      <c r="AR16" s="20"/>
    </row>
    <row r="17" spans="1:50" x14ac:dyDescent="0.35">
      <c r="A17" s="7" t="s">
        <v>39</v>
      </c>
      <c r="B17" s="54"/>
      <c r="C17" s="55"/>
      <c r="D17" s="55"/>
      <c r="E17" s="55"/>
      <c r="F17" s="55" t="s">
        <v>327</v>
      </c>
      <c r="G17" s="55" t="s">
        <v>327</v>
      </c>
      <c r="H17" s="55" t="s">
        <v>327</v>
      </c>
      <c r="I17" s="55" t="s">
        <v>327</v>
      </c>
      <c r="J17" s="55" t="s">
        <v>327</v>
      </c>
      <c r="K17" s="55" t="s">
        <v>327</v>
      </c>
      <c r="L17" s="55" t="s">
        <v>327</v>
      </c>
      <c r="M17" s="55" t="s">
        <v>327</v>
      </c>
      <c r="N17" s="55" t="s">
        <v>327</v>
      </c>
      <c r="O17" s="55" t="s">
        <v>327</v>
      </c>
      <c r="P17" s="55" t="s">
        <v>327</v>
      </c>
      <c r="Q17" s="55" t="s">
        <v>327</v>
      </c>
      <c r="R17" s="55" t="s">
        <v>327</v>
      </c>
      <c r="S17" s="55" t="s">
        <v>327</v>
      </c>
      <c r="T17" s="55" t="s">
        <v>327</v>
      </c>
      <c r="U17" s="55" t="s">
        <v>327</v>
      </c>
      <c r="V17" s="55" t="s">
        <v>327</v>
      </c>
      <c r="W17" s="55" t="s">
        <v>327</v>
      </c>
      <c r="X17" s="55" t="s">
        <v>327</v>
      </c>
      <c r="Y17" s="55" t="s">
        <v>327</v>
      </c>
      <c r="Z17" s="55" t="s">
        <v>327</v>
      </c>
      <c r="AA17" s="55" t="s">
        <v>327</v>
      </c>
      <c r="AB17" s="55" t="s">
        <v>327</v>
      </c>
      <c r="AC17" s="55" t="s">
        <v>327</v>
      </c>
      <c r="AD17" s="55" t="s">
        <v>327</v>
      </c>
      <c r="AE17" s="55" t="s">
        <v>327</v>
      </c>
      <c r="AF17" s="55" t="s">
        <v>327</v>
      </c>
      <c r="AG17" s="41">
        <f t="shared" si="6"/>
        <v>27</v>
      </c>
      <c r="AH17" s="42">
        <f t="shared" ref="AH17:AH22" si="7">AG17*100/31</f>
        <v>87.096774193548384</v>
      </c>
      <c r="AM17" s="20"/>
      <c r="AN17" s="20"/>
      <c r="AO17" s="20"/>
      <c r="AP17" s="20"/>
      <c r="AQ17" s="20"/>
      <c r="AR17" s="20"/>
      <c r="AX17" s="58"/>
    </row>
    <row r="18" spans="1:50" x14ac:dyDescent="0.35">
      <c r="A18" s="7" t="s">
        <v>42</v>
      </c>
      <c r="B18" s="55" t="s">
        <v>363</v>
      </c>
      <c r="C18" s="55" t="s">
        <v>363</v>
      </c>
      <c r="D18" s="55" t="s">
        <v>363</v>
      </c>
      <c r="E18" s="55" t="s">
        <v>363</v>
      </c>
      <c r="F18" s="55"/>
      <c r="G18" s="55" t="s">
        <v>185</v>
      </c>
      <c r="H18" s="55" t="s">
        <v>185</v>
      </c>
      <c r="I18" s="8"/>
      <c r="J18" s="55" t="s">
        <v>86</v>
      </c>
      <c r="K18" s="55" t="s">
        <v>370</v>
      </c>
      <c r="L18" s="55" t="s">
        <v>370</v>
      </c>
      <c r="M18" s="55" t="s">
        <v>370</v>
      </c>
      <c r="N18" s="55" t="s">
        <v>370</v>
      </c>
      <c r="O18" s="55" t="s">
        <v>370</v>
      </c>
      <c r="P18" s="8"/>
      <c r="Q18" s="55" t="s">
        <v>372</v>
      </c>
      <c r="R18" s="55" t="s">
        <v>372</v>
      </c>
      <c r="S18" s="55"/>
      <c r="T18" s="55" t="s">
        <v>276</v>
      </c>
      <c r="U18" s="55" t="s">
        <v>276</v>
      </c>
      <c r="V18" s="8"/>
      <c r="W18" s="8"/>
      <c r="X18" s="8" t="s">
        <v>25</v>
      </c>
      <c r="Y18" s="8" t="s">
        <v>25</v>
      </c>
      <c r="Z18" s="8"/>
      <c r="AA18" s="8"/>
      <c r="AB18" s="8"/>
      <c r="AC18" s="8"/>
      <c r="AD18" s="8"/>
      <c r="AE18" s="8"/>
      <c r="AF18" s="54"/>
      <c r="AG18" s="41">
        <f t="shared" si="6"/>
        <v>18</v>
      </c>
      <c r="AH18" s="42">
        <f t="shared" si="7"/>
        <v>58.064516129032256</v>
      </c>
      <c r="AM18" s="20"/>
      <c r="AN18" s="20"/>
      <c r="AO18" s="20"/>
      <c r="AP18" s="20"/>
      <c r="AQ18" s="20"/>
      <c r="AR18" s="20"/>
      <c r="AX18" s="58"/>
    </row>
    <row r="19" spans="1:50" x14ac:dyDescent="0.35">
      <c r="A19" s="7" t="s">
        <v>45</v>
      </c>
      <c r="B19" s="55" t="s">
        <v>207</v>
      </c>
      <c r="C19" s="55" t="s">
        <v>207</v>
      </c>
      <c r="D19" s="55" t="s">
        <v>207</v>
      </c>
      <c r="E19" s="55" t="s">
        <v>207</v>
      </c>
      <c r="F19" s="55" t="s">
        <v>207</v>
      </c>
      <c r="G19" s="55" t="s">
        <v>207</v>
      </c>
      <c r="H19" s="55" t="s">
        <v>207</v>
      </c>
      <c r="I19" s="55" t="s">
        <v>207</v>
      </c>
      <c r="J19" s="55" t="s">
        <v>207</v>
      </c>
      <c r="K19" s="55" t="s">
        <v>207</v>
      </c>
      <c r="L19" s="55" t="s">
        <v>207</v>
      </c>
      <c r="M19" s="55" t="s">
        <v>207</v>
      </c>
      <c r="N19" s="55" t="s">
        <v>207</v>
      </c>
      <c r="O19" s="55" t="s">
        <v>207</v>
      </c>
      <c r="P19" s="55" t="s">
        <v>207</v>
      </c>
      <c r="Q19" s="55" t="s">
        <v>207</v>
      </c>
      <c r="R19" s="55" t="s">
        <v>207</v>
      </c>
      <c r="S19" s="55" t="s">
        <v>207</v>
      </c>
      <c r="T19" s="55" t="s">
        <v>207</v>
      </c>
      <c r="U19" s="55" t="s">
        <v>207</v>
      </c>
      <c r="V19" s="55" t="s">
        <v>207</v>
      </c>
      <c r="W19" s="55" t="s">
        <v>207</v>
      </c>
      <c r="X19" s="55" t="s">
        <v>207</v>
      </c>
      <c r="Y19" s="55" t="s">
        <v>207</v>
      </c>
      <c r="Z19" s="55" t="s">
        <v>207</v>
      </c>
      <c r="AA19" s="55" t="s">
        <v>207</v>
      </c>
      <c r="AB19" s="55" t="s">
        <v>207</v>
      </c>
      <c r="AC19" s="55" t="s">
        <v>207</v>
      </c>
      <c r="AD19" s="55" t="s">
        <v>207</v>
      </c>
      <c r="AE19" s="55" t="s">
        <v>207</v>
      </c>
      <c r="AF19" s="55" t="s">
        <v>207</v>
      </c>
      <c r="AG19" s="41">
        <f t="shared" si="6"/>
        <v>31</v>
      </c>
      <c r="AH19" s="42">
        <f t="shared" si="7"/>
        <v>100</v>
      </c>
      <c r="AM19" s="20"/>
      <c r="AN19" s="20"/>
      <c r="AO19" s="20"/>
      <c r="AP19" s="20"/>
      <c r="AQ19" s="20"/>
      <c r="AR19" s="20"/>
      <c r="AX19" s="58"/>
    </row>
    <row r="20" spans="1:50" x14ac:dyDescent="0.35">
      <c r="A20" s="7" t="s">
        <v>47</v>
      </c>
      <c r="B20" s="55" t="s">
        <v>363</v>
      </c>
      <c r="C20" s="55" t="s">
        <v>363</v>
      </c>
      <c r="D20" s="55" t="s">
        <v>363</v>
      </c>
      <c r="E20" s="55" t="s">
        <v>363</v>
      </c>
      <c r="F20" s="55" t="s">
        <v>248</v>
      </c>
      <c r="G20" s="55" t="s">
        <v>373</v>
      </c>
      <c r="H20" s="55" t="s">
        <v>373</v>
      </c>
      <c r="I20" s="55" t="s">
        <v>373</v>
      </c>
      <c r="J20" s="55" t="s">
        <v>373</v>
      </c>
      <c r="K20" s="55" t="s">
        <v>373</v>
      </c>
      <c r="L20" s="55" t="s">
        <v>373</v>
      </c>
      <c r="M20" s="55" t="s">
        <v>373</v>
      </c>
      <c r="N20" s="55" t="s">
        <v>373</v>
      </c>
      <c r="O20" s="55" t="s">
        <v>373</v>
      </c>
      <c r="P20" s="55"/>
      <c r="Q20" s="55"/>
      <c r="R20" s="8" t="s">
        <v>361</v>
      </c>
      <c r="S20" s="8" t="s">
        <v>361</v>
      </c>
      <c r="T20" s="8" t="s">
        <v>361</v>
      </c>
      <c r="U20" s="8" t="s">
        <v>361</v>
      </c>
      <c r="V20" s="8" t="s">
        <v>361</v>
      </c>
      <c r="W20" s="8" t="s">
        <v>361</v>
      </c>
      <c r="X20" s="8" t="s">
        <v>361</v>
      </c>
      <c r="Y20" s="8" t="s">
        <v>361</v>
      </c>
      <c r="Z20" s="8" t="s">
        <v>361</v>
      </c>
      <c r="AA20" s="8" t="s">
        <v>361</v>
      </c>
      <c r="AB20" s="8" t="s">
        <v>361</v>
      </c>
      <c r="AC20" s="8" t="s">
        <v>361</v>
      </c>
      <c r="AD20" s="8" t="s">
        <v>361</v>
      </c>
      <c r="AE20" s="55"/>
      <c r="AF20" s="54"/>
      <c r="AG20" s="41">
        <f t="shared" si="6"/>
        <v>27</v>
      </c>
      <c r="AH20" s="42">
        <f t="shared" si="7"/>
        <v>87.096774193548384</v>
      </c>
      <c r="AM20" s="20"/>
      <c r="AN20" s="20"/>
      <c r="AO20" s="20"/>
      <c r="AP20" s="20"/>
      <c r="AQ20" s="20"/>
      <c r="AR20" s="20"/>
      <c r="AX20" s="58"/>
    </row>
    <row r="21" spans="1:50" x14ac:dyDescent="0.35">
      <c r="A21" s="7" t="s">
        <v>50</v>
      </c>
      <c r="B21" s="55" t="s">
        <v>363</v>
      </c>
      <c r="C21" s="55" t="s">
        <v>363</v>
      </c>
      <c r="D21" s="55" t="s">
        <v>363</v>
      </c>
      <c r="E21" s="55" t="s">
        <v>363</v>
      </c>
      <c r="F21" s="8"/>
      <c r="G21" s="8" t="s">
        <v>25</v>
      </c>
      <c r="H21" s="8" t="s">
        <v>25</v>
      </c>
      <c r="I21" s="8"/>
      <c r="J21" s="55" t="s">
        <v>141</v>
      </c>
      <c r="K21" s="55" t="s">
        <v>141</v>
      </c>
      <c r="L21" s="55"/>
      <c r="M21" s="55"/>
      <c r="N21" s="55"/>
      <c r="O21" s="55"/>
      <c r="P21" s="8"/>
      <c r="Q21" s="55" t="s">
        <v>371</v>
      </c>
      <c r="R21" s="55" t="s">
        <v>371</v>
      </c>
      <c r="S21" s="55"/>
      <c r="T21" s="55" t="s">
        <v>208</v>
      </c>
      <c r="U21" s="55" t="s">
        <v>208</v>
      </c>
      <c r="V21" s="8"/>
      <c r="W21" s="8" t="s">
        <v>165</v>
      </c>
      <c r="X21" s="8" t="s">
        <v>165</v>
      </c>
      <c r="Y21" s="8"/>
      <c r="Z21" s="8"/>
      <c r="AA21" s="8"/>
      <c r="AB21" s="8"/>
      <c r="AC21" s="8"/>
      <c r="AD21" s="8"/>
      <c r="AE21" s="8" t="s">
        <v>384</v>
      </c>
      <c r="AF21" s="8" t="s">
        <v>384</v>
      </c>
      <c r="AG21" s="41">
        <f t="shared" si="6"/>
        <v>16</v>
      </c>
      <c r="AH21" s="42">
        <f t="shared" si="7"/>
        <v>51.612903225806448</v>
      </c>
      <c r="AM21" s="20"/>
      <c r="AN21" s="20"/>
      <c r="AO21" s="20"/>
      <c r="AP21" s="20"/>
      <c r="AQ21" s="20"/>
      <c r="AR21" s="20"/>
      <c r="AX21" s="58"/>
    </row>
    <row r="22" spans="1:50" ht="15" thickBot="1" x14ac:dyDescent="0.4">
      <c r="A22" s="7" t="s">
        <v>51</v>
      </c>
      <c r="B22" s="55" t="s">
        <v>260</v>
      </c>
      <c r="C22" s="55" t="s">
        <v>260</v>
      </c>
      <c r="D22" s="55" t="s">
        <v>260</v>
      </c>
      <c r="E22" s="55" t="s">
        <v>260</v>
      </c>
      <c r="F22" s="55" t="s">
        <v>260</v>
      </c>
      <c r="G22" s="55" t="s">
        <v>260</v>
      </c>
      <c r="H22" s="55" t="s">
        <v>260</v>
      </c>
      <c r="I22" s="55" t="s">
        <v>260</v>
      </c>
      <c r="J22" s="55" t="s">
        <v>260</v>
      </c>
      <c r="K22" s="55" t="s">
        <v>260</v>
      </c>
      <c r="L22" s="55" t="s">
        <v>260</v>
      </c>
      <c r="M22" s="55" t="s">
        <v>260</v>
      </c>
      <c r="N22" s="55" t="s">
        <v>260</v>
      </c>
      <c r="O22" s="55" t="s">
        <v>260</v>
      </c>
      <c r="P22" s="55"/>
      <c r="Q22" s="55"/>
      <c r="R22" s="8"/>
      <c r="S22" s="8"/>
      <c r="T22" s="8" t="s">
        <v>375</v>
      </c>
      <c r="U22" s="8" t="s">
        <v>375</v>
      </c>
      <c r="V22" s="8" t="s">
        <v>380</v>
      </c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41">
        <f t="shared" si="6"/>
        <v>17</v>
      </c>
      <c r="AH22" s="42">
        <f t="shared" si="7"/>
        <v>54.838709677419352</v>
      </c>
      <c r="AX22" s="58"/>
    </row>
    <row r="23" spans="1:50" ht="15.5" x14ac:dyDescent="0.35">
      <c r="A23" s="45" t="s">
        <v>176</v>
      </c>
      <c r="B23" s="46">
        <f>COUNTA(B15:B22)</f>
        <v>5</v>
      </c>
      <c r="C23" s="46">
        <f>COUNTA(C16:C22)</f>
        <v>5</v>
      </c>
      <c r="D23" s="46">
        <f>COUNTA(D16:D22)</f>
        <v>6</v>
      </c>
      <c r="E23" s="46">
        <f t="shared" ref="E23:AF23" si="8">COUNTA(E15:E22)</f>
        <v>7</v>
      </c>
      <c r="F23" s="46">
        <f t="shared" si="8"/>
        <v>6</v>
      </c>
      <c r="G23" s="46">
        <f t="shared" si="8"/>
        <v>8</v>
      </c>
      <c r="H23" s="46">
        <f t="shared" si="8"/>
        <v>8</v>
      </c>
      <c r="I23" s="46">
        <f t="shared" si="8"/>
        <v>6</v>
      </c>
      <c r="J23" s="46">
        <f t="shared" si="8"/>
        <v>8</v>
      </c>
      <c r="K23" s="46">
        <f t="shared" si="8"/>
        <v>8</v>
      </c>
      <c r="L23" s="46">
        <f t="shared" si="8"/>
        <v>7</v>
      </c>
      <c r="M23" s="46">
        <f t="shared" si="8"/>
        <v>7</v>
      </c>
      <c r="N23" s="46">
        <f t="shared" si="8"/>
        <v>7</v>
      </c>
      <c r="O23" s="46">
        <f t="shared" si="8"/>
        <v>7</v>
      </c>
      <c r="P23" s="46">
        <f t="shared" si="8"/>
        <v>4</v>
      </c>
      <c r="Q23" s="46">
        <f t="shared" si="8"/>
        <v>6</v>
      </c>
      <c r="R23" s="46">
        <f t="shared" si="8"/>
        <v>7</v>
      </c>
      <c r="S23" s="46">
        <f t="shared" si="8"/>
        <v>5</v>
      </c>
      <c r="T23" s="46">
        <f t="shared" si="8"/>
        <v>8</v>
      </c>
      <c r="U23" s="46">
        <f t="shared" si="8"/>
        <v>8</v>
      </c>
      <c r="V23" s="46">
        <f t="shared" si="8"/>
        <v>4</v>
      </c>
      <c r="W23" s="46">
        <f t="shared" si="8"/>
        <v>4</v>
      </c>
      <c r="X23" s="46">
        <f t="shared" si="8"/>
        <v>6</v>
      </c>
      <c r="Y23" s="46">
        <f t="shared" si="8"/>
        <v>5</v>
      </c>
      <c r="Z23" s="46">
        <f t="shared" si="8"/>
        <v>3</v>
      </c>
      <c r="AA23" s="46">
        <f t="shared" si="8"/>
        <v>3</v>
      </c>
      <c r="AB23" s="46">
        <f t="shared" si="8"/>
        <v>3</v>
      </c>
      <c r="AC23" s="46">
        <f t="shared" si="8"/>
        <v>3</v>
      </c>
      <c r="AD23" s="46">
        <f t="shared" si="8"/>
        <v>5</v>
      </c>
      <c r="AE23" s="46">
        <f t="shared" si="8"/>
        <v>4</v>
      </c>
      <c r="AF23" s="46">
        <f t="shared" si="8"/>
        <v>3</v>
      </c>
      <c r="AG23" s="43">
        <f>SUM(AG15:AG22)</f>
        <v>177</v>
      </c>
      <c r="AH23" s="66">
        <f>AVERAGE(AH15:AH22)</f>
        <v>71.370967741935488</v>
      </c>
      <c r="AX23" s="58"/>
    </row>
    <row r="24" spans="1:50" ht="15.5" x14ac:dyDescent="0.35">
      <c r="A24" s="47" t="s">
        <v>178</v>
      </c>
      <c r="B24" s="52">
        <f>B12+B23</f>
        <v>10</v>
      </c>
      <c r="C24" s="52">
        <f t="shared" ref="C24:AF24" si="9">C12+C23</f>
        <v>10</v>
      </c>
      <c r="D24" s="52">
        <f t="shared" si="9"/>
        <v>12</v>
      </c>
      <c r="E24" s="52">
        <f t="shared" si="9"/>
        <v>13</v>
      </c>
      <c r="F24" s="52">
        <f t="shared" si="9"/>
        <v>12</v>
      </c>
      <c r="G24" s="52">
        <f t="shared" si="9"/>
        <v>14</v>
      </c>
      <c r="H24" s="52">
        <f t="shared" si="9"/>
        <v>14</v>
      </c>
      <c r="I24" s="52">
        <f t="shared" si="9"/>
        <v>12</v>
      </c>
      <c r="J24" s="52">
        <f t="shared" si="9"/>
        <v>14</v>
      </c>
      <c r="K24" s="52">
        <f t="shared" si="9"/>
        <v>14</v>
      </c>
      <c r="L24" s="52">
        <f t="shared" si="9"/>
        <v>12</v>
      </c>
      <c r="M24" s="52">
        <f t="shared" si="9"/>
        <v>12</v>
      </c>
      <c r="N24" s="52">
        <f t="shared" si="9"/>
        <v>12</v>
      </c>
      <c r="O24" s="52">
        <f t="shared" si="9"/>
        <v>12</v>
      </c>
      <c r="P24" s="52">
        <f t="shared" si="9"/>
        <v>9</v>
      </c>
      <c r="Q24" s="52">
        <f t="shared" si="9"/>
        <v>11</v>
      </c>
      <c r="R24" s="52">
        <f t="shared" si="9"/>
        <v>12</v>
      </c>
      <c r="S24" s="52">
        <f t="shared" si="9"/>
        <v>11</v>
      </c>
      <c r="T24" s="52">
        <f t="shared" si="9"/>
        <v>15</v>
      </c>
      <c r="U24" s="52">
        <f t="shared" si="9"/>
        <v>12</v>
      </c>
      <c r="V24" s="52">
        <f t="shared" si="9"/>
        <v>6</v>
      </c>
      <c r="W24" s="52">
        <f t="shared" si="9"/>
        <v>6</v>
      </c>
      <c r="X24" s="52">
        <f t="shared" si="9"/>
        <v>9</v>
      </c>
      <c r="Y24" s="52">
        <f t="shared" si="9"/>
        <v>8</v>
      </c>
      <c r="Z24" s="52">
        <f t="shared" si="9"/>
        <v>6</v>
      </c>
      <c r="AA24" s="52">
        <f t="shared" si="9"/>
        <v>6</v>
      </c>
      <c r="AB24" s="52">
        <f t="shared" si="9"/>
        <v>6</v>
      </c>
      <c r="AC24" s="52">
        <f t="shared" si="9"/>
        <v>5</v>
      </c>
      <c r="AD24" s="52">
        <f t="shared" si="9"/>
        <v>8</v>
      </c>
      <c r="AE24" s="52">
        <f t="shared" si="9"/>
        <v>6</v>
      </c>
      <c r="AF24" s="52">
        <f t="shared" si="9"/>
        <v>5</v>
      </c>
      <c r="AG24" s="49">
        <f>+AG12+AG23</f>
        <v>315</v>
      </c>
      <c r="AX24" s="58"/>
    </row>
    <row r="25" spans="1:50" ht="15.5" x14ac:dyDescent="0.35">
      <c r="A25" s="48" t="s">
        <v>179</v>
      </c>
      <c r="B25" s="42">
        <f>B24*100/15</f>
        <v>66.666666666666671</v>
      </c>
      <c r="C25" s="42">
        <f t="shared" ref="C25:AF25" si="10">C24*100/15</f>
        <v>66.666666666666671</v>
      </c>
      <c r="D25" s="42">
        <f t="shared" si="10"/>
        <v>80</v>
      </c>
      <c r="E25" s="42">
        <f t="shared" si="10"/>
        <v>86.666666666666671</v>
      </c>
      <c r="F25" s="42">
        <f t="shared" si="10"/>
        <v>80</v>
      </c>
      <c r="G25" s="42">
        <f t="shared" si="10"/>
        <v>93.333333333333329</v>
      </c>
      <c r="H25" s="42">
        <f t="shared" si="10"/>
        <v>93.333333333333329</v>
      </c>
      <c r="I25" s="42">
        <f t="shared" si="10"/>
        <v>80</v>
      </c>
      <c r="J25" s="42">
        <f t="shared" si="10"/>
        <v>93.333333333333329</v>
      </c>
      <c r="K25" s="42">
        <f t="shared" si="10"/>
        <v>93.333333333333329</v>
      </c>
      <c r="L25" s="42">
        <f t="shared" si="10"/>
        <v>80</v>
      </c>
      <c r="M25" s="42">
        <f t="shared" si="10"/>
        <v>80</v>
      </c>
      <c r="N25" s="42">
        <f t="shared" si="10"/>
        <v>80</v>
      </c>
      <c r="O25" s="42">
        <f t="shared" si="10"/>
        <v>80</v>
      </c>
      <c r="P25" s="42">
        <f t="shared" si="10"/>
        <v>60</v>
      </c>
      <c r="Q25" s="42">
        <f t="shared" si="10"/>
        <v>73.333333333333329</v>
      </c>
      <c r="R25" s="42">
        <f t="shared" si="10"/>
        <v>80</v>
      </c>
      <c r="S25" s="42">
        <f t="shared" si="10"/>
        <v>73.333333333333329</v>
      </c>
      <c r="T25" s="42">
        <f t="shared" si="10"/>
        <v>100</v>
      </c>
      <c r="U25" s="42">
        <f t="shared" si="10"/>
        <v>80</v>
      </c>
      <c r="V25" s="42">
        <f t="shared" si="10"/>
        <v>40</v>
      </c>
      <c r="W25" s="42">
        <f t="shared" si="10"/>
        <v>40</v>
      </c>
      <c r="X25" s="42">
        <f t="shared" si="10"/>
        <v>60</v>
      </c>
      <c r="Y25" s="42">
        <f t="shared" si="10"/>
        <v>53.333333333333336</v>
      </c>
      <c r="Z25" s="42">
        <f t="shared" si="10"/>
        <v>40</v>
      </c>
      <c r="AA25" s="42">
        <f t="shared" si="10"/>
        <v>40</v>
      </c>
      <c r="AB25" s="42">
        <f t="shared" si="10"/>
        <v>40</v>
      </c>
      <c r="AC25" s="42">
        <f t="shared" si="10"/>
        <v>33.333333333333336</v>
      </c>
      <c r="AD25" s="42">
        <f t="shared" si="10"/>
        <v>53.333333333333336</v>
      </c>
      <c r="AE25" s="42">
        <f t="shared" si="10"/>
        <v>40</v>
      </c>
      <c r="AF25" s="42">
        <f t="shared" si="10"/>
        <v>33.333333333333336</v>
      </c>
      <c r="AG25" s="50">
        <f>AVERAGE(B25:AF25)</f>
        <v>67.526881720430111</v>
      </c>
      <c r="AH25" s="51" t="s">
        <v>180</v>
      </c>
      <c r="AX25" s="58"/>
    </row>
    <row r="26" spans="1:50" x14ac:dyDescent="0.35">
      <c r="AX26" s="58"/>
    </row>
    <row r="27" spans="1:50" x14ac:dyDescent="0.35">
      <c r="AX27" s="58"/>
    </row>
  </sheetData>
  <mergeCells count="2">
    <mergeCell ref="A1:AE1"/>
    <mergeCell ref="AM3:AR3"/>
  </mergeCells>
  <conditionalFormatting sqref="B15">
    <cfRule type="colorScale" priority="28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7">
    <cfRule type="colorScale" priority="2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21:B22 C22:Q22 C21:E21 W22:AF22">
    <cfRule type="colorScale" priority="1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6:D16 W16:AE16 G18:H18 B20:Q20 AE20 C17:AF17">
    <cfRule type="colorScale" priority="3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8:F18">
    <cfRule type="colorScale" priority="2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1:I11 L11:P11 W8:AE8 W11:AE11">
    <cfRule type="colorScale" priority="3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6:Q6">
    <cfRule type="colorScale" priority="2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8:V8">
    <cfRule type="colorScale" priority="20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9:V10 W9:AF9">
    <cfRule type="colorScale" priority="19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7:AF7">
    <cfRule type="colorScale" priority="30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9:AF19">
    <cfRule type="colorScale" priority="2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F21:P21 I18:P18 E16:V16 V18:AE18 C15:AE15 V21:AF21">
    <cfRule type="colorScale" priority="3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J11:K11">
    <cfRule type="colorScale" priority="1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L13:U14 X13:AH14 B13:I14 AF15:AF16 AF5:AF6 AF11 B5:AE5 R6:AE6 W10:AF10 AF8">
    <cfRule type="colorScale" priority="3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Q11">
    <cfRule type="colorScale" priority="9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Q18:U18">
    <cfRule type="colorScale" priority="1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Q21:U21">
    <cfRule type="colorScale" priority="1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R11:V11">
    <cfRule type="colorScale" priority="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R22:V22">
    <cfRule type="colorScale" priority="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R20:AD20">
    <cfRule type="colorScale" priority="1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F18">
    <cfRule type="colorScale" priority="3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F20">
    <cfRule type="colorScale" priority="33">
      <colorScale>
        <cfvo type="num" val="1"/>
        <cfvo type="max"/>
        <color theme="4" tint="0.59999389629810485"/>
        <color theme="5" tint="0.59999389629810485"/>
      </colorScale>
    </cfRule>
  </conditionalFormatting>
  <pageMargins left="0.7" right="0.7" top="0.75" bottom="0.75" header="0.3" footer="0.3"/>
  <pageSetup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95E4F-26A9-41B3-959A-03E1CB7D2578}">
  <dimension ref="A1:AX27"/>
  <sheetViews>
    <sheetView zoomScale="86" zoomScaleNormal="86" workbookViewId="0">
      <pane xSplit="1" ySplit="4" topLeftCell="O10" activePane="bottomRight" state="frozen"/>
      <selection pane="topRight" activeCell="B1" sqref="B1"/>
      <selection pane="bottomLeft" activeCell="A5" sqref="A5"/>
      <selection pane="bottomRight" activeCell="R20" sqref="R20"/>
    </sheetView>
  </sheetViews>
  <sheetFormatPr defaultRowHeight="14.5" x14ac:dyDescent="0.35"/>
  <cols>
    <col min="1" max="1" width="28.453125" bestFit="1" customWidth="1"/>
    <col min="2" max="5" width="9.1796875" bestFit="1" customWidth="1"/>
    <col min="6" max="16" width="7.26953125" bestFit="1" customWidth="1"/>
    <col min="17" max="18" width="9.26953125" bestFit="1" customWidth="1"/>
    <col min="19" max="21" width="7.453125" bestFit="1" customWidth="1"/>
    <col min="22" max="22" width="8" bestFit="1" customWidth="1"/>
    <col min="23" max="32" width="5.81640625" bestFit="1" customWidth="1"/>
    <col min="33" max="33" width="5.26953125" bestFit="1" customWidth="1"/>
    <col min="34" max="34" width="8.26953125" bestFit="1" customWidth="1"/>
    <col min="35" max="35" width="7.7265625" hidden="1" customWidth="1"/>
    <col min="36" max="36" width="6.81640625" hidden="1" customWidth="1"/>
    <col min="37" max="37" width="0" hidden="1" customWidth="1"/>
    <col min="38" max="38" width="3" customWidth="1"/>
    <col min="39" max="39" width="18.54296875" bestFit="1" customWidth="1"/>
    <col min="40" max="40" width="12.453125" bestFit="1" customWidth="1"/>
    <col min="41" max="41" width="9.81640625" bestFit="1" customWidth="1"/>
    <col min="42" max="42" width="10.81640625" bestFit="1" customWidth="1"/>
    <col min="43" max="43" width="10.1796875" bestFit="1" customWidth="1"/>
    <col min="44" max="44" width="24.81640625" bestFit="1" customWidth="1"/>
    <col min="45" max="45" width="0.453125" customWidth="1"/>
    <col min="51" max="51" width="15" bestFit="1" customWidth="1"/>
  </cols>
  <sheetData>
    <row r="1" spans="1:44" ht="15.5" x14ac:dyDescent="0.35">
      <c r="A1" s="120" t="s">
        <v>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65"/>
    </row>
    <row r="2" spans="1:44" ht="15" thickBot="1" x14ac:dyDescent="0.4"/>
    <row r="3" spans="1:44" ht="45.75" customHeight="1" x14ac:dyDescent="0.35">
      <c r="A3" s="1" t="s">
        <v>1</v>
      </c>
      <c r="B3" s="2">
        <f>AI4</f>
        <v>45139</v>
      </c>
      <c r="C3" s="2">
        <f t="shared" ref="C3:AF3" si="0">B3+1</f>
        <v>45140</v>
      </c>
      <c r="D3" s="2">
        <f t="shared" si="0"/>
        <v>45141</v>
      </c>
      <c r="E3" s="2">
        <f t="shared" si="0"/>
        <v>45142</v>
      </c>
      <c r="F3" s="2">
        <f t="shared" si="0"/>
        <v>45143</v>
      </c>
      <c r="G3" s="2">
        <f t="shared" si="0"/>
        <v>45144</v>
      </c>
      <c r="H3" s="2">
        <f t="shared" si="0"/>
        <v>45145</v>
      </c>
      <c r="I3" s="2">
        <f>H3+1</f>
        <v>45146</v>
      </c>
      <c r="J3" s="2">
        <f t="shared" si="0"/>
        <v>45147</v>
      </c>
      <c r="K3" s="2">
        <f t="shared" si="0"/>
        <v>45148</v>
      </c>
      <c r="L3" s="2">
        <f t="shared" si="0"/>
        <v>45149</v>
      </c>
      <c r="M3" s="2">
        <f t="shared" si="0"/>
        <v>45150</v>
      </c>
      <c r="N3" s="2">
        <f t="shared" si="0"/>
        <v>45151</v>
      </c>
      <c r="O3" s="2">
        <f t="shared" si="0"/>
        <v>45152</v>
      </c>
      <c r="P3" s="2">
        <f t="shared" si="0"/>
        <v>45153</v>
      </c>
      <c r="Q3" s="2">
        <f t="shared" si="0"/>
        <v>45154</v>
      </c>
      <c r="R3" s="2">
        <f t="shared" si="0"/>
        <v>45155</v>
      </c>
      <c r="S3" s="2">
        <f t="shared" si="0"/>
        <v>45156</v>
      </c>
      <c r="T3" s="2">
        <f t="shared" si="0"/>
        <v>45157</v>
      </c>
      <c r="U3" s="2">
        <f t="shared" si="0"/>
        <v>45158</v>
      </c>
      <c r="V3" s="2">
        <f t="shared" si="0"/>
        <v>45159</v>
      </c>
      <c r="W3" s="2">
        <f t="shared" si="0"/>
        <v>45160</v>
      </c>
      <c r="X3" s="2">
        <f t="shared" si="0"/>
        <v>45161</v>
      </c>
      <c r="Y3" s="2">
        <f t="shared" si="0"/>
        <v>45162</v>
      </c>
      <c r="Z3" s="2">
        <f t="shared" si="0"/>
        <v>45163</v>
      </c>
      <c r="AA3" s="2">
        <f t="shared" si="0"/>
        <v>45164</v>
      </c>
      <c r="AB3" s="2">
        <f t="shared" si="0"/>
        <v>45165</v>
      </c>
      <c r="AC3" s="2">
        <f t="shared" si="0"/>
        <v>45166</v>
      </c>
      <c r="AD3" s="2">
        <f t="shared" si="0"/>
        <v>45167</v>
      </c>
      <c r="AE3" s="2">
        <f t="shared" si="0"/>
        <v>45168</v>
      </c>
      <c r="AF3" s="2">
        <f t="shared" si="0"/>
        <v>45169</v>
      </c>
      <c r="AG3" s="36"/>
      <c r="AH3" s="36"/>
      <c r="AM3" s="122" t="s">
        <v>267</v>
      </c>
      <c r="AN3" s="123"/>
      <c r="AO3" s="123"/>
      <c r="AP3" s="123"/>
      <c r="AQ3" s="123"/>
      <c r="AR3" s="124"/>
    </row>
    <row r="4" spans="1:44" ht="31.5" customHeight="1" x14ac:dyDescent="0.35">
      <c r="A4" s="3" t="s">
        <v>2</v>
      </c>
      <c r="B4" s="4">
        <f t="shared" ref="B4:AF4" si="1">B3</f>
        <v>45139</v>
      </c>
      <c r="C4" s="4">
        <f t="shared" si="1"/>
        <v>45140</v>
      </c>
      <c r="D4" s="4">
        <f t="shared" si="1"/>
        <v>45141</v>
      </c>
      <c r="E4" s="4">
        <f t="shared" si="1"/>
        <v>45142</v>
      </c>
      <c r="F4" s="4">
        <f t="shared" si="1"/>
        <v>45143</v>
      </c>
      <c r="G4" s="4">
        <f t="shared" si="1"/>
        <v>45144</v>
      </c>
      <c r="H4" s="4">
        <f t="shared" si="1"/>
        <v>45145</v>
      </c>
      <c r="I4" s="4">
        <f t="shared" si="1"/>
        <v>45146</v>
      </c>
      <c r="J4" s="4">
        <f t="shared" si="1"/>
        <v>45147</v>
      </c>
      <c r="K4" s="4">
        <f t="shared" si="1"/>
        <v>45148</v>
      </c>
      <c r="L4" s="4">
        <f t="shared" si="1"/>
        <v>45149</v>
      </c>
      <c r="M4" s="4">
        <f t="shared" si="1"/>
        <v>45150</v>
      </c>
      <c r="N4" s="4">
        <f t="shared" si="1"/>
        <v>45151</v>
      </c>
      <c r="O4" s="4">
        <f t="shared" si="1"/>
        <v>45152</v>
      </c>
      <c r="P4" s="4">
        <f t="shared" si="1"/>
        <v>45153</v>
      </c>
      <c r="Q4" s="4">
        <f t="shared" si="1"/>
        <v>45154</v>
      </c>
      <c r="R4" s="4">
        <f t="shared" si="1"/>
        <v>45155</v>
      </c>
      <c r="S4" s="4">
        <f t="shared" si="1"/>
        <v>45156</v>
      </c>
      <c r="T4" s="4">
        <f t="shared" si="1"/>
        <v>45157</v>
      </c>
      <c r="U4" s="4">
        <f t="shared" si="1"/>
        <v>45158</v>
      </c>
      <c r="V4" s="4">
        <f t="shared" si="1"/>
        <v>45159</v>
      </c>
      <c r="W4" s="4">
        <f t="shared" si="1"/>
        <v>45160</v>
      </c>
      <c r="X4" s="4">
        <f t="shared" si="1"/>
        <v>45161</v>
      </c>
      <c r="Y4" s="4">
        <f t="shared" si="1"/>
        <v>45162</v>
      </c>
      <c r="Z4" s="4">
        <f t="shared" si="1"/>
        <v>45163</v>
      </c>
      <c r="AA4" s="4">
        <f t="shared" si="1"/>
        <v>45164</v>
      </c>
      <c r="AB4" s="4">
        <f t="shared" si="1"/>
        <v>45165</v>
      </c>
      <c r="AC4" s="4">
        <f t="shared" si="1"/>
        <v>45166</v>
      </c>
      <c r="AD4" s="4">
        <f t="shared" si="1"/>
        <v>45167</v>
      </c>
      <c r="AE4" s="4">
        <f t="shared" si="1"/>
        <v>45168</v>
      </c>
      <c r="AF4" s="4">
        <f t="shared" si="1"/>
        <v>45169</v>
      </c>
      <c r="AG4" s="39" t="s">
        <v>174</v>
      </c>
      <c r="AH4" s="40" t="s">
        <v>175</v>
      </c>
      <c r="AI4" s="5">
        <v>45139</v>
      </c>
      <c r="AJ4" s="6">
        <f>EOMONTH(AI4,0)</f>
        <v>45169</v>
      </c>
      <c r="AM4" s="19" t="s">
        <v>54</v>
      </c>
      <c r="AN4" s="19" t="s">
        <v>269</v>
      </c>
      <c r="AO4" s="19" t="s">
        <v>55</v>
      </c>
      <c r="AP4" s="19" t="s">
        <v>56</v>
      </c>
      <c r="AQ4" s="19" t="s">
        <v>251</v>
      </c>
      <c r="AR4" s="19" t="s">
        <v>57</v>
      </c>
    </row>
    <row r="5" spans="1:44" x14ac:dyDescent="0.35">
      <c r="A5" s="7" t="s">
        <v>3</v>
      </c>
      <c r="B5" s="55"/>
      <c r="C5" s="55"/>
      <c r="D5" s="55"/>
      <c r="E5" s="55"/>
      <c r="F5" s="55"/>
      <c r="G5" s="55" t="s">
        <v>37</v>
      </c>
      <c r="H5" s="55"/>
      <c r="I5" s="55" t="s">
        <v>114</v>
      </c>
      <c r="J5" s="55"/>
      <c r="K5" s="55" t="s">
        <v>37</v>
      </c>
      <c r="L5" s="55"/>
      <c r="M5" s="54" t="s">
        <v>91</v>
      </c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8"/>
      <c r="AG5" s="41">
        <f>COUNTA(B5:AF5)</f>
        <v>4</v>
      </c>
      <c r="AH5" s="42">
        <f>AG5*100/31</f>
        <v>12.903225806451612</v>
      </c>
      <c r="AM5" s="20"/>
      <c r="AN5" s="60"/>
      <c r="AO5" s="56"/>
      <c r="AP5" s="56"/>
      <c r="AQ5" s="57"/>
      <c r="AR5" s="20"/>
    </row>
    <row r="6" spans="1:44" x14ac:dyDescent="0.35">
      <c r="A6" s="7" t="s">
        <v>7</v>
      </c>
      <c r="B6" s="8"/>
      <c r="C6" s="8"/>
      <c r="D6" s="8"/>
      <c r="E6" s="55"/>
      <c r="F6" s="8"/>
      <c r="G6" s="55" t="s">
        <v>37</v>
      </c>
      <c r="H6" s="8"/>
      <c r="I6" s="55" t="s">
        <v>114</v>
      </c>
      <c r="J6" s="8"/>
      <c r="K6" s="55" t="s">
        <v>37</v>
      </c>
      <c r="L6" s="8"/>
      <c r="M6" s="54" t="s">
        <v>91</v>
      </c>
      <c r="N6" s="8"/>
      <c r="O6" s="8"/>
      <c r="P6" s="8" t="s">
        <v>402</v>
      </c>
      <c r="Q6" s="8" t="s">
        <v>402</v>
      </c>
      <c r="R6" s="8" t="s">
        <v>402</v>
      </c>
      <c r="S6" s="8" t="s">
        <v>402</v>
      </c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8"/>
      <c r="AG6" s="41">
        <f t="shared" ref="AG6:AG10" si="2">COUNTA(B6:AF6)</f>
        <v>8</v>
      </c>
      <c r="AH6" s="42">
        <f t="shared" ref="AH6:AH11" si="3">AG6*100/31</f>
        <v>25.806451612903224</v>
      </c>
      <c r="AM6" s="20"/>
      <c r="AN6" s="60"/>
      <c r="AO6" s="56"/>
      <c r="AP6" s="56"/>
      <c r="AQ6" s="57"/>
      <c r="AR6" s="20"/>
    </row>
    <row r="7" spans="1:44" x14ac:dyDescent="0.35">
      <c r="A7" s="7" t="s">
        <v>11</v>
      </c>
      <c r="B7" s="55"/>
      <c r="C7" s="55"/>
      <c r="D7" s="55"/>
      <c r="E7" s="55"/>
      <c r="F7" s="55"/>
      <c r="G7" s="55" t="s">
        <v>37</v>
      </c>
      <c r="H7" s="55"/>
      <c r="I7" s="55" t="s">
        <v>114</v>
      </c>
      <c r="J7" s="55"/>
      <c r="K7" s="55" t="s">
        <v>37</v>
      </c>
      <c r="L7" s="55"/>
      <c r="M7" s="54" t="s">
        <v>91</v>
      </c>
      <c r="N7" s="54"/>
      <c r="O7" s="55" t="s">
        <v>403</v>
      </c>
      <c r="P7" s="55" t="s">
        <v>403</v>
      </c>
      <c r="Q7" s="55" t="s">
        <v>403</v>
      </c>
      <c r="R7" s="55" t="s">
        <v>403</v>
      </c>
      <c r="S7" s="55" t="s">
        <v>403</v>
      </c>
      <c r="T7" s="55" t="s">
        <v>80</v>
      </c>
      <c r="U7" s="55" t="s">
        <v>80</v>
      </c>
      <c r="V7" s="55" t="s">
        <v>80</v>
      </c>
      <c r="W7" s="55"/>
      <c r="X7" s="55"/>
      <c r="Y7" s="55"/>
      <c r="Z7" s="55"/>
      <c r="AA7" s="55"/>
      <c r="AB7" s="55" t="s">
        <v>327</v>
      </c>
      <c r="AC7" s="55" t="s">
        <v>327</v>
      </c>
      <c r="AD7" s="55"/>
      <c r="AE7" s="55"/>
      <c r="AF7" s="8"/>
      <c r="AG7" s="41">
        <f t="shared" si="2"/>
        <v>14</v>
      </c>
      <c r="AH7" s="42">
        <f t="shared" si="3"/>
        <v>45.161290322580648</v>
      </c>
      <c r="AM7" s="20"/>
      <c r="AN7" s="60"/>
      <c r="AO7" s="56"/>
      <c r="AP7" s="56"/>
      <c r="AQ7" s="57"/>
      <c r="AR7" s="20"/>
    </row>
    <row r="8" spans="1:44" ht="15" customHeight="1" x14ac:dyDescent="0.35">
      <c r="A8" s="7" t="s">
        <v>15</v>
      </c>
      <c r="B8" s="55"/>
      <c r="C8" s="55"/>
      <c r="D8" s="55"/>
      <c r="E8" s="55"/>
      <c r="F8" s="55"/>
      <c r="G8" s="55" t="s">
        <v>391</v>
      </c>
      <c r="H8" s="55" t="s">
        <v>391</v>
      </c>
      <c r="I8" s="55" t="s">
        <v>391</v>
      </c>
      <c r="J8" s="55" t="s">
        <v>391</v>
      </c>
      <c r="K8" s="55" t="s">
        <v>391</v>
      </c>
      <c r="L8" s="55" t="s">
        <v>391</v>
      </c>
      <c r="M8" s="54" t="s">
        <v>91</v>
      </c>
      <c r="N8" s="54" t="s">
        <v>400</v>
      </c>
      <c r="O8" s="54" t="s">
        <v>400</v>
      </c>
      <c r="P8" s="54" t="s">
        <v>400</v>
      </c>
      <c r="Q8" s="54" t="s">
        <v>400</v>
      </c>
      <c r="R8" s="54" t="s">
        <v>400</v>
      </c>
      <c r="S8" s="54" t="s">
        <v>400</v>
      </c>
      <c r="T8" s="55"/>
      <c r="U8" s="55"/>
      <c r="V8" s="55"/>
      <c r="W8" s="55"/>
      <c r="X8" s="55"/>
      <c r="Y8" s="55"/>
      <c r="Z8" s="55"/>
      <c r="AA8" s="55"/>
      <c r="AB8" s="55" t="s">
        <v>327</v>
      </c>
      <c r="AC8" s="55" t="s">
        <v>327</v>
      </c>
      <c r="AD8" s="55"/>
      <c r="AE8" s="55" t="s">
        <v>34</v>
      </c>
      <c r="AF8" s="55" t="s">
        <v>34</v>
      </c>
      <c r="AG8" s="41">
        <f t="shared" si="2"/>
        <v>17</v>
      </c>
      <c r="AH8" s="42">
        <f t="shared" si="3"/>
        <v>54.838709677419352</v>
      </c>
      <c r="AK8" s="9"/>
      <c r="AM8" s="20"/>
      <c r="AN8" s="60"/>
      <c r="AO8" s="56"/>
      <c r="AP8" s="56"/>
      <c r="AQ8" s="57"/>
      <c r="AR8" s="20"/>
    </row>
    <row r="9" spans="1:44" ht="15.75" customHeight="1" x14ac:dyDescent="0.35">
      <c r="A9" s="7" t="s">
        <v>18</v>
      </c>
      <c r="B9" s="55" t="s">
        <v>354</v>
      </c>
      <c r="C9" s="55" t="s">
        <v>354</v>
      </c>
      <c r="D9" s="55" t="s">
        <v>354</v>
      </c>
      <c r="E9" s="55" t="s">
        <v>354</v>
      </c>
      <c r="F9" s="55" t="s">
        <v>354</v>
      </c>
      <c r="G9" s="55" t="s">
        <v>354</v>
      </c>
      <c r="H9" s="55" t="s">
        <v>354</v>
      </c>
      <c r="I9" s="55" t="s">
        <v>354</v>
      </c>
      <c r="J9" s="55" t="s">
        <v>354</v>
      </c>
      <c r="K9" s="55" t="s">
        <v>354</v>
      </c>
      <c r="L9" s="55" t="s">
        <v>354</v>
      </c>
      <c r="M9" s="55" t="s">
        <v>354</v>
      </c>
      <c r="N9" s="55" t="s">
        <v>354</v>
      </c>
      <c r="O9" s="55" t="s">
        <v>354</v>
      </c>
      <c r="P9" s="55" t="s">
        <v>354</v>
      </c>
      <c r="Q9" s="55" t="s">
        <v>354</v>
      </c>
      <c r="R9" s="55" t="s">
        <v>354</v>
      </c>
      <c r="S9" s="55" t="s">
        <v>354</v>
      </c>
      <c r="T9" s="55" t="s">
        <v>354</v>
      </c>
      <c r="U9" s="55" t="s">
        <v>354</v>
      </c>
      <c r="V9" s="55" t="s">
        <v>354</v>
      </c>
      <c r="W9" s="55" t="s">
        <v>354</v>
      </c>
      <c r="X9" s="55" t="s">
        <v>354</v>
      </c>
      <c r="Y9" s="55" t="s">
        <v>354</v>
      </c>
      <c r="Z9" s="55" t="s">
        <v>354</v>
      </c>
      <c r="AA9" s="55" t="s">
        <v>354</v>
      </c>
      <c r="AB9" s="55" t="s">
        <v>354</v>
      </c>
      <c r="AC9" s="55" t="s">
        <v>354</v>
      </c>
      <c r="AD9" s="55" t="s">
        <v>354</v>
      </c>
      <c r="AE9" s="55" t="s">
        <v>354</v>
      </c>
      <c r="AF9" s="55"/>
      <c r="AG9" s="41">
        <f t="shared" si="2"/>
        <v>30</v>
      </c>
      <c r="AH9" s="42">
        <f t="shared" si="3"/>
        <v>96.774193548387103</v>
      </c>
      <c r="AM9" s="20"/>
      <c r="AN9" s="60"/>
      <c r="AO9" s="56"/>
      <c r="AP9" s="56"/>
      <c r="AQ9" s="57"/>
      <c r="AR9" s="20"/>
    </row>
    <row r="10" spans="1:44" ht="15.75" customHeight="1" x14ac:dyDescent="0.35">
      <c r="A10" s="7" t="s">
        <v>20</v>
      </c>
      <c r="B10" s="55"/>
      <c r="C10" s="55"/>
      <c r="D10" s="55"/>
      <c r="E10" s="55" t="s">
        <v>389</v>
      </c>
      <c r="F10" s="55" t="s">
        <v>389</v>
      </c>
      <c r="G10" s="55" t="s">
        <v>389</v>
      </c>
      <c r="H10" s="55" t="s">
        <v>389</v>
      </c>
      <c r="I10" s="55" t="s">
        <v>114</v>
      </c>
      <c r="J10" s="55" t="s">
        <v>394</v>
      </c>
      <c r="K10" s="55" t="s">
        <v>394</v>
      </c>
      <c r="L10" s="55"/>
      <c r="M10" s="54" t="s">
        <v>91</v>
      </c>
      <c r="N10" s="54" t="s">
        <v>400</v>
      </c>
      <c r="O10" s="54" t="s">
        <v>400</v>
      </c>
      <c r="P10" s="54" t="s">
        <v>400</v>
      </c>
      <c r="Q10" s="54"/>
      <c r="R10" s="54"/>
      <c r="S10" s="54"/>
      <c r="T10" s="55"/>
      <c r="U10" s="55"/>
      <c r="V10" s="55"/>
      <c r="W10" s="55" t="s">
        <v>34</v>
      </c>
      <c r="X10" s="55" t="s">
        <v>34</v>
      </c>
      <c r="Y10" s="55" t="s">
        <v>34</v>
      </c>
      <c r="Z10" s="55" t="s">
        <v>34</v>
      </c>
      <c r="AA10" s="55" t="s">
        <v>34</v>
      </c>
      <c r="AB10" s="55" t="s">
        <v>406</v>
      </c>
      <c r="AC10" s="55" t="s">
        <v>406</v>
      </c>
      <c r="AD10" s="55" t="s">
        <v>406</v>
      </c>
      <c r="AE10" s="55" t="s">
        <v>406</v>
      </c>
      <c r="AF10" s="54"/>
      <c r="AG10" s="41">
        <f t="shared" si="2"/>
        <v>20</v>
      </c>
      <c r="AH10" s="42">
        <f t="shared" si="3"/>
        <v>64.516129032258064</v>
      </c>
      <c r="AM10" s="20"/>
      <c r="AN10" s="60"/>
      <c r="AO10" s="56"/>
      <c r="AP10" s="56"/>
      <c r="AQ10" s="57"/>
      <c r="AR10" s="20"/>
    </row>
    <row r="11" spans="1:44" ht="15.75" customHeight="1" thickBot="1" x14ac:dyDescent="0.4">
      <c r="A11" s="7" t="s">
        <v>24</v>
      </c>
      <c r="B11" s="54"/>
      <c r="C11" s="55"/>
      <c r="D11" s="55"/>
      <c r="E11" s="55"/>
      <c r="F11" s="55" t="s">
        <v>40</v>
      </c>
      <c r="G11" s="55" t="s">
        <v>40</v>
      </c>
      <c r="H11" s="67"/>
      <c r="I11" s="55" t="s">
        <v>114</v>
      </c>
      <c r="J11" s="55" t="s">
        <v>392</v>
      </c>
      <c r="K11" s="55" t="s">
        <v>392</v>
      </c>
      <c r="L11" s="54"/>
      <c r="M11" s="54" t="s">
        <v>91</v>
      </c>
      <c r="N11" s="55" t="s">
        <v>401</v>
      </c>
      <c r="O11" s="55" t="s">
        <v>401</v>
      </c>
      <c r="P11" s="55" t="s">
        <v>401</v>
      </c>
      <c r="Q11" s="55" t="s">
        <v>401</v>
      </c>
      <c r="R11" s="55" t="s">
        <v>401</v>
      </c>
      <c r="S11" s="8"/>
      <c r="T11" s="8" t="s">
        <v>80</v>
      </c>
      <c r="U11" s="8"/>
      <c r="V11" s="8"/>
      <c r="W11" s="55" t="s">
        <v>34</v>
      </c>
      <c r="X11" s="55" t="s">
        <v>34</v>
      </c>
      <c r="Y11" s="55" t="s">
        <v>34</v>
      </c>
      <c r="Z11" s="55" t="s">
        <v>34</v>
      </c>
      <c r="AA11" s="55" t="s">
        <v>34</v>
      </c>
      <c r="AB11" s="55"/>
      <c r="AC11" s="55" t="s">
        <v>25</v>
      </c>
      <c r="AD11" s="55" t="s">
        <v>25</v>
      </c>
      <c r="AE11" s="55" t="s">
        <v>34</v>
      </c>
      <c r="AF11" s="55" t="s">
        <v>34</v>
      </c>
      <c r="AG11" s="41">
        <f>COUNTA(B11:AF11)</f>
        <v>21</v>
      </c>
      <c r="AH11" s="42">
        <f t="shared" si="3"/>
        <v>67.741935483870961</v>
      </c>
      <c r="AM11" s="20"/>
      <c r="AN11" s="20"/>
      <c r="AO11" s="20"/>
      <c r="AP11" s="20"/>
      <c r="AQ11" s="20"/>
      <c r="AR11" s="20"/>
    </row>
    <row r="12" spans="1:44" ht="15" customHeight="1" x14ac:dyDescent="0.35">
      <c r="A12" s="45" t="s">
        <v>176</v>
      </c>
      <c r="B12" s="46">
        <f>COUNTA(B5:B11)</f>
        <v>1</v>
      </c>
      <c r="C12" s="46">
        <f>COUNTA(C5:C11)</f>
        <v>1</v>
      </c>
      <c r="D12" s="46">
        <f t="shared" ref="D12:AF12" si="4">COUNTA(D5:D11)</f>
        <v>1</v>
      </c>
      <c r="E12" s="46">
        <f t="shared" si="4"/>
        <v>2</v>
      </c>
      <c r="F12" s="46">
        <f t="shared" si="4"/>
        <v>3</v>
      </c>
      <c r="G12" s="46">
        <f t="shared" si="4"/>
        <v>7</v>
      </c>
      <c r="H12" s="46">
        <f t="shared" si="4"/>
        <v>3</v>
      </c>
      <c r="I12" s="46">
        <f t="shared" si="4"/>
        <v>7</v>
      </c>
      <c r="J12" s="46">
        <f t="shared" si="4"/>
        <v>4</v>
      </c>
      <c r="K12" s="46">
        <f t="shared" si="4"/>
        <v>7</v>
      </c>
      <c r="L12" s="46">
        <f t="shared" si="4"/>
        <v>2</v>
      </c>
      <c r="M12" s="46">
        <f t="shared" si="4"/>
        <v>7</v>
      </c>
      <c r="N12" s="46">
        <f t="shared" si="4"/>
        <v>4</v>
      </c>
      <c r="O12" s="46">
        <f t="shared" si="4"/>
        <v>5</v>
      </c>
      <c r="P12" s="46">
        <f t="shared" si="4"/>
        <v>6</v>
      </c>
      <c r="Q12" s="46">
        <f t="shared" si="4"/>
        <v>5</v>
      </c>
      <c r="R12" s="46">
        <f t="shared" si="4"/>
        <v>5</v>
      </c>
      <c r="S12" s="46">
        <f t="shared" si="4"/>
        <v>4</v>
      </c>
      <c r="T12" s="46">
        <f t="shared" si="4"/>
        <v>3</v>
      </c>
      <c r="U12" s="46">
        <f t="shared" si="4"/>
        <v>2</v>
      </c>
      <c r="V12" s="46">
        <f t="shared" si="4"/>
        <v>2</v>
      </c>
      <c r="W12" s="46">
        <f t="shared" si="4"/>
        <v>3</v>
      </c>
      <c r="X12" s="46">
        <f t="shared" si="4"/>
        <v>3</v>
      </c>
      <c r="Y12" s="46">
        <f t="shared" si="4"/>
        <v>3</v>
      </c>
      <c r="Z12" s="46">
        <f t="shared" si="4"/>
        <v>3</v>
      </c>
      <c r="AA12" s="46">
        <f t="shared" si="4"/>
        <v>3</v>
      </c>
      <c r="AB12" s="46">
        <f t="shared" si="4"/>
        <v>4</v>
      </c>
      <c r="AC12" s="46">
        <f t="shared" si="4"/>
        <v>5</v>
      </c>
      <c r="AD12" s="46">
        <f t="shared" si="4"/>
        <v>3</v>
      </c>
      <c r="AE12" s="46">
        <f t="shared" si="4"/>
        <v>4</v>
      </c>
      <c r="AF12" s="46">
        <f t="shared" si="4"/>
        <v>2</v>
      </c>
      <c r="AG12" s="43">
        <f t="shared" ref="AG12" si="5">SUM(AG5:AG11)</f>
        <v>114</v>
      </c>
      <c r="AH12" s="44">
        <f>AVERAGE(AH5:AH11)</f>
        <v>52.534562211981566</v>
      </c>
      <c r="AI12" s="29"/>
      <c r="AM12" s="20"/>
      <c r="AN12" s="20"/>
      <c r="AO12" s="20"/>
      <c r="AP12" s="20"/>
      <c r="AQ12" s="20"/>
      <c r="AR12" s="20"/>
    </row>
    <row r="13" spans="1:44" ht="85.5" hidden="1" x14ac:dyDescent="0.35">
      <c r="A13" s="13" t="s">
        <v>28</v>
      </c>
      <c r="B13" s="14"/>
      <c r="C13" s="14"/>
      <c r="D13" s="14"/>
      <c r="E13" s="14"/>
      <c r="F13" s="14"/>
      <c r="G13" s="14"/>
      <c r="H13" s="14"/>
      <c r="I13" s="35"/>
      <c r="J13" s="34"/>
      <c r="K13" s="15"/>
      <c r="L13" s="14"/>
      <c r="M13" s="14"/>
      <c r="N13" s="25"/>
      <c r="O13" s="25"/>
      <c r="P13" s="25"/>
      <c r="Q13" s="14"/>
      <c r="R13" s="14"/>
      <c r="S13" s="14"/>
      <c r="T13" s="14"/>
      <c r="U13" s="14"/>
      <c r="V13" s="15"/>
      <c r="W13" s="15"/>
      <c r="X13" s="14"/>
      <c r="Y13" s="14"/>
      <c r="Z13" s="14"/>
      <c r="AA13" s="14"/>
      <c r="AB13" s="14"/>
      <c r="AC13" s="14"/>
      <c r="AD13" s="14"/>
      <c r="AE13" s="14"/>
      <c r="AF13" s="37"/>
      <c r="AG13" s="37"/>
      <c r="AH13" s="37"/>
      <c r="AM13" s="20"/>
      <c r="AN13" s="20"/>
      <c r="AO13" s="20"/>
      <c r="AP13" s="20"/>
      <c r="AQ13" s="20"/>
      <c r="AR13" s="20"/>
    </row>
    <row r="14" spans="1:44" ht="28.5" hidden="1" x14ac:dyDescent="0.35">
      <c r="A14" s="16" t="s">
        <v>29</v>
      </c>
      <c r="B14" s="14"/>
      <c r="C14" s="14"/>
      <c r="D14" s="14"/>
      <c r="E14" s="14"/>
      <c r="F14" s="14"/>
      <c r="G14" s="14"/>
      <c r="H14" s="14"/>
      <c r="I14" s="35"/>
      <c r="J14" s="34"/>
      <c r="K14" s="15"/>
      <c r="L14" s="14"/>
      <c r="M14" s="14"/>
      <c r="N14" s="25"/>
      <c r="O14" s="25"/>
      <c r="P14" s="25"/>
      <c r="Q14" s="14"/>
      <c r="R14" s="14"/>
      <c r="S14" s="14"/>
      <c r="T14" s="14"/>
      <c r="U14" s="14"/>
      <c r="V14" s="15"/>
      <c r="W14" s="15"/>
      <c r="X14" s="14"/>
      <c r="Y14" s="14"/>
      <c r="Z14" s="14"/>
      <c r="AA14" s="14"/>
      <c r="AB14" s="14"/>
      <c r="AC14" s="14"/>
      <c r="AD14" s="14"/>
      <c r="AE14" s="14"/>
      <c r="AF14" s="37"/>
      <c r="AG14" s="37"/>
      <c r="AH14" s="37"/>
      <c r="AM14" s="20"/>
      <c r="AN14" s="20"/>
      <c r="AO14" s="20"/>
      <c r="AP14" s="20"/>
      <c r="AQ14" s="20"/>
      <c r="AR14" s="20"/>
    </row>
    <row r="15" spans="1:44" x14ac:dyDescent="0.35">
      <c r="A15" s="7" t="s">
        <v>30</v>
      </c>
      <c r="B15" s="8" t="s">
        <v>385</v>
      </c>
      <c r="C15" s="8" t="s">
        <v>385</v>
      </c>
      <c r="D15" s="8" t="s">
        <v>385</v>
      </c>
      <c r="E15" s="8" t="s">
        <v>385</v>
      </c>
      <c r="F15" s="8" t="s">
        <v>385</v>
      </c>
      <c r="G15" s="8" t="s">
        <v>385</v>
      </c>
      <c r="H15" s="8" t="s">
        <v>385</v>
      </c>
      <c r="I15" s="8" t="s">
        <v>385</v>
      </c>
      <c r="J15" s="8" t="s">
        <v>385</v>
      </c>
      <c r="K15" s="8" t="s">
        <v>385</v>
      </c>
      <c r="L15" s="8" t="s">
        <v>385</v>
      </c>
      <c r="M15" s="54" t="s">
        <v>91</v>
      </c>
      <c r="N15" s="8" t="s">
        <v>397</v>
      </c>
      <c r="O15" s="8" t="s">
        <v>397</v>
      </c>
      <c r="P15" s="8" t="s">
        <v>397</v>
      </c>
      <c r="Q15" s="8" t="s">
        <v>397</v>
      </c>
      <c r="R15" s="8" t="s">
        <v>397</v>
      </c>
      <c r="S15" s="8"/>
      <c r="T15" s="54" t="s">
        <v>400</v>
      </c>
      <c r="U15" s="54" t="s">
        <v>400</v>
      </c>
      <c r="V15" s="54" t="s">
        <v>400</v>
      </c>
      <c r="W15" s="54" t="s">
        <v>400</v>
      </c>
      <c r="X15" s="54" t="s">
        <v>400</v>
      </c>
      <c r="Y15" s="54" t="s">
        <v>400</v>
      </c>
      <c r="Z15" s="54" t="s">
        <v>400</v>
      </c>
      <c r="AA15" s="54" t="s">
        <v>400</v>
      </c>
      <c r="AB15" s="54" t="s">
        <v>400</v>
      </c>
      <c r="AC15" s="54" t="s">
        <v>400</v>
      </c>
      <c r="AD15" s="54" t="s">
        <v>400</v>
      </c>
      <c r="AE15" s="54" t="s">
        <v>400</v>
      </c>
      <c r="AF15" s="54"/>
      <c r="AG15" s="41">
        <f>COUNTA(B15:AF15)</f>
        <v>29</v>
      </c>
      <c r="AH15" s="42">
        <f>AG15*100/31</f>
        <v>93.548387096774192</v>
      </c>
      <c r="AM15" s="20"/>
      <c r="AN15" s="20"/>
      <c r="AO15" s="20"/>
      <c r="AP15" s="20"/>
      <c r="AQ15" s="20"/>
      <c r="AR15" s="20"/>
    </row>
    <row r="16" spans="1:44" x14ac:dyDescent="0.35">
      <c r="A16" s="7" t="s">
        <v>35</v>
      </c>
      <c r="B16" s="55"/>
      <c r="C16" s="55"/>
      <c r="D16" s="55"/>
      <c r="E16" s="8" t="s">
        <v>388</v>
      </c>
      <c r="F16" s="8" t="s">
        <v>388</v>
      </c>
      <c r="G16" s="8" t="s">
        <v>388</v>
      </c>
      <c r="H16" s="8" t="s">
        <v>388</v>
      </c>
      <c r="I16" s="8"/>
      <c r="J16" s="8" t="s">
        <v>395</v>
      </c>
      <c r="K16" s="8" t="s">
        <v>395</v>
      </c>
      <c r="L16" s="8" t="s">
        <v>399</v>
      </c>
      <c r="M16" s="8" t="s">
        <v>399</v>
      </c>
      <c r="N16" s="8" t="s">
        <v>97</v>
      </c>
      <c r="O16" s="8" t="s">
        <v>97</v>
      </c>
      <c r="P16" s="8" t="s">
        <v>97</v>
      </c>
      <c r="Q16" s="8" t="s">
        <v>97</v>
      </c>
      <c r="R16" s="8" t="s">
        <v>97</v>
      </c>
      <c r="S16" s="8"/>
      <c r="T16" s="8" t="s">
        <v>260</v>
      </c>
      <c r="U16" s="8" t="s">
        <v>260</v>
      </c>
      <c r="V16" s="8"/>
      <c r="W16" s="8"/>
      <c r="X16" s="8" t="s">
        <v>404</v>
      </c>
      <c r="Y16" s="8"/>
      <c r="Z16" s="8" t="s">
        <v>405</v>
      </c>
      <c r="AA16" s="8" t="s">
        <v>405</v>
      </c>
      <c r="AB16" s="8"/>
      <c r="AC16" s="8" t="s">
        <v>361</v>
      </c>
      <c r="AD16" s="8" t="s">
        <v>361</v>
      </c>
      <c r="AE16" s="8" t="s">
        <v>361</v>
      </c>
      <c r="AF16" s="8" t="s">
        <v>361</v>
      </c>
      <c r="AG16" s="41">
        <f t="shared" ref="AG16:AG22" si="6">COUNTA(B16:AF16)</f>
        <v>22</v>
      </c>
      <c r="AH16" s="42">
        <f>AG16*100/31</f>
        <v>70.967741935483872</v>
      </c>
      <c r="AM16" s="20"/>
      <c r="AN16" s="20"/>
      <c r="AO16" s="56"/>
      <c r="AP16" s="56"/>
      <c r="AQ16" s="20"/>
      <c r="AR16" s="20"/>
    </row>
    <row r="17" spans="1:50" x14ac:dyDescent="0.35">
      <c r="A17" s="7" t="s">
        <v>39</v>
      </c>
      <c r="B17" s="55" t="s">
        <v>327</v>
      </c>
      <c r="C17" s="55" t="s">
        <v>327</v>
      </c>
      <c r="D17" s="55" t="s">
        <v>327</v>
      </c>
      <c r="E17" s="55" t="s">
        <v>327</v>
      </c>
      <c r="F17" s="55" t="s">
        <v>327</v>
      </c>
      <c r="G17" s="55" t="s">
        <v>327</v>
      </c>
      <c r="H17" s="55" t="s">
        <v>327</v>
      </c>
      <c r="I17" s="55" t="s">
        <v>327</v>
      </c>
      <c r="J17" s="55" t="s">
        <v>327</v>
      </c>
      <c r="K17" s="55" t="s">
        <v>327</v>
      </c>
      <c r="L17" s="55" t="s">
        <v>327</v>
      </c>
      <c r="M17" s="55" t="s">
        <v>327</v>
      </c>
      <c r="N17" s="55" t="s">
        <v>327</v>
      </c>
      <c r="O17" s="55" t="s">
        <v>327</v>
      </c>
      <c r="P17" s="55" t="s">
        <v>327</v>
      </c>
      <c r="Q17" s="55" t="s">
        <v>327</v>
      </c>
      <c r="R17" s="55" t="s">
        <v>327</v>
      </c>
      <c r="S17" s="55" t="s">
        <v>327</v>
      </c>
      <c r="T17" s="55" t="s">
        <v>327</v>
      </c>
      <c r="U17" s="55" t="s">
        <v>327</v>
      </c>
      <c r="V17" s="55" t="s">
        <v>327</v>
      </c>
      <c r="W17" s="55" t="s">
        <v>327</v>
      </c>
      <c r="X17" s="55" t="s">
        <v>327</v>
      </c>
      <c r="Y17" s="55" t="s">
        <v>327</v>
      </c>
      <c r="Z17" s="55" t="s">
        <v>327</v>
      </c>
      <c r="AA17" s="55" t="s">
        <v>327</v>
      </c>
      <c r="AB17" s="55"/>
      <c r="AC17" s="55" t="s">
        <v>185</v>
      </c>
      <c r="AD17" s="55"/>
      <c r="AE17" s="55" t="s">
        <v>34</v>
      </c>
      <c r="AF17" s="55" t="s">
        <v>34</v>
      </c>
      <c r="AG17" s="41">
        <f t="shared" si="6"/>
        <v>29</v>
      </c>
      <c r="AH17" s="42">
        <f t="shared" ref="AH17:AH22" si="7">AG17*100/31</f>
        <v>93.548387096774192</v>
      </c>
      <c r="AM17" s="20"/>
      <c r="AN17" s="20"/>
      <c r="AO17" s="20"/>
      <c r="AP17" s="20"/>
      <c r="AQ17" s="20"/>
      <c r="AR17" s="20"/>
      <c r="AX17" s="58"/>
    </row>
    <row r="18" spans="1:50" x14ac:dyDescent="0.35">
      <c r="A18" s="7" t="s">
        <v>42</v>
      </c>
      <c r="B18" s="55"/>
      <c r="C18" s="55"/>
      <c r="D18" s="55"/>
      <c r="E18" s="55"/>
      <c r="F18" s="55"/>
      <c r="G18" s="55"/>
      <c r="H18" s="55"/>
      <c r="I18" s="8"/>
      <c r="J18" s="55"/>
      <c r="K18" s="55"/>
      <c r="L18" s="55" t="s">
        <v>128</v>
      </c>
      <c r="M18" s="55" t="s">
        <v>128</v>
      </c>
      <c r="N18" s="55" t="s">
        <v>128</v>
      </c>
      <c r="O18" s="55" t="s">
        <v>128</v>
      </c>
      <c r="P18" s="55" t="s">
        <v>128</v>
      </c>
      <c r="Q18" s="55" t="s">
        <v>128</v>
      </c>
      <c r="R18" s="55" t="s">
        <v>128</v>
      </c>
      <c r="S18" s="55" t="s">
        <v>101</v>
      </c>
      <c r="T18" s="55" t="s">
        <v>101</v>
      </c>
      <c r="U18" s="55"/>
      <c r="V18" s="8"/>
      <c r="W18" s="8"/>
      <c r="X18" s="8"/>
      <c r="Y18" s="8"/>
      <c r="Z18" s="8"/>
      <c r="AA18" s="8" t="s">
        <v>143</v>
      </c>
      <c r="AB18" s="8"/>
      <c r="AC18" s="54" t="s">
        <v>400</v>
      </c>
      <c r="AD18" s="54" t="s">
        <v>400</v>
      </c>
      <c r="AE18" s="54" t="s">
        <v>400</v>
      </c>
      <c r="AF18" s="54" t="s">
        <v>400</v>
      </c>
      <c r="AG18" s="41">
        <f t="shared" si="6"/>
        <v>14</v>
      </c>
      <c r="AH18" s="42">
        <f t="shared" si="7"/>
        <v>45.161290322580648</v>
      </c>
      <c r="AM18" s="20"/>
      <c r="AN18" s="20"/>
      <c r="AO18" s="20"/>
      <c r="AP18" s="20"/>
      <c r="AQ18" s="20"/>
      <c r="AR18" s="20"/>
      <c r="AX18" s="58"/>
    </row>
    <row r="19" spans="1:50" x14ac:dyDescent="0.35">
      <c r="A19" s="7" t="s">
        <v>45</v>
      </c>
      <c r="B19" s="55" t="s">
        <v>207</v>
      </c>
      <c r="C19" s="55" t="s">
        <v>207</v>
      </c>
      <c r="D19" s="55" t="s">
        <v>207</v>
      </c>
      <c r="E19" s="55" t="s">
        <v>207</v>
      </c>
      <c r="F19" s="55" t="s">
        <v>207</v>
      </c>
      <c r="G19" s="55" t="s">
        <v>207</v>
      </c>
      <c r="H19" s="55" t="s">
        <v>207</v>
      </c>
      <c r="I19" s="55" t="s">
        <v>207</v>
      </c>
      <c r="J19" s="55" t="s">
        <v>207</v>
      </c>
      <c r="K19" s="55" t="s">
        <v>207</v>
      </c>
      <c r="L19" s="55" t="s">
        <v>207</v>
      </c>
      <c r="M19" s="55" t="s">
        <v>207</v>
      </c>
      <c r="N19" s="8" t="s">
        <v>399</v>
      </c>
      <c r="O19" s="8" t="s">
        <v>399</v>
      </c>
      <c r="P19" s="8" t="s">
        <v>399</v>
      </c>
      <c r="Q19" s="8" t="s">
        <v>399</v>
      </c>
      <c r="R19" s="8" t="s">
        <v>399</v>
      </c>
      <c r="S19" s="8" t="s">
        <v>399</v>
      </c>
      <c r="T19" s="8" t="s">
        <v>399</v>
      </c>
      <c r="U19" s="8" t="s">
        <v>399</v>
      </c>
      <c r="V19" s="8" t="s">
        <v>399</v>
      </c>
      <c r="W19" s="8" t="s">
        <v>399</v>
      </c>
      <c r="X19" s="8" t="s">
        <v>399</v>
      </c>
      <c r="Y19" s="8" t="s">
        <v>399</v>
      </c>
      <c r="Z19" s="8" t="s">
        <v>399</v>
      </c>
      <c r="AA19" s="8" t="s">
        <v>399</v>
      </c>
      <c r="AB19" s="8" t="s">
        <v>399</v>
      </c>
      <c r="AC19" s="8" t="s">
        <v>399</v>
      </c>
      <c r="AD19" s="8" t="s">
        <v>399</v>
      </c>
      <c r="AE19" s="8" t="s">
        <v>399</v>
      </c>
      <c r="AF19" s="8" t="s">
        <v>399</v>
      </c>
      <c r="AG19" s="41">
        <f t="shared" si="6"/>
        <v>31</v>
      </c>
      <c r="AH19" s="42">
        <f t="shared" si="7"/>
        <v>100</v>
      </c>
      <c r="AM19" s="20"/>
      <c r="AN19" s="20"/>
      <c r="AO19" s="20"/>
      <c r="AP19" s="20"/>
      <c r="AQ19" s="20"/>
      <c r="AR19" s="20"/>
      <c r="AX19" s="58"/>
    </row>
    <row r="20" spans="1:50" x14ac:dyDescent="0.35">
      <c r="A20" s="7" t="s">
        <v>47</v>
      </c>
      <c r="B20" s="55" t="s">
        <v>386</v>
      </c>
      <c r="C20" s="55" t="s">
        <v>386</v>
      </c>
      <c r="D20" s="55" t="s">
        <v>386</v>
      </c>
      <c r="E20" s="55" t="s">
        <v>386</v>
      </c>
      <c r="F20" s="55" t="s">
        <v>386</v>
      </c>
      <c r="G20" s="55"/>
      <c r="H20" s="55"/>
      <c r="I20" s="55"/>
      <c r="J20" s="55"/>
      <c r="K20" s="55" t="s">
        <v>396</v>
      </c>
      <c r="L20" s="55"/>
      <c r="M20" s="8" t="s">
        <v>385</v>
      </c>
      <c r="N20" s="8" t="s">
        <v>385</v>
      </c>
      <c r="O20" s="8" t="s">
        <v>385</v>
      </c>
      <c r="P20" s="8" t="s">
        <v>385</v>
      </c>
      <c r="Q20" s="8" t="s">
        <v>385</v>
      </c>
      <c r="R20" s="8" t="s">
        <v>385</v>
      </c>
      <c r="S20" s="8" t="s">
        <v>385</v>
      </c>
      <c r="T20" s="8" t="s">
        <v>385</v>
      </c>
      <c r="U20" s="8" t="s">
        <v>385</v>
      </c>
      <c r="V20" s="8" t="s">
        <v>385</v>
      </c>
      <c r="W20" s="8" t="s">
        <v>385</v>
      </c>
      <c r="X20" s="8" t="s">
        <v>385</v>
      </c>
      <c r="Y20" s="8" t="s">
        <v>385</v>
      </c>
      <c r="Z20" s="8" t="s">
        <v>385</v>
      </c>
      <c r="AA20" s="8" t="s">
        <v>385</v>
      </c>
      <c r="AB20" s="8" t="s">
        <v>385</v>
      </c>
      <c r="AC20" s="8" t="s">
        <v>385</v>
      </c>
      <c r="AD20" s="8" t="s">
        <v>385</v>
      </c>
      <c r="AE20" s="8" t="s">
        <v>385</v>
      </c>
      <c r="AF20" s="8" t="s">
        <v>385</v>
      </c>
      <c r="AG20" s="41">
        <f t="shared" si="6"/>
        <v>26</v>
      </c>
      <c r="AH20" s="42">
        <f t="shared" si="7"/>
        <v>83.870967741935488</v>
      </c>
      <c r="AM20" s="20"/>
      <c r="AN20" s="20"/>
      <c r="AO20" s="20"/>
      <c r="AP20" s="20"/>
      <c r="AQ20" s="20"/>
      <c r="AR20" s="20"/>
      <c r="AX20" s="58"/>
    </row>
    <row r="21" spans="1:50" x14ac:dyDescent="0.35">
      <c r="A21" s="7" t="s">
        <v>50</v>
      </c>
      <c r="B21" s="55" t="s">
        <v>128</v>
      </c>
      <c r="C21" s="55" t="s">
        <v>128</v>
      </c>
      <c r="D21" s="55" t="s">
        <v>128</v>
      </c>
      <c r="E21" s="55" t="s">
        <v>128</v>
      </c>
      <c r="F21" s="55" t="s">
        <v>128</v>
      </c>
      <c r="G21" s="55" t="s">
        <v>128</v>
      </c>
      <c r="H21" s="8"/>
      <c r="I21" s="8"/>
      <c r="J21" s="55"/>
      <c r="K21" s="55" t="s">
        <v>134</v>
      </c>
      <c r="L21" s="55"/>
      <c r="M21" s="55" t="s">
        <v>398</v>
      </c>
      <c r="N21" s="55" t="s">
        <v>398</v>
      </c>
      <c r="O21" s="55"/>
      <c r="P21" s="8" t="s">
        <v>312</v>
      </c>
      <c r="Q21" s="55"/>
      <c r="R21" s="55"/>
      <c r="S21" s="55"/>
      <c r="T21" s="55"/>
      <c r="U21" s="55" t="s">
        <v>31</v>
      </c>
      <c r="V21" s="55" t="s">
        <v>31</v>
      </c>
      <c r="W21" s="55" t="s">
        <v>31</v>
      </c>
      <c r="X21" s="55" t="s">
        <v>31</v>
      </c>
      <c r="Y21" s="55" t="s">
        <v>31</v>
      </c>
      <c r="Z21" s="55" t="s">
        <v>31</v>
      </c>
      <c r="AA21" s="55" t="s">
        <v>31</v>
      </c>
      <c r="AB21" s="55" t="s">
        <v>86</v>
      </c>
      <c r="AC21" s="55" t="s">
        <v>86</v>
      </c>
      <c r="AD21" s="55" t="s">
        <v>86</v>
      </c>
      <c r="AE21" s="55" t="s">
        <v>86</v>
      </c>
      <c r="AF21" s="55" t="s">
        <v>86</v>
      </c>
      <c r="AG21" s="41">
        <f t="shared" si="6"/>
        <v>22</v>
      </c>
      <c r="AH21" s="42">
        <f t="shared" si="7"/>
        <v>70.967741935483872</v>
      </c>
      <c r="AM21" s="20"/>
      <c r="AN21" s="20"/>
      <c r="AO21" s="20"/>
      <c r="AP21" s="20"/>
      <c r="AQ21" s="20"/>
      <c r="AR21" s="20"/>
      <c r="AX21" s="58"/>
    </row>
    <row r="22" spans="1:50" ht="15" thickBot="1" x14ac:dyDescent="0.4">
      <c r="A22" s="7" t="s">
        <v>51</v>
      </c>
      <c r="B22" s="55"/>
      <c r="C22" s="55"/>
      <c r="D22" s="55" t="s">
        <v>387</v>
      </c>
      <c r="E22" s="55" t="s">
        <v>390</v>
      </c>
      <c r="F22" s="55" t="s">
        <v>390</v>
      </c>
      <c r="G22" s="55" t="s">
        <v>390</v>
      </c>
      <c r="H22" s="55" t="s">
        <v>390</v>
      </c>
      <c r="I22" s="55"/>
      <c r="J22" s="55" t="s">
        <v>393</v>
      </c>
      <c r="K22" s="55"/>
      <c r="L22" s="55"/>
      <c r="M22" s="54" t="s">
        <v>91</v>
      </c>
      <c r="N22" s="54" t="s">
        <v>400</v>
      </c>
      <c r="O22" s="54" t="s">
        <v>400</v>
      </c>
      <c r="P22" s="54" t="s">
        <v>400</v>
      </c>
      <c r="Q22" s="54" t="s">
        <v>400</v>
      </c>
      <c r="R22" s="54" t="s">
        <v>400</v>
      </c>
      <c r="S22" s="54" t="s">
        <v>400</v>
      </c>
      <c r="T22" s="54" t="s">
        <v>400</v>
      </c>
      <c r="U22" s="54" t="s">
        <v>400</v>
      </c>
      <c r="V22" s="54" t="s">
        <v>400</v>
      </c>
      <c r="W22" s="54" t="s">
        <v>400</v>
      </c>
      <c r="X22" s="54" t="s">
        <v>400</v>
      </c>
      <c r="Y22" s="54" t="s">
        <v>400</v>
      </c>
      <c r="Z22" s="54" t="s">
        <v>400</v>
      </c>
      <c r="AA22" s="54" t="s">
        <v>400</v>
      </c>
      <c r="AB22" s="54" t="s">
        <v>400</v>
      </c>
      <c r="AC22" s="54" t="s">
        <v>400</v>
      </c>
      <c r="AD22" s="54" t="s">
        <v>400</v>
      </c>
      <c r="AE22" s="54" t="s">
        <v>400</v>
      </c>
      <c r="AF22" s="54" t="s">
        <v>400</v>
      </c>
      <c r="AG22" s="41">
        <f t="shared" si="6"/>
        <v>26</v>
      </c>
      <c r="AH22" s="42">
        <f t="shared" si="7"/>
        <v>83.870967741935488</v>
      </c>
      <c r="AX22" s="58"/>
    </row>
    <row r="23" spans="1:50" ht="15.5" x14ac:dyDescent="0.35">
      <c r="A23" s="45" t="s">
        <v>176</v>
      </c>
      <c r="B23" s="46">
        <f>COUNTA(B15:B22)</f>
        <v>5</v>
      </c>
      <c r="C23" s="46">
        <f>COUNTA(C16:C22)</f>
        <v>4</v>
      </c>
      <c r="D23" s="46">
        <f>COUNTA(D16:D22)</f>
        <v>5</v>
      </c>
      <c r="E23" s="46">
        <f t="shared" ref="E23:AF23" si="8">COUNTA(E15:E22)</f>
        <v>7</v>
      </c>
      <c r="F23" s="46">
        <f t="shared" si="8"/>
        <v>7</v>
      </c>
      <c r="G23" s="46">
        <f t="shared" si="8"/>
        <v>6</v>
      </c>
      <c r="H23" s="46">
        <f t="shared" si="8"/>
        <v>5</v>
      </c>
      <c r="I23" s="46">
        <f t="shared" si="8"/>
        <v>3</v>
      </c>
      <c r="J23" s="46">
        <f t="shared" si="8"/>
        <v>5</v>
      </c>
      <c r="K23" s="46">
        <f t="shared" si="8"/>
        <v>6</v>
      </c>
      <c r="L23" s="46">
        <f t="shared" si="8"/>
        <v>5</v>
      </c>
      <c r="M23" s="46">
        <f t="shared" si="8"/>
        <v>8</v>
      </c>
      <c r="N23" s="46">
        <f t="shared" si="8"/>
        <v>8</v>
      </c>
      <c r="O23" s="46">
        <f t="shared" si="8"/>
        <v>7</v>
      </c>
      <c r="P23" s="46">
        <f t="shared" si="8"/>
        <v>8</v>
      </c>
      <c r="Q23" s="46">
        <f t="shared" si="8"/>
        <v>7</v>
      </c>
      <c r="R23" s="46">
        <f t="shared" si="8"/>
        <v>7</v>
      </c>
      <c r="S23" s="46">
        <f t="shared" si="8"/>
        <v>5</v>
      </c>
      <c r="T23" s="46">
        <f t="shared" si="8"/>
        <v>7</v>
      </c>
      <c r="U23" s="46">
        <f t="shared" si="8"/>
        <v>7</v>
      </c>
      <c r="V23" s="46">
        <f t="shared" si="8"/>
        <v>6</v>
      </c>
      <c r="W23" s="46">
        <f t="shared" si="8"/>
        <v>6</v>
      </c>
      <c r="X23" s="46">
        <f t="shared" si="8"/>
        <v>7</v>
      </c>
      <c r="Y23" s="46">
        <f t="shared" si="8"/>
        <v>6</v>
      </c>
      <c r="Z23" s="46">
        <f t="shared" si="8"/>
        <v>7</v>
      </c>
      <c r="AA23" s="46">
        <f t="shared" si="8"/>
        <v>8</v>
      </c>
      <c r="AB23" s="46">
        <f t="shared" si="8"/>
        <v>5</v>
      </c>
      <c r="AC23" s="46">
        <f t="shared" si="8"/>
        <v>8</v>
      </c>
      <c r="AD23" s="46">
        <f t="shared" si="8"/>
        <v>7</v>
      </c>
      <c r="AE23" s="46">
        <f t="shared" si="8"/>
        <v>8</v>
      </c>
      <c r="AF23" s="46">
        <f t="shared" si="8"/>
        <v>7</v>
      </c>
      <c r="AG23" s="43">
        <f>SUM(AG15:AG22)</f>
        <v>199</v>
      </c>
      <c r="AH23" s="66">
        <f>AVERAGE(AH15:AH22)</f>
        <v>80.241935483870975</v>
      </c>
      <c r="AX23" s="58"/>
    </row>
    <row r="24" spans="1:50" ht="15.5" x14ac:dyDescent="0.35">
      <c r="A24" s="47" t="s">
        <v>178</v>
      </c>
      <c r="B24" s="52">
        <f>B12+B23</f>
        <v>6</v>
      </c>
      <c r="C24" s="52">
        <f t="shared" ref="C24:AF24" si="9">C12+C23</f>
        <v>5</v>
      </c>
      <c r="D24" s="52">
        <f t="shared" si="9"/>
        <v>6</v>
      </c>
      <c r="E24" s="52">
        <f t="shared" si="9"/>
        <v>9</v>
      </c>
      <c r="F24" s="52">
        <f t="shared" si="9"/>
        <v>10</v>
      </c>
      <c r="G24" s="52">
        <f t="shared" si="9"/>
        <v>13</v>
      </c>
      <c r="H24" s="52">
        <f t="shared" si="9"/>
        <v>8</v>
      </c>
      <c r="I24" s="52">
        <f t="shared" si="9"/>
        <v>10</v>
      </c>
      <c r="J24" s="52">
        <f t="shared" si="9"/>
        <v>9</v>
      </c>
      <c r="K24" s="52">
        <f t="shared" si="9"/>
        <v>13</v>
      </c>
      <c r="L24" s="52">
        <f t="shared" si="9"/>
        <v>7</v>
      </c>
      <c r="M24" s="52">
        <f t="shared" si="9"/>
        <v>15</v>
      </c>
      <c r="N24" s="52">
        <f t="shared" si="9"/>
        <v>12</v>
      </c>
      <c r="O24" s="52">
        <f t="shared" si="9"/>
        <v>12</v>
      </c>
      <c r="P24" s="52">
        <f t="shared" si="9"/>
        <v>14</v>
      </c>
      <c r="Q24" s="52">
        <f t="shared" si="9"/>
        <v>12</v>
      </c>
      <c r="R24" s="52">
        <f t="shared" si="9"/>
        <v>12</v>
      </c>
      <c r="S24" s="52">
        <f t="shared" si="9"/>
        <v>9</v>
      </c>
      <c r="T24" s="52">
        <f t="shared" si="9"/>
        <v>10</v>
      </c>
      <c r="U24" s="52">
        <f t="shared" si="9"/>
        <v>9</v>
      </c>
      <c r="V24" s="52">
        <f t="shared" si="9"/>
        <v>8</v>
      </c>
      <c r="W24" s="52">
        <f t="shared" si="9"/>
        <v>9</v>
      </c>
      <c r="X24" s="52">
        <f t="shared" si="9"/>
        <v>10</v>
      </c>
      <c r="Y24" s="52">
        <f t="shared" si="9"/>
        <v>9</v>
      </c>
      <c r="Z24" s="52">
        <f t="shared" si="9"/>
        <v>10</v>
      </c>
      <c r="AA24" s="52">
        <f t="shared" si="9"/>
        <v>11</v>
      </c>
      <c r="AB24" s="52">
        <f t="shared" si="9"/>
        <v>9</v>
      </c>
      <c r="AC24" s="52">
        <f t="shared" si="9"/>
        <v>13</v>
      </c>
      <c r="AD24" s="52">
        <f t="shared" si="9"/>
        <v>10</v>
      </c>
      <c r="AE24" s="52">
        <f t="shared" si="9"/>
        <v>12</v>
      </c>
      <c r="AF24" s="52">
        <f t="shared" si="9"/>
        <v>9</v>
      </c>
      <c r="AG24" s="49">
        <f>+AG12+AG23</f>
        <v>313</v>
      </c>
      <c r="AX24" s="58"/>
    </row>
    <row r="25" spans="1:50" ht="15.5" x14ac:dyDescent="0.35">
      <c r="A25" s="48" t="s">
        <v>179</v>
      </c>
      <c r="B25" s="42">
        <f>B24*100/15</f>
        <v>40</v>
      </c>
      <c r="C25" s="42">
        <f t="shared" ref="C25:AF25" si="10">C24*100/15</f>
        <v>33.333333333333336</v>
      </c>
      <c r="D25" s="42">
        <f t="shared" si="10"/>
        <v>40</v>
      </c>
      <c r="E25" s="42">
        <f t="shared" si="10"/>
        <v>60</v>
      </c>
      <c r="F25" s="42">
        <f t="shared" si="10"/>
        <v>66.666666666666671</v>
      </c>
      <c r="G25" s="42">
        <f t="shared" si="10"/>
        <v>86.666666666666671</v>
      </c>
      <c r="H25" s="42">
        <f t="shared" si="10"/>
        <v>53.333333333333336</v>
      </c>
      <c r="I25" s="42">
        <f t="shared" si="10"/>
        <v>66.666666666666671</v>
      </c>
      <c r="J25" s="42">
        <f t="shared" si="10"/>
        <v>60</v>
      </c>
      <c r="K25" s="42">
        <f t="shared" si="10"/>
        <v>86.666666666666671</v>
      </c>
      <c r="L25" s="42">
        <f t="shared" si="10"/>
        <v>46.666666666666664</v>
      </c>
      <c r="M25" s="42">
        <f t="shared" si="10"/>
        <v>100</v>
      </c>
      <c r="N25" s="42">
        <f t="shared" si="10"/>
        <v>80</v>
      </c>
      <c r="O25" s="42">
        <f t="shared" si="10"/>
        <v>80</v>
      </c>
      <c r="P25" s="42">
        <f t="shared" si="10"/>
        <v>93.333333333333329</v>
      </c>
      <c r="Q25" s="42">
        <f t="shared" si="10"/>
        <v>80</v>
      </c>
      <c r="R25" s="42">
        <f t="shared" si="10"/>
        <v>80</v>
      </c>
      <c r="S25" s="42">
        <f t="shared" si="10"/>
        <v>60</v>
      </c>
      <c r="T25" s="42">
        <f t="shared" si="10"/>
        <v>66.666666666666671</v>
      </c>
      <c r="U25" s="42">
        <f t="shared" si="10"/>
        <v>60</v>
      </c>
      <c r="V25" s="42">
        <f t="shared" si="10"/>
        <v>53.333333333333336</v>
      </c>
      <c r="W25" s="42">
        <f t="shared" si="10"/>
        <v>60</v>
      </c>
      <c r="X25" s="42">
        <f t="shared" si="10"/>
        <v>66.666666666666671</v>
      </c>
      <c r="Y25" s="42">
        <f t="shared" si="10"/>
        <v>60</v>
      </c>
      <c r="Z25" s="42">
        <f t="shared" si="10"/>
        <v>66.666666666666671</v>
      </c>
      <c r="AA25" s="42">
        <f t="shared" si="10"/>
        <v>73.333333333333329</v>
      </c>
      <c r="AB25" s="42">
        <f t="shared" si="10"/>
        <v>60</v>
      </c>
      <c r="AC25" s="42">
        <f t="shared" si="10"/>
        <v>86.666666666666671</v>
      </c>
      <c r="AD25" s="42">
        <f t="shared" si="10"/>
        <v>66.666666666666671</v>
      </c>
      <c r="AE25" s="42">
        <f t="shared" si="10"/>
        <v>80</v>
      </c>
      <c r="AF25" s="42">
        <f t="shared" si="10"/>
        <v>60</v>
      </c>
      <c r="AG25" s="50">
        <f>AVERAGE(B25:AF25)</f>
        <v>66.881720430107549</v>
      </c>
      <c r="AH25" s="51" t="s">
        <v>180</v>
      </c>
      <c r="AX25" s="58"/>
    </row>
    <row r="26" spans="1:50" x14ac:dyDescent="0.35">
      <c r="AX26" s="58"/>
    </row>
    <row r="27" spans="1:50" x14ac:dyDescent="0.35">
      <c r="AX27" s="58"/>
    </row>
  </sheetData>
  <mergeCells count="2">
    <mergeCell ref="A1:AE1"/>
    <mergeCell ref="AM3:AR3"/>
  </mergeCells>
  <conditionalFormatting sqref="B21:B22 C22:L22 C21:G21 N22:AF22">
    <cfRule type="colorScale" priority="20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6:D6 F6 H6 J6 L6 N6:S6">
    <cfRule type="colorScale" priority="2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7:D7 F7 H7 J7 L7 N8:S8 N7:AE7">
    <cfRule type="colorScale" priority="28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6:D16 G18:H18 AC17:AD17 B20:L20">
    <cfRule type="colorScale" priority="29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8:F18">
    <cfRule type="colorScale" priority="2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0:H10 AF9 J10:L10 T10:V10">
    <cfRule type="colorScale" priority="2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1:H11 L11 N11:R11 W10:AE10 W8:AF8 W11:AF11">
    <cfRule type="colorScale" priority="3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8:L8 T8:V8">
    <cfRule type="colorScale" priority="2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5:L15">
    <cfRule type="colorScale" priority="2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9:M19">
    <cfRule type="colorScale" priority="10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7:AB17">
    <cfRule type="colorScale" priority="1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9:AE9">
    <cfRule type="colorScale" priority="1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H21:P21 I18:R18 N15:AE15 E16:AF16 V18:AF18">
    <cfRule type="colorScale" priority="30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I10:I11">
    <cfRule type="colorScale" priority="9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J11:K11">
    <cfRule type="colorScale" priority="19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L13:U14 X13:AH14 B13:I14 AF15 AF5:AF7 B5:F5 T6:AE6 E6:E7 H5:J5 G5:G7 I6:I7 L5:AE5 K5:K7 M6:M8 AF10">
    <cfRule type="colorScale" priority="3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M10:M11">
    <cfRule type="colorScale" priority="8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M15">
    <cfRule type="colorScale" priority="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M22">
    <cfRule type="colorScale" priority="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M20:AF20">
    <cfRule type="colorScale" priority="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N10:S10">
    <cfRule type="colorScale" priority="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N19:AF19">
    <cfRule type="colorScale" priority="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Q21:AF21">
    <cfRule type="colorScale" priority="1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S18:U18">
    <cfRule type="colorScale" priority="18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S11:V11">
    <cfRule type="colorScale" priority="1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E17:AF17">
    <cfRule type="colorScale" priority="1">
      <colorScale>
        <cfvo type="num" val="1"/>
        <cfvo type="max"/>
        <color theme="4" tint="0.59999389629810485"/>
        <color theme="5" tint="0.59999389629810485"/>
      </colorScale>
    </cfRule>
  </conditionalFormatting>
  <pageMargins left="0.7" right="0.7" top="0.75" bottom="0.75" header="0.3" footer="0.3"/>
  <pageSetup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4C173-9AAD-43D7-87F1-8D4ABDB881C9}">
  <dimension ref="A1:AW27"/>
  <sheetViews>
    <sheetView zoomScale="86" zoomScaleNormal="86" workbookViewId="0">
      <pane xSplit="1" ySplit="4" topLeftCell="T8" activePane="bottomRight" state="frozen"/>
      <selection pane="topRight" activeCell="B1" sqref="B1"/>
      <selection pane="bottomLeft" activeCell="A5" sqref="A5"/>
      <selection pane="bottomRight" activeCell="T21" sqref="T21"/>
    </sheetView>
  </sheetViews>
  <sheetFormatPr defaultRowHeight="14.5" x14ac:dyDescent="0.35"/>
  <cols>
    <col min="1" max="1" width="28.453125" bestFit="1" customWidth="1"/>
    <col min="2" max="8" width="12.81640625" bestFit="1" customWidth="1"/>
    <col min="9" max="10" width="11.7265625" bestFit="1" customWidth="1"/>
    <col min="11" max="19" width="10.54296875" bestFit="1" customWidth="1"/>
    <col min="20" max="24" width="11.81640625" bestFit="1" customWidth="1"/>
    <col min="25" max="31" width="10.54296875" bestFit="1" customWidth="1"/>
    <col min="32" max="32" width="4.7265625" bestFit="1" customWidth="1"/>
    <col min="33" max="33" width="8.453125" bestFit="1" customWidth="1"/>
    <col min="34" max="34" width="7.453125" bestFit="1" customWidth="1"/>
    <col min="35" max="35" width="6.54296875" bestFit="1" customWidth="1"/>
    <col min="36" max="36" width="0" hidden="1" customWidth="1"/>
    <col min="37" max="37" width="3" hidden="1" customWidth="1"/>
    <col min="38" max="38" width="17.81640625" bestFit="1" customWidth="1"/>
    <col min="39" max="39" width="9.1796875" bestFit="1" customWidth="1"/>
    <col min="40" max="40" width="9.81640625" bestFit="1" customWidth="1"/>
    <col min="41" max="41" width="10.81640625" bestFit="1" customWidth="1"/>
    <col min="42" max="42" width="10.1796875" bestFit="1" customWidth="1"/>
    <col min="43" max="43" width="23.1796875" bestFit="1" customWidth="1"/>
    <col min="44" max="44" width="0.453125" hidden="1" customWidth="1"/>
    <col min="45" max="48" width="0" hidden="1" customWidth="1"/>
    <col min="50" max="50" width="15" bestFit="1" customWidth="1"/>
  </cols>
  <sheetData>
    <row r="1" spans="1:43" ht="15.5" x14ac:dyDescent="0.35">
      <c r="A1" s="120" t="s">
        <v>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</row>
    <row r="2" spans="1:43" ht="15" thickBot="1" x14ac:dyDescent="0.4"/>
    <row r="3" spans="1:43" ht="45.75" customHeight="1" x14ac:dyDescent="0.35">
      <c r="A3" s="1" t="s">
        <v>1</v>
      </c>
      <c r="B3" s="2">
        <f>AH4</f>
        <v>45170</v>
      </c>
      <c r="C3" s="2">
        <f t="shared" ref="C3:AE3" si="0">B3+1</f>
        <v>45171</v>
      </c>
      <c r="D3" s="2">
        <f t="shared" si="0"/>
        <v>45172</v>
      </c>
      <c r="E3" s="2">
        <f t="shared" si="0"/>
        <v>45173</v>
      </c>
      <c r="F3" s="2">
        <f t="shared" si="0"/>
        <v>45174</v>
      </c>
      <c r="G3" s="2">
        <f t="shared" si="0"/>
        <v>45175</v>
      </c>
      <c r="H3" s="2">
        <f t="shared" si="0"/>
        <v>45176</v>
      </c>
      <c r="I3" s="2">
        <f>H3+1</f>
        <v>45177</v>
      </c>
      <c r="J3" s="2">
        <f t="shared" si="0"/>
        <v>45178</v>
      </c>
      <c r="K3" s="2">
        <f t="shared" si="0"/>
        <v>45179</v>
      </c>
      <c r="L3" s="2">
        <f t="shared" si="0"/>
        <v>45180</v>
      </c>
      <c r="M3" s="2">
        <f t="shared" si="0"/>
        <v>45181</v>
      </c>
      <c r="N3" s="2">
        <f t="shared" si="0"/>
        <v>45182</v>
      </c>
      <c r="O3" s="2">
        <f t="shared" si="0"/>
        <v>45183</v>
      </c>
      <c r="P3" s="2">
        <f t="shared" si="0"/>
        <v>45184</v>
      </c>
      <c r="Q3" s="2">
        <f t="shared" si="0"/>
        <v>45185</v>
      </c>
      <c r="R3" s="2">
        <f t="shared" si="0"/>
        <v>45186</v>
      </c>
      <c r="S3" s="2">
        <f t="shared" si="0"/>
        <v>45187</v>
      </c>
      <c r="T3" s="2">
        <f t="shared" si="0"/>
        <v>45188</v>
      </c>
      <c r="U3" s="2">
        <f t="shared" si="0"/>
        <v>45189</v>
      </c>
      <c r="V3" s="2">
        <f t="shared" si="0"/>
        <v>45190</v>
      </c>
      <c r="W3" s="2">
        <f t="shared" si="0"/>
        <v>45191</v>
      </c>
      <c r="X3" s="2">
        <f t="shared" si="0"/>
        <v>45192</v>
      </c>
      <c r="Y3" s="2">
        <f t="shared" si="0"/>
        <v>45193</v>
      </c>
      <c r="Z3" s="2">
        <f t="shared" si="0"/>
        <v>45194</v>
      </c>
      <c r="AA3" s="2">
        <f t="shared" si="0"/>
        <v>45195</v>
      </c>
      <c r="AB3" s="2">
        <f t="shared" si="0"/>
        <v>45196</v>
      </c>
      <c r="AC3" s="2">
        <f t="shared" si="0"/>
        <v>45197</v>
      </c>
      <c r="AD3" s="2">
        <f t="shared" si="0"/>
        <v>45198</v>
      </c>
      <c r="AE3" s="2">
        <f t="shared" si="0"/>
        <v>45199</v>
      </c>
      <c r="AF3" s="36"/>
      <c r="AG3" s="36"/>
      <c r="AL3" s="122" t="s">
        <v>267</v>
      </c>
      <c r="AM3" s="123"/>
      <c r="AN3" s="123"/>
      <c r="AO3" s="123"/>
      <c r="AP3" s="123"/>
      <c r="AQ3" s="124"/>
    </row>
    <row r="4" spans="1:43" ht="31.5" customHeight="1" x14ac:dyDescent="0.35">
      <c r="A4" s="3" t="s">
        <v>2</v>
      </c>
      <c r="B4" s="4">
        <f t="shared" ref="B4:AE4" si="1">B3</f>
        <v>45170</v>
      </c>
      <c r="C4" s="4">
        <f t="shared" si="1"/>
        <v>45171</v>
      </c>
      <c r="D4" s="4">
        <f t="shared" si="1"/>
        <v>45172</v>
      </c>
      <c r="E4" s="4">
        <f t="shared" si="1"/>
        <v>45173</v>
      </c>
      <c r="F4" s="4">
        <f t="shared" si="1"/>
        <v>45174</v>
      </c>
      <c r="G4" s="4">
        <f t="shared" si="1"/>
        <v>45175</v>
      </c>
      <c r="H4" s="4">
        <f t="shared" si="1"/>
        <v>45176</v>
      </c>
      <c r="I4" s="4">
        <f t="shared" si="1"/>
        <v>45177</v>
      </c>
      <c r="J4" s="4">
        <f t="shared" si="1"/>
        <v>45178</v>
      </c>
      <c r="K4" s="4">
        <f t="shared" si="1"/>
        <v>45179</v>
      </c>
      <c r="L4" s="4">
        <f t="shared" si="1"/>
        <v>45180</v>
      </c>
      <c r="M4" s="4">
        <f t="shared" si="1"/>
        <v>45181</v>
      </c>
      <c r="N4" s="4">
        <f t="shared" si="1"/>
        <v>45182</v>
      </c>
      <c r="O4" s="4">
        <f t="shared" si="1"/>
        <v>45183</v>
      </c>
      <c r="P4" s="4">
        <f t="shared" si="1"/>
        <v>45184</v>
      </c>
      <c r="Q4" s="4">
        <f t="shared" si="1"/>
        <v>45185</v>
      </c>
      <c r="R4" s="4">
        <f t="shared" si="1"/>
        <v>45186</v>
      </c>
      <c r="S4" s="4">
        <f t="shared" si="1"/>
        <v>45187</v>
      </c>
      <c r="T4" s="4">
        <f t="shared" si="1"/>
        <v>45188</v>
      </c>
      <c r="U4" s="4">
        <f t="shared" si="1"/>
        <v>45189</v>
      </c>
      <c r="V4" s="4">
        <f t="shared" si="1"/>
        <v>45190</v>
      </c>
      <c r="W4" s="4">
        <f t="shared" si="1"/>
        <v>45191</v>
      </c>
      <c r="X4" s="4">
        <f t="shared" si="1"/>
        <v>45192</v>
      </c>
      <c r="Y4" s="4">
        <f t="shared" si="1"/>
        <v>45193</v>
      </c>
      <c r="Z4" s="4">
        <f t="shared" si="1"/>
        <v>45194</v>
      </c>
      <c r="AA4" s="4">
        <f t="shared" si="1"/>
        <v>45195</v>
      </c>
      <c r="AB4" s="4">
        <f t="shared" si="1"/>
        <v>45196</v>
      </c>
      <c r="AC4" s="4">
        <f t="shared" si="1"/>
        <v>45197</v>
      </c>
      <c r="AD4" s="4">
        <f t="shared" si="1"/>
        <v>45198</v>
      </c>
      <c r="AE4" s="4">
        <f t="shared" si="1"/>
        <v>45199</v>
      </c>
      <c r="AF4" s="39" t="s">
        <v>174</v>
      </c>
      <c r="AG4" s="40" t="s">
        <v>175</v>
      </c>
      <c r="AH4" s="5">
        <v>45170</v>
      </c>
      <c r="AI4" s="6">
        <f>EOMONTH(AH4,0)</f>
        <v>45199</v>
      </c>
      <c r="AL4" s="19" t="s">
        <v>54</v>
      </c>
      <c r="AM4" s="19" t="s">
        <v>269</v>
      </c>
      <c r="AN4" s="19" t="s">
        <v>55</v>
      </c>
      <c r="AO4" s="19" t="s">
        <v>56</v>
      </c>
      <c r="AP4" s="19" t="s">
        <v>251</v>
      </c>
      <c r="AQ4" s="19" t="s">
        <v>57</v>
      </c>
    </row>
    <row r="5" spans="1:43" x14ac:dyDescent="0.35">
      <c r="A5" s="7" t="s">
        <v>3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69" t="s">
        <v>410</v>
      </c>
      <c r="M5" s="69" t="s">
        <v>410</v>
      </c>
      <c r="N5" s="69" t="s">
        <v>410</v>
      </c>
      <c r="O5" s="69" t="s">
        <v>410</v>
      </c>
      <c r="P5" s="55"/>
      <c r="Q5" s="55"/>
      <c r="R5" s="55"/>
      <c r="S5" s="55"/>
      <c r="T5" s="55" t="s">
        <v>410</v>
      </c>
      <c r="U5" s="55" t="s">
        <v>410</v>
      </c>
      <c r="V5" s="55"/>
      <c r="W5" s="55"/>
      <c r="X5" s="55"/>
      <c r="Y5" s="55"/>
      <c r="Z5" s="55"/>
      <c r="AA5" s="55"/>
      <c r="AB5" s="55"/>
      <c r="AC5" s="55"/>
      <c r="AD5" s="55"/>
      <c r="AE5" s="55"/>
      <c r="AF5" s="41">
        <f t="shared" ref="AF5:AF11" si="2">COUNTA(B5:AE5)</f>
        <v>6</v>
      </c>
      <c r="AG5" s="42">
        <f>AF5*100/30</f>
        <v>20</v>
      </c>
      <c r="AL5" s="20" t="s">
        <v>347</v>
      </c>
      <c r="AM5" s="60" t="s">
        <v>272</v>
      </c>
      <c r="AN5" s="56">
        <v>45124</v>
      </c>
      <c r="AO5" s="56">
        <v>45127</v>
      </c>
      <c r="AP5" s="57">
        <v>4</v>
      </c>
      <c r="AQ5" s="20" t="s">
        <v>376</v>
      </c>
    </row>
    <row r="6" spans="1:43" x14ac:dyDescent="0.35">
      <c r="A6" s="7" t="s">
        <v>7</v>
      </c>
      <c r="B6" s="8"/>
      <c r="C6" s="8"/>
      <c r="D6" s="8"/>
      <c r="E6" s="8"/>
      <c r="F6" s="8"/>
      <c r="G6" s="8"/>
      <c r="H6" s="8"/>
      <c r="I6" s="8"/>
      <c r="J6" s="8"/>
      <c r="K6" s="8"/>
      <c r="L6" s="70" t="s">
        <v>90</v>
      </c>
      <c r="M6" s="70" t="s">
        <v>90</v>
      </c>
      <c r="N6" s="70" t="s">
        <v>90</v>
      </c>
      <c r="O6" s="70" t="s">
        <v>90</v>
      </c>
      <c r="P6" s="8"/>
      <c r="Q6" s="8"/>
      <c r="R6" s="8"/>
      <c r="S6" s="8"/>
      <c r="T6" s="8"/>
      <c r="U6" s="8"/>
      <c r="V6" s="8"/>
      <c r="W6" s="8"/>
      <c r="X6" s="8"/>
      <c r="Y6" s="8" t="s">
        <v>422</v>
      </c>
      <c r="Z6" s="8" t="s">
        <v>422</v>
      </c>
      <c r="AA6" s="8" t="s">
        <v>422</v>
      </c>
      <c r="AB6" s="8" t="s">
        <v>422</v>
      </c>
      <c r="AC6" s="8" t="s">
        <v>422</v>
      </c>
      <c r="AD6" s="8" t="s">
        <v>422</v>
      </c>
      <c r="AE6" s="8" t="s">
        <v>422</v>
      </c>
      <c r="AF6" s="41">
        <f t="shared" si="2"/>
        <v>11</v>
      </c>
      <c r="AG6" s="42">
        <f t="shared" ref="AG6:AG11" si="3">AF6*100/30</f>
        <v>36.666666666666664</v>
      </c>
      <c r="AL6" s="20" t="s">
        <v>347</v>
      </c>
      <c r="AM6" s="60" t="s">
        <v>272</v>
      </c>
      <c r="AN6" s="56">
        <v>45124</v>
      </c>
      <c r="AO6" s="56">
        <v>45127</v>
      </c>
      <c r="AP6" s="57">
        <v>4</v>
      </c>
      <c r="AQ6" s="20" t="s">
        <v>376</v>
      </c>
    </row>
    <row r="7" spans="1:43" x14ac:dyDescent="0.35">
      <c r="A7" s="7" t="s">
        <v>11</v>
      </c>
      <c r="B7" s="55"/>
      <c r="C7" s="55"/>
      <c r="D7" s="55" t="s">
        <v>415</v>
      </c>
      <c r="E7" s="55" t="s">
        <v>415</v>
      </c>
      <c r="F7" s="55" t="s">
        <v>415</v>
      </c>
      <c r="G7" s="55" t="s">
        <v>415</v>
      </c>
      <c r="H7" s="55" t="s">
        <v>415</v>
      </c>
      <c r="I7" s="55" t="s">
        <v>415</v>
      </c>
      <c r="J7" s="55" t="s">
        <v>415</v>
      </c>
      <c r="K7" s="55" t="s">
        <v>415</v>
      </c>
      <c r="L7" s="55" t="s">
        <v>415</v>
      </c>
      <c r="M7" s="55" t="s">
        <v>415</v>
      </c>
      <c r="N7" s="55" t="s">
        <v>415</v>
      </c>
      <c r="O7" s="55" t="s">
        <v>415</v>
      </c>
      <c r="P7" s="55" t="s">
        <v>415</v>
      </c>
      <c r="Q7" s="55" t="s">
        <v>415</v>
      </c>
      <c r="R7" s="55" t="s">
        <v>415</v>
      </c>
      <c r="S7" s="55" t="s">
        <v>415</v>
      </c>
      <c r="T7" s="55" t="s">
        <v>415</v>
      </c>
      <c r="U7" s="55" t="s">
        <v>415</v>
      </c>
      <c r="V7" s="55" t="s">
        <v>415</v>
      </c>
      <c r="W7" s="55" t="s">
        <v>415</v>
      </c>
      <c r="X7" s="55" t="s">
        <v>415</v>
      </c>
      <c r="Y7" s="55" t="s">
        <v>415</v>
      </c>
      <c r="Z7" s="55" t="s">
        <v>415</v>
      </c>
      <c r="AA7" s="55" t="s">
        <v>415</v>
      </c>
      <c r="AB7" s="55" t="s">
        <v>415</v>
      </c>
      <c r="AC7" s="55" t="s">
        <v>415</v>
      </c>
      <c r="AD7" s="55" t="s">
        <v>415</v>
      </c>
      <c r="AE7" s="55" t="s">
        <v>415</v>
      </c>
      <c r="AF7" s="41">
        <f t="shared" si="2"/>
        <v>28</v>
      </c>
      <c r="AG7" s="42">
        <f t="shared" si="3"/>
        <v>93.333333333333329</v>
      </c>
      <c r="AL7" s="20" t="s">
        <v>347</v>
      </c>
      <c r="AM7" s="60" t="s">
        <v>272</v>
      </c>
      <c r="AN7" s="56">
        <v>45124</v>
      </c>
      <c r="AO7" s="56">
        <v>45127</v>
      </c>
      <c r="AP7" s="57">
        <v>4</v>
      </c>
      <c r="AQ7" s="20" t="s">
        <v>376</v>
      </c>
    </row>
    <row r="8" spans="1:43" ht="15" customHeight="1" x14ac:dyDescent="0.35">
      <c r="A8" s="7" t="s">
        <v>15</v>
      </c>
      <c r="B8" s="55"/>
      <c r="C8" s="55"/>
      <c r="D8" s="55" t="s">
        <v>407</v>
      </c>
      <c r="E8" s="55" t="s">
        <v>407</v>
      </c>
      <c r="F8" s="55" t="s">
        <v>407</v>
      </c>
      <c r="G8" s="55" t="s">
        <v>407</v>
      </c>
      <c r="H8" s="55"/>
      <c r="I8" s="55"/>
      <c r="J8" s="55"/>
      <c r="K8" s="55"/>
      <c r="L8" s="69" t="s">
        <v>96</v>
      </c>
      <c r="M8" s="69" t="s">
        <v>96</v>
      </c>
      <c r="N8" s="69" t="s">
        <v>96</v>
      </c>
      <c r="O8" s="69" t="s">
        <v>96</v>
      </c>
      <c r="P8" s="55"/>
      <c r="Q8" s="55"/>
      <c r="R8" s="55"/>
      <c r="S8" s="55" t="s">
        <v>422</v>
      </c>
      <c r="T8" s="55"/>
      <c r="U8" s="55"/>
      <c r="V8" s="55"/>
      <c r="W8" s="55"/>
      <c r="X8" s="55"/>
      <c r="Y8" s="55" t="s">
        <v>426</v>
      </c>
      <c r="Z8" s="55" t="s">
        <v>426</v>
      </c>
      <c r="AA8" s="55" t="s">
        <v>426</v>
      </c>
      <c r="AB8" s="55" t="s">
        <v>426</v>
      </c>
      <c r="AC8" s="55" t="s">
        <v>426</v>
      </c>
      <c r="AD8" s="55" t="s">
        <v>426</v>
      </c>
      <c r="AE8" s="55" t="s">
        <v>426</v>
      </c>
      <c r="AF8" s="41">
        <f t="shared" si="2"/>
        <v>16</v>
      </c>
      <c r="AG8" s="42">
        <f t="shared" si="3"/>
        <v>53.333333333333336</v>
      </c>
      <c r="AJ8" s="9"/>
      <c r="AL8" s="20" t="s">
        <v>347</v>
      </c>
      <c r="AM8" s="60" t="s">
        <v>272</v>
      </c>
      <c r="AN8" s="56">
        <v>45124</v>
      </c>
      <c r="AO8" s="56">
        <v>45127</v>
      </c>
      <c r="AP8" s="57">
        <v>4</v>
      </c>
      <c r="AQ8" s="20" t="s">
        <v>376</v>
      </c>
    </row>
    <row r="9" spans="1:43" ht="15.75" customHeight="1" x14ac:dyDescent="0.35">
      <c r="A9" s="7" t="s">
        <v>18</v>
      </c>
      <c r="B9" s="54" t="s">
        <v>354</v>
      </c>
      <c r="C9" s="54" t="s">
        <v>354</v>
      </c>
      <c r="D9" s="54" t="s">
        <v>354</v>
      </c>
      <c r="E9" s="54" t="s">
        <v>354</v>
      </c>
      <c r="F9" s="54" t="s">
        <v>354</v>
      </c>
      <c r="G9" s="54" t="s">
        <v>354</v>
      </c>
      <c r="H9" s="54" t="s">
        <v>354</v>
      </c>
      <c r="I9" s="54" t="s">
        <v>354</v>
      </c>
      <c r="J9" s="54" t="s">
        <v>354</v>
      </c>
      <c r="K9" s="54"/>
      <c r="L9" s="69" t="s">
        <v>141</v>
      </c>
      <c r="M9" s="69" t="s">
        <v>141</v>
      </c>
      <c r="N9" s="69" t="s">
        <v>141</v>
      </c>
      <c r="O9" s="69" t="s">
        <v>141</v>
      </c>
      <c r="P9" s="55"/>
      <c r="Q9" s="55"/>
      <c r="R9" s="55"/>
      <c r="S9" s="55" t="s">
        <v>422</v>
      </c>
      <c r="T9" s="55"/>
      <c r="U9" s="55"/>
      <c r="V9" s="55"/>
      <c r="W9" s="55" t="s">
        <v>421</v>
      </c>
      <c r="X9" s="55" t="s">
        <v>421</v>
      </c>
      <c r="Y9" s="55" t="s">
        <v>421</v>
      </c>
      <c r="Z9" s="55" t="s">
        <v>421</v>
      </c>
      <c r="AA9" s="55" t="s">
        <v>421</v>
      </c>
      <c r="AB9" s="55" t="s">
        <v>421</v>
      </c>
      <c r="AC9" s="55" t="s">
        <v>421</v>
      </c>
      <c r="AD9" s="55" t="s">
        <v>421</v>
      </c>
      <c r="AE9" s="55" t="s">
        <v>421</v>
      </c>
      <c r="AF9" s="41">
        <f t="shared" si="2"/>
        <v>23</v>
      </c>
      <c r="AG9" s="42">
        <f t="shared" si="3"/>
        <v>76.666666666666671</v>
      </c>
      <c r="AL9" s="20" t="s">
        <v>378</v>
      </c>
      <c r="AM9" s="60" t="s">
        <v>272</v>
      </c>
      <c r="AN9" s="56">
        <v>45126</v>
      </c>
      <c r="AO9" s="56">
        <v>45128</v>
      </c>
      <c r="AP9" s="57">
        <v>2</v>
      </c>
      <c r="AQ9" s="20" t="s">
        <v>379</v>
      </c>
    </row>
    <row r="10" spans="1:43" ht="15.75" customHeight="1" x14ac:dyDescent="0.35">
      <c r="A10" s="7" t="s">
        <v>20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70" t="s">
        <v>95</v>
      </c>
      <c r="M10" s="70" t="s">
        <v>95</v>
      </c>
      <c r="N10" s="70" t="s">
        <v>95</v>
      </c>
      <c r="O10" s="70" t="s">
        <v>95</v>
      </c>
      <c r="P10" s="55"/>
      <c r="Q10" s="55"/>
      <c r="R10" s="55"/>
      <c r="S10" s="8"/>
      <c r="T10" s="8" t="s">
        <v>95</v>
      </c>
      <c r="U10" s="8" t="s">
        <v>95</v>
      </c>
      <c r="V10" s="8"/>
      <c r="W10" s="8"/>
      <c r="X10" s="8"/>
      <c r="Y10" s="8" t="s">
        <v>187</v>
      </c>
      <c r="Z10" s="8" t="s">
        <v>187</v>
      </c>
      <c r="AA10" s="8" t="s">
        <v>187</v>
      </c>
      <c r="AB10" s="8" t="s">
        <v>187</v>
      </c>
      <c r="AC10" s="8" t="s">
        <v>187</v>
      </c>
      <c r="AD10" s="8" t="s">
        <v>187</v>
      </c>
      <c r="AE10" s="8" t="s">
        <v>187</v>
      </c>
      <c r="AF10" s="41">
        <f t="shared" si="2"/>
        <v>13</v>
      </c>
      <c r="AG10" s="42">
        <f t="shared" si="3"/>
        <v>43.333333333333336</v>
      </c>
      <c r="AL10" s="20" t="s">
        <v>378</v>
      </c>
      <c r="AM10" s="60" t="s">
        <v>272</v>
      </c>
      <c r="AN10" s="56">
        <v>45126</v>
      </c>
      <c r="AO10" s="56">
        <v>45128</v>
      </c>
      <c r="AP10" s="57">
        <v>2</v>
      </c>
      <c r="AQ10" s="20" t="s">
        <v>379</v>
      </c>
    </row>
    <row r="11" spans="1:43" ht="15.75" customHeight="1" thickBot="1" x14ac:dyDescent="0.4">
      <c r="A11" s="7" t="s">
        <v>24</v>
      </c>
      <c r="B11" s="55"/>
      <c r="C11" s="55"/>
      <c r="D11" s="55" t="s">
        <v>409</v>
      </c>
      <c r="E11" s="55" t="s">
        <v>409</v>
      </c>
      <c r="F11" s="55" t="s">
        <v>409</v>
      </c>
      <c r="G11" s="55" t="s">
        <v>409</v>
      </c>
      <c r="H11" s="55"/>
      <c r="I11" s="55"/>
      <c r="J11" s="55"/>
      <c r="K11" s="55"/>
      <c r="L11" s="69" t="s">
        <v>99</v>
      </c>
      <c r="M11" s="69" t="s">
        <v>99</v>
      </c>
      <c r="N11" s="69" t="s">
        <v>99</v>
      </c>
      <c r="O11" s="69" t="s">
        <v>99</v>
      </c>
      <c r="P11" s="55" t="s">
        <v>37</v>
      </c>
      <c r="Q11" s="55" t="s">
        <v>37</v>
      </c>
      <c r="R11" s="55" t="s">
        <v>37</v>
      </c>
      <c r="S11" s="55" t="s">
        <v>37</v>
      </c>
      <c r="T11" s="55" t="s">
        <v>37</v>
      </c>
      <c r="U11" s="55" t="s">
        <v>37</v>
      </c>
      <c r="V11" s="55" t="s">
        <v>37</v>
      </c>
      <c r="W11" s="55" t="s">
        <v>314</v>
      </c>
      <c r="X11" s="55" t="s">
        <v>314</v>
      </c>
      <c r="Y11" s="55" t="s">
        <v>314</v>
      </c>
      <c r="Z11" s="8" t="s">
        <v>34</v>
      </c>
      <c r="AA11" s="8" t="s">
        <v>34</v>
      </c>
      <c r="AB11" s="8" t="s">
        <v>34</v>
      </c>
      <c r="AC11" s="8" t="s">
        <v>34</v>
      </c>
      <c r="AD11" s="8" t="s">
        <v>34</v>
      </c>
      <c r="AE11" s="8" t="s">
        <v>34</v>
      </c>
      <c r="AF11" s="41">
        <f t="shared" si="2"/>
        <v>24</v>
      </c>
      <c r="AG11" s="42">
        <f t="shared" si="3"/>
        <v>80</v>
      </c>
      <c r="AL11" s="20"/>
      <c r="AM11" s="20"/>
      <c r="AN11" s="20"/>
      <c r="AO11" s="20"/>
      <c r="AP11" s="20"/>
      <c r="AQ11" s="20"/>
    </row>
    <row r="12" spans="1:43" ht="15" customHeight="1" x14ac:dyDescent="0.35">
      <c r="A12" s="45" t="s">
        <v>176</v>
      </c>
      <c r="B12" s="46">
        <f>COUNTA(B5:B11)</f>
        <v>1</v>
      </c>
      <c r="C12" s="46">
        <f>COUNTA(C5:C11)</f>
        <v>1</v>
      </c>
      <c r="D12" s="46">
        <f t="shared" ref="D12:AE12" si="4">COUNTA(D5:D11)</f>
        <v>4</v>
      </c>
      <c r="E12" s="46">
        <f t="shared" si="4"/>
        <v>4</v>
      </c>
      <c r="F12" s="46">
        <f t="shared" si="4"/>
        <v>4</v>
      </c>
      <c r="G12" s="46">
        <f t="shared" si="4"/>
        <v>4</v>
      </c>
      <c r="H12" s="46">
        <f t="shared" si="4"/>
        <v>2</v>
      </c>
      <c r="I12" s="46">
        <f t="shared" si="4"/>
        <v>2</v>
      </c>
      <c r="J12" s="46">
        <f t="shared" si="4"/>
        <v>2</v>
      </c>
      <c r="K12" s="46">
        <f t="shared" si="4"/>
        <v>1</v>
      </c>
      <c r="L12" s="46">
        <f t="shared" si="4"/>
        <v>7</v>
      </c>
      <c r="M12" s="46">
        <f t="shared" si="4"/>
        <v>7</v>
      </c>
      <c r="N12" s="46">
        <f t="shared" si="4"/>
        <v>7</v>
      </c>
      <c r="O12" s="46">
        <f t="shared" si="4"/>
        <v>7</v>
      </c>
      <c r="P12" s="46">
        <f t="shared" si="4"/>
        <v>2</v>
      </c>
      <c r="Q12" s="46">
        <f t="shared" si="4"/>
        <v>2</v>
      </c>
      <c r="R12" s="46">
        <f t="shared" si="4"/>
        <v>2</v>
      </c>
      <c r="S12" s="46">
        <f t="shared" si="4"/>
        <v>4</v>
      </c>
      <c r="T12" s="46">
        <f t="shared" si="4"/>
        <v>4</v>
      </c>
      <c r="U12" s="46">
        <f t="shared" si="4"/>
        <v>4</v>
      </c>
      <c r="V12" s="46">
        <f t="shared" si="4"/>
        <v>2</v>
      </c>
      <c r="W12" s="46">
        <f t="shared" si="4"/>
        <v>3</v>
      </c>
      <c r="X12" s="46">
        <f t="shared" si="4"/>
        <v>3</v>
      </c>
      <c r="Y12" s="46">
        <f t="shared" si="4"/>
        <v>6</v>
      </c>
      <c r="Z12" s="46">
        <f t="shared" si="4"/>
        <v>6</v>
      </c>
      <c r="AA12" s="46">
        <f t="shared" si="4"/>
        <v>6</v>
      </c>
      <c r="AB12" s="46">
        <f t="shared" si="4"/>
        <v>6</v>
      </c>
      <c r="AC12" s="46">
        <f t="shared" si="4"/>
        <v>6</v>
      </c>
      <c r="AD12" s="46">
        <f t="shared" si="4"/>
        <v>6</v>
      </c>
      <c r="AE12" s="46">
        <f t="shared" si="4"/>
        <v>6</v>
      </c>
      <c r="AF12" s="43">
        <f t="shared" ref="AF12" si="5">SUM(AF5:AF11)</f>
        <v>121</v>
      </c>
      <c r="AG12" s="44">
        <f>AVERAGE(AG5:AG11)</f>
        <v>57.619047619047613</v>
      </c>
      <c r="AH12" s="29"/>
      <c r="AL12" s="20"/>
      <c r="AM12" s="20"/>
      <c r="AN12" s="20"/>
      <c r="AO12" s="20"/>
      <c r="AP12" s="20"/>
      <c r="AQ12" s="20"/>
    </row>
    <row r="13" spans="1:43" ht="85.5" hidden="1" x14ac:dyDescent="0.35">
      <c r="A13" s="13" t="s">
        <v>28</v>
      </c>
      <c r="B13" s="14"/>
      <c r="C13" s="14"/>
      <c r="D13" s="14"/>
      <c r="E13" s="14"/>
      <c r="F13" s="14"/>
      <c r="G13" s="14"/>
      <c r="H13" s="14"/>
      <c r="I13" s="35"/>
      <c r="J13" s="34"/>
      <c r="K13" s="15"/>
      <c r="L13" s="14"/>
      <c r="M13" s="14"/>
      <c r="N13" s="25"/>
      <c r="O13" s="25"/>
      <c r="P13" s="25"/>
      <c r="Q13" s="14"/>
      <c r="R13" s="14"/>
      <c r="S13" s="14"/>
      <c r="T13" s="14"/>
      <c r="U13" s="14"/>
      <c r="V13" s="15"/>
      <c r="W13" s="15"/>
      <c r="X13" s="14"/>
      <c r="Y13" s="14"/>
      <c r="Z13" s="14"/>
      <c r="AA13" s="14"/>
      <c r="AB13" s="14"/>
      <c r="AC13" s="14"/>
      <c r="AD13" s="14"/>
      <c r="AE13" s="14"/>
      <c r="AF13" s="37"/>
      <c r="AG13" s="37"/>
      <c r="AL13" s="20"/>
      <c r="AM13" s="20"/>
      <c r="AN13" s="20"/>
      <c r="AO13" s="20"/>
      <c r="AP13" s="20"/>
      <c r="AQ13" s="20"/>
    </row>
    <row r="14" spans="1:43" ht="28.5" hidden="1" x14ac:dyDescent="0.35">
      <c r="A14" s="16" t="s">
        <v>29</v>
      </c>
      <c r="B14" s="14"/>
      <c r="C14" s="14"/>
      <c r="D14" s="14"/>
      <c r="E14" s="14"/>
      <c r="F14" s="14"/>
      <c r="G14" s="14"/>
      <c r="H14" s="14"/>
      <c r="I14" s="35"/>
      <c r="J14" s="34"/>
      <c r="K14" s="15"/>
      <c r="L14" s="14"/>
      <c r="M14" s="14"/>
      <c r="N14" s="25"/>
      <c r="O14" s="25"/>
      <c r="P14" s="25"/>
      <c r="Q14" s="14"/>
      <c r="R14" s="14"/>
      <c r="S14" s="14"/>
      <c r="T14" s="14"/>
      <c r="U14" s="14"/>
      <c r="V14" s="15"/>
      <c r="W14" s="15"/>
      <c r="X14" s="14"/>
      <c r="Y14" s="14"/>
      <c r="Z14" s="14"/>
      <c r="AA14" s="14"/>
      <c r="AB14" s="14"/>
      <c r="AC14" s="14"/>
      <c r="AD14" s="14"/>
      <c r="AE14" s="14"/>
      <c r="AF14" s="37"/>
      <c r="AG14" s="37"/>
      <c r="AL14" s="20"/>
      <c r="AM14" s="20"/>
      <c r="AN14" s="20"/>
      <c r="AO14" s="20"/>
      <c r="AP14" s="20"/>
      <c r="AQ14" s="20"/>
    </row>
    <row r="15" spans="1:43" x14ac:dyDescent="0.35">
      <c r="A15" s="7" t="s">
        <v>30</v>
      </c>
      <c r="B15" s="54" t="s">
        <v>400</v>
      </c>
      <c r="C15" s="54" t="s">
        <v>400</v>
      </c>
      <c r="D15" s="54" t="s">
        <v>400</v>
      </c>
      <c r="E15" s="54" t="s">
        <v>400</v>
      </c>
      <c r="F15" s="54" t="s">
        <v>400</v>
      </c>
      <c r="G15" s="54" t="s">
        <v>400</v>
      </c>
      <c r="H15" s="54" t="s">
        <v>400</v>
      </c>
      <c r="I15" s="54" t="s">
        <v>25</v>
      </c>
      <c r="J15" s="54" t="s">
        <v>25</v>
      </c>
      <c r="K15" s="54"/>
      <c r="L15" s="70" t="s">
        <v>37</v>
      </c>
      <c r="M15" s="70" t="s">
        <v>37</v>
      </c>
      <c r="N15" s="70" t="s">
        <v>37</v>
      </c>
      <c r="O15" s="70" t="s">
        <v>37</v>
      </c>
      <c r="P15" s="8"/>
      <c r="Q15" s="8"/>
      <c r="R15" s="8" t="s">
        <v>34</v>
      </c>
      <c r="S15" s="8" t="s">
        <v>34</v>
      </c>
      <c r="T15" s="8" t="s">
        <v>34</v>
      </c>
      <c r="U15" s="8" t="s">
        <v>34</v>
      </c>
      <c r="V15" s="8" t="s">
        <v>34</v>
      </c>
      <c r="W15" s="8" t="s">
        <v>34</v>
      </c>
      <c r="X15" s="8" t="s">
        <v>34</v>
      </c>
      <c r="Y15" s="8" t="s">
        <v>34</v>
      </c>
      <c r="Z15" s="8" t="s">
        <v>34</v>
      </c>
      <c r="AA15" s="8" t="s">
        <v>34</v>
      </c>
      <c r="AB15" s="8" t="s">
        <v>34</v>
      </c>
      <c r="AC15" s="8" t="s">
        <v>34</v>
      </c>
      <c r="AD15" s="8" t="s">
        <v>34</v>
      </c>
      <c r="AE15" s="8" t="s">
        <v>34</v>
      </c>
      <c r="AF15" s="41">
        <f t="shared" ref="AF15:AF22" si="6">COUNTA(B15:AE15)</f>
        <v>27</v>
      </c>
      <c r="AG15" s="42">
        <f>AF15*100/30</f>
        <v>90</v>
      </c>
      <c r="AL15" s="20"/>
      <c r="AM15" s="20"/>
      <c r="AN15" s="20"/>
      <c r="AO15" s="20"/>
      <c r="AP15" s="20"/>
      <c r="AQ15" s="20"/>
    </row>
    <row r="16" spans="1:43" x14ac:dyDescent="0.35">
      <c r="A16" s="7" t="s">
        <v>35</v>
      </c>
      <c r="B16" s="8" t="s">
        <v>361</v>
      </c>
      <c r="C16" s="8" t="s">
        <v>361</v>
      </c>
      <c r="D16" s="8" t="s">
        <v>361</v>
      </c>
      <c r="E16" s="8" t="s">
        <v>361</v>
      </c>
      <c r="F16" s="8" t="s">
        <v>361</v>
      </c>
      <c r="G16" s="8" t="s">
        <v>361</v>
      </c>
      <c r="H16" s="8" t="s">
        <v>361</v>
      </c>
      <c r="I16" s="8" t="s">
        <v>361</v>
      </c>
      <c r="J16" s="8" t="s">
        <v>361</v>
      </c>
      <c r="K16" s="8"/>
      <c r="L16" s="69" t="s">
        <v>417</v>
      </c>
      <c r="M16" s="69" t="s">
        <v>417</v>
      </c>
      <c r="N16" s="69" t="s">
        <v>417</v>
      </c>
      <c r="O16" s="69" t="s">
        <v>417</v>
      </c>
      <c r="P16" s="55" t="s">
        <v>417</v>
      </c>
      <c r="Q16" s="55" t="s">
        <v>417</v>
      </c>
      <c r="R16" s="55" t="s">
        <v>417</v>
      </c>
      <c r="S16" s="55" t="s">
        <v>417</v>
      </c>
      <c r="T16" s="55" t="s">
        <v>417</v>
      </c>
      <c r="U16" s="55" t="s">
        <v>417</v>
      </c>
      <c r="V16" s="55" t="s">
        <v>417</v>
      </c>
      <c r="W16" s="55" t="s">
        <v>417</v>
      </c>
      <c r="X16" s="55" t="s">
        <v>417</v>
      </c>
      <c r="Y16" s="55" t="s">
        <v>417</v>
      </c>
      <c r="Z16" s="55" t="s">
        <v>417</v>
      </c>
      <c r="AA16" s="55" t="s">
        <v>417</v>
      </c>
      <c r="AB16" s="55" t="s">
        <v>417</v>
      </c>
      <c r="AC16" s="55" t="s">
        <v>417</v>
      </c>
      <c r="AD16" s="55" t="s">
        <v>417</v>
      </c>
      <c r="AE16" s="55" t="s">
        <v>417</v>
      </c>
      <c r="AF16" s="41">
        <f t="shared" si="6"/>
        <v>29</v>
      </c>
      <c r="AG16" s="42">
        <f t="shared" ref="AG16:AG22" si="7">AF16*100/30</f>
        <v>96.666666666666671</v>
      </c>
      <c r="AL16" s="20"/>
      <c r="AM16" s="20"/>
      <c r="AN16" s="56"/>
      <c r="AO16" s="56"/>
      <c r="AP16" s="20"/>
      <c r="AQ16" s="20"/>
    </row>
    <row r="17" spans="1:49" x14ac:dyDescent="0.35">
      <c r="A17" s="7" t="s">
        <v>39</v>
      </c>
      <c r="B17" s="55"/>
      <c r="C17" s="55" t="s">
        <v>408</v>
      </c>
      <c r="D17" s="55" t="s">
        <v>408</v>
      </c>
      <c r="E17" s="55" t="s">
        <v>408</v>
      </c>
      <c r="F17" s="55" t="s">
        <v>408</v>
      </c>
      <c r="G17" s="55" t="s">
        <v>408</v>
      </c>
      <c r="H17" s="55" t="s">
        <v>408</v>
      </c>
      <c r="I17" s="55"/>
      <c r="J17" s="54"/>
      <c r="K17" s="54"/>
      <c r="L17" s="69" t="s">
        <v>253</v>
      </c>
      <c r="M17" s="69" t="s">
        <v>253</v>
      </c>
      <c r="N17" s="69" t="s">
        <v>253</v>
      </c>
      <c r="O17" s="69" t="s">
        <v>253</v>
      </c>
      <c r="P17" s="55" t="s">
        <v>419</v>
      </c>
      <c r="Q17" s="55" t="s">
        <v>419</v>
      </c>
      <c r="R17" s="55" t="s">
        <v>419</v>
      </c>
      <c r="S17" s="55" t="s">
        <v>419</v>
      </c>
      <c r="T17" s="55" t="s">
        <v>419</v>
      </c>
      <c r="U17" s="55" t="s">
        <v>419</v>
      </c>
      <c r="V17" s="55" t="s">
        <v>419</v>
      </c>
      <c r="W17" s="55" t="s">
        <v>419</v>
      </c>
      <c r="X17" s="55" t="s">
        <v>419</v>
      </c>
      <c r="Y17" s="55" t="s">
        <v>419</v>
      </c>
      <c r="Z17" s="55" t="s">
        <v>419</v>
      </c>
      <c r="AA17" s="55" t="s">
        <v>419</v>
      </c>
      <c r="AB17" s="55" t="s">
        <v>419</v>
      </c>
      <c r="AC17" s="55" t="s">
        <v>419</v>
      </c>
      <c r="AD17" s="55" t="s">
        <v>419</v>
      </c>
      <c r="AE17" s="55" t="s">
        <v>419</v>
      </c>
      <c r="AF17" s="41">
        <f t="shared" si="6"/>
        <v>26</v>
      </c>
      <c r="AG17" s="42">
        <f t="shared" si="7"/>
        <v>86.666666666666671</v>
      </c>
      <c r="AL17" s="20"/>
      <c r="AM17" s="20"/>
      <c r="AN17" s="20"/>
      <c r="AO17" s="20"/>
      <c r="AP17" s="20"/>
      <c r="AQ17" s="20"/>
      <c r="AW17" s="58"/>
    </row>
    <row r="18" spans="1:49" x14ac:dyDescent="0.35">
      <c r="A18" s="7" t="s">
        <v>42</v>
      </c>
      <c r="B18" s="54" t="s">
        <v>400</v>
      </c>
      <c r="C18" s="54" t="s">
        <v>400</v>
      </c>
      <c r="D18" s="54"/>
      <c r="E18" s="54"/>
      <c r="F18" s="54"/>
      <c r="G18" s="54"/>
      <c r="H18" s="54"/>
      <c r="I18" s="54"/>
      <c r="J18" s="54" t="s">
        <v>86</v>
      </c>
      <c r="K18" s="54" t="s">
        <v>86</v>
      </c>
      <c r="L18" s="69" t="s">
        <v>411</v>
      </c>
      <c r="M18" s="69" t="s">
        <v>411</v>
      </c>
      <c r="N18" s="69" t="s">
        <v>411</v>
      </c>
      <c r="O18" s="69" t="s">
        <v>411</v>
      </c>
      <c r="P18" s="55" t="s">
        <v>418</v>
      </c>
      <c r="Q18" s="55" t="s">
        <v>418</v>
      </c>
      <c r="R18" s="55" t="s">
        <v>418</v>
      </c>
      <c r="S18" s="55" t="s">
        <v>418</v>
      </c>
      <c r="T18" s="55" t="s">
        <v>418</v>
      </c>
      <c r="U18" s="55" t="s">
        <v>418</v>
      </c>
      <c r="V18" s="55" t="s">
        <v>418</v>
      </c>
      <c r="W18" s="55" t="s">
        <v>418</v>
      </c>
      <c r="X18" s="55" t="s">
        <v>418</v>
      </c>
      <c r="Y18" s="55" t="s">
        <v>418</v>
      </c>
      <c r="Z18" s="55" t="s">
        <v>418</v>
      </c>
      <c r="AA18" s="55" t="s">
        <v>418</v>
      </c>
      <c r="AB18" s="55" t="s">
        <v>418</v>
      </c>
      <c r="AC18" s="55" t="s">
        <v>418</v>
      </c>
      <c r="AD18" s="55" t="s">
        <v>418</v>
      </c>
      <c r="AE18" s="55" t="s">
        <v>418</v>
      </c>
      <c r="AF18" s="41">
        <f t="shared" si="6"/>
        <v>24</v>
      </c>
      <c r="AG18" s="42">
        <f t="shared" si="7"/>
        <v>80</v>
      </c>
      <c r="AL18" s="20"/>
      <c r="AM18" s="20"/>
      <c r="AN18" s="20"/>
      <c r="AO18" s="20"/>
      <c r="AP18" s="20"/>
      <c r="AQ18" s="20"/>
      <c r="AW18" s="58"/>
    </row>
    <row r="19" spans="1:49" x14ac:dyDescent="0.35">
      <c r="A19" s="7" t="s">
        <v>45</v>
      </c>
      <c r="B19" s="8" t="s">
        <v>399</v>
      </c>
      <c r="C19" s="8" t="s">
        <v>399</v>
      </c>
      <c r="D19" s="8" t="s">
        <v>399</v>
      </c>
      <c r="E19" s="8" t="s">
        <v>399</v>
      </c>
      <c r="F19" s="8" t="s">
        <v>399</v>
      </c>
      <c r="G19" s="8" t="s">
        <v>399</v>
      </c>
      <c r="H19" s="8" t="s">
        <v>399</v>
      </c>
      <c r="I19" s="8"/>
      <c r="J19" s="8"/>
      <c r="K19" s="8"/>
      <c r="L19" s="69" t="s">
        <v>412</v>
      </c>
      <c r="M19" s="69" t="s">
        <v>412</v>
      </c>
      <c r="N19" s="69" t="s">
        <v>412</v>
      </c>
      <c r="O19" s="69" t="s">
        <v>412</v>
      </c>
      <c r="P19" s="55" t="s">
        <v>385</v>
      </c>
      <c r="Q19" s="55" t="s">
        <v>385</v>
      </c>
      <c r="R19" s="55" t="s">
        <v>385</v>
      </c>
      <c r="S19" s="55" t="s">
        <v>385</v>
      </c>
      <c r="T19" s="55" t="s">
        <v>385</v>
      </c>
      <c r="U19" s="55" t="s">
        <v>385</v>
      </c>
      <c r="V19" s="55" t="s">
        <v>385</v>
      </c>
      <c r="W19" s="55" t="s">
        <v>385</v>
      </c>
      <c r="X19" s="55" t="s">
        <v>425</v>
      </c>
      <c r="Y19" s="55" t="s">
        <v>425</v>
      </c>
      <c r="Z19" s="55" t="s">
        <v>425</v>
      </c>
      <c r="AA19" s="55" t="s">
        <v>425</v>
      </c>
      <c r="AB19" s="55" t="s">
        <v>425</v>
      </c>
      <c r="AC19" s="55" t="s">
        <v>425</v>
      </c>
      <c r="AD19" s="55" t="s">
        <v>425</v>
      </c>
      <c r="AE19" s="55" t="s">
        <v>425</v>
      </c>
      <c r="AF19" s="41">
        <f t="shared" si="6"/>
        <v>27</v>
      </c>
      <c r="AG19" s="42">
        <f t="shared" si="7"/>
        <v>90</v>
      </c>
      <c r="AL19" s="20"/>
      <c r="AM19" s="20"/>
      <c r="AN19" s="20"/>
      <c r="AO19" s="20"/>
      <c r="AP19" s="20"/>
      <c r="AQ19" s="20"/>
      <c r="AW19" s="58"/>
    </row>
    <row r="20" spans="1:49" x14ac:dyDescent="0.35">
      <c r="A20" s="7" t="s">
        <v>47</v>
      </c>
      <c r="B20" s="8" t="s">
        <v>385</v>
      </c>
      <c r="C20" s="8" t="s">
        <v>385</v>
      </c>
      <c r="D20" s="8" t="s">
        <v>385</v>
      </c>
      <c r="E20" s="8" t="s">
        <v>385</v>
      </c>
      <c r="F20" s="8" t="s">
        <v>385</v>
      </c>
      <c r="G20" s="8" t="s">
        <v>385</v>
      </c>
      <c r="H20" s="8" t="s">
        <v>385</v>
      </c>
      <c r="I20" s="8" t="s">
        <v>185</v>
      </c>
      <c r="J20" s="8" t="s">
        <v>185</v>
      </c>
      <c r="K20" s="8"/>
      <c r="L20" s="69" t="s">
        <v>413</v>
      </c>
      <c r="M20" s="69" t="s">
        <v>413</v>
      </c>
      <c r="N20" s="69" t="s">
        <v>413</v>
      </c>
      <c r="O20" s="69" t="s">
        <v>413</v>
      </c>
      <c r="P20" s="55" t="s">
        <v>281</v>
      </c>
      <c r="Q20" s="55" t="s">
        <v>281</v>
      </c>
      <c r="R20" s="55" t="s">
        <v>281</v>
      </c>
      <c r="S20" s="55" t="s">
        <v>281</v>
      </c>
      <c r="T20" s="55" t="s">
        <v>281</v>
      </c>
      <c r="U20" s="55" t="s">
        <v>281</v>
      </c>
      <c r="V20" s="55" t="s">
        <v>281</v>
      </c>
      <c r="W20" s="55" t="s">
        <v>281</v>
      </c>
      <c r="X20" s="55" t="s">
        <v>281</v>
      </c>
      <c r="Y20" s="55" t="s">
        <v>281</v>
      </c>
      <c r="Z20" s="55" t="s">
        <v>281</v>
      </c>
      <c r="AA20" s="55" t="s">
        <v>281</v>
      </c>
      <c r="AB20" s="55" t="s">
        <v>281</v>
      </c>
      <c r="AC20" s="55" t="s">
        <v>281</v>
      </c>
      <c r="AD20" s="55" t="s">
        <v>281</v>
      </c>
      <c r="AE20" s="55" t="s">
        <v>281</v>
      </c>
      <c r="AF20" s="41">
        <f t="shared" si="6"/>
        <v>29</v>
      </c>
      <c r="AG20" s="42">
        <f t="shared" si="7"/>
        <v>96.666666666666671</v>
      </c>
      <c r="AL20" s="20"/>
      <c r="AM20" s="20"/>
      <c r="AN20" s="20"/>
      <c r="AO20" s="20"/>
      <c r="AP20" s="20"/>
      <c r="AQ20" s="20"/>
      <c r="AW20" s="58"/>
    </row>
    <row r="21" spans="1:49" x14ac:dyDescent="0.35">
      <c r="A21" s="7" t="s">
        <v>50</v>
      </c>
      <c r="B21" s="55"/>
      <c r="C21" s="55"/>
      <c r="D21" s="54" t="s">
        <v>416</v>
      </c>
      <c r="E21" s="54" t="s">
        <v>416</v>
      </c>
      <c r="F21" s="54" t="s">
        <v>416</v>
      </c>
      <c r="G21" s="54" t="s">
        <v>416</v>
      </c>
      <c r="H21" s="54" t="s">
        <v>416</v>
      </c>
      <c r="I21" s="54" t="s">
        <v>416</v>
      </c>
      <c r="J21" s="54" t="s">
        <v>416</v>
      </c>
      <c r="K21" s="54" t="s">
        <v>86</v>
      </c>
      <c r="L21" s="55" t="s">
        <v>86</v>
      </c>
      <c r="M21" s="55" t="s">
        <v>86</v>
      </c>
      <c r="N21" s="55" t="s">
        <v>86</v>
      </c>
      <c r="O21" s="55" t="s">
        <v>86</v>
      </c>
      <c r="P21" s="55" t="s">
        <v>86</v>
      </c>
      <c r="Q21" s="55" t="s">
        <v>86</v>
      </c>
      <c r="R21" s="54" t="s">
        <v>319</v>
      </c>
      <c r="S21" s="54" t="s">
        <v>319</v>
      </c>
      <c r="T21" s="55" t="s">
        <v>420</v>
      </c>
      <c r="U21" s="55" t="s">
        <v>420</v>
      </c>
      <c r="V21" s="55" t="s">
        <v>420</v>
      </c>
      <c r="W21" s="55" t="s">
        <v>420</v>
      </c>
      <c r="X21" s="55" t="s">
        <v>420</v>
      </c>
      <c r="Y21" s="55" t="s">
        <v>420</v>
      </c>
      <c r="Z21" s="55" t="s">
        <v>420</v>
      </c>
      <c r="AA21" s="55" t="s">
        <v>420</v>
      </c>
      <c r="AB21" s="55" t="s">
        <v>420</v>
      </c>
      <c r="AC21" s="55" t="s">
        <v>420</v>
      </c>
      <c r="AD21" s="55" t="s">
        <v>420</v>
      </c>
      <c r="AE21" s="55" t="s">
        <v>420</v>
      </c>
      <c r="AF21" s="41">
        <f t="shared" si="6"/>
        <v>28</v>
      </c>
      <c r="AG21" s="42">
        <f t="shared" si="7"/>
        <v>93.333333333333329</v>
      </c>
      <c r="AL21" s="20"/>
      <c r="AM21" s="20"/>
      <c r="AN21" s="20"/>
      <c r="AO21" s="20"/>
      <c r="AP21" s="20"/>
      <c r="AQ21" s="20"/>
      <c r="AW21" s="58"/>
    </row>
    <row r="22" spans="1:49" ht="15" thickBot="1" x14ac:dyDescent="0.4">
      <c r="A22" s="7" t="s">
        <v>51</v>
      </c>
      <c r="B22" s="54" t="s">
        <v>400</v>
      </c>
      <c r="C22" s="54" t="s">
        <v>400</v>
      </c>
      <c r="D22" s="54" t="s">
        <v>400</v>
      </c>
      <c r="E22" s="54" t="s">
        <v>400</v>
      </c>
      <c r="F22" s="54" t="s">
        <v>400</v>
      </c>
      <c r="G22" s="54" t="s">
        <v>400</v>
      </c>
      <c r="H22" s="54" t="s">
        <v>400</v>
      </c>
      <c r="I22" s="54" t="s">
        <v>400</v>
      </c>
      <c r="J22" s="54"/>
      <c r="K22" s="54"/>
      <c r="L22" s="69" t="s">
        <v>414</v>
      </c>
      <c r="M22" s="69" t="s">
        <v>414</v>
      </c>
      <c r="N22" s="69" t="s">
        <v>414</v>
      </c>
      <c r="O22" s="69" t="s">
        <v>414</v>
      </c>
      <c r="P22" s="55"/>
      <c r="Q22" s="55"/>
      <c r="R22" s="55"/>
      <c r="S22" s="55"/>
      <c r="T22" s="55" t="s">
        <v>423</v>
      </c>
      <c r="U22" s="55" t="s">
        <v>424</v>
      </c>
      <c r="V22" s="55" t="s">
        <v>424</v>
      </c>
      <c r="W22" s="8" t="s">
        <v>34</v>
      </c>
      <c r="X22" s="8" t="s">
        <v>34</v>
      </c>
      <c r="Y22" s="8" t="s">
        <v>34</v>
      </c>
      <c r="Z22" s="8" t="s">
        <v>187</v>
      </c>
      <c r="AA22" s="8" t="s">
        <v>187</v>
      </c>
      <c r="AB22" s="8" t="s">
        <v>187</v>
      </c>
      <c r="AC22" s="8" t="s">
        <v>187</v>
      </c>
      <c r="AD22" s="8" t="s">
        <v>187</v>
      </c>
      <c r="AE22" s="8" t="s">
        <v>187</v>
      </c>
      <c r="AF22" s="41">
        <f t="shared" si="6"/>
        <v>24</v>
      </c>
      <c r="AG22" s="42">
        <f t="shared" si="7"/>
        <v>80</v>
      </c>
      <c r="AW22" s="58"/>
    </row>
    <row r="23" spans="1:49" ht="15.5" x14ac:dyDescent="0.35">
      <c r="A23" s="45" t="s">
        <v>176</v>
      </c>
      <c r="B23" s="46">
        <f>COUNTA(B15:B22)</f>
        <v>6</v>
      </c>
      <c r="C23" s="46">
        <f>COUNTA(C16:C22)</f>
        <v>6</v>
      </c>
      <c r="D23" s="46">
        <f>COUNTA(D16:D22)</f>
        <v>6</v>
      </c>
      <c r="E23" s="46">
        <f t="shared" ref="E23:AE23" si="8">COUNTA(E15:E22)</f>
        <v>7</v>
      </c>
      <c r="F23" s="46">
        <f t="shared" si="8"/>
        <v>7</v>
      </c>
      <c r="G23" s="46">
        <f t="shared" si="8"/>
        <v>7</v>
      </c>
      <c r="H23" s="46">
        <f t="shared" si="8"/>
        <v>7</v>
      </c>
      <c r="I23" s="46">
        <f t="shared" si="8"/>
        <v>5</v>
      </c>
      <c r="J23" s="46">
        <f t="shared" si="8"/>
        <v>5</v>
      </c>
      <c r="K23" s="46">
        <f t="shared" si="8"/>
        <v>2</v>
      </c>
      <c r="L23" s="46">
        <f t="shared" si="8"/>
        <v>8</v>
      </c>
      <c r="M23" s="46">
        <f t="shared" si="8"/>
        <v>8</v>
      </c>
      <c r="N23" s="46">
        <f t="shared" si="8"/>
        <v>8</v>
      </c>
      <c r="O23" s="46">
        <f t="shared" si="8"/>
        <v>8</v>
      </c>
      <c r="P23" s="46">
        <f t="shared" si="8"/>
        <v>6</v>
      </c>
      <c r="Q23" s="46">
        <f t="shared" si="8"/>
        <v>6</v>
      </c>
      <c r="R23" s="46">
        <f t="shared" si="8"/>
        <v>7</v>
      </c>
      <c r="S23" s="46">
        <f t="shared" si="8"/>
        <v>7</v>
      </c>
      <c r="T23" s="46">
        <f t="shared" si="8"/>
        <v>8</v>
      </c>
      <c r="U23" s="46">
        <f t="shared" si="8"/>
        <v>8</v>
      </c>
      <c r="V23" s="46">
        <f t="shared" si="8"/>
        <v>8</v>
      </c>
      <c r="W23" s="46">
        <f t="shared" si="8"/>
        <v>8</v>
      </c>
      <c r="X23" s="46">
        <f t="shared" si="8"/>
        <v>8</v>
      </c>
      <c r="Y23" s="46">
        <f t="shared" si="8"/>
        <v>8</v>
      </c>
      <c r="Z23" s="46">
        <f t="shared" si="8"/>
        <v>8</v>
      </c>
      <c r="AA23" s="46">
        <f t="shared" si="8"/>
        <v>8</v>
      </c>
      <c r="AB23" s="46">
        <f t="shared" si="8"/>
        <v>8</v>
      </c>
      <c r="AC23" s="46">
        <f t="shared" si="8"/>
        <v>8</v>
      </c>
      <c r="AD23" s="46">
        <f t="shared" si="8"/>
        <v>8</v>
      </c>
      <c r="AE23" s="46">
        <f t="shared" si="8"/>
        <v>8</v>
      </c>
      <c r="AF23" s="43">
        <f>SUM(AF15:AF22)</f>
        <v>214</v>
      </c>
      <c r="AG23" s="66">
        <f>AVERAGE(AG15:AG22)</f>
        <v>89.166666666666671</v>
      </c>
      <c r="AW23" s="58"/>
    </row>
    <row r="24" spans="1:49" ht="15.5" x14ac:dyDescent="0.35">
      <c r="A24" s="47" t="s">
        <v>178</v>
      </c>
      <c r="B24" s="52">
        <f>B12+B23</f>
        <v>7</v>
      </c>
      <c r="C24" s="52">
        <f t="shared" ref="C24:AE24" si="9">C12+C23</f>
        <v>7</v>
      </c>
      <c r="D24" s="52">
        <f t="shared" si="9"/>
        <v>10</v>
      </c>
      <c r="E24" s="52">
        <f t="shared" si="9"/>
        <v>11</v>
      </c>
      <c r="F24" s="52">
        <f t="shared" si="9"/>
        <v>11</v>
      </c>
      <c r="G24" s="52">
        <f t="shared" si="9"/>
        <v>11</v>
      </c>
      <c r="H24" s="52">
        <f t="shared" si="9"/>
        <v>9</v>
      </c>
      <c r="I24" s="52">
        <f t="shared" si="9"/>
        <v>7</v>
      </c>
      <c r="J24" s="52">
        <f t="shared" si="9"/>
        <v>7</v>
      </c>
      <c r="K24" s="52">
        <f t="shared" si="9"/>
        <v>3</v>
      </c>
      <c r="L24" s="52">
        <f t="shared" si="9"/>
        <v>15</v>
      </c>
      <c r="M24" s="52">
        <f t="shared" si="9"/>
        <v>15</v>
      </c>
      <c r="N24" s="52">
        <f t="shared" si="9"/>
        <v>15</v>
      </c>
      <c r="O24" s="52">
        <f t="shared" si="9"/>
        <v>15</v>
      </c>
      <c r="P24" s="52">
        <f t="shared" si="9"/>
        <v>8</v>
      </c>
      <c r="Q24" s="52">
        <f t="shared" si="9"/>
        <v>8</v>
      </c>
      <c r="R24" s="52">
        <f t="shared" si="9"/>
        <v>9</v>
      </c>
      <c r="S24" s="52">
        <f t="shared" si="9"/>
        <v>11</v>
      </c>
      <c r="T24" s="52">
        <f t="shared" si="9"/>
        <v>12</v>
      </c>
      <c r="U24" s="52">
        <f t="shared" si="9"/>
        <v>12</v>
      </c>
      <c r="V24" s="52">
        <f t="shared" si="9"/>
        <v>10</v>
      </c>
      <c r="W24" s="52">
        <f t="shared" si="9"/>
        <v>11</v>
      </c>
      <c r="X24" s="52">
        <f t="shared" si="9"/>
        <v>11</v>
      </c>
      <c r="Y24" s="52">
        <f t="shared" si="9"/>
        <v>14</v>
      </c>
      <c r="Z24" s="52">
        <f t="shared" si="9"/>
        <v>14</v>
      </c>
      <c r="AA24" s="52">
        <f t="shared" si="9"/>
        <v>14</v>
      </c>
      <c r="AB24" s="52">
        <f t="shared" si="9"/>
        <v>14</v>
      </c>
      <c r="AC24" s="52">
        <f t="shared" si="9"/>
        <v>14</v>
      </c>
      <c r="AD24" s="52">
        <f t="shared" si="9"/>
        <v>14</v>
      </c>
      <c r="AE24" s="52">
        <f t="shared" si="9"/>
        <v>14</v>
      </c>
      <c r="AF24" s="49">
        <f>+AF12+AF23</f>
        <v>335</v>
      </c>
      <c r="AW24" s="58"/>
    </row>
    <row r="25" spans="1:49" ht="15.5" x14ac:dyDescent="0.35">
      <c r="A25" s="48" t="s">
        <v>179</v>
      </c>
      <c r="B25" s="42">
        <f>B24*100/15</f>
        <v>46.666666666666664</v>
      </c>
      <c r="C25" s="42">
        <f t="shared" ref="C25:AE25" si="10">C24*100/15</f>
        <v>46.666666666666664</v>
      </c>
      <c r="D25" s="42">
        <f t="shared" si="10"/>
        <v>66.666666666666671</v>
      </c>
      <c r="E25" s="42">
        <f t="shared" si="10"/>
        <v>73.333333333333329</v>
      </c>
      <c r="F25" s="42">
        <f t="shared" si="10"/>
        <v>73.333333333333329</v>
      </c>
      <c r="G25" s="42">
        <f t="shared" si="10"/>
        <v>73.333333333333329</v>
      </c>
      <c r="H25" s="42">
        <f t="shared" si="10"/>
        <v>60</v>
      </c>
      <c r="I25" s="42">
        <f t="shared" si="10"/>
        <v>46.666666666666664</v>
      </c>
      <c r="J25" s="42">
        <f t="shared" si="10"/>
        <v>46.666666666666664</v>
      </c>
      <c r="K25" s="42">
        <f t="shared" si="10"/>
        <v>20</v>
      </c>
      <c r="L25" s="42">
        <f t="shared" si="10"/>
        <v>100</v>
      </c>
      <c r="M25" s="42">
        <f t="shared" si="10"/>
        <v>100</v>
      </c>
      <c r="N25" s="42">
        <f t="shared" si="10"/>
        <v>100</v>
      </c>
      <c r="O25" s="42">
        <f t="shared" si="10"/>
        <v>100</v>
      </c>
      <c r="P25" s="42">
        <f t="shared" si="10"/>
        <v>53.333333333333336</v>
      </c>
      <c r="Q25" s="42">
        <f t="shared" si="10"/>
        <v>53.333333333333336</v>
      </c>
      <c r="R25" s="42">
        <f t="shared" si="10"/>
        <v>60</v>
      </c>
      <c r="S25" s="42">
        <f t="shared" si="10"/>
        <v>73.333333333333329</v>
      </c>
      <c r="T25" s="42">
        <f t="shared" si="10"/>
        <v>80</v>
      </c>
      <c r="U25" s="42">
        <f t="shared" si="10"/>
        <v>80</v>
      </c>
      <c r="V25" s="42">
        <f t="shared" si="10"/>
        <v>66.666666666666671</v>
      </c>
      <c r="W25" s="42">
        <f t="shared" si="10"/>
        <v>73.333333333333329</v>
      </c>
      <c r="X25" s="42">
        <f t="shared" si="10"/>
        <v>73.333333333333329</v>
      </c>
      <c r="Y25" s="42">
        <f t="shared" si="10"/>
        <v>93.333333333333329</v>
      </c>
      <c r="Z25" s="42">
        <f t="shared" si="10"/>
        <v>93.333333333333329</v>
      </c>
      <c r="AA25" s="42">
        <f t="shared" si="10"/>
        <v>93.333333333333329</v>
      </c>
      <c r="AB25" s="42">
        <f t="shared" si="10"/>
        <v>93.333333333333329</v>
      </c>
      <c r="AC25" s="42">
        <f t="shared" si="10"/>
        <v>93.333333333333329</v>
      </c>
      <c r="AD25" s="42">
        <f t="shared" si="10"/>
        <v>93.333333333333329</v>
      </c>
      <c r="AE25" s="42">
        <f t="shared" si="10"/>
        <v>93.333333333333329</v>
      </c>
      <c r="AF25" s="50">
        <f>AVERAGE(B25:AE25)</f>
        <v>73.999999999999986</v>
      </c>
      <c r="AG25" s="51" t="s">
        <v>180</v>
      </c>
      <c r="AW25" s="58"/>
    </row>
    <row r="26" spans="1:49" x14ac:dyDescent="0.35">
      <c r="AW26" s="58"/>
    </row>
    <row r="27" spans="1:49" x14ac:dyDescent="0.35">
      <c r="AW27" s="58"/>
    </row>
  </sheetData>
  <mergeCells count="2">
    <mergeCell ref="A1:AE1"/>
    <mergeCell ref="AL3:AQ3"/>
  </mergeCells>
  <conditionalFormatting sqref="B21">
    <cfRule type="colorScale" priority="1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8:C8">
    <cfRule type="colorScale" priority="9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1:C11">
    <cfRule type="colorScale" priority="8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9:K9">
    <cfRule type="colorScale" priority="1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5:K15">
    <cfRule type="colorScale" priority="1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6:K16">
    <cfRule type="colorScale" priority="1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8:K18">
    <cfRule type="colorScale" priority="1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9:K19">
    <cfRule type="colorScale" priority="1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20:K20">
    <cfRule type="colorScale" priority="1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22:K22">
    <cfRule type="colorScale" priority="10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0:O10 B6:AE6 S10:AE10">
    <cfRule type="colorScale" priority="99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D11:K11 B7:AE7">
    <cfRule type="colorScale" priority="10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L11:O11">
    <cfRule type="colorScale" priority="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L18:O20 L22:V22 C21:AE21 X19:AE19">
    <cfRule type="colorScale" priority="10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L13:U14 X13:AG14 B13:I14 L9:O9 S9:V9 B5:AE5">
    <cfRule type="colorScale" priority="10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L15:AE15">
    <cfRule type="colorScale" priority="10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L16:AE16">
    <cfRule type="colorScale" priority="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P9:R10 P11:Y11 D8:AE8">
    <cfRule type="colorScale" priority="10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P18:W19 X18:AE18 B17:AE17 P20:AE20">
    <cfRule type="colorScale" priority="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W9:AE9">
    <cfRule type="colorScale" priority="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W22:AE22">
    <cfRule type="colorScale" priority="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Z11:AE11">
    <cfRule type="colorScale" priority="1">
      <colorScale>
        <cfvo type="num" val="1"/>
        <cfvo type="max"/>
        <color theme="4" tint="0.59999389629810485"/>
        <color theme="5" tint="0.59999389629810485"/>
      </colorScale>
    </cfRule>
  </conditionalFormatting>
  <pageMargins left="0.7" right="0.7" top="0.75" bottom="0.75" header="0.3" footer="0.3"/>
  <pageSetup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B6216-B30C-467D-BAA3-98D69E727869}">
  <dimension ref="A1:AX29"/>
  <sheetViews>
    <sheetView zoomScale="86" zoomScaleNormal="86" workbookViewId="0">
      <pane xSplit="1" ySplit="4" topLeftCell="W8" activePane="bottomRight" state="frozen"/>
      <selection pane="topRight" activeCell="B1" sqref="B1"/>
      <selection pane="bottomLeft" activeCell="A5" sqref="A5"/>
      <selection pane="bottomRight" activeCell="T19" sqref="T19"/>
    </sheetView>
  </sheetViews>
  <sheetFormatPr defaultRowHeight="14.5" x14ac:dyDescent="0.35"/>
  <cols>
    <col min="1" max="1" width="43.7265625" bestFit="1" customWidth="1"/>
    <col min="2" max="8" width="14" hidden="1" customWidth="1"/>
    <col min="9" max="10" width="12.54296875" hidden="1" customWidth="1"/>
    <col min="11" max="16" width="11.54296875" hidden="1" customWidth="1"/>
    <col min="17" max="19" width="11.54296875" bestFit="1" customWidth="1"/>
    <col min="20" max="25" width="12.81640625" bestFit="1" customWidth="1"/>
    <col min="26" max="31" width="10.54296875" bestFit="1" customWidth="1"/>
    <col min="32" max="32" width="10.54296875" customWidth="1"/>
    <col min="33" max="33" width="4.7265625" bestFit="1" customWidth="1"/>
    <col min="34" max="34" width="8.453125" bestFit="1" customWidth="1"/>
    <col min="35" max="35" width="7.453125" bestFit="1" customWidth="1"/>
    <col min="36" max="36" width="6.54296875" bestFit="1" customWidth="1"/>
    <col min="37" max="37" width="0" hidden="1" customWidth="1"/>
    <col min="38" max="38" width="3" hidden="1" customWidth="1"/>
    <col min="39" max="39" width="17.81640625" bestFit="1" customWidth="1"/>
    <col min="40" max="40" width="9.1796875" bestFit="1" customWidth="1"/>
    <col min="41" max="41" width="9.81640625" bestFit="1" customWidth="1"/>
    <col min="42" max="42" width="10.81640625" bestFit="1" customWidth="1"/>
    <col min="43" max="43" width="10.1796875" bestFit="1" customWidth="1"/>
    <col min="44" max="44" width="23.1796875" bestFit="1" customWidth="1"/>
    <col min="45" max="45" width="0.453125" hidden="1" customWidth="1"/>
    <col min="46" max="49" width="0" hidden="1" customWidth="1"/>
    <col min="51" max="51" width="15" bestFit="1" customWidth="1"/>
  </cols>
  <sheetData>
    <row r="1" spans="1:44" ht="15.5" x14ac:dyDescent="0.35">
      <c r="A1" s="120" t="s">
        <v>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65"/>
    </row>
    <row r="2" spans="1:44" ht="15" thickBot="1" x14ac:dyDescent="0.4"/>
    <row r="3" spans="1:44" ht="45.75" customHeight="1" x14ac:dyDescent="0.35">
      <c r="A3" s="1" t="s">
        <v>1</v>
      </c>
      <c r="B3" s="2">
        <f>AI4</f>
        <v>45200</v>
      </c>
      <c r="C3" s="2">
        <f t="shared" ref="C3:AF3" si="0">B3+1</f>
        <v>45201</v>
      </c>
      <c r="D3" s="2">
        <f t="shared" si="0"/>
        <v>45202</v>
      </c>
      <c r="E3" s="2">
        <f t="shared" si="0"/>
        <v>45203</v>
      </c>
      <c r="F3" s="2">
        <f t="shared" si="0"/>
        <v>45204</v>
      </c>
      <c r="G3" s="2">
        <f t="shared" si="0"/>
        <v>45205</v>
      </c>
      <c r="H3" s="2">
        <f t="shared" si="0"/>
        <v>45206</v>
      </c>
      <c r="I3" s="2">
        <f>H3+1</f>
        <v>45207</v>
      </c>
      <c r="J3" s="2">
        <f t="shared" si="0"/>
        <v>45208</v>
      </c>
      <c r="K3" s="2">
        <f t="shared" si="0"/>
        <v>45209</v>
      </c>
      <c r="L3" s="2">
        <f t="shared" si="0"/>
        <v>45210</v>
      </c>
      <c r="M3" s="2">
        <f t="shared" si="0"/>
        <v>45211</v>
      </c>
      <c r="N3" s="2">
        <f t="shared" si="0"/>
        <v>45212</v>
      </c>
      <c r="O3" s="2">
        <f t="shared" si="0"/>
        <v>45213</v>
      </c>
      <c r="P3" s="2">
        <f t="shared" si="0"/>
        <v>45214</v>
      </c>
      <c r="Q3" s="2">
        <f t="shared" si="0"/>
        <v>45215</v>
      </c>
      <c r="R3" s="2">
        <f t="shared" si="0"/>
        <v>45216</v>
      </c>
      <c r="S3" s="2">
        <f t="shared" si="0"/>
        <v>45217</v>
      </c>
      <c r="T3" s="2">
        <f t="shared" si="0"/>
        <v>45218</v>
      </c>
      <c r="U3" s="2">
        <f t="shared" si="0"/>
        <v>45219</v>
      </c>
      <c r="V3" s="2">
        <f t="shared" si="0"/>
        <v>45220</v>
      </c>
      <c r="W3" s="2">
        <f t="shared" si="0"/>
        <v>45221</v>
      </c>
      <c r="X3" s="2">
        <f t="shared" si="0"/>
        <v>45222</v>
      </c>
      <c r="Y3" s="2">
        <f t="shared" si="0"/>
        <v>45223</v>
      </c>
      <c r="Z3" s="2">
        <f t="shared" si="0"/>
        <v>45224</v>
      </c>
      <c r="AA3" s="2">
        <f t="shared" si="0"/>
        <v>45225</v>
      </c>
      <c r="AB3" s="2">
        <f t="shared" si="0"/>
        <v>45226</v>
      </c>
      <c r="AC3" s="2">
        <f t="shared" si="0"/>
        <v>45227</v>
      </c>
      <c r="AD3" s="2">
        <f t="shared" si="0"/>
        <v>45228</v>
      </c>
      <c r="AE3" s="2">
        <f t="shared" si="0"/>
        <v>45229</v>
      </c>
      <c r="AF3" s="2">
        <f t="shared" si="0"/>
        <v>45230</v>
      </c>
      <c r="AG3" s="36"/>
      <c r="AH3" s="36"/>
      <c r="AM3" s="122" t="s">
        <v>267</v>
      </c>
      <c r="AN3" s="123"/>
      <c r="AO3" s="123"/>
      <c r="AP3" s="123"/>
      <c r="AQ3" s="123"/>
      <c r="AR3" s="124"/>
    </row>
    <row r="4" spans="1:44" ht="31.5" customHeight="1" x14ac:dyDescent="0.35">
      <c r="A4" s="3" t="s">
        <v>2</v>
      </c>
      <c r="B4" s="4">
        <f t="shared" ref="B4:AE4" si="1">B3</f>
        <v>45200</v>
      </c>
      <c r="C4" s="4">
        <f t="shared" si="1"/>
        <v>45201</v>
      </c>
      <c r="D4" s="4">
        <f t="shared" si="1"/>
        <v>45202</v>
      </c>
      <c r="E4" s="4">
        <f t="shared" si="1"/>
        <v>45203</v>
      </c>
      <c r="F4" s="4">
        <f t="shared" si="1"/>
        <v>45204</v>
      </c>
      <c r="G4" s="4">
        <f t="shared" si="1"/>
        <v>45205</v>
      </c>
      <c r="H4" s="4">
        <f t="shared" si="1"/>
        <v>45206</v>
      </c>
      <c r="I4" s="4">
        <f t="shared" si="1"/>
        <v>45207</v>
      </c>
      <c r="J4" s="4">
        <f t="shared" si="1"/>
        <v>45208</v>
      </c>
      <c r="K4" s="4">
        <f t="shared" si="1"/>
        <v>45209</v>
      </c>
      <c r="L4" s="4">
        <f t="shared" si="1"/>
        <v>45210</v>
      </c>
      <c r="M4" s="4">
        <f t="shared" si="1"/>
        <v>45211</v>
      </c>
      <c r="N4" s="4">
        <f t="shared" si="1"/>
        <v>45212</v>
      </c>
      <c r="O4" s="4">
        <f t="shared" si="1"/>
        <v>45213</v>
      </c>
      <c r="P4" s="4">
        <f t="shared" si="1"/>
        <v>45214</v>
      </c>
      <c r="Q4" s="4">
        <f t="shared" si="1"/>
        <v>45215</v>
      </c>
      <c r="R4" s="4">
        <f t="shared" si="1"/>
        <v>45216</v>
      </c>
      <c r="S4" s="4">
        <f t="shared" si="1"/>
        <v>45217</v>
      </c>
      <c r="T4" s="4">
        <f t="shared" si="1"/>
        <v>45218</v>
      </c>
      <c r="U4" s="4">
        <f t="shared" si="1"/>
        <v>45219</v>
      </c>
      <c r="V4" s="4">
        <f t="shared" si="1"/>
        <v>45220</v>
      </c>
      <c r="W4" s="4">
        <f t="shared" si="1"/>
        <v>45221</v>
      </c>
      <c r="X4" s="4">
        <f t="shared" si="1"/>
        <v>45222</v>
      </c>
      <c r="Y4" s="4">
        <f t="shared" si="1"/>
        <v>45223</v>
      </c>
      <c r="Z4" s="4">
        <f t="shared" si="1"/>
        <v>45224</v>
      </c>
      <c r="AA4" s="4">
        <f t="shared" si="1"/>
        <v>45225</v>
      </c>
      <c r="AB4" s="4">
        <f t="shared" si="1"/>
        <v>45226</v>
      </c>
      <c r="AC4" s="4">
        <f t="shared" si="1"/>
        <v>45227</v>
      </c>
      <c r="AD4" s="4">
        <f t="shared" si="1"/>
        <v>45228</v>
      </c>
      <c r="AE4" s="4">
        <f t="shared" si="1"/>
        <v>45229</v>
      </c>
      <c r="AF4" s="4">
        <f t="shared" ref="AF4" si="2">AF3</f>
        <v>45230</v>
      </c>
      <c r="AG4" s="39" t="s">
        <v>174</v>
      </c>
      <c r="AH4" s="40" t="s">
        <v>175</v>
      </c>
      <c r="AI4" s="5">
        <v>45200</v>
      </c>
      <c r="AJ4" s="6">
        <f>EOMONTH(AI4,0)</f>
        <v>45230</v>
      </c>
      <c r="AM4" s="19" t="s">
        <v>54</v>
      </c>
      <c r="AN4" s="19" t="s">
        <v>269</v>
      </c>
      <c r="AO4" s="19" t="s">
        <v>55</v>
      </c>
      <c r="AP4" s="19" t="s">
        <v>56</v>
      </c>
      <c r="AQ4" s="19" t="s">
        <v>251</v>
      </c>
      <c r="AR4" s="19" t="s">
        <v>57</v>
      </c>
    </row>
    <row r="5" spans="1:44" x14ac:dyDescent="0.35">
      <c r="A5" s="7" t="s">
        <v>3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69" t="s">
        <v>437</v>
      </c>
      <c r="Y5" s="69" t="s">
        <v>437</v>
      </c>
      <c r="Z5" s="69" t="s">
        <v>437</v>
      </c>
      <c r="AA5" s="67"/>
      <c r="AB5" s="55"/>
      <c r="AC5" s="55"/>
      <c r="AD5" s="55"/>
      <c r="AE5" s="55"/>
      <c r="AF5" s="55"/>
      <c r="AG5" s="41">
        <f>COUNTA(B5:AF5)</f>
        <v>3</v>
      </c>
      <c r="AH5" s="42">
        <f>AG5*100/30</f>
        <v>10</v>
      </c>
      <c r="AM5" s="20"/>
      <c r="AN5" s="56"/>
      <c r="AO5" s="56"/>
      <c r="AP5" s="56"/>
      <c r="AQ5" s="57"/>
      <c r="AR5" s="20"/>
    </row>
    <row r="6" spans="1:44" x14ac:dyDescent="0.35">
      <c r="A6" s="7" t="s">
        <v>7</v>
      </c>
      <c r="B6" s="8" t="s">
        <v>422</v>
      </c>
      <c r="C6" s="8" t="s">
        <v>422</v>
      </c>
      <c r="D6" s="8" t="s">
        <v>422</v>
      </c>
      <c r="E6" s="8" t="s">
        <v>422</v>
      </c>
      <c r="F6" s="8" t="s">
        <v>422</v>
      </c>
      <c r="G6" s="8" t="s">
        <v>422</v>
      </c>
      <c r="H6" s="8"/>
      <c r="I6" s="8"/>
      <c r="J6" s="8"/>
      <c r="K6" s="8"/>
      <c r="L6" s="8"/>
      <c r="M6" s="8" t="s">
        <v>430</v>
      </c>
      <c r="N6" s="8"/>
      <c r="O6" s="8"/>
      <c r="P6" s="69" t="s">
        <v>97</v>
      </c>
      <c r="Q6" s="69" t="s">
        <v>97</v>
      </c>
      <c r="R6" s="69" t="s">
        <v>97</v>
      </c>
      <c r="S6" s="69" t="s">
        <v>97</v>
      </c>
      <c r="T6" s="69" t="s">
        <v>97</v>
      </c>
      <c r="U6" s="69" t="s">
        <v>97</v>
      </c>
      <c r="V6" s="69" t="s">
        <v>97</v>
      </c>
      <c r="W6" s="8"/>
      <c r="X6" s="8"/>
      <c r="Y6" s="8"/>
      <c r="Z6" s="8"/>
      <c r="AA6" s="8"/>
      <c r="AB6" s="8"/>
      <c r="AC6" s="8"/>
      <c r="AD6" s="8"/>
      <c r="AE6" s="69" t="s">
        <v>439</v>
      </c>
      <c r="AF6" s="69" t="s">
        <v>439</v>
      </c>
      <c r="AG6" s="41">
        <f t="shared" ref="AG6:AG11" si="3">COUNTA(B6:AF6)</f>
        <v>16</v>
      </c>
      <c r="AH6" s="42">
        <f t="shared" ref="AH6:AH11" si="4">AG6*100/30</f>
        <v>53.333333333333336</v>
      </c>
      <c r="AM6" s="20"/>
      <c r="AN6" s="56"/>
      <c r="AO6" s="56"/>
      <c r="AP6" s="56"/>
      <c r="AQ6" s="57"/>
      <c r="AR6" s="20"/>
    </row>
    <row r="7" spans="1:44" x14ac:dyDescent="0.35">
      <c r="A7" s="7" t="s">
        <v>11</v>
      </c>
      <c r="B7" s="55" t="s">
        <v>415</v>
      </c>
      <c r="C7" s="55" t="s">
        <v>415</v>
      </c>
      <c r="D7" s="55" t="s">
        <v>415</v>
      </c>
      <c r="E7" s="55"/>
      <c r="F7" s="55"/>
      <c r="G7" s="55"/>
      <c r="H7" s="55"/>
      <c r="I7" s="55"/>
      <c r="J7" s="55"/>
      <c r="K7" s="55"/>
      <c r="L7" s="55" t="s">
        <v>432</v>
      </c>
      <c r="M7" s="55" t="s">
        <v>431</v>
      </c>
      <c r="N7" s="55"/>
      <c r="O7" s="55"/>
      <c r="P7" s="69" t="s">
        <v>434</v>
      </c>
      <c r="Q7" s="69" t="s">
        <v>434</v>
      </c>
      <c r="R7" s="69" t="s">
        <v>434</v>
      </c>
      <c r="S7" s="69" t="s">
        <v>434</v>
      </c>
      <c r="T7" s="69" t="s">
        <v>434</v>
      </c>
      <c r="U7" s="69" t="s">
        <v>434</v>
      </c>
      <c r="V7" s="69" t="s">
        <v>434</v>
      </c>
      <c r="W7" s="55"/>
      <c r="X7" s="55"/>
      <c r="Y7" s="55"/>
      <c r="Z7" s="55"/>
      <c r="AA7" s="55"/>
      <c r="AB7" s="55"/>
      <c r="AC7" s="55"/>
      <c r="AD7" s="69" t="s">
        <v>249</v>
      </c>
      <c r="AE7" s="69" t="s">
        <v>249</v>
      </c>
      <c r="AF7" s="69" t="s">
        <v>249</v>
      </c>
      <c r="AG7" s="41">
        <f t="shared" si="3"/>
        <v>15</v>
      </c>
      <c r="AH7" s="42">
        <f t="shared" si="4"/>
        <v>50</v>
      </c>
      <c r="AM7" s="20"/>
      <c r="AN7" s="56"/>
      <c r="AO7" s="56"/>
      <c r="AP7" s="56"/>
      <c r="AQ7" s="57"/>
      <c r="AR7" s="20"/>
    </row>
    <row r="8" spans="1:44" ht="15" customHeight="1" x14ac:dyDescent="0.35">
      <c r="A8" s="7" t="s">
        <v>15</v>
      </c>
      <c r="B8" s="55" t="s">
        <v>426</v>
      </c>
      <c r="C8" s="55" t="s">
        <v>426</v>
      </c>
      <c r="D8" s="55" t="s">
        <v>426</v>
      </c>
      <c r="E8" s="55" t="s">
        <v>426</v>
      </c>
      <c r="F8" s="55" t="s">
        <v>426</v>
      </c>
      <c r="G8" s="55" t="s">
        <v>426</v>
      </c>
      <c r="H8" s="55" t="s">
        <v>426</v>
      </c>
      <c r="I8" s="55" t="s">
        <v>426</v>
      </c>
      <c r="J8" s="55" t="s">
        <v>426</v>
      </c>
      <c r="K8" s="55" t="s">
        <v>426</v>
      </c>
      <c r="L8" s="55" t="s">
        <v>426</v>
      </c>
      <c r="M8" s="55" t="s">
        <v>426</v>
      </c>
      <c r="N8" s="55" t="s">
        <v>426</v>
      </c>
      <c r="O8" s="55" t="s">
        <v>426</v>
      </c>
      <c r="P8" s="69" t="s">
        <v>426</v>
      </c>
      <c r="Q8" s="69" t="s">
        <v>426</v>
      </c>
      <c r="R8" s="69" t="s">
        <v>426</v>
      </c>
      <c r="S8" s="69" t="s">
        <v>426</v>
      </c>
      <c r="T8" s="69" t="s">
        <v>426</v>
      </c>
      <c r="U8" s="69" t="s">
        <v>426</v>
      </c>
      <c r="V8" s="69" t="s">
        <v>426</v>
      </c>
      <c r="W8" s="69" t="s">
        <v>426</v>
      </c>
      <c r="X8" s="69" t="s">
        <v>426</v>
      </c>
      <c r="Y8" s="69" t="s">
        <v>426</v>
      </c>
      <c r="Z8" s="69" t="s">
        <v>426</v>
      </c>
      <c r="AA8" s="69" t="s">
        <v>426</v>
      </c>
      <c r="AB8" s="69" t="s">
        <v>426</v>
      </c>
      <c r="AC8" s="69" t="s">
        <v>426</v>
      </c>
      <c r="AD8" s="69" t="s">
        <v>426</v>
      </c>
      <c r="AE8" s="69" t="s">
        <v>426</v>
      </c>
      <c r="AF8" s="69" t="s">
        <v>426</v>
      </c>
      <c r="AG8" s="41">
        <f t="shared" si="3"/>
        <v>31</v>
      </c>
      <c r="AH8" s="42">
        <f t="shared" si="4"/>
        <v>103.33333333333333</v>
      </c>
      <c r="AK8" s="9"/>
      <c r="AM8" s="20"/>
      <c r="AN8" s="56"/>
      <c r="AO8" s="56"/>
      <c r="AP8" s="56"/>
      <c r="AQ8" s="57"/>
      <c r="AR8" s="20"/>
    </row>
    <row r="9" spans="1:44" ht="15.75" customHeight="1" x14ac:dyDescent="0.35">
      <c r="A9" s="7" t="s">
        <v>18</v>
      </c>
      <c r="B9" s="55" t="s">
        <v>421</v>
      </c>
      <c r="C9" s="55" t="s">
        <v>421</v>
      </c>
      <c r="D9" s="55" t="s">
        <v>421</v>
      </c>
      <c r="E9" s="55" t="s">
        <v>421</v>
      </c>
      <c r="F9" s="55" t="s">
        <v>421</v>
      </c>
      <c r="G9" s="55" t="s">
        <v>421</v>
      </c>
      <c r="H9" s="55" t="s">
        <v>421</v>
      </c>
      <c r="I9" s="55" t="s">
        <v>421</v>
      </c>
      <c r="J9" s="55" t="s">
        <v>421</v>
      </c>
      <c r="K9" s="55" t="s">
        <v>421</v>
      </c>
      <c r="L9" s="55" t="s">
        <v>421</v>
      </c>
      <c r="M9" s="55" t="s">
        <v>421</v>
      </c>
      <c r="N9" s="55" t="s">
        <v>421</v>
      </c>
      <c r="O9" s="55" t="s">
        <v>421</v>
      </c>
      <c r="P9" s="69" t="s">
        <v>421</v>
      </c>
      <c r="Q9" s="69" t="s">
        <v>421</v>
      </c>
      <c r="R9" s="69" t="s">
        <v>421</v>
      </c>
      <c r="S9" s="69" t="s">
        <v>421</v>
      </c>
      <c r="T9" s="69" t="s">
        <v>421</v>
      </c>
      <c r="U9" s="69" t="s">
        <v>421</v>
      </c>
      <c r="V9" s="69" t="s">
        <v>421</v>
      </c>
      <c r="W9" s="69" t="s">
        <v>421</v>
      </c>
      <c r="X9" s="69" t="s">
        <v>421</v>
      </c>
      <c r="Y9" s="69" t="s">
        <v>421</v>
      </c>
      <c r="Z9" s="69" t="s">
        <v>421</v>
      </c>
      <c r="AA9" s="69" t="s">
        <v>421</v>
      </c>
      <c r="AB9" s="69" t="s">
        <v>421</v>
      </c>
      <c r="AC9" s="69" t="s">
        <v>421</v>
      </c>
      <c r="AD9" s="69" t="s">
        <v>421</v>
      </c>
      <c r="AE9" s="69" t="s">
        <v>421</v>
      </c>
      <c r="AF9" s="69" t="s">
        <v>421</v>
      </c>
      <c r="AG9" s="41">
        <f t="shared" si="3"/>
        <v>31</v>
      </c>
      <c r="AH9" s="42">
        <f t="shared" si="4"/>
        <v>103.33333333333333</v>
      </c>
      <c r="AM9" s="20"/>
      <c r="AN9" s="56"/>
      <c r="AO9" s="56"/>
      <c r="AP9" s="56"/>
      <c r="AQ9" s="57"/>
      <c r="AR9" s="20"/>
    </row>
    <row r="10" spans="1:44" ht="15.75" customHeight="1" x14ac:dyDescent="0.35">
      <c r="A10" s="7" t="s">
        <v>20</v>
      </c>
      <c r="B10" s="8" t="s">
        <v>187</v>
      </c>
      <c r="C10" s="8" t="s">
        <v>427</v>
      </c>
      <c r="D10" s="8" t="s">
        <v>427</v>
      </c>
      <c r="E10" s="8" t="s">
        <v>427</v>
      </c>
      <c r="F10" s="8" t="s">
        <v>427</v>
      </c>
      <c r="G10" s="8" t="s">
        <v>427</v>
      </c>
      <c r="H10" s="8" t="s">
        <v>427</v>
      </c>
      <c r="I10" s="8" t="s">
        <v>427</v>
      </c>
      <c r="J10" s="8" t="s">
        <v>427</v>
      </c>
      <c r="K10" s="8" t="s">
        <v>427</v>
      </c>
      <c r="L10" s="8" t="s">
        <v>427</v>
      </c>
      <c r="M10" s="8" t="s">
        <v>427</v>
      </c>
      <c r="N10" s="8" t="s">
        <v>427</v>
      </c>
      <c r="O10" s="8" t="s">
        <v>427</v>
      </c>
      <c r="P10" s="63"/>
      <c r="Q10" s="69" t="s">
        <v>429</v>
      </c>
      <c r="R10" s="69" t="s">
        <v>429</v>
      </c>
      <c r="S10" s="69" t="s">
        <v>429</v>
      </c>
      <c r="T10" s="69" t="s">
        <v>429</v>
      </c>
      <c r="U10" s="69" t="s">
        <v>429</v>
      </c>
      <c r="V10" s="69" t="s">
        <v>429</v>
      </c>
      <c r="W10" s="69" t="s">
        <v>429</v>
      </c>
      <c r="X10" s="69" t="s">
        <v>95</v>
      </c>
      <c r="Y10" s="69" t="s">
        <v>95</v>
      </c>
      <c r="Z10" s="69" t="s">
        <v>95</v>
      </c>
      <c r="AA10" s="69" t="s">
        <v>95</v>
      </c>
      <c r="AB10" s="69" t="s">
        <v>95</v>
      </c>
      <c r="AC10" s="69" t="s">
        <v>95</v>
      </c>
      <c r="AD10" s="69" t="s">
        <v>95</v>
      </c>
      <c r="AE10" s="69" t="s">
        <v>95</v>
      </c>
      <c r="AF10" s="69" t="s">
        <v>95</v>
      </c>
      <c r="AG10" s="41">
        <f t="shared" si="3"/>
        <v>30</v>
      </c>
      <c r="AH10" s="42">
        <f t="shared" si="4"/>
        <v>100</v>
      </c>
      <c r="AM10" s="20"/>
      <c r="AN10" s="56"/>
      <c r="AO10" s="56"/>
      <c r="AP10" s="56"/>
      <c r="AQ10" s="57"/>
      <c r="AR10" s="20"/>
    </row>
    <row r="11" spans="1:44" ht="15.75" customHeight="1" thickBot="1" x14ac:dyDescent="0.4">
      <c r="A11" s="7" t="s">
        <v>24</v>
      </c>
      <c r="B11" s="8" t="s">
        <v>34</v>
      </c>
      <c r="C11" s="8" t="s">
        <v>34</v>
      </c>
      <c r="D11" s="54"/>
      <c r="E11" s="8" t="s">
        <v>428</v>
      </c>
      <c r="F11" s="8" t="s">
        <v>428</v>
      </c>
      <c r="G11" s="55" t="s">
        <v>385</v>
      </c>
      <c r="H11" s="55" t="s">
        <v>385</v>
      </c>
      <c r="I11" s="55" t="s">
        <v>385</v>
      </c>
      <c r="J11" s="55" t="s">
        <v>385</v>
      </c>
      <c r="K11" s="55" t="s">
        <v>385</v>
      </c>
      <c r="L11" s="55" t="s">
        <v>385</v>
      </c>
      <c r="M11" s="55" t="s">
        <v>385</v>
      </c>
      <c r="N11" s="55"/>
      <c r="O11" s="55"/>
      <c r="P11" s="63"/>
      <c r="Q11" s="69" t="s">
        <v>429</v>
      </c>
      <c r="R11" s="69" t="s">
        <v>429</v>
      </c>
      <c r="S11" s="69" t="s">
        <v>429</v>
      </c>
      <c r="T11" s="69" t="s">
        <v>429</v>
      </c>
      <c r="U11" s="69" t="s">
        <v>429</v>
      </c>
      <c r="V11" s="69" t="s">
        <v>429</v>
      </c>
      <c r="W11" s="69" t="s">
        <v>429</v>
      </c>
      <c r="X11" s="69" t="s">
        <v>332</v>
      </c>
      <c r="Y11" s="69" t="s">
        <v>332</v>
      </c>
      <c r="Z11" s="69" t="s">
        <v>332</v>
      </c>
      <c r="AA11" s="55"/>
      <c r="AB11" s="55"/>
      <c r="AC11" s="55"/>
      <c r="AD11" s="55"/>
      <c r="AE11" s="69" t="s">
        <v>440</v>
      </c>
      <c r="AF11" s="69" t="s">
        <v>440</v>
      </c>
      <c r="AG11" s="41">
        <f t="shared" si="3"/>
        <v>23</v>
      </c>
      <c r="AH11" s="42">
        <f t="shared" si="4"/>
        <v>76.666666666666671</v>
      </c>
      <c r="AM11" s="20"/>
      <c r="AN11" s="20"/>
      <c r="AO11" s="20"/>
      <c r="AP11" s="20"/>
      <c r="AQ11" s="20"/>
      <c r="AR11" s="20"/>
    </row>
    <row r="12" spans="1:44" ht="15" customHeight="1" x14ac:dyDescent="0.35">
      <c r="A12" s="45" t="s">
        <v>176</v>
      </c>
      <c r="B12" s="46">
        <f>COUNTA(B5:B11)</f>
        <v>6</v>
      </c>
      <c r="C12" s="46">
        <f>COUNTA(C5:C11)</f>
        <v>6</v>
      </c>
      <c r="D12" s="46">
        <f t="shared" ref="D12:AE12" si="5">COUNTA(D5:D11)</f>
        <v>5</v>
      </c>
      <c r="E12" s="46">
        <f t="shared" si="5"/>
        <v>5</v>
      </c>
      <c r="F12" s="46">
        <f t="shared" si="5"/>
        <v>5</v>
      </c>
      <c r="G12" s="46">
        <f t="shared" si="5"/>
        <v>5</v>
      </c>
      <c r="H12" s="46">
        <f t="shared" si="5"/>
        <v>4</v>
      </c>
      <c r="I12" s="46">
        <f t="shared" si="5"/>
        <v>4</v>
      </c>
      <c r="J12" s="46">
        <f t="shared" si="5"/>
        <v>4</v>
      </c>
      <c r="K12" s="46">
        <f t="shared" si="5"/>
        <v>4</v>
      </c>
      <c r="L12" s="46">
        <f t="shared" si="5"/>
        <v>5</v>
      </c>
      <c r="M12" s="46">
        <f t="shared" si="5"/>
        <v>6</v>
      </c>
      <c r="N12" s="46">
        <f t="shared" si="5"/>
        <v>3</v>
      </c>
      <c r="O12" s="46">
        <f t="shared" si="5"/>
        <v>3</v>
      </c>
      <c r="P12" s="46">
        <f t="shared" si="5"/>
        <v>4</v>
      </c>
      <c r="Q12" s="46">
        <f t="shared" si="5"/>
        <v>6</v>
      </c>
      <c r="R12" s="46">
        <f t="shared" si="5"/>
        <v>6</v>
      </c>
      <c r="S12" s="46">
        <f t="shared" si="5"/>
        <v>6</v>
      </c>
      <c r="T12" s="46">
        <f t="shared" si="5"/>
        <v>6</v>
      </c>
      <c r="U12" s="46">
        <f t="shared" si="5"/>
        <v>6</v>
      </c>
      <c r="V12" s="46">
        <f t="shared" si="5"/>
        <v>6</v>
      </c>
      <c r="W12" s="46">
        <f t="shared" si="5"/>
        <v>4</v>
      </c>
      <c r="X12" s="46">
        <f t="shared" si="5"/>
        <v>5</v>
      </c>
      <c r="Y12" s="46">
        <f t="shared" si="5"/>
        <v>5</v>
      </c>
      <c r="Z12" s="46">
        <f t="shared" si="5"/>
        <v>5</v>
      </c>
      <c r="AA12" s="46">
        <f t="shared" si="5"/>
        <v>3</v>
      </c>
      <c r="AB12" s="46">
        <f t="shared" si="5"/>
        <v>3</v>
      </c>
      <c r="AC12" s="46">
        <f t="shared" si="5"/>
        <v>3</v>
      </c>
      <c r="AD12" s="46">
        <f t="shared" si="5"/>
        <v>4</v>
      </c>
      <c r="AE12" s="46">
        <f t="shared" si="5"/>
        <v>6</v>
      </c>
      <c r="AF12" s="46">
        <f t="shared" ref="AF12" si="6">COUNTA(AF5:AF11)</f>
        <v>6</v>
      </c>
      <c r="AG12" s="43">
        <f t="shared" ref="AG12" si="7">SUM(AG5:AG11)</f>
        <v>149</v>
      </c>
      <c r="AH12" s="44">
        <f>AVERAGE(AH5:AH11)</f>
        <v>70.952380952380949</v>
      </c>
      <c r="AI12" s="29"/>
      <c r="AM12" s="20"/>
      <c r="AN12" s="20"/>
      <c r="AO12" s="20"/>
      <c r="AP12" s="20"/>
      <c r="AQ12" s="20"/>
      <c r="AR12" s="20"/>
    </row>
    <row r="13" spans="1:44" ht="57" hidden="1" x14ac:dyDescent="0.35">
      <c r="A13" s="13" t="s">
        <v>28</v>
      </c>
      <c r="B13" s="14"/>
      <c r="C13" s="14"/>
      <c r="D13" s="14"/>
      <c r="E13" s="14"/>
      <c r="F13" s="14"/>
      <c r="G13" s="14"/>
      <c r="H13" s="14"/>
      <c r="I13" s="35"/>
      <c r="J13" s="34"/>
      <c r="K13" s="15"/>
      <c r="L13" s="14"/>
      <c r="M13" s="14"/>
      <c r="N13" s="25"/>
      <c r="O13" s="25"/>
      <c r="P13" s="25"/>
      <c r="Q13" s="14"/>
      <c r="R13" s="14"/>
      <c r="S13" s="14"/>
      <c r="T13" s="14"/>
      <c r="U13" s="14"/>
      <c r="V13" s="15"/>
      <c r="W13" s="15"/>
      <c r="X13" s="14"/>
      <c r="Y13" s="14"/>
      <c r="Z13" s="14"/>
      <c r="AA13" s="14"/>
      <c r="AB13" s="14"/>
      <c r="AC13" s="14"/>
      <c r="AD13" s="14"/>
      <c r="AE13" s="14"/>
      <c r="AF13" s="14"/>
      <c r="AG13" s="37"/>
      <c r="AH13" s="37"/>
      <c r="AM13" s="20"/>
      <c r="AN13" s="20"/>
      <c r="AO13" s="20"/>
      <c r="AP13" s="20"/>
      <c r="AQ13" s="20"/>
      <c r="AR13" s="20"/>
    </row>
    <row r="14" spans="1:44" ht="28.5" hidden="1" x14ac:dyDescent="0.35">
      <c r="A14" s="16" t="s">
        <v>29</v>
      </c>
      <c r="B14" s="14"/>
      <c r="C14" s="14"/>
      <c r="D14" s="14"/>
      <c r="E14" s="14"/>
      <c r="F14" s="14"/>
      <c r="G14" s="14"/>
      <c r="H14" s="14"/>
      <c r="I14" s="35"/>
      <c r="J14" s="34"/>
      <c r="K14" s="15"/>
      <c r="L14" s="14"/>
      <c r="M14" s="14"/>
      <c r="N14" s="25"/>
      <c r="O14" s="25"/>
      <c r="P14" s="25"/>
      <c r="Q14" s="14"/>
      <c r="R14" s="14"/>
      <c r="S14" s="14"/>
      <c r="T14" s="14"/>
      <c r="U14" s="14"/>
      <c r="V14" s="15"/>
      <c r="W14" s="15"/>
      <c r="X14" s="14"/>
      <c r="Y14" s="14"/>
      <c r="Z14" s="14"/>
      <c r="AA14" s="14"/>
      <c r="AB14" s="14"/>
      <c r="AC14" s="14"/>
      <c r="AD14" s="14"/>
      <c r="AE14" s="14"/>
      <c r="AF14" s="14"/>
      <c r="AG14" s="37"/>
      <c r="AH14" s="37"/>
      <c r="AM14" s="20"/>
      <c r="AN14" s="20"/>
      <c r="AO14" s="20"/>
      <c r="AP14" s="20"/>
      <c r="AQ14" s="20"/>
      <c r="AR14" s="20"/>
    </row>
    <row r="15" spans="1:44" x14ac:dyDescent="0.35">
      <c r="A15" s="7" t="s">
        <v>30</v>
      </c>
      <c r="B15" s="8" t="s">
        <v>34</v>
      </c>
      <c r="C15" s="8" t="s">
        <v>34</v>
      </c>
      <c r="D15" s="8" t="s">
        <v>34</v>
      </c>
      <c r="E15" s="8" t="s">
        <v>34</v>
      </c>
      <c r="F15" s="54"/>
      <c r="G15" s="55" t="s">
        <v>34</v>
      </c>
      <c r="H15" s="55" t="s">
        <v>34</v>
      </c>
      <c r="I15" s="55" t="s">
        <v>34</v>
      </c>
      <c r="J15" s="55" t="s">
        <v>34</v>
      </c>
      <c r="K15" s="55" t="s">
        <v>34</v>
      </c>
      <c r="L15" s="55" t="s">
        <v>34</v>
      </c>
      <c r="M15" s="55" t="s">
        <v>34</v>
      </c>
      <c r="N15" s="55" t="s">
        <v>34</v>
      </c>
      <c r="O15" s="55" t="s">
        <v>34</v>
      </c>
      <c r="P15" s="69" t="s">
        <v>435</v>
      </c>
      <c r="Q15" s="69" t="s">
        <v>435</v>
      </c>
      <c r="R15" s="69" t="s">
        <v>435</v>
      </c>
      <c r="S15" s="69" t="s">
        <v>435</v>
      </c>
      <c r="T15" s="69" t="s">
        <v>435</v>
      </c>
      <c r="U15" s="69" t="s">
        <v>435</v>
      </c>
      <c r="V15" s="69" t="s">
        <v>435</v>
      </c>
      <c r="W15" s="8"/>
      <c r="X15" s="69" t="s">
        <v>438</v>
      </c>
      <c r="Y15" s="8"/>
      <c r="Z15" s="8"/>
      <c r="AA15" s="8"/>
      <c r="AB15" s="8"/>
      <c r="AC15" s="8"/>
      <c r="AD15" s="69" t="s">
        <v>17</v>
      </c>
      <c r="AE15" s="69" t="s">
        <v>17</v>
      </c>
      <c r="AF15" s="69" t="s">
        <v>17</v>
      </c>
      <c r="AG15" s="41">
        <f>COUNTA(B15:AF15)</f>
        <v>24</v>
      </c>
      <c r="AH15" s="42">
        <f>AG15*100/30</f>
        <v>80</v>
      </c>
      <c r="AM15" s="20"/>
      <c r="AN15" s="20"/>
      <c r="AO15" s="20"/>
      <c r="AP15" s="20"/>
      <c r="AQ15" s="20"/>
      <c r="AR15" s="20"/>
    </row>
    <row r="16" spans="1:44" x14ac:dyDescent="0.35">
      <c r="A16" s="7" t="s">
        <v>35</v>
      </c>
      <c r="B16" s="55" t="s">
        <v>417</v>
      </c>
      <c r="C16" s="55" t="s">
        <v>417</v>
      </c>
      <c r="D16" s="55" t="s">
        <v>417</v>
      </c>
      <c r="E16" s="55" t="s">
        <v>417</v>
      </c>
      <c r="F16" s="55" t="s">
        <v>417</v>
      </c>
      <c r="G16" s="55" t="s">
        <v>417</v>
      </c>
      <c r="H16" s="55" t="s">
        <v>417</v>
      </c>
      <c r="I16" s="55" t="s">
        <v>417</v>
      </c>
      <c r="J16" s="55" t="s">
        <v>417</v>
      </c>
      <c r="K16" s="55" t="s">
        <v>417</v>
      </c>
      <c r="L16" s="55" t="s">
        <v>417</v>
      </c>
      <c r="M16" s="55" t="s">
        <v>417</v>
      </c>
      <c r="N16" s="55" t="s">
        <v>417</v>
      </c>
      <c r="O16" s="55" t="s">
        <v>417</v>
      </c>
      <c r="P16" s="69" t="s">
        <v>417</v>
      </c>
      <c r="Q16" s="69" t="s">
        <v>417</v>
      </c>
      <c r="R16" s="69" t="s">
        <v>417</v>
      </c>
      <c r="S16" s="69" t="s">
        <v>417</v>
      </c>
      <c r="T16" s="69" t="s">
        <v>417</v>
      </c>
      <c r="U16" s="69" t="s">
        <v>417</v>
      </c>
      <c r="V16" s="69" t="s">
        <v>417</v>
      </c>
      <c r="W16" s="69" t="s">
        <v>417</v>
      </c>
      <c r="X16" s="69" t="s">
        <v>417</v>
      </c>
      <c r="Y16" s="69" t="s">
        <v>417</v>
      </c>
      <c r="Z16" s="69" t="s">
        <v>417</v>
      </c>
      <c r="AA16" s="69" t="s">
        <v>417</v>
      </c>
      <c r="AB16" s="69" t="s">
        <v>417</v>
      </c>
      <c r="AC16" s="69" t="s">
        <v>417</v>
      </c>
      <c r="AD16" s="69" t="s">
        <v>417</v>
      </c>
      <c r="AE16" s="69" t="s">
        <v>417</v>
      </c>
      <c r="AF16" s="69" t="s">
        <v>417</v>
      </c>
      <c r="AG16" s="41">
        <f t="shared" ref="AG16:AG22" si="8">COUNTA(B16:AF16)</f>
        <v>31</v>
      </c>
      <c r="AH16" s="42">
        <f t="shared" ref="AH16:AH22" si="9">AG16*100/30</f>
        <v>103.33333333333333</v>
      </c>
      <c r="AM16" s="20"/>
      <c r="AN16" s="20"/>
      <c r="AO16" s="56"/>
      <c r="AP16" s="56"/>
      <c r="AQ16" s="20"/>
      <c r="AR16" s="20"/>
    </row>
    <row r="17" spans="1:50" x14ac:dyDescent="0.35">
      <c r="A17" s="7" t="s">
        <v>39</v>
      </c>
      <c r="B17" s="55" t="s">
        <v>419</v>
      </c>
      <c r="C17" s="55" t="s">
        <v>419</v>
      </c>
      <c r="D17" s="55" t="s">
        <v>419</v>
      </c>
      <c r="E17" s="55" t="s">
        <v>419</v>
      </c>
      <c r="F17" s="55" t="s">
        <v>419</v>
      </c>
      <c r="G17" s="55" t="s">
        <v>419</v>
      </c>
      <c r="H17" s="55"/>
      <c r="I17" s="55" t="s">
        <v>185</v>
      </c>
      <c r="J17" s="55" t="s">
        <v>185</v>
      </c>
      <c r="K17" s="54"/>
      <c r="L17" s="54"/>
      <c r="M17" s="55" t="s">
        <v>425</v>
      </c>
      <c r="N17" s="55" t="s">
        <v>425</v>
      </c>
      <c r="O17" s="55" t="s">
        <v>425</v>
      </c>
      <c r="P17" s="69" t="s">
        <v>425</v>
      </c>
      <c r="Q17" s="69" t="s">
        <v>425</v>
      </c>
      <c r="R17" s="69" t="s">
        <v>425</v>
      </c>
      <c r="S17" s="69" t="s">
        <v>425</v>
      </c>
      <c r="T17" s="69" t="s">
        <v>425</v>
      </c>
      <c r="U17" s="69" t="s">
        <v>425</v>
      </c>
      <c r="V17" s="69" t="s">
        <v>425</v>
      </c>
      <c r="W17" s="69" t="s">
        <v>425</v>
      </c>
      <c r="X17" s="55"/>
      <c r="Y17" s="55"/>
      <c r="Z17" s="55"/>
      <c r="AA17" s="55"/>
      <c r="AB17" s="55"/>
      <c r="AC17" s="55"/>
      <c r="AD17" s="69" t="s">
        <v>385</v>
      </c>
      <c r="AE17" s="69" t="s">
        <v>385</v>
      </c>
      <c r="AF17" s="69" t="s">
        <v>385</v>
      </c>
      <c r="AG17" s="41">
        <f t="shared" si="8"/>
        <v>22</v>
      </c>
      <c r="AH17" s="42">
        <f t="shared" si="9"/>
        <v>73.333333333333329</v>
      </c>
      <c r="AM17" s="20"/>
      <c r="AN17" s="20"/>
      <c r="AO17" s="20"/>
      <c r="AP17" s="20"/>
      <c r="AQ17" s="20"/>
      <c r="AR17" s="20"/>
      <c r="AX17" s="58"/>
    </row>
    <row r="18" spans="1:50" x14ac:dyDescent="0.35">
      <c r="A18" s="7" t="s">
        <v>42</v>
      </c>
      <c r="B18" s="55" t="s">
        <v>418</v>
      </c>
      <c r="C18" s="55" t="s">
        <v>418</v>
      </c>
      <c r="D18" s="55" t="s">
        <v>418</v>
      </c>
      <c r="E18" s="55" t="s">
        <v>418</v>
      </c>
      <c r="F18" s="55" t="s">
        <v>418</v>
      </c>
      <c r="G18" s="55" t="s">
        <v>418</v>
      </c>
      <c r="H18" s="55" t="s">
        <v>418</v>
      </c>
      <c r="I18" s="55" t="s">
        <v>418</v>
      </c>
      <c r="J18" s="55" t="s">
        <v>418</v>
      </c>
      <c r="K18" s="55" t="s">
        <v>418</v>
      </c>
      <c r="L18" s="55" t="s">
        <v>418</v>
      </c>
      <c r="M18" s="55" t="s">
        <v>418</v>
      </c>
      <c r="N18" s="55" t="s">
        <v>418</v>
      </c>
      <c r="O18" s="55" t="s">
        <v>418</v>
      </c>
      <c r="P18" s="69" t="s">
        <v>418</v>
      </c>
      <c r="Q18" s="69" t="s">
        <v>418</v>
      </c>
      <c r="R18" s="69" t="s">
        <v>418</v>
      </c>
      <c r="S18" s="69" t="s">
        <v>418</v>
      </c>
      <c r="T18" s="69" t="s">
        <v>418</v>
      </c>
      <c r="U18" s="69" t="s">
        <v>418</v>
      </c>
      <c r="V18" s="69" t="s">
        <v>418</v>
      </c>
      <c r="W18" s="69" t="s">
        <v>418</v>
      </c>
      <c r="X18" s="69" t="s">
        <v>418</v>
      </c>
      <c r="Y18" s="69" t="s">
        <v>418</v>
      </c>
      <c r="Z18" s="69" t="s">
        <v>418</v>
      </c>
      <c r="AA18" s="69" t="s">
        <v>418</v>
      </c>
      <c r="AB18" s="69" t="s">
        <v>418</v>
      </c>
      <c r="AC18" s="69" t="s">
        <v>418</v>
      </c>
      <c r="AD18" s="69" t="s">
        <v>418</v>
      </c>
      <c r="AE18" s="69" t="s">
        <v>418</v>
      </c>
      <c r="AF18" s="69" t="s">
        <v>418</v>
      </c>
      <c r="AG18" s="41">
        <f t="shared" si="8"/>
        <v>31</v>
      </c>
      <c r="AH18" s="42">
        <f t="shared" si="9"/>
        <v>103.33333333333333</v>
      </c>
      <c r="AM18" s="20"/>
      <c r="AN18" s="20"/>
      <c r="AO18" s="20"/>
      <c r="AP18" s="20"/>
      <c r="AQ18" s="20"/>
      <c r="AR18" s="20"/>
      <c r="AX18" s="58"/>
    </row>
    <row r="19" spans="1:50" x14ac:dyDescent="0.35">
      <c r="A19" s="7" t="s">
        <v>45</v>
      </c>
      <c r="B19" s="55" t="s">
        <v>425</v>
      </c>
      <c r="C19" s="8" t="s">
        <v>427</v>
      </c>
      <c r="D19" s="8" t="s">
        <v>427</v>
      </c>
      <c r="E19" s="8" t="s">
        <v>427</v>
      </c>
      <c r="F19" s="8" t="s">
        <v>427</v>
      </c>
      <c r="G19" s="8" t="s">
        <v>199</v>
      </c>
      <c r="H19" s="8" t="s">
        <v>199</v>
      </c>
      <c r="I19" s="8" t="s">
        <v>199</v>
      </c>
      <c r="J19" s="8" t="s">
        <v>239</v>
      </c>
      <c r="K19" s="8"/>
      <c r="L19" s="8"/>
      <c r="M19" s="8" t="s">
        <v>433</v>
      </c>
      <c r="N19" s="8" t="s">
        <v>433</v>
      </c>
      <c r="O19" s="8"/>
      <c r="P19" s="63"/>
      <c r="Q19" s="69" t="s">
        <v>429</v>
      </c>
      <c r="R19" s="69" t="s">
        <v>429</v>
      </c>
      <c r="S19" s="69" t="s">
        <v>429</v>
      </c>
      <c r="T19" s="69" t="s">
        <v>429</v>
      </c>
      <c r="U19" s="69" t="s">
        <v>429</v>
      </c>
      <c r="V19" s="69" t="s">
        <v>429</v>
      </c>
      <c r="W19" s="69" t="s">
        <v>429</v>
      </c>
      <c r="X19" s="55"/>
      <c r="Y19" s="55"/>
      <c r="Z19" s="55"/>
      <c r="AA19" s="55"/>
      <c r="AB19" s="55"/>
      <c r="AC19" s="55"/>
      <c r="AD19" s="69" t="s">
        <v>441</v>
      </c>
      <c r="AE19" s="69" t="s">
        <v>441</v>
      </c>
      <c r="AF19" s="69" t="s">
        <v>441</v>
      </c>
      <c r="AG19" s="41">
        <f t="shared" si="8"/>
        <v>21</v>
      </c>
      <c r="AH19" s="42">
        <f t="shared" si="9"/>
        <v>70</v>
      </c>
      <c r="AM19" s="20"/>
      <c r="AN19" s="20"/>
      <c r="AO19" s="20"/>
      <c r="AP19" s="20"/>
      <c r="AQ19" s="20"/>
      <c r="AR19" s="20"/>
      <c r="AX19" s="58"/>
    </row>
    <row r="20" spans="1:50" x14ac:dyDescent="0.35">
      <c r="A20" s="7" t="s">
        <v>47</v>
      </c>
      <c r="B20" s="55" t="s">
        <v>281</v>
      </c>
      <c r="C20" s="55" t="s">
        <v>281</v>
      </c>
      <c r="D20" s="55" t="s">
        <v>281</v>
      </c>
      <c r="E20" s="55" t="s">
        <v>281</v>
      </c>
      <c r="F20" s="55" t="s">
        <v>281</v>
      </c>
      <c r="G20" s="55" t="s">
        <v>281</v>
      </c>
      <c r="H20" s="55" t="s">
        <v>281</v>
      </c>
      <c r="I20" s="55" t="s">
        <v>281</v>
      </c>
      <c r="J20" s="55" t="s">
        <v>281</v>
      </c>
      <c r="K20" s="55" t="s">
        <v>281</v>
      </c>
      <c r="L20" s="55" t="s">
        <v>281</v>
      </c>
      <c r="M20" s="55" t="s">
        <v>281</v>
      </c>
      <c r="N20" s="55" t="s">
        <v>281</v>
      </c>
      <c r="O20" s="55" t="s">
        <v>281</v>
      </c>
      <c r="P20" s="69" t="s">
        <v>281</v>
      </c>
      <c r="Q20" s="69" t="s">
        <v>281</v>
      </c>
      <c r="R20" s="69" t="s">
        <v>281</v>
      </c>
      <c r="S20" s="69" t="s">
        <v>281</v>
      </c>
      <c r="T20" s="69" t="s">
        <v>281</v>
      </c>
      <c r="U20" s="69" t="s">
        <v>281</v>
      </c>
      <c r="V20" s="69" t="s">
        <v>281</v>
      </c>
      <c r="W20" s="69" t="s">
        <v>281</v>
      </c>
      <c r="X20" s="69" t="s">
        <v>281</v>
      </c>
      <c r="Y20" s="69" t="s">
        <v>281</v>
      </c>
      <c r="Z20" s="69" t="s">
        <v>281</v>
      </c>
      <c r="AA20" s="69" t="s">
        <v>281</v>
      </c>
      <c r="AB20" s="69" t="s">
        <v>281</v>
      </c>
      <c r="AC20" s="69" t="s">
        <v>281</v>
      </c>
      <c r="AD20" s="69" t="s">
        <v>281</v>
      </c>
      <c r="AE20" s="69" t="s">
        <v>281</v>
      </c>
      <c r="AF20" s="69" t="s">
        <v>281</v>
      </c>
      <c r="AG20" s="41">
        <f t="shared" si="8"/>
        <v>31</v>
      </c>
      <c r="AH20" s="42">
        <f t="shared" si="9"/>
        <v>103.33333333333333</v>
      </c>
      <c r="AM20" s="20"/>
      <c r="AN20" s="20"/>
      <c r="AO20" s="20"/>
      <c r="AP20" s="20"/>
      <c r="AQ20" s="20"/>
      <c r="AR20" s="20"/>
      <c r="AX20" s="58"/>
    </row>
    <row r="21" spans="1:50" x14ac:dyDescent="0.35">
      <c r="A21" s="7" t="s">
        <v>50</v>
      </c>
      <c r="B21" s="55" t="s">
        <v>420</v>
      </c>
      <c r="C21" s="55" t="s">
        <v>420</v>
      </c>
      <c r="D21" s="55" t="s">
        <v>420</v>
      </c>
      <c r="E21" s="55" t="s">
        <v>420</v>
      </c>
      <c r="F21" s="55" t="s">
        <v>420</v>
      </c>
      <c r="G21" s="55" t="s">
        <v>420</v>
      </c>
      <c r="H21" s="55" t="s">
        <v>420</v>
      </c>
      <c r="I21" s="55" t="s">
        <v>420</v>
      </c>
      <c r="J21" s="55" t="s">
        <v>420</v>
      </c>
      <c r="K21" s="55" t="s">
        <v>420</v>
      </c>
      <c r="L21" s="55" t="s">
        <v>420</v>
      </c>
      <c r="M21" s="55" t="s">
        <v>420</v>
      </c>
      <c r="N21" s="55" t="s">
        <v>420</v>
      </c>
      <c r="O21" s="55" t="s">
        <v>420</v>
      </c>
      <c r="P21" s="69" t="s">
        <v>420</v>
      </c>
      <c r="Q21" s="68" t="s">
        <v>34</v>
      </c>
      <c r="R21" s="55"/>
      <c r="S21" s="55"/>
      <c r="T21" s="69" t="s">
        <v>406</v>
      </c>
      <c r="U21" s="69" t="s">
        <v>406</v>
      </c>
      <c r="V21" s="69" t="s">
        <v>406</v>
      </c>
      <c r="W21" s="69" t="s">
        <v>406</v>
      </c>
      <c r="X21" s="69" t="s">
        <v>406</v>
      </c>
      <c r="Y21" s="69" t="s">
        <v>406</v>
      </c>
      <c r="Z21" s="69" t="s">
        <v>406</v>
      </c>
      <c r="AA21" s="69" t="s">
        <v>406</v>
      </c>
      <c r="AB21" s="69" t="s">
        <v>406</v>
      </c>
      <c r="AC21" s="69" t="s">
        <v>406</v>
      </c>
      <c r="AD21" s="69" t="s">
        <v>442</v>
      </c>
      <c r="AE21" s="69" t="s">
        <v>442</v>
      </c>
      <c r="AF21" s="69" t="s">
        <v>442</v>
      </c>
      <c r="AG21" s="41">
        <f t="shared" si="8"/>
        <v>29</v>
      </c>
      <c r="AH21" s="42">
        <f t="shared" si="9"/>
        <v>96.666666666666671</v>
      </c>
      <c r="AM21" s="20"/>
      <c r="AN21" s="20"/>
      <c r="AO21" s="20"/>
      <c r="AP21" s="20"/>
      <c r="AQ21" s="20"/>
      <c r="AR21" s="20"/>
      <c r="AX21" s="58"/>
    </row>
    <row r="22" spans="1:50" ht="15" thickBot="1" x14ac:dyDescent="0.4">
      <c r="A22" s="7" t="s">
        <v>51</v>
      </c>
      <c r="B22" s="8" t="s">
        <v>187</v>
      </c>
      <c r="C22" s="8" t="s">
        <v>187</v>
      </c>
      <c r="D22" s="54"/>
      <c r="E22" s="54"/>
      <c r="F22" s="54"/>
      <c r="G22" s="55" t="s">
        <v>391</v>
      </c>
      <c r="H22" s="55" t="s">
        <v>391</v>
      </c>
      <c r="I22" s="55" t="s">
        <v>391</v>
      </c>
      <c r="J22" s="55" t="s">
        <v>391</v>
      </c>
      <c r="K22" s="55" t="s">
        <v>391</v>
      </c>
      <c r="L22" s="55" t="s">
        <v>391</v>
      </c>
      <c r="M22" s="55" t="s">
        <v>202</v>
      </c>
      <c r="N22" s="55"/>
      <c r="O22" s="54"/>
      <c r="P22" s="63"/>
      <c r="Q22" s="68" t="s">
        <v>34</v>
      </c>
      <c r="R22" s="55"/>
      <c r="S22" s="69" t="s">
        <v>34</v>
      </c>
      <c r="T22" s="69" t="s">
        <v>34</v>
      </c>
      <c r="U22" s="69" t="s">
        <v>34</v>
      </c>
      <c r="V22" s="69" t="s">
        <v>34</v>
      </c>
      <c r="W22" s="69" t="s">
        <v>34</v>
      </c>
      <c r="X22" s="69" t="s">
        <v>129</v>
      </c>
      <c r="Y22" s="69" t="s">
        <v>129</v>
      </c>
      <c r="Z22" s="69" t="s">
        <v>129</v>
      </c>
      <c r="AA22" s="8"/>
      <c r="AB22" s="8"/>
      <c r="AC22" s="8"/>
      <c r="AD22" s="69" t="s">
        <v>312</v>
      </c>
      <c r="AE22" s="69" t="s">
        <v>439</v>
      </c>
      <c r="AF22" s="69" t="s">
        <v>439</v>
      </c>
      <c r="AG22" s="41">
        <f t="shared" si="8"/>
        <v>21</v>
      </c>
      <c r="AH22" s="42">
        <f t="shared" si="9"/>
        <v>70</v>
      </c>
      <c r="AX22" s="58"/>
    </row>
    <row r="23" spans="1:50" ht="15.5" x14ac:dyDescent="0.35">
      <c r="A23" s="45" t="s">
        <v>176</v>
      </c>
      <c r="B23" s="46">
        <f>COUNTA(B15:B22)</f>
        <v>8</v>
      </c>
      <c r="C23" s="46">
        <f>COUNTA(C16:C22)</f>
        <v>7</v>
      </c>
      <c r="D23" s="46">
        <f>COUNTA(D16:D22)</f>
        <v>6</v>
      </c>
      <c r="E23" s="46">
        <f t="shared" ref="E23:AE23" si="10">COUNTA(E15:E22)</f>
        <v>7</v>
      </c>
      <c r="F23" s="46">
        <f t="shared" si="10"/>
        <v>6</v>
      </c>
      <c r="G23" s="46">
        <f t="shared" si="10"/>
        <v>8</v>
      </c>
      <c r="H23" s="46">
        <f t="shared" si="10"/>
        <v>7</v>
      </c>
      <c r="I23" s="46">
        <f t="shared" si="10"/>
        <v>8</v>
      </c>
      <c r="J23" s="46">
        <f t="shared" si="10"/>
        <v>8</v>
      </c>
      <c r="K23" s="46">
        <f t="shared" si="10"/>
        <v>6</v>
      </c>
      <c r="L23" s="46">
        <f t="shared" si="10"/>
        <v>6</v>
      </c>
      <c r="M23" s="46">
        <f t="shared" si="10"/>
        <v>8</v>
      </c>
      <c r="N23" s="46">
        <f t="shared" si="10"/>
        <v>7</v>
      </c>
      <c r="O23" s="46">
        <f t="shared" si="10"/>
        <v>6</v>
      </c>
      <c r="P23" s="46">
        <f t="shared" si="10"/>
        <v>6</v>
      </c>
      <c r="Q23" s="46">
        <f t="shared" si="10"/>
        <v>8</v>
      </c>
      <c r="R23" s="46">
        <f t="shared" si="10"/>
        <v>6</v>
      </c>
      <c r="S23" s="46">
        <f t="shared" si="10"/>
        <v>7</v>
      </c>
      <c r="T23" s="46">
        <f t="shared" si="10"/>
        <v>8</v>
      </c>
      <c r="U23" s="46">
        <f t="shared" si="10"/>
        <v>8</v>
      </c>
      <c r="V23" s="46">
        <f t="shared" si="10"/>
        <v>8</v>
      </c>
      <c r="W23" s="46">
        <f t="shared" si="10"/>
        <v>7</v>
      </c>
      <c r="X23" s="46">
        <f t="shared" si="10"/>
        <v>6</v>
      </c>
      <c r="Y23" s="46">
        <f t="shared" si="10"/>
        <v>5</v>
      </c>
      <c r="Z23" s="46">
        <f t="shared" si="10"/>
        <v>5</v>
      </c>
      <c r="AA23" s="46">
        <f t="shared" si="10"/>
        <v>4</v>
      </c>
      <c r="AB23" s="46">
        <f t="shared" si="10"/>
        <v>4</v>
      </c>
      <c r="AC23" s="46">
        <f t="shared" si="10"/>
        <v>4</v>
      </c>
      <c r="AD23" s="46">
        <f t="shared" si="10"/>
        <v>8</v>
      </c>
      <c r="AE23" s="46">
        <f t="shared" si="10"/>
        <v>8</v>
      </c>
      <c r="AF23" s="46">
        <f t="shared" ref="AF23" si="11">COUNTA(AF15:AF22)</f>
        <v>8</v>
      </c>
      <c r="AG23" s="43">
        <f>SUM(AG15:AG22)</f>
        <v>210</v>
      </c>
      <c r="AH23" s="66">
        <f>AVERAGE(AH15:AH22)</f>
        <v>87.499999999999986</v>
      </c>
      <c r="AX23" s="58"/>
    </row>
    <row r="24" spans="1:50" ht="15.5" x14ac:dyDescent="0.35">
      <c r="A24" s="47" t="s">
        <v>178</v>
      </c>
      <c r="B24" s="52">
        <f>B12+B23</f>
        <v>14</v>
      </c>
      <c r="C24" s="52">
        <f t="shared" ref="C24:AF24" si="12">C12+C23</f>
        <v>13</v>
      </c>
      <c r="D24" s="52">
        <f t="shared" si="12"/>
        <v>11</v>
      </c>
      <c r="E24" s="52">
        <f t="shared" si="12"/>
        <v>12</v>
      </c>
      <c r="F24" s="52">
        <f t="shared" si="12"/>
        <v>11</v>
      </c>
      <c r="G24" s="52">
        <f t="shared" si="12"/>
        <v>13</v>
      </c>
      <c r="H24" s="52">
        <f t="shared" si="12"/>
        <v>11</v>
      </c>
      <c r="I24" s="52">
        <f t="shared" si="12"/>
        <v>12</v>
      </c>
      <c r="J24" s="52">
        <f t="shared" si="12"/>
        <v>12</v>
      </c>
      <c r="K24" s="52">
        <f t="shared" si="12"/>
        <v>10</v>
      </c>
      <c r="L24" s="52">
        <f t="shared" si="12"/>
        <v>11</v>
      </c>
      <c r="M24" s="52">
        <f t="shared" si="12"/>
        <v>14</v>
      </c>
      <c r="N24" s="52">
        <f t="shared" si="12"/>
        <v>10</v>
      </c>
      <c r="O24" s="52">
        <f t="shared" si="12"/>
        <v>9</v>
      </c>
      <c r="P24" s="52">
        <f t="shared" si="12"/>
        <v>10</v>
      </c>
      <c r="Q24" s="52">
        <f t="shared" si="12"/>
        <v>14</v>
      </c>
      <c r="R24" s="52">
        <f t="shared" si="12"/>
        <v>12</v>
      </c>
      <c r="S24" s="52">
        <f t="shared" si="12"/>
        <v>13</v>
      </c>
      <c r="T24" s="52">
        <f t="shared" si="12"/>
        <v>14</v>
      </c>
      <c r="U24" s="52">
        <f t="shared" si="12"/>
        <v>14</v>
      </c>
      <c r="V24" s="52">
        <f t="shared" si="12"/>
        <v>14</v>
      </c>
      <c r="W24" s="52">
        <f t="shared" si="12"/>
        <v>11</v>
      </c>
      <c r="X24" s="52">
        <f t="shared" si="12"/>
        <v>11</v>
      </c>
      <c r="Y24" s="52">
        <f t="shared" si="12"/>
        <v>10</v>
      </c>
      <c r="Z24" s="52">
        <f t="shared" si="12"/>
        <v>10</v>
      </c>
      <c r="AA24" s="52">
        <f t="shared" si="12"/>
        <v>7</v>
      </c>
      <c r="AB24" s="52">
        <f t="shared" si="12"/>
        <v>7</v>
      </c>
      <c r="AC24" s="52">
        <f t="shared" si="12"/>
        <v>7</v>
      </c>
      <c r="AD24" s="52">
        <f t="shared" si="12"/>
        <v>12</v>
      </c>
      <c r="AE24" s="52">
        <f t="shared" si="12"/>
        <v>14</v>
      </c>
      <c r="AF24" s="52">
        <f t="shared" si="12"/>
        <v>14</v>
      </c>
      <c r="AG24" s="49">
        <f>+AG12+AG23</f>
        <v>359</v>
      </c>
      <c r="AX24" s="58"/>
    </row>
    <row r="25" spans="1:50" ht="15.5" x14ac:dyDescent="0.35">
      <c r="A25" s="48" t="s">
        <v>179</v>
      </c>
      <c r="B25" s="42">
        <f>B24*100/15</f>
        <v>93.333333333333329</v>
      </c>
      <c r="C25" s="42">
        <f t="shared" ref="C25:AF25" si="13">C24*100/15</f>
        <v>86.666666666666671</v>
      </c>
      <c r="D25" s="42">
        <f t="shared" si="13"/>
        <v>73.333333333333329</v>
      </c>
      <c r="E25" s="42">
        <f t="shared" si="13"/>
        <v>80</v>
      </c>
      <c r="F25" s="42">
        <f t="shared" si="13"/>
        <v>73.333333333333329</v>
      </c>
      <c r="G25" s="42">
        <f t="shared" si="13"/>
        <v>86.666666666666671</v>
      </c>
      <c r="H25" s="42">
        <f t="shared" si="13"/>
        <v>73.333333333333329</v>
      </c>
      <c r="I25" s="42">
        <f t="shared" si="13"/>
        <v>80</v>
      </c>
      <c r="J25" s="42">
        <f t="shared" si="13"/>
        <v>80</v>
      </c>
      <c r="K25" s="42">
        <f t="shared" si="13"/>
        <v>66.666666666666671</v>
      </c>
      <c r="L25" s="42">
        <f t="shared" si="13"/>
        <v>73.333333333333329</v>
      </c>
      <c r="M25" s="42">
        <f t="shared" si="13"/>
        <v>93.333333333333329</v>
      </c>
      <c r="N25" s="42">
        <f t="shared" si="13"/>
        <v>66.666666666666671</v>
      </c>
      <c r="O25" s="42">
        <f t="shared" si="13"/>
        <v>60</v>
      </c>
      <c r="P25" s="42">
        <f t="shared" si="13"/>
        <v>66.666666666666671</v>
      </c>
      <c r="Q25" s="42">
        <f t="shared" si="13"/>
        <v>93.333333333333329</v>
      </c>
      <c r="R25" s="42">
        <f t="shared" si="13"/>
        <v>80</v>
      </c>
      <c r="S25" s="42">
        <f t="shared" si="13"/>
        <v>86.666666666666671</v>
      </c>
      <c r="T25" s="42">
        <f t="shared" si="13"/>
        <v>93.333333333333329</v>
      </c>
      <c r="U25" s="42">
        <f t="shared" si="13"/>
        <v>93.333333333333329</v>
      </c>
      <c r="V25" s="42">
        <f t="shared" si="13"/>
        <v>93.333333333333329</v>
      </c>
      <c r="W25" s="42">
        <f t="shared" si="13"/>
        <v>73.333333333333329</v>
      </c>
      <c r="X25" s="42">
        <f t="shared" si="13"/>
        <v>73.333333333333329</v>
      </c>
      <c r="Y25" s="42">
        <f t="shared" si="13"/>
        <v>66.666666666666671</v>
      </c>
      <c r="Z25" s="42">
        <f t="shared" si="13"/>
        <v>66.666666666666671</v>
      </c>
      <c r="AA25" s="42">
        <f t="shared" si="13"/>
        <v>46.666666666666664</v>
      </c>
      <c r="AB25" s="42">
        <f t="shared" si="13"/>
        <v>46.666666666666664</v>
      </c>
      <c r="AC25" s="42">
        <f t="shared" si="13"/>
        <v>46.666666666666664</v>
      </c>
      <c r="AD25" s="42">
        <f t="shared" si="13"/>
        <v>80</v>
      </c>
      <c r="AE25" s="42">
        <f t="shared" si="13"/>
        <v>93.333333333333329</v>
      </c>
      <c r="AF25" s="42">
        <f t="shared" si="13"/>
        <v>93.333333333333329</v>
      </c>
      <c r="AG25" s="50">
        <f>AVERAGE(B25:AE25)</f>
        <v>76.222222222222214</v>
      </c>
      <c r="AH25" s="51" t="s">
        <v>180</v>
      </c>
      <c r="AX25" s="58"/>
    </row>
    <row r="26" spans="1:50" x14ac:dyDescent="0.35">
      <c r="AX26" s="58"/>
    </row>
    <row r="27" spans="1:50" x14ac:dyDescent="0.35">
      <c r="Q27" s="68" t="s">
        <v>34</v>
      </c>
      <c r="AX27" s="58"/>
    </row>
    <row r="28" spans="1:50" x14ac:dyDescent="0.35">
      <c r="Q28" s="68" t="s">
        <v>436</v>
      </c>
      <c r="R28" t="s">
        <v>267</v>
      </c>
    </row>
    <row r="29" spans="1:50" x14ac:dyDescent="0.35">
      <c r="Q29" s="68" t="s">
        <v>312</v>
      </c>
      <c r="R29" t="s">
        <v>267</v>
      </c>
    </row>
  </sheetData>
  <mergeCells count="2">
    <mergeCell ref="A1:AE1"/>
    <mergeCell ref="AM3:AR3"/>
  </mergeCells>
  <conditionalFormatting sqref="B17:B18 C17:L17 B20:AF20 C18:AF18 X17:AC17">
    <cfRule type="colorScale" priority="5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9 P22 B21:P21 R21:S21 R22 X19:AC19">
    <cfRule type="colorScale" priority="70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1:C11 E11:F11">
    <cfRule type="colorScale" priority="49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22:C22">
    <cfRule type="colorScale" priority="4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5:E15">
    <cfRule type="colorScale" priority="48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6:O6 B10 W6:AD6">
    <cfRule type="colorScale" priority="68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7:O7 G11:O11 W7:AC7">
    <cfRule type="colorScale" priority="69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8:AF8">
    <cfRule type="colorScale" priority="5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9:AF9">
    <cfRule type="colorScale" priority="50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6:AF16">
    <cfRule type="colorScale" priority="4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C19:N19">
    <cfRule type="colorScale" priority="4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C10:O10">
    <cfRule type="colorScale" priority="4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D11">
    <cfRule type="colorScale" priority="4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D22:O22">
    <cfRule type="colorScale" priority="60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F15:O15">
    <cfRule type="colorScale" priority="6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L13:U14 B13:I14 X13:AH14 B5:W5 AA5:AF5">
    <cfRule type="colorScale" priority="7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M17:W17">
    <cfRule type="colorScale" priority="38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O19">
    <cfRule type="colorScale" priority="6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P10:P11">
    <cfRule type="colorScale" priority="7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P19">
    <cfRule type="colorScale" priority="29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P6:V6">
    <cfRule type="colorScale" priority="3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P7:V7">
    <cfRule type="colorScale" priority="3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P15:V15">
    <cfRule type="colorScale" priority="30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Q21">
    <cfRule type="colorScale" priority="28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Q22">
    <cfRule type="colorScale" priority="2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Q27:Q29">
    <cfRule type="colorScale" priority="3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Q10:W10">
    <cfRule type="colorScale" priority="2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Q11:W11 AA11:AD11">
    <cfRule type="colorScale" priority="2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Q19:W19">
    <cfRule type="colorScale" priority="2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S22:V22">
    <cfRule type="colorScale" priority="2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T21:AC21">
    <cfRule type="colorScale" priority="2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W22">
    <cfRule type="colorScale" priority="2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X15">
    <cfRule type="colorScale" priority="1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X5:Z5">
    <cfRule type="colorScale" priority="20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X11:Z11">
    <cfRule type="colorScale" priority="1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X22:Z22">
    <cfRule type="colorScale" priority="19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X10:AF10">
    <cfRule type="colorScale" priority="1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Y15:AC15 W15">
    <cfRule type="colorScale" priority="7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A22:AC22">
    <cfRule type="colorScale" priority="5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D7:AF7">
    <cfRule type="colorScale" priority="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D15:AF15">
    <cfRule type="colorScale" priority="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D17:AF17">
    <cfRule type="colorScale" priority="1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D19:AF19">
    <cfRule type="colorScale" priority="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D21:AF21">
    <cfRule type="colorScale" priority="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D22:AF22">
    <cfRule type="colorScale" priority="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E6:AF6">
    <cfRule type="colorScale" priority="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E11:AF11">
    <cfRule type="colorScale" priority="12">
      <colorScale>
        <cfvo type="num" val="1"/>
        <cfvo type="max"/>
        <color theme="4" tint="0.59999389629810485"/>
        <color theme="5" tint="0.59999389629810485"/>
      </colorScale>
    </cfRule>
  </conditionalFormatting>
  <pageMargins left="0.7" right="0.7" top="0.75" bottom="0.75" header="0.3" footer="0.3"/>
  <pageSetup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27625-29AB-412E-B981-9F058EDED59D}">
  <dimension ref="A1:AW30"/>
  <sheetViews>
    <sheetView zoomScale="86" zoomScaleNormal="86" workbookViewId="0">
      <pane xSplit="1" ySplit="4" topLeftCell="U5" activePane="bottomRight" state="frozen"/>
      <selection pane="topRight" activeCell="B1" sqref="B1"/>
      <selection pane="bottomLeft" activeCell="A5" sqref="A5"/>
      <selection pane="bottomRight" activeCell="AE8" sqref="AE8"/>
    </sheetView>
  </sheetViews>
  <sheetFormatPr defaultRowHeight="14.5" x14ac:dyDescent="0.35"/>
  <cols>
    <col min="1" max="1" width="43.54296875" bestFit="1" customWidth="1"/>
    <col min="2" max="2" width="17.81640625" bestFit="1" customWidth="1"/>
    <col min="3" max="4" width="17" bestFit="1" customWidth="1"/>
    <col min="5" max="6" width="7.453125" bestFit="1" customWidth="1"/>
    <col min="7" max="12" width="10.7265625" bestFit="1" customWidth="1"/>
    <col min="13" max="14" width="12.26953125" bestFit="1" customWidth="1"/>
    <col min="15" max="19" width="11.54296875" bestFit="1" customWidth="1"/>
    <col min="20" max="25" width="12.81640625" bestFit="1" customWidth="1"/>
    <col min="26" max="31" width="10.54296875" bestFit="1" customWidth="1"/>
    <col min="32" max="32" width="4.7265625" bestFit="1" customWidth="1"/>
    <col min="33" max="33" width="8.453125" bestFit="1" customWidth="1"/>
    <col min="34" max="34" width="7.7265625" bestFit="1" customWidth="1"/>
    <col min="35" max="35" width="6.54296875" bestFit="1" customWidth="1"/>
    <col min="36" max="36" width="0" hidden="1" customWidth="1"/>
    <col min="37" max="37" width="3" hidden="1" customWidth="1"/>
    <col min="38" max="38" width="17.81640625" bestFit="1" customWidth="1"/>
    <col min="39" max="39" width="9.1796875" bestFit="1" customWidth="1"/>
    <col min="40" max="40" width="9.81640625" bestFit="1" customWidth="1"/>
    <col min="41" max="41" width="10.81640625" bestFit="1" customWidth="1"/>
    <col min="42" max="42" width="10.1796875" bestFit="1" customWidth="1"/>
    <col min="43" max="43" width="23.1796875" bestFit="1" customWidth="1"/>
    <col min="44" max="44" width="0.453125" hidden="1" customWidth="1"/>
    <col min="45" max="48" width="0" hidden="1" customWidth="1"/>
    <col min="50" max="50" width="15" bestFit="1" customWidth="1"/>
  </cols>
  <sheetData>
    <row r="1" spans="1:43" ht="15.5" x14ac:dyDescent="0.35">
      <c r="A1" s="120" t="s">
        <v>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</row>
    <row r="2" spans="1:43" ht="15" thickBot="1" x14ac:dyDescent="0.4"/>
    <row r="3" spans="1:43" ht="45.75" customHeight="1" x14ac:dyDescent="0.35">
      <c r="A3" s="1" t="s">
        <v>1</v>
      </c>
      <c r="B3" s="2">
        <f>AH4</f>
        <v>45231</v>
      </c>
      <c r="C3" s="2">
        <f t="shared" ref="C3:AE3" si="0">B3+1</f>
        <v>45232</v>
      </c>
      <c r="D3" s="2">
        <f t="shared" si="0"/>
        <v>45233</v>
      </c>
      <c r="E3" s="2">
        <f t="shared" si="0"/>
        <v>45234</v>
      </c>
      <c r="F3" s="2">
        <f t="shared" si="0"/>
        <v>45235</v>
      </c>
      <c r="G3" s="2">
        <f t="shared" si="0"/>
        <v>45236</v>
      </c>
      <c r="H3" s="2">
        <f t="shared" si="0"/>
        <v>45237</v>
      </c>
      <c r="I3" s="2">
        <f>H3+1</f>
        <v>45238</v>
      </c>
      <c r="J3" s="2">
        <f t="shared" si="0"/>
        <v>45239</v>
      </c>
      <c r="K3" s="2">
        <f t="shared" si="0"/>
        <v>45240</v>
      </c>
      <c r="L3" s="2">
        <f t="shared" si="0"/>
        <v>45241</v>
      </c>
      <c r="M3" s="2">
        <f t="shared" si="0"/>
        <v>45242</v>
      </c>
      <c r="N3" s="2">
        <f t="shared" si="0"/>
        <v>45243</v>
      </c>
      <c r="O3" s="2">
        <f t="shared" si="0"/>
        <v>45244</v>
      </c>
      <c r="P3" s="2">
        <f t="shared" si="0"/>
        <v>45245</v>
      </c>
      <c r="Q3" s="2">
        <f t="shared" si="0"/>
        <v>45246</v>
      </c>
      <c r="R3" s="2">
        <f t="shared" si="0"/>
        <v>45247</v>
      </c>
      <c r="S3" s="2">
        <f t="shared" si="0"/>
        <v>45248</v>
      </c>
      <c r="T3" s="2">
        <f t="shared" si="0"/>
        <v>45249</v>
      </c>
      <c r="U3" s="2">
        <f t="shared" si="0"/>
        <v>45250</v>
      </c>
      <c r="V3" s="2">
        <f t="shared" si="0"/>
        <v>45251</v>
      </c>
      <c r="W3" s="2">
        <f t="shared" si="0"/>
        <v>45252</v>
      </c>
      <c r="X3" s="2">
        <f t="shared" si="0"/>
        <v>45253</v>
      </c>
      <c r="Y3" s="2">
        <f t="shared" si="0"/>
        <v>45254</v>
      </c>
      <c r="Z3" s="2">
        <f t="shared" si="0"/>
        <v>45255</v>
      </c>
      <c r="AA3" s="2">
        <f t="shared" si="0"/>
        <v>45256</v>
      </c>
      <c r="AB3" s="2">
        <f t="shared" si="0"/>
        <v>45257</v>
      </c>
      <c r="AC3" s="2">
        <f t="shared" si="0"/>
        <v>45258</v>
      </c>
      <c r="AD3" s="2">
        <f t="shared" si="0"/>
        <v>45259</v>
      </c>
      <c r="AE3" s="2">
        <f t="shared" si="0"/>
        <v>45260</v>
      </c>
      <c r="AF3" s="36"/>
      <c r="AG3" s="36"/>
      <c r="AL3" s="122" t="s">
        <v>267</v>
      </c>
      <c r="AM3" s="123"/>
      <c r="AN3" s="123"/>
      <c r="AO3" s="123"/>
      <c r="AP3" s="123"/>
      <c r="AQ3" s="124"/>
    </row>
    <row r="4" spans="1:43" ht="31.5" customHeight="1" x14ac:dyDescent="0.35">
      <c r="A4" s="3" t="s">
        <v>2</v>
      </c>
      <c r="B4" s="4">
        <f t="shared" ref="B4:AE4" si="1">B3</f>
        <v>45231</v>
      </c>
      <c r="C4" s="4">
        <f t="shared" si="1"/>
        <v>45232</v>
      </c>
      <c r="D4" s="4">
        <f t="shared" si="1"/>
        <v>45233</v>
      </c>
      <c r="E4" s="4">
        <f t="shared" si="1"/>
        <v>45234</v>
      </c>
      <c r="F4" s="4">
        <f t="shared" si="1"/>
        <v>45235</v>
      </c>
      <c r="G4" s="4">
        <f t="shared" si="1"/>
        <v>45236</v>
      </c>
      <c r="H4" s="4">
        <f t="shared" si="1"/>
        <v>45237</v>
      </c>
      <c r="I4" s="4">
        <f t="shared" si="1"/>
        <v>45238</v>
      </c>
      <c r="J4" s="4">
        <f t="shared" si="1"/>
        <v>45239</v>
      </c>
      <c r="K4" s="4">
        <f t="shared" si="1"/>
        <v>45240</v>
      </c>
      <c r="L4" s="4">
        <f t="shared" si="1"/>
        <v>45241</v>
      </c>
      <c r="M4" s="4">
        <f t="shared" si="1"/>
        <v>45242</v>
      </c>
      <c r="N4" s="4">
        <f t="shared" si="1"/>
        <v>45243</v>
      </c>
      <c r="O4" s="4">
        <f t="shared" si="1"/>
        <v>45244</v>
      </c>
      <c r="P4" s="4">
        <f t="shared" si="1"/>
        <v>45245</v>
      </c>
      <c r="Q4" s="4">
        <f t="shared" si="1"/>
        <v>45246</v>
      </c>
      <c r="R4" s="4">
        <f t="shared" si="1"/>
        <v>45247</v>
      </c>
      <c r="S4" s="4">
        <f t="shared" si="1"/>
        <v>45248</v>
      </c>
      <c r="T4" s="4">
        <f t="shared" si="1"/>
        <v>45249</v>
      </c>
      <c r="U4" s="4">
        <f t="shared" si="1"/>
        <v>45250</v>
      </c>
      <c r="V4" s="4">
        <f t="shared" si="1"/>
        <v>45251</v>
      </c>
      <c r="W4" s="4">
        <f t="shared" si="1"/>
        <v>45252</v>
      </c>
      <c r="X4" s="4">
        <f t="shared" si="1"/>
        <v>45253</v>
      </c>
      <c r="Y4" s="4">
        <f t="shared" si="1"/>
        <v>45254</v>
      </c>
      <c r="Z4" s="4">
        <f t="shared" si="1"/>
        <v>45255</v>
      </c>
      <c r="AA4" s="4">
        <f t="shared" si="1"/>
        <v>45256</v>
      </c>
      <c r="AB4" s="4">
        <f t="shared" si="1"/>
        <v>45257</v>
      </c>
      <c r="AC4" s="4">
        <f t="shared" si="1"/>
        <v>45258</v>
      </c>
      <c r="AD4" s="4">
        <f t="shared" si="1"/>
        <v>45259</v>
      </c>
      <c r="AE4" s="4">
        <f t="shared" si="1"/>
        <v>45260</v>
      </c>
      <c r="AF4" s="39" t="s">
        <v>174</v>
      </c>
      <c r="AG4" s="40" t="s">
        <v>175</v>
      </c>
      <c r="AH4" s="5">
        <v>45231</v>
      </c>
      <c r="AI4" s="6">
        <f>EOMONTH(AH4,0)</f>
        <v>45260</v>
      </c>
      <c r="AL4" s="19" t="s">
        <v>54</v>
      </c>
      <c r="AM4" s="19" t="s">
        <v>269</v>
      </c>
      <c r="AN4" s="19" t="s">
        <v>55</v>
      </c>
      <c r="AO4" s="19" t="s">
        <v>56</v>
      </c>
      <c r="AP4" s="19" t="s">
        <v>251</v>
      </c>
      <c r="AQ4" s="19" t="s">
        <v>57</v>
      </c>
    </row>
    <row r="5" spans="1:43" x14ac:dyDescent="0.35">
      <c r="A5" s="7" t="s">
        <v>3</v>
      </c>
      <c r="B5" s="8"/>
      <c r="C5" s="55" t="s">
        <v>410</v>
      </c>
      <c r="D5" s="55" t="s">
        <v>410</v>
      </c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 t="s">
        <v>469</v>
      </c>
      <c r="AA5" s="55" t="s">
        <v>469</v>
      </c>
      <c r="AB5" s="55"/>
      <c r="AC5" s="55"/>
      <c r="AD5" s="55" t="s">
        <v>437</v>
      </c>
      <c r="AE5" s="55" t="s">
        <v>437</v>
      </c>
      <c r="AF5" s="41">
        <f t="shared" ref="AF5:AF11" si="2">COUNTA(B5:AE5)</f>
        <v>6</v>
      </c>
      <c r="AG5" s="42">
        <f>AF5*100/30</f>
        <v>20</v>
      </c>
      <c r="AL5" s="20"/>
      <c r="AM5" s="56"/>
      <c r="AN5" s="56"/>
      <c r="AO5" s="56"/>
      <c r="AP5" s="57"/>
      <c r="AQ5" s="20"/>
    </row>
    <row r="6" spans="1:43" x14ac:dyDescent="0.35">
      <c r="A6" s="7" t="s">
        <v>7</v>
      </c>
      <c r="B6" s="8"/>
      <c r="C6" s="55" t="s">
        <v>445</v>
      </c>
      <c r="D6" s="55" t="s">
        <v>445</v>
      </c>
      <c r="E6" s="8"/>
      <c r="F6" s="8"/>
      <c r="G6" s="55" t="s">
        <v>449</v>
      </c>
      <c r="H6" s="55" t="s">
        <v>449</v>
      </c>
      <c r="I6" s="55" t="s">
        <v>449</v>
      </c>
      <c r="J6" s="55" t="s">
        <v>449</v>
      </c>
      <c r="K6" s="55" t="s">
        <v>449</v>
      </c>
      <c r="L6" s="55" t="s">
        <v>449</v>
      </c>
      <c r="M6" s="55" t="s">
        <v>449</v>
      </c>
      <c r="N6" s="55" t="s">
        <v>449</v>
      </c>
      <c r="O6" s="55" t="s">
        <v>449</v>
      </c>
      <c r="P6" s="55" t="s">
        <v>449</v>
      </c>
      <c r="Q6" s="55" t="s">
        <v>450</v>
      </c>
      <c r="R6" s="8"/>
      <c r="S6" s="8"/>
      <c r="T6" s="8" t="s">
        <v>466</v>
      </c>
      <c r="U6" s="8" t="s">
        <v>466</v>
      </c>
      <c r="V6" s="8" t="s">
        <v>466</v>
      </c>
      <c r="W6" s="8"/>
      <c r="X6" s="8"/>
      <c r="Y6" s="8"/>
      <c r="Z6" s="8" t="s">
        <v>470</v>
      </c>
      <c r="AA6" s="8" t="s">
        <v>470</v>
      </c>
      <c r="AB6" s="55" t="s">
        <v>471</v>
      </c>
      <c r="AC6" s="55" t="s">
        <v>471</v>
      </c>
      <c r="AD6" s="55" t="s">
        <v>471</v>
      </c>
      <c r="AE6" s="55" t="s">
        <v>471</v>
      </c>
      <c r="AF6" s="41">
        <f t="shared" si="2"/>
        <v>22</v>
      </c>
      <c r="AG6" s="42">
        <f t="shared" ref="AG6:AG11" si="3">AF6*100/30</f>
        <v>73.333333333333329</v>
      </c>
      <c r="AL6" s="20"/>
      <c r="AM6" s="56"/>
      <c r="AN6" s="56"/>
      <c r="AO6" s="56"/>
      <c r="AP6" s="57"/>
      <c r="AQ6" s="20"/>
    </row>
    <row r="7" spans="1:43" x14ac:dyDescent="0.35">
      <c r="A7" s="7" t="s">
        <v>11</v>
      </c>
      <c r="B7" s="55" t="s">
        <v>249</v>
      </c>
      <c r="C7" s="55" t="s">
        <v>446</v>
      </c>
      <c r="D7" s="55" t="s">
        <v>446</v>
      </c>
      <c r="E7" s="55"/>
      <c r="F7" s="55"/>
      <c r="G7" s="55"/>
      <c r="H7" s="55"/>
      <c r="I7" s="55" t="s">
        <v>234</v>
      </c>
      <c r="J7" s="55" t="s">
        <v>234</v>
      </c>
      <c r="K7" s="55"/>
      <c r="L7" s="55"/>
      <c r="M7" s="55"/>
      <c r="N7" s="55"/>
      <c r="O7" s="55"/>
      <c r="P7" s="55"/>
      <c r="Q7" s="55" t="s">
        <v>450</v>
      </c>
      <c r="R7" s="55"/>
      <c r="S7" s="55"/>
      <c r="T7" s="55"/>
      <c r="U7" s="55"/>
      <c r="V7" s="8" t="s">
        <v>467</v>
      </c>
      <c r="W7" s="8" t="s">
        <v>467</v>
      </c>
      <c r="X7" s="8" t="s">
        <v>467</v>
      </c>
      <c r="Y7" s="8" t="s">
        <v>467</v>
      </c>
      <c r="Z7" s="8" t="s">
        <v>467</v>
      </c>
      <c r="AA7" s="8" t="s">
        <v>467</v>
      </c>
      <c r="AB7" s="55"/>
      <c r="AC7" s="55"/>
      <c r="AD7" s="55" t="s">
        <v>472</v>
      </c>
      <c r="AE7" s="55" t="s">
        <v>472</v>
      </c>
      <c r="AF7" s="41">
        <f t="shared" si="2"/>
        <v>14</v>
      </c>
      <c r="AG7" s="42">
        <f t="shared" si="3"/>
        <v>46.666666666666664</v>
      </c>
      <c r="AL7" s="20"/>
      <c r="AM7" s="56"/>
      <c r="AN7" s="56"/>
      <c r="AO7" s="56"/>
      <c r="AP7" s="57"/>
      <c r="AQ7" s="20"/>
    </row>
    <row r="8" spans="1:43" ht="15" customHeight="1" x14ac:dyDescent="0.35">
      <c r="A8" s="7" t="s">
        <v>15</v>
      </c>
      <c r="B8" s="55" t="s">
        <v>426</v>
      </c>
      <c r="C8" s="55" t="s">
        <v>426</v>
      </c>
      <c r="D8" s="55" t="s">
        <v>426</v>
      </c>
      <c r="E8" s="55" t="s">
        <v>426</v>
      </c>
      <c r="F8" s="55" t="s">
        <v>426</v>
      </c>
      <c r="G8" s="55" t="s">
        <v>426</v>
      </c>
      <c r="H8" s="55" t="s">
        <v>426</v>
      </c>
      <c r="I8" s="55" t="s">
        <v>426</v>
      </c>
      <c r="J8" s="55" t="s">
        <v>426</v>
      </c>
      <c r="K8" s="55" t="s">
        <v>426</v>
      </c>
      <c r="L8" s="55" t="s">
        <v>426</v>
      </c>
      <c r="M8" s="55" t="s">
        <v>426</v>
      </c>
      <c r="N8" s="55" t="s">
        <v>426</v>
      </c>
      <c r="O8" s="55" t="s">
        <v>426</v>
      </c>
      <c r="P8" s="55" t="s">
        <v>426</v>
      </c>
      <c r="Q8" s="55" t="s">
        <v>426</v>
      </c>
      <c r="R8" s="55" t="s">
        <v>426</v>
      </c>
      <c r="S8" s="55" t="s">
        <v>426</v>
      </c>
      <c r="T8" s="55" t="s">
        <v>426</v>
      </c>
      <c r="U8" s="55" t="s">
        <v>426</v>
      </c>
      <c r="V8" s="55" t="s">
        <v>426</v>
      </c>
      <c r="W8" s="55" t="s">
        <v>426</v>
      </c>
      <c r="X8" s="55" t="s">
        <v>426</v>
      </c>
      <c r="Y8" s="55" t="s">
        <v>426</v>
      </c>
      <c r="Z8" s="55" t="s">
        <v>426</v>
      </c>
      <c r="AA8" s="55" t="s">
        <v>426</v>
      </c>
      <c r="AB8" s="55" t="s">
        <v>426</v>
      </c>
      <c r="AC8" s="55"/>
      <c r="AD8" s="55" t="s">
        <v>474</v>
      </c>
      <c r="AE8" s="55" t="s">
        <v>474</v>
      </c>
      <c r="AF8" s="41">
        <f t="shared" si="2"/>
        <v>29</v>
      </c>
      <c r="AG8" s="42">
        <f t="shared" si="3"/>
        <v>96.666666666666671</v>
      </c>
      <c r="AJ8" s="9"/>
      <c r="AL8" s="20"/>
      <c r="AM8" s="56"/>
      <c r="AN8" s="56"/>
      <c r="AO8" s="56"/>
      <c r="AP8" s="57"/>
      <c r="AQ8" s="20"/>
    </row>
    <row r="9" spans="1:43" ht="15.75" customHeight="1" x14ac:dyDescent="0.35">
      <c r="A9" s="7" t="s">
        <v>18</v>
      </c>
      <c r="B9" s="55" t="s">
        <v>421</v>
      </c>
      <c r="C9" s="55" t="s">
        <v>421</v>
      </c>
      <c r="D9" s="55" t="s">
        <v>421</v>
      </c>
      <c r="E9" s="55"/>
      <c r="F9" s="55"/>
      <c r="G9" s="55" t="s">
        <v>214</v>
      </c>
      <c r="H9" s="55" t="s">
        <v>214</v>
      </c>
      <c r="I9" s="55" t="s">
        <v>214</v>
      </c>
      <c r="J9" s="55" t="s">
        <v>214</v>
      </c>
      <c r="K9" s="55" t="s">
        <v>214</v>
      </c>
      <c r="L9" s="55" t="s">
        <v>214</v>
      </c>
      <c r="M9" s="55" t="s">
        <v>214</v>
      </c>
      <c r="N9" s="55" t="s">
        <v>214</v>
      </c>
      <c r="O9" s="55" t="s">
        <v>214</v>
      </c>
      <c r="P9" s="55" t="s">
        <v>214</v>
      </c>
      <c r="Q9" s="55" t="s">
        <v>214</v>
      </c>
      <c r="R9" s="55" t="s">
        <v>214</v>
      </c>
      <c r="S9" s="55" t="s">
        <v>465</v>
      </c>
      <c r="T9" s="55" t="s">
        <v>465</v>
      </c>
      <c r="U9" s="55" t="s">
        <v>465</v>
      </c>
      <c r="V9" s="55" t="s">
        <v>465</v>
      </c>
      <c r="W9" s="55" t="s">
        <v>465</v>
      </c>
      <c r="X9" s="55" t="s">
        <v>465</v>
      </c>
      <c r="Y9" s="55"/>
      <c r="Z9" s="55"/>
      <c r="AA9" s="55"/>
      <c r="AB9" s="55"/>
      <c r="AC9" s="55"/>
      <c r="AD9" s="55" t="s">
        <v>473</v>
      </c>
      <c r="AE9" s="55" t="s">
        <v>473</v>
      </c>
      <c r="AF9" s="41">
        <f t="shared" si="2"/>
        <v>23</v>
      </c>
      <c r="AG9" s="42">
        <f t="shared" si="3"/>
        <v>76.666666666666671</v>
      </c>
      <c r="AL9" s="20"/>
      <c r="AM9" s="56"/>
      <c r="AN9" s="56"/>
      <c r="AO9" s="56"/>
      <c r="AP9" s="57"/>
      <c r="AQ9" s="20"/>
    </row>
    <row r="10" spans="1:43" ht="15.75" customHeight="1" x14ac:dyDescent="0.35">
      <c r="A10" s="7" t="s">
        <v>20</v>
      </c>
      <c r="B10" s="55" t="s">
        <v>95</v>
      </c>
      <c r="C10" s="55" t="s">
        <v>447</v>
      </c>
      <c r="D10" s="55" t="s">
        <v>447</v>
      </c>
      <c r="E10" s="8"/>
      <c r="F10" s="8"/>
      <c r="G10" s="55" t="s">
        <v>443</v>
      </c>
      <c r="H10" s="55" t="s">
        <v>443</v>
      </c>
      <c r="I10" s="55" t="s">
        <v>443</v>
      </c>
      <c r="J10" s="55" t="s">
        <v>443</v>
      </c>
      <c r="K10" s="55" t="s">
        <v>443</v>
      </c>
      <c r="L10" s="55" t="s">
        <v>443</v>
      </c>
      <c r="M10" s="55"/>
      <c r="N10" s="55"/>
      <c r="O10" s="55"/>
      <c r="P10" s="55"/>
      <c r="Q10" s="55" t="s">
        <v>450</v>
      </c>
      <c r="R10" s="55" t="s">
        <v>319</v>
      </c>
      <c r="S10" s="55" t="s">
        <v>465</v>
      </c>
      <c r="T10" s="55" t="s">
        <v>465</v>
      </c>
      <c r="U10" s="55" t="s">
        <v>465</v>
      </c>
      <c r="V10" s="55" t="s">
        <v>465</v>
      </c>
      <c r="W10" s="55" t="s">
        <v>465</v>
      </c>
      <c r="X10" s="55" t="s">
        <v>465</v>
      </c>
      <c r="Y10" s="55"/>
      <c r="Z10" s="55"/>
      <c r="AA10" s="55"/>
      <c r="AB10" s="8" t="s">
        <v>34</v>
      </c>
      <c r="AC10" s="55"/>
      <c r="AD10" s="55" t="s">
        <v>25</v>
      </c>
      <c r="AE10" s="55" t="s">
        <v>25</v>
      </c>
      <c r="AF10" s="41">
        <f t="shared" si="2"/>
        <v>20</v>
      </c>
      <c r="AG10" s="42">
        <f t="shared" si="3"/>
        <v>66.666666666666671</v>
      </c>
      <c r="AL10" s="20"/>
      <c r="AM10" s="56"/>
      <c r="AN10" s="56"/>
      <c r="AO10" s="56"/>
      <c r="AP10" s="57"/>
      <c r="AQ10" s="20"/>
    </row>
    <row r="11" spans="1:43" ht="15.75" customHeight="1" thickBot="1" x14ac:dyDescent="0.4">
      <c r="A11" s="7" t="s">
        <v>24</v>
      </c>
      <c r="B11" s="55" t="s">
        <v>440</v>
      </c>
      <c r="C11" s="55" t="s">
        <v>446</v>
      </c>
      <c r="D11" s="55" t="s">
        <v>446</v>
      </c>
      <c r="E11" s="8"/>
      <c r="F11" s="8"/>
      <c r="G11" s="55" t="s">
        <v>449</v>
      </c>
      <c r="H11" s="55" t="s">
        <v>449</v>
      </c>
      <c r="I11" s="55" t="s">
        <v>449</v>
      </c>
      <c r="J11" s="55" t="s">
        <v>449</v>
      </c>
      <c r="K11" s="55"/>
      <c r="L11" s="55"/>
      <c r="M11" s="55" t="s">
        <v>453</v>
      </c>
      <c r="N11" s="55" t="s">
        <v>453</v>
      </c>
      <c r="O11" s="55" t="s">
        <v>453</v>
      </c>
      <c r="P11" s="55" t="s">
        <v>453</v>
      </c>
      <c r="Q11" s="55" t="s">
        <v>453</v>
      </c>
      <c r="R11" s="55" t="s">
        <v>453</v>
      </c>
      <c r="S11" s="55" t="s">
        <v>453</v>
      </c>
      <c r="T11" s="55" t="s">
        <v>453</v>
      </c>
      <c r="U11" s="55" t="s">
        <v>453</v>
      </c>
      <c r="V11" s="55" t="s">
        <v>34</v>
      </c>
      <c r="W11" s="55" t="s">
        <v>34</v>
      </c>
      <c r="X11" s="55" t="s">
        <v>34</v>
      </c>
      <c r="Y11" s="55" t="s">
        <v>34</v>
      </c>
      <c r="Z11" s="55" t="s">
        <v>34</v>
      </c>
      <c r="AA11" s="55" t="s">
        <v>34</v>
      </c>
      <c r="AB11" s="55" t="s">
        <v>34</v>
      </c>
      <c r="AC11" s="55" t="s">
        <v>34</v>
      </c>
      <c r="AD11" s="55" t="s">
        <v>34</v>
      </c>
      <c r="AE11" s="55" t="s">
        <v>34</v>
      </c>
      <c r="AF11" s="41">
        <f t="shared" si="2"/>
        <v>26</v>
      </c>
      <c r="AG11" s="42">
        <f t="shared" si="3"/>
        <v>86.666666666666671</v>
      </c>
      <c r="AL11" s="20"/>
      <c r="AM11" s="20"/>
      <c r="AN11" s="20"/>
      <c r="AO11" s="20"/>
      <c r="AP11" s="20"/>
      <c r="AQ11" s="20"/>
    </row>
    <row r="12" spans="1:43" ht="15" customHeight="1" x14ac:dyDescent="0.35">
      <c r="A12" s="45" t="s">
        <v>176</v>
      </c>
      <c r="B12" s="46">
        <f>COUNTA(B5:B11)</f>
        <v>5</v>
      </c>
      <c r="C12" s="46">
        <f>COUNTA(C5:C11)</f>
        <v>7</v>
      </c>
      <c r="D12" s="46">
        <f t="shared" ref="D12:AE12" si="4">COUNTA(D5:D11)</f>
        <v>7</v>
      </c>
      <c r="E12" s="46">
        <f t="shared" si="4"/>
        <v>1</v>
      </c>
      <c r="F12" s="46">
        <f t="shared" si="4"/>
        <v>1</v>
      </c>
      <c r="G12" s="46">
        <f t="shared" si="4"/>
        <v>5</v>
      </c>
      <c r="H12" s="46">
        <f t="shared" si="4"/>
        <v>5</v>
      </c>
      <c r="I12" s="46">
        <f t="shared" si="4"/>
        <v>6</v>
      </c>
      <c r="J12" s="46">
        <f t="shared" si="4"/>
        <v>6</v>
      </c>
      <c r="K12" s="46">
        <f t="shared" si="4"/>
        <v>4</v>
      </c>
      <c r="L12" s="46">
        <f t="shared" si="4"/>
        <v>4</v>
      </c>
      <c r="M12" s="46">
        <f t="shared" si="4"/>
        <v>4</v>
      </c>
      <c r="N12" s="46">
        <f t="shared" si="4"/>
        <v>4</v>
      </c>
      <c r="O12" s="46">
        <f t="shared" si="4"/>
        <v>4</v>
      </c>
      <c r="P12" s="46">
        <f t="shared" si="4"/>
        <v>4</v>
      </c>
      <c r="Q12" s="46">
        <f t="shared" si="4"/>
        <v>6</v>
      </c>
      <c r="R12" s="46">
        <f t="shared" si="4"/>
        <v>4</v>
      </c>
      <c r="S12" s="46">
        <f t="shared" si="4"/>
        <v>4</v>
      </c>
      <c r="T12" s="46">
        <f t="shared" si="4"/>
        <v>5</v>
      </c>
      <c r="U12" s="46">
        <f t="shared" si="4"/>
        <v>5</v>
      </c>
      <c r="V12" s="46">
        <f t="shared" si="4"/>
        <v>6</v>
      </c>
      <c r="W12" s="46">
        <f t="shared" si="4"/>
        <v>5</v>
      </c>
      <c r="X12" s="46">
        <f t="shared" si="4"/>
        <v>5</v>
      </c>
      <c r="Y12" s="46">
        <f t="shared" si="4"/>
        <v>3</v>
      </c>
      <c r="Z12" s="46">
        <f t="shared" si="4"/>
        <v>5</v>
      </c>
      <c r="AA12" s="46">
        <f t="shared" si="4"/>
        <v>5</v>
      </c>
      <c r="AB12" s="46">
        <f t="shared" si="4"/>
        <v>4</v>
      </c>
      <c r="AC12" s="46">
        <f t="shared" si="4"/>
        <v>2</v>
      </c>
      <c r="AD12" s="46">
        <f t="shared" si="4"/>
        <v>7</v>
      </c>
      <c r="AE12" s="46">
        <f t="shared" si="4"/>
        <v>7</v>
      </c>
      <c r="AF12" s="43">
        <f t="shared" ref="AF12" si="5">SUM(AF5:AF11)</f>
        <v>140</v>
      </c>
      <c r="AG12" s="44">
        <f>AVERAGE(AG5:AG11)</f>
        <v>66.666666666666671</v>
      </c>
      <c r="AH12" s="29"/>
      <c r="AL12" s="20"/>
      <c r="AM12" s="20"/>
      <c r="AN12" s="20"/>
      <c r="AO12" s="20"/>
      <c r="AP12" s="20"/>
      <c r="AQ12" s="20"/>
    </row>
    <row r="13" spans="1:43" ht="85.5" hidden="1" x14ac:dyDescent="0.35">
      <c r="A13" s="13" t="s">
        <v>28</v>
      </c>
      <c r="B13" s="14"/>
      <c r="C13" s="14"/>
      <c r="D13" s="14"/>
      <c r="E13" s="14"/>
      <c r="F13" s="14"/>
      <c r="G13" s="14"/>
      <c r="H13" s="14"/>
      <c r="I13" s="35"/>
      <c r="J13" s="34"/>
      <c r="K13" s="15"/>
      <c r="L13" s="14"/>
      <c r="M13" s="14"/>
      <c r="N13" s="25"/>
      <c r="O13" s="25"/>
      <c r="P13" s="25"/>
      <c r="Q13" s="14"/>
      <c r="R13" s="14"/>
      <c r="S13" s="14"/>
      <c r="T13" s="14"/>
      <c r="U13" s="14"/>
      <c r="V13" s="15"/>
      <c r="W13" s="15"/>
      <c r="X13" s="14"/>
      <c r="Y13" s="14"/>
      <c r="Z13" s="14"/>
      <c r="AA13" s="14"/>
      <c r="AB13" s="14"/>
      <c r="AC13" s="14"/>
      <c r="AD13" s="14"/>
      <c r="AE13" s="14"/>
      <c r="AF13" s="37"/>
      <c r="AG13" s="37"/>
      <c r="AL13" s="20"/>
      <c r="AM13" s="20"/>
      <c r="AN13" s="20"/>
      <c r="AO13" s="20"/>
      <c r="AP13" s="20"/>
      <c r="AQ13" s="20"/>
    </row>
    <row r="14" spans="1:43" ht="28.5" hidden="1" x14ac:dyDescent="0.35">
      <c r="A14" s="16" t="s">
        <v>29</v>
      </c>
      <c r="B14" s="14"/>
      <c r="C14" s="14"/>
      <c r="D14" s="14"/>
      <c r="E14" s="14"/>
      <c r="F14" s="14"/>
      <c r="G14" s="14"/>
      <c r="H14" s="14"/>
      <c r="I14" s="35"/>
      <c r="J14" s="34"/>
      <c r="K14" s="15"/>
      <c r="L14" s="14"/>
      <c r="M14" s="14"/>
      <c r="N14" s="25"/>
      <c r="O14" s="25"/>
      <c r="P14" s="25"/>
      <c r="Q14" s="14"/>
      <c r="R14" s="14"/>
      <c r="S14" s="14"/>
      <c r="T14" s="14"/>
      <c r="U14" s="14"/>
      <c r="V14" s="15"/>
      <c r="W14" s="15"/>
      <c r="X14" s="14"/>
      <c r="Y14" s="14"/>
      <c r="Z14" s="14"/>
      <c r="AA14" s="14"/>
      <c r="AB14" s="14"/>
      <c r="AC14" s="14"/>
      <c r="AD14" s="14"/>
      <c r="AE14" s="14"/>
      <c r="AF14" s="37"/>
      <c r="AG14" s="37"/>
      <c r="AL14" s="20"/>
      <c r="AM14" s="20"/>
      <c r="AN14" s="20"/>
      <c r="AO14" s="20"/>
      <c r="AP14" s="20"/>
      <c r="AQ14" s="20"/>
    </row>
    <row r="15" spans="1:43" x14ac:dyDescent="0.35">
      <c r="A15" s="7" t="s">
        <v>30</v>
      </c>
      <c r="B15" s="55" t="s">
        <v>17</v>
      </c>
      <c r="C15" s="55" t="s">
        <v>17</v>
      </c>
      <c r="D15" s="55" t="s">
        <v>17</v>
      </c>
      <c r="E15" s="54"/>
      <c r="F15" s="54"/>
      <c r="G15" s="55" t="s">
        <v>387</v>
      </c>
      <c r="H15" s="55" t="s">
        <v>25</v>
      </c>
      <c r="I15" s="55" t="s">
        <v>25</v>
      </c>
      <c r="J15" s="55" t="s">
        <v>34</v>
      </c>
      <c r="K15" s="55" t="s">
        <v>452</v>
      </c>
      <c r="L15" s="55" t="s">
        <v>452</v>
      </c>
      <c r="M15" s="55" t="s">
        <v>452</v>
      </c>
      <c r="N15" s="55" t="s">
        <v>452</v>
      </c>
      <c r="O15" s="55" t="s">
        <v>452</v>
      </c>
      <c r="P15" s="55" t="s">
        <v>452</v>
      </c>
      <c r="Q15" s="55" t="s">
        <v>452</v>
      </c>
      <c r="R15" s="8"/>
      <c r="S15" s="8" t="s">
        <v>316</v>
      </c>
      <c r="T15" s="8" t="s">
        <v>466</v>
      </c>
      <c r="U15" s="8" t="s">
        <v>466</v>
      </c>
      <c r="V15" s="8"/>
      <c r="W15" s="8"/>
      <c r="X15" s="8"/>
      <c r="Y15" s="8"/>
      <c r="Z15" s="8"/>
      <c r="AA15" s="8" t="s">
        <v>234</v>
      </c>
      <c r="AB15" s="8" t="s">
        <v>234</v>
      </c>
      <c r="AC15" s="8" t="s">
        <v>234</v>
      </c>
      <c r="AD15" s="8" t="s">
        <v>234</v>
      </c>
      <c r="AE15" s="8" t="s">
        <v>234</v>
      </c>
      <c r="AF15" s="41">
        <f t="shared" ref="AF15:AF22" si="6">COUNTA(B15:AE15)</f>
        <v>22</v>
      </c>
      <c r="AG15" s="42">
        <f>AF15*100/30</f>
        <v>73.333333333333329</v>
      </c>
      <c r="AL15" s="20"/>
      <c r="AM15" s="20"/>
      <c r="AN15" s="20"/>
      <c r="AO15" s="20"/>
      <c r="AP15" s="20"/>
      <c r="AQ15" s="20"/>
    </row>
    <row r="16" spans="1:43" x14ac:dyDescent="0.35">
      <c r="A16" s="7" t="s">
        <v>35</v>
      </c>
      <c r="B16" s="55" t="s">
        <v>417</v>
      </c>
      <c r="C16" s="55" t="s">
        <v>417</v>
      </c>
      <c r="D16" s="55" t="s">
        <v>417</v>
      </c>
      <c r="E16" s="55" t="s">
        <v>417</v>
      </c>
      <c r="F16" s="55" t="s">
        <v>417</v>
      </c>
      <c r="G16" s="55" t="s">
        <v>417</v>
      </c>
      <c r="H16" s="55" t="s">
        <v>417</v>
      </c>
      <c r="I16" s="55" t="s">
        <v>417</v>
      </c>
      <c r="J16" s="55" t="s">
        <v>417</v>
      </c>
      <c r="K16" s="55" t="s">
        <v>417</v>
      </c>
      <c r="L16" s="55" t="s">
        <v>417</v>
      </c>
      <c r="M16" s="55" t="s">
        <v>417</v>
      </c>
      <c r="N16" s="55" t="s">
        <v>417</v>
      </c>
      <c r="O16" s="55" t="s">
        <v>417</v>
      </c>
      <c r="P16" s="55" t="s">
        <v>417</v>
      </c>
      <c r="Q16" s="55" t="s">
        <v>417</v>
      </c>
      <c r="R16" s="55" t="s">
        <v>417</v>
      </c>
      <c r="S16" s="55" t="s">
        <v>417</v>
      </c>
      <c r="T16" s="55" t="s">
        <v>417</v>
      </c>
      <c r="U16" s="55" t="s">
        <v>417</v>
      </c>
      <c r="V16" s="55" t="s">
        <v>417</v>
      </c>
      <c r="W16" s="55" t="s">
        <v>417</v>
      </c>
      <c r="X16" s="55" t="s">
        <v>417</v>
      </c>
      <c r="Y16" s="55" t="s">
        <v>417</v>
      </c>
      <c r="Z16" s="55" t="s">
        <v>417</v>
      </c>
      <c r="AA16" s="55" t="s">
        <v>417</v>
      </c>
      <c r="AB16" s="55" t="s">
        <v>417</v>
      </c>
      <c r="AC16" s="55" t="s">
        <v>417</v>
      </c>
      <c r="AD16" s="55" t="s">
        <v>417</v>
      </c>
      <c r="AE16" s="55" t="s">
        <v>417</v>
      </c>
      <c r="AF16" s="41">
        <f t="shared" si="6"/>
        <v>30</v>
      </c>
      <c r="AG16" s="42">
        <f t="shared" ref="AG16:AG22" si="7">AF16*100/30</f>
        <v>100</v>
      </c>
      <c r="AL16" s="20"/>
      <c r="AM16" s="20"/>
      <c r="AN16" s="56"/>
      <c r="AO16" s="56"/>
      <c r="AP16" s="20"/>
      <c r="AQ16" s="20"/>
    </row>
    <row r="17" spans="1:49" x14ac:dyDescent="0.35">
      <c r="A17" s="7" t="s">
        <v>39</v>
      </c>
      <c r="B17" s="55" t="s">
        <v>385</v>
      </c>
      <c r="C17" s="55" t="s">
        <v>385</v>
      </c>
      <c r="D17" s="55" t="s">
        <v>319</v>
      </c>
      <c r="E17" s="55" t="s">
        <v>319</v>
      </c>
      <c r="F17" s="55"/>
      <c r="G17" s="55"/>
      <c r="H17" s="55" t="s">
        <v>185</v>
      </c>
      <c r="I17" s="55" t="s">
        <v>185</v>
      </c>
      <c r="J17" s="55" t="s">
        <v>34</v>
      </c>
      <c r="K17" s="54"/>
      <c r="L17" s="54"/>
      <c r="M17" s="55" t="s">
        <v>451</v>
      </c>
      <c r="N17" s="55" t="s">
        <v>451</v>
      </c>
      <c r="O17" s="55" t="s">
        <v>451</v>
      </c>
      <c r="P17" s="55" t="s">
        <v>451</v>
      </c>
      <c r="Q17" s="55" t="s">
        <v>451</v>
      </c>
      <c r="R17" s="55" t="s">
        <v>451</v>
      </c>
      <c r="S17" s="55" t="s">
        <v>451</v>
      </c>
      <c r="T17" s="55"/>
      <c r="U17" s="55"/>
      <c r="V17" s="55" t="s">
        <v>312</v>
      </c>
      <c r="W17" s="55"/>
      <c r="X17" s="55"/>
      <c r="Y17" s="55" t="s">
        <v>385</v>
      </c>
      <c r="Z17" s="55" t="s">
        <v>385</v>
      </c>
      <c r="AA17" s="55" t="s">
        <v>385</v>
      </c>
      <c r="AB17" s="55" t="s">
        <v>385</v>
      </c>
      <c r="AC17" s="55" t="s">
        <v>385</v>
      </c>
      <c r="AD17" s="55" t="s">
        <v>385</v>
      </c>
      <c r="AE17" s="55" t="s">
        <v>385</v>
      </c>
      <c r="AF17" s="41">
        <f t="shared" si="6"/>
        <v>22</v>
      </c>
      <c r="AG17" s="42">
        <f t="shared" si="7"/>
        <v>73.333333333333329</v>
      </c>
      <c r="AL17" s="20"/>
      <c r="AM17" s="20"/>
      <c r="AN17" s="20"/>
      <c r="AO17" s="20"/>
      <c r="AP17" s="20"/>
      <c r="AQ17" s="20"/>
      <c r="AW17" s="58"/>
    </row>
    <row r="18" spans="1:49" x14ac:dyDescent="0.35">
      <c r="A18" s="7" t="s">
        <v>42</v>
      </c>
      <c r="B18" s="55" t="s">
        <v>418</v>
      </c>
      <c r="C18" s="55" t="s">
        <v>418</v>
      </c>
      <c r="D18" s="55" t="s">
        <v>418</v>
      </c>
      <c r="E18" s="55" t="s">
        <v>418</v>
      </c>
      <c r="F18" s="55" t="s">
        <v>418</v>
      </c>
      <c r="G18" s="55" t="s">
        <v>418</v>
      </c>
      <c r="H18" s="55" t="s">
        <v>418</v>
      </c>
      <c r="I18" s="55" t="s">
        <v>418</v>
      </c>
      <c r="J18" s="55" t="s">
        <v>418</v>
      </c>
      <c r="K18" s="55" t="s">
        <v>418</v>
      </c>
      <c r="L18" s="55" t="s">
        <v>418</v>
      </c>
      <c r="M18" s="55" t="s">
        <v>418</v>
      </c>
      <c r="N18" s="55" t="s">
        <v>418</v>
      </c>
      <c r="O18" s="55" t="s">
        <v>418</v>
      </c>
      <c r="P18" s="55" t="s">
        <v>418</v>
      </c>
      <c r="Q18" s="55" t="s">
        <v>418</v>
      </c>
      <c r="R18" s="55" t="s">
        <v>418</v>
      </c>
      <c r="S18" s="55" t="s">
        <v>418</v>
      </c>
      <c r="T18" s="55" t="s">
        <v>418</v>
      </c>
      <c r="U18" s="55" t="s">
        <v>418</v>
      </c>
      <c r="V18" s="55" t="s">
        <v>418</v>
      </c>
      <c r="W18" s="55" t="s">
        <v>418</v>
      </c>
      <c r="X18" s="55" t="s">
        <v>418</v>
      </c>
      <c r="Y18" s="55" t="s">
        <v>418</v>
      </c>
      <c r="Z18" s="55" t="s">
        <v>418</v>
      </c>
      <c r="AA18" s="55" t="s">
        <v>418</v>
      </c>
      <c r="AB18" s="55" t="s">
        <v>418</v>
      </c>
      <c r="AC18" s="55" t="s">
        <v>418</v>
      </c>
      <c r="AD18" s="55" t="s">
        <v>418</v>
      </c>
      <c r="AE18" s="55" t="s">
        <v>418</v>
      </c>
      <c r="AF18" s="41">
        <f t="shared" si="6"/>
        <v>30</v>
      </c>
      <c r="AG18" s="42">
        <f t="shared" si="7"/>
        <v>100</v>
      </c>
      <c r="AL18" s="20"/>
      <c r="AM18" s="20"/>
      <c r="AN18" s="20"/>
      <c r="AO18" s="20"/>
      <c r="AP18" s="20"/>
      <c r="AQ18" s="20"/>
      <c r="AW18" s="58"/>
    </row>
    <row r="19" spans="1:49" x14ac:dyDescent="0.35">
      <c r="A19" s="7" t="s">
        <v>45</v>
      </c>
      <c r="B19" s="55" t="s">
        <v>441</v>
      </c>
      <c r="C19" s="55" t="s">
        <v>34</v>
      </c>
      <c r="D19" s="55" t="s">
        <v>34</v>
      </c>
      <c r="E19" s="55" t="s">
        <v>34</v>
      </c>
      <c r="F19" s="55" t="s">
        <v>34</v>
      </c>
      <c r="G19" s="55" t="s">
        <v>34</v>
      </c>
      <c r="H19" s="55" t="s">
        <v>34</v>
      </c>
      <c r="I19" s="55" t="s">
        <v>34</v>
      </c>
      <c r="J19" s="55" t="s">
        <v>34</v>
      </c>
      <c r="K19" s="55" t="s">
        <v>34</v>
      </c>
      <c r="L19" s="55" t="s">
        <v>34</v>
      </c>
      <c r="M19" s="55" t="s">
        <v>34</v>
      </c>
      <c r="N19" s="55" t="s">
        <v>34</v>
      </c>
      <c r="O19" s="55" t="s">
        <v>34</v>
      </c>
      <c r="P19" s="55" t="s">
        <v>34</v>
      </c>
      <c r="Q19" s="55" t="s">
        <v>450</v>
      </c>
      <c r="R19" s="55"/>
      <c r="S19" s="55"/>
      <c r="T19" s="55"/>
      <c r="U19" s="55"/>
      <c r="V19" s="8" t="s">
        <v>34</v>
      </c>
      <c r="W19" s="8" t="s">
        <v>34</v>
      </c>
      <c r="X19" s="8" t="s">
        <v>34</v>
      </c>
      <c r="Y19" s="8" t="s">
        <v>34</v>
      </c>
      <c r="Z19" s="8" t="s">
        <v>34</v>
      </c>
      <c r="AA19" s="8" t="s">
        <v>34</v>
      </c>
      <c r="AB19" s="8" t="s">
        <v>34</v>
      </c>
      <c r="AC19" s="8" t="s">
        <v>34</v>
      </c>
      <c r="AD19" s="8" t="s">
        <v>34</v>
      </c>
      <c r="AE19" s="8" t="s">
        <v>34</v>
      </c>
      <c r="AF19" s="41">
        <f t="shared" si="6"/>
        <v>26</v>
      </c>
      <c r="AG19" s="42">
        <f t="shared" si="7"/>
        <v>86.666666666666671</v>
      </c>
      <c r="AL19" s="20"/>
      <c r="AM19" s="20"/>
      <c r="AN19" s="20"/>
      <c r="AO19" s="20"/>
      <c r="AP19" s="20"/>
      <c r="AQ19" s="20"/>
      <c r="AW19" s="58"/>
    </row>
    <row r="20" spans="1:49" x14ac:dyDescent="0.35">
      <c r="A20" s="7" t="s">
        <v>47</v>
      </c>
      <c r="B20" s="55" t="s">
        <v>281</v>
      </c>
      <c r="C20" s="55" t="s">
        <v>281</v>
      </c>
      <c r="D20" s="55" t="s">
        <v>281</v>
      </c>
      <c r="E20" s="55" t="s">
        <v>281</v>
      </c>
      <c r="F20" s="55" t="s">
        <v>281</v>
      </c>
      <c r="G20" s="55" t="s">
        <v>281</v>
      </c>
      <c r="H20" s="55" t="s">
        <v>281</v>
      </c>
      <c r="I20" s="55" t="s">
        <v>281</v>
      </c>
      <c r="J20" s="55" t="s">
        <v>281</v>
      </c>
      <c r="K20" s="55" t="s">
        <v>281</v>
      </c>
      <c r="L20" s="55" t="s">
        <v>281</v>
      </c>
      <c r="M20" s="55" t="s">
        <v>281</v>
      </c>
      <c r="N20" s="55" t="s">
        <v>281</v>
      </c>
      <c r="O20" s="55" t="s">
        <v>281</v>
      </c>
      <c r="P20" s="55" t="s">
        <v>281</v>
      </c>
      <c r="Q20" s="55" t="s">
        <v>281</v>
      </c>
      <c r="R20" s="55" t="s">
        <v>281</v>
      </c>
      <c r="S20" s="55" t="s">
        <v>281</v>
      </c>
      <c r="T20" s="55" t="s">
        <v>281</v>
      </c>
      <c r="U20" s="55" t="s">
        <v>281</v>
      </c>
      <c r="V20" s="55" t="s">
        <v>281</v>
      </c>
      <c r="W20" s="55" t="s">
        <v>281</v>
      </c>
      <c r="X20" s="55" t="s">
        <v>281</v>
      </c>
      <c r="Y20" s="55" t="s">
        <v>281</v>
      </c>
      <c r="Z20" s="55" t="s">
        <v>281</v>
      </c>
      <c r="AA20" s="55" t="s">
        <v>281</v>
      </c>
      <c r="AB20" s="55" t="s">
        <v>281</v>
      </c>
      <c r="AC20" s="55" t="s">
        <v>281</v>
      </c>
      <c r="AD20" s="55" t="s">
        <v>281</v>
      </c>
      <c r="AE20" s="55" t="s">
        <v>281</v>
      </c>
      <c r="AF20" s="41">
        <f t="shared" si="6"/>
        <v>30</v>
      </c>
      <c r="AG20" s="42">
        <f t="shared" si="7"/>
        <v>100</v>
      </c>
      <c r="AL20" s="20"/>
      <c r="AM20" s="20"/>
      <c r="AN20" s="20"/>
      <c r="AO20" s="20"/>
      <c r="AP20" s="20"/>
      <c r="AQ20" s="20"/>
      <c r="AW20" s="58"/>
    </row>
    <row r="21" spans="1:49" x14ac:dyDescent="0.35">
      <c r="A21" s="7" t="s">
        <v>50</v>
      </c>
      <c r="B21" s="55" t="s">
        <v>442</v>
      </c>
      <c r="C21" s="55" t="s">
        <v>312</v>
      </c>
      <c r="D21" s="55" t="s">
        <v>319</v>
      </c>
      <c r="E21" s="55" t="s">
        <v>319</v>
      </c>
      <c r="F21" s="55" t="s">
        <v>319</v>
      </c>
      <c r="G21" s="54"/>
      <c r="H21" s="54"/>
      <c r="I21" s="55" t="s">
        <v>234</v>
      </c>
      <c r="J21" s="55" t="s">
        <v>234</v>
      </c>
      <c r="K21" s="54"/>
      <c r="L21" s="54"/>
      <c r="M21" s="55" t="s">
        <v>451</v>
      </c>
      <c r="N21" s="55" t="s">
        <v>451</v>
      </c>
      <c r="O21" s="55" t="s">
        <v>451</v>
      </c>
      <c r="P21" s="55" t="s">
        <v>451</v>
      </c>
      <c r="Q21" s="55" t="s">
        <v>451</v>
      </c>
      <c r="R21" s="55" t="s">
        <v>451</v>
      </c>
      <c r="S21" s="55" t="s">
        <v>451</v>
      </c>
      <c r="T21" s="55"/>
      <c r="U21" s="55"/>
      <c r="V21" s="8" t="s">
        <v>34</v>
      </c>
      <c r="W21" s="8" t="s">
        <v>34</v>
      </c>
      <c r="X21" s="8" t="s">
        <v>34</v>
      </c>
      <c r="Y21" s="8" t="s">
        <v>34</v>
      </c>
      <c r="Z21" s="8" t="s">
        <v>34</v>
      </c>
      <c r="AA21" s="8" t="s">
        <v>34</v>
      </c>
      <c r="AB21" s="8" t="s">
        <v>34</v>
      </c>
      <c r="AC21" s="8" t="s">
        <v>34</v>
      </c>
      <c r="AD21" s="8" t="s">
        <v>34</v>
      </c>
      <c r="AE21" s="8" t="s">
        <v>34</v>
      </c>
      <c r="AF21" s="41">
        <f t="shared" si="6"/>
        <v>24</v>
      </c>
      <c r="AG21" s="42">
        <f t="shared" si="7"/>
        <v>80</v>
      </c>
      <c r="AL21" s="20"/>
      <c r="AM21" s="20"/>
      <c r="AN21" s="20"/>
      <c r="AO21" s="20"/>
      <c r="AP21" s="20"/>
      <c r="AQ21" s="20"/>
      <c r="AW21" s="58"/>
    </row>
    <row r="22" spans="1:49" ht="15" thickBot="1" x14ac:dyDescent="0.4">
      <c r="A22" s="7" t="s">
        <v>51</v>
      </c>
      <c r="B22" s="55" t="s">
        <v>444</v>
      </c>
      <c r="C22" s="55" t="s">
        <v>444</v>
      </c>
      <c r="D22" s="55" t="s">
        <v>448</v>
      </c>
      <c r="E22" s="8"/>
      <c r="F22" s="54"/>
      <c r="G22" s="55"/>
      <c r="H22" s="55"/>
      <c r="I22" s="55"/>
      <c r="J22" s="55" t="s">
        <v>34</v>
      </c>
      <c r="K22" s="55"/>
      <c r="L22" s="55"/>
      <c r="M22" s="55" t="s">
        <v>453</v>
      </c>
      <c r="N22" s="55" t="s">
        <v>453</v>
      </c>
      <c r="O22" s="55" t="s">
        <v>453</v>
      </c>
      <c r="P22" s="55" t="s">
        <v>453</v>
      </c>
      <c r="Q22" s="55" t="s">
        <v>453</v>
      </c>
      <c r="R22" s="55" t="s">
        <v>453</v>
      </c>
      <c r="S22" s="55" t="s">
        <v>453</v>
      </c>
      <c r="T22" s="55" t="s">
        <v>453</v>
      </c>
      <c r="U22" s="55" t="s">
        <v>453</v>
      </c>
      <c r="V22" s="55" t="s">
        <v>453</v>
      </c>
      <c r="W22" s="55"/>
      <c r="X22" s="55" t="s">
        <v>468</v>
      </c>
      <c r="Y22" s="55"/>
      <c r="Z22" s="55"/>
      <c r="AA22" s="55"/>
      <c r="AB22" s="55"/>
      <c r="AC22" s="55"/>
      <c r="AD22" s="55" t="s">
        <v>185</v>
      </c>
      <c r="AE22" s="55" t="s">
        <v>185</v>
      </c>
      <c r="AF22" s="41">
        <f t="shared" si="6"/>
        <v>17</v>
      </c>
      <c r="AG22" s="42">
        <f t="shared" si="7"/>
        <v>56.666666666666664</v>
      </c>
      <c r="AW22" s="58"/>
    </row>
    <row r="23" spans="1:49" ht="15.5" x14ac:dyDescent="0.35">
      <c r="A23" s="45" t="s">
        <v>176</v>
      </c>
      <c r="B23" s="46">
        <f>COUNTA(B15:B22)</f>
        <v>8</v>
      </c>
      <c r="C23" s="46">
        <f>COUNTA(C16:C22)</f>
        <v>7</v>
      </c>
      <c r="D23" s="46">
        <f>COUNTA(D16:D22)</f>
        <v>7</v>
      </c>
      <c r="E23" s="46">
        <f t="shared" ref="E23:AE23" si="8">COUNTA(E15:E22)</f>
        <v>6</v>
      </c>
      <c r="F23" s="46">
        <f t="shared" si="8"/>
        <v>5</v>
      </c>
      <c r="G23" s="46">
        <f t="shared" si="8"/>
        <v>5</v>
      </c>
      <c r="H23" s="46">
        <f t="shared" si="8"/>
        <v>6</v>
      </c>
      <c r="I23" s="46">
        <f t="shared" si="8"/>
        <v>7</v>
      </c>
      <c r="J23" s="46">
        <f t="shared" si="8"/>
        <v>8</v>
      </c>
      <c r="K23" s="46">
        <f t="shared" si="8"/>
        <v>5</v>
      </c>
      <c r="L23" s="46">
        <f t="shared" si="8"/>
        <v>5</v>
      </c>
      <c r="M23" s="46">
        <f t="shared" si="8"/>
        <v>8</v>
      </c>
      <c r="N23" s="46">
        <f t="shared" si="8"/>
        <v>8</v>
      </c>
      <c r="O23" s="46">
        <f t="shared" si="8"/>
        <v>8</v>
      </c>
      <c r="P23" s="46">
        <f t="shared" si="8"/>
        <v>8</v>
      </c>
      <c r="Q23" s="46">
        <f t="shared" si="8"/>
        <v>8</v>
      </c>
      <c r="R23" s="46">
        <f t="shared" si="8"/>
        <v>6</v>
      </c>
      <c r="S23" s="46">
        <f t="shared" si="8"/>
        <v>7</v>
      </c>
      <c r="T23" s="46">
        <f t="shared" si="8"/>
        <v>5</v>
      </c>
      <c r="U23" s="46">
        <f t="shared" si="8"/>
        <v>5</v>
      </c>
      <c r="V23" s="46">
        <f t="shared" si="8"/>
        <v>7</v>
      </c>
      <c r="W23" s="46">
        <f t="shared" si="8"/>
        <v>5</v>
      </c>
      <c r="X23" s="46">
        <f t="shared" si="8"/>
        <v>6</v>
      </c>
      <c r="Y23" s="46">
        <f t="shared" si="8"/>
        <v>6</v>
      </c>
      <c r="Z23" s="46">
        <f t="shared" si="8"/>
        <v>6</v>
      </c>
      <c r="AA23" s="46">
        <f t="shared" si="8"/>
        <v>7</v>
      </c>
      <c r="AB23" s="46">
        <f t="shared" si="8"/>
        <v>7</v>
      </c>
      <c r="AC23" s="46">
        <f t="shared" si="8"/>
        <v>7</v>
      </c>
      <c r="AD23" s="46">
        <f t="shared" si="8"/>
        <v>8</v>
      </c>
      <c r="AE23" s="46">
        <f t="shared" si="8"/>
        <v>8</v>
      </c>
      <c r="AF23" s="43">
        <f>SUM(AF15:AF22)</f>
        <v>201</v>
      </c>
      <c r="AG23" s="66">
        <f>AVERAGE(AG15:AG22)</f>
        <v>83.749999999999986</v>
      </c>
      <c r="AW23" s="58"/>
    </row>
    <row r="24" spans="1:49" ht="15.5" x14ac:dyDescent="0.35">
      <c r="A24" s="47" t="s">
        <v>178</v>
      </c>
      <c r="B24" s="52">
        <f>B12+B23</f>
        <v>13</v>
      </c>
      <c r="C24" s="52">
        <f t="shared" ref="C24:AE24" si="9">C12+C23</f>
        <v>14</v>
      </c>
      <c r="D24" s="52">
        <f t="shared" si="9"/>
        <v>14</v>
      </c>
      <c r="E24" s="52">
        <f t="shared" si="9"/>
        <v>7</v>
      </c>
      <c r="F24" s="52">
        <f t="shared" si="9"/>
        <v>6</v>
      </c>
      <c r="G24" s="52">
        <f t="shared" si="9"/>
        <v>10</v>
      </c>
      <c r="H24" s="52">
        <f t="shared" si="9"/>
        <v>11</v>
      </c>
      <c r="I24" s="52">
        <f t="shared" si="9"/>
        <v>13</v>
      </c>
      <c r="J24" s="52">
        <f t="shared" si="9"/>
        <v>14</v>
      </c>
      <c r="K24" s="52">
        <f t="shared" si="9"/>
        <v>9</v>
      </c>
      <c r="L24" s="52">
        <f t="shared" si="9"/>
        <v>9</v>
      </c>
      <c r="M24" s="52">
        <f t="shared" si="9"/>
        <v>12</v>
      </c>
      <c r="N24" s="52">
        <f t="shared" si="9"/>
        <v>12</v>
      </c>
      <c r="O24" s="52">
        <f t="shared" si="9"/>
        <v>12</v>
      </c>
      <c r="P24" s="52">
        <f t="shared" si="9"/>
        <v>12</v>
      </c>
      <c r="Q24" s="52">
        <f t="shared" si="9"/>
        <v>14</v>
      </c>
      <c r="R24" s="52">
        <f t="shared" si="9"/>
        <v>10</v>
      </c>
      <c r="S24" s="52">
        <f t="shared" si="9"/>
        <v>11</v>
      </c>
      <c r="T24" s="52">
        <f t="shared" si="9"/>
        <v>10</v>
      </c>
      <c r="U24" s="52">
        <f t="shared" si="9"/>
        <v>10</v>
      </c>
      <c r="V24" s="52">
        <f t="shared" si="9"/>
        <v>13</v>
      </c>
      <c r="W24" s="52">
        <f t="shared" si="9"/>
        <v>10</v>
      </c>
      <c r="X24" s="52">
        <f t="shared" si="9"/>
        <v>11</v>
      </c>
      <c r="Y24" s="52">
        <f t="shared" si="9"/>
        <v>9</v>
      </c>
      <c r="Z24" s="52">
        <f t="shared" si="9"/>
        <v>11</v>
      </c>
      <c r="AA24" s="52">
        <f t="shared" si="9"/>
        <v>12</v>
      </c>
      <c r="AB24" s="52">
        <f t="shared" si="9"/>
        <v>11</v>
      </c>
      <c r="AC24" s="52">
        <f t="shared" si="9"/>
        <v>9</v>
      </c>
      <c r="AD24" s="52">
        <f t="shared" si="9"/>
        <v>15</v>
      </c>
      <c r="AE24" s="52">
        <f t="shared" si="9"/>
        <v>15</v>
      </c>
      <c r="AF24" s="49">
        <f>+AF12+AF23</f>
        <v>341</v>
      </c>
      <c r="AW24" s="58"/>
    </row>
    <row r="25" spans="1:49" ht="15.5" x14ac:dyDescent="0.35">
      <c r="A25" s="48" t="s">
        <v>179</v>
      </c>
      <c r="B25" s="42">
        <f>B24*100/15</f>
        <v>86.666666666666671</v>
      </c>
      <c r="C25" s="42">
        <f t="shared" ref="C25:AE25" si="10">C24*100/15</f>
        <v>93.333333333333329</v>
      </c>
      <c r="D25" s="42">
        <f t="shared" si="10"/>
        <v>93.333333333333329</v>
      </c>
      <c r="E25" s="42">
        <f t="shared" si="10"/>
        <v>46.666666666666664</v>
      </c>
      <c r="F25" s="42">
        <f t="shared" si="10"/>
        <v>40</v>
      </c>
      <c r="G25" s="42">
        <f t="shared" si="10"/>
        <v>66.666666666666671</v>
      </c>
      <c r="H25" s="42">
        <f t="shared" si="10"/>
        <v>73.333333333333329</v>
      </c>
      <c r="I25" s="42">
        <f t="shared" si="10"/>
        <v>86.666666666666671</v>
      </c>
      <c r="J25" s="42">
        <f t="shared" si="10"/>
        <v>93.333333333333329</v>
      </c>
      <c r="K25" s="42">
        <f t="shared" si="10"/>
        <v>60</v>
      </c>
      <c r="L25" s="42">
        <f t="shared" si="10"/>
        <v>60</v>
      </c>
      <c r="M25" s="42">
        <f t="shared" si="10"/>
        <v>80</v>
      </c>
      <c r="N25" s="42">
        <f t="shared" si="10"/>
        <v>80</v>
      </c>
      <c r="O25" s="42">
        <f t="shared" si="10"/>
        <v>80</v>
      </c>
      <c r="P25" s="42">
        <f t="shared" si="10"/>
        <v>80</v>
      </c>
      <c r="Q25" s="42">
        <f t="shared" si="10"/>
        <v>93.333333333333329</v>
      </c>
      <c r="R25" s="42">
        <f t="shared" si="10"/>
        <v>66.666666666666671</v>
      </c>
      <c r="S25" s="42">
        <f t="shared" si="10"/>
        <v>73.333333333333329</v>
      </c>
      <c r="T25" s="42">
        <f t="shared" si="10"/>
        <v>66.666666666666671</v>
      </c>
      <c r="U25" s="42">
        <f t="shared" si="10"/>
        <v>66.666666666666671</v>
      </c>
      <c r="V25" s="42">
        <f t="shared" si="10"/>
        <v>86.666666666666671</v>
      </c>
      <c r="W25" s="42">
        <f t="shared" si="10"/>
        <v>66.666666666666671</v>
      </c>
      <c r="X25" s="42">
        <f t="shared" si="10"/>
        <v>73.333333333333329</v>
      </c>
      <c r="Y25" s="42">
        <f t="shared" si="10"/>
        <v>60</v>
      </c>
      <c r="Z25" s="42">
        <f t="shared" si="10"/>
        <v>73.333333333333329</v>
      </c>
      <c r="AA25" s="42">
        <f t="shared" si="10"/>
        <v>80</v>
      </c>
      <c r="AB25" s="42">
        <f t="shared" si="10"/>
        <v>73.333333333333329</v>
      </c>
      <c r="AC25" s="42">
        <f t="shared" si="10"/>
        <v>60</v>
      </c>
      <c r="AD25" s="42">
        <f t="shared" si="10"/>
        <v>100</v>
      </c>
      <c r="AE25" s="42">
        <f t="shared" si="10"/>
        <v>100</v>
      </c>
      <c r="AF25" s="50">
        <f>AVERAGE(B25:AE25)</f>
        <v>75.333333333333329</v>
      </c>
      <c r="AG25" s="51" t="s">
        <v>180</v>
      </c>
      <c r="AW25" s="58"/>
    </row>
    <row r="26" spans="1:49" x14ac:dyDescent="0.35">
      <c r="AW26" s="58"/>
    </row>
    <row r="27" spans="1:49" x14ac:dyDescent="0.35">
      <c r="P27" s="72" t="s">
        <v>455</v>
      </c>
      <c r="Q27" s="72" t="s">
        <v>454</v>
      </c>
      <c r="R27" s="38"/>
      <c r="S27" s="38" t="s">
        <v>458</v>
      </c>
    </row>
    <row r="28" spans="1:49" x14ac:dyDescent="0.35">
      <c r="P28" s="72" t="s">
        <v>456</v>
      </c>
      <c r="Q28" s="72" t="s">
        <v>457</v>
      </c>
      <c r="R28" s="38"/>
      <c r="S28" s="38" t="s">
        <v>458</v>
      </c>
    </row>
    <row r="29" spans="1:49" x14ac:dyDescent="0.35">
      <c r="P29" s="71" t="s">
        <v>459</v>
      </c>
      <c r="Q29" s="71" t="s">
        <v>460</v>
      </c>
      <c r="S29" t="s">
        <v>461</v>
      </c>
    </row>
    <row r="30" spans="1:49" x14ac:dyDescent="0.35">
      <c r="P30" t="s">
        <v>462</v>
      </c>
      <c r="S30" t="s">
        <v>463</v>
      </c>
      <c r="T30" t="s">
        <v>464</v>
      </c>
    </row>
  </sheetData>
  <mergeCells count="2">
    <mergeCell ref="A1:AE1"/>
    <mergeCell ref="AL3:AQ3"/>
  </mergeCells>
  <phoneticPr fontId="9" type="noConversion"/>
  <conditionalFormatting sqref="B5:B6">
    <cfRule type="colorScale" priority="48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7">
    <cfRule type="colorScale" priority="58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8">
    <cfRule type="colorScale" priority="6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9">
    <cfRule type="colorScale" priority="6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0">
    <cfRule type="colorScale" priority="60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1">
    <cfRule type="colorScale" priority="4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9">
    <cfRule type="colorScale" priority="5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21">
    <cfRule type="colorScale" priority="50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22:C22">
    <cfRule type="colorScale" priority="3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5:D15">
    <cfRule type="colorScale" priority="5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7:E17">
    <cfRule type="colorScale" priority="5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6:AE16">
    <cfRule type="colorScale" priority="11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20:AE20 B18">
    <cfRule type="colorScale" priority="11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C5:C6">
    <cfRule type="colorScale" priority="4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C21">
    <cfRule type="colorScale" priority="3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C7:D7">
    <cfRule type="colorScale" priority="39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C9:D9">
    <cfRule type="colorScale" priority="6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C10:D10">
    <cfRule type="colorScale" priority="38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C11:D11">
    <cfRule type="colorScale" priority="3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C19:P19">
    <cfRule type="colorScale" priority="3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C8:AE8">
    <cfRule type="colorScale" priority="6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C18:AE18">
    <cfRule type="colorScale" priority="11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D5">
    <cfRule type="colorScale" priority="4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D6">
    <cfRule type="colorScale" priority="40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D21:D22 E21:F21">
    <cfRule type="colorScale" priority="3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E22">
    <cfRule type="colorScale" priority="8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E6:F6 AB10 R6:AE6">
    <cfRule type="colorScale" priority="13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E9:F9">
    <cfRule type="colorScale" priority="8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E10:F11">
    <cfRule type="colorScale" priority="8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E15:F15">
    <cfRule type="colorScale" priority="98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E7:H7 K7:P7 R7:U7 AB7:AE7">
    <cfRule type="colorScale" priority="11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F17:G17 K17:L17 R19:U19 T17:AE17">
    <cfRule type="colorScale" priority="119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F22:I22 K22:L22">
    <cfRule type="colorScale" priority="9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G15">
    <cfRule type="colorScale" priority="2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G21:H21 K21:L21 T21:U21">
    <cfRule type="colorScale" priority="139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G11:J11">
    <cfRule type="colorScale" priority="2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G10:L10">
    <cfRule type="colorScale" priority="30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G6:P6">
    <cfRule type="colorScale" priority="28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G9:R9">
    <cfRule type="colorScale" priority="2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H15:I15">
    <cfRule type="colorScale" priority="2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H17:I17">
    <cfRule type="colorScale" priority="2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I7:J7">
    <cfRule type="colorScale" priority="20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I21:J21">
    <cfRule type="colorScale" priority="19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J15">
    <cfRule type="colorScale" priority="18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J17">
    <cfRule type="colorScale" priority="1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J22">
    <cfRule type="colorScale" priority="1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K11:L11 M10:R10">
    <cfRule type="colorScale" priority="13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K15:Q15">
    <cfRule type="colorScale" priority="1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L13:U14 B13:I14 X13:AG14 S9:X10 E5:AE5">
    <cfRule type="colorScale" priority="12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M17:S17">
    <cfRule type="colorScale" priority="1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M21:S21">
    <cfRule type="colorScale" priority="1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M11:AE11">
    <cfRule type="colorScale" priority="129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M22:AE22">
    <cfRule type="colorScale" priority="130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Q6:Q7">
    <cfRule type="colorScale" priority="2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Q19">
    <cfRule type="colorScale" priority="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R15:S15 V15:AE15">
    <cfRule type="colorScale" priority="13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T15:U15">
    <cfRule type="colorScale" priority="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V19:W19">
    <cfRule type="colorScale" priority="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V7:AA7">
    <cfRule type="colorScale" priority="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V21:AE21">
    <cfRule type="colorScale" priority="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X19:AE19">
    <cfRule type="colorScale" priority="14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Y10:AA10 Y9:AE9 AC10:AE10">
    <cfRule type="colorScale" priority="138">
      <colorScale>
        <cfvo type="num" val="1"/>
        <cfvo type="max"/>
        <color theme="4" tint="0.59999389629810485"/>
        <color theme="5" tint="0.59999389629810485"/>
      </colorScale>
    </cfRule>
  </conditionalFormatting>
  <pageMargins left="0.7" right="0.7" top="0.75" bottom="0.75" header="0.3" footer="0.3"/>
  <pageSetup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54578-1625-4DA0-A492-6677ED3DEF5B}">
  <dimension ref="A1:AX29"/>
  <sheetViews>
    <sheetView zoomScale="86" zoomScaleNormal="86" workbookViewId="0">
      <pane xSplit="1" ySplit="4" topLeftCell="O5" activePane="bottomRight" state="frozen"/>
      <selection pane="topRight" activeCell="B1" sqref="B1"/>
      <selection pane="bottomLeft" activeCell="A5" sqref="A5"/>
      <selection pane="bottomRight" activeCell="AF15" sqref="AF15:AF22"/>
    </sheetView>
  </sheetViews>
  <sheetFormatPr defaultRowHeight="14.5" x14ac:dyDescent="0.35"/>
  <cols>
    <col min="1" max="1" width="43.7265625" bestFit="1" customWidth="1"/>
    <col min="2" max="2" width="9.81640625" customWidth="1"/>
    <col min="3" max="3" width="8.453125" customWidth="1"/>
    <col min="4" max="4" width="8" customWidth="1"/>
    <col min="5" max="5" width="8" bestFit="1" customWidth="1"/>
    <col min="6" max="6" width="7.81640625" customWidth="1"/>
    <col min="7" max="12" width="11.81640625" bestFit="1" customWidth="1"/>
    <col min="13" max="14" width="13.453125" bestFit="1" customWidth="1"/>
    <col min="15" max="19" width="11.54296875" bestFit="1" customWidth="1"/>
    <col min="20" max="25" width="12.81640625" bestFit="1" customWidth="1"/>
    <col min="26" max="31" width="10.54296875" bestFit="1" customWidth="1"/>
    <col min="32" max="32" width="10.54296875" customWidth="1"/>
    <col min="33" max="33" width="4.7265625" bestFit="1" customWidth="1"/>
    <col min="34" max="34" width="8.453125" bestFit="1" customWidth="1"/>
    <col min="35" max="35" width="7.7265625" bestFit="1" customWidth="1"/>
    <col min="36" max="36" width="6.54296875" bestFit="1" customWidth="1"/>
    <col min="37" max="37" width="0" hidden="1" customWidth="1"/>
    <col min="38" max="38" width="3" hidden="1" customWidth="1"/>
    <col min="39" max="39" width="17.81640625" bestFit="1" customWidth="1"/>
    <col min="40" max="40" width="9.1796875" bestFit="1" customWidth="1"/>
    <col min="41" max="41" width="9.81640625" bestFit="1" customWidth="1"/>
    <col min="42" max="42" width="10.81640625" bestFit="1" customWidth="1"/>
    <col min="43" max="43" width="10.1796875" bestFit="1" customWidth="1"/>
    <col min="44" max="44" width="23.1796875" bestFit="1" customWidth="1"/>
    <col min="45" max="45" width="0.453125" hidden="1" customWidth="1"/>
    <col min="46" max="49" width="0" hidden="1" customWidth="1"/>
    <col min="51" max="51" width="15" bestFit="1" customWidth="1"/>
  </cols>
  <sheetData>
    <row r="1" spans="1:44" ht="15.5" x14ac:dyDescent="0.35">
      <c r="A1" s="120" t="s">
        <v>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65"/>
    </row>
    <row r="2" spans="1:44" ht="15" thickBot="1" x14ac:dyDescent="0.4"/>
    <row r="3" spans="1:44" ht="45.75" customHeight="1" x14ac:dyDescent="0.35">
      <c r="A3" s="1" t="s">
        <v>1</v>
      </c>
      <c r="B3" s="2">
        <f>AI4</f>
        <v>45261</v>
      </c>
      <c r="C3" s="2">
        <f t="shared" ref="C3:AF3" si="0">B3+1</f>
        <v>45262</v>
      </c>
      <c r="D3" s="2">
        <f t="shared" si="0"/>
        <v>45263</v>
      </c>
      <c r="E3" s="2">
        <f t="shared" si="0"/>
        <v>45264</v>
      </c>
      <c r="F3" s="2">
        <f t="shared" si="0"/>
        <v>45265</v>
      </c>
      <c r="G3" s="2">
        <f t="shared" si="0"/>
        <v>45266</v>
      </c>
      <c r="H3" s="2">
        <f t="shared" si="0"/>
        <v>45267</v>
      </c>
      <c r="I3" s="2">
        <f>H3+1</f>
        <v>45268</v>
      </c>
      <c r="J3" s="2">
        <f t="shared" si="0"/>
        <v>45269</v>
      </c>
      <c r="K3" s="2">
        <f t="shared" si="0"/>
        <v>45270</v>
      </c>
      <c r="L3" s="2">
        <f t="shared" si="0"/>
        <v>45271</v>
      </c>
      <c r="M3" s="2">
        <f t="shared" si="0"/>
        <v>45272</v>
      </c>
      <c r="N3" s="2">
        <f t="shared" si="0"/>
        <v>45273</v>
      </c>
      <c r="O3" s="2">
        <f t="shared" si="0"/>
        <v>45274</v>
      </c>
      <c r="P3" s="2">
        <f t="shared" si="0"/>
        <v>45275</v>
      </c>
      <c r="Q3" s="2">
        <f t="shared" si="0"/>
        <v>45276</v>
      </c>
      <c r="R3" s="2">
        <f t="shared" si="0"/>
        <v>45277</v>
      </c>
      <c r="S3" s="2">
        <f t="shared" si="0"/>
        <v>45278</v>
      </c>
      <c r="T3" s="2">
        <f t="shared" si="0"/>
        <v>45279</v>
      </c>
      <c r="U3" s="2">
        <f t="shared" si="0"/>
        <v>45280</v>
      </c>
      <c r="V3" s="2">
        <f t="shared" si="0"/>
        <v>45281</v>
      </c>
      <c r="W3" s="2">
        <f t="shared" si="0"/>
        <v>45282</v>
      </c>
      <c r="X3" s="2">
        <f t="shared" si="0"/>
        <v>45283</v>
      </c>
      <c r="Y3" s="2">
        <f t="shared" si="0"/>
        <v>45284</v>
      </c>
      <c r="Z3" s="2">
        <f t="shared" si="0"/>
        <v>45285</v>
      </c>
      <c r="AA3" s="2">
        <f t="shared" si="0"/>
        <v>45286</v>
      </c>
      <c r="AB3" s="2">
        <f t="shared" si="0"/>
        <v>45287</v>
      </c>
      <c r="AC3" s="2">
        <f t="shared" si="0"/>
        <v>45288</v>
      </c>
      <c r="AD3" s="2">
        <f t="shared" si="0"/>
        <v>45289</v>
      </c>
      <c r="AE3" s="2">
        <f t="shared" si="0"/>
        <v>45290</v>
      </c>
      <c r="AF3" s="2">
        <f t="shared" si="0"/>
        <v>45291</v>
      </c>
      <c r="AG3" s="36"/>
      <c r="AH3" s="36"/>
      <c r="AM3" s="122" t="s">
        <v>267</v>
      </c>
      <c r="AN3" s="123"/>
      <c r="AO3" s="123"/>
      <c r="AP3" s="123"/>
      <c r="AQ3" s="123"/>
      <c r="AR3" s="124"/>
    </row>
    <row r="4" spans="1:44" ht="31.5" customHeight="1" x14ac:dyDescent="0.35">
      <c r="A4" s="3" t="s">
        <v>2</v>
      </c>
      <c r="B4" s="4">
        <f t="shared" ref="B4:AF4" si="1">B3</f>
        <v>45261</v>
      </c>
      <c r="C4" s="4">
        <f t="shared" si="1"/>
        <v>45262</v>
      </c>
      <c r="D4" s="4">
        <f t="shared" si="1"/>
        <v>45263</v>
      </c>
      <c r="E4" s="4">
        <f t="shared" si="1"/>
        <v>45264</v>
      </c>
      <c r="F4" s="4">
        <f t="shared" si="1"/>
        <v>45265</v>
      </c>
      <c r="G4" s="4">
        <f t="shared" si="1"/>
        <v>45266</v>
      </c>
      <c r="H4" s="4">
        <f t="shared" si="1"/>
        <v>45267</v>
      </c>
      <c r="I4" s="4">
        <f t="shared" si="1"/>
        <v>45268</v>
      </c>
      <c r="J4" s="4">
        <f t="shared" si="1"/>
        <v>45269</v>
      </c>
      <c r="K4" s="4">
        <f t="shared" si="1"/>
        <v>45270</v>
      </c>
      <c r="L4" s="4">
        <f t="shared" si="1"/>
        <v>45271</v>
      </c>
      <c r="M4" s="4">
        <f t="shared" si="1"/>
        <v>45272</v>
      </c>
      <c r="N4" s="4">
        <f t="shared" si="1"/>
        <v>45273</v>
      </c>
      <c r="O4" s="4">
        <f t="shared" si="1"/>
        <v>45274</v>
      </c>
      <c r="P4" s="4">
        <f t="shared" si="1"/>
        <v>45275</v>
      </c>
      <c r="Q4" s="4">
        <f t="shared" si="1"/>
        <v>45276</v>
      </c>
      <c r="R4" s="4">
        <f t="shared" si="1"/>
        <v>45277</v>
      </c>
      <c r="S4" s="4">
        <f t="shared" si="1"/>
        <v>45278</v>
      </c>
      <c r="T4" s="4">
        <f t="shared" si="1"/>
        <v>45279</v>
      </c>
      <c r="U4" s="4">
        <f t="shared" si="1"/>
        <v>45280</v>
      </c>
      <c r="V4" s="4">
        <f t="shared" si="1"/>
        <v>45281</v>
      </c>
      <c r="W4" s="4">
        <f t="shared" si="1"/>
        <v>45282</v>
      </c>
      <c r="X4" s="4">
        <f t="shared" si="1"/>
        <v>45283</v>
      </c>
      <c r="Y4" s="4">
        <f t="shared" si="1"/>
        <v>45284</v>
      </c>
      <c r="Z4" s="4">
        <f t="shared" si="1"/>
        <v>45285</v>
      </c>
      <c r="AA4" s="4">
        <f t="shared" si="1"/>
        <v>45286</v>
      </c>
      <c r="AB4" s="4">
        <f t="shared" si="1"/>
        <v>45287</v>
      </c>
      <c r="AC4" s="4">
        <f t="shared" si="1"/>
        <v>45288</v>
      </c>
      <c r="AD4" s="4">
        <f t="shared" si="1"/>
        <v>45289</v>
      </c>
      <c r="AE4" s="4">
        <f t="shared" si="1"/>
        <v>45290</v>
      </c>
      <c r="AF4" s="4">
        <f t="shared" si="1"/>
        <v>45291</v>
      </c>
      <c r="AG4" s="39" t="s">
        <v>174</v>
      </c>
      <c r="AH4" s="40" t="s">
        <v>175</v>
      </c>
      <c r="AI4" s="5">
        <v>45261</v>
      </c>
      <c r="AJ4" s="6">
        <f>EOMONTH(AI4,0)</f>
        <v>45291</v>
      </c>
      <c r="AM4" s="19" t="s">
        <v>54</v>
      </c>
      <c r="AN4" s="19" t="s">
        <v>269</v>
      </c>
      <c r="AO4" s="19" t="s">
        <v>55</v>
      </c>
      <c r="AP4" s="19" t="s">
        <v>56</v>
      </c>
      <c r="AQ4" s="19" t="s">
        <v>251</v>
      </c>
      <c r="AR4" s="19" t="s">
        <v>57</v>
      </c>
    </row>
    <row r="5" spans="1:44" x14ac:dyDescent="0.35">
      <c r="A5" s="7" t="s">
        <v>3</v>
      </c>
      <c r="B5" s="55"/>
      <c r="C5" s="55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41">
        <f>COUNTA(B5:AF5)</f>
        <v>0</v>
      </c>
      <c r="AH5" s="42">
        <f>AG5*100/30</f>
        <v>0</v>
      </c>
      <c r="AM5" s="20"/>
      <c r="AN5" s="56"/>
      <c r="AO5" s="56"/>
      <c r="AP5" s="56"/>
      <c r="AQ5" s="57"/>
      <c r="AR5" s="20"/>
    </row>
    <row r="6" spans="1:44" x14ac:dyDescent="0.35">
      <c r="A6" s="7" t="s">
        <v>7</v>
      </c>
      <c r="B6" s="55" t="s">
        <v>471</v>
      </c>
      <c r="C6" s="55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 t="s">
        <v>338</v>
      </c>
      <c r="AD6" s="8"/>
      <c r="AE6" s="8"/>
      <c r="AF6" s="8"/>
      <c r="AG6" s="41">
        <f t="shared" ref="AG6:AG11" si="2">COUNTA(B6:AF6)</f>
        <v>2</v>
      </c>
      <c r="AH6" s="42">
        <f t="shared" ref="AH6:AH11" si="3">AG6*100/30</f>
        <v>6.666666666666667</v>
      </c>
      <c r="AM6" s="20"/>
      <c r="AN6" s="56"/>
      <c r="AO6" s="56"/>
      <c r="AP6" s="56"/>
      <c r="AQ6" s="57"/>
      <c r="AR6" s="20"/>
    </row>
    <row r="7" spans="1:44" x14ac:dyDescent="0.35">
      <c r="A7" s="7" t="s">
        <v>11</v>
      </c>
      <c r="B7" s="55"/>
      <c r="C7" s="55"/>
      <c r="D7" s="55" t="s">
        <v>97</v>
      </c>
      <c r="E7" s="55" t="s">
        <v>97</v>
      </c>
      <c r="F7" s="55" t="s">
        <v>97</v>
      </c>
      <c r="G7" s="55" t="s">
        <v>97</v>
      </c>
      <c r="H7" s="55" t="s">
        <v>97</v>
      </c>
      <c r="I7" s="55" t="s">
        <v>97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 t="s">
        <v>187</v>
      </c>
      <c r="AB7" s="8" t="s">
        <v>187</v>
      </c>
      <c r="AC7" s="8" t="s">
        <v>187</v>
      </c>
      <c r="AD7" s="8" t="s">
        <v>187</v>
      </c>
      <c r="AE7" s="8" t="s">
        <v>187</v>
      </c>
      <c r="AF7" s="8" t="s">
        <v>187</v>
      </c>
      <c r="AG7" s="41">
        <f t="shared" si="2"/>
        <v>12</v>
      </c>
      <c r="AH7" s="42">
        <f t="shared" si="3"/>
        <v>40</v>
      </c>
      <c r="AM7" s="20"/>
      <c r="AN7" s="56"/>
      <c r="AO7" s="56"/>
      <c r="AP7" s="56"/>
      <c r="AQ7" s="57"/>
      <c r="AR7" s="20"/>
    </row>
    <row r="8" spans="1:44" ht="15" customHeight="1" x14ac:dyDescent="0.35">
      <c r="A8" s="7" t="s">
        <v>15</v>
      </c>
      <c r="B8" s="55"/>
      <c r="C8" s="55"/>
      <c r="D8" s="55" t="s">
        <v>17</v>
      </c>
      <c r="E8" s="55" t="s">
        <v>17</v>
      </c>
      <c r="F8" s="55" t="s">
        <v>17</v>
      </c>
      <c r="G8" s="55" t="s">
        <v>17</v>
      </c>
      <c r="H8" s="55" t="s">
        <v>17</v>
      </c>
      <c r="I8" s="55" t="s">
        <v>17</v>
      </c>
      <c r="J8" s="8"/>
      <c r="K8" s="8"/>
      <c r="L8" s="8"/>
      <c r="M8" s="8"/>
      <c r="N8" s="8"/>
      <c r="O8" s="55"/>
      <c r="P8" s="55" t="s">
        <v>406</v>
      </c>
      <c r="Q8" s="55" t="s">
        <v>406</v>
      </c>
      <c r="R8" s="55" t="s">
        <v>406</v>
      </c>
      <c r="S8" s="55" t="s">
        <v>406</v>
      </c>
      <c r="T8" s="55" t="s">
        <v>406</v>
      </c>
      <c r="U8" s="55" t="s">
        <v>406</v>
      </c>
      <c r="V8" s="55" t="s">
        <v>406</v>
      </c>
      <c r="W8" s="55" t="s">
        <v>406</v>
      </c>
      <c r="X8" s="55" t="s">
        <v>406</v>
      </c>
      <c r="Y8" s="8"/>
      <c r="Z8" s="8"/>
      <c r="AA8" s="8" t="s">
        <v>187</v>
      </c>
      <c r="AB8" s="8" t="s">
        <v>187</v>
      </c>
      <c r="AC8" s="8" t="s">
        <v>187</v>
      </c>
      <c r="AD8" s="8" t="s">
        <v>187</v>
      </c>
      <c r="AE8" s="8" t="s">
        <v>187</v>
      </c>
      <c r="AF8" s="8" t="s">
        <v>187</v>
      </c>
      <c r="AG8" s="41">
        <f t="shared" si="2"/>
        <v>21</v>
      </c>
      <c r="AH8" s="42">
        <f t="shared" si="3"/>
        <v>70</v>
      </c>
      <c r="AK8" s="9"/>
      <c r="AM8" s="20"/>
      <c r="AN8" s="56"/>
      <c r="AO8" s="56"/>
      <c r="AP8" s="56"/>
      <c r="AQ8" s="57"/>
      <c r="AR8" s="20"/>
    </row>
    <row r="9" spans="1:44" ht="15.75" customHeight="1" x14ac:dyDescent="0.35">
      <c r="A9" s="7" t="s">
        <v>18</v>
      </c>
      <c r="B9" s="55"/>
      <c r="C9" s="55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 t="s">
        <v>25</v>
      </c>
      <c r="P9" s="8" t="s">
        <v>25</v>
      </c>
      <c r="Q9" s="8" t="s">
        <v>25</v>
      </c>
      <c r="R9" s="8"/>
      <c r="S9" s="8"/>
      <c r="T9" s="8"/>
      <c r="U9" s="8"/>
      <c r="V9" s="8"/>
      <c r="W9" s="8"/>
      <c r="X9" s="8"/>
      <c r="Y9" s="8"/>
      <c r="Z9" s="8" t="s">
        <v>482</v>
      </c>
      <c r="AA9" s="8" t="s">
        <v>482</v>
      </c>
      <c r="AB9" s="8" t="s">
        <v>482</v>
      </c>
      <c r="AC9" s="8" t="s">
        <v>482</v>
      </c>
      <c r="AD9" s="8" t="s">
        <v>482</v>
      </c>
      <c r="AE9" s="8" t="s">
        <v>482</v>
      </c>
      <c r="AF9" s="8" t="s">
        <v>482</v>
      </c>
      <c r="AG9" s="41">
        <f t="shared" si="2"/>
        <v>10</v>
      </c>
      <c r="AH9" s="42">
        <f t="shared" si="3"/>
        <v>33.333333333333336</v>
      </c>
      <c r="AM9" s="20"/>
      <c r="AN9" s="56"/>
      <c r="AO9" s="56"/>
      <c r="AP9" s="56"/>
      <c r="AQ9" s="57"/>
      <c r="AR9" s="20"/>
    </row>
    <row r="10" spans="1:44" ht="15.75" customHeight="1" x14ac:dyDescent="0.35">
      <c r="A10" s="7" t="s">
        <v>20</v>
      </c>
      <c r="B10" s="55"/>
      <c r="C10" s="55"/>
      <c r="D10" s="55"/>
      <c r="E10" s="55"/>
      <c r="F10" s="55"/>
      <c r="G10" s="55"/>
      <c r="H10" s="55"/>
      <c r="I10" s="55" t="s">
        <v>478</v>
      </c>
      <c r="J10" s="8"/>
      <c r="K10" s="8" t="s">
        <v>480</v>
      </c>
      <c r="L10" s="8" t="s">
        <v>338</v>
      </c>
      <c r="M10" s="8"/>
      <c r="N10" s="8" t="s">
        <v>477</v>
      </c>
      <c r="O10" s="55" t="s">
        <v>476</v>
      </c>
      <c r="P10" s="55" t="s">
        <v>476</v>
      </c>
      <c r="Q10" s="55" t="s">
        <v>476</v>
      </c>
      <c r="R10" s="55"/>
      <c r="S10" s="8"/>
      <c r="T10" s="8" t="s">
        <v>391</v>
      </c>
      <c r="U10" s="8" t="s">
        <v>391</v>
      </c>
      <c r="V10" s="8" t="s">
        <v>391</v>
      </c>
      <c r="W10" s="8"/>
      <c r="X10" s="8"/>
      <c r="Y10" s="8"/>
      <c r="Z10" s="8" t="s">
        <v>482</v>
      </c>
      <c r="AA10" s="8" t="s">
        <v>482</v>
      </c>
      <c r="AB10" s="8" t="s">
        <v>482</v>
      </c>
      <c r="AC10" s="8" t="s">
        <v>482</v>
      </c>
      <c r="AD10" s="8" t="s">
        <v>482</v>
      </c>
      <c r="AE10" s="8" t="s">
        <v>482</v>
      </c>
      <c r="AF10" s="8" t="s">
        <v>482</v>
      </c>
      <c r="AG10" s="41">
        <f t="shared" si="2"/>
        <v>17</v>
      </c>
      <c r="AH10" s="42">
        <f t="shared" si="3"/>
        <v>56.666666666666664</v>
      </c>
      <c r="AM10" s="20"/>
      <c r="AN10" s="56"/>
      <c r="AO10" s="56"/>
      <c r="AP10" s="56"/>
      <c r="AQ10" s="57"/>
      <c r="AR10" s="20"/>
    </row>
    <row r="11" spans="1:44" ht="15.75" customHeight="1" thickBot="1" x14ac:dyDescent="0.4">
      <c r="A11" s="7" t="s">
        <v>24</v>
      </c>
      <c r="B11" s="55" t="s">
        <v>34</v>
      </c>
      <c r="C11" s="55" t="s">
        <v>34</v>
      </c>
      <c r="D11" s="55" t="s">
        <v>34</v>
      </c>
      <c r="E11" s="55" t="s">
        <v>34</v>
      </c>
      <c r="F11" s="55" t="s">
        <v>34</v>
      </c>
      <c r="G11" s="55" t="s">
        <v>34</v>
      </c>
      <c r="H11" s="55" t="s">
        <v>34</v>
      </c>
      <c r="I11" s="55" t="s">
        <v>34</v>
      </c>
      <c r="J11" s="55" t="s">
        <v>34</v>
      </c>
      <c r="K11" s="55" t="s">
        <v>34</v>
      </c>
      <c r="L11" s="55" t="s">
        <v>34</v>
      </c>
      <c r="M11" s="55" t="s">
        <v>34</v>
      </c>
      <c r="N11" s="55" t="s">
        <v>34</v>
      </c>
      <c r="O11" s="55" t="s">
        <v>34</v>
      </c>
      <c r="P11" s="55" t="s">
        <v>34</v>
      </c>
      <c r="Q11" s="55" t="s">
        <v>34</v>
      </c>
      <c r="R11" s="55" t="s">
        <v>34</v>
      </c>
      <c r="S11" s="55" t="s">
        <v>34</v>
      </c>
      <c r="T11" s="55" t="s">
        <v>34</v>
      </c>
      <c r="U11" s="55" t="s">
        <v>34</v>
      </c>
      <c r="V11" s="55" t="s">
        <v>34</v>
      </c>
      <c r="W11" s="55" t="s">
        <v>34</v>
      </c>
      <c r="X11" s="55" t="s">
        <v>34</v>
      </c>
      <c r="Y11" s="55" t="s">
        <v>34</v>
      </c>
      <c r="Z11" s="55" t="s">
        <v>34</v>
      </c>
      <c r="AA11" s="55" t="s">
        <v>34</v>
      </c>
      <c r="AB11" s="55" t="s">
        <v>34</v>
      </c>
      <c r="AC11" s="55" t="s">
        <v>34</v>
      </c>
      <c r="AD11" s="55" t="s">
        <v>34</v>
      </c>
      <c r="AE11" s="55" t="s">
        <v>34</v>
      </c>
      <c r="AF11" s="55" t="s">
        <v>34</v>
      </c>
      <c r="AG11" s="41">
        <f t="shared" si="2"/>
        <v>31</v>
      </c>
      <c r="AH11" s="42">
        <f t="shared" si="3"/>
        <v>103.33333333333333</v>
      </c>
      <c r="AM11" s="20"/>
      <c r="AN11" s="20"/>
      <c r="AO11" s="20"/>
      <c r="AP11" s="20"/>
      <c r="AQ11" s="20"/>
      <c r="AR11" s="20"/>
    </row>
    <row r="12" spans="1:44" ht="15" customHeight="1" x14ac:dyDescent="0.35">
      <c r="A12" s="45" t="s">
        <v>176</v>
      </c>
      <c r="B12" s="46">
        <f>COUNTA(B5:B11)</f>
        <v>2</v>
      </c>
      <c r="C12" s="46">
        <f>COUNTA(C5:C11)</f>
        <v>1</v>
      </c>
      <c r="D12" s="46">
        <f t="shared" ref="D12:AF12" si="4">COUNTA(D5:D11)</f>
        <v>3</v>
      </c>
      <c r="E12" s="46">
        <f t="shared" si="4"/>
        <v>3</v>
      </c>
      <c r="F12" s="46">
        <f t="shared" si="4"/>
        <v>3</v>
      </c>
      <c r="G12" s="46">
        <f t="shared" si="4"/>
        <v>3</v>
      </c>
      <c r="H12" s="46">
        <f t="shared" si="4"/>
        <v>3</v>
      </c>
      <c r="I12" s="46">
        <f t="shared" si="4"/>
        <v>4</v>
      </c>
      <c r="J12" s="46">
        <f t="shared" si="4"/>
        <v>1</v>
      </c>
      <c r="K12" s="46">
        <f t="shared" si="4"/>
        <v>2</v>
      </c>
      <c r="L12" s="46">
        <f t="shared" si="4"/>
        <v>2</v>
      </c>
      <c r="M12" s="46">
        <f t="shared" si="4"/>
        <v>1</v>
      </c>
      <c r="N12" s="46">
        <f t="shared" si="4"/>
        <v>2</v>
      </c>
      <c r="O12" s="46">
        <f t="shared" si="4"/>
        <v>3</v>
      </c>
      <c r="P12" s="46">
        <f t="shared" si="4"/>
        <v>4</v>
      </c>
      <c r="Q12" s="46">
        <f t="shared" si="4"/>
        <v>4</v>
      </c>
      <c r="R12" s="46">
        <f t="shared" si="4"/>
        <v>2</v>
      </c>
      <c r="S12" s="46">
        <f t="shared" si="4"/>
        <v>2</v>
      </c>
      <c r="T12" s="46">
        <f t="shared" si="4"/>
        <v>3</v>
      </c>
      <c r="U12" s="46">
        <f t="shared" si="4"/>
        <v>3</v>
      </c>
      <c r="V12" s="46">
        <f t="shared" si="4"/>
        <v>3</v>
      </c>
      <c r="W12" s="46">
        <f t="shared" si="4"/>
        <v>2</v>
      </c>
      <c r="X12" s="46">
        <f t="shared" si="4"/>
        <v>2</v>
      </c>
      <c r="Y12" s="46">
        <f t="shared" si="4"/>
        <v>1</v>
      </c>
      <c r="Z12" s="46">
        <f t="shared" si="4"/>
        <v>3</v>
      </c>
      <c r="AA12" s="46">
        <f t="shared" si="4"/>
        <v>5</v>
      </c>
      <c r="AB12" s="46">
        <f t="shared" si="4"/>
        <v>5</v>
      </c>
      <c r="AC12" s="46">
        <f t="shared" si="4"/>
        <v>6</v>
      </c>
      <c r="AD12" s="46">
        <f t="shared" si="4"/>
        <v>5</v>
      </c>
      <c r="AE12" s="46">
        <f t="shared" si="4"/>
        <v>5</v>
      </c>
      <c r="AF12" s="46">
        <f t="shared" si="4"/>
        <v>5</v>
      </c>
      <c r="AG12" s="43">
        <f t="shared" ref="AG12" si="5">SUM(AG5:AG11)</f>
        <v>93</v>
      </c>
      <c r="AH12" s="44">
        <f>AVERAGE(AH5:AH11)</f>
        <v>44.285714285714285</v>
      </c>
      <c r="AI12" s="29"/>
      <c r="AM12" s="20"/>
      <c r="AN12" s="20"/>
      <c r="AO12" s="20"/>
      <c r="AP12" s="20"/>
      <c r="AQ12" s="20"/>
      <c r="AR12" s="20"/>
    </row>
    <row r="13" spans="1:44" ht="57" hidden="1" x14ac:dyDescent="0.35">
      <c r="A13" s="13" t="s">
        <v>28</v>
      </c>
      <c r="B13" s="14"/>
      <c r="C13" s="14"/>
      <c r="D13" s="14"/>
      <c r="E13" s="14"/>
      <c r="F13" s="14"/>
      <c r="G13" s="14"/>
      <c r="H13" s="14"/>
      <c r="I13" s="35"/>
      <c r="J13" s="34"/>
      <c r="K13" s="15"/>
      <c r="L13" s="14"/>
      <c r="M13" s="14"/>
      <c r="N13" s="25"/>
      <c r="O13" s="25"/>
      <c r="P13" s="25"/>
      <c r="Q13" s="14"/>
      <c r="R13" s="14"/>
      <c r="S13" s="14"/>
      <c r="T13" s="14"/>
      <c r="U13" s="14"/>
      <c r="V13" s="15"/>
      <c r="W13" s="15"/>
      <c r="X13" s="14"/>
      <c r="Y13" s="14"/>
      <c r="Z13" s="14"/>
      <c r="AA13" s="14"/>
      <c r="AB13" s="14"/>
      <c r="AC13" s="14"/>
      <c r="AD13" s="14"/>
      <c r="AE13" s="14"/>
      <c r="AF13" s="14"/>
      <c r="AG13" s="37"/>
      <c r="AH13" s="37"/>
      <c r="AM13" s="20"/>
      <c r="AN13" s="20"/>
      <c r="AO13" s="20"/>
      <c r="AP13" s="20"/>
      <c r="AQ13" s="20"/>
      <c r="AR13" s="20"/>
    </row>
    <row r="14" spans="1:44" ht="28.5" hidden="1" x14ac:dyDescent="0.35">
      <c r="A14" s="16" t="s">
        <v>29</v>
      </c>
      <c r="B14" s="14"/>
      <c r="C14" s="14"/>
      <c r="D14" s="14"/>
      <c r="E14" s="14"/>
      <c r="F14" s="14"/>
      <c r="G14" s="14"/>
      <c r="H14" s="14"/>
      <c r="I14" s="35"/>
      <c r="J14" s="34"/>
      <c r="K14" s="15"/>
      <c r="L14" s="14"/>
      <c r="M14" s="14"/>
      <c r="N14" s="25"/>
      <c r="O14" s="25"/>
      <c r="P14" s="25"/>
      <c r="Q14" s="14"/>
      <c r="R14" s="14"/>
      <c r="S14" s="14"/>
      <c r="T14" s="14"/>
      <c r="U14" s="14"/>
      <c r="V14" s="15"/>
      <c r="W14" s="15"/>
      <c r="X14" s="14"/>
      <c r="Y14" s="14"/>
      <c r="Z14" s="14"/>
      <c r="AA14" s="14"/>
      <c r="AB14" s="14"/>
      <c r="AC14" s="14"/>
      <c r="AD14" s="14"/>
      <c r="AE14" s="14"/>
      <c r="AF14" s="14"/>
      <c r="AG14" s="37"/>
      <c r="AH14" s="37"/>
      <c r="AM14" s="20"/>
      <c r="AN14" s="20"/>
      <c r="AO14" s="20"/>
      <c r="AP14" s="20"/>
      <c r="AQ14" s="20"/>
      <c r="AR14" s="20"/>
    </row>
    <row r="15" spans="1:44" x14ac:dyDescent="0.35">
      <c r="A15" s="7" t="s">
        <v>30</v>
      </c>
      <c r="B15" s="8"/>
      <c r="C15" s="8"/>
      <c r="D15" s="54"/>
      <c r="E15" s="54"/>
      <c r="F15" s="54"/>
      <c r="G15" s="54"/>
      <c r="H15" s="55" t="s">
        <v>34</v>
      </c>
      <c r="I15" s="55" t="s">
        <v>34</v>
      </c>
      <c r="J15" s="55" t="s">
        <v>34</v>
      </c>
      <c r="K15" s="55" t="s">
        <v>34</v>
      </c>
      <c r="L15" s="55" t="s">
        <v>34</v>
      </c>
      <c r="M15" s="55" t="s">
        <v>34</v>
      </c>
      <c r="N15" s="55" t="s">
        <v>34</v>
      </c>
      <c r="O15" s="55" t="s">
        <v>34</v>
      </c>
      <c r="P15" s="55" t="s">
        <v>34</v>
      </c>
      <c r="Q15" s="55" t="s">
        <v>34</v>
      </c>
      <c r="R15" s="55" t="s">
        <v>34</v>
      </c>
      <c r="S15" s="55" t="s">
        <v>34</v>
      </c>
      <c r="T15" s="55" t="s">
        <v>34</v>
      </c>
      <c r="U15" s="55" t="s">
        <v>34</v>
      </c>
      <c r="V15" s="55" t="s">
        <v>34</v>
      </c>
      <c r="W15" s="55" t="s">
        <v>34</v>
      </c>
      <c r="X15" s="55" t="s">
        <v>34</v>
      </c>
      <c r="Y15" s="55" t="s">
        <v>34</v>
      </c>
      <c r="Z15" s="55" t="s">
        <v>34</v>
      </c>
      <c r="AA15" s="55" t="s">
        <v>34</v>
      </c>
      <c r="AB15" s="55" t="s">
        <v>34</v>
      </c>
      <c r="AC15" s="55" t="s">
        <v>34</v>
      </c>
      <c r="AD15" s="55" t="s">
        <v>34</v>
      </c>
      <c r="AE15" s="55" t="s">
        <v>34</v>
      </c>
      <c r="AF15" s="55" t="s">
        <v>34</v>
      </c>
      <c r="AG15" s="41">
        <f>COUNTA(B15:AF15)</f>
        <v>25</v>
      </c>
      <c r="AH15" s="42">
        <f>AG15*100/30</f>
        <v>83.333333333333329</v>
      </c>
      <c r="AM15" s="20"/>
      <c r="AN15" s="20"/>
      <c r="AO15" s="20"/>
      <c r="AP15" s="20"/>
      <c r="AQ15" s="20"/>
      <c r="AR15" s="20"/>
    </row>
    <row r="16" spans="1:44" x14ac:dyDescent="0.35">
      <c r="A16" s="7" t="s">
        <v>35</v>
      </c>
      <c r="B16" s="55" t="s">
        <v>417</v>
      </c>
      <c r="C16" s="55" t="s">
        <v>417</v>
      </c>
      <c r="D16" s="55" t="s">
        <v>417</v>
      </c>
      <c r="E16" s="55" t="s">
        <v>417</v>
      </c>
      <c r="F16" s="55" t="s">
        <v>417</v>
      </c>
      <c r="G16" s="55" t="s">
        <v>417</v>
      </c>
      <c r="H16" s="55" t="s">
        <v>417</v>
      </c>
      <c r="I16" s="55" t="s">
        <v>417</v>
      </c>
      <c r="J16" s="55" t="s">
        <v>417</v>
      </c>
      <c r="K16" s="55" t="s">
        <v>417</v>
      </c>
      <c r="L16" s="55" t="s">
        <v>417</v>
      </c>
      <c r="M16" s="55" t="s">
        <v>417</v>
      </c>
      <c r="N16" s="55" t="s">
        <v>417</v>
      </c>
      <c r="O16" s="55" t="s">
        <v>417</v>
      </c>
      <c r="P16" s="55" t="s">
        <v>417</v>
      </c>
      <c r="Q16" s="55" t="s">
        <v>338</v>
      </c>
      <c r="R16" s="55" t="s">
        <v>338</v>
      </c>
      <c r="S16" s="55" t="s">
        <v>338</v>
      </c>
      <c r="T16" s="55"/>
      <c r="U16" s="55"/>
      <c r="V16" s="54"/>
      <c r="W16" s="54"/>
      <c r="X16" s="54"/>
      <c r="Y16" s="54"/>
      <c r="Z16" s="54"/>
      <c r="AA16" s="55" t="s">
        <v>483</v>
      </c>
      <c r="AB16" s="55" t="s">
        <v>483</v>
      </c>
      <c r="AC16" s="54"/>
      <c r="AD16" s="55" t="s">
        <v>260</v>
      </c>
      <c r="AE16" s="55" t="s">
        <v>260</v>
      </c>
      <c r="AF16" s="54"/>
      <c r="AG16" s="41">
        <f t="shared" ref="AG16:AG22" si="6">COUNTA(B16:AF16)</f>
        <v>22</v>
      </c>
      <c r="AH16" s="42">
        <f t="shared" ref="AH16:AH22" si="7">AG16*100/30</f>
        <v>73.333333333333329</v>
      </c>
      <c r="AM16" s="20"/>
      <c r="AN16" s="20"/>
      <c r="AO16" s="56"/>
      <c r="AP16" s="56"/>
      <c r="AQ16" s="20"/>
      <c r="AR16" s="20"/>
    </row>
    <row r="17" spans="1:50" x14ac:dyDescent="0.35">
      <c r="A17" s="7" t="s">
        <v>39</v>
      </c>
      <c r="B17" s="55" t="s">
        <v>385</v>
      </c>
      <c r="C17" s="55" t="s">
        <v>385</v>
      </c>
      <c r="D17" s="55" t="s">
        <v>477</v>
      </c>
      <c r="E17" s="54"/>
      <c r="F17" s="54"/>
      <c r="G17" s="54"/>
      <c r="H17" s="54"/>
      <c r="I17" s="54"/>
      <c r="J17" s="54"/>
      <c r="K17" s="55" t="s">
        <v>239</v>
      </c>
      <c r="L17" s="54"/>
      <c r="M17" s="54"/>
      <c r="N17" s="54"/>
      <c r="O17" s="55" t="s">
        <v>481</v>
      </c>
      <c r="P17" s="55" t="s">
        <v>481</v>
      </c>
      <c r="Q17" s="55" t="s">
        <v>260</v>
      </c>
      <c r="R17" s="55" t="s">
        <v>260</v>
      </c>
      <c r="S17" s="54"/>
      <c r="T17" s="54"/>
      <c r="U17" s="54"/>
      <c r="V17" s="54"/>
      <c r="W17" s="54"/>
      <c r="X17" s="54"/>
      <c r="Y17" s="54"/>
      <c r="Z17" s="54"/>
      <c r="AA17" s="55" t="s">
        <v>187</v>
      </c>
      <c r="AB17" s="55" t="s">
        <v>187</v>
      </c>
      <c r="AC17" s="55" t="s">
        <v>187</v>
      </c>
      <c r="AD17" s="55" t="s">
        <v>187</v>
      </c>
      <c r="AE17" s="55" t="s">
        <v>187</v>
      </c>
      <c r="AF17" s="55" t="s">
        <v>187</v>
      </c>
      <c r="AG17" s="41">
        <f t="shared" si="6"/>
        <v>14</v>
      </c>
      <c r="AH17" s="42">
        <f t="shared" si="7"/>
        <v>46.666666666666664</v>
      </c>
      <c r="AM17" s="20"/>
      <c r="AN17" s="20"/>
      <c r="AO17" s="20"/>
      <c r="AP17" s="20"/>
      <c r="AQ17" s="20"/>
      <c r="AR17" s="20"/>
      <c r="AX17" s="58"/>
    </row>
    <row r="18" spans="1:50" x14ac:dyDescent="0.35">
      <c r="A18" s="7" t="s">
        <v>42</v>
      </c>
      <c r="B18" s="55" t="s">
        <v>418</v>
      </c>
      <c r="C18" s="55" t="s">
        <v>418</v>
      </c>
      <c r="D18" s="55" t="s">
        <v>418</v>
      </c>
      <c r="E18" s="55" t="s">
        <v>418</v>
      </c>
      <c r="F18" s="55" t="s">
        <v>418</v>
      </c>
      <c r="G18" s="55" t="s">
        <v>418</v>
      </c>
      <c r="H18" s="55" t="s">
        <v>418</v>
      </c>
      <c r="I18" s="55" t="s">
        <v>418</v>
      </c>
      <c r="J18" s="55" t="s">
        <v>418</v>
      </c>
      <c r="K18" s="55" t="s">
        <v>418</v>
      </c>
      <c r="L18" s="55" t="s">
        <v>418</v>
      </c>
      <c r="M18" s="55" t="s">
        <v>418</v>
      </c>
      <c r="N18" s="55" t="s">
        <v>418</v>
      </c>
      <c r="O18" s="55" t="s">
        <v>418</v>
      </c>
      <c r="P18" s="55" t="s">
        <v>418</v>
      </c>
      <c r="Q18" s="55" t="s">
        <v>86</v>
      </c>
      <c r="R18" s="55" t="s">
        <v>86</v>
      </c>
      <c r="S18" s="55" t="s">
        <v>86</v>
      </c>
      <c r="T18" s="55" t="s">
        <v>86</v>
      </c>
      <c r="U18" s="55" t="s">
        <v>86</v>
      </c>
      <c r="V18" s="54"/>
      <c r="W18" s="54"/>
      <c r="X18" s="54"/>
      <c r="Y18" s="54"/>
      <c r="Z18" s="54"/>
      <c r="AA18" s="55" t="s">
        <v>483</v>
      </c>
      <c r="AB18" s="55" t="s">
        <v>483</v>
      </c>
      <c r="AC18" s="54"/>
      <c r="AD18" s="54"/>
      <c r="AE18" s="54"/>
      <c r="AF18" s="54"/>
      <c r="AG18" s="41">
        <f t="shared" si="6"/>
        <v>22</v>
      </c>
      <c r="AH18" s="42">
        <f t="shared" si="7"/>
        <v>73.333333333333329</v>
      </c>
      <c r="AM18" s="20"/>
      <c r="AN18" s="20"/>
      <c r="AO18" s="20"/>
      <c r="AP18" s="20"/>
      <c r="AQ18" s="20"/>
      <c r="AR18" s="20"/>
      <c r="AX18" s="58"/>
    </row>
    <row r="19" spans="1:50" x14ac:dyDescent="0.35">
      <c r="A19" s="7" t="s">
        <v>45</v>
      </c>
      <c r="B19" s="55" t="s">
        <v>475</v>
      </c>
      <c r="C19" s="55" t="s">
        <v>475</v>
      </c>
      <c r="D19" s="55" t="s">
        <v>475</v>
      </c>
      <c r="E19" s="54"/>
      <c r="F19" s="54"/>
      <c r="G19" s="54"/>
      <c r="H19" s="54"/>
      <c r="I19" s="54"/>
      <c r="J19" s="55" t="s">
        <v>432</v>
      </c>
      <c r="K19" s="54"/>
      <c r="L19" s="55" t="s">
        <v>134</v>
      </c>
      <c r="M19" s="55" t="s">
        <v>185</v>
      </c>
      <c r="N19" s="55" t="s">
        <v>185</v>
      </c>
      <c r="O19" s="55" t="s">
        <v>185</v>
      </c>
      <c r="P19" s="55" t="s">
        <v>185</v>
      </c>
      <c r="Q19" s="55" t="s">
        <v>185</v>
      </c>
      <c r="R19" s="55" t="s">
        <v>185</v>
      </c>
      <c r="S19" s="55" t="s">
        <v>185</v>
      </c>
      <c r="T19" s="55"/>
      <c r="U19" s="55"/>
      <c r="V19" s="55"/>
      <c r="W19" s="55"/>
      <c r="X19" s="54"/>
      <c r="Y19" s="54"/>
      <c r="Z19" s="54"/>
      <c r="AA19" s="55" t="s">
        <v>483</v>
      </c>
      <c r="AB19" s="55" t="s">
        <v>483</v>
      </c>
      <c r="AC19" s="54"/>
      <c r="AD19" s="54"/>
      <c r="AE19" s="54"/>
      <c r="AF19" s="54"/>
      <c r="AG19" s="41">
        <f t="shared" si="6"/>
        <v>14</v>
      </c>
      <c r="AH19" s="42">
        <f t="shared" si="7"/>
        <v>46.666666666666664</v>
      </c>
      <c r="AM19" s="20"/>
      <c r="AN19" s="20"/>
      <c r="AO19" s="20"/>
      <c r="AP19" s="20"/>
      <c r="AQ19" s="20"/>
      <c r="AR19" s="20"/>
      <c r="AX19" s="58"/>
    </row>
    <row r="20" spans="1:50" x14ac:dyDescent="0.35">
      <c r="A20" s="7" t="s">
        <v>47</v>
      </c>
      <c r="B20" s="55" t="s">
        <v>281</v>
      </c>
      <c r="C20" s="55" t="s">
        <v>281</v>
      </c>
      <c r="D20" s="55" t="s">
        <v>281</v>
      </c>
      <c r="E20" s="55" t="s">
        <v>281</v>
      </c>
      <c r="F20" s="55" t="s">
        <v>281</v>
      </c>
      <c r="G20" s="55" t="s">
        <v>281</v>
      </c>
      <c r="H20" s="55" t="s">
        <v>281</v>
      </c>
      <c r="I20" s="55" t="s">
        <v>281</v>
      </c>
      <c r="J20" s="55" t="s">
        <v>281</v>
      </c>
      <c r="K20" s="55" t="s">
        <v>281</v>
      </c>
      <c r="L20" s="55" t="s">
        <v>281</v>
      </c>
      <c r="M20" s="55" t="s">
        <v>281</v>
      </c>
      <c r="N20" s="55" t="s">
        <v>281</v>
      </c>
      <c r="O20" s="55" t="s">
        <v>281</v>
      </c>
      <c r="P20" s="55" t="s">
        <v>281</v>
      </c>
      <c r="Q20" s="55" t="s">
        <v>134</v>
      </c>
      <c r="R20" s="55" t="s">
        <v>134</v>
      </c>
      <c r="S20" s="55" t="s">
        <v>134</v>
      </c>
      <c r="T20" s="55" t="s">
        <v>34</v>
      </c>
      <c r="U20" s="55" t="s">
        <v>34</v>
      </c>
      <c r="V20" s="55" t="s">
        <v>34</v>
      </c>
      <c r="W20" s="55" t="s">
        <v>34</v>
      </c>
      <c r="X20" s="55" t="s">
        <v>34</v>
      </c>
      <c r="Y20" s="55" t="s">
        <v>34</v>
      </c>
      <c r="Z20" s="55" t="s">
        <v>34</v>
      </c>
      <c r="AA20" s="55" t="s">
        <v>34</v>
      </c>
      <c r="AB20" s="55" t="s">
        <v>34</v>
      </c>
      <c r="AC20" s="55" t="s">
        <v>34</v>
      </c>
      <c r="AD20" s="55" t="s">
        <v>34</v>
      </c>
      <c r="AE20" s="55" t="s">
        <v>34</v>
      </c>
      <c r="AF20" s="55" t="s">
        <v>34</v>
      </c>
      <c r="AG20" s="41">
        <f t="shared" si="6"/>
        <v>31</v>
      </c>
      <c r="AH20" s="42">
        <f t="shared" si="7"/>
        <v>103.33333333333333</v>
      </c>
      <c r="AM20" s="20"/>
      <c r="AN20" s="20"/>
      <c r="AO20" s="20"/>
      <c r="AP20" s="20"/>
      <c r="AQ20" s="20"/>
      <c r="AR20" s="20"/>
      <c r="AX20" s="58"/>
    </row>
    <row r="21" spans="1:50" x14ac:dyDescent="0.35">
      <c r="A21" s="7" t="s">
        <v>50</v>
      </c>
      <c r="B21" s="8"/>
      <c r="C21" s="8"/>
      <c r="D21" s="54"/>
      <c r="E21" s="54"/>
      <c r="F21" s="54"/>
      <c r="G21" s="54"/>
      <c r="H21" s="54"/>
      <c r="I21" s="55" t="s">
        <v>479</v>
      </c>
      <c r="J21" s="55" t="s">
        <v>479</v>
      </c>
      <c r="K21" s="55" t="s">
        <v>479</v>
      </c>
      <c r="L21" s="55" t="s">
        <v>479</v>
      </c>
      <c r="M21" s="55" t="s">
        <v>479</v>
      </c>
      <c r="N21" s="55" t="s">
        <v>479</v>
      </c>
      <c r="O21" s="55" t="s">
        <v>479</v>
      </c>
      <c r="P21" s="55" t="s">
        <v>385</v>
      </c>
      <c r="Q21" s="55" t="s">
        <v>385</v>
      </c>
      <c r="R21" s="55" t="s">
        <v>385</v>
      </c>
      <c r="S21" s="55" t="s">
        <v>385</v>
      </c>
      <c r="T21" s="55" t="s">
        <v>385</v>
      </c>
      <c r="U21" s="55" t="s">
        <v>385</v>
      </c>
      <c r="V21" s="55" t="s">
        <v>385</v>
      </c>
      <c r="W21" s="55"/>
      <c r="X21" s="54"/>
      <c r="Y21" s="54"/>
      <c r="Z21" s="54"/>
      <c r="AA21" s="55" t="s">
        <v>483</v>
      </c>
      <c r="AB21" s="55" t="s">
        <v>483</v>
      </c>
      <c r="AC21" s="54"/>
      <c r="AD21" s="54"/>
      <c r="AE21" s="54"/>
      <c r="AF21" s="54"/>
      <c r="AG21" s="41">
        <f t="shared" si="6"/>
        <v>16</v>
      </c>
      <c r="AH21" s="42">
        <f t="shared" si="7"/>
        <v>53.333333333333336</v>
      </c>
      <c r="AM21" s="20"/>
      <c r="AN21" s="20"/>
      <c r="AO21" s="20"/>
      <c r="AP21" s="20"/>
      <c r="AQ21" s="20"/>
      <c r="AR21" s="20"/>
      <c r="AX21" s="58"/>
    </row>
    <row r="22" spans="1:50" ht="15" thickBot="1" x14ac:dyDescent="0.4">
      <c r="A22" s="7" t="s">
        <v>51</v>
      </c>
      <c r="B22" s="55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5" t="s">
        <v>185</v>
      </c>
      <c r="N22" s="55" t="s">
        <v>185</v>
      </c>
      <c r="O22" s="55" t="s">
        <v>185</v>
      </c>
      <c r="P22" s="55" t="s">
        <v>185</v>
      </c>
      <c r="Q22" s="55" t="s">
        <v>185</v>
      </c>
      <c r="R22" s="55" t="s">
        <v>185</v>
      </c>
      <c r="S22" s="55" t="s">
        <v>185</v>
      </c>
      <c r="T22" s="54"/>
      <c r="U22" s="54"/>
      <c r="V22" s="54"/>
      <c r="W22" s="54"/>
      <c r="X22" s="54"/>
      <c r="Y22" s="54"/>
      <c r="Z22" s="54"/>
      <c r="AA22" s="55" t="s">
        <v>484</v>
      </c>
      <c r="AB22" s="55" t="s">
        <v>484</v>
      </c>
      <c r="AC22" s="55" t="s">
        <v>484</v>
      </c>
      <c r="AD22" s="54"/>
      <c r="AE22" s="54"/>
      <c r="AF22" s="54"/>
      <c r="AG22" s="41">
        <f t="shared" si="6"/>
        <v>10</v>
      </c>
      <c r="AH22" s="42">
        <f t="shared" si="7"/>
        <v>33.333333333333336</v>
      </c>
      <c r="AX22" s="58"/>
    </row>
    <row r="23" spans="1:50" ht="15.5" x14ac:dyDescent="0.35">
      <c r="A23" s="45" t="s">
        <v>176</v>
      </c>
      <c r="B23" s="46">
        <f>COUNTA(B15:B22)</f>
        <v>5</v>
      </c>
      <c r="C23" s="46">
        <f>COUNTA(C16:C22)</f>
        <v>5</v>
      </c>
      <c r="D23" s="46">
        <f>COUNTA(D16:D22)</f>
        <v>5</v>
      </c>
      <c r="E23" s="46">
        <f t="shared" ref="E23:AF23" si="8">COUNTA(E15:E22)</f>
        <v>3</v>
      </c>
      <c r="F23" s="46">
        <f t="shared" si="8"/>
        <v>3</v>
      </c>
      <c r="G23" s="46">
        <f t="shared" si="8"/>
        <v>3</v>
      </c>
      <c r="H23" s="46">
        <f t="shared" si="8"/>
        <v>4</v>
      </c>
      <c r="I23" s="46">
        <f t="shared" si="8"/>
        <v>5</v>
      </c>
      <c r="J23" s="46">
        <f t="shared" si="8"/>
        <v>6</v>
      </c>
      <c r="K23" s="46">
        <f t="shared" si="8"/>
        <v>6</v>
      </c>
      <c r="L23" s="46">
        <f t="shared" si="8"/>
        <v>6</v>
      </c>
      <c r="M23" s="46">
        <f t="shared" si="8"/>
        <v>7</v>
      </c>
      <c r="N23" s="46">
        <f t="shared" si="8"/>
        <v>7</v>
      </c>
      <c r="O23" s="46">
        <f t="shared" si="8"/>
        <v>8</v>
      </c>
      <c r="P23" s="46">
        <f t="shared" si="8"/>
        <v>8</v>
      </c>
      <c r="Q23" s="46">
        <f t="shared" si="8"/>
        <v>8</v>
      </c>
      <c r="R23" s="46">
        <f t="shared" si="8"/>
        <v>8</v>
      </c>
      <c r="S23" s="46">
        <f t="shared" si="8"/>
        <v>7</v>
      </c>
      <c r="T23" s="46">
        <f t="shared" si="8"/>
        <v>4</v>
      </c>
      <c r="U23" s="46">
        <f t="shared" si="8"/>
        <v>4</v>
      </c>
      <c r="V23" s="46">
        <f t="shared" si="8"/>
        <v>3</v>
      </c>
      <c r="W23" s="46">
        <f t="shared" si="8"/>
        <v>2</v>
      </c>
      <c r="X23" s="46">
        <f t="shared" si="8"/>
        <v>2</v>
      </c>
      <c r="Y23" s="46">
        <f t="shared" si="8"/>
        <v>2</v>
      </c>
      <c r="Z23" s="46">
        <f t="shared" si="8"/>
        <v>2</v>
      </c>
      <c r="AA23" s="46">
        <f t="shared" si="8"/>
        <v>8</v>
      </c>
      <c r="AB23" s="46">
        <f t="shared" si="8"/>
        <v>8</v>
      </c>
      <c r="AC23" s="46">
        <f t="shared" si="8"/>
        <v>4</v>
      </c>
      <c r="AD23" s="46">
        <f t="shared" si="8"/>
        <v>4</v>
      </c>
      <c r="AE23" s="46">
        <f t="shared" si="8"/>
        <v>4</v>
      </c>
      <c r="AF23" s="46">
        <f t="shared" si="8"/>
        <v>3</v>
      </c>
      <c r="AG23" s="43">
        <f>SUM(AG15:AG22)</f>
        <v>154</v>
      </c>
      <c r="AH23" s="66">
        <f>AVERAGE(AH15:AH22)</f>
        <v>64.166666666666657</v>
      </c>
      <c r="AX23" s="58"/>
    </row>
    <row r="24" spans="1:50" ht="15.5" x14ac:dyDescent="0.35">
      <c r="A24" s="47" t="s">
        <v>178</v>
      </c>
      <c r="B24" s="52">
        <f>B12+B23</f>
        <v>7</v>
      </c>
      <c r="C24" s="52">
        <f t="shared" ref="C24:AF24" si="9">C12+C23</f>
        <v>6</v>
      </c>
      <c r="D24" s="52">
        <f t="shared" si="9"/>
        <v>8</v>
      </c>
      <c r="E24" s="52">
        <f t="shared" si="9"/>
        <v>6</v>
      </c>
      <c r="F24" s="52">
        <f t="shared" si="9"/>
        <v>6</v>
      </c>
      <c r="G24" s="52">
        <f t="shared" si="9"/>
        <v>6</v>
      </c>
      <c r="H24" s="52">
        <f t="shared" si="9"/>
        <v>7</v>
      </c>
      <c r="I24" s="52">
        <f t="shared" si="9"/>
        <v>9</v>
      </c>
      <c r="J24" s="52">
        <f t="shared" si="9"/>
        <v>7</v>
      </c>
      <c r="K24" s="52">
        <f t="shared" si="9"/>
        <v>8</v>
      </c>
      <c r="L24" s="52">
        <f t="shared" si="9"/>
        <v>8</v>
      </c>
      <c r="M24" s="52">
        <f t="shared" si="9"/>
        <v>8</v>
      </c>
      <c r="N24" s="52">
        <f t="shared" si="9"/>
        <v>9</v>
      </c>
      <c r="O24" s="52">
        <f t="shared" si="9"/>
        <v>11</v>
      </c>
      <c r="P24" s="52">
        <f t="shared" si="9"/>
        <v>12</v>
      </c>
      <c r="Q24" s="52">
        <f t="shared" si="9"/>
        <v>12</v>
      </c>
      <c r="R24" s="52">
        <f t="shared" si="9"/>
        <v>10</v>
      </c>
      <c r="S24" s="52">
        <f t="shared" si="9"/>
        <v>9</v>
      </c>
      <c r="T24" s="52">
        <f t="shared" si="9"/>
        <v>7</v>
      </c>
      <c r="U24" s="52">
        <f t="shared" si="9"/>
        <v>7</v>
      </c>
      <c r="V24" s="52">
        <f t="shared" si="9"/>
        <v>6</v>
      </c>
      <c r="W24" s="52">
        <f t="shared" si="9"/>
        <v>4</v>
      </c>
      <c r="X24" s="52">
        <f t="shared" si="9"/>
        <v>4</v>
      </c>
      <c r="Y24" s="52">
        <f t="shared" si="9"/>
        <v>3</v>
      </c>
      <c r="Z24" s="52">
        <f t="shared" si="9"/>
        <v>5</v>
      </c>
      <c r="AA24" s="52">
        <f t="shared" si="9"/>
        <v>13</v>
      </c>
      <c r="AB24" s="52">
        <f t="shared" si="9"/>
        <v>13</v>
      </c>
      <c r="AC24" s="52">
        <f t="shared" si="9"/>
        <v>10</v>
      </c>
      <c r="AD24" s="52">
        <f t="shared" si="9"/>
        <v>9</v>
      </c>
      <c r="AE24" s="52">
        <f t="shared" si="9"/>
        <v>9</v>
      </c>
      <c r="AF24" s="52">
        <f t="shared" si="9"/>
        <v>8</v>
      </c>
      <c r="AG24" s="49">
        <f>+AG12+AG23</f>
        <v>247</v>
      </c>
      <c r="AX24" s="58"/>
    </row>
    <row r="25" spans="1:50" ht="15.5" x14ac:dyDescent="0.35">
      <c r="A25" s="48" t="s">
        <v>179</v>
      </c>
      <c r="B25" s="42">
        <f>B24*100/15</f>
        <v>46.666666666666664</v>
      </c>
      <c r="C25" s="42">
        <f t="shared" ref="C25:AF25" si="10">C24*100/15</f>
        <v>40</v>
      </c>
      <c r="D25" s="42">
        <f t="shared" si="10"/>
        <v>53.333333333333336</v>
      </c>
      <c r="E25" s="42">
        <f t="shared" si="10"/>
        <v>40</v>
      </c>
      <c r="F25" s="42">
        <f t="shared" si="10"/>
        <v>40</v>
      </c>
      <c r="G25" s="42">
        <f t="shared" si="10"/>
        <v>40</v>
      </c>
      <c r="H25" s="42">
        <f t="shared" si="10"/>
        <v>46.666666666666664</v>
      </c>
      <c r="I25" s="42">
        <f t="shared" si="10"/>
        <v>60</v>
      </c>
      <c r="J25" s="42">
        <f t="shared" si="10"/>
        <v>46.666666666666664</v>
      </c>
      <c r="K25" s="42">
        <f t="shared" si="10"/>
        <v>53.333333333333336</v>
      </c>
      <c r="L25" s="42">
        <f t="shared" si="10"/>
        <v>53.333333333333336</v>
      </c>
      <c r="M25" s="42">
        <f t="shared" si="10"/>
        <v>53.333333333333336</v>
      </c>
      <c r="N25" s="42">
        <f t="shared" si="10"/>
        <v>60</v>
      </c>
      <c r="O25" s="42">
        <f t="shared" si="10"/>
        <v>73.333333333333329</v>
      </c>
      <c r="P25" s="42">
        <f t="shared" si="10"/>
        <v>80</v>
      </c>
      <c r="Q25" s="42">
        <f t="shared" si="10"/>
        <v>80</v>
      </c>
      <c r="R25" s="42">
        <f t="shared" si="10"/>
        <v>66.666666666666671</v>
      </c>
      <c r="S25" s="42">
        <f t="shared" si="10"/>
        <v>60</v>
      </c>
      <c r="T25" s="42">
        <f t="shared" si="10"/>
        <v>46.666666666666664</v>
      </c>
      <c r="U25" s="42">
        <f t="shared" si="10"/>
        <v>46.666666666666664</v>
      </c>
      <c r="V25" s="42">
        <f t="shared" si="10"/>
        <v>40</v>
      </c>
      <c r="W25" s="42">
        <f t="shared" si="10"/>
        <v>26.666666666666668</v>
      </c>
      <c r="X25" s="42">
        <f t="shared" si="10"/>
        <v>26.666666666666668</v>
      </c>
      <c r="Y25" s="42">
        <f t="shared" si="10"/>
        <v>20</v>
      </c>
      <c r="Z25" s="42">
        <f t="shared" si="10"/>
        <v>33.333333333333336</v>
      </c>
      <c r="AA25" s="42">
        <f t="shared" si="10"/>
        <v>86.666666666666671</v>
      </c>
      <c r="AB25" s="42">
        <f t="shared" si="10"/>
        <v>86.666666666666671</v>
      </c>
      <c r="AC25" s="42">
        <f t="shared" si="10"/>
        <v>66.666666666666671</v>
      </c>
      <c r="AD25" s="42">
        <f t="shared" si="10"/>
        <v>60</v>
      </c>
      <c r="AE25" s="42">
        <f t="shared" si="10"/>
        <v>60</v>
      </c>
      <c r="AF25" s="42">
        <f t="shared" si="10"/>
        <v>53.333333333333336</v>
      </c>
      <c r="AG25" s="50">
        <f>AVERAGE(B25:AE25)</f>
        <v>53.111111111111121</v>
      </c>
      <c r="AH25" s="51" t="s">
        <v>180</v>
      </c>
      <c r="AX25" s="58"/>
    </row>
    <row r="26" spans="1:50" x14ac:dyDescent="0.35">
      <c r="AX26" s="58"/>
    </row>
    <row r="27" spans="1:50" x14ac:dyDescent="0.35">
      <c r="P27" s="71"/>
      <c r="Q27" s="71"/>
    </row>
    <row r="28" spans="1:50" x14ac:dyDescent="0.35">
      <c r="P28" s="71"/>
      <c r="Q28" s="71"/>
    </row>
    <row r="29" spans="1:50" x14ac:dyDescent="0.35">
      <c r="P29" s="71"/>
      <c r="Q29" s="71"/>
    </row>
  </sheetData>
  <mergeCells count="2">
    <mergeCell ref="A1:AE1"/>
    <mergeCell ref="AM3:AR3"/>
  </mergeCells>
  <conditionalFormatting sqref="B5">
    <cfRule type="colorScale" priority="2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7">
    <cfRule type="colorScale" priority="2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8">
    <cfRule type="colorScale" priority="2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9:B10">
    <cfRule type="colorScale" priority="30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1">
    <cfRule type="colorScale" priority="28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5">
    <cfRule type="colorScale" priority="2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6">
    <cfRule type="colorScale" priority="18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7">
    <cfRule type="colorScale" priority="2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8:B19">
    <cfRule type="colorScale" priority="20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21">
    <cfRule type="colorScale" priority="1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22">
    <cfRule type="colorScale" priority="2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6:C6">
    <cfRule type="colorScale" priority="29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C5">
    <cfRule type="colorScale" priority="3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C7">
    <cfRule type="colorScale" priority="3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C8">
    <cfRule type="colorScale" priority="38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C9:C10">
    <cfRule type="colorScale" priority="39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C15">
    <cfRule type="colorScale" priority="4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C17">
    <cfRule type="colorScale" priority="4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C21">
    <cfRule type="colorScale" priority="40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C19:D19">
    <cfRule type="colorScale" priority="1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C22:L22 E19:I19 D21:H21 E17:J17 D15:G15 V18:AA18 V16:AA16 K19 T19:AA19 L17:AA17 T22:AF22 P21:AF21 AB16:AF19">
    <cfRule type="colorScale" priority="10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C16:U16">
    <cfRule type="colorScale" priority="4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C18:U18">
    <cfRule type="colorScale" priority="4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C11:AF11">
    <cfRule type="colorScale" priority="3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D17">
    <cfRule type="colorScale" priority="9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D20 B20 F20 H20 J20 L20 N20 P20 T20:AF20">
    <cfRule type="colorScale" priority="19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D7:I7">
    <cfRule type="colorScale" priority="10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D8:I8">
    <cfRule type="colorScale" priority="1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D10:I10">
    <cfRule type="colorScale" priority="1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E20 C20 G20 K20 M20 O20 I20:I21 J21:O21 Q20:S20">
    <cfRule type="colorScale" priority="4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H15:AF15">
    <cfRule type="colorScale" priority="8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J19">
    <cfRule type="colorScale" priority="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J10:N10 D9:Y9 J8:N8 S10:Y10 Z9:AE10 J7:AE7 Y8:AE8 D5:AF6 AF7:AF10">
    <cfRule type="colorScale" priority="8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K17">
    <cfRule type="colorScale" priority="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L19">
    <cfRule type="colorScale" priority="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L13:U14 B13:I14 X13:AH14">
    <cfRule type="colorScale" priority="11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M19:S19">
    <cfRule type="colorScale" priority="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M22:S22">
    <cfRule type="colorScale" priority="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O10:R10">
    <cfRule type="colorScale" priority="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O8:X8">
    <cfRule type="colorScale" priority="1">
      <colorScale>
        <cfvo type="num" val="1"/>
        <cfvo type="max"/>
        <color theme="4" tint="0.59999389629810485"/>
        <color theme="5" tint="0.59999389629810485"/>
      </colorScale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41208-3F5A-47C2-A7DD-49995D33D4CC}">
  <dimension ref="A1:AX29"/>
  <sheetViews>
    <sheetView zoomScale="86" zoomScaleNormal="86" workbookViewId="0">
      <pane xSplit="1" ySplit="4" topLeftCell="V5" activePane="bottomRight" state="frozen"/>
      <selection pane="topRight" activeCell="B1" sqref="B1"/>
      <selection pane="bottomLeft" activeCell="A5" sqref="A5"/>
      <selection pane="bottomRight" activeCell="AB25" sqref="AB25"/>
    </sheetView>
  </sheetViews>
  <sheetFormatPr defaultRowHeight="14.5" x14ac:dyDescent="0.35"/>
  <cols>
    <col min="1" max="1" width="29.81640625" customWidth="1"/>
    <col min="2" max="2" width="9.81640625" hidden="1" customWidth="1"/>
    <col min="3" max="3" width="8.453125" hidden="1" customWidth="1"/>
    <col min="4" max="5" width="8" hidden="1" customWidth="1"/>
    <col min="6" max="6" width="7.81640625" hidden="1" customWidth="1"/>
    <col min="7" max="12" width="11.81640625" hidden="1" customWidth="1"/>
    <col min="13" max="14" width="13.453125" hidden="1" customWidth="1"/>
    <col min="15" max="19" width="11.54296875" hidden="1" customWidth="1"/>
    <col min="20" max="21" width="12.81640625" hidden="1" customWidth="1"/>
    <col min="22" max="22" width="14.1796875" bestFit="1" customWidth="1"/>
    <col min="23" max="25" width="12.81640625" bestFit="1" customWidth="1"/>
    <col min="26" max="31" width="10.54296875" bestFit="1" customWidth="1"/>
    <col min="32" max="32" width="10.54296875" customWidth="1"/>
    <col min="33" max="33" width="4.7265625" bestFit="1" customWidth="1"/>
    <col min="34" max="34" width="8.453125" bestFit="1" customWidth="1"/>
    <col min="35" max="35" width="7.7265625" bestFit="1" customWidth="1"/>
    <col min="36" max="36" width="6.54296875" bestFit="1" customWidth="1"/>
    <col min="37" max="37" width="0" hidden="1" customWidth="1"/>
    <col min="38" max="38" width="3" hidden="1" customWidth="1"/>
    <col min="39" max="39" width="17.81640625" bestFit="1" customWidth="1"/>
    <col min="40" max="40" width="9.1796875" bestFit="1" customWidth="1"/>
    <col min="41" max="41" width="9.81640625" bestFit="1" customWidth="1"/>
    <col min="42" max="42" width="10.81640625" bestFit="1" customWidth="1"/>
    <col min="43" max="43" width="10.1796875" bestFit="1" customWidth="1"/>
    <col min="44" max="44" width="23.1796875" bestFit="1" customWidth="1"/>
    <col min="45" max="45" width="0.453125" hidden="1" customWidth="1"/>
    <col min="46" max="49" width="0" hidden="1" customWidth="1"/>
    <col min="51" max="51" width="15" bestFit="1" customWidth="1"/>
  </cols>
  <sheetData>
    <row r="1" spans="1:44" ht="15.5" x14ac:dyDescent="0.35">
      <c r="A1" s="120" t="s">
        <v>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65"/>
    </row>
    <row r="2" spans="1:44" ht="15" thickBot="1" x14ac:dyDescent="0.4"/>
    <row r="3" spans="1:44" ht="45.75" customHeight="1" x14ac:dyDescent="0.35">
      <c r="A3" s="1" t="s">
        <v>1</v>
      </c>
      <c r="B3" s="2">
        <f>AI4</f>
        <v>45292</v>
      </c>
      <c r="C3" s="2">
        <f t="shared" ref="C3:AF3" si="0">B3+1</f>
        <v>45293</v>
      </c>
      <c r="D3" s="2">
        <f t="shared" si="0"/>
        <v>45294</v>
      </c>
      <c r="E3" s="2">
        <f t="shared" si="0"/>
        <v>45295</v>
      </c>
      <c r="F3" s="2">
        <f t="shared" si="0"/>
        <v>45296</v>
      </c>
      <c r="G3" s="2">
        <f t="shared" si="0"/>
        <v>45297</v>
      </c>
      <c r="H3" s="2">
        <f t="shared" si="0"/>
        <v>45298</v>
      </c>
      <c r="I3" s="2">
        <f>H3+1</f>
        <v>45299</v>
      </c>
      <c r="J3" s="2">
        <f t="shared" si="0"/>
        <v>45300</v>
      </c>
      <c r="K3" s="2">
        <f t="shared" si="0"/>
        <v>45301</v>
      </c>
      <c r="L3" s="2">
        <f t="shared" si="0"/>
        <v>45302</v>
      </c>
      <c r="M3" s="2">
        <f t="shared" si="0"/>
        <v>45303</v>
      </c>
      <c r="N3" s="2">
        <f t="shared" si="0"/>
        <v>45304</v>
      </c>
      <c r="O3" s="2">
        <f t="shared" si="0"/>
        <v>45305</v>
      </c>
      <c r="P3" s="2">
        <f t="shared" si="0"/>
        <v>45306</v>
      </c>
      <c r="Q3" s="2">
        <f t="shared" si="0"/>
        <v>45307</v>
      </c>
      <c r="R3" s="2">
        <f t="shared" si="0"/>
        <v>45308</v>
      </c>
      <c r="S3" s="2">
        <f t="shared" si="0"/>
        <v>45309</v>
      </c>
      <c r="T3" s="2">
        <f t="shared" si="0"/>
        <v>45310</v>
      </c>
      <c r="U3" s="2">
        <f t="shared" si="0"/>
        <v>45311</v>
      </c>
      <c r="V3" s="2">
        <f t="shared" si="0"/>
        <v>45312</v>
      </c>
      <c r="W3" s="2">
        <f t="shared" si="0"/>
        <v>45313</v>
      </c>
      <c r="X3" s="2">
        <f t="shared" si="0"/>
        <v>45314</v>
      </c>
      <c r="Y3" s="2">
        <f t="shared" si="0"/>
        <v>45315</v>
      </c>
      <c r="Z3" s="2">
        <f t="shared" si="0"/>
        <v>45316</v>
      </c>
      <c r="AA3" s="2">
        <f t="shared" si="0"/>
        <v>45317</v>
      </c>
      <c r="AB3" s="2">
        <f t="shared" si="0"/>
        <v>45318</v>
      </c>
      <c r="AC3" s="2">
        <f t="shared" si="0"/>
        <v>45319</v>
      </c>
      <c r="AD3" s="2">
        <f t="shared" si="0"/>
        <v>45320</v>
      </c>
      <c r="AE3" s="2">
        <f t="shared" si="0"/>
        <v>45321</v>
      </c>
      <c r="AF3" s="2">
        <f t="shared" si="0"/>
        <v>45322</v>
      </c>
      <c r="AG3" s="36"/>
      <c r="AH3" s="36"/>
      <c r="AM3" s="122" t="s">
        <v>267</v>
      </c>
      <c r="AN3" s="123"/>
      <c r="AO3" s="123"/>
      <c r="AP3" s="123"/>
      <c r="AQ3" s="123"/>
      <c r="AR3" s="124"/>
    </row>
    <row r="4" spans="1:44" ht="31.5" customHeight="1" x14ac:dyDescent="0.35">
      <c r="A4" s="3" t="s">
        <v>2</v>
      </c>
      <c r="B4" s="4">
        <f t="shared" ref="B4:AF4" si="1">B3</f>
        <v>45292</v>
      </c>
      <c r="C4" s="4">
        <f t="shared" si="1"/>
        <v>45293</v>
      </c>
      <c r="D4" s="4">
        <f t="shared" si="1"/>
        <v>45294</v>
      </c>
      <c r="E4" s="4">
        <f t="shared" si="1"/>
        <v>45295</v>
      </c>
      <c r="F4" s="4">
        <f t="shared" si="1"/>
        <v>45296</v>
      </c>
      <c r="G4" s="4">
        <f t="shared" si="1"/>
        <v>45297</v>
      </c>
      <c r="H4" s="4">
        <f t="shared" si="1"/>
        <v>45298</v>
      </c>
      <c r="I4" s="4">
        <f t="shared" si="1"/>
        <v>45299</v>
      </c>
      <c r="J4" s="4">
        <f t="shared" si="1"/>
        <v>45300</v>
      </c>
      <c r="K4" s="4">
        <f t="shared" si="1"/>
        <v>45301</v>
      </c>
      <c r="L4" s="4">
        <f t="shared" si="1"/>
        <v>45302</v>
      </c>
      <c r="M4" s="4">
        <f t="shared" si="1"/>
        <v>45303</v>
      </c>
      <c r="N4" s="4">
        <f t="shared" si="1"/>
        <v>45304</v>
      </c>
      <c r="O4" s="4">
        <f t="shared" si="1"/>
        <v>45305</v>
      </c>
      <c r="P4" s="4">
        <f t="shared" si="1"/>
        <v>45306</v>
      </c>
      <c r="Q4" s="4">
        <f t="shared" si="1"/>
        <v>45307</v>
      </c>
      <c r="R4" s="4">
        <f t="shared" si="1"/>
        <v>45308</v>
      </c>
      <c r="S4" s="4">
        <f t="shared" si="1"/>
        <v>45309</v>
      </c>
      <c r="T4" s="4">
        <f t="shared" si="1"/>
        <v>45310</v>
      </c>
      <c r="U4" s="4">
        <f t="shared" si="1"/>
        <v>45311</v>
      </c>
      <c r="V4" s="4">
        <f t="shared" si="1"/>
        <v>45312</v>
      </c>
      <c r="W4" s="4">
        <f t="shared" si="1"/>
        <v>45313</v>
      </c>
      <c r="X4" s="4">
        <f t="shared" si="1"/>
        <v>45314</v>
      </c>
      <c r="Y4" s="4">
        <f t="shared" si="1"/>
        <v>45315</v>
      </c>
      <c r="Z4" s="4">
        <f t="shared" si="1"/>
        <v>45316</v>
      </c>
      <c r="AA4" s="4">
        <f t="shared" si="1"/>
        <v>45317</v>
      </c>
      <c r="AB4" s="4">
        <f t="shared" si="1"/>
        <v>45318</v>
      </c>
      <c r="AC4" s="4">
        <f t="shared" si="1"/>
        <v>45319</v>
      </c>
      <c r="AD4" s="4">
        <f t="shared" si="1"/>
        <v>45320</v>
      </c>
      <c r="AE4" s="4">
        <f t="shared" si="1"/>
        <v>45321</v>
      </c>
      <c r="AF4" s="4">
        <f t="shared" si="1"/>
        <v>45322</v>
      </c>
      <c r="AG4" s="39" t="s">
        <v>174</v>
      </c>
      <c r="AH4" s="40" t="s">
        <v>175</v>
      </c>
      <c r="AI4" s="5">
        <v>45292</v>
      </c>
      <c r="AJ4" s="6">
        <f>EOMONTH(AI4,0)</f>
        <v>45322</v>
      </c>
      <c r="AM4" s="19" t="s">
        <v>54</v>
      </c>
      <c r="AN4" s="19" t="s">
        <v>269</v>
      </c>
      <c r="AO4" s="19" t="s">
        <v>55</v>
      </c>
      <c r="AP4" s="19" t="s">
        <v>56</v>
      </c>
      <c r="AQ4" s="19" t="s">
        <v>251</v>
      </c>
      <c r="AR4" s="19" t="s">
        <v>57</v>
      </c>
    </row>
    <row r="5" spans="1:44" x14ac:dyDescent="0.35">
      <c r="A5" s="7" t="s">
        <v>3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8"/>
      <c r="P5" s="8" t="s">
        <v>437</v>
      </c>
      <c r="Q5" s="8" t="s">
        <v>437</v>
      </c>
      <c r="R5" s="8"/>
      <c r="S5" s="8"/>
      <c r="T5" s="8"/>
      <c r="U5" s="8"/>
      <c r="V5" s="8"/>
      <c r="W5" s="8" t="s">
        <v>437</v>
      </c>
      <c r="X5" s="8" t="s">
        <v>437</v>
      </c>
      <c r="Y5" s="8" t="s">
        <v>437</v>
      </c>
      <c r="Z5" s="8" t="s">
        <v>437</v>
      </c>
      <c r="AA5" s="8" t="s">
        <v>437</v>
      </c>
      <c r="AB5" s="8"/>
      <c r="AC5" s="8"/>
      <c r="AD5" s="8"/>
      <c r="AE5" s="8"/>
      <c r="AF5" s="8"/>
      <c r="AG5" s="41">
        <f>COUNTA(B5:AF5)</f>
        <v>7</v>
      </c>
      <c r="AH5" s="42">
        <f>AG5*100/30</f>
        <v>23.333333333333332</v>
      </c>
      <c r="AM5" s="20"/>
      <c r="AN5" s="56"/>
      <c r="AO5" s="56"/>
      <c r="AP5" s="56"/>
      <c r="AQ5" s="57"/>
      <c r="AR5" s="20"/>
    </row>
    <row r="6" spans="1:44" x14ac:dyDescent="0.35">
      <c r="A6" s="7" t="s">
        <v>7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8" t="s">
        <v>95</v>
      </c>
      <c r="O6" s="8" t="s">
        <v>95</v>
      </c>
      <c r="P6" s="8" t="s">
        <v>95</v>
      </c>
      <c r="Q6" s="8" t="s">
        <v>95</v>
      </c>
      <c r="R6" s="8" t="s">
        <v>95</v>
      </c>
      <c r="S6" s="8"/>
      <c r="T6" s="8"/>
      <c r="U6" s="8"/>
      <c r="V6" s="8"/>
      <c r="W6" s="8" t="s">
        <v>374</v>
      </c>
      <c r="X6" s="8" t="s">
        <v>374</v>
      </c>
      <c r="Y6" s="8" t="s">
        <v>374</v>
      </c>
      <c r="Z6" s="8" t="s">
        <v>374</v>
      </c>
      <c r="AA6" s="8"/>
      <c r="AB6" s="8"/>
      <c r="AC6" s="8"/>
      <c r="AD6" s="8"/>
      <c r="AE6" s="8" t="s">
        <v>509</v>
      </c>
      <c r="AF6" s="8" t="s">
        <v>509</v>
      </c>
      <c r="AG6" s="41">
        <f t="shared" ref="AG6:AG11" si="2">COUNTA(B6:AF6)</f>
        <v>11</v>
      </c>
      <c r="AH6" s="42">
        <f t="shared" ref="AH6:AH11" si="3">AG6*100/30</f>
        <v>36.666666666666664</v>
      </c>
      <c r="AM6" s="20"/>
      <c r="AN6" s="56"/>
      <c r="AO6" s="56"/>
      <c r="AP6" s="56"/>
      <c r="AQ6" s="57"/>
      <c r="AR6" s="20"/>
    </row>
    <row r="7" spans="1:44" x14ac:dyDescent="0.35">
      <c r="A7" s="7" t="s">
        <v>11</v>
      </c>
      <c r="B7" s="55" t="s">
        <v>187</v>
      </c>
      <c r="C7" s="55" t="s">
        <v>187</v>
      </c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8" t="s">
        <v>387</v>
      </c>
      <c r="Q7" s="8" t="s">
        <v>387</v>
      </c>
      <c r="R7" s="8"/>
      <c r="S7" s="8"/>
      <c r="T7" s="8"/>
      <c r="U7" s="8"/>
      <c r="V7" s="8"/>
      <c r="W7" s="8" t="s">
        <v>495</v>
      </c>
      <c r="X7" s="8" t="s">
        <v>495</v>
      </c>
      <c r="Y7" s="8" t="s">
        <v>495</v>
      </c>
      <c r="Z7" s="8" t="s">
        <v>495</v>
      </c>
      <c r="AA7" s="8"/>
      <c r="AB7" s="8" t="s">
        <v>505</v>
      </c>
      <c r="AC7" s="8"/>
      <c r="AD7" s="8"/>
      <c r="AE7" s="8" t="s">
        <v>509</v>
      </c>
      <c r="AF7" s="8" t="s">
        <v>509</v>
      </c>
      <c r="AG7" s="41">
        <f t="shared" si="2"/>
        <v>11</v>
      </c>
      <c r="AH7" s="42">
        <f t="shared" si="3"/>
        <v>36.666666666666664</v>
      </c>
      <c r="AM7" s="20"/>
      <c r="AN7" s="56"/>
      <c r="AO7" s="56"/>
      <c r="AP7" s="56"/>
      <c r="AQ7" s="57"/>
      <c r="AR7" s="20"/>
    </row>
    <row r="8" spans="1:44" ht="15" customHeight="1" x14ac:dyDescent="0.35">
      <c r="A8" s="7" t="s">
        <v>15</v>
      </c>
      <c r="B8" s="55" t="s">
        <v>187</v>
      </c>
      <c r="C8" s="55" t="s">
        <v>187</v>
      </c>
      <c r="D8" s="55"/>
      <c r="E8" s="55"/>
      <c r="F8" s="55"/>
      <c r="G8" s="55"/>
      <c r="H8" s="55"/>
      <c r="I8" s="55"/>
      <c r="J8" s="55"/>
      <c r="K8" s="55"/>
      <c r="L8" s="55"/>
      <c r="M8" s="55"/>
      <c r="N8" s="8" t="s">
        <v>95</v>
      </c>
      <c r="O8" s="8" t="s">
        <v>95</v>
      </c>
      <c r="P8" s="8" t="s">
        <v>95</v>
      </c>
      <c r="Q8" s="8" t="s">
        <v>95</v>
      </c>
      <c r="R8" s="8" t="s">
        <v>95</v>
      </c>
      <c r="S8" s="8"/>
      <c r="T8" s="8"/>
      <c r="U8" s="8"/>
      <c r="V8" s="8"/>
      <c r="W8" s="8" t="s">
        <v>493</v>
      </c>
      <c r="X8" s="8" t="s">
        <v>493</v>
      </c>
      <c r="Y8" s="8" t="s">
        <v>493</v>
      </c>
      <c r="Z8" s="8" t="s">
        <v>493</v>
      </c>
      <c r="AA8" s="8"/>
      <c r="AB8" s="8"/>
      <c r="AC8" s="8"/>
      <c r="AD8" s="8"/>
      <c r="AE8" s="8" t="s">
        <v>509</v>
      </c>
      <c r="AF8" s="8" t="s">
        <v>509</v>
      </c>
      <c r="AG8" s="41">
        <f t="shared" si="2"/>
        <v>13</v>
      </c>
      <c r="AH8" s="42">
        <f t="shared" si="3"/>
        <v>43.333333333333336</v>
      </c>
      <c r="AK8" s="9"/>
      <c r="AM8" s="20"/>
      <c r="AN8" s="56"/>
      <c r="AO8" s="56"/>
      <c r="AP8" s="56"/>
      <c r="AQ8" s="57"/>
      <c r="AR8" s="20"/>
    </row>
    <row r="9" spans="1:44" ht="15.75" customHeight="1" x14ac:dyDescent="0.35">
      <c r="A9" s="7" t="s">
        <v>18</v>
      </c>
      <c r="B9" s="55" t="s">
        <v>482</v>
      </c>
      <c r="C9" s="55" t="s">
        <v>482</v>
      </c>
      <c r="D9" s="55" t="s">
        <v>482</v>
      </c>
      <c r="E9" s="55" t="s">
        <v>482</v>
      </c>
      <c r="F9" s="55"/>
      <c r="G9" s="55"/>
      <c r="H9" s="55"/>
      <c r="I9" s="55"/>
      <c r="J9" s="55"/>
      <c r="K9" s="55"/>
      <c r="L9" s="55"/>
      <c r="M9" s="55"/>
      <c r="N9" s="55"/>
      <c r="O9" s="55"/>
      <c r="P9" s="8" t="s">
        <v>276</v>
      </c>
      <c r="Q9" s="8" t="s">
        <v>276</v>
      </c>
      <c r="R9" s="8" t="s">
        <v>276</v>
      </c>
      <c r="S9" s="8"/>
      <c r="T9" s="8"/>
      <c r="U9" s="8"/>
      <c r="V9" s="8"/>
      <c r="W9" s="8" t="s">
        <v>501</v>
      </c>
      <c r="X9" s="8" t="s">
        <v>501</v>
      </c>
      <c r="Y9" s="8" t="s">
        <v>501</v>
      </c>
      <c r="Z9" s="8" t="s">
        <v>501</v>
      </c>
      <c r="AA9" s="8"/>
      <c r="AB9" s="8" t="s">
        <v>310</v>
      </c>
      <c r="AC9" s="8" t="s">
        <v>310</v>
      </c>
      <c r="AD9" s="8"/>
      <c r="AE9" s="8" t="s">
        <v>509</v>
      </c>
      <c r="AF9" s="8" t="s">
        <v>509</v>
      </c>
      <c r="AG9" s="41">
        <f t="shared" si="2"/>
        <v>15</v>
      </c>
      <c r="AH9" s="42">
        <f t="shared" si="3"/>
        <v>50</v>
      </c>
      <c r="AM9" s="20"/>
      <c r="AN9" s="56"/>
      <c r="AO9" s="56"/>
      <c r="AP9" s="56"/>
      <c r="AQ9" s="57"/>
      <c r="AR9" s="20"/>
    </row>
    <row r="10" spans="1:44" ht="15.75" customHeight="1" x14ac:dyDescent="0.35">
      <c r="A10" s="7" t="s">
        <v>20</v>
      </c>
      <c r="B10" s="55" t="s">
        <v>482</v>
      </c>
      <c r="C10" s="55" t="s">
        <v>482</v>
      </c>
      <c r="D10" s="55" t="s">
        <v>482</v>
      </c>
      <c r="E10" s="55" t="s">
        <v>482</v>
      </c>
      <c r="F10" s="55"/>
      <c r="G10" s="55"/>
      <c r="H10" s="55"/>
      <c r="I10" s="55"/>
      <c r="J10" s="55"/>
      <c r="K10" s="55"/>
      <c r="L10" s="55"/>
      <c r="M10" s="55"/>
      <c r="N10" s="8" t="s">
        <v>95</v>
      </c>
      <c r="O10" s="8" t="s">
        <v>95</v>
      </c>
      <c r="P10" s="8" t="s">
        <v>95</v>
      </c>
      <c r="Q10" s="8" t="s">
        <v>95</v>
      </c>
      <c r="R10" s="8" t="s">
        <v>95</v>
      </c>
      <c r="S10" s="8" t="s">
        <v>95</v>
      </c>
      <c r="T10" s="8" t="s">
        <v>95</v>
      </c>
      <c r="U10" s="8" t="s">
        <v>95</v>
      </c>
      <c r="V10" s="8" t="s">
        <v>95</v>
      </c>
      <c r="W10" s="8" t="s">
        <v>95</v>
      </c>
      <c r="X10" s="8" t="s">
        <v>95</v>
      </c>
      <c r="Y10" s="8" t="s">
        <v>95</v>
      </c>
      <c r="Z10" s="8" t="s">
        <v>95</v>
      </c>
      <c r="AA10" s="8"/>
      <c r="AB10" s="8" t="s">
        <v>310</v>
      </c>
      <c r="AC10" s="8" t="s">
        <v>310</v>
      </c>
      <c r="AD10" s="8" t="s">
        <v>310</v>
      </c>
      <c r="AE10" s="8"/>
      <c r="AF10" s="8"/>
      <c r="AG10" s="41">
        <f t="shared" si="2"/>
        <v>20</v>
      </c>
      <c r="AH10" s="42">
        <f t="shared" si="3"/>
        <v>66.666666666666671</v>
      </c>
      <c r="AM10" s="20"/>
      <c r="AN10" s="56"/>
      <c r="AO10" s="56"/>
      <c r="AP10" s="56"/>
      <c r="AQ10" s="57"/>
      <c r="AR10" s="20"/>
    </row>
    <row r="11" spans="1:44" ht="15.75" customHeight="1" thickBot="1" x14ac:dyDescent="0.4">
      <c r="A11" s="7" t="s">
        <v>24</v>
      </c>
      <c r="B11" s="55" t="s">
        <v>34</v>
      </c>
      <c r="C11" s="55" t="s">
        <v>34</v>
      </c>
      <c r="D11" s="55" t="s">
        <v>34</v>
      </c>
      <c r="E11" s="55" t="s">
        <v>34</v>
      </c>
      <c r="F11" s="55" t="s">
        <v>34</v>
      </c>
      <c r="G11" s="55" t="s">
        <v>34</v>
      </c>
      <c r="H11" s="55" t="s">
        <v>34</v>
      </c>
      <c r="I11" s="55" t="s">
        <v>34</v>
      </c>
      <c r="J11" s="55" t="s">
        <v>34</v>
      </c>
      <c r="K11" s="55" t="s">
        <v>34</v>
      </c>
      <c r="L11" s="55" t="s">
        <v>34</v>
      </c>
      <c r="M11" s="55" t="s">
        <v>34</v>
      </c>
      <c r="N11" s="55" t="s">
        <v>34</v>
      </c>
      <c r="O11" s="55" t="s">
        <v>34</v>
      </c>
      <c r="P11" s="55" t="s">
        <v>34</v>
      </c>
      <c r="Q11" s="55" t="s">
        <v>34</v>
      </c>
      <c r="R11" s="55" t="s">
        <v>34</v>
      </c>
      <c r="S11" s="55" t="s">
        <v>34</v>
      </c>
      <c r="T11" s="55" t="s">
        <v>34</v>
      </c>
      <c r="U11" s="55" t="s">
        <v>34</v>
      </c>
      <c r="V11" s="55" t="s">
        <v>34</v>
      </c>
      <c r="W11" s="55" t="s">
        <v>34</v>
      </c>
      <c r="X11" s="55" t="s">
        <v>34</v>
      </c>
      <c r="Y11" s="55" t="s">
        <v>34</v>
      </c>
      <c r="Z11" s="55" t="s">
        <v>34</v>
      </c>
      <c r="AA11" s="55" t="s">
        <v>34</v>
      </c>
      <c r="AB11" s="55" t="s">
        <v>34</v>
      </c>
      <c r="AC11" s="55" t="s">
        <v>34</v>
      </c>
      <c r="AD11" s="55" t="s">
        <v>34</v>
      </c>
      <c r="AE11" s="55" t="s">
        <v>34</v>
      </c>
      <c r="AF11" s="55" t="s">
        <v>34</v>
      </c>
      <c r="AG11" s="41">
        <f t="shared" si="2"/>
        <v>31</v>
      </c>
      <c r="AH11" s="42">
        <f t="shared" si="3"/>
        <v>103.33333333333333</v>
      </c>
      <c r="AM11" s="20"/>
      <c r="AN11" s="20"/>
      <c r="AO11" s="20"/>
      <c r="AP11" s="20"/>
      <c r="AQ11" s="20"/>
      <c r="AR11" s="20"/>
    </row>
    <row r="12" spans="1:44" ht="15" customHeight="1" x14ac:dyDescent="0.35">
      <c r="A12" s="45" t="s">
        <v>176</v>
      </c>
      <c r="B12" s="46">
        <f>COUNTA(B5:B11)</f>
        <v>5</v>
      </c>
      <c r="C12" s="46">
        <f>COUNTA(C5:C11)</f>
        <v>5</v>
      </c>
      <c r="D12" s="46">
        <f t="shared" ref="D12:AF12" si="4">COUNTA(D5:D11)</f>
        <v>3</v>
      </c>
      <c r="E12" s="46">
        <f t="shared" si="4"/>
        <v>3</v>
      </c>
      <c r="F12" s="46">
        <f t="shared" si="4"/>
        <v>1</v>
      </c>
      <c r="G12" s="46">
        <f t="shared" si="4"/>
        <v>1</v>
      </c>
      <c r="H12" s="46">
        <f t="shared" si="4"/>
        <v>1</v>
      </c>
      <c r="I12" s="46">
        <f t="shared" si="4"/>
        <v>1</v>
      </c>
      <c r="J12" s="46">
        <f t="shared" si="4"/>
        <v>1</v>
      </c>
      <c r="K12" s="46">
        <f t="shared" si="4"/>
        <v>1</v>
      </c>
      <c r="L12" s="46">
        <f t="shared" si="4"/>
        <v>1</v>
      </c>
      <c r="M12" s="46">
        <f t="shared" si="4"/>
        <v>1</v>
      </c>
      <c r="N12" s="46">
        <f t="shared" si="4"/>
        <v>4</v>
      </c>
      <c r="O12" s="46">
        <f t="shared" si="4"/>
        <v>4</v>
      </c>
      <c r="P12" s="46">
        <f t="shared" si="4"/>
        <v>7</v>
      </c>
      <c r="Q12" s="46">
        <f t="shared" si="4"/>
        <v>7</v>
      </c>
      <c r="R12" s="46">
        <f t="shared" si="4"/>
        <v>5</v>
      </c>
      <c r="S12" s="46">
        <f t="shared" si="4"/>
        <v>2</v>
      </c>
      <c r="T12" s="46">
        <f t="shared" si="4"/>
        <v>2</v>
      </c>
      <c r="U12" s="46">
        <f t="shared" si="4"/>
        <v>2</v>
      </c>
      <c r="V12" s="46">
        <f t="shared" si="4"/>
        <v>2</v>
      </c>
      <c r="W12" s="46">
        <f t="shared" si="4"/>
        <v>7</v>
      </c>
      <c r="X12" s="46">
        <f t="shared" si="4"/>
        <v>7</v>
      </c>
      <c r="Y12" s="46">
        <f t="shared" si="4"/>
        <v>7</v>
      </c>
      <c r="Z12" s="46">
        <f t="shared" si="4"/>
        <v>7</v>
      </c>
      <c r="AA12" s="46">
        <f t="shared" si="4"/>
        <v>2</v>
      </c>
      <c r="AB12" s="46">
        <f t="shared" si="4"/>
        <v>4</v>
      </c>
      <c r="AC12" s="46">
        <f t="shared" si="4"/>
        <v>3</v>
      </c>
      <c r="AD12" s="46">
        <f t="shared" si="4"/>
        <v>2</v>
      </c>
      <c r="AE12" s="46">
        <f t="shared" si="4"/>
        <v>5</v>
      </c>
      <c r="AF12" s="46">
        <f t="shared" si="4"/>
        <v>5</v>
      </c>
      <c r="AG12" s="43">
        <f t="shared" ref="AG12" si="5">SUM(AG5:AG11)</f>
        <v>108</v>
      </c>
      <c r="AH12" s="44">
        <f>AVERAGE(AH5:AH11)</f>
        <v>51.428571428571431</v>
      </c>
      <c r="AI12" s="29"/>
      <c r="AM12" s="20"/>
      <c r="AN12" s="20"/>
      <c r="AO12" s="20"/>
      <c r="AP12" s="20"/>
      <c r="AQ12" s="20"/>
      <c r="AR12" s="20"/>
    </row>
    <row r="13" spans="1:44" ht="85.5" hidden="1" x14ac:dyDescent="0.35">
      <c r="A13" s="13" t="s">
        <v>28</v>
      </c>
      <c r="B13" s="14"/>
      <c r="C13" s="14"/>
      <c r="D13" s="14"/>
      <c r="E13" s="14"/>
      <c r="F13" s="14"/>
      <c r="G13" s="14"/>
      <c r="H13" s="14"/>
      <c r="I13" s="35"/>
      <c r="J13" s="34"/>
      <c r="K13" s="15"/>
      <c r="L13" s="14"/>
      <c r="M13" s="14"/>
      <c r="N13" s="25"/>
      <c r="O13" s="25"/>
      <c r="P13" s="25"/>
      <c r="Q13" s="14"/>
      <c r="R13" s="14"/>
      <c r="S13" s="14"/>
      <c r="T13" s="14"/>
      <c r="U13" s="14"/>
      <c r="V13" s="15"/>
      <c r="W13" s="15"/>
      <c r="X13" s="14"/>
      <c r="Y13" s="14"/>
      <c r="Z13" s="14"/>
      <c r="AA13" s="14"/>
      <c r="AB13" s="14"/>
      <c r="AC13" s="14"/>
      <c r="AD13" s="14"/>
      <c r="AE13" s="14"/>
      <c r="AF13" s="14"/>
      <c r="AG13" s="37"/>
      <c r="AH13" s="37"/>
      <c r="AM13" s="20"/>
      <c r="AN13" s="20"/>
      <c r="AO13" s="20"/>
      <c r="AP13" s="20"/>
      <c r="AQ13" s="20"/>
      <c r="AR13" s="20"/>
    </row>
    <row r="14" spans="1:44" ht="28.5" hidden="1" x14ac:dyDescent="0.35">
      <c r="A14" s="16" t="s">
        <v>29</v>
      </c>
      <c r="B14" s="14"/>
      <c r="C14" s="14"/>
      <c r="D14" s="14"/>
      <c r="E14" s="14"/>
      <c r="F14" s="14"/>
      <c r="G14" s="14"/>
      <c r="H14" s="14"/>
      <c r="I14" s="35"/>
      <c r="J14" s="34"/>
      <c r="K14" s="15"/>
      <c r="L14" s="14"/>
      <c r="M14" s="14"/>
      <c r="N14" s="25"/>
      <c r="O14" s="25"/>
      <c r="P14" s="25"/>
      <c r="Q14" s="14"/>
      <c r="R14" s="14"/>
      <c r="S14" s="14"/>
      <c r="T14" s="14"/>
      <c r="U14" s="14"/>
      <c r="V14" s="15"/>
      <c r="W14" s="15"/>
      <c r="X14" s="14"/>
      <c r="Y14" s="14"/>
      <c r="Z14" s="14"/>
      <c r="AA14" s="14"/>
      <c r="AB14" s="14"/>
      <c r="AC14" s="14"/>
      <c r="AD14" s="14"/>
      <c r="AE14" s="14"/>
      <c r="AF14" s="14"/>
      <c r="AG14" s="37"/>
      <c r="AH14" s="37"/>
      <c r="AM14" s="20"/>
      <c r="AN14" s="20"/>
      <c r="AO14" s="20"/>
      <c r="AP14" s="20"/>
      <c r="AQ14" s="20"/>
      <c r="AR14" s="20"/>
    </row>
    <row r="15" spans="1:44" x14ac:dyDescent="0.35">
      <c r="A15" s="7" t="s">
        <v>30</v>
      </c>
      <c r="B15" s="8" t="s">
        <v>34</v>
      </c>
      <c r="C15" s="8" t="s">
        <v>34</v>
      </c>
      <c r="D15" s="8" t="s">
        <v>34</v>
      </c>
      <c r="E15" s="8" t="s">
        <v>34</v>
      </c>
      <c r="F15" s="8" t="s">
        <v>34</v>
      </c>
      <c r="G15" s="8" t="s">
        <v>34</v>
      </c>
      <c r="H15" s="8" t="s">
        <v>34</v>
      </c>
      <c r="I15" s="8" t="s">
        <v>34</v>
      </c>
      <c r="J15" s="8" t="s">
        <v>134</v>
      </c>
      <c r="K15" s="8"/>
      <c r="L15" s="8"/>
      <c r="M15" s="8"/>
      <c r="N15" s="8"/>
      <c r="O15" s="8"/>
      <c r="P15" s="8" t="s">
        <v>492</v>
      </c>
      <c r="Q15" s="8" t="s">
        <v>492</v>
      </c>
      <c r="R15" s="8" t="s">
        <v>492</v>
      </c>
      <c r="S15" s="8"/>
      <c r="T15" s="8"/>
      <c r="U15" s="8"/>
      <c r="V15" s="8"/>
      <c r="W15" s="8" t="s">
        <v>500</v>
      </c>
      <c r="X15" s="8"/>
      <c r="Y15" s="8" t="s">
        <v>498</v>
      </c>
      <c r="Z15" s="8" t="s">
        <v>498</v>
      </c>
      <c r="AA15" s="8" t="s">
        <v>498</v>
      </c>
      <c r="AB15" s="8" t="s">
        <v>310</v>
      </c>
      <c r="AC15" s="8" t="s">
        <v>310</v>
      </c>
      <c r="AD15" s="8" t="s">
        <v>310</v>
      </c>
      <c r="AE15" s="54"/>
      <c r="AF15" s="54"/>
      <c r="AG15" s="41">
        <f>COUNTA(B15:AF15)</f>
        <v>19</v>
      </c>
      <c r="AH15" s="42">
        <f>AG15*100/30</f>
        <v>63.333333333333336</v>
      </c>
      <c r="AM15" s="20"/>
      <c r="AN15" s="20"/>
      <c r="AO15" s="20"/>
      <c r="AP15" s="20"/>
      <c r="AQ15" s="20"/>
      <c r="AR15" s="20"/>
    </row>
    <row r="16" spans="1:44" x14ac:dyDescent="0.35">
      <c r="A16" s="7" t="s">
        <v>35</v>
      </c>
      <c r="B16" s="8"/>
      <c r="C16" s="8"/>
      <c r="D16" s="8"/>
      <c r="E16" s="8"/>
      <c r="F16" s="8"/>
      <c r="G16" s="8"/>
      <c r="H16" s="8"/>
      <c r="I16" s="8" t="s">
        <v>485</v>
      </c>
      <c r="J16" s="8" t="s">
        <v>485</v>
      </c>
      <c r="K16" s="8" t="s">
        <v>485</v>
      </c>
      <c r="L16" s="8"/>
      <c r="M16" s="8"/>
      <c r="N16" s="8" t="s">
        <v>489</v>
      </c>
      <c r="O16" s="8"/>
      <c r="P16" s="8" t="s">
        <v>488</v>
      </c>
      <c r="Q16" s="8" t="s">
        <v>488</v>
      </c>
      <c r="R16" s="8" t="s">
        <v>488</v>
      </c>
      <c r="S16" s="8" t="s">
        <v>488</v>
      </c>
      <c r="T16" s="8" t="s">
        <v>488</v>
      </c>
      <c r="U16" s="8" t="s">
        <v>488</v>
      </c>
      <c r="V16" s="8"/>
      <c r="W16" s="8" t="s">
        <v>443</v>
      </c>
      <c r="X16" s="8" t="s">
        <v>443</v>
      </c>
      <c r="Y16" s="8" t="s">
        <v>443</v>
      </c>
      <c r="Z16" s="8"/>
      <c r="AA16" s="8" t="s">
        <v>86</v>
      </c>
      <c r="AB16" s="8" t="s">
        <v>86</v>
      </c>
      <c r="AC16" s="8" t="s">
        <v>86</v>
      </c>
      <c r="AD16" s="8" t="s">
        <v>86</v>
      </c>
      <c r="AE16" s="8" t="s">
        <v>86</v>
      </c>
      <c r="AF16" s="8" t="s">
        <v>86</v>
      </c>
      <c r="AG16" s="41">
        <f t="shared" ref="AG16:AG22" si="6">COUNTA(B16:AF16)</f>
        <v>19</v>
      </c>
      <c r="AH16" s="42">
        <f t="shared" ref="AH16:AH22" si="7">AG16*100/30</f>
        <v>63.333333333333336</v>
      </c>
      <c r="AM16" s="20"/>
      <c r="AN16" s="20"/>
      <c r="AO16" s="56"/>
      <c r="AP16" s="56"/>
      <c r="AQ16" s="20"/>
      <c r="AR16" s="20"/>
    </row>
    <row r="17" spans="1:50" x14ac:dyDescent="0.35">
      <c r="A17" s="7" t="s">
        <v>39</v>
      </c>
      <c r="B17" s="8" t="s">
        <v>187</v>
      </c>
      <c r="C17" s="8" t="s">
        <v>187</v>
      </c>
      <c r="D17" s="8" t="s">
        <v>187</v>
      </c>
      <c r="E17" s="8"/>
      <c r="F17" s="8"/>
      <c r="G17" s="8"/>
      <c r="H17" s="8"/>
      <c r="I17" s="8"/>
      <c r="J17" s="8"/>
      <c r="K17" s="8"/>
      <c r="L17" s="8"/>
      <c r="M17" s="8"/>
      <c r="N17" s="8"/>
      <c r="O17" s="8" t="s">
        <v>491</v>
      </c>
      <c r="P17" s="8" t="s">
        <v>491</v>
      </c>
      <c r="Q17" s="8" t="s">
        <v>491</v>
      </c>
      <c r="R17" s="8" t="s">
        <v>491</v>
      </c>
      <c r="S17" s="8" t="s">
        <v>491</v>
      </c>
      <c r="T17" s="8" t="s">
        <v>491</v>
      </c>
      <c r="U17" s="8" t="s">
        <v>491</v>
      </c>
      <c r="V17" s="8" t="s">
        <v>491</v>
      </c>
      <c r="W17" s="8" t="s">
        <v>208</v>
      </c>
      <c r="X17" s="8" t="s">
        <v>208</v>
      </c>
      <c r="Y17" s="8" t="s">
        <v>208</v>
      </c>
      <c r="Z17" s="8" t="s">
        <v>208</v>
      </c>
      <c r="AA17" s="8" t="s">
        <v>208</v>
      </c>
      <c r="AB17" s="54"/>
      <c r="AC17" s="54"/>
      <c r="AD17" s="8" t="s">
        <v>310</v>
      </c>
      <c r="AE17" s="54"/>
      <c r="AF17" s="54"/>
      <c r="AG17" s="41">
        <f t="shared" si="6"/>
        <v>17</v>
      </c>
      <c r="AH17" s="42">
        <f t="shared" si="7"/>
        <v>56.666666666666664</v>
      </c>
      <c r="AM17" s="20"/>
      <c r="AN17" s="20"/>
      <c r="AO17" s="20"/>
      <c r="AP17" s="20"/>
      <c r="AQ17" s="20"/>
      <c r="AR17" s="20"/>
      <c r="AX17" s="58"/>
    </row>
    <row r="18" spans="1:50" x14ac:dyDescent="0.35">
      <c r="A18" s="7" t="s">
        <v>42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 t="s">
        <v>490</v>
      </c>
      <c r="O18" s="8" t="s">
        <v>490</v>
      </c>
      <c r="P18" s="8" t="s">
        <v>490</v>
      </c>
      <c r="Q18" s="8" t="s">
        <v>494</v>
      </c>
      <c r="R18" s="8" t="s">
        <v>494</v>
      </c>
      <c r="S18" s="8"/>
      <c r="T18" s="8"/>
      <c r="U18" s="8"/>
      <c r="V18" s="8" t="s">
        <v>496</v>
      </c>
      <c r="W18" s="8" t="s">
        <v>496</v>
      </c>
      <c r="X18" s="8" t="s">
        <v>496</v>
      </c>
      <c r="Y18" s="8" t="s">
        <v>496</v>
      </c>
      <c r="Z18" s="8" t="s">
        <v>496</v>
      </c>
      <c r="AA18" s="8" t="s">
        <v>496</v>
      </c>
      <c r="AB18" s="8" t="s">
        <v>496</v>
      </c>
      <c r="AC18" s="8" t="s">
        <v>496</v>
      </c>
      <c r="AD18" s="8" t="s">
        <v>496</v>
      </c>
      <c r="AE18" s="8" t="s">
        <v>496</v>
      </c>
      <c r="AF18" s="8" t="s">
        <v>496</v>
      </c>
      <c r="AG18" s="41">
        <f t="shared" si="6"/>
        <v>16</v>
      </c>
      <c r="AH18" s="42">
        <f t="shared" si="7"/>
        <v>53.333333333333336</v>
      </c>
      <c r="AM18" s="20"/>
      <c r="AN18" s="20"/>
      <c r="AO18" s="20"/>
      <c r="AP18" s="20"/>
      <c r="AQ18" s="20"/>
      <c r="AR18" s="20"/>
      <c r="AX18" s="58"/>
    </row>
    <row r="19" spans="1:50" x14ac:dyDescent="0.35">
      <c r="A19" s="7" t="s">
        <v>45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 t="s">
        <v>260</v>
      </c>
      <c r="N19" s="8" t="s">
        <v>260</v>
      </c>
      <c r="O19" s="8" t="s">
        <v>260</v>
      </c>
      <c r="P19" s="8" t="s">
        <v>260</v>
      </c>
      <c r="Q19" s="8" t="s">
        <v>260</v>
      </c>
      <c r="R19" s="8" t="s">
        <v>260</v>
      </c>
      <c r="S19" s="8"/>
      <c r="T19" s="8"/>
      <c r="U19" s="8"/>
      <c r="V19" s="8" t="s">
        <v>497</v>
      </c>
      <c r="W19" s="8" t="s">
        <v>497</v>
      </c>
      <c r="X19" s="8" t="s">
        <v>497</v>
      </c>
      <c r="Y19" s="8" t="s">
        <v>497</v>
      </c>
      <c r="Z19" s="8" t="s">
        <v>497</v>
      </c>
      <c r="AA19" s="8" t="s">
        <v>497</v>
      </c>
      <c r="AB19" s="8" t="s">
        <v>497</v>
      </c>
      <c r="AC19" s="8" t="s">
        <v>497</v>
      </c>
      <c r="AD19" s="8" t="s">
        <v>497</v>
      </c>
      <c r="AE19" s="8" t="s">
        <v>497</v>
      </c>
      <c r="AF19" s="54"/>
      <c r="AG19" s="41">
        <f t="shared" si="6"/>
        <v>16</v>
      </c>
      <c r="AH19" s="42">
        <f t="shared" si="7"/>
        <v>53.333333333333336</v>
      </c>
      <c r="AM19" s="20"/>
      <c r="AN19" s="20"/>
      <c r="AO19" s="20"/>
      <c r="AP19" s="20"/>
      <c r="AQ19" s="20"/>
      <c r="AR19" s="20"/>
      <c r="AX19" s="58"/>
    </row>
    <row r="20" spans="1:50" x14ac:dyDescent="0.35">
      <c r="A20" s="7" t="s">
        <v>47</v>
      </c>
      <c r="B20" s="8" t="s">
        <v>34</v>
      </c>
      <c r="C20" s="8" t="s">
        <v>34</v>
      </c>
      <c r="D20" s="8" t="s">
        <v>34</v>
      </c>
      <c r="E20" s="8" t="s">
        <v>34</v>
      </c>
      <c r="F20" s="8" t="s">
        <v>34</v>
      </c>
      <c r="G20" s="8" t="s">
        <v>34</v>
      </c>
      <c r="H20" s="8" t="s">
        <v>34</v>
      </c>
      <c r="I20" s="8" t="s">
        <v>34</v>
      </c>
      <c r="J20" s="8" t="s">
        <v>34</v>
      </c>
      <c r="K20" s="8" t="s">
        <v>34</v>
      </c>
      <c r="L20" s="8"/>
      <c r="M20" s="8" t="s">
        <v>385</v>
      </c>
      <c r="N20" s="8" t="s">
        <v>385</v>
      </c>
      <c r="O20" s="8" t="s">
        <v>385</v>
      </c>
      <c r="P20" s="8" t="s">
        <v>385</v>
      </c>
      <c r="Q20" s="8" t="s">
        <v>385</v>
      </c>
      <c r="R20" s="8" t="s">
        <v>385</v>
      </c>
      <c r="S20" s="8" t="s">
        <v>385</v>
      </c>
      <c r="T20" s="8" t="s">
        <v>385</v>
      </c>
      <c r="U20" s="8"/>
      <c r="V20" s="8"/>
      <c r="W20" s="8" t="s">
        <v>487</v>
      </c>
      <c r="X20" s="8" t="s">
        <v>487</v>
      </c>
      <c r="Y20" s="8" t="s">
        <v>487</v>
      </c>
      <c r="Z20" s="8" t="s">
        <v>487</v>
      </c>
      <c r="AA20" s="8" t="s">
        <v>260</v>
      </c>
      <c r="AB20" s="8" t="s">
        <v>260</v>
      </c>
      <c r="AC20" s="8" t="s">
        <v>260</v>
      </c>
      <c r="AD20" s="54"/>
      <c r="AE20" s="54"/>
      <c r="AF20" s="8" t="s">
        <v>509</v>
      </c>
      <c r="AG20" s="41">
        <f t="shared" si="6"/>
        <v>26</v>
      </c>
      <c r="AH20" s="42">
        <f t="shared" si="7"/>
        <v>86.666666666666671</v>
      </c>
      <c r="AM20" s="20"/>
      <c r="AN20" s="20"/>
      <c r="AO20" s="20"/>
      <c r="AP20" s="20"/>
      <c r="AQ20" s="20"/>
      <c r="AR20" s="20"/>
      <c r="AX20" s="58"/>
    </row>
    <row r="21" spans="1:50" x14ac:dyDescent="0.35">
      <c r="A21" s="7" t="s">
        <v>50</v>
      </c>
      <c r="B21" s="8"/>
      <c r="C21" s="8"/>
      <c r="D21" s="8"/>
      <c r="E21" s="8"/>
      <c r="F21" s="8"/>
      <c r="G21" s="8"/>
      <c r="H21" s="8"/>
      <c r="I21" s="8"/>
      <c r="J21" s="8"/>
      <c r="K21" s="8" t="s">
        <v>486</v>
      </c>
      <c r="L21" s="8" t="s">
        <v>486</v>
      </c>
      <c r="M21" s="8" t="s">
        <v>486</v>
      </c>
      <c r="N21" s="8"/>
      <c r="O21" s="8" t="s">
        <v>491</v>
      </c>
      <c r="P21" s="8" t="s">
        <v>491</v>
      </c>
      <c r="Q21" s="8" t="s">
        <v>491</v>
      </c>
      <c r="R21" s="8" t="s">
        <v>491</v>
      </c>
      <c r="S21" s="8" t="s">
        <v>491</v>
      </c>
      <c r="T21" s="8" t="s">
        <v>491</v>
      </c>
      <c r="U21" s="8" t="s">
        <v>491</v>
      </c>
      <c r="V21" s="8" t="s">
        <v>491</v>
      </c>
      <c r="W21" s="8"/>
      <c r="X21" s="8"/>
      <c r="Y21" s="8" t="s">
        <v>499</v>
      </c>
      <c r="Z21" s="8" t="s">
        <v>499</v>
      </c>
      <c r="AA21" s="8" t="s">
        <v>499</v>
      </c>
      <c r="AB21" s="8" t="s">
        <v>499</v>
      </c>
      <c r="AC21" s="8" t="s">
        <v>499</v>
      </c>
      <c r="AD21" s="8" t="s">
        <v>499</v>
      </c>
      <c r="AE21" s="8" t="s">
        <v>499</v>
      </c>
      <c r="AF21" s="8" t="s">
        <v>499</v>
      </c>
      <c r="AG21" s="41">
        <f t="shared" si="6"/>
        <v>19</v>
      </c>
      <c r="AH21" s="42">
        <f t="shared" si="7"/>
        <v>63.333333333333336</v>
      </c>
      <c r="AM21" s="20"/>
      <c r="AN21" s="20"/>
      <c r="AO21" s="20"/>
      <c r="AP21" s="20"/>
      <c r="AQ21" s="20"/>
      <c r="AR21" s="20"/>
      <c r="AX21" s="58"/>
    </row>
    <row r="22" spans="1:50" ht="15" thickBot="1" x14ac:dyDescent="0.4">
      <c r="A22" s="7" t="s">
        <v>51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 t="s">
        <v>202</v>
      </c>
      <c r="R22" s="8"/>
      <c r="S22" s="8"/>
      <c r="T22" s="8"/>
      <c r="U22" s="8"/>
      <c r="V22" s="8"/>
      <c r="W22" s="8" t="s">
        <v>502</v>
      </c>
      <c r="X22" s="8" t="s">
        <v>502</v>
      </c>
      <c r="Y22" s="8" t="s">
        <v>502</v>
      </c>
      <c r="Z22" s="8" t="s">
        <v>502</v>
      </c>
      <c r="AA22" s="8" t="s">
        <v>510</v>
      </c>
      <c r="AB22" s="54"/>
      <c r="AC22" s="54"/>
      <c r="AD22" s="8" t="s">
        <v>509</v>
      </c>
      <c r="AE22" s="8" t="s">
        <v>509</v>
      </c>
      <c r="AF22" s="8" t="s">
        <v>509</v>
      </c>
      <c r="AG22" s="41">
        <f t="shared" si="6"/>
        <v>9</v>
      </c>
      <c r="AH22" s="42">
        <f t="shared" si="7"/>
        <v>30</v>
      </c>
      <c r="AX22" s="58"/>
    </row>
    <row r="23" spans="1:50" ht="15.5" x14ac:dyDescent="0.35">
      <c r="A23" s="45" t="s">
        <v>176</v>
      </c>
      <c r="B23" s="46">
        <f>COUNTA(B15:B22)</f>
        <v>3</v>
      </c>
      <c r="C23" s="46">
        <f>COUNTA(C16:C22)</f>
        <v>2</v>
      </c>
      <c r="D23" s="46">
        <f>COUNTA(D16:D22)</f>
        <v>2</v>
      </c>
      <c r="E23" s="46">
        <f t="shared" ref="E23:AF23" si="8">COUNTA(E15:E22)</f>
        <v>2</v>
      </c>
      <c r="F23" s="46">
        <f t="shared" si="8"/>
        <v>2</v>
      </c>
      <c r="G23" s="46">
        <f t="shared" si="8"/>
        <v>2</v>
      </c>
      <c r="H23" s="46">
        <f t="shared" si="8"/>
        <v>2</v>
      </c>
      <c r="I23" s="46">
        <f t="shared" si="8"/>
        <v>3</v>
      </c>
      <c r="J23" s="46">
        <f t="shared" si="8"/>
        <v>3</v>
      </c>
      <c r="K23" s="46">
        <f t="shared" si="8"/>
        <v>3</v>
      </c>
      <c r="L23" s="46">
        <f t="shared" si="8"/>
        <v>1</v>
      </c>
      <c r="M23" s="46">
        <f t="shared" si="8"/>
        <v>3</v>
      </c>
      <c r="N23" s="46">
        <f t="shared" si="8"/>
        <v>4</v>
      </c>
      <c r="O23" s="46">
        <f t="shared" si="8"/>
        <v>5</v>
      </c>
      <c r="P23" s="46">
        <f t="shared" si="8"/>
        <v>7</v>
      </c>
      <c r="Q23" s="46">
        <f t="shared" si="8"/>
        <v>8</v>
      </c>
      <c r="R23" s="46">
        <f t="shared" si="8"/>
        <v>7</v>
      </c>
      <c r="S23" s="46">
        <f t="shared" si="8"/>
        <v>4</v>
      </c>
      <c r="T23" s="46">
        <f>COUNTA(T15:T22)</f>
        <v>4</v>
      </c>
      <c r="U23" s="46">
        <f t="shared" si="8"/>
        <v>3</v>
      </c>
      <c r="V23" s="46">
        <f t="shared" si="8"/>
        <v>4</v>
      </c>
      <c r="W23" s="46">
        <f t="shared" si="8"/>
        <v>7</v>
      </c>
      <c r="X23" s="46">
        <f t="shared" si="8"/>
        <v>6</v>
      </c>
      <c r="Y23" s="46">
        <f t="shared" si="8"/>
        <v>8</v>
      </c>
      <c r="Z23" s="46">
        <f t="shared" si="8"/>
        <v>7</v>
      </c>
      <c r="AA23" s="46">
        <f t="shared" si="8"/>
        <v>8</v>
      </c>
      <c r="AB23" s="46">
        <f t="shared" si="8"/>
        <v>6</v>
      </c>
      <c r="AC23" s="46">
        <f t="shared" si="8"/>
        <v>6</v>
      </c>
      <c r="AD23" s="46">
        <f t="shared" si="8"/>
        <v>7</v>
      </c>
      <c r="AE23" s="46">
        <f t="shared" si="8"/>
        <v>5</v>
      </c>
      <c r="AF23" s="46">
        <f t="shared" si="8"/>
        <v>5</v>
      </c>
      <c r="AG23" s="43">
        <f>SUM(AG15:AG22)</f>
        <v>141</v>
      </c>
      <c r="AH23" s="66">
        <f>AVERAGE(AH15:AH22)</f>
        <v>58.75</v>
      </c>
      <c r="AX23" s="58"/>
    </row>
    <row r="24" spans="1:50" ht="15.5" x14ac:dyDescent="0.35">
      <c r="A24" s="47" t="s">
        <v>178</v>
      </c>
      <c r="B24" s="52">
        <f>B12+B23</f>
        <v>8</v>
      </c>
      <c r="C24" s="52">
        <f t="shared" ref="C24:AF24" si="9">C12+C23</f>
        <v>7</v>
      </c>
      <c r="D24" s="52">
        <f t="shared" si="9"/>
        <v>5</v>
      </c>
      <c r="E24" s="52">
        <f t="shared" si="9"/>
        <v>5</v>
      </c>
      <c r="F24" s="52">
        <f t="shared" si="9"/>
        <v>3</v>
      </c>
      <c r="G24" s="52">
        <f t="shared" si="9"/>
        <v>3</v>
      </c>
      <c r="H24" s="52">
        <f t="shared" si="9"/>
        <v>3</v>
      </c>
      <c r="I24" s="52">
        <f t="shared" si="9"/>
        <v>4</v>
      </c>
      <c r="J24" s="52">
        <f t="shared" si="9"/>
        <v>4</v>
      </c>
      <c r="K24" s="52">
        <f t="shared" si="9"/>
        <v>4</v>
      </c>
      <c r="L24" s="52">
        <f t="shared" si="9"/>
        <v>2</v>
      </c>
      <c r="M24" s="52">
        <f t="shared" si="9"/>
        <v>4</v>
      </c>
      <c r="N24" s="52">
        <f t="shared" si="9"/>
        <v>8</v>
      </c>
      <c r="O24" s="52">
        <f t="shared" si="9"/>
        <v>9</v>
      </c>
      <c r="P24" s="52">
        <f t="shared" si="9"/>
        <v>14</v>
      </c>
      <c r="Q24" s="52">
        <f t="shared" si="9"/>
        <v>15</v>
      </c>
      <c r="R24" s="52">
        <f t="shared" si="9"/>
        <v>12</v>
      </c>
      <c r="S24" s="52">
        <f t="shared" si="9"/>
        <v>6</v>
      </c>
      <c r="T24" s="52">
        <f t="shared" si="9"/>
        <v>6</v>
      </c>
      <c r="U24" s="52">
        <f t="shared" si="9"/>
        <v>5</v>
      </c>
      <c r="V24" s="52">
        <f t="shared" si="9"/>
        <v>6</v>
      </c>
      <c r="W24" s="52">
        <f t="shared" si="9"/>
        <v>14</v>
      </c>
      <c r="X24" s="52">
        <f t="shared" si="9"/>
        <v>13</v>
      </c>
      <c r="Y24" s="52">
        <f t="shared" si="9"/>
        <v>15</v>
      </c>
      <c r="Z24" s="52">
        <f t="shared" si="9"/>
        <v>14</v>
      </c>
      <c r="AA24" s="52">
        <f t="shared" si="9"/>
        <v>10</v>
      </c>
      <c r="AB24" s="52">
        <f t="shared" si="9"/>
        <v>10</v>
      </c>
      <c r="AC24" s="52">
        <f t="shared" si="9"/>
        <v>9</v>
      </c>
      <c r="AD24" s="52">
        <f t="shared" si="9"/>
        <v>9</v>
      </c>
      <c r="AE24" s="52">
        <f t="shared" si="9"/>
        <v>10</v>
      </c>
      <c r="AF24" s="52">
        <f t="shared" si="9"/>
        <v>10</v>
      </c>
      <c r="AG24" s="49">
        <f>+AG12+AG23</f>
        <v>249</v>
      </c>
      <c r="AX24" s="58"/>
    </row>
    <row r="25" spans="1:50" ht="15.5" x14ac:dyDescent="0.35">
      <c r="A25" s="48" t="s">
        <v>179</v>
      </c>
      <c r="B25" s="42">
        <f>B24*100/15</f>
        <v>53.333333333333336</v>
      </c>
      <c r="C25" s="42">
        <f t="shared" ref="C25:AF25" si="10">C24*100/15</f>
        <v>46.666666666666664</v>
      </c>
      <c r="D25" s="42">
        <f t="shared" si="10"/>
        <v>33.333333333333336</v>
      </c>
      <c r="E25" s="42">
        <f t="shared" si="10"/>
        <v>33.333333333333336</v>
      </c>
      <c r="F25" s="42">
        <f t="shared" si="10"/>
        <v>20</v>
      </c>
      <c r="G25" s="42">
        <f t="shared" si="10"/>
        <v>20</v>
      </c>
      <c r="H25" s="42">
        <f t="shared" si="10"/>
        <v>20</v>
      </c>
      <c r="I25" s="42">
        <f t="shared" si="10"/>
        <v>26.666666666666668</v>
      </c>
      <c r="J25" s="42">
        <f t="shared" si="10"/>
        <v>26.666666666666668</v>
      </c>
      <c r="K25" s="42">
        <f t="shared" si="10"/>
        <v>26.666666666666668</v>
      </c>
      <c r="L25" s="42">
        <f t="shared" si="10"/>
        <v>13.333333333333334</v>
      </c>
      <c r="M25" s="42">
        <f t="shared" si="10"/>
        <v>26.666666666666668</v>
      </c>
      <c r="N25" s="42">
        <f t="shared" si="10"/>
        <v>53.333333333333336</v>
      </c>
      <c r="O25" s="42">
        <f t="shared" si="10"/>
        <v>60</v>
      </c>
      <c r="P25" s="42">
        <f t="shared" si="10"/>
        <v>93.333333333333329</v>
      </c>
      <c r="Q25" s="42">
        <f t="shared" si="10"/>
        <v>100</v>
      </c>
      <c r="R25" s="42">
        <f t="shared" si="10"/>
        <v>80</v>
      </c>
      <c r="S25" s="42">
        <f t="shared" si="10"/>
        <v>40</v>
      </c>
      <c r="T25" s="42">
        <f t="shared" si="10"/>
        <v>40</v>
      </c>
      <c r="U25" s="42">
        <f t="shared" si="10"/>
        <v>33.333333333333336</v>
      </c>
      <c r="V25" s="42">
        <f t="shared" si="10"/>
        <v>40</v>
      </c>
      <c r="W25" s="42">
        <f t="shared" si="10"/>
        <v>93.333333333333329</v>
      </c>
      <c r="X25" s="42">
        <f t="shared" si="10"/>
        <v>86.666666666666671</v>
      </c>
      <c r="Y25" s="42">
        <f t="shared" si="10"/>
        <v>100</v>
      </c>
      <c r="Z25" s="42">
        <f t="shared" si="10"/>
        <v>93.333333333333329</v>
      </c>
      <c r="AA25" s="42">
        <f t="shared" si="10"/>
        <v>66.666666666666671</v>
      </c>
      <c r="AB25" s="42">
        <f t="shared" si="10"/>
        <v>66.666666666666671</v>
      </c>
      <c r="AC25" s="42">
        <f t="shared" si="10"/>
        <v>60</v>
      </c>
      <c r="AD25" s="42">
        <f t="shared" si="10"/>
        <v>60</v>
      </c>
      <c r="AE25" s="42">
        <f t="shared" si="10"/>
        <v>66.666666666666671</v>
      </c>
      <c r="AF25" s="42">
        <f t="shared" si="10"/>
        <v>66.666666666666671</v>
      </c>
      <c r="AG25" s="50">
        <f>AVERAGE(B25:AE25)</f>
        <v>52.666666666666671</v>
      </c>
      <c r="AH25" s="51" t="s">
        <v>180</v>
      </c>
      <c r="AX25" s="58"/>
    </row>
    <row r="26" spans="1:50" x14ac:dyDescent="0.35">
      <c r="AX26" s="58"/>
    </row>
    <row r="27" spans="1:50" x14ac:dyDescent="0.35">
      <c r="P27" s="71"/>
      <c r="Q27" s="71"/>
    </row>
    <row r="28" spans="1:50" x14ac:dyDescent="0.35">
      <c r="P28" s="71"/>
      <c r="Q28" s="71"/>
    </row>
    <row r="29" spans="1:50" x14ac:dyDescent="0.35">
      <c r="P29" s="71"/>
      <c r="Q29" s="71"/>
    </row>
  </sheetData>
  <mergeCells count="2">
    <mergeCell ref="A1:AE1"/>
    <mergeCell ref="AM3:AR3"/>
  </mergeCells>
  <conditionalFormatting sqref="B19:L19 B16:O16 B15:V15 V18:AE19 V16 B17:AA18 B21:AA22 AF18 AB21:AF21 Z16:AF16 B20:Z20">
    <cfRule type="colorScale" priority="3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6:M6">
    <cfRule type="colorScale" priority="38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8:M8">
    <cfRule type="colorScale" priority="3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9:M10 N9:O9">
    <cfRule type="colorScale" priority="39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5:N5">
    <cfRule type="colorScale" priority="3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7:O7">
    <cfRule type="colorScale" priority="3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1:AF11">
    <cfRule type="colorScale" priority="3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L13:U14 B13:I14 X13:AH14">
    <cfRule type="colorScale" priority="5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M19:U19">
    <cfRule type="colorScale" priority="1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N8:T8 P9:V9 U7:V8 T7 O5:AF5 N6:AA6 W8:AA8 AB6:AF9 N10:AF10">
    <cfRule type="colorScale" priority="5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P7:S7">
    <cfRule type="colorScale" priority="1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P16:U16">
    <cfRule type="colorScale" priority="1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W16:Y16">
    <cfRule type="colorScale" priority="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W7:AA7">
    <cfRule type="colorScale" priority="1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W9:AA9">
    <cfRule type="colorScale" priority="8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W15:AA15">
    <cfRule type="colorScale" priority="9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A20:AC20">
    <cfRule type="colorScale" priority="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B17:AC17 AE15:AF15 AF19 AB22:AC22 AE17:AF17 AD20:AE20">
    <cfRule type="colorScale" priority="5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B15:AD15">
    <cfRule type="colorScale" priority="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D17">
    <cfRule type="colorScale" priority="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D22:AF22">
    <cfRule type="colorScale" priority="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F20">
    <cfRule type="colorScale" priority="5">
      <colorScale>
        <cfvo type="num" val="1"/>
        <cfvo type="max"/>
        <color theme="4" tint="0.59999389629810485"/>
        <color theme="5" tint="0.59999389629810485"/>
      </colorScale>
    </cfRule>
  </conditionalFormatting>
  <pageMargins left="0.2" right="0.45" top="0.75" bottom="0.75" header="0.3" footer="0.3"/>
  <pageSetup scale="9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AC42C-53E2-4853-9B66-D3354D9CBB51}">
  <dimension ref="A1:AX29"/>
  <sheetViews>
    <sheetView zoomScale="96" zoomScaleNormal="96" workbookViewId="0">
      <pane xSplit="1" ySplit="4" topLeftCell="W5" activePane="bottomRight" state="frozen"/>
      <selection pane="topRight" activeCell="B1" sqref="B1"/>
      <selection pane="bottomLeft" activeCell="A5" sqref="A5"/>
      <selection pane="bottomRight" activeCell="AB18" sqref="AB18"/>
    </sheetView>
  </sheetViews>
  <sheetFormatPr defaultRowHeight="14.5" x14ac:dyDescent="0.35"/>
  <cols>
    <col min="1" max="1" width="43.7265625" bestFit="1" customWidth="1"/>
    <col min="2" max="8" width="8" hidden="1" customWidth="1"/>
    <col min="9" max="11" width="12.54296875" hidden="1" customWidth="1"/>
    <col min="12" max="12" width="11.453125" hidden="1" customWidth="1"/>
    <col min="13" max="15" width="11.453125" bestFit="1" customWidth="1"/>
    <col min="16" max="16" width="11.81640625" bestFit="1" customWidth="1"/>
    <col min="17" max="18" width="12" bestFit="1" customWidth="1"/>
    <col min="19" max="21" width="11.81640625" bestFit="1" customWidth="1"/>
    <col min="22" max="22" width="14.1796875" bestFit="1" customWidth="1"/>
    <col min="23" max="23" width="16.81640625" bestFit="1" customWidth="1"/>
    <col min="24" max="25" width="12.81640625" bestFit="1" customWidth="1"/>
    <col min="26" max="30" width="10.54296875" bestFit="1" customWidth="1"/>
    <col min="31" max="32" width="10.54296875" hidden="1" customWidth="1"/>
    <col min="33" max="33" width="4.7265625" bestFit="1" customWidth="1"/>
    <col min="34" max="34" width="8.453125" bestFit="1" customWidth="1"/>
    <col min="35" max="35" width="7.7265625" bestFit="1" customWidth="1"/>
    <col min="36" max="36" width="6.54296875" bestFit="1" customWidth="1"/>
    <col min="37" max="37" width="0" hidden="1" customWidth="1"/>
    <col min="38" max="38" width="3" hidden="1" customWidth="1"/>
    <col min="39" max="39" width="17.81640625" bestFit="1" customWidth="1"/>
    <col min="40" max="40" width="9.1796875" bestFit="1" customWidth="1"/>
    <col min="41" max="41" width="9.81640625" bestFit="1" customWidth="1"/>
    <col min="42" max="42" width="10.81640625" bestFit="1" customWidth="1"/>
    <col min="43" max="43" width="10.1796875" bestFit="1" customWidth="1"/>
    <col min="44" max="44" width="23.1796875" bestFit="1" customWidth="1"/>
    <col min="45" max="45" width="0.453125" hidden="1" customWidth="1"/>
    <col min="46" max="49" width="0" hidden="1" customWidth="1"/>
    <col min="51" max="51" width="15" bestFit="1" customWidth="1"/>
  </cols>
  <sheetData>
    <row r="1" spans="1:44" ht="15.5" x14ac:dyDescent="0.35">
      <c r="A1" s="120" t="s">
        <v>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65"/>
    </row>
    <row r="2" spans="1:44" ht="15" thickBot="1" x14ac:dyDescent="0.4"/>
    <row r="3" spans="1:44" ht="45.75" customHeight="1" x14ac:dyDescent="0.35">
      <c r="A3" s="1" t="s">
        <v>1</v>
      </c>
      <c r="B3" s="2">
        <f>AI4</f>
        <v>45323</v>
      </c>
      <c r="C3" s="2">
        <f t="shared" ref="C3:AF3" si="0">B3+1</f>
        <v>45324</v>
      </c>
      <c r="D3" s="2">
        <f t="shared" si="0"/>
        <v>45325</v>
      </c>
      <c r="E3" s="2">
        <f t="shared" si="0"/>
        <v>45326</v>
      </c>
      <c r="F3" s="2">
        <f t="shared" si="0"/>
        <v>45327</v>
      </c>
      <c r="G3" s="2">
        <f t="shared" si="0"/>
        <v>45328</v>
      </c>
      <c r="H3" s="2">
        <f t="shared" si="0"/>
        <v>45329</v>
      </c>
      <c r="I3" s="2">
        <f>H3+1</f>
        <v>45330</v>
      </c>
      <c r="J3" s="2">
        <f t="shared" si="0"/>
        <v>45331</v>
      </c>
      <c r="K3" s="2">
        <f t="shared" si="0"/>
        <v>45332</v>
      </c>
      <c r="L3" s="2">
        <f t="shared" si="0"/>
        <v>45333</v>
      </c>
      <c r="M3" s="2">
        <f t="shared" si="0"/>
        <v>45334</v>
      </c>
      <c r="N3" s="2">
        <f t="shared" si="0"/>
        <v>45335</v>
      </c>
      <c r="O3" s="2">
        <f t="shared" si="0"/>
        <v>45336</v>
      </c>
      <c r="P3" s="2">
        <f t="shared" si="0"/>
        <v>45337</v>
      </c>
      <c r="Q3" s="2">
        <f t="shared" si="0"/>
        <v>45338</v>
      </c>
      <c r="R3" s="2">
        <f t="shared" si="0"/>
        <v>45339</v>
      </c>
      <c r="S3" s="2">
        <f t="shared" si="0"/>
        <v>45340</v>
      </c>
      <c r="T3" s="2">
        <f t="shared" si="0"/>
        <v>45341</v>
      </c>
      <c r="U3" s="2">
        <f t="shared" si="0"/>
        <v>45342</v>
      </c>
      <c r="V3" s="2">
        <f t="shared" si="0"/>
        <v>45343</v>
      </c>
      <c r="W3" s="2">
        <f t="shared" si="0"/>
        <v>45344</v>
      </c>
      <c r="X3" s="2">
        <f t="shared" si="0"/>
        <v>45345</v>
      </c>
      <c r="Y3" s="2">
        <f t="shared" si="0"/>
        <v>45346</v>
      </c>
      <c r="Z3" s="2">
        <f t="shared" si="0"/>
        <v>45347</v>
      </c>
      <c r="AA3" s="2">
        <f t="shared" si="0"/>
        <v>45348</v>
      </c>
      <c r="AB3" s="2">
        <f t="shared" si="0"/>
        <v>45349</v>
      </c>
      <c r="AC3" s="2">
        <f t="shared" si="0"/>
        <v>45350</v>
      </c>
      <c r="AD3" s="2">
        <f t="shared" si="0"/>
        <v>45351</v>
      </c>
      <c r="AE3" s="2">
        <f t="shared" si="0"/>
        <v>45352</v>
      </c>
      <c r="AF3" s="2">
        <f t="shared" si="0"/>
        <v>45353</v>
      </c>
      <c r="AG3" s="36"/>
      <c r="AH3" s="36"/>
      <c r="AM3" s="122" t="s">
        <v>267</v>
      </c>
      <c r="AN3" s="123"/>
      <c r="AO3" s="123"/>
      <c r="AP3" s="123"/>
      <c r="AQ3" s="123"/>
      <c r="AR3" s="124"/>
    </row>
    <row r="4" spans="1:44" ht="31.5" customHeight="1" x14ac:dyDescent="0.35">
      <c r="A4" s="3" t="s">
        <v>2</v>
      </c>
      <c r="B4" s="4">
        <f t="shared" ref="B4:AF4" si="1">B3</f>
        <v>45323</v>
      </c>
      <c r="C4" s="4">
        <f t="shared" si="1"/>
        <v>45324</v>
      </c>
      <c r="D4" s="4">
        <f t="shared" si="1"/>
        <v>45325</v>
      </c>
      <c r="E4" s="4">
        <f t="shared" si="1"/>
        <v>45326</v>
      </c>
      <c r="F4" s="4">
        <f t="shared" si="1"/>
        <v>45327</v>
      </c>
      <c r="G4" s="4">
        <f t="shared" si="1"/>
        <v>45328</v>
      </c>
      <c r="H4" s="4">
        <f t="shared" si="1"/>
        <v>45329</v>
      </c>
      <c r="I4" s="4">
        <f t="shared" si="1"/>
        <v>45330</v>
      </c>
      <c r="J4" s="4">
        <f t="shared" si="1"/>
        <v>45331</v>
      </c>
      <c r="K4" s="4">
        <f t="shared" si="1"/>
        <v>45332</v>
      </c>
      <c r="L4" s="4">
        <f t="shared" si="1"/>
        <v>45333</v>
      </c>
      <c r="M4" s="4">
        <f t="shared" si="1"/>
        <v>45334</v>
      </c>
      <c r="N4" s="4">
        <f t="shared" si="1"/>
        <v>45335</v>
      </c>
      <c r="O4" s="4">
        <f t="shared" si="1"/>
        <v>45336</v>
      </c>
      <c r="P4" s="4">
        <f t="shared" si="1"/>
        <v>45337</v>
      </c>
      <c r="Q4" s="4">
        <f t="shared" si="1"/>
        <v>45338</v>
      </c>
      <c r="R4" s="4">
        <f t="shared" si="1"/>
        <v>45339</v>
      </c>
      <c r="S4" s="4">
        <f t="shared" si="1"/>
        <v>45340</v>
      </c>
      <c r="T4" s="4">
        <f t="shared" si="1"/>
        <v>45341</v>
      </c>
      <c r="U4" s="4">
        <f t="shared" si="1"/>
        <v>45342</v>
      </c>
      <c r="V4" s="4">
        <f t="shared" si="1"/>
        <v>45343</v>
      </c>
      <c r="W4" s="4">
        <f t="shared" si="1"/>
        <v>45344</v>
      </c>
      <c r="X4" s="4">
        <f t="shared" si="1"/>
        <v>45345</v>
      </c>
      <c r="Y4" s="4">
        <f t="shared" si="1"/>
        <v>45346</v>
      </c>
      <c r="Z4" s="4">
        <f t="shared" si="1"/>
        <v>45347</v>
      </c>
      <c r="AA4" s="4">
        <f t="shared" si="1"/>
        <v>45348</v>
      </c>
      <c r="AB4" s="4">
        <f t="shared" si="1"/>
        <v>45349</v>
      </c>
      <c r="AC4" s="4">
        <f t="shared" si="1"/>
        <v>45350</v>
      </c>
      <c r="AD4" s="4">
        <f t="shared" si="1"/>
        <v>45351</v>
      </c>
      <c r="AE4" s="4">
        <f t="shared" si="1"/>
        <v>45352</v>
      </c>
      <c r="AF4" s="4">
        <f t="shared" si="1"/>
        <v>45353</v>
      </c>
      <c r="AG4" s="39" t="s">
        <v>174</v>
      </c>
      <c r="AH4" s="40" t="s">
        <v>175</v>
      </c>
      <c r="AI4" s="5">
        <v>45323</v>
      </c>
      <c r="AJ4" s="6">
        <f>EOMONTH(AI4,0)</f>
        <v>45351</v>
      </c>
      <c r="AM4" s="19" t="s">
        <v>54</v>
      </c>
      <c r="AN4" s="19" t="s">
        <v>269</v>
      </c>
      <c r="AO4" s="19" t="s">
        <v>55</v>
      </c>
      <c r="AP4" s="19" t="s">
        <v>56</v>
      </c>
      <c r="AQ4" s="19" t="s">
        <v>251</v>
      </c>
      <c r="AR4" s="19" t="s">
        <v>57</v>
      </c>
    </row>
    <row r="5" spans="1:44" x14ac:dyDescent="0.35">
      <c r="A5" s="7" t="s">
        <v>3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 t="s">
        <v>437</v>
      </c>
      <c r="AB5" s="8" t="s">
        <v>437</v>
      </c>
      <c r="AC5" s="8" t="s">
        <v>437</v>
      </c>
      <c r="AD5" s="8"/>
      <c r="AE5" s="8"/>
      <c r="AF5" s="8"/>
      <c r="AG5" s="41">
        <f>COUNTA(B5:AF5)</f>
        <v>3</v>
      </c>
      <c r="AH5" s="42">
        <f>AG5*100/30</f>
        <v>10</v>
      </c>
      <c r="AM5" s="20"/>
      <c r="AN5" s="56"/>
      <c r="AO5" s="56"/>
      <c r="AP5" s="56"/>
      <c r="AQ5" s="57"/>
      <c r="AR5" s="20"/>
    </row>
    <row r="6" spans="1:44" x14ac:dyDescent="0.35">
      <c r="A6" s="7" t="s">
        <v>7</v>
      </c>
      <c r="B6" s="55"/>
      <c r="C6" s="55"/>
      <c r="D6" s="55"/>
      <c r="E6" s="55"/>
      <c r="F6" s="55"/>
      <c r="G6" s="8" t="s">
        <v>515</v>
      </c>
      <c r="H6" s="8" t="s">
        <v>515</v>
      </c>
      <c r="I6" s="8" t="s">
        <v>515</v>
      </c>
      <c r="J6" s="8" t="s">
        <v>515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 t="s">
        <v>522</v>
      </c>
      <c r="X6" s="8" t="s">
        <v>522</v>
      </c>
      <c r="Y6" s="8"/>
      <c r="Z6" s="8" t="s">
        <v>25</v>
      </c>
      <c r="AA6" s="8" t="s">
        <v>25</v>
      </c>
      <c r="AB6" s="8"/>
      <c r="AC6" s="8"/>
      <c r="AD6" s="8" t="s">
        <v>530</v>
      </c>
      <c r="AE6" s="8"/>
      <c r="AF6" s="8"/>
      <c r="AG6" s="41">
        <f t="shared" ref="AG6:AG11" si="2">COUNTA(B6:AF6)</f>
        <v>9</v>
      </c>
      <c r="AH6" s="42">
        <f t="shared" ref="AH6:AH11" si="3">AG6*100/30</f>
        <v>30</v>
      </c>
      <c r="AM6" s="20"/>
      <c r="AN6" s="56"/>
      <c r="AO6" s="56"/>
      <c r="AP6" s="56"/>
      <c r="AQ6" s="57"/>
      <c r="AR6" s="20"/>
    </row>
    <row r="7" spans="1:44" x14ac:dyDescent="0.35">
      <c r="A7" s="7" t="s">
        <v>11</v>
      </c>
      <c r="B7" s="55"/>
      <c r="C7" s="55"/>
      <c r="D7" s="55"/>
      <c r="E7" s="55"/>
      <c r="F7" s="55"/>
      <c r="G7" s="55" t="s">
        <v>511</v>
      </c>
      <c r="H7" s="55" t="s">
        <v>511</v>
      </c>
      <c r="I7" s="55"/>
      <c r="J7" s="55"/>
      <c r="K7" s="55"/>
      <c r="L7" s="55"/>
      <c r="M7" s="55"/>
      <c r="N7" s="55"/>
      <c r="O7" s="55"/>
      <c r="P7" s="8"/>
      <c r="Q7" s="8"/>
      <c r="R7" s="8"/>
      <c r="S7" s="8"/>
      <c r="T7" s="8" t="s">
        <v>519</v>
      </c>
      <c r="U7" s="8"/>
      <c r="V7" s="8"/>
      <c r="W7" s="8" t="s">
        <v>524</v>
      </c>
      <c r="X7" s="8" t="s">
        <v>524</v>
      </c>
      <c r="Y7" s="8"/>
      <c r="Z7" s="8"/>
      <c r="AA7" s="8"/>
      <c r="AB7" s="8"/>
      <c r="AC7" s="8" t="s">
        <v>527</v>
      </c>
      <c r="AD7" s="8" t="s">
        <v>527</v>
      </c>
      <c r="AE7" s="8"/>
      <c r="AF7" s="8"/>
      <c r="AG7" s="41">
        <f t="shared" si="2"/>
        <v>7</v>
      </c>
      <c r="AH7" s="42">
        <f t="shared" si="3"/>
        <v>23.333333333333332</v>
      </c>
      <c r="AM7" s="20"/>
      <c r="AN7" s="56"/>
      <c r="AO7" s="56"/>
      <c r="AP7" s="56"/>
      <c r="AQ7" s="57"/>
      <c r="AR7" s="20"/>
    </row>
    <row r="8" spans="1:44" ht="15" customHeight="1" x14ac:dyDescent="0.35">
      <c r="A8" s="7" t="s">
        <v>15</v>
      </c>
      <c r="B8" s="55"/>
      <c r="C8" s="55" t="s">
        <v>507</v>
      </c>
      <c r="D8" s="55" t="s">
        <v>507</v>
      </c>
      <c r="E8" s="55"/>
      <c r="F8" s="55"/>
      <c r="G8" s="55" t="s">
        <v>512</v>
      </c>
      <c r="H8" s="55" t="s">
        <v>512</v>
      </c>
      <c r="I8" s="55"/>
      <c r="J8" s="55"/>
      <c r="K8" s="55"/>
      <c r="L8" s="55"/>
      <c r="M8" s="55"/>
      <c r="N8" s="8"/>
      <c r="O8" s="8"/>
      <c r="P8" s="8"/>
      <c r="Q8" s="8"/>
      <c r="R8" s="8"/>
      <c r="S8" s="8"/>
      <c r="T8" s="8" t="s">
        <v>520</v>
      </c>
      <c r="U8" s="8"/>
      <c r="V8" s="8"/>
      <c r="W8" s="8"/>
      <c r="X8" s="8"/>
      <c r="Y8" s="8"/>
      <c r="Z8" s="8" t="s">
        <v>526</v>
      </c>
      <c r="AA8" s="8" t="s">
        <v>526</v>
      </c>
      <c r="AB8" s="8" t="s">
        <v>526</v>
      </c>
      <c r="AC8" s="8" t="s">
        <v>526</v>
      </c>
      <c r="AD8" s="8" t="s">
        <v>523</v>
      </c>
      <c r="AE8" s="8"/>
      <c r="AF8" s="8"/>
      <c r="AG8" s="41">
        <f t="shared" si="2"/>
        <v>10</v>
      </c>
      <c r="AH8" s="42">
        <f t="shared" si="3"/>
        <v>33.333333333333336</v>
      </c>
      <c r="AK8" s="9"/>
      <c r="AM8" s="20"/>
      <c r="AN8" s="56"/>
      <c r="AO8" s="56"/>
      <c r="AP8" s="56"/>
      <c r="AQ8" s="57"/>
      <c r="AR8" s="20"/>
    </row>
    <row r="9" spans="1:44" ht="15.75" customHeight="1" x14ac:dyDescent="0.35">
      <c r="A9" s="7" t="s">
        <v>18</v>
      </c>
      <c r="B9" s="55"/>
      <c r="C9" s="55" t="s">
        <v>507</v>
      </c>
      <c r="D9" s="55" t="s">
        <v>507</v>
      </c>
      <c r="E9" s="55"/>
      <c r="F9" s="55"/>
      <c r="G9" s="55" t="s">
        <v>513</v>
      </c>
      <c r="H9" s="55" t="s">
        <v>513</v>
      </c>
      <c r="I9" s="55"/>
      <c r="J9" s="55"/>
      <c r="K9" s="55"/>
      <c r="L9" s="55"/>
      <c r="M9" s="55"/>
      <c r="N9" s="55"/>
      <c r="O9" s="55"/>
      <c r="P9" s="8"/>
      <c r="Q9" s="8"/>
      <c r="R9" s="8"/>
      <c r="S9" s="8"/>
      <c r="T9" s="8" t="s">
        <v>331</v>
      </c>
      <c r="U9" s="8" t="s">
        <v>331</v>
      </c>
      <c r="V9" s="8" t="s">
        <v>331</v>
      </c>
      <c r="W9" s="8" t="s">
        <v>331</v>
      </c>
      <c r="X9" s="8" t="s">
        <v>331</v>
      </c>
      <c r="Y9" s="8"/>
      <c r="Z9" s="8" t="s">
        <v>526</v>
      </c>
      <c r="AA9" s="8" t="s">
        <v>526</v>
      </c>
      <c r="AB9" s="8" t="s">
        <v>526</v>
      </c>
      <c r="AC9" s="8" t="s">
        <v>526</v>
      </c>
      <c r="AD9" s="8"/>
      <c r="AE9" s="8"/>
      <c r="AF9" s="8"/>
      <c r="AG9" s="41">
        <f t="shared" si="2"/>
        <v>13</v>
      </c>
      <c r="AH9" s="42">
        <f t="shared" si="3"/>
        <v>43.333333333333336</v>
      </c>
      <c r="AM9" s="20"/>
      <c r="AN9" s="56"/>
      <c r="AO9" s="56"/>
      <c r="AP9" s="56"/>
      <c r="AQ9" s="57"/>
      <c r="AR9" s="20"/>
    </row>
    <row r="10" spans="1:44" ht="15.75" customHeight="1" x14ac:dyDescent="0.35">
      <c r="A10" s="7" t="s">
        <v>20</v>
      </c>
      <c r="B10" s="55" t="s">
        <v>508</v>
      </c>
      <c r="C10" s="55" t="s">
        <v>508</v>
      </c>
      <c r="D10" s="55" t="s">
        <v>471</v>
      </c>
      <c r="E10" s="55" t="s">
        <v>471</v>
      </c>
      <c r="F10" s="55" t="s">
        <v>471</v>
      </c>
      <c r="G10" s="55" t="s">
        <v>471</v>
      </c>
      <c r="H10" s="55" t="s">
        <v>471</v>
      </c>
      <c r="I10" s="55" t="s">
        <v>471</v>
      </c>
      <c r="J10" s="55" t="s">
        <v>471</v>
      </c>
      <c r="K10" s="55" t="s">
        <v>471</v>
      </c>
      <c r="L10" s="55" t="s">
        <v>471</v>
      </c>
      <c r="M10" s="55" t="s">
        <v>471</v>
      </c>
      <c r="N10" s="55" t="s">
        <v>471</v>
      </c>
      <c r="O10" s="55" t="s">
        <v>471</v>
      </c>
      <c r="P10" s="55" t="s">
        <v>471</v>
      </c>
      <c r="Q10" s="55" t="s">
        <v>471</v>
      </c>
      <c r="R10" s="55"/>
      <c r="S10" s="8"/>
      <c r="T10" s="8" t="s">
        <v>516</v>
      </c>
      <c r="U10" s="8" t="s">
        <v>516</v>
      </c>
      <c r="V10" s="8" t="s">
        <v>516</v>
      </c>
      <c r="W10" s="8" t="s">
        <v>516</v>
      </c>
      <c r="X10" s="8" t="s">
        <v>516</v>
      </c>
      <c r="Y10" s="8" t="s">
        <v>185</v>
      </c>
      <c r="Z10" s="8" t="s">
        <v>185</v>
      </c>
      <c r="AA10" s="8" t="s">
        <v>185</v>
      </c>
      <c r="AB10" s="8"/>
      <c r="AC10" s="8"/>
      <c r="AD10" s="8"/>
      <c r="AE10" s="8"/>
      <c r="AF10" s="8"/>
      <c r="AG10" s="41">
        <f t="shared" si="2"/>
        <v>24</v>
      </c>
      <c r="AH10" s="42">
        <f t="shared" si="3"/>
        <v>80</v>
      </c>
      <c r="AM10" s="20"/>
      <c r="AN10" s="56"/>
      <c r="AO10" s="56"/>
      <c r="AP10" s="56"/>
      <c r="AQ10" s="57"/>
      <c r="AR10" s="20"/>
    </row>
    <row r="11" spans="1:44" ht="15.75" customHeight="1" thickBot="1" x14ac:dyDescent="0.4">
      <c r="A11" s="7" t="s">
        <v>24</v>
      </c>
      <c r="B11" s="55" t="s">
        <v>34</v>
      </c>
      <c r="C11" s="55" t="s">
        <v>34</v>
      </c>
      <c r="D11" s="55" t="s">
        <v>34</v>
      </c>
      <c r="E11" s="55" t="s">
        <v>34</v>
      </c>
      <c r="F11" s="55" t="s">
        <v>34</v>
      </c>
      <c r="G11" s="55" t="s">
        <v>34</v>
      </c>
      <c r="H11" s="55" t="s">
        <v>34</v>
      </c>
      <c r="I11" s="55" t="s">
        <v>34</v>
      </c>
      <c r="J11" s="55" t="s">
        <v>34</v>
      </c>
      <c r="K11" s="55" t="s">
        <v>34</v>
      </c>
      <c r="L11" s="55" t="s">
        <v>34</v>
      </c>
      <c r="M11" s="55" t="s">
        <v>34</v>
      </c>
      <c r="N11" s="55" t="s">
        <v>34</v>
      </c>
      <c r="O11" s="55" t="s">
        <v>34</v>
      </c>
      <c r="P11" s="55" t="s">
        <v>34</v>
      </c>
      <c r="Q11" s="55" t="s">
        <v>34</v>
      </c>
      <c r="R11" s="55" t="s">
        <v>34</v>
      </c>
      <c r="S11" s="55" t="s">
        <v>34</v>
      </c>
      <c r="T11" s="55" t="s">
        <v>34</v>
      </c>
      <c r="U11" s="55" t="s">
        <v>34</v>
      </c>
      <c r="V11" s="55" t="s">
        <v>34</v>
      </c>
      <c r="W11" s="55" t="s">
        <v>34</v>
      </c>
      <c r="X11" s="55" t="s">
        <v>34</v>
      </c>
      <c r="Y11" s="55" t="s">
        <v>34</v>
      </c>
      <c r="Z11" s="55" t="s">
        <v>34</v>
      </c>
      <c r="AA11" s="55" t="s">
        <v>34</v>
      </c>
      <c r="AB11" s="55" t="s">
        <v>34</v>
      </c>
      <c r="AC11" s="55" t="s">
        <v>34</v>
      </c>
      <c r="AD11" s="55" t="s">
        <v>34</v>
      </c>
      <c r="AE11" s="8"/>
      <c r="AF11" s="8"/>
      <c r="AG11" s="41">
        <f t="shared" si="2"/>
        <v>29</v>
      </c>
      <c r="AH11" s="42">
        <f t="shared" si="3"/>
        <v>96.666666666666671</v>
      </c>
      <c r="AM11" s="20"/>
      <c r="AN11" s="20"/>
      <c r="AO11" s="20"/>
      <c r="AP11" s="20"/>
      <c r="AQ11" s="20"/>
      <c r="AR11" s="20"/>
    </row>
    <row r="12" spans="1:44" ht="15" customHeight="1" x14ac:dyDescent="0.35">
      <c r="A12" s="45" t="s">
        <v>176</v>
      </c>
      <c r="B12" s="46">
        <f>COUNTA(B5:B11)</f>
        <v>2</v>
      </c>
      <c r="C12" s="46">
        <f>COUNTA(C5:C11)</f>
        <v>4</v>
      </c>
      <c r="D12" s="46">
        <f t="shared" ref="D12:AF12" si="4">COUNTA(D5:D11)</f>
        <v>4</v>
      </c>
      <c r="E12" s="46">
        <f t="shared" si="4"/>
        <v>2</v>
      </c>
      <c r="F12" s="46">
        <f t="shared" si="4"/>
        <v>2</v>
      </c>
      <c r="G12" s="46">
        <f t="shared" si="4"/>
        <v>6</v>
      </c>
      <c r="H12" s="46">
        <f t="shared" si="4"/>
        <v>6</v>
      </c>
      <c r="I12" s="46">
        <f t="shared" si="4"/>
        <v>3</v>
      </c>
      <c r="J12" s="46">
        <f t="shared" si="4"/>
        <v>3</v>
      </c>
      <c r="K12" s="46">
        <f t="shared" si="4"/>
        <v>2</v>
      </c>
      <c r="L12" s="46">
        <f t="shared" si="4"/>
        <v>2</v>
      </c>
      <c r="M12" s="46">
        <f t="shared" si="4"/>
        <v>2</v>
      </c>
      <c r="N12" s="46">
        <f t="shared" si="4"/>
        <v>2</v>
      </c>
      <c r="O12" s="46">
        <f t="shared" si="4"/>
        <v>2</v>
      </c>
      <c r="P12" s="46">
        <f t="shared" si="4"/>
        <v>2</v>
      </c>
      <c r="Q12" s="46">
        <f t="shared" si="4"/>
        <v>2</v>
      </c>
      <c r="R12" s="46">
        <f t="shared" si="4"/>
        <v>1</v>
      </c>
      <c r="S12" s="46">
        <f t="shared" si="4"/>
        <v>1</v>
      </c>
      <c r="T12" s="46">
        <f t="shared" si="4"/>
        <v>5</v>
      </c>
      <c r="U12" s="46">
        <f t="shared" si="4"/>
        <v>3</v>
      </c>
      <c r="V12" s="46">
        <f t="shared" si="4"/>
        <v>3</v>
      </c>
      <c r="W12" s="46">
        <f t="shared" si="4"/>
        <v>5</v>
      </c>
      <c r="X12" s="46">
        <f t="shared" si="4"/>
        <v>5</v>
      </c>
      <c r="Y12" s="46">
        <f t="shared" si="4"/>
        <v>2</v>
      </c>
      <c r="Z12" s="46">
        <f t="shared" si="4"/>
        <v>5</v>
      </c>
      <c r="AA12" s="46">
        <f t="shared" si="4"/>
        <v>6</v>
      </c>
      <c r="AB12" s="46">
        <f t="shared" si="4"/>
        <v>4</v>
      </c>
      <c r="AC12" s="46">
        <f t="shared" si="4"/>
        <v>5</v>
      </c>
      <c r="AD12" s="46">
        <f t="shared" si="4"/>
        <v>4</v>
      </c>
      <c r="AE12" s="46">
        <f t="shared" si="4"/>
        <v>0</v>
      </c>
      <c r="AF12" s="46">
        <f t="shared" si="4"/>
        <v>0</v>
      </c>
      <c r="AG12" s="43">
        <f t="shared" ref="AG12" si="5">SUM(AG5:AG11)</f>
        <v>95</v>
      </c>
      <c r="AH12" s="44">
        <f>AVERAGE(AH5:AH11)</f>
        <v>45.238095238095241</v>
      </c>
      <c r="AI12" s="29"/>
      <c r="AM12" s="20"/>
      <c r="AN12" s="20"/>
      <c r="AO12" s="20"/>
      <c r="AP12" s="20"/>
      <c r="AQ12" s="20"/>
      <c r="AR12" s="20"/>
    </row>
    <row r="13" spans="1:44" ht="57" hidden="1" x14ac:dyDescent="0.35">
      <c r="A13" s="13" t="s">
        <v>28</v>
      </c>
      <c r="B13" s="14"/>
      <c r="C13" s="14"/>
      <c r="D13" s="14"/>
      <c r="E13" s="14"/>
      <c r="F13" s="14"/>
      <c r="G13" s="14"/>
      <c r="H13" s="14"/>
      <c r="I13" s="35"/>
      <c r="J13" s="34"/>
      <c r="K13" s="15"/>
      <c r="L13" s="14"/>
      <c r="M13" s="14"/>
      <c r="N13" s="25"/>
      <c r="O13" s="25"/>
      <c r="P13" s="25"/>
      <c r="Q13" s="14"/>
      <c r="R13" s="14"/>
      <c r="S13" s="14"/>
      <c r="T13" s="14"/>
      <c r="U13" s="14"/>
      <c r="V13" s="15"/>
      <c r="W13" s="15"/>
      <c r="X13" s="14"/>
      <c r="Y13" s="14"/>
      <c r="Z13" s="14"/>
      <c r="AA13" s="14"/>
      <c r="AB13" s="14"/>
      <c r="AC13" s="14"/>
      <c r="AD13" s="14"/>
      <c r="AE13" s="14"/>
      <c r="AF13" s="14"/>
      <c r="AG13" s="37"/>
      <c r="AH13" s="37"/>
      <c r="AM13" s="20"/>
      <c r="AN13" s="20"/>
      <c r="AO13" s="20"/>
      <c r="AP13" s="20"/>
      <c r="AQ13" s="20"/>
      <c r="AR13" s="20"/>
    </row>
    <row r="14" spans="1:44" ht="28.5" hidden="1" x14ac:dyDescent="0.35">
      <c r="A14" s="16" t="s">
        <v>29</v>
      </c>
      <c r="B14" s="14"/>
      <c r="C14" s="14"/>
      <c r="D14" s="14"/>
      <c r="E14" s="14"/>
      <c r="F14" s="14"/>
      <c r="G14" s="14"/>
      <c r="H14" s="14"/>
      <c r="I14" s="35"/>
      <c r="J14" s="34"/>
      <c r="K14" s="15"/>
      <c r="L14" s="14"/>
      <c r="M14" s="14"/>
      <c r="N14" s="25"/>
      <c r="O14" s="25"/>
      <c r="P14" s="25"/>
      <c r="Q14" s="14"/>
      <c r="R14" s="14"/>
      <c r="S14" s="14"/>
      <c r="T14" s="14"/>
      <c r="U14" s="14"/>
      <c r="V14" s="15"/>
      <c r="W14" s="15"/>
      <c r="X14" s="14"/>
      <c r="Y14" s="14"/>
      <c r="Z14" s="14"/>
      <c r="AA14" s="14"/>
      <c r="AB14" s="14"/>
      <c r="AC14" s="14"/>
      <c r="AD14" s="14"/>
      <c r="AE14" s="14"/>
      <c r="AF14" s="14"/>
      <c r="AG14" s="37"/>
      <c r="AH14" s="37"/>
      <c r="AM14" s="20"/>
      <c r="AN14" s="20"/>
      <c r="AO14" s="20"/>
      <c r="AP14" s="20"/>
      <c r="AQ14" s="20"/>
      <c r="AR14" s="20"/>
    </row>
    <row r="15" spans="1:44" x14ac:dyDescent="0.35">
      <c r="A15" s="7" t="s">
        <v>30</v>
      </c>
      <c r="B15" s="8" t="s">
        <v>505</v>
      </c>
      <c r="C15" s="8" t="s">
        <v>385</v>
      </c>
      <c r="D15" s="8" t="s">
        <v>385</v>
      </c>
      <c r="E15" s="8" t="s">
        <v>385</v>
      </c>
      <c r="F15" s="8" t="s">
        <v>385</v>
      </c>
      <c r="G15" s="8" t="s">
        <v>385</v>
      </c>
      <c r="H15" s="8" t="s">
        <v>385</v>
      </c>
      <c r="I15" s="8" t="s">
        <v>385</v>
      </c>
      <c r="J15" s="8" t="s">
        <v>385</v>
      </c>
      <c r="K15" s="8"/>
      <c r="L15" s="8"/>
      <c r="M15" s="8"/>
      <c r="N15" s="8"/>
      <c r="O15" s="8" t="s">
        <v>34</v>
      </c>
      <c r="P15" s="8" t="s">
        <v>34</v>
      </c>
      <c r="Q15" s="8" t="s">
        <v>34</v>
      </c>
      <c r="R15" s="8" t="s">
        <v>34</v>
      </c>
      <c r="S15" s="8" t="s">
        <v>34</v>
      </c>
      <c r="T15" s="8" t="s">
        <v>34</v>
      </c>
      <c r="U15" s="8" t="s">
        <v>34</v>
      </c>
      <c r="V15" s="8" t="s">
        <v>34</v>
      </c>
      <c r="W15" s="8" t="s">
        <v>34</v>
      </c>
      <c r="X15" s="8" t="s">
        <v>385</v>
      </c>
      <c r="Y15" s="8" t="s">
        <v>385</v>
      </c>
      <c r="Z15" s="8" t="s">
        <v>385</v>
      </c>
      <c r="AA15" s="8" t="s">
        <v>385</v>
      </c>
      <c r="AB15" s="8" t="s">
        <v>385</v>
      </c>
      <c r="AC15" s="8" t="s">
        <v>385</v>
      </c>
      <c r="AD15" s="8" t="s">
        <v>385</v>
      </c>
      <c r="AE15" s="54"/>
      <c r="AF15" s="54"/>
      <c r="AG15" s="41">
        <f>COUNTA(B15:AF15)</f>
        <v>25</v>
      </c>
      <c r="AH15" s="42">
        <f>AG15*100/30</f>
        <v>83.333333333333329</v>
      </c>
      <c r="AM15" s="20"/>
      <c r="AN15" s="20"/>
      <c r="AO15" s="20"/>
      <c r="AP15" s="20"/>
      <c r="AQ15" s="20"/>
      <c r="AR15" s="20"/>
    </row>
    <row r="16" spans="1:44" x14ac:dyDescent="0.35">
      <c r="A16" s="7" t="s">
        <v>35</v>
      </c>
      <c r="B16" s="8" t="s">
        <v>86</v>
      </c>
      <c r="C16" s="8" t="s">
        <v>86</v>
      </c>
      <c r="D16" s="8" t="s">
        <v>86</v>
      </c>
      <c r="E16" s="8" t="s">
        <v>86</v>
      </c>
      <c r="F16" s="8" t="s">
        <v>86</v>
      </c>
      <c r="G16" s="8" t="s">
        <v>86</v>
      </c>
      <c r="H16" s="8" t="s">
        <v>86</v>
      </c>
      <c r="I16" s="8" t="s">
        <v>86</v>
      </c>
      <c r="J16" s="8" t="s">
        <v>86</v>
      </c>
      <c r="K16" s="8"/>
      <c r="L16" s="8"/>
      <c r="M16" s="8"/>
      <c r="N16" s="8"/>
      <c r="O16" s="8" t="s">
        <v>517</v>
      </c>
      <c r="P16" s="8"/>
      <c r="Q16" s="8" t="s">
        <v>86</v>
      </c>
      <c r="R16" s="8" t="s">
        <v>86</v>
      </c>
      <c r="S16" s="8" t="s">
        <v>86</v>
      </c>
      <c r="T16" s="8" t="s">
        <v>86</v>
      </c>
      <c r="U16" s="8" t="s">
        <v>86</v>
      </c>
      <c r="V16" s="8" t="s">
        <v>86</v>
      </c>
      <c r="W16" s="8" t="s">
        <v>86</v>
      </c>
      <c r="X16" s="8" t="s">
        <v>525</v>
      </c>
      <c r="Y16" s="8" t="s">
        <v>525</v>
      </c>
      <c r="Z16" s="8" t="s">
        <v>525</v>
      </c>
      <c r="AA16" s="8" t="s">
        <v>445</v>
      </c>
      <c r="AB16" s="8" t="s">
        <v>445</v>
      </c>
      <c r="AC16" s="8" t="s">
        <v>445</v>
      </c>
      <c r="AD16" s="8"/>
      <c r="AE16" s="8"/>
      <c r="AF16" s="54"/>
      <c r="AG16" s="41">
        <f t="shared" ref="AG16:AG22" si="6">COUNTA(B16:AF16)</f>
        <v>23</v>
      </c>
      <c r="AH16" s="42">
        <f t="shared" ref="AH16:AH22" si="7">AG16*100/30</f>
        <v>76.666666666666671</v>
      </c>
      <c r="AM16" s="20"/>
      <c r="AN16" s="20"/>
      <c r="AO16" s="56"/>
      <c r="AP16" s="56"/>
      <c r="AQ16" s="20"/>
      <c r="AR16" s="20"/>
    </row>
    <row r="17" spans="1:50" x14ac:dyDescent="0.35">
      <c r="A17" s="7" t="s">
        <v>39</v>
      </c>
      <c r="B17" s="8" t="s">
        <v>503</v>
      </c>
      <c r="C17" s="8" t="s">
        <v>503</v>
      </c>
      <c r="D17" s="8" t="s">
        <v>503</v>
      </c>
      <c r="E17" s="8" t="s">
        <v>503</v>
      </c>
      <c r="F17" s="8" t="s">
        <v>503</v>
      </c>
      <c r="G17" s="8" t="s">
        <v>503</v>
      </c>
      <c r="H17" s="8" t="s">
        <v>503</v>
      </c>
      <c r="I17" s="8" t="s">
        <v>503</v>
      </c>
      <c r="J17" s="8" t="s">
        <v>503</v>
      </c>
      <c r="K17" s="8" t="s">
        <v>503</v>
      </c>
      <c r="L17" s="8" t="s">
        <v>503</v>
      </c>
      <c r="M17" s="8" t="s">
        <v>503</v>
      </c>
      <c r="N17" s="8" t="s">
        <v>503</v>
      </c>
      <c r="O17" s="8" t="s">
        <v>503</v>
      </c>
      <c r="P17" s="8" t="s">
        <v>503</v>
      </c>
      <c r="Q17" s="8" t="s">
        <v>503</v>
      </c>
      <c r="R17" s="8" t="s">
        <v>503</v>
      </c>
      <c r="S17" s="8" t="s">
        <v>503</v>
      </c>
      <c r="T17" s="8" t="s">
        <v>503</v>
      </c>
      <c r="U17" s="8" t="s">
        <v>503</v>
      </c>
      <c r="V17" s="8" t="s">
        <v>503</v>
      </c>
      <c r="W17" s="8" t="s">
        <v>503</v>
      </c>
      <c r="X17" s="8" t="s">
        <v>503</v>
      </c>
      <c r="Y17" s="8" t="s">
        <v>503</v>
      </c>
      <c r="Z17" s="8" t="s">
        <v>503</v>
      </c>
      <c r="AA17" s="8" t="s">
        <v>503</v>
      </c>
      <c r="AB17" s="8" t="s">
        <v>503</v>
      </c>
      <c r="AC17" s="8" t="s">
        <v>503</v>
      </c>
      <c r="AD17" s="8" t="s">
        <v>503</v>
      </c>
      <c r="AE17" s="54"/>
      <c r="AF17" s="54"/>
      <c r="AG17" s="41">
        <f t="shared" si="6"/>
        <v>29</v>
      </c>
      <c r="AH17" s="42">
        <f t="shared" si="7"/>
        <v>96.666666666666671</v>
      </c>
      <c r="AM17" s="20"/>
      <c r="AN17" s="20"/>
      <c r="AO17" s="20"/>
      <c r="AP17" s="20"/>
      <c r="AQ17" s="20"/>
      <c r="AR17" s="20"/>
      <c r="AX17" s="58"/>
    </row>
    <row r="18" spans="1:50" x14ac:dyDescent="0.35">
      <c r="A18" s="7" t="s">
        <v>42</v>
      </c>
      <c r="B18" s="8" t="s">
        <v>504</v>
      </c>
      <c r="C18" s="8" t="s">
        <v>504</v>
      </c>
      <c r="D18" s="8" t="s">
        <v>504</v>
      </c>
      <c r="E18" s="8" t="s">
        <v>504</v>
      </c>
      <c r="F18" s="8" t="s">
        <v>504</v>
      </c>
      <c r="G18" s="8" t="s">
        <v>504</v>
      </c>
      <c r="H18" s="8" t="s">
        <v>504</v>
      </c>
      <c r="I18" s="8" t="s">
        <v>504</v>
      </c>
      <c r="J18" s="8" t="s">
        <v>504</v>
      </c>
      <c r="K18" s="8" t="s">
        <v>504</v>
      </c>
      <c r="L18" s="8" t="s">
        <v>504</v>
      </c>
      <c r="M18" s="8" t="s">
        <v>504</v>
      </c>
      <c r="N18" s="8" t="s">
        <v>504</v>
      </c>
      <c r="O18" s="8" t="s">
        <v>504</v>
      </c>
      <c r="P18" s="8" t="s">
        <v>504</v>
      </c>
      <c r="Q18" s="8" t="s">
        <v>504</v>
      </c>
      <c r="R18" s="8" t="s">
        <v>504</v>
      </c>
      <c r="S18" s="8" t="s">
        <v>504</v>
      </c>
      <c r="T18" s="8" t="s">
        <v>504</v>
      </c>
      <c r="U18" s="8" t="s">
        <v>504</v>
      </c>
      <c r="V18" s="8" t="s">
        <v>504</v>
      </c>
      <c r="W18" s="8" t="s">
        <v>504</v>
      </c>
      <c r="X18" s="8" t="s">
        <v>504</v>
      </c>
      <c r="Y18" s="8" t="s">
        <v>504</v>
      </c>
      <c r="Z18" s="8" t="s">
        <v>504</v>
      </c>
      <c r="AA18" s="8" t="s">
        <v>504</v>
      </c>
      <c r="AB18" s="8" t="s">
        <v>504</v>
      </c>
      <c r="AC18" s="8" t="s">
        <v>504</v>
      </c>
      <c r="AD18" s="8" t="s">
        <v>504</v>
      </c>
      <c r="AE18" s="8"/>
      <c r="AF18" s="54"/>
      <c r="AG18" s="41">
        <f t="shared" si="6"/>
        <v>29</v>
      </c>
      <c r="AH18" s="42">
        <f t="shared" si="7"/>
        <v>96.666666666666671</v>
      </c>
      <c r="AM18" s="20"/>
      <c r="AN18" s="20"/>
      <c r="AO18" s="20"/>
      <c r="AP18" s="20"/>
      <c r="AQ18" s="20"/>
      <c r="AR18" s="20"/>
      <c r="AX18" s="58"/>
    </row>
    <row r="19" spans="1:50" x14ac:dyDescent="0.35">
      <c r="A19" s="7" t="s">
        <v>45</v>
      </c>
      <c r="B19" s="8" t="s">
        <v>496</v>
      </c>
      <c r="C19" s="8" t="s">
        <v>496</v>
      </c>
      <c r="D19" s="8" t="s">
        <v>496</v>
      </c>
      <c r="E19" s="8"/>
      <c r="F19" s="8" t="s">
        <v>25</v>
      </c>
      <c r="G19" s="8" t="s">
        <v>25</v>
      </c>
      <c r="H19" s="8" t="s">
        <v>514</v>
      </c>
      <c r="I19" s="8" t="s">
        <v>514</v>
      </c>
      <c r="J19" s="8" t="s">
        <v>514</v>
      </c>
      <c r="K19" s="8"/>
      <c r="L19" s="8"/>
      <c r="M19" s="8"/>
      <c r="N19" s="8"/>
      <c r="O19" s="8"/>
      <c r="P19" s="8"/>
      <c r="Q19" s="8"/>
      <c r="R19" s="8"/>
      <c r="S19" s="8"/>
      <c r="T19" s="8" t="s">
        <v>518</v>
      </c>
      <c r="U19" s="8" t="s">
        <v>518</v>
      </c>
      <c r="V19" s="8"/>
      <c r="W19" s="8" t="s">
        <v>34</v>
      </c>
      <c r="X19" s="8" t="s">
        <v>34</v>
      </c>
      <c r="Y19" s="8" t="s">
        <v>34</v>
      </c>
      <c r="Z19" s="8" t="s">
        <v>34</v>
      </c>
      <c r="AA19" s="8" t="s">
        <v>34</v>
      </c>
      <c r="AB19" s="8" t="s">
        <v>34</v>
      </c>
      <c r="AC19" s="8" t="s">
        <v>34</v>
      </c>
      <c r="AD19" s="8" t="s">
        <v>34</v>
      </c>
      <c r="AE19" s="8"/>
      <c r="AF19" s="54"/>
      <c r="AG19" s="41">
        <f t="shared" si="6"/>
        <v>18</v>
      </c>
      <c r="AH19" s="42">
        <f t="shared" si="7"/>
        <v>60</v>
      </c>
      <c r="AM19" s="20"/>
      <c r="AN19" s="20"/>
      <c r="AO19" s="20"/>
      <c r="AP19" s="20"/>
      <c r="AQ19" s="20"/>
      <c r="AR19" s="20"/>
      <c r="AX19" s="58"/>
    </row>
    <row r="20" spans="1:50" x14ac:dyDescent="0.35">
      <c r="A20" s="7" t="s">
        <v>47</v>
      </c>
      <c r="B20" s="8" t="s">
        <v>471</v>
      </c>
      <c r="C20" s="8" t="s">
        <v>471</v>
      </c>
      <c r="D20" s="8"/>
      <c r="E20" s="8"/>
      <c r="F20" s="8" t="s">
        <v>506</v>
      </c>
      <c r="G20" s="8" t="s">
        <v>506</v>
      </c>
      <c r="H20" s="8" t="s">
        <v>506</v>
      </c>
      <c r="I20" s="8" t="s">
        <v>506</v>
      </c>
      <c r="J20" s="8" t="s">
        <v>506</v>
      </c>
      <c r="K20" s="8" t="s">
        <v>506</v>
      </c>
      <c r="L20" s="8" t="s">
        <v>506</v>
      </c>
      <c r="M20" s="8" t="s">
        <v>506</v>
      </c>
      <c r="N20" s="8" t="s">
        <v>506</v>
      </c>
      <c r="O20" s="8" t="s">
        <v>506</v>
      </c>
      <c r="P20" s="8" t="s">
        <v>506</v>
      </c>
      <c r="Q20" s="8" t="s">
        <v>506</v>
      </c>
      <c r="R20" s="8" t="s">
        <v>506</v>
      </c>
      <c r="S20" s="8" t="s">
        <v>506</v>
      </c>
      <c r="T20" s="8" t="s">
        <v>506</v>
      </c>
      <c r="U20" s="8" t="s">
        <v>506</v>
      </c>
      <c r="V20" s="8" t="s">
        <v>506</v>
      </c>
      <c r="W20" s="8" t="s">
        <v>506</v>
      </c>
      <c r="X20" s="8" t="s">
        <v>506</v>
      </c>
      <c r="Y20" s="8" t="s">
        <v>506</v>
      </c>
      <c r="Z20" s="8" t="s">
        <v>506</v>
      </c>
      <c r="AA20" s="8" t="s">
        <v>506</v>
      </c>
      <c r="AB20" s="8" t="s">
        <v>506</v>
      </c>
      <c r="AC20" s="8" t="s">
        <v>506</v>
      </c>
      <c r="AD20" s="8" t="s">
        <v>506</v>
      </c>
      <c r="AE20" s="54"/>
      <c r="AF20" s="54"/>
      <c r="AG20" s="41">
        <f t="shared" si="6"/>
        <v>27</v>
      </c>
      <c r="AH20" s="42">
        <f t="shared" si="7"/>
        <v>90</v>
      </c>
      <c r="AM20" s="20"/>
      <c r="AN20" s="20"/>
      <c r="AO20" s="20"/>
      <c r="AP20" s="20"/>
      <c r="AQ20" s="20"/>
      <c r="AR20" s="20"/>
      <c r="AX20" s="58"/>
    </row>
    <row r="21" spans="1:50" x14ac:dyDescent="0.35">
      <c r="A21" s="7" t="s">
        <v>50</v>
      </c>
      <c r="B21" s="8" t="s">
        <v>504</v>
      </c>
      <c r="C21" s="8" t="s">
        <v>504</v>
      </c>
      <c r="D21" s="8" t="s">
        <v>504</v>
      </c>
      <c r="E21" s="8" t="s">
        <v>504</v>
      </c>
      <c r="F21" s="8" t="s">
        <v>504</v>
      </c>
      <c r="G21" s="8" t="s">
        <v>504</v>
      </c>
      <c r="H21" s="8" t="s">
        <v>504</v>
      </c>
      <c r="I21" s="8" t="s">
        <v>504</v>
      </c>
      <c r="J21" s="8" t="s">
        <v>504</v>
      </c>
      <c r="K21" s="8" t="s">
        <v>504</v>
      </c>
      <c r="L21" s="8" t="s">
        <v>504</v>
      </c>
      <c r="M21" s="8" t="s">
        <v>504</v>
      </c>
      <c r="N21" s="8" t="s">
        <v>504</v>
      </c>
      <c r="O21" s="8" t="s">
        <v>504</v>
      </c>
      <c r="P21" s="8" t="s">
        <v>504</v>
      </c>
      <c r="Q21" s="8" t="s">
        <v>504</v>
      </c>
      <c r="R21" s="8" t="s">
        <v>504</v>
      </c>
      <c r="S21" s="8" t="s">
        <v>504</v>
      </c>
      <c r="T21" s="8" t="s">
        <v>504</v>
      </c>
      <c r="U21" s="8" t="s">
        <v>504</v>
      </c>
      <c r="V21" s="8" t="s">
        <v>504</v>
      </c>
      <c r="W21" s="8" t="s">
        <v>504</v>
      </c>
      <c r="X21" s="8" t="s">
        <v>504</v>
      </c>
      <c r="Y21" s="8" t="s">
        <v>504</v>
      </c>
      <c r="Z21" s="8" t="s">
        <v>504</v>
      </c>
      <c r="AA21" s="8" t="s">
        <v>504</v>
      </c>
      <c r="AB21" s="8" t="s">
        <v>504</v>
      </c>
      <c r="AC21" s="8" t="s">
        <v>504</v>
      </c>
      <c r="AD21" s="8" t="s">
        <v>504</v>
      </c>
      <c r="AE21" s="54"/>
      <c r="AF21" s="54"/>
      <c r="AG21" s="41">
        <f t="shared" si="6"/>
        <v>29</v>
      </c>
      <c r="AH21" s="42">
        <f t="shared" si="7"/>
        <v>96.666666666666671</v>
      </c>
      <c r="AM21" s="20"/>
      <c r="AN21" s="20"/>
      <c r="AO21" s="20"/>
      <c r="AP21" s="20"/>
      <c r="AQ21" s="20"/>
      <c r="AR21" s="20"/>
      <c r="AX21" s="58"/>
    </row>
    <row r="22" spans="1:50" ht="15" thickBot="1" x14ac:dyDescent="0.4">
      <c r="A22" s="7" t="s">
        <v>51</v>
      </c>
      <c r="B22" s="8"/>
      <c r="C22" s="8"/>
      <c r="D22" s="8"/>
      <c r="E22" s="8"/>
      <c r="F22" s="8" t="s">
        <v>506</v>
      </c>
      <c r="G22" s="8" t="s">
        <v>506</v>
      </c>
      <c r="H22" s="8" t="s">
        <v>506</v>
      </c>
      <c r="I22" s="8" t="s">
        <v>506</v>
      </c>
      <c r="J22" s="8" t="s">
        <v>506</v>
      </c>
      <c r="K22" s="8" t="s">
        <v>506</v>
      </c>
      <c r="L22" s="8" t="s">
        <v>506</v>
      </c>
      <c r="M22" s="8" t="s">
        <v>506</v>
      </c>
      <c r="N22" s="8" t="s">
        <v>506</v>
      </c>
      <c r="O22" s="8" t="s">
        <v>506</v>
      </c>
      <c r="P22" s="8" t="s">
        <v>506</v>
      </c>
      <c r="Q22" s="8" t="s">
        <v>506</v>
      </c>
      <c r="R22" s="8" t="s">
        <v>506</v>
      </c>
      <c r="S22" s="8" t="s">
        <v>506</v>
      </c>
      <c r="T22" s="8" t="s">
        <v>506</v>
      </c>
      <c r="U22" s="8" t="s">
        <v>506</v>
      </c>
      <c r="V22" s="8" t="s">
        <v>506</v>
      </c>
      <c r="W22" s="8" t="s">
        <v>506</v>
      </c>
      <c r="X22" s="8" t="s">
        <v>506</v>
      </c>
      <c r="Y22" s="8" t="s">
        <v>506</v>
      </c>
      <c r="Z22" s="8" t="s">
        <v>506</v>
      </c>
      <c r="AA22" s="8" t="s">
        <v>506</v>
      </c>
      <c r="AB22" s="8" t="s">
        <v>506</v>
      </c>
      <c r="AC22" s="8" t="s">
        <v>506</v>
      </c>
      <c r="AD22" s="8" t="s">
        <v>506</v>
      </c>
      <c r="AE22" s="54"/>
      <c r="AF22" s="54"/>
      <c r="AG22" s="41">
        <f t="shared" si="6"/>
        <v>25</v>
      </c>
      <c r="AH22" s="42">
        <f t="shared" si="7"/>
        <v>83.333333333333329</v>
      </c>
      <c r="AX22" s="58"/>
    </row>
    <row r="23" spans="1:50" ht="15.5" x14ac:dyDescent="0.35">
      <c r="A23" s="45" t="s">
        <v>176</v>
      </c>
      <c r="B23" s="46">
        <f>COUNTA(B15:B22)</f>
        <v>7</v>
      </c>
      <c r="C23" s="46">
        <f>COUNTA(C16:C22)</f>
        <v>6</v>
      </c>
      <c r="D23" s="46">
        <f>COUNTA(D16:D22)</f>
        <v>5</v>
      </c>
      <c r="E23" s="46">
        <f t="shared" ref="E23:AF23" si="8">COUNTA(E15:E22)</f>
        <v>5</v>
      </c>
      <c r="F23" s="46">
        <f t="shared" si="8"/>
        <v>8</v>
      </c>
      <c r="G23" s="46">
        <f t="shared" si="8"/>
        <v>8</v>
      </c>
      <c r="H23" s="46">
        <f t="shared" si="8"/>
        <v>8</v>
      </c>
      <c r="I23" s="46">
        <f t="shared" si="8"/>
        <v>8</v>
      </c>
      <c r="J23" s="46">
        <f t="shared" si="8"/>
        <v>8</v>
      </c>
      <c r="K23" s="46">
        <f t="shared" si="8"/>
        <v>5</v>
      </c>
      <c r="L23" s="46">
        <f t="shared" si="8"/>
        <v>5</v>
      </c>
      <c r="M23" s="46">
        <f t="shared" si="8"/>
        <v>5</v>
      </c>
      <c r="N23" s="46">
        <f t="shared" si="8"/>
        <v>5</v>
      </c>
      <c r="O23" s="46">
        <f t="shared" si="8"/>
        <v>7</v>
      </c>
      <c r="P23" s="46">
        <f t="shared" si="8"/>
        <v>6</v>
      </c>
      <c r="Q23" s="46">
        <f t="shared" si="8"/>
        <v>7</v>
      </c>
      <c r="R23" s="46">
        <f t="shared" si="8"/>
        <v>7</v>
      </c>
      <c r="S23" s="46">
        <f t="shared" si="8"/>
        <v>7</v>
      </c>
      <c r="T23" s="46">
        <f>COUNTA(T15:T22)</f>
        <v>8</v>
      </c>
      <c r="U23" s="46">
        <f t="shared" si="8"/>
        <v>8</v>
      </c>
      <c r="V23" s="46">
        <f t="shared" si="8"/>
        <v>7</v>
      </c>
      <c r="W23" s="46">
        <f t="shared" si="8"/>
        <v>8</v>
      </c>
      <c r="X23" s="46">
        <f t="shared" si="8"/>
        <v>8</v>
      </c>
      <c r="Y23" s="46">
        <f t="shared" si="8"/>
        <v>8</v>
      </c>
      <c r="Z23" s="46">
        <f t="shared" si="8"/>
        <v>8</v>
      </c>
      <c r="AA23" s="46">
        <f t="shared" si="8"/>
        <v>8</v>
      </c>
      <c r="AB23" s="46">
        <f t="shared" si="8"/>
        <v>8</v>
      </c>
      <c r="AC23" s="46">
        <f t="shared" si="8"/>
        <v>8</v>
      </c>
      <c r="AD23" s="46">
        <f t="shared" si="8"/>
        <v>7</v>
      </c>
      <c r="AE23" s="46">
        <f t="shared" si="8"/>
        <v>0</v>
      </c>
      <c r="AF23" s="46">
        <f t="shared" si="8"/>
        <v>0</v>
      </c>
      <c r="AG23" s="43">
        <f>SUM(AG15:AG22)</f>
        <v>205</v>
      </c>
      <c r="AH23" s="66">
        <f>AVERAGE(AH15:AH22)</f>
        <v>85.416666666666671</v>
      </c>
      <c r="AX23" s="58"/>
    </row>
    <row r="24" spans="1:50" ht="15.5" x14ac:dyDescent="0.35">
      <c r="A24" s="47" t="s">
        <v>178</v>
      </c>
      <c r="B24" s="52">
        <f>B12+B23</f>
        <v>9</v>
      </c>
      <c r="C24" s="52">
        <f t="shared" ref="C24:AF24" si="9">C12+C23</f>
        <v>10</v>
      </c>
      <c r="D24" s="52">
        <f t="shared" si="9"/>
        <v>9</v>
      </c>
      <c r="E24" s="52">
        <f t="shared" si="9"/>
        <v>7</v>
      </c>
      <c r="F24" s="52">
        <f t="shared" si="9"/>
        <v>10</v>
      </c>
      <c r="G24" s="52">
        <f t="shared" si="9"/>
        <v>14</v>
      </c>
      <c r="H24" s="52">
        <f t="shared" si="9"/>
        <v>14</v>
      </c>
      <c r="I24" s="52">
        <f t="shared" si="9"/>
        <v>11</v>
      </c>
      <c r="J24" s="52">
        <f t="shared" si="9"/>
        <v>11</v>
      </c>
      <c r="K24" s="52">
        <f t="shared" si="9"/>
        <v>7</v>
      </c>
      <c r="L24" s="52">
        <f t="shared" si="9"/>
        <v>7</v>
      </c>
      <c r="M24" s="52">
        <f t="shared" si="9"/>
        <v>7</v>
      </c>
      <c r="N24" s="52">
        <f t="shared" si="9"/>
        <v>7</v>
      </c>
      <c r="O24" s="52">
        <f t="shared" si="9"/>
        <v>9</v>
      </c>
      <c r="P24" s="52">
        <f t="shared" si="9"/>
        <v>8</v>
      </c>
      <c r="Q24" s="52">
        <f t="shared" si="9"/>
        <v>9</v>
      </c>
      <c r="R24" s="52">
        <f t="shared" si="9"/>
        <v>8</v>
      </c>
      <c r="S24" s="52">
        <f t="shared" si="9"/>
        <v>8</v>
      </c>
      <c r="T24" s="52">
        <f t="shared" si="9"/>
        <v>13</v>
      </c>
      <c r="U24" s="52">
        <f t="shared" si="9"/>
        <v>11</v>
      </c>
      <c r="V24" s="52">
        <f t="shared" si="9"/>
        <v>10</v>
      </c>
      <c r="W24" s="52">
        <f t="shared" si="9"/>
        <v>13</v>
      </c>
      <c r="X24" s="52">
        <f t="shared" si="9"/>
        <v>13</v>
      </c>
      <c r="Y24" s="52">
        <f t="shared" si="9"/>
        <v>10</v>
      </c>
      <c r="Z24" s="52">
        <f t="shared" si="9"/>
        <v>13</v>
      </c>
      <c r="AA24" s="52">
        <f t="shared" si="9"/>
        <v>14</v>
      </c>
      <c r="AB24" s="52">
        <f t="shared" si="9"/>
        <v>12</v>
      </c>
      <c r="AC24" s="52">
        <f t="shared" si="9"/>
        <v>13</v>
      </c>
      <c r="AD24" s="52">
        <f t="shared" si="9"/>
        <v>11</v>
      </c>
      <c r="AE24" s="52">
        <f t="shared" si="9"/>
        <v>0</v>
      </c>
      <c r="AF24" s="52">
        <f t="shared" si="9"/>
        <v>0</v>
      </c>
      <c r="AG24" s="49">
        <f>+AG12+AG23</f>
        <v>300</v>
      </c>
      <c r="AX24" s="58"/>
    </row>
    <row r="25" spans="1:50" ht="15.5" x14ac:dyDescent="0.35">
      <c r="A25" s="48" t="s">
        <v>179</v>
      </c>
      <c r="B25" s="42">
        <f>B24*100/15</f>
        <v>60</v>
      </c>
      <c r="C25" s="42">
        <f t="shared" ref="C25:AF25" si="10">C24*100/15</f>
        <v>66.666666666666671</v>
      </c>
      <c r="D25" s="42">
        <f t="shared" si="10"/>
        <v>60</v>
      </c>
      <c r="E25" s="42">
        <f t="shared" si="10"/>
        <v>46.666666666666664</v>
      </c>
      <c r="F25" s="42">
        <f t="shared" si="10"/>
        <v>66.666666666666671</v>
      </c>
      <c r="G25" s="42">
        <f t="shared" si="10"/>
        <v>93.333333333333329</v>
      </c>
      <c r="H25" s="42">
        <f t="shared" si="10"/>
        <v>93.333333333333329</v>
      </c>
      <c r="I25" s="42">
        <f t="shared" si="10"/>
        <v>73.333333333333329</v>
      </c>
      <c r="J25" s="42">
        <f t="shared" si="10"/>
        <v>73.333333333333329</v>
      </c>
      <c r="K25" s="42">
        <f t="shared" si="10"/>
        <v>46.666666666666664</v>
      </c>
      <c r="L25" s="42">
        <f t="shared" si="10"/>
        <v>46.666666666666664</v>
      </c>
      <c r="M25" s="42">
        <f t="shared" si="10"/>
        <v>46.666666666666664</v>
      </c>
      <c r="N25" s="42">
        <f t="shared" si="10"/>
        <v>46.666666666666664</v>
      </c>
      <c r="O25" s="42">
        <f t="shared" si="10"/>
        <v>60</v>
      </c>
      <c r="P25" s="42">
        <f t="shared" si="10"/>
        <v>53.333333333333336</v>
      </c>
      <c r="Q25" s="42">
        <f t="shared" si="10"/>
        <v>60</v>
      </c>
      <c r="R25" s="42">
        <f t="shared" si="10"/>
        <v>53.333333333333336</v>
      </c>
      <c r="S25" s="42">
        <f t="shared" si="10"/>
        <v>53.333333333333336</v>
      </c>
      <c r="T25" s="42">
        <f t="shared" si="10"/>
        <v>86.666666666666671</v>
      </c>
      <c r="U25" s="42">
        <f t="shared" si="10"/>
        <v>73.333333333333329</v>
      </c>
      <c r="V25" s="42">
        <f t="shared" si="10"/>
        <v>66.666666666666671</v>
      </c>
      <c r="W25" s="42">
        <f t="shared" si="10"/>
        <v>86.666666666666671</v>
      </c>
      <c r="X25" s="42">
        <f t="shared" si="10"/>
        <v>86.666666666666671</v>
      </c>
      <c r="Y25" s="42">
        <f t="shared" si="10"/>
        <v>66.666666666666671</v>
      </c>
      <c r="Z25" s="42">
        <f t="shared" si="10"/>
        <v>86.666666666666671</v>
      </c>
      <c r="AA25" s="42">
        <f t="shared" si="10"/>
        <v>93.333333333333329</v>
      </c>
      <c r="AB25" s="42">
        <f t="shared" si="10"/>
        <v>80</v>
      </c>
      <c r="AC25" s="42">
        <f t="shared" si="10"/>
        <v>86.666666666666671</v>
      </c>
      <c r="AD25" s="42">
        <f t="shared" si="10"/>
        <v>73.333333333333329</v>
      </c>
      <c r="AE25" s="42">
        <f t="shared" si="10"/>
        <v>0</v>
      </c>
      <c r="AF25" s="42">
        <f t="shared" si="10"/>
        <v>0</v>
      </c>
      <c r="AG25" s="50">
        <f>AVERAGE(B25:AE25)</f>
        <v>66.222222222222229</v>
      </c>
      <c r="AH25" s="51" t="s">
        <v>180</v>
      </c>
      <c r="AX25" s="58"/>
    </row>
    <row r="26" spans="1:50" x14ac:dyDescent="0.35">
      <c r="AX26" s="58"/>
    </row>
    <row r="27" spans="1:50" x14ac:dyDescent="0.35">
      <c r="P27" s="71"/>
      <c r="Q27" s="71"/>
    </row>
    <row r="28" spans="1:50" x14ac:dyDescent="0.35">
      <c r="P28" s="71"/>
      <c r="Q28" s="71"/>
    </row>
    <row r="29" spans="1:50" x14ac:dyDescent="0.35">
      <c r="P29" s="71"/>
      <c r="Q29" s="71"/>
    </row>
  </sheetData>
  <mergeCells count="2">
    <mergeCell ref="A1:AE1"/>
    <mergeCell ref="AM3:AR3"/>
  </mergeCells>
  <conditionalFormatting sqref="B6:F6">
    <cfRule type="colorScale" priority="2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9:L19">
    <cfRule type="colorScale" priority="9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8:M8">
    <cfRule type="colorScale" priority="18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5:N5">
    <cfRule type="colorScale" priority="20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7:O7">
    <cfRule type="colorScale" priority="19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9:O9 B10:R10">
    <cfRule type="colorScale" priority="2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1:AD11">
    <cfRule type="colorScale" priority="8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G6:K6">
    <cfRule type="colorScale" priority="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L13:U14 B13:I14 X13:AH14">
    <cfRule type="colorScale" priority="2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N8:R8 P9:R9 L6:Y6 T7:X8 O5:AF5 T10:AB10 Y8:AF8 AE9:AF11 AB6:AF7 T9:AD9">
    <cfRule type="colorScale" priority="2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P7:S7 S8:S10">
    <cfRule type="colorScale" priority="1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P16:Z16">
    <cfRule type="colorScale" priority="1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P17:AD18 B16:O18 M19:U19 B15:AD15 AE18:AE19 B20:AD22 AA16:AE16">
    <cfRule type="colorScale" priority="1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V19">
    <cfRule type="colorScale" priority="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W19:AD19">
    <cfRule type="colorScale" priority="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Y7:AA7">
    <cfRule type="colorScale" priority="1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Z6:AA6">
    <cfRule type="colorScale" priority="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C10">
    <cfRule type="colorScale" priority="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D10">
    <cfRule type="colorScale" priority="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E17:AF17 AE15:AF15 AF18:AF19 AF16 AE20:AF22">
    <cfRule type="colorScale" priority="25">
      <colorScale>
        <cfvo type="num" val="1"/>
        <cfvo type="max"/>
        <color theme="4" tint="0.59999389629810485"/>
        <color theme="5" tint="0.59999389629810485"/>
      </colorScale>
    </cfRule>
  </conditionalFormatting>
  <pageMargins left="0.2" right="0.45" top="0.75" bottom="0.75" header="0.3" footer="0.3"/>
  <pageSetup scale="9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70092-A3E6-461E-AC91-11C5F06E4559}">
  <dimension ref="A1:AX29"/>
  <sheetViews>
    <sheetView zoomScale="86" zoomScaleNormal="86" workbookViewId="0">
      <pane xSplit="1" ySplit="4" topLeftCell="W5" activePane="bottomRight" state="frozen"/>
      <selection pane="topRight" activeCell="B1" sqref="B1"/>
      <selection pane="bottomLeft" activeCell="A5" sqref="A5"/>
      <selection pane="bottomRight" activeCell="AC15" sqref="AC15"/>
    </sheetView>
  </sheetViews>
  <sheetFormatPr defaultRowHeight="14.5" x14ac:dyDescent="0.35"/>
  <cols>
    <col min="1" max="1" width="43.54296875" bestFit="1" customWidth="1"/>
    <col min="2" max="4" width="12.54296875" bestFit="1" customWidth="1"/>
    <col min="5" max="6" width="10.1796875" bestFit="1" customWidth="1"/>
    <col min="7" max="10" width="14.54296875" bestFit="1" customWidth="1"/>
    <col min="11" max="13" width="10.1796875" bestFit="1" customWidth="1"/>
    <col min="14" max="15" width="11.453125" bestFit="1" customWidth="1"/>
    <col min="16" max="16" width="11.81640625" bestFit="1" customWidth="1"/>
    <col min="17" max="18" width="12" bestFit="1" customWidth="1"/>
    <col min="19" max="21" width="11.81640625" bestFit="1" customWidth="1"/>
    <col min="22" max="22" width="14.1796875" bestFit="1" customWidth="1"/>
    <col min="23" max="23" width="16.81640625" bestFit="1" customWidth="1"/>
    <col min="24" max="25" width="12.81640625" bestFit="1" customWidth="1"/>
    <col min="26" max="30" width="10.54296875" bestFit="1" customWidth="1"/>
    <col min="31" max="31" width="10.453125" customWidth="1"/>
    <col min="32" max="32" width="10.1796875" customWidth="1"/>
    <col min="33" max="33" width="5.81640625" customWidth="1"/>
    <col min="34" max="34" width="8.453125" bestFit="1" customWidth="1"/>
    <col min="35" max="35" width="7.7265625" bestFit="1" customWidth="1"/>
    <col min="36" max="36" width="8.453125" customWidth="1"/>
    <col min="37" max="37" width="0" hidden="1" customWidth="1"/>
    <col min="38" max="38" width="3" hidden="1" customWidth="1"/>
    <col min="39" max="39" width="17.81640625" bestFit="1" customWidth="1"/>
    <col min="40" max="40" width="9.1796875" bestFit="1" customWidth="1"/>
    <col min="41" max="41" width="9.81640625" bestFit="1" customWidth="1"/>
    <col min="42" max="42" width="10.81640625" bestFit="1" customWidth="1"/>
    <col min="43" max="43" width="10.1796875" bestFit="1" customWidth="1"/>
    <col min="44" max="44" width="23.1796875" bestFit="1" customWidth="1"/>
    <col min="45" max="45" width="0.453125" hidden="1" customWidth="1"/>
    <col min="46" max="49" width="0" hidden="1" customWidth="1"/>
    <col min="51" max="51" width="15" bestFit="1" customWidth="1"/>
  </cols>
  <sheetData>
    <row r="1" spans="1:44" ht="15.5" x14ac:dyDescent="0.35">
      <c r="A1" s="120" t="s">
        <v>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65"/>
    </row>
    <row r="2" spans="1:44" ht="15" thickBot="1" x14ac:dyDescent="0.4"/>
    <row r="3" spans="1:44" ht="45.75" customHeight="1" x14ac:dyDescent="0.35">
      <c r="A3" s="1" t="s">
        <v>1</v>
      </c>
      <c r="B3" s="2">
        <f>AI4</f>
        <v>45352</v>
      </c>
      <c r="C3" s="2">
        <f t="shared" ref="C3:AF3" si="0">B3+1</f>
        <v>45353</v>
      </c>
      <c r="D3" s="2">
        <f t="shared" si="0"/>
        <v>45354</v>
      </c>
      <c r="E3" s="2">
        <f t="shared" si="0"/>
        <v>45355</v>
      </c>
      <c r="F3" s="2">
        <f t="shared" si="0"/>
        <v>45356</v>
      </c>
      <c r="G3" s="2">
        <f t="shared" si="0"/>
        <v>45357</v>
      </c>
      <c r="H3" s="2">
        <f t="shared" si="0"/>
        <v>45358</v>
      </c>
      <c r="I3" s="2">
        <f>H3+1</f>
        <v>45359</v>
      </c>
      <c r="J3" s="2">
        <f t="shared" si="0"/>
        <v>45360</v>
      </c>
      <c r="K3" s="2">
        <f t="shared" si="0"/>
        <v>45361</v>
      </c>
      <c r="L3" s="2">
        <f t="shared" si="0"/>
        <v>45362</v>
      </c>
      <c r="M3" s="2">
        <f t="shared" si="0"/>
        <v>45363</v>
      </c>
      <c r="N3" s="2">
        <f t="shared" si="0"/>
        <v>45364</v>
      </c>
      <c r="O3" s="2">
        <f t="shared" si="0"/>
        <v>45365</v>
      </c>
      <c r="P3" s="2">
        <f t="shared" si="0"/>
        <v>45366</v>
      </c>
      <c r="Q3" s="2">
        <f t="shared" si="0"/>
        <v>45367</v>
      </c>
      <c r="R3" s="2">
        <f t="shared" si="0"/>
        <v>45368</v>
      </c>
      <c r="S3" s="2">
        <f t="shared" si="0"/>
        <v>45369</v>
      </c>
      <c r="T3" s="2">
        <f t="shared" si="0"/>
        <v>45370</v>
      </c>
      <c r="U3" s="2">
        <f t="shared" si="0"/>
        <v>45371</v>
      </c>
      <c r="V3" s="2">
        <f t="shared" si="0"/>
        <v>45372</v>
      </c>
      <c r="W3" s="2">
        <f t="shared" si="0"/>
        <v>45373</v>
      </c>
      <c r="X3" s="2">
        <f t="shared" si="0"/>
        <v>45374</v>
      </c>
      <c r="Y3" s="2">
        <f t="shared" si="0"/>
        <v>45375</v>
      </c>
      <c r="Z3" s="2">
        <f t="shared" si="0"/>
        <v>45376</v>
      </c>
      <c r="AA3" s="2">
        <f t="shared" si="0"/>
        <v>45377</v>
      </c>
      <c r="AB3" s="2">
        <f t="shared" si="0"/>
        <v>45378</v>
      </c>
      <c r="AC3" s="2">
        <f t="shared" si="0"/>
        <v>45379</v>
      </c>
      <c r="AD3" s="2">
        <f t="shared" si="0"/>
        <v>45380</v>
      </c>
      <c r="AE3" s="2">
        <f t="shared" si="0"/>
        <v>45381</v>
      </c>
      <c r="AF3" s="2">
        <f t="shared" si="0"/>
        <v>45382</v>
      </c>
      <c r="AG3" s="36"/>
      <c r="AH3" s="36"/>
      <c r="AM3" s="122" t="s">
        <v>267</v>
      </c>
      <c r="AN3" s="123"/>
      <c r="AO3" s="123"/>
      <c r="AP3" s="123"/>
      <c r="AQ3" s="123"/>
      <c r="AR3" s="124"/>
    </row>
    <row r="4" spans="1:44" ht="31.5" customHeight="1" x14ac:dyDescent="0.35">
      <c r="A4" s="3" t="s">
        <v>2</v>
      </c>
      <c r="B4" s="4">
        <f t="shared" ref="B4:AF4" si="1">B3</f>
        <v>45352</v>
      </c>
      <c r="C4" s="4">
        <f t="shared" si="1"/>
        <v>45353</v>
      </c>
      <c r="D4" s="4">
        <f t="shared" si="1"/>
        <v>45354</v>
      </c>
      <c r="E4" s="4">
        <f t="shared" si="1"/>
        <v>45355</v>
      </c>
      <c r="F4" s="4">
        <f t="shared" si="1"/>
        <v>45356</v>
      </c>
      <c r="G4" s="4">
        <f t="shared" si="1"/>
        <v>45357</v>
      </c>
      <c r="H4" s="4">
        <f t="shared" si="1"/>
        <v>45358</v>
      </c>
      <c r="I4" s="4">
        <f t="shared" si="1"/>
        <v>45359</v>
      </c>
      <c r="J4" s="4">
        <f t="shared" si="1"/>
        <v>45360</v>
      </c>
      <c r="K4" s="4">
        <f t="shared" si="1"/>
        <v>45361</v>
      </c>
      <c r="L4" s="4">
        <f t="shared" si="1"/>
        <v>45362</v>
      </c>
      <c r="M4" s="4">
        <f t="shared" si="1"/>
        <v>45363</v>
      </c>
      <c r="N4" s="4">
        <f t="shared" si="1"/>
        <v>45364</v>
      </c>
      <c r="O4" s="4">
        <f t="shared" si="1"/>
        <v>45365</v>
      </c>
      <c r="P4" s="4">
        <f t="shared" si="1"/>
        <v>45366</v>
      </c>
      <c r="Q4" s="4">
        <f t="shared" si="1"/>
        <v>45367</v>
      </c>
      <c r="R4" s="4">
        <f t="shared" si="1"/>
        <v>45368</v>
      </c>
      <c r="S4" s="4">
        <f t="shared" si="1"/>
        <v>45369</v>
      </c>
      <c r="T4" s="4">
        <f t="shared" si="1"/>
        <v>45370</v>
      </c>
      <c r="U4" s="4">
        <f t="shared" si="1"/>
        <v>45371</v>
      </c>
      <c r="V4" s="4">
        <f t="shared" si="1"/>
        <v>45372</v>
      </c>
      <c r="W4" s="4">
        <f t="shared" si="1"/>
        <v>45373</v>
      </c>
      <c r="X4" s="4">
        <f t="shared" si="1"/>
        <v>45374</v>
      </c>
      <c r="Y4" s="4">
        <f t="shared" si="1"/>
        <v>45375</v>
      </c>
      <c r="Z4" s="4">
        <f t="shared" si="1"/>
        <v>45376</v>
      </c>
      <c r="AA4" s="4">
        <f t="shared" si="1"/>
        <v>45377</v>
      </c>
      <c r="AB4" s="4">
        <f t="shared" si="1"/>
        <v>45378</v>
      </c>
      <c r="AC4" s="4">
        <f t="shared" si="1"/>
        <v>45379</v>
      </c>
      <c r="AD4" s="4">
        <f t="shared" si="1"/>
        <v>45380</v>
      </c>
      <c r="AE4" s="4">
        <f t="shared" si="1"/>
        <v>45381</v>
      </c>
      <c r="AF4" s="4">
        <f t="shared" si="1"/>
        <v>45382</v>
      </c>
      <c r="AG4" s="39" t="s">
        <v>174</v>
      </c>
      <c r="AH4" s="40" t="s">
        <v>175</v>
      </c>
      <c r="AI4" s="5">
        <v>45352</v>
      </c>
      <c r="AJ4" s="6">
        <f>EOMONTH(AI4,0)</f>
        <v>45382</v>
      </c>
      <c r="AM4" s="19" t="s">
        <v>54</v>
      </c>
      <c r="AN4" s="19" t="s">
        <v>269</v>
      </c>
      <c r="AO4" s="19" t="s">
        <v>55</v>
      </c>
      <c r="AP4" s="19" t="s">
        <v>56</v>
      </c>
      <c r="AQ4" s="19" t="s">
        <v>251</v>
      </c>
      <c r="AR4" s="19" t="s">
        <v>57</v>
      </c>
    </row>
    <row r="5" spans="1:44" x14ac:dyDescent="0.35">
      <c r="A5" s="7" t="s">
        <v>3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 t="s">
        <v>437</v>
      </c>
      <c r="M5" s="55" t="s">
        <v>437</v>
      </c>
      <c r="N5" s="55" t="s">
        <v>437</v>
      </c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8"/>
      <c r="AD5" s="8"/>
      <c r="AE5" s="8"/>
      <c r="AF5" s="8"/>
      <c r="AG5" s="41">
        <f>COUNTA(B5:AF5)</f>
        <v>3</v>
      </c>
      <c r="AH5" s="42">
        <f>AG5*100/30</f>
        <v>10</v>
      </c>
      <c r="AM5" s="20"/>
      <c r="AN5" s="56"/>
      <c r="AO5" s="56"/>
      <c r="AP5" s="56"/>
      <c r="AQ5" s="57"/>
      <c r="AR5" s="20"/>
    </row>
    <row r="6" spans="1:44" x14ac:dyDescent="0.35">
      <c r="A6" s="7" t="s">
        <v>7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 t="s">
        <v>532</v>
      </c>
      <c r="U6" s="55"/>
      <c r="V6" s="55"/>
      <c r="W6" s="55"/>
      <c r="X6" s="55"/>
      <c r="Y6" s="8" t="s">
        <v>363</v>
      </c>
      <c r="Z6" s="8" t="s">
        <v>363</v>
      </c>
      <c r="AA6" s="8" t="s">
        <v>363</v>
      </c>
      <c r="AB6" s="8" t="s">
        <v>363</v>
      </c>
      <c r="AC6" s="8" t="s">
        <v>363</v>
      </c>
      <c r="AD6" s="8" t="s">
        <v>363</v>
      </c>
      <c r="AE6" s="8" t="s">
        <v>363</v>
      </c>
      <c r="AF6" s="8" t="s">
        <v>363</v>
      </c>
      <c r="AG6" s="41">
        <f t="shared" ref="AG6:AG11" si="2">COUNTA(B6:AF6)</f>
        <v>9</v>
      </c>
      <c r="AH6" s="42">
        <f t="shared" ref="AH6:AH11" si="3">AG6*100/30</f>
        <v>30</v>
      </c>
      <c r="AM6" s="20"/>
      <c r="AN6" s="56"/>
      <c r="AO6" s="56"/>
      <c r="AP6" s="56"/>
      <c r="AQ6" s="57"/>
      <c r="AR6" s="20"/>
    </row>
    <row r="7" spans="1:44" x14ac:dyDescent="0.35">
      <c r="A7" s="7" t="s">
        <v>11</v>
      </c>
      <c r="B7" s="55"/>
      <c r="C7" s="55"/>
      <c r="D7" s="55"/>
      <c r="E7" s="55"/>
      <c r="F7" s="55"/>
      <c r="G7" s="55"/>
      <c r="H7" s="55"/>
      <c r="I7" s="55" t="s">
        <v>535</v>
      </c>
      <c r="J7" s="55" t="s">
        <v>535</v>
      </c>
      <c r="K7" s="55" t="s">
        <v>535</v>
      </c>
      <c r="L7" s="55"/>
      <c r="M7" s="55"/>
      <c r="N7" s="55"/>
      <c r="O7" s="55"/>
      <c r="P7" s="55"/>
      <c r="Q7" s="55"/>
      <c r="R7" s="55"/>
      <c r="S7" s="55"/>
      <c r="T7" s="55" t="s">
        <v>532</v>
      </c>
      <c r="U7" s="55" t="s">
        <v>542</v>
      </c>
      <c r="V7" s="55" t="s">
        <v>542</v>
      </c>
      <c r="W7" s="55"/>
      <c r="X7" s="55"/>
      <c r="Y7" s="8" t="s">
        <v>363</v>
      </c>
      <c r="Z7" s="8" t="s">
        <v>363</v>
      </c>
      <c r="AA7" s="8" t="s">
        <v>363</v>
      </c>
      <c r="AB7" s="8" t="s">
        <v>363</v>
      </c>
      <c r="AC7" s="8" t="s">
        <v>363</v>
      </c>
      <c r="AD7" s="8" t="s">
        <v>363</v>
      </c>
      <c r="AE7" s="8" t="s">
        <v>363</v>
      </c>
      <c r="AF7" s="8" t="s">
        <v>363</v>
      </c>
      <c r="AG7" s="41">
        <f t="shared" si="2"/>
        <v>14</v>
      </c>
      <c r="AH7" s="42">
        <f t="shared" si="3"/>
        <v>46.666666666666664</v>
      </c>
      <c r="AM7" s="20"/>
      <c r="AN7" s="56"/>
      <c r="AO7" s="56"/>
      <c r="AP7" s="56"/>
      <c r="AQ7" s="57"/>
      <c r="AR7" s="20"/>
    </row>
    <row r="8" spans="1:44" ht="15" customHeight="1" x14ac:dyDescent="0.35">
      <c r="A8" s="7" t="s">
        <v>15</v>
      </c>
      <c r="B8" s="55" t="s">
        <v>422</v>
      </c>
      <c r="C8" s="55" t="s">
        <v>422</v>
      </c>
      <c r="D8" s="55" t="s">
        <v>422</v>
      </c>
      <c r="E8" s="55" t="s">
        <v>422</v>
      </c>
      <c r="F8" s="55" t="s">
        <v>422</v>
      </c>
      <c r="G8" s="55" t="s">
        <v>422</v>
      </c>
      <c r="H8" s="55" t="s">
        <v>422</v>
      </c>
      <c r="I8" s="55" t="s">
        <v>422</v>
      </c>
      <c r="J8" s="55" t="s">
        <v>422</v>
      </c>
      <c r="K8" s="55" t="s">
        <v>422</v>
      </c>
      <c r="L8" s="55"/>
      <c r="M8" s="55"/>
      <c r="N8" s="55" t="s">
        <v>521</v>
      </c>
      <c r="O8" s="55" t="s">
        <v>521</v>
      </c>
      <c r="P8" s="55" t="s">
        <v>521</v>
      </c>
      <c r="Q8" s="55" t="s">
        <v>521</v>
      </c>
      <c r="R8" s="55" t="s">
        <v>406</v>
      </c>
      <c r="S8" s="55" t="s">
        <v>406</v>
      </c>
      <c r="T8" s="55" t="s">
        <v>406</v>
      </c>
      <c r="U8" s="55" t="s">
        <v>406</v>
      </c>
      <c r="V8" s="55" t="s">
        <v>406</v>
      </c>
      <c r="W8" s="55" t="s">
        <v>406</v>
      </c>
      <c r="X8" s="55" t="s">
        <v>406</v>
      </c>
      <c r="Y8" s="55" t="s">
        <v>406</v>
      </c>
      <c r="Z8" s="55" t="s">
        <v>545</v>
      </c>
      <c r="AA8" s="55" t="s">
        <v>545</v>
      </c>
      <c r="AB8" s="55" t="s">
        <v>545</v>
      </c>
      <c r="AC8" s="55" t="s">
        <v>545</v>
      </c>
      <c r="AD8" s="55" t="s">
        <v>545</v>
      </c>
      <c r="AE8" s="55" t="s">
        <v>545</v>
      </c>
      <c r="AF8" s="55" t="s">
        <v>545</v>
      </c>
      <c r="AG8" s="41">
        <f t="shared" si="2"/>
        <v>29</v>
      </c>
      <c r="AH8" s="42">
        <f t="shared" si="3"/>
        <v>96.666666666666671</v>
      </c>
      <c r="AK8" s="9"/>
      <c r="AM8" s="20"/>
      <c r="AN8" s="56"/>
      <c r="AO8" s="56"/>
      <c r="AP8" s="56"/>
      <c r="AQ8" s="57"/>
      <c r="AR8" s="20"/>
    </row>
    <row r="9" spans="1:44" ht="15.75" customHeight="1" x14ac:dyDescent="0.35">
      <c r="A9" s="7" t="s">
        <v>18</v>
      </c>
      <c r="B9" s="55"/>
      <c r="C9" s="55"/>
      <c r="D9" s="55" t="s">
        <v>528</v>
      </c>
      <c r="E9" s="55" t="s">
        <v>528</v>
      </c>
      <c r="F9" s="55" t="s">
        <v>528</v>
      </c>
      <c r="G9" s="55" t="s">
        <v>528</v>
      </c>
      <c r="H9" s="55"/>
      <c r="I9" s="55"/>
      <c r="J9" s="55"/>
      <c r="K9" s="55"/>
      <c r="L9" s="55"/>
      <c r="M9" s="55"/>
      <c r="N9" s="55" t="s">
        <v>521</v>
      </c>
      <c r="O9" s="55" t="s">
        <v>521</v>
      </c>
      <c r="P9" s="55" t="s">
        <v>521</v>
      </c>
      <c r="Q9" s="55" t="s">
        <v>521</v>
      </c>
      <c r="R9" s="55"/>
      <c r="S9" s="55"/>
      <c r="T9" s="55" t="s">
        <v>532</v>
      </c>
      <c r="U9" s="55"/>
      <c r="V9" s="55"/>
      <c r="W9" s="55"/>
      <c r="X9" s="55"/>
      <c r="Y9" s="8" t="s">
        <v>363</v>
      </c>
      <c r="Z9" s="8" t="s">
        <v>363</v>
      </c>
      <c r="AA9" s="8" t="s">
        <v>363</v>
      </c>
      <c r="AB9" s="8" t="s">
        <v>363</v>
      </c>
      <c r="AC9" s="8" t="s">
        <v>363</v>
      </c>
      <c r="AD9" s="8" t="s">
        <v>363</v>
      </c>
      <c r="AE9" s="8" t="s">
        <v>363</v>
      </c>
      <c r="AF9" s="8" t="s">
        <v>363</v>
      </c>
      <c r="AG9" s="41">
        <f t="shared" si="2"/>
        <v>17</v>
      </c>
      <c r="AH9" s="42">
        <f t="shared" si="3"/>
        <v>56.666666666666664</v>
      </c>
      <c r="AM9" s="20"/>
      <c r="AN9" s="56"/>
      <c r="AO9" s="56"/>
      <c r="AP9" s="56"/>
      <c r="AQ9" s="57"/>
      <c r="AR9" s="20"/>
    </row>
    <row r="10" spans="1:44" ht="15.75" customHeight="1" x14ac:dyDescent="0.35">
      <c r="A10" s="7" t="s">
        <v>20</v>
      </c>
      <c r="B10" s="55"/>
      <c r="C10" s="55"/>
      <c r="D10" s="55" t="s">
        <v>529</v>
      </c>
      <c r="E10" s="55" t="s">
        <v>529</v>
      </c>
      <c r="F10" s="55" t="s">
        <v>529</v>
      </c>
      <c r="G10" s="55" t="s">
        <v>529</v>
      </c>
      <c r="H10" s="55"/>
      <c r="I10" s="55"/>
      <c r="J10" s="55"/>
      <c r="K10" s="55"/>
      <c r="L10" s="55" t="s">
        <v>214</v>
      </c>
      <c r="M10" s="55" t="s">
        <v>214</v>
      </c>
      <c r="N10" s="55" t="s">
        <v>214</v>
      </c>
      <c r="O10" s="55"/>
      <c r="P10" s="55"/>
      <c r="Q10" s="55"/>
      <c r="R10" s="55"/>
      <c r="S10" s="55"/>
      <c r="T10" s="55" t="s">
        <v>540</v>
      </c>
      <c r="U10" s="55" t="s">
        <v>540</v>
      </c>
      <c r="V10" s="55"/>
      <c r="W10" s="55"/>
      <c r="X10" s="55"/>
      <c r="Y10" s="55"/>
      <c r="Z10" s="55" t="s">
        <v>539</v>
      </c>
      <c r="AA10" s="55" t="s">
        <v>539</v>
      </c>
      <c r="AB10" s="8"/>
      <c r="AC10" s="8" t="s">
        <v>95</v>
      </c>
      <c r="AD10" s="8" t="s">
        <v>95</v>
      </c>
      <c r="AE10" s="8" t="s">
        <v>95</v>
      </c>
      <c r="AF10" s="8" t="s">
        <v>95</v>
      </c>
      <c r="AG10" s="41">
        <f t="shared" si="2"/>
        <v>15</v>
      </c>
      <c r="AH10" s="42">
        <f t="shared" si="3"/>
        <v>50</v>
      </c>
      <c r="AM10" s="20"/>
      <c r="AN10" s="56"/>
      <c r="AO10" s="56"/>
      <c r="AP10" s="56"/>
      <c r="AQ10" s="57"/>
      <c r="AR10" s="20"/>
    </row>
    <row r="11" spans="1:44" ht="15.75" customHeight="1" thickBot="1" x14ac:dyDescent="0.4">
      <c r="A11" s="7" t="s">
        <v>24</v>
      </c>
      <c r="B11" s="55" t="s">
        <v>34</v>
      </c>
      <c r="C11" s="55" t="s">
        <v>34</v>
      </c>
      <c r="D11" s="55" t="s">
        <v>34</v>
      </c>
      <c r="E11" s="55" t="s">
        <v>34</v>
      </c>
      <c r="F11" s="55" t="s">
        <v>34</v>
      </c>
      <c r="G11" s="55" t="s">
        <v>34</v>
      </c>
      <c r="H11" s="55" t="s">
        <v>34</v>
      </c>
      <c r="I11" s="55" t="s">
        <v>34</v>
      </c>
      <c r="J11" s="55" t="s">
        <v>34</v>
      </c>
      <c r="K11" s="55" t="s">
        <v>34</v>
      </c>
      <c r="L11" s="55" t="s">
        <v>34</v>
      </c>
      <c r="M11" s="55" t="s">
        <v>34</v>
      </c>
      <c r="N11" s="55" t="s">
        <v>34</v>
      </c>
      <c r="O11" s="55" t="s">
        <v>34</v>
      </c>
      <c r="P11" s="55" t="s">
        <v>34</v>
      </c>
      <c r="Q11" s="55" t="s">
        <v>34</v>
      </c>
      <c r="R11" s="55" t="s">
        <v>34</v>
      </c>
      <c r="S11" s="55" t="s">
        <v>34</v>
      </c>
      <c r="T11" s="55" t="s">
        <v>34</v>
      </c>
      <c r="U11" s="55" t="s">
        <v>34</v>
      </c>
      <c r="V11" s="55" t="s">
        <v>34</v>
      </c>
      <c r="W11" s="55" t="s">
        <v>34</v>
      </c>
      <c r="X11" s="55" t="s">
        <v>34</v>
      </c>
      <c r="Y11" s="55" t="s">
        <v>34</v>
      </c>
      <c r="Z11" s="55" t="s">
        <v>34</v>
      </c>
      <c r="AA11" s="55" t="s">
        <v>34</v>
      </c>
      <c r="AB11" s="55" t="s">
        <v>34</v>
      </c>
      <c r="AC11" s="55" t="s">
        <v>34</v>
      </c>
      <c r="AD11" s="55" t="s">
        <v>34</v>
      </c>
      <c r="AE11" s="55" t="s">
        <v>34</v>
      </c>
      <c r="AF11" s="55" t="s">
        <v>34</v>
      </c>
      <c r="AG11" s="41">
        <f t="shared" si="2"/>
        <v>31</v>
      </c>
      <c r="AH11" s="42">
        <f t="shared" si="3"/>
        <v>103.33333333333333</v>
      </c>
      <c r="AM11" s="20"/>
      <c r="AN11" s="20"/>
      <c r="AO11" s="20"/>
      <c r="AP11" s="20"/>
      <c r="AQ11" s="20"/>
      <c r="AR11" s="20"/>
    </row>
    <row r="12" spans="1:44" ht="15" customHeight="1" x14ac:dyDescent="0.35">
      <c r="A12" s="45" t="s">
        <v>176</v>
      </c>
      <c r="B12" s="46">
        <f>COUNTA(B5:B11)</f>
        <v>2</v>
      </c>
      <c r="C12" s="46">
        <f>COUNTA(C5:C11)</f>
        <v>2</v>
      </c>
      <c r="D12" s="46">
        <f t="shared" ref="D12:AF12" si="4">COUNTA(D5:D11)</f>
        <v>4</v>
      </c>
      <c r="E12" s="46">
        <f t="shared" si="4"/>
        <v>4</v>
      </c>
      <c r="F12" s="46">
        <f t="shared" si="4"/>
        <v>4</v>
      </c>
      <c r="G12" s="46">
        <f t="shared" si="4"/>
        <v>4</v>
      </c>
      <c r="H12" s="46">
        <f t="shared" si="4"/>
        <v>2</v>
      </c>
      <c r="I12" s="46">
        <f t="shared" si="4"/>
        <v>3</v>
      </c>
      <c r="J12" s="46">
        <f t="shared" si="4"/>
        <v>3</v>
      </c>
      <c r="K12" s="46">
        <f t="shared" si="4"/>
        <v>3</v>
      </c>
      <c r="L12" s="46">
        <f t="shared" si="4"/>
        <v>3</v>
      </c>
      <c r="M12" s="46">
        <f t="shared" si="4"/>
        <v>3</v>
      </c>
      <c r="N12" s="46">
        <f t="shared" si="4"/>
        <v>5</v>
      </c>
      <c r="O12" s="46">
        <f t="shared" si="4"/>
        <v>3</v>
      </c>
      <c r="P12" s="46">
        <f t="shared" si="4"/>
        <v>3</v>
      </c>
      <c r="Q12" s="46">
        <f t="shared" si="4"/>
        <v>3</v>
      </c>
      <c r="R12" s="46">
        <f t="shared" si="4"/>
        <v>2</v>
      </c>
      <c r="S12" s="46">
        <f t="shared" si="4"/>
        <v>2</v>
      </c>
      <c r="T12" s="46">
        <f t="shared" si="4"/>
        <v>6</v>
      </c>
      <c r="U12" s="46">
        <f t="shared" si="4"/>
        <v>4</v>
      </c>
      <c r="V12" s="46">
        <f t="shared" si="4"/>
        <v>3</v>
      </c>
      <c r="W12" s="46">
        <f t="shared" si="4"/>
        <v>2</v>
      </c>
      <c r="X12" s="46">
        <f t="shared" si="4"/>
        <v>2</v>
      </c>
      <c r="Y12" s="46">
        <f t="shared" si="4"/>
        <v>5</v>
      </c>
      <c r="Z12" s="46">
        <f t="shared" si="4"/>
        <v>6</v>
      </c>
      <c r="AA12" s="46">
        <f t="shared" si="4"/>
        <v>6</v>
      </c>
      <c r="AB12" s="46">
        <f t="shared" si="4"/>
        <v>5</v>
      </c>
      <c r="AC12" s="46">
        <f t="shared" si="4"/>
        <v>6</v>
      </c>
      <c r="AD12" s="46">
        <f t="shared" si="4"/>
        <v>6</v>
      </c>
      <c r="AE12" s="46">
        <f t="shared" si="4"/>
        <v>6</v>
      </c>
      <c r="AF12" s="46">
        <f t="shared" si="4"/>
        <v>6</v>
      </c>
      <c r="AG12" s="43">
        <f t="shared" ref="AG12" si="5">SUM(AG5:AG11)</f>
        <v>118</v>
      </c>
      <c r="AH12" s="44">
        <f>AVERAGE(AH5:AH11)</f>
        <v>56.19047619047619</v>
      </c>
      <c r="AI12" s="29"/>
      <c r="AM12" s="20"/>
      <c r="AN12" s="20"/>
      <c r="AO12" s="20"/>
      <c r="AP12" s="20"/>
      <c r="AQ12" s="20"/>
      <c r="AR12" s="20"/>
    </row>
    <row r="13" spans="1:44" ht="85.5" hidden="1" x14ac:dyDescent="0.35">
      <c r="A13" s="13" t="s">
        <v>28</v>
      </c>
      <c r="B13" s="14"/>
      <c r="C13" s="14"/>
      <c r="D13" s="14"/>
      <c r="E13" s="14"/>
      <c r="F13" s="14"/>
      <c r="G13" s="14"/>
      <c r="H13" s="14"/>
      <c r="I13" s="35"/>
      <c r="J13" s="34"/>
      <c r="K13" s="15"/>
      <c r="L13" s="14"/>
      <c r="M13" s="14"/>
      <c r="N13" s="25"/>
      <c r="O13" s="25"/>
      <c r="P13" s="25"/>
      <c r="Q13" s="14"/>
      <c r="R13" s="14"/>
      <c r="S13" s="14"/>
      <c r="T13" s="14"/>
      <c r="U13" s="14"/>
      <c r="V13" s="15"/>
      <c r="W13" s="15"/>
      <c r="X13" s="14"/>
      <c r="Y13" s="14"/>
      <c r="Z13" s="14"/>
      <c r="AA13" s="14"/>
      <c r="AB13" s="14"/>
      <c r="AC13" s="14"/>
      <c r="AD13" s="14"/>
      <c r="AE13" s="14"/>
      <c r="AF13" s="14"/>
      <c r="AG13" s="37"/>
      <c r="AH13" s="37"/>
      <c r="AM13" s="20"/>
      <c r="AN13" s="20"/>
      <c r="AO13" s="20"/>
      <c r="AP13" s="20"/>
      <c r="AQ13" s="20"/>
      <c r="AR13" s="20"/>
    </row>
    <row r="14" spans="1:44" ht="28.5" hidden="1" x14ac:dyDescent="0.35">
      <c r="A14" s="16" t="s">
        <v>29</v>
      </c>
      <c r="B14" s="14"/>
      <c r="C14" s="14"/>
      <c r="D14" s="14"/>
      <c r="E14" s="14"/>
      <c r="F14" s="14"/>
      <c r="G14" s="14"/>
      <c r="H14" s="14"/>
      <c r="I14" s="35"/>
      <c r="J14" s="34"/>
      <c r="K14" s="15"/>
      <c r="L14" s="14"/>
      <c r="M14" s="14"/>
      <c r="N14" s="25"/>
      <c r="O14" s="25"/>
      <c r="P14" s="25"/>
      <c r="Q14" s="14"/>
      <c r="R14" s="14"/>
      <c r="S14" s="14"/>
      <c r="T14" s="14"/>
      <c r="U14" s="14"/>
      <c r="V14" s="15"/>
      <c r="W14" s="15"/>
      <c r="X14" s="14"/>
      <c r="Y14" s="14"/>
      <c r="Z14" s="14"/>
      <c r="AA14" s="14"/>
      <c r="AB14" s="14"/>
      <c r="AC14" s="14"/>
      <c r="AD14" s="14"/>
      <c r="AE14" s="14"/>
      <c r="AF14" s="14"/>
      <c r="AG14" s="37"/>
      <c r="AH14" s="37"/>
      <c r="AM14" s="20"/>
      <c r="AN14" s="20"/>
      <c r="AO14" s="20"/>
      <c r="AP14" s="20"/>
      <c r="AQ14" s="20"/>
      <c r="AR14" s="20"/>
    </row>
    <row r="15" spans="1:44" x14ac:dyDescent="0.35">
      <c r="A15" s="7" t="s">
        <v>30</v>
      </c>
      <c r="B15" s="8"/>
      <c r="C15" s="8"/>
      <c r="D15" s="8"/>
      <c r="E15" s="8"/>
      <c r="F15" s="8"/>
      <c r="G15" s="8"/>
      <c r="H15" s="8" t="s">
        <v>25</v>
      </c>
      <c r="I15" s="8" t="s">
        <v>25</v>
      </c>
      <c r="J15" s="8"/>
      <c r="K15" s="8"/>
      <c r="L15" s="8" t="s">
        <v>533</v>
      </c>
      <c r="M15" s="8" t="s">
        <v>129</v>
      </c>
      <c r="N15" s="8" t="s">
        <v>129</v>
      </c>
      <c r="O15" s="8"/>
      <c r="P15" s="8"/>
      <c r="Q15" s="8"/>
      <c r="R15" s="8" t="s">
        <v>534</v>
      </c>
      <c r="S15" s="8" t="s">
        <v>534</v>
      </c>
      <c r="T15" s="8" t="s">
        <v>534</v>
      </c>
      <c r="U15" s="8" t="s">
        <v>534</v>
      </c>
      <c r="V15" s="8" t="s">
        <v>534</v>
      </c>
      <c r="W15" s="55" t="s">
        <v>543</v>
      </c>
      <c r="X15" s="55" t="s">
        <v>543</v>
      </c>
      <c r="Y15" s="55" t="s">
        <v>543</v>
      </c>
      <c r="Z15" s="55" t="s">
        <v>543</v>
      </c>
      <c r="AA15" s="55" t="s">
        <v>543</v>
      </c>
      <c r="AB15" s="55" t="s">
        <v>543</v>
      </c>
      <c r="AC15" s="55" t="s">
        <v>543</v>
      </c>
      <c r="AD15" s="55" t="s">
        <v>548</v>
      </c>
      <c r="AE15" s="55" t="s">
        <v>548</v>
      </c>
      <c r="AF15" s="54"/>
      <c r="AG15" s="41">
        <f>COUNTA(B15:AF15)</f>
        <v>19</v>
      </c>
      <c r="AH15" s="42">
        <f>AG15*100/30</f>
        <v>63.333333333333336</v>
      </c>
      <c r="AM15" s="20"/>
      <c r="AN15" s="20"/>
      <c r="AO15" s="20"/>
      <c r="AP15" s="20"/>
      <c r="AQ15" s="20"/>
      <c r="AR15" s="20"/>
    </row>
    <row r="16" spans="1:44" x14ac:dyDescent="0.35">
      <c r="A16" s="7" t="s">
        <v>35</v>
      </c>
      <c r="B16" s="8" t="s">
        <v>531</v>
      </c>
      <c r="C16" s="8" t="s">
        <v>531</v>
      </c>
      <c r="D16" s="8" t="s">
        <v>531</v>
      </c>
      <c r="E16" s="8" t="s">
        <v>531</v>
      </c>
      <c r="F16" s="8" t="s">
        <v>531</v>
      </c>
      <c r="G16" s="8" t="s">
        <v>531</v>
      </c>
      <c r="H16" s="55" t="s">
        <v>185</v>
      </c>
      <c r="I16" s="55" t="s">
        <v>185</v>
      </c>
      <c r="J16" s="8" t="s">
        <v>536</v>
      </c>
      <c r="K16" s="8" t="s">
        <v>536</v>
      </c>
      <c r="L16" s="8"/>
      <c r="M16" s="8"/>
      <c r="N16" s="8"/>
      <c r="O16" s="8"/>
      <c r="P16" s="8"/>
      <c r="Q16" s="8"/>
      <c r="R16" s="8"/>
      <c r="S16" s="8" t="s">
        <v>356</v>
      </c>
      <c r="T16" s="8" t="s">
        <v>356</v>
      </c>
      <c r="U16" s="8"/>
      <c r="V16" s="8"/>
      <c r="W16" s="8"/>
      <c r="X16" s="8"/>
      <c r="Y16" s="8"/>
      <c r="Z16" s="55" t="s">
        <v>539</v>
      </c>
      <c r="AA16" s="55" t="s">
        <v>539</v>
      </c>
      <c r="AB16" s="55" t="s">
        <v>265</v>
      </c>
      <c r="AC16" s="55" t="s">
        <v>265</v>
      </c>
      <c r="AD16" s="55" t="s">
        <v>265</v>
      </c>
      <c r="AE16" s="55" t="s">
        <v>265</v>
      </c>
      <c r="AF16" s="55" t="s">
        <v>265</v>
      </c>
      <c r="AG16" s="41">
        <f t="shared" ref="AG16:AG22" si="6">COUNTA(B16:AF16)</f>
        <v>19</v>
      </c>
      <c r="AH16" s="42">
        <f t="shared" ref="AH16:AH22" si="7">AG16*100/30</f>
        <v>63.333333333333336</v>
      </c>
      <c r="AM16" s="20"/>
      <c r="AN16" s="20"/>
      <c r="AO16" s="56"/>
      <c r="AP16" s="56"/>
      <c r="AQ16" s="20"/>
      <c r="AR16" s="20"/>
    </row>
    <row r="17" spans="1:50" x14ac:dyDescent="0.35">
      <c r="A17" s="7" t="s">
        <v>39</v>
      </c>
      <c r="B17" s="8" t="s">
        <v>503</v>
      </c>
      <c r="C17" s="8" t="s">
        <v>503</v>
      </c>
      <c r="D17" s="8" t="s">
        <v>503</v>
      </c>
      <c r="E17" s="8" t="s">
        <v>503</v>
      </c>
      <c r="F17" s="8" t="s">
        <v>503</v>
      </c>
      <c r="G17" s="8" t="s">
        <v>503</v>
      </c>
      <c r="H17" s="8" t="s">
        <v>503</v>
      </c>
      <c r="I17" s="8" t="s">
        <v>503</v>
      </c>
      <c r="J17" s="8" t="s">
        <v>503</v>
      </c>
      <c r="K17" s="8"/>
      <c r="L17" s="8"/>
      <c r="M17" s="8"/>
      <c r="N17" s="55" t="s">
        <v>521</v>
      </c>
      <c r="O17" s="55" t="s">
        <v>521</v>
      </c>
      <c r="P17" s="55" t="s">
        <v>521</v>
      </c>
      <c r="Q17" s="55" t="s">
        <v>521</v>
      </c>
      <c r="R17" s="8"/>
      <c r="S17" s="8" t="s">
        <v>356</v>
      </c>
      <c r="T17" s="8" t="s">
        <v>356</v>
      </c>
      <c r="U17" s="8"/>
      <c r="V17" s="8"/>
      <c r="W17" s="8"/>
      <c r="X17" s="8"/>
      <c r="Y17" s="8"/>
      <c r="Z17" s="8" t="s">
        <v>544</v>
      </c>
      <c r="AA17" s="8" t="s">
        <v>544</v>
      </c>
      <c r="AB17" s="55" t="s">
        <v>265</v>
      </c>
      <c r="AC17" s="55" t="s">
        <v>265</v>
      </c>
      <c r="AD17" s="55" t="s">
        <v>265</v>
      </c>
      <c r="AE17" s="55" t="s">
        <v>265</v>
      </c>
      <c r="AF17" s="55" t="s">
        <v>265</v>
      </c>
      <c r="AG17" s="41">
        <f t="shared" si="6"/>
        <v>22</v>
      </c>
      <c r="AH17" s="42">
        <f t="shared" si="7"/>
        <v>73.333333333333329</v>
      </c>
      <c r="AM17" s="20"/>
      <c r="AN17" s="20"/>
      <c r="AO17" s="20"/>
      <c r="AP17" s="20"/>
      <c r="AQ17" s="20"/>
      <c r="AR17" s="20"/>
      <c r="AX17" s="58"/>
    </row>
    <row r="18" spans="1:50" x14ac:dyDescent="0.35">
      <c r="A18" s="7" t="s">
        <v>42</v>
      </c>
      <c r="B18" s="8" t="s">
        <v>504</v>
      </c>
      <c r="C18" s="8" t="s">
        <v>504</v>
      </c>
      <c r="D18" s="8" t="s">
        <v>504</v>
      </c>
      <c r="E18" s="8" t="s">
        <v>504</v>
      </c>
      <c r="F18" s="8" t="s">
        <v>504</v>
      </c>
      <c r="G18" s="8" t="s">
        <v>504</v>
      </c>
      <c r="H18" s="8" t="s">
        <v>504</v>
      </c>
      <c r="I18" s="8" t="s">
        <v>504</v>
      </c>
      <c r="J18" s="8" t="s">
        <v>504</v>
      </c>
      <c r="K18" s="8"/>
      <c r="L18" s="8"/>
      <c r="M18" s="8"/>
      <c r="N18" s="8"/>
      <c r="O18" s="8"/>
      <c r="P18" s="8"/>
      <c r="Q18" s="8"/>
      <c r="R18" s="8"/>
      <c r="S18" s="8"/>
      <c r="T18" s="8" t="s">
        <v>538</v>
      </c>
      <c r="U18" s="8" t="s">
        <v>538</v>
      </c>
      <c r="V18" s="8" t="s">
        <v>538</v>
      </c>
      <c r="W18" s="8" t="s">
        <v>538</v>
      </c>
      <c r="X18" s="8"/>
      <c r="Y18" s="8" t="s">
        <v>335</v>
      </c>
      <c r="Z18" s="8" t="s">
        <v>335</v>
      </c>
      <c r="AA18" s="8" t="s">
        <v>335</v>
      </c>
      <c r="AB18" s="53" t="s">
        <v>544</v>
      </c>
      <c r="AC18" s="75" t="s">
        <v>549</v>
      </c>
      <c r="AD18" s="75" t="s">
        <v>549</v>
      </c>
      <c r="AE18" s="75" t="s">
        <v>549</v>
      </c>
      <c r="AF18" s="75" t="s">
        <v>549</v>
      </c>
      <c r="AG18" s="41">
        <f t="shared" si="6"/>
        <v>21</v>
      </c>
      <c r="AH18" s="42">
        <f t="shared" si="7"/>
        <v>70</v>
      </c>
      <c r="AM18" s="20"/>
      <c r="AN18" s="20"/>
      <c r="AO18" s="20"/>
      <c r="AP18" s="20"/>
      <c r="AQ18" s="20"/>
      <c r="AR18" s="20"/>
      <c r="AX18" s="58"/>
    </row>
    <row r="19" spans="1:50" x14ac:dyDescent="0.35">
      <c r="A19" s="7" t="s">
        <v>45</v>
      </c>
      <c r="B19" s="8" t="s">
        <v>34</v>
      </c>
      <c r="C19" s="8" t="s">
        <v>34</v>
      </c>
      <c r="D19" s="8" t="s">
        <v>34</v>
      </c>
      <c r="E19" s="8" t="s">
        <v>34</v>
      </c>
      <c r="F19" s="8" t="s">
        <v>34</v>
      </c>
      <c r="G19" s="8" t="s">
        <v>34</v>
      </c>
      <c r="H19" s="8" t="s">
        <v>34</v>
      </c>
      <c r="I19" s="8" t="s">
        <v>34</v>
      </c>
      <c r="J19" s="8" t="s">
        <v>128</v>
      </c>
      <c r="K19" s="8" t="s">
        <v>128</v>
      </c>
      <c r="L19" s="8" t="s">
        <v>128</v>
      </c>
      <c r="M19" s="8" t="s">
        <v>128</v>
      </c>
      <c r="N19" s="8" t="s">
        <v>128</v>
      </c>
      <c r="O19" s="8" t="s">
        <v>128</v>
      </c>
      <c r="P19" s="8" t="s">
        <v>128</v>
      </c>
      <c r="Q19" s="55" t="s">
        <v>34</v>
      </c>
      <c r="R19" s="55" t="s">
        <v>34</v>
      </c>
      <c r="S19" s="55" t="s">
        <v>34</v>
      </c>
      <c r="T19" s="55" t="s">
        <v>34</v>
      </c>
      <c r="U19" s="55" t="s">
        <v>34</v>
      </c>
      <c r="V19" s="55" t="s">
        <v>34</v>
      </c>
      <c r="W19" s="8" t="s">
        <v>525</v>
      </c>
      <c r="X19" s="8" t="s">
        <v>525</v>
      </c>
      <c r="Y19" s="55"/>
      <c r="Z19" s="55" t="s">
        <v>312</v>
      </c>
      <c r="AA19" s="55" t="s">
        <v>312</v>
      </c>
      <c r="AB19" s="55"/>
      <c r="AC19" s="74" t="s">
        <v>546</v>
      </c>
      <c r="AD19" s="74" t="s">
        <v>546</v>
      </c>
      <c r="AE19" s="55"/>
      <c r="AF19" s="55"/>
      <c r="AG19" s="41">
        <f t="shared" si="6"/>
        <v>27</v>
      </c>
      <c r="AH19" s="42">
        <f t="shared" si="7"/>
        <v>90</v>
      </c>
      <c r="AM19" s="20"/>
      <c r="AN19" s="20"/>
      <c r="AO19" s="20"/>
      <c r="AP19" s="20"/>
      <c r="AQ19" s="20"/>
      <c r="AR19" s="20"/>
      <c r="AX19" s="58"/>
    </row>
    <row r="20" spans="1:50" x14ac:dyDescent="0.35">
      <c r="A20" s="7" t="s">
        <v>47</v>
      </c>
      <c r="B20" s="8" t="s">
        <v>506</v>
      </c>
      <c r="C20" s="8" t="s">
        <v>506</v>
      </c>
      <c r="D20" s="8" t="s">
        <v>506</v>
      </c>
      <c r="E20" s="8" t="s">
        <v>506</v>
      </c>
      <c r="F20" s="8" t="s">
        <v>506</v>
      </c>
      <c r="G20" s="8" t="s">
        <v>506</v>
      </c>
      <c r="H20" s="8" t="s">
        <v>506</v>
      </c>
      <c r="I20" s="8" t="s">
        <v>506</v>
      </c>
      <c r="J20" s="8" t="s">
        <v>506</v>
      </c>
      <c r="K20" s="8" t="s">
        <v>506</v>
      </c>
      <c r="L20" s="8" t="s">
        <v>506</v>
      </c>
      <c r="M20" s="8" t="s">
        <v>506</v>
      </c>
      <c r="N20" s="8" t="s">
        <v>506</v>
      </c>
      <c r="O20" s="8" t="s">
        <v>506</v>
      </c>
      <c r="P20" s="8" t="s">
        <v>506</v>
      </c>
      <c r="Q20" s="8" t="s">
        <v>506</v>
      </c>
      <c r="R20" s="8" t="s">
        <v>506</v>
      </c>
      <c r="S20" s="8" t="s">
        <v>506</v>
      </c>
      <c r="T20" s="8" t="s">
        <v>506</v>
      </c>
      <c r="U20" s="8" t="s">
        <v>506</v>
      </c>
      <c r="V20" s="8" t="s">
        <v>506</v>
      </c>
      <c r="W20" s="8" t="s">
        <v>506</v>
      </c>
      <c r="X20" s="8" t="s">
        <v>506</v>
      </c>
      <c r="Y20" s="8" t="s">
        <v>506</v>
      </c>
      <c r="Z20" s="8" t="s">
        <v>506</v>
      </c>
      <c r="AA20" s="8" t="s">
        <v>506</v>
      </c>
      <c r="AB20" s="8" t="s">
        <v>506</v>
      </c>
      <c r="AC20" s="8" t="s">
        <v>506</v>
      </c>
      <c r="AD20" s="8" t="s">
        <v>506</v>
      </c>
      <c r="AE20" s="8" t="s">
        <v>506</v>
      </c>
      <c r="AF20" s="8" t="s">
        <v>506</v>
      </c>
      <c r="AG20" s="41">
        <f t="shared" si="6"/>
        <v>31</v>
      </c>
      <c r="AH20" s="42">
        <f t="shared" si="7"/>
        <v>103.33333333333333</v>
      </c>
      <c r="AM20" s="20"/>
      <c r="AN20" s="20"/>
      <c r="AO20" s="20"/>
      <c r="AP20" s="20"/>
      <c r="AQ20" s="20"/>
      <c r="AR20" s="20"/>
      <c r="AX20" s="58"/>
    </row>
    <row r="21" spans="1:50" x14ac:dyDescent="0.35">
      <c r="A21" s="7" t="s">
        <v>50</v>
      </c>
      <c r="B21" s="8" t="s">
        <v>504</v>
      </c>
      <c r="C21" s="8" t="s">
        <v>504</v>
      </c>
      <c r="D21" s="8" t="s">
        <v>504</v>
      </c>
      <c r="E21" s="8" t="s">
        <v>504</v>
      </c>
      <c r="F21" s="8" t="s">
        <v>504</v>
      </c>
      <c r="G21" s="8" t="s">
        <v>504</v>
      </c>
      <c r="H21" s="8" t="s">
        <v>504</v>
      </c>
      <c r="I21" s="8" t="s">
        <v>504</v>
      </c>
      <c r="J21" s="8" t="s">
        <v>504</v>
      </c>
      <c r="K21" s="8"/>
      <c r="L21" s="8"/>
      <c r="M21" s="8" t="s">
        <v>537</v>
      </c>
      <c r="N21" s="55" t="s">
        <v>521</v>
      </c>
      <c r="O21" s="55" t="s">
        <v>521</v>
      </c>
      <c r="P21" s="55" t="s">
        <v>521</v>
      </c>
      <c r="Q21" s="55" t="s">
        <v>521</v>
      </c>
      <c r="R21" s="8"/>
      <c r="S21" s="8" t="s">
        <v>356</v>
      </c>
      <c r="T21" s="8" t="s">
        <v>356</v>
      </c>
      <c r="U21" s="8" t="s">
        <v>541</v>
      </c>
      <c r="V21" s="8" t="s">
        <v>541</v>
      </c>
      <c r="W21" s="8"/>
      <c r="X21" s="8"/>
      <c r="Y21" s="55" t="s">
        <v>338</v>
      </c>
      <c r="Z21" s="55" t="s">
        <v>338</v>
      </c>
      <c r="AA21" s="55" t="s">
        <v>545</v>
      </c>
      <c r="AB21" s="55" t="s">
        <v>545</v>
      </c>
      <c r="AC21" s="55" t="s">
        <v>545</v>
      </c>
      <c r="AD21" s="55" t="s">
        <v>545</v>
      </c>
      <c r="AE21" s="55" t="s">
        <v>545</v>
      </c>
      <c r="AF21" s="55" t="s">
        <v>545</v>
      </c>
      <c r="AG21" s="41">
        <f t="shared" si="6"/>
        <v>26</v>
      </c>
      <c r="AH21" s="42">
        <f t="shared" si="7"/>
        <v>86.666666666666671</v>
      </c>
      <c r="AM21" s="20"/>
      <c r="AN21" s="20"/>
      <c r="AO21" s="20"/>
      <c r="AP21" s="20"/>
      <c r="AQ21" s="20"/>
      <c r="AR21" s="20"/>
      <c r="AX21" s="58"/>
    </row>
    <row r="22" spans="1:50" ht="15" thickBot="1" x14ac:dyDescent="0.4">
      <c r="A22" s="7" t="s">
        <v>51</v>
      </c>
      <c r="B22" s="8" t="s">
        <v>506</v>
      </c>
      <c r="C22" s="8" t="s">
        <v>506</v>
      </c>
      <c r="D22" s="8" t="s">
        <v>506</v>
      </c>
      <c r="E22" s="8" t="s">
        <v>506</v>
      </c>
      <c r="F22" s="8" t="s">
        <v>506</v>
      </c>
      <c r="G22" s="8" t="s">
        <v>506</v>
      </c>
      <c r="H22" s="8" t="s">
        <v>506</v>
      </c>
      <c r="I22" s="8" t="s">
        <v>506</v>
      </c>
      <c r="J22" s="8" t="s">
        <v>506</v>
      </c>
      <c r="K22" s="8" t="s">
        <v>506</v>
      </c>
      <c r="L22" s="8" t="s">
        <v>506</v>
      </c>
      <c r="M22" s="8" t="s">
        <v>506</v>
      </c>
      <c r="N22" s="8" t="s">
        <v>506</v>
      </c>
      <c r="O22" s="8" t="s">
        <v>506</v>
      </c>
      <c r="P22" s="8" t="s">
        <v>506</v>
      </c>
      <c r="Q22" s="8" t="s">
        <v>506</v>
      </c>
      <c r="R22" s="8" t="s">
        <v>506</v>
      </c>
      <c r="S22" s="8" t="s">
        <v>506</v>
      </c>
      <c r="T22" s="8" t="s">
        <v>506</v>
      </c>
      <c r="U22" s="8" t="s">
        <v>506</v>
      </c>
      <c r="V22" s="8" t="s">
        <v>506</v>
      </c>
      <c r="W22" s="8" t="s">
        <v>506</v>
      </c>
      <c r="X22" s="8" t="s">
        <v>506</v>
      </c>
      <c r="Y22" s="8" t="s">
        <v>506</v>
      </c>
      <c r="Z22" s="8" t="s">
        <v>506</v>
      </c>
      <c r="AA22" s="8" t="s">
        <v>506</v>
      </c>
      <c r="AB22" s="8" t="s">
        <v>506</v>
      </c>
      <c r="AC22" s="8" t="s">
        <v>506</v>
      </c>
      <c r="AD22" s="8" t="s">
        <v>506</v>
      </c>
      <c r="AE22" s="8" t="s">
        <v>506</v>
      </c>
      <c r="AF22" s="8" t="s">
        <v>506</v>
      </c>
      <c r="AG22" s="41">
        <f t="shared" si="6"/>
        <v>31</v>
      </c>
      <c r="AH22" s="42">
        <f t="shared" si="7"/>
        <v>103.33333333333333</v>
      </c>
      <c r="AX22" s="58"/>
    </row>
    <row r="23" spans="1:50" ht="15.5" x14ac:dyDescent="0.35">
      <c r="A23" s="45" t="s">
        <v>176</v>
      </c>
      <c r="B23" s="46">
        <f>COUNTA(B15:B22)</f>
        <v>7</v>
      </c>
      <c r="C23" s="46">
        <f>COUNTA(C16:C22)</f>
        <v>7</v>
      </c>
      <c r="D23" s="46">
        <f>COUNTA(D16:D22)</f>
        <v>7</v>
      </c>
      <c r="E23" s="46">
        <f t="shared" ref="E23:AF23" si="8">COUNTA(E15:E22)</f>
        <v>7</v>
      </c>
      <c r="F23" s="46">
        <f t="shared" si="8"/>
        <v>7</v>
      </c>
      <c r="G23" s="46">
        <f t="shared" si="8"/>
        <v>7</v>
      </c>
      <c r="H23" s="46">
        <f t="shared" si="8"/>
        <v>8</v>
      </c>
      <c r="I23" s="46">
        <f t="shared" si="8"/>
        <v>8</v>
      </c>
      <c r="J23" s="46">
        <f t="shared" si="8"/>
        <v>7</v>
      </c>
      <c r="K23" s="46">
        <f t="shared" si="8"/>
        <v>4</v>
      </c>
      <c r="L23" s="46">
        <f t="shared" si="8"/>
        <v>4</v>
      </c>
      <c r="M23" s="46">
        <f t="shared" si="8"/>
        <v>5</v>
      </c>
      <c r="N23" s="46">
        <f t="shared" si="8"/>
        <v>6</v>
      </c>
      <c r="O23" s="46">
        <f t="shared" si="8"/>
        <v>5</v>
      </c>
      <c r="P23" s="46">
        <f t="shared" si="8"/>
        <v>5</v>
      </c>
      <c r="Q23" s="46">
        <f t="shared" si="8"/>
        <v>5</v>
      </c>
      <c r="R23" s="46">
        <f t="shared" si="8"/>
        <v>4</v>
      </c>
      <c r="S23" s="46">
        <f t="shared" si="8"/>
        <v>7</v>
      </c>
      <c r="T23" s="46">
        <f>COUNTA(T15:T22)</f>
        <v>8</v>
      </c>
      <c r="U23" s="46">
        <f t="shared" si="8"/>
        <v>6</v>
      </c>
      <c r="V23" s="46">
        <f t="shared" si="8"/>
        <v>6</v>
      </c>
      <c r="W23" s="46">
        <f t="shared" si="8"/>
        <v>5</v>
      </c>
      <c r="X23" s="46">
        <f t="shared" si="8"/>
        <v>4</v>
      </c>
      <c r="Y23" s="46">
        <f t="shared" si="8"/>
        <v>5</v>
      </c>
      <c r="Z23" s="46">
        <f t="shared" si="8"/>
        <v>8</v>
      </c>
      <c r="AA23" s="46">
        <f t="shared" si="8"/>
        <v>8</v>
      </c>
      <c r="AB23" s="46">
        <f t="shared" si="8"/>
        <v>7</v>
      </c>
      <c r="AC23" s="46">
        <f t="shared" si="8"/>
        <v>8</v>
      </c>
      <c r="AD23" s="46">
        <f t="shared" si="8"/>
        <v>8</v>
      </c>
      <c r="AE23" s="46">
        <f t="shared" si="8"/>
        <v>7</v>
      </c>
      <c r="AF23" s="46">
        <f t="shared" si="8"/>
        <v>6</v>
      </c>
      <c r="AG23" s="43">
        <f>SUM(AG15:AG22)</f>
        <v>196</v>
      </c>
      <c r="AH23" s="66">
        <f>AVERAGE(AH15:AH22)</f>
        <v>81.666666666666671</v>
      </c>
      <c r="AX23" s="58"/>
    </row>
    <row r="24" spans="1:50" ht="15.5" x14ac:dyDescent="0.35">
      <c r="A24" s="47" t="s">
        <v>178</v>
      </c>
      <c r="B24" s="52">
        <f>B12+B23</f>
        <v>9</v>
      </c>
      <c r="C24" s="52">
        <f t="shared" ref="C24:AF24" si="9">C12+C23</f>
        <v>9</v>
      </c>
      <c r="D24" s="52">
        <f t="shared" si="9"/>
        <v>11</v>
      </c>
      <c r="E24" s="52">
        <f t="shared" si="9"/>
        <v>11</v>
      </c>
      <c r="F24" s="52">
        <f t="shared" si="9"/>
        <v>11</v>
      </c>
      <c r="G24" s="52">
        <f t="shared" si="9"/>
        <v>11</v>
      </c>
      <c r="H24" s="52">
        <f t="shared" si="9"/>
        <v>10</v>
      </c>
      <c r="I24" s="52">
        <f t="shared" si="9"/>
        <v>11</v>
      </c>
      <c r="J24" s="52">
        <f t="shared" si="9"/>
        <v>10</v>
      </c>
      <c r="K24" s="52">
        <f t="shared" si="9"/>
        <v>7</v>
      </c>
      <c r="L24" s="52">
        <f t="shared" si="9"/>
        <v>7</v>
      </c>
      <c r="M24" s="52">
        <f t="shared" si="9"/>
        <v>8</v>
      </c>
      <c r="N24" s="52">
        <f t="shared" si="9"/>
        <v>11</v>
      </c>
      <c r="O24" s="52">
        <f t="shared" si="9"/>
        <v>8</v>
      </c>
      <c r="P24" s="52">
        <f t="shared" si="9"/>
        <v>8</v>
      </c>
      <c r="Q24" s="52">
        <f t="shared" si="9"/>
        <v>8</v>
      </c>
      <c r="R24" s="52">
        <f t="shared" si="9"/>
        <v>6</v>
      </c>
      <c r="S24" s="52">
        <f t="shared" si="9"/>
        <v>9</v>
      </c>
      <c r="T24" s="52">
        <f t="shared" si="9"/>
        <v>14</v>
      </c>
      <c r="U24" s="52">
        <f t="shared" si="9"/>
        <v>10</v>
      </c>
      <c r="V24" s="52">
        <f t="shared" si="9"/>
        <v>9</v>
      </c>
      <c r="W24" s="52">
        <f t="shared" si="9"/>
        <v>7</v>
      </c>
      <c r="X24" s="52">
        <f t="shared" si="9"/>
        <v>6</v>
      </c>
      <c r="Y24" s="52">
        <f t="shared" si="9"/>
        <v>10</v>
      </c>
      <c r="Z24" s="52">
        <f t="shared" si="9"/>
        <v>14</v>
      </c>
      <c r="AA24" s="52">
        <f t="shared" si="9"/>
        <v>14</v>
      </c>
      <c r="AB24" s="52">
        <f t="shared" si="9"/>
        <v>12</v>
      </c>
      <c r="AC24" s="52">
        <f t="shared" si="9"/>
        <v>14</v>
      </c>
      <c r="AD24" s="52">
        <f t="shared" si="9"/>
        <v>14</v>
      </c>
      <c r="AE24" s="52">
        <f t="shared" si="9"/>
        <v>13</v>
      </c>
      <c r="AF24" s="52">
        <f t="shared" si="9"/>
        <v>12</v>
      </c>
      <c r="AG24" s="49">
        <f>+AG12+AG23</f>
        <v>314</v>
      </c>
      <c r="AX24" s="58"/>
    </row>
    <row r="25" spans="1:50" ht="15.5" x14ac:dyDescent="0.35">
      <c r="A25" s="48" t="s">
        <v>179</v>
      </c>
      <c r="B25" s="42">
        <f>B24*100/15</f>
        <v>60</v>
      </c>
      <c r="C25" s="42">
        <f t="shared" ref="C25:AF25" si="10">C24*100/15</f>
        <v>60</v>
      </c>
      <c r="D25" s="42">
        <f t="shared" si="10"/>
        <v>73.333333333333329</v>
      </c>
      <c r="E25" s="42">
        <f t="shared" si="10"/>
        <v>73.333333333333329</v>
      </c>
      <c r="F25" s="42">
        <f t="shared" si="10"/>
        <v>73.333333333333329</v>
      </c>
      <c r="G25" s="42">
        <f t="shared" si="10"/>
        <v>73.333333333333329</v>
      </c>
      <c r="H25" s="42">
        <f t="shared" si="10"/>
        <v>66.666666666666671</v>
      </c>
      <c r="I25" s="42">
        <f t="shared" si="10"/>
        <v>73.333333333333329</v>
      </c>
      <c r="J25" s="42">
        <f t="shared" si="10"/>
        <v>66.666666666666671</v>
      </c>
      <c r="K25" s="42">
        <f t="shared" si="10"/>
        <v>46.666666666666664</v>
      </c>
      <c r="L25" s="42">
        <f t="shared" si="10"/>
        <v>46.666666666666664</v>
      </c>
      <c r="M25" s="42">
        <f t="shared" si="10"/>
        <v>53.333333333333336</v>
      </c>
      <c r="N25" s="42">
        <f t="shared" si="10"/>
        <v>73.333333333333329</v>
      </c>
      <c r="O25" s="42">
        <f t="shared" si="10"/>
        <v>53.333333333333336</v>
      </c>
      <c r="P25" s="42">
        <f t="shared" si="10"/>
        <v>53.333333333333336</v>
      </c>
      <c r="Q25" s="42">
        <f t="shared" si="10"/>
        <v>53.333333333333336</v>
      </c>
      <c r="R25" s="42">
        <f t="shared" si="10"/>
        <v>40</v>
      </c>
      <c r="S25" s="42">
        <f t="shared" si="10"/>
        <v>60</v>
      </c>
      <c r="T25" s="42">
        <f t="shared" si="10"/>
        <v>93.333333333333329</v>
      </c>
      <c r="U25" s="42">
        <f t="shared" si="10"/>
        <v>66.666666666666671</v>
      </c>
      <c r="V25" s="42">
        <f t="shared" si="10"/>
        <v>60</v>
      </c>
      <c r="W25" s="42">
        <f t="shared" si="10"/>
        <v>46.666666666666664</v>
      </c>
      <c r="X25" s="42">
        <f t="shared" si="10"/>
        <v>40</v>
      </c>
      <c r="Y25" s="42">
        <f t="shared" si="10"/>
        <v>66.666666666666671</v>
      </c>
      <c r="Z25" s="42">
        <f t="shared" si="10"/>
        <v>93.333333333333329</v>
      </c>
      <c r="AA25" s="42">
        <f t="shared" si="10"/>
        <v>93.333333333333329</v>
      </c>
      <c r="AB25" s="42">
        <f t="shared" si="10"/>
        <v>80</v>
      </c>
      <c r="AC25" s="42">
        <f t="shared" si="10"/>
        <v>93.333333333333329</v>
      </c>
      <c r="AD25" s="42">
        <f t="shared" si="10"/>
        <v>93.333333333333329</v>
      </c>
      <c r="AE25" s="42">
        <f t="shared" si="10"/>
        <v>86.666666666666671</v>
      </c>
      <c r="AF25" s="42">
        <f t="shared" si="10"/>
        <v>80</v>
      </c>
      <c r="AG25" s="50">
        <f>AVERAGE(B25:AF25)</f>
        <v>67.526881720430097</v>
      </c>
      <c r="AH25" s="51" t="s">
        <v>180</v>
      </c>
      <c r="AX25" s="58"/>
    </row>
    <row r="26" spans="1:50" x14ac:dyDescent="0.35">
      <c r="AX26" s="58"/>
    </row>
    <row r="27" spans="1:50" x14ac:dyDescent="0.35">
      <c r="P27" s="71"/>
      <c r="Q27" s="71"/>
    </row>
    <row r="28" spans="1:50" x14ac:dyDescent="0.35">
      <c r="P28" s="71"/>
      <c r="Q28" s="71"/>
    </row>
    <row r="29" spans="1:50" x14ac:dyDescent="0.35">
      <c r="P29" s="71"/>
      <c r="Q29" s="71"/>
    </row>
  </sheetData>
  <mergeCells count="2">
    <mergeCell ref="A1:AE1"/>
    <mergeCell ref="AM3:AR3"/>
  </mergeCells>
  <conditionalFormatting sqref="B9:C9 I9:M9 B10:H10 T7 R9:X9 R10:Y10">
    <cfRule type="colorScale" priority="50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20:F20">
    <cfRule type="colorScale" priority="3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21:G22 B16:G16 B17:M17 H21:M21 R21 G20:AF20 H22:AF22 U21:V21 B15:V15 R17:Y17 J16:Y16 B18:AA18 AC18:AF18">
    <cfRule type="colorScale" priority="4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9:P19">
    <cfRule type="colorScale" priority="39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C7:G7 B8:M8 L7:S7 W7:X7">
    <cfRule type="colorScale" priority="4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D9:H9 T6">
    <cfRule type="colorScale" priority="4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H16:I16">
    <cfRule type="colorScale" priority="3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H7:K7 B7 B6:S6 N8:Q9 B11:AF11 V6:X6">
    <cfRule type="colorScale" priority="49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I10:K10 O10:Q10 B5:AB5 U6:U7 V7">
    <cfRule type="colorScale" priority="48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L10:N10">
    <cfRule type="colorScale" priority="3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L13:U14 B13:I14 X13:AH14">
    <cfRule type="colorScale" priority="5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N17:Q17">
    <cfRule type="colorScale" priority="3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N21:Q21">
    <cfRule type="colorScale" priority="30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Q19">
    <cfRule type="colorScale" priority="28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R19">
    <cfRule type="colorScale" priority="2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R8:Y8">
    <cfRule type="colorScale" priority="2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S21:T21">
    <cfRule type="colorScale" priority="29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S19:V19 Y19 AC19:AF19">
    <cfRule type="colorScale" priority="2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W19:X19">
    <cfRule type="colorScale" priority="1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W21:X21">
    <cfRule type="colorScale" priority="10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W15:AE15">
    <cfRule type="colorScale" priority="1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Y21:Z21">
    <cfRule type="colorScale" priority="20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Y6:AF6">
    <cfRule type="colorScale" priority="2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Y7:AF7">
    <cfRule type="colorScale" priority="2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Y9:AF9">
    <cfRule type="colorScale" priority="2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Z10:AA10">
    <cfRule type="colorScale" priority="1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Z17:AA17">
    <cfRule type="colorScale" priority="19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Z19:AB19">
    <cfRule type="colorScale" priority="9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Z8:AF8">
    <cfRule type="colorScale" priority="1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Z16:AF16">
    <cfRule type="colorScale" priority="8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A21:AF21">
    <cfRule type="colorScale" priority="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B10">
    <cfRule type="colorScale" priority="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B18">
    <cfRule type="colorScale" priority="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B17:AF17">
    <cfRule type="colorScale" priority="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C5:AF5">
    <cfRule type="colorScale" priority="5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C10:AF10">
    <cfRule type="colorScale" priority="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F15">
    <cfRule type="colorScale" priority="52">
      <colorScale>
        <cfvo type="num" val="1"/>
        <cfvo type="max"/>
        <color theme="4" tint="0.59999389629810485"/>
        <color theme="5" tint="0.59999389629810485"/>
      </colorScale>
    </cfRule>
  </conditionalFormatting>
  <pageMargins left="0.2" right="0.45" top="0.75" bottom="0.75" header="0.3" footer="0.3"/>
  <pageSetup scale="9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90557-423C-4181-97E3-869D6384973A}">
  <dimension ref="A1:AX29"/>
  <sheetViews>
    <sheetView zoomScale="86" zoomScaleNormal="86" workbookViewId="0">
      <pane xSplit="1" ySplit="4" topLeftCell="M5" activePane="bottomRight" state="frozen"/>
      <selection pane="topRight" activeCell="B1" sqref="B1"/>
      <selection pane="bottomLeft" activeCell="A5" sqref="A5"/>
      <selection pane="bottomRight" activeCell="AE18" sqref="AE18"/>
    </sheetView>
  </sheetViews>
  <sheetFormatPr defaultRowHeight="14.5" x14ac:dyDescent="0.35"/>
  <cols>
    <col min="1" max="1" width="43.1796875" bestFit="1" customWidth="1"/>
    <col min="2" max="2" width="10.26953125" bestFit="1" customWidth="1"/>
    <col min="3" max="4" width="17.1796875" bestFit="1" customWidth="1"/>
    <col min="5" max="5" width="16.26953125" bestFit="1" customWidth="1"/>
    <col min="6" max="6" width="7.54296875" bestFit="1" customWidth="1"/>
    <col min="7" max="7" width="9.54296875" bestFit="1" customWidth="1"/>
    <col min="8" max="8" width="7.26953125" bestFit="1" customWidth="1"/>
    <col min="9" max="9" width="9.81640625" bestFit="1" customWidth="1"/>
    <col min="10" max="12" width="10.453125" bestFit="1" customWidth="1"/>
    <col min="13" max="15" width="9.81640625" bestFit="1" customWidth="1"/>
    <col min="16" max="19" width="10.7265625" bestFit="1" customWidth="1"/>
    <col min="20" max="20" width="9.81640625" bestFit="1" customWidth="1"/>
    <col min="21" max="21" width="11.81640625" bestFit="1" customWidth="1"/>
    <col min="22" max="22" width="14.1796875" bestFit="1" customWidth="1"/>
    <col min="23" max="23" width="16.81640625" bestFit="1" customWidth="1"/>
    <col min="24" max="25" width="12.81640625" bestFit="1" customWidth="1"/>
    <col min="26" max="30" width="10.54296875" bestFit="1" customWidth="1"/>
    <col min="31" max="31" width="10.453125" customWidth="1"/>
    <col min="32" max="32" width="10.1796875" hidden="1" customWidth="1"/>
    <col min="33" max="33" width="4.7265625" bestFit="1" customWidth="1"/>
    <col min="34" max="34" width="8.453125" bestFit="1" customWidth="1"/>
    <col min="35" max="35" width="7.7265625" bestFit="1" customWidth="1"/>
    <col min="36" max="36" width="8.453125" customWidth="1"/>
    <col min="37" max="37" width="0" hidden="1" customWidth="1"/>
    <col min="38" max="38" width="3" hidden="1" customWidth="1"/>
    <col min="39" max="39" width="17.81640625" bestFit="1" customWidth="1"/>
    <col min="40" max="40" width="9.1796875" bestFit="1" customWidth="1"/>
    <col min="41" max="41" width="9.81640625" bestFit="1" customWidth="1"/>
    <col min="42" max="42" width="10.81640625" bestFit="1" customWidth="1"/>
    <col min="43" max="43" width="10.1796875" bestFit="1" customWidth="1"/>
    <col min="44" max="44" width="23.1796875" bestFit="1" customWidth="1"/>
    <col min="45" max="45" width="0.453125" hidden="1" customWidth="1"/>
    <col min="46" max="49" width="0" hidden="1" customWidth="1"/>
    <col min="51" max="51" width="15" bestFit="1" customWidth="1"/>
  </cols>
  <sheetData>
    <row r="1" spans="1:44" ht="15.5" x14ac:dyDescent="0.35">
      <c r="A1" s="120" t="s">
        <v>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65"/>
    </row>
    <row r="2" spans="1:44" ht="15" thickBot="1" x14ac:dyDescent="0.4"/>
    <row r="3" spans="1:44" ht="45.75" customHeight="1" x14ac:dyDescent="0.35">
      <c r="A3" s="1" t="s">
        <v>1</v>
      </c>
      <c r="B3" s="2">
        <f>AI4</f>
        <v>45383</v>
      </c>
      <c r="C3" s="2">
        <f t="shared" ref="C3:AF3" si="0">B3+1</f>
        <v>45384</v>
      </c>
      <c r="D3" s="2">
        <f t="shared" si="0"/>
        <v>45385</v>
      </c>
      <c r="E3" s="2">
        <f t="shared" si="0"/>
        <v>45386</v>
      </c>
      <c r="F3" s="2">
        <f t="shared" si="0"/>
        <v>45387</v>
      </c>
      <c r="G3" s="2">
        <f t="shared" si="0"/>
        <v>45388</v>
      </c>
      <c r="H3" s="2">
        <f t="shared" si="0"/>
        <v>45389</v>
      </c>
      <c r="I3" s="2">
        <f>H3+1</f>
        <v>45390</v>
      </c>
      <c r="J3" s="2">
        <f t="shared" si="0"/>
        <v>45391</v>
      </c>
      <c r="K3" s="2">
        <f t="shared" si="0"/>
        <v>45392</v>
      </c>
      <c r="L3" s="2">
        <f t="shared" si="0"/>
        <v>45393</v>
      </c>
      <c r="M3" s="2">
        <f t="shared" si="0"/>
        <v>45394</v>
      </c>
      <c r="N3" s="2">
        <f t="shared" si="0"/>
        <v>45395</v>
      </c>
      <c r="O3" s="2">
        <f t="shared" si="0"/>
        <v>45396</v>
      </c>
      <c r="P3" s="2">
        <f t="shared" si="0"/>
        <v>45397</v>
      </c>
      <c r="Q3" s="2">
        <f t="shared" si="0"/>
        <v>45398</v>
      </c>
      <c r="R3" s="2">
        <f t="shared" si="0"/>
        <v>45399</v>
      </c>
      <c r="S3" s="2">
        <f t="shared" si="0"/>
        <v>45400</v>
      </c>
      <c r="T3" s="2">
        <f t="shared" si="0"/>
        <v>45401</v>
      </c>
      <c r="U3" s="2">
        <f t="shared" si="0"/>
        <v>45402</v>
      </c>
      <c r="V3" s="2">
        <f t="shared" si="0"/>
        <v>45403</v>
      </c>
      <c r="W3" s="2">
        <f t="shared" si="0"/>
        <v>45404</v>
      </c>
      <c r="X3" s="2">
        <f t="shared" si="0"/>
        <v>45405</v>
      </c>
      <c r="Y3" s="2">
        <f t="shared" si="0"/>
        <v>45406</v>
      </c>
      <c r="Z3" s="2">
        <f t="shared" si="0"/>
        <v>45407</v>
      </c>
      <c r="AA3" s="2">
        <f t="shared" si="0"/>
        <v>45408</v>
      </c>
      <c r="AB3" s="2">
        <f t="shared" si="0"/>
        <v>45409</v>
      </c>
      <c r="AC3" s="2">
        <f t="shared" si="0"/>
        <v>45410</v>
      </c>
      <c r="AD3" s="2">
        <f t="shared" si="0"/>
        <v>45411</v>
      </c>
      <c r="AE3" s="2">
        <f t="shared" si="0"/>
        <v>45412</v>
      </c>
      <c r="AF3" s="2">
        <f t="shared" si="0"/>
        <v>45413</v>
      </c>
      <c r="AG3" s="36"/>
      <c r="AH3" s="36"/>
      <c r="AM3" s="122" t="s">
        <v>267</v>
      </c>
      <c r="AN3" s="123"/>
      <c r="AO3" s="123"/>
      <c r="AP3" s="123"/>
      <c r="AQ3" s="123"/>
      <c r="AR3" s="124"/>
    </row>
    <row r="4" spans="1:44" ht="31.5" customHeight="1" x14ac:dyDescent="0.35">
      <c r="A4" s="3" t="s">
        <v>2</v>
      </c>
      <c r="B4" s="4">
        <f t="shared" ref="B4:AF4" si="1">B3</f>
        <v>45383</v>
      </c>
      <c r="C4" s="4">
        <f t="shared" si="1"/>
        <v>45384</v>
      </c>
      <c r="D4" s="4">
        <f t="shared" si="1"/>
        <v>45385</v>
      </c>
      <c r="E4" s="4">
        <f t="shared" si="1"/>
        <v>45386</v>
      </c>
      <c r="F4" s="4">
        <f t="shared" si="1"/>
        <v>45387</v>
      </c>
      <c r="G4" s="4">
        <f t="shared" si="1"/>
        <v>45388</v>
      </c>
      <c r="H4" s="4">
        <f t="shared" si="1"/>
        <v>45389</v>
      </c>
      <c r="I4" s="4">
        <f t="shared" si="1"/>
        <v>45390</v>
      </c>
      <c r="J4" s="4">
        <f t="shared" si="1"/>
        <v>45391</v>
      </c>
      <c r="K4" s="4">
        <f t="shared" si="1"/>
        <v>45392</v>
      </c>
      <c r="L4" s="4">
        <f t="shared" si="1"/>
        <v>45393</v>
      </c>
      <c r="M4" s="4">
        <f t="shared" si="1"/>
        <v>45394</v>
      </c>
      <c r="N4" s="4">
        <f t="shared" si="1"/>
        <v>45395</v>
      </c>
      <c r="O4" s="4">
        <f t="shared" si="1"/>
        <v>45396</v>
      </c>
      <c r="P4" s="4">
        <f t="shared" si="1"/>
        <v>45397</v>
      </c>
      <c r="Q4" s="4">
        <f t="shared" si="1"/>
        <v>45398</v>
      </c>
      <c r="R4" s="4">
        <f t="shared" si="1"/>
        <v>45399</v>
      </c>
      <c r="S4" s="4">
        <f t="shared" si="1"/>
        <v>45400</v>
      </c>
      <c r="T4" s="4">
        <f t="shared" si="1"/>
        <v>45401</v>
      </c>
      <c r="U4" s="4">
        <f t="shared" si="1"/>
        <v>45402</v>
      </c>
      <c r="V4" s="4">
        <f t="shared" si="1"/>
        <v>45403</v>
      </c>
      <c r="W4" s="4">
        <f t="shared" si="1"/>
        <v>45404</v>
      </c>
      <c r="X4" s="4">
        <f t="shared" si="1"/>
        <v>45405</v>
      </c>
      <c r="Y4" s="4">
        <f t="shared" si="1"/>
        <v>45406</v>
      </c>
      <c r="Z4" s="4">
        <f t="shared" si="1"/>
        <v>45407</v>
      </c>
      <c r="AA4" s="4">
        <f t="shared" si="1"/>
        <v>45408</v>
      </c>
      <c r="AB4" s="4">
        <f t="shared" si="1"/>
        <v>45409</v>
      </c>
      <c r="AC4" s="4">
        <f t="shared" si="1"/>
        <v>45410</v>
      </c>
      <c r="AD4" s="4">
        <f t="shared" si="1"/>
        <v>45411</v>
      </c>
      <c r="AE4" s="4">
        <f t="shared" si="1"/>
        <v>45412</v>
      </c>
      <c r="AF4" s="4">
        <f t="shared" si="1"/>
        <v>45413</v>
      </c>
      <c r="AG4" s="39" t="s">
        <v>174</v>
      </c>
      <c r="AH4" s="40" t="s">
        <v>175</v>
      </c>
      <c r="AI4" s="5">
        <v>45383</v>
      </c>
      <c r="AJ4" s="6">
        <f>EOMONTH(AI4,0)</f>
        <v>45412</v>
      </c>
      <c r="AM4" s="19" t="s">
        <v>54</v>
      </c>
      <c r="AN4" s="19" t="s">
        <v>269</v>
      </c>
      <c r="AO4" s="19" t="s">
        <v>55</v>
      </c>
      <c r="AP4" s="19" t="s">
        <v>56</v>
      </c>
      <c r="AQ4" s="19" t="s">
        <v>251</v>
      </c>
      <c r="AR4" s="19" t="s">
        <v>57</v>
      </c>
    </row>
    <row r="5" spans="1:44" x14ac:dyDescent="0.35">
      <c r="A5" s="7" t="s">
        <v>3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74"/>
      <c r="O5" s="74"/>
      <c r="P5" s="67" t="s">
        <v>410</v>
      </c>
      <c r="Q5" s="67" t="s">
        <v>410</v>
      </c>
      <c r="R5" s="67" t="s">
        <v>410</v>
      </c>
      <c r="S5" s="67" t="s">
        <v>410</v>
      </c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8"/>
      <c r="AG5" s="41">
        <f>COUNTA(B5:AF5)</f>
        <v>4</v>
      </c>
      <c r="AH5" s="42">
        <f>AG5*100/30</f>
        <v>13.333333333333334</v>
      </c>
      <c r="AM5" s="20"/>
      <c r="AN5" s="56"/>
      <c r="AO5" s="56"/>
      <c r="AP5" s="56"/>
      <c r="AQ5" s="57"/>
      <c r="AR5" s="20"/>
    </row>
    <row r="6" spans="1:44" x14ac:dyDescent="0.35">
      <c r="A6" s="7" t="s">
        <v>7</v>
      </c>
      <c r="B6" s="8"/>
      <c r="C6" s="55" t="s">
        <v>338</v>
      </c>
      <c r="D6" s="8"/>
      <c r="E6" s="8"/>
      <c r="F6" s="8"/>
      <c r="G6" s="8"/>
      <c r="H6" s="55"/>
      <c r="I6" s="55"/>
      <c r="J6" s="55" t="s">
        <v>25</v>
      </c>
      <c r="K6" s="55" t="s">
        <v>25</v>
      </c>
      <c r="L6" s="55"/>
      <c r="M6" s="55"/>
      <c r="N6" s="74"/>
      <c r="O6" s="74"/>
      <c r="P6" s="67" t="s">
        <v>99</v>
      </c>
      <c r="Q6" s="67" t="s">
        <v>99</v>
      </c>
      <c r="R6" s="67" t="s">
        <v>99</v>
      </c>
      <c r="S6" s="67" t="s">
        <v>99</v>
      </c>
      <c r="T6" s="55"/>
      <c r="U6" s="55"/>
      <c r="V6" s="55"/>
      <c r="W6" s="55"/>
      <c r="X6" s="55"/>
      <c r="Y6" s="55" t="s">
        <v>571</v>
      </c>
      <c r="Z6" s="55" t="s">
        <v>571</v>
      </c>
      <c r="AA6" s="55" t="s">
        <v>571</v>
      </c>
      <c r="AB6" s="55" t="s">
        <v>571</v>
      </c>
      <c r="AC6" s="55" t="s">
        <v>571</v>
      </c>
      <c r="AD6" s="55" t="s">
        <v>571</v>
      </c>
      <c r="AE6" s="55" t="s">
        <v>571</v>
      </c>
      <c r="AF6" s="8"/>
      <c r="AG6" s="41">
        <f t="shared" ref="AG6:AG11" si="2">COUNTA(B6:AF6)</f>
        <v>14</v>
      </c>
      <c r="AH6" s="42">
        <f t="shared" ref="AH6:AH11" si="3">AG6*100/30</f>
        <v>46.666666666666664</v>
      </c>
      <c r="AM6" s="20"/>
      <c r="AN6" s="56"/>
      <c r="AO6" s="56"/>
      <c r="AP6" s="56"/>
      <c r="AQ6" s="57"/>
      <c r="AR6" s="20"/>
    </row>
    <row r="7" spans="1:44" x14ac:dyDescent="0.35">
      <c r="A7" s="7" t="s">
        <v>11</v>
      </c>
      <c r="B7" s="8"/>
      <c r="C7" s="8"/>
      <c r="D7" s="8"/>
      <c r="E7" s="8"/>
      <c r="F7" s="8"/>
      <c r="G7" s="8"/>
      <c r="H7" s="55"/>
      <c r="I7" s="55" t="s">
        <v>435</v>
      </c>
      <c r="J7" s="55" t="s">
        <v>435</v>
      </c>
      <c r="K7" s="55" t="s">
        <v>435</v>
      </c>
      <c r="L7" s="55" t="s">
        <v>435</v>
      </c>
      <c r="M7" s="55" t="s">
        <v>435</v>
      </c>
      <c r="N7" s="55" t="s">
        <v>435</v>
      </c>
      <c r="O7" s="55" t="s">
        <v>435</v>
      </c>
      <c r="P7" s="67" t="s">
        <v>559</v>
      </c>
      <c r="Q7" s="67" t="s">
        <v>559</v>
      </c>
      <c r="R7" s="67" t="s">
        <v>559</v>
      </c>
      <c r="S7" s="67" t="s">
        <v>559</v>
      </c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8"/>
      <c r="AG7" s="41">
        <f t="shared" si="2"/>
        <v>11</v>
      </c>
      <c r="AH7" s="42">
        <f t="shared" si="3"/>
        <v>36.666666666666664</v>
      </c>
      <c r="AM7" s="20"/>
      <c r="AN7" s="56"/>
      <c r="AO7" s="56"/>
      <c r="AP7" s="56"/>
      <c r="AQ7" s="57"/>
      <c r="AR7" s="20"/>
    </row>
    <row r="8" spans="1:44" ht="15" customHeight="1" x14ac:dyDescent="0.35">
      <c r="A8" s="7" t="s">
        <v>15</v>
      </c>
      <c r="B8" s="55"/>
      <c r="C8" s="8" t="s">
        <v>550</v>
      </c>
      <c r="D8" s="8" t="s">
        <v>550</v>
      </c>
      <c r="E8" s="55"/>
      <c r="F8" s="55"/>
      <c r="G8" s="55"/>
      <c r="H8" s="55"/>
      <c r="I8" s="55" t="s">
        <v>556</v>
      </c>
      <c r="J8" s="55" t="s">
        <v>556</v>
      </c>
      <c r="K8" s="55" t="s">
        <v>556</v>
      </c>
      <c r="L8" s="55" t="s">
        <v>556</v>
      </c>
      <c r="M8" s="55" t="s">
        <v>556</v>
      </c>
      <c r="N8" s="74"/>
      <c r="O8" s="74"/>
      <c r="P8" s="67" t="s">
        <v>495</v>
      </c>
      <c r="Q8" s="67" t="s">
        <v>495</v>
      </c>
      <c r="R8" s="67" t="s">
        <v>495</v>
      </c>
      <c r="S8" s="67" t="s">
        <v>495</v>
      </c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8"/>
      <c r="AG8" s="41">
        <f t="shared" si="2"/>
        <v>11</v>
      </c>
      <c r="AH8" s="42">
        <f t="shared" si="3"/>
        <v>36.666666666666664</v>
      </c>
      <c r="AK8" s="9"/>
      <c r="AM8" s="20"/>
      <c r="AN8" s="56"/>
      <c r="AO8" s="56"/>
      <c r="AP8" s="56"/>
      <c r="AQ8" s="57"/>
      <c r="AR8" s="20"/>
    </row>
    <row r="9" spans="1:44" ht="15.75" customHeight="1" x14ac:dyDescent="0.35">
      <c r="A9" s="7" t="s">
        <v>18</v>
      </c>
      <c r="B9" s="8" t="s">
        <v>363</v>
      </c>
      <c r="C9" s="8" t="s">
        <v>551</v>
      </c>
      <c r="D9" s="8" t="s">
        <v>551</v>
      </c>
      <c r="E9" s="55"/>
      <c r="F9" s="55"/>
      <c r="G9" s="55"/>
      <c r="H9" s="55"/>
      <c r="I9" s="55" t="s">
        <v>92</v>
      </c>
      <c r="J9" s="55" t="s">
        <v>92</v>
      </c>
      <c r="K9" s="55" t="s">
        <v>92</v>
      </c>
      <c r="L9" s="55" t="s">
        <v>92</v>
      </c>
      <c r="M9" s="55" t="s">
        <v>92</v>
      </c>
      <c r="N9" s="67" t="s">
        <v>92</v>
      </c>
      <c r="O9" s="67" t="s">
        <v>92</v>
      </c>
      <c r="P9" s="67" t="s">
        <v>92</v>
      </c>
      <c r="Q9" s="67" t="s">
        <v>92</v>
      </c>
      <c r="R9" s="67" t="s">
        <v>92</v>
      </c>
      <c r="S9" s="67" t="s">
        <v>92</v>
      </c>
      <c r="T9" s="55"/>
      <c r="U9" s="55"/>
      <c r="V9" s="55"/>
      <c r="W9" s="55"/>
      <c r="X9" s="55"/>
      <c r="Y9" s="55" t="s">
        <v>573</v>
      </c>
      <c r="Z9" s="55" t="s">
        <v>573</v>
      </c>
      <c r="AA9" s="55"/>
      <c r="AB9" s="55"/>
      <c r="AC9" s="55"/>
      <c r="AD9" s="55"/>
      <c r="AE9" s="55" t="s">
        <v>574</v>
      </c>
      <c r="AF9" s="8"/>
      <c r="AG9" s="41">
        <f t="shared" si="2"/>
        <v>17</v>
      </c>
      <c r="AH9" s="42">
        <f t="shared" si="3"/>
        <v>56.666666666666664</v>
      </c>
      <c r="AM9" s="20"/>
      <c r="AN9" s="56"/>
      <c r="AO9" s="56"/>
      <c r="AP9" s="56"/>
      <c r="AQ9" s="57"/>
      <c r="AR9" s="20"/>
    </row>
    <row r="10" spans="1:44" ht="15.75" customHeight="1" x14ac:dyDescent="0.35">
      <c r="A10" s="7" t="s">
        <v>20</v>
      </c>
      <c r="B10" s="8" t="s">
        <v>95</v>
      </c>
      <c r="C10" s="8" t="s">
        <v>91</v>
      </c>
      <c r="D10" s="8" t="s">
        <v>91</v>
      </c>
      <c r="E10" s="55"/>
      <c r="F10" s="55"/>
      <c r="G10" s="55"/>
      <c r="H10" s="55"/>
      <c r="I10" s="55" t="s">
        <v>97</v>
      </c>
      <c r="J10" s="55" t="s">
        <v>97</v>
      </c>
      <c r="K10" s="55" t="s">
        <v>97</v>
      </c>
      <c r="L10" s="55" t="s">
        <v>97</v>
      </c>
      <c r="M10" s="55" t="s">
        <v>97</v>
      </c>
      <c r="N10" s="74"/>
      <c r="O10" s="74"/>
      <c r="P10" s="67" t="s">
        <v>95</v>
      </c>
      <c r="Q10" s="67" t="s">
        <v>95</v>
      </c>
      <c r="R10" s="67" t="s">
        <v>95</v>
      </c>
      <c r="S10" s="67" t="s">
        <v>95</v>
      </c>
      <c r="T10" s="55"/>
      <c r="U10" s="55"/>
      <c r="V10" s="55"/>
      <c r="W10" s="55"/>
      <c r="X10" s="55"/>
      <c r="Y10" s="55" t="s">
        <v>218</v>
      </c>
      <c r="Z10" s="55" t="s">
        <v>218</v>
      </c>
      <c r="AA10" s="55"/>
      <c r="AB10" s="55"/>
      <c r="AC10" s="55"/>
      <c r="AD10" s="55"/>
      <c r="AE10" s="55"/>
      <c r="AF10" s="8"/>
      <c r="AG10" s="41">
        <f t="shared" si="2"/>
        <v>14</v>
      </c>
      <c r="AH10" s="42">
        <f t="shared" si="3"/>
        <v>46.666666666666664</v>
      </c>
      <c r="AM10" s="20"/>
      <c r="AN10" s="56"/>
      <c r="AO10" s="56"/>
      <c r="AP10" s="56"/>
      <c r="AQ10" s="57"/>
      <c r="AR10" s="20"/>
    </row>
    <row r="11" spans="1:44" ht="15.75" customHeight="1" thickBot="1" x14ac:dyDescent="0.4">
      <c r="A11" s="7" t="s">
        <v>24</v>
      </c>
      <c r="B11" s="55" t="s">
        <v>34</v>
      </c>
      <c r="C11" s="55" t="s">
        <v>34</v>
      </c>
      <c r="D11" s="55" t="s">
        <v>34</v>
      </c>
      <c r="E11" s="55" t="s">
        <v>34</v>
      </c>
      <c r="F11" s="55" t="s">
        <v>34</v>
      </c>
      <c r="G11" s="55" t="s">
        <v>34</v>
      </c>
      <c r="H11" s="55" t="s">
        <v>34</v>
      </c>
      <c r="I11" s="55" t="s">
        <v>34</v>
      </c>
      <c r="J11" s="55" t="s">
        <v>34</v>
      </c>
      <c r="K11" s="55" t="s">
        <v>34</v>
      </c>
      <c r="L11" s="55" t="s">
        <v>34</v>
      </c>
      <c r="M11" s="55" t="s">
        <v>34</v>
      </c>
      <c r="N11" s="55" t="s">
        <v>34</v>
      </c>
      <c r="O11" s="55" t="s">
        <v>34</v>
      </c>
      <c r="P11" s="67" t="s">
        <v>564</v>
      </c>
      <c r="Q11" s="67" t="s">
        <v>564</v>
      </c>
      <c r="R11" s="67" t="s">
        <v>564</v>
      </c>
      <c r="S11" s="67" t="s">
        <v>214</v>
      </c>
      <c r="T11" s="55"/>
      <c r="U11" s="55"/>
      <c r="V11" s="55"/>
      <c r="W11" s="55"/>
      <c r="X11" s="55"/>
      <c r="Y11" s="55"/>
      <c r="Z11" s="55"/>
      <c r="AA11" s="55" t="s">
        <v>572</v>
      </c>
      <c r="AB11" s="55"/>
      <c r="AC11" s="55"/>
      <c r="AD11" s="55"/>
      <c r="AE11" s="55"/>
      <c r="AF11" s="55" t="s">
        <v>34</v>
      </c>
      <c r="AG11" s="41">
        <f t="shared" si="2"/>
        <v>20</v>
      </c>
      <c r="AH11" s="42">
        <f t="shared" si="3"/>
        <v>66.666666666666671</v>
      </c>
      <c r="AM11" s="20"/>
      <c r="AN11" s="20"/>
      <c r="AO11" s="20"/>
      <c r="AP11" s="20"/>
      <c r="AQ11" s="20"/>
      <c r="AR11" s="20"/>
    </row>
    <row r="12" spans="1:44" ht="15" customHeight="1" x14ac:dyDescent="0.35">
      <c r="A12" s="45" t="s">
        <v>176</v>
      </c>
      <c r="B12" s="46">
        <f>COUNTA(B5:B11)</f>
        <v>3</v>
      </c>
      <c r="C12" s="46">
        <f>COUNTA(C5:C11)</f>
        <v>5</v>
      </c>
      <c r="D12" s="46">
        <f t="shared" ref="D12:AF12" si="4">COUNTA(D5:D11)</f>
        <v>4</v>
      </c>
      <c r="E12" s="46">
        <f t="shared" si="4"/>
        <v>1</v>
      </c>
      <c r="F12" s="46">
        <f t="shared" si="4"/>
        <v>1</v>
      </c>
      <c r="G12" s="46">
        <f t="shared" si="4"/>
        <v>1</v>
      </c>
      <c r="H12" s="46">
        <f t="shared" si="4"/>
        <v>1</v>
      </c>
      <c r="I12" s="46">
        <f t="shared" si="4"/>
        <v>5</v>
      </c>
      <c r="J12" s="46">
        <f t="shared" si="4"/>
        <v>6</v>
      </c>
      <c r="K12" s="46">
        <f t="shared" si="4"/>
        <v>6</v>
      </c>
      <c r="L12" s="46">
        <f t="shared" si="4"/>
        <v>5</v>
      </c>
      <c r="M12" s="46">
        <f t="shared" si="4"/>
        <v>5</v>
      </c>
      <c r="N12" s="46">
        <f t="shared" si="4"/>
        <v>3</v>
      </c>
      <c r="O12" s="46">
        <f t="shared" si="4"/>
        <v>3</v>
      </c>
      <c r="P12" s="46">
        <f t="shared" si="4"/>
        <v>7</v>
      </c>
      <c r="Q12" s="46">
        <f t="shared" si="4"/>
        <v>7</v>
      </c>
      <c r="R12" s="46">
        <f t="shared" si="4"/>
        <v>7</v>
      </c>
      <c r="S12" s="46">
        <f t="shared" si="4"/>
        <v>7</v>
      </c>
      <c r="T12" s="46">
        <f t="shared" si="4"/>
        <v>0</v>
      </c>
      <c r="U12" s="46">
        <f t="shared" si="4"/>
        <v>0</v>
      </c>
      <c r="V12" s="46">
        <f t="shared" si="4"/>
        <v>0</v>
      </c>
      <c r="W12" s="46">
        <f t="shared" si="4"/>
        <v>0</v>
      </c>
      <c r="X12" s="46">
        <f t="shared" si="4"/>
        <v>0</v>
      </c>
      <c r="Y12" s="46">
        <f t="shared" si="4"/>
        <v>3</v>
      </c>
      <c r="Z12" s="46">
        <f t="shared" si="4"/>
        <v>3</v>
      </c>
      <c r="AA12" s="46">
        <f t="shared" si="4"/>
        <v>2</v>
      </c>
      <c r="AB12" s="46">
        <f t="shared" si="4"/>
        <v>1</v>
      </c>
      <c r="AC12" s="46">
        <f t="shared" si="4"/>
        <v>1</v>
      </c>
      <c r="AD12" s="46">
        <f t="shared" si="4"/>
        <v>1</v>
      </c>
      <c r="AE12" s="46">
        <f t="shared" si="4"/>
        <v>2</v>
      </c>
      <c r="AF12" s="46">
        <f t="shared" si="4"/>
        <v>1</v>
      </c>
      <c r="AG12" s="43">
        <f t="shared" ref="AG12" si="5">SUM(AG5:AG11)</f>
        <v>91</v>
      </c>
      <c r="AH12" s="44">
        <f>AVERAGE(AH5:AH11)</f>
        <v>43.333333333333329</v>
      </c>
      <c r="AI12" s="29"/>
      <c r="AM12" s="20"/>
      <c r="AN12" s="20"/>
      <c r="AO12" s="20"/>
      <c r="AP12" s="20"/>
      <c r="AQ12" s="20"/>
      <c r="AR12" s="20"/>
    </row>
    <row r="13" spans="1:44" ht="85.5" hidden="1" x14ac:dyDescent="0.35">
      <c r="A13" s="13" t="s">
        <v>28</v>
      </c>
      <c r="B13" s="14"/>
      <c r="C13" s="14"/>
      <c r="D13" s="14"/>
      <c r="E13" s="14"/>
      <c r="F13" s="14"/>
      <c r="G13" s="14"/>
      <c r="H13" s="14"/>
      <c r="I13" s="35"/>
      <c r="J13" s="34"/>
      <c r="K13" s="15"/>
      <c r="L13" s="14"/>
      <c r="M13" s="14"/>
      <c r="N13" s="25"/>
      <c r="O13" s="25"/>
      <c r="P13" s="25"/>
      <c r="Q13" s="14"/>
      <c r="R13" s="14"/>
      <c r="S13" s="14"/>
      <c r="T13" s="14"/>
      <c r="U13" s="14"/>
      <c r="V13" s="15"/>
      <c r="W13" s="15"/>
      <c r="X13" s="14"/>
      <c r="Y13" s="14"/>
      <c r="Z13" s="14"/>
      <c r="AA13" s="14"/>
      <c r="AB13" s="14"/>
      <c r="AC13" s="14"/>
      <c r="AD13" s="14"/>
      <c r="AE13" s="14"/>
      <c r="AF13" s="14"/>
      <c r="AG13" s="37"/>
      <c r="AH13" s="37"/>
      <c r="AM13" s="20"/>
      <c r="AN13" s="20"/>
      <c r="AO13" s="20"/>
      <c r="AP13" s="20"/>
      <c r="AQ13" s="20"/>
      <c r="AR13" s="20"/>
    </row>
    <row r="14" spans="1:44" ht="28.5" hidden="1" x14ac:dyDescent="0.35">
      <c r="A14" s="16" t="s">
        <v>29</v>
      </c>
      <c r="B14" s="14"/>
      <c r="C14" s="14"/>
      <c r="D14" s="14"/>
      <c r="E14" s="14"/>
      <c r="F14" s="14"/>
      <c r="G14" s="14"/>
      <c r="H14" s="14"/>
      <c r="I14" s="35"/>
      <c r="J14" s="34"/>
      <c r="K14" s="15"/>
      <c r="L14" s="14"/>
      <c r="M14" s="14"/>
      <c r="N14" s="25"/>
      <c r="O14" s="25"/>
      <c r="P14" s="25"/>
      <c r="Q14" s="14"/>
      <c r="R14" s="14"/>
      <c r="S14" s="14"/>
      <c r="T14" s="14"/>
      <c r="U14" s="14"/>
      <c r="V14" s="15"/>
      <c r="W14" s="15"/>
      <c r="X14" s="14"/>
      <c r="Y14" s="14"/>
      <c r="Z14" s="14"/>
      <c r="AA14" s="14"/>
      <c r="AB14" s="14"/>
      <c r="AC14" s="14"/>
      <c r="AD14" s="14"/>
      <c r="AE14" s="14"/>
      <c r="AF14" s="14"/>
      <c r="AG14" s="37"/>
      <c r="AH14" s="37"/>
      <c r="AM14" s="20"/>
      <c r="AN14" s="20"/>
      <c r="AO14" s="20"/>
      <c r="AP14" s="20"/>
      <c r="AQ14" s="20"/>
      <c r="AR14" s="20"/>
    </row>
    <row r="15" spans="1:44" x14ac:dyDescent="0.35">
      <c r="A15" s="7" t="s">
        <v>30</v>
      </c>
      <c r="B15" s="54"/>
      <c r="C15" s="8" t="s">
        <v>335</v>
      </c>
      <c r="D15" s="55" t="s">
        <v>554</v>
      </c>
      <c r="E15" s="55" t="s">
        <v>554</v>
      </c>
      <c r="F15" s="54"/>
      <c r="G15" s="54"/>
      <c r="H15" s="8"/>
      <c r="I15" s="8" t="s">
        <v>561</v>
      </c>
      <c r="J15" s="8" t="s">
        <v>561</v>
      </c>
      <c r="K15" s="8" t="s">
        <v>561</v>
      </c>
      <c r="L15" s="8" t="s">
        <v>561</v>
      </c>
      <c r="M15" s="8" t="s">
        <v>561</v>
      </c>
      <c r="N15" s="8" t="s">
        <v>561</v>
      </c>
      <c r="O15" s="8" t="s">
        <v>561</v>
      </c>
      <c r="P15" s="8" t="s">
        <v>561</v>
      </c>
      <c r="Q15" s="8" t="s">
        <v>561</v>
      </c>
      <c r="R15" s="8" t="s">
        <v>561</v>
      </c>
      <c r="S15" s="8" t="s">
        <v>561</v>
      </c>
      <c r="T15" s="8" t="s">
        <v>561</v>
      </c>
      <c r="U15" s="8" t="s">
        <v>561</v>
      </c>
      <c r="V15" s="8" t="s">
        <v>561</v>
      </c>
      <c r="W15" s="8" t="s">
        <v>561</v>
      </c>
      <c r="X15" s="8" t="s">
        <v>561</v>
      </c>
      <c r="Y15" s="8" t="s">
        <v>561</v>
      </c>
      <c r="Z15" s="8" t="s">
        <v>561</v>
      </c>
      <c r="AA15" s="8" t="s">
        <v>561</v>
      </c>
      <c r="AB15" s="8" t="s">
        <v>561</v>
      </c>
      <c r="AC15" s="8" t="s">
        <v>561</v>
      </c>
      <c r="AD15" s="8" t="s">
        <v>561</v>
      </c>
      <c r="AE15" s="55" t="s">
        <v>574</v>
      </c>
      <c r="AF15" s="54"/>
      <c r="AG15" s="41">
        <f>COUNTA(B15:AF15)</f>
        <v>26</v>
      </c>
      <c r="AH15" s="42">
        <f>AG15*100/30</f>
        <v>86.666666666666671</v>
      </c>
      <c r="AM15" s="20"/>
      <c r="AN15" s="20"/>
      <c r="AO15" s="20"/>
      <c r="AP15" s="20"/>
      <c r="AQ15" s="20"/>
      <c r="AR15" s="20"/>
    </row>
    <row r="16" spans="1:44" x14ac:dyDescent="0.35">
      <c r="A16" s="7" t="s">
        <v>35</v>
      </c>
      <c r="B16" s="75" t="s">
        <v>549</v>
      </c>
      <c r="C16" s="75" t="s">
        <v>552</v>
      </c>
      <c r="D16" s="75" t="s">
        <v>549</v>
      </c>
      <c r="E16" s="75"/>
      <c r="F16" s="8"/>
      <c r="G16" s="8" t="s">
        <v>312</v>
      </c>
      <c r="H16" s="8"/>
      <c r="I16" s="8" t="s">
        <v>557</v>
      </c>
      <c r="J16" s="8" t="s">
        <v>558</v>
      </c>
      <c r="K16" s="8" t="s">
        <v>558</v>
      </c>
      <c r="L16" s="8" t="s">
        <v>558</v>
      </c>
      <c r="M16" s="53"/>
      <c r="N16" s="53"/>
      <c r="O16" s="67" t="s">
        <v>435</v>
      </c>
      <c r="P16" s="67" t="s">
        <v>435</v>
      </c>
      <c r="Q16" s="67" t="s">
        <v>435</v>
      </c>
      <c r="R16" s="67" t="s">
        <v>435</v>
      </c>
      <c r="S16" s="67" t="s">
        <v>435</v>
      </c>
      <c r="T16" s="8" t="s">
        <v>543</v>
      </c>
      <c r="U16" s="8" t="s">
        <v>543</v>
      </c>
      <c r="V16" s="8" t="s">
        <v>543</v>
      </c>
      <c r="W16" s="8" t="s">
        <v>543</v>
      </c>
      <c r="X16" s="8" t="s">
        <v>543</v>
      </c>
      <c r="Y16" s="8" t="s">
        <v>543</v>
      </c>
      <c r="Z16" s="8" t="s">
        <v>543</v>
      </c>
      <c r="AA16" s="8"/>
      <c r="AB16" s="8"/>
      <c r="AC16" s="8"/>
      <c r="AD16" s="8"/>
      <c r="AE16" s="55"/>
      <c r="AF16" s="54"/>
      <c r="AG16" s="41">
        <f t="shared" ref="AG16:AG22" si="6">COUNTA(B16:AF16)</f>
        <v>20</v>
      </c>
      <c r="AH16" s="42">
        <f t="shared" ref="AH16:AH22" si="7">AG16*100/30</f>
        <v>66.666666666666671</v>
      </c>
      <c r="AM16" s="20"/>
      <c r="AN16" s="20"/>
      <c r="AO16" s="56"/>
      <c r="AP16" s="56"/>
      <c r="AQ16" s="20"/>
      <c r="AR16" s="20"/>
    </row>
    <row r="17" spans="1:50" x14ac:dyDescent="0.35">
      <c r="A17" s="7" t="s">
        <v>39</v>
      </c>
      <c r="B17" s="73" t="s">
        <v>547</v>
      </c>
      <c r="C17" s="73" t="s">
        <v>547</v>
      </c>
      <c r="D17" s="8"/>
      <c r="E17" s="8"/>
      <c r="F17" s="8"/>
      <c r="G17" s="34" t="s">
        <v>281</v>
      </c>
      <c r="H17" s="34" t="s">
        <v>281</v>
      </c>
      <c r="I17" s="8" t="s">
        <v>562</v>
      </c>
      <c r="J17" s="8" t="s">
        <v>562</v>
      </c>
      <c r="K17" s="8" t="s">
        <v>562</v>
      </c>
      <c r="L17" s="8" t="s">
        <v>562</v>
      </c>
      <c r="M17" s="8" t="s">
        <v>562</v>
      </c>
      <c r="N17" s="8" t="s">
        <v>562</v>
      </c>
      <c r="O17" s="8" t="s">
        <v>562</v>
      </c>
      <c r="P17" s="8" t="s">
        <v>562</v>
      </c>
      <c r="Q17" s="8" t="s">
        <v>562</v>
      </c>
      <c r="R17" s="8" t="s">
        <v>562</v>
      </c>
      <c r="S17" s="8" t="s">
        <v>562</v>
      </c>
      <c r="T17" s="8" t="s">
        <v>562</v>
      </c>
      <c r="U17" s="8" t="s">
        <v>562</v>
      </c>
      <c r="V17" s="8" t="s">
        <v>562</v>
      </c>
      <c r="W17" s="8" t="s">
        <v>562</v>
      </c>
      <c r="X17" s="8" t="s">
        <v>562</v>
      </c>
      <c r="Y17" s="8" t="s">
        <v>562</v>
      </c>
      <c r="Z17" s="8" t="s">
        <v>562</v>
      </c>
      <c r="AA17" s="8" t="s">
        <v>562</v>
      </c>
      <c r="AB17" s="8" t="s">
        <v>562</v>
      </c>
      <c r="AC17" s="8" t="s">
        <v>562</v>
      </c>
      <c r="AD17" s="8" t="s">
        <v>562</v>
      </c>
      <c r="AE17" s="8"/>
      <c r="AF17" s="54"/>
      <c r="AG17" s="41">
        <f t="shared" si="6"/>
        <v>26</v>
      </c>
      <c r="AH17" s="42">
        <f t="shared" si="7"/>
        <v>86.666666666666671</v>
      </c>
      <c r="AM17" s="20"/>
      <c r="AN17" s="20"/>
      <c r="AO17" s="20"/>
      <c r="AP17" s="20"/>
      <c r="AQ17" s="20"/>
      <c r="AR17" s="20"/>
      <c r="AX17" s="58"/>
    </row>
    <row r="18" spans="1:50" x14ac:dyDescent="0.35">
      <c r="A18" s="7" t="s">
        <v>42</v>
      </c>
      <c r="B18" s="75"/>
      <c r="C18" s="8"/>
      <c r="D18" s="8"/>
      <c r="E18" s="8"/>
      <c r="F18" s="8"/>
      <c r="G18" s="34" t="s">
        <v>281</v>
      </c>
      <c r="H18" s="34" t="s">
        <v>281</v>
      </c>
      <c r="I18" s="8"/>
      <c r="J18" s="55" t="s">
        <v>543</v>
      </c>
      <c r="K18" s="55" t="s">
        <v>543</v>
      </c>
      <c r="L18" s="55" t="s">
        <v>543</v>
      </c>
      <c r="M18" s="8" t="s">
        <v>543</v>
      </c>
      <c r="N18" s="8" t="s">
        <v>260</v>
      </c>
      <c r="O18" s="8" t="s">
        <v>260</v>
      </c>
      <c r="P18" s="8"/>
      <c r="Q18" s="8"/>
      <c r="R18" s="8"/>
      <c r="S18" s="8"/>
      <c r="T18" s="8" t="s">
        <v>86</v>
      </c>
      <c r="U18" s="8" t="s">
        <v>86</v>
      </c>
      <c r="V18" s="8" t="s">
        <v>86</v>
      </c>
      <c r="W18" s="8" t="s">
        <v>86</v>
      </c>
      <c r="X18" s="8" t="s">
        <v>86</v>
      </c>
      <c r="Y18" s="8" t="s">
        <v>86</v>
      </c>
      <c r="Z18" s="8" t="s">
        <v>86</v>
      </c>
      <c r="AA18" s="8"/>
      <c r="AB18" s="8"/>
      <c r="AC18" s="8"/>
      <c r="AD18" s="8"/>
      <c r="AE18" s="55" t="s">
        <v>574</v>
      </c>
      <c r="AF18" s="54"/>
      <c r="AG18" s="41">
        <f t="shared" si="6"/>
        <v>16</v>
      </c>
      <c r="AH18" s="42">
        <f t="shared" si="7"/>
        <v>53.333333333333336</v>
      </c>
      <c r="AM18" s="20"/>
      <c r="AN18" s="20"/>
      <c r="AO18" s="20"/>
      <c r="AP18" s="20"/>
      <c r="AQ18" s="20"/>
      <c r="AR18" s="20"/>
      <c r="AX18" s="58"/>
    </row>
    <row r="19" spans="1:50" x14ac:dyDescent="0.35">
      <c r="A19" s="7" t="s">
        <v>45</v>
      </c>
      <c r="B19" s="73" t="s">
        <v>547</v>
      </c>
      <c r="C19" s="73" t="s">
        <v>547</v>
      </c>
      <c r="D19" s="55" t="s">
        <v>554</v>
      </c>
      <c r="E19" s="55" t="s">
        <v>554</v>
      </c>
      <c r="F19" s="8"/>
      <c r="G19" s="34" t="s">
        <v>281</v>
      </c>
      <c r="H19" s="34" t="s">
        <v>281</v>
      </c>
      <c r="I19" s="8" t="s">
        <v>563</v>
      </c>
      <c r="J19" s="8" t="s">
        <v>563</v>
      </c>
      <c r="K19" s="8" t="s">
        <v>563</v>
      </c>
      <c r="L19" s="8" t="s">
        <v>563</v>
      </c>
      <c r="M19" s="8" t="s">
        <v>563</v>
      </c>
      <c r="N19" s="8" t="s">
        <v>563</v>
      </c>
      <c r="O19" s="8" t="s">
        <v>563</v>
      </c>
      <c r="P19" s="8" t="s">
        <v>563</v>
      </c>
      <c r="Q19" s="8" t="s">
        <v>563</v>
      </c>
      <c r="R19" s="8" t="s">
        <v>563</v>
      </c>
      <c r="S19" s="8" t="s">
        <v>563</v>
      </c>
      <c r="T19" s="8" t="s">
        <v>563</v>
      </c>
      <c r="U19" s="8" t="s">
        <v>563</v>
      </c>
      <c r="V19" s="8" t="s">
        <v>563</v>
      </c>
      <c r="W19" s="8" t="s">
        <v>563</v>
      </c>
      <c r="X19" s="8" t="s">
        <v>563</v>
      </c>
      <c r="Y19" s="8" t="s">
        <v>563</v>
      </c>
      <c r="Z19" s="8" t="s">
        <v>563</v>
      </c>
      <c r="AA19" s="8" t="s">
        <v>563</v>
      </c>
      <c r="AB19" s="8" t="s">
        <v>563</v>
      </c>
      <c r="AC19" s="8" t="s">
        <v>563</v>
      </c>
      <c r="AD19" s="8" t="s">
        <v>563</v>
      </c>
      <c r="AE19" s="8" t="s">
        <v>563</v>
      </c>
      <c r="AF19" s="54"/>
      <c r="AG19" s="41">
        <f t="shared" si="6"/>
        <v>29</v>
      </c>
      <c r="AH19" s="42">
        <f t="shared" si="7"/>
        <v>96.666666666666671</v>
      </c>
      <c r="AM19" s="20"/>
      <c r="AN19" s="20"/>
      <c r="AO19" s="20"/>
      <c r="AP19" s="20"/>
      <c r="AQ19" s="20"/>
      <c r="AR19" s="20"/>
      <c r="AX19" s="58"/>
    </row>
    <row r="20" spans="1:50" x14ac:dyDescent="0.35">
      <c r="A20" s="7" t="s">
        <v>47</v>
      </c>
      <c r="B20" s="8" t="s">
        <v>506</v>
      </c>
      <c r="C20" s="8" t="s">
        <v>553</v>
      </c>
      <c r="D20" s="8" t="s">
        <v>553</v>
      </c>
      <c r="E20" s="55" t="s">
        <v>34</v>
      </c>
      <c r="F20" s="55" t="s">
        <v>543</v>
      </c>
      <c r="G20" s="55" t="s">
        <v>543</v>
      </c>
      <c r="H20" s="55" t="s">
        <v>543</v>
      </c>
      <c r="I20" s="55" t="s">
        <v>543</v>
      </c>
      <c r="J20" s="8" t="s">
        <v>558</v>
      </c>
      <c r="K20" s="8" t="s">
        <v>558</v>
      </c>
      <c r="L20" s="8" t="s">
        <v>558</v>
      </c>
      <c r="M20" s="53"/>
      <c r="N20" s="53"/>
      <c r="O20" s="55" t="s">
        <v>34</v>
      </c>
      <c r="P20" s="55" t="s">
        <v>34</v>
      </c>
      <c r="Q20" s="55" t="s">
        <v>34</v>
      </c>
      <c r="R20" s="55" t="s">
        <v>34</v>
      </c>
      <c r="S20" s="55" t="s">
        <v>34</v>
      </c>
      <c r="T20" s="55" t="s">
        <v>34</v>
      </c>
      <c r="U20" s="55" t="s">
        <v>34</v>
      </c>
      <c r="V20" s="55" t="s">
        <v>34</v>
      </c>
      <c r="W20" s="55" t="s">
        <v>34</v>
      </c>
      <c r="X20" s="55" t="s">
        <v>34</v>
      </c>
      <c r="Y20" s="55" t="s">
        <v>34</v>
      </c>
      <c r="Z20" s="55" t="s">
        <v>34</v>
      </c>
      <c r="AA20" s="55" t="s">
        <v>34</v>
      </c>
      <c r="AB20" s="55" t="s">
        <v>34</v>
      </c>
      <c r="AC20" s="55" t="s">
        <v>34</v>
      </c>
      <c r="AD20" s="55" t="s">
        <v>34</v>
      </c>
      <c r="AE20" s="55" t="s">
        <v>34</v>
      </c>
      <c r="AF20" s="54"/>
      <c r="AG20" s="41">
        <f t="shared" si="6"/>
        <v>28</v>
      </c>
      <c r="AH20" s="42">
        <f t="shared" si="7"/>
        <v>93.333333333333329</v>
      </c>
      <c r="AM20" s="20"/>
      <c r="AN20" s="20"/>
      <c r="AO20" s="20"/>
      <c r="AP20" s="20"/>
      <c r="AQ20" s="20"/>
      <c r="AR20" s="20"/>
      <c r="AX20" s="58"/>
    </row>
    <row r="21" spans="1:50" x14ac:dyDescent="0.35">
      <c r="A21" s="7" t="s">
        <v>50</v>
      </c>
      <c r="B21" s="55"/>
      <c r="C21" s="55" t="s">
        <v>553</v>
      </c>
      <c r="D21" s="55" t="s">
        <v>553</v>
      </c>
      <c r="E21" s="8" t="s">
        <v>555</v>
      </c>
      <c r="F21" s="8" t="s">
        <v>385</v>
      </c>
      <c r="G21" s="8" t="s">
        <v>385</v>
      </c>
      <c r="H21" s="8" t="s">
        <v>385</v>
      </c>
      <c r="I21" s="8" t="s">
        <v>385</v>
      </c>
      <c r="J21" s="8" t="s">
        <v>385</v>
      </c>
      <c r="K21" s="8" t="s">
        <v>385</v>
      </c>
      <c r="L21" s="8" t="s">
        <v>385</v>
      </c>
      <c r="M21" s="8"/>
      <c r="N21" s="8" t="s">
        <v>524</v>
      </c>
      <c r="O21" s="8" t="s">
        <v>524</v>
      </c>
      <c r="P21" s="61" t="s">
        <v>406</v>
      </c>
      <c r="Q21" s="61" t="s">
        <v>406</v>
      </c>
      <c r="R21" s="61" t="s">
        <v>406</v>
      </c>
      <c r="S21" s="61" t="s">
        <v>406</v>
      </c>
      <c r="T21" s="8"/>
      <c r="U21" s="8"/>
      <c r="V21" s="8"/>
      <c r="W21" s="8"/>
      <c r="X21" s="8"/>
      <c r="Y21" s="8" t="s">
        <v>233</v>
      </c>
      <c r="Z21" s="8" t="s">
        <v>233</v>
      </c>
      <c r="AA21" s="55" t="s">
        <v>385</v>
      </c>
      <c r="AB21" s="55" t="s">
        <v>385</v>
      </c>
      <c r="AC21" s="55" t="s">
        <v>385</v>
      </c>
      <c r="AD21" s="55" t="s">
        <v>385</v>
      </c>
      <c r="AE21" s="55" t="s">
        <v>385</v>
      </c>
      <c r="AF21" s="54"/>
      <c r="AG21" s="41">
        <f t="shared" si="6"/>
        <v>23</v>
      </c>
      <c r="AH21" s="42">
        <f t="shared" si="7"/>
        <v>76.666666666666671</v>
      </c>
      <c r="AM21" s="20"/>
      <c r="AN21" s="20"/>
      <c r="AO21" s="20"/>
      <c r="AP21" s="20"/>
      <c r="AQ21" s="20"/>
      <c r="AR21" s="20"/>
      <c r="AX21" s="58"/>
    </row>
    <row r="22" spans="1:50" ht="15" thickBot="1" x14ac:dyDescent="0.4">
      <c r="A22" s="7" t="s">
        <v>51</v>
      </c>
      <c r="B22" s="8" t="s">
        <v>506</v>
      </c>
      <c r="C22" s="8" t="s">
        <v>506</v>
      </c>
      <c r="D22" s="8" t="s">
        <v>506</v>
      </c>
      <c r="E22" s="8" t="s">
        <v>506</v>
      </c>
      <c r="F22" s="8" t="s">
        <v>506</v>
      </c>
      <c r="G22" s="8"/>
      <c r="H22" s="8"/>
      <c r="I22" s="8"/>
      <c r="J22" s="8" t="s">
        <v>558</v>
      </c>
      <c r="K22" s="8" t="s">
        <v>558</v>
      </c>
      <c r="L22" s="8" t="s">
        <v>558</v>
      </c>
      <c r="M22" s="53"/>
      <c r="N22" s="53"/>
      <c r="O22" s="53"/>
      <c r="P22" s="61" t="s">
        <v>560</v>
      </c>
      <c r="Q22" s="61" t="s">
        <v>560</v>
      </c>
      <c r="R22" s="61" t="s">
        <v>560</v>
      </c>
      <c r="S22" s="61" t="s">
        <v>560</v>
      </c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54"/>
      <c r="AG22" s="41">
        <f t="shared" si="6"/>
        <v>12</v>
      </c>
      <c r="AH22" s="42">
        <f t="shared" si="7"/>
        <v>40</v>
      </c>
      <c r="AX22" s="58"/>
    </row>
    <row r="23" spans="1:50" ht="15.5" x14ac:dyDescent="0.35">
      <c r="A23" s="45" t="s">
        <v>176</v>
      </c>
      <c r="B23" s="46">
        <f>COUNTA(B15:B22)</f>
        <v>5</v>
      </c>
      <c r="C23" s="46">
        <f>COUNTA(C16:C22)</f>
        <v>6</v>
      </c>
      <c r="D23" s="46">
        <f>COUNTA(D16:D22)</f>
        <v>5</v>
      </c>
      <c r="E23" s="46">
        <f t="shared" ref="E23:AF23" si="8">COUNTA(E15:E22)</f>
        <v>5</v>
      </c>
      <c r="F23" s="46">
        <f t="shared" si="8"/>
        <v>3</v>
      </c>
      <c r="G23" s="46">
        <f t="shared" si="8"/>
        <v>6</v>
      </c>
      <c r="H23" s="46">
        <f t="shared" si="8"/>
        <v>5</v>
      </c>
      <c r="I23" s="46">
        <f t="shared" si="8"/>
        <v>6</v>
      </c>
      <c r="J23" s="46">
        <f t="shared" si="8"/>
        <v>8</v>
      </c>
      <c r="K23" s="46">
        <f t="shared" si="8"/>
        <v>8</v>
      </c>
      <c r="L23" s="46">
        <f t="shared" si="8"/>
        <v>8</v>
      </c>
      <c r="M23" s="46">
        <f t="shared" si="8"/>
        <v>4</v>
      </c>
      <c r="N23" s="46">
        <f t="shared" si="8"/>
        <v>5</v>
      </c>
      <c r="O23" s="46">
        <f t="shared" si="8"/>
        <v>7</v>
      </c>
      <c r="P23" s="46">
        <f t="shared" si="8"/>
        <v>7</v>
      </c>
      <c r="Q23" s="46">
        <f t="shared" si="8"/>
        <v>7</v>
      </c>
      <c r="R23" s="46">
        <f t="shared" si="8"/>
        <v>7</v>
      </c>
      <c r="S23" s="46">
        <f t="shared" si="8"/>
        <v>7</v>
      </c>
      <c r="T23" s="46">
        <f>COUNTA(T15:T22)</f>
        <v>6</v>
      </c>
      <c r="U23" s="46">
        <f t="shared" si="8"/>
        <v>6</v>
      </c>
      <c r="V23" s="46">
        <f t="shared" si="8"/>
        <v>6</v>
      </c>
      <c r="W23" s="46">
        <f t="shared" si="8"/>
        <v>6</v>
      </c>
      <c r="X23" s="46">
        <f t="shared" si="8"/>
        <v>6</v>
      </c>
      <c r="Y23" s="46">
        <f t="shared" si="8"/>
        <v>7</v>
      </c>
      <c r="Z23" s="46">
        <f t="shared" si="8"/>
        <v>7</v>
      </c>
      <c r="AA23" s="46">
        <f t="shared" si="8"/>
        <v>5</v>
      </c>
      <c r="AB23" s="46">
        <f t="shared" si="8"/>
        <v>5</v>
      </c>
      <c r="AC23" s="46">
        <f t="shared" si="8"/>
        <v>5</v>
      </c>
      <c r="AD23" s="46">
        <f t="shared" si="8"/>
        <v>5</v>
      </c>
      <c r="AE23" s="46">
        <f t="shared" si="8"/>
        <v>5</v>
      </c>
      <c r="AF23" s="46">
        <f t="shared" si="8"/>
        <v>0</v>
      </c>
      <c r="AG23" s="43">
        <f>SUM(AG15:AG22)</f>
        <v>180</v>
      </c>
      <c r="AH23" s="66">
        <f>AVERAGE(AH15:AH22)</f>
        <v>75</v>
      </c>
      <c r="AX23" s="58"/>
    </row>
    <row r="24" spans="1:50" ht="15.5" x14ac:dyDescent="0.35">
      <c r="A24" s="47" t="s">
        <v>178</v>
      </c>
      <c r="B24" s="52">
        <f>B12+B23</f>
        <v>8</v>
      </c>
      <c r="C24" s="52">
        <f t="shared" ref="C24:AF24" si="9">C12+C23</f>
        <v>11</v>
      </c>
      <c r="D24" s="52">
        <f t="shared" si="9"/>
        <v>9</v>
      </c>
      <c r="E24" s="52">
        <f t="shared" si="9"/>
        <v>6</v>
      </c>
      <c r="F24" s="52">
        <f t="shared" si="9"/>
        <v>4</v>
      </c>
      <c r="G24" s="52">
        <f t="shared" si="9"/>
        <v>7</v>
      </c>
      <c r="H24" s="52">
        <f t="shared" si="9"/>
        <v>6</v>
      </c>
      <c r="I24" s="52">
        <f t="shared" si="9"/>
        <v>11</v>
      </c>
      <c r="J24" s="52">
        <f t="shared" si="9"/>
        <v>14</v>
      </c>
      <c r="K24" s="52">
        <f t="shared" si="9"/>
        <v>14</v>
      </c>
      <c r="L24" s="52">
        <f t="shared" si="9"/>
        <v>13</v>
      </c>
      <c r="M24" s="52">
        <f t="shared" si="9"/>
        <v>9</v>
      </c>
      <c r="N24" s="52">
        <f t="shared" si="9"/>
        <v>8</v>
      </c>
      <c r="O24" s="52">
        <f t="shared" si="9"/>
        <v>10</v>
      </c>
      <c r="P24" s="52">
        <f t="shared" si="9"/>
        <v>14</v>
      </c>
      <c r="Q24" s="52">
        <f t="shared" si="9"/>
        <v>14</v>
      </c>
      <c r="R24" s="52">
        <f t="shared" si="9"/>
        <v>14</v>
      </c>
      <c r="S24" s="52">
        <f t="shared" si="9"/>
        <v>14</v>
      </c>
      <c r="T24" s="52">
        <f t="shared" si="9"/>
        <v>6</v>
      </c>
      <c r="U24" s="52">
        <f t="shared" si="9"/>
        <v>6</v>
      </c>
      <c r="V24" s="52">
        <f t="shared" si="9"/>
        <v>6</v>
      </c>
      <c r="W24" s="52">
        <f t="shared" si="9"/>
        <v>6</v>
      </c>
      <c r="X24" s="52">
        <f t="shared" si="9"/>
        <v>6</v>
      </c>
      <c r="Y24" s="52">
        <f t="shared" si="9"/>
        <v>10</v>
      </c>
      <c r="Z24" s="52">
        <f t="shared" si="9"/>
        <v>10</v>
      </c>
      <c r="AA24" s="52">
        <f t="shared" si="9"/>
        <v>7</v>
      </c>
      <c r="AB24" s="52">
        <f t="shared" si="9"/>
        <v>6</v>
      </c>
      <c r="AC24" s="52">
        <f t="shared" si="9"/>
        <v>6</v>
      </c>
      <c r="AD24" s="52">
        <f t="shared" si="9"/>
        <v>6</v>
      </c>
      <c r="AE24" s="52">
        <f t="shared" si="9"/>
        <v>7</v>
      </c>
      <c r="AF24" s="52">
        <f t="shared" si="9"/>
        <v>1</v>
      </c>
      <c r="AG24" s="49">
        <f>+AG12+AG23</f>
        <v>271</v>
      </c>
      <c r="AX24" s="58"/>
    </row>
    <row r="25" spans="1:50" ht="15.5" x14ac:dyDescent="0.35">
      <c r="A25" s="48" t="s">
        <v>179</v>
      </c>
      <c r="B25" s="42">
        <f>B24*100/15</f>
        <v>53.333333333333336</v>
      </c>
      <c r="C25" s="42">
        <f t="shared" ref="C25:AF25" si="10">C24*100/15</f>
        <v>73.333333333333329</v>
      </c>
      <c r="D25" s="42">
        <f t="shared" si="10"/>
        <v>60</v>
      </c>
      <c r="E25" s="42">
        <f t="shared" si="10"/>
        <v>40</v>
      </c>
      <c r="F25" s="42">
        <f t="shared" si="10"/>
        <v>26.666666666666668</v>
      </c>
      <c r="G25" s="42">
        <f t="shared" si="10"/>
        <v>46.666666666666664</v>
      </c>
      <c r="H25" s="42">
        <f t="shared" si="10"/>
        <v>40</v>
      </c>
      <c r="I25" s="42">
        <f t="shared" si="10"/>
        <v>73.333333333333329</v>
      </c>
      <c r="J25" s="42">
        <f t="shared" si="10"/>
        <v>93.333333333333329</v>
      </c>
      <c r="K25" s="42">
        <f t="shared" si="10"/>
        <v>93.333333333333329</v>
      </c>
      <c r="L25" s="42">
        <f t="shared" si="10"/>
        <v>86.666666666666671</v>
      </c>
      <c r="M25" s="42">
        <f t="shared" si="10"/>
        <v>60</v>
      </c>
      <c r="N25" s="42">
        <f t="shared" si="10"/>
        <v>53.333333333333336</v>
      </c>
      <c r="O25" s="42">
        <f t="shared" si="10"/>
        <v>66.666666666666671</v>
      </c>
      <c r="P25" s="42">
        <f t="shared" si="10"/>
        <v>93.333333333333329</v>
      </c>
      <c r="Q25" s="42">
        <f t="shared" si="10"/>
        <v>93.333333333333329</v>
      </c>
      <c r="R25" s="42">
        <f t="shared" si="10"/>
        <v>93.333333333333329</v>
      </c>
      <c r="S25" s="42">
        <f t="shared" si="10"/>
        <v>93.333333333333329</v>
      </c>
      <c r="T25" s="42">
        <f t="shared" si="10"/>
        <v>40</v>
      </c>
      <c r="U25" s="42">
        <f t="shared" si="10"/>
        <v>40</v>
      </c>
      <c r="V25" s="42">
        <f t="shared" si="10"/>
        <v>40</v>
      </c>
      <c r="W25" s="42">
        <f t="shared" si="10"/>
        <v>40</v>
      </c>
      <c r="X25" s="42">
        <f t="shared" si="10"/>
        <v>40</v>
      </c>
      <c r="Y25" s="42">
        <f t="shared" si="10"/>
        <v>66.666666666666671</v>
      </c>
      <c r="Z25" s="42">
        <f t="shared" si="10"/>
        <v>66.666666666666671</v>
      </c>
      <c r="AA25" s="42">
        <f t="shared" si="10"/>
        <v>46.666666666666664</v>
      </c>
      <c r="AB25" s="42">
        <f t="shared" si="10"/>
        <v>40</v>
      </c>
      <c r="AC25" s="42">
        <f t="shared" si="10"/>
        <v>40</v>
      </c>
      <c r="AD25" s="42">
        <f t="shared" si="10"/>
        <v>40</v>
      </c>
      <c r="AE25" s="42">
        <f t="shared" si="10"/>
        <v>46.666666666666664</v>
      </c>
      <c r="AF25" s="42">
        <f t="shared" si="10"/>
        <v>6.666666666666667</v>
      </c>
      <c r="AG25" s="50">
        <f>AVERAGE(B25:AE25)</f>
        <v>59.555555555555557</v>
      </c>
      <c r="AH25" s="51" t="s">
        <v>180</v>
      </c>
      <c r="AX25" s="58"/>
    </row>
    <row r="26" spans="1:50" x14ac:dyDescent="0.35">
      <c r="AX26" s="58"/>
    </row>
    <row r="27" spans="1:50" x14ac:dyDescent="0.35">
      <c r="P27" s="71"/>
      <c r="Q27" s="71"/>
    </row>
    <row r="28" spans="1:50" x14ac:dyDescent="0.35">
      <c r="P28" s="71"/>
      <c r="Q28" s="71"/>
    </row>
    <row r="29" spans="1:50" x14ac:dyDescent="0.35">
      <c r="P29" s="71"/>
      <c r="Q29" s="71"/>
    </row>
  </sheetData>
  <mergeCells count="2">
    <mergeCell ref="A1:AE1"/>
    <mergeCell ref="AM3:AR3"/>
  </mergeCells>
  <conditionalFormatting sqref="B8">
    <cfRule type="colorScale" priority="48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9">
    <cfRule type="colorScale" priority="49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0">
    <cfRule type="colorScale" priority="4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22 B20 B18:C18 F19:AE19">
    <cfRule type="colorScale" priority="4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9:C19">
    <cfRule type="colorScale" priority="3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21:D21">
    <cfRule type="colorScale" priority="4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6:E16">
    <cfRule type="colorScale" priority="38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7:G7 C8:D9">
    <cfRule type="colorScale" priority="50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1:O11 T11:U11">
    <cfRule type="colorScale" priority="5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C6">
    <cfRule type="colorScale" priority="3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C15">
    <cfRule type="colorScale" priority="39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C10:D10">
    <cfRule type="colorScale" priority="3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C20:D20">
    <cfRule type="colorScale" priority="59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C22:H22">
    <cfRule type="colorScale" priority="5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D19:E19">
    <cfRule type="colorScale" priority="3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D6:G6 B6">
    <cfRule type="colorScale" priority="5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D15:G15 B15">
    <cfRule type="colorScale" priority="4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D18:I18 F16:N16 J20:N20 H15:AD15 B17:AE17 T16:AD16 M18:AD18 I22:AE22 E21:Z21">
    <cfRule type="colorScale" priority="78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E9">
    <cfRule type="colorScale" priority="3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E20">
    <cfRule type="colorScale" priority="30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E8:H8 N8:O8 B5:AE5 Y8:AE8 T6:X10 V11:AE11">
    <cfRule type="colorScale" priority="8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E10:H10 H7 H6:I6 L6:O6 N10:O10 F9:S9 AF11 Y6:AE7 Y9:AE10">
    <cfRule type="colorScale" priority="8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F20:I20">
    <cfRule type="colorScale" priority="28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I8:M8">
    <cfRule type="colorScale" priority="2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I10:M10">
    <cfRule type="colorScale" priority="2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I7:O7">
    <cfRule type="colorScale" priority="2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J6:K6">
    <cfRule type="colorScale" priority="2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J18:L18">
    <cfRule type="colorScale" priority="2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L13:U14 B13:I14 X13:AH14">
    <cfRule type="colorScale" priority="8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O16:S16">
    <cfRule type="colorScale" priority="1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O20:AE20">
    <cfRule type="colorScale" priority="10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P6:S6">
    <cfRule type="colorScale" priority="20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P7:S7">
    <cfRule type="colorScale" priority="1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P8:S8">
    <cfRule type="colorScale" priority="19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P10:S10">
    <cfRule type="colorScale" priority="18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P11:S11">
    <cfRule type="colorScale" priority="9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A21:AE21">
    <cfRule type="colorScale" priority="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E15">
    <cfRule type="colorScale" priority="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E16">
    <cfRule type="colorScale" priority="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E18">
    <cfRule type="colorScale" priority="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F5:AF10">
    <cfRule type="colorScale" priority="8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F15:AF22">
    <cfRule type="colorScale" priority="85">
      <colorScale>
        <cfvo type="num" val="1"/>
        <cfvo type="max"/>
        <color theme="4" tint="0.59999389629810485"/>
        <color theme="5" tint="0.59999389629810485"/>
      </colorScale>
    </cfRule>
  </conditionalFormatting>
  <pageMargins left="0.2" right="0.45" top="0.75" bottom="0.75" header="0.3" footer="0.3"/>
  <pageSetup scale="90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D4179-83B7-44D0-816B-3A7EE7B55414}">
  <dimension ref="A1:AX29"/>
  <sheetViews>
    <sheetView zoomScale="86" zoomScaleNormal="86" workbookViewId="0">
      <pane xSplit="1" ySplit="4" topLeftCell="U5" activePane="bottomRight" state="frozen"/>
      <selection pane="topRight" activeCell="B1" sqref="B1"/>
      <selection pane="bottomLeft" activeCell="A5" sqref="A5"/>
      <selection pane="bottomRight" activeCell="AF6" sqref="AF6"/>
    </sheetView>
  </sheetViews>
  <sheetFormatPr defaultRowHeight="14.5" x14ac:dyDescent="0.35"/>
  <cols>
    <col min="1" max="1" width="43.54296875" bestFit="1" customWidth="1"/>
    <col min="2" max="2" width="9.54296875" bestFit="1" customWidth="1"/>
    <col min="3" max="16" width="11" bestFit="1" customWidth="1"/>
    <col min="17" max="19" width="12.81640625" bestFit="1" customWidth="1"/>
    <col min="20" max="20" width="14.26953125" bestFit="1" customWidth="1"/>
    <col min="21" max="21" width="12.81640625" bestFit="1" customWidth="1"/>
    <col min="22" max="25" width="11.1796875" bestFit="1" customWidth="1"/>
    <col min="26" max="26" width="8.1796875" customWidth="1"/>
    <col min="27" max="27" width="9.81640625" customWidth="1"/>
    <col min="28" max="30" width="10.54296875" bestFit="1" customWidth="1"/>
    <col min="31" max="31" width="10.453125" customWidth="1"/>
    <col min="32" max="32" width="8" bestFit="1" customWidth="1"/>
    <col min="33" max="33" width="4.7265625" bestFit="1" customWidth="1"/>
    <col min="34" max="34" width="8.453125" bestFit="1" customWidth="1"/>
    <col min="35" max="35" width="8.1796875" bestFit="1" customWidth="1"/>
    <col min="36" max="36" width="7.1796875" bestFit="1" customWidth="1"/>
    <col min="37" max="37" width="0" hidden="1" customWidth="1"/>
    <col min="38" max="38" width="3" hidden="1" customWidth="1"/>
    <col min="39" max="39" width="13.54296875" bestFit="1" customWidth="1"/>
    <col min="40" max="40" width="6.54296875" bestFit="1" customWidth="1"/>
    <col min="41" max="41" width="9.81640625" bestFit="1" customWidth="1"/>
    <col min="42" max="42" width="10.81640625" bestFit="1" customWidth="1"/>
    <col min="43" max="43" width="10.1796875" bestFit="1" customWidth="1"/>
    <col min="44" max="44" width="9.1796875" bestFit="1" customWidth="1"/>
    <col min="45" max="45" width="0.453125" hidden="1" customWidth="1"/>
    <col min="46" max="49" width="0" hidden="1" customWidth="1"/>
    <col min="51" max="51" width="15" bestFit="1" customWidth="1"/>
  </cols>
  <sheetData>
    <row r="1" spans="1:44" ht="15.5" x14ac:dyDescent="0.35">
      <c r="A1" s="120" t="s">
        <v>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65"/>
    </row>
    <row r="2" spans="1:44" ht="15" thickBot="1" x14ac:dyDescent="0.4"/>
    <row r="3" spans="1:44" ht="45.75" customHeight="1" x14ac:dyDescent="0.35">
      <c r="A3" s="1" t="s">
        <v>1</v>
      </c>
      <c r="B3" s="2">
        <f>AI4</f>
        <v>45413</v>
      </c>
      <c r="C3" s="2">
        <f t="shared" ref="C3:AF3" si="0">B3+1</f>
        <v>45414</v>
      </c>
      <c r="D3" s="2">
        <f t="shared" si="0"/>
        <v>45415</v>
      </c>
      <c r="E3" s="2">
        <f t="shared" si="0"/>
        <v>45416</v>
      </c>
      <c r="F3" s="2">
        <f t="shared" si="0"/>
        <v>45417</v>
      </c>
      <c r="G3" s="2">
        <f t="shared" si="0"/>
        <v>45418</v>
      </c>
      <c r="H3" s="2">
        <f t="shared" si="0"/>
        <v>45419</v>
      </c>
      <c r="I3" s="2">
        <f>H3+1</f>
        <v>45420</v>
      </c>
      <c r="J3" s="2">
        <f t="shared" si="0"/>
        <v>45421</v>
      </c>
      <c r="K3" s="2">
        <f t="shared" si="0"/>
        <v>45422</v>
      </c>
      <c r="L3" s="2">
        <f t="shared" si="0"/>
        <v>45423</v>
      </c>
      <c r="M3" s="2">
        <f t="shared" si="0"/>
        <v>45424</v>
      </c>
      <c r="N3" s="2">
        <f t="shared" si="0"/>
        <v>45425</v>
      </c>
      <c r="O3" s="2">
        <f t="shared" si="0"/>
        <v>45426</v>
      </c>
      <c r="P3" s="2">
        <f t="shared" si="0"/>
        <v>45427</v>
      </c>
      <c r="Q3" s="2">
        <f t="shared" si="0"/>
        <v>45428</v>
      </c>
      <c r="R3" s="2">
        <f t="shared" si="0"/>
        <v>45429</v>
      </c>
      <c r="S3" s="2">
        <f t="shared" si="0"/>
        <v>45430</v>
      </c>
      <c r="T3" s="2">
        <f t="shared" si="0"/>
        <v>45431</v>
      </c>
      <c r="U3" s="2">
        <f t="shared" si="0"/>
        <v>45432</v>
      </c>
      <c r="V3" s="2">
        <f t="shared" si="0"/>
        <v>45433</v>
      </c>
      <c r="W3" s="2">
        <f t="shared" si="0"/>
        <v>45434</v>
      </c>
      <c r="X3" s="2">
        <f t="shared" si="0"/>
        <v>45435</v>
      </c>
      <c r="Y3" s="2">
        <f t="shared" si="0"/>
        <v>45436</v>
      </c>
      <c r="Z3" s="2">
        <f t="shared" si="0"/>
        <v>45437</v>
      </c>
      <c r="AA3" s="2">
        <f t="shared" si="0"/>
        <v>45438</v>
      </c>
      <c r="AB3" s="2">
        <f t="shared" si="0"/>
        <v>45439</v>
      </c>
      <c r="AC3" s="2">
        <f t="shared" si="0"/>
        <v>45440</v>
      </c>
      <c r="AD3" s="2">
        <f t="shared" si="0"/>
        <v>45441</v>
      </c>
      <c r="AE3" s="2">
        <f t="shared" si="0"/>
        <v>45442</v>
      </c>
      <c r="AF3" s="2">
        <f t="shared" si="0"/>
        <v>45443</v>
      </c>
      <c r="AG3" s="36"/>
      <c r="AH3" s="36"/>
      <c r="AM3" s="122" t="s">
        <v>267</v>
      </c>
      <c r="AN3" s="123"/>
      <c r="AO3" s="123"/>
      <c r="AP3" s="123"/>
      <c r="AQ3" s="123"/>
      <c r="AR3" s="124"/>
    </row>
    <row r="4" spans="1:44" ht="31.5" customHeight="1" x14ac:dyDescent="0.35">
      <c r="A4" s="3" t="s">
        <v>2</v>
      </c>
      <c r="B4" s="4">
        <f t="shared" ref="B4:AF4" si="1">B3</f>
        <v>45413</v>
      </c>
      <c r="C4" s="4">
        <f t="shared" si="1"/>
        <v>45414</v>
      </c>
      <c r="D4" s="4">
        <f t="shared" si="1"/>
        <v>45415</v>
      </c>
      <c r="E4" s="4">
        <f t="shared" si="1"/>
        <v>45416</v>
      </c>
      <c r="F4" s="4">
        <f t="shared" si="1"/>
        <v>45417</v>
      </c>
      <c r="G4" s="4">
        <f t="shared" si="1"/>
        <v>45418</v>
      </c>
      <c r="H4" s="4">
        <f t="shared" si="1"/>
        <v>45419</v>
      </c>
      <c r="I4" s="4">
        <f t="shared" si="1"/>
        <v>45420</v>
      </c>
      <c r="J4" s="4">
        <f t="shared" si="1"/>
        <v>45421</v>
      </c>
      <c r="K4" s="4">
        <f t="shared" si="1"/>
        <v>45422</v>
      </c>
      <c r="L4" s="4">
        <f t="shared" si="1"/>
        <v>45423</v>
      </c>
      <c r="M4" s="4">
        <f t="shared" si="1"/>
        <v>45424</v>
      </c>
      <c r="N4" s="4">
        <f t="shared" si="1"/>
        <v>45425</v>
      </c>
      <c r="O4" s="4">
        <f t="shared" si="1"/>
        <v>45426</v>
      </c>
      <c r="P4" s="4">
        <f t="shared" si="1"/>
        <v>45427</v>
      </c>
      <c r="Q4" s="4">
        <f t="shared" si="1"/>
        <v>45428</v>
      </c>
      <c r="R4" s="4">
        <f t="shared" si="1"/>
        <v>45429</v>
      </c>
      <c r="S4" s="4">
        <f t="shared" si="1"/>
        <v>45430</v>
      </c>
      <c r="T4" s="4">
        <f t="shared" si="1"/>
        <v>45431</v>
      </c>
      <c r="U4" s="4">
        <f t="shared" si="1"/>
        <v>45432</v>
      </c>
      <c r="V4" s="4">
        <f t="shared" si="1"/>
        <v>45433</v>
      </c>
      <c r="W4" s="4">
        <f t="shared" si="1"/>
        <v>45434</v>
      </c>
      <c r="X4" s="4">
        <f t="shared" si="1"/>
        <v>45435</v>
      </c>
      <c r="Y4" s="4">
        <f t="shared" si="1"/>
        <v>45436</v>
      </c>
      <c r="Z4" s="4">
        <f t="shared" si="1"/>
        <v>45437</v>
      </c>
      <c r="AA4" s="4">
        <f t="shared" si="1"/>
        <v>45438</v>
      </c>
      <c r="AB4" s="4">
        <f t="shared" si="1"/>
        <v>45439</v>
      </c>
      <c r="AC4" s="4">
        <f t="shared" si="1"/>
        <v>45440</v>
      </c>
      <c r="AD4" s="4">
        <f t="shared" si="1"/>
        <v>45441</v>
      </c>
      <c r="AE4" s="4">
        <f t="shared" si="1"/>
        <v>45442</v>
      </c>
      <c r="AF4" s="4">
        <f t="shared" si="1"/>
        <v>45443</v>
      </c>
      <c r="AG4" s="39" t="s">
        <v>174</v>
      </c>
      <c r="AH4" s="40" t="s">
        <v>175</v>
      </c>
      <c r="AI4" s="5">
        <v>45413</v>
      </c>
      <c r="AJ4" s="6">
        <f>EOMONTH(AI4,0)</f>
        <v>45443</v>
      </c>
      <c r="AM4" s="19" t="s">
        <v>54</v>
      </c>
      <c r="AN4" s="19" t="s">
        <v>269</v>
      </c>
      <c r="AO4" s="19" t="s">
        <v>55</v>
      </c>
      <c r="AP4" s="19" t="s">
        <v>56</v>
      </c>
      <c r="AQ4" s="19" t="s">
        <v>251</v>
      </c>
      <c r="AR4" s="19" t="s">
        <v>57</v>
      </c>
    </row>
    <row r="5" spans="1:44" x14ac:dyDescent="0.35">
      <c r="A5" s="7" t="s">
        <v>3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78"/>
      <c r="Y5" s="55"/>
      <c r="Z5" s="55"/>
      <c r="AA5" s="55"/>
      <c r="AB5" s="55"/>
      <c r="AC5" s="55"/>
      <c r="AD5" s="55"/>
      <c r="AE5" s="55"/>
      <c r="AF5" s="55" t="s">
        <v>91</v>
      </c>
      <c r="AG5" s="41">
        <f>COUNTA(B5:AF5)</f>
        <v>1</v>
      </c>
      <c r="AH5" s="42">
        <f>AG5*100/30</f>
        <v>3.3333333333333335</v>
      </c>
      <c r="AM5" s="76" t="s">
        <v>580</v>
      </c>
      <c r="AN5" s="56"/>
      <c r="AO5" s="56"/>
      <c r="AP5" s="56"/>
      <c r="AQ5" s="57"/>
      <c r="AR5" s="20"/>
    </row>
    <row r="6" spans="1:44" x14ac:dyDescent="0.35">
      <c r="A6" s="7" t="s">
        <v>7</v>
      </c>
      <c r="B6" s="55" t="s">
        <v>569</v>
      </c>
      <c r="C6" s="55" t="s">
        <v>567</v>
      </c>
      <c r="D6" s="55" t="s">
        <v>567</v>
      </c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78"/>
      <c r="Y6" s="55"/>
      <c r="Z6" s="55"/>
      <c r="AA6" s="55" t="s">
        <v>249</v>
      </c>
      <c r="AB6" s="55" t="s">
        <v>249</v>
      </c>
      <c r="AC6" s="55" t="s">
        <v>249</v>
      </c>
      <c r="AD6" s="55"/>
      <c r="AE6" s="55" t="s">
        <v>594</v>
      </c>
      <c r="AF6" s="55" t="s">
        <v>594</v>
      </c>
      <c r="AG6" s="41">
        <f t="shared" ref="AG6:AG11" si="2">COUNTA(B6:AF6)</f>
        <v>8</v>
      </c>
      <c r="AH6" s="42">
        <f t="shared" ref="AH6:AH11" si="3">AG6*100/30</f>
        <v>26.666666666666668</v>
      </c>
      <c r="AM6" s="76" t="s">
        <v>480</v>
      </c>
      <c r="AN6" s="56"/>
      <c r="AO6" s="56"/>
      <c r="AP6" s="56"/>
      <c r="AQ6" s="57"/>
      <c r="AR6" s="20"/>
    </row>
    <row r="7" spans="1:44" x14ac:dyDescent="0.35">
      <c r="A7" s="7" t="s">
        <v>11</v>
      </c>
      <c r="B7" s="55" t="s">
        <v>568</v>
      </c>
      <c r="C7" s="55" t="s">
        <v>567</v>
      </c>
      <c r="D7" s="55" t="s">
        <v>567</v>
      </c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 t="s">
        <v>592</v>
      </c>
      <c r="V7" s="55"/>
      <c r="W7" s="55"/>
      <c r="X7" s="78"/>
      <c r="Y7" s="55"/>
      <c r="Z7" s="55"/>
      <c r="AA7" s="55" t="s">
        <v>124</v>
      </c>
      <c r="AB7" s="55" t="s">
        <v>124</v>
      </c>
      <c r="AC7" s="55" t="s">
        <v>124</v>
      </c>
      <c r="AD7" s="55" t="s">
        <v>124</v>
      </c>
      <c r="AE7" s="55" t="s">
        <v>124</v>
      </c>
      <c r="AF7" s="55" t="s">
        <v>124</v>
      </c>
      <c r="AG7" s="41">
        <f t="shared" si="2"/>
        <v>10</v>
      </c>
      <c r="AH7" s="42">
        <f t="shared" si="3"/>
        <v>33.333333333333336</v>
      </c>
      <c r="AM7" s="76" t="s">
        <v>577</v>
      </c>
      <c r="AN7" s="56"/>
      <c r="AO7" s="56"/>
      <c r="AP7" s="56"/>
      <c r="AQ7" s="57"/>
      <c r="AR7" s="20"/>
    </row>
    <row r="8" spans="1:44" ht="15" customHeight="1" x14ac:dyDescent="0.35">
      <c r="A8" s="7" t="s">
        <v>15</v>
      </c>
      <c r="B8" s="55" t="s">
        <v>568</v>
      </c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 t="s">
        <v>592</v>
      </c>
      <c r="V8" s="55"/>
      <c r="W8" s="55"/>
      <c r="X8" s="78"/>
      <c r="Y8" s="55"/>
      <c r="Z8" s="55"/>
      <c r="AA8" s="55" t="s">
        <v>124</v>
      </c>
      <c r="AB8" s="55" t="s">
        <v>124</v>
      </c>
      <c r="AC8" s="55" t="s">
        <v>124</v>
      </c>
      <c r="AD8" s="55" t="s">
        <v>124</v>
      </c>
      <c r="AE8" s="55" t="s">
        <v>124</v>
      </c>
      <c r="AF8" s="55" t="s">
        <v>124</v>
      </c>
      <c r="AG8" s="41">
        <f t="shared" si="2"/>
        <v>8</v>
      </c>
      <c r="AH8" s="42">
        <f t="shared" si="3"/>
        <v>26.666666666666668</v>
      </c>
      <c r="AK8" s="9"/>
      <c r="AM8" s="30" t="s">
        <v>597</v>
      </c>
      <c r="AN8" s="56"/>
      <c r="AO8" s="56"/>
      <c r="AP8" s="56"/>
      <c r="AQ8" s="57"/>
      <c r="AR8" s="20"/>
    </row>
    <row r="9" spans="1:44" ht="15.75" customHeight="1" x14ac:dyDescent="0.35">
      <c r="A9" s="7" t="s">
        <v>18</v>
      </c>
      <c r="B9" s="55" t="s">
        <v>574</v>
      </c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78"/>
      <c r="Y9" s="55"/>
      <c r="Z9" s="55"/>
      <c r="AA9" s="55" t="s">
        <v>124</v>
      </c>
      <c r="AB9" s="55" t="s">
        <v>124</v>
      </c>
      <c r="AC9" s="55" t="s">
        <v>124</v>
      </c>
      <c r="AD9" s="55" t="s">
        <v>124</v>
      </c>
      <c r="AE9" s="55" t="s">
        <v>124</v>
      </c>
      <c r="AF9" s="55" t="s">
        <v>124</v>
      </c>
      <c r="AG9" s="41">
        <f t="shared" si="2"/>
        <v>7</v>
      </c>
      <c r="AH9" s="42">
        <f t="shared" si="3"/>
        <v>23.333333333333332</v>
      </c>
      <c r="AM9" s="20"/>
      <c r="AN9" s="56"/>
      <c r="AO9" s="56"/>
      <c r="AP9" s="56"/>
      <c r="AQ9" s="57"/>
      <c r="AR9" s="20"/>
    </row>
    <row r="10" spans="1:44" ht="15.75" customHeight="1" x14ac:dyDescent="0.35">
      <c r="A10" s="7" t="s">
        <v>20</v>
      </c>
      <c r="B10" s="55" t="s">
        <v>568</v>
      </c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 t="s">
        <v>574</v>
      </c>
      <c r="S10" s="55" t="s">
        <v>574</v>
      </c>
      <c r="T10" s="55" t="s">
        <v>574</v>
      </c>
      <c r="U10" s="55" t="s">
        <v>574</v>
      </c>
      <c r="V10" s="55" t="s">
        <v>574</v>
      </c>
      <c r="W10" s="55" t="s">
        <v>574</v>
      </c>
      <c r="X10" s="78"/>
      <c r="Y10" s="55"/>
      <c r="Z10" s="55"/>
      <c r="AA10" s="55" t="s">
        <v>124</v>
      </c>
      <c r="AB10" s="55" t="s">
        <v>124</v>
      </c>
      <c r="AC10" s="55" t="s">
        <v>124</v>
      </c>
      <c r="AD10" s="55" t="s">
        <v>124</v>
      </c>
      <c r="AE10" s="55" t="s">
        <v>124</v>
      </c>
      <c r="AF10" s="55" t="s">
        <v>124</v>
      </c>
      <c r="AG10" s="41">
        <f t="shared" si="2"/>
        <v>13</v>
      </c>
      <c r="AH10" s="42">
        <f t="shared" si="3"/>
        <v>43.333333333333336</v>
      </c>
      <c r="AM10" s="20"/>
      <c r="AN10" s="56"/>
      <c r="AO10" s="56"/>
      <c r="AP10" s="56"/>
      <c r="AQ10" s="57"/>
      <c r="AR10" s="20"/>
    </row>
    <row r="11" spans="1:44" ht="15.75" customHeight="1" thickBot="1" x14ac:dyDescent="0.4">
      <c r="A11" s="7" t="s">
        <v>24</v>
      </c>
      <c r="B11" s="55" t="s">
        <v>568</v>
      </c>
      <c r="C11" s="55" t="s">
        <v>585</v>
      </c>
      <c r="D11" s="55" t="s">
        <v>585</v>
      </c>
      <c r="E11" s="55" t="s">
        <v>585</v>
      </c>
      <c r="F11" s="55" t="s">
        <v>585</v>
      </c>
      <c r="G11" s="55" t="s">
        <v>585</v>
      </c>
      <c r="H11" s="55" t="s">
        <v>585</v>
      </c>
      <c r="I11" s="55" t="s">
        <v>585</v>
      </c>
      <c r="J11" s="55" t="s">
        <v>585</v>
      </c>
      <c r="K11" s="55" t="s">
        <v>585</v>
      </c>
      <c r="L11" s="55" t="s">
        <v>585</v>
      </c>
      <c r="M11" s="55" t="s">
        <v>585</v>
      </c>
      <c r="N11" s="55" t="s">
        <v>585</v>
      </c>
      <c r="O11" s="55" t="s">
        <v>585</v>
      </c>
      <c r="P11" s="55" t="s">
        <v>585</v>
      </c>
      <c r="Q11" s="55" t="s">
        <v>585</v>
      </c>
      <c r="R11" s="55" t="s">
        <v>585</v>
      </c>
      <c r="S11" s="55"/>
      <c r="T11" s="55"/>
      <c r="U11" s="55"/>
      <c r="V11" s="55"/>
      <c r="W11" s="55"/>
      <c r="X11" s="78"/>
      <c r="Y11" s="55"/>
      <c r="Z11" s="55"/>
      <c r="AA11" s="55" t="s">
        <v>477</v>
      </c>
      <c r="AB11" s="55"/>
      <c r="AC11" s="55" t="s">
        <v>578</v>
      </c>
      <c r="AD11" s="55" t="s">
        <v>578</v>
      </c>
      <c r="AE11" s="55" t="s">
        <v>578</v>
      </c>
      <c r="AF11" s="55" t="s">
        <v>600</v>
      </c>
      <c r="AG11" s="41">
        <f t="shared" si="2"/>
        <v>22</v>
      </c>
      <c r="AH11" s="42">
        <f t="shared" si="3"/>
        <v>73.333333333333329</v>
      </c>
      <c r="AM11" s="20"/>
      <c r="AN11" s="20"/>
      <c r="AO11" s="20"/>
      <c r="AP11" s="20"/>
      <c r="AQ11" s="20"/>
      <c r="AR11" s="20"/>
    </row>
    <row r="12" spans="1:44" ht="15" customHeight="1" x14ac:dyDescent="0.35">
      <c r="A12" s="45" t="s">
        <v>176</v>
      </c>
      <c r="B12" s="46">
        <f>COUNTA(B5:B11)</f>
        <v>6</v>
      </c>
      <c r="C12" s="46">
        <f>COUNTA(C5:C11)</f>
        <v>3</v>
      </c>
      <c r="D12" s="46">
        <f t="shared" ref="D12:AF12" si="4">COUNTA(D5:D11)</f>
        <v>3</v>
      </c>
      <c r="E12" s="46">
        <f t="shared" si="4"/>
        <v>1</v>
      </c>
      <c r="F12" s="46">
        <f t="shared" si="4"/>
        <v>1</v>
      </c>
      <c r="G12" s="46">
        <f t="shared" si="4"/>
        <v>1</v>
      </c>
      <c r="H12" s="46">
        <f t="shared" si="4"/>
        <v>1</v>
      </c>
      <c r="I12" s="46">
        <f t="shared" si="4"/>
        <v>1</v>
      </c>
      <c r="J12" s="46">
        <f t="shared" si="4"/>
        <v>1</v>
      </c>
      <c r="K12" s="46">
        <f t="shared" si="4"/>
        <v>1</v>
      </c>
      <c r="L12" s="46">
        <f t="shared" si="4"/>
        <v>1</v>
      </c>
      <c r="M12" s="46">
        <f t="shared" si="4"/>
        <v>1</v>
      </c>
      <c r="N12" s="46">
        <f t="shared" si="4"/>
        <v>1</v>
      </c>
      <c r="O12" s="46">
        <f t="shared" si="4"/>
        <v>1</v>
      </c>
      <c r="P12" s="46">
        <f t="shared" si="4"/>
        <v>1</v>
      </c>
      <c r="Q12" s="46">
        <f t="shared" si="4"/>
        <v>1</v>
      </c>
      <c r="R12" s="46">
        <f t="shared" si="4"/>
        <v>2</v>
      </c>
      <c r="S12" s="46">
        <f t="shared" si="4"/>
        <v>1</v>
      </c>
      <c r="T12" s="46">
        <f>COUNTA(T5:T11)</f>
        <v>1</v>
      </c>
      <c r="U12" s="46">
        <f t="shared" si="4"/>
        <v>3</v>
      </c>
      <c r="V12" s="46">
        <f t="shared" si="4"/>
        <v>1</v>
      </c>
      <c r="W12" s="46">
        <f t="shared" si="4"/>
        <v>1</v>
      </c>
      <c r="X12" s="46">
        <f t="shared" si="4"/>
        <v>0</v>
      </c>
      <c r="Y12" s="46">
        <f t="shared" si="4"/>
        <v>0</v>
      </c>
      <c r="Z12" s="46">
        <f t="shared" si="4"/>
        <v>0</v>
      </c>
      <c r="AA12" s="46">
        <f t="shared" si="4"/>
        <v>6</v>
      </c>
      <c r="AB12" s="46">
        <f t="shared" si="4"/>
        <v>5</v>
      </c>
      <c r="AC12" s="46">
        <f t="shared" si="4"/>
        <v>6</v>
      </c>
      <c r="AD12" s="46">
        <f t="shared" si="4"/>
        <v>5</v>
      </c>
      <c r="AE12" s="46">
        <f t="shared" si="4"/>
        <v>6</v>
      </c>
      <c r="AF12" s="46">
        <f t="shared" si="4"/>
        <v>7</v>
      </c>
      <c r="AG12" s="43">
        <f t="shared" ref="AG12" si="5">SUM(AG5:AG11)</f>
        <v>69</v>
      </c>
      <c r="AH12" s="44">
        <f>AVERAGE(AH5:AH11)</f>
        <v>32.857142857142854</v>
      </c>
      <c r="AI12" s="29"/>
      <c r="AM12" s="20"/>
      <c r="AN12" s="20"/>
      <c r="AO12" s="20"/>
      <c r="AP12" s="20"/>
      <c r="AQ12" s="20"/>
      <c r="AR12" s="20"/>
    </row>
    <row r="13" spans="1:44" ht="85.5" hidden="1" x14ac:dyDescent="0.35">
      <c r="A13" s="13" t="s">
        <v>28</v>
      </c>
      <c r="B13" s="14"/>
      <c r="C13" s="14"/>
      <c r="D13" s="14"/>
      <c r="E13" s="14"/>
      <c r="F13" s="14"/>
      <c r="G13" s="14"/>
      <c r="H13" s="14"/>
      <c r="I13" s="35"/>
      <c r="J13" s="34"/>
      <c r="K13" s="15"/>
      <c r="L13" s="14"/>
      <c r="M13" s="14"/>
      <c r="N13" s="25"/>
      <c r="O13" s="25"/>
      <c r="P13" s="25"/>
      <c r="Q13" s="14"/>
      <c r="R13" s="14"/>
      <c r="S13" s="14"/>
      <c r="T13" s="14"/>
      <c r="U13" s="14"/>
      <c r="V13" s="15"/>
      <c r="W13" s="15"/>
      <c r="X13" s="14"/>
      <c r="Y13" s="14"/>
      <c r="Z13" s="14"/>
      <c r="AA13" s="14"/>
      <c r="AB13" s="14"/>
      <c r="AC13" s="14"/>
      <c r="AD13" s="14"/>
      <c r="AE13" s="14"/>
      <c r="AF13" s="14"/>
      <c r="AG13" s="37"/>
      <c r="AH13" s="37"/>
      <c r="AM13" s="20"/>
      <c r="AN13" s="20"/>
      <c r="AO13" s="20"/>
      <c r="AP13" s="20"/>
      <c r="AQ13" s="20"/>
      <c r="AR13" s="20"/>
    </row>
    <row r="14" spans="1:44" ht="28.5" hidden="1" x14ac:dyDescent="0.35">
      <c r="A14" s="16" t="s">
        <v>29</v>
      </c>
      <c r="B14" s="14"/>
      <c r="C14" s="14"/>
      <c r="D14" s="14"/>
      <c r="E14" s="14"/>
      <c r="F14" s="14"/>
      <c r="G14" s="14"/>
      <c r="H14" s="14"/>
      <c r="I14" s="35"/>
      <c r="J14" s="34"/>
      <c r="K14" s="15"/>
      <c r="L14" s="14"/>
      <c r="M14" s="14"/>
      <c r="N14" s="25"/>
      <c r="O14" s="25"/>
      <c r="P14" s="25"/>
      <c r="Q14" s="14"/>
      <c r="R14" s="14"/>
      <c r="S14" s="14"/>
      <c r="T14" s="14"/>
      <c r="U14" s="14"/>
      <c r="V14" s="15"/>
      <c r="W14" s="15"/>
      <c r="X14" s="14"/>
      <c r="Y14" s="14"/>
      <c r="Z14" s="14"/>
      <c r="AA14" s="14"/>
      <c r="AB14" s="14"/>
      <c r="AC14" s="14"/>
      <c r="AD14" s="14"/>
      <c r="AE14" s="14"/>
      <c r="AF14" s="14"/>
      <c r="AG14" s="37"/>
      <c r="AH14" s="37"/>
      <c r="AM14" s="20"/>
      <c r="AN14" s="20"/>
      <c r="AO14" s="20"/>
      <c r="AP14" s="20"/>
      <c r="AQ14" s="20"/>
      <c r="AR14" s="20"/>
    </row>
    <row r="15" spans="1:44" x14ac:dyDescent="0.35">
      <c r="A15" s="7" t="s">
        <v>30</v>
      </c>
      <c r="B15" s="55" t="s">
        <v>574</v>
      </c>
      <c r="C15" s="8"/>
      <c r="D15" s="8" t="s">
        <v>565</v>
      </c>
      <c r="E15" s="8" t="s">
        <v>565</v>
      </c>
      <c r="F15" s="8" t="s">
        <v>565</v>
      </c>
      <c r="G15" s="8" t="s">
        <v>565</v>
      </c>
      <c r="H15" s="8" t="s">
        <v>565</v>
      </c>
      <c r="I15" s="8" t="s">
        <v>565</v>
      </c>
      <c r="J15" s="8" t="s">
        <v>565</v>
      </c>
      <c r="K15" s="8" t="s">
        <v>565</v>
      </c>
      <c r="L15" s="8"/>
      <c r="M15" s="8"/>
      <c r="N15" s="8"/>
      <c r="O15" s="8"/>
      <c r="P15" s="8"/>
      <c r="Q15" s="8"/>
      <c r="R15" s="8" t="s">
        <v>587</v>
      </c>
      <c r="S15" s="8" t="s">
        <v>587</v>
      </c>
      <c r="T15" s="8" t="s">
        <v>587</v>
      </c>
      <c r="U15" s="8" t="s">
        <v>587</v>
      </c>
      <c r="V15" s="8" t="s">
        <v>587</v>
      </c>
      <c r="W15" s="8" t="s">
        <v>587</v>
      </c>
      <c r="X15" s="8" t="s">
        <v>587</v>
      </c>
      <c r="Y15" s="55" t="s">
        <v>587</v>
      </c>
      <c r="Z15" s="55"/>
      <c r="AA15" s="55" t="s">
        <v>582</v>
      </c>
      <c r="AB15" s="55" t="s">
        <v>582</v>
      </c>
      <c r="AC15" s="55" t="s">
        <v>582</v>
      </c>
      <c r="AD15" s="55" t="s">
        <v>596</v>
      </c>
      <c r="AE15" s="55" t="s">
        <v>596</v>
      </c>
      <c r="AF15" s="79" t="s">
        <v>595</v>
      </c>
      <c r="AG15" s="41">
        <f>COUNTA(B15:AF15)</f>
        <v>23</v>
      </c>
      <c r="AH15" s="42">
        <f>AG15*100/30</f>
        <v>76.666666666666671</v>
      </c>
      <c r="AM15" s="20"/>
      <c r="AN15" s="20"/>
      <c r="AO15" s="20"/>
      <c r="AP15" s="20"/>
      <c r="AQ15" s="20"/>
      <c r="AR15" s="20"/>
    </row>
    <row r="16" spans="1:44" x14ac:dyDescent="0.35">
      <c r="A16" s="7" t="s">
        <v>35</v>
      </c>
      <c r="B16" s="55" t="s">
        <v>570</v>
      </c>
      <c r="C16" s="55" t="s">
        <v>567</v>
      </c>
      <c r="D16" s="55" t="s">
        <v>567</v>
      </c>
      <c r="E16" s="54"/>
      <c r="F16" s="54"/>
      <c r="G16" s="54"/>
      <c r="H16" s="54"/>
      <c r="I16" s="54"/>
      <c r="J16" s="54"/>
      <c r="K16" s="54"/>
      <c r="L16" s="54"/>
      <c r="M16" s="8"/>
      <c r="N16" s="8"/>
      <c r="O16" s="8"/>
      <c r="P16" s="8"/>
      <c r="Q16" s="8"/>
      <c r="R16" s="8" t="s">
        <v>587</v>
      </c>
      <c r="S16" s="8" t="s">
        <v>587</v>
      </c>
      <c r="T16" s="8" t="s">
        <v>587</v>
      </c>
      <c r="U16" s="8" t="s">
        <v>587</v>
      </c>
      <c r="V16" s="8" t="s">
        <v>587</v>
      </c>
      <c r="W16" s="8" t="s">
        <v>587</v>
      </c>
      <c r="X16" s="8" t="s">
        <v>587</v>
      </c>
      <c r="Y16" s="55" t="s">
        <v>587</v>
      </c>
      <c r="Z16" s="55"/>
      <c r="AA16" s="55" t="s">
        <v>579</v>
      </c>
      <c r="AB16" s="55" t="s">
        <v>579</v>
      </c>
      <c r="AC16" s="55" t="s">
        <v>579</v>
      </c>
      <c r="AD16" s="55" t="s">
        <v>581</v>
      </c>
      <c r="AE16" s="55" t="s">
        <v>581</v>
      </c>
      <c r="AF16" s="79" t="s">
        <v>338</v>
      </c>
      <c r="AG16" s="41">
        <f t="shared" ref="AG16:AG22" si="6">COUNTA(B16:AF16)</f>
        <v>17</v>
      </c>
      <c r="AH16" s="42">
        <f t="shared" ref="AH16:AH22" si="7">AG16*100/30</f>
        <v>56.666666666666664</v>
      </c>
      <c r="AM16" s="20"/>
      <c r="AN16" s="20"/>
      <c r="AO16" s="56"/>
      <c r="AP16" s="56"/>
      <c r="AQ16" s="20"/>
      <c r="AR16" s="20"/>
    </row>
    <row r="17" spans="1:50" x14ac:dyDescent="0.35">
      <c r="A17" s="7" t="s">
        <v>39</v>
      </c>
      <c r="B17" s="54"/>
      <c r="C17" s="54"/>
      <c r="D17" s="54"/>
      <c r="E17" s="54"/>
      <c r="F17" s="54"/>
      <c r="G17" s="54"/>
      <c r="H17" s="54"/>
      <c r="I17" s="54"/>
      <c r="J17" s="8"/>
      <c r="K17" s="8"/>
      <c r="L17" s="8"/>
      <c r="M17" s="8"/>
      <c r="N17" s="8"/>
      <c r="O17" s="8"/>
      <c r="P17" s="8"/>
      <c r="Q17" s="8"/>
      <c r="R17" s="8" t="s">
        <v>587</v>
      </c>
      <c r="S17" s="8" t="s">
        <v>587</v>
      </c>
      <c r="T17" s="8" t="s">
        <v>587</v>
      </c>
      <c r="U17" s="8" t="s">
        <v>587</v>
      </c>
      <c r="V17" s="8" t="s">
        <v>587</v>
      </c>
      <c r="W17" s="8" t="s">
        <v>587</v>
      </c>
      <c r="X17" s="8" t="s">
        <v>587</v>
      </c>
      <c r="Y17" s="55" t="s">
        <v>587</v>
      </c>
      <c r="Z17" s="55"/>
      <c r="AA17" s="55" t="s">
        <v>422</v>
      </c>
      <c r="AB17" s="55" t="s">
        <v>422</v>
      </c>
      <c r="AC17" s="55" t="s">
        <v>422</v>
      </c>
      <c r="AD17" s="55" t="s">
        <v>422</v>
      </c>
      <c r="AE17" s="55" t="s">
        <v>422</v>
      </c>
      <c r="AF17" s="55" t="s">
        <v>422</v>
      </c>
      <c r="AG17" s="41">
        <f t="shared" si="6"/>
        <v>14</v>
      </c>
      <c r="AH17" s="42">
        <f t="shared" si="7"/>
        <v>46.666666666666664</v>
      </c>
      <c r="AM17" s="20"/>
      <c r="AN17" s="20"/>
      <c r="AO17" s="20"/>
      <c r="AP17" s="20"/>
      <c r="AQ17" s="20"/>
      <c r="AR17" s="20"/>
      <c r="AX17" s="58"/>
    </row>
    <row r="18" spans="1:50" x14ac:dyDescent="0.35">
      <c r="A18" s="7" t="s">
        <v>42</v>
      </c>
      <c r="B18" s="54"/>
      <c r="C18" s="54"/>
      <c r="D18" s="55" t="s">
        <v>566</v>
      </c>
      <c r="E18" s="55" t="s">
        <v>566</v>
      </c>
      <c r="F18" s="55" t="s">
        <v>566</v>
      </c>
      <c r="G18" s="55" t="s">
        <v>566</v>
      </c>
      <c r="H18" s="55" t="s">
        <v>566</v>
      </c>
      <c r="I18" s="55" t="s">
        <v>566</v>
      </c>
      <c r="J18" s="55" t="s">
        <v>566</v>
      </c>
      <c r="K18" s="55" t="s">
        <v>566</v>
      </c>
      <c r="L18" s="8"/>
      <c r="M18" s="8"/>
      <c r="N18" s="8" t="s">
        <v>586</v>
      </c>
      <c r="O18" s="8"/>
      <c r="P18" s="8"/>
      <c r="Q18" s="8"/>
      <c r="R18" s="8" t="s">
        <v>588</v>
      </c>
      <c r="S18" s="8" t="s">
        <v>589</v>
      </c>
      <c r="T18" s="8" t="s">
        <v>591</v>
      </c>
      <c r="U18" s="8" t="s">
        <v>593</v>
      </c>
      <c r="V18" s="8"/>
      <c r="W18" s="8"/>
      <c r="X18" s="77"/>
      <c r="Y18" s="55"/>
      <c r="Z18" s="55"/>
      <c r="AA18" s="55" t="s">
        <v>44</v>
      </c>
      <c r="AB18" s="55" t="s">
        <v>44</v>
      </c>
      <c r="AC18" s="55" t="s">
        <v>44</v>
      </c>
      <c r="AD18" s="55" t="s">
        <v>599</v>
      </c>
      <c r="AE18" s="55" t="s">
        <v>599</v>
      </c>
      <c r="AF18" s="55"/>
      <c r="AG18" s="41">
        <f t="shared" si="6"/>
        <v>18</v>
      </c>
      <c r="AH18" s="42">
        <f t="shared" si="7"/>
        <v>60</v>
      </c>
      <c r="AM18" s="20"/>
      <c r="AN18" s="20"/>
      <c r="AO18" s="20"/>
      <c r="AP18" s="20"/>
      <c r="AQ18" s="20"/>
      <c r="AR18" s="20"/>
      <c r="AX18" s="58"/>
    </row>
    <row r="19" spans="1:50" x14ac:dyDescent="0.35">
      <c r="A19" s="7" t="s">
        <v>45</v>
      </c>
      <c r="B19" s="55" t="s">
        <v>574</v>
      </c>
      <c r="C19" s="54"/>
      <c r="D19" s="54"/>
      <c r="E19" s="54"/>
      <c r="F19" s="54"/>
      <c r="G19" s="54"/>
      <c r="H19" s="54"/>
      <c r="I19" s="55" t="s">
        <v>312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77"/>
      <c r="Y19" s="55"/>
      <c r="Z19" s="55"/>
      <c r="AA19" s="55" t="s">
        <v>575</v>
      </c>
      <c r="AB19" s="55" t="s">
        <v>575</v>
      </c>
      <c r="AC19" s="55" t="s">
        <v>575</v>
      </c>
      <c r="AD19" s="55" t="s">
        <v>575</v>
      </c>
      <c r="AE19" s="55" t="s">
        <v>575</v>
      </c>
      <c r="AF19" s="55" t="s">
        <v>600</v>
      </c>
      <c r="AG19" s="41">
        <f t="shared" si="6"/>
        <v>8</v>
      </c>
      <c r="AH19" s="42">
        <f t="shared" si="7"/>
        <v>26.666666666666668</v>
      </c>
      <c r="AM19" s="20"/>
      <c r="AN19" s="20"/>
      <c r="AO19" s="20"/>
      <c r="AP19" s="20"/>
      <c r="AQ19" s="20"/>
      <c r="AR19" s="20"/>
      <c r="AX19" s="58"/>
    </row>
    <row r="20" spans="1:50" x14ac:dyDescent="0.35">
      <c r="A20" s="7" t="s">
        <v>47</v>
      </c>
      <c r="B20" s="55" t="s">
        <v>34</v>
      </c>
      <c r="C20" s="55" t="s">
        <v>34</v>
      </c>
      <c r="D20" s="55" t="s">
        <v>34</v>
      </c>
      <c r="E20" s="55" t="s">
        <v>34</v>
      </c>
      <c r="F20" s="55" t="s">
        <v>34</v>
      </c>
      <c r="G20" s="55" t="s">
        <v>34</v>
      </c>
      <c r="H20" s="55" t="s">
        <v>34</v>
      </c>
      <c r="I20" s="55" t="s">
        <v>34</v>
      </c>
      <c r="J20" s="55" t="s">
        <v>34</v>
      </c>
      <c r="K20" s="55" t="s">
        <v>34</v>
      </c>
      <c r="L20" s="55" t="s">
        <v>34</v>
      </c>
      <c r="M20" s="55" t="s">
        <v>34</v>
      </c>
      <c r="N20" s="55" t="s">
        <v>34</v>
      </c>
      <c r="O20" s="55" t="s">
        <v>34</v>
      </c>
      <c r="P20" s="55" t="s">
        <v>34</v>
      </c>
      <c r="Q20" s="55" t="s">
        <v>34</v>
      </c>
      <c r="R20" s="8" t="s">
        <v>313</v>
      </c>
      <c r="S20" s="8" t="s">
        <v>313</v>
      </c>
      <c r="T20" s="8" t="s">
        <v>313</v>
      </c>
      <c r="U20" s="8" t="s">
        <v>313</v>
      </c>
      <c r="V20" s="8" t="s">
        <v>313</v>
      </c>
      <c r="W20" s="8" t="s">
        <v>313</v>
      </c>
      <c r="X20" s="8" t="s">
        <v>313</v>
      </c>
      <c r="Y20" s="55" t="s">
        <v>313</v>
      </c>
      <c r="Z20" s="55" t="s">
        <v>313</v>
      </c>
      <c r="AA20" s="8" t="s">
        <v>313</v>
      </c>
      <c r="AB20" s="8" t="s">
        <v>313</v>
      </c>
      <c r="AC20" s="8" t="s">
        <v>313</v>
      </c>
      <c r="AD20" s="8" t="s">
        <v>313</v>
      </c>
      <c r="AE20" s="8" t="s">
        <v>313</v>
      </c>
      <c r="AF20" s="8" t="s">
        <v>313</v>
      </c>
      <c r="AG20" s="41">
        <f t="shared" si="6"/>
        <v>31</v>
      </c>
      <c r="AH20" s="42">
        <f t="shared" si="7"/>
        <v>103.33333333333333</v>
      </c>
      <c r="AM20" s="20"/>
      <c r="AN20" s="20"/>
      <c r="AO20" s="20"/>
      <c r="AP20" s="20"/>
      <c r="AQ20" s="20"/>
      <c r="AR20" s="20"/>
      <c r="AX20" s="58"/>
    </row>
    <row r="21" spans="1:50" x14ac:dyDescent="0.35">
      <c r="A21" s="7" t="s">
        <v>50</v>
      </c>
      <c r="B21" s="55" t="s">
        <v>385</v>
      </c>
      <c r="C21" s="55" t="s">
        <v>385</v>
      </c>
      <c r="D21" s="55" t="s">
        <v>385</v>
      </c>
      <c r="E21" s="55" t="s">
        <v>387</v>
      </c>
      <c r="F21" s="55" t="s">
        <v>387</v>
      </c>
      <c r="G21" s="55" t="s">
        <v>387</v>
      </c>
      <c r="H21" s="54"/>
      <c r="I21" s="54"/>
      <c r="J21" s="8"/>
      <c r="K21" s="8"/>
      <c r="L21" s="8"/>
      <c r="M21" s="8"/>
      <c r="N21" s="8"/>
      <c r="O21" s="8"/>
      <c r="P21" s="8" t="s">
        <v>134</v>
      </c>
      <c r="Q21" s="73" t="s">
        <v>584</v>
      </c>
      <c r="R21" s="73" t="s">
        <v>584</v>
      </c>
      <c r="S21" s="73" t="s">
        <v>584</v>
      </c>
      <c r="T21" s="73" t="s">
        <v>584</v>
      </c>
      <c r="U21" s="8" t="s">
        <v>584</v>
      </c>
      <c r="V21" s="8"/>
      <c r="W21" s="8"/>
      <c r="X21" s="77"/>
      <c r="Y21" s="55"/>
      <c r="Z21" s="55"/>
      <c r="AA21" s="55" t="s">
        <v>576</v>
      </c>
      <c r="AB21" s="55" t="s">
        <v>576</v>
      </c>
      <c r="AC21" s="55" t="s">
        <v>576</v>
      </c>
      <c r="AD21" s="55" t="s">
        <v>576</v>
      </c>
      <c r="AE21" s="55" t="s">
        <v>576</v>
      </c>
      <c r="AF21" s="55" t="s">
        <v>124</v>
      </c>
      <c r="AG21" s="41">
        <f t="shared" si="6"/>
        <v>18</v>
      </c>
      <c r="AH21" s="42">
        <f t="shared" si="7"/>
        <v>60</v>
      </c>
      <c r="AM21" s="20"/>
      <c r="AN21" s="20"/>
      <c r="AO21" s="20"/>
      <c r="AP21" s="20"/>
      <c r="AQ21" s="20"/>
      <c r="AR21" s="20"/>
      <c r="AX21" s="58"/>
    </row>
    <row r="22" spans="1:50" ht="15" thickBot="1" x14ac:dyDescent="0.4">
      <c r="A22" s="7" t="s">
        <v>51</v>
      </c>
      <c r="B22" s="54"/>
      <c r="C22" s="55" t="s">
        <v>557</v>
      </c>
      <c r="D22" s="54"/>
      <c r="E22" s="54"/>
      <c r="F22" s="54"/>
      <c r="G22" s="54"/>
      <c r="H22" s="54"/>
      <c r="I22" s="54"/>
      <c r="J22" s="8"/>
      <c r="K22" s="8"/>
      <c r="L22" s="8"/>
      <c r="M22" s="8"/>
      <c r="N22" s="8"/>
      <c r="O22" s="8"/>
      <c r="P22" s="8"/>
      <c r="Q22" s="8"/>
      <c r="R22" s="8"/>
      <c r="S22" s="8" t="s">
        <v>590</v>
      </c>
      <c r="T22" s="8" t="s">
        <v>590</v>
      </c>
      <c r="U22" s="8" t="s">
        <v>590</v>
      </c>
      <c r="V22" s="8" t="s">
        <v>590</v>
      </c>
      <c r="W22" s="8" t="s">
        <v>590</v>
      </c>
      <c r="X22" s="8" t="s">
        <v>590</v>
      </c>
      <c r="Y22" s="55" t="s">
        <v>590</v>
      </c>
      <c r="Z22" s="55" t="s">
        <v>590</v>
      </c>
      <c r="AA22" s="55" t="s">
        <v>124</v>
      </c>
      <c r="AB22" s="55" t="s">
        <v>124</v>
      </c>
      <c r="AC22" s="55" t="s">
        <v>124</v>
      </c>
      <c r="AD22" s="55" t="s">
        <v>124</v>
      </c>
      <c r="AE22" s="55" t="s">
        <v>124</v>
      </c>
      <c r="AF22" s="55" t="s">
        <v>601</v>
      </c>
      <c r="AG22" s="41">
        <f t="shared" si="6"/>
        <v>15</v>
      </c>
      <c r="AH22" s="42">
        <f t="shared" si="7"/>
        <v>50</v>
      </c>
      <c r="AX22" s="58"/>
    </row>
    <row r="23" spans="1:50" ht="15.5" x14ac:dyDescent="0.35">
      <c r="A23" s="45" t="s">
        <v>176</v>
      </c>
      <c r="B23" s="46">
        <f>COUNTA(B15:B22)</f>
        <v>5</v>
      </c>
      <c r="C23" s="46">
        <f>COUNTA(C16:C22)</f>
        <v>4</v>
      </c>
      <c r="D23" s="46">
        <f>COUNTA(D16:D22)</f>
        <v>4</v>
      </c>
      <c r="E23" s="46">
        <f t="shared" ref="E23:AF23" si="8">COUNTA(E15:E22)</f>
        <v>4</v>
      </c>
      <c r="F23" s="46">
        <f t="shared" si="8"/>
        <v>4</v>
      </c>
      <c r="G23" s="46">
        <f t="shared" si="8"/>
        <v>4</v>
      </c>
      <c r="H23" s="46">
        <f t="shared" si="8"/>
        <v>3</v>
      </c>
      <c r="I23" s="46">
        <f t="shared" si="8"/>
        <v>4</v>
      </c>
      <c r="J23" s="46">
        <f t="shared" si="8"/>
        <v>3</v>
      </c>
      <c r="K23" s="46">
        <f t="shared" si="8"/>
        <v>3</v>
      </c>
      <c r="L23" s="46">
        <f t="shared" si="8"/>
        <v>1</v>
      </c>
      <c r="M23" s="46">
        <f t="shared" si="8"/>
        <v>1</v>
      </c>
      <c r="N23" s="46">
        <f t="shared" si="8"/>
        <v>2</v>
      </c>
      <c r="O23" s="46">
        <f t="shared" si="8"/>
        <v>1</v>
      </c>
      <c r="P23" s="46">
        <f t="shared" si="8"/>
        <v>2</v>
      </c>
      <c r="Q23" s="46">
        <f t="shared" si="8"/>
        <v>2</v>
      </c>
      <c r="R23" s="46">
        <f t="shared" si="8"/>
        <v>6</v>
      </c>
      <c r="S23" s="46">
        <f t="shared" si="8"/>
        <v>7</v>
      </c>
      <c r="T23" s="46">
        <f>COUNTA(T15:T22)</f>
        <v>7</v>
      </c>
      <c r="U23" s="46">
        <f t="shared" si="8"/>
        <v>7</v>
      </c>
      <c r="V23" s="46">
        <f t="shared" si="8"/>
        <v>5</v>
      </c>
      <c r="W23" s="46">
        <f t="shared" si="8"/>
        <v>5</v>
      </c>
      <c r="X23" s="46">
        <f t="shared" si="8"/>
        <v>5</v>
      </c>
      <c r="Y23" s="46">
        <f t="shared" si="8"/>
        <v>5</v>
      </c>
      <c r="Z23" s="46">
        <f t="shared" si="8"/>
        <v>2</v>
      </c>
      <c r="AA23" s="46">
        <f t="shared" si="8"/>
        <v>8</v>
      </c>
      <c r="AB23" s="46">
        <f t="shared" si="8"/>
        <v>8</v>
      </c>
      <c r="AC23" s="46">
        <f t="shared" si="8"/>
        <v>8</v>
      </c>
      <c r="AD23" s="46">
        <f t="shared" si="8"/>
        <v>8</v>
      </c>
      <c r="AE23" s="46">
        <f t="shared" si="8"/>
        <v>8</v>
      </c>
      <c r="AF23" s="46">
        <f t="shared" si="8"/>
        <v>7</v>
      </c>
      <c r="AG23" s="43">
        <f>SUM(AG15:AG22)</f>
        <v>144</v>
      </c>
      <c r="AH23" s="66">
        <f>AVERAGE(AH15:AH22)</f>
        <v>60</v>
      </c>
      <c r="AX23" s="58"/>
    </row>
    <row r="24" spans="1:50" ht="15.5" x14ac:dyDescent="0.35">
      <c r="A24" s="47" t="s">
        <v>178</v>
      </c>
      <c r="B24" s="52">
        <f>B12+B23</f>
        <v>11</v>
      </c>
      <c r="C24" s="52">
        <f t="shared" ref="C24:AF24" si="9">C12+C23</f>
        <v>7</v>
      </c>
      <c r="D24" s="52">
        <f t="shared" si="9"/>
        <v>7</v>
      </c>
      <c r="E24" s="52">
        <f t="shared" si="9"/>
        <v>5</v>
      </c>
      <c r="F24" s="52">
        <f t="shared" si="9"/>
        <v>5</v>
      </c>
      <c r="G24" s="52">
        <f t="shared" si="9"/>
        <v>5</v>
      </c>
      <c r="H24" s="52">
        <f t="shared" si="9"/>
        <v>4</v>
      </c>
      <c r="I24" s="52">
        <f t="shared" si="9"/>
        <v>5</v>
      </c>
      <c r="J24" s="52">
        <f t="shared" si="9"/>
        <v>4</v>
      </c>
      <c r="K24" s="52">
        <f t="shared" si="9"/>
        <v>4</v>
      </c>
      <c r="L24" s="52">
        <f t="shared" si="9"/>
        <v>2</v>
      </c>
      <c r="M24" s="52">
        <f t="shared" si="9"/>
        <v>2</v>
      </c>
      <c r="N24" s="52">
        <f t="shared" si="9"/>
        <v>3</v>
      </c>
      <c r="O24" s="52">
        <f t="shared" si="9"/>
        <v>2</v>
      </c>
      <c r="P24" s="52">
        <f t="shared" si="9"/>
        <v>3</v>
      </c>
      <c r="Q24" s="52">
        <f t="shared" si="9"/>
        <v>3</v>
      </c>
      <c r="R24" s="52">
        <f t="shared" si="9"/>
        <v>8</v>
      </c>
      <c r="S24" s="52">
        <f t="shared" si="9"/>
        <v>8</v>
      </c>
      <c r="T24" s="52">
        <f t="shared" si="9"/>
        <v>8</v>
      </c>
      <c r="U24" s="52">
        <f t="shared" si="9"/>
        <v>10</v>
      </c>
      <c r="V24" s="52">
        <f t="shared" si="9"/>
        <v>6</v>
      </c>
      <c r="W24" s="52">
        <f t="shared" si="9"/>
        <v>6</v>
      </c>
      <c r="X24" s="52">
        <f t="shared" si="9"/>
        <v>5</v>
      </c>
      <c r="Y24" s="52">
        <f t="shared" si="9"/>
        <v>5</v>
      </c>
      <c r="Z24" s="52">
        <f t="shared" si="9"/>
        <v>2</v>
      </c>
      <c r="AA24" s="52">
        <f t="shared" si="9"/>
        <v>14</v>
      </c>
      <c r="AB24" s="52">
        <f t="shared" si="9"/>
        <v>13</v>
      </c>
      <c r="AC24" s="52">
        <f t="shared" si="9"/>
        <v>14</v>
      </c>
      <c r="AD24" s="52">
        <f t="shared" si="9"/>
        <v>13</v>
      </c>
      <c r="AE24" s="52">
        <f t="shared" si="9"/>
        <v>14</v>
      </c>
      <c r="AF24" s="52">
        <f t="shared" si="9"/>
        <v>14</v>
      </c>
      <c r="AG24" s="49">
        <f>+AG12+AG23</f>
        <v>213</v>
      </c>
      <c r="AX24" s="58"/>
    </row>
    <row r="25" spans="1:50" ht="15.5" x14ac:dyDescent="0.35">
      <c r="A25" s="48" t="s">
        <v>179</v>
      </c>
      <c r="B25" s="42">
        <f>B24*100/15</f>
        <v>73.333333333333329</v>
      </c>
      <c r="C25" s="42">
        <f t="shared" ref="C25:AF25" si="10">C24*100/15</f>
        <v>46.666666666666664</v>
      </c>
      <c r="D25" s="42">
        <f t="shared" si="10"/>
        <v>46.666666666666664</v>
      </c>
      <c r="E25" s="42">
        <f t="shared" si="10"/>
        <v>33.333333333333336</v>
      </c>
      <c r="F25" s="42">
        <f t="shared" si="10"/>
        <v>33.333333333333336</v>
      </c>
      <c r="G25" s="42">
        <f t="shared" si="10"/>
        <v>33.333333333333336</v>
      </c>
      <c r="H25" s="42">
        <f t="shared" si="10"/>
        <v>26.666666666666668</v>
      </c>
      <c r="I25" s="42">
        <f t="shared" si="10"/>
        <v>33.333333333333336</v>
      </c>
      <c r="J25" s="42">
        <f t="shared" si="10"/>
        <v>26.666666666666668</v>
      </c>
      <c r="K25" s="42">
        <f t="shared" si="10"/>
        <v>26.666666666666668</v>
      </c>
      <c r="L25" s="42">
        <f t="shared" si="10"/>
        <v>13.333333333333334</v>
      </c>
      <c r="M25" s="42">
        <f t="shared" si="10"/>
        <v>13.333333333333334</v>
      </c>
      <c r="N25" s="42">
        <f t="shared" si="10"/>
        <v>20</v>
      </c>
      <c r="O25" s="42">
        <f t="shared" si="10"/>
        <v>13.333333333333334</v>
      </c>
      <c r="P25" s="42">
        <f t="shared" si="10"/>
        <v>20</v>
      </c>
      <c r="Q25" s="42">
        <f t="shared" si="10"/>
        <v>20</v>
      </c>
      <c r="R25" s="42">
        <f t="shared" si="10"/>
        <v>53.333333333333336</v>
      </c>
      <c r="S25" s="42">
        <f t="shared" si="10"/>
        <v>53.333333333333336</v>
      </c>
      <c r="T25" s="42">
        <f t="shared" si="10"/>
        <v>53.333333333333336</v>
      </c>
      <c r="U25" s="42">
        <f t="shared" si="10"/>
        <v>66.666666666666671</v>
      </c>
      <c r="V25" s="42">
        <f t="shared" si="10"/>
        <v>40</v>
      </c>
      <c r="W25" s="42">
        <f t="shared" si="10"/>
        <v>40</v>
      </c>
      <c r="X25" s="42">
        <f t="shared" si="10"/>
        <v>33.333333333333336</v>
      </c>
      <c r="Y25" s="42">
        <f t="shared" si="10"/>
        <v>33.333333333333336</v>
      </c>
      <c r="Z25" s="42">
        <f t="shared" si="10"/>
        <v>13.333333333333334</v>
      </c>
      <c r="AA25" s="42">
        <f t="shared" si="10"/>
        <v>93.333333333333329</v>
      </c>
      <c r="AB25" s="42">
        <f t="shared" si="10"/>
        <v>86.666666666666671</v>
      </c>
      <c r="AC25" s="42">
        <f t="shared" si="10"/>
        <v>93.333333333333329</v>
      </c>
      <c r="AD25" s="42">
        <f t="shared" si="10"/>
        <v>86.666666666666671</v>
      </c>
      <c r="AE25" s="42">
        <f t="shared" si="10"/>
        <v>93.333333333333329</v>
      </c>
      <c r="AF25" s="42">
        <f t="shared" si="10"/>
        <v>93.333333333333329</v>
      </c>
      <c r="AG25" s="50">
        <f>AVERAGE(B25:AE25)</f>
        <v>44.000000000000007</v>
      </c>
      <c r="AH25" s="51" t="s">
        <v>180</v>
      </c>
      <c r="AX25" s="58"/>
    </row>
    <row r="26" spans="1:50" x14ac:dyDescent="0.35">
      <c r="AX26" s="58"/>
    </row>
    <row r="27" spans="1:50" x14ac:dyDescent="0.35">
      <c r="P27" s="71"/>
      <c r="Q27" s="71"/>
    </row>
    <row r="28" spans="1:50" x14ac:dyDescent="0.35">
      <c r="P28" s="71"/>
      <c r="Q28" s="71"/>
    </row>
    <row r="29" spans="1:50" x14ac:dyDescent="0.35">
      <c r="P29" s="71"/>
      <c r="Q29" s="71"/>
    </row>
  </sheetData>
  <mergeCells count="2">
    <mergeCell ref="A1:AE1"/>
    <mergeCell ref="AM3:AR3"/>
  </mergeCells>
  <conditionalFormatting sqref="B9">
    <cfRule type="colorScale" priority="3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5">
    <cfRule type="colorScale" priority="3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9">
    <cfRule type="colorScale" priority="3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6:D16">
    <cfRule type="colorScale" priority="39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7:I17 C19:I19 B18:K18 B22 H21:I21 E16:L16 D22:I22 B21:D21">
    <cfRule type="colorScale" priority="7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20:Q20">
    <cfRule type="colorScale" priority="4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6:Y8 C9:Y9 Z8 Z11 B10:Y11 AD6 B5:AF5">
    <cfRule type="colorScale" priority="8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C22">
    <cfRule type="colorScale" priority="38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C15:K15">
    <cfRule type="colorScale" priority="50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E21:G21">
    <cfRule type="colorScale" priority="40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J19:Z19 J17:Z17 L18:Z18 J21:Z22 AD18:AE18 L15:AF15 M16:AF16 R20:AF20">
    <cfRule type="colorScale" priority="8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L13:U14 B13:I14 X13:AH14">
    <cfRule type="colorScale" priority="88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Z9:Z10 Z6:Z7 AA7:AF10">
    <cfRule type="colorScale" priority="8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A6:AC6">
    <cfRule type="colorScale" priority="1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A11:AC11">
    <cfRule type="colorScale" priority="2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A18:AC18">
    <cfRule type="colorScale" priority="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A19:AC19">
    <cfRule type="colorScale" priority="18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A17:AF17">
    <cfRule type="colorScale" priority="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A21:AF21 AA22:AE22">
    <cfRule type="colorScale" priority="1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D19:AE19">
    <cfRule type="colorScale" priority="1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D11:AF11">
    <cfRule type="colorScale" priority="2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E6:AF6">
    <cfRule type="colorScale" priority="3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F18:AF19">
    <cfRule type="colorScale" priority="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F22">
    <cfRule type="colorScale" priority="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M5:AM6">
    <cfRule type="colorScale" priority="10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M7">
    <cfRule type="colorScale" priority="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M8">
    <cfRule type="colorScale" priority="3">
      <colorScale>
        <cfvo type="num" val="1"/>
        <cfvo type="max"/>
        <color theme="4" tint="0.59999389629810485"/>
        <color theme="5" tint="0.59999389629810485"/>
      </colorScale>
    </cfRule>
  </conditionalFormatting>
  <pageMargins left="0.2" right="0.45" top="0.75" bottom="0.75" header="0.3" footer="0.3"/>
  <pageSetup scale="9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2B9CA-BD58-4FE7-8F0A-52A6F74FB95B}">
  <dimension ref="A1:AX29"/>
  <sheetViews>
    <sheetView zoomScale="86" zoomScaleNormal="86" workbookViewId="0">
      <pane xSplit="1" ySplit="4" topLeftCell="Q5" activePane="bottomRight" state="frozen"/>
      <selection pane="topRight" activeCell="B1" sqref="B1"/>
      <selection pane="bottomLeft" activeCell="A5" sqref="A5"/>
      <selection pane="bottomRight" activeCell="AE15" sqref="AE15:AE21"/>
    </sheetView>
  </sheetViews>
  <sheetFormatPr defaultRowHeight="14.5" x14ac:dyDescent="0.35"/>
  <cols>
    <col min="1" max="1" width="43.7265625" bestFit="1" customWidth="1"/>
    <col min="2" max="2" width="11" hidden="1" customWidth="1"/>
    <col min="3" max="3" width="12.54296875" hidden="1" customWidth="1"/>
    <col min="4" max="4" width="11.453125" hidden="1" customWidth="1"/>
    <col min="5" max="5" width="17.81640625" hidden="1" customWidth="1"/>
    <col min="6" max="6" width="8.54296875" hidden="1" customWidth="1"/>
    <col min="7" max="7" width="11.453125" hidden="1" customWidth="1"/>
    <col min="8" max="8" width="8" hidden="1" customWidth="1"/>
    <col min="9" max="9" width="5.81640625" hidden="1" customWidth="1"/>
    <col min="10" max="10" width="14.54296875" hidden="1" customWidth="1"/>
    <col min="11" max="13" width="10.1796875" hidden="1" customWidth="1"/>
    <col min="14" max="15" width="11.453125" hidden="1" customWidth="1"/>
    <col min="16" max="16" width="11.81640625" hidden="1" customWidth="1"/>
    <col min="17" max="18" width="12" bestFit="1" customWidth="1"/>
    <col min="19" max="21" width="11.81640625" bestFit="1" customWidth="1"/>
    <col min="22" max="22" width="14.1796875" bestFit="1" customWidth="1"/>
    <col min="23" max="23" width="16.81640625" bestFit="1" customWidth="1"/>
    <col min="24" max="25" width="12.81640625" bestFit="1" customWidth="1"/>
    <col min="26" max="30" width="10.54296875" bestFit="1" customWidth="1"/>
    <col min="31" max="31" width="10.453125" customWidth="1"/>
    <col min="32" max="32" width="8" hidden="1" customWidth="1"/>
    <col min="33" max="33" width="4.7265625" bestFit="1" customWidth="1"/>
    <col min="34" max="34" width="8.453125" bestFit="1" customWidth="1"/>
    <col min="35" max="35" width="8" bestFit="1" customWidth="1"/>
    <col min="36" max="36" width="8.453125" customWidth="1"/>
    <col min="37" max="37" width="0" hidden="1" customWidth="1"/>
    <col min="38" max="38" width="3" hidden="1" customWidth="1"/>
    <col min="39" max="39" width="17.81640625" bestFit="1" customWidth="1"/>
    <col min="40" max="40" width="9.1796875" bestFit="1" customWidth="1"/>
    <col min="41" max="41" width="9.81640625" bestFit="1" customWidth="1"/>
    <col min="42" max="42" width="10.81640625" bestFit="1" customWidth="1"/>
    <col min="43" max="43" width="10.1796875" bestFit="1" customWidth="1"/>
    <col min="44" max="44" width="23.1796875" bestFit="1" customWidth="1"/>
    <col min="45" max="45" width="0.453125" hidden="1" customWidth="1"/>
    <col min="46" max="49" width="0" hidden="1" customWidth="1"/>
    <col min="51" max="51" width="15" bestFit="1" customWidth="1"/>
  </cols>
  <sheetData>
    <row r="1" spans="1:44" ht="15.5" x14ac:dyDescent="0.35">
      <c r="A1" s="120" t="s">
        <v>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65"/>
    </row>
    <row r="2" spans="1:44" ht="15" thickBot="1" x14ac:dyDescent="0.4"/>
    <row r="3" spans="1:44" ht="45.75" customHeight="1" x14ac:dyDescent="0.35">
      <c r="A3" s="1" t="s">
        <v>1</v>
      </c>
      <c r="B3" s="2">
        <f>AI4</f>
        <v>45444</v>
      </c>
      <c r="C3" s="2">
        <f t="shared" ref="C3:AF3" si="0">B3+1</f>
        <v>45445</v>
      </c>
      <c r="D3" s="2">
        <f t="shared" si="0"/>
        <v>45446</v>
      </c>
      <c r="E3" s="2">
        <f t="shared" si="0"/>
        <v>45447</v>
      </c>
      <c r="F3" s="2">
        <f t="shared" si="0"/>
        <v>45448</v>
      </c>
      <c r="G3" s="2">
        <f t="shared" si="0"/>
        <v>45449</v>
      </c>
      <c r="H3" s="2">
        <f t="shared" si="0"/>
        <v>45450</v>
      </c>
      <c r="I3" s="2">
        <f>H3+1</f>
        <v>45451</v>
      </c>
      <c r="J3" s="2">
        <f t="shared" si="0"/>
        <v>45452</v>
      </c>
      <c r="K3" s="2">
        <f t="shared" si="0"/>
        <v>45453</v>
      </c>
      <c r="L3" s="2">
        <f t="shared" si="0"/>
        <v>45454</v>
      </c>
      <c r="M3" s="2">
        <f t="shared" si="0"/>
        <v>45455</v>
      </c>
      <c r="N3" s="2">
        <f t="shared" si="0"/>
        <v>45456</v>
      </c>
      <c r="O3" s="2">
        <f t="shared" si="0"/>
        <v>45457</v>
      </c>
      <c r="P3" s="2">
        <f t="shared" si="0"/>
        <v>45458</v>
      </c>
      <c r="Q3" s="2">
        <f t="shared" si="0"/>
        <v>45459</v>
      </c>
      <c r="R3" s="2">
        <f t="shared" si="0"/>
        <v>45460</v>
      </c>
      <c r="S3" s="2">
        <f t="shared" si="0"/>
        <v>45461</v>
      </c>
      <c r="T3" s="2">
        <f t="shared" si="0"/>
        <v>45462</v>
      </c>
      <c r="U3" s="2">
        <f t="shared" si="0"/>
        <v>45463</v>
      </c>
      <c r="V3" s="2">
        <f t="shared" si="0"/>
        <v>45464</v>
      </c>
      <c r="W3" s="2">
        <f t="shared" si="0"/>
        <v>45465</v>
      </c>
      <c r="X3" s="2">
        <f t="shared" si="0"/>
        <v>45466</v>
      </c>
      <c r="Y3" s="2">
        <f t="shared" si="0"/>
        <v>45467</v>
      </c>
      <c r="Z3" s="2">
        <f t="shared" si="0"/>
        <v>45468</v>
      </c>
      <c r="AA3" s="2">
        <f t="shared" si="0"/>
        <v>45469</v>
      </c>
      <c r="AB3" s="2">
        <f t="shared" si="0"/>
        <v>45470</v>
      </c>
      <c r="AC3" s="2">
        <f t="shared" si="0"/>
        <v>45471</v>
      </c>
      <c r="AD3" s="2">
        <f t="shared" si="0"/>
        <v>45472</v>
      </c>
      <c r="AE3" s="2">
        <f t="shared" si="0"/>
        <v>45473</v>
      </c>
      <c r="AF3" s="2">
        <f t="shared" si="0"/>
        <v>45474</v>
      </c>
      <c r="AG3" s="36"/>
      <c r="AH3" s="36"/>
      <c r="AM3" s="122" t="s">
        <v>267</v>
      </c>
      <c r="AN3" s="123"/>
      <c r="AO3" s="123"/>
      <c r="AP3" s="123"/>
      <c r="AQ3" s="123"/>
      <c r="AR3" s="124"/>
    </row>
    <row r="4" spans="1:44" ht="31.5" customHeight="1" x14ac:dyDescent="0.35">
      <c r="A4" s="3" t="s">
        <v>2</v>
      </c>
      <c r="B4" s="4">
        <f t="shared" ref="B4:AF4" si="1">B3</f>
        <v>45444</v>
      </c>
      <c r="C4" s="4">
        <f t="shared" si="1"/>
        <v>45445</v>
      </c>
      <c r="D4" s="4">
        <f t="shared" si="1"/>
        <v>45446</v>
      </c>
      <c r="E4" s="4">
        <f t="shared" si="1"/>
        <v>45447</v>
      </c>
      <c r="F4" s="4">
        <f t="shared" si="1"/>
        <v>45448</v>
      </c>
      <c r="G4" s="4">
        <f t="shared" si="1"/>
        <v>45449</v>
      </c>
      <c r="H4" s="4">
        <f t="shared" si="1"/>
        <v>45450</v>
      </c>
      <c r="I4" s="4">
        <f t="shared" si="1"/>
        <v>45451</v>
      </c>
      <c r="J4" s="4">
        <f t="shared" si="1"/>
        <v>45452</v>
      </c>
      <c r="K4" s="4">
        <f t="shared" si="1"/>
        <v>45453</v>
      </c>
      <c r="L4" s="4">
        <f t="shared" si="1"/>
        <v>45454</v>
      </c>
      <c r="M4" s="4">
        <f t="shared" si="1"/>
        <v>45455</v>
      </c>
      <c r="N4" s="4">
        <f t="shared" si="1"/>
        <v>45456</v>
      </c>
      <c r="O4" s="4">
        <f t="shared" si="1"/>
        <v>45457</v>
      </c>
      <c r="P4" s="4">
        <f t="shared" si="1"/>
        <v>45458</v>
      </c>
      <c r="Q4" s="4">
        <f t="shared" si="1"/>
        <v>45459</v>
      </c>
      <c r="R4" s="4">
        <f t="shared" si="1"/>
        <v>45460</v>
      </c>
      <c r="S4" s="4">
        <f t="shared" si="1"/>
        <v>45461</v>
      </c>
      <c r="T4" s="4">
        <f t="shared" si="1"/>
        <v>45462</v>
      </c>
      <c r="U4" s="4">
        <f t="shared" si="1"/>
        <v>45463</v>
      </c>
      <c r="V4" s="4">
        <f t="shared" si="1"/>
        <v>45464</v>
      </c>
      <c r="W4" s="4">
        <f t="shared" si="1"/>
        <v>45465</v>
      </c>
      <c r="X4" s="4">
        <f t="shared" si="1"/>
        <v>45466</v>
      </c>
      <c r="Y4" s="4">
        <f t="shared" si="1"/>
        <v>45467</v>
      </c>
      <c r="Z4" s="4">
        <f t="shared" si="1"/>
        <v>45468</v>
      </c>
      <c r="AA4" s="4">
        <f t="shared" si="1"/>
        <v>45469</v>
      </c>
      <c r="AB4" s="4">
        <f t="shared" si="1"/>
        <v>45470</v>
      </c>
      <c r="AC4" s="4">
        <f t="shared" si="1"/>
        <v>45471</v>
      </c>
      <c r="AD4" s="4">
        <f t="shared" si="1"/>
        <v>45472</v>
      </c>
      <c r="AE4" s="4">
        <f t="shared" si="1"/>
        <v>45473</v>
      </c>
      <c r="AF4" s="4">
        <f t="shared" si="1"/>
        <v>45474</v>
      </c>
      <c r="AG4" s="39" t="s">
        <v>174</v>
      </c>
      <c r="AH4" s="40" t="s">
        <v>175</v>
      </c>
      <c r="AI4" s="5">
        <v>45444</v>
      </c>
      <c r="AJ4" s="6">
        <f>EOMONTH(AI4,0)</f>
        <v>45473</v>
      </c>
      <c r="AM4" s="19" t="s">
        <v>54</v>
      </c>
      <c r="AN4" s="19" t="s">
        <v>269</v>
      </c>
      <c r="AO4" s="19" t="s">
        <v>55</v>
      </c>
      <c r="AP4" s="19" t="s">
        <v>56</v>
      </c>
      <c r="AQ4" s="19" t="s">
        <v>251</v>
      </c>
      <c r="AR4" s="19" t="s">
        <v>57</v>
      </c>
    </row>
    <row r="5" spans="1:44" x14ac:dyDescent="0.35">
      <c r="A5" s="7" t="s">
        <v>3</v>
      </c>
      <c r="B5" s="55" t="s">
        <v>91</v>
      </c>
      <c r="C5" s="55" t="s">
        <v>99</v>
      </c>
      <c r="D5" s="55" t="s">
        <v>99</v>
      </c>
      <c r="E5" s="55" t="s">
        <v>99</v>
      </c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 t="s">
        <v>410</v>
      </c>
      <c r="Z5" s="55" t="s">
        <v>410</v>
      </c>
      <c r="AA5" s="55" t="s">
        <v>410</v>
      </c>
      <c r="AB5" s="55"/>
      <c r="AC5" s="55"/>
      <c r="AD5" s="55"/>
      <c r="AE5" s="55"/>
      <c r="AF5" s="8"/>
      <c r="AG5" s="41">
        <f>COUNTA(B5:AF5)</f>
        <v>7</v>
      </c>
      <c r="AH5" s="42">
        <f>AG5*100/30</f>
        <v>23.333333333333332</v>
      </c>
      <c r="AM5" s="20"/>
      <c r="AN5" s="56"/>
      <c r="AO5" s="56"/>
      <c r="AP5" s="56"/>
      <c r="AQ5" s="57"/>
      <c r="AR5" s="20"/>
    </row>
    <row r="6" spans="1:44" x14ac:dyDescent="0.35">
      <c r="A6" s="7" t="s">
        <v>7</v>
      </c>
      <c r="B6" s="55" t="s">
        <v>594</v>
      </c>
      <c r="C6" s="55" t="s">
        <v>594</v>
      </c>
      <c r="D6" s="55" t="s">
        <v>594</v>
      </c>
      <c r="E6" s="55" t="s">
        <v>594</v>
      </c>
      <c r="F6" s="55" t="s">
        <v>594</v>
      </c>
      <c r="G6" s="55" t="s">
        <v>594</v>
      </c>
      <c r="H6" s="55" t="s">
        <v>594</v>
      </c>
      <c r="I6" s="55" t="s">
        <v>594</v>
      </c>
      <c r="J6" s="55" t="s">
        <v>594</v>
      </c>
      <c r="K6" s="55" t="s">
        <v>594</v>
      </c>
      <c r="L6" s="55" t="s">
        <v>594</v>
      </c>
      <c r="M6" s="55" t="s">
        <v>594</v>
      </c>
      <c r="N6" s="55" t="s">
        <v>594</v>
      </c>
      <c r="O6" s="55" t="s">
        <v>594</v>
      </c>
      <c r="P6" s="55" t="s">
        <v>594</v>
      </c>
      <c r="Q6" s="55" t="s">
        <v>594</v>
      </c>
      <c r="R6" s="55" t="s">
        <v>594</v>
      </c>
      <c r="S6" s="55" t="s">
        <v>594</v>
      </c>
      <c r="T6" s="55" t="s">
        <v>594</v>
      </c>
      <c r="U6" s="55" t="s">
        <v>594</v>
      </c>
      <c r="V6" s="55" t="s">
        <v>594</v>
      </c>
      <c r="W6" s="55" t="s">
        <v>594</v>
      </c>
      <c r="X6" s="55" t="s">
        <v>594</v>
      </c>
      <c r="Y6" s="55" t="s">
        <v>594</v>
      </c>
      <c r="Z6" s="55" t="s">
        <v>594</v>
      </c>
      <c r="AA6" s="55" t="s">
        <v>594</v>
      </c>
      <c r="AB6" s="55" t="s">
        <v>594</v>
      </c>
      <c r="AC6" s="55" t="s">
        <v>594</v>
      </c>
      <c r="AD6" s="55" t="s">
        <v>594</v>
      </c>
      <c r="AE6" s="55" t="s">
        <v>594</v>
      </c>
      <c r="AF6" s="8"/>
      <c r="AG6" s="41">
        <f t="shared" ref="AG6:AG11" si="2">COUNTA(B6:AF6)</f>
        <v>30</v>
      </c>
      <c r="AH6" s="42">
        <f t="shared" ref="AH6:AH11" si="3">AG6*100/30</f>
        <v>100</v>
      </c>
      <c r="AM6" s="20"/>
      <c r="AN6" s="56"/>
      <c r="AO6" s="56"/>
      <c r="AP6" s="56"/>
      <c r="AQ6" s="57"/>
      <c r="AR6" s="20"/>
    </row>
    <row r="7" spans="1:44" x14ac:dyDescent="0.35">
      <c r="A7" s="7" t="s">
        <v>11</v>
      </c>
      <c r="B7" s="55" t="s">
        <v>124</v>
      </c>
      <c r="C7" s="55" t="s">
        <v>124</v>
      </c>
      <c r="D7" s="55" t="s">
        <v>124</v>
      </c>
      <c r="E7" s="55" t="s">
        <v>124</v>
      </c>
      <c r="F7" s="55" t="s">
        <v>606</v>
      </c>
      <c r="G7" s="55" t="s">
        <v>606</v>
      </c>
      <c r="H7" s="55" t="s">
        <v>612</v>
      </c>
      <c r="I7" s="55" t="s">
        <v>612</v>
      </c>
      <c r="J7" s="55" t="s">
        <v>612</v>
      </c>
      <c r="K7" s="55" t="s">
        <v>612</v>
      </c>
      <c r="L7" s="55" t="s">
        <v>612</v>
      </c>
      <c r="M7" s="55" t="s">
        <v>612</v>
      </c>
      <c r="N7" s="55" t="s">
        <v>612</v>
      </c>
      <c r="O7" s="55" t="s">
        <v>612</v>
      </c>
      <c r="P7" s="55" t="s">
        <v>612</v>
      </c>
      <c r="Q7" s="55" t="s">
        <v>612</v>
      </c>
      <c r="R7" s="55" t="s">
        <v>612</v>
      </c>
      <c r="S7" s="55" t="s">
        <v>612</v>
      </c>
      <c r="T7" s="55" t="s">
        <v>612</v>
      </c>
      <c r="U7" s="55" t="s">
        <v>612</v>
      </c>
      <c r="V7" s="55" t="s">
        <v>612</v>
      </c>
      <c r="W7" s="55" t="s">
        <v>612</v>
      </c>
      <c r="X7" s="55" t="s">
        <v>612</v>
      </c>
      <c r="Y7" s="55" t="s">
        <v>612</v>
      </c>
      <c r="Z7" s="55" t="s">
        <v>612</v>
      </c>
      <c r="AA7" s="55" t="s">
        <v>612</v>
      </c>
      <c r="AB7" s="55" t="s">
        <v>612</v>
      </c>
      <c r="AC7" s="55" t="s">
        <v>612</v>
      </c>
      <c r="AD7" s="55" t="s">
        <v>612</v>
      </c>
      <c r="AE7" s="55" t="s">
        <v>612</v>
      </c>
      <c r="AF7" s="8"/>
      <c r="AG7" s="41">
        <f t="shared" si="2"/>
        <v>30</v>
      </c>
      <c r="AH7" s="42">
        <f t="shared" si="3"/>
        <v>100</v>
      </c>
      <c r="AM7" s="20"/>
      <c r="AN7" s="56"/>
      <c r="AO7" s="56"/>
      <c r="AP7" s="56"/>
      <c r="AQ7" s="57"/>
      <c r="AR7" s="20"/>
    </row>
    <row r="8" spans="1:44" ht="15" customHeight="1" x14ac:dyDescent="0.35">
      <c r="A8" s="7" t="s">
        <v>15</v>
      </c>
      <c r="B8" s="55" t="s">
        <v>124</v>
      </c>
      <c r="C8" s="55" t="s">
        <v>124</v>
      </c>
      <c r="D8" s="55" t="s">
        <v>124</v>
      </c>
      <c r="E8" s="55" t="s">
        <v>124</v>
      </c>
      <c r="F8" s="55" t="s">
        <v>385</v>
      </c>
      <c r="G8" s="55" t="s">
        <v>385</v>
      </c>
      <c r="H8" s="55" t="s">
        <v>385</v>
      </c>
      <c r="I8" s="55" t="s">
        <v>385</v>
      </c>
      <c r="J8" s="55" t="s">
        <v>385</v>
      </c>
      <c r="K8" s="55" t="s">
        <v>385</v>
      </c>
      <c r="L8" s="55" t="s">
        <v>385</v>
      </c>
      <c r="M8" s="55" t="s">
        <v>385</v>
      </c>
      <c r="N8" s="55" t="s">
        <v>385</v>
      </c>
      <c r="O8" s="55"/>
      <c r="P8" s="55"/>
      <c r="Q8" s="55" t="s">
        <v>615</v>
      </c>
      <c r="R8" s="55" t="s">
        <v>615</v>
      </c>
      <c r="S8" s="55" t="s">
        <v>615</v>
      </c>
      <c r="T8" s="55" t="s">
        <v>618</v>
      </c>
      <c r="U8" s="55" t="s">
        <v>618</v>
      </c>
      <c r="V8" s="8" t="s">
        <v>613</v>
      </c>
      <c r="W8" s="8" t="s">
        <v>613</v>
      </c>
      <c r="X8" s="8" t="s">
        <v>385</v>
      </c>
      <c r="Y8" s="8" t="s">
        <v>385</v>
      </c>
      <c r="Z8" s="8" t="s">
        <v>385</v>
      </c>
      <c r="AA8" s="8" t="s">
        <v>385</v>
      </c>
      <c r="AB8" s="8" t="s">
        <v>385</v>
      </c>
      <c r="AC8" s="8" t="s">
        <v>385</v>
      </c>
      <c r="AD8" s="8" t="s">
        <v>385</v>
      </c>
      <c r="AE8" s="8" t="s">
        <v>385</v>
      </c>
      <c r="AF8" s="8"/>
      <c r="AG8" s="41">
        <f t="shared" si="2"/>
        <v>28</v>
      </c>
      <c r="AH8" s="42">
        <f t="shared" si="3"/>
        <v>93.333333333333329</v>
      </c>
      <c r="AK8" s="9"/>
      <c r="AM8" s="20"/>
      <c r="AN8" s="56"/>
      <c r="AO8" s="56"/>
      <c r="AP8" s="56"/>
      <c r="AQ8" s="57"/>
      <c r="AR8" s="20"/>
    </row>
    <row r="9" spans="1:44" ht="15.75" customHeight="1" x14ac:dyDescent="0.35">
      <c r="A9" s="7" t="s">
        <v>18</v>
      </c>
      <c r="B9" s="55" t="s">
        <v>124</v>
      </c>
      <c r="C9" s="55" t="s">
        <v>124</v>
      </c>
      <c r="D9" s="55" t="s">
        <v>124</v>
      </c>
      <c r="E9" s="55" t="s">
        <v>124</v>
      </c>
      <c r="F9" s="55" t="s">
        <v>612</v>
      </c>
      <c r="G9" s="55" t="s">
        <v>612</v>
      </c>
      <c r="H9" s="55" t="s">
        <v>612</v>
      </c>
      <c r="I9" s="55" t="s">
        <v>612</v>
      </c>
      <c r="J9" s="55" t="s">
        <v>612</v>
      </c>
      <c r="K9" s="55" t="s">
        <v>612</v>
      </c>
      <c r="L9" s="55" t="s">
        <v>612</v>
      </c>
      <c r="M9" s="55" t="s">
        <v>612</v>
      </c>
      <c r="N9" s="55" t="s">
        <v>612</v>
      </c>
      <c r="O9" s="55" t="s">
        <v>612</v>
      </c>
      <c r="P9" s="55" t="s">
        <v>612</v>
      </c>
      <c r="Q9" s="55" t="s">
        <v>612</v>
      </c>
      <c r="R9" s="55" t="s">
        <v>612</v>
      </c>
      <c r="S9" s="55" t="s">
        <v>612</v>
      </c>
      <c r="T9" s="55" t="s">
        <v>612</v>
      </c>
      <c r="U9" s="55" t="s">
        <v>612</v>
      </c>
      <c r="V9" s="55" t="s">
        <v>612</v>
      </c>
      <c r="W9" s="55" t="s">
        <v>612</v>
      </c>
      <c r="X9" s="55" t="s">
        <v>612</v>
      </c>
      <c r="Y9" s="55" t="s">
        <v>612</v>
      </c>
      <c r="Z9" s="55" t="s">
        <v>612</v>
      </c>
      <c r="AA9" s="55" t="s">
        <v>612</v>
      </c>
      <c r="AB9" s="55" t="s">
        <v>612</v>
      </c>
      <c r="AC9" s="55" t="s">
        <v>612</v>
      </c>
      <c r="AD9" s="55" t="s">
        <v>612</v>
      </c>
      <c r="AE9" s="55" t="s">
        <v>612</v>
      </c>
      <c r="AF9" s="8"/>
      <c r="AG9" s="41">
        <f t="shared" si="2"/>
        <v>30</v>
      </c>
      <c r="AH9" s="42">
        <f t="shared" si="3"/>
        <v>100</v>
      </c>
      <c r="AM9" s="20"/>
      <c r="AN9" s="56"/>
      <c r="AO9" s="56"/>
      <c r="AP9" s="56"/>
      <c r="AQ9" s="57"/>
      <c r="AR9" s="20"/>
    </row>
    <row r="10" spans="1:44" ht="15.75" customHeight="1" x14ac:dyDescent="0.35">
      <c r="A10" s="7" t="s">
        <v>20</v>
      </c>
      <c r="B10" s="55" t="s">
        <v>124</v>
      </c>
      <c r="C10" s="55" t="s">
        <v>124</v>
      </c>
      <c r="D10" s="55" t="s">
        <v>124</v>
      </c>
      <c r="E10" s="55" t="s">
        <v>124</v>
      </c>
      <c r="F10" s="55" t="s">
        <v>607</v>
      </c>
      <c r="G10" s="55" t="s">
        <v>607</v>
      </c>
      <c r="H10" s="55" t="s">
        <v>607</v>
      </c>
      <c r="I10" s="55" t="s">
        <v>607</v>
      </c>
      <c r="J10" s="55" t="s">
        <v>607</v>
      </c>
      <c r="K10" s="55" t="s">
        <v>607</v>
      </c>
      <c r="L10" s="55" t="s">
        <v>607</v>
      </c>
      <c r="M10" s="55" t="s">
        <v>607</v>
      </c>
      <c r="N10" s="55" t="s">
        <v>607</v>
      </c>
      <c r="O10" s="55" t="s">
        <v>607</v>
      </c>
      <c r="P10" s="55" t="s">
        <v>607</v>
      </c>
      <c r="Q10" s="55" t="s">
        <v>607</v>
      </c>
      <c r="R10" s="55" t="s">
        <v>607</v>
      </c>
      <c r="S10" s="55" t="s">
        <v>607</v>
      </c>
      <c r="T10" s="55" t="s">
        <v>607</v>
      </c>
      <c r="U10" s="55" t="s">
        <v>607</v>
      </c>
      <c r="V10" s="55" t="s">
        <v>607</v>
      </c>
      <c r="W10" s="55" t="s">
        <v>607</v>
      </c>
      <c r="X10" s="55" t="s">
        <v>607</v>
      </c>
      <c r="Y10" s="55" t="s">
        <v>607</v>
      </c>
      <c r="Z10" s="55" t="s">
        <v>607</v>
      </c>
      <c r="AA10" s="55" t="s">
        <v>607</v>
      </c>
      <c r="AB10" s="55" t="s">
        <v>607</v>
      </c>
      <c r="AC10" s="55" t="s">
        <v>607</v>
      </c>
      <c r="AD10" s="55" t="s">
        <v>607</v>
      </c>
      <c r="AE10" s="55" t="s">
        <v>607</v>
      </c>
      <c r="AF10" s="8"/>
      <c r="AG10" s="41">
        <f t="shared" si="2"/>
        <v>30</v>
      </c>
      <c r="AH10" s="42">
        <f t="shared" si="3"/>
        <v>100</v>
      </c>
      <c r="AM10" s="20"/>
      <c r="AN10" s="56"/>
      <c r="AO10" s="56"/>
      <c r="AP10" s="56"/>
      <c r="AQ10" s="57"/>
      <c r="AR10" s="20"/>
    </row>
    <row r="11" spans="1:44" ht="15.75" customHeight="1" thickBot="1" x14ac:dyDescent="0.4">
      <c r="A11" s="7" t="s">
        <v>24</v>
      </c>
      <c r="B11" s="55" t="s">
        <v>600</v>
      </c>
      <c r="C11" s="55" t="s">
        <v>130</v>
      </c>
      <c r="D11" s="55" t="s">
        <v>130</v>
      </c>
      <c r="E11" s="55" t="s">
        <v>130</v>
      </c>
      <c r="F11" s="55" t="s">
        <v>608</v>
      </c>
      <c r="G11" s="55" t="s">
        <v>608</v>
      </c>
      <c r="H11" s="55" t="s">
        <v>608</v>
      </c>
      <c r="I11" s="55" t="s">
        <v>608</v>
      </c>
      <c r="J11" s="55" t="s">
        <v>608</v>
      </c>
      <c r="K11" s="55" t="s">
        <v>608</v>
      </c>
      <c r="L11" s="55" t="s">
        <v>608</v>
      </c>
      <c r="M11" s="55" t="s">
        <v>608</v>
      </c>
      <c r="N11" s="55" t="s">
        <v>608</v>
      </c>
      <c r="O11" s="55" t="s">
        <v>608</v>
      </c>
      <c r="P11" s="55" t="s">
        <v>608</v>
      </c>
      <c r="Q11" s="55" t="s">
        <v>608</v>
      </c>
      <c r="R11" s="55" t="s">
        <v>608</v>
      </c>
      <c r="S11" s="55" t="s">
        <v>608</v>
      </c>
      <c r="T11" s="55" t="s">
        <v>608</v>
      </c>
      <c r="U11" s="55" t="s">
        <v>608</v>
      </c>
      <c r="V11" s="55" t="s">
        <v>608</v>
      </c>
      <c r="W11" s="55" t="s">
        <v>608</v>
      </c>
      <c r="X11" s="55" t="s">
        <v>608</v>
      </c>
      <c r="Y11" s="55" t="s">
        <v>608</v>
      </c>
      <c r="Z11" s="55" t="s">
        <v>608</v>
      </c>
      <c r="AA11" s="55" t="s">
        <v>608</v>
      </c>
      <c r="AB11" s="55" t="s">
        <v>608</v>
      </c>
      <c r="AC11" s="55" t="s">
        <v>608</v>
      </c>
      <c r="AD11" s="55" t="s">
        <v>608</v>
      </c>
      <c r="AE11" s="55" t="s">
        <v>608</v>
      </c>
      <c r="AF11" s="8"/>
      <c r="AG11" s="41">
        <f t="shared" si="2"/>
        <v>30</v>
      </c>
      <c r="AH11" s="42">
        <f t="shared" si="3"/>
        <v>100</v>
      </c>
      <c r="AM11" s="20"/>
      <c r="AN11" s="20"/>
      <c r="AO11" s="20"/>
      <c r="AP11" s="20"/>
      <c r="AQ11" s="20"/>
      <c r="AR11" s="20"/>
    </row>
    <row r="12" spans="1:44" ht="15" customHeight="1" x14ac:dyDescent="0.35">
      <c r="A12" s="45" t="s">
        <v>176</v>
      </c>
      <c r="B12" s="46">
        <f>COUNTA(B5:B11)</f>
        <v>7</v>
      </c>
      <c r="C12" s="46">
        <f>COUNTA(C5:C11)</f>
        <v>7</v>
      </c>
      <c r="D12" s="46">
        <f t="shared" ref="D12:AF12" si="4">COUNTA(D5:D11)</f>
        <v>7</v>
      </c>
      <c r="E12" s="46">
        <f t="shared" si="4"/>
        <v>7</v>
      </c>
      <c r="F12" s="46">
        <f t="shared" si="4"/>
        <v>6</v>
      </c>
      <c r="G12" s="46">
        <f t="shared" si="4"/>
        <v>6</v>
      </c>
      <c r="H12" s="46">
        <f t="shared" si="4"/>
        <v>6</v>
      </c>
      <c r="I12" s="46">
        <f t="shared" si="4"/>
        <v>6</v>
      </c>
      <c r="J12" s="46">
        <f t="shared" si="4"/>
        <v>6</v>
      </c>
      <c r="K12" s="46">
        <f t="shared" si="4"/>
        <v>6</v>
      </c>
      <c r="L12" s="46">
        <f t="shared" si="4"/>
        <v>6</v>
      </c>
      <c r="M12" s="46">
        <f t="shared" si="4"/>
        <v>6</v>
      </c>
      <c r="N12" s="46">
        <f t="shared" si="4"/>
        <v>6</v>
      </c>
      <c r="O12" s="46">
        <f t="shared" si="4"/>
        <v>5</v>
      </c>
      <c r="P12" s="46">
        <f t="shared" si="4"/>
        <v>5</v>
      </c>
      <c r="Q12" s="46">
        <f t="shared" si="4"/>
        <v>6</v>
      </c>
      <c r="R12" s="46">
        <f t="shared" si="4"/>
        <v>6</v>
      </c>
      <c r="S12" s="46">
        <f t="shared" si="4"/>
        <v>6</v>
      </c>
      <c r="T12" s="46">
        <f t="shared" si="4"/>
        <v>6</v>
      </c>
      <c r="U12" s="46">
        <f t="shared" si="4"/>
        <v>6</v>
      </c>
      <c r="V12" s="46">
        <f t="shared" si="4"/>
        <v>6</v>
      </c>
      <c r="W12" s="46">
        <f t="shared" si="4"/>
        <v>6</v>
      </c>
      <c r="X12" s="46">
        <f t="shared" si="4"/>
        <v>6</v>
      </c>
      <c r="Y12" s="46">
        <f t="shared" si="4"/>
        <v>7</v>
      </c>
      <c r="Z12" s="46">
        <f t="shared" si="4"/>
        <v>7</v>
      </c>
      <c r="AA12" s="46">
        <f t="shared" si="4"/>
        <v>7</v>
      </c>
      <c r="AB12" s="46">
        <f t="shared" si="4"/>
        <v>6</v>
      </c>
      <c r="AC12" s="46">
        <f t="shared" si="4"/>
        <v>6</v>
      </c>
      <c r="AD12" s="46">
        <f t="shared" si="4"/>
        <v>6</v>
      </c>
      <c r="AE12" s="46">
        <f t="shared" si="4"/>
        <v>6</v>
      </c>
      <c r="AF12" s="46">
        <f t="shared" si="4"/>
        <v>0</v>
      </c>
      <c r="AG12" s="43">
        <f t="shared" ref="AG12" si="5">SUM(AG5:AG11)</f>
        <v>185</v>
      </c>
      <c r="AH12" s="44">
        <f>AVERAGE(AH5:AH11)</f>
        <v>88.095238095238088</v>
      </c>
      <c r="AI12" s="29"/>
      <c r="AM12" s="20"/>
      <c r="AN12" s="20"/>
      <c r="AO12" s="20"/>
      <c r="AP12" s="20"/>
      <c r="AQ12" s="20"/>
      <c r="AR12" s="20"/>
    </row>
    <row r="13" spans="1:44" ht="57" hidden="1" x14ac:dyDescent="0.35">
      <c r="A13" s="13" t="s">
        <v>28</v>
      </c>
      <c r="B13" s="14"/>
      <c r="C13" s="14"/>
      <c r="D13" s="14"/>
      <c r="E13" s="14"/>
      <c r="F13" s="14"/>
      <c r="G13" s="14"/>
      <c r="H13" s="14"/>
      <c r="I13" s="35"/>
      <c r="J13" s="34"/>
      <c r="K13" s="15"/>
      <c r="L13" s="14"/>
      <c r="M13" s="14"/>
      <c r="N13" s="25"/>
      <c r="O13" s="25"/>
      <c r="P13" s="25"/>
      <c r="Q13" s="14"/>
      <c r="R13" s="14"/>
      <c r="S13" s="14"/>
      <c r="T13" s="14"/>
      <c r="U13" s="14"/>
      <c r="V13" s="15"/>
      <c r="W13" s="15"/>
      <c r="X13" s="14"/>
      <c r="Y13" s="14"/>
      <c r="Z13" s="14"/>
      <c r="AA13" s="14"/>
      <c r="AB13" s="14"/>
      <c r="AC13" s="14"/>
      <c r="AD13" s="14"/>
      <c r="AE13" s="14"/>
      <c r="AF13" s="14"/>
      <c r="AG13" s="37"/>
      <c r="AH13" s="37"/>
      <c r="AM13" s="20"/>
      <c r="AN13" s="20"/>
      <c r="AO13" s="20"/>
      <c r="AP13" s="20"/>
      <c r="AQ13" s="20"/>
      <c r="AR13" s="20"/>
    </row>
    <row r="14" spans="1:44" ht="28.5" hidden="1" x14ac:dyDescent="0.35">
      <c r="A14" s="16" t="s">
        <v>29</v>
      </c>
      <c r="B14" s="14"/>
      <c r="C14" s="14"/>
      <c r="D14" s="14"/>
      <c r="E14" s="14"/>
      <c r="F14" s="14"/>
      <c r="G14" s="14"/>
      <c r="H14" s="14"/>
      <c r="I14" s="35"/>
      <c r="J14" s="34"/>
      <c r="K14" s="15"/>
      <c r="L14" s="14"/>
      <c r="M14" s="14"/>
      <c r="N14" s="25"/>
      <c r="O14" s="25"/>
      <c r="P14" s="25"/>
      <c r="Q14" s="14"/>
      <c r="R14" s="14"/>
      <c r="S14" s="14"/>
      <c r="T14" s="14"/>
      <c r="U14" s="14"/>
      <c r="V14" s="15"/>
      <c r="W14" s="15"/>
      <c r="X14" s="14"/>
      <c r="Y14" s="14"/>
      <c r="Z14" s="14"/>
      <c r="AA14" s="14"/>
      <c r="AB14" s="14"/>
      <c r="AC14" s="14"/>
      <c r="AD14" s="14"/>
      <c r="AE14" s="14"/>
      <c r="AF14" s="14"/>
      <c r="AG14" s="37"/>
      <c r="AH14" s="37"/>
      <c r="AM14" s="20"/>
      <c r="AN14" s="20"/>
      <c r="AO14" s="20"/>
      <c r="AP14" s="20"/>
      <c r="AQ14" s="20"/>
      <c r="AR14" s="20"/>
    </row>
    <row r="15" spans="1:44" x14ac:dyDescent="0.35">
      <c r="A15" s="7" t="s">
        <v>30</v>
      </c>
      <c r="B15" s="79" t="s">
        <v>595</v>
      </c>
      <c r="C15" s="55" t="s">
        <v>602</v>
      </c>
      <c r="D15" s="55" t="s">
        <v>602</v>
      </c>
      <c r="E15" s="55" t="s">
        <v>583</v>
      </c>
      <c r="F15" s="8" t="s">
        <v>503</v>
      </c>
      <c r="G15" s="8" t="s">
        <v>503</v>
      </c>
      <c r="H15" s="8" t="s">
        <v>503</v>
      </c>
      <c r="I15" s="8" t="s">
        <v>503</v>
      </c>
      <c r="J15" s="8" t="s">
        <v>503</v>
      </c>
      <c r="K15" s="8" t="s">
        <v>503</v>
      </c>
      <c r="L15" s="8" t="s">
        <v>503</v>
      </c>
      <c r="M15" s="8" t="s">
        <v>503</v>
      </c>
      <c r="N15" s="8" t="s">
        <v>503</v>
      </c>
      <c r="O15" s="8" t="s">
        <v>503</v>
      </c>
      <c r="P15" s="8" t="s">
        <v>503</v>
      </c>
      <c r="Q15" s="8" t="s">
        <v>503</v>
      </c>
      <c r="R15" s="8" t="s">
        <v>503</v>
      </c>
      <c r="S15" s="8" t="s">
        <v>503</v>
      </c>
      <c r="T15" s="8" t="s">
        <v>503</v>
      </c>
      <c r="U15" s="8" t="s">
        <v>503</v>
      </c>
      <c r="V15" s="8" t="s">
        <v>503</v>
      </c>
      <c r="W15" s="8" t="s">
        <v>503</v>
      </c>
      <c r="X15" s="8" t="s">
        <v>503</v>
      </c>
      <c r="Y15" s="8" t="s">
        <v>503</v>
      </c>
      <c r="Z15" s="8" t="s">
        <v>503</v>
      </c>
      <c r="AA15" s="8" t="s">
        <v>503</v>
      </c>
      <c r="AB15" s="8" t="s">
        <v>503</v>
      </c>
      <c r="AC15" s="8" t="s">
        <v>503</v>
      </c>
      <c r="AD15" s="8" t="s">
        <v>503</v>
      </c>
      <c r="AE15" s="8" t="s">
        <v>503</v>
      </c>
      <c r="AF15" s="54"/>
      <c r="AG15" s="41">
        <f>COUNTA(B15:AF15)</f>
        <v>30</v>
      </c>
      <c r="AH15" s="42">
        <f>AG15*100/30</f>
        <v>100</v>
      </c>
      <c r="AM15" s="20"/>
      <c r="AN15" s="20"/>
      <c r="AO15" s="20"/>
      <c r="AP15" s="20"/>
      <c r="AQ15" s="20"/>
      <c r="AR15" s="20"/>
    </row>
    <row r="16" spans="1:44" x14ac:dyDescent="0.35">
      <c r="A16" s="7" t="s">
        <v>35</v>
      </c>
      <c r="B16" s="79" t="s">
        <v>338</v>
      </c>
      <c r="C16" s="55" t="s">
        <v>495</v>
      </c>
      <c r="D16" s="55" t="s">
        <v>495</v>
      </c>
      <c r="E16" s="55" t="s">
        <v>495</v>
      </c>
      <c r="F16" s="55" t="s">
        <v>495</v>
      </c>
      <c r="G16" s="55" t="s">
        <v>495</v>
      </c>
      <c r="H16" s="55"/>
      <c r="I16" s="54"/>
      <c r="J16" s="54"/>
      <c r="K16" s="55" t="s">
        <v>614</v>
      </c>
      <c r="L16" s="55"/>
      <c r="M16" s="55"/>
      <c r="N16" s="8" t="s">
        <v>559</v>
      </c>
      <c r="O16" s="8" t="s">
        <v>559</v>
      </c>
      <c r="P16" s="8"/>
      <c r="Q16" s="8" t="s">
        <v>616</v>
      </c>
      <c r="R16" s="8" t="s">
        <v>616</v>
      </c>
      <c r="S16" s="8" t="s">
        <v>616</v>
      </c>
      <c r="T16" s="8" t="s">
        <v>616</v>
      </c>
      <c r="U16" s="8" t="s">
        <v>616</v>
      </c>
      <c r="V16" s="8" t="s">
        <v>616</v>
      </c>
      <c r="W16" s="8" t="s">
        <v>616</v>
      </c>
      <c r="X16" s="8" t="s">
        <v>616</v>
      </c>
      <c r="Y16" s="8" t="s">
        <v>616</v>
      </c>
      <c r="Z16" s="8" t="s">
        <v>616</v>
      </c>
      <c r="AA16" s="8" t="s">
        <v>616</v>
      </c>
      <c r="AB16" s="8" t="s">
        <v>616</v>
      </c>
      <c r="AC16" s="8" t="s">
        <v>616</v>
      </c>
      <c r="AD16" s="8" t="s">
        <v>616</v>
      </c>
      <c r="AE16" s="8" t="s">
        <v>616</v>
      </c>
      <c r="AF16" s="54"/>
      <c r="AG16" s="41">
        <f t="shared" ref="AG16:AG22" si="6">COUNTA(B16:AF16)</f>
        <v>24</v>
      </c>
      <c r="AH16" s="42">
        <f t="shared" ref="AH16:AH22" si="7">AG16*100/30</f>
        <v>80</v>
      </c>
      <c r="AM16" s="20"/>
      <c r="AN16" s="20"/>
      <c r="AO16" s="56"/>
      <c r="AP16" s="56"/>
      <c r="AQ16" s="20"/>
      <c r="AR16" s="20"/>
    </row>
    <row r="17" spans="1:50" x14ac:dyDescent="0.35">
      <c r="A17" s="7" t="s">
        <v>39</v>
      </c>
      <c r="B17" s="55" t="s">
        <v>422</v>
      </c>
      <c r="C17" s="55" t="s">
        <v>422</v>
      </c>
      <c r="D17" s="55" t="s">
        <v>422</v>
      </c>
      <c r="E17" s="55" t="s">
        <v>422</v>
      </c>
      <c r="F17" s="55" t="s">
        <v>422</v>
      </c>
      <c r="G17" s="55" t="s">
        <v>422</v>
      </c>
      <c r="H17" s="55" t="s">
        <v>422</v>
      </c>
      <c r="I17" s="55" t="s">
        <v>422</v>
      </c>
      <c r="J17" s="55" t="s">
        <v>422</v>
      </c>
      <c r="K17" s="55" t="s">
        <v>422</v>
      </c>
      <c r="L17" s="55" t="s">
        <v>422</v>
      </c>
      <c r="M17" s="55" t="s">
        <v>422</v>
      </c>
      <c r="N17" s="55" t="s">
        <v>422</v>
      </c>
      <c r="O17" s="55" t="s">
        <v>422</v>
      </c>
      <c r="P17" s="8"/>
      <c r="Q17" s="8"/>
      <c r="R17" s="8"/>
      <c r="S17" s="8"/>
      <c r="T17" s="8"/>
      <c r="U17" s="8" t="s">
        <v>620</v>
      </c>
      <c r="V17" s="8" t="s">
        <v>620</v>
      </c>
      <c r="W17" s="8" t="s">
        <v>620</v>
      </c>
      <c r="X17" s="8" t="s">
        <v>622</v>
      </c>
      <c r="Y17" s="8" t="s">
        <v>92</v>
      </c>
      <c r="Z17" s="8" t="s">
        <v>92</v>
      </c>
      <c r="AA17" s="8" t="s">
        <v>92</v>
      </c>
      <c r="AB17" s="8" t="s">
        <v>92</v>
      </c>
      <c r="AC17" s="8" t="s">
        <v>92</v>
      </c>
      <c r="AD17" s="8"/>
      <c r="AE17" s="8" t="s">
        <v>623</v>
      </c>
      <c r="AF17" s="8" t="s">
        <v>92</v>
      </c>
      <c r="AG17" s="41">
        <f t="shared" si="6"/>
        <v>25</v>
      </c>
      <c r="AH17" s="42">
        <f t="shared" si="7"/>
        <v>83.333333333333329</v>
      </c>
      <c r="AM17" s="20"/>
      <c r="AN17" s="20"/>
      <c r="AO17" s="20"/>
      <c r="AP17" s="20"/>
      <c r="AQ17" s="20"/>
      <c r="AR17" s="20"/>
      <c r="AX17" s="58"/>
    </row>
    <row r="18" spans="1:50" x14ac:dyDescent="0.35">
      <c r="A18" s="7" t="s">
        <v>42</v>
      </c>
      <c r="B18" s="55"/>
      <c r="C18" s="55" t="s">
        <v>603</v>
      </c>
      <c r="D18" s="55" t="s">
        <v>603</v>
      </c>
      <c r="E18" s="55" t="s">
        <v>603</v>
      </c>
      <c r="F18" s="55" t="s">
        <v>603</v>
      </c>
      <c r="G18" s="55" t="s">
        <v>603</v>
      </c>
      <c r="H18" s="55" t="s">
        <v>611</v>
      </c>
      <c r="I18" s="55" t="s">
        <v>611</v>
      </c>
      <c r="J18" s="55" t="s">
        <v>611</v>
      </c>
      <c r="K18" s="55" t="s">
        <v>611</v>
      </c>
      <c r="L18" s="55" t="s">
        <v>611</v>
      </c>
      <c r="M18" s="55" t="s">
        <v>611</v>
      </c>
      <c r="N18" s="55" t="s">
        <v>611</v>
      </c>
      <c r="O18" s="55" t="s">
        <v>611</v>
      </c>
      <c r="P18" s="55" t="s">
        <v>611</v>
      </c>
      <c r="Q18" s="8" t="s">
        <v>617</v>
      </c>
      <c r="R18" s="8" t="s">
        <v>617</v>
      </c>
      <c r="S18" s="8" t="s">
        <v>617</v>
      </c>
      <c r="T18" s="8" t="s">
        <v>617</v>
      </c>
      <c r="U18" s="8" t="s">
        <v>617</v>
      </c>
      <c r="V18" s="8" t="s">
        <v>617</v>
      </c>
      <c r="W18" s="8" t="s">
        <v>617</v>
      </c>
      <c r="X18" s="8" t="s">
        <v>617</v>
      </c>
      <c r="Y18" s="8" t="s">
        <v>617</v>
      </c>
      <c r="Z18" s="8" t="s">
        <v>617</v>
      </c>
      <c r="AA18" s="8" t="s">
        <v>617</v>
      </c>
      <c r="AB18" s="8" t="s">
        <v>617</v>
      </c>
      <c r="AC18" s="8" t="s">
        <v>617</v>
      </c>
      <c r="AD18" s="8" t="s">
        <v>617</v>
      </c>
      <c r="AE18" s="8" t="s">
        <v>617</v>
      </c>
      <c r="AF18" s="54"/>
      <c r="AG18" s="41">
        <f t="shared" si="6"/>
        <v>29</v>
      </c>
      <c r="AH18" s="42">
        <f t="shared" si="7"/>
        <v>96.666666666666671</v>
      </c>
      <c r="AM18" s="20"/>
      <c r="AN18" s="20"/>
      <c r="AO18" s="20"/>
      <c r="AP18" s="20"/>
      <c r="AQ18" s="20"/>
      <c r="AR18" s="20"/>
      <c r="AX18" s="58"/>
    </row>
    <row r="19" spans="1:50" x14ac:dyDescent="0.35">
      <c r="A19" s="7" t="s">
        <v>45</v>
      </c>
      <c r="B19" s="55" t="s">
        <v>600</v>
      </c>
      <c r="C19" s="55" t="s">
        <v>604</v>
      </c>
      <c r="D19" s="55" t="s">
        <v>604</v>
      </c>
      <c r="E19" s="55"/>
      <c r="F19" s="8" t="s">
        <v>609</v>
      </c>
      <c r="G19" s="8" t="s">
        <v>609</v>
      </c>
      <c r="H19" s="8" t="s">
        <v>609</v>
      </c>
      <c r="I19" s="8" t="s">
        <v>609</v>
      </c>
      <c r="J19" s="8" t="s">
        <v>609</v>
      </c>
      <c r="K19" s="8" t="s">
        <v>609</v>
      </c>
      <c r="L19" s="8" t="s">
        <v>609</v>
      </c>
      <c r="M19" s="8" t="s">
        <v>609</v>
      </c>
      <c r="N19" s="8" t="s">
        <v>609</v>
      </c>
      <c r="O19" s="8" t="s">
        <v>609</v>
      </c>
      <c r="P19" s="8" t="s">
        <v>609</v>
      </c>
      <c r="Q19" s="8" t="s">
        <v>609</v>
      </c>
      <c r="R19" s="8" t="s">
        <v>609</v>
      </c>
      <c r="S19" s="8" t="s">
        <v>609</v>
      </c>
      <c r="T19" s="8" t="s">
        <v>609</v>
      </c>
      <c r="U19" s="8" t="s">
        <v>609</v>
      </c>
      <c r="V19" s="8" t="s">
        <v>609</v>
      </c>
      <c r="W19" s="8" t="s">
        <v>609</v>
      </c>
      <c r="X19" s="8" t="s">
        <v>609</v>
      </c>
      <c r="Y19" s="8" t="s">
        <v>609</v>
      </c>
      <c r="Z19" s="8" t="s">
        <v>609</v>
      </c>
      <c r="AA19" s="8" t="s">
        <v>609</v>
      </c>
      <c r="AB19" s="8" t="s">
        <v>609</v>
      </c>
      <c r="AC19" s="8" t="s">
        <v>609</v>
      </c>
      <c r="AD19" s="8" t="s">
        <v>609</v>
      </c>
      <c r="AE19" s="8" t="s">
        <v>609</v>
      </c>
      <c r="AF19" s="54"/>
      <c r="AG19" s="41">
        <f t="shared" si="6"/>
        <v>29</v>
      </c>
      <c r="AH19" s="42">
        <f t="shared" si="7"/>
        <v>96.666666666666671</v>
      </c>
      <c r="AM19" s="20"/>
      <c r="AN19" s="20"/>
      <c r="AO19" s="20"/>
      <c r="AP19" s="20"/>
      <c r="AQ19" s="20"/>
      <c r="AR19" s="20"/>
      <c r="AX19" s="58"/>
    </row>
    <row r="20" spans="1:50" x14ac:dyDescent="0.35">
      <c r="A20" s="7" t="s">
        <v>47</v>
      </c>
      <c r="B20" s="8" t="s">
        <v>313</v>
      </c>
      <c r="C20" s="8" t="s">
        <v>313</v>
      </c>
      <c r="D20" s="8" t="s">
        <v>313</v>
      </c>
      <c r="E20" s="8" t="s">
        <v>313</v>
      </c>
      <c r="F20" s="8" t="s">
        <v>313</v>
      </c>
      <c r="G20" s="8" t="s">
        <v>313</v>
      </c>
      <c r="H20" s="8" t="s">
        <v>313</v>
      </c>
      <c r="I20" s="8" t="s">
        <v>313</v>
      </c>
      <c r="J20" s="8" t="s">
        <v>313</v>
      </c>
      <c r="K20" s="8" t="s">
        <v>313</v>
      </c>
      <c r="L20" s="8" t="s">
        <v>313</v>
      </c>
      <c r="M20" s="8" t="s">
        <v>313</v>
      </c>
      <c r="N20" s="8" t="s">
        <v>313</v>
      </c>
      <c r="O20" s="8" t="s">
        <v>313</v>
      </c>
      <c r="P20" s="8" t="s">
        <v>313</v>
      </c>
      <c r="Q20" s="8" t="s">
        <v>313</v>
      </c>
      <c r="R20" s="8" t="s">
        <v>313</v>
      </c>
      <c r="S20" s="8" t="s">
        <v>313</v>
      </c>
      <c r="T20" s="8" t="s">
        <v>313</v>
      </c>
      <c r="U20" s="8" t="s">
        <v>313</v>
      </c>
      <c r="V20" s="8" t="s">
        <v>313</v>
      </c>
      <c r="W20" s="8" t="s">
        <v>313</v>
      </c>
      <c r="X20" s="8" t="s">
        <v>313</v>
      </c>
      <c r="Y20" s="8" t="s">
        <v>313</v>
      </c>
      <c r="Z20" s="8" t="s">
        <v>313</v>
      </c>
      <c r="AA20" s="8" t="s">
        <v>313</v>
      </c>
      <c r="AB20" s="8" t="s">
        <v>313</v>
      </c>
      <c r="AC20" s="8" t="s">
        <v>313</v>
      </c>
      <c r="AD20" s="8" t="s">
        <v>313</v>
      </c>
      <c r="AE20" s="8" t="s">
        <v>313</v>
      </c>
      <c r="AF20" s="54"/>
      <c r="AG20" s="41">
        <f t="shared" si="6"/>
        <v>30</v>
      </c>
      <c r="AH20" s="42">
        <f t="shared" si="7"/>
        <v>100</v>
      </c>
      <c r="AM20" s="20"/>
      <c r="AN20" s="20"/>
      <c r="AO20" s="20"/>
      <c r="AP20" s="20"/>
      <c r="AQ20" s="20"/>
      <c r="AR20" s="20"/>
      <c r="AX20" s="58"/>
    </row>
    <row r="21" spans="1:50" x14ac:dyDescent="0.35">
      <c r="A21" s="7" t="s">
        <v>50</v>
      </c>
      <c r="B21" s="55" t="s">
        <v>124</v>
      </c>
      <c r="C21" s="55" t="s">
        <v>124</v>
      </c>
      <c r="D21" s="55" t="s">
        <v>124</v>
      </c>
      <c r="E21" s="55" t="s">
        <v>124</v>
      </c>
      <c r="F21" s="55" t="s">
        <v>610</v>
      </c>
      <c r="G21" s="55" t="s">
        <v>610</v>
      </c>
      <c r="H21" s="55" t="s">
        <v>610</v>
      </c>
      <c r="I21" s="55" t="s">
        <v>610</v>
      </c>
      <c r="J21" s="55" t="s">
        <v>610</v>
      </c>
      <c r="K21" s="55" t="s">
        <v>610</v>
      </c>
      <c r="L21" s="55" t="s">
        <v>610</v>
      </c>
      <c r="M21" s="55" t="s">
        <v>610</v>
      </c>
      <c r="N21" s="55" t="s">
        <v>610</v>
      </c>
      <c r="O21" s="55" t="s">
        <v>610</v>
      </c>
      <c r="P21" s="55" t="s">
        <v>610</v>
      </c>
      <c r="Q21" s="55" t="s">
        <v>610</v>
      </c>
      <c r="R21" s="55" t="s">
        <v>610</v>
      </c>
      <c r="S21" s="55" t="s">
        <v>610</v>
      </c>
      <c r="T21" s="55" t="s">
        <v>610</v>
      </c>
      <c r="U21" s="55" t="s">
        <v>610</v>
      </c>
      <c r="V21" s="55" t="s">
        <v>610</v>
      </c>
      <c r="W21" s="55" t="s">
        <v>610</v>
      </c>
      <c r="X21" s="55" t="s">
        <v>610</v>
      </c>
      <c r="Y21" s="55" t="s">
        <v>610</v>
      </c>
      <c r="Z21" s="55" t="s">
        <v>610</v>
      </c>
      <c r="AA21" s="55" t="s">
        <v>610</v>
      </c>
      <c r="AB21" s="55" t="s">
        <v>610</v>
      </c>
      <c r="AC21" s="55" t="s">
        <v>610</v>
      </c>
      <c r="AD21" s="55" t="s">
        <v>610</v>
      </c>
      <c r="AE21" s="55" t="s">
        <v>610</v>
      </c>
      <c r="AF21" s="54"/>
      <c r="AG21" s="41">
        <f t="shared" si="6"/>
        <v>30</v>
      </c>
      <c r="AH21" s="42">
        <f t="shared" si="7"/>
        <v>100</v>
      </c>
      <c r="AM21" s="20"/>
      <c r="AN21" s="20"/>
      <c r="AO21" s="20"/>
      <c r="AP21" s="20"/>
      <c r="AQ21" s="20"/>
      <c r="AR21" s="20"/>
      <c r="AX21" s="58"/>
    </row>
    <row r="22" spans="1:50" ht="15" thickBot="1" x14ac:dyDescent="0.4">
      <c r="A22" s="7" t="s">
        <v>51</v>
      </c>
      <c r="B22" s="55" t="s">
        <v>601</v>
      </c>
      <c r="C22" s="55" t="s">
        <v>605</v>
      </c>
      <c r="D22" s="54"/>
      <c r="E22" s="55" t="s">
        <v>598</v>
      </c>
      <c r="F22" s="55" t="s">
        <v>598</v>
      </c>
      <c r="G22" s="55"/>
      <c r="H22" s="55" t="s">
        <v>86</v>
      </c>
      <c r="I22" s="55" t="s">
        <v>86</v>
      </c>
      <c r="J22" s="55" t="s">
        <v>86</v>
      </c>
      <c r="K22" s="55" t="s">
        <v>86</v>
      </c>
      <c r="L22" s="55" t="s">
        <v>86</v>
      </c>
      <c r="M22" s="55" t="s">
        <v>86</v>
      </c>
      <c r="N22" s="55" t="s">
        <v>86</v>
      </c>
      <c r="O22" s="55" t="s">
        <v>86</v>
      </c>
      <c r="P22" s="8"/>
      <c r="Q22" s="8" t="s">
        <v>613</v>
      </c>
      <c r="R22" s="8" t="s">
        <v>613</v>
      </c>
      <c r="S22" s="8" t="s">
        <v>613</v>
      </c>
      <c r="T22" s="8" t="s">
        <v>613</v>
      </c>
      <c r="U22" s="8" t="s">
        <v>613</v>
      </c>
      <c r="V22" s="8" t="s">
        <v>619</v>
      </c>
      <c r="W22" s="8" t="s">
        <v>619</v>
      </c>
      <c r="X22" s="8" t="s">
        <v>622</v>
      </c>
      <c r="Y22" s="55" t="s">
        <v>524</v>
      </c>
      <c r="Z22" s="8" t="s">
        <v>621</v>
      </c>
      <c r="AA22" s="8" t="s">
        <v>621</v>
      </c>
      <c r="AB22" s="8"/>
      <c r="AC22" s="8"/>
      <c r="AD22" s="8"/>
      <c r="AE22" s="8"/>
      <c r="AF22" s="54"/>
      <c r="AG22" s="41">
        <f t="shared" si="6"/>
        <v>23</v>
      </c>
      <c r="AH22" s="42">
        <f t="shared" si="7"/>
        <v>76.666666666666671</v>
      </c>
      <c r="AX22" s="58"/>
    </row>
    <row r="23" spans="1:50" ht="15.5" x14ac:dyDescent="0.35">
      <c r="A23" s="45" t="s">
        <v>176</v>
      </c>
      <c r="B23" s="46">
        <f>COUNTA(B15:B22)</f>
        <v>7</v>
      </c>
      <c r="C23" s="46">
        <f>COUNTA(C16:C22)</f>
        <v>7</v>
      </c>
      <c r="D23" s="46">
        <f>COUNTA(D16:D22)</f>
        <v>6</v>
      </c>
      <c r="E23" s="46">
        <f t="shared" ref="E23:AF23" si="8">COUNTA(E15:E22)</f>
        <v>7</v>
      </c>
      <c r="F23" s="46">
        <f t="shared" si="8"/>
        <v>8</v>
      </c>
      <c r="G23" s="46">
        <f t="shared" si="8"/>
        <v>7</v>
      </c>
      <c r="H23" s="46">
        <f t="shared" si="8"/>
        <v>7</v>
      </c>
      <c r="I23" s="46">
        <f t="shared" si="8"/>
        <v>7</v>
      </c>
      <c r="J23" s="46">
        <f t="shared" si="8"/>
        <v>7</v>
      </c>
      <c r="K23" s="46">
        <f t="shared" si="8"/>
        <v>8</v>
      </c>
      <c r="L23" s="46">
        <f t="shared" si="8"/>
        <v>7</v>
      </c>
      <c r="M23" s="46">
        <f t="shared" si="8"/>
        <v>7</v>
      </c>
      <c r="N23" s="46">
        <f t="shared" si="8"/>
        <v>8</v>
      </c>
      <c r="O23" s="46">
        <f t="shared" si="8"/>
        <v>8</v>
      </c>
      <c r="P23" s="46">
        <f t="shared" si="8"/>
        <v>5</v>
      </c>
      <c r="Q23" s="46">
        <f t="shared" si="8"/>
        <v>7</v>
      </c>
      <c r="R23" s="46">
        <f t="shared" si="8"/>
        <v>7</v>
      </c>
      <c r="S23" s="46">
        <f t="shared" si="8"/>
        <v>7</v>
      </c>
      <c r="T23" s="46">
        <f>COUNTA(T15:T22)</f>
        <v>7</v>
      </c>
      <c r="U23" s="46">
        <f t="shared" si="8"/>
        <v>8</v>
      </c>
      <c r="V23" s="46">
        <f t="shared" si="8"/>
        <v>8</v>
      </c>
      <c r="W23" s="46">
        <f t="shared" si="8"/>
        <v>8</v>
      </c>
      <c r="X23" s="46">
        <f t="shared" si="8"/>
        <v>8</v>
      </c>
      <c r="Y23" s="46">
        <f t="shared" si="8"/>
        <v>8</v>
      </c>
      <c r="Z23" s="46">
        <f t="shared" si="8"/>
        <v>8</v>
      </c>
      <c r="AA23" s="46">
        <f t="shared" si="8"/>
        <v>8</v>
      </c>
      <c r="AB23" s="46">
        <f t="shared" si="8"/>
        <v>7</v>
      </c>
      <c r="AC23" s="46">
        <f t="shared" si="8"/>
        <v>7</v>
      </c>
      <c r="AD23" s="46">
        <f t="shared" si="8"/>
        <v>6</v>
      </c>
      <c r="AE23" s="46">
        <f t="shared" si="8"/>
        <v>7</v>
      </c>
      <c r="AF23" s="46">
        <f t="shared" si="8"/>
        <v>1</v>
      </c>
      <c r="AG23" s="43">
        <f>SUM(AG15:AG22)</f>
        <v>220</v>
      </c>
      <c r="AH23" s="66">
        <f>AVERAGE(AH15:AH22)</f>
        <v>91.666666666666671</v>
      </c>
      <c r="AX23" s="58"/>
    </row>
    <row r="24" spans="1:50" ht="15.5" x14ac:dyDescent="0.35">
      <c r="A24" s="47" t="s">
        <v>178</v>
      </c>
      <c r="B24" s="52">
        <f>B12+B23</f>
        <v>14</v>
      </c>
      <c r="C24" s="52">
        <f t="shared" ref="C24:AF24" si="9">C12+C23</f>
        <v>14</v>
      </c>
      <c r="D24" s="52">
        <f t="shared" si="9"/>
        <v>13</v>
      </c>
      <c r="E24" s="52">
        <f t="shared" si="9"/>
        <v>14</v>
      </c>
      <c r="F24" s="52">
        <f t="shared" si="9"/>
        <v>14</v>
      </c>
      <c r="G24" s="52">
        <f t="shared" si="9"/>
        <v>13</v>
      </c>
      <c r="H24" s="52">
        <f t="shared" si="9"/>
        <v>13</v>
      </c>
      <c r="I24" s="52">
        <f t="shared" si="9"/>
        <v>13</v>
      </c>
      <c r="J24" s="52">
        <f t="shared" si="9"/>
        <v>13</v>
      </c>
      <c r="K24" s="52">
        <f t="shared" si="9"/>
        <v>14</v>
      </c>
      <c r="L24" s="52">
        <f t="shared" si="9"/>
        <v>13</v>
      </c>
      <c r="M24" s="52">
        <f t="shared" si="9"/>
        <v>13</v>
      </c>
      <c r="N24" s="52">
        <f t="shared" si="9"/>
        <v>14</v>
      </c>
      <c r="O24" s="52">
        <f t="shared" si="9"/>
        <v>13</v>
      </c>
      <c r="P24" s="52">
        <f t="shared" si="9"/>
        <v>10</v>
      </c>
      <c r="Q24" s="52">
        <f t="shared" si="9"/>
        <v>13</v>
      </c>
      <c r="R24" s="52">
        <f t="shared" si="9"/>
        <v>13</v>
      </c>
      <c r="S24" s="52">
        <f t="shared" si="9"/>
        <v>13</v>
      </c>
      <c r="T24" s="52">
        <f t="shared" si="9"/>
        <v>13</v>
      </c>
      <c r="U24" s="52">
        <f t="shared" si="9"/>
        <v>14</v>
      </c>
      <c r="V24" s="52">
        <f t="shared" si="9"/>
        <v>14</v>
      </c>
      <c r="W24" s="52">
        <f t="shared" si="9"/>
        <v>14</v>
      </c>
      <c r="X24" s="52">
        <f t="shared" si="9"/>
        <v>14</v>
      </c>
      <c r="Y24" s="52">
        <f t="shared" si="9"/>
        <v>15</v>
      </c>
      <c r="Z24" s="52">
        <f t="shared" si="9"/>
        <v>15</v>
      </c>
      <c r="AA24" s="52">
        <f t="shared" si="9"/>
        <v>15</v>
      </c>
      <c r="AB24" s="52">
        <f t="shared" si="9"/>
        <v>13</v>
      </c>
      <c r="AC24" s="52">
        <f t="shared" si="9"/>
        <v>13</v>
      </c>
      <c r="AD24" s="52">
        <f t="shared" si="9"/>
        <v>12</v>
      </c>
      <c r="AE24" s="52">
        <f t="shared" si="9"/>
        <v>13</v>
      </c>
      <c r="AF24" s="52">
        <f t="shared" si="9"/>
        <v>1</v>
      </c>
      <c r="AG24" s="49">
        <f>+AG12+AG23</f>
        <v>405</v>
      </c>
      <c r="AX24" s="58"/>
    </row>
    <row r="25" spans="1:50" ht="15.5" x14ac:dyDescent="0.35">
      <c r="A25" s="48" t="s">
        <v>179</v>
      </c>
      <c r="B25" s="42">
        <f>B24*100/15</f>
        <v>93.333333333333329</v>
      </c>
      <c r="C25" s="42">
        <f t="shared" ref="C25:AF25" si="10">C24*100/15</f>
        <v>93.333333333333329</v>
      </c>
      <c r="D25" s="42">
        <f t="shared" si="10"/>
        <v>86.666666666666671</v>
      </c>
      <c r="E25" s="42">
        <f t="shared" si="10"/>
        <v>93.333333333333329</v>
      </c>
      <c r="F25" s="42">
        <f t="shared" si="10"/>
        <v>93.333333333333329</v>
      </c>
      <c r="G25" s="42">
        <f t="shared" si="10"/>
        <v>86.666666666666671</v>
      </c>
      <c r="H25" s="42">
        <f t="shared" si="10"/>
        <v>86.666666666666671</v>
      </c>
      <c r="I25" s="42">
        <f t="shared" si="10"/>
        <v>86.666666666666671</v>
      </c>
      <c r="J25" s="42">
        <f t="shared" si="10"/>
        <v>86.666666666666671</v>
      </c>
      <c r="K25" s="42">
        <f t="shared" si="10"/>
        <v>93.333333333333329</v>
      </c>
      <c r="L25" s="42">
        <f t="shared" si="10"/>
        <v>86.666666666666671</v>
      </c>
      <c r="M25" s="42">
        <f t="shared" si="10"/>
        <v>86.666666666666671</v>
      </c>
      <c r="N25" s="42">
        <f t="shared" si="10"/>
        <v>93.333333333333329</v>
      </c>
      <c r="O25" s="42">
        <f t="shared" si="10"/>
        <v>86.666666666666671</v>
      </c>
      <c r="P25" s="42">
        <f t="shared" si="10"/>
        <v>66.666666666666671</v>
      </c>
      <c r="Q25" s="42">
        <f t="shared" si="10"/>
        <v>86.666666666666671</v>
      </c>
      <c r="R25" s="42">
        <f t="shared" si="10"/>
        <v>86.666666666666671</v>
      </c>
      <c r="S25" s="42">
        <f t="shared" si="10"/>
        <v>86.666666666666671</v>
      </c>
      <c r="T25" s="42">
        <f t="shared" si="10"/>
        <v>86.666666666666671</v>
      </c>
      <c r="U25" s="42">
        <f t="shared" si="10"/>
        <v>93.333333333333329</v>
      </c>
      <c r="V25" s="42">
        <f t="shared" si="10"/>
        <v>93.333333333333329</v>
      </c>
      <c r="W25" s="42">
        <f t="shared" si="10"/>
        <v>93.333333333333329</v>
      </c>
      <c r="X25" s="42">
        <f t="shared" si="10"/>
        <v>93.333333333333329</v>
      </c>
      <c r="Y25" s="42">
        <f t="shared" si="10"/>
        <v>100</v>
      </c>
      <c r="Z25" s="42">
        <f t="shared" si="10"/>
        <v>100</v>
      </c>
      <c r="AA25" s="42">
        <f t="shared" si="10"/>
        <v>100</v>
      </c>
      <c r="AB25" s="42">
        <f t="shared" si="10"/>
        <v>86.666666666666671</v>
      </c>
      <c r="AC25" s="42">
        <f t="shared" si="10"/>
        <v>86.666666666666671</v>
      </c>
      <c r="AD25" s="42">
        <f t="shared" si="10"/>
        <v>80</v>
      </c>
      <c r="AE25" s="42">
        <f t="shared" si="10"/>
        <v>86.666666666666671</v>
      </c>
      <c r="AF25" s="42">
        <f t="shared" si="10"/>
        <v>6.666666666666667</v>
      </c>
      <c r="AG25" s="50">
        <f>AVERAGE(B25:AE25)</f>
        <v>89.333333333333314</v>
      </c>
      <c r="AH25" s="51" t="s">
        <v>180</v>
      </c>
      <c r="AX25" s="58"/>
    </row>
    <row r="26" spans="1:50" x14ac:dyDescent="0.35">
      <c r="AX26" s="58"/>
    </row>
    <row r="27" spans="1:50" x14ac:dyDescent="0.35">
      <c r="P27" s="71"/>
      <c r="Q27" s="71"/>
    </row>
    <row r="28" spans="1:50" x14ac:dyDescent="0.35">
      <c r="P28" s="71"/>
      <c r="Q28" s="71"/>
    </row>
    <row r="29" spans="1:50" x14ac:dyDescent="0.35">
      <c r="P29" s="71"/>
      <c r="Q29" s="71"/>
    </row>
  </sheetData>
  <mergeCells count="2">
    <mergeCell ref="A1:AE1"/>
    <mergeCell ref="AM3:AR3"/>
  </mergeCells>
  <conditionalFormatting sqref="B5">
    <cfRule type="colorScale" priority="1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1">
    <cfRule type="colorScale" priority="1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5:B16 B20:AE20">
    <cfRule type="colorScale" priority="1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8:B19">
    <cfRule type="colorScale" priority="8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22">
    <cfRule type="colorScale" priority="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7:E10">
    <cfRule type="colorScale" priority="2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21:E21">
    <cfRule type="colorScale" priority="10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7:O17">
    <cfRule type="colorScale" priority="9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6:AE6">
    <cfRule type="colorScale" priority="2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C15:E15">
    <cfRule type="colorScale" priority="3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C19:E19">
    <cfRule type="colorScale" priority="2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C16:G16">
    <cfRule type="colorScale" priority="3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C11:U11 F7:U10 V7:AE7 V9:AE11 C5:AE5">
    <cfRule type="colorScale" priority="39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F15:AE15">
    <cfRule type="colorScale" priority="18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F19:AE19">
    <cfRule type="colorScale" priority="1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F21:AE21">
    <cfRule type="colorScale" priority="3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H16">
    <cfRule type="colorScale" priority="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I16:J16 C22:O22 C18:P18">
    <cfRule type="colorScale" priority="3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K16:M16">
    <cfRule type="colorScale" priority="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L13:U14 B13:I14 X13:AH14">
    <cfRule type="colorScale" priority="4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Q22:U22">
    <cfRule type="colorScale" priority="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Q18:AE18 P22 P17:AF17 N16:AE16 V22:AE22">
    <cfRule type="colorScale" priority="38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V8:W8">
    <cfRule type="colorScale" priority="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X8:AE8">
    <cfRule type="colorScale" priority="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F5:AF11">
    <cfRule type="colorScale" priority="4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F15:AF16 AF18:AF22">
    <cfRule type="colorScale" priority="42">
      <colorScale>
        <cfvo type="num" val="1"/>
        <cfvo type="max"/>
        <color theme="4" tint="0.59999389629810485"/>
        <color theme="5" tint="0.59999389629810485"/>
      </colorScale>
    </cfRule>
  </conditionalFormatting>
  <pageMargins left="0.2" right="0.45" top="0.75" bottom="0.75" header="0.3" footer="0.3"/>
  <pageSetup scale="90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9E16C-9965-42FF-943E-7F74F4CBFC2F}">
  <dimension ref="A1:AX31"/>
  <sheetViews>
    <sheetView zoomScale="86" zoomScaleNormal="86" workbookViewId="0">
      <pane xSplit="1" ySplit="4" topLeftCell="U5" activePane="bottomRight" state="frozen"/>
      <selection pane="topRight" activeCell="B1" sqref="B1"/>
      <selection pane="bottomLeft" activeCell="A5" sqref="A5"/>
      <selection pane="bottomRight" activeCell="U20" sqref="U20"/>
    </sheetView>
  </sheetViews>
  <sheetFormatPr defaultRowHeight="14.5" x14ac:dyDescent="0.35"/>
  <cols>
    <col min="1" max="1" width="43.7265625" bestFit="1" customWidth="1"/>
    <col min="2" max="2" width="11" hidden="1" customWidth="1"/>
    <col min="3" max="3" width="12.54296875" hidden="1" customWidth="1"/>
    <col min="4" max="4" width="11.453125" hidden="1" customWidth="1"/>
    <col min="5" max="5" width="12.453125" hidden="1" customWidth="1"/>
    <col min="6" max="6" width="8.54296875" hidden="1" customWidth="1"/>
    <col min="7" max="7" width="11.453125" hidden="1" customWidth="1"/>
    <col min="8" max="8" width="8" hidden="1" customWidth="1"/>
    <col min="9" max="9" width="5.81640625" hidden="1" customWidth="1"/>
    <col min="10" max="10" width="14.54296875" hidden="1" customWidth="1"/>
    <col min="11" max="13" width="10.1796875" bestFit="1" customWidth="1"/>
    <col min="14" max="15" width="11.453125" bestFit="1" customWidth="1"/>
    <col min="16" max="16" width="11.81640625" bestFit="1" customWidth="1"/>
    <col min="17" max="18" width="12" bestFit="1" customWidth="1"/>
    <col min="19" max="21" width="11.81640625" bestFit="1" customWidth="1"/>
    <col min="22" max="22" width="14.1796875" bestFit="1" customWidth="1"/>
    <col min="23" max="23" width="16.81640625" bestFit="1" customWidth="1"/>
    <col min="24" max="25" width="12.81640625" bestFit="1" customWidth="1"/>
    <col min="26" max="30" width="10.54296875" bestFit="1" customWidth="1"/>
    <col min="31" max="31" width="10.453125" customWidth="1"/>
    <col min="32" max="32" width="5.81640625" bestFit="1" customWidth="1"/>
    <col min="33" max="33" width="4.7265625" bestFit="1" customWidth="1"/>
    <col min="34" max="34" width="8.453125" bestFit="1" customWidth="1"/>
    <col min="35" max="35" width="8" bestFit="1" customWidth="1"/>
    <col min="36" max="36" width="8.453125" customWidth="1"/>
    <col min="37" max="37" width="0" hidden="1" customWidth="1"/>
    <col min="38" max="38" width="3" hidden="1" customWidth="1"/>
    <col min="39" max="39" width="17.81640625" bestFit="1" customWidth="1"/>
    <col min="40" max="40" width="9.1796875" bestFit="1" customWidth="1"/>
    <col min="41" max="41" width="9.81640625" bestFit="1" customWidth="1"/>
    <col min="42" max="42" width="10.81640625" bestFit="1" customWidth="1"/>
    <col min="43" max="43" width="10.1796875" bestFit="1" customWidth="1"/>
    <col min="44" max="44" width="23.1796875" bestFit="1" customWidth="1"/>
    <col min="45" max="45" width="0.453125" hidden="1" customWidth="1"/>
    <col min="46" max="49" width="0" hidden="1" customWidth="1"/>
    <col min="51" max="51" width="15" bestFit="1" customWidth="1"/>
  </cols>
  <sheetData>
    <row r="1" spans="1:44" ht="15.5" x14ac:dyDescent="0.35">
      <c r="A1" s="120" t="s">
        <v>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65"/>
    </row>
    <row r="2" spans="1:44" ht="15" thickBot="1" x14ac:dyDescent="0.4"/>
    <row r="3" spans="1:44" ht="45.75" customHeight="1" x14ac:dyDescent="0.35">
      <c r="A3" s="1" t="s">
        <v>1</v>
      </c>
      <c r="B3" s="2">
        <f>AI4</f>
        <v>45474</v>
      </c>
      <c r="C3" s="2">
        <f t="shared" ref="C3:AF3" si="0">B3+1</f>
        <v>45475</v>
      </c>
      <c r="D3" s="2">
        <f t="shared" si="0"/>
        <v>45476</v>
      </c>
      <c r="E3" s="2">
        <f t="shared" si="0"/>
        <v>45477</v>
      </c>
      <c r="F3" s="2">
        <f t="shared" si="0"/>
        <v>45478</v>
      </c>
      <c r="G3" s="2">
        <f t="shared" si="0"/>
        <v>45479</v>
      </c>
      <c r="H3" s="2">
        <f t="shared" si="0"/>
        <v>45480</v>
      </c>
      <c r="I3" s="2">
        <f>H3+1</f>
        <v>45481</v>
      </c>
      <c r="J3" s="2">
        <f t="shared" si="0"/>
        <v>45482</v>
      </c>
      <c r="K3" s="2">
        <f t="shared" si="0"/>
        <v>45483</v>
      </c>
      <c r="L3" s="2">
        <f t="shared" si="0"/>
        <v>45484</v>
      </c>
      <c r="M3" s="2">
        <f t="shared" si="0"/>
        <v>45485</v>
      </c>
      <c r="N3" s="2">
        <f t="shared" si="0"/>
        <v>45486</v>
      </c>
      <c r="O3" s="2">
        <f t="shared" si="0"/>
        <v>45487</v>
      </c>
      <c r="P3" s="2">
        <f t="shared" si="0"/>
        <v>45488</v>
      </c>
      <c r="Q3" s="2">
        <f t="shared" si="0"/>
        <v>45489</v>
      </c>
      <c r="R3" s="2">
        <f t="shared" si="0"/>
        <v>45490</v>
      </c>
      <c r="S3" s="2">
        <f t="shared" si="0"/>
        <v>45491</v>
      </c>
      <c r="T3" s="2">
        <f t="shared" si="0"/>
        <v>45492</v>
      </c>
      <c r="U3" s="2">
        <f t="shared" si="0"/>
        <v>45493</v>
      </c>
      <c r="V3" s="2">
        <f t="shared" si="0"/>
        <v>45494</v>
      </c>
      <c r="W3" s="2">
        <f t="shared" si="0"/>
        <v>45495</v>
      </c>
      <c r="X3" s="2">
        <f t="shared" si="0"/>
        <v>45496</v>
      </c>
      <c r="Y3" s="2">
        <f t="shared" si="0"/>
        <v>45497</v>
      </c>
      <c r="Z3" s="2">
        <f t="shared" si="0"/>
        <v>45498</v>
      </c>
      <c r="AA3" s="2">
        <f t="shared" si="0"/>
        <v>45499</v>
      </c>
      <c r="AB3" s="2">
        <f t="shared" si="0"/>
        <v>45500</v>
      </c>
      <c r="AC3" s="2">
        <f t="shared" si="0"/>
        <v>45501</v>
      </c>
      <c r="AD3" s="2">
        <f t="shared" si="0"/>
        <v>45502</v>
      </c>
      <c r="AE3" s="2">
        <f t="shared" si="0"/>
        <v>45503</v>
      </c>
      <c r="AF3" s="2">
        <f t="shared" si="0"/>
        <v>45504</v>
      </c>
      <c r="AG3" s="36"/>
      <c r="AH3" s="36"/>
      <c r="AM3" s="122" t="s">
        <v>267</v>
      </c>
      <c r="AN3" s="123"/>
      <c r="AO3" s="123"/>
      <c r="AP3" s="123"/>
      <c r="AQ3" s="123"/>
      <c r="AR3" s="124"/>
    </row>
    <row r="4" spans="1:44" ht="31.5" customHeight="1" x14ac:dyDescent="0.35">
      <c r="A4" s="3" t="s">
        <v>2</v>
      </c>
      <c r="B4" s="4">
        <f t="shared" ref="B4:AF4" si="1">B3</f>
        <v>45474</v>
      </c>
      <c r="C4" s="4">
        <f t="shared" si="1"/>
        <v>45475</v>
      </c>
      <c r="D4" s="4">
        <f t="shared" si="1"/>
        <v>45476</v>
      </c>
      <c r="E4" s="4">
        <f t="shared" si="1"/>
        <v>45477</v>
      </c>
      <c r="F4" s="4">
        <f t="shared" si="1"/>
        <v>45478</v>
      </c>
      <c r="G4" s="4">
        <f t="shared" si="1"/>
        <v>45479</v>
      </c>
      <c r="H4" s="4">
        <f t="shared" si="1"/>
        <v>45480</v>
      </c>
      <c r="I4" s="4">
        <f t="shared" si="1"/>
        <v>45481</v>
      </c>
      <c r="J4" s="4">
        <f t="shared" si="1"/>
        <v>45482</v>
      </c>
      <c r="K4" s="4">
        <f t="shared" si="1"/>
        <v>45483</v>
      </c>
      <c r="L4" s="4">
        <f t="shared" si="1"/>
        <v>45484</v>
      </c>
      <c r="M4" s="4">
        <f t="shared" si="1"/>
        <v>45485</v>
      </c>
      <c r="N4" s="4">
        <f t="shared" si="1"/>
        <v>45486</v>
      </c>
      <c r="O4" s="4">
        <f t="shared" si="1"/>
        <v>45487</v>
      </c>
      <c r="P4" s="4">
        <f t="shared" si="1"/>
        <v>45488</v>
      </c>
      <c r="Q4" s="4">
        <f t="shared" si="1"/>
        <v>45489</v>
      </c>
      <c r="R4" s="4">
        <f t="shared" si="1"/>
        <v>45490</v>
      </c>
      <c r="S4" s="4">
        <f t="shared" si="1"/>
        <v>45491</v>
      </c>
      <c r="T4" s="4">
        <f t="shared" si="1"/>
        <v>45492</v>
      </c>
      <c r="U4" s="4">
        <f t="shared" si="1"/>
        <v>45493</v>
      </c>
      <c r="V4" s="4">
        <f t="shared" si="1"/>
        <v>45494</v>
      </c>
      <c r="W4" s="4">
        <f t="shared" si="1"/>
        <v>45495</v>
      </c>
      <c r="X4" s="4">
        <f t="shared" si="1"/>
        <v>45496</v>
      </c>
      <c r="Y4" s="4">
        <f t="shared" si="1"/>
        <v>45497</v>
      </c>
      <c r="Z4" s="4">
        <f t="shared" si="1"/>
        <v>45498</v>
      </c>
      <c r="AA4" s="4">
        <f t="shared" si="1"/>
        <v>45499</v>
      </c>
      <c r="AB4" s="4">
        <f t="shared" si="1"/>
        <v>45500</v>
      </c>
      <c r="AC4" s="4">
        <f t="shared" si="1"/>
        <v>45501</v>
      </c>
      <c r="AD4" s="4">
        <f t="shared" si="1"/>
        <v>45502</v>
      </c>
      <c r="AE4" s="4">
        <f t="shared" si="1"/>
        <v>45503</v>
      </c>
      <c r="AF4" s="4">
        <f t="shared" si="1"/>
        <v>45504</v>
      </c>
      <c r="AG4" s="39" t="s">
        <v>174</v>
      </c>
      <c r="AH4" s="40" t="s">
        <v>175</v>
      </c>
      <c r="AI4" s="5">
        <v>45474</v>
      </c>
      <c r="AJ4" s="6">
        <f>EOMONTH(AI4,0)</f>
        <v>45504</v>
      </c>
      <c r="AM4" s="19" t="s">
        <v>54</v>
      </c>
      <c r="AN4" s="19" t="s">
        <v>269</v>
      </c>
      <c r="AO4" s="19" t="s">
        <v>55</v>
      </c>
      <c r="AP4" s="19" t="s">
        <v>56</v>
      </c>
      <c r="AQ4" s="19" t="s">
        <v>251</v>
      </c>
      <c r="AR4" s="19" t="s">
        <v>57</v>
      </c>
    </row>
    <row r="5" spans="1:44" x14ac:dyDescent="0.35">
      <c r="A5" s="7" t="s">
        <v>3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 t="s">
        <v>437</v>
      </c>
      <c r="Q5" s="55" t="s">
        <v>437</v>
      </c>
      <c r="R5" s="55" t="s">
        <v>437</v>
      </c>
      <c r="S5" s="55" t="s">
        <v>437</v>
      </c>
      <c r="T5" s="55" t="s">
        <v>437</v>
      </c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8"/>
      <c r="AG5" s="41">
        <f>COUNTA(B5:AF5)</f>
        <v>5</v>
      </c>
      <c r="AH5" s="42">
        <f>AG5*100/30</f>
        <v>16.666666666666668</v>
      </c>
      <c r="AM5" s="20"/>
      <c r="AN5" s="56"/>
      <c r="AO5" s="56"/>
      <c r="AP5" s="56"/>
      <c r="AQ5" s="57"/>
      <c r="AR5" s="20"/>
    </row>
    <row r="6" spans="1:44" x14ac:dyDescent="0.35">
      <c r="A6" s="7" t="s">
        <v>7</v>
      </c>
      <c r="B6" s="55" t="s">
        <v>594</v>
      </c>
      <c r="C6" s="55" t="s">
        <v>594</v>
      </c>
      <c r="D6" s="55" t="s">
        <v>594</v>
      </c>
      <c r="E6" s="55" t="s">
        <v>594</v>
      </c>
      <c r="F6" s="55" t="s">
        <v>594</v>
      </c>
      <c r="G6" s="55" t="s">
        <v>594</v>
      </c>
      <c r="H6" s="55" t="s">
        <v>594</v>
      </c>
      <c r="I6" s="55" t="s">
        <v>594</v>
      </c>
      <c r="J6" s="55" t="s">
        <v>594</v>
      </c>
      <c r="K6" s="55" t="s">
        <v>594</v>
      </c>
      <c r="L6" s="55" t="s">
        <v>594</v>
      </c>
      <c r="M6" s="55" t="s">
        <v>594</v>
      </c>
      <c r="N6" s="55" t="s">
        <v>594</v>
      </c>
      <c r="O6" s="55" t="s">
        <v>594</v>
      </c>
      <c r="P6" s="55" t="s">
        <v>594</v>
      </c>
      <c r="Q6" s="55" t="s">
        <v>594</v>
      </c>
      <c r="R6" s="55" t="s">
        <v>594</v>
      </c>
      <c r="S6" s="55" t="s">
        <v>594</v>
      </c>
      <c r="T6" s="55" t="s">
        <v>594</v>
      </c>
      <c r="U6" s="55" t="s">
        <v>594</v>
      </c>
      <c r="V6" s="55" t="s">
        <v>594</v>
      </c>
      <c r="W6" s="55" t="s">
        <v>594</v>
      </c>
      <c r="X6" s="55" t="s">
        <v>594</v>
      </c>
      <c r="Y6" s="55" t="s">
        <v>594</v>
      </c>
      <c r="Z6" s="55" t="s">
        <v>594</v>
      </c>
      <c r="AA6" s="55" t="s">
        <v>594</v>
      </c>
      <c r="AB6" s="55" t="s">
        <v>594</v>
      </c>
      <c r="AC6" s="55" t="s">
        <v>594</v>
      </c>
      <c r="AD6" s="55" t="s">
        <v>594</v>
      </c>
      <c r="AE6" s="55" t="s">
        <v>594</v>
      </c>
      <c r="AF6" s="55" t="s">
        <v>594</v>
      </c>
      <c r="AG6" s="41">
        <f t="shared" ref="AG6:AG11" si="2">COUNTA(B6:AF6)</f>
        <v>31</v>
      </c>
      <c r="AH6" s="42">
        <f t="shared" ref="AH6:AH11" si="3">AG6*100/30</f>
        <v>103.33333333333333</v>
      </c>
      <c r="AM6" s="20"/>
      <c r="AN6" s="56"/>
      <c r="AO6" s="56"/>
      <c r="AP6" s="56"/>
      <c r="AQ6" s="57"/>
      <c r="AR6" s="20"/>
    </row>
    <row r="7" spans="1:44" x14ac:dyDescent="0.35">
      <c r="A7" s="7" t="s">
        <v>11</v>
      </c>
      <c r="B7" s="55" t="s">
        <v>625</v>
      </c>
      <c r="C7" s="55" t="s">
        <v>625</v>
      </c>
      <c r="D7" s="55" t="s">
        <v>625</v>
      </c>
      <c r="E7" s="55" t="s">
        <v>625</v>
      </c>
      <c r="F7" s="55" t="s">
        <v>625</v>
      </c>
      <c r="G7" s="55" t="s">
        <v>625</v>
      </c>
      <c r="H7" s="55" t="s">
        <v>625</v>
      </c>
      <c r="I7" s="55" t="s">
        <v>625</v>
      </c>
      <c r="J7" s="55" t="s">
        <v>625</v>
      </c>
      <c r="K7" s="55" t="s">
        <v>625</v>
      </c>
      <c r="L7" s="55" t="s">
        <v>625</v>
      </c>
      <c r="M7" s="55" t="s">
        <v>625</v>
      </c>
      <c r="N7" s="55" t="s">
        <v>625</v>
      </c>
      <c r="O7" s="55" t="s">
        <v>625</v>
      </c>
      <c r="P7" s="55" t="s">
        <v>625</v>
      </c>
      <c r="Q7" s="55" t="s">
        <v>625</v>
      </c>
      <c r="R7" s="55" t="s">
        <v>625</v>
      </c>
      <c r="S7" s="55" t="s">
        <v>625</v>
      </c>
      <c r="T7" s="55" t="s">
        <v>625</v>
      </c>
      <c r="U7" s="55" t="s">
        <v>625</v>
      </c>
      <c r="V7" s="55" t="s">
        <v>625</v>
      </c>
      <c r="W7" s="55" t="s">
        <v>625</v>
      </c>
      <c r="X7" s="55" t="s">
        <v>625</v>
      </c>
      <c r="Y7" s="55" t="s">
        <v>625</v>
      </c>
      <c r="Z7" s="55" t="s">
        <v>625</v>
      </c>
      <c r="AA7" s="76" t="s">
        <v>640</v>
      </c>
      <c r="AB7" s="76" t="s">
        <v>640</v>
      </c>
      <c r="AC7" s="76" t="s">
        <v>640</v>
      </c>
      <c r="AD7" s="76" t="s">
        <v>640</v>
      </c>
      <c r="AE7" s="76" t="s">
        <v>640</v>
      </c>
      <c r="AF7" s="76" t="s">
        <v>640</v>
      </c>
      <c r="AG7" s="41">
        <f t="shared" si="2"/>
        <v>31</v>
      </c>
      <c r="AH7" s="42">
        <f t="shared" si="3"/>
        <v>103.33333333333333</v>
      </c>
      <c r="AM7" s="20"/>
      <c r="AN7" s="56"/>
      <c r="AO7" s="56"/>
      <c r="AP7" s="56"/>
      <c r="AQ7" s="57"/>
      <c r="AR7" s="20"/>
    </row>
    <row r="8" spans="1:44" ht="15" customHeight="1" x14ac:dyDescent="0.35">
      <c r="A8" s="7" t="s">
        <v>15</v>
      </c>
      <c r="B8" s="8"/>
      <c r="C8" s="55"/>
      <c r="D8" s="55"/>
      <c r="E8" s="55"/>
      <c r="F8" s="8" t="s">
        <v>391</v>
      </c>
      <c r="G8" s="8" t="s">
        <v>391</v>
      </c>
      <c r="H8" s="8" t="s">
        <v>391</v>
      </c>
      <c r="I8" s="73" t="s">
        <v>391</v>
      </c>
      <c r="J8" s="73" t="s">
        <v>391</v>
      </c>
      <c r="K8" s="73" t="s">
        <v>391</v>
      </c>
      <c r="L8" s="73" t="s">
        <v>391</v>
      </c>
      <c r="M8" s="73" t="s">
        <v>391</v>
      </c>
      <c r="N8" s="73" t="s">
        <v>391</v>
      </c>
      <c r="O8" s="73" t="s">
        <v>391</v>
      </c>
      <c r="P8" s="73" t="s">
        <v>391</v>
      </c>
      <c r="Q8" s="55"/>
      <c r="R8" s="55" t="s">
        <v>637</v>
      </c>
      <c r="S8" s="55" t="s">
        <v>637</v>
      </c>
      <c r="T8" s="55" t="s">
        <v>637</v>
      </c>
      <c r="U8" s="55" t="s">
        <v>637</v>
      </c>
      <c r="V8" s="55" t="s">
        <v>637</v>
      </c>
      <c r="W8" s="55" t="s">
        <v>637</v>
      </c>
      <c r="X8" s="55" t="s">
        <v>637</v>
      </c>
      <c r="Y8" s="55" t="s">
        <v>637</v>
      </c>
      <c r="Z8" s="55" t="s">
        <v>637</v>
      </c>
      <c r="AA8" s="76" t="s">
        <v>641</v>
      </c>
      <c r="AB8" s="76" t="s">
        <v>641</v>
      </c>
      <c r="AC8" s="76" t="s">
        <v>641</v>
      </c>
      <c r="AD8" s="76" t="s">
        <v>641</v>
      </c>
      <c r="AE8" s="76" t="s">
        <v>641</v>
      </c>
      <c r="AF8" s="76" t="s">
        <v>641</v>
      </c>
      <c r="AG8" s="41">
        <f t="shared" si="2"/>
        <v>26</v>
      </c>
      <c r="AH8" s="42">
        <f t="shared" si="3"/>
        <v>86.666666666666671</v>
      </c>
      <c r="AK8" s="9"/>
      <c r="AM8" s="20"/>
      <c r="AN8" s="56"/>
      <c r="AO8" s="56"/>
      <c r="AP8" s="56"/>
      <c r="AQ8" s="57"/>
      <c r="AR8" s="20"/>
    </row>
    <row r="9" spans="1:44" ht="15.75" customHeight="1" x14ac:dyDescent="0.35">
      <c r="A9" s="7" t="s">
        <v>18</v>
      </c>
      <c r="B9" s="55" t="s">
        <v>626</v>
      </c>
      <c r="C9" s="55" t="s">
        <v>626</v>
      </c>
      <c r="D9" s="55" t="s">
        <v>626</v>
      </c>
      <c r="E9" s="55" t="s">
        <v>626</v>
      </c>
      <c r="F9" s="55" t="s">
        <v>626</v>
      </c>
      <c r="G9" s="55" t="s">
        <v>626</v>
      </c>
      <c r="H9" s="55" t="s">
        <v>626</v>
      </c>
      <c r="I9" s="55" t="s">
        <v>626</v>
      </c>
      <c r="J9" s="55" t="s">
        <v>626</v>
      </c>
      <c r="K9" s="55" t="s">
        <v>626</v>
      </c>
      <c r="L9" s="55" t="s">
        <v>626</v>
      </c>
      <c r="M9" s="55" t="s">
        <v>626</v>
      </c>
      <c r="N9" s="55" t="s">
        <v>626</v>
      </c>
      <c r="O9" s="55" t="s">
        <v>626</v>
      </c>
      <c r="P9" s="55" t="s">
        <v>626</v>
      </c>
      <c r="Q9" s="55" t="s">
        <v>626</v>
      </c>
      <c r="R9" s="55" t="s">
        <v>626</v>
      </c>
      <c r="S9" s="55" t="s">
        <v>626</v>
      </c>
      <c r="T9" s="55" t="s">
        <v>626</v>
      </c>
      <c r="U9" s="55" t="s">
        <v>626</v>
      </c>
      <c r="V9" s="55"/>
      <c r="W9" s="55"/>
      <c r="X9" s="76" t="s">
        <v>636</v>
      </c>
      <c r="Y9" s="55"/>
      <c r="Z9" s="55" t="s">
        <v>347</v>
      </c>
      <c r="AA9" s="55" t="s">
        <v>347</v>
      </c>
      <c r="AB9" s="55"/>
      <c r="AC9" s="55"/>
      <c r="AD9" s="55"/>
      <c r="AE9" s="55"/>
      <c r="AF9" s="8"/>
      <c r="AG9" s="41">
        <f t="shared" si="2"/>
        <v>23</v>
      </c>
      <c r="AH9" s="42">
        <f t="shared" si="3"/>
        <v>76.666666666666671</v>
      </c>
      <c r="AM9" s="20"/>
      <c r="AN9" s="56"/>
      <c r="AO9" s="56"/>
      <c r="AP9" s="56"/>
      <c r="AQ9" s="57"/>
      <c r="AR9" s="20"/>
    </row>
    <row r="10" spans="1:44" ht="15.75" customHeight="1" x14ac:dyDescent="0.35">
      <c r="A10" s="7" t="s">
        <v>20</v>
      </c>
      <c r="B10" s="55" t="s">
        <v>607</v>
      </c>
      <c r="C10" s="55" t="s">
        <v>607</v>
      </c>
      <c r="D10" s="55" t="s">
        <v>607</v>
      </c>
      <c r="E10" s="55" t="s">
        <v>607</v>
      </c>
      <c r="F10" s="55" t="s">
        <v>607</v>
      </c>
      <c r="G10" s="55" t="s">
        <v>607</v>
      </c>
      <c r="H10" s="55" t="s">
        <v>607</v>
      </c>
      <c r="I10" s="80" t="s">
        <v>547</v>
      </c>
      <c r="J10" s="80" t="s">
        <v>547</v>
      </c>
      <c r="K10" s="80" t="s">
        <v>547</v>
      </c>
      <c r="L10" s="80" t="s">
        <v>547</v>
      </c>
      <c r="M10" s="55"/>
      <c r="N10" s="55"/>
      <c r="O10" s="55"/>
      <c r="P10" s="55" t="s">
        <v>493</v>
      </c>
      <c r="Q10" s="55" t="s">
        <v>493</v>
      </c>
      <c r="R10" s="55" t="s">
        <v>637</v>
      </c>
      <c r="S10" s="55" t="s">
        <v>637</v>
      </c>
      <c r="T10" s="55" t="s">
        <v>637</v>
      </c>
      <c r="U10" s="55" t="s">
        <v>637</v>
      </c>
      <c r="V10" s="55" t="s">
        <v>637</v>
      </c>
      <c r="W10" s="55" t="s">
        <v>637</v>
      </c>
      <c r="X10" s="55" t="s">
        <v>637</v>
      </c>
      <c r="Y10" s="55" t="s">
        <v>637</v>
      </c>
      <c r="Z10" s="55" t="s">
        <v>637</v>
      </c>
      <c r="AA10" s="55"/>
      <c r="AB10" s="55"/>
      <c r="AC10" s="55"/>
      <c r="AD10" s="76" t="s">
        <v>639</v>
      </c>
      <c r="AE10" s="76" t="s">
        <v>639</v>
      </c>
      <c r="AF10" s="76" t="s">
        <v>639</v>
      </c>
      <c r="AG10" s="41">
        <f t="shared" si="2"/>
        <v>25</v>
      </c>
      <c r="AH10" s="42">
        <f t="shared" si="3"/>
        <v>83.333333333333329</v>
      </c>
      <c r="AM10" s="20"/>
      <c r="AN10" s="56"/>
      <c r="AO10" s="56"/>
      <c r="AP10" s="56"/>
      <c r="AQ10" s="57"/>
      <c r="AR10" s="20"/>
    </row>
    <row r="11" spans="1:44" ht="15.75" customHeight="1" thickBot="1" x14ac:dyDescent="0.4">
      <c r="A11" s="7" t="s">
        <v>24</v>
      </c>
      <c r="B11" s="55" t="s">
        <v>608</v>
      </c>
      <c r="C11" s="55" t="s">
        <v>608</v>
      </c>
      <c r="D11" s="55" t="s">
        <v>608</v>
      </c>
      <c r="E11" s="55" t="s">
        <v>608</v>
      </c>
      <c r="F11" s="55" t="s">
        <v>608</v>
      </c>
      <c r="G11" s="55" t="s">
        <v>608</v>
      </c>
      <c r="H11" s="55" t="s">
        <v>608</v>
      </c>
      <c r="I11" s="80" t="s">
        <v>547</v>
      </c>
      <c r="J11" s="80" t="s">
        <v>547</v>
      </c>
      <c r="K11" s="80" t="s">
        <v>547</v>
      </c>
      <c r="L11" s="80" t="s">
        <v>547</v>
      </c>
      <c r="M11" s="55"/>
      <c r="N11" s="55"/>
      <c r="O11" s="55"/>
      <c r="P11" s="55" t="s">
        <v>495</v>
      </c>
      <c r="Q11" s="55" t="s">
        <v>495</v>
      </c>
      <c r="R11" s="55" t="s">
        <v>495</v>
      </c>
      <c r="S11" s="55" t="s">
        <v>495</v>
      </c>
      <c r="T11" s="80" t="s">
        <v>633</v>
      </c>
      <c r="U11" s="80" t="s">
        <v>633</v>
      </c>
      <c r="V11" s="73" t="s">
        <v>575</v>
      </c>
      <c r="W11" s="73" t="s">
        <v>575</v>
      </c>
      <c r="X11" s="73" t="s">
        <v>575</v>
      </c>
      <c r="Y11" s="73" t="s">
        <v>575</v>
      </c>
      <c r="Z11" s="73" t="s">
        <v>575</v>
      </c>
      <c r="AA11" s="73" t="s">
        <v>575</v>
      </c>
      <c r="AB11" s="73" t="s">
        <v>575</v>
      </c>
      <c r="AC11" s="73" t="s">
        <v>575</v>
      </c>
      <c r="AD11" s="73" t="s">
        <v>575</v>
      </c>
      <c r="AE11" s="55"/>
      <c r="AF11" s="8"/>
      <c r="AG11" s="41">
        <f t="shared" si="2"/>
        <v>26</v>
      </c>
      <c r="AH11" s="42">
        <f t="shared" si="3"/>
        <v>86.666666666666671</v>
      </c>
      <c r="AM11" s="20"/>
      <c r="AN11" s="20"/>
      <c r="AO11" s="20"/>
      <c r="AP11" s="20"/>
      <c r="AQ11" s="20"/>
      <c r="AR11" s="20"/>
    </row>
    <row r="12" spans="1:44" ht="15" customHeight="1" x14ac:dyDescent="0.35">
      <c r="A12" s="45" t="s">
        <v>176</v>
      </c>
      <c r="B12" s="46">
        <f>COUNTA(B5:B11)</f>
        <v>5</v>
      </c>
      <c r="C12" s="46">
        <f>COUNTA(C5:C11)</f>
        <v>5</v>
      </c>
      <c r="D12" s="46">
        <f t="shared" ref="D12:AF12" si="4">COUNTA(D5:D11)</f>
        <v>5</v>
      </c>
      <c r="E12" s="46">
        <f t="shared" si="4"/>
        <v>5</v>
      </c>
      <c r="F12" s="46">
        <f t="shared" si="4"/>
        <v>6</v>
      </c>
      <c r="G12" s="46">
        <f t="shared" si="4"/>
        <v>6</v>
      </c>
      <c r="H12" s="46">
        <f t="shared" si="4"/>
        <v>6</v>
      </c>
      <c r="I12" s="46">
        <f t="shared" si="4"/>
        <v>6</v>
      </c>
      <c r="J12" s="46">
        <f t="shared" si="4"/>
        <v>6</v>
      </c>
      <c r="K12" s="46">
        <f t="shared" si="4"/>
        <v>6</v>
      </c>
      <c r="L12" s="46">
        <f t="shared" si="4"/>
        <v>6</v>
      </c>
      <c r="M12" s="46">
        <f t="shared" si="4"/>
        <v>4</v>
      </c>
      <c r="N12" s="46">
        <f t="shared" si="4"/>
        <v>4</v>
      </c>
      <c r="O12" s="46">
        <f t="shared" si="4"/>
        <v>4</v>
      </c>
      <c r="P12" s="46">
        <f t="shared" si="4"/>
        <v>7</v>
      </c>
      <c r="Q12" s="46">
        <f t="shared" si="4"/>
        <v>6</v>
      </c>
      <c r="R12" s="46">
        <f t="shared" si="4"/>
        <v>7</v>
      </c>
      <c r="S12" s="46">
        <f t="shared" si="4"/>
        <v>7</v>
      </c>
      <c r="T12" s="46">
        <f t="shared" si="4"/>
        <v>7</v>
      </c>
      <c r="U12" s="46">
        <f t="shared" si="4"/>
        <v>6</v>
      </c>
      <c r="V12" s="46">
        <f t="shared" si="4"/>
        <v>5</v>
      </c>
      <c r="W12" s="46">
        <f t="shared" si="4"/>
        <v>5</v>
      </c>
      <c r="X12" s="46">
        <f t="shared" si="4"/>
        <v>6</v>
      </c>
      <c r="Y12" s="46">
        <f t="shared" si="4"/>
        <v>5</v>
      </c>
      <c r="Z12" s="46">
        <f t="shared" si="4"/>
        <v>6</v>
      </c>
      <c r="AA12" s="46">
        <f t="shared" si="4"/>
        <v>5</v>
      </c>
      <c r="AB12" s="46">
        <f t="shared" si="4"/>
        <v>4</v>
      </c>
      <c r="AC12" s="46">
        <f t="shared" si="4"/>
        <v>4</v>
      </c>
      <c r="AD12" s="46">
        <f t="shared" si="4"/>
        <v>5</v>
      </c>
      <c r="AE12" s="46">
        <f t="shared" si="4"/>
        <v>4</v>
      </c>
      <c r="AF12" s="46">
        <f t="shared" si="4"/>
        <v>4</v>
      </c>
      <c r="AG12" s="43">
        <f t="shared" ref="AG12" si="5">SUM(AG5:AG11)</f>
        <v>167</v>
      </c>
      <c r="AH12" s="44">
        <f>AVERAGE(AH5:AH11)</f>
        <v>79.523809523809518</v>
      </c>
      <c r="AI12" s="29"/>
      <c r="AM12" s="20"/>
      <c r="AN12" s="20"/>
      <c r="AO12" s="20"/>
      <c r="AP12" s="20"/>
      <c r="AQ12" s="20"/>
      <c r="AR12" s="20"/>
    </row>
    <row r="13" spans="1:44" ht="57" hidden="1" x14ac:dyDescent="0.35">
      <c r="A13" s="13" t="s">
        <v>28</v>
      </c>
      <c r="B13" s="14"/>
      <c r="C13" s="14"/>
      <c r="D13" s="14"/>
      <c r="E13" s="14"/>
      <c r="F13" s="14"/>
      <c r="G13" s="14"/>
      <c r="H13" s="14"/>
      <c r="I13" s="35"/>
      <c r="J13" s="34"/>
      <c r="K13" s="15"/>
      <c r="L13" s="14"/>
      <c r="M13" s="14"/>
      <c r="N13" s="25"/>
      <c r="O13" s="25"/>
      <c r="P13" s="25"/>
      <c r="Q13" s="14"/>
      <c r="R13" s="14"/>
      <c r="S13" s="14"/>
      <c r="T13" s="14"/>
      <c r="U13" s="14"/>
      <c r="V13" s="15"/>
      <c r="W13" s="15"/>
      <c r="X13" s="14"/>
      <c r="Y13" s="14"/>
      <c r="Z13" s="14"/>
      <c r="AA13" s="14"/>
      <c r="AB13" s="14"/>
      <c r="AC13" s="14"/>
      <c r="AD13" s="14"/>
      <c r="AE13" s="14"/>
      <c r="AF13" s="14"/>
      <c r="AG13" s="37"/>
      <c r="AH13" s="37"/>
      <c r="AM13" s="20"/>
      <c r="AN13" s="20"/>
      <c r="AO13" s="20"/>
      <c r="AP13" s="20"/>
      <c r="AQ13" s="20"/>
      <c r="AR13" s="20"/>
    </row>
    <row r="14" spans="1:44" ht="28.5" hidden="1" x14ac:dyDescent="0.35">
      <c r="A14" s="16" t="s">
        <v>29</v>
      </c>
      <c r="B14" s="14"/>
      <c r="C14" s="14"/>
      <c r="D14" s="14"/>
      <c r="E14" s="14"/>
      <c r="F14" s="14"/>
      <c r="G14" s="14"/>
      <c r="H14" s="14"/>
      <c r="I14" s="35"/>
      <c r="J14" s="34"/>
      <c r="K14" s="15"/>
      <c r="L14" s="14"/>
      <c r="M14" s="14"/>
      <c r="N14" s="25"/>
      <c r="O14" s="25"/>
      <c r="P14" s="25"/>
      <c r="Q14" s="14"/>
      <c r="R14" s="14"/>
      <c r="S14" s="14"/>
      <c r="T14" s="14"/>
      <c r="U14" s="14"/>
      <c r="V14" s="15"/>
      <c r="W14" s="15"/>
      <c r="X14" s="14"/>
      <c r="Y14" s="14"/>
      <c r="Z14" s="14"/>
      <c r="AA14" s="14"/>
      <c r="AB14" s="14"/>
      <c r="AC14" s="14"/>
      <c r="AD14" s="14"/>
      <c r="AE14" s="14"/>
      <c r="AF14" s="14"/>
      <c r="AG14" s="37"/>
      <c r="AH14" s="37"/>
      <c r="AM14" s="20"/>
      <c r="AN14" s="20"/>
      <c r="AO14" s="20"/>
      <c r="AP14" s="20"/>
      <c r="AQ14" s="20"/>
      <c r="AR14" s="20"/>
    </row>
    <row r="15" spans="1:44" x14ac:dyDescent="0.35">
      <c r="A15" s="7" t="s">
        <v>30</v>
      </c>
      <c r="B15" s="8" t="s">
        <v>503</v>
      </c>
      <c r="C15" s="8" t="s">
        <v>503</v>
      </c>
      <c r="D15" s="8" t="s">
        <v>503</v>
      </c>
      <c r="E15" s="8" t="s">
        <v>503</v>
      </c>
      <c r="F15" s="8" t="s">
        <v>503</v>
      </c>
      <c r="G15" s="8" t="s">
        <v>503</v>
      </c>
      <c r="H15" s="8" t="s">
        <v>503</v>
      </c>
      <c r="I15" s="8" t="s">
        <v>503</v>
      </c>
      <c r="J15" s="8" t="s">
        <v>503</v>
      </c>
      <c r="K15" s="8" t="s">
        <v>503</v>
      </c>
      <c r="L15" s="8" t="s">
        <v>503</v>
      </c>
      <c r="M15" s="8" t="s">
        <v>503</v>
      </c>
      <c r="N15" s="8" t="s">
        <v>503</v>
      </c>
      <c r="O15" s="8" t="s">
        <v>503</v>
      </c>
      <c r="P15" s="8" t="s">
        <v>503</v>
      </c>
      <c r="Q15" s="8" t="s">
        <v>503</v>
      </c>
      <c r="R15" s="8" t="s">
        <v>503</v>
      </c>
      <c r="S15" s="8" t="s">
        <v>503</v>
      </c>
      <c r="T15" s="8" t="s">
        <v>503</v>
      </c>
      <c r="U15" s="8" t="s">
        <v>503</v>
      </c>
      <c r="V15" s="8" t="s">
        <v>503</v>
      </c>
      <c r="W15" s="8" t="s">
        <v>503</v>
      </c>
      <c r="X15" s="8" t="s">
        <v>503</v>
      </c>
      <c r="Y15" s="8" t="s">
        <v>503</v>
      </c>
      <c r="Z15" s="8" t="s">
        <v>503</v>
      </c>
      <c r="AA15" s="8" t="s">
        <v>503</v>
      </c>
      <c r="AB15" s="8" t="s">
        <v>503</v>
      </c>
      <c r="AC15" s="8" t="s">
        <v>503</v>
      </c>
      <c r="AD15" s="8" t="s">
        <v>503</v>
      </c>
      <c r="AE15" s="8" t="s">
        <v>503</v>
      </c>
      <c r="AF15" s="8" t="s">
        <v>503</v>
      </c>
      <c r="AG15" s="41">
        <f>COUNTA(B15:AF15)</f>
        <v>31</v>
      </c>
      <c r="AH15" s="42">
        <f>AG15*100/30</f>
        <v>103.33333333333333</v>
      </c>
      <c r="AM15" s="20"/>
      <c r="AN15" s="20"/>
      <c r="AO15" s="20"/>
      <c r="AP15" s="20"/>
      <c r="AQ15" s="20"/>
      <c r="AR15" s="20"/>
    </row>
    <row r="16" spans="1:44" x14ac:dyDescent="0.35">
      <c r="A16" s="7" t="s">
        <v>35</v>
      </c>
      <c r="B16" s="8" t="s">
        <v>616</v>
      </c>
      <c r="C16" s="8" t="s">
        <v>616</v>
      </c>
      <c r="D16" s="8" t="s">
        <v>616</v>
      </c>
      <c r="E16" s="8" t="s">
        <v>616</v>
      </c>
      <c r="F16" s="8" t="s">
        <v>616</v>
      </c>
      <c r="G16" s="8" t="s">
        <v>616</v>
      </c>
      <c r="H16" s="8" t="s">
        <v>616</v>
      </c>
      <c r="I16" s="8" t="s">
        <v>616</v>
      </c>
      <c r="J16" s="8" t="s">
        <v>616</v>
      </c>
      <c r="K16" s="8" t="s">
        <v>616</v>
      </c>
      <c r="L16" s="54"/>
      <c r="M16" s="8"/>
      <c r="N16" s="8"/>
      <c r="O16" s="8" t="s">
        <v>406</v>
      </c>
      <c r="P16" s="8" t="s">
        <v>406</v>
      </c>
      <c r="Q16" s="8" t="s">
        <v>406</v>
      </c>
      <c r="R16" s="8" t="s">
        <v>406</v>
      </c>
      <c r="S16" s="8" t="s">
        <v>406</v>
      </c>
      <c r="T16" s="8" t="s">
        <v>406</v>
      </c>
      <c r="U16" s="8" t="s">
        <v>406</v>
      </c>
      <c r="V16" s="8" t="s">
        <v>406</v>
      </c>
      <c r="W16" s="8" t="s">
        <v>406</v>
      </c>
      <c r="X16" s="8" t="s">
        <v>406</v>
      </c>
      <c r="Y16" s="8" t="s">
        <v>406</v>
      </c>
      <c r="Z16" s="8" t="s">
        <v>406</v>
      </c>
      <c r="AA16" s="8"/>
      <c r="AB16" s="8"/>
      <c r="AC16" s="8"/>
      <c r="AD16" s="8"/>
      <c r="AE16" s="8"/>
      <c r="AF16" s="54"/>
      <c r="AG16" s="41">
        <f t="shared" ref="AG16:AG22" si="6">COUNTA(B16:AF16)</f>
        <v>22</v>
      </c>
      <c r="AH16" s="42">
        <f t="shared" ref="AH16:AH22" si="7">AG16*100/30</f>
        <v>73.333333333333329</v>
      </c>
      <c r="AM16" s="20"/>
      <c r="AN16" s="20"/>
      <c r="AO16" s="56"/>
      <c r="AP16" s="56"/>
      <c r="AQ16" s="20"/>
      <c r="AR16" s="20"/>
    </row>
    <row r="17" spans="1:50" x14ac:dyDescent="0.35">
      <c r="A17" s="7" t="s">
        <v>39</v>
      </c>
      <c r="B17" s="8" t="s">
        <v>623</v>
      </c>
      <c r="C17" s="8" t="s">
        <v>623</v>
      </c>
      <c r="D17" s="8" t="s">
        <v>623</v>
      </c>
      <c r="E17" s="8" t="s">
        <v>623</v>
      </c>
      <c r="F17" s="8" t="s">
        <v>385</v>
      </c>
      <c r="G17" s="8" t="s">
        <v>385</v>
      </c>
      <c r="H17" s="8" t="s">
        <v>385</v>
      </c>
      <c r="I17" s="8" t="s">
        <v>385</v>
      </c>
      <c r="J17" s="8" t="s">
        <v>385</v>
      </c>
      <c r="K17" s="8" t="s">
        <v>385</v>
      </c>
      <c r="L17" s="8" t="s">
        <v>385</v>
      </c>
      <c r="M17" s="8" t="s">
        <v>385</v>
      </c>
      <c r="N17" s="8" t="s">
        <v>630</v>
      </c>
      <c r="O17" s="8" t="s">
        <v>630</v>
      </c>
      <c r="P17" s="55"/>
      <c r="Q17" s="55"/>
      <c r="R17" s="8" t="s">
        <v>313</v>
      </c>
      <c r="S17" s="8" t="s">
        <v>313</v>
      </c>
      <c r="T17" s="8" t="s">
        <v>313</v>
      </c>
      <c r="U17" s="8" t="s">
        <v>313</v>
      </c>
      <c r="V17" s="8" t="s">
        <v>313</v>
      </c>
      <c r="W17" s="8" t="s">
        <v>313</v>
      </c>
      <c r="X17" s="8" t="s">
        <v>313</v>
      </c>
      <c r="Y17" s="8" t="s">
        <v>313</v>
      </c>
      <c r="Z17" s="8" t="s">
        <v>313</v>
      </c>
      <c r="AA17" s="8" t="s">
        <v>313</v>
      </c>
      <c r="AB17" s="8" t="s">
        <v>313</v>
      </c>
      <c r="AC17" s="8" t="s">
        <v>313</v>
      </c>
      <c r="AD17" s="8" t="s">
        <v>313</v>
      </c>
      <c r="AE17" s="8" t="s">
        <v>313</v>
      </c>
      <c r="AF17" s="8" t="s">
        <v>313</v>
      </c>
      <c r="AG17" s="41">
        <f t="shared" si="6"/>
        <v>29</v>
      </c>
      <c r="AH17" s="42">
        <f t="shared" si="7"/>
        <v>96.666666666666671</v>
      </c>
      <c r="AM17" s="20"/>
      <c r="AN17" s="20"/>
      <c r="AO17" s="20"/>
      <c r="AP17" s="20"/>
      <c r="AQ17" s="20"/>
      <c r="AR17" s="20"/>
      <c r="AX17" s="58"/>
    </row>
    <row r="18" spans="1:50" x14ac:dyDescent="0.35">
      <c r="A18" s="7" t="s">
        <v>42</v>
      </c>
      <c r="B18" s="8" t="s">
        <v>617</v>
      </c>
      <c r="C18" s="8" t="s">
        <v>617</v>
      </c>
      <c r="D18" s="8" t="s">
        <v>617</v>
      </c>
      <c r="E18" s="8" t="s">
        <v>617</v>
      </c>
      <c r="F18" s="8" t="s">
        <v>617</v>
      </c>
      <c r="G18" s="8" t="s">
        <v>617</v>
      </c>
      <c r="H18" s="8" t="s">
        <v>617</v>
      </c>
      <c r="I18" s="8" t="s">
        <v>617</v>
      </c>
      <c r="J18" s="8" t="s">
        <v>627</v>
      </c>
      <c r="K18" s="8" t="s">
        <v>628</v>
      </c>
      <c r="L18" s="8" t="s">
        <v>628</v>
      </c>
      <c r="M18" s="8" t="s">
        <v>628</v>
      </c>
      <c r="N18" s="8" t="s">
        <v>628</v>
      </c>
      <c r="O18" s="8" t="s">
        <v>628</v>
      </c>
      <c r="P18" s="8" t="s">
        <v>628</v>
      </c>
      <c r="Q18" s="8" t="s">
        <v>628</v>
      </c>
      <c r="R18" s="8" t="s">
        <v>628</v>
      </c>
      <c r="S18" s="8" t="s">
        <v>628</v>
      </c>
      <c r="T18" s="8" t="s">
        <v>628</v>
      </c>
      <c r="U18" s="8" t="s">
        <v>628</v>
      </c>
      <c r="V18" s="8" t="s">
        <v>628</v>
      </c>
      <c r="W18" s="8" t="s">
        <v>628</v>
      </c>
      <c r="X18" s="8" t="s">
        <v>628</v>
      </c>
      <c r="Y18" s="8" t="s">
        <v>628</v>
      </c>
      <c r="Z18" s="8" t="s">
        <v>628</v>
      </c>
      <c r="AA18" s="8" t="s">
        <v>628</v>
      </c>
      <c r="AB18" s="8" t="s">
        <v>628</v>
      </c>
      <c r="AC18" s="8" t="s">
        <v>628</v>
      </c>
      <c r="AD18" s="55"/>
      <c r="AE18" s="55"/>
      <c r="AF18" s="55"/>
      <c r="AG18" s="41">
        <f t="shared" si="6"/>
        <v>28</v>
      </c>
      <c r="AH18" s="42">
        <f t="shared" si="7"/>
        <v>93.333333333333329</v>
      </c>
      <c r="AM18" s="20"/>
      <c r="AN18" s="20"/>
      <c r="AO18" s="20"/>
      <c r="AP18" s="20"/>
      <c r="AQ18" s="20"/>
      <c r="AR18" s="20"/>
      <c r="AX18" s="58"/>
    </row>
    <row r="19" spans="1:50" x14ac:dyDescent="0.35">
      <c r="A19" s="7" t="s">
        <v>45</v>
      </c>
      <c r="B19" s="8" t="s">
        <v>609</v>
      </c>
      <c r="C19" s="8" t="s">
        <v>609</v>
      </c>
      <c r="D19" s="8" t="s">
        <v>609</v>
      </c>
      <c r="E19" s="8" t="s">
        <v>609</v>
      </c>
      <c r="F19" s="8" t="s">
        <v>609</v>
      </c>
      <c r="G19" s="8" t="s">
        <v>609</v>
      </c>
      <c r="H19" s="8" t="s">
        <v>609</v>
      </c>
      <c r="I19" s="8" t="s">
        <v>609</v>
      </c>
      <c r="J19" s="8" t="s">
        <v>609</v>
      </c>
      <c r="K19" s="8" t="s">
        <v>609</v>
      </c>
      <c r="L19" s="8" t="s">
        <v>609</v>
      </c>
      <c r="M19" s="8" t="s">
        <v>609</v>
      </c>
      <c r="N19" s="8" t="s">
        <v>609</v>
      </c>
      <c r="O19" s="8" t="s">
        <v>609</v>
      </c>
      <c r="P19" s="8" t="s">
        <v>609</v>
      </c>
      <c r="Q19" s="8" t="s">
        <v>609</v>
      </c>
      <c r="R19" s="8" t="s">
        <v>609</v>
      </c>
      <c r="S19" s="8" t="s">
        <v>609</v>
      </c>
      <c r="T19" s="8" t="s">
        <v>609</v>
      </c>
      <c r="U19" s="8" t="s">
        <v>609</v>
      </c>
      <c r="V19" s="8" t="s">
        <v>609</v>
      </c>
      <c r="W19" s="8" t="s">
        <v>609</v>
      </c>
      <c r="X19" s="8" t="s">
        <v>609</v>
      </c>
      <c r="Y19" s="8" t="s">
        <v>609</v>
      </c>
      <c r="Z19" s="8" t="s">
        <v>609</v>
      </c>
      <c r="AA19" s="8" t="s">
        <v>609</v>
      </c>
      <c r="AB19" s="8" t="s">
        <v>609</v>
      </c>
      <c r="AC19" s="8" t="s">
        <v>609</v>
      </c>
      <c r="AD19" s="8" t="s">
        <v>609</v>
      </c>
      <c r="AE19" s="8" t="s">
        <v>609</v>
      </c>
      <c r="AF19" s="8" t="s">
        <v>609</v>
      </c>
      <c r="AG19" s="41">
        <f t="shared" si="6"/>
        <v>31</v>
      </c>
      <c r="AH19" s="42">
        <f t="shared" si="7"/>
        <v>103.33333333333333</v>
      </c>
      <c r="AM19" s="20"/>
      <c r="AN19" s="20"/>
      <c r="AO19" s="20"/>
      <c r="AP19" s="20"/>
      <c r="AQ19" s="20"/>
      <c r="AR19" s="20"/>
      <c r="AX19" s="58"/>
    </row>
    <row r="20" spans="1:50" x14ac:dyDescent="0.35">
      <c r="A20" s="7" t="s">
        <v>47</v>
      </c>
      <c r="B20" s="8" t="s">
        <v>313</v>
      </c>
      <c r="C20" s="8" t="s">
        <v>313</v>
      </c>
      <c r="D20" s="8" t="s">
        <v>313</v>
      </c>
      <c r="E20" s="8" t="s">
        <v>313</v>
      </c>
      <c r="F20" s="8" t="s">
        <v>313</v>
      </c>
      <c r="G20" s="8" t="s">
        <v>313</v>
      </c>
      <c r="H20" s="8" t="s">
        <v>313</v>
      </c>
      <c r="I20" s="8" t="s">
        <v>313</v>
      </c>
      <c r="J20" s="73" t="s">
        <v>313</v>
      </c>
      <c r="K20" s="8"/>
      <c r="L20" s="8"/>
      <c r="M20" s="8"/>
      <c r="N20" s="8"/>
      <c r="O20" s="8" t="s">
        <v>629</v>
      </c>
      <c r="P20" s="8" t="s">
        <v>629</v>
      </c>
      <c r="Q20" s="8" t="s">
        <v>629</v>
      </c>
      <c r="R20" s="8" t="s">
        <v>629</v>
      </c>
      <c r="S20" s="8"/>
      <c r="T20" s="80" t="s">
        <v>632</v>
      </c>
      <c r="U20" s="80" t="s">
        <v>632</v>
      </c>
      <c r="V20" s="8"/>
      <c r="W20" s="8"/>
      <c r="X20" s="76" t="s">
        <v>636</v>
      </c>
      <c r="Y20" s="8"/>
      <c r="Z20" s="55" t="s">
        <v>347</v>
      </c>
      <c r="AA20" s="55" t="s">
        <v>347</v>
      </c>
      <c r="AB20" s="8"/>
      <c r="AC20" s="8"/>
      <c r="AD20" s="8"/>
      <c r="AE20" s="82" t="s">
        <v>642</v>
      </c>
      <c r="AF20" s="82" t="s">
        <v>642</v>
      </c>
      <c r="AG20" s="41">
        <f t="shared" si="6"/>
        <v>20</v>
      </c>
      <c r="AH20" s="42">
        <f t="shared" si="7"/>
        <v>66.666666666666671</v>
      </c>
      <c r="AM20" s="20"/>
      <c r="AN20" s="20"/>
      <c r="AO20" s="20"/>
      <c r="AP20" s="20"/>
      <c r="AQ20" s="20"/>
      <c r="AR20" s="20"/>
      <c r="AX20" s="58"/>
    </row>
    <row r="21" spans="1:50" x14ac:dyDescent="0.35">
      <c r="A21" s="7" t="s">
        <v>50</v>
      </c>
      <c r="B21" s="55" t="s">
        <v>610</v>
      </c>
      <c r="C21" s="55" t="s">
        <v>610</v>
      </c>
      <c r="D21" s="55" t="s">
        <v>610</v>
      </c>
      <c r="E21" s="55" t="s">
        <v>610</v>
      </c>
      <c r="F21" s="55" t="s">
        <v>610</v>
      </c>
      <c r="G21" s="55" t="s">
        <v>610</v>
      </c>
      <c r="H21" s="55" t="s">
        <v>610</v>
      </c>
      <c r="I21" s="55" t="s">
        <v>610</v>
      </c>
      <c r="J21" s="55" t="s">
        <v>610</v>
      </c>
      <c r="K21" s="55" t="s">
        <v>610</v>
      </c>
      <c r="L21" s="55" t="s">
        <v>610</v>
      </c>
      <c r="M21" s="55" t="s">
        <v>610</v>
      </c>
      <c r="N21" s="55" t="s">
        <v>610</v>
      </c>
      <c r="O21" s="55" t="s">
        <v>610</v>
      </c>
      <c r="P21" s="55" t="s">
        <v>610</v>
      </c>
      <c r="Q21" s="55" t="s">
        <v>610</v>
      </c>
      <c r="R21" s="55" t="s">
        <v>610</v>
      </c>
      <c r="S21" s="55" t="s">
        <v>610</v>
      </c>
      <c r="T21" s="55" t="s">
        <v>610</v>
      </c>
      <c r="U21" s="55" t="s">
        <v>610</v>
      </c>
      <c r="V21" s="55" t="s">
        <v>610</v>
      </c>
      <c r="W21" s="55" t="s">
        <v>610</v>
      </c>
      <c r="X21" s="55" t="s">
        <v>610</v>
      </c>
      <c r="Y21" s="55" t="s">
        <v>610</v>
      </c>
      <c r="Z21" s="55" t="s">
        <v>610</v>
      </c>
      <c r="AA21" s="55" t="s">
        <v>610</v>
      </c>
      <c r="AB21" s="55" t="s">
        <v>610</v>
      </c>
      <c r="AC21" s="55" t="s">
        <v>610</v>
      </c>
      <c r="AD21" s="55" t="s">
        <v>610</v>
      </c>
      <c r="AE21" s="55" t="s">
        <v>610</v>
      </c>
      <c r="AF21" s="55" t="s">
        <v>610</v>
      </c>
      <c r="AG21" s="41">
        <f t="shared" si="6"/>
        <v>31</v>
      </c>
      <c r="AH21" s="42">
        <f t="shared" si="7"/>
        <v>103.33333333333333</v>
      </c>
      <c r="AM21" s="20"/>
      <c r="AN21" s="20"/>
      <c r="AO21" s="20"/>
      <c r="AP21" s="20"/>
      <c r="AQ21" s="20"/>
      <c r="AR21" s="20"/>
      <c r="AX21" s="58"/>
    </row>
    <row r="22" spans="1:50" ht="15" thickBot="1" x14ac:dyDescent="0.4">
      <c r="A22" s="7" t="s">
        <v>51</v>
      </c>
      <c r="B22" s="54"/>
      <c r="C22" s="54"/>
      <c r="D22" s="54"/>
      <c r="E22" s="55" t="s">
        <v>586</v>
      </c>
      <c r="F22" s="54"/>
      <c r="G22" s="54"/>
      <c r="H22" s="8" t="s">
        <v>25</v>
      </c>
      <c r="I22" s="8" t="s">
        <v>25</v>
      </c>
      <c r="J22" s="8" t="s">
        <v>627</v>
      </c>
      <c r="K22" s="73"/>
      <c r="L22" s="73"/>
      <c r="M22" s="73"/>
      <c r="N22" s="73"/>
      <c r="O22" s="73"/>
      <c r="P22" s="8" t="s">
        <v>631</v>
      </c>
      <c r="Q22" s="8" t="s">
        <v>631</v>
      </c>
      <c r="R22" s="8" t="s">
        <v>631</v>
      </c>
      <c r="S22" s="61" t="s">
        <v>635</v>
      </c>
      <c r="T22" s="80" t="s">
        <v>634</v>
      </c>
      <c r="U22" s="80" t="s">
        <v>634</v>
      </c>
      <c r="V22" s="8"/>
      <c r="W22" s="8"/>
      <c r="X22" s="76" t="s">
        <v>636</v>
      </c>
      <c r="Y22" s="8" t="s">
        <v>313</v>
      </c>
      <c r="Z22" s="8" t="s">
        <v>134</v>
      </c>
      <c r="AA22" s="8"/>
      <c r="AB22" s="8"/>
      <c r="AC22" s="8"/>
      <c r="AD22" s="8"/>
      <c r="AE22" s="8"/>
      <c r="AF22" s="54"/>
      <c r="AG22" s="41">
        <f t="shared" si="6"/>
        <v>13</v>
      </c>
      <c r="AH22" s="42">
        <f t="shared" si="7"/>
        <v>43.333333333333336</v>
      </c>
      <c r="AX22" s="58"/>
    </row>
    <row r="23" spans="1:50" ht="15.5" x14ac:dyDescent="0.35">
      <c r="A23" s="45" t="s">
        <v>176</v>
      </c>
      <c r="B23" s="46">
        <f>COUNTA(B15:B22)</f>
        <v>7</v>
      </c>
      <c r="C23" s="46">
        <f>COUNTA(C16:C22)</f>
        <v>6</v>
      </c>
      <c r="D23" s="46">
        <f>COUNTA(D16:D22)</f>
        <v>6</v>
      </c>
      <c r="E23" s="46">
        <f t="shared" ref="E23:AF23" si="8">COUNTA(E15:E22)</f>
        <v>8</v>
      </c>
      <c r="F23" s="46">
        <f t="shared" si="8"/>
        <v>7</v>
      </c>
      <c r="G23" s="46">
        <f t="shared" si="8"/>
        <v>7</v>
      </c>
      <c r="H23" s="46">
        <f t="shared" si="8"/>
        <v>8</v>
      </c>
      <c r="I23" s="46">
        <f t="shared" si="8"/>
        <v>8</v>
      </c>
      <c r="J23" s="46">
        <f t="shared" si="8"/>
        <v>8</v>
      </c>
      <c r="K23" s="46">
        <f t="shared" si="8"/>
        <v>6</v>
      </c>
      <c r="L23" s="46">
        <f t="shared" si="8"/>
        <v>5</v>
      </c>
      <c r="M23" s="46">
        <f t="shared" si="8"/>
        <v>5</v>
      </c>
      <c r="N23" s="46">
        <f t="shared" si="8"/>
        <v>5</v>
      </c>
      <c r="O23" s="46">
        <f t="shared" si="8"/>
        <v>7</v>
      </c>
      <c r="P23" s="46">
        <f t="shared" si="8"/>
        <v>7</v>
      </c>
      <c r="Q23" s="46">
        <f t="shared" si="8"/>
        <v>7</v>
      </c>
      <c r="R23" s="46">
        <f t="shared" si="8"/>
        <v>8</v>
      </c>
      <c r="S23" s="46">
        <f t="shared" si="8"/>
        <v>7</v>
      </c>
      <c r="T23" s="46">
        <f>COUNTA(T15:T22)</f>
        <v>8</v>
      </c>
      <c r="U23" s="46">
        <f t="shared" si="8"/>
        <v>8</v>
      </c>
      <c r="V23" s="46">
        <f t="shared" si="8"/>
        <v>6</v>
      </c>
      <c r="W23" s="46">
        <f t="shared" si="8"/>
        <v>6</v>
      </c>
      <c r="X23" s="46">
        <f t="shared" si="8"/>
        <v>8</v>
      </c>
      <c r="Y23" s="46">
        <f t="shared" si="8"/>
        <v>7</v>
      </c>
      <c r="Z23" s="46">
        <f t="shared" si="8"/>
        <v>8</v>
      </c>
      <c r="AA23" s="46">
        <f t="shared" si="8"/>
        <v>6</v>
      </c>
      <c r="AB23" s="46">
        <f t="shared" si="8"/>
        <v>5</v>
      </c>
      <c r="AC23" s="46">
        <f t="shared" si="8"/>
        <v>5</v>
      </c>
      <c r="AD23" s="46">
        <f t="shared" si="8"/>
        <v>4</v>
      </c>
      <c r="AE23" s="46">
        <f t="shared" si="8"/>
        <v>5</v>
      </c>
      <c r="AF23" s="46">
        <f t="shared" si="8"/>
        <v>5</v>
      </c>
      <c r="AG23" s="43">
        <f>SUM(AG15:AG22)</f>
        <v>205</v>
      </c>
      <c r="AH23" s="66">
        <f>AVERAGE(AH15:AH22)</f>
        <v>85.416666666666671</v>
      </c>
      <c r="AX23" s="58"/>
    </row>
    <row r="24" spans="1:50" ht="15.5" x14ac:dyDescent="0.35">
      <c r="A24" s="47" t="s">
        <v>178</v>
      </c>
      <c r="B24" s="52">
        <f>B12+B23</f>
        <v>12</v>
      </c>
      <c r="C24" s="52">
        <f t="shared" ref="C24:AF24" si="9">C12+C23</f>
        <v>11</v>
      </c>
      <c r="D24" s="52">
        <f t="shared" si="9"/>
        <v>11</v>
      </c>
      <c r="E24" s="52">
        <f t="shared" si="9"/>
        <v>13</v>
      </c>
      <c r="F24" s="52">
        <f t="shared" si="9"/>
        <v>13</v>
      </c>
      <c r="G24" s="52">
        <f t="shared" si="9"/>
        <v>13</v>
      </c>
      <c r="H24" s="52">
        <f t="shared" si="9"/>
        <v>14</v>
      </c>
      <c r="I24" s="52">
        <f t="shared" si="9"/>
        <v>14</v>
      </c>
      <c r="J24" s="52">
        <f t="shared" si="9"/>
        <v>14</v>
      </c>
      <c r="K24" s="52">
        <f t="shared" si="9"/>
        <v>12</v>
      </c>
      <c r="L24" s="52">
        <f t="shared" si="9"/>
        <v>11</v>
      </c>
      <c r="M24" s="52">
        <f t="shared" si="9"/>
        <v>9</v>
      </c>
      <c r="N24" s="52">
        <f t="shared" si="9"/>
        <v>9</v>
      </c>
      <c r="O24" s="52">
        <f t="shared" si="9"/>
        <v>11</v>
      </c>
      <c r="P24" s="52">
        <f t="shared" si="9"/>
        <v>14</v>
      </c>
      <c r="Q24" s="52">
        <f t="shared" si="9"/>
        <v>13</v>
      </c>
      <c r="R24" s="52">
        <f t="shared" si="9"/>
        <v>15</v>
      </c>
      <c r="S24" s="52">
        <f t="shared" si="9"/>
        <v>14</v>
      </c>
      <c r="T24" s="52">
        <f t="shared" si="9"/>
        <v>15</v>
      </c>
      <c r="U24" s="52">
        <f t="shared" si="9"/>
        <v>14</v>
      </c>
      <c r="V24" s="52">
        <f t="shared" si="9"/>
        <v>11</v>
      </c>
      <c r="W24" s="52">
        <f t="shared" si="9"/>
        <v>11</v>
      </c>
      <c r="X24" s="52">
        <f t="shared" si="9"/>
        <v>14</v>
      </c>
      <c r="Y24" s="52">
        <f t="shared" si="9"/>
        <v>12</v>
      </c>
      <c r="Z24" s="52">
        <f t="shared" si="9"/>
        <v>14</v>
      </c>
      <c r="AA24" s="52">
        <f t="shared" si="9"/>
        <v>11</v>
      </c>
      <c r="AB24" s="52">
        <f t="shared" si="9"/>
        <v>9</v>
      </c>
      <c r="AC24" s="52">
        <f t="shared" si="9"/>
        <v>9</v>
      </c>
      <c r="AD24" s="52">
        <f t="shared" si="9"/>
        <v>9</v>
      </c>
      <c r="AE24" s="52">
        <f t="shared" si="9"/>
        <v>9</v>
      </c>
      <c r="AF24" s="52">
        <f t="shared" si="9"/>
        <v>9</v>
      </c>
      <c r="AG24" s="49">
        <f>+AG12+AG23</f>
        <v>372</v>
      </c>
      <c r="AX24" s="58"/>
    </row>
    <row r="25" spans="1:50" ht="15.5" x14ac:dyDescent="0.35">
      <c r="A25" s="48" t="s">
        <v>179</v>
      </c>
      <c r="B25" s="42">
        <f>B24*100/15</f>
        <v>80</v>
      </c>
      <c r="C25" s="42">
        <f t="shared" ref="C25:AF25" si="10">C24*100/15</f>
        <v>73.333333333333329</v>
      </c>
      <c r="D25" s="42">
        <f t="shared" si="10"/>
        <v>73.333333333333329</v>
      </c>
      <c r="E25" s="42">
        <f t="shared" si="10"/>
        <v>86.666666666666671</v>
      </c>
      <c r="F25" s="42">
        <f t="shared" si="10"/>
        <v>86.666666666666671</v>
      </c>
      <c r="G25" s="42">
        <f t="shared" si="10"/>
        <v>86.666666666666671</v>
      </c>
      <c r="H25" s="42">
        <f t="shared" si="10"/>
        <v>93.333333333333329</v>
      </c>
      <c r="I25" s="42">
        <f t="shared" si="10"/>
        <v>93.333333333333329</v>
      </c>
      <c r="J25" s="42">
        <f t="shared" si="10"/>
        <v>93.333333333333329</v>
      </c>
      <c r="K25" s="42">
        <f t="shared" si="10"/>
        <v>80</v>
      </c>
      <c r="L25" s="42">
        <f t="shared" si="10"/>
        <v>73.333333333333329</v>
      </c>
      <c r="M25" s="42">
        <f t="shared" si="10"/>
        <v>60</v>
      </c>
      <c r="N25" s="42">
        <f t="shared" si="10"/>
        <v>60</v>
      </c>
      <c r="O25" s="42">
        <f t="shared" si="10"/>
        <v>73.333333333333329</v>
      </c>
      <c r="P25" s="42">
        <f t="shared" si="10"/>
        <v>93.333333333333329</v>
      </c>
      <c r="Q25" s="42">
        <f t="shared" si="10"/>
        <v>86.666666666666671</v>
      </c>
      <c r="R25" s="42">
        <f t="shared" si="10"/>
        <v>100</v>
      </c>
      <c r="S25" s="42">
        <f t="shared" si="10"/>
        <v>93.333333333333329</v>
      </c>
      <c r="T25" s="42">
        <f t="shared" si="10"/>
        <v>100</v>
      </c>
      <c r="U25" s="42">
        <f t="shared" si="10"/>
        <v>93.333333333333329</v>
      </c>
      <c r="V25" s="42">
        <f t="shared" si="10"/>
        <v>73.333333333333329</v>
      </c>
      <c r="W25" s="42">
        <f t="shared" si="10"/>
        <v>73.333333333333329</v>
      </c>
      <c r="X25" s="42">
        <f t="shared" si="10"/>
        <v>93.333333333333329</v>
      </c>
      <c r="Y25" s="42">
        <f t="shared" si="10"/>
        <v>80</v>
      </c>
      <c r="Z25" s="42">
        <f t="shared" si="10"/>
        <v>93.333333333333329</v>
      </c>
      <c r="AA25" s="42">
        <f t="shared" si="10"/>
        <v>73.333333333333329</v>
      </c>
      <c r="AB25" s="42">
        <f t="shared" si="10"/>
        <v>60</v>
      </c>
      <c r="AC25" s="42">
        <f t="shared" si="10"/>
        <v>60</v>
      </c>
      <c r="AD25" s="42">
        <f t="shared" si="10"/>
        <v>60</v>
      </c>
      <c r="AE25" s="42">
        <f t="shared" si="10"/>
        <v>60</v>
      </c>
      <c r="AF25" s="42">
        <f t="shared" si="10"/>
        <v>60</v>
      </c>
      <c r="AG25" s="50">
        <f>AVERAGE(B25:AE25)</f>
        <v>80.222222222222214</v>
      </c>
      <c r="AH25" s="51" t="s">
        <v>180</v>
      </c>
      <c r="AX25" s="58"/>
    </row>
    <row r="26" spans="1:50" x14ac:dyDescent="0.35">
      <c r="AX26" s="58"/>
    </row>
    <row r="27" spans="1:50" x14ac:dyDescent="0.35">
      <c r="W27" s="81" t="s">
        <v>624</v>
      </c>
      <c r="X27" s="81" t="s">
        <v>624</v>
      </c>
      <c r="Y27" s="81" t="s">
        <v>624</v>
      </c>
      <c r="Z27" s="81" t="s">
        <v>624</v>
      </c>
      <c r="AA27" s="81" t="s">
        <v>624</v>
      </c>
      <c r="AB27" s="81" t="s">
        <v>624</v>
      </c>
    </row>
    <row r="28" spans="1:50" x14ac:dyDescent="0.35">
      <c r="W28" s="81" t="s">
        <v>624</v>
      </c>
      <c r="X28" s="81" t="s">
        <v>624</v>
      </c>
      <c r="Y28" s="81" t="s">
        <v>624</v>
      </c>
      <c r="Z28" s="81" t="s">
        <v>624</v>
      </c>
      <c r="AA28" s="81" t="s">
        <v>624</v>
      </c>
      <c r="AB28" s="81" t="s">
        <v>624</v>
      </c>
    </row>
    <row r="29" spans="1:50" x14ac:dyDescent="0.35">
      <c r="W29" s="81" t="s">
        <v>624</v>
      </c>
      <c r="X29" s="81" t="s">
        <v>624</v>
      </c>
      <c r="Y29" s="81" t="s">
        <v>624</v>
      </c>
      <c r="Z29" s="81" t="s">
        <v>624</v>
      </c>
      <c r="AA29" s="81" t="s">
        <v>624</v>
      </c>
      <c r="AB29" s="81" t="s">
        <v>624</v>
      </c>
    </row>
    <row r="30" spans="1:50" x14ac:dyDescent="0.35">
      <c r="W30" s="81" t="s">
        <v>638</v>
      </c>
      <c r="X30" s="81" t="s">
        <v>638</v>
      </c>
      <c r="Y30" s="81" t="s">
        <v>638</v>
      </c>
      <c r="Z30" s="81" t="s">
        <v>638</v>
      </c>
      <c r="AA30" s="81" t="s">
        <v>638</v>
      </c>
      <c r="AB30" s="81" t="s">
        <v>638</v>
      </c>
    </row>
    <row r="31" spans="1:50" x14ac:dyDescent="0.35">
      <c r="W31" s="81" t="s">
        <v>546</v>
      </c>
      <c r="X31" s="81" t="s">
        <v>546</v>
      </c>
      <c r="Y31" s="81" t="s">
        <v>546</v>
      </c>
      <c r="Z31" s="81" t="s">
        <v>546</v>
      </c>
      <c r="AA31" s="81" t="s">
        <v>546</v>
      </c>
      <c r="AB31" s="81" t="s">
        <v>546</v>
      </c>
    </row>
  </sheetData>
  <mergeCells count="2">
    <mergeCell ref="A1:AE1"/>
    <mergeCell ref="AM3:AR3"/>
  </mergeCells>
  <conditionalFormatting sqref="B6">
    <cfRule type="colorScale" priority="29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8">
    <cfRule type="colorScale" priority="28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9:B11 C10:L11 C9:U9 B7:AF7">
    <cfRule type="colorScale" priority="30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5">
    <cfRule type="colorScale" priority="2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6:B18 C17:E17 C16:K16 C18:AC18">
    <cfRule type="colorScale" priority="2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9">
    <cfRule type="colorScale" priority="2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21">
    <cfRule type="colorScale" priority="2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22:D22 L16 F22:G22 AD18:AF18">
    <cfRule type="colorScale" priority="5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20:J20 V20:W20">
    <cfRule type="colorScale" priority="2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C8:E8 B5:AE5 M11:U11 AE11 V9:W9 Q8:AF8 Y9:AC9 M10:AC10">
    <cfRule type="colorScale" priority="5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C6:AF6">
    <cfRule type="colorScale" priority="3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C15:AF15">
    <cfRule type="colorScale" priority="3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C19:AF19">
    <cfRule type="colorScale" priority="3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C21:AF21">
    <cfRule type="colorScale" priority="3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E22">
    <cfRule type="colorScale" priority="3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F17:M17">
    <cfRule type="colorScale" priority="3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F8:P8">
    <cfRule type="colorScale" priority="2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H22:I22 N17:O17 K22:S22 V22:W22 Y20 AB20:AD20 M16:AE16 Y22:AE22">
    <cfRule type="colorScale" priority="5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J22">
    <cfRule type="colorScale" priority="19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K20:N20 S20">
    <cfRule type="colorScale" priority="18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L13:U14 B13:I14 X13:AH14">
    <cfRule type="colorScale" priority="60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O20:R20">
    <cfRule type="colorScale" priority="1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P17:Q17">
    <cfRule type="colorScale" priority="1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R17:AF17">
    <cfRule type="colorScale" priority="1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T20:U20">
    <cfRule type="colorScale" priority="1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T22:U22">
    <cfRule type="colorScale" priority="1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V11:W11">
    <cfRule type="colorScale" priority="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W27:AB31">
    <cfRule type="colorScale" priority="20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X9">
    <cfRule type="colorScale" priority="9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X20">
    <cfRule type="colorScale" priority="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X22">
    <cfRule type="colorScale" priority="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X11:AD11">
    <cfRule type="colorScale" priority="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Z20:AA20">
    <cfRule type="colorScale" priority="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D9:AE9 AD10:AF10">
    <cfRule type="colorScale" priority="5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E20">
    <cfRule type="colorScale" priority="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F5 AF11 AF9">
    <cfRule type="colorScale" priority="58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F20">
    <cfRule type="colorScale" priority="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F22 AF16">
    <cfRule type="colorScale" priority="59">
      <colorScale>
        <cfvo type="num" val="1"/>
        <cfvo type="max"/>
        <color theme="4" tint="0.59999389629810485"/>
        <color theme="5" tint="0.59999389629810485"/>
      </colorScale>
    </cfRule>
  </conditionalFormatting>
  <pageMargins left="0.2" right="0.45" top="0.75" bottom="0.75" header="0.3" footer="0.3"/>
  <pageSetup scale="9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89C01-D2FF-4D97-9833-19F52E49B1F0}">
  <dimension ref="A1:AX26"/>
  <sheetViews>
    <sheetView zoomScale="88" zoomScaleNormal="88" workbookViewId="0">
      <pane xSplit="1" ySplit="4" topLeftCell="AB7" activePane="bottomRight" state="frozen"/>
      <selection pane="topRight" activeCell="B1" sqref="B1"/>
      <selection pane="bottomLeft" activeCell="A5" sqref="A5"/>
      <selection pane="bottomRight" activeCell="AE15" sqref="AE15:AF15"/>
    </sheetView>
  </sheetViews>
  <sheetFormatPr defaultRowHeight="14.5" x14ac:dyDescent="0.35"/>
  <cols>
    <col min="1" max="1" width="43.7265625" bestFit="1" customWidth="1"/>
    <col min="2" max="7" width="14.81640625" bestFit="1" customWidth="1"/>
    <col min="8" max="8" width="13.453125" customWidth="1"/>
    <col min="9" max="9" width="14.81640625" bestFit="1" customWidth="1"/>
    <col min="10" max="10" width="14.1796875" bestFit="1" customWidth="1"/>
    <col min="11" max="13" width="10.1796875" bestFit="1" customWidth="1"/>
    <col min="14" max="15" width="11.453125" bestFit="1" customWidth="1"/>
    <col min="16" max="16" width="11.81640625" bestFit="1" customWidth="1"/>
    <col min="17" max="18" width="12" bestFit="1" customWidth="1"/>
    <col min="19" max="21" width="11.81640625" bestFit="1" customWidth="1"/>
    <col min="22" max="22" width="14.1796875" bestFit="1" customWidth="1"/>
    <col min="23" max="23" width="16.81640625" bestFit="1" customWidth="1"/>
    <col min="24" max="25" width="12.81640625" bestFit="1" customWidth="1"/>
    <col min="26" max="30" width="10.54296875" bestFit="1" customWidth="1"/>
    <col min="31" max="31" width="10.453125" customWidth="1"/>
    <col min="32" max="32" width="5.81640625" bestFit="1" customWidth="1"/>
    <col min="33" max="33" width="4.7265625" bestFit="1" customWidth="1"/>
    <col min="34" max="34" width="8.453125" bestFit="1" customWidth="1"/>
    <col min="35" max="35" width="8" bestFit="1" customWidth="1"/>
    <col min="36" max="36" width="8.453125" customWidth="1"/>
    <col min="37" max="37" width="0" hidden="1" customWidth="1"/>
    <col min="38" max="38" width="3" hidden="1" customWidth="1"/>
    <col min="39" max="39" width="17.81640625" bestFit="1" customWidth="1"/>
    <col min="40" max="40" width="9.1796875" bestFit="1" customWidth="1"/>
    <col min="41" max="41" width="9.81640625" bestFit="1" customWidth="1"/>
    <col min="42" max="42" width="10.81640625" bestFit="1" customWidth="1"/>
    <col min="43" max="43" width="10.1796875" bestFit="1" customWidth="1"/>
    <col min="44" max="44" width="23.1796875" bestFit="1" customWidth="1"/>
    <col min="45" max="45" width="0.453125" hidden="1" customWidth="1"/>
    <col min="46" max="49" width="0" hidden="1" customWidth="1"/>
    <col min="51" max="51" width="15" bestFit="1" customWidth="1"/>
  </cols>
  <sheetData>
    <row r="1" spans="1:44" ht="15.5" x14ac:dyDescent="0.35">
      <c r="A1" s="120" t="s">
        <v>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65"/>
    </row>
    <row r="2" spans="1:44" ht="15" thickBot="1" x14ac:dyDescent="0.4"/>
    <row r="3" spans="1:44" ht="45.75" customHeight="1" x14ac:dyDescent="0.35">
      <c r="A3" s="1" t="s">
        <v>1</v>
      </c>
      <c r="B3" s="2">
        <f>AI4</f>
        <v>45505</v>
      </c>
      <c r="C3" s="2">
        <f t="shared" ref="C3:AF3" si="0">B3+1</f>
        <v>45506</v>
      </c>
      <c r="D3" s="2">
        <f t="shared" si="0"/>
        <v>45507</v>
      </c>
      <c r="E3" s="2">
        <f t="shared" si="0"/>
        <v>45508</v>
      </c>
      <c r="F3" s="2">
        <f t="shared" si="0"/>
        <v>45509</v>
      </c>
      <c r="G3" s="2">
        <f t="shared" si="0"/>
        <v>45510</v>
      </c>
      <c r="H3" s="2">
        <f t="shared" si="0"/>
        <v>45511</v>
      </c>
      <c r="I3" s="2">
        <f>H3+1</f>
        <v>45512</v>
      </c>
      <c r="J3" s="2">
        <f t="shared" si="0"/>
        <v>45513</v>
      </c>
      <c r="K3" s="2">
        <f t="shared" si="0"/>
        <v>45514</v>
      </c>
      <c r="L3" s="2">
        <f t="shared" si="0"/>
        <v>45515</v>
      </c>
      <c r="M3" s="2">
        <f t="shared" si="0"/>
        <v>45516</v>
      </c>
      <c r="N3" s="2">
        <f t="shared" si="0"/>
        <v>45517</v>
      </c>
      <c r="O3" s="2">
        <f t="shared" si="0"/>
        <v>45518</v>
      </c>
      <c r="P3" s="2">
        <f t="shared" si="0"/>
        <v>45519</v>
      </c>
      <c r="Q3" s="2">
        <f t="shared" si="0"/>
        <v>45520</v>
      </c>
      <c r="R3" s="2">
        <f t="shared" si="0"/>
        <v>45521</v>
      </c>
      <c r="S3" s="2">
        <f t="shared" si="0"/>
        <v>45522</v>
      </c>
      <c r="T3" s="2">
        <f t="shared" si="0"/>
        <v>45523</v>
      </c>
      <c r="U3" s="2">
        <f t="shared" si="0"/>
        <v>45524</v>
      </c>
      <c r="V3" s="2">
        <f t="shared" si="0"/>
        <v>45525</v>
      </c>
      <c r="W3" s="2">
        <f t="shared" si="0"/>
        <v>45526</v>
      </c>
      <c r="X3" s="2">
        <f t="shared" si="0"/>
        <v>45527</v>
      </c>
      <c r="Y3" s="2">
        <f t="shared" si="0"/>
        <v>45528</v>
      </c>
      <c r="Z3" s="2">
        <f t="shared" si="0"/>
        <v>45529</v>
      </c>
      <c r="AA3" s="2">
        <f t="shared" si="0"/>
        <v>45530</v>
      </c>
      <c r="AB3" s="2">
        <f t="shared" si="0"/>
        <v>45531</v>
      </c>
      <c r="AC3" s="2">
        <f t="shared" si="0"/>
        <v>45532</v>
      </c>
      <c r="AD3" s="2">
        <f t="shared" si="0"/>
        <v>45533</v>
      </c>
      <c r="AE3" s="2">
        <f t="shared" si="0"/>
        <v>45534</v>
      </c>
      <c r="AF3" s="2">
        <f t="shared" si="0"/>
        <v>45535</v>
      </c>
      <c r="AG3" s="36"/>
      <c r="AH3" s="36"/>
      <c r="AM3" s="122" t="s">
        <v>267</v>
      </c>
      <c r="AN3" s="123"/>
      <c r="AO3" s="123"/>
      <c r="AP3" s="123"/>
      <c r="AQ3" s="123"/>
      <c r="AR3" s="124"/>
    </row>
    <row r="4" spans="1:44" ht="31.5" customHeight="1" x14ac:dyDescent="0.35">
      <c r="A4" s="3" t="s">
        <v>2</v>
      </c>
      <c r="B4" s="4">
        <f t="shared" ref="B4:AF4" si="1">B3</f>
        <v>45505</v>
      </c>
      <c r="C4" s="4">
        <f t="shared" si="1"/>
        <v>45506</v>
      </c>
      <c r="D4" s="4">
        <f t="shared" si="1"/>
        <v>45507</v>
      </c>
      <c r="E4" s="4">
        <f t="shared" si="1"/>
        <v>45508</v>
      </c>
      <c r="F4" s="4">
        <f t="shared" si="1"/>
        <v>45509</v>
      </c>
      <c r="G4" s="4">
        <f t="shared" si="1"/>
        <v>45510</v>
      </c>
      <c r="H4" s="4">
        <f t="shared" si="1"/>
        <v>45511</v>
      </c>
      <c r="I4" s="4">
        <f t="shared" si="1"/>
        <v>45512</v>
      </c>
      <c r="J4" s="4">
        <f t="shared" si="1"/>
        <v>45513</v>
      </c>
      <c r="K4" s="4">
        <f t="shared" si="1"/>
        <v>45514</v>
      </c>
      <c r="L4" s="4">
        <f t="shared" si="1"/>
        <v>45515</v>
      </c>
      <c r="M4" s="4">
        <f t="shared" si="1"/>
        <v>45516</v>
      </c>
      <c r="N4" s="4">
        <f t="shared" si="1"/>
        <v>45517</v>
      </c>
      <c r="O4" s="4">
        <f t="shared" si="1"/>
        <v>45518</v>
      </c>
      <c r="P4" s="4">
        <f t="shared" si="1"/>
        <v>45519</v>
      </c>
      <c r="Q4" s="4">
        <f t="shared" si="1"/>
        <v>45520</v>
      </c>
      <c r="R4" s="4">
        <f t="shared" si="1"/>
        <v>45521</v>
      </c>
      <c r="S4" s="4">
        <f t="shared" si="1"/>
        <v>45522</v>
      </c>
      <c r="T4" s="4">
        <f t="shared" si="1"/>
        <v>45523</v>
      </c>
      <c r="U4" s="4">
        <f t="shared" si="1"/>
        <v>45524</v>
      </c>
      <c r="V4" s="4">
        <f t="shared" si="1"/>
        <v>45525</v>
      </c>
      <c r="W4" s="4">
        <f t="shared" si="1"/>
        <v>45526</v>
      </c>
      <c r="X4" s="4">
        <f t="shared" si="1"/>
        <v>45527</v>
      </c>
      <c r="Y4" s="4">
        <f t="shared" si="1"/>
        <v>45528</v>
      </c>
      <c r="Z4" s="4">
        <f t="shared" si="1"/>
        <v>45529</v>
      </c>
      <c r="AA4" s="4">
        <f t="shared" si="1"/>
        <v>45530</v>
      </c>
      <c r="AB4" s="4">
        <f t="shared" si="1"/>
        <v>45531</v>
      </c>
      <c r="AC4" s="4">
        <f t="shared" si="1"/>
        <v>45532</v>
      </c>
      <c r="AD4" s="4">
        <f t="shared" si="1"/>
        <v>45533</v>
      </c>
      <c r="AE4" s="4">
        <f t="shared" si="1"/>
        <v>45534</v>
      </c>
      <c r="AF4" s="4">
        <f t="shared" si="1"/>
        <v>45535</v>
      </c>
      <c r="AG4" s="39" t="s">
        <v>174</v>
      </c>
      <c r="AH4" s="40" t="s">
        <v>175</v>
      </c>
      <c r="AI4" s="5">
        <v>45505</v>
      </c>
      <c r="AJ4" s="6">
        <f>EOMONTH(AI4,0)</f>
        <v>45535</v>
      </c>
      <c r="AM4" s="19" t="s">
        <v>54</v>
      </c>
      <c r="AN4" s="19" t="s">
        <v>269</v>
      </c>
      <c r="AO4" s="19" t="s">
        <v>55</v>
      </c>
      <c r="AP4" s="19" t="s">
        <v>56</v>
      </c>
      <c r="AQ4" s="19" t="s">
        <v>251</v>
      </c>
      <c r="AR4" s="19" t="s">
        <v>57</v>
      </c>
    </row>
    <row r="5" spans="1:44" x14ac:dyDescent="0.35">
      <c r="A5" s="7" t="s">
        <v>3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67" t="s">
        <v>437</v>
      </c>
      <c r="AD5" s="67" t="s">
        <v>437</v>
      </c>
      <c r="AE5" s="67" t="s">
        <v>437</v>
      </c>
      <c r="AF5" s="8"/>
      <c r="AG5" s="41">
        <f>COUNTA(B5:AF5)</f>
        <v>3</v>
      </c>
      <c r="AH5" s="42">
        <f>AG5*100/30</f>
        <v>10</v>
      </c>
      <c r="AM5" s="20"/>
      <c r="AN5" s="56"/>
      <c r="AO5" s="56"/>
      <c r="AP5" s="56"/>
      <c r="AQ5" s="57"/>
      <c r="AR5" s="20"/>
    </row>
    <row r="6" spans="1:44" x14ac:dyDescent="0.35">
      <c r="A6" s="7" t="s">
        <v>7</v>
      </c>
      <c r="B6" s="55" t="s">
        <v>594</v>
      </c>
      <c r="C6" s="55" t="s">
        <v>594</v>
      </c>
      <c r="D6" s="55" t="s">
        <v>594</v>
      </c>
      <c r="E6" s="55" t="s">
        <v>594</v>
      </c>
      <c r="F6" s="55" t="s">
        <v>594</v>
      </c>
      <c r="G6" s="55" t="s">
        <v>594</v>
      </c>
      <c r="H6" s="55" t="s">
        <v>594</v>
      </c>
      <c r="I6" s="55" t="s">
        <v>594</v>
      </c>
      <c r="J6" s="55" t="s">
        <v>594</v>
      </c>
      <c r="K6" s="55" t="s">
        <v>594</v>
      </c>
      <c r="L6" s="55" t="s">
        <v>594</v>
      </c>
      <c r="M6" s="55" t="s">
        <v>594</v>
      </c>
      <c r="N6" s="55" t="s">
        <v>594</v>
      </c>
      <c r="O6" s="55" t="s">
        <v>594</v>
      </c>
      <c r="P6" s="55" t="s">
        <v>594</v>
      </c>
      <c r="Q6" s="55" t="s">
        <v>594</v>
      </c>
      <c r="R6" s="55" t="s">
        <v>594</v>
      </c>
      <c r="S6" s="55" t="s">
        <v>594</v>
      </c>
      <c r="T6" s="55" t="s">
        <v>594</v>
      </c>
      <c r="U6" s="55" t="s">
        <v>594</v>
      </c>
      <c r="V6" s="55" t="s">
        <v>594</v>
      </c>
      <c r="W6" s="55" t="s">
        <v>594</v>
      </c>
      <c r="X6" s="55" t="s">
        <v>594</v>
      </c>
      <c r="Y6" s="55" t="s">
        <v>594</v>
      </c>
      <c r="Z6" s="55" t="s">
        <v>594</v>
      </c>
      <c r="AA6" s="55" t="s">
        <v>594</v>
      </c>
      <c r="AB6" s="55" t="s">
        <v>594</v>
      </c>
      <c r="AC6" s="55" t="s">
        <v>594</v>
      </c>
      <c r="AD6" s="55"/>
      <c r="AE6" s="55"/>
      <c r="AF6" s="8"/>
      <c r="AG6" s="41">
        <f t="shared" ref="AG6:AG11" si="2">COUNTA(B6:AF6)</f>
        <v>28</v>
      </c>
      <c r="AH6" s="42">
        <f t="shared" ref="AH6:AH11" si="3">AG6*100/30</f>
        <v>93.333333333333329</v>
      </c>
      <c r="AM6" s="20"/>
      <c r="AN6" s="56"/>
      <c r="AO6" s="56"/>
      <c r="AP6" s="56"/>
      <c r="AQ6" s="57"/>
      <c r="AR6" s="20"/>
    </row>
    <row r="7" spans="1:44" x14ac:dyDescent="0.35">
      <c r="A7" s="7" t="s">
        <v>11</v>
      </c>
      <c r="B7" s="55" t="s">
        <v>640</v>
      </c>
      <c r="C7" s="55"/>
      <c r="D7" s="55"/>
      <c r="E7" s="55"/>
      <c r="F7" s="55" t="s">
        <v>647</v>
      </c>
      <c r="G7" s="73" t="s">
        <v>645</v>
      </c>
      <c r="H7" s="73" t="s">
        <v>645</v>
      </c>
      <c r="I7" s="73" t="s">
        <v>645</v>
      </c>
      <c r="J7" s="81" t="s">
        <v>645</v>
      </c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80" t="s">
        <v>95</v>
      </c>
      <c r="Y7" s="55"/>
      <c r="Z7" s="55" t="s">
        <v>305</v>
      </c>
      <c r="AA7" s="55" t="s">
        <v>305</v>
      </c>
      <c r="AB7" s="55" t="s">
        <v>305</v>
      </c>
      <c r="AC7" s="55" t="s">
        <v>305</v>
      </c>
      <c r="AD7" s="55"/>
      <c r="AE7" s="55" t="s">
        <v>668</v>
      </c>
      <c r="AF7" s="55"/>
      <c r="AG7" s="41">
        <f t="shared" si="2"/>
        <v>12</v>
      </c>
      <c r="AH7" s="42">
        <f t="shared" si="3"/>
        <v>40</v>
      </c>
      <c r="AM7" s="20"/>
      <c r="AN7" s="56"/>
      <c r="AO7" s="56"/>
      <c r="AP7" s="56"/>
      <c r="AQ7" s="57"/>
      <c r="AR7" s="20"/>
    </row>
    <row r="8" spans="1:44" ht="15" customHeight="1" x14ac:dyDescent="0.35">
      <c r="A8" s="7" t="s">
        <v>15</v>
      </c>
      <c r="B8" s="55" t="s">
        <v>95</v>
      </c>
      <c r="C8" s="55" t="s">
        <v>95</v>
      </c>
      <c r="D8" s="55" t="s">
        <v>95</v>
      </c>
      <c r="E8" s="55" t="s">
        <v>643</v>
      </c>
      <c r="F8" s="55" t="s">
        <v>643</v>
      </c>
      <c r="G8" s="55" t="s">
        <v>643</v>
      </c>
      <c r="H8" s="55" t="s">
        <v>643</v>
      </c>
      <c r="I8" s="55" t="s">
        <v>643</v>
      </c>
      <c r="J8" s="54" t="s">
        <v>643</v>
      </c>
      <c r="K8" s="55"/>
      <c r="L8" s="55"/>
      <c r="M8" s="76" t="s">
        <v>307</v>
      </c>
      <c r="N8" s="76" t="s">
        <v>307</v>
      </c>
      <c r="O8" s="76" t="s">
        <v>307</v>
      </c>
      <c r="P8" s="76" t="s">
        <v>307</v>
      </c>
      <c r="Q8" s="76" t="s">
        <v>307</v>
      </c>
      <c r="R8" s="76" t="s">
        <v>307</v>
      </c>
      <c r="S8" s="76" t="s">
        <v>307</v>
      </c>
      <c r="T8" s="76" t="s">
        <v>307</v>
      </c>
      <c r="U8" s="76" t="s">
        <v>307</v>
      </c>
      <c r="V8" s="76" t="s">
        <v>307</v>
      </c>
      <c r="W8" s="80" t="s">
        <v>307</v>
      </c>
      <c r="X8" s="80" t="s">
        <v>307</v>
      </c>
      <c r="Y8" s="80" t="s">
        <v>307</v>
      </c>
      <c r="Z8" s="80" t="s">
        <v>307</v>
      </c>
      <c r="AA8" s="80" t="s">
        <v>307</v>
      </c>
      <c r="AB8" s="80" t="s">
        <v>307</v>
      </c>
      <c r="AC8" s="55"/>
      <c r="AD8" s="55"/>
      <c r="AE8" s="55" t="s">
        <v>668</v>
      </c>
      <c r="AF8" s="55"/>
      <c r="AG8" s="41">
        <f t="shared" si="2"/>
        <v>26</v>
      </c>
      <c r="AH8" s="42">
        <f t="shared" si="3"/>
        <v>86.666666666666671</v>
      </c>
      <c r="AK8" s="9"/>
      <c r="AM8" s="20"/>
      <c r="AN8" s="56"/>
      <c r="AO8" s="56"/>
      <c r="AP8" s="56"/>
      <c r="AQ8" s="57"/>
      <c r="AR8" s="20"/>
    </row>
    <row r="9" spans="1:44" ht="15.75" customHeight="1" x14ac:dyDescent="0.35">
      <c r="A9" s="7" t="s">
        <v>18</v>
      </c>
      <c r="B9" s="55" t="s">
        <v>95</v>
      </c>
      <c r="C9" s="55" t="s">
        <v>95</v>
      </c>
      <c r="D9" s="55" t="s">
        <v>95</v>
      </c>
      <c r="E9" s="55" t="s">
        <v>643</v>
      </c>
      <c r="F9" s="55" t="s">
        <v>643</v>
      </c>
      <c r="G9" s="55" t="s">
        <v>643</v>
      </c>
      <c r="H9" s="55" t="s">
        <v>643</v>
      </c>
      <c r="I9" s="55" t="s">
        <v>643</v>
      </c>
      <c r="J9" s="54" t="s">
        <v>643</v>
      </c>
      <c r="K9" s="76" t="s">
        <v>650</v>
      </c>
      <c r="L9" s="76" t="s">
        <v>650</v>
      </c>
      <c r="M9" s="76" t="s">
        <v>307</v>
      </c>
      <c r="N9" s="76" t="s">
        <v>307</v>
      </c>
      <c r="O9" s="76" t="s">
        <v>307</v>
      </c>
      <c r="P9" s="76" t="s">
        <v>307</v>
      </c>
      <c r="Q9" s="76" t="s">
        <v>307</v>
      </c>
      <c r="R9" s="76" t="s">
        <v>307</v>
      </c>
      <c r="S9" s="76" t="s">
        <v>307</v>
      </c>
      <c r="T9" s="76" t="s">
        <v>307</v>
      </c>
      <c r="U9" s="76" t="s">
        <v>307</v>
      </c>
      <c r="V9" s="76" t="s">
        <v>307</v>
      </c>
      <c r="W9" s="80" t="s">
        <v>307</v>
      </c>
      <c r="X9" s="80" t="s">
        <v>307</v>
      </c>
      <c r="Y9" s="80" t="s">
        <v>307</v>
      </c>
      <c r="Z9" s="80" t="s">
        <v>307</v>
      </c>
      <c r="AA9" s="80" t="s">
        <v>307</v>
      </c>
      <c r="AB9" s="80" t="s">
        <v>307</v>
      </c>
      <c r="AC9" s="55"/>
      <c r="AD9" s="55"/>
      <c r="AE9" s="55" t="s">
        <v>668</v>
      </c>
      <c r="AF9" s="55"/>
      <c r="AG9" s="41">
        <f t="shared" si="2"/>
        <v>28</v>
      </c>
      <c r="AH9" s="42">
        <f t="shared" si="3"/>
        <v>93.333333333333329</v>
      </c>
      <c r="AM9" s="20"/>
      <c r="AN9" s="56"/>
      <c r="AO9" s="56"/>
      <c r="AP9" s="56"/>
      <c r="AQ9" s="57"/>
      <c r="AR9" s="20"/>
    </row>
    <row r="10" spans="1:44" ht="15.75" customHeight="1" x14ac:dyDescent="0.35">
      <c r="A10" s="7" t="s">
        <v>20</v>
      </c>
      <c r="B10" s="55" t="s">
        <v>639</v>
      </c>
      <c r="C10" s="55"/>
      <c r="D10" s="55"/>
      <c r="E10" s="55" t="s">
        <v>646</v>
      </c>
      <c r="F10" s="55" t="s">
        <v>647</v>
      </c>
      <c r="G10" s="55" t="s">
        <v>647</v>
      </c>
      <c r="H10" s="80" t="s">
        <v>648</v>
      </c>
      <c r="I10" s="80" t="s">
        <v>648</v>
      </c>
      <c r="J10" s="81" t="s">
        <v>648</v>
      </c>
      <c r="K10" s="55"/>
      <c r="L10" s="55"/>
      <c r="M10" s="55"/>
      <c r="N10" s="55"/>
      <c r="O10" s="55" t="s">
        <v>662</v>
      </c>
      <c r="P10" s="55" t="s">
        <v>662</v>
      </c>
      <c r="Q10" s="55" t="s">
        <v>662</v>
      </c>
      <c r="R10" s="55" t="s">
        <v>662</v>
      </c>
      <c r="S10" s="55" t="s">
        <v>662</v>
      </c>
      <c r="T10" s="55" t="s">
        <v>662</v>
      </c>
      <c r="U10" s="55" t="s">
        <v>662</v>
      </c>
      <c r="V10" s="80" t="s">
        <v>652</v>
      </c>
      <c r="W10" s="80" t="s">
        <v>652</v>
      </c>
      <c r="X10" s="80" t="s">
        <v>652</v>
      </c>
      <c r="Y10" s="80" t="s">
        <v>652</v>
      </c>
      <c r="Z10" s="80" t="s">
        <v>652</v>
      </c>
      <c r="AA10" s="80" t="s">
        <v>652</v>
      </c>
      <c r="AB10" s="80" t="s">
        <v>652</v>
      </c>
      <c r="AC10" s="55"/>
      <c r="AD10" s="55"/>
      <c r="AE10" s="55" t="s">
        <v>668</v>
      </c>
      <c r="AF10" s="55"/>
      <c r="AG10" s="41">
        <f t="shared" si="2"/>
        <v>22</v>
      </c>
      <c r="AH10" s="42">
        <f t="shared" si="3"/>
        <v>73.333333333333329</v>
      </c>
      <c r="AM10" s="20"/>
      <c r="AN10" s="56"/>
      <c r="AO10" s="56"/>
      <c r="AP10" s="56"/>
      <c r="AQ10" s="57"/>
      <c r="AR10" s="20"/>
    </row>
    <row r="11" spans="1:44" ht="15.75" customHeight="1" thickBot="1" x14ac:dyDescent="0.4">
      <c r="A11" s="7" t="s">
        <v>24</v>
      </c>
      <c r="B11" s="55" t="s">
        <v>95</v>
      </c>
      <c r="C11" s="55" t="s">
        <v>95</v>
      </c>
      <c r="D11" s="55" t="s">
        <v>95</v>
      </c>
      <c r="E11" s="55" t="s">
        <v>575</v>
      </c>
      <c r="F11" s="55" t="s">
        <v>575</v>
      </c>
      <c r="G11" s="55" t="s">
        <v>575</v>
      </c>
      <c r="H11" s="55" t="s">
        <v>575</v>
      </c>
      <c r="I11" s="55" t="s">
        <v>575</v>
      </c>
      <c r="J11" s="54" t="s">
        <v>575</v>
      </c>
      <c r="K11" s="55"/>
      <c r="L11" s="55"/>
      <c r="M11" s="76" t="s">
        <v>559</v>
      </c>
      <c r="N11" s="76" t="s">
        <v>559</v>
      </c>
      <c r="O11" s="76" t="s">
        <v>559</v>
      </c>
      <c r="P11" s="55"/>
      <c r="Q11" s="55"/>
      <c r="R11" s="55"/>
      <c r="S11" s="55"/>
      <c r="T11" s="55"/>
      <c r="U11" s="55"/>
      <c r="V11" s="55"/>
      <c r="W11" s="55"/>
      <c r="X11" s="80" t="s">
        <v>95</v>
      </c>
      <c r="Y11" s="55"/>
      <c r="Z11" s="55"/>
      <c r="AA11" s="55"/>
      <c r="AB11" s="55"/>
      <c r="AC11" s="55" t="s">
        <v>667</v>
      </c>
      <c r="AD11" s="55" t="s">
        <v>667</v>
      </c>
      <c r="AE11" s="55" t="s">
        <v>668</v>
      </c>
      <c r="AF11" s="55"/>
      <c r="AG11" s="41">
        <f t="shared" si="2"/>
        <v>16</v>
      </c>
      <c r="AH11" s="42">
        <f t="shared" si="3"/>
        <v>53.333333333333336</v>
      </c>
      <c r="AM11" s="20"/>
      <c r="AN11" s="20"/>
      <c r="AO11" s="20"/>
      <c r="AP11" s="20"/>
      <c r="AQ11" s="20"/>
      <c r="AR11" s="20"/>
    </row>
    <row r="12" spans="1:44" ht="15" customHeight="1" x14ac:dyDescent="0.35">
      <c r="A12" s="45" t="s">
        <v>176</v>
      </c>
      <c r="B12" s="46">
        <f>COUNTA(B5:B11)</f>
        <v>6</v>
      </c>
      <c r="C12" s="46">
        <f>COUNTA(C5:C11)</f>
        <v>4</v>
      </c>
      <c r="D12" s="46">
        <f t="shared" ref="D12:AF12" si="4">COUNTA(D5:D11)</f>
        <v>4</v>
      </c>
      <c r="E12" s="46">
        <f t="shared" si="4"/>
        <v>5</v>
      </c>
      <c r="F12" s="46">
        <f t="shared" si="4"/>
        <v>6</v>
      </c>
      <c r="G12" s="46">
        <f t="shared" si="4"/>
        <v>6</v>
      </c>
      <c r="H12" s="46">
        <f t="shared" si="4"/>
        <v>6</v>
      </c>
      <c r="I12" s="46">
        <f t="shared" si="4"/>
        <v>6</v>
      </c>
      <c r="J12" s="46">
        <f t="shared" si="4"/>
        <v>6</v>
      </c>
      <c r="K12" s="46">
        <f t="shared" si="4"/>
        <v>2</v>
      </c>
      <c r="L12" s="46">
        <f t="shared" si="4"/>
        <v>2</v>
      </c>
      <c r="M12" s="46">
        <f t="shared" si="4"/>
        <v>4</v>
      </c>
      <c r="N12" s="46">
        <f t="shared" si="4"/>
        <v>4</v>
      </c>
      <c r="O12" s="46">
        <f t="shared" si="4"/>
        <v>5</v>
      </c>
      <c r="P12" s="46">
        <f t="shared" si="4"/>
        <v>4</v>
      </c>
      <c r="Q12" s="46">
        <f t="shared" si="4"/>
        <v>4</v>
      </c>
      <c r="R12" s="46">
        <f t="shared" si="4"/>
        <v>4</v>
      </c>
      <c r="S12" s="46">
        <f t="shared" si="4"/>
        <v>4</v>
      </c>
      <c r="T12" s="46">
        <f t="shared" si="4"/>
        <v>4</v>
      </c>
      <c r="U12" s="46">
        <f t="shared" si="4"/>
        <v>4</v>
      </c>
      <c r="V12" s="46">
        <f t="shared" si="4"/>
        <v>4</v>
      </c>
      <c r="W12" s="46">
        <f t="shared" si="4"/>
        <v>4</v>
      </c>
      <c r="X12" s="46">
        <f t="shared" si="4"/>
        <v>6</v>
      </c>
      <c r="Y12" s="46">
        <f t="shared" si="4"/>
        <v>4</v>
      </c>
      <c r="Z12" s="46">
        <f t="shared" si="4"/>
        <v>5</v>
      </c>
      <c r="AA12" s="46">
        <f t="shared" si="4"/>
        <v>5</v>
      </c>
      <c r="AB12" s="46">
        <f t="shared" si="4"/>
        <v>5</v>
      </c>
      <c r="AC12" s="46">
        <f>COUNTA(AC5:AC11)</f>
        <v>4</v>
      </c>
      <c r="AD12" s="46">
        <f>COUNTA(AD5:AD11)</f>
        <v>2</v>
      </c>
      <c r="AE12" s="46">
        <f>COUNTA(AE5:AE11)</f>
        <v>6</v>
      </c>
      <c r="AF12" s="46">
        <f t="shared" si="4"/>
        <v>0</v>
      </c>
      <c r="AG12" s="43">
        <f t="shared" ref="AG12" si="5">SUM(AG5:AG11)</f>
        <v>135</v>
      </c>
      <c r="AH12" s="44">
        <f>AVERAGE(AH5:AH11)</f>
        <v>64.285714285714278</v>
      </c>
      <c r="AI12" s="29"/>
      <c r="AM12" s="20"/>
      <c r="AN12" s="20"/>
      <c r="AO12" s="20"/>
      <c r="AP12" s="20"/>
      <c r="AQ12" s="20"/>
      <c r="AR12" s="20"/>
    </row>
    <row r="13" spans="1:44" ht="57" hidden="1" x14ac:dyDescent="0.35">
      <c r="A13" s="13" t="s">
        <v>28</v>
      </c>
      <c r="B13" s="14"/>
      <c r="C13" s="14"/>
      <c r="D13" s="14"/>
      <c r="E13" s="14"/>
      <c r="F13" s="14"/>
      <c r="G13" s="14"/>
      <c r="H13" s="14"/>
      <c r="I13" s="35"/>
      <c r="J13" s="34"/>
      <c r="K13" s="15"/>
      <c r="L13" s="14"/>
      <c r="M13" s="14"/>
      <c r="N13" s="25"/>
      <c r="O13" s="25"/>
      <c r="P13" s="25"/>
      <c r="Q13" s="14"/>
      <c r="R13" s="14"/>
      <c r="S13" s="14"/>
      <c r="T13" s="14"/>
      <c r="U13" s="14"/>
      <c r="V13" s="15"/>
      <c r="W13" s="15"/>
      <c r="X13" s="14"/>
      <c r="Y13" s="14"/>
      <c r="Z13" s="14"/>
      <c r="AA13" s="14"/>
      <c r="AB13" s="14"/>
      <c r="AC13" s="14"/>
      <c r="AD13" s="14"/>
      <c r="AE13" s="14"/>
      <c r="AF13" s="14"/>
      <c r="AG13" s="37"/>
      <c r="AH13" s="37"/>
      <c r="AM13" s="20"/>
      <c r="AN13" s="20"/>
      <c r="AO13" s="20"/>
      <c r="AP13" s="20"/>
      <c r="AQ13" s="20"/>
      <c r="AR13" s="20"/>
    </row>
    <row r="14" spans="1:44" ht="28.5" hidden="1" x14ac:dyDescent="0.35">
      <c r="A14" s="16" t="s">
        <v>29</v>
      </c>
      <c r="B14" s="14"/>
      <c r="C14" s="14"/>
      <c r="D14" s="14"/>
      <c r="E14" s="14"/>
      <c r="F14" s="14"/>
      <c r="G14" s="14"/>
      <c r="H14" s="14"/>
      <c r="I14" s="35"/>
      <c r="J14" s="34"/>
      <c r="K14" s="15"/>
      <c r="L14" s="14"/>
      <c r="M14" s="14"/>
      <c r="N14" s="25"/>
      <c r="O14" s="25"/>
      <c r="P14" s="25"/>
      <c r="Q14" s="14"/>
      <c r="R14" s="14"/>
      <c r="S14" s="14"/>
      <c r="T14" s="14"/>
      <c r="U14" s="14"/>
      <c r="V14" s="15"/>
      <c r="W14" s="15"/>
      <c r="X14" s="14"/>
      <c r="Y14" s="14"/>
      <c r="Z14" s="14"/>
      <c r="AA14" s="14"/>
      <c r="AB14" s="14"/>
      <c r="AC14" s="14"/>
      <c r="AD14" s="14"/>
      <c r="AE14" s="14"/>
      <c r="AF14" s="14"/>
      <c r="AG14" s="37"/>
      <c r="AH14" s="37"/>
      <c r="AM14" s="20"/>
      <c r="AN14" s="20"/>
      <c r="AO14" s="20"/>
      <c r="AP14" s="20"/>
      <c r="AQ14" s="20"/>
      <c r="AR14" s="20"/>
    </row>
    <row r="15" spans="1:44" x14ac:dyDescent="0.35">
      <c r="A15" s="7" t="s">
        <v>30</v>
      </c>
      <c r="B15" s="8" t="s">
        <v>503</v>
      </c>
      <c r="C15" s="8" t="s">
        <v>503</v>
      </c>
      <c r="D15" s="8" t="s">
        <v>503</v>
      </c>
      <c r="E15" s="8" t="s">
        <v>503</v>
      </c>
      <c r="F15" s="8" t="s">
        <v>503</v>
      </c>
      <c r="G15" s="8" t="s">
        <v>503</v>
      </c>
      <c r="H15" s="8" t="s">
        <v>503</v>
      </c>
      <c r="I15" s="8" t="s">
        <v>503</v>
      </c>
      <c r="J15" s="8" t="s">
        <v>503</v>
      </c>
      <c r="K15" s="8" t="s">
        <v>503</v>
      </c>
      <c r="L15" s="8" t="s">
        <v>503</v>
      </c>
      <c r="M15" s="8" t="s">
        <v>503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 t="s">
        <v>665</v>
      </c>
      <c r="Y15" s="8" t="s">
        <v>665</v>
      </c>
      <c r="Z15" s="8" t="s">
        <v>665</v>
      </c>
      <c r="AA15" s="8" t="s">
        <v>665</v>
      </c>
      <c r="AB15" s="8" t="s">
        <v>665</v>
      </c>
      <c r="AC15" s="8" t="s">
        <v>665</v>
      </c>
      <c r="AD15" s="8" t="s">
        <v>665</v>
      </c>
      <c r="AE15" s="8" t="s">
        <v>665</v>
      </c>
      <c r="AF15" s="8" t="s">
        <v>665</v>
      </c>
      <c r="AG15" s="41">
        <f>COUNTA(B15:AF15)</f>
        <v>21</v>
      </c>
      <c r="AH15" s="42">
        <f>AG15*100/30</f>
        <v>70</v>
      </c>
      <c r="AM15" s="20"/>
      <c r="AN15" s="20"/>
      <c r="AO15" s="20"/>
      <c r="AP15" s="20"/>
      <c r="AQ15" s="20"/>
      <c r="AR15" s="20"/>
    </row>
    <row r="16" spans="1:44" x14ac:dyDescent="0.35">
      <c r="A16" s="7" t="s">
        <v>35</v>
      </c>
      <c r="B16" s="55" t="s">
        <v>641</v>
      </c>
      <c r="C16" s="55" t="s">
        <v>641</v>
      </c>
      <c r="D16" s="55" t="s">
        <v>641</v>
      </c>
      <c r="E16" s="55" t="s">
        <v>641</v>
      </c>
      <c r="F16" s="55" t="s">
        <v>641</v>
      </c>
      <c r="G16" s="55" t="s">
        <v>641</v>
      </c>
      <c r="H16" s="55" t="s">
        <v>641</v>
      </c>
      <c r="I16" s="55" t="s">
        <v>641</v>
      </c>
      <c r="J16" s="55" t="s">
        <v>641</v>
      </c>
      <c r="K16" s="55" t="s">
        <v>641</v>
      </c>
      <c r="L16" s="55" t="s">
        <v>641</v>
      </c>
      <c r="M16" s="55" t="s">
        <v>660</v>
      </c>
      <c r="N16" s="55" t="s">
        <v>660</v>
      </c>
      <c r="O16" s="55" t="s">
        <v>660</v>
      </c>
      <c r="P16" s="55" t="s">
        <v>660</v>
      </c>
      <c r="Q16" s="55" t="s">
        <v>660</v>
      </c>
      <c r="R16" s="55" t="s">
        <v>660</v>
      </c>
      <c r="S16" s="55" t="s">
        <v>660</v>
      </c>
      <c r="T16" s="8"/>
      <c r="U16" s="8"/>
      <c r="V16" s="8"/>
      <c r="W16" s="8"/>
      <c r="X16" s="8"/>
      <c r="Y16" s="8"/>
      <c r="Z16" s="73" t="s">
        <v>653</v>
      </c>
      <c r="AA16" s="73" t="s">
        <v>653</v>
      </c>
      <c r="AB16" s="73" t="s">
        <v>653</v>
      </c>
      <c r="AC16" s="73" t="s">
        <v>653</v>
      </c>
      <c r="AD16" s="73" t="s">
        <v>653</v>
      </c>
      <c r="AE16" s="73" t="s">
        <v>653</v>
      </c>
      <c r="AF16" s="73" t="s">
        <v>653</v>
      </c>
      <c r="AG16" s="41">
        <f t="shared" ref="AG16:AG22" si="6">COUNTA(B16:AF16)</f>
        <v>25</v>
      </c>
      <c r="AH16" s="42">
        <f t="shared" ref="AH16:AH22" si="7">AG16*100/30</f>
        <v>83.333333333333329</v>
      </c>
      <c r="AM16" s="20"/>
      <c r="AN16" s="20"/>
      <c r="AO16" s="56"/>
      <c r="AP16" s="56"/>
      <c r="AQ16" s="20"/>
      <c r="AR16" s="20"/>
    </row>
    <row r="17" spans="1:50" x14ac:dyDescent="0.35">
      <c r="A17" s="7" t="s">
        <v>39</v>
      </c>
      <c r="B17" s="8" t="s">
        <v>313</v>
      </c>
      <c r="C17" s="8" t="s">
        <v>313</v>
      </c>
      <c r="D17" s="8" t="s">
        <v>313</v>
      </c>
      <c r="E17" s="8" t="s">
        <v>313</v>
      </c>
      <c r="F17" s="8" t="s">
        <v>313</v>
      </c>
      <c r="G17" s="8" t="s">
        <v>313</v>
      </c>
      <c r="H17" s="8" t="s">
        <v>313</v>
      </c>
      <c r="I17" s="8" t="s">
        <v>313</v>
      </c>
      <c r="J17" s="8" t="s">
        <v>313</v>
      </c>
      <c r="K17" s="8" t="s">
        <v>313</v>
      </c>
      <c r="L17" s="8" t="s">
        <v>313</v>
      </c>
      <c r="M17" s="8" t="s">
        <v>661</v>
      </c>
      <c r="N17" s="8" t="s">
        <v>661</v>
      </c>
      <c r="O17" s="8"/>
      <c r="P17" s="8"/>
      <c r="Q17" s="73" t="s">
        <v>651</v>
      </c>
      <c r="R17" s="73" t="s">
        <v>651</v>
      </c>
      <c r="S17" s="73" t="s">
        <v>651</v>
      </c>
      <c r="T17" s="73" t="s">
        <v>651</v>
      </c>
      <c r="U17" s="73" t="s">
        <v>651</v>
      </c>
      <c r="V17" s="73" t="s">
        <v>651</v>
      </c>
      <c r="W17" s="73" t="s">
        <v>651</v>
      </c>
      <c r="X17" s="73" t="s">
        <v>651</v>
      </c>
      <c r="Y17" s="8"/>
      <c r="Z17" s="8" t="s">
        <v>654</v>
      </c>
      <c r="AA17" s="8" t="s">
        <v>654</v>
      </c>
      <c r="AB17" s="8" t="s">
        <v>654</v>
      </c>
      <c r="AC17" s="8" t="s">
        <v>654</v>
      </c>
      <c r="AD17" s="8" t="s">
        <v>654</v>
      </c>
      <c r="AE17" s="8" t="s">
        <v>654</v>
      </c>
      <c r="AF17" s="8" t="s">
        <v>654</v>
      </c>
      <c r="AG17" s="41">
        <f t="shared" si="6"/>
        <v>28</v>
      </c>
      <c r="AH17" s="42">
        <f t="shared" si="7"/>
        <v>93.333333333333329</v>
      </c>
      <c r="AM17" s="20"/>
      <c r="AN17" s="20"/>
      <c r="AO17" s="20"/>
      <c r="AP17" s="20"/>
      <c r="AQ17" s="20"/>
      <c r="AR17" s="20"/>
      <c r="AX17" s="58"/>
    </row>
    <row r="18" spans="1:50" x14ac:dyDescent="0.35">
      <c r="A18" s="7" t="s">
        <v>42</v>
      </c>
      <c r="B18" s="8"/>
      <c r="C18" s="8"/>
      <c r="D18" s="8"/>
      <c r="E18" s="8" t="s">
        <v>385</v>
      </c>
      <c r="F18" s="8" t="s">
        <v>385</v>
      </c>
      <c r="G18" s="8" t="s">
        <v>385</v>
      </c>
      <c r="H18" s="8" t="s">
        <v>385</v>
      </c>
      <c r="I18" s="8" t="s">
        <v>385</v>
      </c>
      <c r="J18" s="8" t="s">
        <v>385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 t="s">
        <v>655</v>
      </c>
      <c r="AA18" s="8" t="s">
        <v>655</v>
      </c>
      <c r="AB18" s="8" t="s">
        <v>655</v>
      </c>
      <c r="AC18" s="8" t="s">
        <v>655</v>
      </c>
      <c r="AD18" s="8" t="s">
        <v>655</v>
      </c>
      <c r="AE18" s="8" t="s">
        <v>655</v>
      </c>
      <c r="AF18" s="8" t="s">
        <v>655</v>
      </c>
      <c r="AG18" s="41">
        <f t="shared" si="6"/>
        <v>13</v>
      </c>
      <c r="AH18" s="42">
        <f t="shared" si="7"/>
        <v>43.333333333333336</v>
      </c>
      <c r="AM18" s="20"/>
      <c r="AN18" s="20"/>
      <c r="AO18" s="20"/>
      <c r="AP18" s="20"/>
      <c r="AQ18" s="20"/>
      <c r="AR18" s="20"/>
      <c r="AX18" s="58"/>
    </row>
    <row r="19" spans="1:50" x14ac:dyDescent="0.35">
      <c r="A19" s="7" t="s">
        <v>45</v>
      </c>
      <c r="B19" s="8" t="s">
        <v>609</v>
      </c>
      <c r="C19" s="8" t="s">
        <v>609</v>
      </c>
      <c r="D19" s="8" t="s">
        <v>609</v>
      </c>
      <c r="E19" s="8" t="s">
        <v>609</v>
      </c>
      <c r="F19" s="8" t="s">
        <v>609</v>
      </c>
      <c r="G19" s="8" t="s">
        <v>609</v>
      </c>
      <c r="H19" s="8" t="s">
        <v>609</v>
      </c>
      <c r="I19" s="8" t="s">
        <v>609</v>
      </c>
      <c r="J19" s="8" t="s">
        <v>609</v>
      </c>
      <c r="K19" s="8" t="s">
        <v>609</v>
      </c>
      <c r="L19" s="8" t="s">
        <v>609</v>
      </c>
      <c r="M19" s="8" t="s">
        <v>609</v>
      </c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73" t="s">
        <v>653</v>
      </c>
      <c r="AA19" s="73" t="s">
        <v>653</v>
      </c>
      <c r="AB19" s="73" t="s">
        <v>653</v>
      </c>
      <c r="AC19" s="73" t="s">
        <v>653</v>
      </c>
      <c r="AD19" s="73" t="s">
        <v>653</v>
      </c>
      <c r="AE19" s="73" t="s">
        <v>653</v>
      </c>
      <c r="AF19" s="73" t="s">
        <v>653</v>
      </c>
      <c r="AG19" s="41">
        <f t="shared" si="6"/>
        <v>19</v>
      </c>
      <c r="AH19" s="42">
        <f t="shared" si="7"/>
        <v>63.333333333333336</v>
      </c>
      <c r="AM19" s="20"/>
      <c r="AN19" s="20"/>
      <c r="AO19" s="20"/>
      <c r="AP19" s="20"/>
      <c r="AQ19" s="20"/>
      <c r="AR19" s="20"/>
      <c r="AX19" s="58"/>
    </row>
    <row r="20" spans="1:50" x14ac:dyDescent="0.35">
      <c r="A20" s="7" t="s">
        <v>47</v>
      </c>
      <c r="B20" s="55" t="s">
        <v>642</v>
      </c>
      <c r="C20" s="55" t="s">
        <v>642</v>
      </c>
      <c r="D20" s="55" t="s">
        <v>642</v>
      </c>
      <c r="E20" s="55" t="s">
        <v>642</v>
      </c>
      <c r="F20" s="55" t="s">
        <v>642</v>
      </c>
      <c r="G20" s="55" t="s">
        <v>642</v>
      </c>
      <c r="H20" s="55" t="s">
        <v>642</v>
      </c>
      <c r="I20" s="55" t="s">
        <v>642</v>
      </c>
      <c r="J20" s="55" t="s">
        <v>642</v>
      </c>
      <c r="K20" s="8"/>
      <c r="L20" s="55" t="s">
        <v>641</v>
      </c>
      <c r="M20" s="55" t="s">
        <v>641</v>
      </c>
      <c r="N20" s="55" t="s">
        <v>641</v>
      </c>
      <c r="O20" s="55" t="s">
        <v>641</v>
      </c>
      <c r="P20" s="55" t="s">
        <v>641</v>
      </c>
      <c r="Q20" s="8"/>
      <c r="R20" s="8"/>
      <c r="S20" s="8"/>
      <c r="T20" s="8"/>
      <c r="U20" s="8"/>
      <c r="V20" s="8"/>
      <c r="W20" s="8"/>
      <c r="X20" s="8"/>
      <c r="Y20" s="8"/>
      <c r="Z20" s="8" t="s">
        <v>655</v>
      </c>
      <c r="AA20" s="8" t="s">
        <v>655</v>
      </c>
      <c r="AB20" s="8" t="s">
        <v>655</v>
      </c>
      <c r="AC20" s="8" t="s">
        <v>655</v>
      </c>
      <c r="AD20" s="8" t="s">
        <v>655</v>
      </c>
      <c r="AE20" s="8" t="s">
        <v>655</v>
      </c>
      <c r="AF20" s="8" t="s">
        <v>655</v>
      </c>
      <c r="AG20" s="41">
        <f t="shared" si="6"/>
        <v>21</v>
      </c>
      <c r="AH20" s="42">
        <f t="shared" si="7"/>
        <v>70</v>
      </c>
      <c r="AM20" s="20"/>
      <c r="AN20" s="20"/>
      <c r="AO20" s="20"/>
      <c r="AP20" s="20"/>
      <c r="AQ20" s="20"/>
      <c r="AR20" s="20"/>
      <c r="AX20" s="58"/>
    </row>
    <row r="21" spans="1:50" x14ac:dyDescent="0.35">
      <c r="A21" s="7" t="s">
        <v>50</v>
      </c>
      <c r="B21" s="55" t="s">
        <v>610</v>
      </c>
      <c r="C21" s="55" t="s">
        <v>610</v>
      </c>
      <c r="D21" s="55" t="s">
        <v>610</v>
      </c>
      <c r="E21" s="55" t="s">
        <v>610</v>
      </c>
      <c r="F21" s="55" t="s">
        <v>610</v>
      </c>
      <c r="G21" s="55" t="s">
        <v>610</v>
      </c>
      <c r="H21" s="55" t="s">
        <v>610</v>
      </c>
      <c r="I21" s="55" t="s">
        <v>610</v>
      </c>
      <c r="J21" s="55" t="s">
        <v>610</v>
      </c>
      <c r="K21" s="55" t="s">
        <v>610</v>
      </c>
      <c r="L21" s="55" t="s">
        <v>610</v>
      </c>
      <c r="M21" s="55" t="s">
        <v>610</v>
      </c>
      <c r="N21" s="55" t="s">
        <v>610</v>
      </c>
      <c r="O21" s="55" t="s">
        <v>610</v>
      </c>
      <c r="P21" s="55" t="s">
        <v>610</v>
      </c>
      <c r="Q21" s="55" t="s">
        <v>610</v>
      </c>
      <c r="R21" s="55" t="s">
        <v>664</v>
      </c>
      <c r="S21" s="55" t="s">
        <v>664</v>
      </c>
      <c r="T21" s="55" t="s">
        <v>664</v>
      </c>
      <c r="U21" s="55"/>
      <c r="V21" s="55"/>
      <c r="W21" s="55"/>
      <c r="X21" s="55"/>
      <c r="Y21" s="55"/>
      <c r="Z21" s="55"/>
      <c r="AA21" s="55"/>
      <c r="AB21" s="55"/>
      <c r="AC21" s="8" t="s">
        <v>312</v>
      </c>
      <c r="AD21" s="55"/>
      <c r="AE21" s="8"/>
      <c r="AF21" s="54"/>
      <c r="AG21" s="41">
        <f t="shared" si="6"/>
        <v>20</v>
      </c>
      <c r="AH21" s="42">
        <f t="shared" si="7"/>
        <v>66.666666666666671</v>
      </c>
      <c r="AM21" s="20"/>
      <c r="AN21" s="20"/>
      <c r="AO21" s="20"/>
      <c r="AP21" s="20"/>
      <c r="AQ21" s="20"/>
      <c r="AR21" s="20"/>
      <c r="AX21" s="58"/>
    </row>
    <row r="22" spans="1:50" ht="15" thickBot="1" x14ac:dyDescent="0.4">
      <c r="A22" s="7" t="s">
        <v>51</v>
      </c>
      <c r="B22" s="8"/>
      <c r="C22" s="8" t="s">
        <v>644</v>
      </c>
      <c r="D22" s="8" t="s">
        <v>644</v>
      </c>
      <c r="E22" s="8" t="s">
        <v>644</v>
      </c>
      <c r="F22" s="8"/>
      <c r="G22" s="8" t="s">
        <v>312</v>
      </c>
      <c r="H22" s="73" t="s">
        <v>649</v>
      </c>
      <c r="I22" s="73" t="s">
        <v>649</v>
      </c>
      <c r="J22" s="73" t="s">
        <v>649</v>
      </c>
      <c r="K22" s="8"/>
      <c r="L22" s="8"/>
      <c r="M22" s="34" t="s">
        <v>312</v>
      </c>
      <c r="N22" s="34" t="s">
        <v>312</v>
      </c>
      <c r="O22" s="34" t="s">
        <v>312</v>
      </c>
      <c r="P22" s="8" t="s">
        <v>663</v>
      </c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 t="s">
        <v>666</v>
      </c>
      <c r="AD22" s="8" t="s">
        <v>666</v>
      </c>
      <c r="AE22" s="8" t="s">
        <v>666</v>
      </c>
      <c r="AF22" s="54"/>
      <c r="AG22" s="41">
        <f t="shared" si="6"/>
        <v>14</v>
      </c>
      <c r="AH22" s="42">
        <f t="shared" si="7"/>
        <v>46.666666666666664</v>
      </c>
      <c r="AX22" s="58"/>
    </row>
    <row r="23" spans="1:50" ht="15.5" x14ac:dyDescent="0.35">
      <c r="A23" s="45" t="s">
        <v>176</v>
      </c>
      <c r="B23" s="46">
        <f>COUNTA(B15:B22)</f>
        <v>6</v>
      </c>
      <c r="C23" s="46">
        <f>COUNTA(C16:C22)</f>
        <v>6</v>
      </c>
      <c r="D23" s="46">
        <f>COUNTA(D16:D22)</f>
        <v>6</v>
      </c>
      <c r="E23" s="46">
        <f t="shared" ref="E23:AF23" si="8">COUNTA(E15:E22)</f>
        <v>8</v>
      </c>
      <c r="F23" s="46">
        <f t="shared" si="8"/>
        <v>7</v>
      </c>
      <c r="G23" s="46">
        <f t="shared" si="8"/>
        <v>8</v>
      </c>
      <c r="H23" s="46">
        <f t="shared" si="8"/>
        <v>8</v>
      </c>
      <c r="I23" s="46">
        <f t="shared" si="8"/>
        <v>8</v>
      </c>
      <c r="J23" s="46">
        <f t="shared" si="8"/>
        <v>8</v>
      </c>
      <c r="K23" s="46">
        <f t="shared" si="8"/>
        <v>5</v>
      </c>
      <c r="L23" s="46">
        <f t="shared" si="8"/>
        <v>6</v>
      </c>
      <c r="M23" s="46">
        <f t="shared" si="8"/>
        <v>7</v>
      </c>
      <c r="N23" s="46">
        <f t="shared" si="8"/>
        <v>5</v>
      </c>
      <c r="O23" s="46">
        <f t="shared" si="8"/>
        <v>4</v>
      </c>
      <c r="P23" s="46">
        <f t="shared" si="8"/>
        <v>4</v>
      </c>
      <c r="Q23" s="46">
        <f t="shared" si="8"/>
        <v>3</v>
      </c>
      <c r="R23" s="46">
        <f t="shared" si="8"/>
        <v>3</v>
      </c>
      <c r="S23" s="46">
        <f t="shared" si="8"/>
        <v>3</v>
      </c>
      <c r="T23" s="46">
        <f>COUNTA(T15:T22)</f>
        <v>2</v>
      </c>
      <c r="U23" s="46">
        <f t="shared" si="8"/>
        <v>1</v>
      </c>
      <c r="V23" s="46">
        <f t="shared" si="8"/>
        <v>1</v>
      </c>
      <c r="W23" s="46">
        <f t="shared" si="8"/>
        <v>1</v>
      </c>
      <c r="X23" s="46">
        <f t="shared" si="8"/>
        <v>2</v>
      </c>
      <c r="Y23" s="46">
        <f t="shared" si="8"/>
        <v>1</v>
      </c>
      <c r="Z23" s="46">
        <f t="shared" si="8"/>
        <v>6</v>
      </c>
      <c r="AA23" s="46">
        <f t="shared" si="8"/>
        <v>6</v>
      </c>
      <c r="AB23" s="46">
        <f t="shared" si="8"/>
        <v>6</v>
      </c>
      <c r="AC23" s="46">
        <f t="shared" si="8"/>
        <v>8</v>
      </c>
      <c r="AD23" s="46">
        <f t="shared" si="8"/>
        <v>7</v>
      </c>
      <c r="AE23" s="46">
        <f t="shared" si="8"/>
        <v>7</v>
      </c>
      <c r="AF23" s="46">
        <f t="shared" si="8"/>
        <v>6</v>
      </c>
      <c r="AG23" s="43">
        <f>SUM(AG15:AG22)</f>
        <v>161</v>
      </c>
      <c r="AH23" s="66">
        <f>AVERAGE(AH15:AH22)</f>
        <v>67.083333333333329</v>
      </c>
      <c r="AX23" s="58"/>
    </row>
    <row r="24" spans="1:50" ht="15.5" x14ac:dyDescent="0.35">
      <c r="A24" s="47" t="s">
        <v>178</v>
      </c>
      <c r="B24" s="52">
        <f>B12+B23</f>
        <v>12</v>
      </c>
      <c r="C24" s="52">
        <f t="shared" ref="C24:AF24" si="9">C12+C23</f>
        <v>10</v>
      </c>
      <c r="D24" s="52">
        <f t="shared" si="9"/>
        <v>10</v>
      </c>
      <c r="E24" s="52">
        <f t="shared" si="9"/>
        <v>13</v>
      </c>
      <c r="F24" s="52">
        <f t="shared" si="9"/>
        <v>13</v>
      </c>
      <c r="G24" s="52">
        <f t="shared" si="9"/>
        <v>14</v>
      </c>
      <c r="H24" s="52">
        <f t="shared" si="9"/>
        <v>14</v>
      </c>
      <c r="I24" s="52">
        <f t="shared" si="9"/>
        <v>14</v>
      </c>
      <c r="J24" s="52">
        <f t="shared" si="9"/>
        <v>14</v>
      </c>
      <c r="K24" s="52">
        <f t="shared" si="9"/>
        <v>7</v>
      </c>
      <c r="L24" s="52">
        <f t="shared" si="9"/>
        <v>8</v>
      </c>
      <c r="M24" s="52">
        <f t="shared" si="9"/>
        <v>11</v>
      </c>
      <c r="N24" s="52">
        <f t="shared" si="9"/>
        <v>9</v>
      </c>
      <c r="O24" s="52">
        <f t="shared" si="9"/>
        <v>9</v>
      </c>
      <c r="P24" s="52">
        <f t="shared" si="9"/>
        <v>8</v>
      </c>
      <c r="Q24" s="52">
        <f t="shared" si="9"/>
        <v>7</v>
      </c>
      <c r="R24" s="52">
        <f t="shared" si="9"/>
        <v>7</v>
      </c>
      <c r="S24" s="52">
        <f t="shared" si="9"/>
        <v>7</v>
      </c>
      <c r="T24" s="52">
        <f t="shared" si="9"/>
        <v>6</v>
      </c>
      <c r="U24" s="52">
        <f t="shared" si="9"/>
        <v>5</v>
      </c>
      <c r="V24" s="52">
        <f t="shared" si="9"/>
        <v>5</v>
      </c>
      <c r="W24" s="52">
        <f t="shared" si="9"/>
        <v>5</v>
      </c>
      <c r="X24" s="52">
        <f t="shared" si="9"/>
        <v>8</v>
      </c>
      <c r="Y24" s="52">
        <f t="shared" si="9"/>
        <v>5</v>
      </c>
      <c r="Z24" s="52">
        <f t="shared" si="9"/>
        <v>11</v>
      </c>
      <c r="AA24" s="52">
        <f t="shared" si="9"/>
        <v>11</v>
      </c>
      <c r="AB24" s="52">
        <f t="shared" si="9"/>
        <v>11</v>
      </c>
      <c r="AC24" s="52">
        <f t="shared" si="9"/>
        <v>12</v>
      </c>
      <c r="AD24" s="52">
        <f t="shared" si="9"/>
        <v>9</v>
      </c>
      <c r="AE24" s="52">
        <f t="shared" si="9"/>
        <v>13</v>
      </c>
      <c r="AF24" s="52">
        <f t="shared" si="9"/>
        <v>6</v>
      </c>
      <c r="AG24" s="49">
        <f>+AG12+AG23</f>
        <v>296</v>
      </c>
      <c r="AX24" s="58"/>
    </row>
    <row r="25" spans="1:50" ht="15.5" x14ac:dyDescent="0.35">
      <c r="A25" s="48" t="s">
        <v>179</v>
      </c>
      <c r="B25" s="42">
        <f>B24*100/15</f>
        <v>80</v>
      </c>
      <c r="C25" s="42">
        <f t="shared" ref="C25:AF25" si="10">C24*100/15</f>
        <v>66.666666666666671</v>
      </c>
      <c r="D25" s="42">
        <f t="shared" si="10"/>
        <v>66.666666666666671</v>
      </c>
      <c r="E25" s="42">
        <f t="shared" si="10"/>
        <v>86.666666666666671</v>
      </c>
      <c r="F25" s="42">
        <f t="shared" si="10"/>
        <v>86.666666666666671</v>
      </c>
      <c r="G25" s="42">
        <f t="shared" si="10"/>
        <v>93.333333333333329</v>
      </c>
      <c r="H25" s="42">
        <f t="shared" si="10"/>
        <v>93.333333333333329</v>
      </c>
      <c r="I25" s="42">
        <f t="shared" si="10"/>
        <v>93.333333333333329</v>
      </c>
      <c r="J25" s="42">
        <f t="shared" si="10"/>
        <v>93.333333333333329</v>
      </c>
      <c r="K25" s="42">
        <f t="shared" si="10"/>
        <v>46.666666666666664</v>
      </c>
      <c r="L25" s="42">
        <f t="shared" si="10"/>
        <v>53.333333333333336</v>
      </c>
      <c r="M25" s="42">
        <f t="shared" si="10"/>
        <v>73.333333333333329</v>
      </c>
      <c r="N25" s="42">
        <f t="shared" si="10"/>
        <v>60</v>
      </c>
      <c r="O25" s="42">
        <f t="shared" si="10"/>
        <v>60</v>
      </c>
      <c r="P25" s="42">
        <f t="shared" si="10"/>
        <v>53.333333333333336</v>
      </c>
      <c r="Q25" s="42">
        <f t="shared" si="10"/>
        <v>46.666666666666664</v>
      </c>
      <c r="R25" s="42">
        <f t="shared" si="10"/>
        <v>46.666666666666664</v>
      </c>
      <c r="S25" s="42">
        <f t="shared" si="10"/>
        <v>46.666666666666664</v>
      </c>
      <c r="T25" s="42">
        <f t="shared" si="10"/>
        <v>40</v>
      </c>
      <c r="U25" s="42">
        <f t="shared" si="10"/>
        <v>33.333333333333336</v>
      </c>
      <c r="V25" s="42">
        <f t="shared" si="10"/>
        <v>33.333333333333336</v>
      </c>
      <c r="W25" s="42">
        <f t="shared" si="10"/>
        <v>33.333333333333336</v>
      </c>
      <c r="X25" s="42">
        <f t="shared" si="10"/>
        <v>53.333333333333336</v>
      </c>
      <c r="Y25" s="42">
        <f t="shared" si="10"/>
        <v>33.333333333333336</v>
      </c>
      <c r="Z25" s="42">
        <f t="shared" si="10"/>
        <v>73.333333333333329</v>
      </c>
      <c r="AA25" s="42">
        <f t="shared" si="10"/>
        <v>73.333333333333329</v>
      </c>
      <c r="AB25" s="42">
        <f t="shared" si="10"/>
        <v>73.333333333333329</v>
      </c>
      <c r="AC25" s="42">
        <f t="shared" si="10"/>
        <v>80</v>
      </c>
      <c r="AD25" s="42">
        <f t="shared" si="10"/>
        <v>60</v>
      </c>
      <c r="AE25" s="42">
        <f t="shared" si="10"/>
        <v>86.666666666666671</v>
      </c>
      <c r="AF25" s="42">
        <f t="shared" si="10"/>
        <v>40</v>
      </c>
      <c r="AG25" s="50">
        <f>AVERAGE(B25:AE25)</f>
        <v>63.999999999999993</v>
      </c>
      <c r="AH25" s="51" t="s">
        <v>180</v>
      </c>
      <c r="AX25" s="58"/>
    </row>
    <row r="26" spans="1:50" x14ac:dyDescent="0.35">
      <c r="AX26" s="58"/>
    </row>
  </sheetData>
  <mergeCells count="2">
    <mergeCell ref="A1:AE1"/>
    <mergeCell ref="AM3:AR3"/>
  </mergeCells>
  <conditionalFormatting sqref="B7">
    <cfRule type="colorScale" priority="2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0">
    <cfRule type="colorScale" priority="1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8:D8">
    <cfRule type="colorScale" priority="2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20:J20">
    <cfRule type="colorScale" priority="1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9:M19">
    <cfRule type="colorScale" priority="19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7:P17">
    <cfRule type="colorScale" priority="18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21:Q21">
    <cfRule type="colorScale" priority="20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6:S16">
    <cfRule type="colorScale" priority="1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5:W15">
    <cfRule type="colorScale" priority="1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8:Y18 T16:AF16">
    <cfRule type="colorScale" priority="4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6:AC6">
    <cfRule type="colorScale" priority="1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C7:F7 F10:J10 K7:T8 U8:AB8">
    <cfRule type="colorScale" priority="1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E8:J8">
    <cfRule type="colorScale" priority="10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G7:J7">
    <cfRule type="colorScale" priority="9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L20:P20">
    <cfRule type="colorScale" priority="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L13:U14 B13:I14 X13:AH14">
    <cfRule type="colorScale" priority="5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M9:AB9">
    <cfRule type="colorScale" priority="8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N19:Y19">
    <cfRule type="colorScale" priority="48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Q17:X17">
    <cfRule type="colorScale" priority="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Q20:Y20 K20">
    <cfRule type="colorScale" priority="3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R21:AB21 AD21">
    <cfRule type="colorScale" priority="4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X11">
    <cfRule type="colorScale" priority="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X15:AF15">
    <cfRule type="colorScale" priority="49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Y17:AF17">
    <cfRule type="colorScale" priority="50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Z18:AF18">
    <cfRule type="colorScale" priority="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Z19:AF19">
    <cfRule type="colorScale" priority="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Z20:AF20">
    <cfRule type="colorScale" priority="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C21">
    <cfRule type="colorScale" priority="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C8:AD8 B5:AE5 C10:E10 B9:L9 B11:W11 AD5:AE6 K10:AB10 Y11:AD11">
    <cfRule type="colorScale" priority="5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C9:AD10 U7:AE7 AE8:AE11 AF7:AF11">
    <cfRule type="colorScale" priority="5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E21:AE22 B22:AE22">
    <cfRule type="colorScale" priority="5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F5:AF6">
    <cfRule type="colorScale" priority="5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F21:AF22">
    <cfRule type="colorScale" priority="56">
      <colorScale>
        <cfvo type="num" val="1"/>
        <cfvo type="max"/>
        <color theme="4" tint="0.59999389629810485"/>
        <color theme="5" tint="0.59999389629810485"/>
      </colorScale>
    </cfRule>
  </conditionalFormatting>
  <pageMargins left="0.2" right="0.45" top="0.75" bottom="0.75" header="0.3" footer="0.3"/>
  <pageSetup scale="90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EC9C7-C93A-4CCF-B731-51B28C3FA1F5}">
  <dimension ref="A1:AX26"/>
  <sheetViews>
    <sheetView zoomScale="86" zoomScaleNormal="86" workbookViewId="0">
      <pane xSplit="1" ySplit="4" topLeftCell="R5" activePane="bottomRight" state="frozen"/>
      <selection pane="topRight" activeCell="B1" sqref="B1"/>
      <selection pane="bottomLeft" activeCell="A5" sqref="A5"/>
      <selection pane="bottomRight" activeCell="AE18" sqref="AE18"/>
    </sheetView>
  </sheetViews>
  <sheetFormatPr defaultRowHeight="14.5" x14ac:dyDescent="0.35"/>
  <cols>
    <col min="1" max="1" width="43.7265625" bestFit="1" customWidth="1"/>
    <col min="2" max="7" width="14.81640625" bestFit="1" customWidth="1"/>
    <col min="8" max="8" width="13.453125" customWidth="1"/>
    <col min="9" max="9" width="14.81640625" bestFit="1" customWidth="1"/>
    <col min="10" max="10" width="14.1796875" bestFit="1" customWidth="1"/>
    <col min="11" max="13" width="10.1796875" bestFit="1" customWidth="1"/>
    <col min="14" max="15" width="11.453125" bestFit="1" customWidth="1"/>
    <col min="16" max="16" width="11.81640625" bestFit="1" customWidth="1"/>
    <col min="17" max="18" width="12" bestFit="1" customWidth="1"/>
    <col min="19" max="21" width="11.81640625" bestFit="1" customWidth="1"/>
    <col min="22" max="22" width="14.1796875" bestFit="1" customWidth="1"/>
    <col min="23" max="23" width="16.81640625" bestFit="1" customWidth="1"/>
    <col min="24" max="25" width="12.81640625" bestFit="1" customWidth="1"/>
    <col min="26" max="30" width="10.54296875" bestFit="1" customWidth="1"/>
    <col min="31" max="31" width="10.453125" customWidth="1"/>
    <col min="32" max="32" width="5.81640625" hidden="1" customWidth="1"/>
    <col min="33" max="33" width="4.7265625" bestFit="1" customWidth="1"/>
    <col min="34" max="34" width="8.453125" bestFit="1" customWidth="1"/>
    <col min="35" max="35" width="8" bestFit="1" customWidth="1"/>
    <col min="36" max="36" width="8.453125" customWidth="1"/>
    <col min="37" max="37" width="0" hidden="1" customWidth="1"/>
    <col min="38" max="38" width="3" hidden="1" customWidth="1"/>
    <col min="39" max="39" width="17.81640625" bestFit="1" customWidth="1"/>
    <col min="40" max="40" width="9.1796875" bestFit="1" customWidth="1"/>
    <col min="41" max="41" width="9.81640625" bestFit="1" customWidth="1"/>
    <col min="42" max="42" width="10.81640625" bestFit="1" customWidth="1"/>
    <col min="43" max="43" width="10.1796875" bestFit="1" customWidth="1"/>
    <col min="44" max="44" width="23.1796875" bestFit="1" customWidth="1"/>
    <col min="45" max="45" width="0.453125" hidden="1" customWidth="1"/>
    <col min="46" max="49" width="0" hidden="1" customWidth="1"/>
    <col min="51" max="51" width="15" bestFit="1" customWidth="1"/>
  </cols>
  <sheetData>
    <row r="1" spans="1:44" ht="15.5" x14ac:dyDescent="0.35">
      <c r="A1" s="120" t="s">
        <v>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65"/>
    </row>
    <row r="2" spans="1:44" ht="15" thickBot="1" x14ac:dyDescent="0.4"/>
    <row r="3" spans="1:44" ht="45.75" customHeight="1" x14ac:dyDescent="0.35">
      <c r="A3" s="1" t="s">
        <v>1</v>
      </c>
      <c r="B3" s="2">
        <f>AI4</f>
        <v>45536</v>
      </c>
      <c r="C3" s="2">
        <f t="shared" ref="C3:AF3" si="0">B3+1</f>
        <v>45537</v>
      </c>
      <c r="D3" s="2">
        <f t="shared" si="0"/>
        <v>45538</v>
      </c>
      <c r="E3" s="2">
        <f t="shared" si="0"/>
        <v>45539</v>
      </c>
      <c r="F3" s="2">
        <f t="shared" si="0"/>
        <v>45540</v>
      </c>
      <c r="G3" s="2">
        <f t="shared" si="0"/>
        <v>45541</v>
      </c>
      <c r="H3" s="2">
        <f t="shared" si="0"/>
        <v>45542</v>
      </c>
      <c r="I3" s="2">
        <f>H3+1</f>
        <v>45543</v>
      </c>
      <c r="J3" s="2">
        <f t="shared" si="0"/>
        <v>45544</v>
      </c>
      <c r="K3" s="2">
        <f t="shared" si="0"/>
        <v>45545</v>
      </c>
      <c r="L3" s="2">
        <f t="shared" si="0"/>
        <v>45546</v>
      </c>
      <c r="M3" s="2">
        <f t="shared" si="0"/>
        <v>45547</v>
      </c>
      <c r="N3" s="2">
        <f t="shared" si="0"/>
        <v>45548</v>
      </c>
      <c r="O3" s="2">
        <f t="shared" si="0"/>
        <v>45549</v>
      </c>
      <c r="P3" s="2">
        <f t="shared" si="0"/>
        <v>45550</v>
      </c>
      <c r="Q3" s="2">
        <f t="shared" si="0"/>
        <v>45551</v>
      </c>
      <c r="R3" s="2">
        <f t="shared" si="0"/>
        <v>45552</v>
      </c>
      <c r="S3" s="2">
        <f t="shared" si="0"/>
        <v>45553</v>
      </c>
      <c r="T3" s="2">
        <f t="shared" si="0"/>
        <v>45554</v>
      </c>
      <c r="U3" s="2">
        <f t="shared" si="0"/>
        <v>45555</v>
      </c>
      <c r="V3" s="2">
        <f t="shared" si="0"/>
        <v>45556</v>
      </c>
      <c r="W3" s="2">
        <f t="shared" si="0"/>
        <v>45557</v>
      </c>
      <c r="X3" s="2">
        <f t="shared" si="0"/>
        <v>45558</v>
      </c>
      <c r="Y3" s="2">
        <f t="shared" si="0"/>
        <v>45559</v>
      </c>
      <c r="Z3" s="2">
        <f t="shared" si="0"/>
        <v>45560</v>
      </c>
      <c r="AA3" s="2">
        <f t="shared" si="0"/>
        <v>45561</v>
      </c>
      <c r="AB3" s="2">
        <f t="shared" si="0"/>
        <v>45562</v>
      </c>
      <c r="AC3" s="2">
        <f t="shared" si="0"/>
        <v>45563</v>
      </c>
      <c r="AD3" s="2">
        <f t="shared" si="0"/>
        <v>45564</v>
      </c>
      <c r="AE3" s="2">
        <f t="shared" si="0"/>
        <v>45565</v>
      </c>
      <c r="AF3" s="2">
        <f t="shared" si="0"/>
        <v>45566</v>
      </c>
      <c r="AG3" s="36"/>
      <c r="AH3" s="36"/>
      <c r="AM3" s="122" t="s">
        <v>267</v>
      </c>
      <c r="AN3" s="123"/>
      <c r="AO3" s="123"/>
      <c r="AP3" s="123"/>
      <c r="AQ3" s="123"/>
      <c r="AR3" s="124"/>
    </row>
    <row r="4" spans="1:44" ht="31.5" customHeight="1" x14ac:dyDescent="0.35">
      <c r="A4" s="3" t="s">
        <v>2</v>
      </c>
      <c r="B4" s="4">
        <f t="shared" ref="B4:AF4" si="1">B3</f>
        <v>45536</v>
      </c>
      <c r="C4" s="4">
        <f t="shared" si="1"/>
        <v>45537</v>
      </c>
      <c r="D4" s="4">
        <f t="shared" si="1"/>
        <v>45538</v>
      </c>
      <c r="E4" s="4">
        <f t="shared" si="1"/>
        <v>45539</v>
      </c>
      <c r="F4" s="4">
        <f t="shared" si="1"/>
        <v>45540</v>
      </c>
      <c r="G4" s="4">
        <f t="shared" si="1"/>
        <v>45541</v>
      </c>
      <c r="H4" s="4">
        <f t="shared" si="1"/>
        <v>45542</v>
      </c>
      <c r="I4" s="4">
        <f t="shared" si="1"/>
        <v>45543</v>
      </c>
      <c r="J4" s="4">
        <f t="shared" si="1"/>
        <v>45544</v>
      </c>
      <c r="K4" s="4">
        <f t="shared" si="1"/>
        <v>45545</v>
      </c>
      <c r="L4" s="4">
        <f t="shared" si="1"/>
        <v>45546</v>
      </c>
      <c r="M4" s="4">
        <f t="shared" si="1"/>
        <v>45547</v>
      </c>
      <c r="N4" s="4">
        <f t="shared" si="1"/>
        <v>45548</v>
      </c>
      <c r="O4" s="4">
        <f t="shared" si="1"/>
        <v>45549</v>
      </c>
      <c r="P4" s="4">
        <f t="shared" si="1"/>
        <v>45550</v>
      </c>
      <c r="Q4" s="4">
        <f t="shared" si="1"/>
        <v>45551</v>
      </c>
      <c r="R4" s="4">
        <f t="shared" si="1"/>
        <v>45552</v>
      </c>
      <c r="S4" s="4">
        <f t="shared" si="1"/>
        <v>45553</v>
      </c>
      <c r="T4" s="4">
        <f t="shared" si="1"/>
        <v>45554</v>
      </c>
      <c r="U4" s="4">
        <f t="shared" si="1"/>
        <v>45555</v>
      </c>
      <c r="V4" s="4">
        <f t="shared" si="1"/>
        <v>45556</v>
      </c>
      <c r="W4" s="4">
        <f t="shared" si="1"/>
        <v>45557</v>
      </c>
      <c r="X4" s="4">
        <f t="shared" si="1"/>
        <v>45558</v>
      </c>
      <c r="Y4" s="4">
        <f t="shared" si="1"/>
        <v>45559</v>
      </c>
      <c r="Z4" s="4">
        <f t="shared" si="1"/>
        <v>45560</v>
      </c>
      <c r="AA4" s="4">
        <f t="shared" si="1"/>
        <v>45561</v>
      </c>
      <c r="AB4" s="4">
        <f t="shared" si="1"/>
        <v>45562</v>
      </c>
      <c r="AC4" s="4">
        <f t="shared" si="1"/>
        <v>45563</v>
      </c>
      <c r="AD4" s="4">
        <f t="shared" si="1"/>
        <v>45564</v>
      </c>
      <c r="AE4" s="4">
        <f t="shared" si="1"/>
        <v>45565</v>
      </c>
      <c r="AF4" s="4">
        <f t="shared" si="1"/>
        <v>45566</v>
      </c>
      <c r="AG4" s="39" t="s">
        <v>174</v>
      </c>
      <c r="AH4" s="40" t="s">
        <v>175</v>
      </c>
      <c r="AI4" s="5">
        <v>45536</v>
      </c>
      <c r="AJ4" s="6">
        <f>EOMONTH(AI4,0)</f>
        <v>45565</v>
      </c>
      <c r="AM4" s="19" t="s">
        <v>54</v>
      </c>
      <c r="AN4" s="19" t="s">
        <v>269</v>
      </c>
      <c r="AO4" s="19" t="s">
        <v>55</v>
      </c>
      <c r="AP4" s="19" t="s">
        <v>56</v>
      </c>
      <c r="AQ4" s="19" t="s">
        <v>251</v>
      </c>
      <c r="AR4" s="19" t="s">
        <v>57</v>
      </c>
    </row>
    <row r="5" spans="1:44" x14ac:dyDescent="0.35">
      <c r="A5" s="7" t="s">
        <v>3</v>
      </c>
      <c r="B5" s="55"/>
      <c r="C5" s="55"/>
      <c r="D5" s="55"/>
      <c r="E5" s="55"/>
      <c r="F5" s="55" t="s">
        <v>437</v>
      </c>
      <c r="G5" s="55" t="s">
        <v>437</v>
      </c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 t="s">
        <v>437</v>
      </c>
      <c r="U5" s="55" t="s">
        <v>437</v>
      </c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41">
        <f>COUNTA(B5:AF5)</f>
        <v>4</v>
      </c>
      <c r="AH5" s="42">
        <f>AG5*100/30</f>
        <v>13.333333333333334</v>
      </c>
      <c r="AM5" s="20"/>
      <c r="AN5" s="56"/>
      <c r="AO5" s="56"/>
      <c r="AP5" s="56"/>
      <c r="AQ5" s="57"/>
      <c r="AR5" s="20"/>
    </row>
    <row r="6" spans="1:44" x14ac:dyDescent="0.35">
      <c r="A6" s="7" t="s">
        <v>7</v>
      </c>
      <c r="B6" s="55"/>
      <c r="C6" s="55"/>
      <c r="D6" s="55"/>
      <c r="E6" s="55"/>
      <c r="F6" s="55"/>
      <c r="G6" s="55"/>
      <c r="H6" s="55"/>
      <c r="I6" s="55"/>
      <c r="J6" s="55" t="s">
        <v>656</v>
      </c>
      <c r="K6" s="55" t="s">
        <v>656</v>
      </c>
      <c r="L6" s="55" t="s">
        <v>656</v>
      </c>
      <c r="M6" s="55" t="s">
        <v>656</v>
      </c>
      <c r="N6" s="55" t="s">
        <v>656</v>
      </c>
      <c r="O6" s="55" t="s">
        <v>656</v>
      </c>
      <c r="P6" s="55" t="s">
        <v>656</v>
      </c>
      <c r="Q6" s="55" t="s">
        <v>656</v>
      </c>
      <c r="R6" s="55" t="s">
        <v>656</v>
      </c>
      <c r="S6" s="55" t="s">
        <v>656</v>
      </c>
      <c r="T6" s="55" t="s">
        <v>656</v>
      </c>
      <c r="U6" s="55" t="s">
        <v>656</v>
      </c>
      <c r="V6" s="55" t="s">
        <v>656</v>
      </c>
      <c r="W6" s="55" t="s">
        <v>656</v>
      </c>
      <c r="X6" s="55" t="s">
        <v>656</v>
      </c>
      <c r="Y6" s="55" t="s">
        <v>656</v>
      </c>
      <c r="Z6" s="55" t="s">
        <v>656</v>
      </c>
      <c r="AA6" s="55" t="s">
        <v>656</v>
      </c>
      <c r="AB6" s="55" t="s">
        <v>656</v>
      </c>
      <c r="AC6" s="55" t="s">
        <v>656</v>
      </c>
      <c r="AD6" s="55" t="s">
        <v>656</v>
      </c>
      <c r="AE6" s="55" t="s">
        <v>656</v>
      </c>
      <c r="AF6" s="55"/>
      <c r="AG6" s="41">
        <f t="shared" ref="AG6:AG11" si="2">COUNTA(B6:AF6)</f>
        <v>22</v>
      </c>
      <c r="AH6" s="42">
        <f t="shared" ref="AH6:AH11" si="3">AG6*100/30</f>
        <v>73.333333333333329</v>
      </c>
      <c r="AM6" s="20"/>
      <c r="AN6" s="56"/>
      <c r="AO6" s="56"/>
      <c r="AP6" s="56"/>
      <c r="AQ6" s="57"/>
      <c r="AR6" s="20"/>
    </row>
    <row r="7" spans="1:44" x14ac:dyDescent="0.35">
      <c r="A7" s="7" t="s">
        <v>11</v>
      </c>
      <c r="B7" s="55"/>
      <c r="C7" s="55"/>
      <c r="D7" s="55"/>
      <c r="E7" s="55"/>
      <c r="F7" s="55"/>
      <c r="G7" s="55"/>
      <c r="H7" s="55"/>
      <c r="I7" s="55"/>
      <c r="J7" s="55" t="s">
        <v>657</v>
      </c>
      <c r="K7" s="55" t="s">
        <v>657</v>
      </c>
      <c r="L7" s="55" t="s">
        <v>657</v>
      </c>
      <c r="M7" s="55" t="s">
        <v>657</v>
      </c>
      <c r="N7" s="55" t="s">
        <v>657</v>
      </c>
      <c r="O7" s="55" t="s">
        <v>657</v>
      </c>
      <c r="P7" s="55" t="s">
        <v>657</v>
      </c>
      <c r="Q7" s="55" t="s">
        <v>657</v>
      </c>
      <c r="R7" s="55" t="s">
        <v>657</v>
      </c>
      <c r="S7" s="55" t="s">
        <v>657</v>
      </c>
      <c r="T7" s="55" t="s">
        <v>657</v>
      </c>
      <c r="U7" s="55" t="s">
        <v>657</v>
      </c>
      <c r="V7" s="55" t="s">
        <v>657</v>
      </c>
      <c r="W7" s="55" t="s">
        <v>657</v>
      </c>
      <c r="X7" s="55" t="s">
        <v>657</v>
      </c>
      <c r="Y7" s="55"/>
      <c r="Z7" s="55"/>
      <c r="AA7" s="55"/>
      <c r="AB7" s="55"/>
      <c r="AC7" s="55"/>
      <c r="AD7" s="55" t="s">
        <v>683</v>
      </c>
      <c r="AE7" s="55" t="s">
        <v>683</v>
      </c>
      <c r="AF7" s="55"/>
      <c r="AG7" s="41">
        <f t="shared" si="2"/>
        <v>17</v>
      </c>
      <c r="AH7" s="42">
        <f t="shared" si="3"/>
        <v>56.666666666666664</v>
      </c>
      <c r="AM7" s="20"/>
      <c r="AN7" s="56"/>
      <c r="AO7" s="56"/>
      <c r="AP7" s="56"/>
      <c r="AQ7" s="57"/>
      <c r="AR7" s="20"/>
    </row>
    <row r="8" spans="1:44" ht="15" customHeight="1" x14ac:dyDescent="0.35">
      <c r="A8" s="7" t="s">
        <v>15</v>
      </c>
      <c r="B8" s="55" t="s">
        <v>673</v>
      </c>
      <c r="C8" s="55"/>
      <c r="D8" s="55"/>
      <c r="E8" s="55"/>
      <c r="F8" s="55"/>
      <c r="G8" s="55"/>
      <c r="H8" s="55"/>
      <c r="I8" s="55"/>
      <c r="J8" s="55" t="s">
        <v>674</v>
      </c>
      <c r="K8" s="55" t="s">
        <v>674</v>
      </c>
      <c r="L8" s="55" t="s">
        <v>674</v>
      </c>
      <c r="M8" s="55" t="s">
        <v>674</v>
      </c>
      <c r="N8" s="55" t="s">
        <v>674</v>
      </c>
      <c r="O8" s="55"/>
      <c r="P8" s="55" t="s">
        <v>524</v>
      </c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 t="s">
        <v>684</v>
      </c>
      <c r="AE8" s="55" t="s">
        <v>684</v>
      </c>
      <c r="AF8" s="55"/>
      <c r="AG8" s="41">
        <f t="shared" si="2"/>
        <v>9</v>
      </c>
      <c r="AH8" s="42">
        <f t="shared" si="3"/>
        <v>30</v>
      </c>
      <c r="AK8" s="9"/>
      <c r="AM8" s="20"/>
      <c r="AN8" s="56"/>
      <c r="AO8" s="56"/>
      <c r="AP8" s="56"/>
      <c r="AQ8" s="57"/>
      <c r="AR8" s="20"/>
    </row>
    <row r="9" spans="1:44" ht="15.75" customHeight="1" x14ac:dyDescent="0.35">
      <c r="A9" s="7" t="s">
        <v>18</v>
      </c>
      <c r="B9" s="55" t="s">
        <v>673</v>
      </c>
      <c r="C9" s="55"/>
      <c r="D9" s="55"/>
      <c r="E9" s="55"/>
      <c r="F9" s="55"/>
      <c r="G9" s="55"/>
      <c r="H9" s="55"/>
      <c r="I9" s="55"/>
      <c r="J9" s="55" t="s">
        <v>675</v>
      </c>
      <c r="K9" s="55" t="s">
        <v>675</v>
      </c>
      <c r="L9" s="55" t="s">
        <v>675</v>
      </c>
      <c r="M9" s="55" t="s">
        <v>675</v>
      </c>
      <c r="N9" s="55" t="s">
        <v>675</v>
      </c>
      <c r="O9" s="55"/>
      <c r="P9" s="55" t="s">
        <v>671</v>
      </c>
      <c r="Q9" s="55"/>
      <c r="R9" s="55"/>
      <c r="S9" s="55"/>
      <c r="T9" s="55" t="s">
        <v>657</v>
      </c>
      <c r="U9" s="55" t="s">
        <v>657</v>
      </c>
      <c r="V9" s="55" t="s">
        <v>657</v>
      </c>
      <c r="W9" s="55" t="s">
        <v>657</v>
      </c>
      <c r="X9" s="55" t="s">
        <v>657</v>
      </c>
      <c r="Y9" s="55"/>
      <c r="Z9" s="55"/>
      <c r="AA9" s="55"/>
      <c r="AB9" s="55"/>
      <c r="AC9" s="55"/>
      <c r="AD9" s="55"/>
      <c r="AE9" s="55"/>
      <c r="AF9" s="55"/>
      <c r="AG9" s="41">
        <f t="shared" si="2"/>
        <v>12</v>
      </c>
      <c r="AH9" s="42">
        <f t="shared" si="3"/>
        <v>40</v>
      </c>
      <c r="AM9" s="20"/>
      <c r="AN9" s="56"/>
      <c r="AO9" s="56"/>
      <c r="AP9" s="56"/>
      <c r="AQ9" s="57"/>
      <c r="AR9" s="20"/>
    </row>
    <row r="10" spans="1:44" ht="15.75" customHeight="1" x14ac:dyDescent="0.35">
      <c r="A10" s="7" t="s">
        <v>20</v>
      </c>
      <c r="B10" s="55" t="s">
        <v>673</v>
      </c>
      <c r="C10" s="55"/>
      <c r="D10" s="55"/>
      <c r="E10" s="55"/>
      <c r="F10" s="55"/>
      <c r="G10" s="55"/>
      <c r="H10" s="55"/>
      <c r="I10" s="55"/>
      <c r="J10" s="55" t="s">
        <v>676</v>
      </c>
      <c r="K10" s="55" t="s">
        <v>676</v>
      </c>
      <c r="L10" s="55" t="s">
        <v>676</v>
      </c>
      <c r="M10" s="55" t="s">
        <v>676</v>
      </c>
      <c r="N10" s="55" t="s">
        <v>676</v>
      </c>
      <c r="O10" s="55"/>
      <c r="P10" s="55" t="s">
        <v>208</v>
      </c>
      <c r="Q10" s="55" t="s">
        <v>95</v>
      </c>
      <c r="R10" s="55" t="s">
        <v>95</v>
      </c>
      <c r="S10" s="55" t="s">
        <v>95</v>
      </c>
      <c r="T10" s="55" t="s">
        <v>95</v>
      </c>
      <c r="U10" s="55" t="s">
        <v>95</v>
      </c>
      <c r="V10" s="55"/>
      <c r="W10" s="55"/>
      <c r="X10" s="55" t="s">
        <v>187</v>
      </c>
      <c r="Y10" s="55" t="s">
        <v>187</v>
      </c>
      <c r="Z10" s="55" t="s">
        <v>187</v>
      </c>
      <c r="AA10" s="55" t="s">
        <v>187</v>
      </c>
      <c r="AB10" s="55" t="s">
        <v>187</v>
      </c>
      <c r="AC10" s="55" t="s">
        <v>187</v>
      </c>
      <c r="AD10" s="55" t="s">
        <v>187</v>
      </c>
      <c r="AE10" s="55" t="s">
        <v>187</v>
      </c>
      <c r="AF10" s="55"/>
      <c r="AG10" s="41">
        <f t="shared" si="2"/>
        <v>20</v>
      </c>
      <c r="AH10" s="42">
        <f t="shared" si="3"/>
        <v>66.666666666666671</v>
      </c>
      <c r="AM10" s="20"/>
      <c r="AN10" s="56"/>
      <c r="AO10" s="56"/>
      <c r="AP10" s="56"/>
      <c r="AQ10" s="57"/>
      <c r="AR10" s="20"/>
    </row>
    <row r="11" spans="1:44" ht="15.75" customHeight="1" thickBot="1" x14ac:dyDescent="0.4">
      <c r="A11" s="7" t="s">
        <v>24</v>
      </c>
      <c r="B11" s="55" t="s">
        <v>673</v>
      </c>
      <c r="C11" s="55"/>
      <c r="D11" s="55"/>
      <c r="E11" s="55" t="s">
        <v>670</v>
      </c>
      <c r="F11" s="55"/>
      <c r="G11" s="55"/>
      <c r="H11" s="55"/>
      <c r="I11" s="55"/>
      <c r="J11" s="55" t="s">
        <v>677</v>
      </c>
      <c r="K11" s="55" t="s">
        <v>677</v>
      </c>
      <c r="L11" s="55" t="s">
        <v>677</v>
      </c>
      <c r="M11" s="55" t="s">
        <v>677</v>
      </c>
      <c r="N11" s="55" t="s">
        <v>677</v>
      </c>
      <c r="O11" s="55"/>
      <c r="P11" s="55" t="s">
        <v>670</v>
      </c>
      <c r="Q11" s="55" t="s">
        <v>679</v>
      </c>
      <c r="R11" s="55" t="s">
        <v>679</v>
      </c>
      <c r="S11" s="55" t="s">
        <v>667</v>
      </c>
      <c r="T11" s="55" t="s">
        <v>99</v>
      </c>
      <c r="U11" s="55" t="s">
        <v>99</v>
      </c>
      <c r="V11" s="55"/>
      <c r="W11" s="55"/>
      <c r="X11" s="55" t="s">
        <v>187</v>
      </c>
      <c r="Y11" s="55" t="s">
        <v>187</v>
      </c>
      <c r="Z11" s="55" t="s">
        <v>187</v>
      </c>
      <c r="AA11" s="55" t="s">
        <v>187</v>
      </c>
      <c r="AB11" s="55" t="s">
        <v>187</v>
      </c>
      <c r="AC11" s="55" t="s">
        <v>187</v>
      </c>
      <c r="AD11" s="55" t="s">
        <v>187</v>
      </c>
      <c r="AE11" s="55" t="s">
        <v>187</v>
      </c>
      <c r="AF11" s="55"/>
      <c r="AG11" s="41">
        <f t="shared" si="2"/>
        <v>21</v>
      </c>
      <c r="AH11" s="42">
        <f t="shared" si="3"/>
        <v>70</v>
      </c>
      <c r="AM11" s="20"/>
      <c r="AN11" s="20"/>
      <c r="AO11" s="20"/>
      <c r="AP11" s="20"/>
      <c r="AQ11" s="20"/>
      <c r="AR11" s="20"/>
    </row>
    <row r="12" spans="1:44" ht="15" customHeight="1" x14ac:dyDescent="0.35">
      <c r="A12" s="45" t="s">
        <v>176</v>
      </c>
      <c r="B12" s="46">
        <f>COUNTA(B5:B11)</f>
        <v>4</v>
      </c>
      <c r="C12" s="46">
        <f>COUNTA(C5:C11)</f>
        <v>0</v>
      </c>
      <c r="D12" s="46">
        <f t="shared" ref="D12:AF12" si="4">COUNTA(D5:D11)</f>
        <v>0</v>
      </c>
      <c r="E12" s="46">
        <f t="shared" si="4"/>
        <v>1</v>
      </c>
      <c r="F12" s="46">
        <f t="shared" si="4"/>
        <v>1</v>
      </c>
      <c r="G12" s="46">
        <f t="shared" si="4"/>
        <v>1</v>
      </c>
      <c r="H12" s="46">
        <f t="shared" si="4"/>
        <v>0</v>
      </c>
      <c r="I12" s="46">
        <f t="shared" si="4"/>
        <v>0</v>
      </c>
      <c r="J12" s="46">
        <f t="shared" si="4"/>
        <v>6</v>
      </c>
      <c r="K12" s="46">
        <f t="shared" si="4"/>
        <v>6</v>
      </c>
      <c r="L12" s="46">
        <f t="shared" si="4"/>
        <v>6</v>
      </c>
      <c r="M12" s="46">
        <f t="shared" si="4"/>
        <v>6</v>
      </c>
      <c r="N12" s="46">
        <f t="shared" si="4"/>
        <v>6</v>
      </c>
      <c r="O12" s="46">
        <f t="shared" si="4"/>
        <v>2</v>
      </c>
      <c r="P12" s="46">
        <f t="shared" si="4"/>
        <v>6</v>
      </c>
      <c r="Q12" s="46">
        <f t="shared" si="4"/>
        <v>4</v>
      </c>
      <c r="R12" s="46">
        <f t="shared" si="4"/>
        <v>4</v>
      </c>
      <c r="S12" s="46">
        <f t="shared" si="4"/>
        <v>4</v>
      </c>
      <c r="T12" s="46">
        <f t="shared" si="4"/>
        <v>6</v>
      </c>
      <c r="U12" s="46">
        <f t="shared" si="4"/>
        <v>6</v>
      </c>
      <c r="V12" s="46">
        <f t="shared" si="4"/>
        <v>3</v>
      </c>
      <c r="W12" s="46">
        <f t="shared" si="4"/>
        <v>3</v>
      </c>
      <c r="X12" s="46">
        <f t="shared" si="4"/>
        <v>5</v>
      </c>
      <c r="Y12" s="46">
        <f t="shared" si="4"/>
        <v>3</v>
      </c>
      <c r="Z12" s="46">
        <f t="shared" si="4"/>
        <v>3</v>
      </c>
      <c r="AA12" s="46">
        <f t="shared" si="4"/>
        <v>3</v>
      </c>
      <c r="AB12" s="46">
        <f t="shared" si="4"/>
        <v>3</v>
      </c>
      <c r="AC12" s="46">
        <f>COUNTA(AC5:AC11)</f>
        <v>3</v>
      </c>
      <c r="AD12" s="46">
        <f>COUNTA(AD5:AD11)</f>
        <v>5</v>
      </c>
      <c r="AE12" s="46">
        <f>COUNTA(AE5:AE11)</f>
        <v>5</v>
      </c>
      <c r="AF12" s="46">
        <f t="shared" si="4"/>
        <v>0</v>
      </c>
      <c r="AG12" s="43">
        <f t="shared" ref="AG12" si="5">SUM(AG5:AG11)</f>
        <v>105</v>
      </c>
      <c r="AH12" s="44">
        <f>AVERAGE(AH5:AH11)</f>
        <v>50</v>
      </c>
      <c r="AI12" s="29"/>
      <c r="AM12" s="20"/>
      <c r="AN12" s="20"/>
      <c r="AO12" s="20"/>
      <c r="AP12" s="20"/>
      <c r="AQ12" s="20"/>
      <c r="AR12" s="20"/>
    </row>
    <row r="13" spans="1:44" ht="57" hidden="1" x14ac:dyDescent="0.35">
      <c r="A13" s="13" t="s">
        <v>28</v>
      </c>
      <c r="B13" s="14"/>
      <c r="C13" s="14"/>
      <c r="D13" s="14"/>
      <c r="E13" s="14"/>
      <c r="F13" s="14"/>
      <c r="G13" s="14"/>
      <c r="H13" s="14"/>
      <c r="I13" s="35"/>
      <c r="J13" s="34"/>
      <c r="K13" s="15"/>
      <c r="L13" s="14"/>
      <c r="M13" s="14"/>
      <c r="N13" s="25"/>
      <c r="O13" s="25"/>
      <c r="P13" s="25"/>
      <c r="Q13" s="14"/>
      <c r="R13" s="14"/>
      <c r="S13" s="14"/>
      <c r="T13" s="14"/>
      <c r="U13" s="14"/>
      <c r="V13" s="15"/>
      <c r="W13" s="15"/>
      <c r="X13" s="14"/>
      <c r="Y13" s="14"/>
      <c r="Z13" s="14"/>
      <c r="AA13" s="14"/>
      <c r="AB13" s="14"/>
      <c r="AC13" s="14"/>
      <c r="AD13" s="14"/>
      <c r="AE13" s="14"/>
      <c r="AF13" s="14"/>
      <c r="AG13" s="37"/>
      <c r="AH13" s="37"/>
      <c r="AM13" s="20"/>
      <c r="AN13" s="20"/>
      <c r="AO13" s="20"/>
      <c r="AP13" s="20"/>
      <c r="AQ13" s="20"/>
      <c r="AR13" s="20"/>
    </row>
    <row r="14" spans="1:44" ht="28.5" hidden="1" x14ac:dyDescent="0.35">
      <c r="A14" s="16" t="s">
        <v>29</v>
      </c>
      <c r="B14" s="14"/>
      <c r="C14" s="14"/>
      <c r="D14" s="14"/>
      <c r="E14" s="14"/>
      <c r="F14" s="14"/>
      <c r="G14" s="14"/>
      <c r="H14" s="14"/>
      <c r="I14" s="35"/>
      <c r="J14" s="34"/>
      <c r="K14" s="15"/>
      <c r="L14" s="14"/>
      <c r="M14" s="14"/>
      <c r="N14" s="25"/>
      <c r="O14" s="25"/>
      <c r="P14" s="25"/>
      <c r="Q14" s="14"/>
      <c r="R14" s="14"/>
      <c r="S14" s="14"/>
      <c r="T14" s="14"/>
      <c r="U14" s="14"/>
      <c r="V14" s="15"/>
      <c r="W14" s="15"/>
      <c r="X14" s="14"/>
      <c r="Y14" s="14"/>
      <c r="Z14" s="14"/>
      <c r="AA14" s="14"/>
      <c r="AB14" s="14"/>
      <c r="AC14" s="14"/>
      <c r="AD14" s="14"/>
      <c r="AE14" s="14"/>
      <c r="AF14" s="14"/>
      <c r="AG14" s="37"/>
      <c r="AH14" s="37"/>
      <c r="AM14" s="20"/>
      <c r="AN14" s="20"/>
      <c r="AO14" s="20"/>
      <c r="AP14" s="20"/>
      <c r="AQ14" s="20"/>
      <c r="AR14" s="20"/>
    </row>
    <row r="15" spans="1:44" x14ac:dyDescent="0.35">
      <c r="A15" s="7" t="s">
        <v>30</v>
      </c>
      <c r="B15" s="8" t="s">
        <v>665</v>
      </c>
      <c r="C15" s="8" t="s">
        <v>665</v>
      </c>
      <c r="D15" s="8" t="s">
        <v>665</v>
      </c>
      <c r="E15" s="8" t="s">
        <v>665</v>
      </c>
      <c r="F15" s="8" t="s">
        <v>665</v>
      </c>
      <c r="G15" s="8" t="s">
        <v>665</v>
      </c>
      <c r="H15" s="8" t="s">
        <v>665</v>
      </c>
      <c r="I15" s="8" t="s">
        <v>665</v>
      </c>
      <c r="J15" s="8" t="s">
        <v>665</v>
      </c>
      <c r="K15" s="8" t="s">
        <v>665</v>
      </c>
      <c r="L15" s="8" t="s">
        <v>665</v>
      </c>
      <c r="M15" s="55" t="s">
        <v>657</v>
      </c>
      <c r="N15" s="55" t="s">
        <v>657</v>
      </c>
      <c r="O15" s="55" t="s">
        <v>657</v>
      </c>
      <c r="P15" s="55" t="s">
        <v>657</v>
      </c>
      <c r="Q15" s="55" t="s">
        <v>657</v>
      </c>
      <c r="R15" s="55" t="s">
        <v>657</v>
      </c>
      <c r="S15" s="55" t="s">
        <v>657</v>
      </c>
      <c r="T15" s="55" t="s">
        <v>657</v>
      </c>
      <c r="U15" s="55" t="s">
        <v>657</v>
      </c>
      <c r="V15" s="55" t="s">
        <v>657</v>
      </c>
      <c r="W15" s="55" t="s">
        <v>657</v>
      </c>
      <c r="X15" s="55" t="s">
        <v>657</v>
      </c>
      <c r="Y15" s="8"/>
      <c r="Z15" s="8"/>
      <c r="AA15" s="8" t="s">
        <v>682</v>
      </c>
      <c r="AB15" s="8" t="s">
        <v>682</v>
      </c>
      <c r="AC15" s="8" t="s">
        <v>682</v>
      </c>
      <c r="AD15" s="8" t="s">
        <v>682</v>
      </c>
      <c r="AE15" s="8"/>
      <c r="AF15" s="8"/>
      <c r="AG15" s="41">
        <f>COUNTA(B15:AF15)</f>
        <v>27</v>
      </c>
      <c r="AH15" s="42">
        <f>AG15*100/30</f>
        <v>90</v>
      </c>
      <c r="AM15" s="20"/>
      <c r="AN15" s="20"/>
      <c r="AO15" s="20"/>
      <c r="AP15" s="20"/>
      <c r="AQ15" s="20"/>
      <c r="AR15" s="20"/>
    </row>
    <row r="16" spans="1:44" x14ac:dyDescent="0.35">
      <c r="A16" s="7" t="s">
        <v>35</v>
      </c>
      <c r="B16" s="8" t="s">
        <v>665</v>
      </c>
      <c r="C16" s="8" t="s">
        <v>665</v>
      </c>
      <c r="D16" s="8" t="s">
        <v>665</v>
      </c>
      <c r="E16" s="8" t="s">
        <v>665</v>
      </c>
      <c r="F16" s="8" t="s">
        <v>665</v>
      </c>
      <c r="G16" s="8" t="s">
        <v>665</v>
      </c>
      <c r="H16" s="8" t="s">
        <v>665</v>
      </c>
      <c r="I16" s="8" t="s">
        <v>665</v>
      </c>
      <c r="J16" s="8" t="s">
        <v>665</v>
      </c>
      <c r="K16" s="8" t="s">
        <v>665</v>
      </c>
      <c r="L16" s="8" t="s">
        <v>665</v>
      </c>
      <c r="M16" s="55" t="s">
        <v>657</v>
      </c>
      <c r="N16" s="55" t="s">
        <v>657</v>
      </c>
      <c r="O16" s="55" t="s">
        <v>657</v>
      </c>
      <c r="P16" s="55" t="s">
        <v>657</v>
      </c>
      <c r="Q16" s="55" t="s">
        <v>657</v>
      </c>
      <c r="R16" s="55" t="s">
        <v>657</v>
      </c>
      <c r="S16" s="55" t="s">
        <v>657</v>
      </c>
      <c r="T16" s="55" t="s">
        <v>657</v>
      </c>
      <c r="U16" s="55" t="s">
        <v>657</v>
      </c>
      <c r="V16" s="55" t="s">
        <v>657</v>
      </c>
      <c r="W16" s="55" t="s">
        <v>657</v>
      </c>
      <c r="X16" s="55" t="s">
        <v>657</v>
      </c>
      <c r="Y16" s="55"/>
      <c r="Z16" s="55"/>
      <c r="AA16" s="8" t="s">
        <v>682</v>
      </c>
      <c r="AB16" s="8" t="s">
        <v>682</v>
      </c>
      <c r="AC16" s="8" t="s">
        <v>682</v>
      </c>
      <c r="AD16" s="8" t="s">
        <v>682</v>
      </c>
      <c r="AE16" s="55"/>
      <c r="AF16" s="55"/>
      <c r="AG16" s="41">
        <f t="shared" ref="AG16:AG22" si="6">COUNTA(B16:AF16)</f>
        <v>27</v>
      </c>
      <c r="AH16" s="42">
        <f t="shared" ref="AH16:AH22" si="7">AG16*100/30</f>
        <v>90</v>
      </c>
      <c r="AM16" s="20"/>
      <c r="AN16" s="20"/>
      <c r="AO16" s="56"/>
      <c r="AP16" s="56"/>
      <c r="AQ16" s="20"/>
      <c r="AR16" s="20"/>
    </row>
    <row r="17" spans="1:50" x14ac:dyDescent="0.35">
      <c r="A17" s="7" t="s">
        <v>39</v>
      </c>
      <c r="B17" s="55" t="s">
        <v>669</v>
      </c>
      <c r="C17" s="55" t="s">
        <v>669</v>
      </c>
      <c r="D17" s="55" t="s">
        <v>669</v>
      </c>
      <c r="E17" s="55" t="s">
        <v>669</v>
      </c>
      <c r="F17" s="55" t="s">
        <v>669</v>
      </c>
      <c r="G17" s="55" t="s">
        <v>669</v>
      </c>
      <c r="H17" s="55" t="s">
        <v>669</v>
      </c>
      <c r="I17" s="55" t="s">
        <v>669</v>
      </c>
      <c r="J17" s="55" t="s">
        <v>669</v>
      </c>
      <c r="K17" s="55" t="s">
        <v>669</v>
      </c>
      <c r="L17" s="55" t="s">
        <v>669</v>
      </c>
      <c r="M17" s="55" t="s">
        <v>669</v>
      </c>
      <c r="N17" s="55" t="s">
        <v>669</v>
      </c>
      <c r="O17" s="55" t="s">
        <v>669</v>
      </c>
      <c r="P17" s="55" t="s">
        <v>669</v>
      </c>
      <c r="Q17" s="55" t="s">
        <v>669</v>
      </c>
      <c r="R17" s="55" t="s">
        <v>669</v>
      </c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8"/>
      <c r="AF17" s="8"/>
      <c r="AG17" s="41">
        <f t="shared" si="6"/>
        <v>17</v>
      </c>
      <c r="AH17" s="42">
        <f t="shared" si="7"/>
        <v>56.666666666666664</v>
      </c>
      <c r="AM17" s="20"/>
      <c r="AN17" s="20"/>
      <c r="AO17" s="20"/>
      <c r="AP17" s="20"/>
      <c r="AQ17" s="20"/>
      <c r="AR17" s="20"/>
      <c r="AX17" s="58"/>
    </row>
    <row r="18" spans="1:50" x14ac:dyDescent="0.35">
      <c r="A18" s="7" t="s">
        <v>42</v>
      </c>
      <c r="B18" s="55" t="s">
        <v>669</v>
      </c>
      <c r="C18" s="55" t="s">
        <v>669</v>
      </c>
      <c r="D18" s="55" t="s">
        <v>669</v>
      </c>
      <c r="E18" s="55" t="s">
        <v>669</v>
      </c>
      <c r="F18" s="55" t="s">
        <v>669</v>
      </c>
      <c r="G18" s="55" t="s">
        <v>669</v>
      </c>
      <c r="H18" s="55" t="s">
        <v>669</v>
      </c>
      <c r="I18" s="55" t="s">
        <v>669</v>
      </c>
      <c r="J18" s="55" t="s">
        <v>669</v>
      </c>
      <c r="K18" s="55" t="s">
        <v>669</v>
      </c>
      <c r="L18" s="55" t="s">
        <v>669</v>
      </c>
      <c r="M18" s="55" t="s">
        <v>669</v>
      </c>
      <c r="N18" s="55" t="s">
        <v>669</v>
      </c>
      <c r="O18" s="55" t="s">
        <v>669</v>
      </c>
      <c r="P18" s="55" t="s">
        <v>669</v>
      </c>
      <c r="Q18" s="55" t="s">
        <v>669</v>
      </c>
      <c r="R18" s="55" t="s">
        <v>669</v>
      </c>
      <c r="S18" s="55" t="s">
        <v>679</v>
      </c>
      <c r="T18" s="55" t="s">
        <v>679</v>
      </c>
      <c r="U18" s="55" t="s">
        <v>679</v>
      </c>
      <c r="V18" s="55" t="s">
        <v>679</v>
      </c>
      <c r="W18" s="55" t="s">
        <v>679</v>
      </c>
      <c r="X18" s="55" t="s">
        <v>679</v>
      </c>
      <c r="Y18" s="55" t="s">
        <v>679</v>
      </c>
      <c r="Z18" s="55" t="s">
        <v>679</v>
      </c>
      <c r="AA18" s="55" t="s">
        <v>679</v>
      </c>
      <c r="AB18" s="55" t="s">
        <v>679</v>
      </c>
      <c r="AC18" s="55" t="s">
        <v>679</v>
      </c>
      <c r="AD18" s="55" t="s">
        <v>679</v>
      </c>
      <c r="AE18" s="55" t="s">
        <v>679</v>
      </c>
      <c r="AF18" s="8"/>
      <c r="AG18" s="41">
        <f t="shared" si="6"/>
        <v>30</v>
      </c>
      <c r="AH18" s="42">
        <f t="shared" si="7"/>
        <v>100</v>
      </c>
      <c r="AM18" s="20"/>
      <c r="AN18" s="20"/>
      <c r="AO18" s="20"/>
      <c r="AP18" s="20"/>
      <c r="AQ18" s="20"/>
      <c r="AR18" s="20"/>
      <c r="AX18" s="58"/>
    </row>
    <row r="19" spans="1:50" x14ac:dyDescent="0.35">
      <c r="A19" s="7" t="s">
        <v>45</v>
      </c>
      <c r="B19" s="55"/>
      <c r="C19" s="55"/>
      <c r="D19" s="55"/>
      <c r="E19" s="55"/>
      <c r="F19" s="55"/>
      <c r="G19" s="55"/>
      <c r="H19" s="55"/>
      <c r="I19" s="8" t="s">
        <v>665</v>
      </c>
      <c r="J19" s="8" t="s">
        <v>665</v>
      </c>
      <c r="K19" s="8" t="s">
        <v>665</v>
      </c>
      <c r="L19" s="8" t="s">
        <v>665</v>
      </c>
      <c r="M19" s="55" t="s">
        <v>657</v>
      </c>
      <c r="N19" s="55" t="s">
        <v>657</v>
      </c>
      <c r="O19" s="55" t="s">
        <v>657</v>
      </c>
      <c r="P19" s="55" t="s">
        <v>657</v>
      </c>
      <c r="Q19" s="55" t="s">
        <v>657</v>
      </c>
      <c r="R19" s="55"/>
      <c r="S19" s="8"/>
      <c r="T19" s="8" t="s">
        <v>680</v>
      </c>
      <c r="U19" s="8"/>
      <c r="V19" s="8"/>
      <c r="W19" s="8"/>
      <c r="X19" s="8"/>
      <c r="Y19" s="8"/>
      <c r="Z19" s="8"/>
      <c r="AA19" s="8"/>
      <c r="AB19" s="8"/>
      <c r="AC19" s="8"/>
      <c r="AD19" s="8" t="s">
        <v>685</v>
      </c>
      <c r="AE19" s="8"/>
      <c r="AF19" s="8"/>
      <c r="AG19" s="41">
        <f t="shared" si="6"/>
        <v>11</v>
      </c>
      <c r="AH19" s="42">
        <f t="shared" si="7"/>
        <v>36.666666666666664</v>
      </c>
      <c r="AM19" s="20"/>
      <c r="AN19" s="20"/>
      <c r="AO19" s="20"/>
      <c r="AP19" s="20"/>
      <c r="AQ19" s="20"/>
      <c r="AR19" s="20"/>
      <c r="AX19" s="58"/>
    </row>
    <row r="20" spans="1:50" x14ac:dyDescent="0.35">
      <c r="A20" s="7" t="s">
        <v>47</v>
      </c>
      <c r="B20" s="55" t="s">
        <v>669</v>
      </c>
      <c r="C20" s="55" t="s">
        <v>669</v>
      </c>
      <c r="D20" s="55" t="s">
        <v>669</v>
      </c>
      <c r="E20" s="55" t="s">
        <v>669</v>
      </c>
      <c r="F20" s="55" t="s">
        <v>669</v>
      </c>
      <c r="G20" s="55" t="s">
        <v>669</v>
      </c>
      <c r="H20" s="55" t="s">
        <v>669</v>
      </c>
      <c r="I20" s="55" t="s">
        <v>669</v>
      </c>
      <c r="J20" s="55" t="s">
        <v>669</v>
      </c>
      <c r="K20" s="55" t="s">
        <v>669</v>
      </c>
      <c r="L20" s="55" t="s">
        <v>669</v>
      </c>
      <c r="M20" s="55" t="s">
        <v>669</v>
      </c>
      <c r="N20" s="55" t="s">
        <v>669</v>
      </c>
      <c r="O20" s="55" t="s">
        <v>669</v>
      </c>
      <c r="P20" s="55" t="s">
        <v>669</v>
      </c>
      <c r="Q20" s="55" t="s">
        <v>669</v>
      </c>
      <c r="R20" s="55" t="s">
        <v>669</v>
      </c>
      <c r="S20" s="55"/>
      <c r="T20" s="55" t="s">
        <v>681</v>
      </c>
      <c r="U20" s="55"/>
      <c r="V20" s="55"/>
      <c r="W20" s="55"/>
      <c r="X20" s="55" t="s">
        <v>187</v>
      </c>
      <c r="Y20" s="55" t="s">
        <v>187</v>
      </c>
      <c r="Z20" s="55" t="s">
        <v>187</v>
      </c>
      <c r="AA20" s="55" t="s">
        <v>187</v>
      </c>
      <c r="AB20" s="55" t="s">
        <v>187</v>
      </c>
      <c r="AC20" s="55" t="s">
        <v>187</v>
      </c>
      <c r="AD20" s="55" t="s">
        <v>187</v>
      </c>
      <c r="AE20" s="55" t="s">
        <v>187</v>
      </c>
      <c r="AF20" s="55"/>
      <c r="AG20" s="41">
        <f t="shared" si="6"/>
        <v>26</v>
      </c>
      <c r="AH20" s="42">
        <f t="shared" si="7"/>
        <v>86.666666666666671</v>
      </c>
      <c r="AM20" s="20"/>
      <c r="AN20" s="20"/>
      <c r="AO20" s="20"/>
      <c r="AP20" s="20"/>
      <c r="AQ20" s="20"/>
      <c r="AR20" s="20"/>
      <c r="AX20" s="58"/>
    </row>
    <row r="21" spans="1:50" x14ac:dyDescent="0.35">
      <c r="A21" s="7" t="s">
        <v>50</v>
      </c>
      <c r="B21" s="55"/>
      <c r="C21" s="55"/>
      <c r="D21" s="55"/>
      <c r="E21" s="55"/>
      <c r="F21" s="55"/>
      <c r="G21" s="55"/>
      <c r="H21" s="55"/>
      <c r="I21" s="55"/>
      <c r="J21" s="55" t="s">
        <v>658</v>
      </c>
      <c r="K21" s="55" t="s">
        <v>678</v>
      </c>
      <c r="L21" s="55" t="s">
        <v>678</v>
      </c>
      <c r="M21" s="55"/>
      <c r="N21" s="55"/>
      <c r="O21" s="55"/>
      <c r="P21" s="55" t="s">
        <v>672</v>
      </c>
      <c r="Q21" s="55" t="s">
        <v>679</v>
      </c>
      <c r="R21" s="55" t="s">
        <v>679</v>
      </c>
      <c r="S21" s="55"/>
      <c r="T21" s="8" t="s">
        <v>680</v>
      </c>
      <c r="U21" s="55"/>
      <c r="V21" s="55"/>
      <c r="W21" s="55" t="s">
        <v>385</v>
      </c>
      <c r="X21" s="55" t="s">
        <v>385</v>
      </c>
      <c r="Y21" s="55" t="s">
        <v>385</v>
      </c>
      <c r="Z21" s="55" t="s">
        <v>385</v>
      </c>
      <c r="AA21" s="55" t="s">
        <v>385</v>
      </c>
      <c r="AB21" s="55" t="s">
        <v>385</v>
      </c>
      <c r="AC21" s="55" t="s">
        <v>385</v>
      </c>
      <c r="AD21" s="55" t="s">
        <v>385</v>
      </c>
      <c r="AE21" s="55" t="s">
        <v>385</v>
      </c>
      <c r="AF21" s="55"/>
      <c r="AG21" s="41">
        <f t="shared" si="6"/>
        <v>16</v>
      </c>
      <c r="AH21" s="42">
        <f t="shared" si="7"/>
        <v>53.333333333333336</v>
      </c>
      <c r="AM21" s="20"/>
      <c r="AN21" s="20"/>
      <c r="AO21" s="20"/>
      <c r="AP21" s="20"/>
      <c r="AQ21" s="20"/>
      <c r="AR21" s="20"/>
      <c r="AX21" s="58"/>
    </row>
    <row r="22" spans="1:50" ht="15" thickBot="1" x14ac:dyDescent="0.4">
      <c r="A22" s="7" t="s">
        <v>51</v>
      </c>
      <c r="B22" s="8"/>
      <c r="C22" s="8"/>
      <c r="D22" s="8"/>
      <c r="E22" s="8"/>
      <c r="F22" s="8" t="s">
        <v>445</v>
      </c>
      <c r="G22" s="8" t="s">
        <v>445</v>
      </c>
      <c r="H22" s="8"/>
      <c r="I22" s="8" t="s">
        <v>659</v>
      </c>
      <c r="J22" s="8" t="s">
        <v>659</v>
      </c>
      <c r="K22" s="8" t="s">
        <v>659</v>
      </c>
      <c r="L22" s="8" t="s">
        <v>659</v>
      </c>
      <c r="M22" s="8" t="s">
        <v>659</v>
      </c>
      <c r="N22" s="8"/>
      <c r="O22" s="8"/>
      <c r="P22" s="8"/>
      <c r="Q22" s="55" t="s">
        <v>679</v>
      </c>
      <c r="R22" s="55" t="s">
        <v>679</v>
      </c>
      <c r="S22" s="8" t="s">
        <v>312</v>
      </c>
      <c r="T22" s="8" t="s">
        <v>129</v>
      </c>
      <c r="U22" s="8" t="s">
        <v>129</v>
      </c>
      <c r="V22" s="8"/>
      <c r="W22" s="8"/>
      <c r="X22" s="8"/>
      <c r="Y22" s="8"/>
      <c r="Z22" s="8"/>
      <c r="AA22" s="8"/>
      <c r="AB22" s="8" t="s">
        <v>86</v>
      </c>
      <c r="AC22" s="8" t="s">
        <v>86</v>
      </c>
      <c r="AD22" s="8" t="s">
        <v>86</v>
      </c>
      <c r="AE22" s="8" t="s">
        <v>86</v>
      </c>
      <c r="AF22" s="8"/>
      <c r="AG22" s="41">
        <f t="shared" si="6"/>
        <v>16</v>
      </c>
      <c r="AH22" s="42">
        <f t="shared" si="7"/>
        <v>53.333333333333336</v>
      </c>
      <c r="AX22" s="58"/>
    </row>
    <row r="23" spans="1:50" ht="15.5" x14ac:dyDescent="0.35">
      <c r="A23" s="45" t="s">
        <v>176</v>
      </c>
      <c r="B23" s="46">
        <f>COUNTA(B15:B22)</f>
        <v>5</v>
      </c>
      <c r="C23" s="46">
        <f>COUNTA(C16:C22)</f>
        <v>4</v>
      </c>
      <c r="D23" s="46">
        <f>COUNTA(D16:D22)</f>
        <v>4</v>
      </c>
      <c r="E23" s="46">
        <f t="shared" ref="E23:AF23" si="8">COUNTA(E15:E22)</f>
        <v>5</v>
      </c>
      <c r="F23" s="46">
        <f t="shared" si="8"/>
        <v>6</v>
      </c>
      <c r="G23" s="46">
        <f t="shared" si="8"/>
        <v>6</v>
      </c>
      <c r="H23" s="46">
        <f t="shared" si="8"/>
        <v>5</v>
      </c>
      <c r="I23" s="46">
        <f t="shared" si="8"/>
        <v>7</v>
      </c>
      <c r="J23" s="46">
        <f t="shared" si="8"/>
        <v>8</v>
      </c>
      <c r="K23" s="46">
        <f t="shared" si="8"/>
        <v>8</v>
      </c>
      <c r="L23" s="46">
        <f t="shared" si="8"/>
        <v>8</v>
      </c>
      <c r="M23" s="46">
        <f t="shared" si="8"/>
        <v>7</v>
      </c>
      <c r="N23" s="46">
        <f t="shared" si="8"/>
        <v>6</v>
      </c>
      <c r="O23" s="46">
        <f t="shared" si="8"/>
        <v>6</v>
      </c>
      <c r="P23" s="46">
        <f t="shared" si="8"/>
        <v>7</v>
      </c>
      <c r="Q23" s="46">
        <f t="shared" si="8"/>
        <v>8</v>
      </c>
      <c r="R23" s="46">
        <f t="shared" si="8"/>
        <v>7</v>
      </c>
      <c r="S23" s="46">
        <f t="shared" si="8"/>
        <v>4</v>
      </c>
      <c r="T23" s="46">
        <f>COUNTA(T15:T22)</f>
        <v>7</v>
      </c>
      <c r="U23" s="46">
        <f t="shared" si="8"/>
        <v>4</v>
      </c>
      <c r="V23" s="46">
        <f t="shared" si="8"/>
        <v>3</v>
      </c>
      <c r="W23" s="46">
        <f t="shared" si="8"/>
        <v>4</v>
      </c>
      <c r="X23" s="46">
        <f t="shared" si="8"/>
        <v>5</v>
      </c>
      <c r="Y23" s="46">
        <f t="shared" si="8"/>
        <v>3</v>
      </c>
      <c r="Z23" s="46">
        <f t="shared" si="8"/>
        <v>3</v>
      </c>
      <c r="AA23" s="46">
        <f t="shared" si="8"/>
        <v>5</v>
      </c>
      <c r="AB23" s="46">
        <f t="shared" si="8"/>
        <v>6</v>
      </c>
      <c r="AC23" s="46">
        <f t="shared" si="8"/>
        <v>6</v>
      </c>
      <c r="AD23" s="46">
        <f t="shared" si="8"/>
        <v>7</v>
      </c>
      <c r="AE23" s="46">
        <f t="shared" si="8"/>
        <v>4</v>
      </c>
      <c r="AF23" s="46">
        <f t="shared" si="8"/>
        <v>0</v>
      </c>
      <c r="AG23" s="43">
        <f>SUM(AG15:AG22)</f>
        <v>170</v>
      </c>
      <c r="AH23" s="66">
        <f>AVERAGE(AH15:AH22)</f>
        <v>70.833333333333343</v>
      </c>
      <c r="AX23" s="58"/>
    </row>
    <row r="24" spans="1:50" ht="15.5" x14ac:dyDescent="0.35">
      <c r="A24" s="47" t="s">
        <v>178</v>
      </c>
      <c r="B24" s="52">
        <f>B12+B23</f>
        <v>9</v>
      </c>
      <c r="C24" s="52">
        <f t="shared" ref="C24:AF24" si="9">C12+C23</f>
        <v>4</v>
      </c>
      <c r="D24" s="52">
        <f t="shared" si="9"/>
        <v>4</v>
      </c>
      <c r="E24" s="52">
        <f t="shared" si="9"/>
        <v>6</v>
      </c>
      <c r="F24" s="52">
        <f t="shared" si="9"/>
        <v>7</v>
      </c>
      <c r="G24" s="52">
        <f t="shared" si="9"/>
        <v>7</v>
      </c>
      <c r="H24" s="52">
        <f t="shared" si="9"/>
        <v>5</v>
      </c>
      <c r="I24" s="52">
        <f t="shared" si="9"/>
        <v>7</v>
      </c>
      <c r="J24" s="52">
        <f t="shared" si="9"/>
        <v>14</v>
      </c>
      <c r="K24" s="52">
        <f t="shared" si="9"/>
        <v>14</v>
      </c>
      <c r="L24" s="52">
        <f t="shared" si="9"/>
        <v>14</v>
      </c>
      <c r="M24" s="52">
        <f t="shared" si="9"/>
        <v>13</v>
      </c>
      <c r="N24" s="52">
        <f t="shared" si="9"/>
        <v>12</v>
      </c>
      <c r="O24" s="52">
        <f t="shared" si="9"/>
        <v>8</v>
      </c>
      <c r="P24" s="52">
        <f t="shared" si="9"/>
        <v>13</v>
      </c>
      <c r="Q24" s="52">
        <f t="shared" si="9"/>
        <v>12</v>
      </c>
      <c r="R24" s="52">
        <f t="shared" si="9"/>
        <v>11</v>
      </c>
      <c r="S24" s="52">
        <f t="shared" si="9"/>
        <v>8</v>
      </c>
      <c r="T24" s="52">
        <f t="shared" si="9"/>
        <v>13</v>
      </c>
      <c r="U24" s="52">
        <f t="shared" si="9"/>
        <v>10</v>
      </c>
      <c r="V24" s="52">
        <f t="shared" si="9"/>
        <v>6</v>
      </c>
      <c r="W24" s="52">
        <f t="shared" si="9"/>
        <v>7</v>
      </c>
      <c r="X24" s="52">
        <f t="shared" si="9"/>
        <v>10</v>
      </c>
      <c r="Y24" s="52">
        <f t="shared" si="9"/>
        <v>6</v>
      </c>
      <c r="Z24" s="52">
        <f t="shared" si="9"/>
        <v>6</v>
      </c>
      <c r="AA24" s="52">
        <f t="shared" si="9"/>
        <v>8</v>
      </c>
      <c r="AB24" s="52">
        <f t="shared" si="9"/>
        <v>9</v>
      </c>
      <c r="AC24" s="52">
        <f t="shared" si="9"/>
        <v>9</v>
      </c>
      <c r="AD24" s="52">
        <f t="shared" si="9"/>
        <v>12</v>
      </c>
      <c r="AE24" s="52">
        <f t="shared" si="9"/>
        <v>9</v>
      </c>
      <c r="AF24" s="52">
        <f t="shared" si="9"/>
        <v>0</v>
      </c>
      <c r="AG24" s="49">
        <f>+AG12+AG23</f>
        <v>275</v>
      </c>
      <c r="AX24" s="58"/>
    </row>
    <row r="25" spans="1:50" ht="15.5" x14ac:dyDescent="0.35">
      <c r="A25" s="48" t="s">
        <v>179</v>
      </c>
      <c r="B25" s="42">
        <f>B24*100/15</f>
        <v>60</v>
      </c>
      <c r="C25" s="42">
        <f t="shared" ref="C25:AF25" si="10">C24*100/15</f>
        <v>26.666666666666668</v>
      </c>
      <c r="D25" s="42">
        <f t="shared" si="10"/>
        <v>26.666666666666668</v>
      </c>
      <c r="E25" s="42">
        <f t="shared" si="10"/>
        <v>40</v>
      </c>
      <c r="F25" s="42">
        <f t="shared" si="10"/>
        <v>46.666666666666664</v>
      </c>
      <c r="G25" s="42">
        <f t="shared" si="10"/>
        <v>46.666666666666664</v>
      </c>
      <c r="H25" s="42">
        <f t="shared" si="10"/>
        <v>33.333333333333336</v>
      </c>
      <c r="I25" s="42">
        <f t="shared" si="10"/>
        <v>46.666666666666664</v>
      </c>
      <c r="J25" s="42">
        <f t="shared" si="10"/>
        <v>93.333333333333329</v>
      </c>
      <c r="K25" s="42">
        <f t="shared" si="10"/>
        <v>93.333333333333329</v>
      </c>
      <c r="L25" s="42">
        <f t="shared" si="10"/>
        <v>93.333333333333329</v>
      </c>
      <c r="M25" s="42">
        <f t="shared" si="10"/>
        <v>86.666666666666671</v>
      </c>
      <c r="N25" s="42">
        <f t="shared" si="10"/>
        <v>80</v>
      </c>
      <c r="O25" s="42">
        <f t="shared" si="10"/>
        <v>53.333333333333336</v>
      </c>
      <c r="P25" s="42">
        <f t="shared" si="10"/>
        <v>86.666666666666671</v>
      </c>
      <c r="Q25" s="42">
        <f t="shared" si="10"/>
        <v>80</v>
      </c>
      <c r="R25" s="42">
        <f t="shared" si="10"/>
        <v>73.333333333333329</v>
      </c>
      <c r="S25" s="42">
        <f t="shared" si="10"/>
        <v>53.333333333333336</v>
      </c>
      <c r="T25" s="42">
        <f t="shared" si="10"/>
        <v>86.666666666666671</v>
      </c>
      <c r="U25" s="42">
        <f t="shared" si="10"/>
        <v>66.666666666666671</v>
      </c>
      <c r="V25" s="42">
        <f t="shared" si="10"/>
        <v>40</v>
      </c>
      <c r="W25" s="42">
        <f t="shared" si="10"/>
        <v>46.666666666666664</v>
      </c>
      <c r="X25" s="42">
        <f t="shared" si="10"/>
        <v>66.666666666666671</v>
      </c>
      <c r="Y25" s="42">
        <f t="shared" si="10"/>
        <v>40</v>
      </c>
      <c r="Z25" s="42">
        <f t="shared" si="10"/>
        <v>40</v>
      </c>
      <c r="AA25" s="42">
        <f t="shared" si="10"/>
        <v>53.333333333333336</v>
      </c>
      <c r="AB25" s="42">
        <f t="shared" si="10"/>
        <v>60</v>
      </c>
      <c r="AC25" s="42">
        <f t="shared" si="10"/>
        <v>60</v>
      </c>
      <c r="AD25" s="42">
        <f t="shared" si="10"/>
        <v>80</v>
      </c>
      <c r="AE25" s="42">
        <f t="shared" si="10"/>
        <v>60</v>
      </c>
      <c r="AF25" s="42">
        <f t="shared" si="10"/>
        <v>0</v>
      </c>
      <c r="AG25" s="50">
        <f>AVERAGE(B25:AE25)</f>
        <v>60.666666666666671</v>
      </c>
      <c r="AH25" s="51" t="s">
        <v>180</v>
      </c>
      <c r="AX25" s="58"/>
    </row>
    <row r="26" spans="1:50" x14ac:dyDescent="0.35">
      <c r="AX26" s="58"/>
    </row>
  </sheetData>
  <mergeCells count="2">
    <mergeCell ref="A1:AE1"/>
    <mergeCell ref="AM3:AR3"/>
  </mergeCells>
  <conditionalFormatting sqref="B15:L16">
    <cfRule type="colorScale" priority="9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21:P21 S21 U21:AF21">
    <cfRule type="colorScale" priority="3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22:P22 S22:AF22">
    <cfRule type="colorScale" priority="4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5:AF11">
    <cfRule type="colorScale" priority="4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I19:L19">
    <cfRule type="colorScale" priority="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L13:U14 B13:I14 X13:AH14">
    <cfRule type="colorScale" priority="4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M19:R19">
    <cfRule type="colorScale" priority="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M15:X15">
    <cfRule type="colorScale" priority="8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M16:X16">
    <cfRule type="colorScale" priority="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Q21:R21">
    <cfRule type="colorScale" priority="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Q22:R22">
    <cfRule type="colorScale" priority="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S17:AD18 AE18">
    <cfRule type="colorScale" priority="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S19:AF19">
    <cfRule type="colorScale" priority="30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S20:AF20">
    <cfRule type="colorScale" priority="2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T21">
    <cfRule type="colorScale" priority="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Y16:Z16 B17:R18 B19:H19 B20:R20 AE16:AF16">
    <cfRule type="colorScale" priority="2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Y15:AA15 AA16 AE15:AF15 AB15:AD16">
    <cfRule type="colorScale" priority="28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E17:AF17">
    <cfRule type="colorScale" priority="29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F18">
    <cfRule type="colorScale" priority="35">
      <colorScale>
        <cfvo type="num" val="1"/>
        <cfvo type="max"/>
        <color theme="4" tint="0.59999389629810485"/>
        <color theme="5" tint="0.59999389629810485"/>
      </colorScale>
    </cfRule>
  </conditionalFormatting>
  <pageMargins left="0.2" right="0.45" top="0.75" bottom="0.75" header="0.3" footer="0.3"/>
  <pageSetup scale="90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9C772-2397-49EA-B240-98CCC4BF993A}">
  <dimension ref="A1:AX59"/>
  <sheetViews>
    <sheetView zoomScale="86" zoomScaleNormal="86" workbookViewId="0">
      <pane xSplit="1" ySplit="4" topLeftCell="M5" activePane="bottomRight" state="frozen"/>
      <selection pane="topRight" activeCell="B1" sqref="B1"/>
      <selection pane="bottomLeft" activeCell="A5" sqref="A5"/>
      <selection pane="bottomRight" activeCell="U11" sqref="U11"/>
    </sheetView>
  </sheetViews>
  <sheetFormatPr defaultRowHeight="14.5" x14ac:dyDescent="0.35"/>
  <cols>
    <col min="1" max="1" width="43.7265625" bestFit="1" customWidth="1"/>
    <col min="2" max="7" width="14.81640625" bestFit="1" customWidth="1"/>
    <col min="8" max="8" width="13.453125" customWidth="1"/>
    <col min="9" max="9" width="14.81640625" bestFit="1" customWidth="1"/>
    <col min="10" max="10" width="14.1796875" bestFit="1" customWidth="1"/>
    <col min="11" max="13" width="10.1796875" bestFit="1" customWidth="1"/>
    <col min="14" max="15" width="11.453125" bestFit="1" customWidth="1"/>
    <col min="16" max="16" width="11.81640625" bestFit="1" customWidth="1"/>
    <col min="17" max="18" width="12" bestFit="1" customWidth="1"/>
    <col min="19" max="21" width="11.81640625" bestFit="1" customWidth="1"/>
    <col min="22" max="22" width="14.1796875" bestFit="1" customWidth="1"/>
    <col min="23" max="23" width="16.81640625" bestFit="1" customWidth="1"/>
    <col min="24" max="25" width="12.81640625" bestFit="1" customWidth="1"/>
    <col min="26" max="30" width="10.54296875" bestFit="1" customWidth="1"/>
    <col min="31" max="31" width="10.453125" customWidth="1"/>
    <col min="32" max="32" width="9.26953125" customWidth="1"/>
    <col min="33" max="33" width="4.7265625" bestFit="1" customWidth="1"/>
    <col min="34" max="34" width="8.453125" bestFit="1" customWidth="1"/>
    <col min="35" max="35" width="8" bestFit="1" customWidth="1"/>
    <col min="36" max="36" width="8.453125" customWidth="1"/>
    <col min="37" max="37" width="0" hidden="1" customWidth="1"/>
    <col min="38" max="38" width="3" hidden="1" customWidth="1"/>
    <col min="39" max="39" width="17.81640625" bestFit="1" customWidth="1"/>
    <col min="40" max="40" width="9.1796875" bestFit="1" customWidth="1"/>
    <col min="41" max="41" width="9.81640625" bestFit="1" customWidth="1"/>
    <col min="42" max="42" width="10.81640625" bestFit="1" customWidth="1"/>
    <col min="43" max="43" width="10.1796875" bestFit="1" customWidth="1"/>
    <col min="44" max="44" width="23.1796875" bestFit="1" customWidth="1"/>
    <col min="45" max="45" width="0.453125" hidden="1" customWidth="1"/>
    <col min="46" max="49" width="0" hidden="1" customWidth="1"/>
    <col min="51" max="51" width="15" bestFit="1" customWidth="1"/>
  </cols>
  <sheetData>
    <row r="1" spans="1:44" ht="15.5" x14ac:dyDescent="0.35">
      <c r="A1" s="120" t="s">
        <v>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65"/>
    </row>
    <row r="2" spans="1:44" ht="15" thickBot="1" x14ac:dyDescent="0.4"/>
    <row r="3" spans="1:44" ht="45.75" customHeight="1" x14ac:dyDescent="0.35">
      <c r="A3" s="1" t="s">
        <v>1</v>
      </c>
      <c r="B3" s="2">
        <f>AI4</f>
        <v>45566</v>
      </c>
      <c r="C3" s="2">
        <f t="shared" ref="C3:AF3" si="0">B3+1</f>
        <v>45567</v>
      </c>
      <c r="D3" s="2">
        <f t="shared" si="0"/>
        <v>45568</v>
      </c>
      <c r="E3" s="2">
        <f t="shared" si="0"/>
        <v>45569</v>
      </c>
      <c r="F3" s="2">
        <f t="shared" si="0"/>
        <v>45570</v>
      </c>
      <c r="G3" s="2">
        <f t="shared" si="0"/>
        <v>45571</v>
      </c>
      <c r="H3" s="2">
        <f t="shared" si="0"/>
        <v>45572</v>
      </c>
      <c r="I3" s="2">
        <f>H3+1</f>
        <v>45573</v>
      </c>
      <c r="J3" s="2">
        <f t="shared" si="0"/>
        <v>45574</v>
      </c>
      <c r="K3" s="2">
        <f t="shared" si="0"/>
        <v>45575</v>
      </c>
      <c r="L3" s="2">
        <f t="shared" si="0"/>
        <v>45576</v>
      </c>
      <c r="M3" s="2">
        <f t="shared" si="0"/>
        <v>45577</v>
      </c>
      <c r="N3" s="2">
        <f t="shared" si="0"/>
        <v>45578</v>
      </c>
      <c r="O3" s="2">
        <f t="shared" si="0"/>
        <v>45579</v>
      </c>
      <c r="P3" s="2">
        <f t="shared" si="0"/>
        <v>45580</v>
      </c>
      <c r="Q3" s="2">
        <f t="shared" si="0"/>
        <v>45581</v>
      </c>
      <c r="R3" s="2">
        <f t="shared" si="0"/>
        <v>45582</v>
      </c>
      <c r="S3" s="2">
        <f t="shared" si="0"/>
        <v>45583</v>
      </c>
      <c r="T3" s="2">
        <f t="shared" si="0"/>
        <v>45584</v>
      </c>
      <c r="U3" s="2">
        <f t="shared" si="0"/>
        <v>45585</v>
      </c>
      <c r="V3" s="2">
        <f t="shared" si="0"/>
        <v>45586</v>
      </c>
      <c r="W3" s="2">
        <f t="shared" si="0"/>
        <v>45587</v>
      </c>
      <c r="X3" s="2">
        <f t="shared" si="0"/>
        <v>45588</v>
      </c>
      <c r="Y3" s="2">
        <f t="shared" si="0"/>
        <v>45589</v>
      </c>
      <c r="Z3" s="2">
        <f t="shared" si="0"/>
        <v>45590</v>
      </c>
      <c r="AA3" s="2">
        <f t="shared" si="0"/>
        <v>45591</v>
      </c>
      <c r="AB3" s="2">
        <f t="shared" si="0"/>
        <v>45592</v>
      </c>
      <c r="AC3" s="2">
        <f t="shared" si="0"/>
        <v>45593</v>
      </c>
      <c r="AD3" s="2">
        <f t="shared" si="0"/>
        <v>45594</v>
      </c>
      <c r="AE3" s="2">
        <f t="shared" si="0"/>
        <v>45595</v>
      </c>
      <c r="AF3" s="2">
        <f t="shared" si="0"/>
        <v>45596</v>
      </c>
      <c r="AG3" s="36"/>
      <c r="AH3" s="36"/>
      <c r="AM3" s="122" t="s">
        <v>267</v>
      </c>
      <c r="AN3" s="123"/>
      <c r="AO3" s="123"/>
      <c r="AP3" s="123"/>
      <c r="AQ3" s="123"/>
      <c r="AR3" s="124"/>
    </row>
    <row r="4" spans="1:44" ht="31.5" customHeight="1" x14ac:dyDescent="0.35">
      <c r="A4" s="3" t="s">
        <v>2</v>
      </c>
      <c r="B4" s="4">
        <f t="shared" ref="B4:AF4" si="1">B3</f>
        <v>45566</v>
      </c>
      <c r="C4" s="4">
        <f t="shared" si="1"/>
        <v>45567</v>
      </c>
      <c r="D4" s="4">
        <f t="shared" si="1"/>
        <v>45568</v>
      </c>
      <c r="E4" s="4">
        <f t="shared" si="1"/>
        <v>45569</v>
      </c>
      <c r="F4" s="4">
        <f t="shared" si="1"/>
        <v>45570</v>
      </c>
      <c r="G4" s="4">
        <f t="shared" si="1"/>
        <v>45571</v>
      </c>
      <c r="H4" s="4">
        <f t="shared" si="1"/>
        <v>45572</v>
      </c>
      <c r="I4" s="4">
        <f t="shared" si="1"/>
        <v>45573</v>
      </c>
      <c r="J4" s="4">
        <f t="shared" si="1"/>
        <v>45574</v>
      </c>
      <c r="K4" s="4">
        <f t="shared" si="1"/>
        <v>45575</v>
      </c>
      <c r="L4" s="4">
        <f t="shared" si="1"/>
        <v>45576</v>
      </c>
      <c r="M4" s="4">
        <f t="shared" si="1"/>
        <v>45577</v>
      </c>
      <c r="N4" s="4">
        <f t="shared" si="1"/>
        <v>45578</v>
      </c>
      <c r="O4" s="4">
        <f t="shared" si="1"/>
        <v>45579</v>
      </c>
      <c r="P4" s="4">
        <f t="shared" si="1"/>
        <v>45580</v>
      </c>
      <c r="Q4" s="4">
        <f t="shared" si="1"/>
        <v>45581</v>
      </c>
      <c r="R4" s="4">
        <f t="shared" si="1"/>
        <v>45582</v>
      </c>
      <c r="S4" s="4">
        <f t="shared" si="1"/>
        <v>45583</v>
      </c>
      <c r="T4" s="4">
        <f t="shared" si="1"/>
        <v>45584</v>
      </c>
      <c r="U4" s="4">
        <f t="shared" si="1"/>
        <v>45585</v>
      </c>
      <c r="V4" s="4">
        <f t="shared" si="1"/>
        <v>45586</v>
      </c>
      <c r="W4" s="4">
        <f t="shared" si="1"/>
        <v>45587</v>
      </c>
      <c r="X4" s="4">
        <f t="shared" si="1"/>
        <v>45588</v>
      </c>
      <c r="Y4" s="4">
        <f t="shared" si="1"/>
        <v>45589</v>
      </c>
      <c r="Z4" s="4">
        <f t="shared" si="1"/>
        <v>45590</v>
      </c>
      <c r="AA4" s="4">
        <f t="shared" si="1"/>
        <v>45591</v>
      </c>
      <c r="AB4" s="4">
        <f t="shared" si="1"/>
        <v>45592</v>
      </c>
      <c r="AC4" s="4">
        <f t="shared" si="1"/>
        <v>45593</v>
      </c>
      <c r="AD4" s="4">
        <f t="shared" si="1"/>
        <v>45594</v>
      </c>
      <c r="AE4" s="4">
        <f t="shared" si="1"/>
        <v>45595</v>
      </c>
      <c r="AF4" s="4">
        <f t="shared" si="1"/>
        <v>45596</v>
      </c>
      <c r="AG4" s="39" t="s">
        <v>174</v>
      </c>
      <c r="AH4" s="40" t="s">
        <v>175</v>
      </c>
      <c r="AI4" s="5">
        <v>45566</v>
      </c>
      <c r="AJ4" s="6">
        <f>EOMONTH(AI4,0)</f>
        <v>45596</v>
      </c>
      <c r="AM4" s="19" t="s">
        <v>54</v>
      </c>
      <c r="AN4" s="19" t="s">
        <v>269</v>
      </c>
      <c r="AO4" s="19" t="s">
        <v>55</v>
      </c>
      <c r="AP4" s="19" t="s">
        <v>56</v>
      </c>
      <c r="AQ4" s="19" t="s">
        <v>251</v>
      </c>
      <c r="AR4" s="19" t="s">
        <v>57</v>
      </c>
    </row>
    <row r="5" spans="1:44" x14ac:dyDescent="0.35">
      <c r="A5" s="7" t="s">
        <v>3</v>
      </c>
      <c r="B5" s="55"/>
      <c r="C5" s="55"/>
      <c r="D5" s="55"/>
      <c r="E5" s="55"/>
      <c r="F5" s="55"/>
      <c r="G5" s="55"/>
      <c r="H5" s="55" t="s">
        <v>687</v>
      </c>
      <c r="I5" s="55" t="s">
        <v>687</v>
      </c>
      <c r="J5" s="55"/>
      <c r="K5" s="55"/>
      <c r="L5" s="55"/>
      <c r="M5" s="55"/>
      <c r="N5" s="55"/>
      <c r="O5" s="55" t="s">
        <v>437</v>
      </c>
      <c r="P5" s="55" t="s">
        <v>437</v>
      </c>
      <c r="Q5" s="55" t="s">
        <v>437</v>
      </c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41">
        <f>COUNTA(B5:AF5)</f>
        <v>5</v>
      </c>
      <c r="AH5" s="42">
        <f>AG5*100/30</f>
        <v>16.666666666666668</v>
      </c>
      <c r="AM5" s="20"/>
      <c r="AN5" s="56"/>
      <c r="AO5" s="56"/>
      <c r="AP5" s="56"/>
      <c r="AQ5" s="57"/>
      <c r="AR5" s="20"/>
    </row>
    <row r="6" spans="1:44" x14ac:dyDescent="0.35">
      <c r="A6" s="7" t="s">
        <v>7</v>
      </c>
      <c r="B6" s="55" t="s">
        <v>656</v>
      </c>
      <c r="C6" s="55" t="s">
        <v>656</v>
      </c>
      <c r="D6" s="55" t="s">
        <v>656</v>
      </c>
      <c r="E6" s="55" t="s">
        <v>656</v>
      </c>
      <c r="F6" s="55" t="s">
        <v>656</v>
      </c>
      <c r="G6" s="55" t="s">
        <v>656</v>
      </c>
      <c r="H6" s="55" t="s">
        <v>656</v>
      </c>
      <c r="I6" s="55" t="s">
        <v>656</v>
      </c>
      <c r="J6" s="55" t="s">
        <v>656</v>
      </c>
      <c r="K6" s="55" t="s">
        <v>656</v>
      </c>
      <c r="L6" s="55" t="s">
        <v>656</v>
      </c>
      <c r="M6" s="55" t="s">
        <v>656</v>
      </c>
      <c r="N6" s="55" t="s">
        <v>656</v>
      </c>
      <c r="O6" s="55" t="s">
        <v>656</v>
      </c>
      <c r="P6" s="55" t="s">
        <v>656</v>
      </c>
      <c r="Q6" s="55" t="s">
        <v>656</v>
      </c>
      <c r="R6" s="55" t="s">
        <v>656</v>
      </c>
      <c r="S6" s="55" t="s">
        <v>656</v>
      </c>
      <c r="T6" s="55" t="s">
        <v>656</v>
      </c>
      <c r="U6" s="55" t="s">
        <v>656</v>
      </c>
      <c r="V6" s="55" t="s">
        <v>656</v>
      </c>
      <c r="W6" s="55" t="s">
        <v>656</v>
      </c>
      <c r="X6" s="55" t="s">
        <v>656</v>
      </c>
      <c r="Y6" s="55" t="s">
        <v>656</v>
      </c>
      <c r="Z6" s="55" t="s">
        <v>656</v>
      </c>
      <c r="AA6" s="55" t="s">
        <v>656</v>
      </c>
      <c r="AB6" s="55" t="s">
        <v>656</v>
      </c>
      <c r="AC6" s="55" t="s">
        <v>656</v>
      </c>
      <c r="AD6" s="55" t="s">
        <v>656</v>
      </c>
      <c r="AE6" s="55" t="s">
        <v>656</v>
      </c>
      <c r="AF6" s="55" t="s">
        <v>656</v>
      </c>
      <c r="AG6" s="41">
        <f t="shared" ref="AG6:AG11" si="2">COUNTA(B6:AF6)</f>
        <v>31</v>
      </c>
      <c r="AH6" s="42">
        <f t="shared" ref="AH6:AH11" si="3">AG6*100/30</f>
        <v>103.33333333333333</v>
      </c>
      <c r="AM6" s="20"/>
      <c r="AN6" s="56"/>
      <c r="AO6" s="56"/>
      <c r="AP6" s="56"/>
      <c r="AQ6" s="57"/>
      <c r="AR6" s="20"/>
    </row>
    <row r="7" spans="1:44" x14ac:dyDescent="0.35">
      <c r="A7" s="7" t="s">
        <v>11</v>
      </c>
      <c r="B7" s="55" t="s">
        <v>683</v>
      </c>
      <c r="C7" s="55" t="s">
        <v>683</v>
      </c>
      <c r="D7" s="55" t="s">
        <v>683</v>
      </c>
      <c r="E7" s="55"/>
      <c r="F7" s="55"/>
      <c r="G7" s="55"/>
      <c r="H7" s="55" t="s">
        <v>687</v>
      </c>
      <c r="I7" s="55" t="s">
        <v>687</v>
      </c>
      <c r="J7" s="55"/>
      <c r="K7" s="55"/>
      <c r="L7" s="55"/>
      <c r="M7" s="55"/>
      <c r="N7" s="55"/>
      <c r="O7" s="55" t="s">
        <v>493</v>
      </c>
      <c r="P7" s="55" t="s">
        <v>493</v>
      </c>
      <c r="Q7" s="55" t="s">
        <v>493</v>
      </c>
      <c r="R7" s="55" t="s">
        <v>718</v>
      </c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41">
        <f t="shared" si="2"/>
        <v>9</v>
      </c>
      <c r="AH7" s="42">
        <f t="shared" si="3"/>
        <v>30</v>
      </c>
      <c r="AM7" s="20"/>
      <c r="AN7" s="56"/>
      <c r="AO7" s="56"/>
      <c r="AP7" s="56"/>
      <c r="AQ7" s="57"/>
      <c r="AR7" s="20"/>
    </row>
    <row r="8" spans="1:44" ht="15" customHeight="1" x14ac:dyDescent="0.35">
      <c r="A8" s="7" t="s">
        <v>15</v>
      </c>
      <c r="B8" s="55" t="s">
        <v>684</v>
      </c>
      <c r="C8" s="55" t="s">
        <v>684</v>
      </c>
      <c r="D8" s="55" t="s">
        <v>684</v>
      </c>
      <c r="E8" s="55"/>
      <c r="F8" s="55"/>
      <c r="G8" s="55"/>
      <c r="H8" s="55" t="s">
        <v>687</v>
      </c>
      <c r="I8" s="55" t="s">
        <v>687</v>
      </c>
      <c r="J8" s="55"/>
      <c r="K8" s="55"/>
      <c r="L8" s="55"/>
      <c r="M8" s="55"/>
      <c r="N8" s="55"/>
      <c r="O8" s="55" t="s">
        <v>141</v>
      </c>
      <c r="P8" s="55" t="s">
        <v>141</v>
      </c>
      <c r="Q8" s="55" t="s">
        <v>141</v>
      </c>
      <c r="R8" s="55" t="s">
        <v>719</v>
      </c>
      <c r="S8" s="55"/>
      <c r="T8" s="55"/>
      <c r="U8" s="55"/>
      <c r="V8" s="55"/>
      <c r="W8" s="55"/>
      <c r="X8" s="55" t="s">
        <v>723</v>
      </c>
      <c r="Y8" s="55"/>
      <c r="Z8" s="55"/>
      <c r="AA8" s="55"/>
      <c r="AB8" s="55"/>
      <c r="AC8" s="55"/>
      <c r="AD8" s="55"/>
      <c r="AE8" s="55"/>
      <c r="AF8" s="55"/>
      <c r="AG8" s="41">
        <f t="shared" si="2"/>
        <v>10</v>
      </c>
      <c r="AH8" s="42">
        <f t="shared" si="3"/>
        <v>33.333333333333336</v>
      </c>
      <c r="AK8" s="9"/>
      <c r="AM8" s="20"/>
      <c r="AN8" s="56"/>
      <c r="AO8" s="56"/>
      <c r="AP8" s="56"/>
      <c r="AQ8" s="57"/>
      <c r="AR8" s="20"/>
    </row>
    <row r="9" spans="1:44" ht="15.75" customHeight="1" x14ac:dyDescent="0.35">
      <c r="A9" s="7" t="s">
        <v>18</v>
      </c>
      <c r="B9" s="55"/>
      <c r="C9" s="8" t="s">
        <v>690</v>
      </c>
      <c r="D9" s="55"/>
      <c r="E9" s="55"/>
      <c r="F9" s="55"/>
      <c r="G9" s="55"/>
      <c r="H9" s="55" t="s">
        <v>687</v>
      </c>
      <c r="I9" s="55" t="s">
        <v>687</v>
      </c>
      <c r="J9" s="55"/>
      <c r="K9" s="55"/>
      <c r="L9" s="55"/>
      <c r="M9" s="55"/>
      <c r="N9" s="55"/>
      <c r="O9" s="55" t="s">
        <v>95</v>
      </c>
      <c r="P9" s="55" t="s">
        <v>95</v>
      </c>
      <c r="Q9" s="55" t="s">
        <v>95</v>
      </c>
      <c r="R9" s="55" t="s">
        <v>95</v>
      </c>
      <c r="S9" s="55" t="s">
        <v>95</v>
      </c>
      <c r="T9" s="55"/>
      <c r="U9" s="55"/>
      <c r="V9" s="55"/>
      <c r="W9" s="55"/>
      <c r="X9" s="55"/>
      <c r="Y9" s="55" t="s">
        <v>726</v>
      </c>
      <c r="Z9" s="55"/>
      <c r="AA9" s="55"/>
      <c r="AB9" s="55"/>
      <c r="AC9" s="55" t="s">
        <v>725</v>
      </c>
      <c r="AD9" s="55" t="s">
        <v>725</v>
      </c>
      <c r="AE9" s="55" t="s">
        <v>725</v>
      </c>
      <c r="AF9" s="55"/>
      <c r="AG9" s="41">
        <f t="shared" si="2"/>
        <v>12</v>
      </c>
      <c r="AH9" s="42">
        <f t="shared" si="3"/>
        <v>40</v>
      </c>
      <c r="AM9" s="20"/>
      <c r="AN9" s="56"/>
      <c r="AO9" s="56"/>
      <c r="AP9" s="56"/>
      <c r="AQ9" s="57"/>
      <c r="AR9" s="20"/>
    </row>
    <row r="10" spans="1:44" ht="15.75" customHeight="1" x14ac:dyDescent="0.35">
      <c r="A10" s="7" t="s">
        <v>20</v>
      </c>
      <c r="B10" s="55" t="s">
        <v>187</v>
      </c>
      <c r="C10" s="8"/>
      <c r="D10" s="55"/>
      <c r="E10" s="55"/>
      <c r="F10" s="55"/>
      <c r="G10" s="55"/>
      <c r="H10" s="55" t="s">
        <v>687</v>
      </c>
      <c r="I10" s="55" t="s">
        <v>687</v>
      </c>
      <c r="J10" s="55"/>
      <c r="K10" s="55"/>
      <c r="L10" s="55"/>
      <c r="M10" s="55"/>
      <c r="N10" s="55"/>
      <c r="O10" s="55" t="s">
        <v>688</v>
      </c>
      <c r="P10" s="55" t="s">
        <v>688</v>
      </c>
      <c r="Q10" s="55" t="s">
        <v>688</v>
      </c>
      <c r="R10" s="55" t="s">
        <v>443</v>
      </c>
      <c r="S10" s="55" t="s">
        <v>443</v>
      </c>
      <c r="T10" s="55"/>
      <c r="U10" s="55" t="s">
        <v>406</v>
      </c>
      <c r="V10" s="55" t="s">
        <v>406</v>
      </c>
      <c r="W10" s="55" t="s">
        <v>406</v>
      </c>
      <c r="X10" s="55" t="s">
        <v>406</v>
      </c>
      <c r="Y10" s="55" t="s">
        <v>406</v>
      </c>
      <c r="Z10" s="55" t="s">
        <v>406</v>
      </c>
      <c r="AA10" s="55"/>
      <c r="AB10" s="55"/>
      <c r="AC10" s="55"/>
      <c r="AD10" s="55"/>
      <c r="AE10" s="55"/>
      <c r="AF10" s="55"/>
      <c r="AG10" s="41">
        <f t="shared" si="2"/>
        <v>14</v>
      </c>
      <c r="AH10" s="42">
        <f t="shared" si="3"/>
        <v>46.666666666666664</v>
      </c>
      <c r="AM10" s="20"/>
      <c r="AN10" s="56"/>
      <c r="AO10" s="56"/>
      <c r="AP10" s="56"/>
      <c r="AQ10" s="57"/>
      <c r="AR10" s="20"/>
    </row>
    <row r="11" spans="1:44" ht="15.75" customHeight="1" thickBot="1" x14ac:dyDescent="0.4">
      <c r="A11" s="7" t="s">
        <v>24</v>
      </c>
      <c r="B11" s="55" t="s">
        <v>187</v>
      </c>
      <c r="C11" s="8"/>
      <c r="D11" s="55"/>
      <c r="E11" s="55"/>
      <c r="F11" s="55"/>
      <c r="G11" s="55"/>
      <c r="H11" s="55" t="s">
        <v>687</v>
      </c>
      <c r="I11" s="55" t="s">
        <v>687</v>
      </c>
      <c r="J11" s="55"/>
      <c r="K11" s="55"/>
      <c r="L11" s="55"/>
      <c r="M11" s="55"/>
      <c r="N11" s="55"/>
      <c r="O11" s="55" t="s">
        <v>99</v>
      </c>
      <c r="P11" s="55" t="s">
        <v>99</v>
      </c>
      <c r="Q11" s="55" t="s">
        <v>99</v>
      </c>
      <c r="R11" s="55" t="s">
        <v>720</v>
      </c>
      <c r="S11" s="55" t="s">
        <v>720</v>
      </c>
      <c r="T11" s="55"/>
      <c r="U11" s="55" t="s">
        <v>717</v>
      </c>
      <c r="V11" s="55" t="s">
        <v>717</v>
      </c>
      <c r="W11" s="55" t="s">
        <v>717</v>
      </c>
      <c r="X11" s="55" t="s">
        <v>717</v>
      </c>
      <c r="Y11" s="55" t="s">
        <v>717</v>
      </c>
      <c r="Z11" s="55" t="s">
        <v>717</v>
      </c>
      <c r="AA11" s="55" t="s">
        <v>717</v>
      </c>
      <c r="AB11" s="55" t="s">
        <v>717</v>
      </c>
      <c r="AC11" s="55" t="s">
        <v>717</v>
      </c>
      <c r="AD11" s="55" t="s">
        <v>717</v>
      </c>
      <c r="AE11" s="55" t="s">
        <v>717</v>
      </c>
      <c r="AF11" s="55" t="s">
        <v>717</v>
      </c>
      <c r="AG11" s="41">
        <f t="shared" si="2"/>
        <v>20</v>
      </c>
      <c r="AH11" s="42">
        <f t="shared" si="3"/>
        <v>66.666666666666671</v>
      </c>
      <c r="AM11" s="20"/>
      <c r="AN11" s="20"/>
      <c r="AO11" s="20"/>
      <c r="AP11" s="20"/>
      <c r="AQ11" s="20"/>
      <c r="AR11" s="20"/>
    </row>
    <row r="12" spans="1:44" ht="15" customHeight="1" x14ac:dyDescent="0.35">
      <c r="A12" s="45" t="s">
        <v>176</v>
      </c>
      <c r="B12" s="46">
        <f>COUNTA(B5:B11)</f>
        <v>5</v>
      </c>
      <c r="C12" s="46">
        <f>COUNTA(C5:C11)</f>
        <v>4</v>
      </c>
      <c r="D12" s="46">
        <f t="shared" ref="D12:AF12" si="4">COUNTA(D5:D11)</f>
        <v>3</v>
      </c>
      <c r="E12" s="46">
        <f t="shared" si="4"/>
        <v>1</v>
      </c>
      <c r="F12" s="46">
        <f t="shared" si="4"/>
        <v>1</v>
      </c>
      <c r="G12" s="46">
        <f t="shared" si="4"/>
        <v>1</v>
      </c>
      <c r="H12" s="46">
        <f t="shared" si="4"/>
        <v>7</v>
      </c>
      <c r="I12" s="46">
        <f t="shared" si="4"/>
        <v>7</v>
      </c>
      <c r="J12" s="46">
        <f t="shared" si="4"/>
        <v>1</v>
      </c>
      <c r="K12" s="46">
        <f t="shared" si="4"/>
        <v>1</v>
      </c>
      <c r="L12" s="46">
        <f t="shared" si="4"/>
        <v>1</v>
      </c>
      <c r="M12" s="46">
        <f t="shared" si="4"/>
        <v>1</v>
      </c>
      <c r="N12" s="46">
        <f t="shared" si="4"/>
        <v>1</v>
      </c>
      <c r="O12" s="46">
        <f t="shared" si="4"/>
        <v>7</v>
      </c>
      <c r="P12" s="46">
        <f t="shared" si="4"/>
        <v>7</v>
      </c>
      <c r="Q12" s="46">
        <f t="shared" si="4"/>
        <v>7</v>
      </c>
      <c r="R12" s="46">
        <f t="shared" si="4"/>
        <v>6</v>
      </c>
      <c r="S12" s="46">
        <f t="shared" si="4"/>
        <v>4</v>
      </c>
      <c r="T12" s="46">
        <f t="shared" si="4"/>
        <v>1</v>
      </c>
      <c r="U12" s="46">
        <f t="shared" si="4"/>
        <v>3</v>
      </c>
      <c r="V12" s="46">
        <f t="shared" si="4"/>
        <v>3</v>
      </c>
      <c r="W12" s="46">
        <f t="shared" si="4"/>
        <v>3</v>
      </c>
      <c r="X12" s="46">
        <f t="shared" si="4"/>
        <v>4</v>
      </c>
      <c r="Y12" s="46">
        <f t="shared" si="4"/>
        <v>4</v>
      </c>
      <c r="Z12" s="46">
        <f t="shared" si="4"/>
        <v>3</v>
      </c>
      <c r="AA12" s="46">
        <f t="shared" si="4"/>
        <v>2</v>
      </c>
      <c r="AB12" s="46">
        <f t="shared" si="4"/>
        <v>2</v>
      </c>
      <c r="AC12" s="46">
        <f>COUNTA(AC5:AC11)</f>
        <v>3</v>
      </c>
      <c r="AD12" s="46">
        <f>COUNTA(AD5:AD11)</f>
        <v>3</v>
      </c>
      <c r="AE12" s="46">
        <f>COUNTA(AE5:AE11)</f>
        <v>3</v>
      </c>
      <c r="AF12" s="46">
        <f t="shared" si="4"/>
        <v>2</v>
      </c>
      <c r="AG12" s="43">
        <f t="shared" ref="AG12" si="5">SUM(AG5:AG11)</f>
        <v>101</v>
      </c>
      <c r="AH12" s="44">
        <f>AVERAGE(AH5:AH11)</f>
        <v>48.095238095238095</v>
      </c>
      <c r="AI12" s="29"/>
      <c r="AM12" s="20"/>
      <c r="AN12" s="20"/>
      <c r="AO12" s="20"/>
      <c r="AP12" s="20"/>
      <c r="AQ12" s="20"/>
      <c r="AR12" s="20"/>
    </row>
    <row r="13" spans="1:44" ht="57" hidden="1" x14ac:dyDescent="0.35">
      <c r="A13" s="13" t="s">
        <v>28</v>
      </c>
      <c r="B13" s="14"/>
      <c r="C13" s="14"/>
      <c r="D13" s="14"/>
      <c r="E13" s="14"/>
      <c r="F13" s="14"/>
      <c r="G13" s="14"/>
      <c r="H13" s="14"/>
      <c r="I13" s="35"/>
      <c r="J13" s="34"/>
      <c r="K13" s="15"/>
      <c r="L13" s="14"/>
      <c r="M13" s="14"/>
      <c r="N13" s="25"/>
      <c r="O13" s="25"/>
      <c r="P13" s="25"/>
      <c r="Q13" s="14"/>
      <c r="R13" s="14"/>
      <c r="S13" s="14"/>
      <c r="T13" s="14"/>
      <c r="U13" s="14"/>
      <c r="V13" s="15"/>
      <c r="W13" s="15"/>
      <c r="X13" s="14"/>
      <c r="Y13" s="14"/>
      <c r="Z13" s="14"/>
      <c r="AA13" s="14"/>
      <c r="AB13" s="14"/>
      <c r="AC13" s="14"/>
      <c r="AD13" s="14"/>
      <c r="AE13" s="14"/>
      <c r="AF13" s="14"/>
      <c r="AG13" s="37"/>
      <c r="AH13" s="37"/>
      <c r="AM13" s="20"/>
      <c r="AN13" s="20"/>
      <c r="AO13" s="20"/>
      <c r="AP13" s="20"/>
      <c r="AQ13" s="20"/>
      <c r="AR13" s="20"/>
    </row>
    <row r="14" spans="1:44" ht="28.5" hidden="1" x14ac:dyDescent="0.35">
      <c r="A14" s="16" t="s">
        <v>29</v>
      </c>
      <c r="B14" s="14"/>
      <c r="C14" s="14"/>
      <c r="D14" s="14"/>
      <c r="E14" s="14"/>
      <c r="F14" s="14"/>
      <c r="G14" s="14"/>
      <c r="H14" s="14"/>
      <c r="I14" s="35"/>
      <c r="J14" s="34"/>
      <c r="K14" s="15"/>
      <c r="L14" s="14"/>
      <c r="M14" s="14"/>
      <c r="N14" s="25"/>
      <c r="O14" s="25"/>
      <c r="P14" s="25"/>
      <c r="Q14" s="14"/>
      <c r="R14" s="14"/>
      <c r="S14" s="14"/>
      <c r="T14" s="14"/>
      <c r="U14" s="14"/>
      <c r="V14" s="15"/>
      <c r="W14" s="15"/>
      <c r="X14" s="14"/>
      <c r="Y14" s="14"/>
      <c r="Z14" s="14"/>
      <c r="AA14" s="14"/>
      <c r="AB14" s="14"/>
      <c r="AC14" s="14"/>
      <c r="AD14" s="14"/>
      <c r="AE14" s="14"/>
      <c r="AF14" s="14"/>
      <c r="AG14" s="37"/>
      <c r="AH14" s="37"/>
      <c r="AM14" s="20"/>
      <c r="AN14" s="20"/>
      <c r="AO14" s="20"/>
      <c r="AP14" s="20"/>
      <c r="AQ14" s="20"/>
      <c r="AR14" s="20"/>
    </row>
    <row r="15" spans="1:44" x14ac:dyDescent="0.35">
      <c r="A15" s="7" t="s">
        <v>30</v>
      </c>
      <c r="B15" s="8" t="s">
        <v>686</v>
      </c>
      <c r="C15" s="8" t="s">
        <v>691</v>
      </c>
      <c r="D15" s="8"/>
      <c r="E15" s="8"/>
      <c r="F15" s="8"/>
      <c r="G15" s="8"/>
      <c r="H15" s="55" t="s">
        <v>687</v>
      </c>
      <c r="I15" s="55" t="s">
        <v>687</v>
      </c>
      <c r="J15" s="8" t="s">
        <v>561</v>
      </c>
      <c r="K15" s="8" t="s">
        <v>561</v>
      </c>
      <c r="L15" s="8" t="s">
        <v>561</v>
      </c>
      <c r="M15" s="8" t="s">
        <v>561</v>
      </c>
      <c r="N15" s="8" t="s">
        <v>561</v>
      </c>
      <c r="O15" s="8" t="s">
        <v>561</v>
      </c>
      <c r="P15" s="8" t="s">
        <v>561</v>
      </c>
      <c r="Q15" s="8" t="s">
        <v>561</v>
      </c>
      <c r="R15" s="8" t="s">
        <v>561</v>
      </c>
      <c r="S15" s="8" t="s">
        <v>561</v>
      </c>
      <c r="T15" s="8" t="s">
        <v>561</v>
      </c>
      <c r="U15" s="8" t="s">
        <v>561</v>
      </c>
      <c r="V15" s="8" t="s">
        <v>561</v>
      </c>
      <c r="W15" s="8" t="s">
        <v>561</v>
      </c>
      <c r="X15" s="8" t="s">
        <v>561</v>
      </c>
      <c r="Y15" s="8" t="s">
        <v>561</v>
      </c>
      <c r="Z15" s="8" t="s">
        <v>561</v>
      </c>
      <c r="AA15" s="8" t="s">
        <v>561</v>
      </c>
      <c r="AB15" s="8" t="s">
        <v>561</v>
      </c>
      <c r="AC15" s="8" t="s">
        <v>561</v>
      </c>
      <c r="AD15" s="8" t="s">
        <v>561</v>
      </c>
      <c r="AE15" s="8" t="s">
        <v>561</v>
      </c>
      <c r="AF15" s="8"/>
      <c r="AG15" s="41">
        <f>COUNTA(B15:AF15)</f>
        <v>26</v>
      </c>
      <c r="AH15" s="42">
        <f>AG15*100/30</f>
        <v>86.666666666666671</v>
      </c>
      <c r="AM15" s="20"/>
      <c r="AN15" s="20"/>
      <c r="AO15" s="20"/>
      <c r="AP15" s="20"/>
      <c r="AQ15" s="20"/>
      <c r="AR15" s="20"/>
    </row>
    <row r="16" spans="1:44" x14ac:dyDescent="0.35">
      <c r="A16" s="7" t="s">
        <v>35</v>
      </c>
      <c r="B16" s="8" t="s">
        <v>686</v>
      </c>
      <c r="C16" s="8" t="s">
        <v>692</v>
      </c>
      <c r="D16" s="55" t="s">
        <v>696</v>
      </c>
      <c r="E16" s="55"/>
      <c r="F16" s="55" t="s">
        <v>697</v>
      </c>
      <c r="G16" s="55"/>
      <c r="H16" s="55" t="s">
        <v>687</v>
      </c>
      <c r="I16" s="55" t="s">
        <v>687</v>
      </c>
      <c r="J16" s="55"/>
      <c r="K16" s="55"/>
      <c r="L16" s="55"/>
      <c r="M16" s="55"/>
      <c r="N16" s="55"/>
      <c r="O16" s="55" t="s">
        <v>208</v>
      </c>
      <c r="P16" s="55" t="s">
        <v>208</v>
      </c>
      <c r="Q16" s="55" t="s">
        <v>208</v>
      </c>
      <c r="R16" s="55" t="s">
        <v>208</v>
      </c>
      <c r="S16" s="55" t="s">
        <v>208</v>
      </c>
      <c r="T16" s="55"/>
      <c r="U16" s="55"/>
      <c r="V16" s="55"/>
      <c r="W16" s="8" t="s">
        <v>722</v>
      </c>
      <c r="X16" s="8" t="s">
        <v>722</v>
      </c>
      <c r="Y16" s="8" t="s">
        <v>722</v>
      </c>
      <c r="Z16" s="8" t="s">
        <v>722</v>
      </c>
      <c r="AA16" s="8" t="s">
        <v>722</v>
      </c>
      <c r="AB16" s="8" t="s">
        <v>722</v>
      </c>
      <c r="AC16" s="8" t="s">
        <v>722</v>
      </c>
      <c r="AD16" s="8" t="s">
        <v>722</v>
      </c>
      <c r="AE16" s="8" t="s">
        <v>722</v>
      </c>
      <c r="AF16" s="55"/>
      <c r="AG16" s="41">
        <f t="shared" ref="AG16:AG22" si="6">COUNTA(B16:AF16)</f>
        <v>20</v>
      </c>
      <c r="AH16" s="42">
        <f t="shared" ref="AH16:AH22" si="7">AG16*100/30</f>
        <v>66.666666666666671</v>
      </c>
      <c r="AM16" s="20"/>
      <c r="AN16" s="20"/>
      <c r="AO16" s="56"/>
      <c r="AP16" s="56"/>
      <c r="AQ16" s="20"/>
      <c r="AR16" s="20"/>
    </row>
    <row r="17" spans="1:50" x14ac:dyDescent="0.35">
      <c r="A17" s="7" t="s">
        <v>39</v>
      </c>
      <c r="B17" s="55"/>
      <c r="C17" s="8" t="s">
        <v>693</v>
      </c>
      <c r="D17" s="8"/>
      <c r="E17" s="8"/>
      <c r="F17" s="8"/>
      <c r="G17" s="8"/>
      <c r="H17" s="55" t="s">
        <v>687</v>
      </c>
      <c r="I17" s="55" t="s">
        <v>687</v>
      </c>
      <c r="J17" s="8"/>
      <c r="K17" s="8"/>
      <c r="L17" s="8"/>
      <c r="M17" s="8"/>
      <c r="N17" s="8"/>
      <c r="O17" s="8" t="s">
        <v>712</v>
      </c>
      <c r="P17" s="8" t="s">
        <v>712</v>
      </c>
      <c r="Q17" s="8" t="s">
        <v>712</v>
      </c>
      <c r="R17" s="8" t="s">
        <v>712</v>
      </c>
      <c r="S17" s="8" t="s">
        <v>712</v>
      </c>
      <c r="T17" s="8"/>
      <c r="U17" s="8"/>
      <c r="V17" s="8"/>
      <c r="W17" s="8"/>
      <c r="X17" s="8" t="s">
        <v>724</v>
      </c>
      <c r="Y17" s="8" t="s">
        <v>134</v>
      </c>
      <c r="Z17" s="8" t="s">
        <v>385</v>
      </c>
      <c r="AA17" s="8" t="s">
        <v>385</v>
      </c>
      <c r="AB17" s="8" t="s">
        <v>385</v>
      </c>
      <c r="AC17" s="8" t="s">
        <v>385</v>
      </c>
      <c r="AD17" s="8" t="s">
        <v>385</v>
      </c>
      <c r="AE17" s="8" t="s">
        <v>385</v>
      </c>
      <c r="AF17" s="8"/>
      <c r="AG17" s="41">
        <f t="shared" si="6"/>
        <v>16</v>
      </c>
      <c r="AH17" s="42">
        <f t="shared" si="7"/>
        <v>53.333333333333336</v>
      </c>
      <c r="AM17" s="20"/>
      <c r="AN17" s="20"/>
      <c r="AO17" s="20"/>
      <c r="AP17" s="20"/>
      <c r="AQ17" s="20"/>
      <c r="AR17" s="20"/>
      <c r="AX17" s="58"/>
    </row>
    <row r="18" spans="1:50" x14ac:dyDescent="0.35">
      <c r="A18" s="7" t="s">
        <v>42</v>
      </c>
      <c r="B18" s="55"/>
      <c r="C18" s="8" t="s">
        <v>694</v>
      </c>
      <c r="D18" s="55" t="s">
        <v>696</v>
      </c>
      <c r="E18" s="8"/>
      <c r="F18" s="8"/>
      <c r="G18" s="8"/>
      <c r="H18" s="55" t="s">
        <v>687</v>
      </c>
      <c r="I18" s="55" t="s">
        <v>687</v>
      </c>
      <c r="J18" s="8"/>
      <c r="K18" s="8" t="s">
        <v>700</v>
      </c>
      <c r="L18" s="8"/>
      <c r="M18" s="8"/>
      <c r="N18" s="8"/>
      <c r="O18" s="8" t="s">
        <v>710</v>
      </c>
      <c r="P18" s="8" t="s">
        <v>710</v>
      </c>
      <c r="Q18" s="8" t="s">
        <v>710</v>
      </c>
      <c r="R18" s="8" t="s">
        <v>710</v>
      </c>
      <c r="S18" s="8" t="s">
        <v>710</v>
      </c>
      <c r="T18" s="8"/>
      <c r="U18" s="8"/>
      <c r="V18" s="8"/>
      <c r="W18" s="8" t="s">
        <v>722</v>
      </c>
      <c r="X18" s="8" t="s">
        <v>722</v>
      </c>
      <c r="Y18" s="8" t="s">
        <v>722</v>
      </c>
      <c r="Z18" s="8" t="s">
        <v>722</v>
      </c>
      <c r="AA18" s="8" t="s">
        <v>722</v>
      </c>
      <c r="AB18" s="8" t="s">
        <v>722</v>
      </c>
      <c r="AC18" s="8" t="s">
        <v>722</v>
      </c>
      <c r="AD18" s="8" t="s">
        <v>722</v>
      </c>
      <c r="AE18" s="8" t="s">
        <v>722</v>
      </c>
      <c r="AF18" s="8"/>
      <c r="AG18" s="41">
        <f t="shared" si="6"/>
        <v>19</v>
      </c>
      <c r="AH18" s="42">
        <f t="shared" si="7"/>
        <v>63.333333333333336</v>
      </c>
      <c r="AM18" s="20"/>
      <c r="AN18" s="20"/>
      <c r="AO18" s="20"/>
      <c r="AP18" s="20"/>
      <c r="AQ18" s="20"/>
      <c r="AR18" s="20"/>
      <c r="AX18" s="58"/>
    </row>
    <row r="19" spans="1:50" x14ac:dyDescent="0.35">
      <c r="A19" s="7" t="s">
        <v>45</v>
      </c>
      <c r="B19" s="55"/>
      <c r="C19" s="8" t="s">
        <v>695</v>
      </c>
      <c r="D19" s="8"/>
      <c r="E19" s="8"/>
      <c r="F19" s="8"/>
      <c r="G19" s="8"/>
      <c r="H19" s="55" t="s">
        <v>687</v>
      </c>
      <c r="I19" s="55" t="s">
        <v>687</v>
      </c>
      <c r="J19" s="8"/>
      <c r="K19" s="8"/>
      <c r="L19" s="8"/>
      <c r="M19" s="8"/>
      <c r="N19" s="8"/>
      <c r="O19" s="8" t="s">
        <v>711</v>
      </c>
      <c r="P19" s="8" t="s">
        <v>711</v>
      </c>
      <c r="Q19" s="8" t="s">
        <v>711</v>
      </c>
      <c r="R19" s="8" t="s">
        <v>711</v>
      </c>
      <c r="S19" s="8" t="s">
        <v>711</v>
      </c>
      <c r="T19" s="8"/>
      <c r="U19" s="8"/>
      <c r="V19" s="8"/>
      <c r="W19" s="8" t="s">
        <v>721</v>
      </c>
      <c r="X19" s="8" t="s">
        <v>721</v>
      </c>
      <c r="Y19" s="55" t="s">
        <v>727</v>
      </c>
      <c r="Z19" s="8"/>
      <c r="AA19" s="8"/>
      <c r="AB19" s="8"/>
      <c r="AC19" s="8"/>
      <c r="AD19" s="8"/>
      <c r="AE19" s="8"/>
      <c r="AF19" s="8"/>
      <c r="AG19" s="41">
        <f t="shared" si="6"/>
        <v>11</v>
      </c>
      <c r="AH19" s="42">
        <f t="shared" si="7"/>
        <v>36.666666666666664</v>
      </c>
      <c r="AM19" s="20"/>
      <c r="AN19" s="20"/>
      <c r="AO19" s="20"/>
      <c r="AP19" s="20"/>
      <c r="AQ19" s="20"/>
      <c r="AR19" s="20"/>
      <c r="AX19" s="58"/>
    </row>
    <row r="20" spans="1:50" x14ac:dyDescent="0.35">
      <c r="A20" s="7" t="s">
        <v>47</v>
      </c>
      <c r="B20" s="55"/>
      <c r="C20" s="55"/>
      <c r="D20" s="55"/>
      <c r="E20" s="55"/>
      <c r="F20" s="55"/>
      <c r="G20" s="55"/>
      <c r="H20" s="55" t="s">
        <v>687</v>
      </c>
      <c r="I20" s="55" t="s">
        <v>687</v>
      </c>
      <c r="J20" s="8"/>
      <c r="K20" s="8" t="s">
        <v>699</v>
      </c>
      <c r="L20" s="8" t="s">
        <v>698</v>
      </c>
      <c r="M20" s="8" t="s">
        <v>698</v>
      </c>
      <c r="N20" s="8" t="s">
        <v>698</v>
      </c>
      <c r="O20" s="55" t="s">
        <v>689</v>
      </c>
      <c r="P20" s="55" t="s">
        <v>689</v>
      </c>
      <c r="Q20" s="55" t="s">
        <v>689</v>
      </c>
      <c r="R20" s="55" t="s">
        <v>689</v>
      </c>
      <c r="S20" s="55" t="s">
        <v>689</v>
      </c>
      <c r="T20" s="55" t="s">
        <v>689</v>
      </c>
      <c r="U20" s="55" t="s">
        <v>689</v>
      </c>
      <c r="V20" s="55" t="s">
        <v>689</v>
      </c>
      <c r="W20" s="55" t="s">
        <v>689</v>
      </c>
      <c r="X20" s="55" t="s">
        <v>689</v>
      </c>
      <c r="Y20" s="55" t="s">
        <v>689</v>
      </c>
      <c r="Z20" s="55" t="s">
        <v>689</v>
      </c>
      <c r="AA20" s="55" t="s">
        <v>689</v>
      </c>
      <c r="AB20" s="55" t="s">
        <v>689</v>
      </c>
      <c r="AC20" s="55" t="s">
        <v>689</v>
      </c>
      <c r="AD20" s="55" t="s">
        <v>689</v>
      </c>
      <c r="AE20" s="55" t="s">
        <v>689</v>
      </c>
      <c r="AF20" s="55"/>
      <c r="AG20" s="41">
        <f t="shared" si="6"/>
        <v>23</v>
      </c>
      <c r="AH20" s="42">
        <f t="shared" si="7"/>
        <v>76.666666666666671</v>
      </c>
      <c r="AM20" s="20"/>
      <c r="AN20" s="20"/>
      <c r="AO20" s="20"/>
      <c r="AP20" s="20"/>
      <c r="AQ20" s="20"/>
      <c r="AR20" s="20"/>
      <c r="AX20" s="58"/>
    </row>
    <row r="21" spans="1:50" x14ac:dyDescent="0.35">
      <c r="A21" s="7" t="s">
        <v>50</v>
      </c>
      <c r="B21" s="55" t="s">
        <v>385</v>
      </c>
      <c r="C21" s="55" t="s">
        <v>385</v>
      </c>
      <c r="D21" s="55" t="s">
        <v>385</v>
      </c>
      <c r="E21" s="55"/>
      <c r="F21" s="55"/>
      <c r="G21" s="55"/>
      <c r="H21" s="55" t="s">
        <v>687</v>
      </c>
      <c r="I21" s="55" t="s">
        <v>687</v>
      </c>
      <c r="J21" s="55" t="s">
        <v>562</v>
      </c>
      <c r="K21" s="55" t="s">
        <v>562</v>
      </c>
      <c r="L21" s="55" t="s">
        <v>562</v>
      </c>
      <c r="M21" s="55" t="s">
        <v>562</v>
      </c>
      <c r="N21" s="55" t="s">
        <v>562</v>
      </c>
      <c r="O21" s="55" t="s">
        <v>562</v>
      </c>
      <c r="P21" s="55" t="s">
        <v>562</v>
      </c>
      <c r="Q21" s="55" t="s">
        <v>562</v>
      </c>
      <c r="R21" s="55" t="s">
        <v>562</v>
      </c>
      <c r="S21" s="55" t="s">
        <v>562</v>
      </c>
      <c r="T21" s="55" t="s">
        <v>562</v>
      </c>
      <c r="U21" s="55" t="s">
        <v>562</v>
      </c>
      <c r="V21" s="55" t="s">
        <v>562</v>
      </c>
      <c r="W21" s="55" t="s">
        <v>562</v>
      </c>
      <c r="X21" s="55" t="s">
        <v>562</v>
      </c>
      <c r="Y21" s="55" t="s">
        <v>562</v>
      </c>
      <c r="Z21" s="55" t="s">
        <v>562</v>
      </c>
      <c r="AA21" s="55" t="s">
        <v>562</v>
      </c>
      <c r="AB21" s="55" t="s">
        <v>562</v>
      </c>
      <c r="AC21" s="55" t="s">
        <v>562</v>
      </c>
      <c r="AD21" s="55" t="s">
        <v>562</v>
      </c>
      <c r="AE21" s="55" t="s">
        <v>562</v>
      </c>
      <c r="AF21" s="55"/>
      <c r="AG21" s="41">
        <f t="shared" si="6"/>
        <v>27</v>
      </c>
      <c r="AH21" s="42">
        <f t="shared" si="7"/>
        <v>90</v>
      </c>
      <c r="AM21" s="20"/>
      <c r="AN21" s="20"/>
      <c r="AO21" s="20"/>
      <c r="AP21" s="20"/>
      <c r="AQ21" s="20"/>
      <c r="AR21" s="20"/>
      <c r="AX21" s="58"/>
    </row>
    <row r="22" spans="1:50" ht="15" thickBot="1" x14ac:dyDescent="0.4">
      <c r="A22" s="7" t="s">
        <v>51</v>
      </c>
      <c r="B22" s="8" t="s">
        <v>86</v>
      </c>
      <c r="C22" s="8" t="s">
        <v>86</v>
      </c>
      <c r="D22" s="8" t="s">
        <v>86</v>
      </c>
      <c r="E22" s="8"/>
      <c r="F22" s="8"/>
      <c r="G22" s="8" t="s">
        <v>698</v>
      </c>
      <c r="H22" s="55" t="s">
        <v>687</v>
      </c>
      <c r="I22" s="55" t="s">
        <v>687</v>
      </c>
      <c r="J22" s="8"/>
      <c r="K22" s="8"/>
      <c r="L22" s="8"/>
      <c r="M22" s="8"/>
      <c r="N22" s="8"/>
      <c r="O22" s="8"/>
      <c r="P22" s="8"/>
      <c r="Q22" s="8" t="s">
        <v>443</v>
      </c>
      <c r="R22" s="8" t="s">
        <v>443</v>
      </c>
      <c r="S22" s="8"/>
      <c r="T22" s="8"/>
      <c r="U22" s="8"/>
      <c r="V22" s="55"/>
      <c r="W22" s="55" t="s">
        <v>185</v>
      </c>
      <c r="X22" s="55" t="s">
        <v>185</v>
      </c>
      <c r="Y22" s="8"/>
      <c r="Z22" s="8"/>
      <c r="AA22" s="8"/>
      <c r="AB22" s="8"/>
      <c r="AC22" s="8"/>
      <c r="AD22" s="8"/>
      <c r="AE22" s="8"/>
      <c r="AF22" s="8"/>
      <c r="AG22" s="41">
        <f t="shared" si="6"/>
        <v>10</v>
      </c>
      <c r="AH22" s="42">
        <f t="shared" si="7"/>
        <v>33.333333333333336</v>
      </c>
      <c r="AX22" s="58"/>
    </row>
    <row r="23" spans="1:50" ht="15.5" x14ac:dyDescent="0.35">
      <c r="A23" s="45" t="s">
        <v>176</v>
      </c>
      <c r="B23" s="46">
        <f>COUNTA(B15:B22)</f>
        <v>4</v>
      </c>
      <c r="C23" s="46">
        <f>COUNTA(C16:C22)</f>
        <v>6</v>
      </c>
      <c r="D23" s="46">
        <f>COUNTA(D16:D22)</f>
        <v>4</v>
      </c>
      <c r="E23" s="46">
        <f t="shared" ref="E23:AF23" si="8">COUNTA(E15:E22)</f>
        <v>0</v>
      </c>
      <c r="F23" s="46">
        <f t="shared" si="8"/>
        <v>1</v>
      </c>
      <c r="G23" s="46">
        <f t="shared" si="8"/>
        <v>1</v>
      </c>
      <c r="H23" s="46">
        <f t="shared" si="8"/>
        <v>8</v>
      </c>
      <c r="I23" s="46">
        <f t="shared" si="8"/>
        <v>8</v>
      </c>
      <c r="J23" s="46">
        <f t="shared" si="8"/>
        <v>2</v>
      </c>
      <c r="K23" s="46">
        <f t="shared" si="8"/>
        <v>4</v>
      </c>
      <c r="L23" s="46">
        <f t="shared" si="8"/>
        <v>3</v>
      </c>
      <c r="M23" s="46">
        <f t="shared" si="8"/>
        <v>3</v>
      </c>
      <c r="N23" s="46">
        <f t="shared" si="8"/>
        <v>3</v>
      </c>
      <c r="O23" s="46">
        <f t="shared" si="8"/>
        <v>7</v>
      </c>
      <c r="P23" s="46">
        <f t="shared" si="8"/>
        <v>7</v>
      </c>
      <c r="Q23" s="46">
        <f t="shared" si="8"/>
        <v>8</v>
      </c>
      <c r="R23" s="46">
        <f t="shared" si="8"/>
        <v>8</v>
      </c>
      <c r="S23" s="46">
        <f t="shared" si="8"/>
        <v>7</v>
      </c>
      <c r="T23" s="46">
        <f>COUNTA(T15:T22)</f>
        <v>3</v>
      </c>
      <c r="U23" s="46">
        <f t="shared" si="8"/>
        <v>3</v>
      </c>
      <c r="V23" s="46">
        <f t="shared" si="8"/>
        <v>3</v>
      </c>
      <c r="W23" s="46">
        <f t="shared" si="8"/>
        <v>7</v>
      </c>
      <c r="X23" s="46">
        <f t="shared" si="8"/>
        <v>8</v>
      </c>
      <c r="Y23" s="46">
        <f t="shared" si="8"/>
        <v>7</v>
      </c>
      <c r="Z23" s="46">
        <f t="shared" si="8"/>
        <v>6</v>
      </c>
      <c r="AA23" s="46">
        <f t="shared" si="8"/>
        <v>6</v>
      </c>
      <c r="AB23" s="46">
        <f t="shared" si="8"/>
        <v>6</v>
      </c>
      <c r="AC23" s="46">
        <f t="shared" si="8"/>
        <v>6</v>
      </c>
      <c r="AD23" s="46">
        <f t="shared" si="8"/>
        <v>6</v>
      </c>
      <c r="AE23" s="46">
        <f t="shared" si="8"/>
        <v>6</v>
      </c>
      <c r="AF23" s="46">
        <f t="shared" si="8"/>
        <v>0</v>
      </c>
      <c r="AG23" s="43">
        <f>SUM(AG15:AG22)</f>
        <v>152</v>
      </c>
      <c r="AH23" s="66">
        <f>AVERAGE(AH15:AH22)</f>
        <v>63.333333333333336</v>
      </c>
      <c r="AX23" s="58"/>
    </row>
    <row r="24" spans="1:50" ht="15.5" x14ac:dyDescent="0.35">
      <c r="A24" s="47" t="s">
        <v>178</v>
      </c>
      <c r="B24" s="52">
        <f>B12+B23</f>
        <v>9</v>
      </c>
      <c r="C24" s="52">
        <f t="shared" ref="C24:AF24" si="9">C12+C23</f>
        <v>10</v>
      </c>
      <c r="D24" s="52">
        <f t="shared" si="9"/>
        <v>7</v>
      </c>
      <c r="E24" s="52">
        <f t="shared" si="9"/>
        <v>1</v>
      </c>
      <c r="F24" s="52">
        <f t="shared" si="9"/>
        <v>2</v>
      </c>
      <c r="G24" s="52">
        <f t="shared" si="9"/>
        <v>2</v>
      </c>
      <c r="H24" s="52">
        <f t="shared" si="9"/>
        <v>15</v>
      </c>
      <c r="I24" s="52">
        <f t="shared" si="9"/>
        <v>15</v>
      </c>
      <c r="J24" s="52">
        <f t="shared" si="9"/>
        <v>3</v>
      </c>
      <c r="K24" s="52">
        <f t="shared" si="9"/>
        <v>5</v>
      </c>
      <c r="L24" s="52">
        <f t="shared" si="9"/>
        <v>4</v>
      </c>
      <c r="M24" s="52">
        <f t="shared" si="9"/>
        <v>4</v>
      </c>
      <c r="N24" s="52">
        <f t="shared" si="9"/>
        <v>4</v>
      </c>
      <c r="O24" s="52">
        <f t="shared" si="9"/>
        <v>14</v>
      </c>
      <c r="P24" s="52">
        <f t="shared" si="9"/>
        <v>14</v>
      </c>
      <c r="Q24" s="52">
        <f t="shared" si="9"/>
        <v>15</v>
      </c>
      <c r="R24" s="52">
        <f t="shared" si="9"/>
        <v>14</v>
      </c>
      <c r="S24" s="52">
        <f t="shared" si="9"/>
        <v>11</v>
      </c>
      <c r="T24" s="52">
        <f t="shared" si="9"/>
        <v>4</v>
      </c>
      <c r="U24" s="52">
        <f t="shared" si="9"/>
        <v>6</v>
      </c>
      <c r="V24" s="52">
        <f t="shared" si="9"/>
        <v>6</v>
      </c>
      <c r="W24" s="52">
        <f t="shared" si="9"/>
        <v>10</v>
      </c>
      <c r="X24" s="52">
        <f t="shared" si="9"/>
        <v>12</v>
      </c>
      <c r="Y24" s="52">
        <f t="shared" si="9"/>
        <v>11</v>
      </c>
      <c r="Z24" s="52">
        <f t="shared" si="9"/>
        <v>9</v>
      </c>
      <c r="AA24" s="52">
        <f t="shared" si="9"/>
        <v>8</v>
      </c>
      <c r="AB24" s="52">
        <f t="shared" si="9"/>
        <v>8</v>
      </c>
      <c r="AC24" s="52">
        <f t="shared" si="9"/>
        <v>9</v>
      </c>
      <c r="AD24" s="52">
        <f t="shared" si="9"/>
        <v>9</v>
      </c>
      <c r="AE24" s="52">
        <f t="shared" si="9"/>
        <v>9</v>
      </c>
      <c r="AF24" s="52">
        <f t="shared" si="9"/>
        <v>2</v>
      </c>
      <c r="AG24" s="49">
        <f>+AG12+AG23</f>
        <v>253</v>
      </c>
      <c r="AX24" s="58"/>
    </row>
    <row r="25" spans="1:50" ht="15.5" x14ac:dyDescent="0.35">
      <c r="A25" s="48" t="s">
        <v>179</v>
      </c>
      <c r="B25" s="42">
        <f>B24*100/15</f>
        <v>60</v>
      </c>
      <c r="C25" s="42">
        <f t="shared" ref="C25:AF25" si="10">C24*100/15</f>
        <v>66.666666666666671</v>
      </c>
      <c r="D25" s="42">
        <f t="shared" si="10"/>
        <v>46.666666666666664</v>
      </c>
      <c r="E25" s="42">
        <f t="shared" si="10"/>
        <v>6.666666666666667</v>
      </c>
      <c r="F25" s="42">
        <f t="shared" si="10"/>
        <v>13.333333333333334</v>
      </c>
      <c r="G25" s="42">
        <f t="shared" si="10"/>
        <v>13.333333333333334</v>
      </c>
      <c r="H25" s="42">
        <f t="shared" si="10"/>
        <v>100</v>
      </c>
      <c r="I25" s="42">
        <f t="shared" si="10"/>
        <v>100</v>
      </c>
      <c r="J25" s="42">
        <f t="shared" si="10"/>
        <v>20</v>
      </c>
      <c r="K25" s="42">
        <f t="shared" si="10"/>
        <v>33.333333333333336</v>
      </c>
      <c r="L25" s="42">
        <f t="shared" si="10"/>
        <v>26.666666666666668</v>
      </c>
      <c r="M25" s="42">
        <f t="shared" si="10"/>
        <v>26.666666666666668</v>
      </c>
      <c r="N25" s="42">
        <f t="shared" si="10"/>
        <v>26.666666666666668</v>
      </c>
      <c r="O25" s="42">
        <f t="shared" si="10"/>
        <v>93.333333333333329</v>
      </c>
      <c r="P25" s="42">
        <f t="shared" si="10"/>
        <v>93.333333333333329</v>
      </c>
      <c r="Q25" s="42">
        <f t="shared" si="10"/>
        <v>100</v>
      </c>
      <c r="R25" s="42">
        <f t="shared" si="10"/>
        <v>93.333333333333329</v>
      </c>
      <c r="S25" s="42">
        <f t="shared" si="10"/>
        <v>73.333333333333329</v>
      </c>
      <c r="T25" s="42">
        <f t="shared" si="10"/>
        <v>26.666666666666668</v>
      </c>
      <c r="U25" s="42">
        <f t="shared" si="10"/>
        <v>40</v>
      </c>
      <c r="V25" s="42">
        <f t="shared" si="10"/>
        <v>40</v>
      </c>
      <c r="W25" s="42">
        <f t="shared" si="10"/>
        <v>66.666666666666671</v>
      </c>
      <c r="X25" s="42">
        <f t="shared" si="10"/>
        <v>80</v>
      </c>
      <c r="Y25" s="42">
        <f t="shared" si="10"/>
        <v>73.333333333333329</v>
      </c>
      <c r="Z25" s="42">
        <f t="shared" si="10"/>
        <v>60</v>
      </c>
      <c r="AA25" s="42">
        <f t="shared" si="10"/>
        <v>53.333333333333336</v>
      </c>
      <c r="AB25" s="42">
        <f t="shared" si="10"/>
        <v>53.333333333333336</v>
      </c>
      <c r="AC25" s="42">
        <f t="shared" si="10"/>
        <v>60</v>
      </c>
      <c r="AD25" s="42">
        <f t="shared" si="10"/>
        <v>60</v>
      </c>
      <c r="AE25" s="42">
        <f t="shared" si="10"/>
        <v>60</v>
      </c>
      <c r="AF25" s="42">
        <f t="shared" si="10"/>
        <v>13.333333333333334</v>
      </c>
      <c r="AG25" s="50">
        <f>AVERAGE(B25:AE25)</f>
        <v>55.55555555555555</v>
      </c>
      <c r="AH25" s="51" t="s">
        <v>180</v>
      </c>
      <c r="AX25" s="58"/>
    </row>
    <row r="26" spans="1:50" x14ac:dyDescent="0.35">
      <c r="AX26" s="58"/>
    </row>
    <row r="27" spans="1:50" x14ac:dyDescent="0.35">
      <c r="A27" s="84" t="s">
        <v>713</v>
      </c>
      <c r="B27" t="s">
        <v>714</v>
      </c>
      <c r="C27" t="s">
        <v>714</v>
      </c>
      <c r="D27" t="s">
        <v>714</v>
      </c>
      <c r="E27" t="s">
        <v>714</v>
      </c>
      <c r="F27" t="s">
        <v>714</v>
      </c>
      <c r="G27" t="s">
        <v>714</v>
      </c>
      <c r="H27" t="s">
        <v>714</v>
      </c>
      <c r="I27" t="s">
        <v>714</v>
      </c>
      <c r="J27" t="s">
        <v>714</v>
      </c>
      <c r="K27" t="s">
        <v>714</v>
      </c>
      <c r="L27" t="s">
        <v>714</v>
      </c>
      <c r="M27" t="s">
        <v>714</v>
      </c>
      <c r="N27" t="s">
        <v>714</v>
      </c>
      <c r="O27" t="s">
        <v>714</v>
      </c>
    </row>
    <row r="29" spans="1:50" x14ac:dyDescent="0.35">
      <c r="O29" s="84" t="s">
        <v>705</v>
      </c>
    </row>
    <row r="30" spans="1:50" x14ac:dyDescent="0.35">
      <c r="R30" s="83"/>
      <c r="S30" s="83"/>
      <c r="T30" s="83"/>
      <c r="U30" s="83"/>
      <c r="V30" s="83"/>
    </row>
    <row r="31" spans="1:50" x14ac:dyDescent="0.35">
      <c r="O31" t="s">
        <v>472</v>
      </c>
      <c r="P31" t="s">
        <v>472</v>
      </c>
      <c r="Q31" t="s">
        <v>472</v>
      </c>
      <c r="R31" s="83"/>
      <c r="S31" s="83"/>
      <c r="T31" s="83"/>
      <c r="U31" s="83"/>
      <c r="V31" s="83"/>
    </row>
    <row r="32" spans="1:50" x14ac:dyDescent="0.35">
      <c r="O32" t="s">
        <v>591</v>
      </c>
      <c r="P32" t="s">
        <v>591</v>
      </c>
      <c r="Q32" t="s">
        <v>591</v>
      </c>
      <c r="R32" s="83"/>
      <c r="S32" s="83"/>
      <c r="T32" s="83"/>
      <c r="U32" s="83"/>
      <c r="V32" s="83"/>
    </row>
    <row r="33" spans="15:22" x14ac:dyDescent="0.35">
      <c r="O33" t="s">
        <v>708</v>
      </c>
      <c r="P33" t="s">
        <v>708</v>
      </c>
      <c r="Q33" t="s">
        <v>708</v>
      </c>
      <c r="R33" s="83"/>
      <c r="S33" s="83"/>
      <c r="T33" s="83"/>
      <c r="U33" s="83"/>
      <c r="V33" s="83"/>
    </row>
    <row r="35" spans="15:22" x14ac:dyDescent="0.35">
      <c r="O35" s="83" t="s">
        <v>703</v>
      </c>
    </row>
    <row r="37" spans="15:22" x14ac:dyDescent="0.35">
      <c r="O37" s="87" t="s">
        <v>701</v>
      </c>
      <c r="P37" s="87" t="s">
        <v>701</v>
      </c>
      <c r="Q37" s="87" t="s">
        <v>701</v>
      </c>
      <c r="R37" s="87" t="s">
        <v>701</v>
      </c>
      <c r="S37" s="87" t="s">
        <v>701</v>
      </c>
      <c r="T37" s="87" t="s">
        <v>701</v>
      </c>
      <c r="U37" s="87" t="s">
        <v>701</v>
      </c>
      <c r="V37" s="87" t="s">
        <v>701</v>
      </c>
    </row>
    <row r="38" spans="15:22" x14ac:dyDescent="0.35">
      <c r="O38" s="87" t="s">
        <v>702</v>
      </c>
      <c r="P38" s="87" t="s">
        <v>702</v>
      </c>
      <c r="Q38" s="87" t="s">
        <v>702</v>
      </c>
      <c r="R38" s="87" t="s">
        <v>702</v>
      </c>
      <c r="S38" s="87" t="s">
        <v>702</v>
      </c>
      <c r="T38" s="87" t="s">
        <v>702</v>
      </c>
      <c r="U38" s="87" t="s">
        <v>702</v>
      </c>
      <c r="V38" s="87" t="s">
        <v>702</v>
      </c>
    </row>
    <row r="39" spans="15:22" x14ac:dyDescent="0.35">
      <c r="O39" s="87" t="s">
        <v>709</v>
      </c>
      <c r="P39" s="87" t="s">
        <v>709</v>
      </c>
      <c r="Q39" s="87" t="s">
        <v>709</v>
      </c>
      <c r="R39" s="87" t="s">
        <v>709</v>
      </c>
      <c r="S39" s="87" t="s">
        <v>709</v>
      </c>
      <c r="T39" s="87" t="s">
        <v>709</v>
      </c>
      <c r="U39" s="87" t="s">
        <v>709</v>
      </c>
      <c r="V39" s="87" t="s">
        <v>709</v>
      </c>
    </row>
    <row r="41" spans="15:22" x14ac:dyDescent="0.35">
      <c r="P41" s="85" t="s">
        <v>706</v>
      </c>
    </row>
    <row r="43" spans="15:22" x14ac:dyDescent="0.35">
      <c r="P43" t="s">
        <v>682</v>
      </c>
      <c r="Q43" t="s">
        <v>682</v>
      </c>
      <c r="R43" t="s">
        <v>682</v>
      </c>
      <c r="S43" t="s">
        <v>682</v>
      </c>
      <c r="T43" t="s">
        <v>682</v>
      </c>
      <c r="U43" t="s">
        <v>682</v>
      </c>
      <c r="V43" t="s">
        <v>682</v>
      </c>
    </row>
    <row r="44" spans="15:22" x14ac:dyDescent="0.35">
      <c r="P44" t="s">
        <v>682</v>
      </c>
      <c r="Q44" t="s">
        <v>682</v>
      </c>
      <c r="R44" t="s">
        <v>682</v>
      </c>
      <c r="S44" t="s">
        <v>682</v>
      </c>
      <c r="T44" t="s">
        <v>682</v>
      </c>
      <c r="U44" t="s">
        <v>682</v>
      </c>
      <c r="V44" t="s">
        <v>682</v>
      </c>
    </row>
    <row r="45" spans="15:22" x14ac:dyDescent="0.35">
      <c r="P45" t="s">
        <v>682</v>
      </c>
      <c r="Q45" t="s">
        <v>682</v>
      </c>
      <c r="R45" t="s">
        <v>682</v>
      </c>
      <c r="S45" t="s">
        <v>682</v>
      </c>
      <c r="T45" t="s">
        <v>682</v>
      </c>
      <c r="U45" t="s">
        <v>682</v>
      </c>
      <c r="V45" t="s">
        <v>682</v>
      </c>
    </row>
    <row r="46" spans="15:22" x14ac:dyDescent="0.35">
      <c r="P46" t="s">
        <v>682</v>
      </c>
      <c r="Q46" t="s">
        <v>682</v>
      </c>
      <c r="R46" t="s">
        <v>682</v>
      </c>
      <c r="S46" t="s">
        <v>682</v>
      </c>
      <c r="T46" t="s">
        <v>682</v>
      </c>
      <c r="U46" t="s">
        <v>682</v>
      </c>
      <c r="V46" t="s">
        <v>682</v>
      </c>
    </row>
    <row r="47" spans="15:22" x14ac:dyDescent="0.35">
      <c r="P47" t="s">
        <v>682</v>
      </c>
      <c r="Q47" t="s">
        <v>682</v>
      </c>
      <c r="R47" t="s">
        <v>682</v>
      </c>
      <c r="S47" t="s">
        <v>682</v>
      </c>
      <c r="T47" t="s">
        <v>682</v>
      </c>
      <c r="U47" t="s">
        <v>682</v>
      </c>
      <c r="V47" t="s">
        <v>682</v>
      </c>
    </row>
    <row r="48" spans="15:22" x14ac:dyDescent="0.35">
      <c r="P48" t="s">
        <v>682</v>
      </c>
      <c r="Q48" t="s">
        <v>682</v>
      </c>
      <c r="R48" t="s">
        <v>682</v>
      </c>
      <c r="S48" t="s">
        <v>682</v>
      </c>
      <c r="T48" t="s">
        <v>682</v>
      </c>
      <c r="U48" t="s">
        <v>682</v>
      </c>
      <c r="V48" t="s">
        <v>682</v>
      </c>
    </row>
    <row r="50" spans="17:22" x14ac:dyDescent="0.35">
      <c r="Q50" s="86" t="s">
        <v>707</v>
      </c>
    </row>
    <row r="52" spans="17:22" x14ac:dyDescent="0.35">
      <c r="Q52" t="s">
        <v>715</v>
      </c>
      <c r="R52" t="s">
        <v>715</v>
      </c>
      <c r="S52" t="s">
        <v>715</v>
      </c>
      <c r="T52" t="s">
        <v>715</v>
      </c>
      <c r="U52" t="s">
        <v>715</v>
      </c>
      <c r="V52" t="s">
        <v>715</v>
      </c>
    </row>
    <row r="53" spans="17:22" x14ac:dyDescent="0.35">
      <c r="Q53" t="s">
        <v>715</v>
      </c>
      <c r="R53" t="s">
        <v>715</v>
      </c>
      <c r="S53" t="s">
        <v>715</v>
      </c>
      <c r="T53" t="s">
        <v>715</v>
      </c>
      <c r="U53" t="s">
        <v>715</v>
      </c>
      <c r="V53" t="s">
        <v>715</v>
      </c>
    </row>
    <row r="54" spans="17:22" x14ac:dyDescent="0.35">
      <c r="Q54" t="s">
        <v>715</v>
      </c>
      <c r="R54" t="s">
        <v>715</v>
      </c>
      <c r="S54" t="s">
        <v>715</v>
      </c>
      <c r="T54" t="s">
        <v>715</v>
      </c>
      <c r="U54" t="s">
        <v>715</v>
      </c>
      <c r="V54" t="s">
        <v>715</v>
      </c>
    </row>
    <row r="56" spans="17:22" x14ac:dyDescent="0.35">
      <c r="Q56" s="38" t="s">
        <v>704</v>
      </c>
    </row>
    <row r="57" spans="17:22" x14ac:dyDescent="0.35">
      <c r="T57" s="83"/>
      <c r="U57" s="83"/>
      <c r="V57" s="83"/>
    </row>
    <row r="58" spans="17:22" x14ac:dyDescent="0.35">
      <c r="Q58" t="s">
        <v>684</v>
      </c>
      <c r="R58" t="s">
        <v>684</v>
      </c>
      <c r="T58" s="83"/>
      <c r="U58" s="83"/>
      <c r="V58" s="83"/>
    </row>
    <row r="59" spans="17:22" x14ac:dyDescent="0.35">
      <c r="Q59" t="s">
        <v>716</v>
      </c>
      <c r="R59" t="s">
        <v>716</v>
      </c>
      <c r="S59" t="s">
        <v>716</v>
      </c>
      <c r="T59" s="83"/>
      <c r="U59" s="83"/>
      <c r="V59" s="83"/>
    </row>
  </sheetData>
  <mergeCells count="2">
    <mergeCell ref="A1:AE1"/>
    <mergeCell ref="AM3:AR3"/>
  </mergeCells>
  <conditionalFormatting sqref="B6:B11 C7:D8 D10:D11">
    <cfRule type="colorScale" priority="1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7:B20 D16:G16 J16:V16 AF16">
    <cfRule type="colorScale" priority="2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5:C16 C17:C19">
    <cfRule type="colorScale" priority="2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21:D21">
    <cfRule type="colorScale" priority="1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22:D22">
    <cfRule type="colorScale" priority="1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C9">
    <cfRule type="colorScale" priority="1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C10">
    <cfRule type="colorScale" priority="1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C11">
    <cfRule type="colorScale" priority="1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C20:G20 O20:AF20">
    <cfRule type="colorScale" priority="2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C6:AF6">
    <cfRule type="colorScale" priority="18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D18">
    <cfRule type="colorScale" priority="9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D9:G9 E7:G8 E10:G11 B5:AF5 H7:AF11">
    <cfRule type="colorScale" priority="3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D15:G15 J15:AF15">
    <cfRule type="colorScale" priority="28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D17:G17 J17:AF17 W18:AE18">
    <cfRule type="colorScale" priority="29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D19:G19 J19:N19 V19:X19 Z19:AF19">
    <cfRule type="colorScale" priority="30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E18:G18 J18:V18 AF18">
    <cfRule type="colorScale" priority="3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E21:G21 V22:X22 J21:AF21">
    <cfRule type="colorScale" priority="3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E22:G22 J22:U22 Y22:AF22">
    <cfRule type="colorScale" priority="3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H15:H22">
    <cfRule type="colorScale" priority="10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I15:I22">
    <cfRule type="colorScale" priority="1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J20:N20">
    <cfRule type="colorScale" priority="8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L13:U14 B13:I14 X13:AH14">
    <cfRule type="colorScale" priority="3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O19:U19">
    <cfRule type="colorScale" priority="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O37:V37">
    <cfRule type="colorScale" priority="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O38:V39">
    <cfRule type="colorScale" priority="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W16:AE16">
    <cfRule type="colorScale" priority="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Y19">
    <cfRule type="colorScale" priority="1">
      <colorScale>
        <cfvo type="num" val="1"/>
        <cfvo type="max"/>
        <color theme="4" tint="0.59999389629810485"/>
        <color theme="5" tint="0.59999389629810485"/>
      </colorScale>
    </cfRule>
  </conditionalFormatting>
  <pageMargins left="0.2" right="0.45" top="0.75" bottom="0.75" header="0.3" footer="0.3"/>
  <pageSetup scale="9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44FFE-C848-488E-8401-FFF3EBD61500}">
  <dimension ref="A1:AW37"/>
  <sheetViews>
    <sheetView zoomScale="86" zoomScaleNormal="86" workbookViewId="0">
      <pane xSplit="1" ySplit="4" topLeftCell="Q8" activePane="bottomRight" state="frozen"/>
      <selection pane="topRight" activeCell="B1" sqref="B1"/>
      <selection pane="bottomLeft" activeCell="A5" sqref="A5"/>
      <selection pane="bottomRight" activeCell="Y26" sqref="Y26"/>
    </sheetView>
  </sheetViews>
  <sheetFormatPr defaultRowHeight="14.5" x14ac:dyDescent="0.35"/>
  <cols>
    <col min="1" max="1" width="43.7265625" bestFit="1" customWidth="1"/>
    <col min="2" max="4" width="16.7265625" hidden="1" customWidth="1"/>
    <col min="5" max="6" width="15.81640625" bestFit="1" customWidth="1"/>
    <col min="7" max="7" width="14.81640625" bestFit="1" customWidth="1"/>
    <col min="8" max="8" width="13.453125" customWidth="1"/>
    <col min="9" max="9" width="14.81640625" bestFit="1" customWidth="1"/>
    <col min="10" max="10" width="14.1796875" bestFit="1" customWidth="1"/>
    <col min="11" max="13" width="10.1796875" bestFit="1" customWidth="1"/>
    <col min="14" max="15" width="11.453125" bestFit="1" customWidth="1"/>
    <col min="16" max="16" width="11.81640625" bestFit="1" customWidth="1"/>
    <col min="17" max="18" width="12" bestFit="1" customWidth="1"/>
    <col min="19" max="21" width="11.81640625" bestFit="1" customWidth="1"/>
    <col min="22" max="22" width="14.1796875" bestFit="1" customWidth="1"/>
    <col min="23" max="23" width="16.81640625" bestFit="1" customWidth="1"/>
    <col min="24" max="25" width="12.81640625" bestFit="1" customWidth="1"/>
    <col min="26" max="30" width="10.54296875" bestFit="1" customWidth="1"/>
    <col min="31" max="31" width="10.453125" customWidth="1"/>
    <col min="32" max="32" width="4.7265625" bestFit="1" customWidth="1"/>
    <col min="33" max="33" width="8.453125" bestFit="1" customWidth="1"/>
    <col min="34" max="34" width="8" bestFit="1" customWidth="1"/>
    <col min="35" max="35" width="8.453125" customWidth="1"/>
    <col min="36" max="36" width="0" hidden="1" customWidth="1"/>
    <col min="37" max="37" width="3" hidden="1" customWidth="1"/>
    <col min="38" max="38" width="17.81640625" bestFit="1" customWidth="1"/>
    <col min="39" max="39" width="9.1796875" bestFit="1" customWidth="1"/>
    <col min="40" max="40" width="9.81640625" bestFit="1" customWidth="1"/>
    <col min="41" max="41" width="10.81640625" bestFit="1" customWidth="1"/>
    <col min="42" max="42" width="10.1796875" bestFit="1" customWidth="1"/>
    <col min="43" max="43" width="23.1796875" bestFit="1" customWidth="1"/>
    <col min="44" max="44" width="0.453125" hidden="1" customWidth="1"/>
    <col min="45" max="48" width="0" hidden="1" customWidth="1"/>
    <col min="50" max="50" width="15" bestFit="1" customWidth="1"/>
  </cols>
  <sheetData>
    <row r="1" spans="1:43" ht="15.5" x14ac:dyDescent="0.35">
      <c r="A1" s="120" t="s">
        <v>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</row>
    <row r="2" spans="1:43" ht="15" thickBot="1" x14ac:dyDescent="0.4"/>
    <row r="3" spans="1:43" ht="45.75" customHeight="1" x14ac:dyDescent="0.35">
      <c r="A3" s="1" t="s">
        <v>1</v>
      </c>
      <c r="B3" s="2">
        <f>AH4</f>
        <v>45597</v>
      </c>
      <c r="C3" s="2">
        <f t="shared" ref="C3:AE3" si="0">B3+1</f>
        <v>45598</v>
      </c>
      <c r="D3" s="2">
        <f t="shared" si="0"/>
        <v>45599</v>
      </c>
      <c r="E3" s="2">
        <f t="shared" si="0"/>
        <v>45600</v>
      </c>
      <c r="F3" s="2">
        <f t="shared" si="0"/>
        <v>45601</v>
      </c>
      <c r="G3" s="2">
        <f t="shared" si="0"/>
        <v>45602</v>
      </c>
      <c r="H3" s="2">
        <f t="shared" si="0"/>
        <v>45603</v>
      </c>
      <c r="I3" s="2">
        <f>H3+1</f>
        <v>45604</v>
      </c>
      <c r="J3" s="2">
        <f t="shared" si="0"/>
        <v>45605</v>
      </c>
      <c r="K3" s="2">
        <f t="shared" si="0"/>
        <v>45606</v>
      </c>
      <c r="L3" s="2">
        <f t="shared" si="0"/>
        <v>45607</v>
      </c>
      <c r="M3" s="2">
        <f t="shared" si="0"/>
        <v>45608</v>
      </c>
      <c r="N3" s="2">
        <f t="shared" si="0"/>
        <v>45609</v>
      </c>
      <c r="O3" s="2">
        <f t="shared" si="0"/>
        <v>45610</v>
      </c>
      <c r="P3" s="2">
        <f t="shared" si="0"/>
        <v>45611</v>
      </c>
      <c r="Q3" s="2">
        <f t="shared" si="0"/>
        <v>45612</v>
      </c>
      <c r="R3" s="2">
        <f t="shared" si="0"/>
        <v>45613</v>
      </c>
      <c r="S3" s="2">
        <f t="shared" si="0"/>
        <v>45614</v>
      </c>
      <c r="T3" s="2">
        <f t="shared" si="0"/>
        <v>45615</v>
      </c>
      <c r="U3" s="2">
        <f t="shared" si="0"/>
        <v>45616</v>
      </c>
      <c r="V3" s="2">
        <f t="shared" si="0"/>
        <v>45617</v>
      </c>
      <c r="W3" s="2">
        <f t="shared" si="0"/>
        <v>45618</v>
      </c>
      <c r="X3" s="2">
        <f t="shared" si="0"/>
        <v>45619</v>
      </c>
      <c r="Y3" s="2">
        <f t="shared" si="0"/>
        <v>45620</v>
      </c>
      <c r="Z3" s="2">
        <f t="shared" si="0"/>
        <v>45621</v>
      </c>
      <c r="AA3" s="2">
        <f t="shared" si="0"/>
        <v>45622</v>
      </c>
      <c r="AB3" s="2">
        <f t="shared" si="0"/>
        <v>45623</v>
      </c>
      <c r="AC3" s="2">
        <f t="shared" si="0"/>
        <v>45624</v>
      </c>
      <c r="AD3" s="2">
        <f t="shared" si="0"/>
        <v>45625</v>
      </c>
      <c r="AE3" s="2">
        <f t="shared" si="0"/>
        <v>45626</v>
      </c>
      <c r="AF3" s="36"/>
      <c r="AG3" s="36"/>
      <c r="AL3" s="122" t="s">
        <v>267</v>
      </c>
      <c r="AM3" s="123"/>
      <c r="AN3" s="123"/>
      <c r="AO3" s="123"/>
      <c r="AP3" s="123"/>
      <c r="AQ3" s="124"/>
    </row>
    <row r="4" spans="1:43" ht="31.5" customHeight="1" x14ac:dyDescent="0.35">
      <c r="A4" s="3" t="s">
        <v>2</v>
      </c>
      <c r="B4" s="4">
        <f t="shared" ref="B4:AE4" si="1">B3</f>
        <v>45597</v>
      </c>
      <c r="C4" s="4">
        <f t="shared" si="1"/>
        <v>45598</v>
      </c>
      <c r="D4" s="4">
        <f t="shared" si="1"/>
        <v>45599</v>
      </c>
      <c r="E4" s="4">
        <f t="shared" si="1"/>
        <v>45600</v>
      </c>
      <c r="F4" s="4">
        <f t="shared" si="1"/>
        <v>45601</v>
      </c>
      <c r="G4" s="4">
        <f t="shared" si="1"/>
        <v>45602</v>
      </c>
      <c r="H4" s="4">
        <f t="shared" si="1"/>
        <v>45603</v>
      </c>
      <c r="I4" s="4">
        <f t="shared" si="1"/>
        <v>45604</v>
      </c>
      <c r="J4" s="4">
        <f t="shared" si="1"/>
        <v>45605</v>
      </c>
      <c r="K4" s="4">
        <f t="shared" si="1"/>
        <v>45606</v>
      </c>
      <c r="L4" s="4">
        <f t="shared" si="1"/>
        <v>45607</v>
      </c>
      <c r="M4" s="4">
        <f t="shared" si="1"/>
        <v>45608</v>
      </c>
      <c r="N4" s="4">
        <f t="shared" si="1"/>
        <v>45609</v>
      </c>
      <c r="O4" s="4">
        <f t="shared" si="1"/>
        <v>45610</v>
      </c>
      <c r="P4" s="4">
        <f t="shared" si="1"/>
        <v>45611</v>
      </c>
      <c r="Q4" s="4">
        <f t="shared" si="1"/>
        <v>45612</v>
      </c>
      <c r="R4" s="4">
        <f t="shared" si="1"/>
        <v>45613</v>
      </c>
      <c r="S4" s="4">
        <f t="shared" si="1"/>
        <v>45614</v>
      </c>
      <c r="T4" s="4">
        <f t="shared" si="1"/>
        <v>45615</v>
      </c>
      <c r="U4" s="4">
        <f t="shared" si="1"/>
        <v>45616</v>
      </c>
      <c r="V4" s="4">
        <f t="shared" si="1"/>
        <v>45617</v>
      </c>
      <c r="W4" s="4">
        <f t="shared" si="1"/>
        <v>45618</v>
      </c>
      <c r="X4" s="4">
        <f t="shared" si="1"/>
        <v>45619</v>
      </c>
      <c r="Y4" s="4">
        <f t="shared" si="1"/>
        <v>45620</v>
      </c>
      <c r="Z4" s="4">
        <f t="shared" si="1"/>
        <v>45621</v>
      </c>
      <c r="AA4" s="4">
        <f t="shared" si="1"/>
        <v>45622</v>
      </c>
      <c r="AB4" s="4">
        <f t="shared" si="1"/>
        <v>45623</v>
      </c>
      <c r="AC4" s="4">
        <f t="shared" si="1"/>
        <v>45624</v>
      </c>
      <c r="AD4" s="4">
        <f t="shared" si="1"/>
        <v>45625</v>
      </c>
      <c r="AE4" s="4">
        <f t="shared" si="1"/>
        <v>45626</v>
      </c>
      <c r="AF4" s="39" t="s">
        <v>174</v>
      </c>
      <c r="AG4" s="40" t="s">
        <v>175</v>
      </c>
      <c r="AH4" s="5">
        <v>45597</v>
      </c>
      <c r="AI4" s="6">
        <f>EOMONTH(AH4,0)</f>
        <v>45626</v>
      </c>
      <c r="AL4" s="19" t="s">
        <v>54</v>
      </c>
      <c r="AM4" s="19" t="s">
        <v>269</v>
      </c>
      <c r="AN4" s="19" t="s">
        <v>55</v>
      </c>
      <c r="AO4" s="19" t="s">
        <v>56</v>
      </c>
      <c r="AP4" s="19" t="s">
        <v>251</v>
      </c>
      <c r="AQ4" s="19" t="s">
        <v>57</v>
      </c>
    </row>
    <row r="5" spans="1:43" x14ac:dyDescent="0.35">
      <c r="A5" s="7" t="s">
        <v>3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41">
        <f t="shared" ref="AF5:AF11" si="2">COUNTA(B5:AE5)</f>
        <v>0</v>
      </c>
      <c r="AG5" s="42">
        <f>AF5*100/30</f>
        <v>0</v>
      </c>
      <c r="AL5" s="20"/>
      <c r="AM5" s="56"/>
      <c r="AN5" s="56"/>
      <c r="AO5" s="56"/>
      <c r="AP5" s="57"/>
      <c r="AQ5" s="20"/>
    </row>
    <row r="6" spans="1:43" x14ac:dyDescent="0.35">
      <c r="A6" s="7" t="s">
        <v>7</v>
      </c>
      <c r="B6" s="55" t="s">
        <v>656</v>
      </c>
      <c r="C6" s="55" t="s">
        <v>656</v>
      </c>
      <c r="D6" s="55" t="s">
        <v>656</v>
      </c>
      <c r="E6" s="55" t="s">
        <v>656</v>
      </c>
      <c r="F6" s="55" t="s">
        <v>656</v>
      </c>
      <c r="G6" s="55" t="s">
        <v>656</v>
      </c>
      <c r="H6" s="55" t="s">
        <v>656</v>
      </c>
      <c r="I6" s="55" t="s">
        <v>656</v>
      </c>
      <c r="J6" s="55" t="s">
        <v>656</v>
      </c>
      <c r="K6" s="55" t="s">
        <v>656</v>
      </c>
      <c r="L6" s="55" t="s">
        <v>656</v>
      </c>
      <c r="M6" s="55" t="s">
        <v>656</v>
      </c>
      <c r="N6" s="55" t="s">
        <v>656</v>
      </c>
      <c r="O6" s="55" t="s">
        <v>656</v>
      </c>
      <c r="P6" s="55" t="s">
        <v>656</v>
      </c>
      <c r="Q6" s="55" t="s">
        <v>656</v>
      </c>
      <c r="R6" s="55" t="s">
        <v>656</v>
      </c>
      <c r="S6" s="55" t="s">
        <v>656</v>
      </c>
      <c r="T6" s="55" t="s">
        <v>656</v>
      </c>
      <c r="U6" s="55" t="s">
        <v>656</v>
      </c>
      <c r="V6" s="55" t="s">
        <v>656</v>
      </c>
      <c r="W6" s="55" t="s">
        <v>656</v>
      </c>
      <c r="X6" s="55" t="s">
        <v>656</v>
      </c>
      <c r="Y6" s="55" t="s">
        <v>656</v>
      </c>
      <c r="Z6" s="55" t="s">
        <v>656</v>
      </c>
      <c r="AA6" s="55" t="s">
        <v>656</v>
      </c>
      <c r="AB6" s="55" t="s">
        <v>656</v>
      </c>
      <c r="AC6" s="55" t="s">
        <v>656</v>
      </c>
      <c r="AD6" s="55" t="s">
        <v>656</v>
      </c>
      <c r="AE6" s="55" t="s">
        <v>656</v>
      </c>
      <c r="AF6" s="41">
        <f t="shared" si="2"/>
        <v>30</v>
      </c>
      <c r="AG6" s="42">
        <f t="shared" ref="AG6:AG11" si="3">AF6*100/30</f>
        <v>100</v>
      </c>
      <c r="AL6" s="20"/>
      <c r="AM6" s="56"/>
      <c r="AN6" s="56"/>
      <c r="AO6" s="56"/>
      <c r="AP6" s="57"/>
      <c r="AQ6" s="20"/>
    </row>
    <row r="7" spans="1:43" x14ac:dyDescent="0.35">
      <c r="A7" s="7" t="s">
        <v>11</v>
      </c>
      <c r="B7" s="55"/>
      <c r="C7" s="55"/>
      <c r="D7" s="55"/>
      <c r="E7" s="55" t="s">
        <v>728</v>
      </c>
      <c r="F7" s="55"/>
      <c r="G7" s="55"/>
      <c r="H7" s="55"/>
      <c r="I7" s="55"/>
      <c r="J7" s="55" t="s">
        <v>471</v>
      </c>
      <c r="K7" s="55" t="s">
        <v>471</v>
      </c>
      <c r="L7" s="55" t="s">
        <v>471</v>
      </c>
      <c r="M7" s="55" t="s">
        <v>471</v>
      </c>
      <c r="N7" s="55" t="s">
        <v>471</v>
      </c>
      <c r="O7" s="55" t="s">
        <v>471</v>
      </c>
      <c r="P7" s="55" t="s">
        <v>471</v>
      </c>
      <c r="Q7" s="55" t="s">
        <v>471</v>
      </c>
      <c r="R7" s="55" t="s">
        <v>738</v>
      </c>
      <c r="S7" s="55" t="s">
        <v>738</v>
      </c>
      <c r="T7" s="55" t="s">
        <v>738</v>
      </c>
      <c r="U7" s="55" t="s">
        <v>738</v>
      </c>
      <c r="V7" s="55" t="s">
        <v>738</v>
      </c>
      <c r="W7" s="55" t="s">
        <v>738</v>
      </c>
      <c r="X7" s="55" t="s">
        <v>738</v>
      </c>
      <c r="Y7" s="55" t="s">
        <v>738</v>
      </c>
      <c r="Z7" s="55" t="s">
        <v>738</v>
      </c>
      <c r="AA7" s="55" t="s">
        <v>738</v>
      </c>
      <c r="AB7" s="55" t="s">
        <v>738</v>
      </c>
      <c r="AC7" s="55" t="s">
        <v>738</v>
      </c>
      <c r="AD7" s="55"/>
      <c r="AE7" s="55"/>
      <c r="AF7" s="41">
        <f t="shared" si="2"/>
        <v>21</v>
      </c>
      <c r="AG7" s="42">
        <f t="shared" si="3"/>
        <v>70</v>
      </c>
      <c r="AL7" s="20"/>
      <c r="AM7" s="56"/>
      <c r="AN7" s="56"/>
      <c r="AO7" s="56"/>
      <c r="AP7" s="57"/>
      <c r="AQ7" s="20"/>
    </row>
    <row r="8" spans="1:43" ht="15" customHeight="1" x14ac:dyDescent="0.35">
      <c r="A8" s="7" t="s">
        <v>15</v>
      </c>
      <c r="B8" s="55"/>
      <c r="C8" s="55"/>
      <c r="D8" s="55"/>
      <c r="E8" s="55"/>
      <c r="F8" s="55"/>
      <c r="G8" s="55"/>
      <c r="H8" s="55" t="s">
        <v>669</v>
      </c>
      <c r="I8" s="55" t="s">
        <v>669</v>
      </c>
      <c r="J8" s="55" t="s">
        <v>669</v>
      </c>
      <c r="K8" s="55" t="s">
        <v>669</v>
      </c>
      <c r="L8" s="55" t="s">
        <v>669</v>
      </c>
      <c r="M8" s="55" t="s">
        <v>669</v>
      </c>
      <c r="N8" s="55" t="s">
        <v>669</v>
      </c>
      <c r="O8" s="55" t="s">
        <v>669</v>
      </c>
      <c r="P8" s="55" t="s">
        <v>669</v>
      </c>
      <c r="Q8" s="55" t="s">
        <v>669</v>
      </c>
      <c r="R8" s="55" t="s">
        <v>737</v>
      </c>
      <c r="S8" s="55" t="s">
        <v>737</v>
      </c>
      <c r="T8" s="55" t="s">
        <v>737</v>
      </c>
      <c r="U8" s="55" t="s">
        <v>737</v>
      </c>
      <c r="V8" s="55" t="s">
        <v>737</v>
      </c>
      <c r="W8" s="55" t="s">
        <v>737</v>
      </c>
      <c r="X8" s="55" t="s">
        <v>737</v>
      </c>
      <c r="Y8" s="55" t="s">
        <v>737</v>
      </c>
      <c r="Z8" s="55" t="s">
        <v>737</v>
      </c>
      <c r="AA8" s="55" t="s">
        <v>737</v>
      </c>
      <c r="AB8" s="55" t="s">
        <v>737</v>
      </c>
      <c r="AC8" s="55" t="s">
        <v>737</v>
      </c>
      <c r="AD8" s="55"/>
      <c r="AE8" s="55"/>
      <c r="AF8" s="41">
        <f t="shared" si="2"/>
        <v>22</v>
      </c>
      <c r="AG8" s="42">
        <f t="shared" si="3"/>
        <v>73.333333333333329</v>
      </c>
      <c r="AJ8" s="9"/>
      <c r="AL8" s="20"/>
      <c r="AM8" s="56"/>
      <c r="AN8" s="56"/>
      <c r="AO8" s="56"/>
      <c r="AP8" s="57"/>
      <c r="AQ8" s="20"/>
    </row>
    <row r="9" spans="1:43" ht="15.75" customHeight="1" x14ac:dyDescent="0.35">
      <c r="A9" s="7" t="s">
        <v>18</v>
      </c>
      <c r="B9" s="55"/>
      <c r="C9" s="55"/>
      <c r="D9" s="55"/>
      <c r="E9" s="55" t="s">
        <v>575</v>
      </c>
      <c r="F9" s="55" t="s">
        <v>575</v>
      </c>
      <c r="G9" s="55" t="s">
        <v>575</v>
      </c>
      <c r="H9" s="55" t="s">
        <v>575</v>
      </c>
      <c r="I9" s="55" t="s">
        <v>575</v>
      </c>
      <c r="J9" s="8" t="s">
        <v>669</v>
      </c>
      <c r="K9" s="8" t="s">
        <v>669</v>
      </c>
      <c r="L9" s="8" t="s">
        <v>669</v>
      </c>
      <c r="M9" s="8" t="s">
        <v>669</v>
      </c>
      <c r="N9" s="8" t="s">
        <v>669</v>
      </c>
      <c r="O9" s="8" t="s">
        <v>669</v>
      </c>
      <c r="P9" s="8" t="s">
        <v>669</v>
      </c>
      <c r="Q9" s="8" t="s">
        <v>669</v>
      </c>
      <c r="R9" s="8" t="s">
        <v>669</v>
      </c>
      <c r="S9" s="8" t="s">
        <v>669</v>
      </c>
      <c r="T9" s="8" t="s">
        <v>669</v>
      </c>
      <c r="U9" s="8" t="s">
        <v>669</v>
      </c>
      <c r="V9" s="8" t="s">
        <v>669</v>
      </c>
      <c r="W9" s="8" t="s">
        <v>669</v>
      </c>
      <c r="X9" s="8" t="s">
        <v>669</v>
      </c>
      <c r="Y9" s="8" t="s">
        <v>669</v>
      </c>
      <c r="Z9" s="8" t="s">
        <v>669</v>
      </c>
      <c r="AA9" s="8" t="s">
        <v>669</v>
      </c>
      <c r="AB9" s="8" t="s">
        <v>669</v>
      </c>
      <c r="AC9" s="8" t="s">
        <v>669</v>
      </c>
      <c r="AD9" s="8" t="s">
        <v>669</v>
      </c>
      <c r="AE9" s="8" t="s">
        <v>669</v>
      </c>
      <c r="AF9" s="41">
        <f t="shared" si="2"/>
        <v>27</v>
      </c>
      <c r="AG9" s="42">
        <f t="shared" si="3"/>
        <v>90</v>
      </c>
      <c r="AL9" s="20"/>
      <c r="AM9" s="56"/>
      <c r="AN9" s="56"/>
      <c r="AO9" s="56"/>
      <c r="AP9" s="57"/>
      <c r="AQ9" s="20"/>
    </row>
    <row r="10" spans="1:43" ht="15.75" customHeight="1" x14ac:dyDescent="0.35">
      <c r="A10" s="7" t="s">
        <v>20</v>
      </c>
      <c r="B10" s="55"/>
      <c r="C10" s="55"/>
      <c r="D10" s="55"/>
      <c r="E10" s="55" t="s">
        <v>578</v>
      </c>
      <c r="F10" s="55" t="s">
        <v>578</v>
      </c>
      <c r="G10" s="55" t="s">
        <v>578</v>
      </c>
      <c r="H10" s="55" t="s">
        <v>578</v>
      </c>
      <c r="I10" s="55" t="s">
        <v>578</v>
      </c>
      <c r="J10" s="8" t="s">
        <v>669</v>
      </c>
      <c r="K10" s="8" t="s">
        <v>669</v>
      </c>
      <c r="L10" s="8" t="s">
        <v>669</v>
      </c>
      <c r="M10" s="8" t="s">
        <v>669</v>
      </c>
      <c r="N10" s="8" t="s">
        <v>669</v>
      </c>
      <c r="O10" s="8" t="s">
        <v>669</v>
      </c>
      <c r="P10" s="8" t="s">
        <v>669</v>
      </c>
      <c r="Q10" s="8" t="s">
        <v>669</v>
      </c>
      <c r="R10" s="8" t="s">
        <v>669</v>
      </c>
      <c r="S10" s="8" t="s">
        <v>669</v>
      </c>
      <c r="T10" s="8" t="s">
        <v>669</v>
      </c>
      <c r="U10" s="8" t="s">
        <v>669</v>
      </c>
      <c r="V10" s="8" t="s">
        <v>669</v>
      </c>
      <c r="W10" s="8" t="s">
        <v>669</v>
      </c>
      <c r="X10" s="8" t="s">
        <v>669</v>
      </c>
      <c r="Y10" s="8" t="s">
        <v>669</v>
      </c>
      <c r="Z10" s="8" t="s">
        <v>669</v>
      </c>
      <c r="AA10" s="8" t="s">
        <v>669</v>
      </c>
      <c r="AB10" s="8" t="s">
        <v>669</v>
      </c>
      <c r="AC10" s="8" t="s">
        <v>669</v>
      </c>
      <c r="AD10" s="8" t="s">
        <v>669</v>
      </c>
      <c r="AE10" s="8" t="s">
        <v>669</v>
      </c>
      <c r="AF10" s="41">
        <f t="shared" si="2"/>
        <v>27</v>
      </c>
      <c r="AG10" s="42">
        <f t="shared" si="3"/>
        <v>90</v>
      </c>
      <c r="AL10" s="20"/>
      <c r="AM10" s="56"/>
      <c r="AN10" s="56"/>
      <c r="AO10" s="56"/>
      <c r="AP10" s="57"/>
      <c r="AQ10" s="20"/>
    </row>
    <row r="11" spans="1:43" ht="15.75" customHeight="1" thickBot="1" x14ac:dyDescent="0.4">
      <c r="A11" s="7" t="s">
        <v>24</v>
      </c>
      <c r="B11" s="55" t="s">
        <v>717</v>
      </c>
      <c r="C11" s="55" t="s">
        <v>717</v>
      </c>
      <c r="D11" s="55" t="s">
        <v>717</v>
      </c>
      <c r="E11" s="55" t="s">
        <v>717</v>
      </c>
      <c r="F11" s="55" t="s">
        <v>717</v>
      </c>
      <c r="G11" s="55" t="s">
        <v>717</v>
      </c>
      <c r="H11" s="55" t="s">
        <v>717</v>
      </c>
      <c r="I11" s="55" t="s">
        <v>717</v>
      </c>
      <c r="J11" s="55" t="s">
        <v>717</v>
      </c>
      <c r="K11" s="55" t="s">
        <v>717</v>
      </c>
      <c r="L11" s="55" t="s">
        <v>717</v>
      </c>
      <c r="M11" s="55" t="s">
        <v>717</v>
      </c>
      <c r="N11" s="55" t="s">
        <v>717</v>
      </c>
      <c r="O11" s="55" t="s">
        <v>717</v>
      </c>
      <c r="P11" s="55" t="s">
        <v>717</v>
      </c>
      <c r="Q11" s="55" t="s">
        <v>717</v>
      </c>
      <c r="R11" s="55" t="s">
        <v>717</v>
      </c>
      <c r="S11" s="55" t="s">
        <v>717</v>
      </c>
      <c r="T11" s="55" t="s">
        <v>717</v>
      </c>
      <c r="U11" s="55" t="s">
        <v>717</v>
      </c>
      <c r="V11" s="55" t="s">
        <v>717</v>
      </c>
      <c r="W11" s="55" t="s">
        <v>717</v>
      </c>
      <c r="X11" s="55" t="s">
        <v>717</v>
      </c>
      <c r="Y11" s="55" t="s">
        <v>717</v>
      </c>
      <c r="Z11" s="55" t="s">
        <v>717</v>
      </c>
      <c r="AA11" s="55" t="s">
        <v>717</v>
      </c>
      <c r="AB11" s="55" t="s">
        <v>717</v>
      </c>
      <c r="AC11" s="55" t="s">
        <v>717</v>
      </c>
      <c r="AD11" s="55" t="s">
        <v>717</v>
      </c>
      <c r="AE11" s="55" t="s">
        <v>717</v>
      </c>
      <c r="AF11" s="41">
        <f t="shared" si="2"/>
        <v>30</v>
      </c>
      <c r="AG11" s="42">
        <f t="shared" si="3"/>
        <v>100</v>
      </c>
      <c r="AL11" s="20"/>
      <c r="AM11" s="20"/>
      <c r="AN11" s="20"/>
      <c r="AO11" s="20"/>
      <c r="AP11" s="20"/>
      <c r="AQ11" s="20"/>
    </row>
    <row r="12" spans="1:43" ht="15" customHeight="1" x14ac:dyDescent="0.35">
      <c r="A12" s="45" t="s">
        <v>176</v>
      </c>
      <c r="B12" s="46">
        <f>COUNTA(B5:B11)</f>
        <v>2</v>
      </c>
      <c r="C12" s="46">
        <f>COUNTA(C5:C11)</f>
        <v>2</v>
      </c>
      <c r="D12" s="46">
        <f t="shared" ref="D12:AB12" si="4">COUNTA(D5:D11)</f>
        <v>2</v>
      </c>
      <c r="E12" s="46">
        <f t="shared" si="4"/>
        <v>5</v>
      </c>
      <c r="F12" s="46">
        <f t="shared" si="4"/>
        <v>4</v>
      </c>
      <c r="G12" s="46">
        <f t="shared" si="4"/>
        <v>4</v>
      </c>
      <c r="H12" s="46">
        <f t="shared" si="4"/>
        <v>5</v>
      </c>
      <c r="I12" s="46">
        <f t="shared" si="4"/>
        <v>5</v>
      </c>
      <c r="J12" s="46">
        <f t="shared" si="4"/>
        <v>6</v>
      </c>
      <c r="K12" s="46">
        <f t="shared" si="4"/>
        <v>6</v>
      </c>
      <c r="L12" s="46">
        <f t="shared" si="4"/>
        <v>6</v>
      </c>
      <c r="M12" s="46">
        <f t="shared" si="4"/>
        <v>6</v>
      </c>
      <c r="N12" s="46">
        <f t="shared" si="4"/>
        <v>6</v>
      </c>
      <c r="O12" s="46">
        <f t="shared" si="4"/>
        <v>6</v>
      </c>
      <c r="P12" s="46">
        <f t="shared" si="4"/>
        <v>6</v>
      </c>
      <c r="Q12" s="46">
        <f t="shared" si="4"/>
        <v>6</v>
      </c>
      <c r="R12" s="46">
        <f t="shared" si="4"/>
        <v>6</v>
      </c>
      <c r="S12" s="46">
        <f t="shared" si="4"/>
        <v>6</v>
      </c>
      <c r="T12" s="46">
        <f t="shared" si="4"/>
        <v>6</v>
      </c>
      <c r="U12" s="46">
        <f t="shared" si="4"/>
        <v>6</v>
      </c>
      <c r="V12" s="46">
        <f t="shared" si="4"/>
        <v>6</v>
      </c>
      <c r="W12" s="46">
        <f t="shared" si="4"/>
        <v>6</v>
      </c>
      <c r="X12" s="46">
        <f t="shared" si="4"/>
        <v>6</v>
      </c>
      <c r="Y12" s="46">
        <f t="shared" si="4"/>
        <v>6</v>
      </c>
      <c r="Z12" s="46">
        <f t="shared" si="4"/>
        <v>6</v>
      </c>
      <c r="AA12" s="46">
        <f t="shared" si="4"/>
        <v>6</v>
      </c>
      <c r="AB12" s="46">
        <f t="shared" si="4"/>
        <v>6</v>
      </c>
      <c r="AC12" s="46">
        <f>COUNTA(AC5:AC11)</f>
        <v>6</v>
      </c>
      <c r="AD12" s="46">
        <f>COUNTA(AD5:AD11)</f>
        <v>4</v>
      </c>
      <c r="AE12" s="46">
        <f>COUNTA(AE5:AE11)</f>
        <v>4</v>
      </c>
      <c r="AF12" s="43">
        <f t="shared" ref="AF12" si="5">SUM(AF5:AF11)</f>
        <v>157</v>
      </c>
      <c r="AG12" s="44">
        <f>AVERAGE(AG5:AG11)</f>
        <v>74.761904761904745</v>
      </c>
      <c r="AH12" s="29"/>
      <c r="AL12" s="20"/>
      <c r="AM12" s="20"/>
      <c r="AN12" s="20"/>
      <c r="AO12" s="20"/>
      <c r="AP12" s="20"/>
      <c r="AQ12" s="20"/>
    </row>
    <row r="13" spans="1:43" ht="57" hidden="1" x14ac:dyDescent="0.35">
      <c r="A13" s="13" t="s">
        <v>28</v>
      </c>
      <c r="B13" s="14"/>
      <c r="C13" s="14"/>
      <c r="D13" s="14"/>
      <c r="E13" s="14"/>
      <c r="F13" s="14"/>
      <c r="G13" s="14"/>
      <c r="H13" s="14"/>
      <c r="I13" s="35"/>
      <c r="J13" s="34"/>
      <c r="K13" s="15"/>
      <c r="L13" s="14"/>
      <c r="M13" s="14"/>
      <c r="N13" s="25"/>
      <c r="O13" s="25"/>
      <c r="P13" s="25"/>
      <c r="Q13" s="14"/>
      <c r="R13" s="14"/>
      <c r="S13" s="14"/>
      <c r="T13" s="14"/>
      <c r="U13" s="14"/>
      <c r="V13" s="15"/>
      <c r="W13" s="15"/>
      <c r="X13" s="14"/>
      <c r="Y13" s="14"/>
      <c r="Z13" s="14"/>
      <c r="AA13" s="14"/>
      <c r="AB13" s="14"/>
      <c r="AC13" s="14"/>
      <c r="AD13" s="14"/>
      <c r="AE13" s="14"/>
      <c r="AF13" s="37"/>
      <c r="AG13" s="37"/>
      <c r="AL13" s="20"/>
      <c r="AM13" s="20"/>
      <c r="AN13" s="20"/>
      <c r="AO13" s="20"/>
      <c r="AP13" s="20"/>
      <c r="AQ13" s="20"/>
    </row>
    <row r="14" spans="1:43" ht="28.5" hidden="1" x14ac:dyDescent="0.35">
      <c r="A14" s="16" t="s">
        <v>29</v>
      </c>
      <c r="B14" s="14"/>
      <c r="C14" s="14"/>
      <c r="D14" s="14"/>
      <c r="E14" s="14"/>
      <c r="F14" s="14"/>
      <c r="G14" s="14"/>
      <c r="H14" s="14"/>
      <c r="I14" s="35"/>
      <c r="J14" s="34"/>
      <c r="K14" s="15"/>
      <c r="L14" s="14"/>
      <c r="M14" s="14"/>
      <c r="N14" s="25"/>
      <c r="O14" s="25"/>
      <c r="P14" s="25"/>
      <c r="Q14" s="14"/>
      <c r="R14" s="14"/>
      <c r="S14" s="14"/>
      <c r="T14" s="14"/>
      <c r="U14" s="14"/>
      <c r="V14" s="15"/>
      <c r="W14" s="15"/>
      <c r="X14" s="14"/>
      <c r="Y14" s="14"/>
      <c r="Z14" s="14"/>
      <c r="AA14" s="14"/>
      <c r="AB14" s="14"/>
      <c r="AC14" s="14"/>
      <c r="AD14" s="14"/>
      <c r="AE14" s="14"/>
      <c r="AF14" s="37"/>
      <c r="AG14" s="37"/>
      <c r="AL14" s="20"/>
      <c r="AM14" s="20"/>
      <c r="AN14" s="20"/>
      <c r="AO14" s="20"/>
      <c r="AP14" s="20"/>
      <c r="AQ14" s="20"/>
    </row>
    <row r="15" spans="1:43" x14ac:dyDescent="0.35">
      <c r="A15" s="7" t="s">
        <v>30</v>
      </c>
      <c r="B15" s="8" t="s">
        <v>561</v>
      </c>
      <c r="C15" s="8" t="s">
        <v>561</v>
      </c>
      <c r="D15" s="8" t="s">
        <v>561</v>
      </c>
      <c r="E15" s="8" t="s">
        <v>561</v>
      </c>
      <c r="F15" s="8" t="s">
        <v>561</v>
      </c>
      <c r="G15" s="8" t="s">
        <v>561</v>
      </c>
      <c r="H15" s="8" t="s">
        <v>561</v>
      </c>
      <c r="I15" s="8" t="s">
        <v>561</v>
      </c>
      <c r="J15" s="8" t="s">
        <v>561</v>
      </c>
      <c r="K15" s="8" t="s">
        <v>561</v>
      </c>
      <c r="L15" s="8" t="s">
        <v>561</v>
      </c>
      <c r="M15" s="8" t="s">
        <v>561</v>
      </c>
      <c r="N15" s="8" t="s">
        <v>561</v>
      </c>
      <c r="O15" s="8" t="s">
        <v>561</v>
      </c>
      <c r="P15" s="8" t="s">
        <v>561</v>
      </c>
      <c r="Q15" s="8" t="s">
        <v>561</v>
      </c>
      <c r="R15" s="8" t="s">
        <v>561</v>
      </c>
      <c r="S15" s="8" t="s">
        <v>561</v>
      </c>
      <c r="T15" s="8" t="s">
        <v>561</v>
      </c>
      <c r="U15" s="8" t="s">
        <v>561</v>
      </c>
      <c r="V15" s="8" t="s">
        <v>561</v>
      </c>
      <c r="W15" s="8" t="s">
        <v>561</v>
      </c>
      <c r="X15" s="8" t="s">
        <v>561</v>
      </c>
      <c r="Y15" s="8" t="s">
        <v>561</v>
      </c>
      <c r="Z15" s="8" t="s">
        <v>561</v>
      </c>
      <c r="AA15" s="8" t="s">
        <v>561</v>
      </c>
      <c r="AB15" s="8" t="s">
        <v>561</v>
      </c>
      <c r="AC15" s="8" t="s">
        <v>561</v>
      </c>
      <c r="AD15" s="8" t="s">
        <v>561</v>
      </c>
      <c r="AE15" s="8" t="s">
        <v>561</v>
      </c>
      <c r="AF15" s="41">
        <f t="shared" ref="AF15:AF22" si="6">COUNTA(B15:AE15)</f>
        <v>30</v>
      </c>
      <c r="AG15" s="42">
        <f>AF15*100/30</f>
        <v>100</v>
      </c>
      <c r="AL15" s="20"/>
      <c r="AM15" s="20"/>
      <c r="AN15" s="20"/>
      <c r="AO15" s="20"/>
      <c r="AP15" s="20"/>
      <c r="AQ15" s="20"/>
    </row>
    <row r="16" spans="1:43" x14ac:dyDescent="0.35">
      <c r="A16" s="7" t="s">
        <v>35</v>
      </c>
      <c r="B16" s="8" t="s">
        <v>722</v>
      </c>
      <c r="C16" s="8" t="s">
        <v>722</v>
      </c>
      <c r="D16" s="8" t="s">
        <v>722</v>
      </c>
      <c r="E16" s="8" t="s">
        <v>316</v>
      </c>
      <c r="F16" s="8" t="s">
        <v>316</v>
      </c>
      <c r="G16" s="8"/>
      <c r="H16" s="8" t="s">
        <v>316</v>
      </c>
      <c r="I16" s="8" t="s">
        <v>732</v>
      </c>
      <c r="J16" s="8" t="s">
        <v>732</v>
      </c>
      <c r="K16" s="8" t="s">
        <v>732</v>
      </c>
      <c r="L16" s="8" t="s">
        <v>732</v>
      </c>
      <c r="M16" s="8" t="s">
        <v>732</v>
      </c>
      <c r="N16" s="8" t="s">
        <v>732</v>
      </c>
      <c r="O16" s="8" t="s">
        <v>732</v>
      </c>
      <c r="P16" s="8" t="s">
        <v>732</v>
      </c>
      <c r="Q16" s="8" t="s">
        <v>732</v>
      </c>
      <c r="R16" s="8" t="s">
        <v>732</v>
      </c>
      <c r="S16" s="8" t="s">
        <v>732</v>
      </c>
      <c r="T16" s="8" t="s">
        <v>732</v>
      </c>
      <c r="U16" s="8" t="s">
        <v>732</v>
      </c>
      <c r="V16" s="8" t="s">
        <v>732</v>
      </c>
      <c r="W16" s="8" t="s">
        <v>732</v>
      </c>
      <c r="X16" s="8" t="s">
        <v>744</v>
      </c>
      <c r="Y16" s="8" t="s">
        <v>744</v>
      </c>
      <c r="Z16" s="8" t="s">
        <v>744</v>
      </c>
      <c r="AA16" s="8" t="s">
        <v>744</v>
      </c>
      <c r="AB16" s="8" t="s">
        <v>744</v>
      </c>
      <c r="AC16" s="8" t="s">
        <v>744</v>
      </c>
      <c r="AD16" s="8" t="s">
        <v>744</v>
      </c>
      <c r="AE16" s="8" t="s">
        <v>744</v>
      </c>
      <c r="AF16" s="41">
        <f t="shared" si="6"/>
        <v>29</v>
      </c>
      <c r="AG16" s="42">
        <f t="shared" ref="AG16:AG22" si="7">AF16*100/30</f>
        <v>96.666666666666671</v>
      </c>
      <c r="AL16" s="20"/>
      <c r="AM16" s="20"/>
      <c r="AN16" s="56"/>
      <c r="AO16" s="56"/>
      <c r="AP16" s="20"/>
      <c r="AQ16" s="20"/>
    </row>
    <row r="17" spans="1:49" x14ac:dyDescent="0.35">
      <c r="A17" s="7" t="s">
        <v>39</v>
      </c>
      <c r="B17" s="8" t="s">
        <v>385</v>
      </c>
      <c r="C17" s="55"/>
      <c r="D17" s="55" t="s">
        <v>729</v>
      </c>
      <c r="E17" s="55" t="s">
        <v>729</v>
      </c>
      <c r="F17" s="55" t="s">
        <v>729</v>
      </c>
      <c r="G17" s="55" t="s">
        <v>729</v>
      </c>
      <c r="H17" s="55" t="s">
        <v>729</v>
      </c>
      <c r="I17" s="55" t="s">
        <v>729</v>
      </c>
      <c r="J17" s="8" t="s">
        <v>669</v>
      </c>
      <c r="K17" s="8" t="s">
        <v>669</v>
      </c>
      <c r="L17" s="8" t="s">
        <v>669</v>
      </c>
      <c r="M17" s="8" t="s">
        <v>669</v>
      </c>
      <c r="N17" s="8" t="s">
        <v>669</v>
      </c>
      <c r="O17" s="8" t="s">
        <v>669</v>
      </c>
      <c r="P17" s="8" t="s">
        <v>669</v>
      </c>
      <c r="Q17" s="8" t="s">
        <v>669</v>
      </c>
      <c r="R17" s="8" t="s">
        <v>669</v>
      </c>
      <c r="S17" s="8" t="s">
        <v>669</v>
      </c>
      <c r="T17" s="8" t="s">
        <v>669</v>
      </c>
      <c r="U17" s="8" t="s">
        <v>669</v>
      </c>
      <c r="V17" s="8" t="s">
        <v>669</v>
      </c>
      <c r="W17" s="8" t="s">
        <v>669</v>
      </c>
      <c r="X17" s="8" t="s">
        <v>669</v>
      </c>
      <c r="Y17" s="8" t="s">
        <v>669</v>
      </c>
      <c r="Z17" s="8" t="s">
        <v>669</v>
      </c>
      <c r="AA17" s="8" t="s">
        <v>669</v>
      </c>
      <c r="AB17" s="8" t="s">
        <v>669</v>
      </c>
      <c r="AC17" s="8" t="s">
        <v>669</v>
      </c>
      <c r="AD17" s="8" t="s">
        <v>669</v>
      </c>
      <c r="AE17" s="8" t="s">
        <v>669</v>
      </c>
      <c r="AF17" s="41">
        <f t="shared" si="6"/>
        <v>29</v>
      </c>
      <c r="AG17" s="42">
        <f t="shared" si="7"/>
        <v>96.666666666666671</v>
      </c>
      <c r="AL17" s="20"/>
      <c r="AM17" s="20"/>
      <c r="AN17" s="20"/>
      <c r="AO17" s="20"/>
      <c r="AP17" s="20"/>
      <c r="AQ17" s="20"/>
      <c r="AW17" s="58"/>
    </row>
    <row r="18" spans="1:49" x14ac:dyDescent="0.35">
      <c r="A18" s="7" t="s">
        <v>42</v>
      </c>
      <c r="B18" s="8" t="s">
        <v>722</v>
      </c>
      <c r="C18" s="8" t="s">
        <v>722</v>
      </c>
      <c r="D18" s="55" t="s">
        <v>729</v>
      </c>
      <c r="E18" s="55" t="s">
        <v>729</v>
      </c>
      <c r="F18" s="55" t="s">
        <v>729</v>
      </c>
      <c r="G18" s="55" t="s">
        <v>729</v>
      </c>
      <c r="H18" s="55" t="s">
        <v>729</v>
      </c>
      <c r="I18" s="55" t="s">
        <v>729</v>
      </c>
      <c r="J18" s="55"/>
      <c r="K18" s="55"/>
      <c r="L18" s="55"/>
      <c r="M18" s="54"/>
      <c r="N18" s="88" t="s">
        <v>736</v>
      </c>
      <c r="O18" s="88" t="s">
        <v>736</v>
      </c>
      <c r="P18" s="88"/>
      <c r="Q18" s="55"/>
      <c r="R18" s="55"/>
      <c r="S18" s="55" t="s">
        <v>741</v>
      </c>
      <c r="T18" s="55" t="s">
        <v>741</v>
      </c>
      <c r="U18" s="55" t="s">
        <v>741</v>
      </c>
      <c r="V18" s="55" t="s">
        <v>741</v>
      </c>
      <c r="W18" s="55" t="s">
        <v>741</v>
      </c>
      <c r="X18" s="55" t="s">
        <v>741</v>
      </c>
      <c r="Y18" s="55" t="s">
        <v>741</v>
      </c>
      <c r="Z18" s="55"/>
      <c r="AA18" s="55" t="s">
        <v>214</v>
      </c>
      <c r="AB18" s="55" t="s">
        <v>214</v>
      </c>
      <c r="AC18" s="55" t="s">
        <v>214</v>
      </c>
      <c r="AD18" s="55"/>
      <c r="AE18" s="55"/>
      <c r="AF18" s="41">
        <f t="shared" si="6"/>
        <v>20</v>
      </c>
      <c r="AG18" s="42">
        <f t="shared" si="7"/>
        <v>66.666666666666671</v>
      </c>
      <c r="AL18" s="20"/>
      <c r="AM18" s="20"/>
      <c r="AN18" s="20"/>
      <c r="AO18" s="20"/>
      <c r="AP18" s="20"/>
      <c r="AQ18" s="20"/>
      <c r="AW18" s="58"/>
    </row>
    <row r="19" spans="1:49" x14ac:dyDescent="0.35">
      <c r="A19" s="7" t="s">
        <v>45</v>
      </c>
      <c r="B19" s="8"/>
      <c r="C19" s="55"/>
      <c r="D19" s="55"/>
      <c r="E19" s="55" t="s">
        <v>730</v>
      </c>
      <c r="F19" s="55" t="s">
        <v>730</v>
      </c>
      <c r="G19" s="55" t="s">
        <v>730</v>
      </c>
      <c r="H19" s="55" t="s">
        <v>730</v>
      </c>
      <c r="I19" s="55" t="s">
        <v>730</v>
      </c>
      <c r="J19" s="8" t="s">
        <v>669</v>
      </c>
      <c r="K19" s="8" t="s">
        <v>669</v>
      </c>
      <c r="L19" s="8" t="s">
        <v>669</v>
      </c>
      <c r="M19" s="8" t="s">
        <v>669</v>
      </c>
      <c r="N19" s="8" t="s">
        <v>669</v>
      </c>
      <c r="O19" s="8" t="s">
        <v>669</v>
      </c>
      <c r="P19" s="8" t="s">
        <v>669</v>
      </c>
      <c r="Q19" s="8" t="s">
        <v>669</v>
      </c>
      <c r="R19" s="8" t="s">
        <v>669</v>
      </c>
      <c r="S19" s="8" t="s">
        <v>669</v>
      </c>
      <c r="T19" s="8" t="s">
        <v>669</v>
      </c>
      <c r="U19" s="8" t="s">
        <v>669</v>
      </c>
      <c r="V19" s="8" t="s">
        <v>669</v>
      </c>
      <c r="W19" s="8" t="s">
        <v>669</v>
      </c>
      <c r="X19" s="8" t="s">
        <v>743</v>
      </c>
      <c r="Y19" s="8" t="s">
        <v>743</v>
      </c>
      <c r="Z19" s="8" t="s">
        <v>743</v>
      </c>
      <c r="AA19" s="8" t="s">
        <v>743</v>
      </c>
      <c r="AB19" s="55"/>
      <c r="AC19" s="55"/>
      <c r="AD19" s="55"/>
      <c r="AE19" s="55"/>
      <c r="AF19" s="41">
        <f t="shared" si="6"/>
        <v>23</v>
      </c>
      <c r="AG19" s="42">
        <f t="shared" si="7"/>
        <v>76.666666666666671</v>
      </c>
      <c r="AL19" s="20"/>
      <c r="AM19" s="20"/>
      <c r="AN19" s="20"/>
      <c r="AO19" s="20"/>
      <c r="AP19" s="20"/>
      <c r="AQ19" s="20"/>
      <c r="AW19" s="58"/>
    </row>
    <row r="20" spans="1:49" x14ac:dyDescent="0.35">
      <c r="A20" s="7" t="s">
        <v>47</v>
      </c>
      <c r="B20" s="55" t="s">
        <v>689</v>
      </c>
      <c r="C20" s="55" t="s">
        <v>689</v>
      </c>
      <c r="D20" s="55" t="s">
        <v>689</v>
      </c>
      <c r="E20" s="55" t="s">
        <v>689</v>
      </c>
      <c r="F20" s="55" t="s">
        <v>689</v>
      </c>
      <c r="G20" s="55" t="s">
        <v>689</v>
      </c>
      <c r="H20" s="55" t="s">
        <v>689</v>
      </c>
      <c r="I20" s="55" t="s">
        <v>689</v>
      </c>
      <c r="J20" s="55" t="s">
        <v>689</v>
      </c>
      <c r="K20" s="55" t="s">
        <v>689</v>
      </c>
      <c r="L20" s="55" t="s">
        <v>689</v>
      </c>
      <c r="M20" s="55" t="s">
        <v>689</v>
      </c>
      <c r="N20" s="88" t="s">
        <v>736</v>
      </c>
      <c r="O20" s="88" t="s">
        <v>736</v>
      </c>
      <c r="P20" s="88" t="s">
        <v>736</v>
      </c>
      <c r="Q20" s="55"/>
      <c r="R20" s="55"/>
      <c r="S20" s="55" t="s">
        <v>739</v>
      </c>
      <c r="T20" s="55" t="s">
        <v>739</v>
      </c>
      <c r="U20" s="55" t="s">
        <v>739</v>
      </c>
      <c r="V20" s="55" t="s">
        <v>739</v>
      </c>
      <c r="W20" s="55" t="s">
        <v>739</v>
      </c>
      <c r="X20" s="55"/>
      <c r="Y20" s="55"/>
      <c r="Z20" s="55" t="s">
        <v>742</v>
      </c>
      <c r="AA20" s="55" t="s">
        <v>742</v>
      </c>
      <c r="AB20" s="55" t="s">
        <v>742</v>
      </c>
      <c r="AC20" s="55" t="s">
        <v>742</v>
      </c>
      <c r="AD20" s="55"/>
      <c r="AE20" s="55"/>
      <c r="AF20" s="41">
        <f t="shared" si="6"/>
        <v>24</v>
      </c>
      <c r="AG20" s="42">
        <f t="shared" si="7"/>
        <v>80</v>
      </c>
      <c r="AL20" s="20"/>
      <c r="AM20" s="20"/>
      <c r="AN20" s="20"/>
      <c r="AO20" s="20"/>
      <c r="AP20" s="20"/>
      <c r="AQ20" s="20"/>
      <c r="AW20" s="58"/>
    </row>
    <row r="21" spans="1:49" x14ac:dyDescent="0.35">
      <c r="A21" s="7" t="s">
        <v>50</v>
      </c>
      <c r="B21" s="55" t="s">
        <v>562</v>
      </c>
      <c r="C21" s="55" t="s">
        <v>562</v>
      </c>
      <c r="D21" s="55" t="s">
        <v>562</v>
      </c>
      <c r="E21" s="55" t="s">
        <v>562</v>
      </c>
      <c r="F21" s="55" t="s">
        <v>562</v>
      </c>
      <c r="G21" s="55" t="s">
        <v>562</v>
      </c>
      <c r="H21" s="55" t="s">
        <v>562</v>
      </c>
      <c r="I21" s="55" t="s">
        <v>562</v>
      </c>
      <c r="J21" s="55" t="s">
        <v>562</v>
      </c>
      <c r="K21" s="55" t="s">
        <v>562</v>
      </c>
      <c r="L21" s="55" t="s">
        <v>562</v>
      </c>
      <c r="M21" s="55" t="s">
        <v>562</v>
      </c>
      <c r="N21" s="55" t="s">
        <v>562</v>
      </c>
      <c r="O21" s="55" t="s">
        <v>562</v>
      </c>
      <c r="P21" s="55" t="s">
        <v>562</v>
      </c>
      <c r="Q21" s="55" t="s">
        <v>562</v>
      </c>
      <c r="R21" s="55" t="s">
        <v>562</v>
      </c>
      <c r="S21" s="55" t="s">
        <v>562</v>
      </c>
      <c r="T21" s="55" t="s">
        <v>562</v>
      </c>
      <c r="U21" s="55" t="s">
        <v>562</v>
      </c>
      <c r="V21" s="55" t="s">
        <v>562</v>
      </c>
      <c r="W21" s="55" t="s">
        <v>562</v>
      </c>
      <c r="X21" s="55" t="s">
        <v>562</v>
      </c>
      <c r="Y21" s="55" t="s">
        <v>562</v>
      </c>
      <c r="Z21" s="55" t="s">
        <v>562</v>
      </c>
      <c r="AA21" s="55" t="s">
        <v>562</v>
      </c>
      <c r="AB21" s="55" t="s">
        <v>562</v>
      </c>
      <c r="AC21" s="55" t="s">
        <v>562</v>
      </c>
      <c r="AD21" s="55" t="s">
        <v>562</v>
      </c>
      <c r="AE21" s="55" t="s">
        <v>562</v>
      </c>
      <c r="AF21" s="41">
        <f t="shared" si="6"/>
        <v>30</v>
      </c>
      <c r="AG21" s="42">
        <f t="shared" si="7"/>
        <v>100</v>
      </c>
      <c r="AL21" s="20"/>
      <c r="AM21" s="20"/>
      <c r="AN21" s="20"/>
      <c r="AO21" s="20"/>
      <c r="AP21" s="20"/>
      <c r="AQ21" s="20"/>
      <c r="AW21" s="58"/>
    </row>
    <row r="22" spans="1:49" ht="15" thickBot="1" x14ac:dyDescent="0.4">
      <c r="A22" s="7" t="s">
        <v>51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8" t="s">
        <v>736</v>
      </c>
      <c r="O22" s="88" t="s">
        <v>736</v>
      </c>
      <c r="P22" s="82"/>
      <c r="Q22" s="8"/>
      <c r="R22" s="8"/>
      <c r="S22" s="8" t="s">
        <v>740</v>
      </c>
      <c r="T22" s="8" t="s">
        <v>740</v>
      </c>
      <c r="U22" s="8" t="s">
        <v>740</v>
      </c>
      <c r="V22" s="8" t="s">
        <v>740</v>
      </c>
      <c r="W22" s="8" t="s">
        <v>740</v>
      </c>
      <c r="X22" s="8"/>
      <c r="Y22" s="8"/>
      <c r="Z22" s="8"/>
      <c r="AA22" s="8" t="s">
        <v>745</v>
      </c>
      <c r="AB22" s="8"/>
      <c r="AC22" s="8"/>
      <c r="AD22" s="8"/>
      <c r="AE22" s="8"/>
      <c r="AF22" s="41">
        <f t="shared" si="6"/>
        <v>8</v>
      </c>
      <c r="AG22" s="42">
        <f t="shared" si="7"/>
        <v>26.666666666666668</v>
      </c>
      <c r="AW22" s="58"/>
    </row>
    <row r="23" spans="1:49" ht="15.5" x14ac:dyDescent="0.35">
      <c r="A23" s="45" t="s">
        <v>176</v>
      </c>
      <c r="B23" s="46">
        <f>COUNTA(B15:B22)</f>
        <v>6</v>
      </c>
      <c r="C23" s="46">
        <f>COUNTA(C16:C22)</f>
        <v>4</v>
      </c>
      <c r="D23" s="46">
        <f>COUNTA(D16:D22)</f>
        <v>5</v>
      </c>
      <c r="E23" s="46">
        <f t="shared" ref="E23:AE23" si="8">COUNTA(E15:E22)</f>
        <v>7</v>
      </c>
      <c r="F23" s="46">
        <f t="shared" si="8"/>
        <v>7</v>
      </c>
      <c r="G23" s="46">
        <f t="shared" si="8"/>
        <v>6</v>
      </c>
      <c r="H23" s="46">
        <f t="shared" si="8"/>
        <v>7</v>
      </c>
      <c r="I23" s="46">
        <f t="shared" si="8"/>
        <v>7</v>
      </c>
      <c r="J23" s="46">
        <f t="shared" si="8"/>
        <v>6</v>
      </c>
      <c r="K23" s="46">
        <f t="shared" si="8"/>
        <v>6</v>
      </c>
      <c r="L23" s="46">
        <f t="shared" si="8"/>
        <v>6</v>
      </c>
      <c r="M23" s="46">
        <f t="shared" si="8"/>
        <v>6</v>
      </c>
      <c r="N23" s="46">
        <f t="shared" si="8"/>
        <v>8</v>
      </c>
      <c r="O23" s="46">
        <f t="shared" si="8"/>
        <v>8</v>
      </c>
      <c r="P23" s="46">
        <f t="shared" si="8"/>
        <v>6</v>
      </c>
      <c r="Q23" s="46">
        <f t="shared" si="8"/>
        <v>5</v>
      </c>
      <c r="R23" s="46">
        <f t="shared" si="8"/>
        <v>5</v>
      </c>
      <c r="S23" s="46">
        <f t="shared" si="8"/>
        <v>8</v>
      </c>
      <c r="T23" s="46">
        <f>COUNTA(T15:T22)</f>
        <v>8</v>
      </c>
      <c r="U23" s="46">
        <f t="shared" si="8"/>
        <v>8</v>
      </c>
      <c r="V23" s="46">
        <f t="shared" si="8"/>
        <v>8</v>
      </c>
      <c r="W23" s="46">
        <f t="shared" si="8"/>
        <v>8</v>
      </c>
      <c r="X23" s="46">
        <f t="shared" si="8"/>
        <v>6</v>
      </c>
      <c r="Y23" s="46">
        <f t="shared" si="8"/>
        <v>6</v>
      </c>
      <c r="Z23" s="46">
        <f t="shared" si="8"/>
        <v>6</v>
      </c>
      <c r="AA23" s="46">
        <f t="shared" si="8"/>
        <v>8</v>
      </c>
      <c r="AB23" s="46">
        <f t="shared" si="8"/>
        <v>6</v>
      </c>
      <c r="AC23" s="46">
        <f t="shared" si="8"/>
        <v>6</v>
      </c>
      <c r="AD23" s="46">
        <f t="shared" si="8"/>
        <v>4</v>
      </c>
      <c r="AE23" s="46">
        <f t="shared" si="8"/>
        <v>4</v>
      </c>
      <c r="AF23" s="43">
        <f>SUM(AF15:AF22)</f>
        <v>193</v>
      </c>
      <c r="AG23" s="66">
        <f>AVERAGE(AG15:AG22)</f>
        <v>80.416666666666671</v>
      </c>
      <c r="AW23" s="58"/>
    </row>
    <row r="24" spans="1:49" ht="15.5" x14ac:dyDescent="0.35">
      <c r="A24" s="47" t="s">
        <v>178</v>
      </c>
      <c r="B24" s="52">
        <f>B12+B23</f>
        <v>8</v>
      </c>
      <c r="C24" s="52">
        <f t="shared" ref="C24:AE24" si="9">C12+C23</f>
        <v>6</v>
      </c>
      <c r="D24" s="52">
        <f t="shared" si="9"/>
        <v>7</v>
      </c>
      <c r="E24" s="52">
        <f t="shared" si="9"/>
        <v>12</v>
      </c>
      <c r="F24" s="52">
        <f t="shared" si="9"/>
        <v>11</v>
      </c>
      <c r="G24" s="52">
        <f t="shared" si="9"/>
        <v>10</v>
      </c>
      <c r="H24" s="52">
        <f t="shared" si="9"/>
        <v>12</v>
      </c>
      <c r="I24" s="52">
        <f t="shared" si="9"/>
        <v>12</v>
      </c>
      <c r="J24" s="52">
        <f t="shared" si="9"/>
        <v>12</v>
      </c>
      <c r="K24" s="52">
        <f t="shared" si="9"/>
        <v>12</v>
      </c>
      <c r="L24" s="52">
        <f t="shared" si="9"/>
        <v>12</v>
      </c>
      <c r="M24" s="52">
        <f t="shared" si="9"/>
        <v>12</v>
      </c>
      <c r="N24" s="52">
        <f t="shared" si="9"/>
        <v>14</v>
      </c>
      <c r="O24" s="52">
        <f t="shared" si="9"/>
        <v>14</v>
      </c>
      <c r="P24" s="52">
        <f t="shared" si="9"/>
        <v>12</v>
      </c>
      <c r="Q24" s="52">
        <f t="shared" si="9"/>
        <v>11</v>
      </c>
      <c r="R24" s="52">
        <f t="shared" si="9"/>
        <v>11</v>
      </c>
      <c r="S24" s="52">
        <f t="shared" si="9"/>
        <v>14</v>
      </c>
      <c r="T24" s="52">
        <f t="shared" si="9"/>
        <v>14</v>
      </c>
      <c r="U24" s="52">
        <f t="shared" si="9"/>
        <v>14</v>
      </c>
      <c r="V24" s="52">
        <f t="shared" si="9"/>
        <v>14</v>
      </c>
      <c r="W24" s="52">
        <f t="shared" si="9"/>
        <v>14</v>
      </c>
      <c r="X24" s="52">
        <f t="shared" si="9"/>
        <v>12</v>
      </c>
      <c r="Y24" s="52">
        <f t="shared" si="9"/>
        <v>12</v>
      </c>
      <c r="Z24" s="52">
        <f t="shared" si="9"/>
        <v>12</v>
      </c>
      <c r="AA24" s="52">
        <f t="shared" si="9"/>
        <v>14</v>
      </c>
      <c r="AB24" s="52">
        <f t="shared" si="9"/>
        <v>12</v>
      </c>
      <c r="AC24" s="52">
        <f t="shared" si="9"/>
        <v>12</v>
      </c>
      <c r="AD24" s="52">
        <f t="shared" si="9"/>
        <v>8</v>
      </c>
      <c r="AE24" s="52">
        <f t="shared" si="9"/>
        <v>8</v>
      </c>
      <c r="AF24" s="49">
        <f>+AF12+AF23</f>
        <v>350</v>
      </c>
      <c r="AW24" s="58"/>
    </row>
    <row r="25" spans="1:49" ht="15.5" x14ac:dyDescent="0.35">
      <c r="A25" s="48" t="s">
        <v>179</v>
      </c>
      <c r="B25" s="42">
        <f>B24*100/15</f>
        <v>53.333333333333336</v>
      </c>
      <c r="C25" s="42">
        <f t="shared" ref="C25:AE25" si="10">C24*100/15</f>
        <v>40</v>
      </c>
      <c r="D25" s="42">
        <f t="shared" si="10"/>
        <v>46.666666666666664</v>
      </c>
      <c r="E25" s="42">
        <f t="shared" si="10"/>
        <v>80</v>
      </c>
      <c r="F25" s="42">
        <f t="shared" si="10"/>
        <v>73.333333333333329</v>
      </c>
      <c r="G25" s="42">
        <f t="shared" si="10"/>
        <v>66.666666666666671</v>
      </c>
      <c r="H25" s="42">
        <f t="shared" si="10"/>
        <v>80</v>
      </c>
      <c r="I25" s="42">
        <f t="shared" si="10"/>
        <v>80</v>
      </c>
      <c r="J25" s="42">
        <f t="shared" si="10"/>
        <v>80</v>
      </c>
      <c r="K25" s="42">
        <f t="shared" si="10"/>
        <v>80</v>
      </c>
      <c r="L25" s="42">
        <f t="shared" si="10"/>
        <v>80</v>
      </c>
      <c r="M25" s="42">
        <f t="shared" si="10"/>
        <v>80</v>
      </c>
      <c r="N25" s="42">
        <f t="shared" si="10"/>
        <v>93.333333333333329</v>
      </c>
      <c r="O25" s="42">
        <f t="shared" si="10"/>
        <v>93.333333333333329</v>
      </c>
      <c r="P25" s="42">
        <f t="shared" si="10"/>
        <v>80</v>
      </c>
      <c r="Q25" s="42">
        <f t="shared" si="10"/>
        <v>73.333333333333329</v>
      </c>
      <c r="R25" s="42">
        <f t="shared" si="10"/>
        <v>73.333333333333329</v>
      </c>
      <c r="S25" s="42">
        <f t="shared" si="10"/>
        <v>93.333333333333329</v>
      </c>
      <c r="T25" s="42">
        <f t="shared" si="10"/>
        <v>93.333333333333329</v>
      </c>
      <c r="U25" s="42">
        <f t="shared" si="10"/>
        <v>93.333333333333329</v>
      </c>
      <c r="V25" s="42">
        <f t="shared" si="10"/>
        <v>93.333333333333329</v>
      </c>
      <c r="W25" s="42">
        <f t="shared" si="10"/>
        <v>93.333333333333329</v>
      </c>
      <c r="X25" s="42">
        <f t="shared" si="10"/>
        <v>80</v>
      </c>
      <c r="Y25" s="42">
        <f t="shared" si="10"/>
        <v>80</v>
      </c>
      <c r="Z25" s="42">
        <f t="shared" si="10"/>
        <v>80</v>
      </c>
      <c r="AA25" s="42">
        <f t="shared" si="10"/>
        <v>93.333333333333329</v>
      </c>
      <c r="AB25" s="42">
        <f t="shared" si="10"/>
        <v>80</v>
      </c>
      <c r="AC25" s="42">
        <f t="shared" si="10"/>
        <v>80</v>
      </c>
      <c r="AD25" s="42">
        <f t="shared" si="10"/>
        <v>53.333333333333336</v>
      </c>
      <c r="AE25" s="42">
        <f t="shared" si="10"/>
        <v>53.333333333333336</v>
      </c>
      <c r="AF25" s="50">
        <f>AVERAGE(B25:AE25)</f>
        <v>77.333333333333329</v>
      </c>
      <c r="AG25" s="51" t="s">
        <v>180</v>
      </c>
      <c r="AW25" s="58"/>
    </row>
    <row r="26" spans="1:49" x14ac:dyDescent="0.35">
      <c r="AW26" s="58"/>
    </row>
    <row r="27" spans="1:49" x14ac:dyDescent="0.35">
      <c r="N27" s="84" t="s">
        <v>704</v>
      </c>
    </row>
    <row r="29" spans="1:49" x14ac:dyDescent="0.35">
      <c r="G29" s="86" t="s">
        <v>707</v>
      </c>
      <c r="N29" t="s">
        <v>733</v>
      </c>
    </row>
    <row r="30" spans="1:49" x14ac:dyDescent="0.35">
      <c r="N30" t="s">
        <v>312</v>
      </c>
    </row>
    <row r="31" spans="1:49" x14ac:dyDescent="0.35">
      <c r="G31" t="s">
        <v>731</v>
      </c>
      <c r="H31" t="s">
        <v>731</v>
      </c>
      <c r="I31" t="s">
        <v>731</v>
      </c>
      <c r="J31" t="s">
        <v>731</v>
      </c>
      <c r="K31" t="s">
        <v>731</v>
      </c>
      <c r="L31" t="s">
        <v>731</v>
      </c>
    </row>
    <row r="32" spans="1:49" x14ac:dyDescent="0.35">
      <c r="G32" t="s">
        <v>731</v>
      </c>
      <c r="H32" t="s">
        <v>731</v>
      </c>
      <c r="I32" t="s">
        <v>731</v>
      </c>
      <c r="J32" t="s">
        <v>731</v>
      </c>
      <c r="K32" t="s">
        <v>731</v>
      </c>
      <c r="L32" t="s">
        <v>731</v>
      </c>
    </row>
    <row r="34" spans="9:23" x14ac:dyDescent="0.35">
      <c r="I34" s="86" t="s">
        <v>706</v>
      </c>
    </row>
    <row r="36" spans="9:23" x14ac:dyDescent="0.35">
      <c r="J36" t="s">
        <v>734</v>
      </c>
      <c r="K36" t="s">
        <v>734</v>
      </c>
      <c r="L36" t="s">
        <v>734</v>
      </c>
      <c r="M36" t="s">
        <v>734</v>
      </c>
      <c r="P36" t="s">
        <v>651</v>
      </c>
      <c r="Q36" t="s">
        <v>651</v>
      </c>
      <c r="R36" t="s">
        <v>651</v>
      </c>
      <c r="S36" t="s">
        <v>651</v>
      </c>
      <c r="T36" t="s">
        <v>651</v>
      </c>
      <c r="U36" t="s">
        <v>651</v>
      </c>
      <c r="V36" t="s">
        <v>651</v>
      </c>
      <c r="W36" t="s">
        <v>651</v>
      </c>
    </row>
    <row r="37" spans="9:23" x14ac:dyDescent="0.35">
      <c r="I37" t="s">
        <v>735</v>
      </c>
      <c r="J37" t="s">
        <v>735</v>
      </c>
      <c r="K37" t="s">
        <v>735</v>
      </c>
      <c r="L37" t="s">
        <v>735</v>
      </c>
      <c r="M37" t="s">
        <v>735</v>
      </c>
      <c r="N37" t="s">
        <v>735</v>
      </c>
      <c r="O37" t="s">
        <v>735</v>
      </c>
      <c r="P37" t="s">
        <v>735</v>
      </c>
      <c r="Q37" t="s">
        <v>735</v>
      </c>
    </row>
  </sheetData>
  <mergeCells count="2">
    <mergeCell ref="A1:AE1"/>
    <mergeCell ref="AL3:AQ3"/>
  </mergeCells>
  <conditionalFormatting sqref="B17:B18 C18">
    <cfRule type="colorScale" priority="10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9">
    <cfRule type="colorScale" priority="1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9:I10 B7:AE8">
    <cfRule type="colorScale" priority="14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20:M20">
    <cfRule type="colorScale" priority="8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22:M22 P22:AE22">
    <cfRule type="colorScale" priority="14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6:W16">
    <cfRule type="colorScale" priority="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5:AE5">
    <cfRule type="colorScale" priority="15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6:AE6">
    <cfRule type="colorScale" priority="148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1:AE11">
    <cfRule type="colorScale" priority="1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5:AE15">
    <cfRule type="colorScale" priority="149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21:AE21">
    <cfRule type="colorScale" priority="150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C17:I17 C19:I19 AB19:AE19 D18:AE18 N20:AE20">
    <cfRule type="colorScale" priority="15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J19:AA19">
    <cfRule type="colorScale" priority="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J9:AE9">
    <cfRule type="colorScale" priority="15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J10:AE10">
    <cfRule type="colorScale" priority="158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J17:AE17">
    <cfRule type="colorScale" priority="159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L13:U14 B13:I14 X13:AG14">
    <cfRule type="colorScale" priority="160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N22">
    <cfRule type="colorScale" priority="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O22">
    <cfRule type="colorScale" priority="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X16:AE16">
    <cfRule type="colorScale" priority="164">
      <colorScale>
        <cfvo type="num" val="1"/>
        <cfvo type="max"/>
        <color theme="4" tint="0.59999389629810485"/>
        <color theme="5" tint="0.59999389629810485"/>
      </colorScale>
    </cfRule>
  </conditionalFormatting>
  <pageMargins left="0.2" right="0.45" top="0.75" bottom="0.75" header="0.3" footer="0.3"/>
  <pageSetup scale="90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1D77E-BB9F-4320-ADFB-94BCD6AF81E0}">
  <dimension ref="A1:AX26"/>
  <sheetViews>
    <sheetView zoomScale="86" zoomScaleNormal="86" workbookViewId="0">
      <pane xSplit="1" ySplit="4" topLeftCell="M5" activePane="bottomRight" state="frozen"/>
      <selection pane="topRight" activeCell="B1" sqref="B1"/>
      <selection pane="bottomLeft" activeCell="A5" sqref="A5"/>
      <selection pane="bottomRight" activeCell="N20" sqref="N20"/>
    </sheetView>
  </sheetViews>
  <sheetFormatPr defaultRowHeight="14.5" x14ac:dyDescent="0.35"/>
  <cols>
    <col min="1" max="1" width="43.7265625" customWidth="1"/>
    <col min="2" max="4" width="16.7265625" bestFit="1" customWidth="1"/>
    <col min="5" max="6" width="15.81640625" bestFit="1" customWidth="1"/>
    <col min="7" max="7" width="14.81640625" bestFit="1" customWidth="1"/>
    <col min="8" max="8" width="13.453125" customWidth="1"/>
    <col min="9" max="9" width="14.81640625" bestFit="1" customWidth="1"/>
    <col min="10" max="10" width="14.1796875" bestFit="1" customWidth="1"/>
    <col min="11" max="13" width="10.1796875" bestFit="1" customWidth="1"/>
    <col min="14" max="15" width="11.453125" bestFit="1" customWidth="1"/>
    <col min="16" max="16" width="11.81640625" bestFit="1" customWidth="1"/>
    <col min="17" max="18" width="12" bestFit="1" customWidth="1"/>
    <col min="19" max="21" width="11.81640625" bestFit="1" customWidth="1"/>
    <col min="22" max="22" width="14.1796875" bestFit="1" customWidth="1"/>
    <col min="23" max="23" width="16.81640625" bestFit="1" customWidth="1"/>
    <col min="24" max="25" width="12.81640625" bestFit="1" customWidth="1"/>
    <col min="26" max="30" width="10.54296875" bestFit="1" customWidth="1"/>
    <col min="31" max="31" width="10.453125" customWidth="1"/>
    <col min="32" max="32" width="11.453125" bestFit="1" customWidth="1"/>
    <col min="33" max="33" width="4.7265625" bestFit="1" customWidth="1"/>
    <col min="34" max="34" width="8.453125" bestFit="1" customWidth="1"/>
    <col min="35" max="35" width="8" bestFit="1" customWidth="1"/>
    <col min="36" max="36" width="8.453125" customWidth="1"/>
    <col min="37" max="37" width="0" hidden="1" customWidth="1"/>
    <col min="38" max="38" width="3" hidden="1" customWidth="1"/>
    <col min="39" max="39" width="17.81640625" bestFit="1" customWidth="1"/>
    <col min="40" max="40" width="9.1796875" bestFit="1" customWidth="1"/>
    <col min="41" max="41" width="9.81640625" bestFit="1" customWidth="1"/>
    <col min="42" max="42" width="10.81640625" bestFit="1" customWidth="1"/>
    <col min="43" max="43" width="10.1796875" bestFit="1" customWidth="1"/>
    <col min="44" max="44" width="23.1796875" bestFit="1" customWidth="1"/>
    <col min="45" max="45" width="0.453125" hidden="1" customWidth="1"/>
    <col min="46" max="49" width="0" hidden="1" customWidth="1"/>
    <col min="51" max="51" width="15" bestFit="1" customWidth="1"/>
  </cols>
  <sheetData>
    <row r="1" spans="1:44" ht="15.5" x14ac:dyDescent="0.35">
      <c r="A1" s="120" t="s">
        <v>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65"/>
    </row>
    <row r="2" spans="1:44" ht="15" thickBot="1" x14ac:dyDescent="0.4"/>
    <row r="3" spans="1:44" ht="45.75" customHeight="1" x14ac:dyDescent="0.35">
      <c r="A3" s="1" t="s">
        <v>1</v>
      </c>
      <c r="B3" s="2">
        <f>AI4</f>
        <v>45627</v>
      </c>
      <c r="C3" s="2">
        <f t="shared" ref="C3:AF3" si="0">B3+1</f>
        <v>45628</v>
      </c>
      <c r="D3" s="2">
        <f t="shared" si="0"/>
        <v>45629</v>
      </c>
      <c r="E3" s="2">
        <f t="shared" si="0"/>
        <v>45630</v>
      </c>
      <c r="F3" s="2">
        <f t="shared" si="0"/>
        <v>45631</v>
      </c>
      <c r="G3" s="2">
        <f t="shared" si="0"/>
        <v>45632</v>
      </c>
      <c r="H3" s="2">
        <f t="shared" si="0"/>
        <v>45633</v>
      </c>
      <c r="I3" s="2">
        <f>H3+1</f>
        <v>45634</v>
      </c>
      <c r="J3" s="2">
        <f t="shared" si="0"/>
        <v>45635</v>
      </c>
      <c r="K3" s="2">
        <f t="shared" si="0"/>
        <v>45636</v>
      </c>
      <c r="L3" s="2">
        <f t="shared" si="0"/>
        <v>45637</v>
      </c>
      <c r="M3" s="2">
        <f t="shared" si="0"/>
        <v>45638</v>
      </c>
      <c r="N3" s="2">
        <f t="shared" si="0"/>
        <v>45639</v>
      </c>
      <c r="O3" s="2">
        <f t="shared" si="0"/>
        <v>45640</v>
      </c>
      <c r="P3" s="2">
        <f t="shared" si="0"/>
        <v>45641</v>
      </c>
      <c r="Q3" s="2">
        <f t="shared" si="0"/>
        <v>45642</v>
      </c>
      <c r="R3" s="2">
        <f t="shared" si="0"/>
        <v>45643</v>
      </c>
      <c r="S3" s="2">
        <f t="shared" si="0"/>
        <v>45644</v>
      </c>
      <c r="T3" s="2">
        <f t="shared" si="0"/>
        <v>45645</v>
      </c>
      <c r="U3" s="2">
        <f t="shared" si="0"/>
        <v>45646</v>
      </c>
      <c r="V3" s="2">
        <f t="shared" si="0"/>
        <v>45647</v>
      </c>
      <c r="W3" s="2">
        <f t="shared" si="0"/>
        <v>45648</v>
      </c>
      <c r="X3" s="2">
        <f t="shared" si="0"/>
        <v>45649</v>
      </c>
      <c r="Y3" s="2">
        <f t="shared" si="0"/>
        <v>45650</v>
      </c>
      <c r="Z3" s="2">
        <f t="shared" si="0"/>
        <v>45651</v>
      </c>
      <c r="AA3" s="2">
        <f t="shared" si="0"/>
        <v>45652</v>
      </c>
      <c r="AB3" s="2">
        <f t="shared" si="0"/>
        <v>45653</v>
      </c>
      <c r="AC3" s="2">
        <f t="shared" si="0"/>
        <v>45654</v>
      </c>
      <c r="AD3" s="2">
        <f t="shared" si="0"/>
        <v>45655</v>
      </c>
      <c r="AE3" s="2">
        <f t="shared" si="0"/>
        <v>45656</v>
      </c>
      <c r="AF3" s="2">
        <f t="shared" si="0"/>
        <v>45657</v>
      </c>
      <c r="AG3" s="36"/>
      <c r="AH3" s="36"/>
      <c r="AM3" s="122" t="s">
        <v>267</v>
      </c>
      <c r="AN3" s="123"/>
      <c r="AO3" s="123"/>
      <c r="AP3" s="123"/>
      <c r="AQ3" s="123"/>
      <c r="AR3" s="124"/>
    </row>
    <row r="4" spans="1:44" ht="31.5" customHeight="1" x14ac:dyDescent="0.35">
      <c r="A4" s="3" t="s">
        <v>2</v>
      </c>
      <c r="B4" s="4">
        <f t="shared" ref="B4:AF4" si="1">B3</f>
        <v>45627</v>
      </c>
      <c r="C4" s="4">
        <f t="shared" si="1"/>
        <v>45628</v>
      </c>
      <c r="D4" s="4">
        <f t="shared" si="1"/>
        <v>45629</v>
      </c>
      <c r="E4" s="4">
        <f t="shared" si="1"/>
        <v>45630</v>
      </c>
      <c r="F4" s="4">
        <f t="shared" si="1"/>
        <v>45631</v>
      </c>
      <c r="G4" s="4">
        <f t="shared" si="1"/>
        <v>45632</v>
      </c>
      <c r="H4" s="4">
        <f t="shared" si="1"/>
        <v>45633</v>
      </c>
      <c r="I4" s="4">
        <f t="shared" si="1"/>
        <v>45634</v>
      </c>
      <c r="J4" s="4">
        <f t="shared" si="1"/>
        <v>45635</v>
      </c>
      <c r="K4" s="4">
        <f t="shared" si="1"/>
        <v>45636</v>
      </c>
      <c r="L4" s="4">
        <f t="shared" si="1"/>
        <v>45637</v>
      </c>
      <c r="M4" s="4">
        <f t="shared" si="1"/>
        <v>45638</v>
      </c>
      <c r="N4" s="4">
        <f t="shared" si="1"/>
        <v>45639</v>
      </c>
      <c r="O4" s="4">
        <f t="shared" si="1"/>
        <v>45640</v>
      </c>
      <c r="P4" s="4">
        <f t="shared" si="1"/>
        <v>45641</v>
      </c>
      <c r="Q4" s="4">
        <f t="shared" si="1"/>
        <v>45642</v>
      </c>
      <c r="R4" s="4">
        <f t="shared" si="1"/>
        <v>45643</v>
      </c>
      <c r="S4" s="4">
        <f t="shared" si="1"/>
        <v>45644</v>
      </c>
      <c r="T4" s="4">
        <f t="shared" si="1"/>
        <v>45645</v>
      </c>
      <c r="U4" s="4">
        <f t="shared" si="1"/>
        <v>45646</v>
      </c>
      <c r="V4" s="4">
        <f t="shared" si="1"/>
        <v>45647</v>
      </c>
      <c r="W4" s="4">
        <f t="shared" si="1"/>
        <v>45648</v>
      </c>
      <c r="X4" s="4">
        <f t="shared" si="1"/>
        <v>45649</v>
      </c>
      <c r="Y4" s="4">
        <f t="shared" si="1"/>
        <v>45650</v>
      </c>
      <c r="Z4" s="4">
        <f t="shared" si="1"/>
        <v>45651</v>
      </c>
      <c r="AA4" s="4">
        <f t="shared" si="1"/>
        <v>45652</v>
      </c>
      <c r="AB4" s="4">
        <f t="shared" si="1"/>
        <v>45653</v>
      </c>
      <c r="AC4" s="4">
        <f t="shared" si="1"/>
        <v>45654</v>
      </c>
      <c r="AD4" s="4">
        <f t="shared" si="1"/>
        <v>45655</v>
      </c>
      <c r="AE4" s="4">
        <f t="shared" si="1"/>
        <v>45656</v>
      </c>
      <c r="AF4" s="4">
        <f t="shared" si="1"/>
        <v>45657</v>
      </c>
      <c r="AG4" s="39" t="s">
        <v>174</v>
      </c>
      <c r="AH4" s="40" t="s">
        <v>175</v>
      </c>
      <c r="AI4" s="5">
        <v>45627</v>
      </c>
      <c r="AJ4" s="6">
        <f>EOMONTH(AI4,0)</f>
        <v>45657</v>
      </c>
      <c r="AM4" s="19" t="s">
        <v>54</v>
      </c>
      <c r="AN4" s="19" t="s">
        <v>269</v>
      </c>
      <c r="AO4" s="19" t="s">
        <v>55</v>
      </c>
      <c r="AP4" s="19" t="s">
        <v>56</v>
      </c>
      <c r="AQ4" s="19" t="s">
        <v>251</v>
      </c>
      <c r="AR4" s="19" t="s">
        <v>57</v>
      </c>
    </row>
    <row r="5" spans="1:44" x14ac:dyDescent="0.35">
      <c r="A5" s="7" t="s">
        <v>3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41">
        <f>COUNTA(B5:AF5)</f>
        <v>0</v>
      </c>
      <c r="AH5" s="42">
        <f>AG5*100/30</f>
        <v>0</v>
      </c>
      <c r="AM5" s="20"/>
      <c r="AN5" s="56"/>
      <c r="AO5" s="56"/>
      <c r="AP5" s="56"/>
      <c r="AQ5" s="57"/>
      <c r="AR5" s="20"/>
    </row>
    <row r="6" spans="1:44" x14ac:dyDescent="0.35">
      <c r="A6" s="7" t="s">
        <v>7</v>
      </c>
      <c r="B6" s="55" t="s">
        <v>656</v>
      </c>
      <c r="C6" s="55" t="s">
        <v>656</v>
      </c>
      <c r="D6" s="55" t="s">
        <v>656</v>
      </c>
      <c r="E6" s="55" t="s">
        <v>656</v>
      </c>
      <c r="F6" s="55" t="s">
        <v>656</v>
      </c>
      <c r="G6" s="55" t="s">
        <v>656</v>
      </c>
      <c r="H6" s="55" t="s">
        <v>656</v>
      </c>
      <c r="I6" s="55" t="s">
        <v>656</v>
      </c>
      <c r="J6" s="55" t="s">
        <v>656</v>
      </c>
      <c r="K6" s="55" t="s">
        <v>656</v>
      </c>
      <c r="L6" s="55" t="s">
        <v>656</v>
      </c>
      <c r="M6" s="55" t="s">
        <v>656</v>
      </c>
      <c r="N6" s="55" t="s">
        <v>656</v>
      </c>
      <c r="O6" s="55" t="s">
        <v>656</v>
      </c>
      <c r="P6" s="55" t="s">
        <v>656</v>
      </c>
      <c r="Q6" s="55" t="s">
        <v>656</v>
      </c>
      <c r="R6" s="55" t="s">
        <v>656</v>
      </c>
      <c r="S6" s="55" t="s">
        <v>656</v>
      </c>
      <c r="T6" s="55" t="s">
        <v>656</v>
      </c>
      <c r="U6" s="55" t="s">
        <v>656</v>
      </c>
      <c r="V6" s="55" t="s">
        <v>656</v>
      </c>
      <c r="W6" s="55"/>
      <c r="X6" s="55"/>
      <c r="Y6" s="55"/>
      <c r="Z6" s="55"/>
      <c r="AA6" s="55"/>
      <c r="AB6" s="55"/>
      <c r="AC6" s="55"/>
      <c r="AD6" s="55"/>
      <c r="AE6" s="55"/>
      <c r="AF6" s="55"/>
      <c r="AG6" s="41">
        <f t="shared" ref="AG6:AG11" si="2">COUNTA(B6:AF6)</f>
        <v>21</v>
      </c>
      <c r="AH6" s="42">
        <f t="shared" ref="AH6:AH11" si="3">AG6*100/30</f>
        <v>70</v>
      </c>
      <c r="AM6" s="20"/>
      <c r="AN6" s="56"/>
      <c r="AO6" s="56"/>
      <c r="AP6" s="56"/>
      <c r="AQ6" s="57"/>
      <c r="AR6" s="20"/>
    </row>
    <row r="7" spans="1:44" x14ac:dyDescent="0.35">
      <c r="A7" s="7" t="s">
        <v>11</v>
      </c>
      <c r="B7" s="55"/>
      <c r="C7" s="55"/>
      <c r="D7" s="55"/>
      <c r="E7" s="55"/>
      <c r="F7" s="55"/>
      <c r="G7" s="55"/>
      <c r="H7" s="55"/>
      <c r="I7" s="55"/>
      <c r="J7" s="55"/>
      <c r="K7" s="55"/>
      <c r="L7" s="55" t="s">
        <v>450</v>
      </c>
      <c r="M7" s="55" t="s">
        <v>450</v>
      </c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41">
        <f t="shared" si="2"/>
        <v>2</v>
      </c>
      <c r="AH7" s="42">
        <f t="shared" si="3"/>
        <v>6.666666666666667</v>
      </c>
      <c r="AM7" s="20"/>
      <c r="AN7" s="56"/>
      <c r="AO7" s="56"/>
      <c r="AP7" s="56"/>
      <c r="AQ7" s="57"/>
      <c r="AR7" s="20"/>
    </row>
    <row r="8" spans="1:44" ht="15" customHeight="1" x14ac:dyDescent="0.35">
      <c r="A8" s="7" t="s">
        <v>15</v>
      </c>
      <c r="B8" s="55"/>
      <c r="C8" s="55"/>
      <c r="D8" s="55" t="s">
        <v>746</v>
      </c>
      <c r="E8" s="55" t="s">
        <v>746</v>
      </c>
      <c r="F8" s="55" t="s">
        <v>746</v>
      </c>
      <c r="G8" s="55" t="s">
        <v>746</v>
      </c>
      <c r="H8" s="55" t="s">
        <v>746</v>
      </c>
      <c r="I8" s="55" t="s">
        <v>746</v>
      </c>
      <c r="J8" s="55" t="s">
        <v>746</v>
      </c>
      <c r="K8" s="55" t="s">
        <v>746</v>
      </c>
      <c r="L8" s="55"/>
      <c r="M8" s="55" t="s">
        <v>750</v>
      </c>
      <c r="N8" s="55" t="s">
        <v>750</v>
      </c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41">
        <f t="shared" si="2"/>
        <v>10</v>
      </c>
      <c r="AH8" s="42">
        <f t="shared" si="3"/>
        <v>33.333333333333336</v>
      </c>
      <c r="AK8" s="9"/>
      <c r="AM8" s="20"/>
      <c r="AN8" s="56"/>
      <c r="AO8" s="56"/>
      <c r="AP8" s="56"/>
      <c r="AQ8" s="57"/>
      <c r="AR8" s="20"/>
    </row>
    <row r="9" spans="1:44" ht="15.75" customHeight="1" x14ac:dyDescent="0.35">
      <c r="A9" s="7" t="s">
        <v>18</v>
      </c>
      <c r="B9" s="8" t="s">
        <v>669</v>
      </c>
      <c r="C9" s="8" t="s">
        <v>669</v>
      </c>
      <c r="D9" s="8" t="s">
        <v>669</v>
      </c>
      <c r="E9" s="8" t="s">
        <v>669</v>
      </c>
      <c r="F9" s="8" t="s">
        <v>669</v>
      </c>
      <c r="G9" s="8" t="s">
        <v>669</v>
      </c>
      <c r="H9" s="55"/>
      <c r="I9" s="55"/>
      <c r="J9" s="8"/>
      <c r="K9" s="8"/>
      <c r="L9" s="8" t="s">
        <v>450</v>
      </c>
      <c r="M9" s="8" t="s">
        <v>450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41">
        <f t="shared" si="2"/>
        <v>8</v>
      </c>
      <c r="AH9" s="42">
        <f t="shared" si="3"/>
        <v>26.666666666666668</v>
      </c>
      <c r="AM9" s="20"/>
      <c r="AN9" s="56"/>
      <c r="AO9" s="56"/>
      <c r="AP9" s="56"/>
      <c r="AQ9" s="57"/>
      <c r="AR9" s="20"/>
    </row>
    <row r="10" spans="1:44" ht="15.75" customHeight="1" x14ac:dyDescent="0.35">
      <c r="A10" s="7" t="s">
        <v>20</v>
      </c>
      <c r="B10" s="8" t="s">
        <v>669</v>
      </c>
      <c r="C10" s="8" t="s">
        <v>669</v>
      </c>
      <c r="D10" s="8" t="s">
        <v>669</v>
      </c>
      <c r="E10" s="8" t="s">
        <v>669</v>
      </c>
      <c r="F10" s="8" t="s">
        <v>669</v>
      </c>
      <c r="G10" s="8" t="s">
        <v>669</v>
      </c>
      <c r="H10" s="55"/>
      <c r="I10" s="55"/>
      <c r="J10" s="8"/>
      <c r="K10" s="8"/>
      <c r="L10" s="8" t="s">
        <v>450</v>
      </c>
      <c r="M10" s="8" t="s">
        <v>450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41">
        <f t="shared" si="2"/>
        <v>8</v>
      </c>
      <c r="AH10" s="42">
        <f t="shared" si="3"/>
        <v>26.666666666666668</v>
      </c>
      <c r="AM10" s="20"/>
      <c r="AN10" s="56"/>
      <c r="AO10" s="56"/>
      <c r="AP10" s="56"/>
      <c r="AQ10" s="57"/>
      <c r="AR10" s="20"/>
    </row>
    <row r="11" spans="1:44" ht="15.75" customHeight="1" thickBot="1" x14ac:dyDescent="0.4">
      <c r="A11" s="7" t="s">
        <v>24</v>
      </c>
      <c r="B11" s="55" t="s">
        <v>717</v>
      </c>
      <c r="C11" s="55" t="s">
        <v>717</v>
      </c>
      <c r="D11" s="55"/>
      <c r="E11" s="55" t="s">
        <v>748</v>
      </c>
      <c r="F11" s="55" t="s">
        <v>748</v>
      </c>
      <c r="G11" s="55" t="s">
        <v>748</v>
      </c>
      <c r="H11" s="55" t="s">
        <v>748</v>
      </c>
      <c r="I11" s="55" t="s">
        <v>748</v>
      </c>
      <c r="J11" s="55" t="s">
        <v>748</v>
      </c>
      <c r="K11" s="55" t="s">
        <v>748</v>
      </c>
      <c r="L11" s="55" t="s">
        <v>748</v>
      </c>
      <c r="M11" s="55" t="s">
        <v>748</v>
      </c>
      <c r="N11" s="55" t="s">
        <v>748</v>
      </c>
      <c r="O11" s="55" t="s">
        <v>748</v>
      </c>
      <c r="P11" s="55" t="s">
        <v>748</v>
      </c>
      <c r="Q11" s="55" t="s">
        <v>748</v>
      </c>
      <c r="R11" s="55" t="s">
        <v>748</v>
      </c>
      <c r="S11" s="55" t="s">
        <v>748</v>
      </c>
      <c r="T11" s="55" t="s">
        <v>748</v>
      </c>
      <c r="U11" s="55" t="s">
        <v>748</v>
      </c>
      <c r="V11" s="55" t="s">
        <v>748</v>
      </c>
      <c r="W11" s="55" t="s">
        <v>748</v>
      </c>
      <c r="X11" s="55"/>
      <c r="Y11" s="55"/>
      <c r="Z11" s="55"/>
      <c r="AA11" s="55"/>
      <c r="AB11" s="55"/>
      <c r="AC11" s="55"/>
      <c r="AD11" s="55"/>
      <c r="AE11" s="55"/>
      <c r="AF11" s="55"/>
      <c r="AG11" s="41">
        <f t="shared" si="2"/>
        <v>21</v>
      </c>
      <c r="AH11" s="42">
        <f t="shared" si="3"/>
        <v>70</v>
      </c>
      <c r="AM11" s="20"/>
      <c r="AN11" s="20"/>
      <c r="AO11" s="20"/>
      <c r="AP11" s="20"/>
      <c r="AQ11" s="20"/>
      <c r="AR11" s="20"/>
    </row>
    <row r="12" spans="1:44" ht="15" customHeight="1" x14ac:dyDescent="0.35">
      <c r="A12" s="45" t="s">
        <v>176</v>
      </c>
      <c r="B12" s="46">
        <f>COUNTA(B5:B11)</f>
        <v>4</v>
      </c>
      <c r="C12" s="46">
        <f>COUNTA(C5:C11)</f>
        <v>4</v>
      </c>
      <c r="D12" s="46">
        <f t="shared" ref="D12:AF12" si="4">COUNTA(D5:D11)</f>
        <v>4</v>
      </c>
      <c r="E12" s="46">
        <f t="shared" si="4"/>
        <v>5</v>
      </c>
      <c r="F12" s="46">
        <f t="shared" si="4"/>
        <v>5</v>
      </c>
      <c r="G12" s="46">
        <f t="shared" si="4"/>
        <v>5</v>
      </c>
      <c r="H12" s="46">
        <f t="shared" si="4"/>
        <v>3</v>
      </c>
      <c r="I12" s="46">
        <f t="shared" si="4"/>
        <v>3</v>
      </c>
      <c r="J12" s="46">
        <f t="shared" si="4"/>
        <v>3</v>
      </c>
      <c r="K12" s="46">
        <f t="shared" si="4"/>
        <v>3</v>
      </c>
      <c r="L12" s="46">
        <f t="shared" si="4"/>
        <v>5</v>
      </c>
      <c r="M12" s="46">
        <f t="shared" si="4"/>
        <v>6</v>
      </c>
      <c r="N12" s="46">
        <f t="shared" si="4"/>
        <v>3</v>
      </c>
      <c r="O12" s="46">
        <f t="shared" si="4"/>
        <v>2</v>
      </c>
      <c r="P12" s="46">
        <f t="shared" si="4"/>
        <v>2</v>
      </c>
      <c r="Q12" s="46">
        <f t="shared" si="4"/>
        <v>2</v>
      </c>
      <c r="R12" s="46">
        <f t="shared" si="4"/>
        <v>2</v>
      </c>
      <c r="S12" s="46">
        <f t="shared" si="4"/>
        <v>2</v>
      </c>
      <c r="T12" s="46">
        <f t="shared" si="4"/>
        <v>2</v>
      </c>
      <c r="U12" s="46">
        <f t="shared" si="4"/>
        <v>2</v>
      </c>
      <c r="V12" s="46">
        <f t="shared" si="4"/>
        <v>2</v>
      </c>
      <c r="W12" s="46">
        <f t="shared" si="4"/>
        <v>1</v>
      </c>
      <c r="X12" s="46">
        <f t="shared" si="4"/>
        <v>0</v>
      </c>
      <c r="Y12" s="46">
        <f t="shared" si="4"/>
        <v>0</v>
      </c>
      <c r="Z12" s="46">
        <f t="shared" si="4"/>
        <v>0</v>
      </c>
      <c r="AA12" s="46">
        <f t="shared" si="4"/>
        <v>0</v>
      </c>
      <c r="AB12" s="46">
        <f t="shared" si="4"/>
        <v>0</v>
      </c>
      <c r="AC12" s="46">
        <f>COUNTA(AC5:AC11)</f>
        <v>0</v>
      </c>
      <c r="AD12" s="46">
        <f>COUNTA(AD5:AD11)</f>
        <v>0</v>
      </c>
      <c r="AE12" s="46">
        <f>COUNTA(AE5:AE11)</f>
        <v>0</v>
      </c>
      <c r="AF12" s="46">
        <f t="shared" si="4"/>
        <v>0</v>
      </c>
      <c r="AG12" s="43">
        <f t="shared" ref="AG12" si="5">SUM(AG5:AG11)</f>
        <v>70</v>
      </c>
      <c r="AH12" s="44">
        <f>AVERAGE(AH5:AH11)</f>
        <v>33.333333333333329</v>
      </c>
      <c r="AI12" s="29"/>
      <c r="AM12" s="20"/>
      <c r="AN12" s="20"/>
      <c r="AO12" s="20"/>
      <c r="AP12" s="20"/>
      <c r="AQ12" s="20"/>
      <c r="AR12" s="20"/>
    </row>
    <row r="13" spans="1:44" ht="57" hidden="1" x14ac:dyDescent="0.35">
      <c r="A13" s="13" t="s">
        <v>28</v>
      </c>
      <c r="B13" s="14"/>
      <c r="C13" s="14"/>
      <c r="D13" s="14"/>
      <c r="E13" s="14"/>
      <c r="F13" s="14"/>
      <c r="G13" s="14"/>
      <c r="H13" s="14"/>
      <c r="I13" s="35"/>
      <c r="J13" s="34"/>
      <c r="K13" s="15"/>
      <c r="L13" s="14"/>
      <c r="M13" s="14"/>
      <c r="N13" s="25"/>
      <c r="O13" s="25"/>
      <c r="P13" s="25"/>
      <c r="Q13" s="14"/>
      <c r="R13" s="14"/>
      <c r="S13" s="14"/>
      <c r="T13" s="14"/>
      <c r="U13" s="14"/>
      <c r="V13" s="15"/>
      <c r="W13" s="15"/>
      <c r="X13" s="14"/>
      <c r="Y13" s="14"/>
      <c r="Z13" s="14"/>
      <c r="AA13" s="14"/>
      <c r="AB13" s="14"/>
      <c r="AC13" s="14"/>
      <c r="AD13" s="14"/>
      <c r="AE13" s="14"/>
      <c r="AF13" s="14"/>
      <c r="AG13" s="37"/>
      <c r="AH13" s="37"/>
      <c r="AM13" s="20"/>
      <c r="AN13" s="20"/>
      <c r="AO13" s="20"/>
      <c r="AP13" s="20"/>
      <c r="AQ13" s="20"/>
      <c r="AR13" s="20"/>
    </row>
    <row r="14" spans="1:44" ht="28.5" hidden="1" x14ac:dyDescent="0.35">
      <c r="A14" s="16" t="s">
        <v>29</v>
      </c>
      <c r="B14" s="14"/>
      <c r="C14" s="14"/>
      <c r="D14" s="14"/>
      <c r="E14" s="14"/>
      <c r="F14" s="14"/>
      <c r="G14" s="14"/>
      <c r="H14" s="14"/>
      <c r="I14" s="35"/>
      <c r="J14" s="34"/>
      <c r="K14" s="15"/>
      <c r="L14" s="14"/>
      <c r="M14" s="14"/>
      <c r="N14" s="25"/>
      <c r="O14" s="25"/>
      <c r="P14" s="25"/>
      <c r="Q14" s="14"/>
      <c r="R14" s="14"/>
      <c r="S14" s="14"/>
      <c r="T14" s="14"/>
      <c r="U14" s="14"/>
      <c r="V14" s="15"/>
      <c r="W14" s="15"/>
      <c r="X14" s="14"/>
      <c r="Y14" s="14"/>
      <c r="Z14" s="14"/>
      <c r="AA14" s="14"/>
      <c r="AB14" s="14"/>
      <c r="AC14" s="14"/>
      <c r="AD14" s="14"/>
      <c r="AE14" s="14"/>
      <c r="AF14" s="14"/>
      <c r="AG14" s="37"/>
      <c r="AH14" s="37"/>
      <c r="AM14" s="20"/>
      <c r="AN14" s="20"/>
      <c r="AO14" s="20"/>
      <c r="AP14" s="20"/>
      <c r="AQ14" s="20"/>
      <c r="AR14" s="20"/>
    </row>
    <row r="15" spans="1:44" x14ac:dyDescent="0.35">
      <c r="A15" s="7" t="s">
        <v>30</v>
      </c>
      <c r="B15" s="8" t="s">
        <v>561</v>
      </c>
      <c r="C15" s="8" t="s">
        <v>561</v>
      </c>
      <c r="D15" s="8" t="s">
        <v>561</v>
      </c>
      <c r="E15" s="8" t="s">
        <v>561</v>
      </c>
      <c r="F15" s="8" t="s">
        <v>561</v>
      </c>
      <c r="G15" s="8" t="s">
        <v>561</v>
      </c>
      <c r="H15" s="8" t="s">
        <v>561</v>
      </c>
      <c r="I15" s="8" t="s">
        <v>561</v>
      </c>
      <c r="J15" s="8" t="s">
        <v>561</v>
      </c>
      <c r="K15" s="8" t="s">
        <v>561</v>
      </c>
      <c r="L15" s="8" t="s">
        <v>561</v>
      </c>
      <c r="M15" s="8" t="s">
        <v>561</v>
      </c>
      <c r="N15" s="8" t="s">
        <v>561</v>
      </c>
      <c r="O15" s="8" t="s">
        <v>561</v>
      </c>
      <c r="P15" s="8" t="s">
        <v>561</v>
      </c>
      <c r="Q15" s="8" t="s">
        <v>561</v>
      </c>
      <c r="R15" s="8" t="s">
        <v>561</v>
      </c>
      <c r="S15" s="8" t="s">
        <v>561</v>
      </c>
      <c r="T15" s="8" t="s">
        <v>561</v>
      </c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41">
        <f>COUNTA(B15:AF15)</f>
        <v>19</v>
      </c>
      <c r="AH15" s="42">
        <f>AG15*100/30</f>
        <v>63.333333333333336</v>
      </c>
      <c r="AM15" s="20"/>
      <c r="AN15" s="20"/>
      <c r="AO15" s="20"/>
      <c r="AP15" s="20"/>
      <c r="AQ15" s="20"/>
      <c r="AR15" s="20"/>
    </row>
    <row r="16" spans="1:44" x14ac:dyDescent="0.35">
      <c r="A16" s="7" t="s">
        <v>35</v>
      </c>
      <c r="B16" s="8" t="s">
        <v>391</v>
      </c>
      <c r="C16" s="8" t="s">
        <v>391</v>
      </c>
      <c r="D16" s="8" t="s">
        <v>391</v>
      </c>
      <c r="E16" s="8" t="s">
        <v>391</v>
      </c>
      <c r="F16" s="8" t="s">
        <v>391</v>
      </c>
      <c r="G16" s="8" t="s">
        <v>391</v>
      </c>
      <c r="H16" s="8" t="s">
        <v>391</v>
      </c>
      <c r="I16" s="8" t="s">
        <v>391</v>
      </c>
      <c r="J16" s="8" t="s">
        <v>391</v>
      </c>
      <c r="K16" s="8" t="s">
        <v>391</v>
      </c>
      <c r="L16" s="8" t="s">
        <v>391</v>
      </c>
      <c r="M16" s="8" t="s">
        <v>391</v>
      </c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41">
        <f t="shared" ref="AG16:AG22" si="6">COUNTA(B16:AF16)</f>
        <v>12</v>
      </c>
      <c r="AH16" s="42">
        <f t="shared" ref="AH16:AH22" si="7">AG16*100/30</f>
        <v>40</v>
      </c>
      <c r="AM16" s="20"/>
      <c r="AN16" s="20"/>
      <c r="AO16" s="56"/>
      <c r="AP16" s="56"/>
      <c r="AQ16" s="20"/>
      <c r="AR16" s="20"/>
    </row>
    <row r="17" spans="1:50" x14ac:dyDescent="0.35">
      <c r="A17" s="7" t="s">
        <v>39</v>
      </c>
      <c r="B17" s="8" t="s">
        <v>669</v>
      </c>
      <c r="C17" s="8" t="s">
        <v>669</v>
      </c>
      <c r="D17" s="8" t="s">
        <v>669</v>
      </c>
      <c r="E17" s="8" t="s">
        <v>669</v>
      </c>
      <c r="F17" s="8" t="s">
        <v>669</v>
      </c>
      <c r="G17" s="55"/>
      <c r="H17" s="55"/>
      <c r="I17" s="8"/>
      <c r="J17" s="55"/>
      <c r="K17" s="55"/>
      <c r="L17" s="55" t="s">
        <v>450</v>
      </c>
      <c r="M17" s="55" t="s">
        <v>450</v>
      </c>
      <c r="N17" s="55"/>
      <c r="O17" s="8"/>
      <c r="P17" s="55"/>
      <c r="Q17" s="55"/>
      <c r="R17" s="55"/>
      <c r="S17" s="8"/>
      <c r="T17" s="55"/>
      <c r="U17" s="55"/>
      <c r="V17" s="55"/>
      <c r="W17" s="55"/>
      <c r="X17" s="55"/>
      <c r="Y17" s="8"/>
      <c r="Z17" s="55"/>
      <c r="AA17" s="55"/>
      <c r="AB17" s="55"/>
      <c r="AC17" s="55"/>
      <c r="AD17" s="55"/>
      <c r="AE17" s="55"/>
      <c r="AF17" s="8"/>
      <c r="AG17" s="41">
        <f t="shared" si="6"/>
        <v>7</v>
      </c>
      <c r="AH17" s="42">
        <f t="shared" si="7"/>
        <v>23.333333333333332</v>
      </c>
      <c r="AM17" s="20"/>
      <c r="AN17" s="20"/>
      <c r="AO17" s="20"/>
      <c r="AP17" s="20"/>
      <c r="AQ17" s="20"/>
      <c r="AR17" s="20"/>
      <c r="AX17" s="58"/>
    </row>
    <row r="18" spans="1:50" x14ac:dyDescent="0.35">
      <c r="A18" s="7" t="s">
        <v>42</v>
      </c>
      <c r="B18" s="8"/>
      <c r="C18" s="8" t="s">
        <v>547</v>
      </c>
      <c r="D18" s="8" t="s">
        <v>547</v>
      </c>
      <c r="E18" s="8" t="s">
        <v>547</v>
      </c>
      <c r="F18" s="8" t="s">
        <v>547</v>
      </c>
      <c r="G18" s="55"/>
      <c r="H18" s="55"/>
      <c r="I18" s="8"/>
      <c r="J18" s="8"/>
      <c r="K18" s="55"/>
      <c r="L18" s="55" t="s">
        <v>450</v>
      </c>
      <c r="M18" s="55" t="s">
        <v>450</v>
      </c>
      <c r="N18" s="55"/>
      <c r="O18" s="8"/>
      <c r="P18" s="8"/>
      <c r="Q18" s="55"/>
      <c r="R18" s="55"/>
      <c r="S18" s="8"/>
      <c r="T18" s="8"/>
      <c r="U18" s="55"/>
      <c r="V18" s="55"/>
      <c r="W18" s="55"/>
      <c r="X18" s="55"/>
      <c r="Y18" s="8"/>
      <c r="Z18" s="8"/>
      <c r="AA18" s="55"/>
      <c r="AB18" s="55"/>
      <c r="AC18" s="55"/>
      <c r="AD18" s="55"/>
      <c r="AE18" s="55"/>
      <c r="AF18" s="8"/>
      <c r="AG18" s="41">
        <f t="shared" si="6"/>
        <v>6</v>
      </c>
      <c r="AH18" s="42">
        <f t="shared" si="7"/>
        <v>20</v>
      </c>
      <c r="AM18" s="20"/>
      <c r="AN18" s="20"/>
      <c r="AO18" s="20"/>
      <c r="AP18" s="20"/>
      <c r="AQ18" s="20"/>
      <c r="AR18" s="20"/>
      <c r="AX18" s="58"/>
    </row>
    <row r="19" spans="1:50" x14ac:dyDescent="0.35">
      <c r="A19" s="7" t="s">
        <v>45</v>
      </c>
      <c r="B19" s="8"/>
      <c r="C19" s="8" t="s">
        <v>547</v>
      </c>
      <c r="D19" s="8" t="s">
        <v>547</v>
      </c>
      <c r="E19" s="8" t="s">
        <v>547</v>
      </c>
      <c r="F19" s="8" t="s">
        <v>547</v>
      </c>
      <c r="G19" s="55"/>
      <c r="H19" s="55"/>
      <c r="I19" s="8"/>
      <c r="J19" s="55" t="s">
        <v>524</v>
      </c>
      <c r="K19" s="55"/>
      <c r="L19" s="55" t="s">
        <v>450</v>
      </c>
      <c r="M19" s="55" t="s">
        <v>450</v>
      </c>
      <c r="N19" s="55"/>
      <c r="O19" s="8"/>
      <c r="P19" s="55"/>
      <c r="Q19" s="55"/>
      <c r="R19" s="55"/>
      <c r="S19" s="8"/>
      <c r="T19" s="55"/>
      <c r="U19" s="55"/>
      <c r="V19" s="55"/>
      <c r="W19" s="55"/>
      <c r="X19" s="55"/>
      <c r="Y19" s="8"/>
      <c r="Z19" s="55"/>
      <c r="AA19" s="55"/>
      <c r="AB19" s="55"/>
      <c r="AC19" s="55"/>
      <c r="AD19" s="55"/>
      <c r="AE19" s="55"/>
      <c r="AF19" s="8"/>
      <c r="AG19" s="41">
        <f t="shared" si="6"/>
        <v>7</v>
      </c>
      <c r="AH19" s="42">
        <f t="shared" si="7"/>
        <v>23.333333333333332</v>
      </c>
      <c r="AM19" s="20"/>
      <c r="AN19" s="20"/>
      <c r="AO19" s="20"/>
      <c r="AP19" s="20"/>
      <c r="AQ19" s="20"/>
      <c r="AR19" s="20"/>
      <c r="AX19" s="58"/>
    </row>
    <row r="20" spans="1:50" x14ac:dyDescent="0.35">
      <c r="A20" s="7" t="s">
        <v>47</v>
      </c>
      <c r="B20" s="55"/>
      <c r="C20" s="8" t="s">
        <v>547</v>
      </c>
      <c r="D20" s="8" t="s">
        <v>547</v>
      </c>
      <c r="E20" s="8" t="s">
        <v>547</v>
      </c>
      <c r="F20" s="8" t="s">
        <v>547</v>
      </c>
      <c r="G20" s="55"/>
      <c r="H20" s="55"/>
      <c r="I20" s="55"/>
      <c r="J20" s="55" t="s">
        <v>749</v>
      </c>
      <c r="K20" s="55"/>
      <c r="L20" s="55" t="s">
        <v>450</v>
      </c>
      <c r="M20" s="55" t="s">
        <v>450</v>
      </c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41">
        <f t="shared" si="6"/>
        <v>7</v>
      </c>
      <c r="AH20" s="42">
        <f t="shared" si="7"/>
        <v>23.333333333333332</v>
      </c>
      <c r="AM20" s="20"/>
      <c r="AN20" s="20"/>
      <c r="AO20" s="20"/>
      <c r="AP20" s="20"/>
      <c r="AQ20" s="20"/>
      <c r="AR20" s="20"/>
      <c r="AX20" s="58"/>
    </row>
    <row r="21" spans="1:50" x14ac:dyDescent="0.35">
      <c r="A21" s="7" t="s">
        <v>50</v>
      </c>
      <c r="B21" s="55" t="s">
        <v>562</v>
      </c>
      <c r="C21" s="55" t="s">
        <v>562</v>
      </c>
      <c r="D21" s="55" t="s">
        <v>562</v>
      </c>
      <c r="E21" s="55" t="s">
        <v>562</v>
      </c>
      <c r="F21" s="55" t="s">
        <v>562</v>
      </c>
      <c r="G21" s="55" t="s">
        <v>562</v>
      </c>
      <c r="H21" s="55" t="s">
        <v>562</v>
      </c>
      <c r="I21" s="55" t="s">
        <v>562</v>
      </c>
      <c r="J21" s="55" t="s">
        <v>562</v>
      </c>
      <c r="K21" s="55" t="s">
        <v>562</v>
      </c>
      <c r="L21" s="55" t="s">
        <v>562</v>
      </c>
      <c r="M21" s="55" t="s">
        <v>562</v>
      </c>
      <c r="N21" s="55" t="s">
        <v>562</v>
      </c>
      <c r="O21" s="55" t="s">
        <v>562</v>
      </c>
      <c r="P21" s="55" t="s">
        <v>562</v>
      </c>
      <c r="Q21" s="55" t="s">
        <v>562</v>
      </c>
      <c r="R21" s="55" t="s">
        <v>562</v>
      </c>
      <c r="S21" s="55" t="s">
        <v>562</v>
      </c>
      <c r="T21" s="55" t="s">
        <v>562</v>
      </c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41">
        <f t="shared" si="6"/>
        <v>19</v>
      </c>
      <c r="AH21" s="42">
        <f t="shared" si="7"/>
        <v>63.333333333333336</v>
      </c>
      <c r="AM21" s="20"/>
      <c r="AN21" s="20"/>
      <c r="AO21" s="20"/>
      <c r="AP21" s="20"/>
      <c r="AQ21" s="20"/>
      <c r="AR21" s="20"/>
      <c r="AX21" s="58"/>
    </row>
    <row r="22" spans="1:50" ht="15" thickBot="1" x14ac:dyDescent="0.4">
      <c r="A22" s="7" t="s">
        <v>51</v>
      </c>
      <c r="B22" s="8"/>
      <c r="C22" s="8"/>
      <c r="D22" s="55" t="s">
        <v>747</v>
      </c>
      <c r="E22" s="55" t="s">
        <v>747</v>
      </c>
      <c r="F22" s="55" t="s">
        <v>747</v>
      </c>
      <c r="G22" s="55" t="s">
        <v>747</v>
      </c>
      <c r="H22" s="55" t="s">
        <v>747</v>
      </c>
      <c r="I22" s="55" t="s">
        <v>747</v>
      </c>
      <c r="J22" s="55" t="s">
        <v>747</v>
      </c>
      <c r="K22" s="55" t="s">
        <v>747</v>
      </c>
      <c r="L22" s="55"/>
      <c r="M22" s="55" t="s">
        <v>750</v>
      </c>
      <c r="N22" s="55" t="s">
        <v>750</v>
      </c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41">
        <f t="shared" si="6"/>
        <v>10</v>
      </c>
      <c r="AH22" s="42">
        <f t="shared" si="7"/>
        <v>33.333333333333336</v>
      </c>
      <c r="AX22" s="58"/>
    </row>
    <row r="23" spans="1:50" ht="15.5" x14ac:dyDescent="0.35">
      <c r="A23" s="45" t="s">
        <v>176</v>
      </c>
      <c r="B23" s="46">
        <f>COUNTA(B15:B22)</f>
        <v>4</v>
      </c>
      <c r="C23" s="46">
        <f>COUNTA(C16:C22)</f>
        <v>6</v>
      </c>
      <c r="D23" s="46">
        <f>COUNTA(D16:D22)</f>
        <v>7</v>
      </c>
      <c r="E23" s="46">
        <f t="shared" ref="E23:AF23" si="8">COUNTA(E15:E22)</f>
        <v>8</v>
      </c>
      <c r="F23" s="46">
        <f t="shared" si="8"/>
        <v>8</v>
      </c>
      <c r="G23" s="46">
        <f t="shared" si="8"/>
        <v>4</v>
      </c>
      <c r="H23" s="46">
        <f t="shared" si="8"/>
        <v>4</v>
      </c>
      <c r="I23" s="46">
        <f t="shared" si="8"/>
        <v>4</v>
      </c>
      <c r="J23" s="46">
        <f t="shared" si="8"/>
        <v>6</v>
      </c>
      <c r="K23" s="46">
        <f t="shared" si="8"/>
        <v>4</v>
      </c>
      <c r="L23" s="46">
        <f t="shared" si="8"/>
        <v>7</v>
      </c>
      <c r="M23" s="46">
        <f t="shared" si="8"/>
        <v>8</v>
      </c>
      <c r="N23" s="46">
        <f t="shared" si="8"/>
        <v>3</v>
      </c>
      <c r="O23" s="46">
        <f t="shared" si="8"/>
        <v>2</v>
      </c>
      <c r="P23" s="46">
        <f t="shared" si="8"/>
        <v>2</v>
      </c>
      <c r="Q23" s="46">
        <f t="shared" si="8"/>
        <v>2</v>
      </c>
      <c r="R23" s="46">
        <f t="shared" si="8"/>
        <v>2</v>
      </c>
      <c r="S23" s="46">
        <f t="shared" si="8"/>
        <v>2</v>
      </c>
      <c r="T23" s="46">
        <f>COUNTA(T15:T22)</f>
        <v>2</v>
      </c>
      <c r="U23" s="46">
        <f t="shared" si="8"/>
        <v>0</v>
      </c>
      <c r="V23" s="46">
        <f t="shared" si="8"/>
        <v>0</v>
      </c>
      <c r="W23" s="46">
        <f t="shared" si="8"/>
        <v>0</v>
      </c>
      <c r="X23" s="46">
        <f t="shared" si="8"/>
        <v>0</v>
      </c>
      <c r="Y23" s="46">
        <f t="shared" si="8"/>
        <v>0</v>
      </c>
      <c r="Z23" s="46">
        <f t="shared" si="8"/>
        <v>0</v>
      </c>
      <c r="AA23" s="46">
        <f t="shared" si="8"/>
        <v>0</v>
      </c>
      <c r="AB23" s="46">
        <f t="shared" si="8"/>
        <v>0</v>
      </c>
      <c r="AC23" s="46">
        <f t="shared" si="8"/>
        <v>0</v>
      </c>
      <c r="AD23" s="46">
        <f t="shared" si="8"/>
        <v>0</v>
      </c>
      <c r="AE23" s="46">
        <f t="shared" si="8"/>
        <v>0</v>
      </c>
      <c r="AF23" s="46">
        <f t="shared" si="8"/>
        <v>0</v>
      </c>
      <c r="AG23" s="43">
        <f>SUM(AG15:AG22)</f>
        <v>87</v>
      </c>
      <c r="AH23" s="66">
        <f>AVERAGE(AH15:AH22)</f>
        <v>36.25</v>
      </c>
      <c r="AX23" s="58"/>
    </row>
    <row r="24" spans="1:50" ht="15.5" x14ac:dyDescent="0.35">
      <c r="A24" s="47" t="s">
        <v>178</v>
      </c>
      <c r="B24" s="52">
        <f>B12+B23</f>
        <v>8</v>
      </c>
      <c r="C24" s="52">
        <f t="shared" ref="C24:AF24" si="9">C12+C23</f>
        <v>10</v>
      </c>
      <c r="D24" s="52">
        <f t="shared" si="9"/>
        <v>11</v>
      </c>
      <c r="E24" s="52">
        <f t="shared" si="9"/>
        <v>13</v>
      </c>
      <c r="F24" s="52">
        <f t="shared" si="9"/>
        <v>13</v>
      </c>
      <c r="G24" s="52">
        <f t="shared" si="9"/>
        <v>9</v>
      </c>
      <c r="H24" s="52">
        <f t="shared" si="9"/>
        <v>7</v>
      </c>
      <c r="I24" s="52">
        <f t="shared" si="9"/>
        <v>7</v>
      </c>
      <c r="J24" s="52">
        <f t="shared" si="9"/>
        <v>9</v>
      </c>
      <c r="K24" s="52">
        <f t="shared" si="9"/>
        <v>7</v>
      </c>
      <c r="L24" s="52">
        <f t="shared" si="9"/>
        <v>12</v>
      </c>
      <c r="M24" s="52">
        <f t="shared" si="9"/>
        <v>14</v>
      </c>
      <c r="N24" s="52">
        <f t="shared" si="9"/>
        <v>6</v>
      </c>
      <c r="O24" s="52">
        <f t="shared" si="9"/>
        <v>4</v>
      </c>
      <c r="P24" s="52">
        <f t="shared" si="9"/>
        <v>4</v>
      </c>
      <c r="Q24" s="52">
        <f t="shared" si="9"/>
        <v>4</v>
      </c>
      <c r="R24" s="52">
        <f t="shared" si="9"/>
        <v>4</v>
      </c>
      <c r="S24" s="52">
        <f t="shared" si="9"/>
        <v>4</v>
      </c>
      <c r="T24" s="52">
        <f t="shared" si="9"/>
        <v>4</v>
      </c>
      <c r="U24" s="52">
        <f t="shared" si="9"/>
        <v>2</v>
      </c>
      <c r="V24" s="52">
        <f t="shared" si="9"/>
        <v>2</v>
      </c>
      <c r="W24" s="52">
        <f t="shared" si="9"/>
        <v>1</v>
      </c>
      <c r="X24" s="52">
        <f t="shared" si="9"/>
        <v>0</v>
      </c>
      <c r="Y24" s="52">
        <f t="shared" si="9"/>
        <v>0</v>
      </c>
      <c r="Z24" s="52">
        <f t="shared" si="9"/>
        <v>0</v>
      </c>
      <c r="AA24" s="52">
        <f t="shared" si="9"/>
        <v>0</v>
      </c>
      <c r="AB24" s="52">
        <f t="shared" si="9"/>
        <v>0</v>
      </c>
      <c r="AC24" s="52">
        <f t="shared" si="9"/>
        <v>0</v>
      </c>
      <c r="AD24" s="52">
        <f t="shared" si="9"/>
        <v>0</v>
      </c>
      <c r="AE24" s="52">
        <f t="shared" si="9"/>
        <v>0</v>
      </c>
      <c r="AF24" s="52">
        <f t="shared" si="9"/>
        <v>0</v>
      </c>
      <c r="AG24" s="49">
        <f>+AG12+AG23</f>
        <v>157</v>
      </c>
      <c r="AX24" s="58"/>
    </row>
    <row r="25" spans="1:50" ht="15.5" x14ac:dyDescent="0.35">
      <c r="A25" s="48" t="s">
        <v>179</v>
      </c>
      <c r="B25" s="42">
        <f>B24*100/15</f>
        <v>53.333333333333336</v>
      </c>
      <c r="C25" s="42">
        <f t="shared" ref="C25:AF25" si="10">C24*100/15</f>
        <v>66.666666666666671</v>
      </c>
      <c r="D25" s="42">
        <f t="shared" si="10"/>
        <v>73.333333333333329</v>
      </c>
      <c r="E25" s="42">
        <f t="shared" si="10"/>
        <v>86.666666666666671</v>
      </c>
      <c r="F25" s="42">
        <f t="shared" si="10"/>
        <v>86.666666666666671</v>
      </c>
      <c r="G25" s="42">
        <f t="shared" si="10"/>
        <v>60</v>
      </c>
      <c r="H25" s="42">
        <f t="shared" si="10"/>
        <v>46.666666666666664</v>
      </c>
      <c r="I25" s="42">
        <f t="shared" si="10"/>
        <v>46.666666666666664</v>
      </c>
      <c r="J25" s="42">
        <f t="shared" si="10"/>
        <v>60</v>
      </c>
      <c r="K25" s="42">
        <f t="shared" si="10"/>
        <v>46.666666666666664</v>
      </c>
      <c r="L25" s="42">
        <f t="shared" si="10"/>
        <v>80</v>
      </c>
      <c r="M25" s="42">
        <f t="shared" si="10"/>
        <v>93.333333333333329</v>
      </c>
      <c r="N25" s="42">
        <f t="shared" si="10"/>
        <v>40</v>
      </c>
      <c r="O25" s="42">
        <f t="shared" si="10"/>
        <v>26.666666666666668</v>
      </c>
      <c r="P25" s="42">
        <f t="shared" si="10"/>
        <v>26.666666666666668</v>
      </c>
      <c r="Q25" s="42">
        <f t="shared" si="10"/>
        <v>26.666666666666668</v>
      </c>
      <c r="R25" s="42">
        <f t="shared" si="10"/>
        <v>26.666666666666668</v>
      </c>
      <c r="S25" s="42">
        <f t="shared" si="10"/>
        <v>26.666666666666668</v>
      </c>
      <c r="T25" s="42">
        <f t="shared" si="10"/>
        <v>26.666666666666668</v>
      </c>
      <c r="U25" s="42">
        <f t="shared" si="10"/>
        <v>13.333333333333334</v>
      </c>
      <c r="V25" s="42">
        <f t="shared" si="10"/>
        <v>13.333333333333334</v>
      </c>
      <c r="W25" s="42">
        <f t="shared" si="10"/>
        <v>6.666666666666667</v>
      </c>
      <c r="X25" s="42">
        <f t="shared" si="10"/>
        <v>0</v>
      </c>
      <c r="Y25" s="42">
        <f t="shared" si="10"/>
        <v>0</v>
      </c>
      <c r="Z25" s="42">
        <f t="shared" si="10"/>
        <v>0</v>
      </c>
      <c r="AA25" s="42">
        <f t="shared" si="10"/>
        <v>0</v>
      </c>
      <c r="AB25" s="42">
        <f t="shared" si="10"/>
        <v>0</v>
      </c>
      <c r="AC25" s="42">
        <f t="shared" si="10"/>
        <v>0</v>
      </c>
      <c r="AD25" s="42">
        <f t="shared" si="10"/>
        <v>0</v>
      </c>
      <c r="AE25" s="42">
        <f t="shared" si="10"/>
        <v>0</v>
      </c>
      <c r="AF25" s="42">
        <f t="shared" si="10"/>
        <v>0</v>
      </c>
      <c r="AG25" s="50">
        <f>AVERAGE(B25:AE25)</f>
        <v>34.444444444444443</v>
      </c>
      <c r="AH25" s="51" t="s">
        <v>180</v>
      </c>
      <c r="AX25" s="58"/>
    </row>
    <row r="26" spans="1:50" x14ac:dyDescent="0.35">
      <c r="AX26" s="58"/>
    </row>
  </sheetData>
  <mergeCells count="2">
    <mergeCell ref="A1:AE1"/>
    <mergeCell ref="AM3:AR3"/>
  </mergeCells>
  <conditionalFormatting sqref="B11:C11">
    <cfRule type="colorScale" priority="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22:C22">
    <cfRule type="colorScale" priority="8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7:F17">
    <cfRule type="colorScale" priority="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9:G9">
    <cfRule type="colorScale" priority="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0:G10">
    <cfRule type="colorScale" priority="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5:T15">
    <cfRule type="colorScale" priority="10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21:T21">
    <cfRule type="colorScale" priority="9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6:V6">
    <cfRule type="colorScale" priority="1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5:AF5">
    <cfRule type="colorScale" priority="30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6:AF16">
    <cfRule type="colorScale" priority="18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C19:F19">
    <cfRule type="colorScale" priority="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C20:F20">
    <cfRule type="colorScale" priority="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D22:N22">
    <cfRule type="colorScale" priority="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D11:AC11">
    <cfRule type="colorScale" priority="2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G20:AF20 B20">
    <cfRule type="colorScale" priority="19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I17:I18 J18 O17:O18 P18 S17:S18 T18 Y17:Y18 Z18 AF17:AF18 B18:F18">
    <cfRule type="colorScale" priority="2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I19 B19 O19 S19 Y19 AF19">
    <cfRule type="colorScale" priority="2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J17:L17 J19:L19 K18:L18 P17:R17 P19:R19 Q18:R18 T17:X17 T19:X19 U18:X18 Z17:AE17 Z19:AE19 AA18:AE18 G17:H19 M17:N19">
    <cfRule type="colorScale" priority="29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J9:AF9">
    <cfRule type="colorScale" priority="1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J10:AF10">
    <cfRule type="colorScale" priority="1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L13:U14 B13:I14 X13:AH14">
    <cfRule type="colorScale" priority="3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O22:AF22">
    <cfRule type="colorScale" priority="2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U15:AF15">
    <cfRule type="colorScale" priority="20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U21:AF21">
    <cfRule type="colorScale" priority="2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W6:AF6">
    <cfRule type="colorScale" priority="2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D11:AF11 H9:I10 B7:AF8">
    <cfRule type="colorScale" priority="27">
      <colorScale>
        <cfvo type="num" val="1"/>
        <cfvo type="max"/>
        <color theme="4" tint="0.59999389629810485"/>
        <color theme="5" tint="0.59999389629810485"/>
      </colorScale>
    </cfRule>
  </conditionalFormatting>
  <pageMargins left="0.2" right="0.45" top="0.75" bottom="0.75" header="0.3" footer="0.3"/>
  <pageSetup scale="90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45AAF-1F48-423B-913C-AB24F1F0DA29}">
  <dimension ref="A1:AX26"/>
  <sheetViews>
    <sheetView zoomScale="86" zoomScaleNormal="86" workbookViewId="0">
      <pane xSplit="1" ySplit="4" topLeftCell="T5" activePane="bottomRight" state="frozen"/>
      <selection pane="topRight" activeCell="B1" sqref="B1"/>
      <selection pane="bottomLeft" activeCell="A5" sqref="A5"/>
      <selection pane="bottomRight" activeCell="V37" sqref="V37"/>
    </sheetView>
  </sheetViews>
  <sheetFormatPr defaultRowHeight="14.5" x14ac:dyDescent="0.35"/>
  <cols>
    <col min="1" max="1" width="43.7265625" customWidth="1"/>
    <col min="2" max="4" width="16.7265625" bestFit="1" customWidth="1"/>
    <col min="5" max="6" width="15.81640625" bestFit="1" customWidth="1"/>
    <col min="7" max="7" width="14.81640625" bestFit="1" customWidth="1"/>
    <col min="8" max="8" width="13.453125" customWidth="1"/>
    <col min="9" max="9" width="14.81640625" bestFit="1" customWidth="1"/>
    <col min="10" max="10" width="14.1796875" bestFit="1" customWidth="1"/>
    <col min="11" max="13" width="10.1796875" bestFit="1" customWidth="1"/>
    <col min="14" max="15" width="11.453125" bestFit="1" customWidth="1"/>
    <col min="16" max="16" width="11.81640625" bestFit="1" customWidth="1"/>
    <col min="17" max="18" width="12" bestFit="1" customWidth="1"/>
    <col min="19" max="21" width="11.81640625" bestFit="1" customWidth="1"/>
    <col min="22" max="22" width="14.1796875" bestFit="1" customWidth="1"/>
    <col min="23" max="23" width="16.81640625" bestFit="1" customWidth="1"/>
    <col min="24" max="25" width="12.81640625" bestFit="1" customWidth="1"/>
    <col min="26" max="30" width="10.54296875" bestFit="1" customWidth="1"/>
    <col min="31" max="31" width="10.453125" customWidth="1"/>
    <col min="32" max="32" width="11.453125" bestFit="1" customWidth="1"/>
    <col min="33" max="33" width="4.7265625" bestFit="1" customWidth="1"/>
    <col min="34" max="34" width="8.453125" bestFit="1" customWidth="1"/>
    <col min="35" max="35" width="8" bestFit="1" customWidth="1"/>
    <col min="36" max="36" width="8.453125" customWidth="1"/>
    <col min="37" max="37" width="0" hidden="1" customWidth="1"/>
    <col min="38" max="38" width="3" hidden="1" customWidth="1"/>
    <col min="39" max="39" width="17.81640625" bestFit="1" customWidth="1"/>
    <col min="40" max="40" width="9.1796875" bestFit="1" customWidth="1"/>
    <col min="41" max="41" width="9.81640625" bestFit="1" customWidth="1"/>
    <col min="42" max="42" width="10.81640625" bestFit="1" customWidth="1"/>
    <col min="43" max="43" width="10.1796875" bestFit="1" customWidth="1"/>
    <col min="44" max="44" width="23.1796875" bestFit="1" customWidth="1"/>
    <col min="45" max="45" width="0.453125" hidden="1" customWidth="1"/>
    <col min="46" max="49" width="0" hidden="1" customWidth="1"/>
    <col min="51" max="51" width="15" bestFit="1" customWidth="1"/>
  </cols>
  <sheetData>
    <row r="1" spans="1:44" ht="15.5" x14ac:dyDescent="0.35">
      <c r="A1" s="120" t="s">
        <v>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65"/>
    </row>
    <row r="2" spans="1:44" ht="15" thickBot="1" x14ac:dyDescent="0.4"/>
    <row r="3" spans="1:44" ht="45.75" customHeight="1" x14ac:dyDescent="0.35">
      <c r="A3" s="1" t="s">
        <v>1</v>
      </c>
      <c r="B3" s="2">
        <f>AI4</f>
        <v>45627</v>
      </c>
      <c r="C3" s="2">
        <f t="shared" ref="C3:AF3" si="0">B3+1</f>
        <v>45628</v>
      </c>
      <c r="D3" s="2">
        <f t="shared" si="0"/>
        <v>45629</v>
      </c>
      <c r="E3" s="2">
        <f t="shared" si="0"/>
        <v>45630</v>
      </c>
      <c r="F3" s="2">
        <f t="shared" si="0"/>
        <v>45631</v>
      </c>
      <c r="G3" s="2">
        <f t="shared" si="0"/>
        <v>45632</v>
      </c>
      <c r="H3" s="2">
        <f t="shared" si="0"/>
        <v>45633</v>
      </c>
      <c r="I3" s="2">
        <f>H3+1</f>
        <v>45634</v>
      </c>
      <c r="J3" s="2">
        <f t="shared" si="0"/>
        <v>45635</v>
      </c>
      <c r="K3" s="2">
        <f t="shared" si="0"/>
        <v>45636</v>
      </c>
      <c r="L3" s="2">
        <f t="shared" si="0"/>
        <v>45637</v>
      </c>
      <c r="M3" s="2">
        <f t="shared" si="0"/>
        <v>45638</v>
      </c>
      <c r="N3" s="2">
        <f t="shared" si="0"/>
        <v>45639</v>
      </c>
      <c r="O3" s="2">
        <f t="shared" si="0"/>
        <v>45640</v>
      </c>
      <c r="P3" s="2">
        <f t="shared" si="0"/>
        <v>45641</v>
      </c>
      <c r="Q3" s="2">
        <f t="shared" si="0"/>
        <v>45642</v>
      </c>
      <c r="R3" s="2">
        <f t="shared" si="0"/>
        <v>45643</v>
      </c>
      <c r="S3" s="2">
        <f t="shared" si="0"/>
        <v>45644</v>
      </c>
      <c r="T3" s="2">
        <f t="shared" si="0"/>
        <v>45645</v>
      </c>
      <c r="U3" s="2">
        <f t="shared" si="0"/>
        <v>45646</v>
      </c>
      <c r="V3" s="2">
        <f t="shared" si="0"/>
        <v>45647</v>
      </c>
      <c r="W3" s="2">
        <f t="shared" si="0"/>
        <v>45648</v>
      </c>
      <c r="X3" s="2">
        <f t="shared" si="0"/>
        <v>45649</v>
      </c>
      <c r="Y3" s="2">
        <f t="shared" si="0"/>
        <v>45650</v>
      </c>
      <c r="Z3" s="2">
        <f t="shared" si="0"/>
        <v>45651</v>
      </c>
      <c r="AA3" s="2">
        <f t="shared" si="0"/>
        <v>45652</v>
      </c>
      <c r="AB3" s="2">
        <f t="shared" si="0"/>
        <v>45653</v>
      </c>
      <c r="AC3" s="2">
        <f t="shared" si="0"/>
        <v>45654</v>
      </c>
      <c r="AD3" s="2">
        <f t="shared" si="0"/>
        <v>45655</v>
      </c>
      <c r="AE3" s="2">
        <f t="shared" si="0"/>
        <v>45656</v>
      </c>
      <c r="AF3" s="2">
        <f t="shared" si="0"/>
        <v>45657</v>
      </c>
      <c r="AG3" s="36"/>
      <c r="AH3" s="36"/>
      <c r="AM3" s="122" t="s">
        <v>267</v>
      </c>
      <c r="AN3" s="123"/>
      <c r="AO3" s="123"/>
      <c r="AP3" s="123"/>
      <c r="AQ3" s="123"/>
      <c r="AR3" s="124"/>
    </row>
    <row r="4" spans="1:44" ht="31.5" customHeight="1" x14ac:dyDescent="0.35">
      <c r="A4" s="3" t="s">
        <v>2</v>
      </c>
      <c r="B4" s="4">
        <f t="shared" ref="B4:AF4" si="1">B3</f>
        <v>45627</v>
      </c>
      <c r="C4" s="4">
        <f t="shared" si="1"/>
        <v>45628</v>
      </c>
      <c r="D4" s="4">
        <f t="shared" si="1"/>
        <v>45629</v>
      </c>
      <c r="E4" s="4">
        <f t="shared" si="1"/>
        <v>45630</v>
      </c>
      <c r="F4" s="4">
        <f t="shared" si="1"/>
        <v>45631</v>
      </c>
      <c r="G4" s="4">
        <f t="shared" si="1"/>
        <v>45632</v>
      </c>
      <c r="H4" s="4">
        <f t="shared" si="1"/>
        <v>45633</v>
      </c>
      <c r="I4" s="4">
        <f t="shared" si="1"/>
        <v>45634</v>
      </c>
      <c r="J4" s="4">
        <f t="shared" si="1"/>
        <v>45635</v>
      </c>
      <c r="K4" s="4">
        <f t="shared" si="1"/>
        <v>45636</v>
      </c>
      <c r="L4" s="4">
        <f t="shared" si="1"/>
        <v>45637</v>
      </c>
      <c r="M4" s="4">
        <f t="shared" si="1"/>
        <v>45638</v>
      </c>
      <c r="N4" s="4">
        <f t="shared" si="1"/>
        <v>45639</v>
      </c>
      <c r="O4" s="4">
        <f t="shared" si="1"/>
        <v>45640</v>
      </c>
      <c r="P4" s="4">
        <f t="shared" si="1"/>
        <v>45641</v>
      </c>
      <c r="Q4" s="4">
        <f t="shared" si="1"/>
        <v>45642</v>
      </c>
      <c r="R4" s="4">
        <f t="shared" si="1"/>
        <v>45643</v>
      </c>
      <c r="S4" s="4">
        <f t="shared" si="1"/>
        <v>45644</v>
      </c>
      <c r="T4" s="4">
        <f t="shared" si="1"/>
        <v>45645</v>
      </c>
      <c r="U4" s="4">
        <f t="shared" si="1"/>
        <v>45646</v>
      </c>
      <c r="V4" s="4">
        <f t="shared" si="1"/>
        <v>45647</v>
      </c>
      <c r="W4" s="4">
        <f t="shared" si="1"/>
        <v>45648</v>
      </c>
      <c r="X4" s="4">
        <f t="shared" si="1"/>
        <v>45649</v>
      </c>
      <c r="Y4" s="4">
        <f t="shared" si="1"/>
        <v>45650</v>
      </c>
      <c r="Z4" s="4">
        <f t="shared" si="1"/>
        <v>45651</v>
      </c>
      <c r="AA4" s="4">
        <f t="shared" si="1"/>
        <v>45652</v>
      </c>
      <c r="AB4" s="4">
        <f t="shared" si="1"/>
        <v>45653</v>
      </c>
      <c r="AC4" s="4">
        <f t="shared" si="1"/>
        <v>45654</v>
      </c>
      <c r="AD4" s="4">
        <f t="shared" si="1"/>
        <v>45655</v>
      </c>
      <c r="AE4" s="4">
        <f t="shared" si="1"/>
        <v>45656</v>
      </c>
      <c r="AF4" s="4">
        <f t="shared" si="1"/>
        <v>45657</v>
      </c>
      <c r="AG4" s="39" t="s">
        <v>174</v>
      </c>
      <c r="AH4" s="40" t="s">
        <v>175</v>
      </c>
      <c r="AI4" s="5">
        <v>45627</v>
      </c>
      <c r="AJ4" s="6">
        <f>EOMONTH(AI4,0)</f>
        <v>45657</v>
      </c>
      <c r="AM4" s="19" t="s">
        <v>54</v>
      </c>
      <c r="AN4" s="19" t="s">
        <v>269</v>
      </c>
      <c r="AO4" s="19" t="s">
        <v>55</v>
      </c>
      <c r="AP4" s="19" t="s">
        <v>56</v>
      </c>
      <c r="AQ4" s="19" t="s">
        <v>251</v>
      </c>
      <c r="AR4" s="19" t="s">
        <v>57</v>
      </c>
    </row>
    <row r="5" spans="1:44" x14ac:dyDescent="0.35">
      <c r="A5" s="7" t="s">
        <v>3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41">
        <f>COUNTA(B5:AF5)</f>
        <v>0</v>
      </c>
      <c r="AH5" s="42">
        <f>AG5*100/30</f>
        <v>0</v>
      </c>
      <c r="AM5" s="20"/>
      <c r="AN5" s="56"/>
      <c r="AO5" s="56"/>
      <c r="AP5" s="56"/>
      <c r="AQ5" s="57"/>
      <c r="AR5" s="20"/>
    </row>
    <row r="6" spans="1:44" x14ac:dyDescent="0.35">
      <c r="A6" s="7" t="s">
        <v>7</v>
      </c>
      <c r="B6" s="55" t="s">
        <v>656</v>
      </c>
      <c r="C6" s="55" t="s">
        <v>656</v>
      </c>
      <c r="D6" s="55" t="s">
        <v>656</v>
      </c>
      <c r="E6" s="55" t="s">
        <v>656</v>
      </c>
      <c r="F6" s="55" t="s">
        <v>656</v>
      </c>
      <c r="G6" s="55" t="s">
        <v>656</v>
      </c>
      <c r="H6" s="55" t="s">
        <v>656</v>
      </c>
      <c r="I6" s="55" t="s">
        <v>656</v>
      </c>
      <c r="J6" s="55" t="s">
        <v>656</v>
      </c>
      <c r="K6" s="55" t="s">
        <v>656</v>
      </c>
      <c r="L6" s="55" t="s">
        <v>656</v>
      </c>
      <c r="M6" s="55" t="s">
        <v>656</v>
      </c>
      <c r="N6" s="55" t="s">
        <v>656</v>
      </c>
      <c r="O6" s="55" t="s">
        <v>656</v>
      </c>
      <c r="P6" s="55" t="s">
        <v>656</v>
      </c>
      <c r="Q6" s="55" t="s">
        <v>656</v>
      </c>
      <c r="R6" s="55" t="s">
        <v>656</v>
      </c>
      <c r="S6" s="55" t="s">
        <v>656</v>
      </c>
      <c r="T6" s="55" t="s">
        <v>656</v>
      </c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41">
        <f t="shared" ref="AG6:AG11" si="2">COUNTA(B6:AF6)</f>
        <v>19</v>
      </c>
      <c r="AH6" s="42">
        <f t="shared" ref="AH6:AH11" si="3">AG6*100/30</f>
        <v>63.333333333333336</v>
      </c>
      <c r="AM6" s="20"/>
      <c r="AN6" s="56"/>
      <c r="AO6" s="56"/>
      <c r="AP6" s="56"/>
      <c r="AQ6" s="57"/>
      <c r="AR6" s="20"/>
    </row>
    <row r="7" spans="1:44" x14ac:dyDescent="0.35">
      <c r="A7" s="7" t="s">
        <v>11</v>
      </c>
      <c r="B7" s="55"/>
      <c r="C7" s="55"/>
      <c r="D7" s="55"/>
      <c r="E7" s="55"/>
      <c r="F7" s="55"/>
      <c r="G7" s="55"/>
      <c r="H7" s="55"/>
      <c r="I7" s="55"/>
      <c r="J7" s="55"/>
      <c r="K7" s="55"/>
      <c r="L7" s="55" t="s">
        <v>450</v>
      </c>
      <c r="M7" s="55" t="s">
        <v>450</v>
      </c>
      <c r="N7" s="55" t="s">
        <v>450</v>
      </c>
      <c r="O7" s="55" t="s">
        <v>450</v>
      </c>
      <c r="P7" s="55" t="s">
        <v>450</v>
      </c>
      <c r="Q7" s="55" t="s">
        <v>450</v>
      </c>
      <c r="R7" s="55" t="s">
        <v>141</v>
      </c>
      <c r="S7" s="55" t="s">
        <v>141</v>
      </c>
      <c r="T7" s="55" t="s">
        <v>141</v>
      </c>
      <c r="U7" s="55" t="s">
        <v>141</v>
      </c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41">
        <f t="shared" si="2"/>
        <v>10</v>
      </c>
      <c r="AH7" s="42">
        <f t="shared" si="3"/>
        <v>33.333333333333336</v>
      </c>
      <c r="AM7" s="20"/>
      <c r="AN7" s="56"/>
      <c r="AO7" s="56"/>
      <c r="AP7" s="56"/>
      <c r="AQ7" s="57"/>
      <c r="AR7" s="20"/>
    </row>
    <row r="8" spans="1:44" ht="15" customHeight="1" x14ac:dyDescent="0.35">
      <c r="A8" s="7" t="s">
        <v>15</v>
      </c>
      <c r="B8" s="55"/>
      <c r="C8" s="55"/>
      <c r="D8" s="55" t="s">
        <v>746</v>
      </c>
      <c r="E8" s="55" t="s">
        <v>746</v>
      </c>
      <c r="F8" s="55" t="s">
        <v>746</v>
      </c>
      <c r="G8" s="55" t="s">
        <v>746</v>
      </c>
      <c r="H8" s="55" t="s">
        <v>746</v>
      </c>
      <c r="I8" s="55" t="s">
        <v>746</v>
      </c>
      <c r="J8" s="55" t="s">
        <v>746</v>
      </c>
      <c r="K8" s="55" t="s">
        <v>746</v>
      </c>
      <c r="L8" s="55"/>
      <c r="M8" s="55" t="s">
        <v>750</v>
      </c>
      <c r="N8" s="55" t="s">
        <v>750</v>
      </c>
      <c r="O8" s="55"/>
      <c r="P8" s="55"/>
      <c r="Q8" s="55"/>
      <c r="R8" s="55"/>
      <c r="S8" s="55"/>
      <c r="T8" s="55"/>
      <c r="U8" s="55"/>
      <c r="V8" s="55"/>
      <c r="W8" s="55" t="s">
        <v>443</v>
      </c>
      <c r="X8" s="55" t="s">
        <v>443</v>
      </c>
      <c r="Y8" s="55" t="s">
        <v>443</v>
      </c>
      <c r="Z8" s="55" t="s">
        <v>443</v>
      </c>
      <c r="AA8" s="55" t="s">
        <v>443</v>
      </c>
      <c r="AB8" s="55" t="s">
        <v>443</v>
      </c>
      <c r="AC8" s="55" t="s">
        <v>443</v>
      </c>
      <c r="AD8" s="55" t="s">
        <v>443</v>
      </c>
      <c r="AE8" s="55" t="s">
        <v>443</v>
      </c>
      <c r="AF8" s="55" t="s">
        <v>443</v>
      </c>
      <c r="AG8" s="41">
        <f t="shared" si="2"/>
        <v>20</v>
      </c>
      <c r="AH8" s="42">
        <f t="shared" si="3"/>
        <v>66.666666666666671</v>
      </c>
      <c r="AK8" s="9"/>
      <c r="AM8" s="20"/>
      <c r="AN8" s="56"/>
      <c r="AO8" s="56"/>
      <c r="AP8" s="56"/>
      <c r="AQ8" s="57"/>
      <c r="AR8" s="20"/>
    </row>
    <row r="9" spans="1:44" ht="15.75" customHeight="1" x14ac:dyDescent="0.35">
      <c r="A9" s="7" t="s">
        <v>18</v>
      </c>
      <c r="B9" s="8" t="s">
        <v>669</v>
      </c>
      <c r="C9" s="8" t="s">
        <v>669</v>
      </c>
      <c r="D9" s="8" t="s">
        <v>669</v>
      </c>
      <c r="E9" s="8" t="s">
        <v>669</v>
      </c>
      <c r="F9" s="8" t="s">
        <v>669</v>
      </c>
      <c r="G9" s="8" t="s">
        <v>669</v>
      </c>
      <c r="H9" s="55"/>
      <c r="I9" s="55"/>
      <c r="J9" s="8"/>
      <c r="K9" s="8"/>
      <c r="L9" s="8" t="s">
        <v>450</v>
      </c>
      <c r="M9" s="8" t="s">
        <v>450</v>
      </c>
      <c r="N9" s="8" t="s">
        <v>450</v>
      </c>
      <c r="O9" s="8" t="s">
        <v>450</v>
      </c>
      <c r="P9" s="8" t="s">
        <v>450</v>
      </c>
      <c r="Q9" s="8" t="s">
        <v>450</v>
      </c>
      <c r="R9" s="8" t="s">
        <v>422</v>
      </c>
      <c r="S9" s="8" t="s">
        <v>422</v>
      </c>
      <c r="T9" s="8" t="s">
        <v>422</v>
      </c>
      <c r="U9" s="8" t="s">
        <v>422</v>
      </c>
      <c r="V9" s="8"/>
      <c r="W9" s="8" t="s">
        <v>752</v>
      </c>
      <c r="X9" s="8" t="s">
        <v>752</v>
      </c>
      <c r="Y9" s="8" t="s">
        <v>752</v>
      </c>
      <c r="Z9" s="8" t="s">
        <v>752</v>
      </c>
      <c r="AA9" s="8" t="s">
        <v>752</v>
      </c>
      <c r="AB9" s="8" t="s">
        <v>752</v>
      </c>
      <c r="AC9" s="8" t="s">
        <v>752</v>
      </c>
      <c r="AD9" s="8" t="s">
        <v>752</v>
      </c>
      <c r="AE9" s="8" t="s">
        <v>752</v>
      </c>
      <c r="AF9" s="8" t="s">
        <v>752</v>
      </c>
      <c r="AG9" s="41">
        <f t="shared" si="2"/>
        <v>26</v>
      </c>
      <c r="AH9" s="42">
        <f t="shared" si="3"/>
        <v>86.666666666666671</v>
      </c>
      <c r="AM9" s="20"/>
      <c r="AN9" s="56"/>
      <c r="AO9" s="56"/>
      <c r="AP9" s="56"/>
      <c r="AQ9" s="57"/>
      <c r="AR9" s="20"/>
    </row>
    <row r="10" spans="1:44" ht="15.75" customHeight="1" x14ac:dyDescent="0.35">
      <c r="A10" s="7" t="s">
        <v>20</v>
      </c>
      <c r="B10" s="8" t="s">
        <v>669</v>
      </c>
      <c r="C10" s="8" t="s">
        <v>669</v>
      </c>
      <c r="D10" s="8" t="s">
        <v>669</v>
      </c>
      <c r="E10" s="8" t="s">
        <v>669</v>
      </c>
      <c r="F10" s="8" t="s">
        <v>669</v>
      </c>
      <c r="G10" s="8" t="s">
        <v>669</v>
      </c>
      <c r="H10" s="55"/>
      <c r="I10" s="55"/>
      <c r="J10" s="8"/>
      <c r="K10" s="8"/>
      <c r="L10" s="8" t="s">
        <v>450</v>
      </c>
      <c r="M10" s="8" t="s">
        <v>450</v>
      </c>
      <c r="N10" s="8" t="s">
        <v>450</v>
      </c>
      <c r="O10" s="8" t="s">
        <v>450</v>
      </c>
      <c r="P10" s="8" t="s">
        <v>450</v>
      </c>
      <c r="Q10" s="8" t="s">
        <v>450</v>
      </c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41">
        <f t="shared" si="2"/>
        <v>12</v>
      </c>
      <c r="AH10" s="42">
        <f t="shared" si="3"/>
        <v>40</v>
      </c>
      <c r="AM10" s="20"/>
      <c r="AN10" s="56"/>
      <c r="AO10" s="56"/>
      <c r="AP10" s="56"/>
      <c r="AQ10" s="57"/>
      <c r="AR10" s="20"/>
    </row>
    <row r="11" spans="1:44" ht="15.75" customHeight="1" thickBot="1" x14ac:dyDescent="0.4">
      <c r="A11" s="7" t="s">
        <v>24</v>
      </c>
      <c r="B11" s="55" t="s">
        <v>717</v>
      </c>
      <c r="C11" s="55" t="s">
        <v>717</v>
      </c>
      <c r="D11" s="55"/>
      <c r="E11" s="55" t="s">
        <v>748</v>
      </c>
      <c r="F11" s="55" t="s">
        <v>748</v>
      </c>
      <c r="G11" s="55" t="s">
        <v>748</v>
      </c>
      <c r="H11" s="55" t="s">
        <v>748</v>
      </c>
      <c r="I11" s="55" t="s">
        <v>748</v>
      </c>
      <c r="J11" s="55" t="s">
        <v>748</v>
      </c>
      <c r="K11" s="55" t="s">
        <v>748</v>
      </c>
      <c r="L11" s="55" t="s">
        <v>748</v>
      </c>
      <c r="M11" s="55" t="s">
        <v>748</v>
      </c>
      <c r="N11" s="55" t="s">
        <v>748</v>
      </c>
      <c r="O11" s="55" t="s">
        <v>748</v>
      </c>
      <c r="P11" s="55" t="s">
        <v>748</v>
      </c>
      <c r="Q11" s="55" t="s">
        <v>748</v>
      </c>
      <c r="R11" s="55" t="s">
        <v>748</v>
      </c>
      <c r="S11" s="55" t="s">
        <v>748</v>
      </c>
      <c r="T11" s="55" t="s">
        <v>748</v>
      </c>
      <c r="U11" s="55" t="s">
        <v>748</v>
      </c>
      <c r="V11" s="55" t="s">
        <v>748</v>
      </c>
      <c r="W11" s="55" t="s">
        <v>748</v>
      </c>
      <c r="X11" s="55"/>
      <c r="Y11" s="55"/>
      <c r="Z11" s="55"/>
      <c r="AA11" s="55" t="s">
        <v>754</v>
      </c>
      <c r="AB11" s="55" t="s">
        <v>754</v>
      </c>
      <c r="AC11" s="55" t="s">
        <v>754</v>
      </c>
      <c r="AD11" s="55" t="s">
        <v>754</v>
      </c>
      <c r="AE11" s="55"/>
      <c r="AF11" s="55"/>
      <c r="AG11" s="41">
        <f t="shared" si="2"/>
        <v>25</v>
      </c>
      <c r="AH11" s="42">
        <f t="shared" si="3"/>
        <v>83.333333333333329</v>
      </c>
      <c r="AM11" s="20"/>
      <c r="AN11" s="20"/>
      <c r="AO11" s="20"/>
      <c r="AP11" s="20"/>
      <c r="AQ11" s="20"/>
      <c r="AR11" s="20"/>
    </row>
    <row r="12" spans="1:44" ht="15" customHeight="1" x14ac:dyDescent="0.35">
      <c r="A12" s="45" t="s">
        <v>176</v>
      </c>
      <c r="B12" s="46">
        <f>COUNTA(B5:B11)</f>
        <v>4</v>
      </c>
      <c r="C12" s="46">
        <f>COUNTA(C5:C11)</f>
        <v>4</v>
      </c>
      <c r="D12" s="46">
        <f t="shared" ref="D12:AF12" si="4">COUNTA(D5:D11)</f>
        <v>4</v>
      </c>
      <c r="E12" s="46">
        <f t="shared" si="4"/>
        <v>5</v>
      </c>
      <c r="F12" s="46">
        <f t="shared" si="4"/>
        <v>5</v>
      </c>
      <c r="G12" s="46">
        <f t="shared" si="4"/>
        <v>5</v>
      </c>
      <c r="H12" s="46">
        <f t="shared" si="4"/>
        <v>3</v>
      </c>
      <c r="I12" s="46">
        <f t="shared" si="4"/>
        <v>3</v>
      </c>
      <c r="J12" s="46">
        <f t="shared" si="4"/>
        <v>3</v>
      </c>
      <c r="K12" s="46">
        <f t="shared" si="4"/>
        <v>3</v>
      </c>
      <c r="L12" s="46">
        <f t="shared" si="4"/>
        <v>5</v>
      </c>
      <c r="M12" s="46">
        <f t="shared" si="4"/>
        <v>6</v>
      </c>
      <c r="N12" s="46">
        <f t="shared" si="4"/>
        <v>6</v>
      </c>
      <c r="O12" s="46">
        <f t="shared" si="4"/>
        <v>5</v>
      </c>
      <c r="P12" s="46">
        <f t="shared" si="4"/>
        <v>5</v>
      </c>
      <c r="Q12" s="46">
        <f t="shared" si="4"/>
        <v>5</v>
      </c>
      <c r="R12" s="46">
        <f t="shared" si="4"/>
        <v>4</v>
      </c>
      <c r="S12" s="46">
        <f t="shared" si="4"/>
        <v>4</v>
      </c>
      <c r="T12" s="46">
        <f t="shared" si="4"/>
        <v>4</v>
      </c>
      <c r="U12" s="46">
        <f t="shared" si="4"/>
        <v>3</v>
      </c>
      <c r="V12" s="46">
        <f t="shared" si="4"/>
        <v>1</v>
      </c>
      <c r="W12" s="46">
        <f t="shared" si="4"/>
        <v>3</v>
      </c>
      <c r="X12" s="46">
        <f t="shared" si="4"/>
        <v>2</v>
      </c>
      <c r="Y12" s="46">
        <f t="shared" si="4"/>
        <v>2</v>
      </c>
      <c r="Z12" s="46">
        <f t="shared" si="4"/>
        <v>2</v>
      </c>
      <c r="AA12" s="46">
        <f t="shared" si="4"/>
        <v>3</v>
      </c>
      <c r="AB12" s="46">
        <f t="shared" si="4"/>
        <v>3</v>
      </c>
      <c r="AC12" s="46">
        <f>COUNTA(AC5:AC11)</f>
        <v>3</v>
      </c>
      <c r="AD12" s="46">
        <f>COUNTA(AD5:AD11)</f>
        <v>3</v>
      </c>
      <c r="AE12" s="46">
        <f>COUNTA(AE5:AE11)</f>
        <v>2</v>
      </c>
      <c r="AF12" s="46">
        <f t="shared" si="4"/>
        <v>2</v>
      </c>
      <c r="AG12" s="43">
        <f t="shared" ref="AG12" si="5">SUM(AG5:AG11)</f>
        <v>112</v>
      </c>
      <c r="AH12" s="44">
        <f>AVERAGE(AH5:AH11)</f>
        <v>53.333333333333329</v>
      </c>
      <c r="AI12" s="29"/>
      <c r="AM12" s="20"/>
      <c r="AN12" s="20"/>
      <c r="AO12" s="20"/>
      <c r="AP12" s="20"/>
      <c r="AQ12" s="20"/>
      <c r="AR12" s="20"/>
    </row>
    <row r="13" spans="1:44" ht="57" hidden="1" x14ac:dyDescent="0.35">
      <c r="A13" s="13" t="s">
        <v>28</v>
      </c>
      <c r="B13" s="14"/>
      <c r="C13" s="14"/>
      <c r="D13" s="14"/>
      <c r="E13" s="14"/>
      <c r="F13" s="14"/>
      <c r="G13" s="14"/>
      <c r="H13" s="14"/>
      <c r="I13" s="35"/>
      <c r="J13" s="34"/>
      <c r="K13" s="15"/>
      <c r="L13" s="14"/>
      <c r="M13" s="14"/>
      <c r="N13" s="25"/>
      <c r="O13" s="25"/>
      <c r="P13" s="25"/>
      <c r="Q13" s="14"/>
      <c r="R13" s="14"/>
      <c r="S13" s="14"/>
      <c r="T13" s="14"/>
      <c r="U13" s="14"/>
      <c r="V13" s="15"/>
      <c r="W13" s="15"/>
      <c r="X13" s="14"/>
      <c r="Y13" s="14"/>
      <c r="Z13" s="14"/>
      <c r="AA13" s="14"/>
      <c r="AB13" s="14"/>
      <c r="AC13" s="14"/>
      <c r="AD13" s="14"/>
      <c r="AE13" s="14"/>
      <c r="AF13" s="14"/>
      <c r="AG13" s="37"/>
      <c r="AH13" s="37"/>
      <c r="AM13" s="20"/>
      <c r="AN13" s="20"/>
      <c r="AO13" s="20"/>
      <c r="AP13" s="20"/>
      <c r="AQ13" s="20"/>
      <c r="AR13" s="20"/>
    </row>
    <row r="14" spans="1:44" ht="28.5" hidden="1" x14ac:dyDescent="0.35">
      <c r="A14" s="16" t="s">
        <v>29</v>
      </c>
      <c r="B14" s="14"/>
      <c r="C14" s="14"/>
      <c r="D14" s="14"/>
      <c r="E14" s="14"/>
      <c r="F14" s="14"/>
      <c r="G14" s="14"/>
      <c r="H14" s="14"/>
      <c r="I14" s="35"/>
      <c r="J14" s="34"/>
      <c r="K14" s="15"/>
      <c r="L14" s="14"/>
      <c r="M14" s="14"/>
      <c r="N14" s="25"/>
      <c r="O14" s="25"/>
      <c r="P14" s="25"/>
      <c r="Q14" s="14"/>
      <c r="R14" s="14"/>
      <c r="S14" s="14"/>
      <c r="T14" s="14"/>
      <c r="U14" s="14"/>
      <c r="V14" s="15"/>
      <c r="W14" s="15"/>
      <c r="X14" s="14"/>
      <c r="Y14" s="14"/>
      <c r="Z14" s="14"/>
      <c r="AA14" s="14"/>
      <c r="AB14" s="14"/>
      <c r="AC14" s="14"/>
      <c r="AD14" s="14"/>
      <c r="AE14" s="14"/>
      <c r="AF14" s="14"/>
      <c r="AG14" s="37"/>
      <c r="AH14" s="37"/>
      <c r="AM14" s="20"/>
      <c r="AN14" s="20"/>
      <c r="AO14" s="20"/>
      <c r="AP14" s="20"/>
      <c r="AQ14" s="20"/>
      <c r="AR14" s="20"/>
    </row>
    <row r="15" spans="1:44" x14ac:dyDescent="0.35">
      <c r="A15" s="7" t="s">
        <v>30</v>
      </c>
      <c r="B15" s="8" t="s">
        <v>561</v>
      </c>
      <c r="C15" s="8" t="s">
        <v>561</v>
      </c>
      <c r="D15" s="8" t="s">
        <v>561</v>
      </c>
      <c r="E15" s="8" t="s">
        <v>561</v>
      </c>
      <c r="F15" s="8" t="s">
        <v>561</v>
      </c>
      <c r="G15" s="8" t="s">
        <v>561</v>
      </c>
      <c r="H15" s="8" t="s">
        <v>561</v>
      </c>
      <c r="I15" s="8" t="s">
        <v>561</v>
      </c>
      <c r="J15" s="8" t="s">
        <v>561</v>
      </c>
      <c r="K15" s="8" t="s">
        <v>561</v>
      </c>
      <c r="L15" s="8" t="s">
        <v>561</v>
      </c>
      <c r="M15" s="8" t="s">
        <v>561</v>
      </c>
      <c r="N15" s="8" t="s">
        <v>561</v>
      </c>
      <c r="O15" s="8" t="s">
        <v>561</v>
      </c>
      <c r="P15" s="8" t="s">
        <v>561</v>
      </c>
      <c r="Q15" s="8" t="s">
        <v>561</v>
      </c>
      <c r="R15" s="8" t="s">
        <v>561</v>
      </c>
      <c r="S15" s="8" t="s">
        <v>561</v>
      </c>
      <c r="T15" s="8" t="s">
        <v>561</v>
      </c>
      <c r="U15" s="8"/>
      <c r="V15" s="8"/>
      <c r="W15" s="8" t="s">
        <v>753</v>
      </c>
      <c r="X15" s="8" t="s">
        <v>753</v>
      </c>
      <c r="Y15" s="8"/>
      <c r="Z15" s="8"/>
      <c r="AA15" s="55" t="s">
        <v>754</v>
      </c>
      <c r="AB15" s="55" t="s">
        <v>754</v>
      </c>
      <c r="AC15" s="55" t="s">
        <v>754</v>
      </c>
      <c r="AD15" s="55" t="s">
        <v>754</v>
      </c>
      <c r="AE15" s="8"/>
      <c r="AF15" s="8"/>
      <c r="AG15" s="41">
        <f>COUNTA(B15:AF15)</f>
        <v>25</v>
      </c>
      <c r="AH15" s="42">
        <f>AG15*100/30</f>
        <v>83.333333333333329</v>
      </c>
      <c r="AM15" s="20"/>
      <c r="AN15" s="20"/>
      <c r="AO15" s="20"/>
      <c r="AP15" s="20"/>
      <c r="AQ15" s="20"/>
      <c r="AR15" s="20"/>
    </row>
    <row r="16" spans="1:44" x14ac:dyDescent="0.35">
      <c r="A16" s="7" t="s">
        <v>35</v>
      </c>
      <c r="B16" s="8" t="s">
        <v>391</v>
      </c>
      <c r="C16" s="8" t="s">
        <v>391</v>
      </c>
      <c r="D16" s="8" t="s">
        <v>391</v>
      </c>
      <c r="E16" s="8" t="s">
        <v>391</v>
      </c>
      <c r="F16" s="8" t="s">
        <v>391</v>
      </c>
      <c r="G16" s="8" t="s">
        <v>391</v>
      </c>
      <c r="H16" s="8" t="s">
        <v>391</v>
      </c>
      <c r="I16" s="8" t="s">
        <v>391</v>
      </c>
      <c r="J16" s="8" t="s">
        <v>391</v>
      </c>
      <c r="K16" s="8" t="s">
        <v>391</v>
      </c>
      <c r="L16" s="8" t="s">
        <v>391</v>
      </c>
      <c r="M16" s="8" t="s">
        <v>391</v>
      </c>
      <c r="N16" s="8" t="s">
        <v>391</v>
      </c>
      <c r="O16" s="8" t="s">
        <v>391</v>
      </c>
      <c r="P16" s="8" t="s">
        <v>391</v>
      </c>
      <c r="Q16" s="8" t="s">
        <v>391</v>
      </c>
      <c r="R16" s="8" t="s">
        <v>391</v>
      </c>
      <c r="S16" s="8" t="s">
        <v>391</v>
      </c>
      <c r="T16" s="8" t="s">
        <v>391</v>
      </c>
      <c r="U16" s="8"/>
      <c r="V16" s="8"/>
      <c r="W16" s="8" t="s">
        <v>265</v>
      </c>
      <c r="X16" s="8" t="s">
        <v>265</v>
      </c>
      <c r="Y16" s="8" t="s">
        <v>265</v>
      </c>
      <c r="Z16" s="8" t="s">
        <v>265</v>
      </c>
      <c r="AA16" s="8" t="s">
        <v>265</v>
      </c>
      <c r="AB16" s="8" t="s">
        <v>265</v>
      </c>
      <c r="AC16" s="8" t="s">
        <v>265</v>
      </c>
      <c r="AD16" s="8" t="s">
        <v>265</v>
      </c>
      <c r="AE16" s="8"/>
      <c r="AF16" s="8"/>
      <c r="AG16" s="41">
        <f t="shared" ref="AG16:AG22" si="6">COUNTA(B16:AF16)</f>
        <v>27</v>
      </c>
      <c r="AH16" s="42">
        <f t="shared" ref="AH16:AH22" si="7">AG16*100/30</f>
        <v>90</v>
      </c>
      <c r="AM16" s="20"/>
      <c r="AN16" s="20"/>
      <c r="AO16" s="56"/>
      <c r="AP16" s="56"/>
      <c r="AQ16" s="20"/>
      <c r="AR16" s="20"/>
    </row>
    <row r="17" spans="1:50" x14ac:dyDescent="0.35">
      <c r="A17" s="7" t="s">
        <v>39</v>
      </c>
      <c r="B17" s="8" t="s">
        <v>669</v>
      </c>
      <c r="C17" s="8" t="s">
        <v>669</v>
      </c>
      <c r="D17" s="8" t="s">
        <v>669</v>
      </c>
      <c r="E17" s="8" t="s">
        <v>669</v>
      </c>
      <c r="F17" s="8" t="s">
        <v>669</v>
      </c>
      <c r="G17" s="55"/>
      <c r="H17" s="55"/>
      <c r="I17" s="8"/>
      <c r="J17" s="55"/>
      <c r="K17" s="55"/>
      <c r="L17" s="55" t="s">
        <v>450</v>
      </c>
      <c r="M17" s="55" t="s">
        <v>450</v>
      </c>
      <c r="N17" s="55" t="s">
        <v>450</v>
      </c>
      <c r="O17" s="55" t="s">
        <v>450</v>
      </c>
      <c r="P17" s="55" t="s">
        <v>450</v>
      </c>
      <c r="Q17" s="55" t="s">
        <v>450</v>
      </c>
      <c r="R17" s="55"/>
      <c r="S17" s="8"/>
      <c r="T17" s="55"/>
      <c r="U17" s="55"/>
      <c r="V17" s="55"/>
      <c r="W17" s="8" t="s">
        <v>265</v>
      </c>
      <c r="X17" s="8" t="s">
        <v>265</v>
      </c>
      <c r="Y17" s="8" t="s">
        <v>265</v>
      </c>
      <c r="Z17" s="8" t="s">
        <v>265</v>
      </c>
      <c r="AA17" s="8" t="s">
        <v>265</v>
      </c>
      <c r="AB17" s="8" t="s">
        <v>265</v>
      </c>
      <c r="AC17" s="8" t="s">
        <v>265</v>
      </c>
      <c r="AD17" s="8" t="s">
        <v>265</v>
      </c>
      <c r="AE17" s="8"/>
      <c r="AF17" s="8"/>
      <c r="AG17" s="41">
        <f t="shared" si="6"/>
        <v>19</v>
      </c>
      <c r="AH17" s="42">
        <f t="shared" si="7"/>
        <v>63.333333333333336</v>
      </c>
      <c r="AM17" s="20"/>
      <c r="AN17" s="20"/>
      <c r="AO17" s="20"/>
      <c r="AP17" s="20"/>
      <c r="AQ17" s="20"/>
      <c r="AR17" s="20"/>
      <c r="AX17" s="58"/>
    </row>
    <row r="18" spans="1:50" x14ac:dyDescent="0.35">
      <c r="A18" s="7" t="s">
        <v>42</v>
      </c>
      <c r="B18" s="8"/>
      <c r="C18" s="8" t="s">
        <v>547</v>
      </c>
      <c r="D18" s="8" t="s">
        <v>547</v>
      </c>
      <c r="E18" s="8" t="s">
        <v>547</v>
      </c>
      <c r="F18" s="8" t="s">
        <v>547</v>
      </c>
      <c r="G18" s="55"/>
      <c r="H18" s="55"/>
      <c r="I18" s="8"/>
      <c r="J18" s="8"/>
      <c r="K18" s="55"/>
      <c r="L18" s="55" t="s">
        <v>450</v>
      </c>
      <c r="M18" s="55" t="s">
        <v>450</v>
      </c>
      <c r="N18" s="55" t="s">
        <v>450</v>
      </c>
      <c r="O18" s="55" t="s">
        <v>450</v>
      </c>
      <c r="P18" s="55" t="s">
        <v>450</v>
      </c>
      <c r="Q18" s="55" t="s">
        <v>450</v>
      </c>
      <c r="R18" s="55"/>
      <c r="S18" s="8"/>
      <c r="T18" s="8"/>
      <c r="U18" s="55" t="s">
        <v>651</v>
      </c>
      <c r="V18" s="55" t="s">
        <v>651</v>
      </c>
      <c r="W18" s="55" t="s">
        <v>651</v>
      </c>
      <c r="X18" s="55" t="s">
        <v>651</v>
      </c>
      <c r="Y18" s="55" t="s">
        <v>651</v>
      </c>
      <c r="Z18" s="55" t="s">
        <v>651</v>
      </c>
      <c r="AA18" s="55" t="s">
        <v>651</v>
      </c>
      <c r="AB18" s="55" t="s">
        <v>651</v>
      </c>
      <c r="AC18" s="55"/>
      <c r="AD18" s="55"/>
      <c r="AE18" s="55"/>
      <c r="AF18" s="8"/>
      <c r="AG18" s="41">
        <f t="shared" si="6"/>
        <v>18</v>
      </c>
      <c r="AH18" s="42">
        <f t="shared" si="7"/>
        <v>60</v>
      </c>
      <c r="AM18" s="20"/>
      <c r="AN18" s="20"/>
      <c r="AO18" s="20"/>
      <c r="AP18" s="20"/>
      <c r="AQ18" s="20"/>
      <c r="AR18" s="20"/>
      <c r="AX18" s="58"/>
    </row>
    <row r="19" spans="1:50" x14ac:dyDescent="0.35">
      <c r="A19" s="7" t="s">
        <v>45</v>
      </c>
      <c r="B19" s="8"/>
      <c r="C19" s="8" t="s">
        <v>547</v>
      </c>
      <c r="D19" s="8" t="s">
        <v>547</v>
      </c>
      <c r="E19" s="8" t="s">
        <v>547</v>
      </c>
      <c r="F19" s="8" t="s">
        <v>547</v>
      </c>
      <c r="G19" s="55"/>
      <c r="H19" s="55"/>
      <c r="I19" s="8"/>
      <c r="J19" s="55" t="s">
        <v>524</v>
      </c>
      <c r="K19" s="55"/>
      <c r="L19" s="55" t="s">
        <v>450</v>
      </c>
      <c r="M19" s="55" t="s">
        <v>450</v>
      </c>
      <c r="N19" s="55" t="s">
        <v>450</v>
      </c>
      <c r="O19" s="55" t="s">
        <v>450</v>
      </c>
      <c r="P19" s="55" t="s">
        <v>450</v>
      </c>
      <c r="Q19" s="55" t="s">
        <v>450</v>
      </c>
      <c r="R19" s="55" t="s">
        <v>524</v>
      </c>
      <c r="S19" s="55" t="s">
        <v>524</v>
      </c>
      <c r="T19" s="55" t="s">
        <v>524</v>
      </c>
      <c r="U19" s="55" t="s">
        <v>185</v>
      </c>
      <c r="V19" s="55"/>
      <c r="W19" s="55"/>
      <c r="X19" s="55"/>
      <c r="Y19" s="8"/>
      <c r="Z19" s="55"/>
      <c r="AA19" s="55"/>
      <c r="AB19" s="55"/>
      <c r="AC19" s="55"/>
      <c r="AD19" s="55"/>
      <c r="AE19" s="55"/>
      <c r="AF19" s="8"/>
      <c r="AG19" s="41">
        <f t="shared" si="6"/>
        <v>15</v>
      </c>
      <c r="AH19" s="42">
        <f t="shared" si="7"/>
        <v>50</v>
      </c>
      <c r="AM19" s="20"/>
      <c r="AN19" s="20"/>
      <c r="AO19" s="20"/>
      <c r="AP19" s="20"/>
      <c r="AQ19" s="20"/>
      <c r="AR19" s="20"/>
      <c r="AX19" s="58"/>
    </row>
    <row r="20" spans="1:50" x14ac:dyDescent="0.35">
      <c r="A20" s="7" t="s">
        <v>47</v>
      </c>
      <c r="B20" s="55"/>
      <c r="C20" s="8" t="s">
        <v>547</v>
      </c>
      <c r="D20" s="8" t="s">
        <v>547</v>
      </c>
      <c r="E20" s="8" t="s">
        <v>547</v>
      </c>
      <c r="F20" s="8" t="s">
        <v>547</v>
      </c>
      <c r="G20" s="55"/>
      <c r="H20" s="55"/>
      <c r="I20" s="55"/>
      <c r="J20" s="55" t="s">
        <v>749</v>
      </c>
      <c r="K20" s="55"/>
      <c r="L20" s="55" t="s">
        <v>450</v>
      </c>
      <c r="M20" s="55" t="s">
        <v>450</v>
      </c>
      <c r="N20" s="55" t="s">
        <v>450</v>
      </c>
      <c r="O20" s="55" t="s">
        <v>450</v>
      </c>
      <c r="P20" s="55" t="s">
        <v>450</v>
      </c>
      <c r="Q20" s="55" t="s">
        <v>450</v>
      </c>
      <c r="R20" s="55" t="s">
        <v>672</v>
      </c>
      <c r="S20" s="55" t="s">
        <v>672</v>
      </c>
      <c r="T20" s="55" t="s">
        <v>672</v>
      </c>
      <c r="U20" s="55" t="s">
        <v>25</v>
      </c>
      <c r="V20" s="55"/>
      <c r="W20" s="55" t="s">
        <v>363</v>
      </c>
      <c r="X20" s="55" t="s">
        <v>363</v>
      </c>
      <c r="Y20" s="55" t="s">
        <v>363</v>
      </c>
      <c r="Z20" s="55" t="s">
        <v>363</v>
      </c>
      <c r="AA20" s="55" t="s">
        <v>363</v>
      </c>
      <c r="AB20" s="55" t="s">
        <v>363</v>
      </c>
      <c r="AC20" s="55" t="s">
        <v>363</v>
      </c>
      <c r="AD20" s="55" t="s">
        <v>363</v>
      </c>
      <c r="AE20" s="55" t="s">
        <v>363</v>
      </c>
      <c r="AF20" s="55" t="s">
        <v>363</v>
      </c>
      <c r="AG20" s="41">
        <f t="shared" si="6"/>
        <v>25</v>
      </c>
      <c r="AH20" s="42">
        <f t="shared" si="7"/>
        <v>83.333333333333329</v>
      </c>
      <c r="AM20" s="20"/>
      <c r="AN20" s="20"/>
      <c r="AO20" s="20"/>
      <c r="AP20" s="20"/>
      <c r="AQ20" s="20"/>
      <c r="AR20" s="20"/>
      <c r="AX20" s="58"/>
    </row>
    <row r="21" spans="1:50" x14ac:dyDescent="0.35">
      <c r="A21" s="7" t="s">
        <v>50</v>
      </c>
      <c r="B21" s="55" t="s">
        <v>562</v>
      </c>
      <c r="C21" s="55" t="s">
        <v>562</v>
      </c>
      <c r="D21" s="55" t="s">
        <v>562</v>
      </c>
      <c r="E21" s="55" t="s">
        <v>562</v>
      </c>
      <c r="F21" s="55" t="s">
        <v>562</v>
      </c>
      <c r="G21" s="55" t="s">
        <v>562</v>
      </c>
      <c r="H21" s="55" t="s">
        <v>562</v>
      </c>
      <c r="I21" s="55" t="s">
        <v>562</v>
      </c>
      <c r="J21" s="55" t="s">
        <v>562</v>
      </c>
      <c r="K21" s="55" t="s">
        <v>562</v>
      </c>
      <c r="L21" s="55" t="s">
        <v>562</v>
      </c>
      <c r="M21" s="55" t="s">
        <v>562</v>
      </c>
      <c r="N21" s="55" t="s">
        <v>562</v>
      </c>
      <c r="O21" s="55" t="s">
        <v>562</v>
      </c>
      <c r="P21" s="55" t="s">
        <v>562</v>
      </c>
      <c r="Q21" s="55" t="s">
        <v>562</v>
      </c>
      <c r="R21" s="55" t="s">
        <v>562</v>
      </c>
      <c r="S21" s="55" t="s">
        <v>562</v>
      </c>
      <c r="T21" s="55" t="s">
        <v>562</v>
      </c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41">
        <f t="shared" si="6"/>
        <v>19</v>
      </c>
      <c r="AH21" s="42">
        <f t="shared" si="7"/>
        <v>63.333333333333336</v>
      </c>
      <c r="AM21" s="20"/>
      <c r="AN21" s="20"/>
      <c r="AO21" s="20"/>
      <c r="AP21" s="20"/>
      <c r="AQ21" s="20"/>
      <c r="AR21" s="20"/>
      <c r="AX21" s="58"/>
    </row>
    <row r="22" spans="1:50" ht="15" thickBot="1" x14ac:dyDescent="0.4">
      <c r="A22" s="7" t="s">
        <v>51</v>
      </c>
      <c r="B22" s="8"/>
      <c r="C22" s="8"/>
      <c r="D22" s="55" t="s">
        <v>747</v>
      </c>
      <c r="E22" s="55" t="s">
        <v>747</v>
      </c>
      <c r="F22" s="55" t="s">
        <v>747</v>
      </c>
      <c r="G22" s="55" t="s">
        <v>747</v>
      </c>
      <c r="H22" s="55" t="s">
        <v>747</v>
      </c>
      <c r="I22" s="55" t="s">
        <v>747</v>
      </c>
      <c r="J22" s="55" t="s">
        <v>747</v>
      </c>
      <c r="K22" s="55" t="s">
        <v>747</v>
      </c>
      <c r="L22" s="55"/>
      <c r="M22" s="55" t="s">
        <v>750</v>
      </c>
      <c r="N22" s="55" t="s">
        <v>750</v>
      </c>
      <c r="O22" s="8"/>
      <c r="P22" s="8" t="s">
        <v>751</v>
      </c>
      <c r="Q22" s="8" t="s">
        <v>751</v>
      </c>
      <c r="R22" s="8" t="s">
        <v>751</v>
      </c>
      <c r="S22" s="8" t="s">
        <v>751</v>
      </c>
      <c r="T22" s="8" t="s">
        <v>751</v>
      </c>
      <c r="U22" s="8" t="s">
        <v>751</v>
      </c>
      <c r="V22" s="8" t="s">
        <v>751</v>
      </c>
      <c r="W22" s="55" t="s">
        <v>363</v>
      </c>
      <c r="X22" s="55" t="s">
        <v>363</v>
      </c>
      <c r="Y22" s="55" t="s">
        <v>363</v>
      </c>
      <c r="Z22" s="55" t="s">
        <v>363</v>
      </c>
      <c r="AA22" s="55" t="s">
        <v>363</v>
      </c>
      <c r="AB22" s="55" t="s">
        <v>363</v>
      </c>
      <c r="AC22" s="55" t="s">
        <v>363</v>
      </c>
      <c r="AD22" s="55" t="s">
        <v>363</v>
      </c>
      <c r="AE22" s="55" t="s">
        <v>363</v>
      </c>
      <c r="AF22" s="55" t="s">
        <v>363</v>
      </c>
      <c r="AG22" s="41">
        <f t="shared" si="6"/>
        <v>27</v>
      </c>
      <c r="AH22" s="42">
        <f t="shared" si="7"/>
        <v>90</v>
      </c>
      <c r="AX22" s="58"/>
    </row>
    <row r="23" spans="1:50" ht="15.5" x14ac:dyDescent="0.35">
      <c r="A23" s="45" t="s">
        <v>176</v>
      </c>
      <c r="B23" s="46">
        <f>COUNTA(B15:B22)</f>
        <v>4</v>
      </c>
      <c r="C23" s="46">
        <f>COUNTA(C16:C22)</f>
        <v>6</v>
      </c>
      <c r="D23" s="46">
        <f>COUNTA(D16:D22)</f>
        <v>7</v>
      </c>
      <c r="E23" s="46">
        <f t="shared" ref="E23:AF23" si="8">COUNTA(E15:E22)</f>
        <v>8</v>
      </c>
      <c r="F23" s="46">
        <f t="shared" si="8"/>
        <v>8</v>
      </c>
      <c r="G23" s="46">
        <f t="shared" si="8"/>
        <v>4</v>
      </c>
      <c r="H23" s="46">
        <f t="shared" si="8"/>
        <v>4</v>
      </c>
      <c r="I23" s="46">
        <f t="shared" si="8"/>
        <v>4</v>
      </c>
      <c r="J23" s="46">
        <f t="shared" si="8"/>
        <v>6</v>
      </c>
      <c r="K23" s="46">
        <f t="shared" si="8"/>
        <v>4</v>
      </c>
      <c r="L23" s="46">
        <f t="shared" si="8"/>
        <v>7</v>
      </c>
      <c r="M23" s="46">
        <f t="shared" si="8"/>
        <v>8</v>
      </c>
      <c r="N23" s="46">
        <f t="shared" si="8"/>
        <v>8</v>
      </c>
      <c r="O23" s="46">
        <f t="shared" si="8"/>
        <v>7</v>
      </c>
      <c r="P23" s="46">
        <f t="shared" si="8"/>
        <v>8</v>
      </c>
      <c r="Q23" s="46">
        <f t="shared" si="8"/>
        <v>8</v>
      </c>
      <c r="R23" s="46">
        <f t="shared" si="8"/>
        <v>6</v>
      </c>
      <c r="S23" s="46">
        <f t="shared" si="8"/>
        <v>6</v>
      </c>
      <c r="T23" s="46">
        <f>COUNTA(T15:T22)</f>
        <v>6</v>
      </c>
      <c r="U23" s="46">
        <f t="shared" si="8"/>
        <v>4</v>
      </c>
      <c r="V23" s="46">
        <f t="shared" si="8"/>
        <v>2</v>
      </c>
      <c r="W23" s="46">
        <f t="shared" si="8"/>
        <v>6</v>
      </c>
      <c r="X23" s="46">
        <f t="shared" si="8"/>
        <v>6</v>
      </c>
      <c r="Y23" s="46">
        <f t="shared" si="8"/>
        <v>5</v>
      </c>
      <c r="Z23" s="46">
        <f t="shared" si="8"/>
        <v>5</v>
      </c>
      <c r="AA23" s="46">
        <f t="shared" si="8"/>
        <v>6</v>
      </c>
      <c r="AB23" s="46">
        <f t="shared" si="8"/>
        <v>6</v>
      </c>
      <c r="AC23" s="46">
        <f t="shared" si="8"/>
        <v>5</v>
      </c>
      <c r="AD23" s="46">
        <f t="shared" si="8"/>
        <v>5</v>
      </c>
      <c r="AE23" s="46">
        <f t="shared" si="8"/>
        <v>2</v>
      </c>
      <c r="AF23" s="46">
        <f t="shared" si="8"/>
        <v>2</v>
      </c>
      <c r="AG23" s="43">
        <f>SUM(AG15:AG22)</f>
        <v>175</v>
      </c>
      <c r="AH23" s="66">
        <f>AVERAGE(AH15:AH22)</f>
        <v>72.916666666666657</v>
      </c>
      <c r="AX23" s="58"/>
    </row>
    <row r="24" spans="1:50" ht="15.5" x14ac:dyDescent="0.35">
      <c r="A24" s="47" t="s">
        <v>178</v>
      </c>
      <c r="B24" s="52">
        <f>B12+B23</f>
        <v>8</v>
      </c>
      <c r="C24" s="52">
        <f t="shared" ref="C24:AF24" si="9">C12+C23</f>
        <v>10</v>
      </c>
      <c r="D24" s="52">
        <f t="shared" si="9"/>
        <v>11</v>
      </c>
      <c r="E24" s="52">
        <f t="shared" si="9"/>
        <v>13</v>
      </c>
      <c r="F24" s="52">
        <f t="shared" si="9"/>
        <v>13</v>
      </c>
      <c r="G24" s="52">
        <f t="shared" si="9"/>
        <v>9</v>
      </c>
      <c r="H24" s="52">
        <f t="shared" si="9"/>
        <v>7</v>
      </c>
      <c r="I24" s="52">
        <f t="shared" si="9"/>
        <v>7</v>
      </c>
      <c r="J24" s="52">
        <f t="shared" si="9"/>
        <v>9</v>
      </c>
      <c r="K24" s="52">
        <f t="shared" si="9"/>
        <v>7</v>
      </c>
      <c r="L24" s="52">
        <f t="shared" si="9"/>
        <v>12</v>
      </c>
      <c r="M24" s="52">
        <f t="shared" si="9"/>
        <v>14</v>
      </c>
      <c r="N24" s="52">
        <f t="shared" si="9"/>
        <v>14</v>
      </c>
      <c r="O24" s="52">
        <f t="shared" si="9"/>
        <v>12</v>
      </c>
      <c r="P24" s="52">
        <f t="shared" si="9"/>
        <v>13</v>
      </c>
      <c r="Q24" s="52">
        <f t="shared" si="9"/>
        <v>13</v>
      </c>
      <c r="R24" s="52">
        <f t="shared" si="9"/>
        <v>10</v>
      </c>
      <c r="S24" s="52">
        <f t="shared" si="9"/>
        <v>10</v>
      </c>
      <c r="T24" s="52">
        <f t="shared" si="9"/>
        <v>10</v>
      </c>
      <c r="U24" s="52">
        <f t="shared" si="9"/>
        <v>7</v>
      </c>
      <c r="V24" s="52">
        <f t="shared" si="9"/>
        <v>3</v>
      </c>
      <c r="W24" s="52">
        <f t="shared" si="9"/>
        <v>9</v>
      </c>
      <c r="X24" s="52">
        <f t="shared" si="9"/>
        <v>8</v>
      </c>
      <c r="Y24" s="52">
        <f t="shared" si="9"/>
        <v>7</v>
      </c>
      <c r="Z24" s="52">
        <f t="shared" si="9"/>
        <v>7</v>
      </c>
      <c r="AA24" s="52">
        <f t="shared" si="9"/>
        <v>9</v>
      </c>
      <c r="AB24" s="52">
        <f t="shared" si="9"/>
        <v>9</v>
      </c>
      <c r="AC24" s="52">
        <f t="shared" si="9"/>
        <v>8</v>
      </c>
      <c r="AD24" s="52">
        <f t="shared" si="9"/>
        <v>8</v>
      </c>
      <c r="AE24" s="52">
        <f t="shared" si="9"/>
        <v>4</v>
      </c>
      <c r="AF24" s="52">
        <f t="shared" si="9"/>
        <v>4</v>
      </c>
      <c r="AG24" s="49">
        <f>+AG12+AG23</f>
        <v>287</v>
      </c>
      <c r="AX24" s="58"/>
    </row>
    <row r="25" spans="1:50" ht="15.5" x14ac:dyDescent="0.35">
      <c r="A25" s="48" t="s">
        <v>179</v>
      </c>
      <c r="B25" s="42">
        <f>B24*100/15</f>
        <v>53.333333333333336</v>
      </c>
      <c r="C25" s="42">
        <f t="shared" ref="C25:AF25" si="10">C24*100/15</f>
        <v>66.666666666666671</v>
      </c>
      <c r="D25" s="42">
        <f t="shared" si="10"/>
        <v>73.333333333333329</v>
      </c>
      <c r="E25" s="42">
        <f t="shared" si="10"/>
        <v>86.666666666666671</v>
      </c>
      <c r="F25" s="42">
        <f t="shared" si="10"/>
        <v>86.666666666666671</v>
      </c>
      <c r="G25" s="42">
        <f t="shared" si="10"/>
        <v>60</v>
      </c>
      <c r="H25" s="42">
        <f t="shared" si="10"/>
        <v>46.666666666666664</v>
      </c>
      <c r="I25" s="42">
        <f t="shared" si="10"/>
        <v>46.666666666666664</v>
      </c>
      <c r="J25" s="42">
        <f t="shared" si="10"/>
        <v>60</v>
      </c>
      <c r="K25" s="42">
        <f t="shared" si="10"/>
        <v>46.666666666666664</v>
      </c>
      <c r="L25" s="42">
        <f t="shared" si="10"/>
        <v>80</v>
      </c>
      <c r="M25" s="42">
        <f t="shared" si="10"/>
        <v>93.333333333333329</v>
      </c>
      <c r="N25" s="42">
        <f t="shared" si="10"/>
        <v>93.333333333333329</v>
      </c>
      <c r="O25" s="42">
        <f t="shared" si="10"/>
        <v>80</v>
      </c>
      <c r="P25" s="42">
        <f t="shared" si="10"/>
        <v>86.666666666666671</v>
      </c>
      <c r="Q25" s="42">
        <f t="shared" si="10"/>
        <v>86.666666666666671</v>
      </c>
      <c r="R25" s="42">
        <f t="shared" si="10"/>
        <v>66.666666666666671</v>
      </c>
      <c r="S25" s="42">
        <f t="shared" si="10"/>
        <v>66.666666666666671</v>
      </c>
      <c r="T25" s="42">
        <f t="shared" si="10"/>
        <v>66.666666666666671</v>
      </c>
      <c r="U25" s="42">
        <f t="shared" si="10"/>
        <v>46.666666666666664</v>
      </c>
      <c r="V25" s="42">
        <f t="shared" si="10"/>
        <v>20</v>
      </c>
      <c r="W25" s="42">
        <f t="shared" si="10"/>
        <v>60</v>
      </c>
      <c r="X25" s="42">
        <f t="shared" si="10"/>
        <v>53.333333333333336</v>
      </c>
      <c r="Y25" s="42">
        <f t="shared" si="10"/>
        <v>46.666666666666664</v>
      </c>
      <c r="Z25" s="42">
        <f t="shared" si="10"/>
        <v>46.666666666666664</v>
      </c>
      <c r="AA25" s="42">
        <f t="shared" si="10"/>
        <v>60</v>
      </c>
      <c r="AB25" s="42">
        <f t="shared" si="10"/>
        <v>60</v>
      </c>
      <c r="AC25" s="42">
        <f t="shared" si="10"/>
        <v>53.333333333333336</v>
      </c>
      <c r="AD25" s="42">
        <f t="shared" si="10"/>
        <v>53.333333333333336</v>
      </c>
      <c r="AE25" s="42">
        <f t="shared" si="10"/>
        <v>26.666666666666668</v>
      </c>
      <c r="AF25" s="42">
        <f t="shared" si="10"/>
        <v>26.666666666666668</v>
      </c>
      <c r="AG25" s="50">
        <f>AVERAGE(B25:AE25)</f>
        <v>62.444444444444457</v>
      </c>
      <c r="AH25" s="51" t="s">
        <v>180</v>
      </c>
      <c r="AX25" s="58"/>
    </row>
    <row r="26" spans="1:50" x14ac:dyDescent="0.35">
      <c r="AX26" s="58"/>
    </row>
  </sheetData>
  <mergeCells count="2">
    <mergeCell ref="A1:AE1"/>
    <mergeCell ref="AM3:AR3"/>
  </mergeCells>
  <conditionalFormatting sqref="B19 I19 Y19 AF19">
    <cfRule type="colorScale" priority="20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1:C11">
    <cfRule type="colorScale" priority="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22:C22">
    <cfRule type="colorScale" priority="10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7:F17">
    <cfRule type="colorScale" priority="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9:G9">
    <cfRule type="colorScale" priority="8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0:G10">
    <cfRule type="colorScale" priority="9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5:T15">
    <cfRule type="colorScale" priority="1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21:T21">
    <cfRule type="colorScale" priority="1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6:V6">
    <cfRule type="colorScale" priority="1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5:AF5">
    <cfRule type="colorScale" priority="2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6:AF16 W17:AF17">
    <cfRule type="colorScale" priority="1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C19:F19">
    <cfRule type="colorScale" priority="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C20:F20">
    <cfRule type="colorScale" priority="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D22:N22">
    <cfRule type="colorScale" priority="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D11:AD11">
    <cfRule type="colorScale" priority="2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G20:AF20 B20">
    <cfRule type="colorScale" priority="1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I17:I18 J18 S17:S18 T18 AF18 B18:F18">
    <cfRule type="colorScale" priority="19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J9:AF9">
    <cfRule type="colorScale" priority="1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J10:AF10">
    <cfRule type="colorScale" priority="1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L13:U14 B13:I14 X13:AH14">
    <cfRule type="colorScale" priority="28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O22:V22">
    <cfRule type="colorScale" priority="2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T17:V17 Z19:AE19 G17:H19 J17:R17 K18:R18 J19:X19 U18:AE18">
    <cfRule type="colorScale" priority="2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U15:Z15 AE15:AF15">
    <cfRule type="colorScale" priority="18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U21:AF21">
    <cfRule type="colorScale" priority="2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W6:AF6">
    <cfRule type="colorScale" priority="2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W22:AF22">
    <cfRule type="colorScale" priority="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A15:AD15">
    <cfRule type="colorScale" priority="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E11:AF11 H9:I10 B7:AF8">
    <cfRule type="colorScale" priority="25">
      <colorScale>
        <cfvo type="num" val="1"/>
        <cfvo type="max"/>
        <color theme="4" tint="0.59999389629810485"/>
        <color theme="5" tint="0.59999389629810485"/>
      </colorScale>
    </cfRule>
  </conditionalFormatting>
  <pageMargins left="0.2" right="0.45" top="0.75" bottom="0.75" header="0.3" footer="0.3"/>
  <pageSetup scale="90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2946B-2E20-460E-9906-2167A5A05B61}">
  <dimension ref="A1:AX26"/>
  <sheetViews>
    <sheetView zoomScale="86" zoomScaleNormal="86" workbookViewId="0">
      <pane xSplit="1" ySplit="4" topLeftCell="R5" activePane="bottomRight" state="frozen"/>
      <selection pane="topRight" activeCell="B1" sqref="B1"/>
      <selection pane="bottomLeft" activeCell="A5" sqref="A5"/>
      <selection pane="bottomRight" activeCell="W7" sqref="W7:W11"/>
    </sheetView>
  </sheetViews>
  <sheetFormatPr defaultRowHeight="14.5" x14ac:dyDescent="0.35"/>
  <cols>
    <col min="1" max="1" width="43.7265625" customWidth="1"/>
    <col min="2" max="4" width="5.81640625" bestFit="1" customWidth="1"/>
    <col min="5" max="5" width="16.81640625" bestFit="1" customWidth="1"/>
    <col min="6" max="6" width="12.54296875" bestFit="1" customWidth="1"/>
    <col min="7" max="9" width="8" bestFit="1" customWidth="1"/>
    <col min="10" max="10" width="13.453125" bestFit="1" customWidth="1"/>
    <col min="11" max="15" width="6.26953125" bestFit="1" customWidth="1"/>
    <col min="16" max="18" width="16.453125" bestFit="1" customWidth="1"/>
    <col min="19" max="20" width="6.26953125" bestFit="1" customWidth="1"/>
    <col min="21" max="21" width="13.7265625" bestFit="1" customWidth="1"/>
    <col min="22" max="22" width="14.1796875" bestFit="1" customWidth="1"/>
    <col min="23" max="23" width="16.81640625" bestFit="1" customWidth="1"/>
    <col min="24" max="25" width="12.81640625" bestFit="1" customWidth="1"/>
    <col min="26" max="30" width="10.54296875" bestFit="1" customWidth="1"/>
    <col min="31" max="31" width="10.453125" customWidth="1"/>
    <col min="32" max="32" width="11.453125" bestFit="1" customWidth="1"/>
    <col min="33" max="33" width="4.7265625" bestFit="1" customWidth="1"/>
    <col min="34" max="34" width="8.453125" bestFit="1" customWidth="1"/>
    <col min="35" max="35" width="8" bestFit="1" customWidth="1"/>
    <col min="36" max="36" width="8.453125" customWidth="1"/>
    <col min="37" max="37" width="0" hidden="1" customWidth="1"/>
    <col min="38" max="38" width="3" hidden="1" customWidth="1"/>
    <col min="39" max="39" width="17.81640625" bestFit="1" customWidth="1"/>
    <col min="40" max="40" width="9.1796875" bestFit="1" customWidth="1"/>
    <col min="41" max="41" width="9.81640625" bestFit="1" customWidth="1"/>
    <col min="42" max="42" width="10.81640625" bestFit="1" customWidth="1"/>
    <col min="43" max="43" width="10.1796875" bestFit="1" customWidth="1"/>
    <col min="44" max="44" width="23.1796875" bestFit="1" customWidth="1"/>
    <col min="45" max="45" width="0.453125" hidden="1" customWidth="1"/>
    <col min="46" max="49" width="0" hidden="1" customWidth="1"/>
    <col min="51" max="51" width="15" bestFit="1" customWidth="1"/>
  </cols>
  <sheetData>
    <row r="1" spans="1:44" ht="15.5" x14ac:dyDescent="0.35">
      <c r="A1" s="120" t="s">
        <v>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65"/>
    </row>
    <row r="2" spans="1:44" ht="15" thickBot="1" x14ac:dyDescent="0.4"/>
    <row r="3" spans="1:44" ht="45.75" customHeight="1" x14ac:dyDescent="0.35">
      <c r="A3" s="1" t="s">
        <v>1</v>
      </c>
      <c r="B3" s="2">
        <f>AI4</f>
        <v>45658</v>
      </c>
      <c r="C3" s="2">
        <f t="shared" ref="C3:AF3" si="0">B3+1</f>
        <v>45659</v>
      </c>
      <c r="D3" s="2">
        <f t="shared" si="0"/>
        <v>45660</v>
      </c>
      <c r="E3" s="2">
        <f t="shared" si="0"/>
        <v>45661</v>
      </c>
      <c r="F3" s="2">
        <f t="shared" si="0"/>
        <v>45662</v>
      </c>
      <c r="G3" s="2">
        <f t="shared" si="0"/>
        <v>45663</v>
      </c>
      <c r="H3" s="2">
        <f t="shared" si="0"/>
        <v>45664</v>
      </c>
      <c r="I3" s="2">
        <f>H3+1</f>
        <v>45665</v>
      </c>
      <c r="J3" s="2">
        <f t="shared" si="0"/>
        <v>45666</v>
      </c>
      <c r="K3" s="2">
        <f t="shared" si="0"/>
        <v>45667</v>
      </c>
      <c r="L3" s="2">
        <f t="shared" si="0"/>
        <v>45668</v>
      </c>
      <c r="M3" s="2">
        <f t="shared" si="0"/>
        <v>45669</v>
      </c>
      <c r="N3" s="2">
        <f t="shared" si="0"/>
        <v>45670</v>
      </c>
      <c r="O3" s="2">
        <f t="shared" si="0"/>
        <v>45671</v>
      </c>
      <c r="P3" s="2">
        <f t="shared" si="0"/>
        <v>45672</v>
      </c>
      <c r="Q3" s="2">
        <f t="shared" si="0"/>
        <v>45673</v>
      </c>
      <c r="R3" s="2">
        <f t="shared" si="0"/>
        <v>45674</v>
      </c>
      <c r="S3" s="2">
        <f t="shared" si="0"/>
        <v>45675</v>
      </c>
      <c r="T3" s="2">
        <f t="shared" si="0"/>
        <v>45676</v>
      </c>
      <c r="U3" s="2">
        <f t="shared" si="0"/>
        <v>45677</v>
      </c>
      <c r="V3" s="2">
        <f t="shared" si="0"/>
        <v>45678</v>
      </c>
      <c r="W3" s="2">
        <f t="shared" si="0"/>
        <v>45679</v>
      </c>
      <c r="X3" s="2">
        <f t="shared" si="0"/>
        <v>45680</v>
      </c>
      <c r="Y3" s="2">
        <f t="shared" si="0"/>
        <v>45681</v>
      </c>
      <c r="Z3" s="2">
        <f t="shared" si="0"/>
        <v>45682</v>
      </c>
      <c r="AA3" s="2">
        <f t="shared" si="0"/>
        <v>45683</v>
      </c>
      <c r="AB3" s="2">
        <f t="shared" si="0"/>
        <v>45684</v>
      </c>
      <c r="AC3" s="2">
        <f t="shared" si="0"/>
        <v>45685</v>
      </c>
      <c r="AD3" s="2">
        <f t="shared" si="0"/>
        <v>45686</v>
      </c>
      <c r="AE3" s="2">
        <f t="shared" si="0"/>
        <v>45687</v>
      </c>
      <c r="AF3" s="2">
        <f t="shared" si="0"/>
        <v>45688</v>
      </c>
      <c r="AG3" s="36"/>
      <c r="AH3" s="36"/>
      <c r="AM3" s="122" t="s">
        <v>267</v>
      </c>
      <c r="AN3" s="123"/>
      <c r="AO3" s="123"/>
      <c r="AP3" s="123"/>
      <c r="AQ3" s="123"/>
      <c r="AR3" s="124"/>
    </row>
    <row r="4" spans="1:44" ht="31.5" customHeight="1" x14ac:dyDescent="0.35">
      <c r="A4" s="3" t="s">
        <v>2</v>
      </c>
      <c r="B4" s="4">
        <f t="shared" ref="B4:AF4" si="1">B3</f>
        <v>45658</v>
      </c>
      <c r="C4" s="4">
        <f t="shared" si="1"/>
        <v>45659</v>
      </c>
      <c r="D4" s="4">
        <f t="shared" si="1"/>
        <v>45660</v>
      </c>
      <c r="E4" s="4">
        <f t="shared" si="1"/>
        <v>45661</v>
      </c>
      <c r="F4" s="4">
        <f t="shared" si="1"/>
        <v>45662</v>
      </c>
      <c r="G4" s="4">
        <f t="shared" si="1"/>
        <v>45663</v>
      </c>
      <c r="H4" s="4">
        <f t="shared" si="1"/>
        <v>45664</v>
      </c>
      <c r="I4" s="4">
        <f t="shared" si="1"/>
        <v>45665</v>
      </c>
      <c r="J4" s="4">
        <f t="shared" si="1"/>
        <v>45666</v>
      </c>
      <c r="K4" s="4">
        <f t="shared" si="1"/>
        <v>45667</v>
      </c>
      <c r="L4" s="4">
        <f t="shared" si="1"/>
        <v>45668</v>
      </c>
      <c r="M4" s="4">
        <f t="shared" si="1"/>
        <v>45669</v>
      </c>
      <c r="N4" s="4">
        <f t="shared" si="1"/>
        <v>45670</v>
      </c>
      <c r="O4" s="4">
        <f t="shared" si="1"/>
        <v>45671</v>
      </c>
      <c r="P4" s="4">
        <f t="shared" si="1"/>
        <v>45672</v>
      </c>
      <c r="Q4" s="4">
        <f t="shared" si="1"/>
        <v>45673</v>
      </c>
      <c r="R4" s="4">
        <f t="shared" si="1"/>
        <v>45674</v>
      </c>
      <c r="S4" s="4">
        <f t="shared" si="1"/>
        <v>45675</v>
      </c>
      <c r="T4" s="4">
        <f t="shared" si="1"/>
        <v>45676</v>
      </c>
      <c r="U4" s="4">
        <f t="shared" si="1"/>
        <v>45677</v>
      </c>
      <c r="V4" s="4">
        <f t="shared" si="1"/>
        <v>45678</v>
      </c>
      <c r="W4" s="4">
        <f t="shared" si="1"/>
        <v>45679</v>
      </c>
      <c r="X4" s="4">
        <f t="shared" si="1"/>
        <v>45680</v>
      </c>
      <c r="Y4" s="4">
        <f t="shared" si="1"/>
        <v>45681</v>
      </c>
      <c r="Z4" s="4">
        <f t="shared" si="1"/>
        <v>45682</v>
      </c>
      <c r="AA4" s="4">
        <f t="shared" si="1"/>
        <v>45683</v>
      </c>
      <c r="AB4" s="4">
        <f t="shared" si="1"/>
        <v>45684</v>
      </c>
      <c r="AC4" s="4">
        <f t="shared" si="1"/>
        <v>45685</v>
      </c>
      <c r="AD4" s="4">
        <f t="shared" si="1"/>
        <v>45686</v>
      </c>
      <c r="AE4" s="4">
        <f t="shared" si="1"/>
        <v>45687</v>
      </c>
      <c r="AF4" s="4">
        <f t="shared" si="1"/>
        <v>45688</v>
      </c>
      <c r="AG4" s="39" t="s">
        <v>174</v>
      </c>
      <c r="AH4" s="40" t="s">
        <v>175</v>
      </c>
      <c r="AI4" s="5">
        <v>45658</v>
      </c>
      <c r="AJ4" s="6">
        <f>EOMONTH(AI4,0)</f>
        <v>45688</v>
      </c>
      <c r="AM4" s="19" t="s">
        <v>54</v>
      </c>
      <c r="AN4" s="19" t="s">
        <v>269</v>
      </c>
      <c r="AO4" s="19" t="s">
        <v>55</v>
      </c>
      <c r="AP4" s="19" t="s">
        <v>56</v>
      </c>
      <c r="AQ4" s="19" t="s">
        <v>251</v>
      </c>
      <c r="AR4" s="19" t="s">
        <v>57</v>
      </c>
    </row>
    <row r="5" spans="1:44" x14ac:dyDescent="0.35">
      <c r="A5" s="7" t="s">
        <v>3</v>
      </c>
      <c r="B5" s="55"/>
      <c r="C5" s="55"/>
      <c r="D5" s="55"/>
      <c r="E5" s="55"/>
      <c r="F5" s="55"/>
      <c r="G5" s="55"/>
      <c r="H5" s="55"/>
      <c r="I5" s="55"/>
      <c r="J5" s="55" t="s">
        <v>437</v>
      </c>
      <c r="K5" s="55" t="s">
        <v>437</v>
      </c>
      <c r="L5" s="55" t="s">
        <v>437</v>
      </c>
      <c r="M5" s="55"/>
      <c r="N5" s="55"/>
      <c r="O5" s="55"/>
      <c r="P5" s="55"/>
      <c r="Q5" s="55"/>
      <c r="R5" s="55"/>
      <c r="S5" s="55"/>
      <c r="T5" s="55"/>
      <c r="U5" s="55" t="s">
        <v>437</v>
      </c>
      <c r="V5" s="55" t="s">
        <v>437</v>
      </c>
      <c r="W5" s="55" t="s">
        <v>437</v>
      </c>
      <c r="X5" s="55" t="s">
        <v>437</v>
      </c>
      <c r="Y5" s="55"/>
      <c r="Z5" s="55"/>
      <c r="AA5" s="55"/>
      <c r="AB5" s="55"/>
      <c r="AC5" s="55"/>
      <c r="AD5" s="55"/>
      <c r="AE5" s="55"/>
      <c r="AF5" s="55"/>
      <c r="AG5" s="41">
        <f>COUNTA(B5:AF5)</f>
        <v>7</v>
      </c>
      <c r="AH5" s="42">
        <f>AG5*100/30</f>
        <v>23.333333333333332</v>
      </c>
      <c r="AM5" s="20"/>
      <c r="AN5" s="56"/>
      <c r="AO5" s="56"/>
      <c r="AP5" s="56"/>
      <c r="AQ5" s="57"/>
      <c r="AR5" s="20"/>
    </row>
    <row r="6" spans="1:44" x14ac:dyDescent="0.35">
      <c r="A6" s="7" t="s">
        <v>7</v>
      </c>
      <c r="B6" s="55"/>
      <c r="C6" s="55"/>
      <c r="D6" s="55"/>
      <c r="E6" s="55"/>
      <c r="F6" s="55"/>
      <c r="G6" s="55" t="s">
        <v>757</v>
      </c>
      <c r="H6" s="55" t="s">
        <v>757</v>
      </c>
      <c r="I6" s="55" t="s">
        <v>757</v>
      </c>
      <c r="J6" s="55" t="s">
        <v>757</v>
      </c>
      <c r="K6" s="55" t="s">
        <v>757</v>
      </c>
      <c r="L6" s="55" t="s">
        <v>757</v>
      </c>
      <c r="M6" s="55" t="s">
        <v>757</v>
      </c>
      <c r="N6" s="55" t="s">
        <v>757</v>
      </c>
      <c r="O6" s="55" t="s">
        <v>757</v>
      </c>
      <c r="P6" s="55" t="s">
        <v>757</v>
      </c>
      <c r="Q6" s="55" t="s">
        <v>757</v>
      </c>
      <c r="R6" s="55" t="s">
        <v>757</v>
      </c>
      <c r="S6" s="55" t="s">
        <v>757</v>
      </c>
      <c r="T6" s="55" t="s">
        <v>757</v>
      </c>
      <c r="U6" s="55" t="s">
        <v>757</v>
      </c>
      <c r="V6" s="55" t="s">
        <v>757</v>
      </c>
      <c r="W6" s="55" t="s">
        <v>757</v>
      </c>
      <c r="X6" s="55" t="s">
        <v>757</v>
      </c>
      <c r="Y6" s="55" t="s">
        <v>757</v>
      </c>
      <c r="Z6" s="55" t="s">
        <v>757</v>
      </c>
      <c r="AA6" s="55" t="s">
        <v>757</v>
      </c>
      <c r="AB6" s="55" t="s">
        <v>757</v>
      </c>
      <c r="AC6" s="55" t="s">
        <v>757</v>
      </c>
      <c r="AD6" s="55" t="s">
        <v>757</v>
      </c>
      <c r="AE6" s="55" t="s">
        <v>757</v>
      </c>
      <c r="AF6" s="55" t="s">
        <v>757</v>
      </c>
      <c r="AG6" s="41">
        <f t="shared" ref="AG6:AG11" si="2">COUNTA(B6:AF6)</f>
        <v>26</v>
      </c>
      <c r="AH6" s="42">
        <f t="shared" ref="AH6:AH11" si="3">AG6*100/30</f>
        <v>86.666666666666671</v>
      </c>
      <c r="AM6" s="20"/>
      <c r="AN6" s="56"/>
      <c r="AO6" s="56"/>
      <c r="AP6" s="56"/>
      <c r="AQ6" s="57"/>
      <c r="AR6" s="20"/>
    </row>
    <row r="7" spans="1:44" x14ac:dyDescent="0.35">
      <c r="A7" s="7" t="s">
        <v>11</v>
      </c>
      <c r="B7" s="55"/>
      <c r="C7" s="55"/>
      <c r="D7" s="55"/>
      <c r="E7" s="55" t="s">
        <v>755</v>
      </c>
      <c r="F7" s="55" t="s">
        <v>755</v>
      </c>
      <c r="G7" s="55"/>
      <c r="H7" s="55"/>
      <c r="I7" s="55" t="s">
        <v>671</v>
      </c>
      <c r="J7" s="55" t="s">
        <v>671</v>
      </c>
      <c r="K7" s="55"/>
      <c r="L7" s="55"/>
      <c r="M7" s="55"/>
      <c r="N7" s="55"/>
      <c r="O7" s="55"/>
      <c r="P7" s="55"/>
      <c r="Q7" s="55"/>
      <c r="R7" s="55"/>
      <c r="S7" s="55"/>
      <c r="T7" s="55"/>
      <c r="U7" s="55" t="s">
        <v>95</v>
      </c>
      <c r="V7" s="55" t="s">
        <v>95</v>
      </c>
      <c r="W7" s="55" t="s">
        <v>95</v>
      </c>
      <c r="X7" s="55" t="s">
        <v>95</v>
      </c>
      <c r="Y7" s="55"/>
      <c r="Z7" s="55" t="s">
        <v>524</v>
      </c>
      <c r="AA7" s="55"/>
      <c r="AB7" s="55"/>
      <c r="AC7" s="55" t="s">
        <v>771</v>
      </c>
      <c r="AD7" s="55" t="s">
        <v>771</v>
      </c>
      <c r="AE7" s="55" t="s">
        <v>771</v>
      </c>
      <c r="AF7" s="55" t="s">
        <v>771</v>
      </c>
      <c r="AG7" s="41">
        <f t="shared" si="2"/>
        <v>13</v>
      </c>
      <c r="AH7" s="42">
        <f t="shared" si="3"/>
        <v>43.333333333333336</v>
      </c>
      <c r="AM7" s="20"/>
      <c r="AN7" s="56"/>
      <c r="AO7" s="56"/>
      <c r="AP7" s="56"/>
      <c r="AQ7" s="57"/>
      <c r="AR7" s="20"/>
    </row>
    <row r="8" spans="1:44" ht="15" customHeight="1" x14ac:dyDescent="0.35">
      <c r="A8" s="7" t="s">
        <v>15</v>
      </c>
      <c r="B8" s="55"/>
      <c r="C8" s="55"/>
      <c r="D8" s="55"/>
      <c r="E8" s="55" t="s">
        <v>44</v>
      </c>
      <c r="F8" s="55" t="s">
        <v>44</v>
      </c>
      <c r="G8" s="55"/>
      <c r="H8" s="55"/>
      <c r="I8" s="55" t="s">
        <v>44</v>
      </c>
      <c r="J8" s="55" t="s">
        <v>44</v>
      </c>
      <c r="K8" s="55"/>
      <c r="L8" s="55"/>
      <c r="M8" s="55"/>
      <c r="N8" s="55"/>
      <c r="O8" s="55"/>
      <c r="P8" s="55"/>
      <c r="Q8" s="55"/>
      <c r="R8" s="55"/>
      <c r="S8" s="55"/>
      <c r="T8" s="55"/>
      <c r="U8" s="55" t="s">
        <v>761</v>
      </c>
      <c r="V8" s="55" t="s">
        <v>761</v>
      </c>
      <c r="W8" s="55" t="s">
        <v>761</v>
      </c>
      <c r="X8" s="55" t="s">
        <v>761</v>
      </c>
      <c r="Y8" s="55"/>
      <c r="Z8" s="55" t="s">
        <v>775</v>
      </c>
      <c r="AA8" s="55"/>
      <c r="AB8" s="55"/>
      <c r="AC8" s="55"/>
      <c r="AD8" s="55"/>
      <c r="AE8" s="55"/>
      <c r="AF8" s="55"/>
      <c r="AG8" s="41">
        <f t="shared" si="2"/>
        <v>9</v>
      </c>
      <c r="AH8" s="42">
        <f t="shared" si="3"/>
        <v>30</v>
      </c>
      <c r="AK8" s="9"/>
      <c r="AM8" s="20"/>
      <c r="AN8" s="56"/>
      <c r="AO8" s="56"/>
      <c r="AP8" s="56"/>
      <c r="AQ8" s="57"/>
      <c r="AR8" s="20"/>
    </row>
    <row r="9" spans="1:44" ht="15.75" customHeight="1" x14ac:dyDescent="0.35">
      <c r="A9" s="7" t="s">
        <v>18</v>
      </c>
      <c r="B9" s="8"/>
      <c r="C9" s="8"/>
      <c r="D9" s="8"/>
      <c r="E9" s="8"/>
      <c r="F9" s="8"/>
      <c r="G9" s="8"/>
      <c r="H9" s="55"/>
      <c r="I9" s="55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 t="s">
        <v>96</v>
      </c>
      <c r="V9" s="8" t="s">
        <v>96</v>
      </c>
      <c r="W9" s="8" t="s">
        <v>96</v>
      </c>
      <c r="X9" s="8" t="s">
        <v>96</v>
      </c>
      <c r="Y9" s="8"/>
      <c r="Z9" s="8" t="s">
        <v>763</v>
      </c>
      <c r="AA9" s="8" t="s">
        <v>214</v>
      </c>
      <c r="AB9" s="8" t="s">
        <v>214</v>
      </c>
      <c r="AC9" s="8" t="s">
        <v>214</v>
      </c>
      <c r="AD9" s="8" t="s">
        <v>214</v>
      </c>
      <c r="AE9" s="8" t="s">
        <v>214</v>
      </c>
      <c r="AF9" s="8" t="s">
        <v>214</v>
      </c>
      <c r="AG9" s="41">
        <f t="shared" si="2"/>
        <v>11</v>
      </c>
      <c r="AH9" s="42">
        <f t="shared" si="3"/>
        <v>36.666666666666664</v>
      </c>
      <c r="AM9" s="20"/>
      <c r="AN9" s="56"/>
      <c r="AO9" s="56"/>
      <c r="AP9" s="56"/>
      <c r="AQ9" s="57"/>
      <c r="AR9" s="20"/>
    </row>
    <row r="10" spans="1:44" ht="15.75" customHeight="1" x14ac:dyDescent="0.35">
      <c r="A10" s="7" t="s">
        <v>20</v>
      </c>
      <c r="B10" s="8"/>
      <c r="C10" s="8"/>
      <c r="D10" s="8"/>
      <c r="E10" s="8"/>
      <c r="F10" s="8"/>
      <c r="G10" s="8"/>
      <c r="H10" s="55"/>
      <c r="I10" s="55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 t="s">
        <v>99</v>
      </c>
      <c r="V10" s="8" t="s">
        <v>99</v>
      </c>
      <c r="W10" s="8" t="s">
        <v>99</v>
      </c>
      <c r="X10" s="8" t="s">
        <v>99</v>
      </c>
      <c r="Y10" s="8"/>
      <c r="Z10" s="8"/>
      <c r="AA10" s="8"/>
      <c r="AB10" s="8"/>
      <c r="AC10" s="8" t="s">
        <v>772</v>
      </c>
      <c r="AD10" s="8" t="s">
        <v>772</v>
      </c>
      <c r="AE10" s="8" t="s">
        <v>772</v>
      </c>
      <c r="AF10" s="8" t="s">
        <v>772</v>
      </c>
      <c r="AG10" s="41">
        <f t="shared" si="2"/>
        <v>8</v>
      </c>
      <c r="AH10" s="42">
        <f t="shared" si="3"/>
        <v>26.666666666666668</v>
      </c>
      <c r="AM10" s="20"/>
      <c r="AN10" s="56"/>
      <c r="AO10" s="56"/>
      <c r="AP10" s="56"/>
      <c r="AQ10" s="57"/>
      <c r="AR10" s="20"/>
    </row>
    <row r="11" spans="1:44" ht="15.75" customHeight="1" thickBot="1" x14ac:dyDescent="0.4">
      <c r="A11" s="7" t="s">
        <v>24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 t="s">
        <v>762</v>
      </c>
      <c r="V11" s="55" t="s">
        <v>762</v>
      </c>
      <c r="W11" s="55" t="s">
        <v>762</v>
      </c>
      <c r="X11" s="55" t="s">
        <v>762</v>
      </c>
      <c r="Y11" s="55"/>
      <c r="Z11" s="55" t="s">
        <v>762</v>
      </c>
      <c r="AA11" s="55" t="s">
        <v>762</v>
      </c>
      <c r="AB11" s="55"/>
      <c r="AC11" s="55"/>
      <c r="AD11" s="55"/>
      <c r="AE11" s="55"/>
      <c r="AF11" s="55"/>
      <c r="AG11" s="41">
        <f t="shared" si="2"/>
        <v>6</v>
      </c>
      <c r="AH11" s="42">
        <f t="shared" si="3"/>
        <v>20</v>
      </c>
      <c r="AM11" s="20"/>
      <c r="AN11" s="20"/>
      <c r="AO11" s="20"/>
      <c r="AP11" s="20"/>
      <c r="AQ11" s="20"/>
      <c r="AR11" s="20"/>
    </row>
    <row r="12" spans="1:44" ht="15" customHeight="1" x14ac:dyDescent="0.35">
      <c r="A12" s="45" t="s">
        <v>176</v>
      </c>
      <c r="B12" s="46">
        <f>COUNTA(B5:B11)</f>
        <v>0</v>
      </c>
      <c r="C12" s="46">
        <f>COUNTA(C5:C11)</f>
        <v>0</v>
      </c>
      <c r="D12" s="46">
        <f t="shared" ref="D12:AF12" si="4">COUNTA(D5:D11)</f>
        <v>0</v>
      </c>
      <c r="E12" s="46">
        <f t="shared" si="4"/>
        <v>2</v>
      </c>
      <c r="F12" s="46">
        <f t="shared" si="4"/>
        <v>2</v>
      </c>
      <c r="G12" s="46">
        <f t="shared" si="4"/>
        <v>1</v>
      </c>
      <c r="H12" s="46">
        <f t="shared" si="4"/>
        <v>1</v>
      </c>
      <c r="I12" s="46">
        <f t="shared" si="4"/>
        <v>3</v>
      </c>
      <c r="J12" s="46">
        <f t="shared" si="4"/>
        <v>4</v>
      </c>
      <c r="K12" s="46">
        <f t="shared" si="4"/>
        <v>2</v>
      </c>
      <c r="L12" s="46">
        <f t="shared" si="4"/>
        <v>2</v>
      </c>
      <c r="M12" s="46">
        <f t="shared" si="4"/>
        <v>1</v>
      </c>
      <c r="N12" s="46">
        <f t="shared" si="4"/>
        <v>1</v>
      </c>
      <c r="O12" s="46">
        <f t="shared" si="4"/>
        <v>1</v>
      </c>
      <c r="P12" s="46">
        <f t="shared" si="4"/>
        <v>1</v>
      </c>
      <c r="Q12" s="46">
        <f t="shared" si="4"/>
        <v>1</v>
      </c>
      <c r="R12" s="46">
        <f t="shared" si="4"/>
        <v>1</v>
      </c>
      <c r="S12" s="46">
        <f t="shared" si="4"/>
        <v>1</v>
      </c>
      <c r="T12" s="46">
        <f t="shared" si="4"/>
        <v>1</v>
      </c>
      <c r="U12" s="46">
        <f t="shared" si="4"/>
        <v>7</v>
      </c>
      <c r="V12" s="46">
        <f t="shared" si="4"/>
        <v>7</v>
      </c>
      <c r="W12" s="46">
        <f t="shared" si="4"/>
        <v>7</v>
      </c>
      <c r="X12" s="46">
        <f t="shared" si="4"/>
        <v>7</v>
      </c>
      <c r="Y12" s="46">
        <f t="shared" si="4"/>
        <v>1</v>
      </c>
      <c r="Z12" s="46">
        <f t="shared" si="4"/>
        <v>5</v>
      </c>
      <c r="AA12" s="46">
        <f t="shared" si="4"/>
        <v>3</v>
      </c>
      <c r="AB12" s="46">
        <f t="shared" si="4"/>
        <v>2</v>
      </c>
      <c r="AC12" s="46">
        <f>COUNTA(AC5:AC11)</f>
        <v>4</v>
      </c>
      <c r="AD12" s="46">
        <f>COUNTA(AD5:AD11)</f>
        <v>4</v>
      </c>
      <c r="AE12" s="46">
        <f>COUNTA(AE5:AE11)</f>
        <v>4</v>
      </c>
      <c r="AF12" s="46">
        <f t="shared" si="4"/>
        <v>4</v>
      </c>
      <c r="AG12" s="43">
        <f t="shared" ref="AG12" si="5">SUM(AG5:AG11)</f>
        <v>80</v>
      </c>
      <c r="AH12" s="44">
        <f>AVERAGE(AH5:AH11)</f>
        <v>38.095238095238088</v>
      </c>
      <c r="AI12" s="29"/>
      <c r="AM12" s="20"/>
      <c r="AN12" s="20"/>
      <c r="AO12" s="20"/>
      <c r="AP12" s="20"/>
      <c r="AQ12" s="20"/>
      <c r="AR12" s="20"/>
    </row>
    <row r="13" spans="1:44" ht="57" hidden="1" x14ac:dyDescent="0.35">
      <c r="A13" s="13" t="s">
        <v>28</v>
      </c>
      <c r="B13" s="14"/>
      <c r="C13" s="14"/>
      <c r="D13" s="14"/>
      <c r="E13" s="14"/>
      <c r="F13" s="14"/>
      <c r="G13" s="14"/>
      <c r="H13" s="14"/>
      <c r="I13" s="35"/>
      <c r="J13" s="34"/>
      <c r="K13" s="15"/>
      <c r="L13" s="14"/>
      <c r="M13" s="14"/>
      <c r="N13" s="25"/>
      <c r="O13" s="25"/>
      <c r="P13" s="25"/>
      <c r="Q13" s="14"/>
      <c r="R13" s="14"/>
      <c r="S13" s="14"/>
      <c r="T13" s="14"/>
      <c r="U13" s="14"/>
      <c r="V13" s="15"/>
      <c r="W13" s="15"/>
      <c r="X13" s="14"/>
      <c r="Y13" s="14"/>
      <c r="Z13" s="14"/>
      <c r="AA13" s="14"/>
      <c r="AB13" s="14"/>
      <c r="AC13" s="14"/>
      <c r="AD13" s="14"/>
      <c r="AE13" s="14"/>
      <c r="AF13" s="14"/>
      <c r="AG13" s="37"/>
      <c r="AH13" s="37"/>
      <c r="AM13" s="20"/>
      <c r="AN13" s="20"/>
      <c r="AO13" s="20"/>
      <c r="AP13" s="20"/>
      <c r="AQ13" s="20"/>
      <c r="AR13" s="20"/>
    </row>
    <row r="14" spans="1:44" ht="28.5" hidden="1" x14ac:dyDescent="0.35">
      <c r="A14" s="16" t="s">
        <v>29</v>
      </c>
      <c r="B14" s="14"/>
      <c r="C14" s="14"/>
      <c r="D14" s="14"/>
      <c r="E14" s="14"/>
      <c r="F14" s="14"/>
      <c r="G14" s="14"/>
      <c r="H14" s="14"/>
      <c r="I14" s="35"/>
      <c r="J14" s="34"/>
      <c r="K14" s="15"/>
      <c r="L14" s="14"/>
      <c r="M14" s="14"/>
      <c r="N14" s="25"/>
      <c r="O14" s="25"/>
      <c r="P14" s="25"/>
      <c r="Q14" s="14"/>
      <c r="R14" s="14"/>
      <c r="S14" s="14"/>
      <c r="T14" s="14"/>
      <c r="U14" s="14"/>
      <c r="V14" s="15"/>
      <c r="W14" s="15"/>
      <c r="X14" s="14"/>
      <c r="Y14" s="14"/>
      <c r="Z14" s="14"/>
      <c r="AA14" s="14"/>
      <c r="AB14" s="14"/>
      <c r="AC14" s="14"/>
      <c r="AD14" s="14"/>
      <c r="AE14" s="14"/>
      <c r="AF14" s="14"/>
      <c r="AG14" s="37"/>
      <c r="AH14" s="37"/>
      <c r="AM14" s="20"/>
      <c r="AN14" s="20"/>
      <c r="AO14" s="20"/>
      <c r="AP14" s="20"/>
      <c r="AQ14" s="20"/>
      <c r="AR14" s="20"/>
    </row>
    <row r="15" spans="1:44" x14ac:dyDescent="0.35">
      <c r="A15" s="7" t="s">
        <v>30</v>
      </c>
      <c r="B15" s="8"/>
      <c r="C15" s="8"/>
      <c r="D15" s="8"/>
      <c r="E15" s="8" t="s">
        <v>756</v>
      </c>
      <c r="F15" s="8"/>
      <c r="G15" s="8" t="s">
        <v>34</v>
      </c>
      <c r="H15" s="8" t="s">
        <v>34</v>
      </c>
      <c r="I15" s="8" t="s">
        <v>34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 t="s">
        <v>776</v>
      </c>
      <c r="V15" s="8" t="s">
        <v>776</v>
      </c>
      <c r="W15" s="8" t="s">
        <v>776</v>
      </c>
      <c r="X15" s="8" t="s">
        <v>776</v>
      </c>
      <c r="Y15" s="8" t="s">
        <v>767</v>
      </c>
      <c r="Z15" s="8" t="s">
        <v>767</v>
      </c>
      <c r="AA15" s="8" t="s">
        <v>767</v>
      </c>
      <c r="AB15" s="8" t="s">
        <v>767</v>
      </c>
      <c r="AC15" s="8" t="s">
        <v>767</v>
      </c>
      <c r="AD15" s="8" t="s">
        <v>767</v>
      </c>
      <c r="AE15" s="8" t="s">
        <v>767</v>
      </c>
      <c r="AF15" s="8" t="s">
        <v>767</v>
      </c>
      <c r="AG15" s="41">
        <f>COUNTA(B15:AF15)</f>
        <v>16</v>
      </c>
      <c r="AH15" s="42">
        <f>AG15*100/30</f>
        <v>53.333333333333336</v>
      </c>
      <c r="AM15" s="20"/>
      <c r="AN15" s="20"/>
      <c r="AO15" s="20"/>
      <c r="AP15" s="20"/>
      <c r="AQ15" s="20"/>
      <c r="AR15" s="20"/>
    </row>
    <row r="16" spans="1:44" x14ac:dyDescent="0.35">
      <c r="A16" s="7" t="s">
        <v>35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 t="s">
        <v>780</v>
      </c>
      <c r="X16" s="8" t="s">
        <v>780</v>
      </c>
      <c r="Y16" s="8" t="s">
        <v>780</v>
      </c>
      <c r="Z16" s="8" t="s">
        <v>780</v>
      </c>
      <c r="AA16" s="8" t="s">
        <v>780</v>
      </c>
      <c r="AB16" s="8" t="s">
        <v>780</v>
      </c>
      <c r="AC16" s="8" t="s">
        <v>780</v>
      </c>
      <c r="AD16" s="8" t="s">
        <v>780</v>
      </c>
      <c r="AE16" s="8" t="s">
        <v>780</v>
      </c>
      <c r="AF16" s="8" t="s">
        <v>780</v>
      </c>
      <c r="AG16" s="41">
        <f t="shared" ref="AG16:AG22" si="6">COUNTA(B16:AF16)</f>
        <v>10</v>
      </c>
      <c r="AH16" s="42">
        <f t="shared" ref="AH16:AH22" si="7">AG16*100/30</f>
        <v>33.333333333333336</v>
      </c>
      <c r="AM16" s="20"/>
      <c r="AN16" s="20"/>
      <c r="AO16" s="56"/>
      <c r="AP16" s="56"/>
      <c r="AQ16" s="20"/>
      <c r="AR16" s="20"/>
    </row>
    <row r="17" spans="1:50" x14ac:dyDescent="0.35">
      <c r="A17" s="7" t="s">
        <v>39</v>
      </c>
      <c r="B17" s="8"/>
      <c r="C17" s="8"/>
      <c r="D17" s="8"/>
      <c r="E17" s="8"/>
      <c r="F17" s="8"/>
      <c r="G17" s="8" t="s">
        <v>34</v>
      </c>
      <c r="H17" s="8" t="s">
        <v>34</v>
      </c>
      <c r="I17" s="8" t="s">
        <v>34</v>
      </c>
      <c r="J17" s="55"/>
      <c r="K17" s="55"/>
      <c r="L17" s="55"/>
      <c r="M17" s="55"/>
      <c r="N17" s="55"/>
      <c r="O17" s="55"/>
      <c r="P17" s="55" t="s">
        <v>760</v>
      </c>
      <c r="Q17" s="55" t="s">
        <v>760</v>
      </c>
      <c r="R17" s="55" t="s">
        <v>760</v>
      </c>
      <c r="S17" s="55" t="s">
        <v>760</v>
      </c>
      <c r="T17" s="55" t="s">
        <v>760</v>
      </c>
      <c r="U17" s="55" t="s">
        <v>777</v>
      </c>
      <c r="V17" s="55" t="s">
        <v>777</v>
      </c>
      <c r="W17" s="55" t="s">
        <v>777</v>
      </c>
      <c r="X17" s="55" t="s">
        <v>777</v>
      </c>
      <c r="Y17" s="55" t="s">
        <v>777</v>
      </c>
      <c r="Z17" s="8"/>
      <c r="AA17" s="8"/>
      <c r="AB17" s="8"/>
      <c r="AC17" s="8"/>
      <c r="AD17" s="8"/>
      <c r="AE17" s="8"/>
      <c r="AF17" s="8"/>
      <c r="AG17" s="41">
        <f t="shared" si="6"/>
        <v>13</v>
      </c>
      <c r="AH17" s="42">
        <f t="shared" si="7"/>
        <v>43.333333333333336</v>
      </c>
      <c r="AM17" s="20"/>
      <c r="AN17" s="20"/>
      <c r="AO17" s="20"/>
      <c r="AP17" s="20"/>
      <c r="AQ17" s="20"/>
      <c r="AR17" s="20"/>
      <c r="AX17" s="58"/>
    </row>
    <row r="18" spans="1:50" x14ac:dyDescent="0.35">
      <c r="A18" s="7" t="s">
        <v>42</v>
      </c>
      <c r="B18" s="8"/>
      <c r="C18" s="8"/>
      <c r="D18" s="8"/>
      <c r="E18" s="55" t="s">
        <v>671</v>
      </c>
      <c r="F18" s="55" t="s">
        <v>671</v>
      </c>
      <c r="G18" s="8" t="s">
        <v>34</v>
      </c>
      <c r="H18" s="8" t="s">
        <v>34</v>
      </c>
      <c r="I18" s="8" t="s">
        <v>34</v>
      </c>
      <c r="J18" s="8"/>
      <c r="K18" s="55"/>
      <c r="L18" s="55"/>
      <c r="M18" s="55"/>
      <c r="N18" s="55"/>
      <c r="O18" s="55"/>
      <c r="P18" s="55"/>
      <c r="Q18" s="55"/>
      <c r="R18" s="55"/>
      <c r="S18" s="8"/>
      <c r="T18" s="8"/>
      <c r="U18" s="55" t="s">
        <v>763</v>
      </c>
      <c r="V18" s="55" t="s">
        <v>763</v>
      </c>
      <c r="W18" s="55"/>
      <c r="X18" s="55"/>
      <c r="Y18" s="55"/>
      <c r="Z18" s="55" t="s">
        <v>763</v>
      </c>
      <c r="AA18" s="55"/>
      <c r="AB18" s="55"/>
      <c r="AC18" s="55"/>
      <c r="AD18" s="55"/>
      <c r="AE18" s="55"/>
      <c r="AF18" s="8" t="s">
        <v>773</v>
      </c>
      <c r="AG18" s="41">
        <f t="shared" si="6"/>
        <v>9</v>
      </c>
      <c r="AH18" s="42">
        <f t="shared" si="7"/>
        <v>30</v>
      </c>
      <c r="AM18" s="20"/>
      <c r="AN18" s="20"/>
      <c r="AO18" s="20"/>
      <c r="AP18" s="20"/>
      <c r="AQ18" s="20"/>
      <c r="AR18" s="20"/>
      <c r="AX18" s="58"/>
    </row>
    <row r="19" spans="1:50" x14ac:dyDescent="0.35">
      <c r="A19" s="7" t="s">
        <v>45</v>
      </c>
      <c r="B19" s="8"/>
      <c r="C19" s="8"/>
      <c r="D19" s="8"/>
      <c r="E19" s="8"/>
      <c r="F19" s="8"/>
      <c r="G19" s="55"/>
      <c r="H19" s="55"/>
      <c r="I19" s="8"/>
      <c r="J19" s="55" t="s">
        <v>533</v>
      </c>
      <c r="K19" s="55" t="s">
        <v>533</v>
      </c>
      <c r="L19" s="55" t="s">
        <v>533</v>
      </c>
      <c r="M19" s="55"/>
      <c r="N19" s="55"/>
      <c r="O19" s="55"/>
      <c r="P19" s="55"/>
      <c r="Q19" s="55"/>
      <c r="R19" s="55"/>
      <c r="S19" s="55"/>
      <c r="T19" s="55"/>
      <c r="U19" s="55" t="s">
        <v>406</v>
      </c>
      <c r="V19" s="55" t="s">
        <v>406</v>
      </c>
      <c r="W19" s="55" t="s">
        <v>406</v>
      </c>
      <c r="X19" s="55" t="s">
        <v>406</v>
      </c>
      <c r="Y19" s="55" t="s">
        <v>406</v>
      </c>
      <c r="Z19" s="55" t="s">
        <v>406</v>
      </c>
      <c r="AA19" s="55"/>
      <c r="AB19" s="55"/>
      <c r="AC19" s="55"/>
      <c r="AD19" s="55"/>
      <c r="AE19" s="55"/>
      <c r="AF19" s="8" t="s">
        <v>774</v>
      </c>
      <c r="AG19" s="41">
        <f t="shared" si="6"/>
        <v>10</v>
      </c>
      <c r="AH19" s="42">
        <f t="shared" si="7"/>
        <v>33.333333333333336</v>
      </c>
      <c r="AM19" s="20"/>
      <c r="AN19" s="20"/>
      <c r="AO19" s="20"/>
      <c r="AP19" s="20"/>
      <c r="AQ19" s="20"/>
      <c r="AR19" s="20"/>
      <c r="AX19" s="58"/>
    </row>
    <row r="20" spans="1:50" x14ac:dyDescent="0.35">
      <c r="A20" s="7" t="s">
        <v>47</v>
      </c>
      <c r="B20" s="55"/>
      <c r="C20" s="8"/>
      <c r="D20" s="8"/>
      <c r="E20" s="8"/>
      <c r="F20" s="8"/>
      <c r="G20" s="55"/>
      <c r="H20" s="55"/>
      <c r="I20" s="55"/>
      <c r="J20" s="55" t="s">
        <v>758</v>
      </c>
      <c r="K20" s="55"/>
      <c r="L20" s="55"/>
      <c r="M20" s="55"/>
      <c r="N20" s="55"/>
      <c r="O20" s="55"/>
      <c r="P20" s="55" t="s">
        <v>651</v>
      </c>
      <c r="Q20" s="55" t="s">
        <v>651</v>
      </c>
      <c r="R20" s="55" t="s">
        <v>651</v>
      </c>
      <c r="S20" s="55" t="s">
        <v>651</v>
      </c>
      <c r="T20" s="55" t="s">
        <v>651</v>
      </c>
      <c r="U20" s="55" t="s">
        <v>651</v>
      </c>
      <c r="V20" s="55" t="s">
        <v>651</v>
      </c>
      <c r="W20" s="55" t="s">
        <v>651</v>
      </c>
      <c r="X20" s="55" t="s">
        <v>651</v>
      </c>
      <c r="Y20" s="55"/>
      <c r="Z20" s="55"/>
      <c r="AA20" s="55" t="s">
        <v>557</v>
      </c>
      <c r="AB20" s="55"/>
      <c r="AC20" s="55" t="s">
        <v>770</v>
      </c>
      <c r="AD20" s="55" t="s">
        <v>770</v>
      </c>
      <c r="AE20" s="55" t="s">
        <v>770</v>
      </c>
      <c r="AF20" s="55" t="s">
        <v>770</v>
      </c>
      <c r="AG20" s="41">
        <f t="shared" si="6"/>
        <v>15</v>
      </c>
      <c r="AH20" s="42">
        <f t="shared" si="7"/>
        <v>50</v>
      </c>
      <c r="AM20" s="20"/>
      <c r="AN20" s="20"/>
      <c r="AO20" s="20"/>
      <c r="AP20" s="20"/>
      <c r="AQ20" s="20"/>
      <c r="AR20" s="20"/>
      <c r="AX20" s="58"/>
    </row>
    <row r="21" spans="1:50" x14ac:dyDescent="0.35">
      <c r="A21" s="7" t="s">
        <v>50</v>
      </c>
      <c r="B21" s="55"/>
      <c r="C21" s="55"/>
      <c r="D21" s="55"/>
      <c r="E21" s="55"/>
      <c r="F21" s="55"/>
      <c r="G21" s="55"/>
      <c r="H21" s="55"/>
      <c r="I21" s="55"/>
      <c r="J21" s="55" t="s">
        <v>759</v>
      </c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 t="s">
        <v>769</v>
      </c>
      <c r="AG21" s="41">
        <f t="shared" si="6"/>
        <v>2</v>
      </c>
      <c r="AH21" s="42">
        <f t="shared" si="7"/>
        <v>6.666666666666667</v>
      </c>
      <c r="AM21" s="20"/>
      <c r="AN21" s="20"/>
      <c r="AO21" s="20"/>
      <c r="AP21" s="20"/>
      <c r="AQ21" s="20"/>
      <c r="AR21" s="20"/>
      <c r="AX21" s="58"/>
    </row>
    <row r="22" spans="1:50" ht="15" thickBot="1" x14ac:dyDescent="0.4">
      <c r="A22" s="7" t="s">
        <v>51</v>
      </c>
      <c r="B22" s="8"/>
      <c r="C22" s="8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8"/>
      <c r="P22" s="8"/>
      <c r="Q22" s="8"/>
      <c r="R22" s="8"/>
      <c r="S22" s="8"/>
      <c r="T22" s="8"/>
      <c r="U22" s="8" t="s">
        <v>778</v>
      </c>
      <c r="V22" s="8" t="s">
        <v>778</v>
      </c>
      <c r="W22" s="55" t="s">
        <v>387</v>
      </c>
      <c r="X22" s="55"/>
      <c r="Y22" s="55"/>
      <c r="Z22" s="55"/>
      <c r="AA22" s="55"/>
      <c r="AB22" s="55"/>
      <c r="AC22" s="55" t="s">
        <v>312</v>
      </c>
      <c r="AD22" s="55"/>
      <c r="AE22" s="55"/>
      <c r="AF22" s="55" t="s">
        <v>768</v>
      </c>
      <c r="AG22" s="41">
        <f t="shared" si="6"/>
        <v>5</v>
      </c>
      <c r="AH22" s="42">
        <f t="shared" si="7"/>
        <v>16.666666666666668</v>
      </c>
      <c r="AX22" s="58"/>
    </row>
    <row r="23" spans="1:50" ht="15.5" x14ac:dyDescent="0.35">
      <c r="A23" s="45" t="s">
        <v>176</v>
      </c>
      <c r="B23" s="46">
        <f>COUNTA(B15:B22)</f>
        <v>0</v>
      </c>
      <c r="C23" s="46">
        <f>COUNTA(C16:C22)</f>
        <v>0</v>
      </c>
      <c r="D23" s="46">
        <f>COUNTA(D16:D22)</f>
        <v>0</v>
      </c>
      <c r="E23" s="46">
        <f t="shared" ref="E23:AF23" si="8">COUNTA(E15:E22)</f>
        <v>2</v>
      </c>
      <c r="F23" s="46">
        <f t="shared" si="8"/>
        <v>1</v>
      </c>
      <c r="G23" s="46">
        <f t="shared" si="8"/>
        <v>3</v>
      </c>
      <c r="H23" s="46">
        <f t="shared" si="8"/>
        <v>3</v>
      </c>
      <c r="I23" s="46">
        <f t="shared" si="8"/>
        <v>3</v>
      </c>
      <c r="J23" s="46">
        <f t="shared" si="8"/>
        <v>3</v>
      </c>
      <c r="K23" s="46">
        <f t="shared" si="8"/>
        <v>1</v>
      </c>
      <c r="L23" s="46">
        <f t="shared" si="8"/>
        <v>1</v>
      </c>
      <c r="M23" s="46">
        <f t="shared" si="8"/>
        <v>0</v>
      </c>
      <c r="N23" s="46">
        <f t="shared" si="8"/>
        <v>0</v>
      </c>
      <c r="O23" s="46">
        <f t="shared" si="8"/>
        <v>0</v>
      </c>
      <c r="P23" s="46">
        <f t="shared" si="8"/>
        <v>2</v>
      </c>
      <c r="Q23" s="46">
        <f t="shared" si="8"/>
        <v>2</v>
      </c>
      <c r="R23" s="46">
        <f t="shared" si="8"/>
        <v>2</v>
      </c>
      <c r="S23" s="46">
        <f t="shared" si="8"/>
        <v>2</v>
      </c>
      <c r="T23" s="46">
        <f>COUNTA(T15:T22)</f>
        <v>2</v>
      </c>
      <c r="U23" s="46">
        <f t="shared" si="8"/>
        <v>6</v>
      </c>
      <c r="V23" s="46">
        <f t="shared" si="8"/>
        <v>6</v>
      </c>
      <c r="W23" s="46">
        <f t="shared" si="8"/>
        <v>6</v>
      </c>
      <c r="X23" s="46">
        <f t="shared" si="8"/>
        <v>5</v>
      </c>
      <c r="Y23" s="46">
        <f t="shared" si="8"/>
        <v>4</v>
      </c>
      <c r="Z23" s="46">
        <f t="shared" si="8"/>
        <v>4</v>
      </c>
      <c r="AA23" s="46">
        <f t="shared" si="8"/>
        <v>3</v>
      </c>
      <c r="AB23" s="46">
        <f t="shared" si="8"/>
        <v>2</v>
      </c>
      <c r="AC23" s="46">
        <f t="shared" si="8"/>
        <v>4</v>
      </c>
      <c r="AD23" s="46">
        <f t="shared" si="8"/>
        <v>3</v>
      </c>
      <c r="AE23" s="46">
        <f t="shared" si="8"/>
        <v>3</v>
      </c>
      <c r="AF23" s="46">
        <f t="shared" si="8"/>
        <v>7</v>
      </c>
      <c r="AG23" s="43">
        <f>SUM(AG15:AG22)</f>
        <v>80</v>
      </c>
      <c r="AH23" s="66">
        <f>AVERAGE(AH15:AH22)</f>
        <v>33.333333333333336</v>
      </c>
      <c r="AX23" s="58"/>
    </row>
    <row r="24" spans="1:50" ht="15.5" x14ac:dyDescent="0.35">
      <c r="A24" s="47" t="s">
        <v>178</v>
      </c>
      <c r="B24" s="52">
        <f>B12+B23</f>
        <v>0</v>
      </c>
      <c r="C24" s="52">
        <f t="shared" ref="C24:AF24" si="9">C12+C23</f>
        <v>0</v>
      </c>
      <c r="D24" s="52">
        <f t="shared" si="9"/>
        <v>0</v>
      </c>
      <c r="E24" s="52">
        <f t="shared" si="9"/>
        <v>4</v>
      </c>
      <c r="F24" s="52">
        <f t="shared" si="9"/>
        <v>3</v>
      </c>
      <c r="G24" s="52">
        <f t="shared" si="9"/>
        <v>4</v>
      </c>
      <c r="H24" s="52">
        <f t="shared" si="9"/>
        <v>4</v>
      </c>
      <c r="I24" s="52">
        <f t="shared" si="9"/>
        <v>6</v>
      </c>
      <c r="J24" s="52">
        <f t="shared" si="9"/>
        <v>7</v>
      </c>
      <c r="K24" s="52">
        <f t="shared" si="9"/>
        <v>3</v>
      </c>
      <c r="L24" s="52">
        <f t="shared" si="9"/>
        <v>3</v>
      </c>
      <c r="M24" s="52">
        <f t="shared" si="9"/>
        <v>1</v>
      </c>
      <c r="N24" s="52">
        <f t="shared" si="9"/>
        <v>1</v>
      </c>
      <c r="O24" s="52">
        <f t="shared" si="9"/>
        <v>1</v>
      </c>
      <c r="P24" s="52">
        <f t="shared" si="9"/>
        <v>3</v>
      </c>
      <c r="Q24" s="52">
        <f t="shared" si="9"/>
        <v>3</v>
      </c>
      <c r="R24" s="52">
        <f t="shared" si="9"/>
        <v>3</v>
      </c>
      <c r="S24" s="52">
        <f t="shared" si="9"/>
        <v>3</v>
      </c>
      <c r="T24" s="52">
        <f t="shared" si="9"/>
        <v>3</v>
      </c>
      <c r="U24" s="52">
        <f t="shared" si="9"/>
        <v>13</v>
      </c>
      <c r="V24" s="52">
        <f t="shared" si="9"/>
        <v>13</v>
      </c>
      <c r="W24" s="52">
        <f t="shared" si="9"/>
        <v>13</v>
      </c>
      <c r="X24" s="52">
        <f t="shared" si="9"/>
        <v>12</v>
      </c>
      <c r="Y24" s="52">
        <f t="shared" si="9"/>
        <v>5</v>
      </c>
      <c r="Z24" s="52">
        <f t="shared" si="9"/>
        <v>9</v>
      </c>
      <c r="AA24" s="52">
        <f t="shared" si="9"/>
        <v>6</v>
      </c>
      <c r="AB24" s="52">
        <f t="shared" si="9"/>
        <v>4</v>
      </c>
      <c r="AC24" s="52">
        <f t="shared" si="9"/>
        <v>8</v>
      </c>
      <c r="AD24" s="52">
        <f t="shared" si="9"/>
        <v>7</v>
      </c>
      <c r="AE24" s="52">
        <f t="shared" si="9"/>
        <v>7</v>
      </c>
      <c r="AF24" s="52">
        <f t="shared" si="9"/>
        <v>11</v>
      </c>
      <c r="AG24" s="49">
        <f>+AG12+AG23</f>
        <v>160</v>
      </c>
      <c r="AX24" s="58"/>
    </row>
    <row r="25" spans="1:50" ht="15.5" x14ac:dyDescent="0.35">
      <c r="A25" s="48" t="s">
        <v>179</v>
      </c>
      <c r="B25" s="42">
        <f>B24*100/15</f>
        <v>0</v>
      </c>
      <c r="C25" s="42">
        <f t="shared" ref="C25:AF25" si="10">C24*100/15</f>
        <v>0</v>
      </c>
      <c r="D25" s="42">
        <f t="shared" si="10"/>
        <v>0</v>
      </c>
      <c r="E25" s="42">
        <f t="shared" si="10"/>
        <v>26.666666666666668</v>
      </c>
      <c r="F25" s="42">
        <f t="shared" si="10"/>
        <v>20</v>
      </c>
      <c r="G25" s="42">
        <f t="shared" si="10"/>
        <v>26.666666666666668</v>
      </c>
      <c r="H25" s="42">
        <f t="shared" si="10"/>
        <v>26.666666666666668</v>
      </c>
      <c r="I25" s="42">
        <f t="shared" si="10"/>
        <v>40</v>
      </c>
      <c r="J25" s="42">
        <f t="shared" si="10"/>
        <v>46.666666666666664</v>
      </c>
      <c r="K25" s="42">
        <f t="shared" si="10"/>
        <v>20</v>
      </c>
      <c r="L25" s="42">
        <f t="shared" si="10"/>
        <v>20</v>
      </c>
      <c r="M25" s="42">
        <f t="shared" si="10"/>
        <v>6.666666666666667</v>
      </c>
      <c r="N25" s="42">
        <f t="shared" si="10"/>
        <v>6.666666666666667</v>
      </c>
      <c r="O25" s="42">
        <f t="shared" si="10"/>
        <v>6.666666666666667</v>
      </c>
      <c r="P25" s="42">
        <f t="shared" si="10"/>
        <v>20</v>
      </c>
      <c r="Q25" s="42">
        <f t="shared" si="10"/>
        <v>20</v>
      </c>
      <c r="R25" s="42">
        <f t="shared" si="10"/>
        <v>20</v>
      </c>
      <c r="S25" s="42">
        <f t="shared" si="10"/>
        <v>20</v>
      </c>
      <c r="T25" s="42">
        <f t="shared" si="10"/>
        <v>20</v>
      </c>
      <c r="U25" s="42">
        <f t="shared" si="10"/>
        <v>86.666666666666671</v>
      </c>
      <c r="V25" s="42">
        <f t="shared" si="10"/>
        <v>86.666666666666671</v>
      </c>
      <c r="W25" s="42">
        <f t="shared" si="10"/>
        <v>86.666666666666671</v>
      </c>
      <c r="X25" s="42">
        <f t="shared" si="10"/>
        <v>80</v>
      </c>
      <c r="Y25" s="42">
        <f t="shared" si="10"/>
        <v>33.333333333333336</v>
      </c>
      <c r="Z25" s="42">
        <f t="shared" si="10"/>
        <v>60</v>
      </c>
      <c r="AA25" s="42">
        <f t="shared" si="10"/>
        <v>40</v>
      </c>
      <c r="AB25" s="42">
        <f t="shared" si="10"/>
        <v>26.666666666666668</v>
      </c>
      <c r="AC25" s="42">
        <f t="shared" si="10"/>
        <v>53.333333333333336</v>
      </c>
      <c r="AD25" s="42">
        <f t="shared" si="10"/>
        <v>46.666666666666664</v>
      </c>
      <c r="AE25" s="42">
        <f t="shared" si="10"/>
        <v>46.666666666666664</v>
      </c>
      <c r="AF25" s="42">
        <f t="shared" si="10"/>
        <v>73.333333333333329</v>
      </c>
      <c r="AG25" s="50">
        <f>AVERAGE(B25:AE25)</f>
        <v>33.111111111111107</v>
      </c>
      <c r="AH25" s="51" t="s">
        <v>180</v>
      </c>
      <c r="AX25" s="58"/>
    </row>
    <row r="26" spans="1:50" x14ac:dyDescent="0.35">
      <c r="AX26" s="58"/>
    </row>
  </sheetData>
  <mergeCells count="2">
    <mergeCell ref="A1:AE1"/>
    <mergeCell ref="AM3:AR3"/>
  </mergeCells>
  <conditionalFormatting sqref="B11:C11">
    <cfRule type="colorScale" priority="10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22:C22">
    <cfRule type="colorScale" priority="1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7:F17">
    <cfRule type="colorScale" priority="9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9:G9">
    <cfRule type="colorScale" priority="1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0:G10">
    <cfRule type="colorScale" priority="1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5:T15">
    <cfRule type="colorScale" priority="1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21:T21">
    <cfRule type="colorScale" priority="1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6:V16 Z17:AF17">
    <cfRule type="colorScale" priority="19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5:AF5">
    <cfRule type="colorScale" priority="30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6:AF6">
    <cfRule type="colorScale" priority="1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C19:F19">
    <cfRule type="colorScale" priority="8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C20:F20">
    <cfRule type="colorScale" priority="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D22:N22">
    <cfRule type="colorScale" priority="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D11:AC11">
    <cfRule type="colorScale" priority="2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E18:F18">
    <cfRule type="colorScale" priority="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G19:H19 K18:R18 J19:AE19 U18:AE18 J17:Y17">
    <cfRule type="colorScale" priority="29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G17:I18">
    <cfRule type="colorScale" priority="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G20:AF20 B20">
    <cfRule type="colorScale" priority="20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I19 B19 AF19">
    <cfRule type="colorScale" priority="2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J9:AF9">
    <cfRule type="colorScale" priority="18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J10:AF10">
    <cfRule type="colorScale" priority="1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L13:U14 B13:I14 X13:AH14">
    <cfRule type="colorScale" priority="3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O22:V22">
    <cfRule type="colorScale" priority="2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S18:T18 J18 AF18 B18:D18">
    <cfRule type="colorScale" priority="2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U15:X15">
    <cfRule type="colorScale" priority="2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U21:AF21">
    <cfRule type="colorScale" priority="2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W16:AF16">
    <cfRule type="colorScale" priority="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W22:AF22">
    <cfRule type="colorScale" priority="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Y15:AF15">
    <cfRule type="colorScale" priority="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D11:AF11 H9:I10 B7:AF8">
    <cfRule type="colorScale" priority="28">
      <colorScale>
        <cfvo type="num" val="1"/>
        <cfvo type="max"/>
        <color theme="4" tint="0.59999389629810485"/>
        <color theme="5" tint="0.59999389629810485"/>
      </colorScale>
    </cfRule>
  </conditionalFormatting>
  <pageMargins left="0.2" right="0.45" top="0.75" bottom="0.75" header="0.3" footer="0.3"/>
  <pageSetup scale="90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D59A3-4A4F-41FB-88C6-5EA4CA8C9356}">
  <dimension ref="A1:AX28"/>
  <sheetViews>
    <sheetView zoomScale="86" zoomScaleNormal="86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G25" sqref="AG25"/>
    </sheetView>
  </sheetViews>
  <sheetFormatPr defaultRowHeight="14.5" x14ac:dyDescent="0.35"/>
  <cols>
    <col min="1" max="1" width="43.7265625" customWidth="1"/>
    <col min="2" max="10" width="5.81640625" bestFit="1" customWidth="1"/>
    <col min="11" max="15" width="6.26953125" bestFit="1" customWidth="1"/>
    <col min="16" max="18" width="5.81640625" bestFit="1" customWidth="1"/>
    <col min="19" max="20" width="6.26953125" bestFit="1" customWidth="1"/>
    <col min="21" max="29" width="5.81640625" bestFit="1" customWidth="1"/>
    <col min="30" max="32" width="5.81640625" hidden="1" customWidth="1"/>
    <col min="33" max="33" width="4.7265625" bestFit="1" customWidth="1"/>
    <col min="34" max="34" width="8.453125" bestFit="1" customWidth="1"/>
    <col min="35" max="35" width="8" bestFit="1" customWidth="1"/>
    <col min="36" max="36" width="8.453125" customWidth="1"/>
    <col min="37" max="37" width="0" hidden="1" customWidth="1"/>
    <col min="38" max="38" width="3" hidden="1" customWidth="1"/>
    <col min="39" max="39" width="17.81640625" bestFit="1" customWidth="1"/>
    <col min="40" max="40" width="9.1796875" bestFit="1" customWidth="1"/>
    <col min="41" max="41" width="9.81640625" bestFit="1" customWidth="1"/>
    <col min="42" max="42" width="10.81640625" bestFit="1" customWidth="1"/>
    <col min="43" max="43" width="10.1796875" bestFit="1" customWidth="1"/>
    <col min="44" max="44" width="23.1796875" bestFit="1" customWidth="1"/>
    <col min="45" max="45" width="0.453125" hidden="1" customWidth="1"/>
    <col min="46" max="49" width="0" hidden="1" customWidth="1"/>
    <col min="51" max="51" width="15" bestFit="1" customWidth="1"/>
  </cols>
  <sheetData>
    <row r="1" spans="1:44" ht="15.5" x14ac:dyDescent="0.35">
      <c r="A1" s="120" t="s">
        <v>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65"/>
    </row>
    <row r="2" spans="1:44" ht="15" thickBot="1" x14ac:dyDescent="0.4"/>
    <row r="3" spans="1:44" ht="45.75" customHeight="1" x14ac:dyDescent="0.35">
      <c r="A3" s="1" t="s">
        <v>1</v>
      </c>
      <c r="B3" s="2">
        <f>AI4</f>
        <v>45689</v>
      </c>
      <c r="C3" s="2">
        <f t="shared" ref="C3:AF3" si="0">B3+1</f>
        <v>45690</v>
      </c>
      <c r="D3" s="2">
        <f t="shared" si="0"/>
        <v>45691</v>
      </c>
      <c r="E3" s="2">
        <f t="shared" si="0"/>
        <v>45692</v>
      </c>
      <c r="F3" s="2">
        <f t="shared" si="0"/>
        <v>45693</v>
      </c>
      <c r="G3" s="2">
        <f t="shared" si="0"/>
        <v>45694</v>
      </c>
      <c r="H3" s="2">
        <f t="shared" si="0"/>
        <v>45695</v>
      </c>
      <c r="I3" s="2">
        <f>H3+1</f>
        <v>45696</v>
      </c>
      <c r="J3" s="2">
        <f t="shared" si="0"/>
        <v>45697</v>
      </c>
      <c r="K3" s="2">
        <f t="shared" si="0"/>
        <v>45698</v>
      </c>
      <c r="L3" s="2">
        <f t="shared" si="0"/>
        <v>45699</v>
      </c>
      <c r="M3" s="2">
        <f t="shared" si="0"/>
        <v>45700</v>
      </c>
      <c r="N3" s="2">
        <f t="shared" si="0"/>
        <v>45701</v>
      </c>
      <c r="O3" s="2">
        <f t="shared" si="0"/>
        <v>45702</v>
      </c>
      <c r="P3" s="2">
        <f t="shared" si="0"/>
        <v>45703</v>
      </c>
      <c r="Q3" s="2">
        <f t="shared" si="0"/>
        <v>45704</v>
      </c>
      <c r="R3" s="2">
        <f t="shared" si="0"/>
        <v>45705</v>
      </c>
      <c r="S3" s="2">
        <f t="shared" si="0"/>
        <v>45706</v>
      </c>
      <c r="T3" s="2">
        <f t="shared" si="0"/>
        <v>45707</v>
      </c>
      <c r="U3" s="2">
        <f t="shared" si="0"/>
        <v>45708</v>
      </c>
      <c r="V3" s="2">
        <f t="shared" si="0"/>
        <v>45709</v>
      </c>
      <c r="W3" s="2">
        <f t="shared" si="0"/>
        <v>45710</v>
      </c>
      <c r="X3" s="2">
        <f t="shared" si="0"/>
        <v>45711</v>
      </c>
      <c r="Y3" s="2">
        <f t="shared" si="0"/>
        <v>45712</v>
      </c>
      <c r="Z3" s="2">
        <f t="shared" si="0"/>
        <v>45713</v>
      </c>
      <c r="AA3" s="2">
        <f t="shared" si="0"/>
        <v>45714</v>
      </c>
      <c r="AB3" s="2">
        <f t="shared" si="0"/>
        <v>45715</v>
      </c>
      <c r="AC3" s="2">
        <f t="shared" si="0"/>
        <v>45716</v>
      </c>
      <c r="AD3" s="2">
        <f t="shared" si="0"/>
        <v>45717</v>
      </c>
      <c r="AE3" s="2">
        <f t="shared" si="0"/>
        <v>45718</v>
      </c>
      <c r="AF3" s="2">
        <f t="shared" si="0"/>
        <v>45719</v>
      </c>
      <c r="AG3" s="36"/>
      <c r="AH3" s="36"/>
      <c r="AM3" s="122" t="s">
        <v>267</v>
      </c>
      <c r="AN3" s="123"/>
      <c r="AO3" s="123"/>
      <c r="AP3" s="123"/>
      <c r="AQ3" s="123"/>
      <c r="AR3" s="124"/>
    </row>
    <row r="4" spans="1:44" ht="31.5" customHeight="1" x14ac:dyDescent="0.35">
      <c r="A4" s="3" t="s">
        <v>2</v>
      </c>
      <c r="B4" s="4">
        <f t="shared" ref="B4:AF4" si="1">B3</f>
        <v>45689</v>
      </c>
      <c r="C4" s="4">
        <f t="shared" si="1"/>
        <v>45690</v>
      </c>
      <c r="D4" s="4">
        <f t="shared" si="1"/>
        <v>45691</v>
      </c>
      <c r="E4" s="4">
        <f t="shared" si="1"/>
        <v>45692</v>
      </c>
      <c r="F4" s="4">
        <f t="shared" si="1"/>
        <v>45693</v>
      </c>
      <c r="G4" s="4">
        <f t="shared" si="1"/>
        <v>45694</v>
      </c>
      <c r="H4" s="4">
        <f t="shared" si="1"/>
        <v>45695</v>
      </c>
      <c r="I4" s="4">
        <f t="shared" si="1"/>
        <v>45696</v>
      </c>
      <c r="J4" s="4">
        <f t="shared" si="1"/>
        <v>45697</v>
      </c>
      <c r="K4" s="4">
        <f t="shared" si="1"/>
        <v>45698</v>
      </c>
      <c r="L4" s="4">
        <f t="shared" si="1"/>
        <v>45699</v>
      </c>
      <c r="M4" s="4">
        <f t="shared" si="1"/>
        <v>45700</v>
      </c>
      <c r="N4" s="4">
        <f t="shared" si="1"/>
        <v>45701</v>
      </c>
      <c r="O4" s="4">
        <f t="shared" si="1"/>
        <v>45702</v>
      </c>
      <c r="P4" s="4">
        <f t="shared" si="1"/>
        <v>45703</v>
      </c>
      <c r="Q4" s="4">
        <f t="shared" si="1"/>
        <v>45704</v>
      </c>
      <c r="R4" s="4">
        <f t="shared" si="1"/>
        <v>45705</v>
      </c>
      <c r="S4" s="4">
        <f t="shared" si="1"/>
        <v>45706</v>
      </c>
      <c r="T4" s="4">
        <f t="shared" si="1"/>
        <v>45707</v>
      </c>
      <c r="U4" s="4">
        <f t="shared" si="1"/>
        <v>45708</v>
      </c>
      <c r="V4" s="4">
        <f t="shared" si="1"/>
        <v>45709</v>
      </c>
      <c r="W4" s="4">
        <f t="shared" si="1"/>
        <v>45710</v>
      </c>
      <c r="X4" s="4">
        <f t="shared" si="1"/>
        <v>45711</v>
      </c>
      <c r="Y4" s="4">
        <f t="shared" si="1"/>
        <v>45712</v>
      </c>
      <c r="Z4" s="4">
        <f t="shared" si="1"/>
        <v>45713</v>
      </c>
      <c r="AA4" s="4">
        <f t="shared" si="1"/>
        <v>45714</v>
      </c>
      <c r="AB4" s="4">
        <f t="shared" si="1"/>
        <v>45715</v>
      </c>
      <c r="AC4" s="4">
        <f t="shared" si="1"/>
        <v>45716</v>
      </c>
      <c r="AD4" s="4">
        <f t="shared" si="1"/>
        <v>45717</v>
      </c>
      <c r="AE4" s="4">
        <f t="shared" si="1"/>
        <v>45718</v>
      </c>
      <c r="AF4" s="4">
        <f t="shared" si="1"/>
        <v>45719</v>
      </c>
      <c r="AG4" s="39" t="s">
        <v>174</v>
      </c>
      <c r="AH4" s="40" t="s">
        <v>175</v>
      </c>
      <c r="AI4" s="5">
        <v>45689</v>
      </c>
      <c r="AJ4" s="6">
        <f>EOMONTH(AI4,0)</f>
        <v>45716</v>
      </c>
      <c r="AM4" s="19" t="s">
        <v>54</v>
      </c>
      <c r="AN4" s="19" t="s">
        <v>269</v>
      </c>
      <c r="AO4" s="19" t="s">
        <v>55</v>
      </c>
      <c r="AP4" s="19" t="s">
        <v>56</v>
      </c>
      <c r="AQ4" s="19" t="s">
        <v>251</v>
      </c>
      <c r="AR4" s="19" t="s">
        <v>57</v>
      </c>
    </row>
    <row r="5" spans="1:44" x14ac:dyDescent="0.35">
      <c r="A5" s="7" t="s">
        <v>3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41">
        <f>COUNTA(B5:AF5)</f>
        <v>0</v>
      </c>
      <c r="AH5" s="42">
        <f>AG5*100/30</f>
        <v>0</v>
      </c>
      <c r="AM5" s="20"/>
      <c r="AN5" s="56"/>
      <c r="AO5" s="56"/>
      <c r="AP5" s="56"/>
      <c r="AQ5" s="57"/>
      <c r="AR5" s="20"/>
    </row>
    <row r="6" spans="1:44" x14ac:dyDescent="0.35">
      <c r="A6" s="7" t="s">
        <v>7</v>
      </c>
      <c r="B6" s="55" t="s">
        <v>764</v>
      </c>
      <c r="C6" s="55" t="s">
        <v>764</v>
      </c>
      <c r="D6" s="55" t="s">
        <v>764</v>
      </c>
      <c r="E6" s="55" t="s">
        <v>764</v>
      </c>
      <c r="F6" s="55" t="s">
        <v>764</v>
      </c>
      <c r="G6" s="55" t="s">
        <v>764</v>
      </c>
      <c r="H6" s="55" t="s">
        <v>764</v>
      </c>
      <c r="I6" s="55" t="s">
        <v>764</v>
      </c>
      <c r="J6" s="55" t="s">
        <v>764</v>
      </c>
      <c r="K6" s="55" t="s">
        <v>764</v>
      </c>
      <c r="L6" s="55" t="s">
        <v>764</v>
      </c>
      <c r="M6" s="55" t="s">
        <v>764</v>
      </c>
      <c r="N6" s="55" t="s">
        <v>764</v>
      </c>
      <c r="O6" s="55" t="s">
        <v>764</v>
      </c>
      <c r="P6" s="55" t="s">
        <v>764</v>
      </c>
      <c r="Q6" s="55" t="s">
        <v>764</v>
      </c>
      <c r="R6" s="55" t="s">
        <v>764</v>
      </c>
      <c r="S6" s="55" t="s">
        <v>764</v>
      </c>
      <c r="T6" s="55" t="s">
        <v>764</v>
      </c>
      <c r="U6" s="55" t="s">
        <v>764</v>
      </c>
      <c r="V6" s="55" t="s">
        <v>764</v>
      </c>
      <c r="W6" s="55" t="s">
        <v>764</v>
      </c>
      <c r="X6" s="55" t="s">
        <v>764</v>
      </c>
      <c r="Y6" s="55" t="s">
        <v>764</v>
      </c>
      <c r="Z6" s="55" t="s">
        <v>764</v>
      </c>
      <c r="AA6" s="55" t="s">
        <v>764</v>
      </c>
      <c r="AB6" s="55" t="s">
        <v>764</v>
      </c>
      <c r="AC6" s="55" t="s">
        <v>764</v>
      </c>
      <c r="AD6" s="55"/>
      <c r="AE6" s="55"/>
      <c r="AF6" s="55"/>
      <c r="AG6" s="41">
        <f t="shared" ref="AG6:AG11" si="2">COUNTA(B6:AF6)</f>
        <v>28</v>
      </c>
      <c r="AH6" s="42">
        <f t="shared" ref="AH6:AH11" si="3">AG6*100/30</f>
        <v>93.333333333333329</v>
      </c>
      <c r="AM6" s="20"/>
      <c r="AN6" s="56"/>
      <c r="AO6" s="56"/>
      <c r="AP6" s="56"/>
      <c r="AQ6" s="57"/>
      <c r="AR6" s="20"/>
    </row>
    <row r="7" spans="1:44" x14ac:dyDescent="0.35">
      <c r="A7" s="7" t="s">
        <v>11</v>
      </c>
      <c r="B7" s="55"/>
      <c r="C7" s="55"/>
      <c r="D7" s="55"/>
      <c r="E7" s="55" t="s">
        <v>765</v>
      </c>
      <c r="F7" s="55" t="s">
        <v>765</v>
      </c>
      <c r="G7" s="55" t="s">
        <v>765</v>
      </c>
      <c r="H7" s="55" t="s">
        <v>765</v>
      </c>
      <c r="I7" s="55" t="s">
        <v>765</v>
      </c>
      <c r="J7" s="55" t="s">
        <v>765</v>
      </c>
      <c r="K7" s="55" t="s">
        <v>765</v>
      </c>
      <c r="L7" s="55" t="s">
        <v>765</v>
      </c>
      <c r="M7" s="55" t="s">
        <v>765</v>
      </c>
      <c r="N7" s="55" t="s">
        <v>765</v>
      </c>
      <c r="O7" s="55" t="s">
        <v>765</v>
      </c>
      <c r="P7" s="55" t="s">
        <v>765</v>
      </c>
      <c r="Q7" s="55" t="s">
        <v>765</v>
      </c>
      <c r="R7" s="55" t="s">
        <v>765</v>
      </c>
      <c r="S7" s="55" t="s">
        <v>765</v>
      </c>
      <c r="T7" s="55" t="s">
        <v>765</v>
      </c>
      <c r="U7" s="55" t="s">
        <v>765</v>
      </c>
      <c r="V7" s="55" t="s">
        <v>765</v>
      </c>
      <c r="W7" s="55"/>
      <c r="X7" s="55"/>
      <c r="Y7" s="55" t="s">
        <v>794</v>
      </c>
      <c r="Z7" s="55"/>
      <c r="AA7" s="55"/>
      <c r="AB7" s="55"/>
      <c r="AC7" s="55"/>
      <c r="AD7" s="55"/>
      <c r="AE7" s="55"/>
      <c r="AF7" s="55"/>
      <c r="AG7" s="41">
        <f t="shared" si="2"/>
        <v>19</v>
      </c>
      <c r="AH7" s="42">
        <f t="shared" si="3"/>
        <v>63.333333333333336</v>
      </c>
      <c r="AM7" s="20"/>
      <c r="AN7" s="56"/>
      <c r="AO7" s="56"/>
      <c r="AP7" s="56"/>
      <c r="AQ7" s="57"/>
      <c r="AR7" s="20"/>
    </row>
    <row r="8" spans="1:44" ht="15" customHeight="1" x14ac:dyDescent="0.35">
      <c r="A8" s="7" t="s">
        <v>15</v>
      </c>
      <c r="B8" s="55"/>
      <c r="C8" s="55"/>
      <c r="D8" s="55"/>
      <c r="E8" s="55"/>
      <c r="F8" s="55"/>
      <c r="G8" s="68"/>
      <c r="H8" s="55" t="s">
        <v>347</v>
      </c>
      <c r="I8" s="55" t="s">
        <v>347</v>
      </c>
      <c r="J8" s="55" t="s">
        <v>347</v>
      </c>
      <c r="K8" s="55" t="s">
        <v>347</v>
      </c>
      <c r="L8" s="55"/>
      <c r="M8" s="55"/>
      <c r="N8" s="55"/>
      <c r="O8" s="55"/>
      <c r="P8" s="55" t="s">
        <v>785</v>
      </c>
      <c r="Q8" s="55" t="s">
        <v>785</v>
      </c>
      <c r="R8" s="55" t="s">
        <v>785</v>
      </c>
      <c r="S8" s="55" t="s">
        <v>785</v>
      </c>
      <c r="T8" s="55"/>
      <c r="U8" s="55"/>
      <c r="V8" s="55"/>
      <c r="W8" s="55"/>
      <c r="X8" s="55" t="s">
        <v>793</v>
      </c>
      <c r="Y8" s="55" t="s">
        <v>793</v>
      </c>
      <c r="Z8" s="55" t="s">
        <v>793</v>
      </c>
      <c r="AA8" s="55" t="s">
        <v>793</v>
      </c>
      <c r="AB8" s="55" t="s">
        <v>793</v>
      </c>
      <c r="AC8" s="55" t="s">
        <v>793</v>
      </c>
      <c r="AD8" s="55" t="s">
        <v>793</v>
      </c>
      <c r="AE8" s="55" t="s">
        <v>793</v>
      </c>
      <c r="AF8" s="55" t="s">
        <v>793</v>
      </c>
      <c r="AG8" s="41">
        <f t="shared" si="2"/>
        <v>17</v>
      </c>
      <c r="AH8" s="42">
        <f t="shared" si="3"/>
        <v>56.666666666666664</v>
      </c>
      <c r="AK8" s="9"/>
      <c r="AM8" s="20"/>
      <c r="AN8" s="56"/>
      <c r="AO8" s="56"/>
      <c r="AP8" s="56"/>
      <c r="AQ8" s="57"/>
      <c r="AR8" s="20"/>
    </row>
    <row r="9" spans="1:44" ht="15.75" customHeight="1" x14ac:dyDescent="0.35">
      <c r="A9" s="7" t="s">
        <v>18</v>
      </c>
      <c r="B9" s="8" t="s">
        <v>214</v>
      </c>
      <c r="C9" s="8"/>
      <c r="D9" s="8"/>
      <c r="E9" s="55" t="s">
        <v>765</v>
      </c>
      <c r="F9" s="55" t="s">
        <v>765</v>
      </c>
      <c r="G9" s="55" t="s">
        <v>765</v>
      </c>
      <c r="H9" s="55" t="s">
        <v>765</v>
      </c>
      <c r="I9" s="55" t="s">
        <v>765</v>
      </c>
      <c r="J9" s="55" t="s">
        <v>765</v>
      </c>
      <c r="K9" s="8"/>
      <c r="L9" s="8"/>
      <c r="M9" s="8"/>
      <c r="N9" s="8"/>
      <c r="O9" s="8"/>
      <c r="P9" s="55" t="s">
        <v>785</v>
      </c>
      <c r="Q9" s="55" t="s">
        <v>785</v>
      </c>
      <c r="R9" s="55" t="s">
        <v>785</v>
      </c>
      <c r="S9" s="55" t="s">
        <v>785</v>
      </c>
      <c r="T9" s="55"/>
      <c r="U9" s="55"/>
      <c r="V9" s="55"/>
      <c r="W9" s="8"/>
      <c r="X9" s="8"/>
      <c r="Y9" s="8" t="s">
        <v>795</v>
      </c>
      <c r="Z9" s="8" t="s">
        <v>795</v>
      </c>
      <c r="AA9" s="8" t="s">
        <v>795</v>
      </c>
      <c r="AB9" s="8"/>
      <c r="AC9" s="8"/>
      <c r="AD9" s="8"/>
      <c r="AE9" s="8"/>
      <c r="AF9" s="8"/>
      <c r="AG9" s="41">
        <f t="shared" si="2"/>
        <v>14</v>
      </c>
      <c r="AH9" s="42">
        <f t="shared" si="3"/>
        <v>46.666666666666664</v>
      </c>
      <c r="AM9" s="20"/>
      <c r="AN9" s="56"/>
      <c r="AO9" s="56"/>
      <c r="AP9" s="56"/>
      <c r="AQ9" s="57"/>
      <c r="AR9" s="20"/>
    </row>
    <row r="10" spans="1:44" ht="15.75" customHeight="1" x14ac:dyDescent="0.35">
      <c r="A10" s="7" t="s">
        <v>20</v>
      </c>
      <c r="B10" s="8" t="s">
        <v>772</v>
      </c>
      <c r="C10" s="8" t="s">
        <v>772</v>
      </c>
      <c r="D10" s="8" t="s">
        <v>772</v>
      </c>
      <c r="E10" s="8" t="s">
        <v>772</v>
      </c>
      <c r="F10" s="8" t="s">
        <v>772</v>
      </c>
      <c r="G10" s="8" t="s">
        <v>772</v>
      </c>
      <c r="H10" s="8" t="s">
        <v>772</v>
      </c>
      <c r="I10" s="8" t="s">
        <v>772</v>
      </c>
      <c r="J10" s="8" t="s">
        <v>772</v>
      </c>
      <c r="K10" s="8" t="s">
        <v>772</v>
      </c>
      <c r="L10" s="8" t="s">
        <v>772</v>
      </c>
      <c r="M10" s="8" t="s">
        <v>772</v>
      </c>
      <c r="N10" s="8" t="s">
        <v>772</v>
      </c>
      <c r="O10" s="8" t="s">
        <v>772</v>
      </c>
      <c r="P10" s="8" t="s">
        <v>772</v>
      </c>
      <c r="Q10" s="8" t="s">
        <v>772</v>
      </c>
      <c r="R10" s="8" t="s">
        <v>772</v>
      </c>
      <c r="S10" s="8" t="s">
        <v>772</v>
      </c>
      <c r="T10" s="8" t="s">
        <v>772</v>
      </c>
      <c r="U10" s="8" t="s">
        <v>772</v>
      </c>
      <c r="V10" s="8" t="s">
        <v>772</v>
      </c>
      <c r="W10" s="8" t="s">
        <v>772</v>
      </c>
      <c r="X10" s="8" t="s">
        <v>772</v>
      </c>
      <c r="Y10" s="8" t="s">
        <v>772</v>
      </c>
      <c r="Z10" s="8" t="s">
        <v>772</v>
      </c>
      <c r="AA10" s="8" t="s">
        <v>772</v>
      </c>
      <c r="AB10" s="8" t="s">
        <v>772</v>
      </c>
      <c r="AC10" s="8" t="s">
        <v>772</v>
      </c>
      <c r="AD10" s="8"/>
      <c r="AE10" s="8"/>
      <c r="AF10" s="8"/>
      <c r="AG10" s="41">
        <f t="shared" si="2"/>
        <v>28</v>
      </c>
      <c r="AH10" s="42">
        <f t="shared" si="3"/>
        <v>93.333333333333329</v>
      </c>
      <c r="AM10" s="20"/>
      <c r="AN10" s="56"/>
      <c r="AO10" s="56"/>
      <c r="AP10" s="56"/>
      <c r="AQ10" s="57"/>
      <c r="AR10" s="20"/>
    </row>
    <row r="11" spans="1:44" ht="15.75" customHeight="1" thickBot="1" x14ac:dyDescent="0.4">
      <c r="A11" s="7" t="s">
        <v>24</v>
      </c>
      <c r="B11" s="55"/>
      <c r="C11" s="55"/>
      <c r="D11" s="55"/>
      <c r="E11" s="55"/>
      <c r="F11" s="55" t="s">
        <v>781</v>
      </c>
      <c r="G11" s="55" t="s">
        <v>781</v>
      </c>
      <c r="H11" s="55" t="s">
        <v>781</v>
      </c>
      <c r="I11" s="63"/>
      <c r="J11" s="55" t="s">
        <v>784</v>
      </c>
      <c r="K11" s="55" t="s">
        <v>784</v>
      </c>
      <c r="L11" s="55" t="s">
        <v>784</v>
      </c>
      <c r="M11" s="55" t="s">
        <v>784</v>
      </c>
      <c r="N11" s="55" t="s">
        <v>784</v>
      </c>
      <c r="O11" s="55" t="s">
        <v>784</v>
      </c>
      <c r="P11" s="55" t="s">
        <v>785</v>
      </c>
      <c r="Q11" s="55" t="s">
        <v>785</v>
      </c>
      <c r="R11" s="55" t="s">
        <v>785</v>
      </c>
      <c r="S11" s="55" t="s">
        <v>785</v>
      </c>
      <c r="T11" s="55"/>
      <c r="U11" s="55"/>
      <c r="V11" s="55"/>
      <c r="W11" s="55"/>
      <c r="X11" s="55"/>
      <c r="Y11" s="55" t="s">
        <v>796</v>
      </c>
      <c r="Z11" s="55" t="s">
        <v>796</v>
      </c>
      <c r="AA11" s="55" t="s">
        <v>796</v>
      </c>
      <c r="AB11" s="55" t="s">
        <v>796</v>
      </c>
      <c r="AC11" s="55"/>
      <c r="AD11" s="55"/>
      <c r="AE11" s="55"/>
      <c r="AF11" s="55"/>
      <c r="AG11" s="41">
        <f t="shared" si="2"/>
        <v>17</v>
      </c>
      <c r="AH11" s="42">
        <f t="shared" si="3"/>
        <v>56.666666666666664</v>
      </c>
      <c r="AM11" s="20"/>
      <c r="AN11" s="20"/>
      <c r="AO11" s="20"/>
      <c r="AP11" s="20"/>
      <c r="AQ11" s="20"/>
      <c r="AR11" s="20"/>
    </row>
    <row r="12" spans="1:44" ht="15" customHeight="1" x14ac:dyDescent="0.35">
      <c r="A12" s="45" t="s">
        <v>176</v>
      </c>
      <c r="B12" s="46">
        <f>COUNTA(B5:B11)</f>
        <v>3</v>
      </c>
      <c r="C12" s="46">
        <f>COUNTA(C5:C11)</f>
        <v>2</v>
      </c>
      <c r="D12" s="46">
        <f t="shared" ref="D12:AF12" si="4">COUNTA(D5:D11)</f>
        <v>2</v>
      </c>
      <c r="E12" s="46">
        <f t="shared" si="4"/>
        <v>4</v>
      </c>
      <c r="F12" s="46">
        <f t="shared" si="4"/>
        <v>5</v>
      </c>
      <c r="G12" s="46">
        <f t="shared" si="4"/>
        <v>5</v>
      </c>
      <c r="H12" s="46">
        <f t="shared" si="4"/>
        <v>6</v>
      </c>
      <c r="I12" s="46">
        <f t="shared" si="4"/>
        <v>5</v>
      </c>
      <c r="J12" s="46">
        <f t="shared" si="4"/>
        <v>6</v>
      </c>
      <c r="K12" s="46">
        <f t="shared" si="4"/>
        <v>5</v>
      </c>
      <c r="L12" s="46">
        <f t="shared" si="4"/>
        <v>4</v>
      </c>
      <c r="M12" s="46">
        <f t="shared" si="4"/>
        <v>4</v>
      </c>
      <c r="N12" s="46">
        <f t="shared" si="4"/>
        <v>4</v>
      </c>
      <c r="O12" s="46">
        <f t="shared" si="4"/>
        <v>4</v>
      </c>
      <c r="P12" s="46">
        <f t="shared" si="4"/>
        <v>6</v>
      </c>
      <c r="Q12" s="46">
        <f t="shared" si="4"/>
        <v>6</v>
      </c>
      <c r="R12" s="46">
        <f t="shared" si="4"/>
        <v>6</v>
      </c>
      <c r="S12" s="46">
        <f t="shared" si="4"/>
        <v>6</v>
      </c>
      <c r="T12" s="46">
        <f t="shared" si="4"/>
        <v>3</v>
      </c>
      <c r="U12" s="46">
        <f t="shared" si="4"/>
        <v>3</v>
      </c>
      <c r="V12" s="46">
        <f t="shared" si="4"/>
        <v>3</v>
      </c>
      <c r="W12" s="46">
        <f t="shared" si="4"/>
        <v>2</v>
      </c>
      <c r="X12" s="46">
        <f t="shared" si="4"/>
        <v>3</v>
      </c>
      <c r="Y12" s="46">
        <f t="shared" si="4"/>
        <v>6</v>
      </c>
      <c r="Z12" s="46">
        <f t="shared" si="4"/>
        <v>5</v>
      </c>
      <c r="AA12" s="46">
        <f t="shared" si="4"/>
        <v>5</v>
      </c>
      <c r="AB12" s="46">
        <f t="shared" si="4"/>
        <v>4</v>
      </c>
      <c r="AC12" s="46">
        <f>COUNTA(AC5:AC11)</f>
        <v>3</v>
      </c>
      <c r="AD12" s="46">
        <f>COUNTA(AD5:AD11)</f>
        <v>1</v>
      </c>
      <c r="AE12" s="46">
        <f>COUNTA(AE5:AE11)</f>
        <v>1</v>
      </c>
      <c r="AF12" s="46">
        <f t="shared" si="4"/>
        <v>1</v>
      </c>
      <c r="AG12" s="43">
        <f t="shared" ref="AG12" si="5">SUM(AG5:AG11)</f>
        <v>123</v>
      </c>
      <c r="AH12" s="44">
        <f>AVERAGE(AH5:AH11)</f>
        <v>58.571428571428569</v>
      </c>
      <c r="AI12" s="29"/>
      <c r="AM12" s="20"/>
      <c r="AN12" s="20"/>
      <c r="AO12" s="20"/>
      <c r="AP12" s="20"/>
      <c r="AQ12" s="20"/>
      <c r="AR12" s="20"/>
    </row>
    <row r="13" spans="1:44" ht="57" hidden="1" x14ac:dyDescent="0.35">
      <c r="A13" s="13" t="s">
        <v>28</v>
      </c>
      <c r="B13" s="14"/>
      <c r="C13" s="14"/>
      <c r="D13" s="14"/>
      <c r="E13" s="14"/>
      <c r="F13" s="14"/>
      <c r="G13" s="14"/>
      <c r="H13" s="14"/>
      <c r="I13" s="35"/>
      <c r="J13" s="34"/>
      <c r="K13" s="15"/>
      <c r="L13" s="14"/>
      <c r="M13" s="14"/>
      <c r="N13" s="25"/>
      <c r="O13" s="25"/>
      <c r="P13" s="25"/>
      <c r="Q13" s="14"/>
      <c r="R13" s="14"/>
      <c r="S13" s="14"/>
      <c r="T13" s="14"/>
      <c r="U13" s="14"/>
      <c r="V13" s="15"/>
      <c r="W13" s="15"/>
      <c r="X13" s="14"/>
      <c r="Y13" s="14"/>
      <c r="Z13" s="14"/>
      <c r="AA13" s="14"/>
      <c r="AB13" s="14"/>
      <c r="AC13" s="14"/>
      <c r="AD13" s="14"/>
      <c r="AE13" s="14"/>
      <c r="AF13" s="14"/>
      <c r="AG13" s="37"/>
      <c r="AH13" s="37"/>
      <c r="AM13" s="20"/>
      <c r="AN13" s="20"/>
      <c r="AO13" s="20"/>
      <c r="AP13" s="20"/>
      <c r="AQ13" s="20"/>
      <c r="AR13" s="20"/>
    </row>
    <row r="14" spans="1:44" ht="28.5" hidden="1" x14ac:dyDescent="0.35">
      <c r="A14" s="16" t="s">
        <v>29</v>
      </c>
      <c r="B14" s="14"/>
      <c r="C14" s="14"/>
      <c r="D14" s="14"/>
      <c r="E14" s="14"/>
      <c r="F14" s="14"/>
      <c r="G14" s="14"/>
      <c r="H14" s="14"/>
      <c r="I14" s="35"/>
      <c r="J14" s="34"/>
      <c r="K14" s="15"/>
      <c r="L14" s="14"/>
      <c r="M14" s="14"/>
      <c r="N14" s="25"/>
      <c r="O14" s="25"/>
      <c r="P14" s="25"/>
      <c r="Q14" s="14"/>
      <c r="R14" s="14"/>
      <c r="S14" s="14"/>
      <c r="T14" s="14"/>
      <c r="U14" s="14"/>
      <c r="V14" s="15"/>
      <c r="W14" s="15"/>
      <c r="X14" s="14"/>
      <c r="Y14" s="14"/>
      <c r="Z14" s="14"/>
      <c r="AA14" s="14"/>
      <c r="AB14" s="14"/>
      <c r="AC14" s="14"/>
      <c r="AD14" s="14"/>
      <c r="AE14" s="14"/>
      <c r="AF14" s="14"/>
      <c r="AG14" s="37"/>
      <c r="AH14" s="37"/>
      <c r="AM14" s="20"/>
      <c r="AN14" s="20"/>
      <c r="AO14" s="20"/>
      <c r="AP14" s="20"/>
      <c r="AQ14" s="20"/>
      <c r="AR14" s="20"/>
    </row>
    <row r="15" spans="1:44" x14ac:dyDescent="0.35">
      <c r="A15" s="7" t="s">
        <v>30</v>
      </c>
      <c r="B15" s="8" t="s">
        <v>767</v>
      </c>
      <c r="C15" s="8" t="s">
        <v>767</v>
      </c>
      <c r="D15" s="8" t="s">
        <v>767</v>
      </c>
      <c r="E15" s="8" t="s">
        <v>767</v>
      </c>
      <c r="F15" s="8" t="s">
        <v>767</v>
      </c>
      <c r="G15" s="8" t="s">
        <v>767</v>
      </c>
      <c r="H15" s="8"/>
      <c r="I15" s="8"/>
      <c r="J15" s="8"/>
      <c r="K15" s="8"/>
      <c r="L15" s="8"/>
      <c r="M15" s="8" t="s">
        <v>786</v>
      </c>
      <c r="N15" s="8"/>
      <c r="O15" s="8"/>
      <c r="P15" s="8"/>
      <c r="Q15" s="8"/>
      <c r="R15" s="8"/>
      <c r="S15" s="8" t="s">
        <v>788</v>
      </c>
      <c r="T15" s="8" t="s">
        <v>34</v>
      </c>
      <c r="U15" s="8" t="s">
        <v>34</v>
      </c>
      <c r="V15" s="8" t="s">
        <v>34</v>
      </c>
      <c r="W15" s="8" t="s">
        <v>34</v>
      </c>
      <c r="X15" s="8" t="s">
        <v>34</v>
      </c>
      <c r="Y15" s="8" t="s">
        <v>34</v>
      </c>
      <c r="Z15" s="8" t="s">
        <v>34</v>
      </c>
      <c r="AA15" s="8" t="s">
        <v>34</v>
      </c>
      <c r="AB15" s="8" t="s">
        <v>34</v>
      </c>
      <c r="AC15" s="8" t="s">
        <v>34</v>
      </c>
      <c r="AD15" s="8"/>
      <c r="AE15" s="8"/>
      <c r="AF15" s="8"/>
      <c r="AG15" s="41">
        <f>COUNTA(B15:AF15)</f>
        <v>18</v>
      </c>
      <c r="AH15" s="42">
        <f>AG15*100/30</f>
        <v>60</v>
      </c>
      <c r="AM15" s="20"/>
      <c r="AN15" s="20"/>
      <c r="AO15" s="20"/>
      <c r="AP15" s="20"/>
      <c r="AQ15" s="20"/>
      <c r="AR15" s="20"/>
    </row>
    <row r="16" spans="1:44" x14ac:dyDescent="0.35">
      <c r="A16" s="7" t="s">
        <v>35</v>
      </c>
      <c r="B16" s="8" t="s">
        <v>780</v>
      </c>
      <c r="C16" s="8" t="s">
        <v>780</v>
      </c>
      <c r="D16" s="8" t="s">
        <v>780</v>
      </c>
      <c r="E16" s="8" t="s">
        <v>780</v>
      </c>
      <c r="F16" s="8" t="s">
        <v>780</v>
      </c>
      <c r="G16" s="8" t="s">
        <v>347</v>
      </c>
      <c r="H16" s="8" t="s">
        <v>347</v>
      </c>
      <c r="I16" s="8" t="s">
        <v>347</v>
      </c>
      <c r="J16" s="8" t="s">
        <v>347</v>
      </c>
      <c r="K16" s="8"/>
      <c r="L16" s="8"/>
      <c r="M16" s="8"/>
      <c r="N16" s="8"/>
      <c r="O16" s="8"/>
      <c r="P16" s="8"/>
      <c r="Q16" s="8"/>
      <c r="R16" s="8" t="s">
        <v>787</v>
      </c>
      <c r="S16" s="8" t="s">
        <v>787</v>
      </c>
      <c r="T16" s="8" t="s">
        <v>787</v>
      </c>
      <c r="U16" s="8" t="s">
        <v>787</v>
      </c>
      <c r="V16" s="8" t="s">
        <v>787</v>
      </c>
      <c r="W16" s="8" t="s">
        <v>787</v>
      </c>
      <c r="X16" s="8" t="s">
        <v>787</v>
      </c>
      <c r="Y16" s="8" t="s">
        <v>787</v>
      </c>
      <c r="Z16" s="8" t="s">
        <v>787</v>
      </c>
      <c r="AA16" s="8" t="s">
        <v>787</v>
      </c>
      <c r="AB16" s="8" t="s">
        <v>787</v>
      </c>
      <c r="AC16" s="8" t="s">
        <v>787</v>
      </c>
      <c r="AD16" s="8" t="s">
        <v>787</v>
      </c>
      <c r="AE16" s="8" t="s">
        <v>787</v>
      </c>
      <c r="AF16" s="8" t="s">
        <v>787</v>
      </c>
      <c r="AG16" s="41">
        <f t="shared" ref="AG16:AG22" si="6">COUNTA(B16:AF16)</f>
        <v>24</v>
      </c>
      <c r="AH16" s="42">
        <f t="shared" ref="AH16:AH22" si="7">AG16*100/30</f>
        <v>80</v>
      </c>
      <c r="AM16" s="20"/>
      <c r="AN16" s="20"/>
      <c r="AO16" s="56"/>
      <c r="AP16" s="56"/>
      <c r="AQ16" s="20"/>
      <c r="AR16" s="20"/>
    </row>
    <row r="17" spans="1:50" x14ac:dyDescent="0.35">
      <c r="A17" s="7" t="s">
        <v>39</v>
      </c>
      <c r="B17" s="8"/>
      <c r="C17" s="8"/>
      <c r="D17" s="8"/>
      <c r="E17" s="8"/>
      <c r="F17" s="8"/>
      <c r="G17" s="8" t="s">
        <v>782</v>
      </c>
      <c r="H17" s="8" t="s">
        <v>782</v>
      </c>
      <c r="I17" s="62"/>
      <c r="J17" s="8" t="s">
        <v>31</v>
      </c>
      <c r="K17" s="8" t="s">
        <v>31</v>
      </c>
      <c r="L17" s="8" t="s">
        <v>31</v>
      </c>
      <c r="M17" s="8" t="s">
        <v>31</v>
      </c>
      <c r="N17" s="8" t="s">
        <v>31</v>
      </c>
      <c r="O17" s="8" t="s">
        <v>31</v>
      </c>
      <c r="P17" s="8"/>
      <c r="Q17" s="8"/>
      <c r="R17" s="8" t="s">
        <v>25</v>
      </c>
      <c r="S17" s="8" t="s">
        <v>25</v>
      </c>
      <c r="T17" s="8"/>
      <c r="U17" s="26" t="s">
        <v>791</v>
      </c>
      <c r="V17" s="8"/>
      <c r="W17" s="8"/>
      <c r="X17" s="8" t="s">
        <v>471</v>
      </c>
      <c r="Y17" s="8" t="s">
        <v>471</v>
      </c>
      <c r="Z17" s="8" t="s">
        <v>471</v>
      </c>
      <c r="AA17" s="8" t="s">
        <v>471</v>
      </c>
      <c r="AB17" s="8" t="s">
        <v>471</v>
      </c>
      <c r="AC17" s="8" t="s">
        <v>471</v>
      </c>
      <c r="AD17" s="8"/>
      <c r="AE17" s="8"/>
      <c r="AF17" s="8"/>
      <c r="AG17" s="41">
        <f t="shared" si="6"/>
        <v>17</v>
      </c>
      <c r="AH17" s="42">
        <f t="shared" si="7"/>
        <v>56.666666666666664</v>
      </c>
      <c r="AM17" s="20"/>
      <c r="AN17" s="20"/>
      <c r="AO17" s="20"/>
      <c r="AP17" s="20"/>
      <c r="AQ17" s="20"/>
      <c r="AR17" s="20"/>
      <c r="AX17" s="58"/>
    </row>
    <row r="18" spans="1:50" x14ac:dyDescent="0.35">
      <c r="A18" s="7" t="s">
        <v>42</v>
      </c>
      <c r="B18" s="8"/>
      <c r="C18" s="8"/>
      <c r="D18" s="8"/>
      <c r="E18" s="8"/>
      <c r="F18" s="8" t="s">
        <v>561</v>
      </c>
      <c r="G18" s="8" t="s">
        <v>561</v>
      </c>
      <c r="H18" s="8" t="s">
        <v>561</v>
      </c>
      <c r="I18" s="8" t="s">
        <v>561</v>
      </c>
      <c r="J18" s="8" t="s">
        <v>561</v>
      </c>
      <c r="K18" s="8" t="s">
        <v>561</v>
      </c>
      <c r="L18" s="8" t="s">
        <v>561</v>
      </c>
      <c r="M18" s="8" t="s">
        <v>561</v>
      </c>
      <c r="N18" s="8" t="s">
        <v>561</v>
      </c>
      <c r="O18" s="8" t="s">
        <v>561</v>
      </c>
      <c r="P18" s="8" t="s">
        <v>561</v>
      </c>
      <c r="Q18" s="8" t="s">
        <v>561</v>
      </c>
      <c r="R18" s="8" t="s">
        <v>561</v>
      </c>
      <c r="S18" s="8" t="s">
        <v>561</v>
      </c>
      <c r="T18" s="8" t="s">
        <v>561</v>
      </c>
      <c r="U18" s="8" t="s">
        <v>561</v>
      </c>
      <c r="V18" s="8" t="s">
        <v>561</v>
      </c>
      <c r="W18" s="8" t="s">
        <v>561</v>
      </c>
      <c r="X18" s="8" t="s">
        <v>561</v>
      </c>
      <c r="Y18" s="8" t="s">
        <v>561</v>
      </c>
      <c r="Z18" s="8" t="s">
        <v>561</v>
      </c>
      <c r="AA18" s="8" t="s">
        <v>561</v>
      </c>
      <c r="AB18" s="8" t="s">
        <v>561</v>
      </c>
      <c r="AC18" s="8" t="s">
        <v>561</v>
      </c>
      <c r="AD18" s="8"/>
      <c r="AE18" s="8"/>
      <c r="AF18" s="8"/>
      <c r="AG18" s="41">
        <f t="shared" si="6"/>
        <v>24</v>
      </c>
      <c r="AH18" s="42">
        <f t="shared" si="7"/>
        <v>80</v>
      </c>
      <c r="AM18" s="20"/>
      <c r="AN18" s="20"/>
      <c r="AO18" s="20"/>
      <c r="AP18" s="20"/>
      <c r="AQ18" s="20"/>
      <c r="AR18" s="20"/>
      <c r="AX18" s="58"/>
    </row>
    <row r="19" spans="1:50" x14ac:dyDescent="0.35">
      <c r="A19" s="7" t="s">
        <v>45</v>
      </c>
      <c r="B19" s="8"/>
      <c r="C19" s="8"/>
      <c r="D19" s="8"/>
      <c r="E19" s="8"/>
      <c r="F19" s="55" t="s">
        <v>766</v>
      </c>
      <c r="G19" s="55" t="s">
        <v>766</v>
      </c>
      <c r="H19" s="55" t="s">
        <v>766</v>
      </c>
      <c r="I19" s="63" t="s">
        <v>766</v>
      </c>
      <c r="J19" s="8"/>
      <c r="K19" s="8" t="s">
        <v>783</v>
      </c>
      <c r="L19" s="8" t="s">
        <v>783</v>
      </c>
      <c r="M19" s="8" t="s">
        <v>783</v>
      </c>
      <c r="N19" s="8" t="s">
        <v>783</v>
      </c>
      <c r="O19" s="8" t="s">
        <v>783</v>
      </c>
      <c r="P19" s="8"/>
      <c r="Q19" s="8"/>
      <c r="R19" s="8" t="s">
        <v>25</v>
      </c>
      <c r="S19" s="8" t="s">
        <v>25</v>
      </c>
      <c r="T19" s="8"/>
      <c r="U19" s="26" t="s">
        <v>791</v>
      </c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41">
        <f t="shared" si="6"/>
        <v>12</v>
      </c>
      <c r="AH19" s="42">
        <f t="shared" si="7"/>
        <v>40</v>
      </c>
      <c r="AM19" s="20"/>
      <c r="AN19" s="20"/>
      <c r="AO19" s="20"/>
      <c r="AP19" s="20"/>
      <c r="AQ19" s="20"/>
      <c r="AR19" s="20"/>
      <c r="AX19" s="58"/>
    </row>
    <row r="20" spans="1:50" x14ac:dyDescent="0.35">
      <c r="A20" s="7" t="s">
        <v>47</v>
      </c>
      <c r="B20" s="55"/>
      <c r="C20" s="8"/>
      <c r="D20" s="55"/>
      <c r="E20" s="55" t="s">
        <v>765</v>
      </c>
      <c r="F20" s="55" t="s">
        <v>765</v>
      </c>
      <c r="G20" s="55" t="s">
        <v>765</v>
      </c>
      <c r="H20" s="55" t="s">
        <v>765</v>
      </c>
      <c r="I20" s="55" t="s">
        <v>765</v>
      </c>
      <c r="J20" s="89" t="s">
        <v>765</v>
      </c>
      <c r="K20" s="89" t="s">
        <v>765</v>
      </c>
      <c r="L20" s="89" t="s">
        <v>765</v>
      </c>
      <c r="M20" s="89" t="s">
        <v>765</v>
      </c>
      <c r="N20" s="89" t="s">
        <v>765</v>
      </c>
      <c r="O20" s="89" t="s">
        <v>765</v>
      </c>
      <c r="P20" s="89" t="s">
        <v>765</v>
      </c>
      <c r="Q20" s="89" t="s">
        <v>765</v>
      </c>
      <c r="R20" s="89" t="s">
        <v>765</v>
      </c>
      <c r="S20" s="89" t="s">
        <v>765</v>
      </c>
      <c r="T20" s="89" t="s">
        <v>765</v>
      </c>
      <c r="U20" s="89" t="s">
        <v>765</v>
      </c>
      <c r="V20" s="89" t="s">
        <v>765</v>
      </c>
      <c r="W20" s="89" t="s">
        <v>765</v>
      </c>
      <c r="X20" s="55"/>
      <c r="Y20" s="8"/>
      <c r="Z20" s="55"/>
      <c r="AA20" s="8"/>
      <c r="AB20" s="55"/>
      <c r="AC20" s="8"/>
      <c r="AD20" s="55"/>
      <c r="AE20" s="8"/>
      <c r="AF20" s="55"/>
      <c r="AG20" s="41">
        <f t="shared" si="6"/>
        <v>19</v>
      </c>
      <c r="AH20" s="42">
        <f t="shared" si="7"/>
        <v>63.333333333333336</v>
      </c>
      <c r="AM20" s="20"/>
      <c r="AN20" s="20"/>
      <c r="AO20" s="20"/>
      <c r="AP20" s="20"/>
      <c r="AQ20" s="20"/>
      <c r="AR20" s="20"/>
      <c r="AX20" s="58"/>
    </row>
    <row r="21" spans="1:50" x14ac:dyDescent="0.35">
      <c r="A21" s="7" t="s">
        <v>50</v>
      </c>
      <c r="B21" s="55"/>
      <c r="C21" s="55"/>
      <c r="D21" s="55"/>
      <c r="E21" s="55"/>
      <c r="F21" s="55" t="s">
        <v>562</v>
      </c>
      <c r="G21" s="55" t="s">
        <v>562</v>
      </c>
      <c r="H21" s="55" t="s">
        <v>562</v>
      </c>
      <c r="I21" s="55" t="s">
        <v>562</v>
      </c>
      <c r="J21" s="55" t="s">
        <v>562</v>
      </c>
      <c r="K21" s="55" t="s">
        <v>562</v>
      </c>
      <c r="L21" s="55" t="s">
        <v>562</v>
      </c>
      <c r="M21" s="55" t="s">
        <v>562</v>
      </c>
      <c r="N21" s="55" t="s">
        <v>562</v>
      </c>
      <c r="O21" s="55" t="s">
        <v>562</v>
      </c>
      <c r="P21" s="55" t="s">
        <v>562</v>
      </c>
      <c r="Q21" s="55" t="s">
        <v>562</v>
      </c>
      <c r="R21" s="55" t="s">
        <v>562</v>
      </c>
      <c r="S21" s="55" t="s">
        <v>562</v>
      </c>
      <c r="T21" s="55" t="s">
        <v>562</v>
      </c>
      <c r="U21" s="55" t="s">
        <v>562</v>
      </c>
      <c r="V21" s="55" t="s">
        <v>562</v>
      </c>
      <c r="W21" s="55" t="s">
        <v>562</v>
      </c>
      <c r="X21" s="55" t="s">
        <v>562</v>
      </c>
      <c r="Y21" s="55" t="s">
        <v>562</v>
      </c>
      <c r="Z21" s="55" t="s">
        <v>562</v>
      </c>
      <c r="AA21" s="55" t="s">
        <v>562</v>
      </c>
      <c r="AB21" s="55" t="s">
        <v>562</v>
      </c>
      <c r="AC21" s="55" t="s">
        <v>562</v>
      </c>
      <c r="AD21" s="55"/>
      <c r="AE21" s="55"/>
      <c r="AF21" s="55"/>
      <c r="AG21" s="41">
        <f t="shared" si="6"/>
        <v>24</v>
      </c>
      <c r="AH21" s="42">
        <f t="shared" si="7"/>
        <v>80</v>
      </c>
      <c r="AM21" s="20"/>
      <c r="AN21" s="20"/>
      <c r="AO21" s="20"/>
      <c r="AP21" s="20"/>
      <c r="AQ21" s="20"/>
      <c r="AR21" s="20"/>
      <c r="AX21" s="58"/>
    </row>
    <row r="22" spans="1:50" ht="15" thickBot="1" x14ac:dyDescent="0.4">
      <c r="A22" s="7" t="s">
        <v>51</v>
      </c>
      <c r="B22" s="8"/>
      <c r="C22" s="8"/>
      <c r="D22" s="8"/>
      <c r="E22" s="8" t="s">
        <v>312</v>
      </c>
      <c r="F22" s="8"/>
      <c r="G22" s="8" t="s">
        <v>782</v>
      </c>
      <c r="H22" s="8" t="s">
        <v>782</v>
      </c>
      <c r="I22" s="62"/>
      <c r="J22" s="8"/>
      <c r="K22" s="8"/>
      <c r="L22" s="8"/>
      <c r="M22" s="8"/>
      <c r="N22" s="8"/>
      <c r="O22" s="8"/>
      <c r="P22" s="8"/>
      <c r="Q22" s="8"/>
      <c r="R22" s="8"/>
      <c r="S22" s="8" t="s">
        <v>789</v>
      </c>
      <c r="T22" s="8" t="s">
        <v>789</v>
      </c>
      <c r="U22" s="26" t="s">
        <v>791</v>
      </c>
      <c r="V22" s="8"/>
      <c r="W22" s="8"/>
      <c r="X22" s="8"/>
      <c r="Y22" s="8" t="s">
        <v>797</v>
      </c>
      <c r="Z22" s="8" t="s">
        <v>797</v>
      </c>
      <c r="AA22" s="8" t="s">
        <v>797</v>
      </c>
      <c r="AB22" s="8" t="s">
        <v>134</v>
      </c>
      <c r="AC22" s="8"/>
      <c r="AD22" s="8"/>
      <c r="AE22" s="8"/>
      <c r="AF22" s="8"/>
      <c r="AG22" s="41">
        <f t="shared" si="6"/>
        <v>10</v>
      </c>
      <c r="AH22" s="42">
        <f t="shared" si="7"/>
        <v>33.333333333333336</v>
      </c>
      <c r="AX22" s="58"/>
    </row>
    <row r="23" spans="1:50" ht="15.5" x14ac:dyDescent="0.35">
      <c r="A23" s="45" t="s">
        <v>176</v>
      </c>
      <c r="B23" s="46">
        <f>COUNTA(B15:B22)</f>
        <v>2</v>
      </c>
      <c r="C23" s="46">
        <f>COUNTA(C16:C22)</f>
        <v>1</v>
      </c>
      <c r="D23" s="46">
        <f>COUNTA(D16:D22)</f>
        <v>1</v>
      </c>
      <c r="E23" s="46">
        <f t="shared" ref="E23:AF23" si="8">COUNTA(E15:E22)</f>
        <v>4</v>
      </c>
      <c r="F23" s="46">
        <f t="shared" si="8"/>
        <v>6</v>
      </c>
      <c r="G23" s="46">
        <f t="shared" si="8"/>
        <v>8</v>
      </c>
      <c r="H23" s="46">
        <f t="shared" si="8"/>
        <v>7</v>
      </c>
      <c r="I23" s="46">
        <f t="shared" si="8"/>
        <v>5</v>
      </c>
      <c r="J23" s="46">
        <f t="shared" si="8"/>
        <v>5</v>
      </c>
      <c r="K23" s="46">
        <f t="shared" si="8"/>
        <v>5</v>
      </c>
      <c r="L23" s="46">
        <f t="shared" si="8"/>
        <v>5</v>
      </c>
      <c r="M23" s="46">
        <f t="shared" si="8"/>
        <v>6</v>
      </c>
      <c r="N23" s="46">
        <f t="shared" si="8"/>
        <v>5</v>
      </c>
      <c r="O23" s="46">
        <f t="shared" si="8"/>
        <v>5</v>
      </c>
      <c r="P23" s="46">
        <f t="shared" si="8"/>
        <v>3</v>
      </c>
      <c r="Q23" s="46">
        <f t="shared" si="8"/>
        <v>3</v>
      </c>
      <c r="R23" s="46">
        <f t="shared" si="8"/>
        <v>6</v>
      </c>
      <c r="S23" s="46">
        <f t="shared" si="8"/>
        <v>8</v>
      </c>
      <c r="T23" s="46">
        <f>COUNTA(T15:T22)</f>
        <v>6</v>
      </c>
      <c r="U23" s="46">
        <f t="shared" si="8"/>
        <v>8</v>
      </c>
      <c r="V23" s="46">
        <f t="shared" si="8"/>
        <v>5</v>
      </c>
      <c r="W23" s="46">
        <f t="shared" si="8"/>
        <v>5</v>
      </c>
      <c r="X23" s="46">
        <f t="shared" si="8"/>
        <v>5</v>
      </c>
      <c r="Y23" s="46">
        <f t="shared" si="8"/>
        <v>6</v>
      </c>
      <c r="Z23" s="46">
        <f t="shared" si="8"/>
        <v>6</v>
      </c>
      <c r="AA23" s="46">
        <f t="shared" si="8"/>
        <v>6</v>
      </c>
      <c r="AB23" s="46">
        <f t="shared" si="8"/>
        <v>6</v>
      </c>
      <c r="AC23" s="46">
        <f t="shared" si="8"/>
        <v>5</v>
      </c>
      <c r="AD23" s="46">
        <f t="shared" si="8"/>
        <v>1</v>
      </c>
      <c r="AE23" s="46">
        <f t="shared" si="8"/>
        <v>1</v>
      </c>
      <c r="AF23" s="46">
        <f t="shared" si="8"/>
        <v>1</v>
      </c>
      <c r="AG23" s="43">
        <f>SUM(AG15:AG22)</f>
        <v>148</v>
      </c>
      <c r="AH23" s="66">
        <f>AVERAGE(AH15:AH22)</f>
        <v>61.666666666666657</v>
      </c>
      <c r="AX23" s="58"/>
    </row>
    <row r="24" spans="1:50" ht="15.5" x14ac:dyDescent="0.35">
      <c r="A24" s="47" t="s">
        <v>178</v>
      </c>
      <c r="B24" s="52">
        <f>B12+B23</f>
        <v>5</v>
      </c>
      <c r="C24" s="52">
        <f t="shared" ref="C24:AF24" si="9">C12+C23</f>
        <v>3</v>
      </c>
      <c r="D24" s="52">
        <f t="shared" si="9"/>
        <v>3</v>
      </c>
      <c r="E24" s="52">
        <f t="shared" si="9"/>
        <v>8</v>
      </c>
      <c r="F24" s="52">
        <f t="shared" si="9"/>
        <v>11</v>
      </c>
      <c r="G24" s="52">
        <f t="shared" si="9"/>
        <v>13</v>
      </c>
      <c r="H24" s="52">
        <f t="shared" si="9"/>
        <v>13</v>
      </c>
      <c r="I24" s="52">
        <f t="shared" si="9"/>
        <v>10</v>
      </c>
      <c r="J24" s="52">
        <f t="shared" si="9"/>
        <v>11</v>
      </c>
      <c r="K24" s="52">
        <f t="shared" si="9"/>
        <v>10</v>
      </c>
      <c r="L24" s="52">
        <f t="shared" si="9"/>
        <v>9</v>
      </c>
      <c r="M24" s="52">
        <f t="shared" si="9"/>
        <v>10</v>
      </c>
      <c r="N24" s="52">
        <f t="shared" si="9"/>
        <v>9</v>
      </c>
      <c r="O24" s="52">
        <f t="shared" si="9"/>
        <v>9</v>
      </c>
      <c r="P24" s="52">
        <f t="shared" si="9"/>
        <v>9</v>
      </c>
      <c r="Q24" s="52">
        <f t="shared" si="9"/>
        <v>9</v>
      </c>
      <c r="R24" s="52">
        <f t="shared" si="9"/>
        <v>12</v>
      </c>
      <c r="S24" s="52">
        <f t="shared" si="9"/>
        <v>14</v>
      </c>
      <c r="T24" s="52">
        <f t="shared" si="9"/>
        <v>9</v>
      </c>
      <c r="U24" s="52">
        <f t="shared" si="9"/>
        <v>11</v>
      </c>
      <c r="V24" s="52">
        <f t="shared" si="9"/>
        <v>8</v>
      </c>
      <c r="W24" s="52">
        <f t="shared" si="9"/>
        <v>7</v>
      </c>
      <c r="X24" s="52">
        <f t="shared" si="9"/>
        <v>8</v>
      </c>
      <c r="Y24" s="52">
        <f t="shared" si="9"/>
        <v>12</v>
      </c>
      <c r="Z24" s="52">
        <f t="shared" si="9"/>
        <v>11</v>
      </c>
      <c r="AA24" s="52">
        <f t="shared" si="9"/>
        <v>11</v>
      </c>
      <c r="AB24" s="52">
        <f t="shared" si="9"/>
        <v>10</v>
      </c>
      <c r="AC24" s="52">
        <f t="shared" si="9"/>
        <v>8</v>
      </c>
      <c r="AD24" s="52">
        <f t="shared" si="9"/>
        <v>2</v>
      </c>
      <c r="AE24" s="52">
        <f t="shared" si="9"/>
        <v>2</v>
      </c>
      <c r="AF24" s="52">
        <f t="shared" si="9"/>
        <v>2</v>
      </c>
      <c r="AG24" s="49">
        <f>+AG12+AG23</f>
        <v>271</v>
      </c>
      <c r="AX24" s="58"/>
    </row>
    <row r="25" spans="1:50" ht="15.5" x14ac:dyDescent="0.35">
      <c r="A25" s="48" t="s">
        <v>179</v>
      </c>
      <c r="B25" s="42">
        <f>B24*100/15</f>
        <v>33.333333333333336</v>
      </c>
      <c r="C25" s="42">
        <f t="shared" ref="C25:AF25" si="10">C24*100/15</f>
        <v>20</v>
      </c>
      <c r="D25" s="42">
        <f t="shared" si="10"/>
        <v>20</v>
      </c>
      <c r="E25" s="42">
        <f t="shared" si="10"/>
        <v>53.333333333333336</v>
      </c>
      <c r="F25" s="42">
        <f t="shared" si="10"/>
        <v>73.333333333333329</v>
      </c>
      <c r="G25" s="42">
        <f t="shared" si="10"/>
        <v>86.666666666666671</v>
      </c>
      <c r="H25" s="42">
        <f t="shared" si="10"/>
        <v>86.666666666666671</v>
      </c>
      <c r="I25" s="42">
        <f t="shared" si="10"/>
        <v>66.666666666666671</v>
      </c>
      <c r="J25" s="42">
        <f t="shared" si="10"/>
        <v>73.333333333333329</v>
      </c>
      <c r="K25" s="42">
        <f t="shared" si="10"/>
        <v>66.666666666666671</v>
      </c>
      <c r="L25" s="42">
        <f t="shared" si="10"/>
        <v>60</v>
      </c>
      <c r="M25" s="42">
        <f t="shared" si="10"/>
        <v>66.666666666666671</v>
      </c>
      <c r="N25" s="42">
        <f t="shared" si="10"/>
        <v>60</v>
      </c>
      <c r="O25" s="42">
        <f t="shared" si="10"/>
        <v>60</v>
      </c>
      <c r="P25" s="42">
        <f t="shared" si="10"/>
        <v>60</v>
      </c>
      <c r="Q25" s="42">
        <f t="shared" si="10"/>
        <v>60</v>
      </c>
      <c r="R25" s="42">
        <f t="shared" si="10"/>
        <v>80</v>
      </c>
      <c r="S25" s="42">
        <f t="shared" si="10"/>
        <v>93.333333333333329</v>
      </c>
      <c r="T25" s="42">
        <f t="shared" si="10"/>
        <v>60</v>
      </c>
      <c r="U25" s="42">
        <f t="shared" si="10"/>
        <v>73.333333333333329</v>
      </c>
      <c r="V25" s="42">
        <f t="shared" si="10"/>
        <v>53.333333333333336</v>
      </c>
      <c r="W25" s="42">
        <f t="shared" si="10"/>
        <v>46.666666666666664</v>
      </c>
      <c r="X25" s="42">
        <f t="shared" si="10"/>
        <v>53.333333333333336</v>
      </c>
      <c r="Y25" s="42">
        <f t="shared" si="10"/>
        <v>80</v>
      </c>
      <c r="Z25" s="42">
        <f t="shared" si="10"/>
        <v>73.333333333333329</v>
      </c>
      <c r="AA25" s="42">
        <f t="shared" si="10"/>
        <v>73.333333333333329</v>
      </c>
      <c r="AB25" s="42">
        <f t="shared" si="10"/>
        <v>66.666666666666671</v>
      </c>
      <c r="AC25" s="42">
        <f t="shared" si="10"/>
        <v>53.333333333333336</v>
      </c>
      <c r="AD25" s="42">
        <f t="shared" si="10"/>
        <v>13.333333333333334</v>
      </c>
      <c r="AE25" s="42">
        <f t="shared" si="10"/>
        <v>13.333333333333334</v>
      </c>
      <c r="AF25" s="42">
        <f t="shared" si="10"/>
        <v>13.333333333333334</v>
      </c>
      <c r="AG25" s="50">
        <f>AVERAGE(B25:AE25)</f>
        <v>59.333333333333307</v>
      </c>
      <c r="AH25" s="51" t="s">
        <v>180</v>
      </c>
      <c r="AX25" s="58"/>
    </row>
    <row r="26" spans="1:50" x14ac:dyDescent="0.35">
      <c r="AX26" s="58"/>
    </row>
    <row r="27" spans="1:50" x14ac:dyDescent="0.35">
      <c r="S27" t="s">
        <v>779</v>
      </c>
    </row>
    <row r="28" spans="1:50" x14ac:dyDescent="0.35">
      <c r="S28" t="s">
        <v>790</v>
      </c>
      <c r="T28" t="s">
        <v>790</v>
      </c>
      <c r="U28" t="s">
        <v>790</v>
      </c>
      <c r="V28" t="s">
        <v>790</v>
      </c>
      <c r="W28" t="s">
        <v>790</v>
      </c>
      <c r="X28" t="s">
        <v>790</v>
      </c>
      <c r="Y28" t="s">
        <v>790</v>
      </c>
      <c r="Z28" t="s">
        <v>790</v>
      </c>
    </row>
  </sheetData>
  <mergeCells count="2">
    <mergeCell ref="A1:AE1"/>
    <mergeCell ref="AM3:AR3"/>
  </mergeCells>
  <conditionalFormatting sqref="B16 D16 F16">
    <cfRule type="colorScale" priority="10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9 D19 T19 V19 X19 Z19 AB19 AD19 AF19 J19:P19">
    <cfRule type="colorScale" priority="3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20 D20 X20 Z20 AB20 AD20 AF20">
    <cfRule type="colorScale" priority="30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1:C11">
    <cfRule type="colorScale" priority="20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9:D9">
    <cfRule type="colorScale" priority="2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22:F22 I22:T22 V22:AF22">
    <cfRule type="colorScale" priority="2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7:I17 P17:AF17">
    <cfRule type="colorScale" priority="19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0:AC10">
    <cfRule type="colorScale" priority="1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5:AF5">
    <cfRule type="colorScale" priority="39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6:AF6">
    <cfRule type="colorScale" priority="2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5:AF15">
    <cfRule type="colorScale" priority="2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8:AF18">
    <cfRule type="colorScale" priority="3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21:AF21">
    <cfRule type="colorScale" priority="2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C16 E16 G16:J16">
    <cfRule type="colorScale" priority="9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C19 Q19 W19 Y19 AA19 AC19 AE19 E19">
    <cfRule type="colorScale" priority="18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C20 Y20 AA20 AC20 AE20">
    <cfRule type="colorScale" priority="1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D11:O11 W11:AC11">
    <cfRule type="colorScale" priority="3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E20:W20">
    <cfRule type="colorScale" priority="1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F19:I19">
    <cfRule type="colorScale" priority="8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G22:H22">
    <cfRule type="colorScale" priority="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J17:O17">
    <cfRule type="colorScale" priority="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K9:O9 W9:AF9">
    <cfRule type="colorScale" priority="28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K16:AF16">
    <cfRule type="colorScale" priority="29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L13:U14 B13:I14 X13:AH14">
    <cfRule type="colorScale" priority="40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P9:V9">
    <cfRule type="colorScale" priority="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P11:V11">
    <cfRule type="colorScale" priority="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R19:S19">
    <cfRule type="colorScale" priority="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U19">
    <cfRule type="colorScale" priority="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U22">
    <cfRule type="colorScale" priority="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D10:AF10">
    <cfRule type="colorScale" priority="2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D11:AF11 E9:J9 B7:AF8">
    <cfRule type="colorScale" priority="37">
      <colorScale>
        <cfvo type="num" val="1"/>
        <cfvo type="max"/>
        <color theme="4" tint="0.59999389629810485"/>
        <color theme="5" tint="0.59999389629810485"/>
      </colorScale>
    </cfRule>
  </conditionalFormatting>
  <pageMargins left="0.2" right="0.45" top="0.75" bottom="0.75" header="0.3" footer="0.3"/>
  <pageSetup scale="90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33ADE-33EA-42A1-8061-9B96BD80A54D}">
  <dimension ref="A1:AX32"/>
  <sheetViews>
    <sheetView zoomScale="86" zoomScaleNormal="86" workbookViewId="0">
      <pane xSplit="1" ySplit="4" topLeftCell="K5" activePane="bottomRight" state="frozen"/>
      <selection pane="topRight" activeCell="B1" sqref="B1"/>
      <selection pane="bottomLeft" activeCell="A5" sqref="A5"/>
      <selection pane="bottomRight" activeCell="AG23" sqref="AG23:AG25"/>
    </sheetView>
  </sheetViews>
  <sheetFormatPr defaultRowHeight="14.5" x14ac:dyDescent="0.35"/>
  <cols>
    <col min="1" max="1" width="43.7265625" customWidth="1"/>
    <col min="2" max="10" width="5.81640625" hidden="1" customWidth="1"/>
    <col min="11" max="15" width="6.26953125" bestFit="1" customWidth="1"/>
    <col min="16" max="18" width="5.81640625" bestFit="1" customWidth="1"/>
    <col min="19" max="20" width="6.26953125" bestFit="1" customWidth="1"/>
    <col min="21" max="32" width="5.81640625" bestFit="1" customWidth="1"/>
    <col min="33" max="33" width="4.7265625" bestFit="1" customWidth="1"/>
    <col min="34" max="34" width="8.453125" bestFit="1" customWidth="1"/>
    <col min="35" max="35" width="8" bestFit="1" customWidth="1"/>
    <col min="36" max="36" width="8.453125" customWidth="1"/>
    <col min="37" max="37" width="0" hidden="1" customWidth="1"/>
    <col min="38" max="38" width="3" hidden="1" customWidth="1"/>
    <col min="39" max="39" width="17.81640625" bestFit="1" customWidth="1"/>
    <col min="40" max="40" width="9.1796875" bestFit="1" customWidth="1"/>
    <col min="41" max="41" width="9.81640625" bestFit="1" customWidth="1"/>
    <col min="42" max="42" width="10.81640625" bestFit="1" customWidth="1"/>
    <col min="43" max="43" width="10.1796875" bestFit="1" customWidth="1"/>
    <col min="44" max="44" width="23.1796875" bestFit="1" customWidth="1"/>
    <col min="45" max="45" width="0.453125" hidden="1" customWidth="1"/>
    <col min="46" max="49" width="0" hidden="1" customWidth="1"/>
    <col min="51" max="51" width="15" bestFit="1" customWidth="1"/>
  </cols>
  <sheetData>
    <row r="1" spans="1:44" ht="15.5" x14ac:dyDescent="0.35">
      <c r="A1" s="120" t="s">
        <v>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65"/>
    </row>
    <row r="2" spans="1:44" ht="15" thickBot="1" x14ac:dyDescent="0.4"/>
    <row r="3" spans="1:44" ht="45.75" customHeight="1" x14ac:dyDescent="0.35">
      <c r="A3" s="1" t="s">
        <v>1</v>
      </c>
      <c r="B3" s="2">
        <f>AI4</f>
        <v>45717</v>
      </c>
      <c r="C3" s="2">
        <f t="shared" ref="C3:AF3" si="0">B3+1</f>
        <v>45718</v>
      </c>
      <c r="D3" s="2">
        <f t="shared" si="0"/>
        <v>45719</v>
      </c>
      <c r="E3" s="2">
        <f t="shared" si="0"/>
        <v>45720</v>
      </c>
      <c r="F3" s="2">
        <f t="shared" si="0"/>
        <v>45721</v>
      </c>
      <c r="G3" s="2">
        <f t="shared" si="0"/>
        <v>45722</v>
      </c>
      <c r="H3" s="2">
        <f t="shared" si="0"/>
        <v>45723</v>
      </c>
      <c r="I3" s="2">
        <f>H3+1</f>
        <v>45724</v>
      </c>
      <c r="J3" s="2">
        <f t="shared" si="0"/>
        <v>45725</v>
      </c>
      <c r="K3" s="2">
        <f t="shared" si="0"/>
        <v>45726</v>
      </c>
      <c r="L3" s="2">
        <f t="shared" si="0"/>
        <v>45727</v>
      </c>
      <c r="M3" s="2">
        <f t="shared" si="0"/>
        <v>45728</v>
      </c>
      <c r="N3" s="2">
        <f t="shared" si="0"/>
        <v>45729</v>
      </c>
      <c r="O3" s="2">
        <f t="shared" si="0"/>
        <v>45730</v>
      </c>
      <c r="P3" s="2">
        <f t="shared" si="0"/>
        <v>45731</v>
      </c>
      <c r="Q3" s="2">
        <f t="shared" si="0"/>
        <v>45732</v>
      </c>
      <c r="R3" s="2">
        <f t="shared" si="0"/>
        <v>45733</v>
      </c>
      <c r="S3" s="2">
        <f t="shared" si="0"/>
        <v>45734</v>
      </c>
      <c r="T3" s="2">
        <f t="shared" si="0"/>
        <v>45735</v>
      </c>
      <c r="U3" s="2">
        <f t="shared" si="0"/>
        <v>45736</v>
      </c>
      <c r="V3" s="2">
        <f t="shared" si="0"/>
        <v>45737</v>
      </c>
      <c r="W3" s="2">
        <f t="shared" si="0"/>
        <v>45738</v>
      </c>
      <c r="X3" s="2">
        <f t="shared" si="0"/>
        <v>45739</v>
      </c>
      <c r="Y3" s="2">
        <f t="shared" si="0"/>
        <v>45740</v>
      </c>
      <c r="Z3" s="2">
        <f t="shared" si="0"/>
        <v>45741</v>
      </c>
      <c r="AA3" s="2">
        <f t="shared" si="0"/>
        <v>45742</v>
      </c>
      <c r="AB3" s="2">
        <f t="shared" si="0"/>
        <v>45743</v>
      </c>
      <c r="AC3" s="2">
        <f t="shared" si="0"/>
        <v>45744</v>
      </c>
      <c r="AD3" s="2">
        <f t="shared" si="0"/>
        <v>45745</v>
      </c>
      <c r="AE3" s="2">
        <f t="shared" si="0"/>
        <v>45746</v>
      </c>
      <c r="AF3" s="2">
        <f t="shared" si="0"/>
        <v>45747</v>
      </c>
      <c r="AG3" s="36"/>
      <c r="AH3" s="36"/>
      <c r="AM3" s="122" t="s">
        <v>267</v>
      </c>
      <c r="AN3" s="123"/>
      <c r="AO3" s="123"/>
      <c r="AP3" s="123"/>
      <c r="AQ3" s="123"/>
      <c r="AR3" s="124"/>
    </row>
    <row r="4" spans="1:44" ht="31.5" customHeight="1" x14ac:dyDescent="0.35">
      <c r="A4" s="3" t="s">
        <v>2</v>
      </c>
      <c r="B4" s="4">
        <f t="shared" ref="B4:AF4" si="1">B3</f>
        <v>45717</v>
      </c>
      <c r="C4" s="4">
        <f t="shared" si="1"/>
        <v>45718</v>
      </c>
      <c r="D4" s="4">
        <f t="shared" si="1"/>
        <v>45719</v>
      </c>
      <c r="E4" s="4">
        <f t="shared" si="1"/>
        <v>45720</v>
      </c>
      <c r="F4" s="4">
        <f t="shared" si="1"/>
        <v>45721</v>
      </c>
      <c r="G4" s="4">
        <f t="shared" si="1"/>
        <v>45722</v>
      </c>
      <c r="H4" s="4">
        <f t="shared" si="1"/>
        <v>45723</v>
      </c>
      <c r="I4" s="4">
        <f t="shared" si="1"/>
        <v>45724</v>
      </c>
      <c r="J4" s="4">
        <f t="shared" si="1"/>
        <v>45725</v>
      </c>
      <c r="K4" s="4">
        <f t="shared" si="1"/>
        <v>45726</v>
      </c>
      <c r="L4" s="4">
        <f t="shared" si="1"/>
        <v>45727</v>
      </c>
      <c r="M4" s="4">
        <f t="shared" si="1"/>
        <v>45728</v>
      </c>
      <c r="N4" s="4">
        <f t="shared" si="1"/>
        <v>45729</v>
      </c>
      <c r="O4" s="4">
        <f t="shared" si="1"/>
        <v>45730</v>
      </c>
      <c r="P4" s="4">
        <f t="shared" si="1"/>
        <v>45731</v>
      </c>
      <c r="Q4" s="4">
        <f t="shared" si="1"/>
        <v>45732</v>
      </c>
      <c r="R4" s="4">
        <f t="shared" si="1"/>
        <v>45733</v>
      </c>
      <c r="S4" s="4">
        <f t="shared" si="1"/>
        <v>45734</v>
      </c>
      <c r="T4" s="4">
        <f t="shared" si="1"/>
        <v>45735</v>
      </c>
      <c r="U4" s="4">
        <f t="shared" si="1"/>
        <v>45736</v>
      </c>
      <c r="V4" s="4">
        <f t="shared" si="1"/>
        <v>45737</v>
      </c>
      <c r="W4" s="4">
        <f t="shared" si="1"/>
        <v>45738</v>
      </c>
      <c r="X4" s="4">
        <f t="shared" si="1"/>
        <v>45739</v>
      </c>
      <c r="Y4" s="4">
        <f t="shared" si="1"/>
        <v>45740</v>
      </c>
      <c r="Z4" s="4">
        <f t="shared" si="1"/>
        <v>45741</v>
      </c>
      <c r="AA4" s="4">
        <f t="shared" si="1"/>
        <v>45742</v>
      </c>
      <c r="AB4" s="4">
        <f t="shared" si="1"/>
        <v>45743</v>
      </c>
      <c r="AC4" s="4">
        <f t="shared" si="1"/>
        <v>45744</v>
      </c>
      <c r="AD4" s="4">
        <f t="shared" si="1"/>
        <v>45745</v>
      </c>
      <c r="AE4" s="4">
        <f t="shared" si="1"/>
        <v>45746</v>
      </c>
      <c r="AF4" s="4">
        <f t="shared" si="1"/>
        <v>45747</v>
      </c>
      <c r="AG4" s="39" t="s">
        <v>174</v>
      </c>
      <c r="AH4" s="40" t="s">
        <v>175</v>
      </c>
      <c r="AI4" s="5">
        <v>45717</v>
      </c>
      <c r="AJ4" s="6">
        <f>EOMONTH(AI4,0)</f>
        <v>45747</v>
      </c>
      <c r="AM4" s="19" t="s">
        <v>54</v>
      </c>
      <c r="AN4" s="19" t="s">
        <v>269</v>
      </c>
      <c r="AO4" s="19" t="s">
        <v>55</v>
      </c>
      <c r="AP4" s="19" t="s">
        <v>56</v>
      </c>
      <c r="AQ4" s="19" t="s">
        <v>251</v>
      </c>
      <c r="AR4" s="19" t="s">
        <v>57</v>
      </c>
    </row>
    <row r="5" spans="1:44" x14ac:dyDescent="0.35">
      <c r="A5" s="7" t="s">
        <v>3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 t="s">
        <v>437</v>
      </c>
      <c r="U5" s="55" t="s">
        <v>437</v>
      </c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41">
        <f>COUNTA(B5:AF5)</f>
        <v>2</v>
      </c>
      <c r="AH5" s="42">
        <f>AG5*100/31</f>
        <v>6.4516129032258061</v>
      </c>
      <c r="AM5" s="20"/>
      <c r="AN5" s="56"/>
      <c r="AO5" s="56"/>
      <c r="AP5" s="56"/>
      <c r="AQ5" s="57"/>
      <c r="AR5" s="20"/>
    </row>
    <row r="6" spans="1:44" x14ac:dyDescent="0.35">
      <c r="A6" s="7" t="s">
        <v>7</v>
      </c>
      <c r="B6" s="55" t="s">
        <v>764</v>
      </c>
      <c r="C6" s="55" t="s">
        <v>764</v>
      </c>
      <c r="D6" s="55" t="s">
        <v>764</v>
      </c>
      <c r="E6" s="55" t="s">
        <v>764</v>
      </c>
      <c r="F6" s="55" t="s">
        <v>764</v>
      </c>
      <c r="G6" s="55" t="s">
        <v>764</v>
      </c>
      <c r="H6" s="55" t="s">
        <v>764</v>
      </c>
      <c r="I6" s="55" t="s">
        <v>764</v>
      </c>
      <c r="J6" s="55" t="s">
        <v>764</v>
      </c>
      <c r="K6" s="55" t="s">
        <v>764</v>
      </c>
      <c r="L6" s="55" t="s">
        <v>764</v>
      </c>
      <c r="M6" s="55" t="s">
        <v>764</v>
      </c>
      <c r="N6" s="55" t="s">
        <v>764</v>
      </c>
      <c r="O6" s="55" t="s">
        <v>764</v>
      </c>
      <c r="P6" s="55" t="s">
        <v>764</v>
      </c>
      <c r="Q6" s="55" t="s">
        <v>764</v>
      </c>
      <c r="R6" s="55" t="s">
        <v>764</v>
      </c>
      <c r="S6" s="55" t="s">
        <v>764</v>
      </c>
      <c r="T6" s="55" t="s">
        <v>764</v>
      </c>
      <c r="U6" s="55" t="s">
        <v>764</v>
      </c>
      <c r="V6" s="55" t="s">
        <v>764</v>
      </c>
      <c r="W6" s="55" t="s">
        <v>764</v>
      </c>
      <c r="X6" s="55" t="s">
        <v>764</v>
      </c>
      <c r="Y6" s="55" t="s">
        <v>764</v>
      </c>
      <c r="Z6" s="55" t="s">
        <v>764</v>
      </c>
      <c r="AA6" s="55" t="s">
        <v>764</v>
      </c>
      <c r="AB6" s="55" t="s">
        <v>764</v>
      </c>
      <c r="AC6" s="55" t="s">
        <v>764</v>
      </c>
      <c r="AD6" s="55" t="s">
        <v>764</v>
      </c>
      <c r="AE6" s="55" t="s">
        <v>764</v>
      </c>
      <c r="AF6" s="55" t="s">
        <v>764</v>
      </c>
      <c r="AG6" s="41">
        <f t="shared" ref="AG6:AG11" si="2">COUNTA(B6:AF6)</f>
        <v>31</v>
      </c>
      <c r="AH6" s="42">
        <f t="shared" ref="AH6:AH11" si="3">AG6*100/31</f>
        <v>100</v>
      </c>
      <c r="AM6" s="20"/>
      <c r="AN6" s="56"/>
      <c r="AO6" s="56"/>
      <c r="AP6" s="56"/>
      <c r="AQ6" s="57"/>
      <c r="AR6" s="20"/>
    </row>
    <row r="7" spans="1:44" x14ac:dyDescent="0.35">
      <c r="A7" s="7" t="s">
        <v>11</v>
      </c>
      <c r="B7" s="55"/>
      <c r="C7" s="55" t="s">
        <v>792</v>
      </c>
      <c r="D7" s="55" t="s">
        <v>792</v>
      </c>
      <c r="E7" s="55" t="s">
        <v>792</v>
      </c>
      <c r="F7" s="55" t="s">
        <v>792</v>
      </c>
      <c r="G7" s="55"/>
      <c r="H7" s="55"/>
      <c r="I7" s="55"/>
      <c r="J7" s="55"/>
      <c r="K7" s="55" t="s">
        <v>803</v>
      </c>
      <c r="L7" s="55" t="s">
        <v>803</v>
      </c>
      <c r="M7" s="55" t="s">
        <v>803</v>
      </c>
      <c r="N7" s="55" t="s">
        <v>803</v>
      </c>
      <c r="O7" s="55" t="s">
        <v>803</v>
      </c>
      <c r="P7" s="55" t="s">
        <v>803</v>
      </c>
      <c r="Q7" s="55" t="s">
        <v>803</v>
      </c>
      <c r="R7" s="55" t="s">
        <v>803</v>
      </c>
      <c r="S7" s="55" t="s">
        <v>803</v>
      </c>
      <c r="T7" s="55" t="s">
        <v>803</v>
      </c>
      <c r="U7" s="55" t="s">
        <v>803</v>
      </c>
      <c r="V7" s="55" t="s">
        <v>803</v>
      </c>
      <c r="W7" s="55" t="s">
        <v>803</v>
      </c>
      <c r="X7" s="55" t="s">
        <v>803</v>
      </c>
      <c r="Y7" s="55" t="s">
        <v>803</v>
      </c>
      <c r="Z7" s="55" t="s">
        <v>803</v>
      </c>
      <c r="AA7" s="55" t="s">
        <v>816</v>
      </c>
      <c r="AB7" s="8" t="s">
        <v>816</v>
      </c>
      <c r="AC7" s="8" t="s">
        <v>816</v>
      </c>
      <c r="AD7" s="8" t="s">
        <v>816</v>
      </c>
      <c r="AE7" s="8" t="s">
        <v>816</v>
      </c>
      <c r="AF7" s="8" t="s">
        <v>816</v>
      </c>
      <c r="AG7" s="41">
        <f t="shared" si="2"/>
        <v>26</v>
      </c>
      <c r="AH7" s="42">
        <f t="shared" si="3"/>
        <v>83.870967741935488</v>
      </c>
      <c r="AM7" s="20"/>
      <c r="AN7" s="56"/>
      <c r="AO7" s="56"/>
      <c r="AP7" s="56"/>
      <c r="AQ7" s="57"/>
      <c r="AR7" s="20"/>
    </row>
    <row r="8" spans="1:44" ht="15" customHeight="1" x14ac:dyDescent="0.35">
      <c r="A8" s="7" t="s">
        <v>15</v>
      </c>
      <c r="B8" s="55"/>
      <c r="C8" s="55" t="s">
        <v>792</v>
      </c>
      <c r="D8" s="55" t="s">
        <v>792</v>
      </c>
      <c r="E8" s="55" t="s">
        <v>792</v>
      </c>
      <c r="F8" s="55" t="s">
        <v>799</v>
      </c>
      <c r="G8" s="55"/>
      <c r="H8" s="55"/>
      <c r="I8" s="55"/>
      <c r="J8" s="55"/>
      <c r="K8" s="55" t="s">
        <v>800</v>
      </c>
      <c r="L8" s="55" t="s">
        <v>800</v>
      </c>
      <c r="M8" s="55" t="s">
        <v>800</v>
      </c>
      <c r="N8" s="55" t="s">
        <v>800</v>
      </c>
      <c r="O8" s="55" t="s">
        <v>800</v>
      </c>
      <c r="P8" s="55" t="s">
        <v>800</v>
      </c>
      <c r="Q8" s="55" t="s">
        <v>800</v>
      </c>
      <c r="R8" s="55" t="s">
        <v>800</v>
      </c>
      <c r="S8" s="55" t="s">
        <v>813</v>
      </c>
      <c r="T8" s="55" t="s">
        <v>813</v>
      </c>
      <c r="U8" s="55" t="s">
        <v>813</v>
      </c>
      <c r="V8" s="55" t="s">
        <v>813</v>
      </c>
      <c r="W8" s="55" t="s">
        <v>813</v>
      </c>
      <c r="X8" s="55" t="s">
        <v>813</v>
      </c>
      <c r="Y8" s="55" t="s">
        <v>813</v>
      </c>
      <c r="Z8" s="55" t="s">
        <v>813</v>
      </c>
      <c r="AA8" s="55" t="s">
        <v>813</v>
      </c>
      <c r="AB8" s="55" t="s">
        <v>813</v>
      </c>
      <c r="AC8" s="55" t="s">
        <v>813</v>
      </c>
      <c r="AD8" s="55" t="s">
        <v>813</v>
      </c>
      <c r="AE8" s="55" t="s">
        <v>813</v>
      </c>
      <c r="AF8" s="55" t="s">
        <v>813</v>
      </c>
      <c r="AG8" s="41">
        <f t="shared" si="2"/>
        <v>26</v>
      </c>
      <c r="AH8" s="42">
        <f t="shared" si="3"/>
        <v>83.870967741935488</v>
      </c>
      <c r="AK8" s="9"/>
      <c r="AM8" s="20"/>
      <c r="AN8" s="56"/>
      <c r="AO8" s="56"/>
      <c r="AP8" s="56"/>
      <c r="AQ8" s="57"/>
      <c r="AR8" s="20"/>
    </row>
    <row r="9" spans="1:44" ht="15.75" customHeight="1" x14ac:dyDescent="0.35">
      <c r="A9" s="7" t="s">
        <v>18</v>
      </c>
      <c r="B9" s="8"/>
      <c r="C9" s="55" t="s">
        <v>792</v>
      </c>
      <c r="D9" s="55" t="s">
        <v>792</v>
      </c>
      <c r="E9" s="55" t="s">
        <v>792</v>
      </c>
      <c r="F9" s="8" t="s">
        <v>800</v>
      </c>
      <c r="G9" s="8"/>
      <c r="H9" s="8"/>
      <c r="I9" s="8"/>
      <c r="J9" s="8"/>
      <c r="K9" s="8"/>
      <c r="L9" s="8"/>
      <c r="M9" s="8"/>
      <c r="N9" s="8"/>
      <c r="O9" s="8"/>
      <c r="P9" s="8"/>
      <c r="Q9" s="8" t="s">
        <v>812</v>
      </c>
      <c r="R9" s="8" t="s">
        <v>812</v>
      </c>
      <c r="S9" s="8" t="s">
        <v>808</v>
      </c>
      <c r="T9" s="8" t="s">
        <v>808</v>
      </c>
      <c r="U9" s="8" t="s">
        <v>808</v>
      </c>
      <c r="V9" s="8" t="s">
        <v>808</v>
      </c>
      <c r="W9" s="8" t="s">
        <v>808</v>
      </c>
      <c r="X9" s="8" t="s">
        <v>808</v>
      </c>
      <c r="Y9" s="8" t="s">
        <v>808</v>
      </c>
      <c r="Z9" s="8" t="s">
        <v>808</v>
      </c>
      <c r="AA9" s="8" t="s">
        <v>808</v>
      </c>
      <c r="AB9" s="8" t="s">
        <v>808</v>
      </c>
      <c r="AC9" s="8" t="s">
        <v>808</v>
      </c>
      <c r="AD9" s="8" t="s">
        <v>808</v>
      </c>
      <c r="AE9" s="8" t="s">
        <v>808</v>
      </c>
      <c r="AF9" s="8" t="s">
        <v>808</v>
      </c>
      <c r="AG9" s="41">
        <f t="shared" si="2"/>
        <v>20</v>
      </c>
      <c r="AH9" s="42">
        <f t="shared" si="3"/>
        <v>64.516129032258064</v>
      </c>
      <c r="AM9" s="20"/>
      <c r="AN9" s="56"/>
      <c r="AO9" s="56"/>
      <c r="AP9" s="56"/>
      <c r="AQ9" s="57"/>
      <c r="AR9" s="20"/>
    </row>
    <row r="10" spans="1:44" ht="15.75" customHeight="1" x14ac:dyDescent="0.35">
      <c r="A10" s="7" t="s">
        <v>20</v>
      </c>
      <c r="B10" s="8" t="s">
        <v>772</v>
      </c>
      <c r="C10" s="8" t="s">
        <v>772</v>
      </c>
      <c r="D10" s="8" t="s">
        <v>772</v>
      </c>
      <c r="E10" s="8" t="s">
        <v>772</v>
      </c>
      <c r="F10" s="8" t="s">
        <v>772</v>
      </c>
      <c r="G10" s="8" t="s">
        <v>772</v>
      </c>
      <c r="H10" s="8" t="s">
        <v>772</v>
      </c>
      <c r="I10" s="8" t="s">
        <v>772</v>
      </c>
      <c r="J10" s="8" t="s">
        <v>772</v>
      </c>
      <c r="K10" s="8" t="s">
        <v>772</v>
      </c>
      <c r="L10" s="8" t="s">
        <v>772</v>
      </c>
      <c r="M10" s="8" t="s">
        <v>772</v>
      </c>
      <c r="N10" s="8" t="s">
        <v>772</v>
      </c>
      <c r="O10" s="8" t="s">
        <v>772</v>
      </c>
      <c r="P10" s="8" t="s">
        <v>772</v>
      </c>
      <c r="Q10" s="8" t="s">
        <v>772</v>
      </c>
      <c r="R10" s="8"/>
      <c r="S10" s="8" t="s">
        <v>437</v>
      </c>
      <c r="T10" s="8"/>
      <c r="U10" s="8"/>
      <c r="V10" s="8"/>
      <c r="W10" s="8"/>
      <c r="X10" s="8" t="s">
        <v>814</v>
      </c>
      <c r="Y10" s="8" t="s">
        <v>814</v>
      </c>
      <c r="Z10" s="8" t="s">
        <v>814</v>
      </c>
      <c r="AA10" s="55" t="s">
        <v>815</v>
      </c>
      <c r="AB10" s="55" t="s">
        <v>815</v>
      </c>
      <c r="AC10" s="55" t="s">
        <v>815</v>
      </c>
      <c r="AD10" s="55" t="s">
        <v>815</v>
      </c>
      <c r="AE10" s="8" t="s">
        <v>265</v>
      </c>
      <c r="AF10" s="8" t="s">
        <v>265</v>
      </c>
      <c r="AG10" s="41">
        <f t="shared" si="2"/>
        <v>26</v>
      </c>
      <c r="AH10" s="42">
        <f t="shared" si="3"/>
        <v>83.870967741935488</v>
      </c>
      <c r="AM10" s="20"/>
      <c r="AN10" s="56"/>
      <c r="AO10" s="56"/>
      <c r="AP10" s="56"/>
      <c r="AQ10" s="57"/>
      <c r="AR10" s="20"/>
    </row>
    <row r="11" spans="1:44" ht="15.75" customHeight="1" thickBot="1" x14ac:dyDescent="0.4">
      <c r="A11" s="7" t="s">
        <v>24</v>
      </c>
      <c r="B11" s="55"/>
      <c r="C11" s="55" t="s">
        <v>792</v>
      </c>
      <c r="D11" s="55" t="s">
        <v>792</v>
      </c>
      <c r="E11" s="55" t="s">
        <v>792</v>
      </c>
      <c r="F11" s="55" t="s">
        <v>792</v>
      </c>
      <c r="G11" s="55"/>
      <c r="H11" s="55"/>
      <c r="I11" s="55"/>
      <c r="J11" s="55" t="s">
        <v>798</v>
      </c>
      <c r="K11" s="55" t="s">
        <v>798</v>
      </c>
      <c r="L11" s="55" t="s">
        <v>798</v>
      </c>
      <c r="M11" s="55" t="s">
        <v>798</v>
      </c>
      <c r="N11" s="55" t="s">
        <v>798</v>
      </c>
      <c r="O11" s="55" t="s">
        <v>798</v>
      </c>
      <c r="P11" s="55"/>
      <c r="Q11" s="8" t="s">
        <v>812</v>
      </c>
      <c r="R11" s="8" t="s">
        <v>812</v>
      </c>
      <c r="S11" s="55" t="s">
        <v>809</v>
      </c>
      <c r="T11" s="55" t="s">
        <v>809</v>
      </c>
      <c r="U11" s="55" t="s">
        <v>809</v>
      </c>
      <c r="V11" s="55" t="s">
        <v>809</v>
      </c>
      <c r="W11" s="55" t="s">
        <v>809</v>
      </c>
      <c r="X11" s="55" t="s">
        <v>809</v>
      </c>
      <c r="Y11" s="55" t="s">
        <v>809</v>
      </c>
      <c r="Z11" s="55" t="s">
        <v>809</v>
      </c>
      <c r="AA11" s="55" t="s">
        <v>809</v>
      </c>
      <c r="AB11" s="55" t="s">
        <v>809</v>
      </c>
      <c r="AC11" s="55" t="s">
        <v>809</v>
      </c>
      <c r="AD11" s="55" t="s">
        <v>809</v>
      </c>
      <c r="AE11" s="55" t="s">
        <v>809</v>
      </c>
      <c r="AF11" s="55" t="s">
        <v>809</v>
      </c>
      <c r="AG11" s="41">
        <f t="shared" si="2"/>
        <v>26</v>
      </c>
      <c r="AH11" s="42">
        <f t="shared" si="3"/>
        <v>83.870967741935488</v>
      </c>
      <c r="AM11" s="20"/>
      <c r="AN11" s="20"/>
      <c r="AO11" s="20"/>
      <c r="AP11" s="20"/>
      <c r="AQ11" s="20"/>
      <c r="AR11" s="20"/>
    </row>
    <row r="12" spans="1:44" ht="15" customHeight="1" x14ac:dyDescent="0.35">
      <c r="A12" s="45" t="s">
        <v>176</v>
      </c>
      <c r="B12" s="46">
        <f>COUNTA(B5:B11)</f>
        <v>2</v>
      </c>
      <c r="C12" s="46">
        <f>COUNTA(C5:C11)</f>
        <v>6</v>
      </c>
      <c r="D12" s="46">
        <f t="shared" ref="D12:AF12" si="4">COUNTA(D5:D11)</f>
        <v>6</v>
      </c>
      <c r="E12" s="46">
        <f t="shared" si="4"/>
        <v>6</v>
      </c>
      <c r="F12" s="46">
        <f t="shared" si="4"/>
        <v>6</v>
      </c>
      <c r="G12" s="46">
        <f t="shared" si="4"/>
        <v>2</v>
      </c>
      <c r="H12" s="46">
        <f t="shared" si="4"/>
        <v>2</v>
      </c>
      <c r="I12" s="46">
        <f t="shared" si="4"/>
        <v>2</v>
      </c>
      <c r="J12" s="46">
        <f t="shared" si="4"/>
        <v>3</v>
      </c>
      <c r="K12" s="46">
        <f t="shared" si="4"/>
        <v>5</v>
      </c>
      <c r="L12" s="46">
        <f t="shared" si="4"/>
        <v>5</v>
      </c>
      <c r="M12" s="46">
        <f t="shared" si="4"/>
        <v>5</v>
      </c>
      <c r="N12" s="46">
        <f t="shared" si="4"/>
        <v>5</v>
      </c>
      <c r="O12" s="46">
        <f t="shared" si="4"/>
        <v>5</v>
      </c>
      <c r="P12" s="46">
        <f t="shared" si="4"/>
        <v>4</v>
      </c>
      <c r="Q12" s="46">
        <f t="shared" si="4"/>
        <v>6</v>
      </c>
      <c r="R12" s="46">
        <f t="shared" si="4"/>
        <v>5</v>
      </c>
      <c r="S12" s="46">
        <f t="shared" si="4"/>
        <v>6</v>
      </c>
      <c r="T12" s="46">
        <f t="shared" si="4"/>
        <v>6</v>
      </c>
      <c r="U12" s="46">
        <f t="shared" si="4"/>
        <v>6</v>
      </c>
      <c r="V12" s="46">
        <f t="shared" si="4"/>
        <v>5</v>
      </c>
      <c r="W12" s="46">
        <f t="shared" si="4"/>
        <v>5</v>
      </c>
      <c r="X12" s="46">
        <f t="shared" si="4"/>
        <v>6</v>
      </c>
      <c r="Y12" s="46">
        <f t="shared" si="4"/>
        <v>6</v>
      </c>
      <c r="Z12" s="46">
        <f t="shared" si="4"/>
        <v>6</v>
      </c>
      <c r="AA12" s="46">
        <f t="shared" si="4"/>
        <v>6</v>
      </c>
      <c r="AB12" s="46">
        <f t="shared" si="4"/>
        <v>6</v>
      </c>
      <c r="AC12" s="46">
        <f>COUNTA(AC5:AC11)</f>
        <v>6</v>
      </c>
      <c r="AD12" s="46">
        <f>COUNTA(AD5:AD11)</f>
        <v>6</v>
      </c>
      <c r="AE12" s="46">
        <f>COUNTA(AE5:AE11)</f>
        <v>6</v>
      </c>
      <c r="AF12" s="46">
        <f t="shared" si="4"/>
        <v>6</v>
      </c>
      <c r="AG12" s="43">
        <f t="shared" ref="AG12" si="5">SUM(AG5:AG11)</f>
        <v>157</v>
      </c>
      <c r="AH12" s="44">
        <f>AVERAGE(AH5:AH11)</f>
        <v>72.350230414746548</v>
      </c>
      <c r="AI12" s="29"/>
      <c r="AM12" s="20"/>
      <c r="AN12" s="20"/>
      <c r="AO12" s="20"/>
      <c r="AP12" s="20"/>
      <c r="AQ12" s="20"/>
      <c r="AR12" s="20"/>
    </row>
    <row r="13" spans="1:44" ht="57" hidden="1" x14ac:dyDescent="0.35">
      <c r="A13" s="13" t="s">
        <v>28</v>
      </c>
      <c r="B13" s="14"/>
      <c r="C13" s="14"/>
      <c r="D13" s="14"/>
      <c r="E13" s="14"/>
      <c r="F13" s="14"/>
      <c r="G13" s="14"/>
      <c r="H13" s="14"/>
      <c r="I13" s="35"/>
      <c r="J13" s="34"/>
      <c r="K13" s="15"/>
      <c r="L13" s="14"/>
      <c r="M13" s="14"/>
      <c r="N13" s="25"/>
      <c r="O13" s="25"/>
      <c r="P13" s="25"/>
      <c r="Q13" s="14"/>
      <c r="R13" s="14"/>
      <c r="S13" s="14"/>
      <c r="T13" s="14"/>
      <c r="U13" s="14"/>
      <c r="V13" s="15"/>
      <c r="W13" s="15"/>
      <c r="X13" s="14"/>
      <c r="Y13" s="14"/>
      <c r="Z13" s="14"/>
      <c r="AA13" s="14"/>
      <c r="AB13" s="14"/>
      <c r="AC13" s="14"/>
      <c r="AD13" s="14"/>
      <c r="AE13" s="14"/>
      <c r="AF13" s="14"/>
      <c r="AG13" s="37"/>
      <c r="AH13" s="37"/>
      <c r="AM13" s="20"/>
      <c r="AN13" s="20"/>
      <c r="AO13" s="20"/>
      <c r="AP13" s="20"/>
      <c r="AQ13" s="20"/>
      <c r="AR13" s="20"/>
    </row>
    <row r="14" spans="1:44" ht="28.5" hidden="1" x14ac:dyDescent="0.35">
      <c r="A14" s="16" t="s">
        <v>29</v>
      </c>
      <c r="B14" s="14"/>
      <c r="C14" s="14"/>
      <c r="D14" s="14"/>
      <c r="E14" s="14"/>
      <c r="F14" s="14"/>
      <c r="G14" s="14"/>
      <c r="H14" s="14"/>
      <c r="I14" s="35"/>
      <c r="J14" s="34"/>
      <c r="K14" s="15"/>
      <c r="L14" s="14"/>
      <c r="M14" s="14"/>
      <c r="N14" s="25"/>
      <c r="O14" s="25"/>
      <c r="P14" s="25"/>
      <c r="Q14" s="14"/>
      <c r="R14" s="14"/>
      <c r="S14" s="14"/>
      <c r="T14" s="14"/>
      <c r="U14" s="14"/>
      <c r="V14" s="15"/>
      <c r="W14" s="15"/>
      <c r="X14" s="14"/>
      <c r="Y14" s="14"/>
      <c r="Z14" s="14"/>
      <c r="AA14" s="14"/>
      <c r="AB14" s="14"/>
      <c r="AC14" s="14"/>
      <c r="AD14" s="14"/>
      <c r="AE14" s="14"/>
      <c r="AF14" s="14"/>
      <c r="AG14" s="37"/>
      <c r="AH14" s="37"/>
      <c r="AM14" s="20"/>
      <c r="AN14" s="20"/>
      <c r="AO14" s="20"/>
      <c r="AP14" s="20"/>
      <c r="AQ14" s="20"/>
      <c r="AR14" s="20"/>
    </row>
    <row r="15" spans="1:44" x14ac:dyDescent="0.35">
      <c r="A15" s="7" t="s">
        <v>30</v>
      </c>
      <c r="B15" s="8" t="s">
        <v>34</v>
      </c>
      <c r="C15" s="8" t="s">
        <v>34</v>
      </c>
      <c r="D15" s="8" t="s">
        <v>34</v>
      </c>
      <c r="E15" s="8" t="s">
        <v>34</v>
      </c>
      <c r="F15" s="8" t="s">
        <v>34</v>
      </c>
      <c r="G15" s="8" t="s">
        <v>34</v>
      </c>
      <c r="H15" s="8" t="s">
        <v>34</v>
      </c>
      <c r="I15" s="8" t="s">
        <v>34</v>
      </c>
      <c r="J15" s="8" t="s">
        <v>34</v>
      </c>
      <c r="K15" s="8" t="s">
        <v>34</v>
      </c>
      <c r="L15" s="8" t="s">
        <v>34</v>
      </c>
      <c r="M15" s="8" t="s">
        <v>34</v>
      </c>
      <c r="N15" s="8" t="s">
        <v>34</v>
      </c>
      <c r="O15" s="8" t="s">
        <v>34</v>
      </c>
      <c r="P15" s="8" t="s">
        <v>34</v>
      </c>
      <c r="Q15" s="8" t="s">
        <v>34</v>
      </c>
      <c r="R15" s="8" t="s">
        <v>34</v>
      </c>
      <c r="S15" s="8" t="s">
        <v>34</v>
      </c>
      <c r="T15" s="8" t="s">
        <v>34</v>
      </c>
      <c r="U15" s="8" t="s">
        <v>34</v>
      </c>
      <c r="V15" s="8" t="s">
        <v>34</v>
      </c>
      <c r="W15" s="8" t="s">
        <v>34</v>
      </c>
      <c r="X15" s="8" t="s">
        <v>34</v>
      </c>
      <c r="Y15" s="8" t="s">
        <v>34</v>
      </c>
      <c r="Z15" s="8" t="s">
        <v>34</v>
      </c>
      <c r="AA15" s="8" t="s">
        <v>34</v>
      </c>
      <c r="AB15" s="8" t="s">
        <v>34</v>
      </c>
      <c r="AC15" s="8" t="s">
        <v>34</v>
      </c>
      <c r="AD15" s="8" t="s">
        <v>34</v>
      </c>
      <c r="AE15" s="8" t="s">
        <v>34</v>
      </c>
      <c r="AF15" s="8" t="s">
        <v>34</v>
      </c>
      <c r="AG15" s="41">
        <f>COUNTA(B15:AF15)</f>
        <v>31</v>
      </c>
      <c r="AH15" s="42">
        <f>AG15*100/31</f>
        <v>100</v>
      </c>
      <c r="AM15" s="20"/>
      <c r="AN15" s="20"/>
      <c r="AO15" s="20"/>
      <c r="AP15" s="20"/>
      <c r="AQ15" s="20"/>
      <c r="AR15" s="20"/>
    </row>
    <row r="16" spans="1:44" x14ac:dyDescent="0.35">
      <c r="A16" s="7" t="s">
        <v>35</v>
      </c>
      <c r="B16" s="8" t="s">
        <v>787</v>
      </c>
      <c r="C16" s="8" t="s">
        <v>787</v>
      </c>
      <c r="D16" s="8" t="s">
        <v>787</v>
      </c>
      <c r="E16" s="8" t="s">
        <v>787</v>
      </c>
      <c r="F16" s="8" t="s">
        <v>787</v>
      </c>
      <c r="G16" s="8" t="s">
        <v>787</v>
      </c>
      <c r="H16" s="8" t="s">
        <v>787</v>
      </c>
      <c r="I16" s="8" t="s">
        <v>787</v>
      </c>
      <c r="J16" s="8" t="s">
        <v>787</v>
      </c>
      <c r="K16" s="8" t="s">
        <v>787</v>
      </c>
      <c r="L16" s="8" t="s">
        <v>787</v>
      </c>
      <c r="M16" s="8" t="s">
        <v>787</v>
      </c>
      <c r="N16" s="8" t="s">
        <v>787</v>
      </c>
      <c r="O16" s="8" t="s">
        <v>787</v>
      </c>
      <c r="P16" s="8" t="s">
        <v>787</v>
      </c>
      <c r="Q16" s="8" t="s">
        <v>787</v>
      </c>
      <c r="R16" s="8" t="s">
        <v>787</v>
      </c>
      <c r="S16" s="55" t="s">
        <v>813</v>
      </c>
      <c r="T16" s="55" t="s">
        <v>813</v>
      </c>
      <c r="U16" s="55" t="s">
        <v>813</v>
      </c>
      <c r="V16" s="55" t="s">
        <v>813</v>
      </c>
      <c r="W16" s="55" t="s">
        <v>813</v>
      </c>
      <c r="X16" s="55" t="s">
        <v>813</v>
      </c>
      <c r="Y16" s="55" t="s">
        <v>813</v>
      </c>
      <c r="Z16" s="55" t="s">
        <v>813</v>
      </c>
      <c r="AA16" s="55" t="s">
        <v>813</v>
      </c>
      <c r="AB16" s="55" t="s">
        <v>813</v>
      </c>
      <c r="AC16" s="55" t="s">
        <v>813</v>
      </c>
      <c r="AD16" s="55" t="s">
        <v>813</v>
      </c>
      <c r="AE16" s="55" t="s">
        <v>813</v>
      </c>
      <c r="AF16" s="55" t="s">
        <v>813</v>
      </c>
      <c r="AG16" s="41">
        <f t="shared" ref="AG16:AG22" si="6">COUNTA(B16:AF16)</f>
        <v>31</v>
      </c>
      <c r="AH16" s="42">
        <f t="shared" ref="AH16:AH23" si="7">AG16*100/31</f>
        <v>100</v>
      </c>
      <c r="AM16" s="20"/>
      <c r="AN16" s="20"/>
      <c r="AO16" s="56"/>
      <c r="AP16" s="56"/>
      <c r="AQ16" s="20"/>
      <c r="AR16" s="20"/>
    </row>
    <row r="17" spans="1:50" x14ac:dyDescent="0.35">
      <c r="A17" s="7" t="s">
        <v>39</v>
      </c>
      <c r="B17" s="8" t="s">
        <v>471</v>
      </c>
      <c r="C17" s="55" t="s">
        <v>792</v>
      </c>
      <c r="D17" s="55" t="s">
        <v>792</v>
      </c>
      <c r="E17" s="55" t="s">
        <v>792</v>
      </c>
      <c r="F17" s="55" t="s">
        <v>801</v>
      </c>
      <c r="G17" s="8" t="s">
        <v>185</v>
      </c>
      <c r="H17" s="8"/>
      <c r="I17" s="8"/>
      <c r="J17" s="8" t="s">
        <v>804</v>
      </c>
      <c r="K17" s="8" t="s">
        <v>804</v>
      </c>
      <c r="L17" s="8" t="s">
        <v>804</v>
      </c>
      <c r="M17" s="8" t="s">
        <v>804</v>
      </c>
      <c r="N17" s="8" t="s">
        <v>804</v>
      </c>
      <c r="O17" s="8" t="s">
        <v>804</v>
      </c>
      <c r="P17" s="8"/>
      <c r="Q17" s="8"/>
      <c r="R17" s="8"/>
      <c r="S17" s="8"/>
      <c r="T17" s="8"/>
      <c r="U17" s="8"/>
      <c r="V17" s="8"/>
      <c r="W17" s="8"/>
      <c r="X17" s="8"/>
      <c r="Y17" s="8" t="s">
        <v>422</v>
      </c>
      <c r="Z17" s="8" t="s">
        <v>422</v>
      </c>
      <c r="AA17" s="8" t="s">
        <v>422</v>
      </c>
      <c r="AB17" s="8" t="s">
        <v>422</v>
      </c>
      <c r="AC17" s="8" t="s">
        <v>422</v>
      </c>
      <c r="AD17" s="8" t="s">
        <v>422</v>
      </c>
      <c r="AE17" s="8" t="s">
        <v>265</v>
      </c>
      <c r="AF17" s="8" t="s">
        <v>265</v>
      </c>
      <c r="AG17" s="41">
        <f t="shared" si="6"/>
        <v>20</v>
      </c>
      <c r="AH17" s="42">
        <f t="shared" si="7"/>
        <v>64.516129032258064</v>
      </c>
      <c r="AM17" s="20"/>
      <c r="AN17" s="20"/>
      <c r="AO17" s="20"/>
      <c r="AP17" s="20"/>
      <c r="AQ17" s="20"/>
      <c r="AR17" s="20"/>
      <c r="AX17" s="58"/>
    </row>
    <row r="18" spans="1:50" x14ac:dyDescent="0.35">
      <c r="A18" s="7" t="s">
        <v>42</v>
      </c>
      <c r="B18" s="8" t="s">
        <v>561</v>
      </c>
      <c r="C18" s="8" t="s">
        <v>561</v>
      </c>
      <c r="D18" s="8" t="s">
        <v>561</v>
      </c>
      <c r="E18" s="8" t="s">
        <v>561</v>
      </c>
      <c r="F18" s="8" t="s">
        <v>561</v>
      </c>
      <c r="G18" s="8" t="s">
        <v>561</v>
      </c>
      <c r="H18" s="8" t="s">
        <v>561</v>
      </c>
      <c r="I18" s="8" t="s">
        <v>561</v>
      </c>
      <c r="J18" s="8" t="s">
        <v>561</v>
      </c>
      <c r="K18" s="8" t="s">
        <v>561</v>
      </c>
      <c r="L18" s="8" t="s">
        <v>561</v>
      </c>
      <c r="M18" s="8" t="s">
        <v>561</v>
      </c>
      <c r="N18" s="8" t="s">
        <v>561</v>
      </c>
      <c r="O18" s="8" t="s">
        <v>561</v>
      </c>
      <c r="P18" s="8" t="s">
        <v>561</v>
      </c>
      <c r="Q18" s="8" t="s">
        <v>561</v>
      </c>
      <c r="R18" s="8" t="s">
        <v>561</v>
      </c>
      <c r="S18" s="8" t="s">
        <v>561</v>
      </c>
      <c r="T18" s="8" t="s">
        <v>561</v>
      </c>
      <c r="U18" s="8" t="s">
        <v>561</v>
      </c>
      <c r="V18" s="8" t="s">
        <v>561</v>
      </c>
      <c r="W18" s="8" t="s">
        <v>561</v>
      </c>
      <c r="X18" s="8" t="s">
        <v>561</v>
      </c>
      <c r="Y18" s="8" t="s">
        <v>561</v>
      </c>
      <c r="Z18" s="8" t="s">
        <v>561</v>
      </c>
      <c r="AA18" s="8" t="s">
        <v>561</v>
      </c>
      <c r="AB18" s="8" t="s">
        <v>561</v>
      </c>
      <c r="AC18" s="8" t="s">
        <v>561</v>
      </c>
      <c r="AD18" s="8" t="s">
        <v>561</v>
      </c>
      <c r="AE18" s="8" t="s">
        <v>561</v>
      </c>
      <c r="AF18" s="8" t="s">
        <v>561</v>
      </c>
      <c r="AG18" s="41">
        <f t="shared" si="6"/>
        <v>31</v>
      </c>
      <c r="AH18" s="42">
        <f t="shared" si="7"/>
        <v>100</v>
      </c>
      <c r="AM18" s="20"/>
      <c r="AN18" s="20"/>
      <c r="AO18" s="20"/>
      <c r="AP18" s="20"/>
      <c r="AQ18" s="20"/>
      <c r="AR18" s="20"/>
      <c r="AX18" s="58"/>
    </row>
    <row r="19" spans="1:50" x14ac:dyDescent="0.35">
      <c r="A19" s="7" t="s">
        <v>45</v>
      </c>
      <c r="B19" s="8"/>
      <c r="C19" s="55" t="s">
        <v>792</v>
      </c>
      <c r="D19" s="55" t="s">
        <v>792</v>
      </c>
      <c r="E19" s="55" t="s">
        <v>792</v>
      </c>
      <c r="F19" s="55" t="s">
        <v>802</v>
      </c>
      <c r="G19" s="55" t="s">
        <v>25</v>
      </c>
      <c r="H19" s="55"/>
      <c r="I19" s="55" t="s">
        <v>805</v>
      </c>
      <c r="J19" s="55" t="s">
        <v>805</v>
      </c>
      <c r="K19" s="55" t="s">
        <v>805</v>
      </c>
      <c r="L19" s="55" t="s">
        <v>805</v>
      </c>
      <c r="M19" s="55" t="s">
        <v>805</v>
      </c>
      <c r="N19" s="55" t="s">
        <v>805</v>
      </c>
      <c r="O19" s="55" t="s">
        <v>805</v>
      </c>
      <c r="P19" s="55" t="s">
        <v>805</v>
      </c>
      <c r="Q19" s="55" t="s">
        <v>805</v>
      </c>
      <c r="R19" s="55" t="s">
        <v>805</v>
      </c>
      <c r="S19" s="55" t="s">
        <v>805</v>
      </c>
      <c r="T19" s="55" t="s">
        <v>805</v>
      </c>
      <c r="U19" s="55" t="s">
        <v>805</v>
      </c>
      <c r="V19" s="55" t="s">
        <v>805</v>
      </c>
      <c r="W19" s="55" t="s">
        <v>805</v>
      </c>
      <c r="X19" s="55" t="s">
        <v>805</v>
      </c>
      <c r="Y19" s="55" t="s">
        <v>805</v>
      </c>
      <c r="Z19" s="55" t="s">
        <v>805</v>
      </c>
      <c r="AA19" s="55" t="s">
        <v>805</v>
      </c>
      <c r="AB19" s="55" t="s">
        <v>805</v>
      </c>
      <c r="AC19" s="55" t="s">
        <v>805</v>
      </c>
      <c r="AD19" s="55" t="s">
        <v>805</v>
      </c>
      <c r="AE19" s="55" t="s">
        <v>805</v>
      </c>
      <c r="AF19" s="55" t="s">
        <v>805</v>
      </c>
      <c r="AG19" s="41">
        <f t="shared" si="6"/>
        <v>29</v>
      </c>
      <c r="AH19" s="42">
        <f t="shared" si="7"/>
        <v>93.548387096774192</v>
      </c>
      <c r="AM19" s="20"/>
      <c r="AN19" s="20"/>
      <c r="AO19" s="20"/>
      <c r="AP19" s="20"/>
      <c r="AQ19" s="20"/>
      <c r="AR19" s="20"/>
      <c r="AX19" s="58"/>
    </row>
    <row r="20" spans="1:50" x14ac:dyDescent="0.35">
      <c r="A20" s="7" t="s">
        <v>47</v>
      </c>
      <c r="B20" s="8"/>
      <c r="C20" s="55" t="s">
        <v>792</v>
      </c>
      <c r="D20" s="55" t="s">
        <v>792</v>
      </c>
      <c r="E20" s="55" t="s">
        <v>792</v>
      </c>
      <c r="F20" s="55"/>
      <c r="G20" s="8" t="s">
        <v>806</v>
      </c>
      <c r="H20" s="8" t="s">
        <v>806</v>
      </c>
      <c r="I20" s="8" t="s">
        <v>806</v>
      </c>
      <c r="J20" s="8" t="s">
        <v>806</v>
      </c>
      <c r="K20" s="8" t="s">
        <v>806</v>
      </c>
      <c r="L20" s="8" t="s">
        <v>806</v>
      </c>
      <c r="M20" s="8" t="s">
        <v>806</v>
      </c>
      <c r="N20" s="8" t="s">
        <v>806</v>
      </c>
      <c r="O20" s="8" t="s">
        <v>806</v>
      </c>
      <c r="P20" s="8" t="s">
        <v>806</v>
      </c>
      <c r="Q20" s="8" t="s">
        <v>806</v>
      </c>
      <c r="R20" s="8" t="s">
        <v>806</v>
      </c>
      <c r="S20" s="8" t="s">
        <v>806</v>
      </c>
      <c r="T20" s="8" t="s">
        <v>806</v>
      </c>
      <c r="U20" s="8" t="s">
        <v>806</v>
      </c>
      <c r="V20" s="8" t="s">
        <v>806</v>
      </c>
      <c r="W20" s="8" t="s">
        <v>806</v>
      </c>
      <c r="X20" s="8" t="s">
        <v>806</v>
      </c>
      <c r="Y20" s="8" t="s">
        <v>806</v>
      </c>
      <c r="Z20" s="8" t="s">
        <v>806</v>
      </c>
      <c r="AA20" s="8" t="s">
        <v>806</v>
      </c>
      <c r="AB20" s="8" t="s">
        <v>806</v>
      </c>
      <c r="AC20" s="8" t="s">
        <v>806</v>
      </c>
      <c r="AD20" s="8" t="s">
        <v>806</v>
      </c>
      <c r="AE20" s="8" t="s">
        <v>806</v>
      </c>
      <c r="AF20" s="8" t="s">
        <v>806</v>
      </c>
      <c r="AG20" s="41">
        <f t="shared" si="6"/>
        <v>29</v>
      </c>
      <c r="AH20" s="42">
        <f t="shared" si="7"/>
        <v>93.548387096774192</v>
      </c>
      <c r="AM20" s="20"/>
      <c r="AN20" s="20"/>
      <c r="AO20" s="20"/>
      <c r="AP20" s="20"/>
      <c r="AQ20" s="20"/>
      <c r="AR20" s="20"/>
      <c r="AX20" s="58"/>
    </row>
    <row r="21" spans="1:50" x14ac:dyDescent="0.35">
      <c r="A21" s="7" t="s">
        <v>50</v>
      </c>
      <c r="B21" s="55" t="s">
        <v>562</v>
      </c>
      <c r="C21" s="55" t="s">
        <v>562</v>
      </c>
      <c r="D21" s="55" t="s">
        <v>562</v>
      </c>
      <c r="E21" s="55" t="s">
        <v>562</v>
      </c>
      <c r="F21" s="55" t="s">
        <v>562</v>
      </c>
      <c r="G21" s="55" t="s">
        <v>562</v>
      </c>
      <c r="H21" s="55" t="s">
        <v>562</v>
      </c>
      <c r="I21" s="55" t="s">
        <v>562</v>
      </c>
      <c r="J21" s="55" t="s">
        <v>562</v>
      </c>
      <c r="K21" s="55" t="s">
        <v>562</v>
      </c>
      <c r="L21" s="55" t="s">
        <v>562</v>
      </c>
      <c r="M21" s="55" t="s">
        <v>562</v>
      </c>
      <c r="N21" s="55" t="s">
        <v>562</v>
      </c>
      <c r="O21" s="55" t="s">
        <v>562</v>
      </c>
      <c r="P21" s="55" t="s">
        <v>562</v>
      </c>
      <c r="Q21" s="55" t="s">
        <v>562</v>
      </c>
      <c r="R21" s="55" t="s">
        <v>562</v>
      </c>
      <c r="S21" s="55" t="s">
        <v>562</v>
      </c>
      <c r="T21" s="55" t="s">
        <v>562</v>
      </c>
      <c r="U21" s="55" t="s">
        <v>562</v>
      </c>
      <c r="V21" s="55" t="s">
        <v>562</v>
      </c>
      <c r="W21" s="55" t="s">
        <v>562</v>
      </c>
      <c r="X21" s="55" t="s">
        <v>562</v>
      </c>
      <c r="Y21" s="55" t="s">
        <v>562</v>
      </c>
      <c r="Z21" s="55" t="s">
        <v>562</v>
      </c>
      <c r="AA21" s="55" t="s">
        <v>562</v>
      </c>
      <c r="AB21" s="55" t="s">
        <v>562</v>
      </c>
      <c r="AC21" s="55" t="s">
        <v>562</v>
      </c>
      <c r="AD21" s="55" t="s">
        <v>562</v>
      </c>
      <c r="AE21" s="55" t="s">
        <v>562</v>
      </c>
      <c r="AF21" s="55" t="s">
        <v>562</v>
      </c>
      <c r="AG21" s="41">
        <f t="shared" si="6"/>
        <v>31</v>
      </c>
      <c r="AH21" s="42">
        <f t="shared" si="7"/>
        <v>100</v>
      </c>
      <c r="AM21" s="20"/>
      <c r="AN21" s="20"/>
      <c r="AO21" s="20"/>
      <c r="AP21" s="20"/>
      <c r="AQ21" s="20"/>
      <c r="AR21" s="20"/>
      <c r="AX21" s="58"/>
    </row>
    <row r="22" spans="1:50" ht="15" thickBot="1" x14ac:dyDescent="0.4">
      <c r="A22" s="7" t="s">
        <v>51</v>
      </c>
      <c r="B22" s="8"/>
      <c r="C22" s="55" t="s">
        <v>792</v>
      </c>
      <c r="D22" s="55" t="s">
        <v>792</v>
      </c>
      <c r="E22" s="55" t="s">
        <v>792</v>
      </c>
      <c r="F22" s="55" t="s">
        <v>807</v>
      </c>
      <c r="G22" s="55" t="s">
        <v>807</v>
      </c>
      <c r="H22" s="55" t="s">
        <v>807</v>
      </c>
      <c r="I22" s="55" t="s">
        <v>807</v>
      </c>
      <c r="J22" s="55" t="s">
        <v>807</v>
      </c>
      <c r="K22" s="55" t="s">
        <v>807</v>
      </c>
      <c r="L22" s="55" t="s">
        <v>807</v>
      </c>
      <c r="M22" s="55" t="s">
        <v>807</v>
      </c>
      <c r="N22" s="55" t="s">
        <v>807</v>
      </c>
      <c r="O22" s="55" t="s">
        <v>807</v>
      </c>
      <c r="P22" s="55" t="s">
        <v>807</v>
      </c>
      <c r="Q22" s="55" t="s">
        <v>807</v>
      </c>
      <c r="R22" s="55" t="s">
        <v>807</v>
      </c>
      <c r="S22" s="55" t="s">
        <v>813</v>
      </c>
      <c r="T22" s="55" t="s">
        <v>813</v>
      </c>
      <c r="U22" s="55" t="s">
        <v>813</v>
      </c>
      <c r="V22" s="55" t="s">
        <v>813</v>
      </c>
      <c r="W22" s="55" t="s">
        <v>813</v>
      </c>
      <c r="X22" s="55" t="s">
        <v>813</v>
      </c>
      <c r="Y22" s="55" t="s">
        <v>813</v>
      </c>
      <c r="Z22" s="55" t="s">
        <v>813</v>
      </c>
      <c r="AA22" s="55" t="s">
        <v>813</v>
      </c>
      <c r="AB22" s="68" t="s">
        <v>817</v>
      </c>
      <c r="AC22" s="68" t="s">
        <v>817</v>
      </c>
      <c r="AD22" s="68" t="s">
        <v>817</v>
      </c>
      <c r="AE22" s="55"/>
      <c r="AF22" s="8"/>
      <c r="AG22" s="41">
        <f t="shared" si="6"/>
        <v>28</v>
      </c>
      <c r="AH22" s="42">
        <f t="shared" si="7"/>
        <v>90.322580645161295</v>
      </c>
      <c r="AX22" s="58"/>
    </row>
    <row r="23" spans="1:50" ht="15.5" x14ac:dyDescent="0.35">
      <c r="A23" s="45" t="s">
        <v>176</v>
      </c>
      <c r="B23" s="46">
        <f>COUNTA(B15:B22)</f>
        <v>5</v>
      </c>
      <c r="C23" s="46">
        <f>COUNTA(C16:C22)</f>
        <v>7</v>
      </c>
      <c r="D23" s="46">
        <f>COUNTA(D16:D22)</f>
        <v>7</v>
      </c>
      <c r="E23" s="46">
        <f t="shared" ref="E23:AF23" si="8">COUNTA(E15:E22)</f>
        <v>8</v>
      </c>
      <c r="F23" s="46">
        <f t="shared" si="8"/>
        <v>7</v>
      </c>
      <c r="G23" s="46">
        <f t="shared" si="8"/>
        <v>8</v>
      </c>
      <c r="H23" s="46">
        <f t="shared" si="8"/>
        <v>6</v>
      </c>
      <c r="I23" s="46">
        <f t="shared" si="8"/>
        <v>7</v>
      </c>
      <c r="J23" s="46">
        <f t="shared" si="8"/>
        <v>8</v>
      </c>
      <c r="K23" s="46">
        <f t="shared" si="8"/>
        <v>8</v>
      </c>
      <c r="L23" s="46">
        <f t="shared" si="8"/>
        <v>8</v>
      </c>
      <c r="M23" s="46">
        <f t="shared" si="8"/>
        <v>8</v>
      </c>
      <c r="N23" s="46">
        <f t="shared" si="8"/>
        <v>8</v>
      </c>
      <c r="O23" s="46">
        <f t="shared" si="8"/>
        <v>8</v>
      </c>
      <c r="P23" s="46">
        <f t="shared" si="8"/>
        <v>7</v>
      </c>
      <c r="Q23" s="46">
        <f t="shared" si="8"/>
        <v>7</v>
      </c>
      <c r="R23" s="46">
        <f t="shared" si="8"/>
        <v>7</v>
      </c>
      <c r="S23" s="46">
        <f t="shared" si="8"/>
        <v>7</v>
      </c>
      <c r="T23" s="46">
        <f>COUNTA(T15:T22)</f>
        <v>7</v>
      </c>
      <c r="U23" s="46">
        <f t="shared" si="8"/>
        <v>7</v>
      </c>
      <c r="V23" s="46">
        <f t="shared" si="8"/>
        <v>7</v>
      </c>
      <c r="W23" s="46">
        <f t="shared" si="8"/>
        <v>7</v>
      </c>
      <c r="X23" s="46">
        <f t="shared" si="8"/>
        <v>7</v>
      </c>
      <c r="Y23" s="46">
        <f t="shared" si="8"/>
        <v>8</v>
      </c>
      <c r="Z23" s="46">
        <f t="shared" si="8"/>
        <v>8</v>
      </c>
      <c r="AA23" s="46">
        <f t="shared" si="8"/>
        <v>8</v>
      </c>
      <c r="AB23" s="46">
        <f t="shared" si="8"/>
        <v>8</v>
      </c>
      <c r="AC23" s="46">
        <f t="shared" si="8"/>
        <v>8</v>
      </c>
      <c r="AD23" s="46">
        <f t="shared" si="8"/>
        <v>8</v>
      </c>
      <c r="AE23" s="46">
        <f t="shared" si="8"/>
        <v>7</v>
      </c>
      <c r="AF23" s="46">
        <f t="shared" si="8"/>
        <v>7</v>
      </c>
      <c r="AG23" s="43">
        <f>SUM(AG15:AG22)</f>
        <v>230</v>
      </c>
      <c r="AH23" s="42">
        <f t="shared" si="7"/>
        <v>741.93548387096769</v>
      </c>
      <c r="AX23" s="58"/>
    </row>
    <row r="24" spans="1:50" ht="15.5" x14ac:dyDescent="0.35">
      <c r="A24" s="47" t="s">
        <v>178</v>
      </c>
      <c r="B24" s="52">
        <f>B12+B23</f>
        <v>7</v>
      </c>
      <c r="C24" s="52">
        <f t="shared" ref="C24:AF24" si="9">C12+C23</f>
        <v>13</v>
      </c>
      <c r="D24" s="52">
        <f t="shared" si="9"/>
        <v>13</v>
      </c>
      <c r="E24" s="52">
        <f t="shared" si="9"/>
        <v>14</v>
      </c>
      <c r="F24" s="52">
        <f t="shared" si="9"/>
        <v>13</v>
      </c>
      <c r="G24" s="52">
        <f t="shared" si="9"/>
        <v>10</v>
      </c>
      <c r="H24" s="52">
        <f t="shared" si="9"/>
        <v>8</v>
      </c>
      <c r="I24" s="52">
        <f t="shared" si="9"/>
        <v>9</v>
      </c>
      <c r="J24" s="52">
        <f t="shared" si="9"/>
        <v>11</v>
      </c>
      <c r="K24" s="52">
        <f t="shared" si="9"/>
        <v>13</v>
      </c>
      <c r="L24" s="52">
        <f t="shared" si="9"/>
        <v>13</v>
      </c>
      <c r="M24" s="52">
        <f t="shared" si="9"/>
        <v>13</v>
      </c>
      <c r="N24" s="52">
        <f t="shared" si="9"/>
        <v>13</v>
      </c>
      <c r="O24" s="52">
        <f t="shared" si="9"/>
        <v>13</v>
      </c>
      <c r="P24" s="52">
        <f t="shared" si="9"/>
        <v>11</v>
      </c>
      <c r="Q24" s="52">
        <f t="shared" si="9"/>
        <v>13</v>
      </c>
      <c r="R24" s="52">
        <f t="shared" si="9"/>
        <v>12</v>
      </c>
      <c r="S24" s="52">
        <f t="shared" si="9"/>
        <v>13</v>
      </c>
      <c r="T24" s="52">
        <f t="shared" si="9"/>
        <v>13</v>
      </c>
      <c r="U24" s="52">
        <f t="shared" si="9"/>
        <v>13</v>
      </c>
      <c r="V24" s="52">
        <f t="shared" si="9"/>
        <v>12</v>
      </c>
      <c r="W24" s="52">
        <f t="shared" si="9"/>
        <v>12</v>
      </c>
      <c r="X24" s="52">
        <f t="shared" si="9"/>
        <v>13</v>
      </c>
      <c r="Y24" s="52">
        <f t="shared" si="9"/>
        <v>14</v>
      </c>
      <c r="Z24" s="52">
        <f t="shared" si="9"/>
        <v>14</v>
      </c>
      <c r="AA24" s="52">
        <f t="shared" si="9"/>
        <v>14</v>
      </c>
      <c r="AB24" s="52">
        <f t="shared" si="9"/>
        <v>14</v>
      </c>
      <c r="AC24" s="52">
        <f t="shared" si="9"/>
        <v>14</v>
      </c>
      <c r="AD24" s="52">
        <f t="shared" si="9"/>
        <v>14</v>
      </c>
      <c r="AE24" s="52">
        <f t="shared" si="9"/>
        <v>13</v>
      </c>
      <c r="AF24" s="52">
        <f t="shared" si="9"/>
        <v>13</v>
      </c>
      <c r="AG24" s="49">
        <f>+AG12+AG23</f>
        <v>387</v>
      </c>
      <c r="AX24" s="58"/>
    </row>
    <row r="25" spans="1:50" ht="15.5" x14ac:dyDescent="0.35">
      <c r="A25" s="48" t="s">
        <v>179</v>
      </c>
      <c r="B25" s="42">
        <f>B24*100/15</f>
        <v>46.666666666666664</v>
      </c>
      <c r="C25" s="42">
        <f t="shared" ref="C25:AF25" si="10">C24*100/15</f>
        <v>86.666666666666671</v>
      </c>
      <c r="D25" s="42">
        <f t="shared" si="10"/>
        <v>86.666666666666671</v>
      </c>
      <c r="E25" s="42">
        <f t="shared" si="10"/>
        <v>93.333333333333329</v>
      </c>
      <c r="F25" s="42">
        <f t="shared" si="10"/>
        <v>86.666666666666671</v>
      </c>
      <c r="G25" s="42">
        <f t="shared" si="10"/>
        <v>66.666666666666671</v>
      </c>
      <c r="H25" s="42">
        <f t="shared" si="10"/>
        <v>53.333333333333336</v>
      </c>
      <c r="I25" s="42">
        <f t="shared" si="10"/>
        <v>60</v>
      </c>
      <c r="J25" s="42">
        <f t="shared" si="10"/>
        <v>73.333333333333329</v>
      </c>
      <c r="K25" s="42">
        <f t="shared" si="10"/>
        <v>86.666666666666671</v>
      </c>
      <c r="L25" s="42">
        <f t="shared" si="10"/>
        <v>86.666666666666671</v>
      </c>
      <c r="M25" s="42">
        <f t="shared" si="10"/>
        <v>86.666666666666671</v>
      </c>
      <c r="N25" s="42">
        <f t="shared" si="10"/>
        <v>86.666666666666671</v>
      </c>
      <c r="O25" s="42">
        <f t="shared" si="10"/>
        <v>86.666666666666671</v>
      </c>
      <c r="P25" s="42">
        <f t="shared" si="10"/>
        <v>73.333333333333329</v>
      </c>
      <c r="Q25" s="42">
        <f t="shared" si="10"/>
        <v>86.666666666666671</v>
      </c>
      <c r="R25" s="42">
        <f t="shared" si="10"/>
        <v>80</v>
      </c>
      <c r="S25" s="42">
        <f t="shared" si="10"/>
        <v>86.666666666666671</v>
      </c>
      <c r="T25" s="42">
        <f t="shared" si="10"/>
        <v>86.666666666666671</v>
      </c>
      <c r="U25" s="42">
        <f t="shared" si="10"/>
        <v>86.666666666666671</v>
      </c>
      <c r="V25" s="42">
        <f t="shared" si="10"/>
        <v>80</v>
      </c>
      <c r="W25" s="42">
        <f t="shared" si="10"/>
        <v>80</v>
      </c>
      <c r="X25" s="42">
        <f t="shared" si="10"/>
        <v>86.666666666666671</v>
      </c>
      <c r="Y25" s="42">
        <f t="shared" si="10"/>
        <v>93.333333333333329</v>
      </c>
      <c r="Z25" s="42">
        <f t="shared" si="10"/>
        <v>93.333333333333329</v>
      </c>
      <c r="AA25" s="42">
        <f t="shared" si="10"/>
        <v>93.333333333333329</v>
      </c>
      <c r="AB25" s="42">
        <f t="shared" si="10"/>
        <v>93.333333333333329</v>
      </c>
      <c r="AC25" s="42">
        <f t="shared" si="10"/>
        <v>93.333333333333329</v>
      </c>
      <c r="AD25" s="42">
        <f t="shared" si="10"/>
        <v>93.333333333333329</v>
      </c>
      <c r="AE25" s="42">
        <f t="shared" si="10"/>
        <v>86.666666666666671</v>
      </c>
      <c r="AF25" s="42">
        <f t="shared" si="10"/>
        <v>86.666666666666671</v>
      </c>
      <c r="AG25" s="50">
        <f>AVERAGE(B25:AE25)</f>
        <v>82.666666666666686</v>
      </c>
      <c r="AH25" s="51" t="s">
        <v>180</v>
      </c>
      <c r="AX25" s="58"/>
    </row>
    <row r="26" spans="1:50" x14ac:dyDescent="0.35">
      <c r="S26" s="38" t="s">
        <v>811</v>
      </c>
      <c r="T26" s="38" t="s">
        <v>811</v>
      </c>
      <c r="AX26" s="58"/>
    </row>
    <row r="27" spans="1:50" x14ac:dyDescent="0.35">
      <c r="C27" t="s">
        <v>779</v>
      </c>
      <c r="S27" s="38" t="s">
        <v>810</v>
      </c>
      <c r="T27" s="38" t="s">
        <v>810</v>
      </c>
    </row>
    <row r="28" spans="1:50" x14ac:dyDescent="0.35">
      <c r="C28" t="s">
        <v>682</v>
      </c>
      <c r="D28" t="s">
        <v>682</v>
      </c>
      <c r="E28" t="s">
        <v>682</v>
      </c>
      <c r="F28" t="s">
        <v>682</v>
      </c>
      <c r="G28" t="s">
        <v>682</v>
      </c>
      <c r="H28" t="s">
        <v>682</v>
      </c>
      <c r="I28" t="s">
        <v>682</v>
      </c>
      <c r="J28" t="s">
        <v>682</v>
      </c>
      <c r="K28" t="s">
        <v>682</v>
      </c>
      <c r="L28" t="s">
        <v>682</v>
      </c>
      <c r="M28" t="s">
        <v>682</v>
      </c>
      <c r="N28" t="s">
        <v>682</v>
      </c>
      <c r="O28" t="s">
        <v>682</v>
      </c>
      <c r="P28" t="s">
        <v>682</v>
      </c>
    </row>
    <row r="29" spans="1:50" x14ac:dyDescent="0.35">
      <c r="C29" t="s">
        <v>682</v>
      </c>
      <c r="D29" t="s">
        <v>682</v>
      </c>
      <c r="E29" t="s">
        <v>682</v>
      </c>
      <c r="F29" t="s">
        <v>682</v>
      </c>
      <c r="G29" t="s">
        <v>682</v>
      </c>
      <c r="H29" t="s">
        <v>682</v>
      </c>
      <c r="I29" t="s">
        <v>682</v>
      </c>
      <c r="J29" t="s">
        <v>682</v>
      </c>
      <c r="K29" t="s">
        <v>682</v>
      </c>
      <c r="L29" t="s">
        <v>682</v>
      </c>
      <c r="M29" t="s">
        <v>682</v>
      </c>
      <c r="N29" t="s">
        <v>682</v>
      </c>
      <c r="O29" t="s">
        <v>682</v>
      </c>
      <c r="P29" t="s">
        <v>682</v>
      </c>
      <c r="Z29" t="s">
        <v>363</v>
      </c>
      <c r="AA29" t="s">
        <v>363</v>
      </c>
      <c r="AB29" t="s">
        <v>363</v>
      </c>
      <c r="AC29" t="s">
        <v>363</v>
      </c>
      <c r="AD29" t="s">
        <v>363</v>
      </c>
      <c r="AE29" t="s">
        <v>363</v>
      </c>
    </row>
    <row r="30" spans="1:50" x14ac:dyDescent="0.35">
      <c r="C30" t="s">
        <v>682</v>
      </c>
      <c r="D30" t="s">
        <v>682</v>
      </c>
      <c r="E30" t="s">
        <v>682</v>
      </c>
      <c r="F30" t="s">
        <v>682</v>
      </c>
      <c r="G30" t="s">
        <v>682</v>
      </c>
      <c r="H30" t="s">
        <v>682</v>
      </c>
      <c r="I30" t="s">
        <v>682</v>
      </c>
      <c r="J30" t="s">
        <v>682</v>
      </c>
      <c r="K30" t="s">
        <v>682</v>
      </c>
      <c r="L30" t="s">
        <v>682</v>
      </c>
      <c r="M30" t="s">
        <v>682</v>
      </c>
      <c r="N30" t="s">
        <v>682</v>
      </c>
      <c r="O30" t="s">
        <v>682</v>
      </c>
      <c r="P30" t="s">
        <v>682</v>
      </c>
      <c r="Z30" t="s">
        <v>363</v>
      </c>
      <c r="AA30" t="s">
        <v>363</v>
      </c>
      <c r="AB30" t="s">
        <v>363</v>
      </c>
      <c r="AC30" t="s">
        <v>363</v>
      </c>
      <c r="AD30" t="s">
        <v>363</v>
      </c>
      <c r="AE30" t="s">
        <v>363</v>
      </c>
    </row>
    <row r="31" spans="1:50" x14ac:dyDescent="0.35">
      <c r="C31" t="s">
        <v>682</v>
      </c>
      <c r="D31" t="s">
        <v>682</v>
      </c>
      <c r="E31" t="s">
        <v>682</v>
      </c>
      <c r="F31" t="s">
        <v>682</v>
      </c>
      <c r="G31" t="s">
        <v>682</v>
      </c>
      <c r="H31" t="s">
        <v>682</v>
      </c>
      <c r="I31" t="s">
        <v>682</v>
      </c>
      <c r="J31" t="s">
        <v>682</v>
      </c>
      <c r="K31" t="s">
        <v>682</v>
      </c>
      <c r="L31" t="s">
        <v>682</v>
      </c>
      <c r="M31" t="s">
        <v>682</v>
      </c>
      <c r="N31" t="s">
        <v>682</v>
      </c>
      <c r="O31" t="s">
        <v>682</v>
      </c>
      <c r="P31" t="s">
        <v>682</v>
      </c>
      <c r="Z31" t="s">
        <v>363</v>
      </c>
      <c r="AA31" t="s">
        <v>363</v>
      </c>
      <c r="AB31" t="s">
        <v>363</v>
      </c>
      <c r="AC31" t="s">
        <v>363</v>
      </c>
      <c r="AD31" t="s">
        <v>363</v>
      </c>
      <c r="AE31" t="s">
        <v>363</v>
      </c>
    </row>
    <row r="32" spans="1:50" x14ac:dyDescent="0.35">
      <c r="Z32" t="s">
        <v>363</v>
      </c>
      <c r="AA32" t="s">
        <v>363</v>
      </c>
      <c r="AB32" t="s">
        <v>363</v>
      </c>
      <c r="AC32" t="s">
        <v>363</v>
      </c>
      <c r="AD32" t="s">
        <v>363</v>
      </c>
      <c r="AE32" t="s">
        <v>363</v>
      </c>
    </row>
  </sheetData>
  <mergeCells count="2">
    <mergeCell ref="A1:AE1"/>
    <mergeCell ref="AM3:AR3"/>
  </mergeCells>
  <conditionalFormatting sqref="B19">
    <cfRule type="colorScale" priority="3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22">
    <cfRule type="colorScale" priority="38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0:Q10">
    <cfRule type="colorScale" priority="1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6:R16">
    <cfRule type="colorScale" priority="1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5:AF5">
    <cfRule type="colorScale" priority="50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6:AF6">
    <cfRule type="colorScale" priority="2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5:AF15">
    <cfRule type="colorScale" priority="40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8:AF18">
    <cfRule type="colorScale" priority="4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21:AF21">
    <cfRule type="colorScale" priority="39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C9:E9 B8:R8 B7:Z7">
    <cfRule type="colorScale" priority="49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C17:F17">
    <cfRule type="colorScale" priority="2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C20:F20">
    <cfRule type="colorScale" priority="18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C11:G11">
    <cfRule type="colorScale" priority="2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C22:R22">
    <cfRule type="colorScale" priority="19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C19:AF19">
    <cfRule type="colorScale" priority="20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F9:AF9 B9">
    <cfRule type="colorScale" priority="4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G17:AD17 B17">
    <cfRule type="colorScale" priority="3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G20:AF20 B20">
    <cfRule type="colorScale" priority="3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H11:P11 B11 S11:AF11">
    <cfRule type="colorScale" priority="48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L13:U14 B13:I14 X13:AH14">
    <cfRule type="colorScale" priority="5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Q11:R11">
    <cfRule type="colorScale" priority="1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R10:Z10 AE10:AF10">
    <cfRule type="colorScale" priority="4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S22:AA22 AE22">
    <cfRule type="colorScale" priority="1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S8:AF8">
    <cfRule type="colorScale" priority="9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S16:AF16">
    <cfRule type="colorScale" priority="10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A7">
    <cfRule type="colorScale" priority="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A10">
    <cfRule type="colorScale" priority="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B10:AD10">
    <cfRule type="colorScale" priority="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B22:AD22">
    <cfRule type="colorScale" priority="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B7:AF7">
    <cfRule type="colorScale" priority="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E17:AF17">
    <cfRule type="colorScale" priority="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F22">
    <cfRule type="colorScale" priority="8">
      <colorScale>
        <cfvo type="num" val="1"/>
        <cfvo type="max"/>
        <color theme="4" tint="0.59999389629810485"/>
        <color theme="5" tint="0.59999389629810485"/>
      </colorScale>
    </cfRule>
  </conditionalFormatting>
  <pageMargins left="0.2" right="0.45" top="0.75" bottom="0.75" header="0.3" footer="0.3"/>
  <pageSetup scale="9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BD25A-5E29-465B-91C3-BEE04421016B}">
  <dimension ref="A1:AX28"/>
  <sheetViews>
    <sheetView zoomScale="86" zoomScaleNormal="86" workbookViewId="0">
      <pane xSplit="1" ySplit="4" topLeftCell="L6" activePane="bottomRight" state="frozen"/>
      <selection pane="topRight" activeCell="B1" sqref="B1"/>
      <selection pane="bottomLeft" activeCell="A5" sqref="A5"/>
      <selection pane="bottomRight" activeCell="AC8" sqref="AC8"/>
    </sheetView>
  </sheetViews>
  <sheetFormatPr defaultRowHeight="14.5" x14ac:dyDescent="0.35"/>
  <cols>
    <col min="1" max="1" width="43.7265625" customWidth="1"/>
    <col min="2" max="8" width="16.81640625" bestFit="1" customWidth="1"/>
    <col min="9" max="9" width="23.7265625" bestFit="1" customWidth="1"/>
    <col min="10" max="12" width="16.81640625" bestFit="1" customWidth="1"/>
    <col min="13" max="17" width="11.81640625" bestFit="1" customWidth="1"/>
    <col min="18" max="20" width="12.81640625" bestFit="1" customWidth="1"/>
    <col min="21" max="21" width="11.81640625" bestFit="1" customWidth="1"/>
    <col min="22" max="31" width="5.81640625" bestFit="1" customWidth="1"/>
    <col min="32" max="32" width="5.81640625" hidden="1" customWidth="1"/>
    <col min="33" max="33" width="4.7265625" bestFit="1" customWidth="1"/>
    <col min="34" max="34" width="8.453125" bestFit="1" customWidth="1"/>
    <col min="35" max="35" width="8" bestFit="1" customWidth="1"/>
    <col min="36" max="36" width="8.453125" customWidth="1"/>
    <col min="37" max="37" width="0" hidden="1" customWidth="1"/>
    <col min="38" max="38" width="3" hidden="1" customWidth="1"/>
    <col min="39" max="39" width="17.81640625" bestFit="1" customWidth="1"/>
    <col min="40" max="40" width="9.1796875" bestFit="1" customWidth="1"/>
    <col min="41" max="41" width="9.81640625" bestFit="1" customWidth="1"/>
    <col min="42" max="42" width="10.81640625" bestFit="1" customWidth="1"/>
    <col min="43" max="43" width="10.1796875" bestFit="1" customWidth="1"/>
    <col min="44" max="44" width="23.1796875" bestFit="1" customWidth="1"/>
    <col min="45" max="45" width="0.453125" hidden="1" customWidth="1"/>
    <col min="46" max="49" width="0" hidden="1" customWidth="1"/>
    <col min="51" max="51" width="15" bestFit="1" customWidth="1"/>
  </cols>
  <sheetData>
    <row r="1" spans="1:44" ht="15.5" x14ac:dyDescent="0.35">
      <c r="A1" s="120" t="s">
        <v>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65"/>
    </row>
    <row r="2" spans="1:44" ht="15" thickBot="1" x14ac:dyDescent="0.4"/>
    <row r="3" spans="1:44" ht="45.75" customHeight="1" x14ac:dyDescent="0.35">
      <c r="A3" s="1" t="s">
        <v>1</v>
      </c>
      <c r="B3" s="2">
        <f>AI4</f>
        <v>45748</v>
      </c>
      <c r="C3" s="2">
        <f t="shared" ref="C3:AF3" si="0">B3+1</f>
        <v>45749</v>
      </c>
      <c r="D3" s="2">
        <f t="shared" si="0"/>
        <v>45750</v>
      </c>
      <c r="E3" s="2">
        <f t="shared" si="0"/>
        <v>45751</v>
      </c>
      <c r="F3" s="2">
        <f t="shared" si="0"/>
        <v>45752</v>
      </c>
      <c r="G3" s="2">
        <f t="shared" si="0"/>
        <v>45753</v>
      </c>
      <c r="H3" s="2">
        <f t="shared" si="0"/>
        <v>45754</v>
      </c>
      <c r="I3" s="2">
        <f>H3+1</f>
        <v>45755</v>
      </c>
      <c r="J3" s="2">
        <f t="shared" si="0"/>
        <v>45756</v>
      </c>
      <c r="K3" s="2">
        <f t="shared" si="0"/>
        <v>45757</v>
      </c>
      <c r="L3" s="2">
        <f t="shared" si="0"/>
        <v>45758</v>
      </c>
      <c r="M3" s="2">
        <f t="shared" si="0"/>
        <v>45759</v>
      </c>
      <c r="N3" s="2">
        <f t="shared" si="0"/>
        <v>45760</v>
      </c>
      <c r="O3" s="2">
        <f t="shared" si="0"/>
        <v>45761</v>
      </c>
      <c r="P3" s="2">
        <f t="shared" si="0"/>
        <v>45762</v>
      </c>
      <c r="Q3" s="2">
        <f t="shared" si="0"/>
        <v>45763</v>
      </c>
      <c r="R3" s="2">
        <f t="shared" si="0"/>
        <v>45764</v>
      </c>
      <c r="S3" s="2">
        <f t="shared" si="0"/>
        <v>45765</v>
      </c>
      <c r="T3" s="2">
        <f t="shared" si="0"/>
        <v>45766</v>
      </c>
      <c r="U3" s="2">
        <f t="shared" si="0"/>
        <v>45767</v>
      </c>
      <c r="V3" s="2">
        <f t="shared" si="0"/>
        <v>45768</v>
      </c>
      <c r="W3" s="2">
        <f t="shared" si="0"/>
        <v>45769</v>
      </c>
      <c r="X3" s="2">
        <f t="shared" si="0"/>
        <v>45770</v>
      </c>
      <c r="Y3" s="2">
        <f t="shared" si="0"/>
        <v>45771</v>
      </c>
      <c r="Z3" s="2">
        <f t="shared" si="0"/>
        <v>45772</v>
      </c>
      <c r="AA3" s="2">
        <f t="shared" si="0"/>
        <v>45773</v>
      </c>
      <c r="AB3" s="2">
        <f t="shared" si="0"/>
        <v>45774</v>
      </c>
      <c r="AC3" s="2">
        <f t="shared" si="0"/>
        <v>45775</v>
      </c>
      <c r="AD3" s="2">
        <f t="shared" si="0"/>
        <v>45776</v>
      </c>
      <c r="AE3" s="2">
        <f t="shared" si="0"/>
        <v>45777</v>
      </c>
      <c r="AF3" s="2">
        <f t="shared" si="0"/>
        <v>45778</v>
      </c>
      <c r="AG3" s="36"/>
      <c r="AH3" s="36"/>
      <c r="AM3" s="122" t="s">
        <v>267</v>
      </c>
      <c r="AN3" s="123"/>
      <c r="AO3" s="123"/>
      <c r="AP3" s="123"/>
      <c r="AQ3" s="123"/>
      <c r="AR3" s="124"/>
    </row>
    <row r="4" spans="1:44" ht="31.5" customHeight="1" x14ac:dyDescent="0.35">
      <c r="A4" s="3" t="s">
        <v>2</v>
      </c>
      <c r="B4" s="4">
        <f t="shared" ref="B4:AF4" si="1">B3</f>
        <v>45748</v>
      </c>
      <c r="C4" s="4">
        <f t="shared" si="1"/>
        <v>45749</v>
      </c>
      <c r="D4" s="4">
        <f t="shared" si="1"/>
        <v>45750</v>
      </c>
      <c r="E4" s="4">
        <f t="shared" si="1"/>
        <v>45751</v>
      </c>
      <c r="F4" s="4">
        <f t="shared" si="1"/>
        <v>45752</v>
      </c>
      <c r="G4" s="4">
        <f t="shared" si="1"/>
        <v>45753</v>
      </c>
      <c r="H4" s="4">
        <f t="shared" si="1"/>
        <v>45754</v>
      </c>
      <c r="I4" s="4">
        <f t="shared" si="1"/>
        <v>45755</v>
      </c>
      <c r="J4" s="4">
        <f t="shared" si="1"/>
        <v>45756</v>
      </c>
      <c r="K4" s="4">
        <f t="shared" si="1"/>
        <v>45757</v>
      </c>
      <c r="L4" s="4">
        <f t="shared" si="1"/>
        <v>45758</v>
      </c>
      <c r="M4" s="4">
        <f t="shared" si="1"/>
        <v>45759</v>
      </c>
      <c r="N4" s="4">
        <f t="shared" si="1"/>
        <v>45760</v>
      </c>
      <c r="O4" s="4">
        <f t="shared" si="1"/>
        <v>45761</v>
      </c>
      <c r="P4" s="4">
        <f t="shared" si="1"/>
        <v>45762</v>
      </c>
      <c r="Q4" s="4">
        <f t="shared" si="1"/>
        <v>45763</v>
      </c>
      <c r="R4" s="4">
        <f t="shared" si="1"/>
        <v>45764</v>
      </c>
      <c r="S4" s="4">
        <f t="shared" si="1"/>
        <v>45765</v>
      </c>
      <c r="T4" s="4">
        <f t="shared" si="1"/>
        <v>45766</v>
      </c>
      <c r="U4" s="4">
        <f t="shared" si="1"/>
        <v>45767</v>
      </c>
      <c r="V4" s="4">
        <f t="shared" si="1"/>
        <v>45768</v>
      </c>
      <c r="W4" s="4">
        <f t="shared" si="1"/>
        <v>45769</v>
      </c>
      <c r="X4" s="4">
        <f t="shared" si="1"/>
        <v>45770</v>
      </c>
      <c r="Y4" s="4">
        <f t="shared" si="1"/>
        <v>45771</v>
      </c>
      <c r="Z4" s="4">
        <f t="shared" si="1"/>
        <v>45772</v>
      </c>
      <c r="AA4" s="4">
        <f t="shared" si="1"/>
        <v>45773</v>
      </c>
      <c r="AB4" s="4">
        <f t="shared" si="1"/>
        <v>45774</v>
      </c>
      <c r="AC4" s="4">
        <f t="shared" si="1"/>
        <v>45775</v>
      </c>
      <c r="AD4" s="4">
        <f t="shared" si="1"/>
        <v>45776</v>
      </c>
      <c r="AE4" s="4">
        <f t="shared" si="1"/>
        <v>45777</v>
      </c>
      <c r="AF4" s="4">
        <f t="shared" si="1"/>
        <v>45778</v>
      </c>
      <c r="AG4" s="39" t="s">
        <v>174</v>
      </c>
      <c r="AH4" s="40" t="s">
        <v>175</v>
      </c>
      <c r="AI4" s="5">
        <v>45748</v>
      </c>
      <c r="AJ4" s="6">
        <f>EOMONTH(AI4,0)</f>
        <v>45777</v>
      </c>
      <c r="AM4" s="19" t="s">
        <v>54</v>
      </c>
      <c r="AN4" s="19" t="s">
        <v>269</v>
      </c>
      <c r="AO4" s="19" t="s">
        <v>55</v>
      </c>
      <c r="AP4" s="19" t="s">
        <v>56</v>
      </c>
      <c r="AQ4" s="19" t="s">
        <v>251</v>
      </c>
      <c r="AR4" s="19" t="s">
        <v>57</v>
      </c>
    </row>
    <row r="5" spans="1:44" x14ac:dyDescent="0.35">
      <c r="A5" s="7" t="s">
        <v>3</v>
      </c>
      <c r="B5" s="55"/>
      <c r="C5" s="55"/>
      <c r="D5" s="55"/>
      <c r="E5" s="55"/>
      <c r="F5" s="55"/>
      <c r="G5" s="55"/>
      <c r="H5" s="55"/>
      <c r="I5" s="55"/>
      <c r="J5" s="55" t="s">
        <v>437</v>
      </c>
      <c r="K5" s="55" t="s">
        <v>437</v>
      </c>
      <c r="L5" s="55" t="s">
        <v>437</v>
      </c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88" t="s">
        <v>114</v>
      </c>
      <c r="AA5" s="55"/>
      <c r="AB5" s="55"/>
      <c r="AC5" s="55"/>
      <c r="AD5" s="55"/>
      <c r="AE5" s="55"/>
      <c r="AF5" s="55"/>
      <c r="AG5" s="41">
        <f>COUNTA(B5:AF5)</f>
        <v>4</v>
      </c>
      <c r="AH5" s="42">
        <f>AG5*100/30</f>
        <v>13.333333333333334</v>
      </c>
      <c r="AM5" s="20" t="s">
        <v>562</v>
      </c>
      <c r="AN5" s="56" t="s">
        <v>835</v>
      </c>
      <c r="AO5" s="56" t="s">
        <v>836</v>
      </c>
      <c r="AP5" s="56"/>
      <c r="AQ5" s="57"/>
      <c r="AR5" s="20"/>
    </row>
    <row r="6" spans="1:44" x14ac:dyDescent="0.35">
      <c r="A6" s="7" t="s">
        <v>7</v>
      </c>
      <c r="B6" s="55" t="s">
        <v>764</v>
      </c>
      <c r="C6" s="55" t="s">
        <v>764</v>
      </c>
      <c r="D6" s="55" t="s">
        <v>764</v>
      </c>
      <c r="E6" s="55" t="s">
        <v>764</v>
      </c>
      <c r="F6" s="55" t="s">
        <v>764</v>
      </c>
      <c r="G6" s="55" t="s">
        <v>764</v>
      </c>
      <c r="H6" s="55" t="s">
        <v>764</v>
      </c>
      <c r="I6" s="55" t="s">
        <v>764</v>
      </c>
      <c r="J6" s="55" t="s">
        <v>764</v>
      </c>
      <c r="K6" s="55" t="s">
        <v>764</v>
      </c>
      <c r="L6" s="55" t="s">
        <v>764</v>
      </c>
      <c r="M6" s="55" t="s">
        <v>764</v>
      </c>
      <c r="N6" s="55" t="s">
        <v>764</v>
      </c>
      <c r="O6" s="55" t="s">
        <v>764</v>
      </c>
      <c r="P6" s="55" t="s">
        <v>764</v>
      </c>
      <c r="Q6" s="55"/>
      <c r="R6" s="55"/>
      <c r="S6" s="55"/>
      <c r="T6" s="55"/>
      <c r="U6" s="55"/>
      <c r="V6" s="55" t="s">
        <v>833</v>
      </c>
      <c r="W6" s="55" t="s">
        <v>833</v>
      </c>
      <c r="X6" s="55" t="s">
        <v>833</v>
      </c>
      <c r="Y6" s="55" t="s">
        <v>833</v>
      </c>
      <c r="Z6" s="88" t="s">
        <v>114</v>
      </c>
      <c r="AA6" s="55"/>
      <c r="AB6" s="55"/>
      <c r="AC6" s="55"/>
      <c r="AD6" s="55" t="s">
        <v>833</v>
      </c>
      <c r="AE6" s="55" t="s">
        <v>833</v>
      </c>
      <c r="AF6" s="55" t="s">
        <v>833</v>
      </c>
      <c r="AG6" s="41">
        <f t="shared" ref="AG6:AG11" si="2">COUNTA(B6:AF6)</f>
        <v>23</v>
      </c>
      <c r="AH6" s="42">
        <f>AG6*100/30</f>
        <v>76.666666666666671</v>
      </c>
      <c r="AM6" s="20" t="s">
        <v>561</v>
      </c>
      <c r="AN6" s="56" t="s">
        <v>835</v>
      </c>
      <c r="AO6" s="56" t="s">
        <v>836</v>
      </c>
      <c r="AP6" s="56"/>
      <c r="AQ6" s="57"/>
      <c r="AR6" s="20"/>
    </row>
    <row r="7" spans="1:44" x14ac:dyDescent="0.35">
      <c r="A7" s="7" t="s">
        <v>11</v>
      </c>
      <c r="B7" s="8" t="s">
        <v>816</v>
      </c>
      <c r="C7" s="8" t="s">
        <v>816</v>
      </c>
      <c r="D7" s="8" t="s">
        <v>816</v>
      </c>
      <c r="E7" s="8" t="s">
        <v>816</v>
      </c>
      <c r="F7" s="55"/>
      <c r="G7" s="55"/>
      <c r="H7" s="55" t="s">
        <v>818</v>
      </c>
      <c r="I7" s="55" t="s">
        <v>818</v>
      </c>
      <c r="J7" s="55" t="s">
        <v>818</v>
      </c>
      <c r="K7" s="55" t="s">
        <v>818</v>
      </c>
      <c r="L7" s="55" t="s">
        <v>818</v>
      </c>
      <c r="M7" s="55" t="s">
        <v>818</v>
      </c>
      <c r="N7" s="55"/>
      <c r="O7" s="55"/>
      <c r="P7" s="55"/>
      <c r="Q7" s="55"/>
      <c r="R7" s="55"/>
      <c r="S7" s="55" t="s">
        <v>828</v>
      </c>
      <c r="T7" s="55" t="s">
        <v>828</v>
      </c>
      <c r="U7" s="55" t="s">
        <v>828</v>
      </c>
      <c r="V7" s="55" t="s">
        <v>828</v>
      </c>
      <c r="W7" s="55" t="s">
        <v>828</v>
      </c>
      <c r="X7" s="55" t="s">
        <v>828</v>
      </c>
      <c r="Y7" s="55" t="s">
        <v>828</v>
      </c>
      <c r="Z7" s="88" t="s">
        <v>114</v>
      </c>
      <c r="AA7" s="55"/>
      <c r="AB7" s="55" t="s">
        <v>842</v>
      </c>
      <c r="AC7" s="55" t="s">
        <v>842</v>
      </c>
      <c r="AD7" s="55" t="s">
        <v>842</v>
      </c>
      <c r="AE7" s="55" t="s">
        <v>842</v>
      </c>
      <c r="AF7" s="8"/>
      <c r="AG7" s="41">
        <f t="shared" si="2"/>
        <v>22</v>
      </c>
      <c r="AH7" s="42">
        <f t="shared" ref="AH7:AH11" si="3">AG7*100/30</f>
        <v>73.333333333333329</v>
      </c>
      <c r="AM7" s="20" t="s">
        <v>834</v>
      </c>
      <c r="AN7" s="56" t="s">
        <v>835</v>
      </c>
      <c r="AO7" s="56" t="s">
        <v>836</v>
      </c>
      <c r="AP7" s="56"/>
      <c r="AQ7" s="57"/>
      <c r="AR7" s="20"/>
    </row>
    <row r="8" spans="1:44" ht="15" customHeight="1" x14ac:dyDescent="0.35">
      <c r="A8" s="7" t="s">
        <v>15</v>
      </c>
      <c r="B8" s="55" t="s">
        <v>813</v>
      </c>
      <c r="C8" s="55" t="s">
        <v>813</v>
      </c>
      <c r="D8" s="55" t="s">
        <v>813</v>
      </c>
      <c r="E8" s="55" t="s">
        <v>813</v>
      </c>
      <c r="F8" s="55" t="s">
        <v>813</v>
      </c>
      <c r="G8" s="55"/>
      <c r="H8" s="55" t="s">
        <v>443</v>
      </c>
      <c r="I8" s="55" t="s">
        <v>443</v>
      </c>
      <c r="J8" s="55" t="s">
        <v>443</v>
      </c>
      <c r="K8" s="55" t="s">
        <v>443</v>
      </c>
      <c r="L8" s="55" t="s">
        <v>443</v>
      </c>
      <c r="M8" s="55" t="s">
        <v>443</v>
      </c>
      <c r="N8" s="55"/>
      <c r="O8" s="55"/>
      <c r="P8" s="55"/>
      <c r="Q8" s="55" t="s">
        <v>825</v>
      </c>
      <c r="R8" s="55" t="s">
        <v>825</v>
      </c>
      <c r="S8" s="55" t="s">
        <v>825</v>
      </c>
      <c r="T8" s="55"/>
      <c r="U8" s="55"/>
      <c r="V8" s="55"/>
      <c r="W8" s="55"/>
      <c r="X8" s="82" t="s">
        <v>831</v>
      </c>
      <c r="Y8" s="82" t="s">
        <v>831</v>
      </c>
      <c r="Z8" s="88" t="s">
        <v>114</v>
      </c>
      <c r="AA8" s="55"/>
      <c r="AB8" s="55" t="s">
        <v>843</v>
      </c>
      <c r="AC8" s="55" t="s">
        <v>843</v>
      </c>
      <c r="AD8" s="55" t="s">
        <v>843</v>
      </c>
      <c r="AE8" s="55" t="s">
        <v>843</v>
      </c>
      <c r="AF8" s="55"/>
      <c r="AG8" s="41">
        <f t="shared" si="2"/>
        <v>21</v>
      </c>
      <c r="AH8" s="42">
        <f t="shared" si="3"/>
        <v>70</v>
      </c>
      <c r="AK8" s="9"/>
      <c r="AM8" s="20" t="s">
        <v>488</v>
      </c>
      <c r="AN8" s="56" t="s">
        <v>835</v>
      </c>
      <c r="AO8" s="56" t="s">
        <v>836</v>
      </c>
      <c r="AP8" s="56"/>
      <c r="AQ8" s="57"/>
      <c r="AR8" s="20"/>
    </row>
    <row r="9" spans="1:44" ht="15.75" customHeight="1" x14ac:dyDescent="0.35">
      <c r="A9" s="7" t="s">
        <v>18</v>
      </c>
      <c r="B9" s="8"/>
      <c r="C9" s="55"/>
      <c r="D9" s="55"/>
      <c r="E9" s="55"/>
      <c r="F9" s="55"/>
      <c r="G9" s="55"/>
      <c r="H9" s="55" t="s">
        <v>822</v>
      </c>
      <c r="I9" s="55" t="s">
        <v>822</v>
      </c>
      <c r="J9" s="55" t="s">
        <v>822</v>
      </c>
      <c r="K9" s="55" t="s">
        <v>822</v>
      </c>
      <c r="L9" s="55" t="s">
        <v>822</v>
      </c>
      <c r="M9" s="55" t="s">
        <v>822</v>
      </c>
      <c r="N9" s="55" t="s">
        <v>822</v>
      </c>
      <c r="O9" s="55" t="s">
        <v>822</v>
      </c>
      <c r="P9" s="55" t="s">
        <v>822</v>
      </c>
      <c r="Q9" s="8"/>
      <c r="R9" s="8"/>
      <c r="S9" s="55" t="s">
        <v>828</v>
      </c>
      <c r="T9" s="55" t="s">
        <v>828</v>
      </c>
      <c r="U9" s="55" t="s">
        <v>828</v>
      </c>
      <c r="V9" s="55" t="s">
        <v>828</v>
      </c>
      <c r="W9" s="55" t="s">
        <v>828</v>
      </c>
      <c r="X9" s="55" t="s">
        <v>828</v>
      </c>
      <c r="Y9" s="55" t="s">
        <v>828</v>
      </c>
      <c r="Z9" s="88" t="s">
        <v>114</v>
      </c>
      <c r="AA9" s="55"/>
      <c r="AB9" s="55" t="s">
        <v>670</v>
      </c>
      <c r="AC9" s="55" t="s">
        <v>670</v>
      </c>
      <c r="AD9" s="55" t="s">
        <v>670</v>
      </c>
      <c r="AE9" s="55" t="s">
        <v>670</v>
      </c>
      <c r="AF9" s="8"/>
      <c r="AG9" s="41">
        <f t="shared" si="2"/>
        <v>21</v>
      </c>
      <c r="AH9" s="42">
        <f t="shared" si="3"/>
        <v>70</v>
      </c>
      <c r="AM9" s="20" t="s">
        <v>837</v>
      </c>
      <c r="AN9" s="56" t="s">
        <v>835</v>
      </c>
      <c r="AO9" s="56" t="s">
        <v>836</v>
      </c>
      <c r="AP9" s="56"/>
      <c r="AQ9" s="57"/>
      <c r="AR9" s="20"/>
    </row>
    <row r="10" spans="1:44" ht="15.75" customHeight="1" x14ac:dyDescent="0.35">
      <c r="A10" s="7" t="s">
        <v>20</v>
      </c>
      <c r="B10" s="8" t="s">
        <v>265</v>
      </c>
      <c r="C10" s="8" t="s">
        <v>265</v>
      </c>
      <c r="D10" s="8" t="s">
        <v>265</v>
      </c>
      <c r="E10" s="8" t="s">
        <v>265</v>
      </c>
      <c r="F10" s="55"/>
      <c r="G10" s="55"/>
      <c r="H10" s="55"/>
      <c r="I10" s="55"/>
      <c r="J10" s="55"/>
      <c r="K10" s="55"/>
      <c r="L10" s="55" t="s">
        <v>406</v>
      </c>
      <c r="M10" s="55" t="s">
        <v>406</v>
      </c>
      <c r="N10" s="55" t="s">
        <v>406</v>
      </c>
      <c r="O10" s="55" t="s">
        <v>406</v>
      </c>
      <c r="P10" s="55" t="s">
        <v>406</v>
      </c>
      <c r="Q10" s="55" t="s">
        <v>406</v>
      </c>
      <c r="R10" s="55" t="s">
        <v>406</v>
      </c>
      <c r="S10" s="55" t="s">
        <v>406</v>
      </c>
      <c r="T10" s="55"/>
      <c r="U10" s="55" t="s">
        <v>683</v>
      </c>
      <c r="V10" s="55" t="s">
        <v>683</v>
      </c>
      <c r="W10" s="55" t="s">
        <v>683</v>
      </c>
      <c r="X10" s="55" t="s">
        <v>683</v>
      </c>
      <c r="Y10" s="55" t="s">
        <v>683</v>
      </c>
      <c r="Z10" s="88" t="s">
        <v>114</v>
      </c>
      <c r="AA10" s="55" t="s">
        <v>503</v>
      </c>
      <c r="AB10" s="55" t="s">
        <v>503</v>
      </c>
      <c r="AC10" s="55" t="s">
        <v>503</v>
      </c>
      <c r="AD10" s="55" t="s">
        <v>503</v>
      </c>
      <c r="AE10" s="55" t="s">
        <v>503</v>
      </c>
      <c r="AF10" s="8"/>
      <c r="AG10" s="41">
        <f t="shared" si="2"/>
        <v>23</v>
      </c>
      <c r="AH10" s="42">
        <f t="shared" si="3"/>
        <v>76.666666666666671</v>
      </c>
      <c r="AM10" s="20" t="s">
        <v>831</v>
      </c>
      <c r="AN10" s="56" t="s">
        <v>835</v>
      </c>
      <c r="AO10" s="56" t="s">
        <v>838</v>
      </c>
      <c r="AP10" s="56" t="s">
        <v>839</v>
      </c>
      <c r="AQ10" s="57">
        <v>3</v>
      </c>
      <c r="AR10" s="20"/>
    </row>
    <row r="11" spans="1:44" ht="15.75" customHeight="1" thickBot="1" x14ac:dyDescent="0.4">
      <c r="A11" s="7" t="s">
        <v>24</v>
      </c>
      <c r="B11" s="55"/>
      <c r="C11" s="55"/>
      <c r="D11" s="55"/>
      <c r="E11" s="55" t="s">
        <v>821</v>
      </c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 t="s">
        <v>828</v>
      </c>
      <c r="T11" s="55" t="s">
        <v>828</v>
      </c>
      <c r="U11" s="55" t="s">
        <v>828</v>
      </c>
      <c r="V11" s="55" t="s">
        <v>828</v>
      </c>
      <c r="W11" s="55" t="s">
        <v>828</v>
      </c>
      <c r="X11" s="55" t="s">
        <v>828</v>
      </c>
      <c r="Y11" s="55" t="s">
        <v>828</v>
      </c>
      <c r="Z11" s="88" t="s">
        <v>114</v>
      </c>
      <c r="AA11" s="55"/>
      <c r="AB11" s="55" t="s">
        <v>837</v>
      </c>
      <c r="AC11" s="55" t="s">
        <v>837</v>
      </c>
      <c r="AD11" s="55" t="s">
        <v>837</v>
      </c>
      <c r="AE11" s="55" t="s">
        <v>837</v>
      </c>
      <c r="AF11" s="55"/>
      <c r="AG11" s="41">
        <f t="shared" si="2"/>
        <v>13</v>
      </c>
      <c r="AH11" s="42">
        <f t="shared" si="3"/>
        <v>43.333333333333336</v>
      </c>
      <c r="AM11" s="20" t="s">
        <v>831</v>
      </c>
      <c r="AN11" s="56" t="s">
        <v>835</v>
      </c>
      <c r="AO11" s="56" t="s">
        <v>838</v>
      </c>
      <c r="AP11" s="56" t="s">
        <v>839</v>
      </c>
      <c r="AQ11" s="57">
        <v>3</v>
      </c>
      <c r="AR11" s="20"/>
    </row>
    <row r="12" spans="1:44" ht="15" customHeight="1" x14ac:dyDescent="0.35">
      <c r="A12" s="45" t="s">
        <v>176</v>
      </c>
      <c r="B12" s="46">
        <f>COUNTA(B5:B11)</f>
        <v>4</v>
      </c>
      <c r="C12" s="46">
        <f>COUNTA(C5:C11)</f>
        <v>4</v>
      </c>
      <c r="D12" s="46">
        <f t="shared" ref="D12:AF12" si="4">COUNTA(D5:D11)</f>
        <v>4</v>
      </c>
      <c r="E12" s="46">
        <f t="shared" si="4"/>
        <v>5</v>
      </c>
      <c r="F12" s="46">
        <f t="shared" si="4"/>
        <v>2</v>
      </c>
      <c r="G12" s="46">
        <f t="shared" si="4"/>
        <v>1</v>
      </c>
      <c r="H12" s="46">
        <f t="shared" si="4"/>
        <v>4</v>
      </c>
      <c r="I12" s="46">
        <f t="shared" si="4"/>
        <v>4</v>
      </c>
      <c r="J12" s="46">
        <f t="shared" si="4"/>
        <v>5</v>
      </c>
      <c r="K12" s="46">
        <f t="shared" si="4"/>
        <v>5</v>
      </c>
      <c r="L12" s="46">
        <f t="shared" si="4"/>
        <v>6</v>
      </c>
      <c r="M12" s="46">
        <f t="shared" si="4"/>
        <v>5</v>
      </c>
      <c r="N12" s="46">
        <f t="shared" si="4"/>
        <v>3</v>
      </c>
      <c r="O12" s="46">
        <f t="shared" si="4"/>
        <v>3</v>
      </c>
      <c r="P12" s="46">
        <f t="shared" si="4"/>
        <v>3</v>
      </c>
      <c r="Q12" s="46">
        <f t="shared" si="4"/>
        <v>2</v>
      </c>
      <c r="R12" s="46">
        <f t="shared" si="4"/>
        <v>2</v>
      </c>
      <c r="S12" s="46">
        <f t="shared" si="4"/>
        <v>5</v>
      </c>
      <c r="T12" s="46">
        <f t="shared" si="4"/>
        <v>3</v>
      </c>
      <c r="U12" s="46">
        <f t="shared" si="4"/>
        <v>4</v>
      </c>
      <c r="V12" s="46">
        <f t="shared" si="4"/>
        <v>5</v>
      </c>
      <c r="W12" s="46">
        <f t="shared" si="4"/>
        <v>5</v>
      </c>
      <c r="X12" s="46">
        <f t="shared" si="4"/>
        <v>6</v>
      </c>
      <c r="Y12" s="46">
        <f t="shared" si="4"/>
        <v>6</v>
      </c>
      <c r="Z12" s="46">
        <f t="shared" si="4"/>
        <v>7</v>
      </c>
      <c r="AA12" s="46">
        <f t="shared" si="4"/>
        <v>1</v>
      </c>
      <c r="AB12" s="46">
        <f t="shared" si="4"/>
        <v>5</v>
      </c>
      <c r="AC12" s="46">
        <f>COUNTA(AC5:AC11)</f>
        <v>5</v>
      </c>
      <c r="AD12" s="46">
        <f>COUNTA(AD5:AD11)</f>
        <v>6</v>
      </c>
      <c r="AE12" s="46">
        <f>COUNTA(AE5:AE11)</f>
        <v>6</v>
      </c>
      <c r="AF12" s="46">
        <f t="shared" si="4"/>
        <v>1</v>
      </c>
      <c r="AG12" s="43">
        <f t="shared" ref="AG12" si="5">SUM(AG5:AG11)</f>
        <v>127</v>
      </c>
      <c r="AH12" s="44">
        <f>AVERAGE(AH5:AH11)</f>
        <v>60.476190476190474</v>
      </c>
      <c r="AI12" s="29"/>
      <c r="AM12" s="20"/>
      <c r="AN12" s="20"/>
      <c r="AO12" s="20"/>
      <c r="AP12" s="20"/>
      <c r="AQ12" s="20"/>
      <c r="AR12" s="20"/>
    </row>
    <row r="13" spans="1:44" ht="57" hidden="1" x14ac:dyDescent="0.35">
      <c r="A13" s="13" t="s">
        <v>28</v>
      </c>
      <c r="B13" s="14"/>
      <c r="C13" s="14"/>
      <c r="D13" s="14"/>
      <c r="E13" s="14"/>
      <c r="F13" s="14"/>
      <c r="G13" s="14"/>
      <c r="H13" s="14"/>
      <c r="I13" s="35"/>
      <c r="J13" s="34"/>
      <c r="K13" s="15"/>
      <c r="L13" s="14"/>
      <c r="M13" s="14"/>
      <c r="N13" s="25"/>
      <c r="O13" s="25"/>
      <c r="P13" s="25"/>
      <c r="Q13" s="14"/>
      <c r="R13" s="14"/>
      <c r="S13" s="14"/>
      <c r="T13" s="14"/>
      <c r="U13" s="14"/>
      <c r="V13" s="15"/>
      <c r="W13" s="15"/>
      <c r="X13" s="14"/>
      <c r="Y13" s="14"/>
      <c r="Z13" s="14"/>
      <c r="AA13" s="14"/>
      <c r="AB13" s="14"/>
      <c r="AC13" s="14"/>
      <c r="AD13" s="14"/>
      <c r="AE13" s="14"/>
      <c r="AF13" s="14"/>
      <c r="AG13" s="37"/>
      <c r="AH13" s="37"/>
      <c r="AM13" s="20"/>
      <c r="AN13" s="20"/>
      <c r="AO13" s="20"/>
      <c r="AP13" s="20"/>
      <c r="AQ13" s="20"/>
      <c r="AR13" s="20"/>
    </row>
    <row r="14" spans="1:44" ht="28.5" hidden="1" x14ac:dyDescent="0.35">
      <c r="A14" s="16" t="s">
        <v>29</v>
      </c>
      <c r="B14" s="14"/>
      <c r="C14" s="14"/>
      <c r="D14" s="14"/>
      <c r="E14" s="14"/>
      <c r="F14" s="14"/>
      <c r="G14" s="14"/>
      <c r="H14" s="14"/>
      <c r="I14" s="35"/>
      <c r="J14" s="34"/>
      <c r="K14" s="15"/>
      <c r="L14" s="14"/>
      <c r="M14" s="14"/>
      <c r="N14" s="25"/>
      <c r="O14" s="25"/>
      <c r="P14" s="25"/>
      <c r="Q14" s="14"/>
      <c r="R14" s="14"/>
      <c r="S14" s="14"/>
      <c r="T14" s="14"/>
      <c r="U14" s="14"/>
      <c r="V14" s="15"/>
      <c r="W14" s="15"/>
      <c r="X14" s="14"/>
      <c r="Y14" s="14"/>
      <c r="Z14" s="14"/>
      <c r="AA14" s="14"/>
      <c r="AB14" s="14"/>
      <c r="AC14" s="14"/>
      <c r="AD14" s="14"/>
      <c r="AE14" s="14"/>
      <c r="AF14" s="14"/>
      <c r="AG14" s="37"/>
      <c r="AH14" s="37"/>
      <c r="AM14" s="20"/>
      <c r="AN14" s="20"/>
      <c r="AO14" s="20"/>
      <c r="AP14" s="20"/>
      <c r="AQ14" s="20"/>
      <c r="AR14" s="20"/>
    </row>
    <row r="15" spans="1:44" x14ac:dyDescent="0.35">
      <c r="A15" s="7" t="s">
        <v>30</v>
      </c>
      <c r="B15" s="8" t="s">
        <v>819</v>
      </c>
      <c r="C15" s="8" t="s">
        <v>819</v>
      </c>
      <c r="D15" s="8" t="s">
        <v>819</v>
      </c>
      <c r="E15" s="8" t="s">
        <v>819</v>
      </c>
      <c r="F15" s="8" t="s">
        <v>819</v>
      </c>
      <c r="G15" s="8" t="s">
        <v>819</v>
      </c>
      <c r="H15" s="8" t="s">
        <v>819</v>
      </c>
      <c r="I15" s="8" t="s">
        <v>819</v>
      </c>
      <c r="J15" s="8" t="s">
        <v>819</v>
      </c>
      <c r="K15" s="8" t="s">
        <v>819</v>
      </c>
      <c r="L15" s="8" t="s">
        <v>819</v>
      </c>
      <c r="M15" s="8" t="s">
        <v>819</v>
      </c>
      <c r="N15" s="8" t="s">
        <v>819</v>
      </c>
      <c r="O15" s="8" t="s">
        <v>819</v>
      </c>
      <c r="P15" s="8" t="s">
        <v>819</v>
      </c>
      <c r="Q15" s="8" t="s">
        <v>819</v>
      </c>
      <c r="R15" s="8" t="s">
        <v>819</v>
      </c>
      <c r="S15" s="8" t="s">
        <v>819</v>
      </c>
      <c r="T15" s="8" t="s">
        <v>819</v>
      </c>
      <c r="U15" s="8" t="s">
        <v>819</v>
      </c>
      <c r="V15" s="8" t="s">
        <v>819</v>
      </c>
      <c r="W15" s="8" t="s">
        <v>819</v>
      </c>
      <c r="X15" s="8" t="s">
        <v>819</v>
      </c>
      <c r="Y15" s="8" t="s">
        <v>819</v>
      </c>
      <c r="Z15" s="8" t="s">
        <v>819</v>
      </c>
      <c r="AA15" s="8" t="s">
        <v>819</v>
      </c>
      <c r="AB15" s="8" t="s">
        <v>819</v>
      </c>
      <c r="AC15" s="8" t="s">
        <v>819</v>
      </c>
      <c r="AD15" s="8" t="s">
        <v>819</v>
      </c>
      <c r="AE15" s="8" t="s">
        <v>819</v>
      </c>
      <c r="AF15" s="8"/>
      <c r="AG15" s="41">
        <f>COUNTA(B15:AF15)</f>
        <v>30</v>
      </c>
      <c r="AH15" s="42">
        <f>AG15*100/30</f>
        <v>100</v>
      </c>
      <c r="AM15" s="20"/>
      <c r="AN15" s="20"/>
      <c r="AO15" s="20"/>
      <c r="AP15" s="20"/>
      <c r="AQ15" s="20"/>
      <c r="AR15" s="20"/>
    </row>
    <row r="16" spans="1:44" x14ac:dyDescent="0.35">
      <c r="A16" s="7" t="s">
        <v>35</v>
      </c>
      <c r="B16" s="55" t="s">
        <v>813</v>
      </c>
      <c r="C16" s="55" t="s">
        <v>813</v>
      </c>
      <c r="D16" s="55" t="s">
        <v>813</v>
      </c>
      <c r="E16" s="55" t="s">
        <v>813</v>
      </c>
      <c r="F16" s="55" t="s">
        <v>813</v>
      </c>
      <c r="G16" s="8"/>
      <c r="H16" s="8"/>
      <c r="I16" s="8" t="s">
        <v>823</v>
      </c>
      <c r="J16" s="8"/>
      <c r="K16" s="8"/>
      <c r="L16" s="8"/>
      <c r="M16" s="8"/>
      <c r="N16" s="8"/>
      <c r="O16" s="8"/>
      <c r="P16" s="8"/>
      <c r="Q16" s="8"/>
      <c r="R16" s="8"/>
      <c r="S16" s="8" t="s">
        <v>829</v>
      </c>
      <c r="T16" s="8" t="s">
        <v>829</v>
      </c>
      <c r="U16" s="8" t="s">
        <v>829</v>
      </c>
      <c r="V16" s="8" t="s">
        <v>829</v>
      </c>
      <c r="W16" s="8"/>
      <c r="X16" s="8"/>
      <c r="Y16" s="8" t="s">
        <v>718</v>
      </c>
      <c r="Z16" s="8" t="s">
        <v>833</v>
      </c>
      <c r="AA16" s="8" t="s">
        <v>833</v>
      </c>
      <c r="AB16" s="8" t="s">
        <v>833</v>
      </c>
      <c r="AC16" s="8" t="s">
        <v>833</v>
      </c>
      <c r="AD16" s="8" t="s">
        <v>833</v>
      </c>
      <c r="AE16" s="8" t="s">
        <v>833</v>
      </c>
      <c r="AF16" s="55"/>
      <c r="AG16" s="41">
        <f t="shared" ref="AG16:AG22" si="6">COUNTA(B16:AF16)</f>
        <v>17</v>
      </c>
      <c r="AH16" s="42">
        <f>AG16*100/30</f>
        <v>56.666666666666664</v>
      </c>
      <c r="AM16" s="20"/>
      <c r="AN16" s="20"/>
      <c r="AO16" s="56"/>
      <c r="AP16" s="56"/>
      <c r="AQ16" s="20"/>
      <c r="AR16" s="20"/>
    </row>
    <row r="17" spans="1:50" x14ac:dyDescent="0.35">
      <c r="A17" s="7" t="s">
        <v>39</v>
      </c>
      <c r="B17" s="8" t="s">
        <v>265</v>
      </c>
      <c r="C17" s="8" t="s">
        <v>265</v>
      </c>
      <c r="D17" s="8" t="s">
        <v>265</v>
      </c>
      <c r="E17" s="8" t="s">
        <v>265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 t="s">
        <v>826</v>
      </c>
      <c r="S17" s="8" t="s">
        <v>826</v>
      </c>
      <c r="T17" s="8" t="s">
        <v>826</v>
      </c>
      <c r="U17" s="8" t="s">
        <v>830</v>
      </c>
      <c r="V17" s="8" t="s">
        <v>830</v>
      </c>
      <c r="W17" s="8" t="s">
        <v>830</v>
      </c>
      <c r="X17" s="8" t="s">
        <v>830</v>
      </c>
      <c r="Y17" s="8" t="s">
        <v>830</v>
      </c>
      <c r="Z17" s="8" t="s">
        <v>828</v>
      </c>
      <c r="AA17" s="8" t="s">
        <v>828</v>
      </c>
      <c r="AB17" s="8" t="s">
        <v>828</v>
      </c>
      <c r="AC17" s="8" t="s">
        <v>828</v>
      </c>
      <c r="AD17" s="8" t="s">
        <v>828</v>
      </c>
      <c r="AE17" s="8" t="s">
        <v>828</v>
      </c>
      <c r="AF17" s="8"/>
      <c r="AG17" s="41">
        <f t="shared" si="6"/>
        <v>18</v>
      </c>
      <c r="AH17" s="42">
        <f t="shared" ref="AH17:AH22" si="7">AG17*100/30</f>
        <v>60</v>
      </c>
      <c r="AM17" s="20"/>
      <c r="AN17" s="20"/>
      <c r="AO17" s="20"/>
      <c r="AP17" s="20"/>
      <c r="AQ17" s="20"/>
      <c r="AR17" s="20"/>
      <c r="AX17" s="58"/>
    </row>
    <row r="18" spans="1:50" x14ac:dyDescent="0.35">
      <c r="A18" s="7" t="s">
        <v>42</v>
      </c>
      <c r="B18" s="8" t="s">
        <v>561</v>
      </c>
      <c r="C18" s="8" t="s">
        <v>561</v>
      </c>
      <c r="D18" s="8" t="s">
        <v>561</v>
      </c>
      <c r="E18" s="8" t="s">
        <v>561</v>
      </c>
      <c r="F18" s="8" t="s">
        <v>561</v>
      </c>
      <c r="G18" s="8" t="s">
        <v>561</v>
      </c>
      <c r="H18" s="8" t="s">
        <v>561</v>
      </c>
      <c r="I18" s="8" t="s">
        <v>561</v>
      </c>
      <c r="J18" s="8" t="s">
        <v>561</v>
      </c>
      <c r="K18" s="8" t="s">
        <v>561</v>
      </c>
      <c r="L18" s="8" t="s">
        <v>561</v>
      </c>
      <c r="M18" s="8"/>
      <c r="N18" s="8"/>
      <c r="O18" s="8"/>
      <c r="P18" s="8"/>
      <c r="Q18" s="8"/>
      <c r="R18" s="8" t="s">
        <v>827</v>
      </c>
      <c r="S18" s="8" t="s">
        <v>827</v>
      </c>
      <c r="T18" s="8" t="s">
        <v>827</v>
      </c>
      <c r="U18" s="8" t="s">
        <v>830</v>
      </c>
      <c r="V18" s="8" t="s">
        <v>830</v>
      </c>
      <c r="W18" s="8" t="s">
        <v>830</v>
      </c>
      <c r="X18" s="8" t="s">
        <v>830</v>
      </c>
      <c r="Y18" s="8" t="s">
        <v>830</v>
      </c>
      <c r="Z18" s="8"/>
      <c r="AA18" s="8" t="s">
        <v>609</v>
      </c>
      <c r="AB18" s="8" t="s">
        <v>609</v>
      </c>
      <c r="AC18" s="8" t="s">
        <v>609</v>
      </c>
      <c r="AD18" s="8" t="s">
        <v>609</v>
      </c>
      <c r="AE18" s="8" t="s">
        <v>609</v>
      </c>
      <c r="AF18" s="8"/>
      <c r="AG18" s="41">
        <f t="shared" si="6"/>
        <v>24</v>
      </c>
      <c r="AH18" s="42">
        <f t="shared" si="7"/>
        <v>80</v>
      </c>
      <c r="AM18" s="20"/>
      <c r="AN18" s="20"/>
      <c r="AO18" s="20"/>
      <c r="AP18" s="20"/>
      <c r="AQ18" s="20"/>
      <c r="AR18" s="20"/>
      <c r="AX18" s="58"/>
    </row>
    <row r="19" spans="1:50" x14ac:dyDescent="0.35">
      <c r="A19" s="7" t="s">
        <v>45</v>
      </c>
      <c r="B19" s="55" t="s">
        <v>805</v>
      </c>
      <c r="C19" s="55" t="s">
        <v>805</v>
      </c>
      <c r="D19" s="55" t="s">
        <v>805</v>
      </c>
      <c r="E19" s="55" t="s">
        <v>805</v>
      </c>
      <c r="F19" s="55" t="s">
        <v>805</v>
      </c>
      <c r="G19" s="55" t="s">
        <v>805</v>
      </c>
      <c r="H19" s="55" t="s">
        <v>805</v>
      </c>
      <c r="I19" s="55" t="s">
        <v>805</v>
      </c>
      <c r="J19" s="55" t="s">
        <v>805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 t="s">
        <v>830</v>
      </c>
      <c r="V19" s="8" t="s">
        <v>830</v>
      </c>
      <c r="W19" s="8" t="s">
        <v>830</v>
      </c>
      <c r="X19" s="8" t="s">
        <v>830</v>
      </c>
      <c r="Y19" s="8" t="s">
        <v>830</v>
      </c>
      <c r="Z19" s="8" t="s">
        <v>828</v>
      </c>
      <c r="AA19" s="8" t="s">
        <v>828</v>
      </c>
      <c r="AB19" s="8" t="s">
        <v>828</v>
      </c>
      <c r="AC19" s="8" t="s">
        <v>828</v>
      </c>
      <c r="AD19" s="8" t="s">
        <v>828</v>
      </c>
      <c r="AE19" s="8" t="s">
        <v>828</v>
      </c>
      <c r="AF19" s="55"/>
      <c r="AG19" s="41">
        <f t="shared" si="6"/>
        <v>20</v>
      </c>
      <c r="AH19" s="42">
        <f t="shared" si="7"/>
        <v>66.666666666666671</v>
      </c>
      <c r="AM19" s="20"/>
      <c r="AN19" s="20"/>
      <c r="AO19" s="20"/>
      <c r="AP19" s="20"/>
      <c r="AQ19" s="20"/>
      <c r="AR19" s="20"/>
      <c r="AX19" s="58"/>
    </row>
    <row r="20" spans="1:50" x14ac:dyDescent="0.35">
      <c r="A20" s="7" t="s">
        <v>47</v>
      </c>
      <c r="B20" s="8" t="s">
        <v>806</v>
      </c>
      <c r="C20" s="8" t="s">
        <v>806</v>
      </c>
      <c r="D20" s="8" t="s">
        <v>806</v>
      </c>
      <c r="E20" s="8" t="s">
        <v>806</v>
      </c>
      <c r="F20" s="8" t="s">
        <v>806</v>
      </c>
      <c r="G20" s="8" t="s">
        <v>806</v>
      </c>
      <c r="H20" s="8" t="s">
        <v>806</v>
      </c>
      <c r="I20" s="8" t="s">
        <v>806</v>
      </c>
      <c r="J20" s="8" t="s">
        <v>806</v>
      </c>
      <c r="K20" s="8" t="s">
        <v>806</v>
      </c>
      <c r="L20" s="8" t="s">
        <v>806</v>
      </c>
      <c r="M20" s="8"/>
      <c r="N20" s="8"/>
      <c r="O20" s="8"/>
      <c r="P20" s="8"/>
      <c r="Q20" s="8"/>
      <c r="R20" s="8"/>
      <c r="S20" s="8"/>
      <c r="T20" s="8"/>
      <c r="U20" s="8"/>
      <c r="V20" s="8"/>
      <c r="W20" s="8" t="s">
        <v>832</v>
      </c>
      <c r="X20" s="8" t="s">
        <v>832</v>
      </c>
      <c r="Y20" s="8" t="s">
        <v>832</v>
      </c>
      <c r="Z20" s="8" t="s">
        <v>832</v>
      </c>
      <c r="AA20" s="8" t="s">
        <v>832</v>
      </c>
      <c r="AB20" s="8" t="s">
        <v>832</v>
      </c>
      <c r="AC20" s="8" t="s">
        <v>832</v>
      </c>
      <c r="AD20" s="8" t="s">
        <v>832</v>
      </c>
      <c r="AE20" s="8" t="s">
        <v>832</v>
      </c>
      <c r="AF20" s="8"/>
      <c r="AG20" s="41">
        <f t="shared" si="6"/>
        <v>20</v>
      </c>
      <c r="AH20" s="42">
        <f t="shared" si="7"/>
        <v>66.666666666666671</v>
      </c>
      <c r="AM20" s="20"/>
      <c r="AN20" s="20"/>
      <c r="AO20" s="20"/>
      <c r="AP20" s="20"/>
      <c r="AQ20" s="20"/>
      <c r="AR20" s="20"/>
      <c r="AX20" s="58"/>
    </row>
    <row r="21" spans="1:50" x14ac:dyDescent="0.35">
      <c r="A21" s="7" t="s">
        <v>50</v>
      </c>
      <c r="B21" s="55" t="s">
        <v>562</v>
      </c>
      <c r="C21" s="55" t="s">
        <v>562</v>
      </c>
      <c r="D21" s="55" t="s">
        <v>562</v>
      </c>
      <c r="E21" s="55" t="s">
        <v>562</v>
      </c>
      <c r="F21" s="55" t="s">
        <v>562</v>
      </c>
      <c r="G21" s="55" t="s">
        <v>562</v>
      </c>
      <c r="H21" s="55" t="s">
        <v>562</v>
      </c>
      <c r="I21" s="55" t="s">
        <v>562</v>
      </c>
      <c r="J21" s="55" t="s">
        <v>562</v>
      </c>
      <c r="K21" s="55" t="s">
        <v>562</v>
      </c>
      <c r="L21" s="55" t="s">
        <v>562</v>
      </c>
      <c r="M21" s="8"/>
      <c r="N21" s="8"/>
      <c r="O21" s="8"/>
      <c r="P21" s="8"/>
      <c r="Q21" s="8"/>
      <c r="R21" s="8"/>
      <c r="S21" s="8"/>
      <c r="T21" s="8"/>
      <c r="U21" s="8"/>
      <c r="V21" s="8"/>
      <c r="W21" s="8" t="s">
        <v>829</v>
      </c>
      <c r="X21" s="8" t="s">
        <v>829</v>
      </c>
      <c r="Y21" s="8" t="s">
        <v>829</v>
      </c>
      <c r="Z21" s="8"/>
      <c r="AA21" s="8" t="s">
        <v>828</v>
      </c>
      <c r="AB21" s="8" t="s">
        <v>828</v>
      </c>
      <c r="AC21" s="8" t="s">
        <v>828</v>
      </c>
      <c r="AD21" s="8" t="s">
        <v>828</v>
      </c>
      <c r="AE21" s="8" t="s">
        <v>828</v>
      </c>
      <c r="AF21" s="55"/>
      <c r="AG21" s="41">
        <f t="shared" si="6"/>
        <v>19</v>
      </c>
      <c r="AH21" s="42">
        <f t="shared" si="7"/>
        <v>63.333333333333336</v>
      </c>
      <c r="AM21" s="20"/>
      <c r="AN21" s="20"/>
      <c r="AO21" s="20"/>
      <c r="AP21" s="20"/>
      <c r="AQ21" s="20"/>
      <c r="AR21" s="20"/>
      <c r="AX21" s="58"/>
    </row>
    <row r="22" spans="1:50" ht="15" thickBot="1" x14ac:dyDescent="0.4">
      <c r="A22" s="7" t="s">
        <v>51</v>
      </c>
      <c r="B22" s="8"/>
      <c r="C22" s="8" t="s">
        <v>820</v>
      </c>
      <c r="D22" s="8" t="s">
        <v>820</v>
      </c>
      <c r="E22" s="8" t="s">
        <v>820</v>
      </c>
      <c r="F22" s="8" t="s">
        <v>820</v>
      </c>
      <c r="G22" s="8" t="s">
        <v>820</v>
      </c>
      <c r="H22" s="8" t="s">
        <v>820</v>
      </c>
      <c r="I22" s="8" t="s">
        <v>820</v>
      </c>
      <c r="J22" s="8" t="s">
        <v>820</v>
      </c>
      <c r="K22" s="8" t="s">
        <v>820</v>
      </c>
      <c r="L22" s="8" t="s">
        <v>820</v>
      </c>
      <c r="M22" s="8" t="s">
        <v>820</v>
      </c>
      <c r="N22" s="8" t="s">
        <v>820</v>
      </c>
      <c r="O22" s="8" t="s">
        <v>820</v>
      </c>
      <c r="P22" s="8" t="s">
        <v>820</v>
      </c>
      <c r="Q22" s="8" t="s">
        <v>820</v>
      </c>
      <c r="R22" s="8" t="s">
        <v>820</v>
      </c>
      <c r="S22" s="8" t="s">
        <v>820</v>
      </c>
      <c r="T22" s="8" t="s">
        <v>820</v>
      </c>
      <c r="U22" s="8" t="s">
        <v>820</v>
      </c>
      <c r="V22" s="8" t="s">
        <v>820</v>
      </c>
      <c r="W22" s="8" t="s">
        <v>820</v>
      </c>
      <c r="X22" s="8" t="s">
        <v>820</v>
      </c>
      <c r="Y22" s="8" t="s">
        <v>820</v>
      </c>
      <c r="Z22" s="8" t="s">
        <v>820</v>
      </c>
      <c r="AA22" s="8" t="s">
        <v>820</v>
      </c>
      <c r="AB22" s="8" t="s">
        <v>820</v>
      </c>
      <c r="AC22" s="8" t="s">
        <v>820</v>
      </c>
      <c r="AD22" s="8" t="s">
        <v>820</v>
      </c>
      <c r="AE22" s="8"/>
      <c r="AF22" s="8"/>
      <c r="AG22" s="41">
        <f t="shared" si="6"/>
        <v>28</v>
      </c>
      <c r="AH22" s="42">
        <f t="shared" si="7"/>
        <v>93.333333333333329</v>
      </c>
      <c r="AX22" s="58"/>
    </row>
    <row r="23" spans="1:50" ht="15.5" x14ac:dyDescent="0.35">
      <c r="A23" s="45" t="s">
        <v>176</v>
      </c>
      <c r="B23" s="46">
        <f>COUNTA(B15:B22)</f>
        <v>7</v>
      </c>
      <c r="C23" s="46">
        <f>COUNTA(C16:C22)</f>
        <v>7</v>
      </c>
      <c r="D23" s="46">
        <f>COUNTA(D16:D22)</f>
        <v>7</v>
      </c>
      <c r="E23" s="46">
        <f t="shared" ref="E23:AF23" si="8">COUNTA(E15:E22)</f>
        <v>8</v>
      </c>
      <c r="F23" s="46">
        <f t="shared" si="8"/>
        <v>7</v>
      </c>
      <c r="G23" s="46">
        <f t="shared" si="8"/>
        <v>6</v>
      </c>
      <c r="H23" s="46">
        <f t="shared" si="8"/>
        <v>6</v>
      </c>
      <c r="I23" s="46">
        <f t="shared" si="8"/>
        <v>7</v>
      </c>
      <c r="J23" s="46">
        <f t="shared" si="8"/>
        <v>6</v>
      </c>
      <c r="K23" s="46">
        <f t="shared" si="8"/>
        <v>5</v>
      </c>
      <c r="L23" s="46">
        <f t="shared" si="8"/>
        <v>5</v>
      </c>
      <c r="M23" s="46">
        <f t="shared" si="8"/>
        <v>2</v>
      </c>
      <c r="N23" s="46">
        <f t="shared" si="8"/>
        <v>2</v>
      </c>
      <c r="O23" s="46">
        <f t="shared" si="8"/>
        <v>2</v>
      </c>
      <c r="P23" s="46">
        <f t="shared" si="8"/>
        <v>2</v>
      </c>
      <c r="Q23" s="46">
        <f t="shared" si="8"/>
        <v>2</v>
      </c>
      <c r="R23" s="46">
        <f t="shared" si="8"/>
        <v>4</v>
      </c>
      <c r="S23" s="46">
        <f t="shared" si="8"/>
        <v>5</v>
      </c>
      <c r="T23" s="46">
        <f>COUNTA(T15:T22)</f>
        <v>5</v>
      </c>
      <c r="U23" s="46">
        <f t="shared" si="8"/>
        <v>6</v>
      </c>
      <c r="V23" s="46">
        <f t="shared" si="8"/>
        <v>6</v>
      </c>
      <c r="W23" s="46">
        <f t="shared" si="8"/>
        <v>7</v>
      </c>
      <c r="X23" s="46">
        <f t="shared" si="8"/>
        <v>7</v>
      </c>
      <c r="Y23" s="46">
        <f t="shared" si="8"/>
        <v>8</v>
      </c>
      <c r="Z23" s="46">
        <f t="shared" si="8"/>
        <v>6</v>
      </c>
      <c r="AA23" s="46">
        <f t="shared" si="8"/>
        <v>8</v>
      </c>
      <c r="AB23" s="46">
        <f t="shared" si="8"/>
        <v>8</v>
      </c>
      <c r="AC23" s="46">
        <f t="shared" si="8"/>
        <v>8</v>
      </c>
      <c r="AD23" s="46">
        <f t="shared" si="8"/>
        <v>8</v>
      </c>
      <c r="AE23" s="46">
        <f t="shared" si="8"/>
        <v>7</v>
      </c>
      <c r="AF23" s="46">
        <f t="shared" si="8"/>
        <v>0</v>
      </c>
      <c r="AG23" s="43">
        <f>SUM(AG15:AG22)</f>
        <v>176</v>
      </c>
      <c r="AH23" s="42">
        <f t="shared" ref="AH23" si="9">AG23*100/31</f>
        <v>567.74193548387098</v>
      </c>
      <c r="AX23" s="58"/>
    </row>
    <row r="24" spans="1:50" ht="15.5" x14ac:dyDescent="0.35">
      <c r="A24" s="47" t="s">
        <v>178</v>
      </c>
      <c r="B24" s="52">
        <f>B12+B23</f>
        <v>11</v>
      </c>
      <c r="C24" s="52">
        <f t="shared" ref="C24:AF24" si="10">C12+C23</f>
        <v>11</v>
      </c>
      <c r="D24" s="52">
        <f t="shared" si="10"/>
        <v>11</v>
      </c>
      <c r="E24" s="52">
        <f t="shared" si="10"/>
        <v>13</v>
      </c>
      <c r="F24" s="52">
        <f t="shared" si="10"/>
        <v>9</v>
      </c>
      <c r="G24" s="52">
        <f t="shared" si="10"/>
        <v>7</v>
      </c>
      <c r="H24" s="52">
        <f t="shared" si="10"/>
        <v>10</v>
      </c>
      <c r="I24" s="52">
        <f t="shared" si="10"/>
        <v>11</v>
      </c>
      <c r="J24" s="52">
        <f t="shared" si="10"/>
        <v>11</v>
      </c>
      <c r="K24" s="52">
        <f t="shared" si="10"/>
        <v>10</v>
      </c>
      <c r="L24" s="52">
        <f t="shared" si="10"/>
        <v>11</v>
      </c>
      <c r="M24" s="52">
        <f t="shared" si="10"/>
        <v>7</v>
      </c>
      <c r="N24" s="52">
        <f t="shared" si="10"/>
        <v>5</v>
      </c>
      <c r="O24" s="52">
        <f t="shared" si="10"/>
        <v>5</v>
      </c>
      <c r="P24" s="52">
        <f t="shared" si="10"/>
        <v>5</v>
      </c>
      <c r="Q24" s="52">
        <f t="shared" si="10"/>
        <v>4</v>
      </c>
      <c r="R24" s="52">
        <f t="shared" si="10"/>
        <v>6</v>
      </c>
      <c r="S24" s="52">
        <f t="shared" si="10"/>
        <v>10</v>
      </c>
      <c r="T24" s="52">
        <f t="shared" si="10"/>
        <v>8</v>
      </c>
      <c r="U24" s="52">
        <f t="shared" si="10"/>
        <v>10</v>
      </c>
      <c r="V24" s="52">
        <f t="shared" si="10"/>
        <v>11</v>
      </c>
      <c r="W24" s="52">
        <f t="shared" si="10"/>
        <v>12</v>
      </c>
      <c r="X24" s="52">
        <f t="shared" si="10"/>
        <v>13</v>
      </c>
      <c r="Y24" s="52">
        <f t="shared" si="10"/>
        <v>14</v>
      </c>
      <c r="Z24" s="52">
        <f t="shared" si="10"/>
        <v>13</v>
      </c>
      <c r="AA24" s="52">
        <f t="shared" si="10"/>
        <v>9</v>
      </c>
      <c r="AB24" s="52">
        <f t="shared" si="10"/>
        <v>13</v>
      </c>
      <c r="AC24" s="52">
        <f t="shared" si="10"/>
        <v>13</v>
      </c>
      <c r="AD24" s="52">
        <f t="shared" si="10"/>
        <v>14</v>
      </c>
      <c r="AE24" s="52">
        <f t="shared" si="10"/>
        <v>13</v>
      </c>
      <c r="AF24" s="52">
        <f t="shared" si="10"/>
        <v>1</v>
      </c>
      <c r="AG24" s="49">
        <f>+AG12+AG23</f>
        <v>303</v>
      </c>
      <c r="AX24" s="58"/>
    </row>
    <row r="25" spans="1:50" ht="15.5" x14ac:dyDescent="0.35">
      <c r="A25" s="48" t="s">
        <v>179</v>
      </c>
      <c r="B25" s="42">
        <f>B24*100/15</f>
        <v>73.333333333333329</v>
      </c>
      <c r="C25" s="42">
        <f t="shared" ref="C25:AF25" si="11">C24*100/15</f>
        <v>73.333333333333329</v>
      </c>
      <c r="D25" s="42">
        <f t="shared" si="11"/>
        <v>73.333333333333329</v>
      </c>
      <c r="E25" s="42">
        <f t="shared" si="11"/>
        <v>86.666666666666671</v>
      </c>
      <c r="F25" s="42">
        <f t="shared" si="11"/>
        <v>60</v>
      </c>
      <c r="G25" s="42">
        <f t="shared" si="11"/>
        <v>46.666666666666664</v>
      </c>
      <c r="H25" s="42">
        <f t="shared" si="11"/>
        <v>66.666666666666671</v>
      </c>
      <c r="I25" s="42">
        <f t="shared" si="11"/>
        <v>73.333333333333329</v>
      </c>
      <c r="J25" s="42">
        <f t="shared" si="11"/>
        <v>73.333333333333329</v>
      </c>
      <c r="K25" s="42">
        <f t="shared" si="11"/>
        <v>66.666666666666671</v>
      </c>
      <c r="L25" s="42">
        <f t="shared" si="11"/>
        <v>73.333333333333329</v>
      </c>
      <c r="M25" s="42">
        <f t="shared" si="11"/>
        <v>46.666666666666664</v>
      </c>
      <c r="N25" s="42">
        <f t="shared" si="11"/>
        <v>33.333333333333336</v>
      </c>
      <c r="O25" s="42">
        <f t="shared" si="11"/>
        <v>33.333333333333336</v>
      </c>
      <c r="P25" s="42">
        <f t="shared" si="11"/>
        <v>33.333333333333336</v>
      </c>
      <c r="Q25" s="42">
        <f t="shared" si="11"/>
        <v>26.666666666666668</v>
      </c>
      <c r="R25" s="42">
        <f t="shared" si="11"/>
        <v>40</v>
      </c>
      <c r="S25" s="42">
        <f t="shared" si="11"/>
        <v>66.666666666666671</v>
      </c>
      <c r="T25" s="42">
        <f t="shared" si="11"/>
        <v>53.333333333333336</v>
      </c>
      <c r="U25" s="42">
        <f t="shared" si="11"/>
        <v>66.666666666666671</v>
      </c>
      <c r="V25" s="42">
        <f t="shared" si="11"/>
        <v>73.333333333333329</v>
      </c>
      <c r="W25" s="42">
        <f t="shared" si="11"/>
        <v>80</v>
      </c>
      <c r="X25" s="42">
        <f t="shared" si="11"/>
        <v>86.666666666666671</v>
      </c>
      <c r="Y25" s="42">
        <f t="shared" si="11"/>
        <v>93.333333333333329</v>
      </c>
      <c r="Z25" s="42">
        <f t="shared" si="11"/>
        <v>86.666666666666671</v>
      </c>
      <c r="AA25" s="42">
        <f t="shared" si="11"/>
        <v>60</v>
      </c>
      <c r="AB25" s="42">
        <f t="shared" si="11"/>
        <v>86.666666666666671</v>
      </c>
      <c r="AC25" s="42">
        <f t="shared" si="11"/>
        <v>86.666666666666671</v>
      </c>
      <c r="AD25" s="42">
        <f t="shared" si="11"/>
        <v>93.333333333333329</v>
      </c>
      <c r="AE25" s="42">
        <f t="shared" si="11"/>
        <v>86.666666666666671</v>
      </c>
      <c r="AF25" s="42">
        <f t="shared" si="11"/>
        <v>6.666666666666667</v>
      </c>
      <c r="AG25" s="50">
        <f>AVERAGE(B25:AE25)</f>
        <v>66.666666666666671</v>
      </c>
      <c r="AH25" s="51" t="s">
        <v>180</v>
      </c>
      <c r="AX25" s="58"/>
    </row>
    <row r="26" spans="1:50" x14ac:dyDescent="0.35">
      <c r="AX26" s="58"/>
    </row>
    <row r="28" spans="1:50" x14ac:dyDescent="0.35">
      <c r="I28" t="s">
        <v>824</v>
      </c>
    </row>
  </sheetData>
  <mergeCells count="2">
    <mergeCell ref="A1:AE1"/>
    <mergeCell ref="AM3:AR3"/>
  </mergeCells>
  <phoneticPr fontId="9" type="noConversion"/>
  <conditionalFormatting sqref="B9">
    <cfRule type="colorScale" priority="2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1:C11">
    <cfRule type="colorScale" priority="2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7:E7">
    <cfRule type="colorScale" priority="2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0:E10">
    <cfRule type="colorScale" priority="2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7:E17">
    <cfRule type="colorScale" priority="1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8:F8">
    <cfRule type="colorScale" priority="2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6:F16">
    <cfRule type="colorScale" priority="1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9:J19">
    <cfRule type="colorScale" priority="1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8:L18">
    <cfRule type="colorScale" priority="2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20:L20">
    <cfRule type="colorScale" priority="18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21:L21">
    <cfRule type="colorScale" priority="20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6:P6">
    <cfRule type="colorScale" priority="28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5:AE15">
    <cfRule type="colorScale" priority="2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22:AE22">
    <cfRule type="colorScale" priority="5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D11:N11 F7:N7 G8:N8 C9:P9 P11:R11 T8:W8 F10:Y10 B5:AF5 Z7:AE11 Q6:AF6">
    <cfRule type="colorScale" priority="59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G16:Y16 AC16:AE16">
    <cfRule type="colorScale" priority="40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K19:L19 N19:U21 V21 Z21 V19:AE20">
    <cfRule type="colorScale" priority="49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L13:U14 B13:I14 X13:AH14">
    <cfRule type="colorScale" priority="60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M19:M21 F17:T17 M18:T18 Z17:AE17">
    <cfRule type="colorScale" priority="50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O11">
    <cfRule type="colorScale" priority="1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O7:S8 T7:Y7">
    <cfRule type="colorScale" priority="1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Q9:R9">
    <cfRule type="colorScale" priority="1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S9:Y9">
    <cfRule type="colorScale" priority="10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S11:Y11">
    <cfRule type="colorScale" priority="9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U17:Y17">
    <cfRule type="colorScale" priority="8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U18:Y18">
    <cfRule type="colorScale" priority="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W21:Y21">
    <cfRule type="colorScale" priority="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X8:Y8">
    <cfRule type="colorScale" priority="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Z16:AB16">
    <cfRule type="colorScale" priority="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Z18:AF18">
    <cfRule type="colorScale" priority="5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A21:AE21">
    <cfRule type="colorScale" priority="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F7">
    <cfRule type="colorScale" priority="3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F8">
    <cfRule type="colorScale" priority="3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F9">
    <cfRule type="colorScale" priority="5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F10">
    <cfRule type="colorScale" priority="5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F11">
    <cfRule type="colorScale" priority="5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F15">
    <cfRule type="colorScale" priority="5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F16">
    <cfRule type="colorScale" priority="3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F17">
    <cfRule type="colorScale" priority="29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F19">
    <cfRule type="colorScale" priority="4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F20">
    <cfRule type="colorScale" priority="48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F21">
    <cfRule type="colorScale" priority="5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F22">
    <cfRule type="colorScale" priority="35">
      <colorScale>
        <cfvo type="num" val="1"/>
        <cfvo type="max"/>
        <color theme="4" tint="0.59999389629810485"/>
        <color theme="5" tint="0.59999389629810485"/>
      </colorScale>
    </cfRule>
  </conditionalFormatting>
  <pageMargins left="0.2" right="0.45" top="0.75" bottom="0.75" header="0.3" footer="0.3"/>
  <pageSetup scale="90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9837A-9F3D-459B-A167-0E9342384FD2}">
  <dimension ref="A1:AX45"/>
  <sheetViews>
    <sheetView zoomScaleNormal="100" workbookViewId="0">
      <pane xSplit="1" ySplit="4" topLeftCell="R5" activePane="bottomRight" state="frozen"/>
      <selection pane="topRight" activeCell="B1" sqref="B1"/>
      <selection pane="bottomLeft" activeCell="A5" sqref="A5"/>
      <selection pane="bottomRight" activeCell="AF19" sqref="AF19"/>
    </sheetView>
  </sheetViews>
  <sheetFormatPr defaultRowHeight="14.5" x14ac:dyDescent="0.35"/>
  <cols>
    <col min="1" max="1" width="43.7265625" customWidth="1"/>
    <col min="2" max="2" width="11.81640625" bestFit="1" customWidth="1"/>
    <col min="3" max="3" width="10.54296875" bestFit="1" customWidth="1"/>
    <col min="4" max="4" width="11.1796875" bestFit="1" customWidth="1"/>
    <col min="5" max="5" width="12.26953125" bestFit="1" customWidth="1"/>
    <col min="6" max="11" width="13.453125" bestFit="1" customWidth="1"/>
    <col min="12" max="12" width="15.26953125" bestFit="1" customWidth="1"/>
    <col min="13" max="13" width="15.81640625" bestFit="1" customWidth="1"/>
    <col min="14" max="17" width="11.81640625" bestFit="1" customWidth="1"/>
    <col min="18" max="20" width="12.81640625" bestFit="1" customWidth="1"/>
    <col min="21" max="21" width="11.81640625" bestFit="1" customWidth="1"/>
    <col min="22" max="32" width="12.81640625" bestFit="1" customWidth="1"/>
    <col min="33" max="33" width="4.7265625" bestFit="1" customWidth="1"/>
    <col min="34" max="34" width="8.453125" bestFit="1" customWidth="1"/>
    <col min="35" max="35" width="8" bestFit="1" customWidth="1"/>
    <col min="36" max="36" width="8.453125" customWidth="1"/>
    <col min="37" max="37" width="0" hidden="1" customWidth="1"/>
    <col min="38" max="38" width="3" hidden="1" customWidth="1"/>
    <col min="39" max="39" width="17.81640625" bestFit="1" customWidth="1"/>
    <col min="40" max="40" width="9.1796875" bestFit="1" customWidth="1"/>
    <col min="41" max="41" width="9.81640625" bestFit="1" customWidth="1"/>
    <col min="42" max="42" width="10.81640625" bestFit="1" customWidth="1"/>
    <col min="43" max="43" width="10.1796875" bestFit="1" customWidth="1"/>
    <col min="44" max="44" width="23.1796875" bestFit="1" customWidth="1"/>
    <col min="45" max="45" width="0.453125" hidden="1" customWidth="1"/>
    <col min="46" max="49" width="0" hidden="1" customWidth="1"/>
    <col min="51" max="51" width="15" bestFit="1" customWidth="1"/>
  </cols>
  <sheetData>
    <row r="1" spans="1:44" ht="15.5" x14ac:dyDescent="0.35">
      <c r="A1" s="120" t="s">
        <v>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65"/>
    </row>
    <row r="2" spans="1:44" ht="15" thickBot="1" x14ac:dyDescent="0.4"/>
    <row r="3" spans="1:44" ht="45.75" customHeight="1" x14ac:dyDescent="0.35">
      <c r="A3" s="1" t="s">
        <v>1</v>
      </c>
      <c r="B3" s="2">
        <f>AI4</f>
        <v>45778</v>
      </c>
      <c r="C3" s="2">
        <f t="shared" ref="C3:AF3" si="0">B3+1</f>
        <v>45779</v>
      </c>
      <c r="D3" s="2">
        <f t="shared" si="0"/>
        <v>45780</v>
      </c>
      <c r="E3" s="2">
        <f t="shared" si="0"/>
        <v>45781</v>
      </c>
      <c r="F3" s="2">
        <f t="shared" si="0"/>
        <v>45782</v>
      </c>
      <c r="G3" s="2">
        <f t="shared" si="0"/>
        <v>45783</v>
      </c>
      <c r="H3" s="2">
        <f t="shared" si="0"/>
        <v>45784</v>
      </c>
      <c r="I3" s="2">
        <f>H3+1</f>
        <v>45785</v>
      </c>
      <c r="J3" s="2">
        <f t="shared" si="0"/>
        <v>45786</v>
      </c>
      <c r="K3" s="2">
        <f t="shared" si="0"/>
        <v>45787</v>
      </c>
      <c r="L3" s="2">
        <f t="shared" si="0"/>
        <v>45788</v>
      </c>
      <c r="M3" s="2">
        <f t="shared" si="0"/>
        <v>45789</v>
      </c>
      <c r="N3" s="2">
        <f t="shared" si="0"/>
        <v>45790</v>
      </c>
      <c r="O3" s="2">
        <f t="shared" si="0"/>
        <v>45791</v>
      </c>
      <c r="P3" s="2">
        <f t="shared" si="0"/>
        <v>45792</v>
      </c>
      <c r="Q3" s="2">
        <f t="shared" si="0"/>
        <v>45793</v>
      </c>
      <c r="R3" s="2">
        <f t="shared" si="0"/>
        <v>45794</v>
      </c>
      <c r="S3" s="2">
        <f t="shared" si="0"/>
        <v>45795</v>
      </c>
      <c r="T3" s="2">
        <f t="shared" si="0"/>
        <v>45796</v>
      </c>
      <c r="U3" s="2">
        <f t="shared" si="0"/>
        <v>45797</v>
      </c>
      <c r="V3" s="2">
        <f t="shared" si="0"/>
        <v>45798</v>
      </c>
      <c r="W3" s="2">
        <f t="shared" si="0"/>
        <v>45799</v>
      </c>
      <c r="X3" s="2">
        <f t="shared" si="0"/>
        <v>45800</v>
      </c>
      <c r="Y3" s="2">
        <f t="shared" si="0"/>
        <v>45801</v>
      </c>
      <c r="Z3" s="2">
        <f t="shared" si="0"/>
        <v>45802</v>
      </c>
      <c r="AA3" s="2">
        <f t="shared" si="0"/>
        <v>45803</v>
      </c>
      <c r="AB3" s="2">
        <f t="shared" si="0"/>
        <v>45804</v>
      </c>
      <c r="AC3" s="2">
        <f t="shared" si="0"/>
        <v>45805</v>
      </c>
      <c r="AD3" s="2">
        <f t="shared" si="0"/>
        <v>45806</v>
      </c>
      <c r="AE3" s="2">
        <f t="shared" si="0"/>
        <v>45807</v>
      </c>
      <c r="AF3" s="2">
        <f t="shared" si="0"/>
        <v>45808</v>
      </c>
      <c r="AG3" s="36"/>
      <c r="AH3" s="36"/>
      <c r="AM3" s="122" t="s">
        <v>267</v>
      </c>
      <c r="AN3" s="123"/>
      <c r="AO3" s="123"/>
      <c r="AP3" s="123"/>
      <c r="AQ3" s="123"/>
      <c r="AR3" s="124"/>
    </row>
    <row r="4" spans="1:44" ht="31.5" customHeight="1" x14ac:dyDescent="0.35">
      <c r="A4" s="3" t="s">
        <v>2</v>
      </c>
      <c r="B4" s="4">
        <f t="shared" ref="B4:AF4" si="1">B3</f>
        <v>45778</v>
      </c>
      <c r="C4" s="4">
        <f t="shared" si="1"/>
        <v>45779</v>
      </c>
      <c r="D4" s="4">
        <f t="shared" si="1"/>
        <v>45780</v>
      </c>
      <c r="E4" s="4">
        <f t="shared" si="1"/>
        <v>45781</v>
      </c>
      <c r="F4" s="4">
        <f t="shared" si="1"/>
        <v>45782</v>
      </c>
      <c r="G4" s="4">
        <f t="shared" si="1"/>
        <v>45783</v>
      </c>
      <c r="H4" s="4">
        <f t="shared" si="1"/>
        <v>45784</v>
      </c>
      <c r="I4" s="4">
        <f t="shared" si="1"/>
        <v>45785</v>
      </c>
      <c r="J4" s="4">
        <f t="shared" si="1"/>
        <v>45786</v>
      </c>
      <c r="K4" s="4">
        <f t="shared" si="1"/>
        <v>45787</v>
      </c>
      <c r="L4" s="4">
        <f t="shared" si="1"/>
        <v>45788</v>
      </c>
      <c r="M4" s="4">
        <f t="shared" si="1"/>
        <v>45789</v>
      </c>
      <c r="N4" s="4">
        <f t="shared" si="1"/>
        <v>45790</v>
      </c>
      <c r="O4" s="4">
        <f t="shared" si="1"/>
        <v>45791</v>
      </c>
      <c r="P4" s="4">
        <f t="shared" si="1"/>
        <v>45792</v>
      </c>
      <c r="Q4" s="4">
        <f t="shared" si="1"/>
        <v>45793</v>
      </c>
      <c r="R4" s="4">
        <f t="shared" si="1"/>
        <v>45794</v>
      </c>
      <c r="S4" s="4">
        <f t="shared" si="1"/>
        <v>45795</v>
      </c>
      <c r="T4" s="4">
        <f t="shared" si="1"/>
        <v>45796</v>
      </c>
      <c r="U4" s="4">
        <f t="shared" si="1"/>
        <v>45797</v>
      </c>
      <c r="V4" s="4">
        <f t="shared" si="1"/>
        <v>45798</v>
      </c>
      <c r="W4" s="4">
        <f t="shared" si="1"/>
        <v>45799</v>
      </c>
      <c r="X4" s="4">
        <f t="shared" si="1"/>
        <v>45800</v>
      </c>
      <c r="Y4" s="4">
        <f t="shared" si="1"/>
        <v>45801</v>
      </c>
      <c r="Z4" s="4">
        <f t="shared" si="1"/>
        <v>45802</v>
      </c>
      <c r="AA4" s="4">
        <f t="shared" si="1"/>
        <v>45803</v>
      </c>
      <c r="AB4" s="4">
        <f t="shared" si="1"/>
        <v>45804</v>
      </c>
      <c r="AC4" s="4">
        <f t="shared" si="1"/>
        <v>45805</v>
      </c>
      <c r="AD4" s="4">
        <f t="shared" si="1"/>
        <v>45806</v>
      </c>
      <c r="AE4" s="4">
        <f t="shared" si="1"/>
        <v>45807</v>
      </c>
      <c r="AF4" s="4">
        <f t="shared" si="1"/>
        <v>45808</v>
      </c>
      <c r="AG4" s="39" t="s">
        <v>174</v>
      </c>
      <c r="AH4" s="40" t="s">
        <v>175</v>
      </c>
      <c r="AI4" s="5">
        <v>45778</v>
      </c>
      <c r="AJ4" s="6">
        <f>EOMONTH(AI4,0)</f>
        <v>45808</v>
      </c>
      <c r="AM4" s="19" t="s">
        <v>54</v>
      </c>
      <c r="AN4" s="19" t="s">
        <v>269</v>
      </c>
      <c r="AO4" s="19" t="s">
        <v>55</v>
      </c>
      <c r="AP4" s="19" t="s">
        <v>56</v>
      </c>
      <c r="AQ4" s="19" t="s">
        <v>251</v>
      </c>
      <c r="AR4" s="19" t="s">
        <v>57</v>
      </c>
    </row>
    <row r="5" spans="1:44" x14ac:dyDescent="0.35">
      <c r="A5" s="7" t="s">
        <v>3</v>
      </c>
      <c r="B5" s="90"/>
      <c r="C5" s="90"/>
      <c r="D5" s="90"/>
      <c r="E5" s="90"/>
      <c r="F5" s="90"/>
      <c r="G5" s="90"/>
      <c r="H5" s="90"/>
      <c r="I5" s="90"/>
      <c r="J5" s="63"/>
      <c r="K5" s="63"/>
      <c r="L5" s="55"/>
      <c r="M5" s="55" t="s">
        <v>93</v>
      </c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41">
        <f>COUNTA(B5:AF5)</f>
        <v>1</v>
      </c>
      <c r="AH5" s="42">
        <f>AG5*100/31</f>
        <v>3.225806451612903</v>
      </c>
      <c r="AM5" s="20" t="s">
        <v>562</v>
      </c>
      <c r="AN5" s="56" t="s">
        <v>835</v>
      </c>
      <c r="AO5" s="56" t="s">
        <v>836</v>
      </c>
      <c r="AP5" s="56"/>
      <c r="AQ5" s="57"/>
      <c r="AR5" s="20"/>
    </row>
    <row r="6" spans="1:44" x14ac:dyDescent="0.35">
      <c r="A6" s="7" t="s">
        <v>7</v>
      </c>
      <c r="B6" s="55" t="s">
        <v>833</v>
      </c>
      <c r="C6" s="55" t="s">
        <v>833</v>
      </c>
      <c r="D6" s="55" t="s">
        <v>833</v>
      </c>
      <c r="E6" s="55" t="s">
        <v>833</v>
      </c>
      <c r="F6" s="55" t="s">
        <v>833</v>
      </c>
      <c r="G6" s="55" t="s">
        <v>833</v>
      </c>
      <c r="H6" s="55" t="s">
        <v>833</v>
      </c>
      <c r="I6" s="55" t="s">
        <v>833</v>
      </c>
      <c r="J6" s="55" t="s">
        <v>833</v>
      </c>
      <c r="K6" s="55" t="s">
        <v>833</v>
      </c>
      <c r="L6" s="55"/>
      <c r="M6" s="55" t="s">
        <v>91</v>
      </c>
      <c r="N6" s="8"/>
      <c r="O6" s="8"/>
      <c r="P6" s="8"/>
      <c r="Q6" s="8"/>
      <c r="R6" s="55"/>
      <c r="S6" s="55"/>
      <c r="T6" s="55" t="s">
        <v>185</v>
      </c>
      <c r="U6" s="55" t="s">
        <v>185</v>
      </c>
      <c r="V6" s="55"/>
      <c r="W6" s="55"/>
      <c r="X6" s="55"/>
      <c r="Y6" s="55"/>
      <c r="Z6" s="55"/>
      <c r="AA6" s="55"/>
      <c r="AB6" s="55" t="s">
        <v>846</v>
      </c>
      <c r="AC6" s="55" t="s">
        <v>846</v>
      </c>
      <c r="AD6" s="55" t="s">
        <v>846</v>
      </c>
      <c r="AE6" s="55" t="s">
        <v>846</v>
      </c>
      <c r="AF6" s="55" t="s">
        <v>846</v>
      </c>
      <c r="AG6" s="41">
        <f t="shared" ref="AG6:AG11" si="2">COUNTA(B6:AF6)</f>
        <v>18</v>
      </c>
      <c r="AH6" s="42">
        <f t="shared" ref="AH6:AH11" si="3">AG6*100/31</f>
        <v>58.064516129032256</v>
      </c>
      <c r="AM6" s="20" t="s">
        <v>561</v>
      </c>
      <c r="AN6" s="56" t="s">
        <v>835</v>
      </c>
      <c r="AO6" s="56" t="s">
        <v>836</v>
      </c>
      <c r="AP6" s="56"/>
      <c r="AQ6" s="57"/>
      <c r="AR6" s="20"/>
    </row>
    <row r="7" spans="1:44" x14ac:dyDescent="0.35">
      <c r="A7" s="7" t="s">
        <v>11</v>
      </c>
      <c r="B7" s="55" t="s">
        <v>842</v>
      </c>
      <c r="C7" s="55" t="s">
        <v>842</v>
      </c>
      <c r="D7" s="55" t="s">
        <v>842</v>
      </c>
      <c r="E7" s="55" t="s">
        <v>842</v>
      </c>
      <c r="F7" s="55" t="s">
        <v>842</v>
      </c>
      <c r="G7" s="55" t="s">
        <v>842</v>
      </c>
      <c r="H7" s="55" t="s">
        <v>842</v>
      </c>
      <c r="I7" s="90"/>
      <c r="J7" s="63"/>
      <c r="K7" s="63"/>
      <c r="L7" s="55"/>
      <c r="M7" s="55" t="s">
        <v>850</v>
      </c>
      <c r="N7" s="8" t="s">
        <v>854</v>
      </c>
      <c r="O7" s="8" t="s">
        <v>854</v>
      </c>
      <c r="P7" s="8"/>
      <c r="Q7" s="8"/>
      <c r="R7" s="55"/>
      <c r="S7" s="55"/>
      <c r="T7" s="55" t="s">
        <v>25</v>
      </c>
      <c r="U7" s="55" t="s">
        <v>25</v>
      </c>
      <c r="V7" s="55"/>
      <c r="W7" s="55"/>
      <c r="X7" s="55"/>
      <c r="Y7" s="55"/>
      <c r="Z7" s="55"/>
      <c r="AA7" s="55"/>
      <c r="AB7" s="55" t="s">
        <v>880</v>
      </c>
      <c r="AC7" s="55" t="s">
        <v>880</v>
      </c>
      <c r="AD7" s="55" t="s">
        <v>880</v>
      </c>
      <c r="AE7" s="55" t="s">
        <v>880</v>
      </c>
      <c r="AF7" s="8"/>
      <c r="AG7" s="41">
        <f t="shared" si="2"/>
        <v>16</v>
      </c>
      <c r="AH7" s="42">
        <f t="shared" si="3"/>
        <v>51.612903225806448</v>
      </c>
      <c r="AM7" s="20" t="s">
        <v>834</v>
      </c>
      <c r="AN7" s="56" t="s">
        <v>835</v>
      </c>
      <c r="AO7" s="56" t="s">
        <v>836</v>
      </c>
      <c r="AP7" s="56"/>
      <c r="AQ7" s="57"/>
      <c r="AR7" s="20"/>
    </row>
    <row r="8" spans="1:44" ht="15" customHeight="1" x14ac:dyDescent="0.35">
      <c r="A8" s="7" t="s">
        <v>15</v>
      </c>
      <c r="B8" s="55" t="s">
        <v>843</v>
      </c>
      <c r="C8" s="55" t="s">
        <v>843</v>
      </c>
      <c r="D8" s="55" t="s">
        <v>843</v>
      </c>
      <c r="E8" s="55" t="s">
        <v>843</v>
      </c>
      <c r="F8" s="55" t="s">
        <v>843</v>
      </c>
      <c r="G8" s="55" t="s">
        <v>843</v>
      </c>
      <c r="H8" s="55" t="s">
        <v>843</v>
      </c>
      <c r="I8" s="55" t="s">
        <v>843</v>
      </c>
      <c r="J8" s="55" t="s">
        <v>843</v>
      </c>
      <c r="K8" s="55" t="s">
        <v>843</v>
      </c>
      <c r="L8" s="55"/>
      <c r="M8" s="55"/>
      <c r="N8" s="8" t="s">
        <v>867</v>
      </c>
      <c r="O8" s="8" t="s">
        <v>867</v>
      </c>
      <c r="P8" s="8" t="s">
        <v>867</v>
      </c>
      <c r="Q8" s="8" t="s">
        <v>867</v>
      </c>
      <c r="R8" s="55"/>
      <c r="S8" s="55"/>
      <c r="T8" s="55" t="s">
        <v>868</v>
      </c>
      <c r="U8" s="55" t="s">
        <v>868</v>
      </c>
      <c r="V8" s="55"/>
      <c r="W8" s="55"/>
      <c r="X8" s="55"/>
      <c r="Y8" s="55"/>
      <c r="Z8" s="55"/>
      <c r="AA8" s="55"/>
      <c r="AB8" s="55" t="s">
        <v>881</v>
      </c>
      <c r="AC8" s="55" t="s">
        <v>881</v>
      </c>
      <c r="AD8" s="55" t="s">
        <v>881</v>
      </c>
      <c r="AE8" s="55" t="s">
        <v>881</v>
      </c>
      <c r="AF8" s="55"/>
      <c r="AG8" s="41">
        <f t="shared" si="2"/>
        <v>20</v>
      </c>
      <c r="AH8" s="42">
        <f t="shared" si="3"/>
        <v>64.516129032258064</v>
      </c>
      <c r="AK8" s="9"/>
      <c r="AM8" s="20" t="s">
        <v>488</v>
      </c>
      <c r="AN8" s="56" t="s">
        <v>835</v>
      </c>
      <c r="AO8" s="56" t="s">
        <v>836</v>
      </c>
      <c r="AP8" s="56"/>
      <c r="AQ8" s="57"/>
      <c r="AR8" s="20"/>
    </row>
    <row r="9" spans="1:44" ht="15.75" customHeight="1" x14ac:dyDescent="0.35">
      <c r="A9" s="7" t="s">
        <v>18</v>
      </c>
      <c r="B9" s="55" t="s">
        <v>670</v>
      </c>
      <c r="C9" s="55" t="s">
        <v>670</v>
      </c>
      <c r="D9" s="55" t="s">
        <v>844</v>
      </c>
      <c r="E9" s="55" t="s">
        <v>844</v>
      </c>
      <c r="F9" s="55" t="s">
        <v>844</v>
      </c>
      <c r="G9" s="55" t="s">
        <v>844</v>
      </c>
      <c r="H9" s="55" t="s">
        <v>844</v>
      </c>
      <c r="I9" s="55" t="s">
        <v>844</v>
      </c>
      <c r="J9" s="55" t="s">
        <v>844</v>
      </c>
      <c r="K9" s="55" t="s">
        <v>844</v>
      </c>
      <c r="L9" s="55"/>
      <c r="M9" s="55" t="s">
        <v>851</v>
      </c>
      <c r="N9" s="8" t="s">
        <v>559</v>
      </c>
      <c r="O9" s="8" t="s">
        <v>559</v>
      </c>
      <c r="P9" s="8"/>
      <c r="Q9" s="55"/>
      <c r="R9" s="55" t="s">
        <v>872</v>
      </c>
      <c r="S9" s="55"/>
      <c r="T9" s="55" t="s">
        <v>868</v>
      </c>
      <c r="U9" s="55" t="s">
        <v>868</v>
      </c>
      <c r="V9" s="55" t="s">
        <v>718</v>
      </c>
      <c r="W9" s="55" t="s">
        <v>812</v>
      </c>
      <c r="X9" s="55" t="s">
        <v>812</v>
      </c>
      <c r="Y9" s="55"/>
      <c r="Z9" s="55"/>
      <c r="AA9" s="55"/>
      <c r="AB9" s="55"/>
      <c r="AC9" s="55"/>
      <c r="AD9" s="55" t="s">
        <v>887</v>
      </c>
      <c r="AE9" s="55" t="s">
        <v>883</v>
      </c>
      <c r="AF9" s="55" t="s">
        <v>883</v>
      </c>
      <c r="AG9" s="41">
        <f t="shared" si="2"/>
        <v>22</v>
      </c>
      <c r="AH9" s="42">
        <f t="shared" si="3"/>
        <v>70.967741935483872</v>
      </c>
      <c r="AM9" s="20" t="s">
        <v>837</v>
      </c>
      <c r="AN9" s="56" t="s">
        <v>835</v>
      </c>
      <c r="AO9" s="56" t="s">
        <v>836</v>
      </c>
      <c r="AP9" s="56"/>
      <c r="AQ9" s="57"/>
      <c r="AR9" s="20"/>
    </row>
    <row r="10" spans="1:44" ht="15.75" customHeight="1" x14ac:dyDescent="0.35">
      <c r="A10" s="7" t="s">
        <v>20</v>
      </c>
      <c r="B10" s="55" t="s">
        <v>503</v>
      </c>
      <c r="C10" s="55" t="s">
        <v>503</v>
      </c>
      <c r="D10" s="55" t="s">
        <v>503</v>
      </c>
      <c r="E10" s="55" t="s">
        <v>503</v>
      </c>
      <c r="F10" s="55" t="s">
        <v>503</v>
      </c>
      <c r="G10" s="55" t="s">
        <v>503</v>
      </c>
      <c r="H10" s="55" t="s">
        <v>503</v>
      </c>
      <c r="I10" s="55" t="s">
        <v>503</v>
      </c>
      <c r="J10" s="55" t="s">
        <v>503</v>
      </c>
      <c r="K10" s="55" t="s">
        <v>503</v>
      </c>
      <c r="L10" s="55" t="s">
        <v>852</v>
      </c>
      <c r="M10" s="55" t="s">
        <v>852</v>
      </c>
      <c r="N10" s="55" t="s">
        <v>852</v>
      </c>
      <c r="O10" s="55" t="s">
        <v>852</v>
      </c>
      <c r="P10" s="55"/>
      <c r="Q10" s="55"/>
      <c r="R10" s="55" t="s">
        <v>873</v>
      </c>
      <c r="S10" s="55"/>
      <c r="T10" s="55" t="s">
        <v>868</v>
      </c>
      <c r="U10" s="55" t="s">
        <v>868</v>
      </c>
      <c r="V10" s="55" t="s">
        <v>878</v>
      </c>
      <c r="W10" s="55" t="s">
        <v>746</v>
      </c>
      <c r="X10" s="55" t="s">
        <v>746</v>
      </c>
      <c r="Y10" s="55"/>
      <c r="Z10" s="55"/>
      <c r="AA10" s="55"/>
      <c r="AB10" s="55" t="s">
        <v>885</v>
      </c>
      <c r="AC10" s="55" t="s">
        <v>885</v>
      </c>
      <c r="AD10" s="55" t="s">
        <v>885</v>
      </c>
      <c r="AE10" s="55"/>
      <c r="AF10" s="8"/>
      <c r="AG10" s="41">
        <f t="shared" si="2"/>
        <v>23</v>
      </c>
      <c r="AH10" s="42">
        <f t="shared" si="3"/>
        <v>74.193548387096769</v>
      </c>
      <c r="AM10" s="20" t="s">
        <v>831</v>
      </c>
      <c r="AN10" s="56" t="s">
        <v>835</v>
      </c>
      <c r="AO10" s="56" t="s">
        <v>838</v>
      </c>
      <c r="AP10" s="56" t="s">
        <v>839</v>
      </c>
      <c r="AQ10" s="57">
        <v>3</v>
      </c>
      <c r="AR10" s="20"/>
    </row>
    <row r="11" spans="1:44" ht="15.75" customHeight="1" thickBot="1" x14ac:dyDescent="0.4">
      <c r="A11" s="7" t="s">
        <v>24</v>
      </c>
      <c r="B11" s="55" t="s">
        <v>837</v>
      </c>
      <c r="C11" s="55" t="s">
        <v>837</v>
      </c>
      <c r="D11" s="55"/>
      <c r="E11" s="55"/>
      <c r="F11" s="55" t="s">
        <v>846</v>
      </c>
      <c r="G11" s="55" t="s">
        <v>846</v>
      </c>
      <c r="H11" s="55" t="s">
        <v>846</v>
      </c>
      <c r="I11" s="55" t="s">
        <v>846</v>
      </c>
      <c r="J11" s="55" t="s">
        <v>846</v>
      </c>
      <c r="K11" s="55" t="s">
        <v>846</v>
      </c>
      <c r="L11" s="55" t="s">
        <v>846</v>
      </c>
      <c r="M11" s="55" t="s">
        <v>846</v>
      </c>
      <c r="N11" s="55" t="s">
        <v>846</v>
      </c>
      <c r="O11" s="55" t="s">
        <v>846</v>
      </c>
      <c r="P11" s="55" t="s">
        <v>846</v>
      </c>
      <c r="Q11" s="55" t="s">
        <v>846</v>
      </c>
      <c r="R11" s="55" t="s">
        <v>846</v>
      </c>
      <c r="S11" s="55" t="s">
        <v>846</v>
      </c>
      <c r="T11" s="55" t="s">
        <v>846</v>
      </c>
      <c r="U11" s="55" t="s">
        <v>846</v>
      </c>
      <c r="V11" s="55" t="s">
        <v>846</v>
      </c>
      <c r="W11" s="55" t="s">
        <v>846</v>
      </c>
      <c r="X11" s="55" t="s">
        <v>846</v>
      </c>
      <c r="Y11" s="55" t="s">
        <v>846</v>
      </c>
      <c r="Z11" s="55"/>
      <c r="AA11" s="55"/>
      <c r="AB11" s="55" t="s">
        <v>886</v>
      </c>
      <c r="AC11" s="55" t="s">
        <v>886</v>
      </c>
      <c r="AD11" s="55" t="s">
        <v>888</v>
      </c>
      <c r="AE11" s="55"/>
      <c r="AF11" s="55"/>
      <c r="AG11" s="41">
        <f t="shared" si="2"/>
        <v>25</v>
      </c>
      <c r="AH11" s="42">
        <f t="shared" si="3"/>
        <v>80.645161290322577</v>
      </c>
      <c r="AM11" s="20" t="s">
        <v>831</v>
      </c>
      <c r="AN11" s="56" t="s">
        <v>835</v>
      </c>
      <c r="AO11" s="56" t="s">
        <v>838</v>
      </c>
      <c r="AP11" s="56" t="s">
        <v>839</v>
      </c>
      <c r="AQ11" s="57">
        <v>3</v>
      </c>
      <c r="AR11" s="20"/>
    </row>
    <row r="12" spans="1:44" ht="15" customHeight="1" x14ac:dyDescent="0.35">
      <c r="A12" s="45" t="s">
        <v>176</v>
      </c>
      <c r="B12" s="46">
        <f>COUNTA(B5:B11)</f>
        <v>6</v>
      </c>
      <c r="C12" s="46">
        <f>COUNTA(C5:C11)</f>
        <v>6</v>
      </c>
      <c r="D12" s="46">
        <f t="shared" ref="D12:AF12" si="4">COUNTA(D5:D11)</f>
        <v>5</v>
      </c>
      <c r="E12" s="46">
        <f t="shared" si="4"/>
        <v>5</v>
      </c>
      <c r="F12" s="46">
        <f t="shared" si="4"/>
        <v>6</v>
      </c>
      <c r="G12" s="46">
        <f t="shared" si="4"/>
        <v>6</v>
      </c>
      <c r="H12" s="46">
        <f t="shared" si="4"/>
        <v>6</v>
      </c>
      <c r="I12" s="46">
        <f t="shared" si="4"/>
        <v>5</v>
      </c>
      <c r="J12" s="46">
        <f t="shared" si="4"/>
        <v>5</v>
      </c>
      <c r="K12" s="46">
        <f t="shared" si="4"/>
        <v>5</v>
      </c>
      <c r="L12" s="46">
        <f t="shared" si="4"/>
        <v>2</v>
      </c>
      <c r="M12" s="46">
        <f t="shared" si="4"/>
        <v>6</v>
      </c>
      <c r="N12" s="46">
        <f t="shared" si="4"/>
        <v>5</v>
      </c>
      <c r="O12" s="46">
        <f t="shared" si="4"/>
        <v>5</v>
      </c>
      <c r="P12" s="46">
        <f t="shared" si="4"/>
        <v>2</v>
      </c>
      <c r="Q12" s="46">
        <f t="shared" si="4"/>
        <v>2</v>
      </c>
      <c r="R12" s="46">
        <f t="shared" si="4"/>
        <v>3</v>
      </c>
      <c r="S12" s="46">
        <f t="shared" si="4"/>
        <v>1</v>
      </c>
      <c r="T12" s="46">
        <f t="shared" si="4"/>
        <v>6</v>
      </c>
      <c r="U12" s="46">
        <f t="shared" si="4"/>
        <v>6</v>
      </c>
      <c r="V12" s="46">
        <f t="shared" si="4"/>
        <v>3</v>
      </c>
      <c r="W12" s="46">
        <f t="shared" si="4"/>
        <v>3</v>
      </c>
      <c r="X12" s="46">
        <f t="shared" si="4"/>
        <v>3</v>
      </c>
      <c r="Y12" s="46">
        <f t="shared" si="4"/>
        <v>1</v>
      </c>
      <c r="Z12" s="46">
        <f t="shared" si="4"/>
        <v>0</v>
      </c>
      <c r="AA12" s="46">
        <f t="shared" si="4"/>
        <v>0</v>
      </c>
      <c r="AB12" s="46">
        <f t="shared" si="4"/>
        <v>5</v>
      </c>
      <c r="AC12" s="46">
        <f>COUNTA(AC5:AC11)</f>
        <v>5</v>
      </c>
      <c r="AD12" s="46">
        <f>COUNTA(AD5:AD11)</f>
        <v>6</v>
      </c>
      <c r="AE12" s="46">
        <f>COUNTA(AE5:AE11)</f>
        <v>4</v>
      </c>
      <c r="AF12" s="46">
        <f t="shared" si="4"/>
        <v>2</v>
      </c>
      <c r="AG12" s="43">
        <f t="shared" ref="AG12" si="5">SUM(AG5:AG11)</f>
        <v>125</v>
      </c>
      <c r="AH12" s="44">
        <f>AVERAGE(AH5:AH11)</f>
        <v>57.603686635944705</v>
      </c>
      <c r="AI12" s="29"/>
      <c r="AM12" s="20"/>
      <c r="AN12" s="20"/>
      <c r="AO12" s="20"/>
      <c r="AP12" s="20"/>
      <c r="AQ12" s="20"/>
      <c r="AR12" s="20"/>
    </row>
    <row r="13" spans="1:44" ht="57" hidden="1" x14ac:dyDescent="0.35">
      <c r="A13" s="13" t="s">
        <v>28</v>
      </c>
      <c r="B13" s="14"/>
      <c r="C13" s="14"/>
      <c r="D13" s="14"/>
      <c r="E13" s="14"/>
      <c r="F13" s="14"/>
      <c r="G13" s="14"/>
      <c r="H13" s="14"/>
      <c r="I13" s="35"/>
      <c r="J13" s="34"/>
      <c r="K13" s="15"/>
      <c r="L13" s="14"/>
      <c r="M13" s="14"/>
      <c r="N13" s="25"/>
      <c r="O13" s="25"/>
      <c r="P13" s="25"/>
      <c r="Q13" s="14"/>
      <c r="R13" s="14"/>
      <c r="S13" s="14"/>
      <c r="T13" s="14"/>
      <c r="U13" s="14"/>
      <c r="V13" s="15"/>
      <c r="W13" s="15"/>
      <c r="X13" s="14"/>
      <c r="Y13" s="14"/>
      <c r="Z13" s="14"/>
      <c r="AA13" s="14"/>
      <c r="AB13" s="14"/>
      <c r="AC13" s="14"/>
      <c r="AD13" s="14"/>
      <c r="AE13" s="14"/>
      <c r="AF13" s="14"/>
      <c r="AG13" s="37"/>
      <c r="AH13" s="37"/>
      <c r="AM13" s="20"/>
      <c r="AN13" s="20"/>
      <c r="AO13" s="20"/>
      <c r="AP13" s="20"/>
      <c r="AQ13" s="20"/>
      <c r="AR13" s="20"/>
    </row>
    <row r="14" spans="1:44" ht="28.5" hidden="1" x14ac:dyDescent="0.35">
      <c r="A14" s="16" t="s">
        <v>29</v>
      </c>
      <c r="B14" s="14"/>
      <c r="C14" s="14"/>
      <c r="D14" s="14"/>
      <c r="E14" s="14"/>
      <c r="F14" s="14"/>
      <c r="G14" s="14"/>
      <c r="H14" s="14"/>
      <c r="I14" s="35"/>
      <c r="J14" s="34"/>
      <c r="K14" s="15"/>
      <c r="L14" s="14"/>
      <c r="M14" s="14"/>
      <c r="N14" s="25"/>
      <c r="O14" s="25"/>
      <c r="P14" s="25"/>
      <c r="Q14" s="14"/>
      <c r="R14" s="14"/>
      <c r="S14" s="14"/>
      <c r="T14" s="14"/>
      <c r="U14" s="14"/>
      <c r="V14" s="15"/>
      <c r="W14" s="15"/>
      <c r="X14" s="14"/>
      <c r="Y14" s="14"/>
      <c r="Z14" s="14"/>
      <c r="AA14" s="14"/>
      <c r="AB14" s="14"/>
      <c r="AC14" s="14"/>
      <c r="AD14" s="14"/>
      <c r="AE14" s="14"/>
      <c r="AF14" s="14"/>
      <c r="AG14" s="37"/>
      <c r="AH14" s="37"/>
      <c r="AM14" s="20"/>
      <c r="AN14" s="20"/>
      <c r="AO14" s="20"/>
      <c r="AP14" s="20"/>
      <c r="AQ14" s="20"/>
      <c r="AR14" s="20"/>
    </row>
    <row r="15" spans="1:44" x14ac:dyDescent="0.35">
      <c r="A15" s="7" t="s">
        <v>30</v>
      </c>
      <c r="B15" s="8" t="s">
        <v>819</v>
      </c>
      <c r="C15" s="8" t="s">
        <v>819</v>
      </c>
      <c r="D15" s="8" t="s">
        <v>819</v>
      </c>
      <c r="E15" s="8" t="s">
        <v>819</v>
      </c>
      <c r="F15" s="8" t="s">
        <v>819</v>
      </c>
      <c r="G15" s="8" t="s">
        <v>819</v>
      </c>
      <c r="H15" s="8" t="s">
        <v>819</v>
      </c>
      <c r="I15" s="8" t="s">
        <v>819</v>
      </c>
      <c r="J15" s="8" t="s">
        <v>819</v>
      </c>
      <c r="K15" s="8" t="s">
        <v>819</v>
      </c>
      <c r="L15" s="8" t="s">
        <v>853</v>
      </c>
      <c r="M15" s="8" t="s">
        <v>853</v>
      </c>
      <c r="N15" s="8" t="s">
        <v>853</v>
      </c>
      <c r="O15" s="8" t="s">
        <v>853</v>
      </c>
      <c r="P15" s="8" t="s">
        <v>847</v>
      </c>
      <c r="Q15" s="8" t="s">
        <v>847</v>
      </c>
      <c r="R15" s="8"/>
      <c r="S15" s="8" t="s">
        <v>869</v>
      </c>
      <c r="T15" s="8" t="s">
        <v>869</v>
      </c>
      <c r="U15" s="8" t="s">
        <v>869</v>
      </c>
      <c r="V15" s="8" t="s">
        <v>869</v>
      </c>
      <c r="W15" s="8" t="s">
        <v>869</v>
      </c>
      <c r="X15" s="8" t="s">
        <v>869</v>
      </c>
      <c r="Y15" s="8" t="s">
        <v>869</v>
      </c>
      <c r="Z15" s="8" t="s">
        <v>869</v>
      </c>
      <c r="AA15" s="8" t="s">
        <v>869</v>
      </c>
      <c r="AB15" s="8" t="s">
        <v>869</v>
      </c>
      <c r="AC15" s="8" t="s">
        <v>869</v>
      </c>
      <c r="AD15" s="8" t="s">
        <v>869</v>
      </c>
      <c r="AE15" s="8" t="s">
        <v>869</v>
      </c>
      <c r="AF15" s="8" t="s">
        <v>869</v>
      </c>
      <c r="AG15" s="41">
        <f>COUNTA(B15:AF15)</f>
        <v>30</v>
      </c>
      <c r="AH15" s="42">
        <f>AG15*100/31</f>
        <v>96.774193548387103</v>
      </c>
      <c r="AM15" s="20"/>
      <c r="AN15" s="20"/>
      <c r="AO15" s="20"/>
      <c r="AP15" s="20"/>
      <c r="AQ15" s="20"/>
      <c r="AR15" s="20"/>
    </row>
    <row r="16" spans="1:44" x14ac:dyDescent="0.35">
      <c r="A16" s="7" t="s">
        <v>35</v>
      </c>
      <c r="B16" s="8" t="s">
        <v>845</v>
      </c>
      <c r="C16" s="8" t="s">
        <v>845</v>
      </c>
      <c r="D16" s="8" t="s">
        <v>845</v>
      </c>
      <c r="E16" s="8" t="s">
        <v>845</v>
      </c>
      <c r="F16" s="8" t="s">
        <v>845</v>
      </c>
      <c r="G16" s="8" t="s">
        <v>845</v>
      </c>
      <c r="H16" s="8" t="s">
        <v>845</v>
      </c>
      <c r="I16" s="8" t="s">
        <v>845</v>
      </c>
      <c r="J16" s="8" t="s">
        <v>845</v>
      </c>
      <c r="K16" s="8" t="s">
        <v>845</v>
      </c>
      <c r="L16" s="8" t="s">
        <v>854</v>
      </c>
      <c r="M16" s="8" t="s">
        <v>854</v>
      </c>
      <c r="N16" s="8" t="s">
        <v>854</v>
      </c>
      <c r="O16" s="8" t="s">
        <v>854</v>
      </c>
      <c r="P16" s="8"/>
      <c r="Q16" s="8" t="s">
        <v>786</v>
      </c>
      <c r="R16" s="8" t="s">
        <v>786</v>
      </c>
      <c r="S16" s="8" t="s">
        <v>786</v>
      </c>
      <c r="T16" s="8" t="s">
        <v>786</v>
      </c>
      <c r="U16" s="8" t="s">
        <v>786</v>
      </c>
      <c r="V16" s="8" t="s">
        <v>786</v>
      </c>
      <c r="W16" s="8" t="s">
        <v>786</v>
      </c>
      <c r="X16" s="8" t="s">
        <v>875</v>
      </c>
      <c r="Y16" s="8" t="s">
        <v>875</v>
      </c>
      <c r="Z16" s="8" t="s">
        <v>875</v>
      </c>
      <c r="AA16" s="8" t="s">
        <v>875</v>
      </c>
      <c r="AB16" s="8" t="s">
        <v>875</v>
      </c>
      <c r="AC16" s="8" t="s">
        <v>875</v>
      </c>
      <c r="AD16" s="8" t="s">
        <v>875</v>
      </c>
      <c r="AE16" s="8" t="s">
        <v>875</v>
      </c>
      <c r="AF16" s="8" t="s">
        <v>875</v>
      </c>
      <c r="AG16" s="41">
        <f t="shared" ref="AG16:AG22" si="6">COUNTA(B16:AF16)</f>
        <v>30</v>
      </c>
      <c r="AH16" s="42">
        <f>AG16*100/31</f>
        <v>96.774193548387103</v>
      </c>
      <c r="AM16" s="20"/>
      <c r="AN16" s="20"/>
      <c r="AO16" s="56"/>
      <c r="AP16" s="56"/>
      <c r="AQ16" s="20"/>
      <c r="AR16" s="20"/>
    </row>
    <row r="17" spans="1:50" x14ac:dyDescent="0.35">
      <c r="A17" s="7" t="s">
        <v>39</v>
      </c>
      <c r="B17" s="8" t="s">
        <v>828</v>
      </c>
      <c r="C17" s="8" t="s">
        <v>828</v>
      </c>
      <c r="D17" s="8" t="s">
        <v>828</v>
      </c>
      <c r="E17" s="8" t="s">
        <v>828</v>
      </c>
      <c r="F17" s="8" t="s">
        <v>828</v>
      </c>
      <c r="G17" s="8" t="s">
        <v>828</v>
      </c>
      <c r="H17" s="8" t="s">
        <v>828</v>
      </c>
      <c r="I17" s="8" t="s">
        <v>828</v>
      </c>
      <c r="J17" s="8" t="s">
        <v>828</v>
      </c>
      <c r="K17" s="8" t="s">
        <v>828</v>
      </c>
      <c r="L17" s="8" t="s">
        <v>493</v>
      </c>
      <c r="M17" s="8" t="s">
        <v>493</v>
      </c>
      <c r="N17" s="8" t="s">
        <v>493</v>
      </c>
      <c r="O17" s="8" t="s">
        <v>493</v>
      </c>
      <c r="P17" s="8" t="s">
        <v>503</v>
      </c>
      <c r="Q17" s="8" t="s">
        <v>503</v>
      </c>
      <c r="R17" s="8" t="s">
        <v>503</v>
      </c>
      <c r="S17" s="8" t="s">
        <v>503</v>
      </c>
      <c r="T17" s="8" t="s">
        <v>503</v>
      </c>
      <c r="U17" s="8" t="s">
        <v>503</v>
      </c>
      <c r="V17" s="8" t="s">
        <v>503</v>
      </c>
      <c r="W17" s="8" t="s">
        <v>503</v>
      </c>
      <c r="X17" s="8" t="s">
        <v>503</v>
      </c>
      <c r="Y17" s="8" t="s">
        <v>503</v>
      </c>
      <c r="Z17" s="8" t="s">
        <v>503</v>
      </c>
      <c r="AA17" s="8" t="s">
        <v>503</v>
      </c>
      <c r="AB17" s="8" t="s">
        <v>503</v>
      </c>
      <c r="AC17" s="8" t="s">
        <v>503</v>
      </c>
      <c r="AD17" s="8" t="s">
        <v>503</v>
      </c>
      <c r="AE17" s="8" t="s">
        <v>503</v>
      </c>
      <c r="AF17" s="8" t="s">
        <v>503</v>
      </c>
      <c r="AG17" s="41">
        <f t="shared" si="6"/>
        <v>31</v>
      </c>
      <c r="AH17" s="42">
        <f t="shared" ref="AH17:AH22" si="7">AG17*100/31</f>
        <v>100</v>
      </c>
      <c r="AM17" s="20"/>
      <c r="AN17" s="20"/>
      <c r="AO17" s="20"/>
      <c r="AP17" s="20"/>
      <c r="AQ17" s="20"/>
      <c r="AR17" s="20"/>
      <c r="AX17" s="58"/>
    </row>
    <row r="18" spans="1:50" x14ac:dyDescent="0.35">
      <c r="A18" s="7" t="s">
        <v>42</v>
      </c>
      <c r="B18" s="8" t="s">
        <v>609</v>
      </c>
      <c r="C18" s="8" t="s">
        <v>609</v>
      </c>
      <c r="D18" s="8" t="s">
        <v>609</v>
      </c>
      <c r="E18" s="8" t="s">
        <v>609</v>
      </c>
      <c r="F18" s="8" t="s">
        <v>609</v>
      </c>
      <c r="G18" s="8" t="s">
        <v>609</v>
      </c>
      <c r="H18" s="8" t="s">
        <v>609</v>
      </c>
      <c r="I18" s="8" t="s">
        <v>609</v>
      </c>
      <c r="J18" s="8" t="s">
        <v>609</v>
      </c>
      <c r="K18" s="8" t="s">
        <v>609</v>
      </c>
      <c r="L18" s="8" t="s">
        <v>559</v>
      </c>
      <c r="M18" s="8"/>
      <c r="N18" s="8" t="s">
        <v>864</v>
      </c>
      <c r="O18" s="8"/>
      <c r="P18" s="8"/>
      <c r="Q18" s="8" t="s">
        <v>874</v>
      </c>
      <c r="R18" s="8" t="s">
        <v>874</v>
      </c>
      <c r="S18" s="8" t="s">
        <v>871</v>
      </c>
      <c r="T18" s="8" t="s">
        <v>871</v>
      </c>
      <c r="U18" s="8" t="s">
        <v>876</v>
      </c>
      <c r="V18" s="8" t="s">
        <v>876</v>
      </c>
      <c r="W18" s="8" t="s">
        <v>876</v>
      </c>
      <c r="X18" s="8" t="s">
        <v>876</v>
      </c>
      <c r="Y18" s="8" t="s">
        <v>876</v>
      </c>
      <c r="Z18" s="8" t="s">
        <v>876</v>
      </c>
      <c r="AA18" s="8" t="s">
        <v>876</v>
      </c>
      <c r="AB18" s="8" t="s">
        <v>876</v>
      </c>
      <c r="AC18" s="8" t="s">
        <v>876</v>
      </c>
      <c r="AD18" s="8" t="s">
        <v>876</v>
      </c>
      <c r="AE18" s="8" t="s">
        <v>876</v>
      </c>
      <c r="AF18" s="8" t="s">
        <v>876</v>
      </c>
      <c r="AG18" s="41">
        <f t="shared" si="6"/>
        <v>28</v>
      </c>
      <c r="AH18" s="42">
        <f t="shared" si="7"/>
        <v>90.322580645161295</v>
      </c>
      <c r="AM18" s="20"/>
      <c r="AN18" s="20"/>
      <c r="AO18" s="20"/>
      <c r="AP18" s="20"/>
      <c r="AQ18" s="20"/>
      <c r="AR18" s="20"/>
      <c r="AX18" s="58"/>
    </row>
    <row r="19" spans="1:50" x14ac:dyDescent="0.35">
      <c r="A19" s="7" t="s">
        <v>45</v>
      </c>
      <c r="B19" s="8" t="s">
        <v>828</v>
      </c>
      <c r="C19" s="8" t="s">
        <v>828</v>
      </c>
      <c r="D19" s="8" t="s">
        <v>828</v>
      </c>
      <c r="E19" s="8" t="s">
        <v>828</v>
      </c>
      <c r="F19" s="8" t="s">
        <v>828</v>
      </c>
      <c r="G19" s="8" t="s">
        <v>828</v>
      </c>
      <c r="H19" s="8" t="s">
        <v>828</v>
      </c>
      <c r="I19" s="8" t="s">
        <v>828</v>
      </c>
      <c r="J19" s="8" t="s">
        <v>828</v>
      </c>
      <c r="K19" s="8" t="s">
        <v>828</v>
      </c>
      <c r="L19" s="8" t="s">
        <v>855</v>
      </c>
      <c r="M19" s="8" t="s">
        <v>855</v>
      </c>
      <c r="N19" s="8" t="s">
        <v>855</v>
      </c>
      <c r="O19" s="8" t="s">
        <v>855</v>
      </c>
      <c r="P19" s="8" t="s">
        <v>651</v>
      </c>
      <c r="Q19" s="8" t="s">
        <v>651</v>
      </c>
      <c r="R19" s="8" t="s">
        <v>651</v>
      </c>
      <c r="S19" s="8" t="s">
        <v>651</v>
      </c>
      <c r="T19" s="8" t="s">
        <v>651</v>
      </c>
      <c r="U19" s="8" t="s">
        <v>651</v>
      </c>
      <c r="V19" s="8" t="s">
        <v>651</v>
      </c>
      <c r="W19" s="8" t="s">
        <v>651</v>
      </c>
      <c r="X19" s="8"/>
      <c r="Y19" s="8"/>
      <c r="Z19" s="8"/>
      <c r="AA19" s="82"/>
      <c r="AB19" s="8" t="s">
        <v>882</v>
      </c>
      <c r="AC19" s="8" t="s">
        <v>882</v>
      </c>
      <c r="AD19" s="8" t="s">
        <v>889</v>
      </c>
      <c r="AE19" s="8" t="s">
        <v>651</v>
      </c>
      <c r="AF19" s="8" t="s">
        <v>651</v>
      </c>
      <c r="AG19" s="41">
        <f t="shared" si="6"/>
        <v>27</v>
      </c>
      <c r="AH19" s="42">
        <f t="shared" si="7"/>
        <v>87.096774193548384</v>
      </c>
      <c r="AM19" s="20"/>
      <c r="AN19" s="20"/>
      <c r="AO19" s="20"/>
      <c r="AP19" s="20"/>
      <c r="AQ19" s="20"/>
      <c r="AR19" s="20"/>
      <c r="AX19" s="58"/>
    </row>
    <row r="20" spans="1:50" x14ac:dyDescent="0.35">
      <c r="A20" s="7" t="s">
        <v>47</v>
      </c>
      <c r="B20" s="8"/>
      <c r="C20" s="8" t="s">
        <v>124</v>
      </c>
      <c r="D20" s="8" t="s">
        <v>124</v>
      </c>
      <c r="E20" s="8" t="s">
        <v>124</v>
      </c>
      <c r="F20" s="8" t="s">
        <v>847</v>
      </c>
      <c r="G20" s="8" t="s">
        <v>847</v>
      </c>
      <c r="H20" s="8" t="s">
        <v>847</v>
      </c>
      <c r="I20" s="8" t="s">
        <v>847</v>
      </c>
      <c r="J20" s="8" t="s">
        <v>847</v>
      </c>
      <c r="K20" s="8" t="s">
        <v>847</v>
      </c>
      <c r="L20" s="8"/>
      <c r="M20" s="8" t="s">
        <v>856</v>
      </c>
      <c r="N20" s="8" t="s">
        <v>864</v>
      </c>
      <c r="O20" s="8" t="s">
        <v>864</v>
      </c>
      <c r="P20" s="55" t="s">
        <v>843</v>
      </c>
      <c r="Q20" s="55" t="s">
        <v>843</v>
      </c>
      <c r="R20" s="55" t="s">
        <v>843</v>
      </c>
      <c r="S20" s="55" t="s">
        <v>843</v>
      </c>
      <c r="T20" s="55" t="s">
        <v>843</v>
      </c>
      <c r="U20" s="55" t="s">
        <v>843</v>
      </c>
      <c r="V20" s="55" t="s">
        <v>843</v>
      </c>
      <c r="W20" s="55" t="s">
        <v>843</v>
      </c>
      <c r="X20" s="55" t="s">
        <v>843</v>
      </c>
      <c r="Y20" s="55" t="s">
        <v>843</v>
      </c>
      <c r="Z20" s="55" t="s">
        <v>843</v>
      </c>
      <c r="AA20" s="55" t="s">
        <v>843</v>
      </c>
      <c r="AB20" s="55" t="s">
        <v>843</v>
      </c>
      <c r="AC20" s="55" t="s">
        <v>843</v>
      </c>
      <c r="AD20" s="55" t="s">
        <v>843</v>
      </c>
      <c r="AE20" s="55" t="s">
        <v>843</v>
      </c>
      <c r="AF20" s="55" t="s">
        <v>843</v>
      </c>
      <c r="AG20" s="41">
        <f t="shared" si="6"/>
        <v>29</v>
      </c>
      <c r="AH20" s="42">
        <f t="shared" si="7"/>
        <v>93.548387096774192</v>
      </c>
      <c r="AM20" s="20"/>
      <c r="AN20" s="20"/>
      <c r="AO20" s="20"/>
      <c r="AP20" s="20"/>
      <c r="AQ20" s="20"/>
      <c r="AR20" s="20"/>
      <c r="AX20" s="58"/>
    </row>
    <row r="21" spans="1:50" x14ac:dyDescent="0.35">
      <c r="A21" s="7" t="s">
        <v>50</v>
      </c>
      <c r="B21" s="8" t="s">
        <v>828</v>
      </c>
      <c r="C21" s="8" t="s">
        <v>828</v>
      </c>
      <c r="D21" s="8" t="s">
        <v>828</v>
      </c>
      <c r="E21" s="8" t="s">
        <v>828</v>
      </c>
      <c r="F21" s="8" t="s">
        <v>828</v>
      </c>
      <c r="G21" s="8" t="s">
        <v>828</v>
      </c>
      <c r="H21" s="8" t="s">
        <v>828</v>
      </c>
      <c r="I21" s="8" t="s">
        <v>828</v>
      </c>
      <c r="J21" s="8" t="s">
        <v>828</v>
      </c>
      <c r="K21" s="8" t="s">
        <v>828</v>
      </c>
      <c r="L21" s="8"/>
      <c r="M21" s="8" t="s">
        <v>857</v>
      </c>
      <c r="N21" s="8" t="s">
        <v>864</v>
      </c>
      <c r="O21" s="8" t="s">
        <v>864</v>
      </c>
      <c r="P21" s="8" t="s">
        <v>609</v>
      </c>
      <c r="Q21" s="8" t="s">
        <v>609</v>
      </c>
      <c r="R21" s="8" t="s">
        <v>609</v>
      </c>
      <c r="S21" s="8" t="s">
        <v>609</v>
      </c>
      <c r="T21" s="8" t="s">
        <v>609</v>
      </c>
      <c r="U21" s="8" t="s">
        <v>609</v>
      </c>
      <c r="V21" s="8" t="s">
        <v>609</v>
      </c>
      <c r="W21" s="8" t="s">
        <v>609</v>
      </c>
      <c r="X21" s="8" t="s">
        <v>609</v>
      </c>
      <c r="Y21" s="8" t="s">
        <v>609</v>
      </c>
      <c r="Z21" s="8" t="s">
        <v>609</v>
      </c>
      <c r="AA21" s="8" t="s">
        <v>609</v>
      </c>
      <c r="AB21" s="8" t="s">
        <v>609</v>
      </c>
      <c r="AC21" s="8" t="s">
        <v>609</v>
      </c>
      <c r="AD21" s="8" t="s">
        <v>609</v>
      </c>
      <c r="AE21" s="8" t="s">
        <v>609</v>
      </c>
      <c r="AF21" s="8" t="s">
        <v>609</v>
      </c>
      <c r="AG21" s="41">
        <f t="shared" si="6"/>
        <v>30</v>
      </c>
      <c r="AH21" s="42">
        <f t="shared" si="7"/>
        <v>96.774193548387103</v>
      </c>
      <c r="AM21" s="20"/>
      <c r="AN21" s="20"/>
      <c r="AO21" s="20"/>
      <c r="AP21" s="20"/>
      <c r="AQ21" s="20"/>
      <c r="AR21" s="20"/>
      <c r="AX21" s="58"/>
    </row>
    <row r="22" spans="1:50" ht="15" thickBot="1" x14ac:dyDescent="0.4">
      <c r="A22" s="7" t="s">
        <v>51</v>
      </c>
      <c r="B22" s="8" t="s">
        <v>820</v>
      </c>
      <c r="C22" s="8" t="s">
        <v>124</v>
      </c>
      <c r="D22" s="8" t="s">
        <v>124</v>
      </c>
      <c r="E22" s="8" t="s">
        <v>124</v>
      </c>
      <c r="F22" s="8" t="s">
        <v>848</v>
      </c>
      <c r="G22" s="8" t="s">
        <v>848</v>
      </c>
      <c r="H22" s="8" t="s">
        <v>848</v>
      </c>
      <c r="I22" s="8" t="s">
        <v>848</v>
      </c>
      <c r="J22" s="8" t="s">
        <v>848</v>
      </c>
      <c r="K22" s="8" t="s">
        <v>848</v>
      </c>
      <c r="L22" s="8"/>
      <c r="M22" s="8" t="s">
        <v>865</v>
      </c>
      <c r="N22" s="8" t="s">
        <v>866</v>
      </c>
      <c r="O22" s="8" t="s">
        <v>866</v>
      </c>
      <c r="P22" s="8" t="s">
        <v>870</v>
      </c>
      <c r="Q22" s="8" t="s">
        <v>870</v>
      </c>
      <c r="R22" s="8" t="s">
        <v>870</v>
      </c>
      <c r="S22" s="8" t="s">
        <v>870</v>
      </c>
      <c r="T22" s="8" t="s">
        <v>870</v>
      </c>
      <c r="U22" s="8" t="s">
        <v>877</v>
      </c>
      <c r="V22" s="8" t="s">
        <v>877</v>
      </c>
      <c r="W22" s="8" t="s">
        <v>877</v>
      </c>
      <c r="X22" s="8" t="s">
        <v>877</v>
      </c>
      <c r="Y22" s="8" t="s">
        <v>877</v>
      </c>
      <c r="Z22" s="8" t="s">
        <v>877</v>
      </c>
      <c r="AA22" s="8" t="s">
        <v>877</v>
      </c>
      <c r="AB22" s="8" t="s">
        <v>877</v>
      </c>
      <c r="AC22" s="8" t="s">
        <v>877</v>
      </c>
      <c r="AD22" s="8" t="s">
        <v>877</v>
      </c>
      <c r="AE22" s="8" t="s">
        <v>877</v>
      </c>
      <c r="AF22" s="8" t="s">
        <v>877</v>
      </c>
      <c r="AG22" s="41">
        <f t="shared" si="6"/>
        <v>30</v>
      </c>
      <c r="AH22" s="42">
        <f t="shared" si="7"/>
        <v>96.774193548387103</v>
      </c>
      <c r="AX22" s="58"/>
    </row>
    <row r="23" spans="1:50" ht="15.5" x14ac:dyDescent="0.35">
      <c r="A23" s="45" t="s">
        <v>176</v>
      </c>
      <c r="B23" s="46">
        <f>COUNTA(B15:B22)</f>
        <v>7</v>
      </c>
      <c r="C23" s="46">
        <f>COUNTA(C16:C22)</f>
        <v>7</v>
      </c>
      <c r="D23" s="46">
        <f>COUNTA(D16:D22)</f>
        <v>7</v>
      </c>
      <c r="E23" s="46">
        <f t="shared" ref="E23:AF23" si="8">COUNTA(E15:E22)</f>
        <v>8</v>
      </c>
      <c r="F23" s="46">
        <f t="shared" si="8"/>
        <v>8</v>
      </c>
      <c r="G23" s="46">
        <f t="shared" si="8"/>
        <v>8</v>
      </c>
      <c r="H23" s="46">
        <f t="shared" si="8"/>
        <v>8</v>
      </c>
      <c r="I23" s="46">
        <f t="shared" si="8"/>
        <v>8</v>
      </c>
      <c r="J23" s="46">
        <f t="shared" si="8"/>
        <v>8</v>
      </c>
      <c r="K23" s="46">
        <f t="shared" si="8"/>
        <v>8</v>
      </c>
      <c r="L23" s="46">
        <f t="shared" si="8"/>
        <v>5</v>
      </c>
      <c r="M23" s="46">
        <f t="shared" si="8"/>
        <v>7</v>
      </c>
      <c r="N23" s="46">
        <f t="shared" si="8"/>
        <v>8</v>
      </c>
      <c r="O23" s="46">
        <f t="shared" si="8"/>
        <v>7</v>
      </c>
      <c r="P23" s="46">
        <f t="shared" si="8"/>
        <v>6</v>
      </c>
      <c r="Q23" s="46">
        <f t="shared" si="8"/>
        <v>8</v>
      </c>
      <c r="R23" s="46">
        <f t="shared" si="8"/>
        <v>7</v>
      </c>
      <c r="S23" s="46">
        <f t="shared" si="8"/>
        <v>8</v>
      </c>
      <c r="T23" s="46">
        <f>COUNTA(T15:T22)</f>
        <v>8</v>
      </c>
      <c r="U23" s="46">
        <f t="shared" si="8"/>
        <v>8</v>
      </c>
      <c r="V23" s="46">
        <f t="shared" si="8"/>
        <v>8</v>
      </c>
      <c r="W23" s="46">
        <f t="shared" si="8"/>
        <v>8</v>
      </c>
      <c r="X23" s="46">
        <f t="shared" si="8"/>
        <v>7</v>
      </c>
      <c r="Y23" s="46">
        <f t="shared" si="8"/>
        <v>7</v>
      </c>
      <c r="Z23" s="46">
        <f t="shared" si="8"/>
        <v>7</v>
      </c>
      <c r="AA23" s="46">
        <f t="shared" si="8"/>
        <v>7</v>
      </c>
      <c r="AB23" s="46">
        <f t="shared" si="8"/>
        <v>8</v>
      </c>
      <c r="AC23" s="46">
        <f t="shared" si="8"/>
        <v>8</v>
      </c>
      <c r="AD23" s="46">
        <f t="shared" si="8"/>
        <v>8</v>
      </c>
      <c r="AE23" s="46">
        <f t="shared" si="8"/>
        <v>8</v>
      </c>
      <c r="AF23" s="46">
        <f t="shared" si="8"/>
        <v>8</v>
      </c>
      <c r="AG23" s="43">
        <f>SUM(AG15:AG22)</f>
        <v>235</v>
      </c>
      <c r="AH23" s="42">
        <f t="shared" ref="AH23" si="9">AG23*100/31</f>
        <v>758.06451612903231</v>
      </c>
      <c r="AX23" s="58"/>
    </row>
    <row r="24" spans="1:50" ht="15.5" x14ac:dyDescent="0.35">
      <c r="A24" s="47" t="s">
        <v>178</v>
      </c>
      <c r="B24" s="52">
        <f>B12+B23</f>
        <v>13</v>
      </c>
      <c r="C24" s="52">
        <f t="shared" ref="C24:AF24" si="10">C12+C23</f>
        <v>13</v>
      </c>
      <c r="D24" s="52">
        <f t="shared" si="10"/>
        <v>12</v>
      </c>
      <c r="E24" s="52">
        <f t="shared" si="10"/>
        <v>13</v>
      </c>
      <c r="F24" s="52">
        <f t="shared" si="10"/>
        <v>14</v>
      </c>
      <c r="G24" s="52">
        <f t="shared" si="10"/>
        <v>14</v>
      </c>
      <c r="H24" s="52">
        <f t="shared" si="10"/>
        <v>14</v>
      </c>
      <c r="I24" s="52">
        <f t="shared" si="10"/>
        <v>13</v>
      </c>
      <c r="J24" s="52">
        <f t="shared" si="10"/>
        <v>13</v>
      </c>
      <c r="K24" s="52">
        <f t="shared" si="10"/>
        <v>13</v>
      </c>
      <c r="L24" s="52">
        <f t="shared" si="10"/>
        <v>7</v>
      </c>
      <c r="M24" s="52">
        <f t="shared" si="10"/>
        <v>13</v>
      </c>
      <c r="N24" s="52">
        <f t="shared" si="10"/>
        <v>13</v>
      </c>
      <c r="O24" s="52">
        <f t="shared" si="10"/>
        <v>12</v>
      </c>
      <c r="P24" s="52">
        <f t="shared" si="10"/>
        <v>8</v>
      </c>
      <c r="Q24" s="52">
        <f t="shared" si="10"/>
        <v>10</v>
      </c>
      <c r="R24" s="52">
        <f t="shared" si="10"/>
        <v>10</v>
      </c>
      <c r="S24" s="52">
        <f t="shared" si="10"/>
        <v>9</v>
      </c>
      <c r="T24" s="52">
        <f t="shared" si="10"/>
        <v>14</v>
      </c>
      <c r="U24" s="52">
        <f t="shared" si="10"/>
        <v>14</v>
      </c>
      <c r="V24" s="52">
        <f t="shared" si="10"/>
        <v>11</v>
      </c>
      <c r="W24" s="52">
        <f t="shared" si="10"/>
        <v>11</v>
      </c>
      <c r="X24" s="52">
        <f t="shared" si="10"/>
        <v>10</v>
      </c>
      <c r="Y24" s="52">
        <f t="shared" si="10"/>
        <v>8</v>
      </c>
      <c r="Z24" s="52">
        <f t="shared" si="10"/>
        <v>7</v>
      </c>
      <c r="AA24" s="52">
        <f t="shared" si="10"/>
        <v>7</v>
      </c>
      <c r="AB24" s="52">
        <f t="shared" si="10"/>
        <v>13</v>
      </c>
      <c r="AC24" s="52">
        <f t="shared" si="10"/>
        <v>13</v>
      </c>
      <c r="AD24" s="52">
        <f t="shared" si="10"/>
        <v>14</v>
      </c>
      <c r="AE24" s="52">
        <f t="shared" si="10"/>
        <v>12</v>
      </c>
      <c r="AF24" s="52">
        <f t="shared" si="10"/>
        <v>10</v>
      </c>
      <c r="AG24" s="49">
        <f>+AG12+AG23</f>
        <v>360</v>
      </c>
      <c r="AX24" s="58"/>
    </row>
    <row r="25" spans="1:50" ht="15.5" x14ac:dyDescent="0.35">
      <c r="A25" s="48" t="s">
        <v>179</v>
      </c>
      <c r="B25" s="42">
        <f>B24*100/15</f>
        <v>86.666666666666671</v>
      </c>
      <c r="C25" s="42">
        <f t="shared" ref="C25:AF25" si="11">C24*100/15</f>
        <v>86.666666666666671</v>
      </c>
      <c r="D25" s="42">
        <f t="shared" si="11"/>
        <v>80</v>
      </c>
      <c r="E25" s="42">
        <f t="shared" si="11"/>
        <v>86.666666666666671</v>
      </c>
      <c r="F25" s="42">
        <f t="shared" si="11"/>
        <v>93.333333333333329</v>
      </c>
      <c r="G25" s="42">
        <f t="shared" si="11"/>
        <v>93.333333333333329</v>
      </c>
      <c r="H25" s="42">
        <f t="shared" si="11"/>
        <v>93.333333333333329</v>
      </c>
      <c r="I25" s="42">
        <f t="shared" si="11"/>
        <v>86.666666666666671</v>
      </c>
      <c r="J25" s="42">
        <f t="shared" si="11"/>
        <v>86.666666666666671</v>
      </c>
      <c r="K25" s="42">
        <f t="shared" si="11"/>
        <v>86.666666666666671</v>
      </c>
      <c r="L25" s="42">
        <f t="shared" si="11"/>
        <v>46.666666666666664</v>
      </c>
      <c r="M25" s="42">
        <f t="shared" si="11"/>
        <v>86.666666666666671</v>
      </c>
      <c r="N25" s="42">
        <f t="shared" si="11"/>
        <v>86.666666666666671</v>
      </c>
      <c r="O25" s="42">
        <f t="shared" si="11"/>
        <v>80</v>
      </c>
      <c r="P25" s="42">
        <f t="shared" si="11"/>
        <v>53.333333333333336</v>
      </c>
      <c r="Q25" s="42">
        <f t="shared" si="11"/>
        <v>66.666666666666671</v>
      </c>
      <c r="R25" s="42">
        <f t="shared" si="11"/>
        <v>66.666666666666671</v>
      </c>
      <c r="S25" s="42">
        <f t="shared" si="11"/>
        <v>60</v>
      </c>
      <c r="T25" s="42">
        <f t="shared" si="11"/>
        <v>93.333333333333329</v>
      </c>
      <c r="U25" s="42">
        <f t="shared" si="11"/>
        <v>93.333333333333329</v>
      </c>
      <c r="V25" s="42">
        <f t="shared" si="11"/>
        <v>73.333333333333329</v>
      </c>
      <c r="W25" s="42">
        <f t="shared" si="11"/>
        <v>73.333333333333329</v>
      </c>
      <c r="X25" s="42">
        <f t="shared" si="11"/>
        <v>66.666666666666671</v>
      </c>
      <c r="Y25" s="42">
        <f t="shared" si="11"/>
        <v>53.333333333333336</v>
      </c>
      <c r="Z25" s="42">
        <f t="shared" si="11"/>
        <v>46.666666666666664</v>
      </c>
      <c r="AA25" s="42">
        <f t="shared" si="11"/>
        <v>46.666666666666664</v>
      </c>
      <c r="AB25" s="42">
        <f t="shared" si="11"/>
        <v>86.666666666666671</v>
      </c>
      <c r="AC25" s="42">
        <f t="shared" si="11"/>
        <v>86.666666666666671</v>
      </c>
      <c r="AD25" s="42">
        <f t="shared" si="11"/>
        <v>93.333333333333329</v>
      </c>
      <c r="AE25" s="42">
        <f t="shared" si="11"/>
        <v>80</v>
      </c>
      <c r="AF25" s="42">
        <f t="shared" si="11"/>
        <v>66.666666666666671</v>
      </c>
      <c r="AG25" s="50">
        <f>AVERAGE(B25:AE25)</f>
        <v>77.333333333333314</v>
      </c>
      <c r="AH25" s="51" t="s">
        <v>180</v>
      </c>
      <c r="AX25" s="58"/>
    </row>
    <row r="26" spans="1:50" x14ac:dyDescent="0.35">
      <c r="AX26" s="58"/>
    </row>
    <row r="27" spans="1:50" ht="41.5" customHeight="1" x14ac:dyDescent="0.35">
      <c r="L27" s="91" t="s">
        <v>863</v>
      </c>
    </row>
    <row r="29" spans="1:50" x14ac:dyDescent="0.35">
      <c r="L29" s="8" t="s">
        <v>858</v>
      </c>
    </row>
    <row r="30" spans="1:50" x14ac:dyDescent="0.35">
      <c r="F30" s="130" t="s">
        <v>849</v>
      </c>
      <c r="G30" s="130"/>
      <c r="H30" s="130"/>
      <c r="L30" s="8" t="s">
        <v>488</v>
      </c>
    </row>
    <row r="31" spans="1:50" x14ac:dyDescent="0.35">
      <c r="C31" s="92"/>
      <c r="L31" s="8" t="s">
        <v>859</v>
      </c>
    </row>
    <row r="32" spans="1:50" x14ac:dyDescent="0.35">
      <c r="C32" s="92"/>
      <c r="F32" s="82" t="s">
        <v>840</v>
      </c>
      <c r="G32" s="82" t="s">
        <v>840</v>
      </c>
      <c r="H32" s="82" t="s">
        <v>840</v>
      </c>
      <c r="I32" s="82" t="s">
        <v>840</v>
      </c>
      <c r="L32" s="8" t="s">
        <v>860</v>
      </c>
    </row>
    <row r="33" spans="3:12" x14ac:dyDescent="0.35">
      <c r="C33" s="93"/>
      <c r="F33" s="82" t="s">
        <v>841</v>
      </c>
      <c r="G33" s="82" t="s">
        <v>841</v>
      </c>
      <c r="H33" s="82" t="s">
        <v>841</v>
      </c>
      <c r="I33" s="82" t="s">
        <v>841</v>
      </c>
      <c r="L33" s="8" t="s">
        <v>819</v>
      </c>
    </row>
    <row r="34" spans="3:12" x14ac:dyDescent="0.35">
      <c r="C34" s="93"/>
      <c r="L34" s="8" t="s">
        <v>845</v>
      </c>
    </row>
    <row r="35" spans="3:12" x14ac:dyDescent="0.35">
      <c r="C35" s="92"/>
      <c r="L35" s="8" t="s">
        <v>828</v>
      </c>
    </row>
    <row r="36" spans="3:12" x14ac:dyDescent="0.35">
      <c r="C36" s="92"/>
      <c r="L36" s="8" t="s">
        <v>609</v>
      </c>
    </row>
    <row r="37" spans="3:12" x14ac:dyDescent="0.35">
      <c r="C37" s="92"/>
      <c r="L37" s="8" t="s">
        <v>828</v>
      </c>
    </row>
    <row r="38" spans="3:12" x14ac:dyDescent="0.35">
      <c r="C38" s="92"/>
      <c r="L38" s="8" t="s">
        <v>847</v>
      </c>
    </row>
    <row r="39" spans="3:12" x14ac:dyDescent="0.35">
      <c r="C39" s="92"/>
      <c r="L39" s="8" t="s">
        <v>828</v>
      </c>
    </row>
    <row r="40" spans="3:12" x14ac:dyDescent="0.35">
      <c r="C40" s="92"/>
      <c r="L40" s="8" t="s">
        <v>848</v>
      </c>
    </row>
    <row r="41" spans="3:12" x14ac:dyDescent="0.35">
      <c r="C41" s="92"/>
      <c r="L41" s="8" t="s">
        <v>843</v>
      </c>
    </row>
    <row r="42" spans="3:12" x14ac:dyDescent="0.35">
      <c r="C42" s="92"/>
      <c r="L42" s="8" t="s">
        <v>844</v>
      </c>
    </row>
    <row r="43" spans="3:12" x14ac:dyDescent="0.35">
      <c r="C43" s="92"/>
      <c r="L43" s="8" t="s">
        <v>503</v>
      </c>
    </row>
    <row r="44" spans="3:12" x14ac:dyDescent="0.35">
      <c r="L44" s="8" t="s">
        <v>861</v>
      </c>
    </row>
    <row r="45" spans="3:12" x14ac:dyDescent="0.35">
      <c r="L45" s="8" t="s">
        <v>862</v>
      </c>
    </row>
  </sheetData>
  <mergeCells count="3">
    <mergeCell ref="A1:AE1"/>
    <mergeCell ref="AM3:AR3"/>
    <mergeCell ref="F30:H30"/>
  </mergeCells>
  <conditionalFormatting sqref="B15">
    <cfRule type="colorScale" priority="19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7">
    <cfRule type="colorScale" priority="2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9:B20">
    <cfRule type="colorScale" priority="2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22">
    <cfRule type="colorScale" priority="1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7:C11 D7:H8 I8:M8 R8:S8 D10:T10 T8:T9 U8:U10">
    <cfRule type="colorScale" priority="2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6:K6">
    <cfRule type="colorScale" priority="2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21:M21">
    <cfRule type="colorScale" priority="18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8:N18 S18:AF18">
    <cfRule type="colorScale" priority="2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6:O16">
    <cfRule type="colorScale" priority="20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C20:M20 C22:AF22 P16:AF16 Y19:AF19">
    <cfRule type="colorScale" priority="68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C17:O17">
    <cfRule type="colorScale" priority="30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C19:O19">
    <cfRule type="colorScale" priority="29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C15:AF15">
    <cfRule type="colorScale" priority="3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D9:M9">
    <cfRule type="colorScale" priority="1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F32:I32">
    <cfRule type="colorScale" priority="1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F33:I33">
    <cfRule type="colorScale" priority="1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I7:M7 Q9:S9 L6:M6 D11:AB11 B5:M5 O5:AF5 V8:AB8 R7:AB7 Y9:AF9 V9:X10 R6:AF6 AC7:AE8 Y10:AB10 AE10 AE11:AF11 AC10:AD11">
    <cfRule type="colorScale" priority="7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L29:L45">
    <cfRule type="colorScale" priority="1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L13:U14 B13:I14 X13:AH14">
    <cfRule type="colorScale" priority="7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N5">
    <cfRule type="colorScale" priority="1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N20:O20">
    <cfRule type="colorScale" priority="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N21:O21">
    <cfRule type="colorScale" priority="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N6:P6">
    <cfRule type="colorScale" priority="1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N7:P7">
    <cfRule type="colorScale" priority="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N9:P9">
    <cfRule type="colorScale" priority="8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N8:Q8">
    <cfRule type="colorScale" priority="10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O18:R18 P21:AF21 P19:X19">
    <cfRule type="colorScale" priority="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P17:AF17">
    <cfRule type="colorScale" priority="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P20:AF20">
    <cfRule type="colorScale" priority="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Q6:Q7">
    <cfRule type="colorScale" priority="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F7">
    <cfRule type="colorScale" priority="58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F8">
    <cfRule type="colorScale" priority="60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F10">
    <cfRule type="colorScale" priority="71">
      <colorScale>
        <cfvo type="num" val="1"/>
        <cfvo type="max"/>
        <color theme="4" tint="0.59999389629810485"/>
        <color theme="5" tint="0.59999389629810485"/>
      </colorScale>
    </cfRule>
  </conditionalFormatting>
  <pageMargins left="0.2" right="0.45" top="0.75" bottom="0.75" header="0.3" footer="0.3"/>
  <pageSetup scale="90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F21D7-AA16-43BA-BB23-F5DFDD8BD244}">
  <dimension ref="A1:AX43"/>
  <sheetViews>
    <sheetView zoomScaleNormal="100" workbookViewId="0">
      <pane xSplit="1" ySplit="4" topLeftCell="V5" activePane="bottomRight" state="frozen"/>
      <selection pane="topRight" activeCell="B1" sqref="B1"/>
      <selection pane="bottomLeft" activeCell="A5" sqref="A5"/>
      <selection pane="bottomRight" activeCell="AJ15" sqref="AJ15"/>
    </sheetView>
  </sheetViews>
  <sheetFormatPr defaultRowHeight="14.5" x14ac:dyDescent="0.35"/>
  <cols>
    <col min="1" max="1" width="43.7265625" customWidth="1"/>
    <col min="2" max="2" width="11.81640625" bestFit="1" customWidth="1"/>
    <col min="3" max="3" width="10.54296875" bestFit="1" customWidth="1"/>
    <col min="4" max="4" width="11.1796875" bestFit="1" customWidth="1"/>
    <col min="5" max="5" width="12.26953125" bestFit="1" customWidth="1"/>
    <col min="6" max="11" width="13.453125" bestFit="1" customWidth="1"/>
    <col min="12" max="12" width="15.26953125" bestFit="1" customWidth="1"/>
    <col min="13" max="13" width="15.81640625" bestFit="1" customWidth="1"/>
    <col min="14" max="17" width="11.81640625" bestFit="1" customWidth="1"/>
    <col min="18" max="20" width="12.81640625" bestFit="1" customWidth="1"/>
    <col min="21" max="21" width="11.81640625" bestFit="1" customWidth="1"/>
    <col min="22" max="31" width="12.81640625" bestFit="1" customWidth="1"/>
    <col min="32" max="32" width="11.453125" hidden="1" customWidth="1"/>
    <col min="33" max="33" width="4.7265625" bestFit="1" customWidth="1"/>
    <col min="34" max="34" width="8.453125" bestFit="1" customWidth="1"/>
    <col min="35" max="35" width="8" bestFit="1" customWidth="1"/>
    <col min="36" max="36" width="8.453125" customWidth="1"/>
    <col min="37" max="37" width="0" hidden="1" customWidth="1"/>
    <col min="38" max="38" width="3" hidden="1" customWidth="1"/>
    <col min="39" max="39" width="17.81640625" bestFit="1" customWidth="1"/>
    <col min="40" max="40" width="9.1796875" bestFit="1" customWidth="1"/>
    <col min="41" max="41" width="9.81640625" bestFit="1" customWidth="1"/>
    <col min="42" max="42" width="10.81640625" bestFit="1" customWidth="1"/>
    <col min="43" max="43" width="10.1796875" bestFit="1" customWidth="1"/>
    <col min="44" max="44" width="23.1796875" bestFit="1" customWidth="1"/>
    <col min="45" max="45" width="0.453125" hidden="1" customWidth="1"/>
    <col min="46" max="49" width="0" hidden="1" customWidth="1"/>
    <col min="51" max="51" width="15" bestFit="1" customWidth="1"/>
  </cols>
  <sheetData>
    <row r="1" spans="1:44" ht="15.5" x14ac:dyDescent="0.35">
      <c r="A1" s="120" t="s">
        <v>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65"/>
    </row>
    <row r="2" spans="1:44" ht="15" thickBot="1" x14ac:dyDescent="0.4"/>
    <row r="3" spans="1:44" ht="45.75" customHeight="1" x14ac:dyDescent="0.35">
      <c r="A3" s="1" t="s">
        <v>1</v>
      </c>
      <c r="B3" s="2">
        <f>AI4</f>
        <v>45809</v>
      </c>
      <c r="C3" s="2">
        <f t="shared" ref="C3:AF3" si="0">B3+1</f>
        <v>45810</v>
      </c>
      <c r="D3" s="2">
        <f t="shared" si="0"/>
        <v>45811</v>
      </c>
      <c r="E3" s="2">
        <f t="shared" si="0"/>
        <v>45812</v>
      </c>
      <c r="F3" s="2">
        <f t="shared" si="0"/>
        <v>45813</v>
      </c>
      <c r="G3" s="2">
        <f t="shared" si="0"/>
        <v>45814</v>
      </c>
      <c r="H3" s="2">
        <f t="shared" si="0"/>
        <v>45815</v>
      </c>
      <c r="I3" s="2">
        <f>H3+1</f>
        <v>45816</v>
      </c>
      <c r="J3" s="2">
        <f t="shared" si="0"/>
        <v>45817</v>
      </c>
      <c r="K3" s="2">
        <f t="shared" si="0"/>
        <v>45818</v>
      </c>
      <c r="L3" s="2">
        <f t="shared" si="0"/>
        <v>45819</v>
      </c>
      <c r="M3" s="2">
        <f t="shared" si="0"/>
        <v>45820</v>
      </c>
      <c r="N3" s="2">
        <f t="shared" si="0"/>
        <v>45821</v>
      </c>
      <c r="O3" s="2">
        <f t="shared" si="0"/>
        <v>45822</v>
      </c>
      <c r="P3" s="2">
        <f t="shared" si="0"/>
        <v>45823</v>
      </c>
      <c r="Q3" s="2">
        <f t="shared" si="0"/>
        <v>45824</v>
      </c>
      <c r="R3" s="2">
        <f t="shared" si="0"/>
        <v>45825</v>
      </c>
      <c r="S3" s="2">
        <f t="shared" si="0"/>
        <v>45826</v>
      </c>
      <c r="T3" s="2">
        <f t="shared" si="0"/>
        <v>45827</v>
      </c>
      <c r="U3" s="2">
        <f t="shared" si="0"/>
        <v>45828</v>
      </c>
      <c r="V3" s="2">
        <f t="shared" si="0"/>
        <v>45829</v>
      </c>
      <c r="W3" s="2">
        <f t="shared" si="0"/>
        <v>45830</v>
      </c>
      <c r="X3" s="2">
        <f t="shared" si="0"/>
        <v>45831</v>
      </c>
      <c r="Y3" s="2">
        <f t="shared" si="0"/>
        <v>45832</v>
      </c>
      <c r="Z3" s="2">
        <f t="shared" si="0"/>
        <v>45833</v>
      </c>
      <c r="AA3" s="2">
        <f t="shared" si="0"/>
        <v>45834</v>
      </c>
      <c r="AB3" s="2">
        <f t="shared" si="0"/>
        <v>45835</v>
      </c>
      <c r="AC3" s="2">
        <f t="shared" si="0"/>
        <v>45836</v>
      </c>
      <c r="AD3" s="2">
        <f t="shared" si="0"/>
        <v>45837</v>
      </c>
      <c r="AE3" s="2">
        <f t="shared" si="0"/>
        <v>45838</v>
      </c>
      <c r="AF3" s="2">
        <f t="shared" si="0"/>
        <v>45839</v>
      </c>
      <c r="AG3" s="36"/>
      <c r="AH3" s="36"/>
      <c r="AM3" s="122" t="s">
        <v>267</v>
      </c>
      <c r="AN3" s="123"/>
      <c r="AO3" s="123"/>
      <c r="AP3" s="123"/>
      <c r="AQ3" s="123"/>
      <c r="AR3" s="124"/>
    </row>
    <row r="4" spans="1:44" ht="31.5" customHeight="1" x14ac:dyDescent="0.35">
      <c r="A4" s="3" t="s">
        <v>2</v>
      </c>
      <c r="B4" s="4">
        <f t="shared" ref="B4:AF4" si="1">B3</f>
        <v>45809</v>
      </c>
      <c r="C4" s="4">
        <f t="shared" si="1"/>
        <v>45810</v>
      </c>
      <c r="D4" s="4">
        <f t="shared" si="1"/>
        <v>45811</v>
      </c>
      <c r="E4" s="4">
        <f t="shared" si="1"/>
        <v>45812</v>
      </c>
      <c r="F4" s="4">
        <f t="shared" si="1"/>
        <v>45813</v>
      </c>
      <c r="G4" s="4">
        <f t="shared" si="1"/>
        <v>45814</v>
      </c>
      <c r="H4" s="4">
        <f t="shared" si="1"/>
        <v>45815</v>
      </c>
      <c r="I4" s="4">
        <f t="shared" si="1"/>
        <v>45816</v>
      </c>
      <c r="J4" s="4">
        <f t="shared" si="1"/>
        <v>45817</v>
      </c>
      <c r="K4" s="4">
        <f t="shared" si="1"/>
        <v>45818</v>
      </c>
      <c r="L4" s="4">
        <f t="shared" si="1"/>
        <v>45819</v>
      </c>
      <c r="M4" s="4">
        <f t="shared" si="1"/>
        <v>45820</v>
      </c>
      <c r="N4" s="4">
        <f t="shared" si="1"/>
        <v>45821</v>
      </c>
      <c r="O4" s="4">
        <f t="shared" si="1"/>
        <v>45822</v>
      </c>
      <c r="P4" s="4">
        <f t="shared" si="1"/>
        <v>45823</v>
      </c>
      <c r="Q4" s="4">
        <f t="shared" si="1"/>
        <v>45824</v>
      </c>
      <c r="R4" s="4">
        <f t="shared" si="1"/>
        <v>45825</v>
      </c>
      <c r="S4" s="4">
        <f t="shared" si="1"/>
        <v>45826</v>
      </c>
      <c r="T4" s="4">
        <f t="shared" si="1"/>
        <v>45827</v>
      </c>
      <c r="U4" s="4">
        <f t="shared" si="1"/>
        <v>45828</v>
      </c>
      <c r="V4" s="4">
        <f t="shared" si="1"/>
        <v>45829</v>
      </c>
      <c r="W4" s="4">
        <f t="shared" si="1"/>
        <v>45830</v>
      </c>
      <c r="X4" s="4">
        <f t="shared" si="1"/>
        <v>45831</v>
      </c>
      <c r="Y4" s="4">
        <f t="shared" si="1"/>
        <v>45832</v>
      </c>
      <c r="Z4" s="4">
        <f t="shared" si="1"/>
        <v>45833</v>
      </c>
      <c r="AA4" s="4">
        <f t="shared" si="1"/>
        <v>45834</v>
      </c>
      <c r="AB4" s="4">
        <f t="shared" si="1"/>
        <v>45835</v>
      </c>
      <c r="AC4" s="4">
        <f t="shared" si="1"/>
        <v>45836</v>
      </c>
      <c r="AD4" s="4">
        <f t="shared" si="1"/>
        <v>45837</v>
      </c>
      <c r="AE4" s="4">
        <f t="shared" si="1"/>
        <v>45838</v>
      </c>
      <c r="AF4" s="4">
        <f t="shared" si="1"/>
        <v>45839</v>
      </c>
      <c r="AG4" s="39" t="s">
        <v>174</v>
      </c>
      <c r="AH4" s="40" t="s">
        <v>175</v>
      </c>
      <c r="AI4" s="5">
        <v>45809</v>
      </c>
      <c r="AJ4" s="6">
        <f>EOMONTH(AI4,0)</f>
        <v>45838</v>
      </c>
      <c r="AM4" s="19" t="s">
        <v>54</v>
      </c>
      <c r="AN4" s="19" t="s">
        <v>269</v>
      </c>
      <c r="AO4" s="19" t="s">
        <v>55</v>
      </c>
      <c r="AP4" s="19" t="s">
        <v>56</v>
      </c>
      <c r="AQ4" s="19" t="s">
        <v>251</v>
      </c>
      <c r="AR4" s="19" t="s">
        <v>57</v>
      </c>
    </row>
    <row r="5" spans="1:44" x14ac:dyDescent="0.35">
      <c r="A5" s="7" t="s">
        <v>3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41">
        <f>COUNTA(B5:AF5)</f>
        <v>0</v>
      </c>
      <c r="AH5" s="42">
        <f>AG5*100/30</f>
        <v>0</v>
      </c>
      <c r="AM5" s="20" t="s">
        <v>562</v>
      </c>
      <c r="AN5" s="56" t="s">
        <v>835</v>
      </c>
      <c r="AO5" s="56" t="s">
        <v>836</v>
      </c>
      <c r="AP5" s="56"/>
      <c r="AQ5" s="57"/>
      <c r="AR5" s="20"/>
    </row>
    <row r="6" spans="1:44" x14ac:dyDescent="0.35">
      <c r="A6" s="7" t="s">
        <v>7</v>
      </c>
      <c r="B6" s="55" t="s">
        <v>846</v>
      </c>
      <c r="C6" s="55" t="s">
        <v>846</v>
      </c>
      <c r="D6" s="55" t="s">
        <v>846</v>
      </c>
      <c r="E6" s="55" t="s">
        <v>846</v>
      </c>
      <c r="F6" s="55" t="s">
        <v>846</v>
      </c>
      <c r="G6" s="55" t="s">
        <v>846</v>
      </c>
      <c r="H6" s="55" t="s">
        <v>846</v>
      </c>
      <c r="I6" s="55" t="s">
        <v>846</v>
      </c>
      <c r="J6" s="55" t="s">
        <v>846</v>
      </c>
      <c r="K6" s="55" t="s">
        <v>846</v>
      </c>
      <c r="L6" s="55" t="s">
        <v>846</v>
      </c>
      <c r="M6" s="55" t="s">
        <v>846</v>
      </c>
      <c r="N6" s="55" t="s">
        <v>846</v>
      </c>
      <c r="O6" s="55" t="s">
        <v>846</v>
      </c>
      <c r="P6" s="55" t="s">
        <v>846</v>
      </c>
      <c r="Q6" s="55" t="s">
        <v>846</v>
      </c>
      <c r="R6" s="55" t="s">
        <v>846</v>
      </c>
      <c r="S6" s="55" t="s">
        <v>846</v>
      </c>
      <c r="T6" s="55" t="s">
        <v>846</v>
      </c>
      <c r="U6" s="55" t="s">
        <v>846</v>
      </c>
      <c r="V6" s="55" t="s">
        <v>846</v>
      </c>
      <c r="W6" s="55" t="s">
        <v>846</v>
      </c>
      <c r="X6" s="55" t="s">
        <v>846</v>
      </c>
      <c r="Y6" s="55" t="s">
        <v>846</v>
      </c>
      <c r="Z6" s="55" t="s">
        <v>846</v>
      </c>
      <c r="AA6" s="55" t="s">
        <v>846</v>
      </c>
      <c r="AB6" s="55" t="s">
        <v>846</v>
      </c>
      <c r="AC6" s="55" t="s">
        <v>846</v>
      </c>
      <c r="AD6" s="55" t="s">
        <v>846</v>
      </c>
      <c r="AE6" s="55" t="s">
        <v>846</v>
      </c>
      <c r="AF6" s="55"/>
      <c r="AG6" s="41">
        <f t="shared" ref="AG6:AG11" si="2">COUNTA(B6:AF6)</f>
        <v>30</v>
      </c>
      <c r="AH6" s="42">
        <f>AG6*100/30</f>
        <v>100</v>
      </c>
      <c r="AM6" s="20" t="s">
        <v>561</v>
      </c>
      <c r="AN6" s="56" t="s">
        <v>835</v>
      </c>
      <c r="AO6" s="56" t="s">
        <v>836</v>
      </c>
      <c r="AP6" s="56"/>
      <c r="AQ6" s="57"/>
      <c r="AR6" s="20"/>
    </row>
    <row r="7" spans="1:44" x14ac:dyDescent="0.35">
      <c r="A7" s="7" t="s">
        <v>11</v>
      </c>
      <c r="B7" s="55"/>
      <c r="C7" s="55" t="s">
        <v>884</v>
      </c>
      <c r="D7" s="55" t="s">
        <v>884</v>
      </c>
      <c r="E7" s="68" t="s">
        <v>879</v>
      </c>
      <c r="F7" s="68" t="s">
        <v>879</v>
      </c>
      <c r="G7" s="68" t="s">
        <v>879</v>
      </c>
      <c r="H7" s="55"/>
      <c r="I7" s="55"/>
      <c r="J7" s="55"/>
      <c r="K7" s="55"/>
      <c r="L7" s="55"/>
      <c r="M7" s="55"/>
      <c r="N7" s="55"/>
      <c r="O7" s="55"/>
      <c r="P7" s="55"/>
      <c r="Q7" s="55" t="s">
        <v>422</v>
      </c>
      <c r="R7" s="55" t="s">
        <v>422</v>
      </c>
      <c r="S7" s="55" t="s">
        <v>422</v>
      </c>
      <c r="T7" s="55" t="s">
        <v>422</v>
      </c>
      <c r="U7" s="55" t="s">
        <v>422</v>
      </c>
      <c r="V7" s="55" t="s">
        <v>422</v>
      </c>
      <c r="W7" s="55" t="s">
        <v>422</v>
      </c>
      <c r="X7" s="55" t="s">
        <v>422</v>
      </c>
      <c r="Y7" s="55"/>
      <c r="Z7" s="55"/>
      <c r="AA7" s="55" t="s">
        <v>25</v>
      </c>
      <c r="AB7" s="55" t="s">
        <v>25</v>
      </c>
      <c r="AC7" s="55"/>
      <c r="AD7" s="55"/>
      <c r="AE7" s="55"/>
      <c r="AF7" s="8"/>
      <c r="AG7" s="41">
        <f t="shared" si="2"/>
        <v>15</v>
      </c>
      <c r="AH7" s="42">
        <f t="shared" ref="AH7:AH11" si="3">AG7*100/30</f>
        <v>50</v>
      </c>
      <c r="AM7" s="20" t="s">
        <v>834</v>
      </c>
      <c r="AN7" s="56" t="s">
        <v>835</v>
      </c>
      <c r="AO7" s="56" t="s">
        <v>836</v>
      </c>
      <c r="AP7" s="56"/>
      <c r="AQ7" s="57"/>
      <c r="AR7" s="20"/>
    </row>
    <row r="8" spans="1:44" ht="15" customHeight="1" x14ac:dyDescent="0.35">
      <c r="A8" s="7" t="s">
        <v>15</v>
      </c>
      <c r="B8" s="55"/>
      <c r="C8" s="55" t="s">
        <v>524</v>
      </c>
      <c r="D8" s="55" t="s">
        <v>524</v>
      </c>
      <c r="E8" s="68" t="s">
        <v>524</v>
      </c>
      <c r="F8" s="68" t="s">
        <v>524</v>
      </c>
      <c r="G8" s="55"/>
      <c r="H8" s="55"/>
      <c r="I8" s="55"/>
      <c r="J8" s="55"/>
      <c r="K8" s="55"/>
      <c r="L8" s="55"/>
      <c r="M8" s="55"/>
      <c r="N8" s="68" t="s">
        <v>891</v>
      </c>
      <c r="O8" s="68" t="s">
        <v>891</v>
      </c>
      <c r="P8" s="55"/>
      <c r="Q8" s="55" t="s">
        <v>895</v>
      </c>
      <c r="R8" s="55" t="s">
        <v>895</v>
      </c>
      <c r="S8" s="55" t="s">
        <v>895</v>
      </c>
      <c r="T8" s="55" t="s">
        <v>895</v>
      </c>
      <c r="U8" s="55" t="s">
        <v>895</v>
      </c>
      <c r="V8" s="55" t="s">
        <v>895</v>
      </c>
      <c r="W8" s="55" t="s">
        <v>895</v>
      </c>
      <c r="X8" s="55" t="s">
        <v>895</v>
      </c>
      <c r="Y8" s="68"/>
      <c r="Z8" s="55" t="s">
        <v>901</v>
      </c>
      <c r="AA8" s="76" t="s">
        <v>901</v>
      </c>
      <c r="AB8" s="76" t="s">
        <v>421</v>
      </c>
      <c r="AC8" s="55"/>
      <c r="AD8" s="55" t="s">
        <v>421</v>
      </c>
      <c r="AE8" s="55" t="s">
        <v>421</v>
      </c>
      <c r="AF8" s="55"/>
      <c r="AG8" s="41">
        <f t="shared" si="2"/>
        <v>19</v>
      </c>
      <c r="AH8" s="42">
        <f t="shared" si="3"/>
        <v>63.333333333333336</v>
      </c>
      <c r="AK8" s="9"/>
      <c r="AM8" s="20" t="s">
        <v>488</v>
      </c>
      <c r="AN8" s="56" t="s">
        <v>835</v>
      </c>
      <c r="AO8" s="56" t="s">
        <v>836</v>
      </c>
      <c r="AP8" s="56"/>
      <c r="AQ8" s="57"/>
      <c r="AR8" s="20"/>
    </row>
    <row r="9" spans="1:44" ht="15.75" customHeight="1" x14ac:dyDescent="0.35">
      <c r="A9" s="7" t="s">
        <v>18</v>
      </c>
      <c r="B9" s="55"/>
      <c r="C9" s="55"/>
      <c r="D9" s="55"/>
      <c r="E9" s="68" t="s">
        <v>879</v>
      </c>
      <c r="F9" s="68" t="s">
        <v>879</v>
      </c>
      <c r="G9" s="68" t="s">
        <v>879</v>
      </c>
      <c r="H9" s="55"/>
      <c r="I9" s="55"/>
      <c r="J9" s="55"/>
      <c r="K9" s="55"/>
      <c r="L9" s="55"/>
      <c r="M9" s="55"/>
      <c r="N9" s="68" t="s">
        <v>891</v>
      </c>
      <c r="O9" s="68" t="s">
        <v>891</v>
      </c>
      <c r="P9" s="55"/>
      <c r="Q9" s="55"/>
      <c r="R9" s="55"/>
      <c r="S9" s="55"/>
      <c r="T9" s="55"/>
      <c r="U9" s="55" t="s">
        <v>898</v>
      </c>
      <c r="V9" s="55" t="s">
        <v>471</v>
      </c>
      <c r="W9" s="55" t="s">
        <v>471</v>
      </c>
      <c r="X9" s="55" t="s">
        <v>471</v>
      </c>
      <c r="Y9" s="55" t="s">
        <v>471</v>
      </c>
      <c r="Z9" s="55" t="s">
        <v>471</v>
      </c>
      <c r="AA9" s="55" t="s">
        <v>471</v>
      </c>
      <c r="AB9" s="55" t="s">
        <v>471</v>
      </c>
      <c r="AC9" s="55"/>
      <c r="AD9" s="55"/>
      <c r="AE9" s="55"/>
      <c r="AF9" s="8"/>
      <c r="AG9" s="41">
        <f t="shared" si="2"/>
        <v>13</v>
      </c>
      <c r="AH9" s="42">
        <f t="shared" si="3"/>
        <v>43.333333333333336</v>
      </c>
      <c r="AM9" s="20" t="s">
        <v>837</v>
      </c>
      <c r="AN9" s="56" t="s">
        <v>835</v>
      </c>
      <c r="AO9" s="56" t="s">
        <v>836</v>
      </c>
      <c r="AP9" s="56"/>
      <c r="AQ9" s="57"/>
      <c r="AR9" s="20"/>
    </row>
    <row r="10" spans="1:44" ht="15.75" customHeight="1" x14ac:dyDescent="0.35">
      <c r="A10" s="7" t="s">
        <v>20</v>
      </c>
      <c r="B10" s="55" t="s">
        <v>25</v>
      </c>
      <c r="C10" s="55" t="s">
        <v>25</v>
      </c>
      <c r="D10" s="55"/>
      <c r="E10" s="68" t="s">
        <v>879</v>
      </c>
      <c r="F10" s="68" t="s">
        <v>879</v>
      </c>
      <c r="G10" s="68" t="s">
        <v>879</v>
      </c>
      <c r="H10" s="55"/>
      <c r="I10" s="55"/>
      <c r="J10" s="55"/>
      <c r="K10" s="55"/>
      <c r="L10" s="55"/>
      <c r="M10" s="55"/>
      <c r="N10" s="68" t="s">
        <v>891</v>
      </c>
      <c r="O10" s="68" t="s">
        <v>891</v>
      </c>
      <c r="P10" s="55"/>
      <c r="Q10" s="55"/>
      <c r="R10" s="55"/>
      <c r="S10" s="55"/>
      <c r="T10" s="55"/>
      <c r="U10" s="55" t="s">
        <v>898</v>
      </c>
      <c r="V10" s="55" t="s">
        <v>902</v>
      </c>
      <c r="W10" s="55"/>
      <c r="X10" s="55"/>
      <c r="Y10" s="68"/>
      <c r="Z10" s="55" t="s">
        <v>901</v>
      </c>
      <c r="AA10" s="76" t="s">
        <v>901</v>
      </c>
      <c r="AB10" s="76" t="s">
        <v>902</v>
      </c>
      <c r="AC10" s="55"/>
      <c r="AD10" s="55"/>
      <c r="AE10" s="55" t="s">
        <v>92</v>
      </c>
      <c r="AF10" s="8"/>
      <c r="AG10" s="41">
        <f t="shared" si="2"/>
        <v>13</v>
      </c>
      <c r="AH10" s="42">
        <f t="shared" si="3"/>
        <v>43.333333333333336</v>
      </c>
      <c r="AM10" s="20" t="s">
        <v>831</v>
      </c>
      <c r="AN10" s="56" t="s">
        <v>835</v>
      </c>
      <c r="AO10" s="56" t="s">
        <v>838</v>
      </c>
      <c r="AP10" s="56" t="s">
        <v>839</v>
      </c>
      <c r="AQ10" s="57">
        <v>3</v>
      </c>
      <c r="AR10" s="20"/>
    </row>
    <row r="11" spans="1:44" ht="15.75" customHeight="1" thickBot="1" x14ac:dyDescent="0.4">
      <c r="A11" s="7" t="s">
        <v>24</v>
      </c>
      <c r="B11" s="55" t="s">
        <v>185</v>
      </c>
      <c r="C11" s="55" t="s">
        <v>185</v>
      </c>
      <c r="D11" s="55"/>
      <c r="E11" s="68" t="s">
        <v>879</v>
      </c>
      <c r="F11" s="68" t="s">
        <v>879</v>
      </c>
      <c r="G11" s="68" t="s">
        <v>879</v>
      </c>
      <c r="H11" s="55"/>
      <c r="I11" s="55"/>
      <c r="J11" s="55"/>
      <c r="K11" s="55"/>
      <c r="L11" s="55"/>
      <c r="M11" s="55"/>
      <c r="N11" s="68" t="s">
        <v>891</v>
      </c>
      <c r="O11" s="68" t="s">
        <v>891</v>
      </c>
      <c r="P11" s="55"/>
      <c r="Q11" s="55"/>
      <c r="R11" s="55"/>
      <c r="S11" s="55" t="s">
        <v>897</v>
      </c>
      <c r="T11" s="55" t="s">
        <v>897</v>
      </c>
      <c r="U11" s="55" t="s">
        <v>898</v>
      </c>
      <c r="V11" s="55" t="s">
        <v>902</v>
      </c>
      <c r="W11" s="55"/>
      <c r="X11" s="55"/>
      <c r="Y11" s="68"/>
      <c r="Z11" s="55" t="s">
        <v>901</v>
      </c>
      <c r="AA11" s="76" t="s">
        <v>901</v>
      </c>
      <c r="AB11" s="76" t="s">
        <v>902</v>
      </c>
      <c r="AC11" s="55"/>
      <c r="AD11" s="55"/>
      <c r="AE11" s="55"/>
      <c r="AF11" s="55"/>
      <c r="AG11" s="41">
        <f t="shared" si="2"/>
        <v>14</v>
      </c>
      <c r="AH11" s="42">
        <f t="shared" si="3"/>
        <v>46.666666666666664</v>
      </c>
      <c r="AM11" s="20" t="s">
        <v>831</v>
      </c>
      <c r="AN11" s="56" t="s">
        <v>835</v>
      </c>
      <c r="AO11" s="56" t="s">
        <v>838</v>
      </c>
      <c r="AP11" s="56" t="s">
        <v>839</v>
      </c>
      <c r="AQ11" s="57">
        <v>3</v>
      </c>
      <c r="AR11" s="20"/>
    </row>
    <row r="12" spans="1:44" ht="15" customHeight="1" x14ac:dyDescent="0.35">
      <c r="A12" s="45" t="s">
        <v>176</v>
      </c>
      <c r="B12" s="46">
        <f>COUNTA(B5:B11)</f>
        <v>3</v>
      </c>
      <c r="C12" s="46">
        <f>COUNTA(C5:C11)</f>
        <v>5</v>
      </c>
      <c r="D12" s="46">
        <f t="shared" ref="D12:AF12" si="4">COUNTA(D5:D11)</f>
        <v>3</v>
      </c>
      <c r="E12" s="46">
        <f t="shared" si="4"/>
        <v>6</v>
      </c>
      <c r="F12" s="46">
        <f t="shared" si="4"/>
        <v>6</v>
      </c>
      <c r="G12" s="46">
        <f t="shared" si="4"/>
        <v>5</v>
      </c>
      <c r="H12" s="46">
        <f t="shared" si="4"/>
        <v>1</v>
      </c>
      <c r="I12" s="46">
        <f t="shared" si="4"/>
        <v>1</v>
      </c>
      <c r="J12" s="46">
        <f t="shared" si="4"/>
        <v>1</v>
      </c>
      <c r="K12" s="46">
        <f t="shared" si="4"/>
        <v>1</v>
      </c>
      <c r="L12" s="46">
        <f t="shared" si="4"/>
        <v>1</v>
      </c>
      <c r="M12" s="46">
        <f t="shared" si="4"/>
        <v>1</v>
      </c>
      <c r="N12" s="46">
        <f t="shared" si="4"/>
        <v>5</v>
      </c>
      <c r="O12" s="46">
        <f t="shared" si="4"/>
        <v>5</v>
      </c>
      <c r="P12" s="46">
        <f t="shared" si="4"/>
        <v>1</v>
      </c>
      <c r="Q12" s="46">
        <f t="shared" si="4"/>
        <v>3</v>
      </c>
      <c r="R12" s="46">
        <f t="shared" si="4"/>
        <v>3</v>
      </c>
      <c r="S12" s="46">
        <f t="shared" si="4"/>
        <v>4</v>
      </c>
      <c r="T12" s="46">
        <f t="shared" si="4"/>
        <v>4</v>
      </c>
      <c r="U12" s="46">
        <f t="shared" si="4"/>
        <v>6</v>
      </c>
      <c r="V12" s="46">
        <f t="shared" si="4"/>
        <v>6</v>
      </c>
      <c r="W12" s="46">
        <f t="shared" si="4"/>
        <v>4</v>
      </c>
      <c r="X12" s="46">
        <f t="shared" si="4"/>
        <v>4</v>
      </c>
      <c r="Y12" s="46">
        <f t="shared" si="4"/>
        <v>2</v>
      </c>
      <c r="Z12" s="46">
        <f t="shared" si="4"/>
        <v>5</v>
      </c>
      <c r="AA12" s="46">
        <f t="shared" si="4"/>
        <v>6</v>
      </c>
      <c r="AB12" s="46">
        <f t="shared" si="4"/>
        <v>6</v>
      </c>
      <c r="AC12" s="46">
        <f>COUNTA(AC5:AC11)</f>
        <v>1</v>
      </c>
      <c r="AD12" s="46">
        <f>COUNTA(AD5:AD11)</f>
        <v>2</v>
      </c>
      <c r="AE12" s="46">
        <f>COUNTA(AE5:AE11)</f>
        <v>3</v>
      </c>
      <c r="AF12" s="46">
        <f t="shared" si="4"/>
        <v>0</v>
      </c>
      <c r="AG12" s="43">
        <f t="shared" ref="AG12" si="5">SUM(AG5:AG11)</f>
        <v>104</v>
      </c>
      <c r="AH12" s="44">
        <f>AVERAGE(AH5:AH11)</f>
        <v>49.523809523809526</v>
      </c>
      <c r="AI12" s="29"/>
      <c r="AM12" s="20"/>
      <c r="AN12" s="20"/>
      <c r="AO12" s="20"/>
      <c r="AP12" s="20"/>
      <c r="AQ12" s="20"/>
      <c r="AR12" s="20"/>
    </row>
    <row r="13" spans="1:44" ht="57" hidden="1" x14ac:dyDescent="0.35">
      <c r="A13" s="13" t="s">
        <v>28</v>
      </c>
      <c r="B13" s="14"/>
      <c r="C13" s="14"/>
      <c r="D13" s="14"/>
      <c r="E13" s="14"/>
      <c r="F13" s="14"/>
      <c r="G13" s="14"/>
      <c r="H13" s="14"/>
      <c r="I13" s="35"/>
      <c r="J13" s="34"/>
      <c r="K13" s="15"/>
      <c r="L13" s="14"/>
      <c r="M13" s="14"/>
      <c r="N13" s="25"/>
      <c r="O13" s="25"/>
      <c r="P13" s="25"/>
      <c r="Q13" s="14"/>
      <c r="R13" s="14"/>
      <c r="S13" s="14"/>
      <c r="T13" s="14"/>
      <c r="U13" s="14"/>
      <c r="V13" s="15"/>
      <c r="W13" s="15"/>
      <c r="X13" s="14"/>
      <c r="Y13" s="14"/>
      <c r="Z13" s="14"/>
      <c r="AA13" s="14"/>
      <c r="AB13" s="14"/>
      <c r="AC13" s="14"/>
      <c r="AD13" s="14"/>
      <c r="AE13" s="14"/>
      <c r="AF13" s="14"/>
      <c r="AG13" s="37"/>
      <c r="AH13" s="37"/>
      <c r="AM13" s="20"/>
      <c r="AN13" s="20"/>
      <c r="AO13" s="20"/>
      <c r="AP13" s="20"/>
      <c r="AQ13" s="20"/>
      <c r="AR13" s="20"/>
    </row>
    <row r="14" spans="1:44" ht="28.5" hidden="1" x14ac:dyDescent="0.35">
      <c r="A14" s="16" t="s">
        <v>29</v>
      </c>
      <c r="B14" s="14"/>
      <c r="C14" s="14"/>
      <c r="D14" s="14"/>
      <c r="E14" s="14"/>
      <c r="F14" s="14"/>
      <c r="G14" s="14"/>
      <c r="H14" s="14"/>
      <c r="I14" s="35"/>
      <c r="J14" s="34"/>
      <c r="K14" s="15"/>
      <c r="L14" s="14"/>
      <c r="M14" s="14"/>
      <c r="N14" s="25"/>
      <c r="O14" s="25"/>
      <c r="P14" s="25"/>
      <c r="Q14" s="14"/>
      <c r="R14" s="14"/>
      <c r="S14" s="14"/>
      <c r="T14" s="14"/>
      <c r="U14" s="14"/>
      <c r="V14" s="15"/>
      <c r="W14" s="15"/>
      <c r="X14" s="14"/>
      <c r="Y14" s="14"/>
      <c r="Z14" s="14"/>
      <c r="AA14" s="14"/>
      <c r="AB14" s="14"/>
      <c r="AC14" s="14"/>
      <c r="AD14" s="14"/>
      <c r="AE14" s="14"/>
      <c r="AF14" s="14"/>
      <c r="AG14" s="37"/>
      <c r="AH14" s="37"/>
      <c r="AM14" s="20"/>
      <c r="AN14" s="20"/>
      <c r="AO14" s="20"/>
      <c r="AP14" s="20"/>
      <c r="AQ14" s="20"/>
      <c r="AR14" s="20"/>
    </row>
    <row r="15" spans="1:44" x14ac:dyDescent="0.35">
      <c r="A15" s="7" t="s">
        <v>30</v>
      </c>
      <c r="B15" s="8" t="s">
        <v>869</v>
      </c>
      <c r="C15" s="8" t="s">
        <v>869</v>
      </c>
      <c r="D15" s="8" t="s">
        <v>869</v>
      </c>
      <c r="E15" s="8" t="s">
        <v>869</v>
      </c>
      <c r="F15" s="8" t="s">
        <v>869</v>
      </c>
      <c r="G15" s="8" t="s">
        <v>869</v>
      </c>
      <c r="H15" s="8" t="s">
        <v>869</v>
      </c>
      <c r="I15" s="8" t="s">
        <v>869</v>
      </c>
      <c r="J15" s="8" t="s">
        <v>869</v>
      </c>
      <c r="K15" s="8" t="s">
        <v>869</v>
      </c>
      <c r="L15" s="8"/>
      <c r="M15" s="8"/>
      <c r="N15" s="55" t="s">
        <v>825</v>
      </c>
      <c r="O15" s="55" t="s">
        <v>825</v>
      </c>
      <c r="P15" s="55" t="s">
        <v>825</v>
      </c>
      <c r="Q15" s="55" t="s">
        <v>825</v>
      </c>
      <c r="R15" s="55" t="s">
        <v>825</v>
      </c>
      <c r="S15" s="55" t="s">
        <v>825</v>
      </c>
      <c r="T15" s="55" t="s">
        <v>825</v>
      </c>
      <c r="U15" s="55" t="s">
        <v>898</v>
      </c>
      <c r="V15" s="8"/>
      <c r="W15" s="8" t="s">
        <v>899</v>
      </c>
      <c r="X15" s="8" t="s">
        <v>899</v>
      </c>
      <c r="Y15" s="8" t="s">
        <v>899</v>
      </c>
      <c r="Z15" s="8" t="s">
        <v>899</v>
      </c>
      <c r="AA15" s="8" t="s">
        <v>899</v>
      </c>
      <c r="AB15" s="8" t="s">
        <v>899</v>
      </c>
      <c r="AC15" s="8" t="s">
        <v>899</v>
      </c>
      <c r="AD15" s="8" t="s">
        <v>899</v>
      </c>
      <c r="AE15" s="8" t="s">
        <v>899</v>
      </c>
      <c r="AF15" s="8"/>
      <c r="AG15" s="41">
        <f>COUNTA(B15:AF15)</f>
        <v>27</v>
      </c>
      <c r="AH15" s="42">
        <f>AG15*100/30</f>
        <v>90</v>
      </c>
      <c r="AM15" s="20"/>
      <c r="AN15" s="20"/>
      <c r="AO15" s="20"/>
      <c r="AP15" s="20"/>
      <c r="AQ15" s="20"/>
      <c r="AR15" s="20"/>
    </row>
    <row r="16" spans="1:44" x14ac:dyDescent="0.35">
      <c r="A16" s="7" t="s">
        <v>35</v>
      </c>
      <c r="B16" s="8" t="s">
        <v>890</v>
      </c>
      <c r="C16" s="8" t="s">
        <v>890</v>
      </c>
      <c r="D16" s="8" t="s">
        <v>890</v>
      </c>
      <c r="E16" s="8" t="s">
        <v>890</v>
      </c>
      <c r="F16" s="8" t="s">
        <v>890</v>
      </c>
      <c r="G16" s="8" t="s">
        <v>890</v>
      </c>
      <c r="H16" s="8"/>
      <c r="I16" s="8"/>
      <c r="J16" s="8"/>
      <c r="K16" s="8"/>
      <c r="L16" s="8"/>
      <c r="M16" s="55" t="s">
        <v>892</v>
      </c>
      <c r="N16" s="55" t="s">
        <v>892</v>
      </c>
      <c r="O16" s="55"/>
      <c r="P16" s="8"/>
      <c r="Q16" s="8"/>
      <c r="R16" s="8"/>
      <c r="S16" s="8"/>
      <c r="T16" s="8"/>
      <c r="U16" s="8"/>
      <c r="V16" s="8"/>
      <c r="W16" s="8" t="s">
        <v>899</v>
      </c>
      <c r="X16" s="8" t="s">
        <v>899</v>
      </c>
      <c r="Y16" s="8" t="s">
        <v>899</v>
      </c>
      <c r="Z16" s="8" t="s">
        <v>899</v>
      </c>
      <c r="AA16" s="8" t="s">
        <v>899</v>
      </c>
      <c r="AB16" s="8" t="s">
        <v>899</v>
      </c>
      <c r="AC16" s="8" t="s">
        <v>899</v>
      </c>
      <c r="AD16" s="8" t="s">
        <v>899</v>
      </c>
      <c r="AE16" s="8" t="s">
        <v>899</v>
      </c>
      <c r="AF16" s="8"/>
      <c r="AG16" s="41">
        <f t="shared" ref="AG16:AG22" si="6">COUNTA(B16:AF16)</f>
        <v>17</v>
      </c>
      <c r="AH16" s="42">
        <f>AG16*100/30</f>
        <v>56.666666666666664</v>
      </c>
      <c r="AM16" s="20"/>
      <c r="AN16" s="20"/>
      <c r="AO16" s="56"/>
      <c r="AP16" s="56"/>
      <c r="AQ16" s="20"/>
      <c r="AR16" s="20"/>
    </row>
    <row r="17" spans="1:50" x14ac:dyDescent="0.35">
      <c r="A17" s="7" t="s">
        <v>39</v>
      </c>
      <c r="B17" s="8" t="s">
        <v>503</v>
      </c>
      <c r="C17" s="8" t="s">
        <v>503</v>
      </c>
      <c r="D17" s="8" t="s">
        <v>503</v>
      </c>
      <c r="E17" s="8" t="s">
        <v>503</v>
      </c>
      <c r="F17" s="8" t="s">
        <v>503</v>
      </c>
      <c r="G17" s="8" t="s">
        <v>503</v>
      </c>
      <c r="H17" s="8" t="s">
        <v>503</v>
      </c>
      <c r="I17" s="8" t="s">
        <v>503</v>
      </c>
      <c r="J17" s="8" t="s">
        <v>503</v>
      </c>
      <c r="K17" s="8" t="s">
        <v>503</v>
      </c>
      <c r="L17" s="8" t="s">
        <v>503</v>
      </c>
      <c r="M17" s="8" t="s">
        <v>503</v>
      </c>
      <c r="N17" s="8" t="s">
        <v>503</v>
      </c>
      <c r="O17" s="8" t="s">
        <v>503</v>
      </c>
      <c r="P17" s="8" t="s">
        <v>503</v>
      </c>
      <c r="Q17" s="8" t="s">
        <v>503</v>
      </c>
      <c r="R17" s="8" t="s">
        <v>503</v>
      </c>
      <c r="S17" s="8" t="s">
        <v>503</v>
      </c>
      <c r="T17" s="8" t="s">
        <v>503</v>
      </c>
      <c r="U17" s="8" t="s">
        <v>503</v>
      </c>
      <c r="V17" s="8" t="s">
        <v>503</v>
      </c>
      <c r="W17" s="8" t="s">
        <v>503</v>
      </c>
      <c r="X17" s="8" t="s">
        <v>503</v>
      </c>
      <c r="Y17" s="8" t="s">
        <v>503</v>
      </c>
      <c r="Z17" s="8" t="s">
        <v>503</v>
      </c>
      <c r="AA17" s="8" t="s">
        <v>503</v>
      </c>
      <c r="AB17" s="8" t="s">
        <v>503</v>
      </c>
      <c r="AC17" s="8" t="s">
        <v>503</v>
      </c>
      <c r="AD17" s="8" t="s">
        <v>503</v>
      </c>
      <c r="AE17" s="8" t="s">
        <v>503</v>
      </c>
      <c r="AF17" s="8"/>
      <c r="AG17" s="41">
        <f t="shared" si="6"/>
        <v>30</v>
      </c>
      <c r="AH17" s="42">
        <f t="shared" ref="AH17:AH22" si="7">AG17*100/30</f>
        <v>100</v>
      </c>
      <c r="AM17" s="20"/>
      <c r="AN17" s="20"/>
      <c r="AO17" s="20"/>
      <c r="AP17" s="20"/>
      <c r="AQ17" s="20"/>
      <c r="AR17" s="20"/>
      <c r="AX17" s="58"/>
    </row>
    <row r="18" spans="1:50" x14ac:dyDescent="0.35">
      <c r="A18" s="7" t="s">
        <v>42</v>
      </c>
      <c r="B18" s="8" t="s">
        <v>876</v>
      </c>
      <c r="C18" s="8" t="s">
        <v>876</v>
      </c>
      <c r="D18" s="8" t="s">
        <v>876</v>
      </c>
      <c r="E18" s="68" t="s">
        <v>879</v>
      </c>
      <c r="F18" s="68" t="s">
        <v>879</v>
      </c>
      <c r="G18" s="68" t="s">
        <v>879</v>
      </c>
      <c r="H18" s="8"/>
      <c r="I18" s="8"/>
      <c r="J18" s="8"/>
      <c r="K18" s="8"/>
      <c r="L18" s="8"/>
      <c r="M18" s="55" t="s">
        <v>894</v>
      </c>
      <c r="N18" s="55" t="s">
        <v>894</v>
      </c>
      <c r="O18" s="55"/>
      <c r="P18" s="8"/>
      <c r="Q18" s="8"/>
      <c r="R18" s="8"/>
      <c r="S18" s="8"/>
      <c r="T18" s="8"/>
      <c r="U18" s="8"/>
      <c r="V18" s="8" t="s">
        <v>900</v>
      </c>
      <c r="W18" s="8" t="s">
        <v>900</v>
      </c>
      <c r="X18" s="8" t="s">
        <v>900</v>
      </c>
      <c r="Y18" s="8" t="s">
        <v>900</v>
      </c>
      <c r="Z18" s="8" t="s">
        <v>900</v>
      </c>
      <c r="AA18" s="8" t="s">
        <v>900</v>
      </c>
      <c r="AB18" s="8" t="s">
        <v>900</v>
      </c>
      <c r="AC18" s="8" t="s">
        <v>900</v>
      </c>
      <c r="AD18" s="8" t="s">
        <v>900</v>
      </c>
      <c r="AE18" s="8" t="s">
        <v>900</v>
      </c>
      <c r="AF18" s="8"/>
      <c r="AG18" s="41">
        <f t="shared" si="6"/>
        <v>18</v>
      </c>
      <c r="AH18" s="42">
        <f t="shared" si="7"/>
        <v>60</v>
      </c>
      <c r="AM18" s="20"/>
      <c r="AN18" s="20"/>
      <c r="AO18" s="20"/>
      <c r="AP18" s="20"/>
      <c r="AQ18" s="20"/>
      <c r="AR18" s="20"/>
      <c r="AX18" s="58"/>
    </row>
    <row r="19" spans="1:50" x14ac:dyDescent="0.35">
      <c r="A19" s="7" t="s">
        <v>45</v>
      </c>
      <c r="B19" s="8" t="s">
        <v>651</v>
      </c>
      <c r="C19" s="8" t="s">
        <v>651</v>
      </c>
      <c r="D19" s="8" t="s">
        <v>651</v>
      </c>
      <c r="E19" s="8" t="s">
        <v>651</v>
      </c>
      <c r="F19" s="8" t="s">
        <v>651</v>
      </c>
      <c r="G19" s="8" t="s">
        <v>651</v>
      </c>
      <c r="H19" s="8"/>
      <c r="I19" s="8"/>
      <c r="J19" s="8"/>
      <c r="K19" s="8"/>
      <c r="L19" s="8"/>
      <c r="M19" s="55" t="s">
        <v>893</v>
      </c>
      <c r="N19" s="55" t="s">
        <v>893</v>
      </c>
      <c r="O19" s="55"/>
      <c r="P19" s="8"/>
      <c r="Q19" s="8" t="s">
        <v>896</v>
      </c>
      <c r="R19" s="8" t="s">
        <v>896</v>
      </c>
      <c r="S19" s="8" t="s">
        <v>896</v>
      </c>
      <c r="T19" s="8" t="s">
        <v>896</v>
      </c>
      <c r="U19" s="8" t="s">
        <v>896</v>
      </c>
      <c r="V19" s="8"/>
      <c r="W19" s="8" t="s">
        <v>899</v>
      </c>
      <c r="X19" s="8" t="s">
        <v>899</v>
      </c>
      <c r="Y19" s="8" t="s">
        <v>899</v>
      </c>
      <c r="Z19" s="8" t="s">
        <v>899</v>
      </c>
      <c r="AA19" s="8" t="s">
        <v>899</v>
      </c>
      <c r="AB19" s="8" t="s">
        <v>899</v>
      </c>
      <c r="AC19" s="8" t="s">
        <v>899</v>
      </c>
      <c r="AD19" s="8" t="s">
        <v>899</v>
      </c>
      <c r="AE19" s="8" t="s">
        <v>899</v>
      </c>
      <c r="AF19" s="8"/>
      <c r="AG19" s="41">
        <f t="shared" si="6"/>
        <v>22</v>
      </c>
      <c r="AH19" s="42">
        <f t="shared" si="7"/>
        <v>73.333333333333329</v>
      </c>
      <c r="AM19" s="20"/>
      <c r="AN19" s="20"/>
      <c r="AO19" s="20"/>
      <c r="AP19" s="20"/>
      <c r="AQ19" s="20"/>
      <c r="AR19" s="20"/>
      <c r="AX19" s="58"/>
    </row>
    <row r="20" spans="1:50" x14ac:dyDescent="0.35">
      <c r="A20" s="7" t="s">
        <v>47</v>
      </c>
      <c r="B20" s="8" t="s">
        <v>843</v>
      </c>
      <c r="C20" s="8" t="s">
        <v>843</v>
      </c>
      <c r="D20" s="8" t="s">
        <v>843</v>
      </c>
      <c r="E20" s="8" t="s">
        <v>843</v>
      </c>
      <c r="F20" s="8" t="s">
        <v>843</v>
      </c>
      <c r="G20" s="8" t="s">
        <v>843</v>
      </c>
      <c r="H20" s="8" t="s">
        <v>843</v>
      </c>
      <c r="I20" s="8" t="s">
        <v>843</v>
      </c>
      <c r="J20" s="8" t="s">
        <v>843</v>
      </c>
      <c r="K20" s="8" t="s">
        <v>843</v>
      </c>
      <c r="L20" s="8" t="s">
        <v>843</v>
      </c>
      <c r="M20" s="8" t="s">
        <v>843</v>
      </c>
      <c r="N20" s="8" t="s">
        <v>843</v>
      </c>
      <c r="O20" s="8" t="s">
        <v>843</v>
      </c>
      <c r="P20" s="8" t="s">
        <v>843</v>
      </c>
      <c r="Q20" s="8" t="s">
        <v>843</v>
      </c>
      <c r="R20" s="8" t="s">
        <v>843</v>
      </c>
      <c r="S20" s="8" t="s">
        <v>843</v>
      </c>
      <c r="T20" s="8" t="s">
        <v>843</v>
      </c>
      <c r="U20" s="8" t="s">
        <v>843</v>
      </c>
      <c r="V20" s="8" t="s">
        <v>843</v>
      </c>
      <c r="W20" s="8" t="s">
        <v>843</v>
      </c>
      <c r="X20" s="8" t="s">
        <v>843</v>
      </c>
      <c r="Y20" s="8" t="s">
        <v>843</v>
      </c>
      <c r="Z20" s="8" t="s">
        <v>843</v>
      </c>
      <c r="AA20" s="8" t="s">
        <v>843</v>
      </c>
      <c r="AB20" s="8" t="s">
        <v>843</v>
      </c>
      <c r="AC20" s="8" t="s">
        <v>843</v>
      </c>
      <c r="AD20" s="8" t="s">
        <v>843</v>
      </c>
      <c r="AE20" s="8" t="s">
        <v>843</v>
      </c>
      <c r="AF20" s="8"/>
      <c r="AG20" s="41">
        <f t="shared" si="6"/>
        <v>30</v>
      </c>
      <c r="AH20" s="42">
        <f t="shared" si="7"/>
        <v>100</v>
      </c>
      <c r="AM20" s="20"/>
      <c r="AN20" s="20"/>
      <c r="AO20" s="20"/>
      <c r="AP20" s="20"/>
      <c r="AQ20" s="20"/>
      <c r="AR20" s="20"/>
      <c r="AX20" s="58"/>
    </row>
    <row r="21" spans="1:50" x14ac:dyDescent="0.35">
      <c r="A21" s="7" t="s">
        <v>50</v>
      </c>
      <c r="B21" s="8" t="s">
        <v>609</v>
      </c>
      <c r="C21" s="8" t="s">
        <v>609</v>
      </c>
      <c r="D21" s="8" t="s">
        <v>609</v>
      </c>
      <c r="E21" s="8" t="s">
        <v>609</v>
      </c>
      <c r="F21" s="8" t="s">
        <v>609</v>
      </c>
      <c r="G21" s="8" t="s">
        <v>609</v>
      </c>
      <c r="H21" s="8" t="s">
        <v>609</v>
      </c>
      <c r="I21" s="8" t="s">
        <v>609</v>
      </c>
      <c r="J21" s="8" t="s">
        <v>609</v>
      </c>
      <c r="K21" s="8" t="s">
        <v>609</v>
      </c>
      <c r="L21" s="8" t="s">
        <v>609</v>
      </c>
      <c r="M21" s="8" t="s">
        <v>609</v>
      </c>
      <c r="N21" s="8" t="s">
        <v>609</v>
      </c>
      <c r="O21" s="8" t="s">
        <v>609</v>
      </c>
      <c r="P21" s="8" t="s">
        <v>609</v>
      </c>
      <c r="Q21" s="8" t="s">
        <v>609</v>
      </c>
      <c r="R21" s="8" t="s">
        <v>609</v>
      </c>
      <c r="S21" s="8" t="s">
        <v>609</v>
      </c>
      <c r="T21" s="8" t="s">
        <v>609</v>
      </c>
      <c r="U21" s="8" t="s">
        <v>609</v>
      </c>
      <c r="V21" s="8" t="s">
        <v>609</v>
      </c>
      <c r="W21" s="8" t="s">
        <v>609</v>
      </c>
      <c r="X21" s="8" t="s">
        <v>609</v>
      </c>
      <c r="Y21" s="8" t="s">
        <v>609</v>
      </c>
      <c r="Z21" s="8" t="s">
        <v>609</v>
      </c>
      <c r="AA21" s="8" t="s">
        <v>609</v>
      </c>
      <c r="AB21" s="8" t="s">
        <v>609</v>
      </c>
      <c r="AC21" s="8" t="s">
        <v>609</v>
      </c>
      <c r="AD21" s="8" t="s">
        <v>609</v>
      </c>
      <c r="AE21" s="8" t="s">
        <v>609</v>
      </c>
      <c r="AF21" s="8"/>
      <c r="AG21" s="41">
        <f t="shared" si="6"/>
        <v>30</v>
      </c>
      <c r="AH21" s="42">
        <f t="shared" si="7"/>
        <v>100</v>
      </c>
      <c r="AM21" s="20"/>
      <c r="AN21" s="20"/>
      <c r="AO21" s="20"/>
      <c r="AP21" s="20"/>
      <c r="AQ21" s="20"/>
      <c r="AR21" s="20"/>
      <c r="AX21" s="58"/>
    </row>
    <row r="22" spans="1:50" ht="15" thickBot="1" x14ac:dyDescent="0.4">
      <c r="A22" s="7" t="s">
        <v>51</v>
      </c>
      <c r="B22" s="8" t="s">
        <v>877</v>
      </c>
      <c r="C22" s="8" t="s">
        <v>877</v>
      </c>
      <c r="D22" s="8" t="s">
        <v>877</v>
      </c>
      <c r="E22" s="8" t="s">
        <v>877</v>
      </c>
      <c r="F22" s="8" t="s">
        <v>877</v>
      </c>
      <c r="G22" s="8" t="s">
        <v>877</v>
      </c>
      <c r="H22" s="8" t="s">
        <v>877</v>
      </c>
      <c r="I22" s="8" t="s">
        <v>877</v>
      </c>
      <c r="J22" s="8" t="s">
        <v>877</v>
      </c>
      <c r="K22" s="8" t="s">
        <v>877</v>
      </c>
      <c r="L22" s="8" t="s">
        <v>877</v>
      </c>
      <c r="M22" s="8" t="s">
        <v>877</v>
      </c>
      <c r="N22" s="8" t="s">
        <v>877</v>
      </c>
      <c r="O22" s="8" t="s">
        <v>877</v>
      </c>
      <c r="P22" s="8" t="s">
        <v>877</v>
      </c>
      <c r="Q22" s="8" t="s">
        <v>877</v>
      </c>
      <c r="R22" s="8" t="s">
        <v>877</v>
      </c>
      <c r="S22" s="8" t="s">
        <v>877</v>
      </c>
      <c r="T22" s="8" t="s">
        <v>877</v>
      </c>
      <c r="U22" s="8" t="s">
        <v>877</v>
      </c>
      <c r="V22" s="26"/>
      <c r="W22" s="8"/>
      <c r="X22" s="8"/>
      <c r="Y22" s="26"/>
      <c r="Z22" s="26"/>
      <c r="AA22" s="8" t="s">
        <v>185</v>
      </c>
      <c r="AB22" s="8" t="s">
        <v>185</v>
      </c>
      <c r="AC22" s="8"/>
      <c r="AD22" s="8"/>
      <c r="AE22" s="8"/>
      <c r="AF22" s="8"/>
      <c r="AG22" s="41">
        <f t="shared" si="6"/>
        <v>22</v>
      </c>
      <c r="AH22" s="42">
        <f t="shared" si="7"/>
        <v>73.333333333333329</v>
      </c>
      <c r="AX22" s="58"/>
    </row>
    <row r="23" spans="1:50" ht="15.5" x14ac:dyDescent="0.35">
      <c r="A23" s="45" t="s">
        <v>176</v>
      </c>
      <c r="B23" s="46">
        <f>COUNTA(B15:B22)</f>
        <v>8</v>
      </c>
      <c r="C23" s="46">
        <f>COUNTA(C16:C22)</f>
        <v>7</v>
      </c>
      <c r="D23" s="46">
        <f>COUNTA(D16:D22)</f>
        <v>7</v>
      </c>
      <c r="E23" s="46">
        <f t="shared" ref="E23:AF23" si="8">COUNTA(E15:E22)</f>
        <v>8</v>
      </c>
      <c r="F23" s="46">
        <f t="shared" si="8"/>
        <v>8</v>
      </c>
      <c r="G23" s="46">
        <f t="shared" si="8"/>
        <v>8</v>
      </c>
      <c r="H23" s="46">
        <f t="shared" si="8"/>
        <v>5</v>
      </c>
      <c r="I23" s="46">
        <f t="shared" si="8"/>
        <v>5</v>
      </c>
      <c r="J23" s="46">
        <f t="shared" si="8"/>
        <v>5</v>
      </c>
      <c r="K23" s="46">
        <f t="shared" si="8"/>
        <v>5</v>
      </c>
      <c r="L23" s="46">
        <f t="shared" si="8"/>
        <v>4</v>
      </c>
      <c r="M23" s="46">
        <f t="shared" si="8"/>
        <v>7</v>
      </c>
      <c r="N23" s="46">
        <f t="shared" si="8"/>
        <v>8</v>
      </c>
      <c r="O23" s="46">
        <f t="shared" si="8"/>
        <v>5</v>
      </c>
      <c r="P23" s="46">
        <f t="shared" si="8"/>
        <v>5</v>
      </c>
      <c r="Q23" s="46">
        <f t="shared" si="8"/>
        <v>6</v>
      </c>
      <c r="R23" s="46">
        <f t="shared" si="8"/>
        <v>6</v>
      </c>
      <c r="S23" s="46">
        <f t="shared" si="8"/>
        <v>6</v>
      </c>
      <c r="T23" s="46">
        <f>COUNTA(T15:T22)</f>
        <v>6</v>
      </c>
      <c r="U23" s="46">
        <f t="shared" si="8"/>
        <v>6</v>
      </c>
      <c r="V23" s="46">
        <f t="shared" si="8"/>
        <v>4</v>
      </c>
      <c r="W23" s="46">
        <f t="shared" si="8"/>
        <v>7</v>
      </c>
      <c r="X23" s="46">
        <f t="shared" si="8"/>
        <v>7</v>
      </c>
      <c r="Y23" s="46">
        <f t="shared" si="8"/>
        <v>7</v>
      </c>
      <c r="Z23" s="46">
        <f t="shared" si="8"/>
        <v>7</v>
      </c>
      <c r="AA23" s="46">
        <f t="shared" si="8"/>
        <v>8</v>
      </c>
      <c r="AB23" s="46">
        <f t="shared" si="8"/>
        <v>8</v>
      </c>
      <c r="AC23" s="46">
        <f t="shared" si="8"/>
        <v>7</v>
      </c>
      <c r="AD23" s="46">
        <f t="shared" si="8"/>
        <v>7</v>
      </c>
      <c r="AE23" s="46">
        <f t="shared" si="8"/>
        <v>7</v>
      </c>
      <c r="AF23" s="46">
        <f t="shared" si="8"/>
        <v>0</v>
      </c>
      <c r="AG23" s="43">
        <f>SUM(AG15:AG22)</f>
        <v>196</v>
      </c>
      <c r="AH23" s="42">
        <f t="shared" ref="AH23" si="9">AG23*100/31</f>
        <v>632.25806451612902</v>
      </c>
      <c r="AX23" s="58"/>
    </row>
    <row r="24" spans="1:50" ht="15.5" x14ac:dyDescent="0.35">
      <c r="A24" s="47" t="s">
        <v>178</v>
      </c>
      <c r="B24" s="52">
        <f>B12+B23</f>
        <v>11</v>
      </c>
      <c r="C24" s="52">
        <f t="shared" ref="C24:AF24" si="10">C12+C23</f>
        <v>12</v>
      </c>
      <c r="D24" s="52">
        <f t="shared" si="10"/>
        <v>10</v>
      </c>
      <c r="E24" s="52">
        <f t="shared" si="10"/>
        <v>14</v>
      </c>
      <c r="F24" s="52">
        <f t="shared" si="10"/>
        <v>14</v>
      </c>
      <c r="G24" s="52">
        <f t="shared" si="10"/>
        <v>13</v>
      </c>
      <c r="H24" s="52">
        <f t="shared" si="10"/>
        <v>6</v>
      </c>
      <c r="I24" s="52">
        <f t="shared" si="10"/>
        <v>6</v>
      </c>
      <c r="J24" s="52">
        <f t="shared" si="10"/>
        <v>6</v>
      </c>
      <c r="K24" s="52">
        <f t="shared" si="10"/>
        <v>6</v>
      </c>
      <c r="L24" s="52">
        <f t="shared" si="10"/>
        <v>5</v>
      </c>
      <c r="M24" s="52">
        <f t="shared" si="10"/>
        <v>8</v>
      </c>
      <c r="N24" s="52">
        <f t="shared" si="10"/>
        <v>13</v>
      </c>
      <c r="O24" s="52">
        <f t="shared" si="10"/>
        <v>10</v>
      </c>
      <c r="P24" s="52">
        <f t="shared" si="10"/>
        <v>6</v>
      </c>
      <c r="Q24" s="52">
        <f t="shared" si="10"/>
        <v>9</v>
      </c>
      <c r="R24" s="52">
        <f t="shared" si="10"/>
        <v>9</v>
      </c>
      <c r="S24" s="52">
        <f t="shared" si="10"/>
        <v>10</v>
      </c>
      <c r="T24" s="52">
        <f t="shared" si="10"/>
        <v>10</v>
      </c>
      <c r="U24" s="52">
        <f t="shared" si="10"/>
        <v>12</v>
      </c>
      <c r="V24" s="52">
        <f t="shared" si="10"/>
        <v>10</v>
      </c>
      <c r="W24" s="52">
        <f t="shared" si="10"/>
        <v>11</v>
      </c>
      <c r="X24" s="52">
        <f t="shared" si="10"/>
        <v>11</v>
      </c>
      <c r="Y24" s="52">
        <f t="shared" si="10"/>
        <v>9</v>
      </c>
      <c r="Z24" s="52">
        <f t="shared" si="10"/>
        <v>12</v>
      </c>
      <c r="AA24" s="52">
        <f t="shared" si="10"/>
        <v>14</v>
      </c>
      <c r="AB24" s="52">
        <f t="shared" si="10"/>
        <v>14</v>
      </c>
      <c r="AC24" s="52">
        <f t="shared" si="10"/>
        <v>8</v>
      </c>
      <c r="AD24" s="52">
        <f t="shared" si="10"/>
        <v>9</v>
      </c>
      <c r="AE24" s="52">
        <f t="shared" si="10"/>
        <v>10</v>
      </c>
      <c r="AF24" s="52">
        <f t="shared" si="10"/>
        <v>0</v>
      </c>
      <c r="AG24" s="49">
        <f>+AG12+AG23</f>
        <v>300</v>
      </c>
      <c r="AX24" s="58"/>
    </row>
    <row r="25" spans="1:50" ht="15.5" x14ac:dyDescent="0.35">
      <c r="A25" s="48" t="s">
        <v>179</v>
      </c>
      <c r="B25" s="42">
        <f>B24*100/15</f>
        <v>73.333333333333329</v>
      </c>
      <c r="C25" s="42">
        <f t="shared" ref="C25:AF25" si="11">C24*100/15</f>
        <v>80</v>
      </c>
      <c r="D25" s="42">
        <f t="shared" si="11"/>
        <v>66.666666666666671</v>
      </c>
      <c r="E25" s="42">
        <f t="shared" si="11"/>
        <v>93.333333333333329</v>
      </c>
      <c r="F25" s="42">
        <f t="shared" si="11"/>
        <v>93.333333333333329</v>
      </c>
      <c r="G25" s="42">
        <f t="shared" si="11"/>
        <v>86.666666666666671</v>
      </c>
      <c r="H25" s="42">
        <f t="shared" si="11"/>
        <v>40</v>
      </c>
      <c r="I25" s="42">
        <f t="shared" si="11"/>
        <v>40</v>
      </c>
      <c r="J25" s="42">
        <f t="shared" si="11"/>
        <v>40</v>
      </c>
      <c r="K25" s="42">
        <f t="shared" si="11"/>
        <v>40</v>
      </c>
      <c r="L25" s="42">
        <f t="shared" si="11"/>
        <v>33.333333333333336</v>
      </c>
      <c r="M25" s="42">
        <f t="shared" si="11"/>
        <v>53.333333333333336</v>
      </c>
      <c r="N25" s="42">
        <f t="shared" si="11"/>
        <v>86.666666666666671</v>
      </c>
      <c r="O25" s="42">
        <f t="shared" si="11"/>
        <v>66.666666666666671</v>
      </c>
      <c r="P25" s="42">
        <f t="shared" si="11"/>
        <v>40</v>
      </c>
      <c r="Q25" s="42">
        <f t="shared" si="11"/>
        <v>60</v>
      </c>
      <c r="R25" s="42">
        <f t="shared" si="11"/>
        <v>60</v>
      </c>
      <c r="S25" s="42">
        <f t="shared" si="11"/>
        <v>66.666666666666671</v>
      </c>
      <c r="T25" s="42">
        <f t="shared" si="11"/>
        <v>66.666666666666671</v>
      </c>
      <c r="U25" s="42">
        <f t="shared" si="11"/>
        <v>80</v>
      </c>
      <c r="V25" s="42">
        <f t="shared" si="11"/>
        <v>66.666666666666671</v>
      </c>
      <c r="W25" s="42">
        <f t="shared" si="11"/>
        <v>73.333333333333329</v>
      </c>
      <c r="X25" s="42">
        <f t="shared" si="11"/>
        <v>73.333333333333329</v>
      </c>
      <c r="Y25" s="42">
        <f t="shared" si="11"/>
        <v>60</v>
      </c>
      <c r="Z25" s="42">
        <f t="shared" si="11"/>
        <v>80</v>
      </c>
      <c r="AA25" s="42">
        <f t="shared" si="11"/>
        <v>93.333333333333329</v>
      </c>
      <c r="AB25" s="42">
        <f t="shared" si="11"/>
        <v>93.333333333333329</v>
      </c>
      <c r="AC25" s="42">
        <f t="shared" si="11"/>
        <v>53.333333333333336</v>
      </c>
      <c r="AD25" s="42">
        <f t="shared" si="11"/>
        <v>60</v>
      </c>
      <c r="AE25" s="42">
        <f t="shared" si="11"/>
        <v>66.666666666666671</v>
      </c>
      <c r="AF25" s="42">
        <f t="shared" si="11"/>
        <v>0</v>
      </c>
      <c r="AG25" s="50">
        <f>AVERAGE(B25:AE25)</f>
        <v>66.222222222222214</v>
      </c>
      <c r="AH25" s="51" t="s">
        <v>180</v>
      </c>
      <c r="AX25" s="58"/>
    </row>
    <row r="26" spans="1:50" x14ac:dyDescent="0.35">
      <c r="AX26" s="58"/>
    </row>
    <row r="27" spans="1:50" ht="41.5" customHeight="1" x14ac:dyDescent="0.35">
      <c r="L27" s="91" t="s">
        <v>863</v>
      </c>
    </row>
    <row r="30" spans="1:50" x14ac:dyDescent="0.35">
      <c r="F30" s="130" t="s">
        <v>849</v>
      </c>
      <c r="G30" s="130"/>
      <c r="H30" s="130"/>
    </row>
    <row r="31" spans="1:50" x14ac:dyDescent="0.35">
      <c r="C31" s="92"/>
    </row>
    <row r="32" spans="1:50" x14ac:dyDescent="0.35">
      <c r="C32" s="92"/>
    </row>
    <row r="33" spans="3:3" x14ac:dyDescent="0.35">
      <c r="C33" s="93"/>
    </row>
    <row r="34" spans="3:3" x14ac:dyDescent="0.35">
      <c r="C34" s="93"/>
    </row>
    <row r="35" spans="3:3" x14ac:dyDescent="0.35">
      <c r="C35" s="92"/>
    </row>
    <row r="36" spans="3:3" x14ac:dyDescent="0.35">
      <c r="C36" s="92"/>
    </row>
    <row r="37" spans="3:3" x14ac:dyDescent="0.35">
      <c r="C37" s="92"/>
    </row>
    <row r="38" spans="3:3" x14ac:dyDescent="0.35">
      <c r="C38" s="92"/>
    </row>
    <row r="39" spans="3:3" x14ac:dyDescent="0.35">
      <c r="C39" s="92"/>
    </row>
    <row r="40" spans="3:3" x14ac:dyDescent="0.35">
      <c r="C40" s="92"/>
    </row>
    <row r="41" spans="3:3" x14ac:dyDescent="0.35">
      <c r="C41" s="92"/>
    </row>
    <row r="42" spans="3:3" x14ac:dyDescent="0.35">
      <c r="C42" s="92"/>
    </row>
    <row r="43" spans="3:3" x14ac:dyDescent="0.35">
      <c r="C43" s="92"/>
    </row>
  </sheetData>
  <mergeCells count="3">
    <mergeCell ref="A1:AE1"/>
    <mergeCell ref="AM3:AR3"/>
    <mergeCell ref="F30:H30"/>
  </mergeCells>
  <phoneticPr fontId="9" type="noConversion"/>
  <conditionalFormatting sqref="B9:C9">
    <cfRule type="colorScale" priority="1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8:D18 H18:L18 B19:L19 B16:L16 B15:M15 V15:AB15 P16:AB16 B22:AE22 AC15:AC16 B17:AC17 AD15:AD17 B20:AD21 P18:AD19 AE15:AE21">
    <cfRule type="colorScale" priority="3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0:G11 H11:O11 H10:M10 D9:M9 B8:M8 N8:O10 AF11 P8:T11 B5:AF5 B6:T7">
    <cfRule type="colorScale" priority="50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E18:G18">
    <cfRule type="colorScale" priority="1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L13:U14 B13:I14 X13:AH14">
    <cfRule type="colorScale" priority="5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M16:O16">
    <cfRule type="colorScale" priority="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M18:O18">
    <cfRule type="colorScale" priority="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M19:O19">
    <cfRule type="colorScale" priority="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N15:T15">
    <cfRule type="colorScale" priority="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U15">
    <cfRule type="colorScale" priority="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U6:AE11">
    <cfRule type="colorScale" priority="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F6">
    <cfRule type="colorScale" priority="4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F7">
    <cfRule type="colorScale" priority="4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F8">
    <cfRule type="colorScale" priority="4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F9">
    <cfRule type="colorScale" priority="49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F10">
    <cfRule type="colorScale" priority="48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F15">
    <cfRule type="colorScale" priority="4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F18">
    <cfRule type="colorScale" priority="38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F19:AF22 AF16:AF17">
    <cfRule type="colorScale" priority="47">
      <colorScale>
        <cfvo type="num" val="1"/>
        <cfvo type="max"/>
        <color theme="4" tint="0.59999389629810485"/>
        <color theme="5" tint="0.59999389629810485"/>
      </colorScale>
    </cfRule>
  </conditionalFormatting>
  <pageMargins left="0.2" right="0.45" top="0.75" bottom="0.75" header="0.3" footer="0.3"/>
  <pageSetup scale="90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48881-3A3A-4332-BA1D-52DBAC76471C}">
  <dimension ref="A1:AX43"/>
  <sheetViews>
    <sheetView tabSelected="1" zoomScaleNormal="100" workbookViewId="0">
      <pane xSplit="1" ySplit="4" topLeftCell="V5" activePane="bottomRight" state="frozen"/>
      <selection pane="topRight" activeCell="B1" sqref="B1"/>
      <selection pane="bottomLeft" activeCell="A5" sqref="A5"/>
      <selection pane="bottomRight" activeCell="X36" sqref="X36"/>
    </sheetView>
  </sheetViews>
  <sheetFormatPr defaultRowHeight="14.5" x14ac:dyDescent="0.35"/>
  <cols>
    <col min="1" max="1" width="43.7265625" customWidth="1"/>
    <col min="2" max="2" width="11.81640625" bestFit="1" customWidth="1"/>
    <col min="3" max="3" width="10.54296875" bestFit="1" customWidth="1"/>
    <col min="4" max="4" width="11.1796875" bestFit="1" customWidth="1"/>
    <col min="5" max="5" width="12.26953125" bestFit="1" customWidth="1"/>
    <col min="6" max="11" width="13.453125" bestFit="1" customWidth="1"/>
    <col min="12" max="12" width="15.26953125" bestFit="1" customWidth="1"/>
    <col min="13" max="13" width="15.81640625" bestFit="1" customWidth="1"/>
    <col min="14" max="14" width="11.81640625" bestFit="1" customWidth="1"/>
    <col min="15" max="15" width="19.453125" bestFit="1" customWidth="1"/>
    <col min="16" max="17" width="11.81640625" bestFit="1" customWidth="1"/>
    <col min="18" max="20" width="12.81640625" bestFit="1" customWidth="1"/>
    <col min="21" max="21" width="11.81640625" bestFit="1" customWidth="1"/>
    <col min="22" max="31" width="12.81640625" bestFit="1" customWidth="1"/>
    <col min="32" max="32" width="5" bestFit="1" customWidth="1"/>
    <col min="33" max="33" width="4.7265625" bestFit="1" customWidth="1"/>
    <col min="34" max="34" width="8.453125" bestFit="1" customWidth="1"/>
    <col min="35" max="35" width="8" bestFit="1" customWidth="1"/>
    <col min="36" max="36" width="8.453125" customWidth="1"/>
    <col min="37" max="37" width="0" hidden="1" customWidth="1"/>
    <col min="38" max="38" width="3" hidden="1" customWidth="1"/>
    <col min="39" max="39" width="17.81640625" bestFit="1" customWidth="1"/>
    <col min="40" max="40" width="9.1796875" bestFit="1" customWidth="1"/>
    <col min="41" max="41" width="9.81640625" bestFit="1" customWidth="1"/>
    <col min="42" max="42" width="10.81640625" bestFit="1" customWidth="1"/>
    <col min="43" max="43" width="10.1796875" bestFit="1" customWidth="1"/>
    <col min="44" max="44" width="23.1796875" bestFit="1" customWidth="1"/>
    <col min="45" max="45" width="0.453125" hidden="1" customWidth="1"/>
    <col min="46" max="49" width="0" hidden="1" customWidth="1"/>
    <col min="51" max="51" width="15" bestFit="1" customWidth="1"/>
  </cols>
  <sheetData>
    <row r="1" spans="1:44" ht="15.5" x14ac:dyDescent="0.35">
      <c r="A1" s="120" t="s">
        <v>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65"/>
    </row>
    <row r="2" spans="1:44" ht="15" thickBot="1" x14ac:dyDescent="0.4"/>
    <row r="3" spans="1:44" ht="45.75" customHeight="1" x14ac:dyDescent="0.35">
      <c r="A3" s="1" t="s">
        <v>1</v>
      </c>
      <c r="B3" s="2">
        <f>AI4</f>
        <v>45839</v>
      </c>
      <c r="C3" s="2">
        <f t="shared" ref="C3:AF3" si="0">B3+1</f>
        <v>45840</v>
      </c>
      <c r="D3" s="2">
        <f t="shared" si="0"/>
        <v>45841</v>
      </c>
      <c r="E3" s="2">
        <f t="shared" si="0"/>
        <v>45842</v>
      </c>
      <c r="F3" s="2">
        <f t="shared" si="0"/>
        <v>45843</v>
      </c>
      <c r="G3" s="2">
        <f t="shared" si="0"/>
        <v>45844</v>
      </c>
      <c r="H3" s="2">
        <f t="shared" si="0"/>
        <v>45845</v>
      </c>
      <c r="I3" s="2">
        <f>H3+1</f>
        <v>45846</v>
      </c>
      <c r="J3" s="2">
        <f t="shared" si="0"/>
        <v>45847</v>
      </c>
      <c r="K3" s="2">
        <f t="shared" si="0"/>
        <v>45848</v>
      </c>
      <c r="L3" s="2">
        <f t="shared" si="0"/>
        <v>45849</v>
      </c>
      <c r="M3" s="2">
        <f t="shared" si="0"/>
        <v>45850</v>
      </c>
      <c r="N3" s="2">
        <f t="shared" si="0"/>
        <v>45851</v>
      </c>
      <c r="O3" s="2">
        <f t="shared" si="0"/>
        <v>45852</v>
      </c>
      <c r="P3" s="2">
        <f t="shared" si="0"/>
        <v>45853</v>
      </c>
      <c r="Q3" s="2">
        <f t="shared" si="0"/>
        <v>45854</v>
      </c>
      <c r="R3" s="2">
        <f t="shared" si="0"/>
        <v>45855</v>
      </c>
      <c r="S3" s="2">
        <f t="shared" si="0"/>
        <v>45856</v>
      </c>
      <c r="T3" s="2">
        <f t="shared" si="0"/>
        <v>45857</v>
      </c>
      <c r="U3" s="2">
        <f t="shared" si="0"/>
        <v>45858</v>
      </c>
      <c r="V3" s="2">
        <f t="shared" si="0"/>
        <v>45859</v>
      </c>
      <c r="W3" s="2">
        <f t="shared" si="0"/>
        <v>45860</v>
      </c>
      <c r="X3" s="2">
        <f t="shared" si="0"/>
        <v>45861</v>
      </c>
      <c r="Y3" s="2">
        <f t="shared" si="0"/>
        <v>45862</v>
      </c>
      <c r="Z3" s="2">
        <f t="shared" si="0"/>
        <v>45863</v>
      </c>
      <c r="AA3" s="2">
        <f t="shared" si="0"/>
        <v>45864</v>
      </c>
      <c r="AB3" s="2">
        <f t="shared" si="0"/>
        <v>45865</v>
      </c>
      <c r="AC3" s="2">
        <f t="shared" si="0"/>
        <v>45866</v>
      </c>
      <c r="AD3" s="2">
        <f t="shared" si="0"/>
        <v>45867</v>
      </c>
      <c r="AE3" s="2">
        <f t="shared" si="0"/>
        <v>45868</v>
      </c>
      <c r="AF3" s="2">
        <f t="shared" si="0"/>
        <v>45869</v>
      </c>
      <c r="AG3" s="36"/>
      <c r="AH3" s="36"/>
      <c r="AM3" s="122" t="s">
        <v>267</v>
      </c>
      <c r="AN3" s="123"/>
      <c r="AO3" s="123"/>
      <c r="AP3" s="123"/>
      <c r="AQ3" s="123"/>
      <c r="AR3" s="124"/>
    </row>
    <row r="4" spans="1:44" ht="31.5" customHeight="1" x14ac:dyDescent="0.35">
      <c r="A4" s="3" t="s">
        <v>2</v>
      </c>
      <c r="B4" s="4">
        <f t="shared" ref="B4:AF4" si="1">B3</f>
        <v>45839</v>
      </c>
      <c r="C4" s="4">
        <f t="shared" si="1"/>
        <v>45840</v>
      </c>
      <c r="D4" s="4">
        <f t="shared" si="1"/>
        <v>45841</v>
      </c>
      <c r="E4" s="4">
        <f t="shared" si="1"/>
        <v>45842</v>
      </c>
      <c r="F4" s="4">
        <f t="shared" si="1"/>
        <v>45843</v>
      </c>
      <c r="G4" s="4">
        <f t="shared" si="1"/>
        <v>45844</v>
      </c>
      <c r="H4" s="4">
        <f t="shared" si="1"/>
        <v>45845</v>
      </c>
      <c r="I4" s="4">
        <f t="shared" si="1"/>
        <v>45846</v>
      </c>
      <c r="J4" s="4">
        <f t="shared" si="1"/>
        <v>45847</v>
      </c>
      <c r="K4" s="4">
        <f t="shared" si="1"/>
        <v>45848</v>
      </c>
      <c r="L4" s="4">
        <f t="shared" si="1"/>
        <v>45849</v>
      </c>
      <c r="M4" s="4">
        <f t="shared" si="1"/>
        <v>45850</v>
      </c>
      <c r="N4" s="4">
        <f t="shared" si="1"/>
        <v>45851</v>
      </c>
      <c r="O4" s="4">
        <f t="shared" si="1"/>
        <v>45852</v>
      </c>
      <c r="P4" s="4">
        <f t="shared" si="1"/>
        <v>45853</v>
      </c>
      <c r="Q4" s="4">
        <f t="shared" si="1"/>
        <v>45854</v>
      </c>
      <c r="R4" s="4">
        <f t="shared" si="1"/>
        <v>45855</v>
      </c>
      <c r="S4" s="4">
        <f t="shared" si="1"/>
        <v>45856</v>
      </c>
      <c r="T4" s="4">
        <f t="shared" si="1"/>
        <v>45857</v>
      </c>
      <c r="U4" s="4">
        <f t="shared" si="1"/>
        <v>45858</v>
      </c>
      <c r="V4" s="4">
        <f t="shared" si="1"/>
        <v>45859</v>
      </c>
      <c r="W4" s="4">
        <f t="shared" si="1"/>
        <v>45860</v>
      </c>
      <c r="X4" s="4">
        <f t="shared" si="1"/>
        <v>45861</v>
      </c>
      <c r="Y4" s="4">
        <f t="shared" si="1"/>
        <v>45862</v>
      </c>
      <c r="Z4" s="4">
        <f t="shared" si="1"/>
        <v>45863</v>
      </c>
      <c r="AA4" s="4">
        <f t="shared" si="1"/>
        <v>45864</v>
      </c>
      <c r="AB4" s="4">
        <f t="shared" si="1"/>
        <v>45865</v>
      </c>
      <c r="AC4" s="4">
        <f t="shared" si="1"/>
        <v>45866</v>
      </c>
      <c r="AD4" s="4">
        <f t="shared" si="1"/>
        <v>45867</v>
      </c>
      <c r="AE4" s="4">
        <f t="shared" si="1"/>
        <v>45868</v>
      </c>
      <c r="AF4" s="4">
        <f t="shared" si="1"/>
        <v>45869</v>
      </c>
      <c r="AG4" s="39" t="s">
        <v>174</v>
      </c>
      <c r="AH4" s="40" t="s">
        <v>175</v>
      </c>
      <c r="AI4" s="5">
        <v>45839</v>
      </c>
      <c r="AJ4" s="6">
        <f>EOMONTH(AI4,0)</f>
        <v>45869</v>
      </c>
      <c r="AM4" s="19" t="s">
        <v>54</v>
      </c>
      <c r="AN4" s="19" t="s">
        <v>269</v>
      </c>
      <c r="AO4" s="19" t="s">
        <v>55</v>
      </c>
      <c r="AP4" s="19" t="s">
        <v>56</v>
      </c>
      <c r="AQ4" s="19" t="s">
        <v>251</v>
      </c>
      <c r="AR4" s="19" t="s">
        <v>57</v>
      </c>
    </row>
    <row r="5" spans="1:44" x14ac:dyDescent="0.35">
      <c r="A5" s="7" t="s">
        <v>3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8" t="s">
        <v>919</v>
      </c>
      <c r="AB5" s="55"/>
      <c r="AC5" s="55"/>
      <c r="AD5" s="55"/>
      <c r="AE5" s="55"/>
      <c r="AF5" s="55"/>
      <c r="AG5" s="41">
        <f>COUNTA(B5:AF5)</f>
        <v>1</v>
      </c>
      <c r="AH5" s="42">
        <f>AG5*100/31</f>
        <v>3.225806451612903</v>
      </c>
      <c r="AM5" s="20" t="s">
        <v>925</v>
      </c>
      <c r="AN5" s="56" t="s">
        <v>926</v>
      </c>
      <c r="AO5" s="56" t="s">
        <v>927</v>
      </c>
      <c r="AP5" s="56" t="s">
        <v>928</v>
      </c>
      <c r="AQ5" s="57">
        <v>1</v>
      </c>
      <c r="AR5" s="20" t="s">
        <v>929</v>
      </c>
    </row>
    <row r="6" spans="1:44" x14ac:dyDescent="0.35">
      <c r="A6" s="7" t="s">
        <v>7</v>
      </c>
      <c r="B6" s="55" t="s">
        <v>846</v>
      </c>
      <c r="C6" s="55" t="s">
        <v>846</v>
      </c>
      <c r="D6" s="55" t="s">
        <v>846</v>
      </c>
      <c r="E6" s="55" t="s">
        <v>846</v>
      </c>
      <c r="F6" s="55" t="s">
        <v>846</v>
      </c>
      <c r="G6" s="55" t="s">
        <v>846</v>
      </c>
      <c r="H6" s="55" t="s">
        <v>846</v>
      </c>
      <c r="I6" s="55" t="s">
        <v>846</v>
      </c>
      <c r="J6" s="55" t="s">
        <v>846</v>
      </c>
      <c r="K6" s="55" t="s">
        <v>846</v>
      </c>
      <c r="L6" s="55" t="s">
        <v>846</v>
      </c>
      <c r="M6" s="55" t="s">
        <v>846</v>
      </c>
      <c r="N6" s="55" t="s">
        <v>846</v>
      </c>
      <c r="O6" s="55" t="s">
        <v>846</v>
      </c>
      <c r="P6" s="55" t="s">
        <v>846</v>
      </c>
      <c r="Q6" s="55" t="s">
        <v>846</v>
      </c>
      <c r="R6" s="55" t="s">
        <v>846</v>
      </c>
      <c r="S6" s="55" t="s">
        <v>846</v>
      </c>
      <c r="T6" s="55" t="s">
        <v>846</v>
      </c>
      <c r="U6" s="55" t="s">
        <v>846</v>
      </c>
      <c r="V6" s="55" t="s">
        <v>846</v>
      </c>
      <c r="W6" s="55" t="s">
        <v>846</v>
      </c>
      <c r="X6" s="55" t="s">
        <v>846</v>
      </c>
      <c r="Y6" s="55" t="s">
        <v>846</v>
      </c>
      <c r="Z6" s="55" t="s">
        <v>846</v>
      </c>
      <c r="AA6" s="55" t="s">
        <v>846</v>
      </c>
      <c r="AB6" s="55" t="s">
        <v>846</v>
      </c>
      <c r="AC6" s="55" t="s">
        <v>846</v>
      </c>
      <c r="AD6" s="55" t="s">
        <v>846</v>
      </c>
      <c r="AE6" s="55" t="s">
        <v>846</v>
      </c>
      <c r="AF6" s="55" t="s">
        <v>846</v>
      </c>
      <c r="AG6" s="41">
        <f t="shared" ref="AG6:AG11" si="2">COUNTA(B6:AF6)</f>
        <v>31</v>
      </c>
      <c r="AH6" s="42">
        <f t="shared" ref="AH6:AH11" si="3">AG6*100/31</f>
        <v>100</v>
      </c>
      <c r="AM6" s="20" t="s">
        <v>925</v>
      </c>
      <c r="AN6" s="56" t="s">
        <v>926</v>
      </c>
      <c r="AO6" s="56" t="s">
        <v>927</v>
      </c>
      <c r="AP6" s="56" t="s">
        <v>928</v>
      </c>
      <c r="AQ6" s="57">
        <v>1</v>
      </c>
      <c r="AR6" s="20"/>
    </row>
    <row r="7" spans="1:44" x14ac:dyDescent="0.35">
      <c r="A7" s="7" t="s">
        <v>11</v>
      </c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 t="s">
        <v>911</v>
      </c>
      <c r="N7" s="55" t="s">
        <v>477</v>
      </c>
      <c r="O7" s="55" t="s">
        <v>906</v>
      </c>
      <c r="P7" s="55"/>
      <c r="Q7" s="55"/>
      <c r="R7" s="55"/>
      <c r="S7" s="55" t="s">
        <v>141</v>
      </c>
      <c r="T7" s="55"/>
      <c r="U7" s="55"/>
      <c r="V7" s="55"/>
      <c r="W7" s="55" t="s">
        <v>917</v>
      </c>
      <c r="X7" s="55" t="s">
        <v>917</v>
      </c>
      <c r="Y7" s="55" t="s">
        <v>918</v>
      </c>
      <c r="Z7" s="55" t="s">
        <v>918</v>
      </c>
      <c r="AA7" s="55" t="s">
        <v>918</v>
      </c>
      <c r="AB7" s="55" t="s">
        <v>918</v>
      </c>
      <c r="AC7" s="55"/>
      <c r="AD7" s="55" t="s">
        <v>920</v>
      </c>
      <c r="AE7" s="55" t="s">
        <v>920</v>
      </c>
      <c r="AF7" s="55"/>
      <c r="AG7" s="41">
        <f t="shared" si="2"/>
        <v>12</v>
      </c>
      <c r="AH7" s="42">
        <f t="shared" si="3"/>
        <v>38.70967741935484</v>
      </c>
      <c r="AM7" s="20" t="s">
        <v>925</v>
      </c>
      <c r="AN7" s="56" t="s">
        <v>926</v>
      </c>
      <c r="AO7" s="56" t="s">
        <v>927</v>
      </c>
      <c r="AP7" s="56" t="s">
        <v>928</v>
      </c>
      <c r="AQ7" s="57">
        <v>1</v>
      </c>
      <c r="AR7" s="20"/>
    </row>
    <row r="8" spans="1:44" ht="15" customHeight="1" x14ac:dyDescent="0.35">
      <c r="A8" s="7" t="s">
        <v>15</v>
      </c>
      <c r="B8" s="55" t="s">
        <v>421</v>
      </c>
      <c r="C8" s="55" t="s">
        <v>421</v>
      </c>
      <c r="D8" s="55"/>
      <c r="E8" s="55" t="s">
        <v>905</v>
      </c>
      <c r="F8" s="55"/>
      <c r="G8" s="55"/>
      <c r="H8" s="55"/>
      <c r="I8" s="55"/>
      <c r="J8" s="55"/>
      <c r="K8" s="55"/>
      <c r="L8" s="55"/>
      <c r="M8" s="55" t="s">
        <v>812</v>
      </c>
      <c r="N8" s="55" t="s">
        <v>812</v>
      </c>
      <c r="O8" s="55" t="s">
        <v>812</v>
      </c>
      <c r="P8" s="55" t="s">
        <v>812</v>
      </c>
      <c r="Q8" s="55"/>
      <c r="R8" s="55"/>
      <c r="S8" s="55" t="s">
        <v>812</v>
      </c>
      <c r="T8" s="55"/>
      <c r="U8" s="55"/>
      <c r="V8" s="55"/>
      <c r="W8" s="55" t="s">
        <v>917</v>
      </c>
      <c r="X8" s="55" t="s">
        <v>917</v>
      </c>
      <c r="Y8" s="55"/>
      <c r="Z8" s="55"/>
      <c r="AA8" s="55"/>
      <c r="AB8" s="55"/>
      <c r="AC8" s="55" t="s">
        <v>406</v>
      </c>
      <c r="AD8" s="55"/>
      <c r="AE8" s="55" t="s">
        <v>923</v>
      </c>
      <c r="AF8" s="55" t="s">
        <v>923</v>
      </c>
      <c r="AG8" s="41">
        <f t="shared" si="2"/>
        <v>13</v>
      </c>
      <c r="AH8" s="42">
        <f t="shared" si="3"/>
        <v>41.935483870967744</v>
      </c>
      <c r="AK8" s="9"/>
      <c r="AM8" s="20" t="s">
        <v>925</v>
      </c>
      <c r="AN8" s="56" t="s">
        <v>926</v>
      </c>
      <c r="AO8" s="56" t="s">
        <v>927</v>
      </c>
      <c r="AP8" s="56" t="s">
        <v>928</v>
      </c>
      <c r="AQ8" s="57">
        <v>1</v>
      </c>
      <c r="AR8" s="20"/>
    </row>
    <row r="9" spans="1:44" ht="15.75" customHeight="1" x14ac:dyDescent="0.35">
      <c r="A9" s="7" t="s">
        <v>18</v>
      </c>
      <c r="B9" s="55"/>
      <c r="C9" s="55" t="s">
        <v>524</v>
      </c>
      <c r="D9" s="55"/>
      <c r="E9" s="55"/>
      <c r="F9" s="55"/>
      <c r="G9" s="55"/>
      <c r="H9" s="55"/>
      <c r="I9" s="55"/>
      <c r="J9" s="55"/>
      <c r="K9" s="55"/>
      <c r="L9" s="55"/>
      <c r="M9" s="55" t="s">
        <v>812</v>
      </c>
      <c r="N9" s="55" t="s">
        <v>812</v>
      </c>
      <c r="O9" s="55" t="s">
        <v>812</v>
      </c>
      <c r="P9" s="55"/>
      <c r="Q9" s="55"/>
      <c r="R9" s="55"/>
      <c r="S9" s="55" t="s">
        <v>915</v>
      </c>
      <c r="T9" s="55"/>
      <c r="U9" s="55"/>
      <c r="V9" s="55" t="s">
        <v>812</v>
      </c>
      <c r="W9" s="55" t="s">
        <v>812</v>
      </c>
      <c r="X9" s="55" t="s">
        <v>812</v>
      </c>
      <c r="Y9" s="55" t="s">
        <v>812</v>
      </c>
      <c r="Z9" s="55" t="s">
        <v>812</v>
      </c>
      <c r="AA9" s="55" t="s">
        <v>812</v>
      </c>
      <c r="AB9" s="55" t="s">
        <v>812</v>
      </c>
      <c r="AC9" s="55" t="s">
        <v>812</v>
      </c>
      <c r="AD9" s="55" t="s">
        <v>812</v>
      </c>
      <c r="AE9" s="55" t="s">
        <v>812</v>
      </c>
      <c r="AF9" s="55" t="s">
        <v>812</v>
      </c>
      <c r="AG9" s="41">
        <f t="shared" si="2"/>
        <v>16</v>
      </c>
      <c r="AH9" s="42">
        <f t="shared" si="3"/>
        <v>51.612903225806448</v>
      </c>
      <c r="AM9" s="20"/>
      <c r="AN9" s="56"/>
      <c r="AO9" s="56"/>
      <c r="AP9" s="56"/>
      <c r="AQ9" s="57"/>
      <c r="AR9" s="20"/>
    </row>
    <row r="10" spans="1:44" ht="15.75" customHeight="1" x14ac:dyDescent="0.35">
      <c r="A10" s="7" t="s">
        <v>20</v>
      </c>
      <c r="B10" s="55" t="s">
        <v>92</v>
      </c>
      <c r="C10" s="55" t="s">
        <v>92</v>
      </c>
      <c r="D10" s="55" t="s">
        <v>92</v>
      </c>
      <c r="E10" s="55" t="s">
        <v>92</v>
      </c>
      <c r="F10" s="55" t="s">
        <v>92</v>
      </c>
      <c r="G10" s="55" t="s">
        <v>92</v>
      </c>
      <c r="H10" s="55" t="s">
        <v>92</v>
      </c>
      <c r="I10" s="55" t="s">
        <v>92</v>
      </c>
      <c r="J10" s="55" t="s">
        <v>92</v>
      </c>
      <c r="K10" s="55" t="s">
        <v>92</v>
      </c>
      <c r="L10" s="55"/>
      <c r="M10" s="55" t="s">
        <v>907</v>
      </c>
      <c r="N10" s="55" t="s">
        <v>907</v>
      </c>
      <c r="O10" s="55" t="s">
        <v>907</v>
      </c>
      <c r="P10" s="55" t="s">
        <v>907</v>
      </c>
      <c r="Q10" s="55" t="s">
        <v>907</v>
      </c>
      <c r="R10" s="55" t="s">
        <v>907</v>
      </c>
      <c r="S10" s="55" t="s">
        <v>907</v>
      </c>
      <c r="T10" s="55" t="s">
        <v>907</v>
      </c>
      <c r="U10" s="55" t="s">
        <v>907</v>
      </c>
      <c r="V10" s="55" t="s">
        <v>907</v>
      </c>
      <c r="W10" s="55" t="s">
        <v>907</v>
      </c>
      <c r="X10" s="55" t="s">
        <v>907</v>
      </c>
      <c r="Y10" s="55" t="s">
        <v>907</v>
      </c>
      <c r="Z10" s="55" t="s">
        <v>907</v>
      </c>
      <c r="AA10" s="55" t="s">
        <v>907</v>
      </c>
      <c r="AB10" s="55" t="s">
        <v>907</v>
      </c>
      <c r="AC10" s="55" t="s">
        <v>907</v>
      </c>
      <c r="AD10" s="55" t="s">
        <v>907</v>
      </c>
      <c r="AE10" s="55" t="s">
        <v>907</v>
      </c>
      <c r="AF10" s="55" t="s">
        <v>907</v>
      </c>
      <c r="AG10" s="41">
        <f t="shared" si="2"/>
        <v>30</v>
      </c>
      <c r="AH10" s="42">
        <f t="shared" si="3"/>
        <v>96.774193548387103</v>
      </c>
      <c r="AM10" s="20"/>
      <c r="AN10" s="56"/>
      <c r="AO10" s="56"/>
      <c r="AP10" s="56"/>
      <c r="AQ10" s="57"/>
      <c r="AR10" s="20"/>
    </row>
    <row r="11" spans="1:44" ht="15.75" customHeight="1" thickBot="1" x14ac:dyDescent="0.4">
      <c r="A11" s="7" t="s">
        <v>24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 t="s">
        <v>812</v>
      </c>
      <c r="N11" s="55" t="s">
        <v>812</v>
      </c>
      <c r="O11" s="55" t="s">
        <v>812</v>
      </c>
      <c r="P11" s="55"/>
      <c r="Q11" s="55"/>
      <c r="R11" s="55"/>
      <c r="S11" s="55" t="s">
        <v>812</v>
      </c>
      <c r="T11" s="55"/>
      <c r="U11" s="55"/>
      <c r="V11" s="55" t="s">
        <v>812</v>
      </c>
      <c r="W11" s="55" t="s">
        <v>812</v>
      </c>
      <c r="X11" s="55" t="s">
        <v>812</v>
      </c>
      <c r="Y11" s="55" t="s">
        <v>812</v>
      </c>
      <c r="Z11" s="55" t="s">
        <v>812</v>
      </c>
      <c r="AA11" s="55" t="s">
        <v>812</v>
      </c>
      <c r="AB11" s="55" t="s">
        <v>812</v>
      </c>
      <c r="AC11" s="55" t="s">
        <v>812</v>
      </c>
      <c r="AD11" s="55" t="s">
        <v>812</v>
      </c>
      <c r="AE11" s="55" t="s">
        <v>812</v>
      </c>
      <c r="AF11" s="55" t="s">
        <v>812</v>
      </c>
      <c r="AG11" s="41">
        <f t="shared" si="2"/>
        <v>15</v>
      </c>
      <c r="AH11" s="42">
        <f t="shared" si="3"/>
        <v>48.387096774193552</v>
      </c>
      <c r="AM11" s="20"/>
      <c r="AN11" s="56"/>
      <c r="AO11" s="56"/>
      <c r="AP11" s="56"/>
      <c r="AQ11" s="57"/>
      <c r="AR11" s="20"/>
    </row>
    <row r="12" spans="1:44" ht="15" customHeight="1" x14ac:dyDescent="0.35">
      <c r="A12" s="45" t="s">
        <v>176</v>
      </c>
      <c r="B12" s="46">
        <f>COUNTA(B5:B11)</f>
        <v>3</v>
      </c>
      <c r="C12" s="46">
        <f>COUNTA(C5:C11)</f>
        <v>4</v>
      </c>
      <c r="D12" s="46">
        <f t="shared" ref="D12:AF12" si="4">COUNTA(D5:D11)</f>
        <v>2</v>
      </c>
      <c r="E12" s="46">
        <f t="shared" si="4"/>
        <v>3</v>
      </c>
      <c r="F12" s="46">
        <f t="shared" si="4"/>
        <v>2</v>
      </c>
      <c r="G12" s="46">
        <f t="shared" si="4"/>
        <v>2</v>
      </c>
      <c r="H12" s="46">
        <f t="shared" si="4"/>
        <v>2</v>
      </c>
      <c r="I12" s="46">
        <f t="shared" si="4"/>
        <v>2</v>
      </c>
      <c r="J12" s="46">
        <f t="shared" si="4"/>
        <v>2</v>
      </c>
      <c r="K12" s="46">
        <f t="shared" si="4"/>
        <v>2</v>
      </c>
      <c r="L12" s="46">
        <f t="shared" si="4"/>
        <v>1</v>
      </c>
      <c r="M12" s="46">
        <f t="shared" si="4"/>
        <v>6</v>
      </c>
      <c r="N12" s="46">
        <f t="shared" si="4"/>
        <v>6</v>
      </c>
      <c r="O12" s="46">
        <f t="shared" si="4"/>
        <v>6</v>
      </c>
      <c r="P12" s="46">
        <f t="shared" si="4"/>
        <v>3</v>
      </c>
      <c r="Q12" s="46">
        <f t="shared" si="4"/>
        <v>2</v>
      </c>
      <c r="R12" s="46">
        <f t="shared" si="4"/>
        <v>2</v>
      </c>
      <c r="S12" s="46">
        <f t="shared" si="4"/>
        <v>6</v>
      </c>
      <c r="T12" s="46">
        <f t="shared" si="4"/>
        <v>2</v>
      </c>
      <c r="U12" s="46">
        <f t="shared" si="4"/>
        <v>2</v>
      </c>
      <c r="V12" s="46">
        <f t="shared" si="4"/>
        <v>4</v>
      </c>
      <c r="W12" s="46">
        <f t="shared" si="4"/>
        <v>6</v>
      </c>
      <c r="X12" s="46">
        <f t="shared" si="4"/>
        <v>6</v>
      </c>
      <c r="Y12" s="46">
        <f t="shared" si="4"/>
        <v>5</v>
      </c>
      <c r="Z12" s="46">
        <f t="shared" si="4"/>
        <v>5</v>
      </c>
      <c r="AA12" s="46">
        <f t="shared" si="4"/>
        <v>6</v>
      </c>
      <c r="AB12" s="46">
        <f t="shared" si="4"/>
        <v>5</v>
      </c>
      <c r="AC12" s="46">
        <f>COUNTA(AC5:AC11)</f>
        <v>5</v>
      </c>
      <c r="AD12" s="46">
        <f>COUNTA(AD5:AD11)</f>
        <v>5</v>
      </c>
      <c r="AE12" s="46">
        <f>COUNTA(AE5:AE11)</f>
        <v>6</v>
      </c>
      <c r="AF12" s="46">
        <f t="shared" si="4"/>
        <v>5</v>
      </c>
      <c r="AG12" s="43">
        <f t="shared" ref="AG12" si="5">SUM(AG5:AG11)</f>
        <v>118</v>
      </c>
      <c r="AH12" s="44">
        <f>AVERAGE(AH5:AH11)</f>
        <v>54.377880184331794</v>
      </c>
      <c r="AI12" s="29"/>
      <c r="AM12" s="20"/>
      <c r="AN12" s="20"/>
      <c r="AO12" s="20"/>
      <c r="AP12" s="20"/>
      <c r="AQ12" s="20"/>
      <c r="AR12" s="20"/>
    </row>
    <row r="13" spans="1:44" ht="57" hidden="1" x14ac:dyDescent="0.35">
      <c r="A13" s="13" t="s">
        <v>28</v>
      </c>
      <c r="B13" s="14"/>
      <c r="C13" s="14"/>
      <c r="D13" s="14"/>
      <c r="E13" s="14"/>
      <c r="F13" s="14"/>
      <c r="G13" s="14"/>
      <c r="H13" s="14"/>
      <c r="I13" s="35"/>
      <c r="J13" s="34"/>
      <c r="K13" s="15"/>
      <c r="L13" s="14"/>
      <c r="M13" s="14"/>
      <c r="N13" s="25"/>
      <c r="O13" s="25"/>
      <c r="P13" s="25"/>
      <c r="Q13" s="14"/>
      <c r="R13" s="14"/>
      <c r="S13" s="14"/>
      <c r="T13" s="14"/>
      <c r="U13" s="14"/>
      <c r="V13" s="15"/>
      <c r="W13" s="15"/>
      <c r="X13" s="14"/>
      <c r="Y13" s="14"/>
      <c r="Z13" s="14"/>
      <c r="AA13" s="14"/>
      <c r="AB13" s="14"/>
      <c r="AC13" s="14"/>
      <c r="AD13" s="14"/>
      <c r="AE13" s="14"/>
      <c r="AF13" s="14"/>
      <c r="AG13" s="37"/>
      <c r="AH13" s="37"/>
      <c r="AM13" s="20"/>
      <c r="AN13" s="20"/>
      <c r="AO13" s="20"/>
      <c r="AP13" s="20"/>
      <c r="AQ13" s="20"/>
      <c r="AR13" s="20"/>
    </row>
    <row r="14" spans="1:44" ht="28.5" hidden="1" x14ac:dyDescent="0.35">
      <c r="A14" s="16" t="s">
        <v>29</v>
      </c>
      <c r="B14" s="14"/>
      <c r="C14" s="14"/>
      <c r="D14" s="14"/>
      <c r="E14" s="14"/>
      <c r="F14" s="14"/>
      <c r="G14" s="14"/>
      <c r="H14" s="14"/>
      <c r="I14" s="35"/>
      <c r="J14" s="34"/>
      <c r="K14" s="15"/>
      <c r="L14" s="14"/>
      <c r="M14" s="14"/>
      <c r="N14" s="25"/>
      <c r="O14" s="25"/>
      <c r="P14" s="25"/>
      <c r="Q14" s="14"/>
      <c r="R14" s="14"/>
      <c r="S14" s="14"/>
      <c r="T14" s="14"/>
      <c r="U14" s="14"/>
      <c r="V14" s="15"/>
      <c r="W14" s="15"/>
      <c r="X14" s="14"/>
      <c r="Y14" s="14"/>
      <c r="Z14" s="14"/>
      <c r="AA14" s="14"/>
      <c r="AB14" s="14"/>
      <c r="AC14" s="14"/>
      <c r="AD14" s="14"/>
      <c r="AE14" s="14"/>
      <c r="AF14" s="14"/>
      <c r="AG14" s="37"/>
      <c r="AH14" s="37"/>
      <c r="AM14" s="20"/>
      <c r="AN14" s="20"/>
      <c r="AO14" s="20"/>
      <c r="AP14" s="20"/>
      <c r="AQ14" s="20"/>
      <c r="AR14" s="20"/>
    </row>
    <row r="15" spans="1:44" x14ac:dyDescent="0.35">
      <c r="A15" s="7" t="s">
        <v>30</v>
      </c>
      <c r="B15" s="8" t="s">
        <v>899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 t="s">
        <v>908</v>
      </c>
      <c r="O15" s="8" t="s">
        <v>908</v>
      </c>
      <c r="P15" s="8" t="s">
        <v>908</v>
      </c>
      <c r="Q15" s="8" t="s">
        <v>908</v>
      </c>
      <c r="R15" s="8" t="s">
        <v>908</v>
      </c>
      <c r="S15" s="8" t="s">
        <v>916</v>
      </c>
      <c r="T15" s="8" t="s">
        <v>916</v>
      </c>
      <c r="U15" s="8" t="s">
        <v>916</v>
      </c>
      <c r="V15" s="8" t="s">
        <v>916</v>
      </c>
      <c r="W15" s="8" t="s">
        <v>916</v>
      </c>
      <c r="X15" s="8" t="s">
        <v>916</v>
      </c>
      <c r="Y15" s="8"/>
      <c r="Z15" s="8"/>
      <c r="AA15" s="8" t="s">
        <v>237</v>
      </c>
      <c r="AB15" s="8" t="s">
        <v>237</v>
      </c>
      <c r="AC15" s="8" t="s">
        <v>237</v>
      </c>
      <c r="AD15" s="8" t="s">
        <v>237</v>
      </c>
      <c r="AE15" s="8"/>
      <c r="AF15" s="8"/>
      <c r="AG15" s="41">
        <f>COUNTA(B15:AF15)</f>
        <v>16</v>
      </c>
      <c r="AH15" s="42">
        <f>AG15*100/31</f>
        <v>51.612903225806448</v>
      </c>
      <c r="AM15" s="20"/>
      <c r="AN15" s="20"/>
      <c r="AO15" s="20"/>
      <c r="AP15" s="20"/>
      <c r="AQ15" s="20"/>
      <c r="AR15" s="20"/>
    </row>
    <row r="16" spans="1:44" x14ac:dyDescent="0.35">
      <c r="A16" s="7" t="s">
        <v>35</v>
      </c>
      <c r="B16" s="8" t="s">
        <v>899</v>
      </c>
      <c r="C16" s="8"/>
      <c r="D16" s="8" t="s">
        <v>904</v>
      </c>
      <c r="E16" s="8"/>
      <c r="F16" s="8"/>
      <c r="G16" s="8"/>
      <c r="H16" s="8"/>
      <c r="I16" s="8"/>
      <c r="J16" s="8"/>
      <c r="K16" s="8" t="s">
        <v>909</v>
      </c>
      <c r="L16" s="8" t="s">
        <v>909</v>
      </c>
      <c r="M16" s="8" t="s">
        <v>909</v>
      </c>
      <c r="N16" s="8" t="s">
        <v>909</v>
      </c>
      <c r="O16" s="8" t="s">
        <v>909</v>
      </c>
      <c r="P16" s="8"/>
      <c r="Q16" s="8" t="s">
        <v>237</v>
      </c>
      <c r="R16" s="8"/>
      <c r="S16" s="8"/>
      <c r="T16" s="8"/>
      <c r="U16" s="8"/>
      <c r="V16" s="8"/>
      <c r="W16" s="8"/>
      <c r="X16" s="55" t="s">
        <v>917</v>
      </c>
      <c r="Y16" s="8"/>
      <c r="Z16" s="8" t="s">
        <v>651</v>
      </c>
      <c r="AA16" s="8" t="s">
        <v>651</v>
      </c>
      <c r="AB16" s="8" t="s">
        <v>651</v>
      </c>
      <c r="AC16" s="8"/>
      <c r="AD16" s="8" t="s">
        <v>237</v>
      </c>
      <c r="AE16" s="8" t="s">
        <v>922</v>
      </c>
      <c r="AF16" s="8"/>
      <c r="AG16" s="41">
        <f t="shared" ref="AG16:AG22" si="6">COUNTA(B16:AF16)</f>
        <v>14</v>
      </c>
      <c r="AH16" s="42">
        <f>AG16*100/31</f>
        <v>45.161290322580648</v>
      </c>
      <c r="AM16" s="20"/>
      <c r="AN16" s="20"/>
      <c r="AO16" s="56"/>
      <c r="AP16" s="56"/>
      <c r="AQ16" s="20"/>
      <c r="AR16" s="20"/>
    </row>
    <row r="17" spans="1:50" x14ac:dyDescent="0.35">
      <c r="A17" s="7" t="s">
        <v>39</v>
      </c>
      <c r="B17" s="8" t="s">
        <v>503</v>
      </c>
      <c r="C17" s="8" t="s">
        <v>503</v>
      </c>
      <c r="D17" s="8" t="s">
        <v>503</v>
      </c>
      <c r="E17" s="8" t="s">
        <v>503</v>
      </c>
      <c r="F17" s="8" t="s">
        <v>503</v>
      </c>
      <c r="G17" s="8" t="s">
        <v>503</v>
      </c>
      <c r="H17" s="8" t="s">
        <v>503</v>
      </c>
      <c r="I17" s="8" t="s">
        <v>503</v>
      </c>
      <c r="J17" s="8" t="s">
        <v>503</v>
      </c>
      <c r="K17" s="8" t="s">
        <v>503</v>
      </c>
      <c r="L17" s="8" t="s">
        <v>503</v>
      </c>
      <c r="M17" s="8" t="s">
        <v>503</v>
      </c>
      <c r="N17" s="8" t="s">
        <v>503</v>
      </c>
      <c r="O17" s="8" t="s">
        <v>503</v>
      </c>
      <c r="P17" s="8"/>
      <c r="Q17" s="8"/>
      <c r="R17" s="8" t="s">
        <v>503</v>
      </c>
      <c r="S17" s="8" t="s">
        <v>503</v>
      </c>
      <c r="T17" s="8" t="s">
        <v>503</v>
      </c>
      <c r="U17" s="8" t="s">
        <v>503</v>
      </c>
      <c r="V17" s="8" t="s">
        <v>503</v>
      </c>
      <c r="W17" s="8" t="s">
        <v>503</v>
      </c>
      <c r="X17" s="8" t="s">
        <v>503</v>
      </c>
      <c r="Y17" s="8" t="s">
        <v>503</v>
      </c>
      <c r="Z17" s="8" t="s">
        <v>503</v>
      </c>
      <c r="AA17" s="8" t="s">
        <v>503</v>
      </c>
      <c r="AB17" s="8" t="s">
        <v>503</v>
      </c>
      <c r="AC17" s="8" t="s">
        <v>503</v>
      </c>
      <c r="AD17" s="8" t="s">
        <v>503</v>
      </c>
      <c r="AE17" s="8" t="s">
        <v>503</v>
      </c>
      <c r="AF17" s="8" t="s">
        <v>503</v>
      </c>
      <c r="AG17" s="41">
        <f t="shared" si="6"/>
        <v>29</v>
      </c>
      <c r="AH17" s="42">
        <f t="shared" ref="AH17:AH22" si="7">AG17*100/31</f>
        <v>93.548387096774192</v>
      </c>
      <c r="AM17" s="20"/>
      <c r="AN17" s="20"/>
      <c r="AO17" s="20"/>
      <c r="AP17" s="20"/>
      <c r="AQ17" s="20"/>
      <c r="AR17" s="20"/>
      <c r="AX17" s="58"/>
    </row>
    <row r="18" spans="1:50" x14ac:dyDescent="0.35">
      <c r="A18" s="7" t="s">
        <v>42</v>
      </c>
      <c r="B18" s="8" t="s">
        <v>900</v>
      </c>
      <c r="C18" s="8" t="s">
        <v>900</v>
      </c>
      <c r="D18" s="8" t="s">
        <v>900</v>
      </c>
      <c r="E18" s="8" t="s">
        <v>900</v>
      </c>
      <c r="F18" s="8"/>
      <c r="G18" s="8"/>
      <c r="H18" s="8"/>
      <c r="I18" s="8"/>
      <c r="J18" s="8"/>
      <c r="K18" s="8" t="s">
        <v>909</v>
      </c>
      <c r="L18" s="8" t="s">
        <v>909</v>
      </c>
      <c r="M18" s="8" t="s">
        <v>909</v>
      </c>
      <c r="N18" s="8" t="s">
        <v>909</v>
      </c>
      <c r="O18" s="8" t="s">
        <v>909</v>
      </c>
      <c r="P18" s="8"/>
      <c r="Q18" s="8" t="s">
        <v>237</v>
      </c>
      <c r="R18" s="8" t="s">
        <v>913</v>
      </c>
      <c r="S18" s="8"/>
      <c r="T18" s="8"/>
      <c r="U18" s="8"/>
      <c r="V18" s="8"/>
      <c r="W18" s="8"/>
      <c r="X18" s="55" t="s">
        <v>917</v>
      </c>
      <c r="Y18" s="8"/>
      <c r="Z18" s="8"/>
      <c r="AA18" s="8"/>
      <c r="AB18" s="8"/>
      <c r="AC18" s="8" t="s">
        <v>921</v>
      </c>
      <c r="AD18" s="8" t="s">
        <v>921</v>
      </c>
      <c r="AE18" s="8" t="s">
        <v>921</v>
      </c>
      <c r="AF18" s="8" t="s">
        <v>921</v>
      </c>
      <c r="AG18" s="41">
        <f t="shared" si="6"/>
        <v>16</v>
      </c>
      <c r="AH18" s="42">
        <f t="shared" si="7"/>
        <v>51.612903225806448</v>
      </c>
      <c r="AM18" s="20"/>
      <c r="AN18" s="20"/>
      <c r="AO18" s="20"/>
      <c r="AP18" s="20"/>
      <c r="AQ18" s="20"/>
      <c r="AR18" s="20"/>
      <c r="AX18" s="58"/>
    </row>
    <row r="19" spans="1:50" x14ac:dyDescent="0.35">
      <c r="A19" s="7" t="s">
        <v>45</v>
      </c>
      <c r="B19" s="8" t="s">
        <v>899</v>
      </c>
      <c r="C19" s="8"/>
      <c r="D19" s="8" t="s">
        <v>904</v>
      </c>
      <c r="E19" s="8"/>
      <c r="F19" s="8"/>
      <c r="G19" s="8"/>
      <c r="H19" s="8"/>
      <c r="I19" s="8"/>
      <c r="J19" s="8"/>
      <c r="K19" s="8" t="s">
        <v>909</v>
      </c>
      <c r="L19" s="8" t="s">
        <v>909</v>
      </c>
      <c r="M19" s="8" t="s">
        <v>909</v>
      </c>
      <c r="N19" s="8" t="s">
        <v>909</v>
      </c>
      <c r="O19" s="8" t="s">
        <v>909</v>
      </c>
      <c r="P19" s="8"/>
      <c r="Q19" s="8" t="s">
        <v>237</v>
      </c>
      <c r="R19" s="8" t="s">
        <v>185</v>
      </c>
      <c r="S19" s="8"/>
      <c r="T19" s="8"/>
      <c r="U19" s="8"/>
      <c r="V19" s="8"/>
      <c r="W19" s="8"/>
      <c r="X19" s="8"/>
      <c r="Y19" s="8" t="s">
        <v>859</v>
      </c>
      <c r="Z19" s="8" t="s">
        <v>859</v>
      </c>
      <c r="AA19" s="8" t="s">
        <v>859</v>
      </c>
      <c r="AB19" s="8" t="s">
        <v>920</v>
      </c>
      <c r="AC19" s="8" t="s">
        <v>920</v>
      </c>
      <c r="AD19" s="8"/>
      <c r="AE19" s="8"/>
      <c r="AF19" s="8"/>
      <c r="AG19" s="41">
        <f t="shared" si="6"/>
        <v>14</v>
      </c>
      <c r="AH19" s="42">
        <f t="shared" si="7"/>
        <v>45.161290322580648</v>
      </c>
      <c r="AM19" s="20"/>
      <c r="AN19" s="20"/>
      <c r="AO19" s="20"/>
      <c r="AP19" s="20"/>
      <c r="AQ19" s="20"/>
      <c r="AR19" s="20"/>
      <c r="AX19" s="58"/>
    </row>
    <row r="20" spans="1:50" x14ac:dyDescent="0.35">
      <c r="A20" s="7" t="s">
        <v>47</v>
      </c>
      <c r="B20" s="8" t="s">
        <v>843</v>
      </c>
      <c r="C20" s="8" t="s">
        <v>843</v>
      </c>
      <c r="D20" s="8" t="s">
        <v>843</v>
      </c>
      <c r="E20" s="8" t="s">
        <v>843</v>
      </c>
      <c r="F20" s="8" t="s">
        <v>843</v>
      </c>
      <c r="G20" s="8" t="s">
        <v>843</v>
      </c>
      <c r="H20" s="8" t="s">
        <v>843</v>
      </c>
      <c r="I20" s="8" t="s">
        <v>843</v>
      </c>
      <c r="J20" s="8" t="s">
        <v>843</v>
      </c>
      <c r="K20" s="8" t="s">
        <v>843</v>
      </c>
      <c r="L20" s="8" t="s">
        <v>843</v>
      </c>
      <c r="M20" s="8" t="s">
        <v>843</v>
      </c>
      <c r="N20" s="8" t="s">
        <v>843</v>
      </c>
      <c r="O20" s="8" t="s">
        <v>843</v>
      </c>
      <c r="P20" s="8"/>
      <c r="Q20" s="8" t="s">
        <v>281</v>
      </c>
      <c r="R20" s="8" t="s">
        <v>914</v>
      </c>
      <c r="S20" s="8" t="s">
        <v>914</v>
      </c>
      <c r="T20" s="8" t="s">
        <v>914</v>
      </c>
      <c r="U20" s="8" t="s">
        <v>914</v>
      </c>
      <c r="V20" s="8" t="s">
        <v>914</v>
      </c>
      <c r="W20" s="8" t="s">
        <v>914</v>
      </c>
      <c r="X20" s="8" t="s">
        <v>914</v>
      </c>
      <c r="Y20" s="8" t="s">
        <v>914</v>
      </c>
      <c r="Z20" s="8" t="s">
        <v>914</v>
      </c>
      <c r="AA20" s="8" t="s">
        <v>914</v>
      </c>
      <c r="AB20" s="8" t="s">
        <v>914</v>
      </c>
      <c r="AC20" s="8" t="s">
        <v>914</v>
      </c>
      <c r="AD20" s="8" t="s">
        <v>914</v>
      </c>
      <c r="AE20" s="8" t="s">
        <v>914</v>
      </c>
      <c r="AF20" s="8" t="s">
        <v>914</v>
      </c>
      <c r="AG20" s="41">
        <f t="shared" si="6"/>
        <v>30</v>
      </c>
      <c r="AH20" s="42">
        <f t="shared" si="7"/>
        <v>96.774193548387103</v>
      </c>
      <c r="AM20" s="20"/>
      <c r="AN20" s="20"/>
      <c r="AO20" s="20"/>
      <c r="AP20" s="20"/>
      <c r="AQ20" s="20"/>
      <c r="AR20" s="20"/>
      <c r="AX20" s="58"/>
    </row>
    <row r="21" spans="1:50" x14ac:dyDescent="0.35">
      <c r="A21" s="7" t="s">
        <v>50</v>
      </c>
      <c r="B21" s="8" t="s">
        <v>609</v>
      </c>
      <c r="C21" s="8" t="s">
        <v>609</v>
      </c>
      <c r="D21" s="8" t="s">
        <v>609</v>
      </c>
      <c r="E21" s="8" t="s">
        <v>609</v>
      </c>
      <c r="F21" s="8" t="s">
        <v>609</v>
      </c>
      <c r="G21" s="8" t="s">
        <v>609</v>
      </c>
      <c r="H21" s="8" t="s">
        <v>609</v>
      </c>
      <c r="I21" s="8" t="s">
        <v>609</v>
      </c>
      <c r="J21" s="8" t="s">
        <v>609</v>
      </c>
      <c r="K21" s="8" t="s">
        <v>609</v>
      </c>
      <c r="L21" s="8" t="s">
        <v>609</v>
      </c>
      <c r="M21" s="8" t="s">
        <v>609</v>
      </c>
      <c r="N21" s="8" t="s">
        <v>609</v>
      </c>
      <c r="O21" s="8" t="s">
        <v>609</v>
      </c>
      <c r="P21" s="8"/>
      <c r="Q21" s="8" t="s">
        <v>281</v>
      </c>
      <c r="R21" s="8" t="s">
        <v>609</v>
      </c>
      <c r="S21" s="8" t="s">
        <v>609</v>
      </c>
      <c r="T21" s="8" t="s">
        <v>609</v>
      </c>
      <c r="U21" s="8" t="s">
        <v>609</v>
      </c>
      <c r="V21" s="8" t="s">
        <v>609</v>
      </c>
      <c r="W21" s="8" t="s">
        <v>609</v>
      </c>
      <c r="X21" s="8" t="s">
        <v>609</v>
      </c>
      <c r="Y21" s="8" t="s">
        <v>609</v>
      </c>
      <c r="Z21" s="8" t="s">
        <v>609</v>
      </c>
      <c r="AA21" s="8" t="s">
        <v>609</v>
      </c>
      <c r="AB21" s="8" t="s">
        <v>609</v>
      </c>
      <c r="AC21" s="8" t="s">
        <v>609</v>
      </c>
      <c r="AD21" s="8" t="s">
        <v>609</v>
      </c>
      <c r="AE21" s="8" t="s">
        <v>609</v>
      </c>
      <c r="AF21" s="8" t="s">
        <v>609</v>
      </c>
      <c r="AG21" s="41">
        <f t="shared" si="6"/>
        <v>30</v>
      </c>
      <c r="AH21" s="42">
        <f t="shared" si="7"/>
        <v>96.774193548387103</v>
      </c>
      <c r="AM21" s="20"/>
      <c r="AN21" s="20"/>
      <c r="AO21" s="20"/>
      <c r="AP21" s="20"/>
      <c r="AQ21" s="20"/>
      <c r="AR21" s="20"/>
      <c r="AX21" s="58"/>
    </row>
    <row r="22" spans="1:50" ht="15" thickBot="1" x14ac:dyDescent="0.4">
      <c r="A22" s="7" t="s">
        <v>51</v>
      </c>
      <c r="B22" s="8" t="s">
        <v>903</v>
      </c>
      <c r="C22" s="8" t="s">
        <v>903</v>
      </c>
      <c r="D22" s="8" t="s">
        <v>903</v>
      </c>
      <c r="E22" s="8" t="s">
        <v>903</v>
      </c>
      <c r="F22" s="8"/>
      <c r="G22" s="8"/>
      <c r="H22" s="8"/>
      <c r="I22" s="8"/>
      <c r="J22" s="8"/>
      <c r="K22" s="8"/>
      <c r="L22" s="8" t="s">
        <v>910</v>
      </c>
      <c r="M22" s="8" t="s">
        <v>910</v>
      </c>
      <c r="N22" s="8" t="s">
        <v>910</v>
      </c>
      <c r="O22" s="8" t="s">
        <v>910</v>
      </c>
      <c r="P22" s="8"/>
      <c r="Q22" s="8" t="s">
        <v>912</v>
      </c>
      <c r="R22" s="8" t="s">
        <v>912</v>
      </c>
      <c r="S22" s="8"/>
      <c r="T22" s="8"/>
      <c r="U22" s="8"/>
      <c r="V22" s="8"/>
      <c r="W22" s="8"/>
      <c r="X22" s="8"/>
      <c r="Y22" s="8"/>
      <c r="Z22" s="8"/>
      <c r="AA22" s="8"/>
      <c r="AB22" s="8" t="s">
        <v>859</v>
      </c>
      <c r="AC22" s="8" t="s">
        <v>406</v>
      </c>
      <c r="AD22" s="8"/>
      <c r="AE22" s="8" t="s">
        <v>185</v>
      </c>
      <c r="AF22" s="8"/>
      <c r="AG22" s="41">
        <f t="shared" si="6"/>
        <v>13</v>
      </c>
      <c r="AH22" s="42">
        <f t="shared" si="7"/>
        <v>41.935483870967744</v>
      </c>
      <c r="AX22" s="58"/>
    </row>
    <row r="23" spans="1:50" ht="15.5" x14ac:dyDescent="0.35">
      <c r="A23" s="45" t="s">
        <v>176</v>
      </c>
      <c r="B23" s="46">
        <f>COUNTA(B15:B22)</f>
        <v>8</v>
      </c>
      <c r="C23" s="46">
        <f>COUNTA(C16:C22)</f>
        <v>5</v>
      </c>
      <c r="D23" s="46">
        <f>COUNTA(D16:D22)</f>
        <v>7</v>
      </c>
      <c r="E23" s="46">
        <f t="shared" ref="E23:AF23" si="8">COUNTA(E15:E22)</f>
        <v>5</v>
      </c>
      <c r="F23" s="46">
        <f t="shared" si="8"/>
        <v>3</v>
      </c>
      <c r="G23" s="46">
        <f t="shared" si="8"/>
        <v>3</v>
      </c>
      <c r="H23" s="46">
        <f t="shared" si="8"/>
        <v>3</v>
      </c>
      <c r="I23" s="46">
        <f t="shared" si="8"/>
        <v>3</v>
      </c>
      <c r="J23" s="46">
        <f t="shared" si="8"/>
        <v>3</v>
      </c>
      <c r="K23" s="46">
        <f t="shared" si="8"/>
        <v>6</v>
      </c>
      <c r="L23" s="46">
        <f t="shared" si="8"/>
        <v>7</v>
      </c>
      <c r="M23" s="46">
        <f t="shared" si="8"/>
        <v>7</v>
      </c>
      <c r="N23" s="46">
        <f t="shared" si="8"/>
        <v>8</v>
      </c>
      <c r="O23" s="46">
        <f t="shared" si="8"/>
        <v>8</v>
      </c>
      <c r="P23" s="46">
        <f t="shared" si="8"/>
        <v>1</v>
      </c>
      <c r="Q23" s="46">
        <f t="shared" si="8"/>
        <v>7</v>
      </c>
      <c r="R23" s="46">
        <f t="shared" si="8"/>
        <v>7</v>
      </c>
      <c r="S23" s="46">
        <f t="shared" si="8"/>
        <v>4</v>
      </c>
      <c r="T23" s="46">
        <f>COUNTA(T15:T22)</f>
        <v>4</v>
      </c>
      <c r="U23" s="46">
        <f t="shared" si="8"/>
        <v>4</v>
      </c>
      <c r="V23" s="46">
        <f t="shared" si="8"/>
        <v>4</v>
      </c>
      <c r="W23" s="46">
        <f t="shared" si="8"/>
        <v>4</v>
      </c>
      <c r="X23" s="46">
        <f t="shared" si="8"/>
        <v>6</v>
      </c>
      <c r="Y23" s="46">
        <f t="shared" si="8"/>
        <v>4</v>
      </c>
      <c r="Z23" s="46">
        <f t="shared" si="8"/>
        <v>5</v>
      </c>
      <c r="AA23" s="46">
        <f t="shared" si="8"/>
        <v>6</v>
      </c>
      <c r="AB23" s="46">
        <f t="shared" si="8"/>
        <v>7</v>
      </c>
      <c r="AC23" s="46">
        <f t="shared" si="8"/>
        <v>7</v>
      </c>
      <c r="AD23" s="46">
        <f t="shared" si="8"/>
        <v>6</v>
      </c>
      <c r="AE23" s="46">
        <f t="shared" si="8"/>
        <v>6</v>
      </c>
      <c r="AF23" s="46">
        <f t="shared" si="8"/>
        <v>4</v>
      </c>
      <c r="AG23" s="43">
        <f>SUM(AG15:AG22)</f>
        <v>162</v>
      </c>
      <c r="AH23" s="42">
        <f t="shared" ref="AH23" si="9">AG23*100/31</f>
        <v>522.58064516129036</v>
      </c>
      <c r="AX23" s="58"/>
    </row>
    <row r="24" spans="1:50" ht="15.5" x14ac:dyDescent="0.35">
      <c r="A24" s="47" t="s">
        <v>178</v>
      </c>
      <c r="B24" s="52">
        <f>B12+B23</f>
        <v>11</v>
      </c>
      <c r="C24" s="52">
        <f t="shared" ref="C24:AF24" si="10">C12+C23</f>
        <v>9</v>
      </c>
      <c r="D24" s="52">
        <f t="shared" si="10"/>
        <v>9</v>
      </c>
      <c r="E24" s="52">
        <f t="shared" si="10"/>
        <v>8</v>
      </c>
      <c r="F24" s="52">
        <f t="shared" si="10"/>
        <v>5</v>
      </c>
      <c r="G24" s="52">
        <f t="shared" si="10"/>
        <v>5</v>
      </c>
      <c r="H24" s="52">
        <f t="shared" si="10"/>
        <v>5</v>
      </c>
      <c r="I24" s="52">
        <f t="shared" si="10"/>
        <v>5</v>
      </c>
      <c r="J24" s="52">
        <f t="shared" si="10"/>
        <v>5</v>
      </c>
      <c r="K24" s="52">
        <f t="shared" si="10"/>
        <v>8</v>
      </c>
      <c r="L24" s="52">
        <f t="shared" si="10"/>
        <v>8</v>
      </c>
      <c r="M24" s="52">
        <f t="shared" si="10"/>
        <v>13</v>
      </c>
      <c r="N24" s="52">
        <f t="shared" si="10"/>
        <v>14</v>
      </c>
      <c r="O24" s="52">
        <f t="shared" si="10"/>
        <v>14</v>
      </c>
      <c r="P24" s="52">
        <f t="shared" si="10"/>
        <v>4</v>
      </c>
      <c r="Q24" s="52">
        <f t="shared" si="10"/>
        <v>9</v>
      </c>
      <c r="R24" s="52">
        <f t="shared" si="10"/>
        <v>9</v>
      </c>
      <c r="S24" s="52">
        <f t="shared" si="10"/>
        <v>10</v>
      </c>
      <c r="T24" s="52">
        <f t="shared" si="10"/>
        <v>6</v>
      </c>
      <c r="U24" s="52">
        <f t="shared" si="10"/>
        <v>6</v>
      </c>
      <c r="V24" s="52">
        <f t="shared" si="10"/>
        <v>8</v>
      </c>
      <c r="W24" s="52">
        <f t="shared" si="10"/>
        <v>10</v>
      </c>
      <c r="X24" s="52">
        <f t="shared" si="10"/>
        <v>12</v>
      </c>
      <c r="Y24" s="52">
        <f t="shared" si="10"/>
        <v>9</v>
      </c>
      <c r="Z24" s="52">
        <f t="shared" si="10"/>
        <v>10</v>
      </c>
      <c r="AA24" s="52">
        <f t="shared" si="10"/>
        <v>12</v>
      </c>
      <c r="AB24" s="52">
        <f t="shared" si="10"/>
        <v>12</v>
      </c>
      <c r="AC24" s="52">
        <f t="shared" si="10"/>
        <v>12</v>
      </c>
      <c r="AD24" s="52">
        <f t="shared" si="10"/>
        <v>11</v>
      </c>
      <c r="AE24" s="52">
        <f t="shared" si="10"/>
        <v>12</v>
      </c>
      <c r="AF24" s="52">
        <f t="shared" si="10"/>
        <v>9</v>
      </c>
      <c r="AG24" s="49">
        <f>+AG12+AG23</f>
        <v>280</v>
      </c>
      <c r="AX24" s="58"/>
    </row>
    <row r="25" spans="1:50" ht="15.5" x14ac:dyDescent="0.35">
      <c r="A25" s="48" t="s">
        <v>179</v>
      </c>
      <c r="B25" s="42">
        <f>B24*100/15</f>
        <v>73.333333333333329</v>
      </c>
      <c r="C25" s="42">
        <f t="shared" ref="C25:AF25" si="11">C24*100/15</f>
        <v>60</v>
      </c>
      <c r="D25" s="42">
        <f t="shared" si="11"/>
        <v>60</v>
      </c>
      <c r="E25" s="42">
        <f t="shared" si="11"/>
        <v>53.333333333333336</v>
      </c>
      <c r="F25" s="42">
        <f t="shared" si="11"/>
        <v>33.333333333333336</v>
      </c>
      <c r="G25" s="42">
        <f t="shared" si="11"/>
        <v>33.333333333333336</v>
      </c>
      <c r="H25" s="42">
        <f t="shared" si="11"/>
        <v>33.333333333333336</v>
      </c>
      <c r="I25" s="42">
        <f t="shared" si="11"/>
        <v>33.333333333333336</v>
      </c>
      <c r="J25" s="42">
        <f t="shared" si="11"/>
        <v>33.333333333333336</v>
      </c>
      <c r="K25" s="42">
        <f t="shared" si="11"/>
        <v>53.333333333333336</v>
      </c>
      <c r="L25" s="42">
        <f t="shared" si="11"/>
        <v>53.333333333333336</v>
      </c>
      <c r="M25" s="42">
        <f t="shared" si="11"/>
        <v>86.666666666666671</v>
      </c>
      <c r="N25" s="42">
        <f t="shared" si="11"/>
        <v>93.333333333333329</v>
      </c>
      <c r="O25" s="42">
        <f t="shared" si="11"/>
        <v>93.333333333333329</v>
      </c>
      <c r="P25" s="42">
        <f t="shared" si="11"/>
        <v>26.666666666666668</v>
      </c>
      <c r="Q25" s="42">
        <f t="shared" si="11"/>
        <v>60</v>
      </c>
      <c r="R25" s="42">
        <f t="shared" si="11"/>
        <v>60</v>
      </c>
      <c r="S25" s="42">
        <f t="shared" si="11"/>
        <v>66.666666666666671</v>
      </c>
      <c r="T25" s="42">
        <f t="shared" si="11"/>
        <v>40</v>
      </c>
      <c r="U25" s="42">
        <f t="shared" si="11"/>
        <v>40</v>
      </c>
      <c r="V25" s="42">
        <f t="shared" si="11"/>
        <v>53.333333333333336</v>
      </c>
      <c r="W25" s="42">
        <f t="shared" si="11"/>
        <v>66.666666666666671</v>
      </c>
      <c r="X25" s="42">
        <f t="shared" si="11"/>
        <v>80</v>
      </c>
      <c r="Y25" s="42">
        <f t="shared" si="11"/>
        <v>60</v>
      </c>
      <c r="Z25" s="42">
        <f t="shared" si="11"/>
        <v>66.666666666666671</v>
      </c>
      <c r="AA25" s="42">
        <f t="shared" si="11"/>
        <v>80</v>
      </c>
      <c r="AB25" s="42">
        <f t="shared" si="11"/>
        <v>80</v>
      </c>
      <c r="AC25" s="42">
        <f t="shared" si="11"/>
        <v>80</v>
      </c>
      <c r="AD25" s="42">
        <f t="shared" si="11"/>
        <v>73.333333333333329</v>
      </c>
      <c r="AE25" s="42">
        <f t="shared" si="11"/>
        <v>80</v>
      </c>
      <c r="AF25" s="42">
        <f t="shared" si="11"/>
        <v>60</v>
      </c>
      <c r="AG25" s="50">
        <f>AVERAGE(B25:AE25)</f>
        <v>60.222222222222214</v>
      </c>
      <c r="AH25" s="51" t="s">
        <v>180</v>
      </c>
      <c r="AX25" s="58"/>
    </row>
    <row r="26" spans="1:50" x14ac:dyDescent="0.35">
      <c r="AX26" s="58"/>
    </row>
    <row r="27" spans="1:50" ht="41.5" customHeight="1" x14ac:dyDescent="0.35">
      <c r="L27" s="91" t="s">
        <v>863</v>
      </c>
      <c r="W27" s="130" t="s">
        <v>849</v>
      </c>
      <c r="X27" s="130"/>
    </row>
    <row r="30" spans="1:50" x14ac:dyDescent="0.35">
      <c r="F30" s="130" t="s">
        <v>849</v>
      </c>
      <c r="G30" s="130"/>
      <c r="H30" s="130"/>
    </row>
    <row r="31" spans="1:50" x14ac:dyDescent="0.35">
      <c r="C31" s="92"/>
    </row>
    <row r="32" spans="1:50" x14ac:dyDescent="0.35">
      <c r="C32" s="92"/>
    </row>
    <row r="33" spans="3:3" x14ac:dyDescent="0.35">
      <c r="C33" s="93"/>
    </row>
    <row r="34" spans="3:3" x14ac:dyDescent="0.35">
      <c r="C34" s="93"/>
    </row>
    <row r="35" spans="3:3" x14ac:dyDescent="0.35">
      <c r="C35" s="92"/>
    </row>
    <row r="36" spans="3:3" x14ac:dyDescent="0.35">
      <c r="C36" s="92"/>
    </row>
    <row r="37" spans="3:3" x14ac:dyDescent="0.35">
      <c r="C37" s="92"/>
    </row>
    <row r="38" spans="3:3" x14ac:dyDescent="0.35">
      <c r="C38" s="92"/>
    </row>
    <row r="39" spans="3:3" x14ac:dyDescent="0.35">
      <c r="C39" s="92"/>
    </row>
    <row r="40" spans="3:3" x14ac:dyDescent="0.35">
      <c r="C40" s="92"/>
    </row>
    <row r="41" spans="3:3" x14ac:dyDescent="0.35">
      <c r="C41" s="92"/>
    </row>
    <row r="42" spans="3:3" x14ac:dyDescent="0.35">
      <c r="C42" s="92"/>
    </row>
    <row r="43" spans="3:3" x14ac:dyDescent="0.35">
      <c r="C43" s="92"/>
    </row>
  </sheetData>
  <mergeCells count="4">
    <mergeCell ref="A1:AE1"/>
    <mergeCell ref="AM3:AR3"/>
    <mergeCell ref="F30:H30"/>
    <mergeCell ref="W27:X27"/>
  </mergeCells>
  <phoneticPr fontId="9" type="noConversion"/>
  <conditionalFormatting sqref="B6:B8 C8 C6:AF6">
    <cfRule type="colorScale" priority="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5:B21 C17:G18 C19 E19:G19 H17:O17 C20:O21">
    <cfRule type="colorScale" priority="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5:Z5 AB5:AF5 B9:AF11 C7:AF7 D8:AF8">
    <cfRule type="colorScale" priority="2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22:AE22 C16:W16 H18:W18 H19:AE19 C15:AE15 Y16:AE16 P17:AF17 Y18:AF18 P20:AF21">
    <cfRule type="colorScale" priority="1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D19">
    <cfRule type="colorScale" priority="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L13:U14 B13:I14 X13:AH14">
    <cfRule type="colorScale" priority="2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X16">
    <cfRule type="colorScale" priority="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X18">
    <cfRule type="colorScale" priority="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A5">
    <cfRule type="colorScale" priority="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F15">
    <cfRule type="colorScale" priority="1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F16 AF19 AF22">
    <cfRule type="colorScale" priority="21">
      <colorScale>
        <cfvo type="num" val="1"/>
        <cfvo type="max"/>
        <color theme="4" tint="0.59999389629810485"/>
        <color theme="5" tint="0.59999389629810485"/>
      </colorScale>
    </cfRule>
  </conditionalFormatting>
  <pageMargins left="0.2" right="0.45" top="0.75" bottom="0.75" header="0.3" footer="0.3"/>
  <pageSetup scale="90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6421-97FE-468A-82AB-1D0F2789D03A}">
  <dimension ref="A1:AX43"/>
  <sheetViews>
    <sheetView zoomScaleNormal="100" workbookViewId="0">
      <pane xSplit="1" ySplit="4" topLeftCell="AB5" activePane="bottomRight" state="frozen"/>
      <selection pane="topRight" activeCell="B1" sqref="B1"/>
      <selection pane="bottomLeft" activeCell="A5" sqref="A5"/>
      <selection pane="bottomRight" activeCell="AE8" sqref="AE8:AF8"/>
    </sheetView>
  </sheetViews>
  <sheetFormatPr defaultRowHeight="14.5" x14ac:dyDescent="0.35"/>
  <cols>
    <col min="1" max="1" width="43.7265625" customWidth="1"/>
    <col min="2" max="2" width="11.81640625" bestFit="1" customWidth="1"/>
    <col min="3" max="3" width="10.54296875" bestFit="1" customWidth="1"/>
    <col min="4" max="4" width="11.1796875" bestFit="1" customWidth="1"/>
    <col min="5" max="5" width="12.26953125" bestFit="1" customWidth="1"/>
    <col min="6" max="11" width="13.453125" bestFit="1" customWidth="1"/>
    <col min="12" max="12" width="15.26953125" bestFit="1" customWidth="1"/>
    <col min="13" max="13" width="15.81640625" bestFit="1" customWidth="1"/>
    <col min="14" max="17" width="11.81640625" bestFit="1" customWidth="1"/>
    <col min="18" max="20" width="12.81640625" bestFit="1" customWidth="1"/>
    <col min="21" max="21" width="11.81640625" bestFit="1" customWidth="1"/>
    <col min="22" max="31" width="12.81640625" bestFit="1" customWidth="1"/>
    <col min="32" max="32" width="5" bestFit="1" customWidth="1"/>
    <col min="33" max="33" width="4.7265625" bestFit="1" customWidth="1"/>
    <col min="34" max="34" width="8.453125" bestFit="1" customWidth="1"/>
    <col min="35" max="35" width="8" bestFit="1" customWidth="1"/>
    <col min="36" max="36" width="8.453125" customWidth="1"/>
    <col min="37" max="37" width="0" hidden="1" customWidth="1"/>
    <col min="38" max="38" width="3" hidden="1" customWidth="1"/>
    <col min="39" max="39" width="17.81640625" bestFit="1" customWidth="1"/>
    <col min="40" max="40" width="9.1796875" bestFit="1" customWidth="1"/>
    <col min="41" max="41" width="9.81640625" bestFit="1" customWidth="1"/>
    <col min="42" max="42" width="10.81640625" bestFit="1" customWidth="1"/>
    <col min="43" max="43" width="10.1796875" bestFit="1" customWidth="1"/>
    <col min="44" max="44" width="23.1796875" bestFit="1" customWidth="1"/>
    <col min="45" max="45" width="0.453125" hidden="1" customWidth="1"/>
    <col min="46" max="49" width="0" hidden="1" customWidth="1"/>
    <col min="51" max="51" width="15" bestFit="1" customWidth="1"/>
  </cols>
  <sheetData>
    <row r="1" spans="1:44" ht="15.5" x14ac:dyDescent="0.35">
      <c r="A1" s="120" t="s">
        <v>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65"/>
    </row>
    <row r="2" spans="1:44" ht="15" thickBot="1" x14ac:dyDescent="0.4"/>
    <row r="3" spans="1:44" ht="45.75" customHeight="1" x14ac:dyDescent="0.35">
      <c r="A3" s="1" t="s">
        <v>1</v>
      </c>
      <c r="B3" s="2">
        <f>AI4</f>
        <v>45870</v>
      </c>
      <c r="C3" s="2">
        <f t="shared" ref="C3:AF3" si="0">B3+1</f>
        <v>45871</v>
      </c>
      <c r="D3" s="2">
        <f t="shared" si="0"/>
        <v>45872</v>
      </c>
      <c r="E3" s="2">
        <f t="shared" si="0"/>
        <v>45873</v>
      </c>
      <c r="F3" s="2">
        <f t="shared" si="0"/>
        <v>45874</v>
      </c>
      <c r="G3" s="2">
        <f t="shared" si="0"/>
        <v>45875</v>
      </c>
      <c r="H3" s="2">
        <f t="shared" si="0"/>
        <v>45876</v>
      </c>
      <c r="I3" s="2">
        <f>H3+1</f>
        <v>45877</v>
      </c>
      <c r="J3" s="2">
        <f t="shared" si="0"/>
        <v>45878</v>
      </c>
      <c r="K3" s="2">
        <f t="shared" si="0"/>
        <v>45879</v>
      </c>
      <c r="L3" s="2">
        <f t="shared" si="0"/>
        <v>45880</v>
      </c>
      <c r="M3" s="2">
        <f t="shared" si="0"/>
        <v>45881</v>
      </c>
      <c r="N3" s="2">
        <f t="shared" si="0"/>
        <v>45882</v>
      </c>
      <c r="O3" s="2">
        <f t="shared" si="0"/>
        <v>45883</v>
      </c>
      <c r="P3" s="2">
        <f t="shared" si="0"/>
        <v>45884</v>
      </c>
      <c r="Q3" s="2">
        <f t="shared" si="0"/>
        <v>45885</v>
      </c>
      <c r="R3" s="2">
        <f t="shared" si="0"/>
        <v>45886</v>
      </c>
      <c r="S3" s="2">
        <f t="shared" si="0"/>
        <v>45887</v>
      </c>
      <c r="T3" s="2">
        <f t="shared" si="0"/>
        <v>45888</v>
      </c>
      <c r="U3" s="2">
        <f t="shared" si="0"/>
        <v>45889</v>
      </c>
      <c r="V3" s="2">
        <f t="shared" si="0"/>
        <v>45890</v>
      </c>
      <c r="W3" s="2">
        <f t="shared" si="0"/>
        <v>45891</v>
      </c>
      <c r="X3" s="2">
        <f t="shared" si="0"/>
        <v>45892</v>
      </c>
      <c r="Y3" s="2">
        <f t="shared" si="0"/>
        <v>45893</v>
      </c>
      <c r="Z3" s="2">
        <f t="shared" si="0"/>
        <v>45894</v>
      </c>
      <c r="AA3" s="2">
        <f t="shared" si="0"/>
        <v>45895</v>
      </c>
      <c r="AB3" s="2">
        <f t="shared" si="0"/>
        <v>45896</v>
      </c>
      <c r="AC3" s="2">
        <f t="shared" si="0"/>
        <v>45897</v>
      </c>
      <c r="AD3" s="2">
        <f t="shared" si="0"/>
        <v>45898</v>
      </c>
      <c r="AE3" s="2">
        <f t="shared" si="0"/>
        <v>45899</v>
      </c>
      <c r="AF3" s="2">
        <f t="shared" si="0"/>
        <v>45900</v>
      </c>
      <c r="AG3" s="36"/>
      <c r="AH3" s="36"/>
      <c r="AM3" s="122" t="s">
        <v>267</v>
      </c>
      <c r="AN3" s="123"/>
      <c r="AO3" s="123"/>
      <c r="AP3" s="123"/>
      <c r="AQ3" s="123"/>
      <c r="AR3" s="124"/>
    </row>
    <row r="4" spans="1:44" ht="31.5" customHeight="1" x14ac:dyDescent="0.35">
      <c r="A4" s="3" t="s">
        <v>2</v>
      </c>
      <c r="B4" s="4">
        <f t="shared" ref="B4:AF4" si="1">B3</f>
        <v>45870</v>
      </c>
      <c r="C4" s="4">
        <f t="shared" si="1"/>
        <v>45871</v>
      </c>
      <c r="D4" s="4">
        <f t="shared" si="1"/>
        <v>45872</v>
      </c>
      <c r="E4" s="4">
        <f t="shared" si="1"/>
        <v>45873</v>
      </c>
      <c r="F4" s="4">
        <f t="shared" si="1"/>
        <v>45874</v>
      </c>
      <c r="G4" s="4">
        <f t="shared" si="1"/>
        <v>45875</v>
      </c>
      <c r="H4" s="4">
        <f t="shared" si="1"/>
        <v>45876</v>
      </c>
      <c r="I4" s="4">
        <f t="shared" si="1"/>
        <v>45877</v>
      </c>
      <c r="J4" s="4">
        <f t="shared" si="1"/>
        <v>45878</v>
      </c>
      <c r="K4" s="4">
        <f t="shared" si="1"/>
        <v>45879</v>
      </c>
      <c r="L4" s="4">
        <f t="shared" si="1"/>
        <v>45880</v>
      </c>
      <c r="M4" s="4">
        <f t="shared" si="1"/>
        <v>45881</v>
      </c>
      <c r="N4" s="4">
        <f t="shared" si="1"/>
        <v>45882</v>
      </c>
      <c r="O4" s="4">
        <f t="shared" si="1"/>
        <v>45883</v>
      </c>
      <c r="P4" s="4">
        <f t="shared" si="1"/>
        <v>45884</v>
      </c>
      <c r="Q4" s="4">
        <f t="shared" si="1"/>
        <v>45885</v>
      </c>
      <c r="R4" s="4">
        <f t="shared" si="1"/>
        <v>45886</v>
      </c>
      <c r="S4" s="4">
        <f t="shared" si="1"/>
        <v>45887</v>
      </c>
      <c r="T4" s="4">
        <f t="shared" si="1"/>
        <v>45888</v>
      </c>
      <c r="U4" s="4">
        <f t="shared" si="1"/>
        <v>45889</v>
      </c>
      <c r="V4" s="4">
        <f t="shared" si="1"/>
        <v>45890</v>
      </c>
      <c r="W4" s="4">
        <f t="shared" si="1"/>
        <v>45891</v>
      </c>
      <c r="X4" s="4">
        <f t="shared" si="1"/>
        <v>45892</v>
      </c>
      <c r="Y4" s="4">
        <f t="shared" si="1"/>
        <v>45893</v>
      </c>
      <c r="Z4" s="4">
        <f t="shared" si="1"/>
        <v>45894</v>
      </c>
      <c r="AA4" s="4">
        <f t="shared" si="1"/>
        <v>45895</v>
      </c>
      <c r="AB4" s="4">
        <f t="shared" si="1"/>
        <v>45896</v>
      </c>
      <c r="AC4" s="4">
        <f t="shared" si="1"/>
        <v>45897</v>
      </c>
      <c r="AD4" s="4">
        <f t="shared" si="1"/>
        <v>45898</v>
      </c>
      <c r="AE4" s="4">
        <f t="shared" si="1"/>
        <v>45899</v>
      </c>
      <c r="AF4" s="4">
        <f t="shared" si="1"/>
        <v>45900</v>
      </c>
      <c r="AG4" s="39" t="s">
        <v>174</v>
      </c>
      <c r="AH4" s="40" t="s">
        <v>175</v>
      </c>
      <c r="AI4" s="5">
        <v>45870</v>
      </c>
      <c r="AJ4" s="6">
        <f>EOMONTH(AI4,0)</f>
        <v>45900</v>
      </c>
      <c r="AM4" s="19" t="s">
        <v>54</v>
      </c>
      <c r="AN4" s="19" t="s">
        <v>269</v>
      </c>
      <c r="AO4" s="19" t="s">
        <v>55</v>
      </c>
      <c r="AP4" s="19" t="s">
        <v>56</v>
      </c>
      <c r="AQ4" s="19" t="s">
        <v>251</v>
      </c>
      <c r="AR4" s="19" t="s">
        <v>57</v>
      </c>
    </row>
    <row r="5" spans="1:44" x14ac:dyDescent="0.35">
      <c r="A5" s="7" t="s">
        <v>3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 t="s">
        <v>945</v>
      </c>
      <c r="N5" s="55" t="s">
        <v>945</v>
      </c>
      <c r="O5" s="55" t="s">
        <v>945</v>
      </c>
      <c r="P5" s="55" t="s">
        <v>945</v>
      </c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41">
        <f>COUNTA(B5:AF5)</f>
        <v>4</v>
      </c>
      <c r="AH5" s="42">
        <f>AG5*100/31</f>
        <v>12.903225806451612</v>
      </c>
      <c r="AM5" s="20"/>
      <c r="AN5" s="56"/>
      <c r="AO5" s="56"/>
      <c r="AP5" s="56"/>
      <c r="AQ5" s="57"/>
      <c r="AR5" s="20"/>
    </row>
    <row r="6" spans="1:44" x14ac:dyDescent="0.35">
      <c r="A6" s="7" t="s">
        <v>7</v>
      </c>
      <c r="B6" s="55" t="s">
        <v>846</v>
      </c>
      <c r="C6" s="55" t="s">
        <v>846</v>
      </c>
      <c r="D6" s="55" t="s">
        <v>846</v>
      </c>
      <c r="E6" s="55" t="s">
        <v>846</v>
      </c>
      <c r="F6" s="55" t="s">
        <v>846</v>
      </c>
      <c r="G6" s="55" t="s">
        <v>846</v>
      </c>
      <c r="H6" s="55" t="s">
        <v>846</v>
      </c>
      <c r="I6" s="55" t="s">
        <v>846</v>
      </c>
      <c r="J6" s="55" t="s">
        <v>846</v>
      </c>
      <c r="K6" s="55" t="s">
        <v>846</v>
      </c>
      <c r="L6" s="55" t="s">
        <v>846</v>
      </c>
      <c r="M6" s="55" t="s">
        <v>846</v>
      </c>
      <c r="N6" s="55" t="s">
        <v>846</v>
      </c>
      <c r="O6" s="55" t="s">
        <v>846</v>
      </c>
      <c r="P6" s="55" t="s">
        <v>846</v>
      </c>
      <c r="Q6" s="55" t="s">
        <v>846</v>
      </c>
      <c r="R6" s="55" t="s">
        <v>846</v>
      </c>
      <c r="S6" s="55" t="s">
        <v>846</v>
      </c>
      <c r="T6" s="55" t="s">
        <v>846</v>
      </c>
      <c r="U6" s="55" t="s">
        <v>846</v>
      </c>
      <c r="V6" s="55" t="s">
        <v>846</v>
      </c>
      <c r="W6" s="55" t="s">
        <v>846</v>
      </c>
      <c r="X6" s="55" t="s">
        <v>846</v>
      </c>
      <c r="Y6" s="55" t="s">
        <v>846</v>
      </c>
      <c r="Z6" s="55" t="s">
        <v>846</v>
      </c>
      <c r="AA6" s="55" t="s">
        <v>846</v>
      </c>
      <c r="AB6" s="55" t="s">
        <v>846</v>
      </c>
      <c r="AC6" s="55" t="s">
        <v>846</v>
      </c>
      <c r="AD6" s="55" t="s">
        <v>846</v>
      </c>
      <c r="AE6" s="55" t="s">
        <v>846</v>
      </c>
      <c r="AF6" s="55" t="s">
        <v>846</v>
      </c>
      <c r="AG6" s="41">
        <f t="shared" ref="AG6:AG11" si="2">COUNTA(B6:AF6)</f>
        <v>31</v>
      </c>
      <c r="AH6" s="42">
        <f t="shared" ref="AH6:AH11" si="3">AG6*100/31</f>
        <v>100</v>
      </c>
      <c r="AM6" s="20"/>
      <c r="AN6" s="56"/>
      <c r="AO6" s="56"/>
      <c r="AP6" s="56"/>
      <c r="AQ6" s="57"/>
      <c r="AR6" s="20"/>
    </row>
    <row r="7" spans="1:44" x14ac:dyDescent="0.35">
      <c r="A7" s="7" t="s">
        <v>11</v>
      </c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8" t="s">
        <v>938</v>
      </c>
      <c r="O7" s="8" t="s">
        <v>938</v>
      </c>
      <c r="P7" s="8" t="s">
        <v>938</v>
      </c>
      <c r="Q7" s="8" t="s">
        <v>938</v>
      </c>
      <c r="R7" s="55" t="s">
        <v>952</v>
      </c>
      <c r="S7" s="55" t="s">
        <v>952</v>
      </c>
      <c r="T7" s="55" t="s">
        <v>952</v>
      </c>
      <c r="U7" s="55" t="s">
        <v>952</v>
      </c>
      <c r="V7" s="55"/>
      <c r="W7" s="55"/>
      <c r="X7" s="55"/>
      <c r="Y7" s="55"/>
      <c r="Z7" s="55"/>
      <c r="AA7" s="55" t="s">
        <v>956</v>
      </c>
      <c r="AB7" s="55" t="s">
        <v>956</v>
      </c>
      <c r="AC7" s="55" t="s">
        <v>956</v>
      </c>
      <c r="AD7" s="55"/>
      <c r="AE7" s="55" t="s">
        <v>134</v>
      </c>
      <c r="AF7" s="55"/>
      <c r="AG7" s="41">
        <f t="shared" si="2"/>
        <v>12</v>
      </c>
      <c r="AH7" s="42">
        <f t="shared" si="3"/>
        <v>38.70967741935484</v>
      </c>
      <c r="AM7" s="20"/>
      <c r="AN7" s="56"/>
      <c r="AO7" s="56"/>
      <c r="AP7" s="56"/>
      <c r="AQ7" s="57"/>
      <c r="AR7" s="20"/>
    </row>
    <row r="8" spans="1:44" ht="15" customHeight="1" x14ac:dyDescent="0.35">
      <c r="A8" s="7" t="s">
        <v>15</v>
      </c>
      <c r="B8" s="55"/>
      <c r="C8" s="55"/>
      <c r="D8" s="55"/>
      <c r="E8" s="55"/>
      <c r="F8" s="55"/>
      <c r="G8" s="55" t="s">
        <v>924</v>
      </c>
      <c r="H8" s="55"/>
      <c r="I8" s="55"/>
      <c r="J8" s="55"/>
      <c r="K8" s="55"/>
      <c r="L8" s="55"/>
      <c r="M8" s="55"/>
      <c r="N8" s="55" t="s">
        <v>947</v>
      </c>
      <c r="O8" s="55" t="s">
        <v>947</v>
      </c>
      <c r="P8" s="55" t="s">
        <v>947</v>
      </c>
      <c r="Q8" s="55" t="s">
        <v>947</v>
      </c>
      <c r="R8" s="55" t="s">
        <v>953</v>
      </c>
      <c r="S8" s="55" t="s">
        <v>953</v>
      </c>
      <c r="T8" s="55" t="s">
        <v>953</v>
      </c>
      <c r="U8" s="55" t="s">
        <v>953</v>
      </c>
      <c r="V8" s="55"/>
      <c r="W8" s="55"/>
      <c r="X8" s="55"/>
      <c r="Y8" s="55"/>
      <c r="Z8" s="55"/>
      <c r="AA8" s="55" t="s">
        <v>955</v>
      </c>
      <c r="AB8" s="55" t="s">
        <v>955</v>
      </c>
      <c r="AC8" s="55" t="s">
        <v>955</v>
      </c>
      <c r="AD8" s="55"/>
      <c r="AE8" s="55" t="s">
        <v>965</v>
      </c>
      <c r="AF8" s="55" t="s">
        <v>965</v>
      </c>
      <c r="AG8" s="41">
        <f t="shared" si="2"/>
        <v>14</v>
      </c>
      <c r="AH8" s="42">
        <f t="shared" si="3"/>
        <v>45.161290322580648</v>
      </c>
      <c r="AK8" s="9"/>
      <c r="AM8" s="20"/>
      <c r="AN8" s="56"/>
      <c r="AO8" s="56"/>
      <c r="AP8" s="56"/>
      <c r="AQ8" s="57"/>
      <c r="AR8" s="20"/>
    </row>
    <row r="9" spans="1:44" ht="15.75" customHeight="1" x14ac:dyDescent="0.35">
      <c r="A9" s="7" t="s">
        <v>18</v>
      </c>
      <c r="B9" s="55" t="s">
        <v>812</v>
      </c>
      <c r="C9" s="55" t="s">
        <v>812</v>
      </c>
      <c r="D9" s="55" t="s">
        <v>812</v>
      </c>
      <c r="E9" s="55" t="s">
        <v>812</v>
      </c>
      <c r="F9" s="55" t="s">
        <v>812</v>
      </c>
      <c r="G9" s="55" t="s">
        <v>812</v>
      </c>
      <c r="H9" s="55" t="s">
        <v>812</v>
      </c>
      <c r="I9" s="55" t="s">
        <v>812</v>
      </c>
      <c r="J9" s="55" t="s">
        <v>812</v>
      </c>
      <c r="K9" s="55" t="s">
        <v>812</v>
      </c>
      <c r="L9" s="55" t="s">
        <v>812</v>
      </c>
      <c r="M9" s="55"/>
      <c r="N9" s="55" t="s">
        <v>950</v>
      </c>
      <c r="O9" s="55" t="s">
        <v>950</v>
      </c>
      <c r="P9" s="55" t="s">
        <v>950</v>
      </c>
      <c r="Q9" s="55" t="s">
        <v>950</v>
      </c>
      <c r="R9" s="55"/>
      <c r="S9" s="55"/>
      <c r="T9" s="55"/>
      <c r="U9" s="55"/>
      <c r="V9" s="55"/>
      <c r="W9" s="55"/>
      <c r="X9" s="55"/>
      <c r="Y9" s="55"/>
      <c r="Z9" s="55"/>
      <c r="AA9" s="55" t="s">
        <v>957</v>
      </c>
      <c r="AB9" s="55" t="s">
        <v>957</v>
      </c>
      <c r="AC9" s="55" t="s">
        <v>957</v>
      </c>
      <c r="AD9" s="55"/>
      <c r="AE9" s="55"/>
      <c r="AF9" s="55"/>
      <c r="AG9" s="41">
        <f t="shared" si="2"/>
        <v>18</v>
      </c>
      <c r="AH9" s="42">
        <f t="shared" si="3"/>
        <v>58.064516129032256</v>
      </c>
      <c r="AM9" s="20"/>
      <c r="AN9" s="56"/>
      <c r="AO9" s="56"/>
      <c r="AP9" s="56"/>
      <c r="AQ9" s="57"/>
      <c r="AR9" s="20"/>
    </row>
    <row r="10" spans="1:44" ht="15.75" customHeight="1" x14ac:dyDescent="0.35">
      <c r="A10" s="7" t="s">
        <v>20</v>
      </c>
      <c r="B10" s="55" t="s">
        <v>907</v>
      </c>
      <c r="C10" s="55" t="s">
        <v>907</v>
      </c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 t="s">
        <v>853</v>
      </c>
      <c r="O10" s="55" t="s">
        <v>853</v>
      </c>
      <c r="P10" s="55" t="s">
        <v>853</v>
      </c>
      <c r="Q10" s="55" t="s">
        <v>853</v>
      </c>
      <c r="R10" s="55"/>
      <c r="S10" s="55"/>
      <c r="T10" s="55"/>
      <c r="U10" s="55"/>
      <c r="V10" s="55"/>
      <c r="W10" s="55" t="s">
        <v>144</v>
      </c>
      <c r="X10" s="55"/>
      <c r="Y10" s="55"/>
      <c r="Z10" s="55"/>
      <c r="AA10" s="55" t="s">
        <v>958</v>
      </c>
      <c r="AB10" s="55" t="s">
        <v>958</v>
      </c>
      <c r="AC10" s="55" t="s">
        <v>958</v>
      </c>
      <c r="AD10" s="55"/>
      <c r="AE10" s="55"/>
      <c r="AF10" s="55"/>
      <c r="AG10" s="41">
        <f t="shared" si="2"/>
        <v>10</v>
      </c>
      <c r="AH10" s="42">
        <f t="shared" si="3"/>
        <v>32.258064516129032</v>
      </c>
      <c r="AM10" s="20"/>
      <c r="AN10" s="56"/>
      <c r="AO10" s="56"/>
      <c r="AP10" s="56"/>
      <c r="AQ10" s="57"/>
      <c r="AR10" s="20"/>
    </row>
    <row r="11" spans="1:44" ht="15.75" customHeight="1" thickBot="1" x14ac:dyDescent="0.4">
      <c r="A11" s="7" t="s">
        <v>24</v>
      </c>
      <c r="B11" s="55"/>
      <c r="C11" s="55" t="s">
        <v>812</v>
      </c>
      <c r="D11" s="55" t="s">
        <v>812</v>
      </c>
      <c r="E11" s="55" t="s">
        <v>812</v>
      </c>
      <c r="F11" s="55" t="s">
        <v>812</v>
      </c>
      <c r="G11" s="55" t="s">
        <v>812</v>
      </c>
      <c r="H11" s="55" t="s">
        <v>812</v>
      </c>
      <c r="I11" s="55" t="s">
        <v>812</v>
      </c>
      <c r="J11" s="55" t="s">
        <v>812</v>
      </c>
      <c r="K11" s="55" t="s">
        <v>812</v>
      </c>
      <c r="L11" s="55" t="s">
        <v>812</v>
      </c>
      <c r="M11" s="55"/>
      <c r="N11" s="55" t="s">
        <v>948</v>
      </c>
      <c r="O11" s="55" t="s">
        <v>948</v>
      </c>
      <c r="P11" s="55" t="s">
        <v>948</v>
      </c>
      <c r="Q11" s="55" t="s">
        <v>948</v>
      </c>
      <c r="R11" s="55"/>
      <c r="S11" s="55"/>
      <c r="T11" s="55"/>
      <c r="U11" s="55"/>
      <c r="V11" s="55"/>
      <c r="W11" s="55"/>
      <c r="X11" s="55"/>
      <c r="Y11" s="55"/>
      <c r="Z11" s="55"/>
      <c r="AA11" s="55" t="s">
        <v>959</v>
      </c>
      <c r="AB11" s="55" t="s">
        <v>959</v>
      </c>
      <c r="AC11" s="55" t="s">
        <v>959</v>
      </c>
      <c r="AD11" s="55"/>
      <c r="AE11" s="55"/>
      <c r="AF11" s="55"/>
      <c r="AG11" s="41">
        <f t="shared" si="2"/>
        <v>17</v>
      </c>
      <c r="AH11" s="42">
        <f t="shared" si="3"/>
        <v>54.838709677419352</v>
      </c>
      <c r="AM11" s="20"/>
      <c r="AN11" s="56"/>
      <c r="AO11" s="56"/>
      <c r="AP11" s="56"/>
      <c r="AQ11" s="57"/>
      <c r="AR11" s="20"/>
    </row>
    <row r="12" spans="1:44" ht="15" customHeight="1" x14ac:dyDescent="0.35">
      <c r="A12" s="45" t="s">
        <v>176</v>
      </c>
      <c r="B12" s="46">
        <f>COUNTA(B5:B11)</f>
        <v>3</v>
      </c>
      <c r="C12" s="46">
        <f>COUNTA(C5:C11)</f>
        <v>4</v>
      </c>
      <c r="D12" s="46">
        <f t="shared" ref="D12:AF12" si="4">COUNTA(D5:D11)</f>
        <v>3</v>
      </c>
      <c r="E12" s="46">
        <f t="shared" si="4"/>
        <v>3</v>
      </c>
      <c r="F12" s="46">
        <f t="shared" si="4"/>
        <v>3</v>
      </c>
      <c r="G12" s="46">
        <f t="shared" si="4"/>
        <v>4</v>
      </c>
      <c r="H12" s="46">
        <f t="shared" si="4"/>
        <v>3</v>
      </c>
      <c r="I12" s="46">
        <f t="shared" si="4"/>
        <v>3</v>
      </c>
      <c r="J12" s="46">
        <f t="shared" si="4"/>
        <v>3</v>
      </c>
      <c r="K12" s="46">
        <f t="shared" si="4"/>
        <v>3</v>
      </c>
      <c r="L12" s="46">
        <f t="shared" si="4"/>
        <v>3</v>
      </c>
      <c r="M12" s="46">
        <f t="shared" si="4"/>
        <v>2</v>
      </c>
      <c r="N12" s="46">
        <f t="shared" si="4"/>
        <v>7</v>
      </c>
      <c r="O12" s="46">
        <f t="shared" si="4"/>
        <v>7</v>
      </c>
      <c r="P12" s="46">
        <f t="shared" si="4"/>
        <v>7</v>
      </c>
      <c r="Q12" s="46">
        <f t="shared" si="4"/>
        <v>6</v>
      </c>
      <c r="R12" s="46">
        <f t="shared" si="4"/>
        <v>3</v>
      </c>
      <c r="S12" s="46">
        <f t="shared" si="4"/>
        <v>3</v>
      </c>
      <c r="T12" s="46">
        <f t="shared" si="4"/>
        <v>3</v>
      </c>
      <c r="U12" s="46">
        <f t="shared" si="4"/>
        <v>3</v>
      </c>
      <c r="V12" s="46">
        <f t="shared" si="4"/>
        <v>1</v>
      </c>
      <c r="W12" s="46">
        <f t="shared" si="4"/>
        <v>2</v>
      </c>
      <c r="X12" s="46">
        <f t="shared" si="4"/>
        <v>1</v>
      </c>
      <c r="Y12" s="46">
        <f t="shared" si="4"/>
        <v>1</v>
      </c>
      <c r="Z12" s="46">
        <f t="shared" si="4"/>
        <v>1</v>
      </c>
      <c r="AA12" s="46">
        <f t="shared" si="4"/>
        <v>6</v>
      </c>
      <c r="AB12" s="46">
        <f t="shared" si="4"/>
        <v>6</v>
      </c>
      <c r="AC12" s="46">
        <f>COUNTA(AC5:AC11)</f>
        <v>6</v>
      </c>
      <c r="AD12" s="46">
        <f>COUNTA(AD5:AD11)</f>
        <v>1</v>
      </c>
      <c r="AE12" s="46">
        <f>COUNTA(AE5:AE11)</f>
        <v>3</v>
      </c>
      <c r="AF12" s="46">
        <f t="shared" si="4"/>
        <v>2</v>
      </c>
      <c r="AG12" s="43">
        <f t="shared" ref="AG12" si="5">SUM(AG5:AG11)</f>
        <v>106</v>
      </c>
      <c r="AH12" s="44">
        <f>AVERAGE(AH5:AH11)</f>
        <v>48.847926267281103</v>
      </c>
      <c r="AI12" s="29"/>
      <c r="AM12" s="20"/>
      <c r="AN12" s="20"/>
      <c r="AO12" s="20"/>
      <c r="AP12" s="20"/>
      <c r="AQ12" s="20"/>
      <c r="AR12" s="20"/>
    </row>
    <row r="13" spans="1:44" ht="57" hidden="1" x14ac:dyDescent="0.35">
      <c r="A13" s="13" t="s">
        <v>28</v>
      </c>
      <c r="B13" s="14"/>
      <c r="C13" s="14"/>
      <c r="D13" s="14"/>
      <c r="E13" s="14"/>
      <c r="F13" s="14"/>
      <c r="G13" s="14"/>
      <c r="H13" s="14"/>
      <c r="I13" s="35"/>
      <c r="J13" s="34"/>
      <c r="K13" s="15"/>
      <c r="L13" s="14"/>
      <c r="M13" s="14"/>
      <c r="N13" s="25"/>
      <c r="O13" s="25"/>
      <c r="P13" s="25"/>
      <c r="Q13" s="14"/>
      <c r="R13" s="14"/>
      <c r="S13" s="14"/>
      <c r="T13" s="14"/>
      <c r="U13" s="14"/>
      <c r="V13" s="15"/>
      <c r="W13" s="15"/>
      <c r="X13" s="14"/>
      <c r="Y13" s="14"/>
      <c r="Z13" s="14"/>
      <c r="AA13" s="14"/>
      <c r="AB13" s="14"/>
      <c r="AC13" s="14"/>
      <c r="AD13" s="14"/>
      <c r="AE13" s="14"/>
      <c r="AF13" s="14"/>
      <c r="AG13" s="37"/>
      <c r="AH13" s="37"/>
      <c r="AM13" s="20"/>
      <c r="AN13" s="20"/>
      <c r="AO13" s="20"/>
      <c r="AP13" s="20"/>
      <c r="AQ13" s="20"/>
      <c r="AR13" s="20"/>
    </row>
    <row r="14" spans="1:44" ht="28.5" hidden="1" x14ac:dyDescent="0.35">
      <c r="A14" s="16" t="s">
        <v>29</v>
      </c>
      <c r="B14" s="14"/>
      <c r="C14" s="14"/>
      <c r="D14" s="14"/>
      <c r="E14" s="14"/>
      <c r="F14" s="14"/>
      <c r="G14" s="14"/>
      <c r="H14" s="14"/>
      <c r="I14" s="35"/>
      <c r="J14" s="34"/>
      <c r="K14" s="15"/>
      <c r="L14" s="14"/>
      <c r="M14" s="14"/>
      <c r="N14" s="25"/>
      <c r="O14" s="25"/>
      <c r="P14" s="25"/>
      <c r="Q14" s="14"/>
      <c r="R14" s="14"/>
      <c r="S14" s="14"/>
      <c r="T14" s="14"/>
      <c r="U14" s="14"/>
      <c r="V14" s="15"/>
      <c r="W14" s="15"/>
      <c r="X14" s="14"/>
      <c r="Y14" s="14"/>
      <c r="Z14" s="14"/>
      <c r="AA14" s="14"/>
      <c r="AB14" s="14"/>
      <c r="AC14" s="14"/>
      <c r="AD14" s="14"/>
      <c r="AE14" s="14"/>
      <c r="AF14" s="14"/>
      <c r="AG14" s="37"/>
      <c r="AH14" s="37"/>
      <c r="AM14" s="20"/>
      <c r="AN14" s="20"/>
      <c r="AO14" s="20"/>
      <c r="AP14" s="20"/>
      <c r="AQ14" s="20"/>
      <c r="AR14" s="20"/>
    </row>
    <row r="15" spans="1:44" x14ac:dyDescent="0.35">
      <c r="A15" s="7" t="s">
        <v>30</v>
      </c>
      <c r="B15" s="8" t="s">
        <v>923</v>
      </c>
      <c r="C15" s="8"/>
      <c r="D15" s="8"/>
      <c r="E15" s="8"/>
      <c r="F15" s="8"/>
      <c r="G15" s="8" t="s">
        <v>387</v>
      </c>
      <c r="H15" s="8"/>
      <c r="I15" s="8"/>
      <c r="J15" s="8"/>
      <c r="K15" s="8"/>
      <c r="L15" s="55"/>
      <c r="M15" s="55"/>
      <c r="N15" s="55"/>
      <c r="O15" s="55"/>
      <c r="P15" s="55"/>
      <c r="Q15" s="55"/>
      <c r="R15" s="8"/>
      <c r="S15" s="8"/>
      <c r="T15" s="8" t="s">
        <v>963</v>
      </c>
      <c r="U15" s="8" t="s">
        <v>963</v>
      </c>
      <c r="V15" s="8" t="s">
        <v>963</v>
      </c>
      <c r="W15" s="8" t="s">
        <v>963</v>
      </c>
      <c r="X15" s="8"/>
      <c r="Y15" s="8"/>
      <c r="Z15" s="8" t="s">
        <v>185</v>
      </c>
      <c r="AA15" s="8" t="s">
        <v>914</v>
      </c>
      <c r="AB15" s="8" t="s">
        <v>914</v>
      </c>
      <c r="AC15" s="8" t="s">
        <v>914</v>
      </c>
      <c r="AD15" s="8" t="s">
        <v>914</v>
      </c>
      <c r="AE15" s="8" t="s">
        <v>914</v>
      </c>
      <c r="AF15" s="8" t="s">
        <v>914</v>
      </c>
      <c r="AG15" s="41">
        <f>COUNTA(B15:AF15)</f>
        <v>13</v>
      </c>
      <c r="AH15" s="42">
        <f>AG15*100/31</f>
        <v>41.935483870967744</v>
      </c>
      <c r="AM15" s="20"/>
      <c r="AN15" s="20"/>
      <c r="AO15" s="20"/>
      <c r="AP15" s="20"/>
      <c r="AQ15" s="20"/>
      <c r="AR15" s="20"/>
    </row>
    <row r="16" spans="1:44" x14ac:dyDescent="0.35">
      <c r="A16" s="7" t="s">
        <v>35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55"/>
      <c r="M16" s="55" t="s">
        <v>951</v>
      </c>
      <c r="N16" s="55" t="s">
        <v>946</v>
      </c>
      <c r="O16" s="55" t="s">
        <v>946</v>
      </c>
      <c r="P16" s="55" t="s">
        <v>946</v>
      </c>
      <c r="Q16" s="55" t="s">
        <v>946</v>
      </c>
      <c r="R16" s="8"/>
      <c r="S16" s="8"/>
      <c r="T16" s="8"/>
      <c r="U16" s="8"/>
      <c r="V16" s="8"/>
      <c r="W16" s="8"/>
      <c r="X16" s="8"/>
      <c r="Y16" s="8"/>
      <c r="Z16" s="8" t="s">
        <v>914</v>
      </c>
      <c r="AA16" s="8"/>
      <c r="AB16" s="8"/>
      <c r="AC16" s="8"/>
      <c r="AD16" s="8" t="s">
        <v>964</v>
      </c>
      <c r="AE16" s="8" t="s">
        <v>964</v>
      </c>
      <c r="AF16" s="8" t="s">
        <v>964</v>
      </c>
      <c r="AG16" s="41">
        <f t="shared" ref="AG16:AG22" si="6">COUNTA(B16:AF16)</f>
        <v>9</v>
      </c>
      <c r="AH16" s="42">
        <f>AG16*100/31</f>
        <v>29.032258064516128</v>
      </c>
      <c r="AM16" s="20"/>
      <c r="AN16" s="20"/>
      <c r="AO16" s="56"/>
      <c r="AP16" s="56"/>
      <c r="AQ16" s="20"/>
      <c r="AR16" s="20"/>
    </row>
    <row r="17" spans="1:50" x14ac:dyDescent="0.35">
      <c r="A17" s="7" t="s">
        <v>39</v>
      </c>
      <c r="B17" s="8" t="s">
        <v>503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 t="s">
        <v>524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 t="s">
        <v>503</v>
      </c>
      <c r="AA17" s="8" t="s">
        <v>503</v>
      </c>
      <c r="AB17" s="8" t="s">
        <v>503</v>
      </c>
      <c r="AC17" s="8" t="s">
        <v>503</v>
      </c>
      <c r="AD17" s="8" t="s">
        <v>503</v>
      </c>
      <c r="AE17" s="8" t="s">
        <v>503</v>
      </c>
      <c r="AF17" s="8" t="s">
        <v>503</v>
      </c>
      <c r="AG17" s="41">
        <f t="shared" si="6"/>
        <v>9</v>
      </c>
      <c r="AH17" s="42">
        <f t="shared" ref="AH17:AH23" si="7">AG17*100/31</f>
        <v>29.032258064516128</v>
      </c>
      <c r="AM17" s="20"/>
      <c r="AN17" s="20"/>
      <c r="AO17" s="20"/>
      <c r="AP17" s="20"/>
      <c r="AQ17" s="20"/>
      <c r="AR17" s="20"/>
      <c r="AX17" s="58"/>
    </row>
    <row r="18" spans="1:50" x14ac:dyDescent="0.35">
      <c r="A18" s="7" t="s">
        <v>42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41">
        <f t="shared" si="6"/>
        <v>0</v>
      </c>
      <c r="AH18" s="42">
        <f t="shared" si="7"/>
        <v>0</v>
      </c>
      <c r="AM18" s="20"/>
      <c r="AN18" s="20"/>
      <c r="AO18" s="20"/>
      <c r="AP18" s="20"/>
      <c r="AQ18" s="20"/>
      <c r="AR18" s="20"/>
      <c r="AX18" s="58"/>
    </row>
    <row r="19" spans="1:50" x14ac:dyDescent="0.35">
      <c r="A19" s="7" t="s">
        <v>45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55"/>
      <c r="O19" s="55"/>
      <c r="P19" s="55"/>
      <c r="Q19" s="55"/>
      <c r="R19" s="8"/>
      <c r="S19" s="8"/>
      <c r="T19" s="8"/>
      <c r="U19" s="8" t="s">
        <v>960</v>
      </c>
      <c r="V19" s="8" t="s">
        <v>960</v>
      </c>
      <c r="W19" s="8" t="s">
        <v>960</v>
      </c>
      <c r="X19" s="8"/>
      <c r="Y19" s="8"/>
      <c r="Z19" s="8" t="s">
        <v>25</v>
      </c>
      <c r="AA19" s="8" t="s">
        <v>25</v>
      </c>
      <c r="AB19" s="8" t="s">
        <v>25</v>
      </c>
      <c r="AC19" s="8"/>
      <c r="AD19" s="8" t="s">
        <v>966</v>
      </c>
      <c r="AE19" s="8" t="s">
        <v>966</v>
      </c>
      <c r="AF19" s="8" t="s">
        <v>966</v>
      </c>
      <c r="AG19" s="41">
        <f t="shared" si="6"/>
        <v>9</v>
      </c>
      <c r="AH19" s="42">
        <f t="shared" si="7"/>
        <v>29.032258064516128</v>
      </c>
      <c r="AM19" s="20"/>
      <c r="AN19" s="20"/>
      <c r="AO19" s="20"/>
      <c r="AP19" s="20"/>
      <c r="AQ19" s="20"/>
      <c r="AR19" s="20"/>
      <c r="AX19" s="58"/>
    </row>
    <row r="20" spans="1:50" x14ac:dyDescent="0.35">
      <c r="A20" s="7" t="s">
        <v>47</v>
      </c>
      <c r="B20" s="8" t="s">
        <v>843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 t="s">
        <v>960</v>
      </c>
      <c r="V20" s="8" t="s">
        <v>960</v>
      </c>
      <c r="W20" s="8" t="s">
        <v>960</v>
      </c>
      <c r="X20" s="8"/>
      <c r="Y20" s="8"/>
      <c r="Z20" s="8"/>
      <c r="AA20" s="8" t="s">
        <v>312</v>
      </c>
      <c r="AB20" s="8"/>
      <c r="AC20" s="8"/>
      <c r="AD20" s="8" t="s">
        <v>967</v>
      </c>
      <c r="AE20" s="8" t="s">
        <v>967</v>
      </c>
      <c r="AF20" s="8" t="s">
        <v>967</v>
      </c>
      <c r="AG20" s="41">
        <f t="shared" si="6"/>
        <v>8</v>
      </c>
      <c r="AH20" s="42">
        <f t="shared" si="7"/>
        <v>25.806451612903224</v>
      </c>
      <c r="AM20" s="20"/>
      <c r="AN20" s="20"/>
      <c r="AO20" s="20"/>
      <c r="AP20" s="20"/>
      <c r="AQ20" s="20"/>
      <c r="AR20" s="20"/>
      <c r="AX20" s="58"/>
    </row>
    <row r="21" spans="1:50" x14ac:dyDescent="0.35">
      <c r="A21" s="7" t="s">
        <v>50</v>
      </c>
      <c r="B21" s="8" t="s">
        <v>609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 t="s">
        <v>25</v>
      </c>
      <c r="AA21" s="8" t="s">
        <v>25</v>
      </c>
      <c r="AB21" s="8" t="s">
        <v>25</v>
      </c>
      <c r="AC21" s="8" t="s">
        <v>609</v>
      </c>
      <c r="AD21" s="8" t="s">
        <v>609</v>
      </c>
      <c r="AE21" s="8" t="s">
        <v>609</v>
      </c>
      <c r="AF21" s="8" t="s">
        <v>609</v>
      </c>
      <c r="AG21" s="41">
        <f t="shared" si="6"/>
        <v>8</v>
      </c>
      <c r="AH21" s="42">
        <f t="shared" si="7"/>
        <v>25.806451612903224</v>
      </c>
      <c r="AM21" s="20"/>
      <c r="AN21" s="20"/>
      <c r="AO21" s="20"/>
      <c r="AP21" s="20"/>
      <c r="AQ21" s="20"/>
      <c r="AR21" s="20"/>
      <c r="AX21" s="58"/>
    </row>
    <row r="22" spans="1:50" ht="15" thickBot="1" x14ac:dyDescent="0.4">
      <c r="A22" s="7" t="s">
        <v>51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 t="s">
        <v>812</v>
      </c>
      <c r="N22" s="8" t="s">
        <v>949</v>
      </c>
      <c r="O22" s="8" t="s">
        <v>949</v>
      </c>
      <c r="P22" s="8" t="s">
        <v>949</v>
      </c>
      <c r="Q22" s="8" t="s">
        <v>949</v>
      </c>
      <c r="R22" s="8"/>
      <c r="S22" s="8" t="s">
        <v>954</v>
      </c>
      <c r="T22" s="8" t="s">
        <v>239</v>
      </c>
      <c r="U22" s="8"/>
      <c r="V22" s="8"/>
      <c r="W22" s="8"/>
      <c r="X22" s="8"/>
      <c r="Y22" s="8"/>
      <c r="Z22" s="8"/>
      <c r="AA22" s="8" t="s">
        <v>962</v>
      </c>
      <c r="AB22" s="8" t="s">
        <v>962</v>
      </c>
      <c r="AC22" s="8" t="s">
        <v>962</v>
      </c>
      <c r="AD22" s="8"/>
      <c r="AE22" s="8"/>
      <c r="AF22" s="8"/>
      <c r="AG22" s="41">
        <f t="shared" si="6"/>
        <v>10</v>
      </c>
      <c r="AH22" s="42">
        <f t="shared" si="7"/>
        <v>32.258064516129032</v>
      </c>
      <c r="AX22" s="58"/>
    </row>
    <row r="23" spans="1:50" ht="15.5" x14ac:dyDescent="0.35">
      <c r="A23" s="45" t="s">
        <v>176</v>
      </c>
      <c r="B23" s="46">
        <f>COUNTA(B15:B22)</f>
        <v>4</v>
      </c>
      <c r="C23" s="46">
        <f>COUNTA(C16:C22)</f>
        <v>0</v>
      </c>
      <c r="D23" s="46">
        <f>COUNTA(D16:D22)</f>
        <v>0</v>
      </c>
      <c r="E23" s="46">
        <f t="shared" ref="E23:AF23" si="8">COUNTA(E15:E22)</f>
        <v>0</v>
      </c>
      <c r="F23" s="46">
        <f t="shared" si="8"/>
        <v>0</v>
      </c>
      <c r="G23" s="46">
        <f t="shared" si="8"/>
        <v>1</v>
      </c>
      <c r="H23" s="46">
        <f t="shared" si="8"/>
        <v>0</v>
      </c>
      <c r="I23" s="46">
        <f t="shared" si="8"/>
        <v>0</v>
      </c>
      <c r="J23" s="46">
        <f t="shared" si="8"/>
        <v>0</v>
      </c>
      <c r="K23" s="46">
        <f t="shared" si="8"/>
        <v>0</v>
      </c>
      <c r="L23" s="46">
        <f t="shared" si="8"/>
        <v>0</v>
      </c>
      <c r="M23" s="46">
        <f t="shared" si="8"/>
        <v>3</v>
      </c>
      <c r="N23" s="46">
        <f t="shared" si="8"/>
        <v>2</v>
      </c>
      <c r="O23" s="46">
        <f t="shared" si="8"/>
        <v>2</v>
      </c>
      <c r="P23" s="46">
        <f t="shared" si="8"/>
        <v>2</v>
      </c>
      <c r="Q23" s="46">
        <f t="shared" si="8"/>
        <v>2</v>
      </c>
      <c r="R23" s="46">
        <f t="shared" si="8"/>
        <v>0</v>
      </c>
      <c r="S23" s="46">
        <f t="shared" si="8"/>
        <v>1</v>
      </c>
      <c r="T23" s="46">
        <f>COUNTA(T15:T22)</f>
        <v>2</v>
      </c>
      <c r="U23" s="46">
        <f t="shared" si="8"/>
        <v>3</v>
      </c>
      <c r="V23" s="46">
        <f t="shared" si="8"/>
        <v>3</v>
      </c>
      <c r="W23" s="46">
        <f t="shared" si="8"/>
        <v>3</v>
      </c>
      <c r="X23" s="46">
        <f t="shared" si="8"/>
        <v>0</v>
      </c>
      <c r="Y23" s="46">
        <f t="shared" si="8"/>
        <v>0</v>
      </c>
      <c r="Z23" s="46">
        <f t="shared" si="8"/>
        <v>5</v>
      </c>
      <c r="AA23" s="46">
        <f t="shared" si="8"/>
        <v>6</v>
      </c>
      <c r="AB23" s="46">
        <f t="shared" si="8"/>
        <v>5</v>
      </c>
      <c r="AC23" s="46">
        <f t="shared" si="8"/>
        <v>4</v>
      </c>
      <c r="AD23" s="46">
        <f t="shared" si="8"/>
        <v>6</v>
      </c>
      <c r="AE23" s="46">
        <f t="shared" si="8"/>
        <v>6</v>
      </c>
      <c r="AF23" s="46">
        <f t="shared" si="8"/>
        <v>6</v>
      </c>
      <c r="AG23" s="43">
        <f>SUM(AG15:AG22)</f>
        <v>66</v>
      </c>
      <c r="AH23" s="42">
        <f t="shared" si="7"/>
        <v>212.90322580645162</v>
      </c>
      <c r="AX23" s="58"/>
    </row>
    <row r="24" spans="1:50" ht="15.5" x14ac:dyDescent="0.35">
      <c r="A24" s="47" t="s">
        <v>178</v>
      </c>
      <c r="B24" s="52">
        <f>B12+B23</f>
        <v>7</v>
      </c>
      <c r="C24" s="52">
        <f t="shared" ref="C24:AF24" si="9">C12+C23</f>
        <v>4</v>
      </c>
      <c r="D24" s="52">
        <f t="shared" si="9"/>
        <v>3</v>
      </c>
      <c r="E24" s="52">
        <f t="shared" si="9"/>
        <v>3</v>
      </c>
      <c r="F24" s="52">
        <f t="shared" si="9"/>
        <v>3</v>
      </c>
      <c r="G24" s="52">
        <f t="shared" si="9"/>
        <v>5</v>
      </c>
      <c r="H24" s="52">
        <f t="shared" si="9"/>
        <v>3</v>
      </c>
      <c r="I24" s="52">
        <f t="shared" si="9"/>
        <v>3</v>
      </c>
      <c r="J24" s="52">
        <f t="shared" si="9"/>
        <v>3</v>
      </c>
      <c r="K24" s="52">
        <f t="shared" si="9"/>
        <v>3</v>
      </c>
      <c r="L24" s="52">
        <f t="shared" si="9"/>
        <v>3</v>
      </c>
      <c r="M24" s="52">
        <f t="shared" si="9"/>
        <v>5</v>
      </c>
      <c r="N24" s="52">
        <f t="shared" si="9"/>
        <v>9</v>
      </c>
      <c r="O24" s="52">
        <f t="shared" si="9"/>
        <v>9</v>
      </c>
      <c r="P24" s="52">
        <f t="shared" si="9"/>
        <v>9</v>
      </c>
      <c r="Q24" s="52">
        <f t="shared" si="9"/>
        <v>8</v>
      </c>
      <c r="R24" s="52">
        <f t="shared" si="9"/>
        <v>3</v>
      </c>
      <c r="S24" s="52">
        <f t="shared" si="9"/>
        <v>4</v>
      </c>
      <c r="T24" s="52">
        <f t="shared" si="9"/>
        <v>5</v>
      </c>
      <c r="U24" s="52">
        <f t="shared" si="9"/>
        <v>6</v>
      </c>
      <c r="V24" s="52">
        <f t="shared" si="9"/>
        <v>4</v>
      </c>
      <c r="W24" s="52">
        <f t="shared" si="9"/>
        <v>5</v>
      </c>
      <c r="X24" s="52">
        <f t="shared" si="9"/>
        <v>1</v>
      </c>
      <c r="Y24" s="52">
        <f t="shared" si="9"/>
        <v>1</v>
      </c>
      <c r="Z24" s="52">
        <f t="shared" si="9"/>
        <v>6</v>
      </c>
      <c r="AA24" s="52">
        <f t="shared" si="9"/>
        <v>12</v>
      </c>
      <c r="AB24" s="52">
        <f t="shared" si="9"/>
        <v>11</v>
      </c>
      <c r="AC24" s="52">
        <f t="shared" si="9"/>
        <v>10</v>
      </c>
      <c r="AD24" s="52">
        <f t="shared" si="9"/>
        <v>7</v>
      </c>
      <c r="AE24" s="52">
        <f t="shared" si="9"/>
        <v>9</v>
      </c>
      <c r="AF24" s="52">
        <f t="shared" si="9"/>
        <v>8</v>
      </c>
      <c r="AG24" s="49">
        <f>+AG12+AG23</f>
        <v>172</v>
      </c>
      <c r="AX24" s="58"/>
    </row>
    <row r="25" spans="1:50" ht="15.5" x14ac:dyDescent="0.35">
      <c r="A25" s="48" t="s">
        <v>179</v>
      </c>
      <c r="B25" s="42">
        <f>B24*100/15</f>
        <v>46.666666666666664</v>
      </c>
      <c r="C25" s="42">
        <f t="shared" ref="C25:AF25" si="10">C24*100/15</f>
        <v>26.666666666666668</v>
      </c>
      <c r="D25" s="42">
        <f t="shared" si="10"/>
        <v>20</v>
      </c>
      <c r="E25" s="42">
        <f t="shared" si="10"/>
        <v>20</v>
      </c>
      <c r="F25" s="42">
        <f t="shared" si="10"/>
        <v>20</v>
      </c>
      <c r="G25" s="42">
        <f t="shared" si="10"/>
        <v>33.333333333333336</v>
      </c>
      <c r="H25" s="42">
        <f t="shared" si="10"/>
        <v>20</v>
      </c>
      <c r="I25" s="42">
        <f t="shared" si="10"/>
        <v>20</v>
      </c>
      <c r="J25" s="42">
        <f t="shared" si="10"/>
        <v>20</v>
      </c>
      <c r="K25" s="42">
        <f t="shared" si="10"/>
        <v>20</v>
      </c>
      <c r="L25" s="42">
        <f t="shared" si="10"/>
        <v>20</v>
      </c>
      <c r="M25" s="42">
        <f t="shared" si="10"/>
        <v>33.333333333333336</v>
      </c>
      <c r="N25" s="42">
        <f t="shared" si="10"/>
        <v>60</v>
      </c>
      <c r="O25" s="42">
        <f t="shared" si="10"/>
        <v>60</v>
      </c>
      <c r="P25" s="42">
        <f t="shared" si="10"/>
        <v>60</v>
      </c>
      <c r="Q25" s="42">
        <f t="shared" si="10"/>
        <v>53.333333333333336</v>
      </c>
      <c r="R25" s="42">
        <f t="shared" si="10"/>
        <v>20</v>
      </c>
      <c r="S25" s="42">
        <f t="shared" si="10"/>
        <v>26.666666666666668</v>
      </c>
      <c r="T25" s="42">
        <f t="shared" si="10"/>
        <v>33.333333333333336</v>
      </c>
      <c r="U25" s="42">
        <f t="shared" si="10"/>
        <v>40</v>
      </c>
      <c r="V25" s="42">
        <f t="shared" si="10"/>
        <v>26.666666666666668</v>
      </c>
      <c r="W25" s="42">
        <f t="shared" si="10"/>
        <v>33.333333333333336</v>
      </c>
      <c r="X25" s="42">
        <f t="shared" si="10"/>
        <v>6.666666666666667</v>
      </c>
      <c r="Y25" s="42">
        <f t="shared" si="10"/>
        <v>6.666666666666667</v>
      </c>
      <c r="Z25" s="42">
        <f t="shared" si="10"/>
        <v>40</v>
      </c>
      <c r="AA25" s="42">
        <f t="shared" si="10"/>
        <v>80</v>
      </c>
      <c r="AB25" s="42">
        <f t="shared" si="10"/>
        <v>73.333333333333329</v>
      </c>
      <c r="AC25" s="42">
        <f t="shared" si="10"/>
        <v>66.666666666666671</v>
      </c>
      <c r="AD25" s="42">
        <f t="shared" si="10"/>
        <v>46.666666666666664</v>
      </c>
      <c r="AE25" s="42">
        <f t="shared" si="10"/>
        <v>60</v>
      </c>
      <c r="AF25" s="42">
        <f t="shared" si="10"/>
        <v>53.333333333333336</v>
      </c>
      <c r="AG25" s="50">
        <f>AVERAGE(B25:AE25)</f>
        <v>36.444444444444443</v>
      </c>
      <c r="AH25" s="51" t="s">
        <v>180</v>
      </c>
      <c r="AX25" s="58"/>
    </row>
    <row r="26" spans="1:50" x14ac:dyDescent="0.35">
      <c r="AX26" s="58"/>
    </row>
    <row r="30" spans="1:50" x14ac:dyDescent="0.35">
      <c r="F30" s="131"/>
      <c r="G30" s="131"/>
      <c r="H30" s="131"/>
    </row>
    <row r="31" spans="1:50" x14ac:dyDescent="0.35">
      <c r="C31" s="92"/>
    </row>
    <row r="32" spans="1:50" x14ac:dyDescent="0.35">
      <c r="C32" s="92"/>
    </row>
    <row r="33" spans="3:3" x14ac:dyDescent="0.35">
      <c r="C33" s="93"/>
    </row>
    <row r="34" spans="3:3" x14ac:dyDescent="0.35">
      <c r="C34" s="93"/>
    </row>
    <row r="35" spans="3:3" x14ac:dyDescent="0.35">
      <c r="C35" s="92"/>
    </row>
    <row r="36" spans="3:3" x14ac:dyDescent="0.35">
      <c r="C36" s="92"/>
    </row>
    <row r="37" spans="3:3" x14ac:dyDescent="0.35">
      <c r="C37" s="92"/>
    </row>
    <row r="38" spans="3:3" x14ac:dyDescent="0.35">
      <c r="C38" s="92"/>
    </row>
    <row r="39" spans="3:3" x14ac:dyDescent="0.35">
      <c r="C39" s="92"/>
    </row>
    <row r="40" spans="3:3" x14ac:dyDescent="0.35">
      <c r="C40" s="92"/>
    </row>
    <row r="41" spans="3:3" x14ac:dyDescent="0.35">
      <c r="C41" s="92"/>
    </row>
    <row r="42" spans="3:3" x14ac:dyDescent="0.35">
      <c r="C42" s="92"/>
    </row>
    <row r="43" spans="3:3" x14ac:dyDescent="0.35">
      <c r="C43" s="92"/>
    </row>
  </sheetData>
  <mergeCells count="3">
    <mergeCell ref="A1:AE1"/>
    <mergeCell ref="AM3:AR3"/>
    <mergeCell ref="F30:H30"/>
  </mergeCells>
  <conditionalFormatting sqref="B6:B8 C8 C6:AF6">
    <cfRule type="colorScale" priority="1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5:B21 C17:G18 C19 E19:G19 C20:O21 H17:Q17">
    <cfRule type="colorScale" priority="1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9:F9">
    <cfRule type="colorScale" priority="1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0:F10 B11 C7:M7 H10:Q10 D8:Q8 M11 N9:Q10 B5:AF5 R7:AF11">
    <cfRule type="colorScale" priority="20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C11">
    <cfRule type="colorScale" priority="1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C15:K16 H19:M19 B22:AE22 H18:AF18 R15:AF17 R19:AF19 P20:AF21">
    <cfRule type="colorScale" priority="1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D19">
    <cfRule type="colorScale" priority="1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D11:F11">
    <cfRule type="colorScale" priority="10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G9:G11 H9:M9 H11:L11">
    <cfRule type="colorScale" priority="9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L16:M16">
    <cfRule type="colorScale" priority="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L15:Q15">
    <cfRule type="colorScale" priority="8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L13:U14 B13:I14 X13:AH14">
    <cfRule type="colorScale" priority="2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N7:Q7">
    <cfRule type="colorScale" priority="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N11:Q11">
    <cfRule type="colorScale" priority="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N16:Q16">
    <cfRule type="colorScale" priority="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N19:Q19">
    <cfRule type="colorScale" priority="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F22">
    <cfRule type="colorScale" priority="19">
      <colorScale>
        <cfvo type="num" val="1"/>
        <cfvo type="max"/>
        <color theme="4" tint="0.59999389629810485"/>
        <color theme="5" tint="0.59999389629810485"/>
      </colorScale>
    </cfRule>
  </conditionalFormatting>
  <pageMargins left="0.2" right="0.45" top="0.75" bottom="0.75" header="0.3" footer="0.3"/>
  <pageSetup scale="90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BB7BF-8F7F-49E2-99C9-B772C6784491}">
  <dimension ref="A1:AX49"/>
  <sheetViews>
    <sheetView zoomScaleNormal="100" workbookViewId="0">
      <pane xSplit="1" ySplit="4" topLeftCell="U5" activePane="bottomRight" state="frozen"/>
      <selection pane="topRight" activeCell="B1" sqref="B1"/>
      <selection pane="bottomLeft" activeCell="A5" sqref="A5"/>
      <selection pane="bottomRight" activeCell="AE21" sqref="AE21"/>
    </sheetView>
  </sheetViews>
  <sheetFormatPr defaultRowHeight="14.5" x14ac:dyDescent="0.35"/>
  <cols>
    <col min="1" max="1" width="43.7265625" customWidth="1"/>
    <col min="2" max="3" width="16.1796875" bestFit="1" customWidth="1"/>
    <col min="4" max="14" width="18.453125" bestFit="1" customWidth="1"/>
    <col min="15" max="15" width="21.26953125" bestFit="1" customWidth="1"/>
    <col min="16" max="20" width="18.453125" bestFit="1" customWidth="1"/>
    <col min="21" max="21" width="17.54296875" bestFit="1" customWidth="1"/>
    <col min="22" max="22" width="29" bestFit="1" customWidth="1"/>
    <col min="23" max="23" width="14.453125" bestFit="1" customWidth="1"/>
    <col min="24" max="24" width="13.453125" bestFit="1" customWidth="1"/>
    <col min="25" max="25" width="16.453125" bestFit="1" customWidth="1"/>
    <col min="26" max="26" width="11.453125" bestFit="1" customWidth="1"/>
    <col min="27" max="27" width="16.7265625" bestFit="1" customWidth="1"/>
    <col min="28" max="28" width="5" bestFit="1" customWidth="1"/>
    <col min="29" max="29" width="13.7265625" bestFit="1" customWidth="1"/>
    <col min="30" max="31" width="12.81640625" bestFit="1" customWidth="1"/>
    <col min="32" max="32" width="5" hidden="1" customWidth="1"/>
    <col min="33" max="33" width="4.7265625" bestFit="1" customWidth="1"/>
    <col min="34" max="34" width="8.453125" bestFit="1" customWidth="1"/>
    <col min="35" max="35" width="8" bestFit="1" customWidth="1"/>
    <col min="36" max="36" width="8.453125" customWidth="1"/>
    <col min="37" max="37" width="0" hidden="1" customWidth="1"/>
    <col min="38" max="38" width="3" hidden="1" customWidth="1"/>
    <col min="39" max="39" width="17.81640625" bestFit="1" customWidth="1"/>
    <col min="40" max="40" width="9.1796875" bestFit="1" customWidth="1"/>
    <col min="41" max="41" width="9.81640625" bestFit="1" customWidth="1"/>
    <col min="42" max="42" width="10.81640625" bestFit="1" customWidth="1"/>
    <col min="43" max="43" width="10.1796875" bestFit="1" customWidth="1"/>
    <col min="44" max="44" width="23.1796875" bestFit="1" customWidth="1"/>
    <col min="45" max="45" width="0.453125" hidden="1" customWidth="1"/>
    <col min="46" max="49" width="0" hidden="1" customWidth="1"/>
    <col min="51" max="51" width="15" bestFit="1" customWidth="1"/>
  </cols>
  <sheetData>
    <row r="1" spans="1:44" ht="15.5" x14ac:dyDescent="0.35">
      <c r="A1" s="120" t="s">
        <v>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65"/>
    </row>
    <row r="2" spans="1:44" ht="15" thickBot="1" x14ac:dyDescent="0.4"/>
    <row r="3" spans="1:44" ht="45.75" customHeight="1" x14ac:dyDescent="0.35">
      <c r="A3" s="1" t="s">
        <v>1</v>
      </c>
      <c r="B3" s="2">
        <f>AI4</f>
        <v>45901</v>
      </c>
      <c r="C3" s="2">
        <f t="shared" ref="C3:AF3" si="0">B3+1</f>
        <v>45902</v>
      </c>
      <c r="D3" s="2">
        <f t="shared" si="0"/>
        <v>45903</v>
      </c>
      <c r="E3" s="2">
        <f t="shared" si="0"/>
        <v>45904</v>
      </c>
      <c r="F3" s="2">
        <f t="shared" si="0"/>
        <v>45905</v>
      </c>
      <c r="G3" s="2">
        <f t="shared" si="0"/>
        <v>45906</v>
      </c>
      <c r="H3" s="2">
        <f t="shared" si="0"/>
        <v>45907</v>
      </c>
      <c r="I3" s="2">
        <f>H3+1</f>
        <v>45908</v>
      </c>
      <c r="J3" s="2">
        <f t="shared" si="0"/>
        <v>45909</v>
      </c>
      <c r="K3" s="2">
        <f t="shared" si="0"/>
        <v>45910</v>
      </c>
      <c r="L3" s="2">
        <f t="shared" si="0"/>
        <v>45911</v>
      </c>
      <c r="M3" s="2">
        <f t="shared" si="0"/>
        <v>45912</v>
      </c>
      <c r="N3" s="2">
        <f t="shared" si="0"/>
        <v>45913</v>
      </c>
      <c r="O3" s="2">
        <f t="shared" si="0"/>
        <v>45914</v>
      </c>
      <c r="P3" s="2">
        <f t="shared" si="0"/>
        <v>45915</v>
      </c>
      <c r="Q3" s="2">
        <f t="shared" si="0"/>
        <v>45916</v>
      </c>
      <c r="R3" s="2">
        <f t="shared" si="0"/>
        <v>45917</v>
      </c>
      <c r="S3" s="2">
        <f t="shared" si="0"/>
        <v>45918</v>
      </c>
      <c r="T3" s="2">
        <f t="shared" si="0"/>
        <v>45919</v>
      </c>
      <c r="U3" s="2">
        <f t="shared" si="0"/>
        <v>45920</v>
      </c>
      <c r="V3" s="97">
        <f t="shared" si="0"/>
        <v>45921</v>
      </c>
      <c r="W3" s="2">
        <f t="shared" si="0"/>
        <v>45922</v>
      </c>
      <c r="X3" s="2">
        <f t="shared" si="0"/>
        <v>45923</v>
      </c>
      <c r="Y3" s="2">
        <f t="shared" si="0"/>
        <v>45924</v>
      </c>
      <c r="Z3" s="2">
        <f t="shared" si="0"/>
        <v>45925</v>
      </c>
      <c r="AA3" s="2">
        <f t="shared" si="0"/>
        <v>45926</v>
      </c>
      <c r="AB3" s="2">
        <f t="shared" si="0"/>
        <v>45927</v>
      </c>
      <c r="AC3" s="2">
        <f t="shared" si="0"/>
        <v>45928</v>
      </c>
      <c r="AD3" s="2">
        <f t="shared" si="0"/>
        <v>45929</v>
      </c>
      <c r="AE3" s="2">
        <f t="shared" si="0"/>
        <v>45930</v>
      </c>
      <c r="AF3" s="2">
        <f t="shared" si="0"/>
        <v>45931</v>
      </c>
      <c r="AG3" s="36"/>
      <c r="AH3" s="36"/>
      <c r="AM3" s="122" t="s">
        <v>267</v>
      </c>
      <c r="AN3" s="123"/>
      <c r="AO3" s="123"/>
      <c r="AP3" s="123"/>
      <c r="AQ3" s="123"/>
      <c r="AR3" s="124"/>
    </row>
    <row r="4" spans="1:44" ht="31.5" customHeight="1" x14ac:dyDescent="0.35">
      <c r="A4" s="3" t="s">
        <v>2</v>
      </c>
      <c r="B4" s="4">
        <f t="shared" ref="B4:AF4" si="1">B3</f>
        <v>45901</v>
      </c>
      <c r="C4" s="4">
        <f t="shared" si="1"/>
        <v>45902</v>
      </c>
      <c r="D4" s="4">
        <f t="shared" si="1"/>
        <v>45903</v>
      </c>
      <c r="E4" s="4">
        <f t="shared" si="1"/>
        <v>45904</v>
      </c>
      <c r="F4" s="4">
        <f t="shared" si="1"/>
        <v>45905</v>
      </c>
      <c r="G4" s="4">
        <f t="shared" si="1"/>
        <v>45906</v>
      </c>
      <c r="H4" s="4">
        <f t="shared" si="1"/>
        <v>45907</v>
      </c>
      <c r="I4" s="4">
        <f t="shared" si="1"/>
        <v>45908</v>
      </c>
      <c r="J4" s="4">
        <f t="shared" si="1"/>
        <v>45909</v>
      </c>
      <c r="K4" s="4">
        <f t="shared" si="1"/>
        <v>45910</v>
      </c>
      <c r="L4" s="4">
        <f t="shared" si="1"/>
        <v>45911</v>
      </c>
      <c r="M4" s="4">
        <f t="shared" si="1"/>
        <v>45912</v>
      </c>
      <c r="N4" s="4">
        <f t="shared" si="1"/>
        <v>45913</v>
      </c>
      <c r="O4" s="4">
        <f t="shared" si="1"/>
        <v>45914</v>
      </c>
      <c r="P4" s="4">
        <f t="shared" si="1"/>
        <v>45915</v>
      </c>
      <c r="Q4" s="4">
        <f t="shared" si="1"/>
        <v>45916</v>
      </c>
      <c r="R4" s="4">
        <f t="shared" si="1"/>
        <v>45917</v>
      </c>
      <c r="S4" s="4">
        <f t="shared" si="1"/>
        <v>45918</v>
      </c>
      <c r="T4" s="4">
        <f t="shared" si="1"/>
        <v>45919</v>
      </c>
      <c r="U4" s="4">
        <f t="shared" si="1"/>
        <v>45920</v>
      </c>
      <c r="V4" s="98">
        <f t="shared" si="1"/>
        <v>45921</v>
      </c>
      <c r="W4" s="4">
        <f t="shared" si="1"/>
        <v>45922</v>
      </c>
      <c r="X4" s="4">
        <f t="shared" si="1"/>
        <v>45923</v>
      </c>
      <c r="Y4" s="4">
        <f t="shared" si="1"/>
        <v>45924</v>
      </c>
      <c r="Z4" s="4">
        <f t="shared" si="1"/>
        <v>45925</v>
      </c>
      <c r="AA4" s="4">
        <f t="shared" si="1"/>
        <v>45926</v>
      </c>
      <c r="AB4" s="4">
        <f t="shared" si="1"/>
        <v>45927</v>
      </c>
      <c r="AC4" s="4">
        <f t="shared" si="1"/>
        <v>45928</v>
      </c>
      <c r="AD4" s="4">
        <f t="shared" si="1"/>
        <v>45929</v>
      </c>
      <c r="AE4" s="4">
        <f t="shared" si="1"/>
        <v>45930</v>
      </c>
      <c r="AF4" s="4">
        <f t="shared" si="1"/>
        <v>45931</v>
      </c>
      <c r="AG4" s="39" t="s">
        <v>174</v>
      </c>
      <c r="AH4" s="40" t="s">
        <v>175</v>
      </c>
      <c r="AI4" s="5">
        <v>45901</v>
      </c>
      <c r="AJ4" s="6">
        <f>EOMONTH(AI4,0)</f>
        <v>45930</v>
      </c>
      <c r="AM4" s="19" t="s">
        <v>54</v>
      </c>
      <c r="AN4" s="19" t="s">
        <v>269</v>
      </c>
      <c r="AO4" s="19" t="s">
        <v>55</v>
      </c>
      <c r="AP4" s="19" t="s">
        <v>56</v>
      </c>
      <c r="AQ4" s="19" t="s">
        <v>251</v>
      </c>
      <c r="AR4" s="19" t="s">
        <v>57</v>
      </c>
    </row>
    <row r="5" spans="1:44" x14ac:dyDescent="0.35">
      <c r="A5" s="7" t="s">
        <v>3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 t="s">
        <v>995</v>
      </c>
      <c r="N5" s="55" t="s">
        <v>995</v>
      </c>
      <c r="O5" s="55"/>
      <c r="P5" s="55"/>
      <c r="Q5" s="55"/>
      <c r="R5" s="55"/>
      <c r="S5" s="55"/>
      <c r="T5" s="55"/>
      <c r="U5" s="55"/>
      <c r="V5" s="88" t="s">
        <v>852</v>
      </c>
      <c r="W5" s="55"/>
      <c r="X5" s="55"/>
      <c r="Y5" s="55"/>
      <c r="Z5" s="55"/>
      <c r="AA5" s="55"/>
      <c r="AB5" s="55"/>
      <c r="AC5" s="55"/>
      <c r="AD5" s="55"/>
      <c r="AE5" s="55"/>
      <c r="AF5" s="55"/>
      <c r="AG5" s="41">
        <f>COUNTA(B5:AF5)</f>
        <v>3</v>
      </c>
      <c r="AH5" s="42">
        <f>AG5*100/30</f>
        <v>10</v>
      </c>
      <c r="AM5" s="20"/>
      <c r="AN5" s="56"/>
      <c r="AO5" s="56"/>
      <c r="AP5" s="56"/>
      <c r="AQ5" s="57"/>
      <c r="AR5" s="20"/>
    </row>
    <row r="6" spans="1:44" x14ac:dyDescent="0.35">
      <c r="A6" s="7" t="s">
        <v>7</v>
      </c>
      <c r="B6" s="55" t="s">
        <v>846</v>
      </c>
      <c r="C6" s="55" t="s">
        <v>846</v>
      </c>
      <c r="D6" s="55" t="s">
        <v>846</v>
      </c>
      <c r="E6" s="55" t="s">
        <v>846</v>
      </c>
      <c r="F6" s="55" t="s">
        <v>846</v>
      </c>
      <c r="G6" s="55" t="s">
        <v>846</v>
      </c>
      <c r="H6" s="55" t="s">
        <v>846</v>
      </c>
      <c r="I6" s="55" t="s">
        <v>846</v>
      </c>
      <c r="J6" s="55" t="s">
        <v>846</v>
      </c>
      <c r="K6" s="55" t="s">
        <v>846</v>
      </c>
      <c r="L6" s="55" t="s">
        <v>846</v>
      </c>
      <c r="M6" s="68" t="s">
        <v>994</v>
      </c>
      <c r="N6" s="68" t="s">
        <v>994</v>
      </c>
      <c r="O6" s="55"/>
      <c r="P6" s="55" t="s">
        <v>846</v>
      </c>
      <c r="Q6" s="55" t="s">
        <v>846</v>
      </c>
      <c r="R6" s="55" t="s">
        <v>846</v>
      </c>
      <c r="S6" s="55" t="s">
        <v>846</v>
      </c>
      <c r="T6" s="55" t="s">
        <v>846</v>
      </c>
      <c r="U6" s="55" t="s">
        <v>846</v>
      </c>
      <c r="V6" s="55" t="s">
        <v>846</v>
      </c>
      <c r="W6" s="55" t="s">
        <v>846</v>
      </c>
      <c r="X6" s="55" t="s">
        <v>846</v>
      </c>
      <c r="Y6" s="55" t="s">
        <v>846</v>
      </c>
      <c r="Z6" s="55" t="s">
        <v>846</v>
      </c>
      <c r="AA6" s="55" t="s">
        <v>846</v>
      </c>
      <c r="AB6" s="55" t="s">
        <v>846</v>
      </c>
      <c r="AC6" s="55" t="s">
        <v>846</v>
      </c>
      <c r="AD6" s="55" t="s">
        <v>846</v>
      </c>
      <c r="AE6" s="55" t="s">
        <v>846</v>
      </c>
      <c r="AF6" s="55"/>
      <c r="AG6" s="41">
        <f t="shared" ref="AG6:AG11" si="2">COUNTA(B6:AF6)</f>
        <v>29</v>
      </c>
      <c r="AH6" s="42">
        <f>AG6*100/30</f>
        <v>96.666666666666671</v>
      </c>
      <c r="AM6" s="20"/>
      <c r="AN6" s="56"/>
      <c r="AO6" s="56"/>
      <c r="AP6" s="56"/>
      <c r="AQ6" s="57"/>
      <c r="AR6" s="20"/>
    </row>
    <row r="7" spans="1:44" x14ac:dyDescent="0.35">
      <c r="A7" s="7" t="s">
        <v>11</v>
      </c>
      <c r="B7" s="55" t="s">
        <v>969</v>
      </c>
      <c r="C7" s="55" t="s">
        <v>969</v>
      </c>
      <c r="D7" s="55" t="s">
        <v>969</v>
      </c>
      <c r="E7" s="55"/>
      <c r="F7" s="55"/>
      <c r="G7" s="55"/>
      <c r="H7" s="55"/>
      <c r="I7" s="55"/>
      <c r="J7" s="55" t="s">
        <v>347</v>
      </c>
      <c r="K7" s="55" t="s">
        <v>347</v>
      </c>
      <c r="L7" s="55" t="s">
        <v>347</v>
      </c>
      <c r="M7" s="68" t="s">
        <v>1001</v>
      </c>
      <c r="N7" s="68" t="s">
        <v>1001</v>
      </c>
      <c r="O7" s="68" t="s">
        <v>1001</v>
      </c>
      <c r="P7" s="68" t="s">
        <v>1001</v>
      </c>
      <c r="Q7" s="68" t="s">
        <v>1001</v>
      </c>
      <c r="R7" s="68" t="s">
        <v>1001</v>
      </c>
      <c r="S7" s="63" t="s">
        <v>1001</v>
      </c>
      <c r="T7" s="63" t="s">
        <v>1001</v>
      </c>
      <c r="U7" s="55"/>
      <c r="V7" s="82" t="s">
        <v>933</v>
      </c>
      <c r="W7" s="55"/>
      <c r="X7" s="55"/>
      <c r="Y7" s="55"/>
      <c r="Z7" s="55"/>
      <c r="AA7" s="20" t="s">
        <v>493</v>
      </c>
      <c r="AB7" s="55"/>
      <c r="AC7" s="55" t="s">
        <v>1013</v>
      </c>
      <c r="AD7" s="55" t="s">
        <v>1013</v>
      </c>
      <c r="AE7" s="55" t="s">
        <v>1013</v>
      </c>
      <c r="AF7" s="55"/>
      <c r="AG7" s="41">
        <f t="shared" si="2"/>
        <v>19</v>
      </c>
      <c r="AH7" s="42">
        <f t="shared" ref="AH7:AH11" si="3">AG7*100/30</f>
        <v>63.333333333333336</v>
      </c>
      <c r="AM7" s="20"/>
      <c r="AN7" s="56"/>
      <c r="AO7" s="56"/>
      <c r="AP7" s="56"/>
      <c r="AQ7" s="57"/>
      <c r="AR7" s="20"/>
    </row>
    <row r="8" spans="1:44" ht="15" customHeight="1" x14ac:dyDescent="0.35">
      <c r="A8" s="7" t="s">
        <v>15</v>
      </c>
      <c r="B8" s="55" t="s">
        <v>965</v>
      </c>
      <c r="C8" s="55" t="s">
        <v>965</v>
      </c>
      <c r="D8" s="55" t="s">
        <v>965</v>
      </c>
      <c r="E8" s="55" t="s">
        <v>965</v>
      </c>
      <c r="F8" s="55" t="s">
        <v>965</v>
      </c>
      <c r="G8" s="55" t="s">
        <v>965</v>
      </c>
      <c r="H8" s="55" t="s">
        <v>965</v>
      </c>
      <c r="I8" s="55" t="s">
        <v>965</v>
      </c>
      <c r="J8" s="55" t="s">
        <v>965</v>
      </c>
      <c r="K8" s="55" t="s">
        <v>965</v>
      </c>
      <c r="L8" s="55" t="s">
        <v>965</v>
      </c>
      <c r="M8" s="55" t="s">
        <v>965</v>
      </c>
      <c r="N8" s="55" t="s">
        <v>965</v>
      </c>
      <c r="O8" s="55" t="s">
        <v>965</v>
      </c>
      <c r="P8" s="55" t="s">
        <v>965</v>
      </c>
      <c r="Q8" s="55" t="s">
        <v>965</v>
      </c>
      <c r="R8" s="55" t="s">
        <v>965</v>
      </c>
      <c r="S8" s="68" t="s">
        <v>965</v>
      </c>
      <c r="T8" s="68" t="s">
        <v>965</v>
      </c>
      <c r="U8" s="55"/>
      <c r="V8" s="88" t="s">
        <v>854</v>
      </c>
      <c r="W8" s="55"/>
      <c r="X8" s="55"/>
      <c r="Y8" s="55"/>
      <c r="Z8" s="55"/>
      <c r="AA8" s="20" t="s">
        <v>930</v>
      </c>
      <c r="AB8" s="55"/>
      <c r="AC8" s="55" t="s">
        <v>1014</v>
      </c>
      <c r="AD8" s="55" t="s">
        <v>1014</v>
      </c>
      <c r="AE8" s="55" t="s">
        <v>1014</v>
      </c>
      <c r="AF8" s="55" t="s">
        <v>1014</v>
      </c>
      <c r="AG8" s="41">
        <f t="shared" si="2"/>
        <v>25</v>
      </c>
      <c r="AH8" s="42">
        <f t="shared" si="3"/>
        <v>83.333333333333329</v>
      </c>
      <c r="AK8" s="9"/>
      <c r="AM8" s="20"/>
      <c r="AN8" s="56"/>
      <c r="AO8" s="56"/>
      <c r="AP8" s="56"/>
      <c r="AQ8" s="57"/>
      <c r="AR8" s="20"/>
    </row>
    <row r="9" spans="1:44" ht="15.75" customHeight="1" x14ac:dyDescent="0.35">
      <c r="A9" s="7" t="s">
        <v>18</v>
      </c>
      <c r="B9" s="55"/>
      <c r="C9" s="55"/>
      <c r="D9" s="76"/>
      <c r="E9" s="55"/>
      <c r="F9" s="55"/>
      <c r="G9" s="55"/>
      <c r="H9" s="55"/>
      <c r="I9" s="55"/>
      <c r="J9" s="55" t="s">
        <v>347</v>
      </c>
      <c r="K9" s="55" t="s">
        <v>347</v>
      </c>
      <c r="L9" s="55" t="s">
        <v>347</v>
      </c>
      <c r="M9" s="68" t="s">
        <v>1002</v>
      </c>
      <c r="N9" s="68" t="s">
        <v>1002</v>
      </c>
      <c r="O9" s="68" t="s">
        <v>1002</v>
      </c>
      <c r="P9" s="68" t="s">
        <v>1002</v>
      </c>
      <c r="Q9" s="68" t="s">
        <v>1002</v>
      </c>
      <c r="R9" s="68" t="s">
        <v>1002</v>
      </c>
      <c r="S9" s="63" t="s">
        <v>1002</v>
      </c>
      <c r="T9" s="63" t="s">
        <v>1002</v>
      </c>
      <c r="U9" s="55"/>
      <c r="V9" s="88" t="s">
        <v>559</v>
      </c>
      <c r="W9" s="55"/>
      <c r="X9" s="55"/>
      <c r="Y9" s="55"/>
      <c r="Z9" s="55"/>
      <c r="AA9" s="20" t="s">
        <v>934</v>
      </c>
      <c r="AB9" s="55"/>
      <c r="AC9" s="55" t="s">
        <v>1015</v>
      </c>
      <c r="AD9" s="55" t="s">
        <v>1015</v>
      </c>
      <c r="AE9" s="55" t="s">
        <v>1015</v>
      </c>
      <c r="AF9" s="55"/>
      <c r="AG9" s="41">
        <f t="shared" si="2"/>
        <v>16</v>
      </c>
      <c r="AH9" s="42">
        <f t="shared" si="3"/>
        <v>53.333333333333336</v>
      </c>
      <c r="AM9" s="20"/>
      <c r="AN9" s="56"/>
      <c r="AO9" s="56"/>
      <c r="AP9" s="56"/>
      <c r="AQ9" s="57"/>
      <c r="AR9" s="20"/>
    </row>
    <row r="10" spans="1:44" ht="15.75" customHeight="1" x14ac:dyDescent="0.35">
      <c r="A10" s="7" t="s">
        <v>20</v>
      </c>
      <c r="B10" s="55" t="s">
        <v>968</v>
      </c>
      <c r="C10" s="55" t="s">
        <v>968</v>
      </c>
      <c r="D10" s="55" t="s">
        <v>968</v>
      </c>
      <c r="E10" s="55" t="s">
        <v>968</v>
      </c>
      <c r="F10" s="55"/>
      <c r="G10" s="55"/>
      <c r="H10" s="55"/>
      <c r="I10" s="55"/>
      <c r="J10" s="55" t="s">
        <v>347</v>
      </c>
      <c r="K10" s="55" t="s">
        <v>347</v>
      </c>
      <c r="L10" s="55" t="s">
        <v>347</v>
      </c>
      <c r="M10" s="68" t="s">
        <v>1003</v>
      </c>
      <c r="N10" s="68" t="s">
        <v>1003</v>
      </c>
      <c r="O10" s="68" t="s">
        <v>1003</v>
      </c>
      <c r="P10" s="68" t="s">
        <v>1003</v>
      </c>
      <c r="Q10" s="68" t="s">
        <v>1003</v>
      </c>
      <c r="R10" s="68" t="s">
        <v>1003</v>
      </c>
      <c r="S10" s="63" t="s">
        <v>1003</v>
      </c>
      <c r="T10" s="63" t="s">
        <v>1003</v>
      </c>
      <c r="U10" s="55"/>
      <c r="V10" s="82" t="s">
        <v>935</v>
      </c>
      <c r="W10" s="55"/>
      <c r="X10" s="55"/>
      <c r="Y10" s="55"/>
      <c r="Z10" s="55"/>
      <c r="AA10" s="20" t="s">
        <v>932</v>
      </c>
      <c r="AB10" s="55"/>
      <c r="AC10" s="55"/>
      <c r="AD10" s="55"/>
      <c r="AE10" s="55"/>
      <c r="AF10" s="55"/>
      <c r="AG10" s="41">
        <f t="shared" si="2"/>
        <v>17</v>
      </c>
      <c r="AH10" s="42">
        <f t="shared" si="3"/>
        <v>56.666666666666664</v>
      </c>
      <c r="AM10" s="20"/>
      <c r="AN10" s="56"/>
      <c r="AO10" s="56"/>
      <c r="AP10" s="56"/>
      <c r="AQ10" s="57"/>
      <c r="AR10" s="20"/>
    </row>
    <row r="11" spans="1:44" ht="15.75" customHeight="1" thickBot="1" x14ac:dyDescent="0.4">
      <c r="A11" s="7" t="s">
        <v>24</v>
      </c>
      <c r="B11" s="55" t="s">
        <v>961</v>
      </c>
      <c r="C11" s="55" t="s">
        <v>961</v>
      </c>
      <c r="D11" s="55" t="s">
        <v>961</v>
      </c>
      <c r="E11" s="55" t="s">
        <v>961</v>
      </c>
      <c r="F11" s="55" t="s">
        <v>971</v>
      </c>
      <c r="G11" s="55" t="s">
        <v>971</v>
      </c>
      <c r="H11" s="55" t="s">
        <v>971</v>
      </c>
      <c r="I11" s="55" t="s">
        <v>971</v>
      </c>
      <c r="J11" s="55" t="s">
        <v>971</v>
      </c>
      <c r="K11" s="55" t="s">
        <v>971</v>
      </c>
      <c r="L11" s="55" t="s">
        <v>971</v>
      </c>
      <c r="M11" s="55" t="s">
        <v>971</v>
      </c>
      <c r="N11" s="55" t="s">
        <v>971</v>
      </c>
      <c r="O11" s="55" t="s">
        <v>971</v>
      </c>
      <c r="P11" s="55" t="s">
        <v>971</v>
      </c>
      <c r="Q11" s="55" t="s">
        <v>971</v>
      </c>
      <c r="R11" s="55" t="s">
        <v>971</v>
      </c>
      <c r="S11" s="74" t="s">
        <v>971</v>
      </c>
      <c r="T11" s="55"/>
      <c r="U11" s="55"/>
      <c r="V11" s="88" t="s">
        <v>931</v>
      </c>
      <c r="W11" s="55"/>
      <c r="X11" s="55"/>
      <c r="Y11" s="55"/>
      <c r="Z11" s="55"/>
      <c r="AA11" s="20" t="s">
        <v>931</v>
      </c>
      <c r="AB11" s="55"/>
      <c r="AC11" s="55" t="s">
        <v>422</v>
      </c>
      <c r="AD11" s="55" t="s">
        <v>422</v>
      </c>
      <c r="AE11" s="55" t="s">
        <v>422</v>
      </c>
      <c r="AF11" s="55"/>
      <c r="AG11" s="41">
        <f t="shared" si="2"/>
        <v>23</v>
      </c>
      <c r="AH11" s="42">
        <f t="shared" si="3"/>
        <v>76.666666666666671</v>
      </c>
      <c r="AM11" s="20"/>
      <c r="AN11" s="56"/>
      <c r="AO11" s="56"/>
      <c r="AP11" s="56"/>
      <c r="AQ11" s="57"/>
      <c r="AR11" s="20"/>
    </row>
    <row r="12" spans="1:44" ht="15" customHeight="1" x14ac:dyDescent="0.35">
      <c r="A12" s="45" t="s">
        <v>176</v>
      </c>
      <c r="B12" s="46">
        <f>COUNTA(B5:B11)</f>
        <v>5</v>
      </c>
      <c r="C12" s="46">
        <f>COUNTA(C5:C11)</f>
        <v>5</v>
      </c>
      <c r="D12" s="46">
        <f t="shared" ref="D12:AF12" si="4">COUNTA(D5:D11)</f>
        <v>5</v>
      </c>
      <c r="E12" s="46">
        <f t="shared" si="4"/>
        <v>4</v>
      </c>
      <c r="F12" s="46">
        <f t="shared" si="4"/>
        <v>3</v>
      </c>
      <c r="G12" s="46">
        <f t="shared" si="4"/>
        <v>3</v>
      </c>
      <c r="H12" s="46">
        <f t="shared" si="4"/>
        <v>3</v>
      </c>
      <c r="I12" s="46">
        <f t="shared" si="4"/>
        <v>3</v>
      </c>
      <c r="J12" s="46">
        <f t="shared" si="4"/>
        <v>6</v>
      </c>
      <c r="K12" s="46">
        <f t="shared" si="4"/>
        <v>6</v>
      </c>
      <c r="L12" s="46">
        <f t="shared" si="4"/>
        <v>6</v>
      </c>
      <c r="M12" s="46">
        <f t="shared" si="4"/>
        <v>7</v>
      </c>
      <c r="N12" s="46">
        <f t="shared" si="4"/>
        <v>7</v>
      </c>
      <c r="O12" s="46">
        <f t="shared" si="4"/>
        <v>5</v>
      </c>
      <c r="P12" s="46">
        <f t="shared" si="4"/>
        <v>6</v>
      </c>
      <c r="Q12" s="46">
        <f t="shared" si="4"/>
        <v>6</v>
      </c>
      <c r="R12" s="46">
        <f t="shared" si="4"/>
        <v>6</v>
      </c>
      <c r="S12" s="46">
        <f t="shared" si="4"/>
        <v>6</v>
      </c>
      <c r="T12" s="46">
        <f t="shared" si="4"/>
        <v>5</v>
      </c>
      <c r="U12" s="46">
        <f t="shared" si="4"/>
        <v>1</v>
      </c>
      <c r="V12" s="96">
        <f t="shared" si="4"/>
        <v>7</v>
      </c>
      <c r="W12" s="46">
        <f t="shared" si="4"/>
        <v>1</v>
      </c>
      <c r="X12" s="46">
        <f t="shared" si="4"/>
        <v>1</v>
      </c>
      <c r="Y12" s="46">
        <f t="shared" si="4"/>
        <v>1</v>
      </c>
      <c r="Z12" s="46">
        <f t="shared" si="4"/>
        <v>1</v>
      </c>
      <c r="AA12" s="46">
        <f t="shared" si="4"/>
        <v>6</v>
      </c>
      <c r="AB12" s="46">
        <f t="shared" si="4"/>
        <v>1</v>
      </c>
      <c r="AC12" s="46">
        <f>COUNTA(AC5:AC11)</f>
        <v>5</v>
      </c>
      <c r="AD12" s="46">
        <f>COUNTA(AD5:AD11)</f>
        <v>5</v>
      </c>
      <c r="AE12" s="46">
        <f>COUNTA(AE5:AE11)</f>
        <v>5</v>
      </c>
      <c r="AF12" s="46">
        <f t="shared" si="4"/>
        <v>1</v>
      </c>
      <c r="AG12" s="43">
        <f t="shared" ref="AG12" si="5">SUM(AG5:AG11)</f>
        <v>132</v>
      </c>
      <c r="AH12" s="44">
        <f>AVERAGE(AH5:AH11)</f>
        <v>62.857142857142854</v>
      </c>
      <c r="AI12" s="29"/>
      <c r="AM12" s="20"/>
      <c r="AN12" s="20"/>
      <c r="AO12" s="20"/>
      <c r="AP12" s="20"/>
      <c r="AQ12" s="20"/>
      <c r="AR12" s="20"/>
    </row>
    <row r="13" spans="1:44" ht="57" hidden="1" x14ac:dyDescent="0.35">
      <c r="A13" s="13" t="s">
        <v>28</v>
      </c>
      <c r="B13" s="14"/>
      <c r="C13" s="14"/>
      <c r="D13" s="14"/>
      <c r="E13" s="14"/>
      <c r="F13" s="14"/>
      <c r="G13" s="14"/>
      <c r="H13" s="14"/>
      <c r="I13" s="35"/>
      <c r="J13" s="34"/>
      <c r="K13" s="15"/>
      <c r="L13" s="14"/>
      <c r="M13" s="14"/>
      <c r="N13" s="25"/>
      <c r="O13" s="25"/>
      <c r="P13" s="25"/>
      <c r="Q13" s="14"/>
      <c r="R13" s="14"/>
      <c r="S13" s="14"/>
      <c r="T13" s="14"/>
      <c r="U13" s="14"/>
      <c r="V13" s="82"/>
      <c r="W13" s="15"/>
      <c r="X13" s="14"/>
      <c r="Y13" s="14"/>
      <c r="Z13" s="14"/>
      <c r="AA13" s="14"/>
      <c r="AB13" s="14"/>
      <c r="AC13" s="14"/>
      <c r="AD13" s="14"/>
      <c r="AE13" s="14"/>
      <c r="AF13" s="14"/>
      <c r="AG13" s="37"/>
      <c r="AH13" s="37"/>
      <c r="AM13" s="20"/>
      <c r="AN13" s="20"/>
      <c r="AO13" s="20"/>
      <c r="AP13" s="20"/>
      <c r="AQ13" s="20"/>
      <c r="AR13" s="20"/>
    </row>
    <row r="14" spans="1:44" ht="28.5" hidden="1" x14ac:dyDescent="0.35">
      <c r="A14" s="16" t="s">
        <v>29</v>
      </c>
      <c r="B14" s="14"/>
      <c r="C14" s="14"/>
      <c r="D14" s="14"/>
      <c r="E14" s="14"/>
      <c r="F14" s="14"/>
      <c r="G14" s="14"/>
      <c r="H14" s="14"/>
      <c r="I14" s="35"/>
      <c r="J14" s="34"/>
      <c r="K14" s="15"/>
      <c r="L14" s="14"/>
      <c r="M14" s="14"/>
      <c r="N14" s="25"/>
      <c r="O14" s="25"/>
      <c r="P14" s="25"/>
      <c r="Q14" s="14"/>
      <c r="R14" s="14"/>
      <c r="S14" s="14"/>
      <c r="T14" s="14"/>
      <c r="U14" s="14"/>
      <c r="V14" s="82"/>
      <c r="W14" s="15"/>
      <c r="X14" s="14"/>
      <c r="Y14" s="14"/>
      <c r="Z14" s="14"/>
      <c r="AA14" s="14"/>
      <c r="AB14" s="14"/>
      <c r="AC14" s="14"/>
      <c r="AD14" s="14"/>
      <c r="AE14" s="14"/>
      <c r="AF14" s="14"/>
      <c r="AG14" s="37"/>
      <c r="AH14" s="37"/>
      <c r="AM14" s="20"/>
      <c r="AN14" s="20"/>
      <c r="AO14" s="20"/>
      <c r="AP14" s="20"/>
      <c r="AQ14" s="20"/>
      <c r="AR14" s="20"/>
    </row>
    <row r="15" spans="1:44" x14ac:dyDescent="0.35">
      <c r="A15" s="7" t="s">
        <v>30</v>
      </c>
      <c r="B15" s="8" t="s">
        <v>914</v>
      </c>
      <c r="C15" s="8" t="s">
        <v>914</v>
      </c>
      <c r="D15" s="8" t="s">
        <v>914</v>
      </c>
      <c r="E15" s="8" t="s">
        <v>914</v>
      </c>
      <c r="F15" s="8" t="s">
        <v>914</v>
      </c>
      <c r="G15" s="8" t="s">
        <v>914</v>
      </c>
      <c r="H15" s="8" t="s">
        <v>914</v>
      </c>
      <c r="I15" s="8" t="s">
        <v>914</v>
      </c>
      <c r="J15" s="8" t="s">
        <v>914</v>
      </c>
      <c r="K15" s="8" t="s">
        <v>914</v>
      </c>
      <c r="L15" s="8" t="s">
        <v>914</v>
      </c>
      <c r="M15" s="8" t="s">
        <v>914</v>
      </c>
      <c r="N15" s="8" t="s">
        <v>914</v>
      </c>
      <c r="O15" s="8" t="s">
        <v>914</v>
      </c>
      <c r="P15" s="8" t="s">
        <v>914</v>
      </c>
      <c r="Q15" s="8" t="s">
        <v>914</v>
      </c>
      <c r="R15" s="8" t="s">
        <v>914</v>
      </c>
      <c r="S15" s="26" t="s">
        <v>914</v>
      </c>
      <c r="T15" s="26" t="s">
        <v>914</v>
      </c>
      <c r="U15" s="63" t="s">
        <v>1001</v>
      </c>
      <c r="V15" s="63" t="s">
        <v>1001</v>
      </c>
      <c r="W15" s="8" t="s">
        <v>914</v>
      </c>
      <c r="X15" s="8" t="s">
        <v>914</v>
      </c>
      <c r="Y15" s="8" t="s">
        <v>914</v>
      </c>
      <c r="Z15" s="55" t="s">
        <v>914</v>
      </c>
      <c r="AA15" s="20" t="s">
        <v>935</v>
      </c>
      <c r="AB15" s="55" t="s">
        <v>914</v>
      </c>
      <c r="AC15" s="55" t="s">
        <v>914</v>
      </c>
      <c r="AD15" s="55" t="s">
        <v>914</v>
      </c>
      <c r="AE15" s="55" t="s">
        <v>914</v>
      </c>
      <c r="AF15" s="8"/>
      <c r="AG15" s="41">
        <f>COUNTA(B15:AF15)</f>
        <v>30</v>
      </c>
      <c r="AH15" s="42">
        <f>AG15*100/30</f>
        <v>100</v>
      </c>
      <c r="AM15" s="20"/>
      <c r="AN15" s="20"/>
      <c r="AO15" s="20"/>
      <c r="AP15" s="20"/>
      <c r="AQ15" s="20"/>
      <c r="AR15" s="20"/>
    </row>
    <row r="16" spans="1:44" x14ac:dyDescent="0.35">
      <c r="A16" s="7" t="s">
        <v>35</v>
      </c>
      <c r="B16" s="8" t="s">
        <v>964</v>
      </c>
      <c r="C16" s="8" t="s">
        <v>964</v>
      </c>
      <c r="D16" s="8" t="s">
        <v>964</v>
      </c>
      <c r="E16" s="8" t="s">
        <v>970</v>
      </c>
      <c r="F16" s="8" t="s">
        <v>970</v>
      </c>
      <c r="G16" s="8" t="s">
        <v>970</v>
      </c>
      <c r="H16" s="8" t="s">
        <v>970</v>
      </c>
      <c r="I16" s="8" t="s">
        <v>970</v>
      </c>
      <c r="J16" s="8" t="s">
        <v>970</v>
      </c>
      <c r="K16" s="8" t="s">
        <v>970</v>
      </c>
      <c r="L16" s="8" t="s">
        <v>970</v>
      </c>
      <c r="M16" s="8" t="s">
        <v>970</v>
      </c>
      <c r="N16" s="8" t="s">
        <v>970</v>
      </c>
      <c r="O16" s="8" t="s">
        <v>970</v>
      </c>
      <c r="P16" s="8" t="s">
        <v>970</v>
      </c>
      <c r="Q16" s="8" t="s">
        <v>970</v>
      </c>
      <c r="R16" s="8" t="s">
        <v>970</v>
      </c>
      <c r="S16" s="8" t="s">
        <v>970</v>
      </c>
      <c r="T16" s="8" t="s">
        <v>970</v>
      </c>
      <c r="U16" s="8" t="s">
        <v>970</v>
      </c>
      <c r="V16" s="8" t="s">
        <v>970</v>
      </c>
      <c r="W16" s="8" t="s">
        <v>970</v>
      </c>
      <c r="X16" s="8" t="s">
        <v>970</v>
      </c>
      <c r="Y16" s="8" t="s">
        <v>970</v>
      </c>
      <c r="Z16" s="55" t="s">
        <v>970</v>
      </c>
      <c r="AA16" s="20" t="s">
        <v>933</v>
      </c>
      <c r="AB16" s="8" t="s">
        <v>837</v>
      </c>
      <c r="AC16" s="8" t="s">
        <v>837</v>
      </c>
      <c r="AD16" s="8" t="s">
        <v>837</v>
      </c>
      <c r="AE16" s="8" t="s">
        <v>837</v>
      </c>
      <c r="AF16" s="8"/>
      <c r="AG16" s="41">
        <f t="shared" ref="AG16:AG22" si="6">COUNTA(B16:AF16)</f>
        <v>30</v>
      </c>
      <c r="AH16" s="42">
        <f>AG16*100/30</f>
        <v>100</v>
      </c>
      <c r="AM16" s="20"/>
      <c r="AN16" s="20"/>
      <c r="AO16" s="56"/>
      <c r="AP16" s="56"/>
      <c r="AQ16" s="20"/>
      <c r="AR16" s="20"/>
    </row>
    <row r="17" spans="1:50" x14ac:dyDescent="0.35">
      <c r="A17" s="7" t="s">
        <v>39</v>
      </c>
      <c r="B17" s="8" t="s">
        <v>503</v>
      </c>
      <c r="C17" s="8" t="s">
        <v>503</v>
      </c>
      <c r="D17" s="8" t="s">
        <v>503</v>
      </c>
      <c r="E17" s="8" t="s">
        <v>503</v>
      </c>
      <c r="F17" s="8" t="s">
        <v>503</v>
      </c>
      <c r="G17" s="8" t="s">
        <v>503</v>
      </c>
      <c r="H17" s="8" t="s">
        <v>503</v>
      </c>
      <c r="I17" s="8" t="s">
        <v>503</v>
      </c>
      <c r="J17" s="8" t="s">
        <v>503</v>
      </c>
      <c r="K17" s="8" t="s">
        <v>503</v>
      </c>
      <c r="L17" s="8" t="s">
        <v>503</v>
      </c>
      <c r="M17" s="8" t="s">
        <v>503</v>
      </c>
      <c r="N17" s="8" t="s">
        <v>503</v>
      </c>
      <c r="O17" s="8" t="s">
        <v>503</v>
      </c>
      <c r="P17" s="8" t="s">
        <v>503</v>
      </c>
      <c r="Q17" s="8" t="s">
        <v>503</v>
      </c>
      <c r="R17" s="8" t="s">
        <v>503</v>
      </c>
      <c r="S17" s="26" t="s">
        <v>503</v>
      </c>
      <c r="T17" s="26" t="s">
        <v>503</v>
      </c>
      <c r="U17" s="63" t="s">
        <v>1002</v>
      </c>
      <c r="V17" s="63" t="s">
        <v>1002</v>
      </c>
      <c r="W17" s="8" t="s">
        <v>503</v>
      </c>
      <c r="X17" s="8" t="s">
        <v>503</v>
      </c>
      <c r="Y17" s="8" t="s">
        <v>503</v>
      </c>
      <c r="Z17" s="55" t="s">
        <v>503</v>
      </c>
      <c r="AA17" s="20" t="s">
        <v>936</v>
      </c>
      <c r="AB17" s="55" t="s">
        <v>503</v>
      </c>
      <c r="AC17" s="55" t="s">
        <v>503</v>
      </c>
      <c r="AD17" s="55" t="s">
        <v>503</v>
      </c>
      <c r="AE17" s="55" t="s">
        <v>503</v>
      </c>
      <c r="AF17" s="8"/>
      <c r="AG17" s="41">
        <f t="shared" si="6"/>
        <v>30</v>
      </c>
      <c r="AH17" s="42">
        <f t="shared" ref="AH17:AH22" si="7">AG17*100/30</f>
        <v>100</v>
      </c>
      <c r="AM17" s="20"/>
      <c r="AN17" s="20"/>
      <c r="AO17" s="20"/>
      <c r="AP17" s="20"/>
      <c r="AQ17" s="20"/>
      <c r="AR17" s="20"/>
      <c r="AX17" s="58"/>
    </row>
    <row r="18" spans="1:50" x14ac:dyDescent="0.35">
      <c r="A18" s="7" t="s">
        <v>42</v>
      </c>
      <c r="B18" s="8"/>
      <c r="C18" s="8"/>
      <c r="D18" s="34"/>
      <c r="E18" s="8"/>
      <c r="F18" s="8" t="s">
        <v>972</v>
      </c>
      <c r="G18" s="8" t="s">
        <v>972</v>
      </c>
      <c r="H18" s="8" t="s">
        <v>972</v>
      </c>
      <c r="I18" s="8" t="s">
        <v>972</v>
      </c>
      <c r="J18" s="8" t="s">
        <v>972</v>
      </c>
      <c r="K18" s="8" t="s">
        <v>972</v>
      </c>
      <c r="L18" s="8" t="s">
        <v>972</v>
      </c>
      <c r="M18" s="26" t="s">
        <v>1004</v>
      </c>
      <c r="N18" s="26" t="s">
        <v>1004</v>
      </c>
      <c r="O18" s="26" t="s">
        <v>1004</v>
      </c>
      <c r="P18" s="26" t="s">
        <v>1004</v>
      </c>
      <c r="Q18" s="26" t="s">
        <v>1004</v>
      </c>
      <c r="R18" s="26" t="s">
        <v>1004</v>
      </c>
      <c r="S18" s="8" t="s">
        <v>1004</v>
      </c>
      <c r="T18" s="8" t="s">
        <v>1004</v>
      </c>
      <c r="U18" s="8" t="s">
        <v>1004</v>
      </c>
      <c r="V18" s="8" t="s">
        <v>1004</v>
      </c>
      <c r="W18" s="8" t="s">
        <v>1009</v>
      </c>
      <c r="X18" s="8" t="s">
        <v>1009</v>
      </c>
      <c r="Y18" s="8" t="s">
        <v>1009</v>
      </c>
      <c r="Z18" s="55" t="s">
        <v>1009</v>
      </c>
      <c r="AA18" s="20" t="s">
        <v>944</v>
      </c>
      <c r="AB18" s="8"/>
      <c r="AC18" s="8"/>
      <c r="AD18" s="8"/>
      <c r="AE18" s="8"/>
      <c r="AF18" s="8"/>
      <c r="AG18" s="41">
        <f t="shared" si="6"/>
        <v>22</v>
      </c>
      <c r="AH18" s="42">
        <f t="shared" si="7"/>
        <v>73.333333333333329</v>
      </c>
      <c r="AM18" s="20"/>
      <c r="AN18" s="20"/>
      <c r="AO18" s="20"/>
      <c r="AP18" s="20"/>
      <c r="AQ18" s="20"/>
      <c r="AR18" s="20"/>
      <c r="AX18" s="58"/>
    </row>
    <row r="19" spans="1:50" x14ac:dyDescent="0.35">
      <c r="A19" s="7" t="s">
        <v>45</v>
      </c>
      <c r="B19" s="8" t="s">
        <v>966</v>
      </c>
      <c r="C19" s="8" t="s">
        <v>966</v>
      </c>
      <c r="D19" s="8" t="s">
        <v>966</v>
      </c>
      <c r="E19" s="8" t="s">
        <v>966</v>
      </c>
      <c r="F19" s="8" t="s">
        <v>966</v>
      </c>
      <c r="G19" s="8" t="s">
        <v>966</v>
      </c>
      <c r="H19" s="8" t="s">
        <v>966</v>
      </c>
      <c r="I19" s="8" t="s">
        <v>966</v>
      </c>
      <c r="J19" s="8" t="s">
        <v>966</v>
      </c>
      <c r="K19" s="8" t="s">
        <v>966</v>
      </c>
      <c r="L19" s="8" t="s">
        <v>966</v>
      </c>
      <c r="M19" s="8" t="s">
        <v>966</v>
      </c>
      <c r="N19" s="8" t="s">
        <v>966</v>
      </c>
      <c r="O19" s="8" t="s">
        <v>966</v>
      </c>
      <c r="P19" s="8" t="s">
        <v>966</v>
      </c>
      <c r="Q19" s="8" t="s">
        <v>966</v>
      </c>
      <c r="R19" s="8" t="s">
        <v>966</v>
      </c>
      <c r="S19" s="99" t="s">
        <v>966</v>
      </c>
      <c r="T19" s="99" t="s">
        <v>966</v>
      </c>
      <c r="U19" s="63" t="s">
        <v>1003</v>
      </c>
      <c r="V19" s="63" t="s">
        <v>1003</v>
      </c>
      <c r="W19" s="8"/>
      <c r="X19" s="8" t="s">
        <v>837</v>
      </c>
      <c r="Y19" s="8" t="s">
        <v>837</v>
      </c>
      <c r="Z19" s="55" t="s">
        <v>837</v>
      </c>
      <c r="AA19" s="20" t="s">
        <v>671</v>
      </c>
      <c r="AB19" s="8"/>
      <c r="AC19" s="8"/>
      <c r="AD19" s="8"/>
      <c r="AE19" s="8"/>
      <c r="AF19" s="8"/>
      <c r="AG19" s="41">
        <f t="shared" si="6"/>
        <v>25</v>
      </c>
      <c r="AH19" s="42">
        <f t="shared" si="7"/>
        <v>83.333333333333329</v>
      </c>
      <c r="AM19" s="20"/>
      <c r="AN19" s="20"/>
      <c r="AO19" s="20"/>
      <c r="AP19" s="20"/>
      <c r="AQ19" s="20"/>
      <c r="AR19" s="20"/>
      <c r="AX19" s="58"/>
    </row>
    <row r="20" spans="1:50" x14ac:dyDescent="0.35">
      <c r="A20" s="7" t="s">
        <v>47</v>
      </c>
      <c r="B20" s="8" t="s">
        <v>967</v>
      </c>
      <c r="C20" s="8" t="s">
        <v>967</v>
      </c>
      <c r="D20" s="8" t="s">
        <v>973</v>
      </c>
      <c r="E20" s="8" t="s">
        <v>973</v>
      </c>
      <c r="F20" s="8" t="s">
        <v>973</v>
      </c>
      <c r="G20" s="8" t="s">
        <v>973</v>
      </c>
      <c r="H20" s="8" t="s">
        <v>973</v>
      </c>
      <c r="I20" s="8" t="s">
        <v>973</v>
      </c>
      <c r="J20" s="8" t="s">
        <v>973</v>
      </c>
      <c r="K20" s="8" t="s">
        <v>973</v>
      </c>
      <c r="L20" s="8" t="s">
        <v>973</v>
      </c>
      <c r="M20" s="8" t="s">
        <v>973</v>
      </c>
      <c r="N20" s="8" t="s">
        <v>973</v>
      </c>
      <c r="O20" s="8" t="s">
        <v>973</v>
      </c>
      <c r="P20" s="8" t="s">
        <v>973</v>
      </c>
      <c r="Q20" s="8" t="s">
        <v>973</v>
      </c>
      <c r="R20" s="8" t="s">
        <v>973</v>
      </c>
      <c r="S20" s="99" t="s">
        <v>973</v>
      </c>
      <c r="T20" s="99" t="s">
        <v>973</v>
      </c>
      <c r="U20" s="8"/>
      <c r="V20" s="82" t="s">
        <v>603</v>
      </c>
      <c r="W20" s="103"/>
      <c r="X20" s="103"/>
      <c r="Y20" s="103"/>
      <c r="Z20" s="104"/>
      <c r="AA20" s="20" t="s">
        <v>603</v>
      </c>
      <c r="AB20" s="8"/>
      <c r="AC20" s="8"/>
      <c r="AD20" s="8"/>
      <c r="AE20" s="8"/>
      <c r="AF20" s="8"/>
      <c r="AG20" s="41">
        <f t="shared" si="6"/>
        <v>21</v>
      </c>
      <c r="AH20" s="42">
        <f t="shared" si="7"/>
        <v>70</v>
      </c>
      <c r="AM20" s="20"/>
      <c r="AN20" s="20"/>
      <c r="AO20" s="20"/>
      <c r="AP20" s="20"/>
      <c r="AQ20" s="20"/>
      <c r="AR20" s="20"/>
      <c r="AX20" s="58"/>
    </row>
    <row r="21" spans="1:50" x14ac:dyDescent="0.35">
      <c r="A21" s="7" t="s">
        <v>50</v>
      </c>
      <c r="B21" s="8" t="s">
        <v>609</v>
      </c>
      <c r="C21" s="8" t="s">
        <v>609</v>
      </c>
      <c r="D21" s="8" t="s">
        <v>609</v>
      </c>
      <c r="E21" s="8" t="s">
        <v>609</v>
      </c>
      <c r="F21" s="8" t="s">
        <v>609</v>
      </c>
      <c r="G21" s="8" t="s">
        <v>609</v>
      </c>
      <c r="H21" s="8" t="s">
        <v>609</v>
      </c>
      <c r="I21" s="8" t="s">
        <v>609</v>
      </c>
      <c r="J21" s="8" t="s">
        <v>609</v>
      </c>
      <c r="K21" s="8" t="s">
        <v>609</v>
      </c>
      <c r="L21" s="8" t="s">
        <v>609</v>
      </c>
      <c r="M21" s="8" t="s">
        <v>609</v>
      </c>
      <c r="N21" s="8" t="s">
        <v>609</v>
      </c>
      <c r="O21" s="8" t="s">
        <v>609</v>
      </c>
      <c r="P21" s="8" t="s">
        <v>609</v>
      </c>
      <c r="Q21" s="8" t="s">
        <v>609</v>
      </c>
      <c r="R21" s="8" t="s">
        <v>609</v>
      </c>
      <c r="S21" s="26" t="s">
        <v>609</v>
      </c>
      <c r="T21" s="26" t="s">
        <v>609</v>
      </c>
      <c r="U21" s="8"/>
      <c r="V21" s="88" t="s">
        <v>493</v>
      </c>
      <c r="W21" s="8" t="s">
        <v>609</v>
      </c>
      <c r="X21" s="8" t="s">
        <v>609</v>
      </c>
      <c r="Y21" s="8" t="s">
        <v>609</v>
      </c>
      <c r="Z21" s="55" t="s">
        <v>609</v>
      </c>
      <c r="AA21" s="20" t="s">
        <v>331</v>
      </c>
      <c r="AB21" s="55" t="s">
        <v>609</v>
      </c>
      <c r="AC21" s="55" t="s">
        <v>609</v>
      </c>
      <c r="AD21" s="55" t="s">
        <v>609</v>
      </c>
      <c r="AE21" s="55" t="s">
        <v>609</v>
      </c>
      <c r="AF21" s="8"/>
      <c r="AG21" s="41">
        <f t="shared" si="6"/>
        <v>29</v>
      </c>
      <c r="AH21" s="42">
        <f t="shared" si="7"/>
        <v>96.666666666666671</v>
      </c>
      <c r="AM21" s="20"/>
      <c r="AN21" s="20"/>
      <c r="AO21" s="20"/>
      <c r="AP21" s="20"/>
      <c r="AQ21" s="20"/>
      <c r="AR21" s="20"/>
      <c r="AX21" s="58"/>
    </row>
    <row r="22" spans="1:50" x14ac:dyDescent="0.35">
      <c r="A22" s="7" t="s">
        <v>51</v>
      </c>
      <c r="B22" s="8"/>
      <c r="C22" s="8"/>
      <c r="D22" s="34"/>
      <c r="E22" s="8"/>
      <c r="F22" s="8" t="s">
        <v>974</v>
      </c>
      <c r="G22" s="8" t="s">
        <v>974</v>
      </c>
      <c r="H22" s="8" t="s">
        <v>974</v>
      </c>
      <c r="I22" s="8" t="s">
        <v>974</v>
      </c>
      <c r="J22" s="8" t="s">
        <v>979</v>
      </c>
      <c r="K22" s="8" t="s">
        <v>980</v>
      </c>
      <c r="L22" s="8" t="s">
        <v>979</v>
      </c>
      <c r="M22" s="26" t="s">
        <v>1000</v>
      </c>
      <c r="N22" s="26" t="s">
        <v>1000</v>
      </c>
      <c r="O22" s="26" t="s">
        <v>1000</v>
      </c>
      <c r="P22" s="26" t="s">
        <v>1000</v>
      </c>
      <c r="Q22" s="26" t="s">
        <v>1000</v>
      </c>
      <c r="R22" s="8" t="s">
        <v>1000</v>
      </c>
      <c r="S22" s="8" t="s">
        <v>1000</v>
      </c>
      <c r="T22" s="8" t="s">
        <v>1000</v>
      </c>
      <c r="U22" s="8" t="s">
        <v>1000</v>
      </c>
      <c r="V22" s="8" t="s">
        <v>1000</v>
      </c>
      <c r="W22" s="8" t="s">
        <v>1000</v>
      </c>
      <c r="X22" s="8" t="s">
        <v>1000</v>
      </c>
      <c r="Y22" s="8" t="s">
        <v>1000</v>
      </c>
      <c r="Z22" s="8" t="s">
        <v>1000</v>
      </c>
      <c r="AA22" s="8" t="s">
        <v>1000</v>
      </c>
      <c r="AB22" s="8" t="s">
        <v>1000</v>
      </c>
      <c r="AC22" s="8" t="s">
        <v>1000</v>
      </c>
      <c r="AD22" s="8" t="s">
        <v>1000</v>
      </c>
      <c r="AE22" s="8" t="s">
        <v>1000</v>
      </c>
      <c r="AF22" s="8"/>
      <c r="AG22" s="41">
        <f t="shared" si="6"/>
        <v>26</v>
      </c>
      <c r="AH22" s="42">
        <f t="shared" si="7"/>
        <v>86.666666666666671</v>
      </c>
      <c r="AX22" s="58"/>
    </row>
    <row r="23" spans="1:50" ht="15.5" hidden="1" x14ac:dyDescent="0.35">
      <c r="A23" s="45" t="s">
        <v>176</v>
      </c>
      <c r="B23" s="46">
        <f>COUNTA(B15:B22)</f>
        <v>6</v>
      </c>
      <c r="C23" s="46">
        <f>COUNTA(C16:C22)</f>
        <v>5</v>
      </c>
      <c r="D23" s="46">
        <f>COUNTA(D16:D22)</f>
        <v>5</v>
      </c>
      <c r="E23" s="46">
        <f t="shared" ref="E23:AF23" si="8">COUNTA(E15:E22)</f>
        <v>6</v>
      </c>
      <c r="F23" s="46">
        <f t="shared" si="8"/>
        <v>8</v>
      </c>
      <c r="G23" s="46">
        <f t="shared" si="8"/>
        <v>8</v>
      </c>
      <c r="H23" s="46">
        <f t="shared" si="8"/>
        <v>8</v>
      </c>
      <c r="I23" s="46">
        <f t="shared" si="8"/>
        <v>8</v>
      </c>
      <c r="J23" s="46">
        <f t="shared" si="8"/>
        <v>8</v>
      </c>
      <c r="K23" s="46">
        <f t="shared" si="8"/>
        <v>8</v>
      </c>
      <c r="L23" s="46">
        <f t="shared" si="8"/>
        <v>8</v>
      </c>
      <c r="M23" s="46">
        <f t="shared" si="8"/>
        <v>8</v>
      </c>
      <c r="N23" s="46">
        <f t="shared" si="8"/>
        <v>8</v>
      </c>
      <c r="O23" s="46">
        <f t="shared" si="8"/>
        <v>8</v>
      </c>
      <c r="P23" s="46">
        <f t="shared" si="8"/>
        <v>8</v>
      </c>
      <c r="Q23" s="46">
        <f t="shared" si="8"/>
        <v>8</v>
      </c>
      <c r="R23" s="46">
        <f t="shared" si="8"/>
        <v>8</v>
      </c>
      <c r="S23" s="46">
        <f t="shared" si="8"/>
        <v>8</v>
      </c>
      <c r="T23" s="46">
        <f>COUNTA(T15:T22)</f>
        <v>8</v>
      </c>
      <c r="U23" s="46">
        <f t="shared" si="8"/>
        <v>6</v>
      </c>
      <c r="V23" s="46">
        <f>COUNTA(V10:V22)</f>
        <v>11</v>
      </c>
      <c r="W23" s="46">
        <f t="shared" si="8"/>
        <v>6</v>
      </c>
      <c r="X23" s="46">
        <f t="shared" si="8"/>
        <v>7</v>
      </c>
      <c r="Y23" s="46">
        <f t="shared" si="8"/>
        <v>7</v>
      </c>
      <c r="Z23" s="46">
        <f t="shared" si="8"/>
        <v>7</v>
      </c>
      <c r="AA23" s="46">
        <f t="shared" si="8"/>
        <v>8</v>
      </c>
      <c r="AB23" s="46">
        <f t="shared" si="8"/>
        <v>5</v>
      </c>
      <c r="AC23" s="46">
        <f t="shared" si="8"/>
        <v>5</v>
      </c>
      <c r="AD23" s="46">
        <f t="shared" si="8"/>
        <v>5</v>
      </c>
      <c r="AE23" s="46">
        <f t="shared" si="8"/>
        <v>5</v>
      </c>
      <c r="AF23" s="46">
        <f t="shared" si="8"/>
        <v>0</v>
      </c>
      <c r="AG23" s="43">
        <f>SUM(AG15:AG22)</f>
        <v>213</v>
      </c>
      <c r="AH23" s="42">
        <f>AG23*100/30</f>
        <v>710</v>
      </c>
      <c r="AX23" s="58"/>
    </row>
    <row r="24" spans="1:50" ht="15.5" hidden="1" x14ac:dyDescent="0.35">
      <c r="A24" s="47" t="s">
        <v>178</v>
      </c>
      <c r="B24" s="52">
        <f>B12+B23</f>
        <v>11</v>
      </c>
      <c r="C24" s="52">
        <f t="shared" ref="C24:AF24" si="9">C12+C23</f>
        <v>10</v>
      </c>
      <c r="D24" s="52">
        <f t="shared" si="9"/>
        <v>10</v>
      </c>
      <c r="E24" s="52">
        <f t="shared" si="9"/>
        <v>10</v>
      </c>
      <c r="F24" s="52">
        <f t="shared" si="9"/>
        <v>11</v>
      </c>
      <c r="G24" s="52">
        <f t="shared" si="9"/>
        <v>11</v>
      </c>
      <c r="H24" s="52">
        <f t="shared" si="9"/>
        <v>11</v>
      </c>
      <c r="I24" s="52">
        <f t="shared" si="9"/>
        <v>11</v>
      </c>
      <c r="J24" s="52">
        <f t="shared" si="9"/>
        <v>14</v>
      </c>
      <c r="K24" s="52">
        <f t="shared" si="9"/>
        <v>14</v>
      </c>
      <c r="L24" s="52">
        <f t="shared" si="9"/>
        <v>14</v>
      </c>
      <c r="M24" s="52">
        <f t="shared" si="9"/>
        <v>15</v>
      </c>
      <c r="N24" s="52">
        <f t="shared" si="9"/>
        <v>15</v>
      </c>
      <c r="O24" s="52">
        <f t="shared" si="9"/>
        <v>13</v>
      </c>
      <c r="P24" s="52">
        <f t="shared" si="9"/>
        <v>14</v>
      </c>
      <c r="Q24" s="52">
        <f t="shared" si="9"/>
        <v>14</v>
      </c>
      <c r="R24" s="52">
        <f t="shared" si="9"/>
        <v>14</v>
      </c>
      <c r="S24" s="52">
        <f t="shared" si="9"/>
        <v>14</v>
      </c>
      <c r="T24" s="52">
        <f t="shared" si="9"/>
        <v>13</v>
      </c>
      <c r="U24" s="52">
        <f t="shared" si="9"/>
        <v>7</v>
      </c>
      <c r="V24" s="52">
        <f t="shared" si="9"/>
        <v>18</v>
      </c>
      <c r="W24" s="52">
        <f t="shared" si="9"/>
        <v>7</v>
      </c>
      <c r="X24" s="52">
        <f t="shared" si="9"/>
        <v>8</v>
      </c>
      <c r="Y24" s="52">
        <f t="shared" si="9"/>
        <v>8</v>
      </c>
      <c r="Z24" s="52">
        <f t="shared" si="9"/>
        <v>8</v>
      </c>
      <c r="AA24" s="52">
        <f t="shared" si="9"/>
        <v>14</v>
      </c>
      <c r="AB24" s="52">
        <f t="shared" si="9"/>
        <v>6</v>
      </c>
      <c r="AC24" s="52">
        <f t="shared" si="9"/>
        <v>10</v>
      </c>
      <c r="AD24" s="52">
        <f t="shared" si="9"/>
        <v>10</v>
      </c>
      <c r="AE24" s="52">
        <f t="shared" si="9"/>
        <v>10</v>
      </c>
      <c r="AF24" s="52">
        <f t="shared" si="9"/>
        <v>1</v>
      </c>
      <c r="AG24" s="49">
        <f>+AG12+AG23</f>
        <v>345</v>
      </c>
      <c r="AX24" s="58"/>
    </row>
    <row r="25" spans="1:50" ht="15.5" hidden="1" x14ac:dyDescent="0.35">
      <c r="A25" s="48" t="s">
        <v>179</v>
      </c>
      <c r="B25" s="42">
        <f>B24*100/15</f>
        <v>73.333333333333329</v>
      </c>
      <c r="C25" s="42">
        <f t="shared" ref="C25:AF25" si="10">C24*100/15</f>
        <v>66.666666666666671</v>
      </c>
      <c r="D25" s="42">
        <f t="shared" si="10"/>
        <v>66.666666666666671</v>
      </c>
      <c r="E25" s="42">
        <f t="shared" si="10"/>
        <v>66.666666666666671</v>
      </c>
      <c r="F25" s="42">
        <f t="shared" si="10"/>
        <v>73.333333333333329</v>
      </c>
      <c r="G25" s="42">
        <f t="shared" si="10"/>
        <v>73.333333333333329</v>
      </c>
      <c r="H25" s="42">
        <f t="shared" si="10"/>
        <v>73.333333333333329</v>
      </c>
      <c r="I25" s="42">
        <f t="shared" si="10"/>
        <v>73.333333333333329</v>
      </c>
      <c r="J25" s="42">
        <f t="shared" si="10"/>
        <v>93.333333333333329</v>
      </c>
      <c r="K25" s="42">
        <f t="shared" si="10"/>
        <v>93.333333333333329</v>
      </c>
      <c r="L25" s="42">
        <f t="shared" si="10"/>
        <v>93.333333333333329</v>
      </c>
      <c r="M25" s="42">
        <f t="shared" si="10"/>
        <v>100</v>
      </c>
      <c r="N25" s="42">
        <f t="shared" si="10"/>
        <v>100</v>
      </c>
      <c r="O25" s="42">
        <f t="shared" si="10"/>
        <v>86.666666666666671</v>
      </c>
      <c r="P25" s="42">
        <f t="shared" si="10"/>
        <v>93.333333333333329</v>
      </c>
      <c r="Q25" s="42">
        <f t="shared" si="10"/>
        <v>93.333333333333329</v>
      </c>
      <c r="R25" s="42">
        <f t="shared" si="10"/>
        <v>93.333333333333329</v>
      </c>
      <c r="S25" s="42">
        <f t="shared" si="10"/>
        <v>93.333333333333329</v>
      </c>
      <c r="T25" s="42">
        <f t="shared" si="10"/>
        <v>86.666666666666671</v>
      </c>
      <c r="U25" s="42">
        <f t="shared" si="10"/>
        <v>46.666666666666664</v>
      </c>
      <c r="V25" s="42">
        <f t="shared" si="10"/>
        <v>120</v>
      </c>
      <c r="W25" s="42">
        <f t="shared" si="10"/>
        <v>46.666666666666664</v>
      </c>
      <c r="X25" s="42">
        <f t="shared" si="10"/>
        <v>53.333333333333336</v>
      </c>
      <c r="Y25" s="42">
        <f t="shared" si="10"/>
        <v>53.333333333333336</v>
      </c>
      <c r="Z25" s="42">
        <f t="shared" si="10"/>
        <v>53.333333333333336</v>
      </c>
      <c r="AA25" s="42">
        <f t="shared" si="10"/>
        <v>93.333333333333329</v>
      </c>
      <c r="AB25" s="42">
        <f t="shared" si="10"/>
        <v>40</v>
      </c>
      <c r="AC25" s="42">
        <f t="shared" si="10"/>
        <v>66.666666666666671</v>
      </c>
      <c r="AD25" s="42">
        <f t="shared" si="10"/>
        <v>66.666666666666671</v>
      </c>
      <c r="AE25" s="42">
        <f t="shared" si="10"/>
        <v>66.666666666666671</v>
      </c>
      <c r="AF25" s="42">
        <f t="shared" si="10"/>
        <v>6.666666666666667</v>
      </c>
      <c r="AG25" s="50">
        <f>AVERAGE(B25:AE25)</f>
        <v>76.666666666666657</v>
      </c>
      <c r="AH25" s="51" t="s">
        <v>180</v>
      </c>
      <c r="AX25" s="58"/>
    </row>
    <row r="26" spans="1:50" ht="15.5" x14ac:dyDescent="0.35">
      <c r="A26" s="101"/>
      <c r="B26" s="102"/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  <c r="AB26" s="102"/>
      <c r="AC26" s="102"/>
      <c r="AD26" s="102"/>
      <c r="AE26" s="102"/>
      <c r="AF26" s="102"/>
      <c r="AG26" s="64"/>
      <c r="AH26" s="51"/>
      <c r="AX26" s="58"/>
    </row>
    <row r="27" spans="1:50" ht="15.5" x14ac:dyDescent="0.35">
      <c r="A27" s="101"/>
      <c r="B27" s="102"/>
      <c r="C27" s="102"/>
      <c r="D27" s="102"/>
      <c r="E27" s="102"/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P27" s="102"/>
      <c r="Q27" s="102"/>
      <c r="R27" s="102"/>
      <c r="S27" s="102"/>
      <c r="T27" s="102"/>
      <c r="V27" s="102" t="s">
        <v>1007</v>
      </c>
      <c r="W27" s="102"/>
      <c r="X27" s="102"/>
      <c r="Y27" s="102"/>
      <c r="Z27" s="102"/>
      <c r="AA27" s="102"/>
      <c r="AB27" s="102"/>
      <c r="AC27" s="102"/>
      <c r="AD27" s="102"/>
      <c r="AE27" s="102"/>
      <c r="AF27" s="102"/>
      <c r="AG27" s="64"/>
      <c r="AH27" s="51"/>
      <c r="AX27" s="58"/>
    </row>
    <row r="28" spans="1:50" x14ac:dyDescent="0.35">
      <c r="AE28" s="102"/>
      <c r="AX28" s="58"/>
    </row>
    <row r="29" spans="1:50" ht="41.5" customHeight="1" x14ac:dyDescent="0.35">
      <c r="R29" t="s">
        <v>1005</v>
      </c>
      <c r="V29" s="94" t="s">
        <v>939</v>
      </c>
      <c r="W29" s="91" t="s">
        <v>940</v>
      </c>
      <c r="Y29" t="s">
        <v>1010</v>
      </c>
      <c r="AA29" s="91" t="s">
        <v>940</v>
      </c>
      <c r="AC29" s="91" t="s">
        <v>1012</v>
      </c>
      <c r="AE29" s="102"/>
    </row>
    <row r="30" spans="1:50" x14ac:dyDescent="0.35">
      <c r="R30" s="83" t="s">
        <v>779</v>
      </c>
      <c r="S30">
        <v>3</v>
      </c>
      <c r="V30" s="60" t="s">
        <v>944</v>
      </c>
      <c r="W30" s="60" t="s">
        <v>406</v>
      </c>
      <c r="AA30" s="20" t="s">
        <v>406</v>
      </c>
      <c r="AC30" s="20" t="s">
        <v>1011</v>
      </c>
      <c r="AE30" s="102"/>
    </row>
    <row r="31" spans="1:50" x14ac:dyDescent="0.35">
      <c r="R31" s="38" t="s">
        <v>1006</v>
      </c>
      <c r="S31">
        <v>4</v>
      </c>
      <c r="V31" s="60" t="s">
        <v>671</v>
      </c>
      <c r="W31" s="60" t="s">
        <v>443</v>
      </c>
      <c r="Y31" s="60" t="s">
        <v>943</v>
      </c>
      <c r="AA31" s="20" t="s">
        <v>443</v>
      </c>
      <c r="AC31" s="20" t="s">
        <v>316</v>
      </c>
      <c r="AE31" s="102"/>
    </row>
    <row r="32" spans="1:50" x14ac:dyDescent="0.35">
      <c r="F32" s="131"/>
      <c r="G32" s="131"/>
      <c r="H32" s="131"/>
      <c r="R32" s="100" t="s">
        <v>982</v>
      </c>
      <c r="S32">
        <v>2</v>
      </c>
      <c r="V32" s="60" t="s">
        <v>331</v>
      </c>
      <c r="W32" s="60" t="s">
        <v>941</v>
      </c>
      <c r="Y32" s="68" t="s">
        <v>559</v>
      </c>
      <c r="AA32" s="20" t="s">
        <v>941</v>
      </c>
      <c r="AE32" s="102"/>
    </row>
    <row r="33" spans="3:31" x14ac:dyDescent="0.35">
      <c r="C33" s="92"/>
      <c r="U33" t="s">
        <v>1008</v>
      </c>
      <c r="V33" s="60" t="s">
        <v>422</v>
      </c>
      <c r="W33" s="60" t="s">
        <v>208</v>
      </c>
      <c r="Y33" s="68" t="s">
        <v>852</v>
      </c>
      <c r="AA33" s="20" t="s">
        <v>422</v>
      </c>
      <c r="AE33" s="102"/>
    </row>
    <row r="34" spans="3:31" x14ac:dyDescent="0.35">
      <c r="C34" s="92"/>
      <c r="M34" s="94" t="s">
        <v>779</v>
      </c>
      <c r="N34" s="91" t="s">
        <v>982</v>
      </c>
      <c r="O34" s="94" t="s">
        <v>939</v>
      </c>
      <c r="P34" s="91" t="s">
        <v>940</v>
      </c>
      <c r="W34" s="60" t="s">
        <v>942</v>
      </c>
      <c r="Y34" s="68" t="s">
        <v>854</v>
      </c>
      <c r="AA34" s="20" t="s">
        <v>942</v>
      </c>
      <c r="AE34" s="102"/>
    </row>
    <row r="35" spans="3:31" x14ac:dyDescent="0.35">
      <c r="C35" s="93"/>
      <c r="M35" s="95" t="s">
        <v>981</v>
      </c>
      <c r="N35" s="20"/>
      <c r="O35" s="95" t="s">
        <v>986</v>
      </c>
      <c r="P35" s="95" t="s">
        <v>422</v>
      </c>
      <c r="S35" t="s">
        <v>609</v>
      </c>
      <c r="U35" s="82" t="s">
        <v>934</v>
      </c>
      <c r="W35" s="60" t="s">
        <v>937</v>
      </c>
      <c r="Y35" s="26" t="s">
        <v>938</v>
      </c>
      <c r="AA35" s="20" t="s">
        <v>937</v>
      </c>
      <c r="AE35" s="102"/>
    </row>
    <row r="36" spans="3:31" x14ac:dyDescent="0.35">
      <c r="C36" s="93"/>
      <c r="M36" s="95" t="s">
        <v>983</v>
      </c>
      <c r="N36" s="20"/>
      <c r="O36" s="95" t="s">
        <v>626</v>
      </c>
      <c r="P36" s="95" t="s">
        <v>488</v>
      </c>
      <c r="S36" s="20" t="s">
        <v>503</v>
      </c>
      <c r="U36" s="82" t="s">
        <v>936</v>
      </c>
      <c r="W36" s="60" t="s">
        <v>999</v>
      </c>
      <c r="AA36" s="20" t="s">
        <v>999</v>
      </c>
      <c r="AE36" s="102"/>
    </row>
    <row r="37" spans="3:31" x14ac:dyDescent="0.35">
      <c r="C37" s="92"/>
      <c r="M37" s="95" t="s">
        <v>576</v>
      </c>
      <c r="N37" s="20"/>
      <c r="O37" s="95" t="s">
        <v>987</v>
      </c>
      <c r="P37" s="95" t="s">
        <v>998</v>
      </c>
      <c r="S37" s="20" t="s">
        <v>914</v>
      </c>
      <c r="W37" s="20"/>
      <c r="AE37" s="102"/>
    </row>
    <row r="38" spans="3:31" x14ac:dyDescent="0.35">
      <c r="C38" s="92"/>
      <c r="M38" s="20"/>
      <c r="N38" s="20"/>
      <c r="O38" s="95" t="s">
        <v>988</v>
      </c>
      <c r="P38" s="20" t="s">
        <v>671</v>
      </c>
      <c r="S38" s="20" t="s">
        <v>965</v>
      </c>
      <c r="AE38" s="102"/>
    </row>
    <row r="39" spans="3:31" x14ac:dyDescent="0.35">
      <c r="C39" s="92"/>
      <c r="M39" s="20"/>
      <c r="N39" s="20"/>
      <c r="O39" s="95" t="s">
        <v>990</v>
      </c>
      <c r="P39" s="20" t="s">
        <v>989</v>
      </c>
      <c r="V39" t="s">
        <v>975</v>
      </c>
      <c r="AE39" s="102"/>
    </row>
    <row r="40" spans="3:31" x14ac:dyDescent="0.35">
      <c r="C40" s="92"/>
      <c r="M40" s="20"/>
      <c r="N40" s="20"/>
      <c r="O40" s="95" t="s">
        <v>987</v>
      </c>
      <c r="P40" s="20" t="s">
        <v>44</v>
      </c>
      <c r="V40" t="s">
        <v>976</v>
      </c>
      <c r="AE40" s="102"/>
    </row>
    <row r="41" spans="3:31" x14ac:dyDescent="0.35">
      <c r="C41" s="92"/>
      <c r="M41" s="20"/>
      <c r="N41" s="20"/>
      <c r="O41" s="95" t="s">
        <v>991</v>
      </c>
      <c r="P41" s="95" t="s">
        <v>471</v>
      </c>
      <c r="V41" t="s">
        <v>977</v>
      </c>
      <c r="AE41" s="102"/>
    </row>
    <row r="42" spans="3:31" x14ac:dyDescent="0.35">
      <c r="C42" s="92"/>
      <c r="M42" s="20"/>
      <c r="N42" s="20"/>
      <c r="O42" s="95" t="s">
        <v>992</v>
      </c>
      <c r="P42" s="20"/>
      <c r="V42" t="s">
        <v>978</v>
      </c>
    </row>
    <row r="43" spans="3:31" x14ac:dyDescent="0.35">
      <c r="C43" s="92"/>
      <c r="M43" s="20"/>
      <c r="N43" s="20"/>
      <c r="O43" s="95" t="s">
        <v>993</v>
      </c>
      <c r="P43" s="20"/>
    </row>
    <row r="44" spans="3:31" x14ac:dyDescent="0.35">
      <c r="C44" s="92"/>
      <c r="M44" s="20"/>
      <c r="N44" s="20"/>
      <c r="O44" s="95" t="s">
        <v>996</v>
      </c>
      <c r="P44" s="20"/>
    </row>
    <row r="45" spans="3:31" x14ac:dyDescent="0.35">
      <c r="C45" s="92"/>
      <c r="M45" s="20"/>
      <c r="N45" s="20"/>
      <c r="O45" s="95" t="s">
        <v>997</v>
      </c>
      <c r="P45" s="20"/>
    </row>
    <row r="46" spans="3:31" x14ac:dyDescent="0.35">
      <c r="O46" s="95" t="s">
        <v>984</v>
      </c>
    </row>
    <row r="47" spans="3:31" x14ac:dyDescent="0.35">
      <c r="O47" s="95" t="s">
        <v>985</v>
      </c>
    </row>
    <row r="48" spans="3:31" x14ac:dyDescent="0.35">
      <c r="O48" s="95" t="s">
        <v>473</v>
      </c>
    </row>
    <row r="49" spans="15:15" x14ac:dyDescent="0.35">
      <c r="O49" s="95" t="s">
        <v>997</v>
      </c>
    </row>
  </sheetData>
  <mergeCells count="3">
    <mergeCell ref="A1:AE1"/>
    <mergeCell ref="AM3:AR3"/>
    <mergeCell ref="F32:H32"/>
  </mergeCells>
  <conditionalFormatting sqref="B15:D16 E15:T15">
    <cfRule type="colorScale" priority="20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6:L6">
    <cfRule type="colorScale" priority="2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8:T8">
    <cfRule type="colorScale" priority="19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7:T17">
    <cfRule type="colorScale" priority="2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9:T21">
    <cfRule type="colorScale" priority="2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8:V18">
    <cfRule type="colorScale" priority="29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L13:U14 B13:I14 X13:AH14">
    <cfRule type="colorScale" priority="3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U15:V15">
    <cfRule type="colorScale" priority="1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U17:V17">
    <cfRule type="colorScale" priority="1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U19:V19">
    <cfRule type="colorScale" priority="1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U20:Z20 V7 U21 V10 U35:U36 E16:Z16 W21:Z21 W15:Z15 W17:Z19 B22:AE22 AB15:AE21">
    <cfRule type="colorScale" priority="3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W10:Z10 W7:Z7 V21 B7:T7 B11:Z11 B9:T10 U7:U10 B5:AF5 V8:Z9 M6:AF6 AB7:AF11">
    <cfRule type="colorScale" priority="3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Y32">
    <cfRule type="colorScale" priority="1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Y33">
    <cfRule type="colorScale" priority="1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Y34">
    <cfRule type="colorScale" priority="1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Y35">
    <cfRule type="colorScale" priority="1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F15">
    <cfRule type="colorScale" priority="3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F18">
    <cfRule type="colorScale" priority="3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F19:AF22 AF16:AF17">
    <cfRule type="colorScale" priority="34">
      <colorScale>
        <cfvo type="num" val="1"/>
        <cfvo type="max"/>
        <color theme="4" tint="0.59999389629810485"/>
        <color theme="5" tint="0.59999389629810485"/>
      </colorScale>
    </cfRule>
  </conditionalFormatting>
  <pageMargins left="0.2" right="0.45" top="0.75" bottom="0.75" header="0.3" footer="0.3"/>
  <pageSetup scale="90"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FA6BB-A7EB-4E7E-AC97-C62008613354}">
  <dimension ref="A1:AX43"/>
  <sheetViews>
    <sheetView zoomScale="90" zoomScaleNormal="100" workbookViewId="0">
      <pane xSplit="1" ySplit="4" topLeftCell="V5" activePane="bottomRight" state="frozen"/>
      <selection pane="topRight" activeCell="B1" sqref="B1"/>
      <selection pane="bottomLeft" activeCell="A5" sqref="A5"/>
      <selection pane="bottomRight" activeCell="AE28" sqref="AE28"/>
    </sheetView>
  </sheetViews>
  <sheetFormatPr defaultRowHeight="14.5" x14ac:dyDescent="0.35"/>
  <cols>
    <col min="1" max="1" width="43.7265625" customWidth="1"/>
    <col min="2" max="2" width="11.81640625" bestFit="1" customWidth="1"/>
    <col min="3" max="3" width="10.54296875" bestFit="1" customWidth="1"/>
    <col min="4" max="4" width="11.1796875" bestFit="1" customWidth="1"/>
    <col min="5" max="5" width="12.26953125" bestFit="1" customWidth="1"/>
    <col min="6" max="7" width="13.453125" bestFit="1" customWidth="1"/>
    <col min="8" max="8" width="17.453125" customWidth="1"/>
    <col min="9" max="11" width="13.453125" bestFit="1" customWidth="1"/>
    <col min="12" max="12" width="15.26953125" bestFit="1" customWidth="1"/>
    <col min="13" max="13" width="15.81640625" bestFit="1" customWidth="1"/>
    <col min="14" max="17" width="11.81640625" bestFit="1" customWidth="1"/>
    <col min="18" max="20" width="12.81640625" bestFit="1" customWidth="1"/>
    <col min="21" max="21" width="11.81640625" bestFit="1" customWidth="1"/>
    <col min="22" max="31" width="12.81640625" bestFit="1" customWidth="1"/>
    <col min="32" max="32" width="11" customWidth="1"/>
    <col min="33" max="33" width="4.7265625" bestFit="1" customWidth="1"/>
    <col min="34" max="34" width="8.453125" bestFit="1" customWidth="1"/>
    <col min="35" max="35" width="8" bestFit="1" customWidth="1"/>
    <col min="36" max="36" width="8.453125" customWidth="1"/>
    <col min="37" max="37" width="0" hidden="1" customWidth="1"/>
    <col min="38" max="38" width="3" hidden="1" customWidth="1"/>
    <col min="39" max="39" width="17.81640625" bestFit="1" customWidth="1"/>
    <col min="40" max="40" width="9.1796875" bestFit="1" customWidth="1"/>
    <col min="41" max="41" width="9.81640625" bestFit="1" customWidth="1"/>
    <col min="42" max="42" width="10.81640625" bestFit="1" customWidth="1"/>
    <col min="43" max="43" width="10.1796875" bestFit="1" customWidth="1"/>
    <col min="44" max="44" width="23.1796875" bestFit="1" customWidth="1"/>
    <col min="45" max="45" width="0.453125" hidden="1" customWidth="1"/>
    <col min="46" max="49" width="0" hidden="1" customWidth="1"/>
    <col min="51" max="51" width="15" bestFit="1" customWidth="1"/>
  </cols>
  <sheetData>
    <row r="1" spans="1:44" ht="15.5" x14ac:dyDescent="0.35">
      <c r="A1" s="120" t="s">
        <v>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65"/>
    </row>
    <row r="2" spans="1:44" ht="15" thickBot="1" x14ac:dyDescent="0.4"/>
    <row r="3" spans="1:44" ht="45.75" customHeight="1" x14ac:dyDescent="0.35">
      <c r="A3" s="1" t="s">
        <v>1</v>
      </c>
      <c r="B3" s="2">
        <f>AI4</f>
        <v>45931</v>
      </c>
      <c r="C3" s="2">
        <f t="shared" ref="C3:AF3" si="0">B3+1</f>
        <v>45932</v>
      </c>
      <c r="D3" s="2">
        <f t="shared" si="0"/>
        <v>45933</v>
      </c>
      <c r="E3" s="2">
        <f t="shared" si="0"/>
        <v>45934</v>
      </c>
      <c r="F3" s="2">
        <f t="shared" si="0"/>
        <v>45935</v>
      </c>
      <c r="G3" s="2">
        <f t="shared" si="0"/>
        <v>45936</v>
      </c>
      <c r="H3" s="2">
        <f t="shared" si="0"/>
        <v>45937</v>
      </c>
      <c r="I3" s="2">
        <f>H3+1</f>
        <v>45938</v>
      </c>
      <c r="J3" s="2">
        <f t="shared" si="0"/>
        <v>45939</v>
      </c>
      <c r="K3" s="2">
        <f t="shared" si="0"/>
        <v>45940</v>
      </c>
      <c r="L3" s="2">
        <f t="shared" si="0"/>
        <v>45941</v>
      </c>
      <c r="M3" s="2">
        <f t="shared" si="0"/>
        <v>45942</v>
      </c>
      <c r="N3" s="2">
        <f t="shared" si="0"/>
        <v>45943</v>
      </c>
      <c r="O3" s="2">
        <f t="shared" si="0"/>
        <v>45944</v>
      </c>
      <c r="P3" s="2">
        <f t="shared" si="0"/>
        <v>45945</v>
      </c>
      <c r="Q3" s="2">
        <f t="shared" si="0"/>
        <v>45946</v>
      </c>
      <c r="R3" s="2">
        <f t="shared" si="0"/>
        <v>45947</v>
      </c>
      <c r="S3" s="2">
        <f t="shared" si="0"/>
        <v>45948</v>
      </c>
      <c r="T3" s="2">
        <f t="shared" si="0"/>
        <v>45949</v>
      </c>
      <c r="U3" s="2">
        <f t="shared" si="0"/>
        <v>45950</v>
      </c>
      <c r="V3" s="2">
        <f t="shared" si="0"/>
        <v>45951</v>
      </c>
      <c r="W3" s="2">
        <f t="shared" si="0"/>
        <v>45952</v>
      </c>
      <c r="X3" s="2">
        <f t="shared" si="0"/>
        <v>45953</v>
      </c>
      <c r="Y3" s="2">
        <f t="shared" si="0"/>
        <v>45954</v>
      </c>
      <c r="Z3" s="2">
        <f t="shared" si="0"/>
        <v>45955</v>
      </c>
      <c r="AA3" s="2">
        <f t="shared" si="0"/>
        <v>45956</v>
      </c>
      <c r="AB3" s="2">
        <f t="shared" si="0"/>
        <v>45957</v>
      </c>
      <c r="AC3" s="2">
        <f t="shared" si="0"/>
        <v>45958</v>
      </c>
      <c r="AD3" s="2">
        <f t="shared" si="0"/>
        <v>45959</v>
      </c>
      <c r="AE3" s="2">
        <f t="shared" si="0"/>
        <v>45960</v>
      </c>
      <c r="AF3" s="2">
        <f t="shared" si="0"/>
        <v>45961</v>
      </c>
      <c r="AG3" s="36"/>
      <c r="AH3" s="36"/>
      <c r="AM3" s="122" t="s">
        <v>267</v>
      </c>
      <c r="AN3" s="123"/>
      <c r="AO3" s="123"/>
      <c r="AP3" s="123"/>
      <c r="AQ3" s="123"/>
      <c r="AR3" s="124"/>
    </row>
    <row r="4" spans="1:44" ht="31.5" customHeight="1" x14ac:dyDescent="0.35">
      <c r="A4" s="3" t="s">
        <v>2</v>
      </c>
      <c r="B4" s="4">
        <f t="shared" ref="B4:AF4" si="1">B3</f>
        <v>45931</v>
      </c>
      <c r="C4" s="4">
        <f t="shared" si="1"/>
        <v>45932</v>
      </c>
      <c r="D4" s="4">
        <f t="shared" si="1"/>
        <v>45933</v>
      </c>
      <c r="E4" s="4">
        <f t="shared" si="1"/>
        <v>45934</v>
      </c>
      <c r="F4" s="4">
        <f t="shared" si="1"/>
        <v>45935</v>
      </c>
      <c r="G4" s="4">
        <f t="shared" si="1"/>
        <v>45936</v>
      </c>
      <c r="H4" s="4">
        <f t="shared" si="1"/>
        <v>45937</v>
      </c>
      <c r="I4" s="4">
        <f t="shared" si="1"/>
        <v>45938</v>
      </c>
      <c r="J4" s="4">
        <f t="shared" si="1"/>
        <v>45939</v>
      </c>
      <c r="K4" s="4">
        <f t="shared" si="1"/>
        <v>45940</v>
      </c>
      <c r="L4" s="4">
        <f t="shared" si="1"/>
        <v>45941</v>
      </c>
      <c r="M4" s="4">
        <f t="shared" si="1"/>
        <v>45942</v>
      </c>
      <c r="N4" s="4">
        <f t="shared" si="1"/>
        <v>45943</v>
      </c>
      <c r="O4" s="4">
        <f t="shared" si="1"/>
        <v>45944</v>
      </c>
      <c r="P4" s="4">
        <f t="shared" si="1"/>
        <v>45945</v>
      </c>
      <c r="Q4" s="4">
        <f t="shared" si="1"/>
        <v>45946</v>
      </c>
      <c r="R4" s="4">
        <f t="shared" si="1"/>
        <v>45947</v>
      </c>
      <c r="S4" s="4">
        <f t="shared" si="1"/>
        <v>45948</v>
      </c>
      <c r="T4" s="4">
        <f t="shared" si="1"/>
        <v>45949</v>
      </c>
      <c r="U4" s="4">
        <f t="shared" si="1"/>
        <v>45950</v>
      </c>
      <c r="V4" s="4">
        <f t="shared" si="1"/>
        <v>45951</v>
      </c>
      <c r="W4" s="4">
        <f t="shared" si="1"/>
        <v>45952</v>
      </c>
      <c r="X4" s="4">
        <f t="shared" si="1"/>
        <v>45953</v>
      </c>
      <c r="Y4" s="4">
        <f t="shared" si="1"/>
        <v>45954</v>
      </c>
      <c r="Z4" s="4">
        <f t="shared" si="1"/>
        <v>45955</v>
      </c>
      <c r="AA4" s="4">
        <f t="shared" si="1"/>
        <v>45956</v>
      </c>
      <c r="AB4" s="4">
        <f t="shared" si="1"/>
        <v>45957</v>
      </c>
      <c r="AC4" s="4">
        <f t="shared" si="1"/>
        <v>45958</v>
      </c>
      <c r="AD4" s="4">
        <f t="shared" si="1"/>
        <v>45959</v>
      </c>
      <c r="AE4" s="4">
        <f t="shared" si="1"/>
        <v>45960</v>
      </c>
      <c r="AF4" s="4">
        <f t="shared" si="1"/>
        <v>45961</v>
      </c>
      <c r="AG4" s="39" t="s">
        <v>174</v>
      </c>
      <c r="AH4" s="40" t="s">
        <v>175</v>
      </c>
      <c r="AI4" s="5">
        <v>45931</v>
      </c>
      <c r="AJ4" s="6">
        <f>EOMONTH(AI4,0)</f>
        <v>45961</v>
      </c>
      <c r="AM4" s="19" t="s">
        <v>54</v>
      </c>
      <c r="AN4" s="19" t="s">
        <v>269</v>
      </c>
      <c r="AO4" s="19" t="s">
        <v>55</v>
      </c>
      <c r="AP4" s="19" t="s">
        <v>56</v>
      </c>
      <c r="AQ4" s="19" t="s">
        <v>251</v>
      </c>
      <c r="AR4" s="19" t="s">
        <v>57</v>
      </c>
    </row>
    <row r="5" spans="1:44" x14ac:dyDescent="0.35">
      <c r="A5" s="7" t="s">
        <v>3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68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41">
        <f>COUNTA(B5:AF5)</f>
        <v>0</v>
      </c>
      <c r="AH5" s="42">
        <f>AG5*100/30</f>
        <v>0</v>
      </c>
      <c r="AM5" s="20"/>
      <c r="AN5" s="56"/>
      <c r="AO5" s="56"/>
      <c r="AP5" s="56"/>
      <c r="AQ5" s="57"/>
      <c r="AR5" s="20"/>
    </row>
    <row r="6" spans="1:44" x14ac:dyDescent="0.35">
      <c r="A6" s="7" t="s">
        <v>7</v>
      </c>
      <c r="B6" s="55" t="s">
        <v>846</v>
      </c>
      <c r="C6" s="55" t="s">
        <v>846</v>
      </c>
      <c r="D6" s="55" t="s">
        <v>846</v>
      </c>
      <c r="E6" s="55" t="s">
        <v>846</v>
      </c>
      <c r="F6" s="55" t="s">
        <v>846</v>
      </c>
      <c r="G6" s="55" t="s">
        <v>846</v>
      </c>
      <c r="H6" s="55" t="s">
        <v>846</v>
      </c>
      <c r="I6" s="55" t="s">
        <v>846</v>
      </c>
      <c r="J6" s="55" t="s">
        <v>846</v>
      </c>
      <c r="K6" s="55" t="s">
        <v>846</v>
      </c>
      <c r="L6" s="55" t="s">
        <v>846</v>
      </c>
      <c r="M6" s="55" t="s">
        <v>846</v>
      </c>
      <c r="N6" s="55" t="s">
        <v>846</v>
      </c>
      <c r="O6" s="55" t="s">
        <v>846</v>
      </c>
      <c r="P6" s="55" t="s">
        <v>846</v>
      </c>
      <c r="Q6" s="55" t="s">
        <v>846</v>
      </c>
      <c r="R6" s="55" t="s">
        <v>846</v>
      </c>
      <c r="S6" s="55" t="s">
        <v>846</v>
      </c>
      <c r="T6" s="55" t="s">
        <v>846</v>
      </c>
      <c r="U6" s="55" t="s">
        <v>846</v>
      </c>
      <c r="V6" s="55" t="s">
        <v>846</v>
      </c>
      <c r="W6" s="55" t="s">
        <v>846</v>
      </c>
      <c r="X6" s="55" t="s">
        <v>846</v>
      </c>
      <c r="Y6" s="55" t="s">
        <v>846</v>
      </c>
      <c r="Z6" s="55" t="s">
        <v>846</v>
      </c>
      <c r="AA6" s="55" t="s">
        <v>846</v>
      </c>
      <c r="AB6" s="55" t="s">
        <v>846</v>
      </c>
      <c r="AC6" s="55" t="s">
        <v>846</v>
      </c>
      <c r="AD6" s="55" t="s">
        <v>846</v>
      </c>
      <c r="AE6" s="55" t="s">
        <v>846</v>
      </c>
      <c r="AF6" s="55" t="s">
        <v>846</v>
      </c>
      <c r="AG6" s="41">
        <f t="shared" ref="AG6:AG11" si="2">COUNTA(B6:AF6)</f>
        <v>31</v>
      </c>
      <c r="AH6" s="42">
        <f>AG6*100/30</f>
        <v>103.33333333333333</v>
      </c>
      <c r="AM6" s="20"/>
      <c r="AN6" s="56"/>
      <c r="AO6" s="56"/>
      <c r="AP6" s="56"/>
      <c r="AQ6" s="57"/>
      <c r="AR6" s="20"/>
    </row>
    <row r="7" spans="1:44" x14ac:dyDescent="0.35">
      <c r="A7" s="7" t="s">
        <v>11</v>
      </c>
      <c r="B7" s="55" t="s">
        <v>1013</v>
      </c>
      <c r="C7" s="55" t="s">
        <v>1013</v>
      </c>
      <c r="D7" s="55" t="s">
        <v>1013</v>
      </c>
      <c r="E7" s="55" t="s">
        <v>1013</v>
      </c>
      <c r="F7" s="55" t="s">
        <v>1013</v>
      </c>
      <c r="G7" s="55" t="s">
        <v>1013</v>
      </c>
      <c r="H7" s="55" t="s">
        <v>1013</v>
      </c>
      <c r="I7" s="55" t="s">
        <v>1013</v>
      </c>
      <c r="J7" s="55" t="s">
        <v>1013</v>
      </c>
      <c r="K7" s="55" t="s">
        <v>1013</v>
      </c>
      <c r="L7" s="55" t="s">
        <v>1013</v>
      </c>
      <c r="M7" s="55" t="s">
        <v>1013</v>
      </c>
      <c r="N7" s="55" t="s">
        <v>1013</v>
      </c>
      <c r="O7" s="55" t="s">
        <v>1013</v>
      </c>
      <c r="P7" s="55" t="s">
        <v>1013</v>
      </c>
      <c r="Q7" s="55" t="s">
        <v>1013</v>
      </c>
      <c r="R7" s="55" t="s">
        <v>1013</v>
      </c>
      <c r="S7" s="55"/>
      <c r="T7" s="55"/>
      <c r="U7" s="55"/>
      <c r="V7" s="55" t="s">
        <v>1026</v>
      </c>
      <c r="W7" s="55" t="s">
        <v>1026</v>
      </c>
      <c r="X7" s="55" t="s">
        <v>1026</v>
      </c>
      <c r="Y7" s="55" t="s">
        <v>1026</v>
      </c>
      <c r="Z7" s="55"/>
      <c r="AA7" s="88"/>
      <c r="AB7" s="55"/>
      <c r="AC7" s="55" t="s">
        <v>1027</v>
      </c>
      <c r="AD7" s="55" t="s">
        <v>1026</v>
      </c>
      <c r="AE7" s="55" t="s">
        <v>1026</v>
      </c>
      <c r="AF7" s="55" t="s">
        <v>1026</v>
      </c>
      <c r="AG7" s="41">
        <f t="shared" si="2"/>
        <v>25</v>
      </c>
      <c r="AH7" s="42">
        <f t="shared" ref="AH7:AH11" si="3">AG7*100/30</f>
        <v>83.333333333333329</v>
      </c>
      <c r="AM7" s="20"/>
      <c r="AN7" s="56"/>
      <c r="AO7" s="56"/>
      <c r="AP7" s="56"/>
      <c r="AQ7" s="57"/>
      <c r="AR7" s="20"/>
    </row>
    <row r="8" spans="1:44" ht="15" customHeight="1" x14ac:dyDescent="0.35">
      <c r="A8" s="7" t="s">
        <v>15</v>
      </c>
      <c r="B8" s="55" t="s">
        <v>1014</v>
      </c>
      <c r="C8" s="55" t="s">
        <v>1014</v>
      </c>
      <c r="D8" s="55" t="s">
        <v>1014</v>
      </c>
      <c r="E8" s="55" t="s">
        <v>1014</v>
      </c>
      <c r="F8" s="55" t="s">
        <v>1014</v>
      </c>
      <c r="G8" s="55" t="s">
        <v>1014</v>
      </c>
      <c r="H8" s="55" t="s">
        <v>1014</v>
      </c>
      <c r="I8" s="55" t="s">
        <v>1014</v>
      </c>
      <c r="J8" s="55" t="s">
        <v>1014</v>
      </c>
      <c r="K8" s="55" t="s">
        <v>1014</v>
      </c>
      <c r="L8" s="55" t="s">
        <v>1014</v>
      </c>
      <c r="M8" s="55" t="s">
        <v>1014</v>
      </c>
      <c r="N8" s="55" t="s">
        <v>1014</v>
      </c>
      <c r="O8" s="55" t="s">
        <v>1014</v>
      </c>
      <c r="P8" s="55" t="s">
        <v>1014</v>
      </c>
      <c r="Q8" s="55" t="s">
        <v>1014</v>
      </c>
      <c r="R8" s="55" t="s">
        <v>1014</v>
      </c>
      <c r="S8" s="55" t="s">
        <v>1014</v>
      </c>
      <c r="T8" s="55" t="s">
        <v>1014</v>
      </c>
      <c r="U8" s="55" t="s">
        <v>1014</v>
      </c>
      <c r="V8" s="55" t="s">
        <v>1014</v>
      </c>
      <c r="W8" s="55" t="s">
        <v>1014</v>
      </c>
      <c r="X8" s="55" t="s">
        <v>1014</v>
      </c>
      <c r="Y8" s="55" t="s">
        <v>1014</v>
      </c>
      <c r="Z8" s="55" t="s">
        <v>1014</v>
      </c>
      <c r="AA8" s="55" t="s">
        <v>1014</v>
      </c>
      <c r="AB8" s="55"/>
      <c r="AC8" s="55" t="s">
        <v>1027</v>
      </c>
      <c r="AD8" s="55" t="s">
        <v>1026</v>
      </c>
      <c r="AE8" s="55" t="s">
        <v>1026</v>
      </c>
      <c r="AF8" s="55" t="s">
        <v>1026</v>
      </c>
      <c r="AG8" s="41">
        <f t="shared" si="2"/>
        <v>30</v>
      </c>
      <c r="AH8" s="42">
        <f t="shared" si="3"/>
        <v>100</v>
      </c>
      <c r="AK8" s="9"/>
      <c r="AM8" s="20"/>
      <c r="AN8" s="56"/>
      <c r="AO8" s="56"/>
      <c r="AP8" s="56"/>
      <c r="AQ8" s="57"/>
      <c r="AR8" s="20"/>
    </row>
    <row r="9" spans="1:44" ht="15.75" customHeight="1" x14ac:dyDescent="0.35">
      <c r="A9" s="7" t="s">
        <v>18</v>
      </c>
      <c r="B9" s="55" t="s">
        <v>1015</v>
      </c>
      <c r="C9" s="55" t="s">
        <v>1015</v>
      </c>
      <c r="D9" s="55" t="s">
        <v>1015</v>
      </c>
      <c r="E9" s="55" t="s">
        <v>1015</v>
      </c>
      <c r="F9" s="55" t="s">
        <v>1015</v>
      </c>
      <c r="G9" s="55" t="s">
        <v>1015</v>
      </c>
      <c r="H9" s="55" t="s">
        <v>1015</v>
      </c>
      <c r="I9" s="55" t="s">
        <v>1015</v>
      </c>
      <c r="J9" s="55" t="s">
        <v>1015</v>
      </c>
      <c r="K9" s="55" t="s">
        <v>1015</v>
      </c>
      <c r="L9" s="55" t="s">
        <v>1015</v>
      </c>
      <c r="M9" s="55" t="s">
        <v>1015</v>
      </c>
      <c r="N9" s="55" t="s">
        <v>1015</v>
      </c>
      <c r="O9" s="55" t="s">
        <v>1015</v>
      </c>
      <c r="P9" s="55" t="s">
        <v>1015</v>
      </c>
      <c r="Q9" s="55" t="s">
        <v>1015</v>
      </c>
      <c r="R9" s="55" t="s">
        <v>1015</v>
      </c>
      <c r="S9" s="55"/>
      <c r="T9" s="55" t="s">
        <v>1023</v>
      </c>
      <c r="U9" s="55" t="s">
        <v>1023</v>
      </c>
      <c r="V9" s="55" t="s">
        <v>1026</v>
      </c>
      <c r="W9" s="55" t="s">
        <v>1026</v>
      </c>
      <c r="X9" s="55" t="s">
        <v>1026</v>
      </c>
      <c r="Y9" s="55" t="s">
        <v>1026</v>
      </c>
      <c r="Z9" s="55"/>
      <c r="AA9" s="55" t="s">
        <v>682</v>
      </c>
      <c r="AB9" s="55" t="s">
        <v>682</v>
      </c>
      <c r="AC9" s="55" t="s">
        <v>682</v>
      </c>
      <c r="AD9" s="55" t="s">
        <v>1026</v>
      </c>
      <c r="AE9" s="55" t="s">
        <v>1026</v>
      </c>
      <c r="AF9" s="55" t="s">
        <v>1026</v>
      </c>
      <c r="AG9" s="41">
        <f t="shared" si="2"/>
        <v>29</v>
      </c>
      <c r="AH9" s="42">
        <f t="shared" si="3"/>
        <v>96.666666666666671</v>
      </c>
      <c r="AM9" s="20"/>
      <c r="AN9" s="56"/>
      <c r="AO9" s="56"/>
      <c r="AP9" s="56"/>
      <c r="AQ9" s="57"/>
      <c r="AR9" s="20"/>
    </row>
    <row r="10" spans="1:44" ht="15.75" customHeight="1" x14ac:dyDescent="0.35">
      <c r="A10" s="7" t="s">
        <v>20</v>
      </c>
      <c r="B10" s="55"/>
      <c r="C10" s="55"/>
      <c r="D10" s="55" t="s">
        <v>1019</v>
      </c>
      <c r="E10" s="55" t="s">
        <v>1019</v>
      </c>
      <c r="F10" s="55" t="s">
        <v>1018</v>
      </c>
      <c r="G10" s="55" t="s">
        <v>1018</v>
      </c>
      <c r="H10" s="55" t="s">
        <v>1018</v>
      </c>
      <c r="I10" s="55" t="s">
        <v>1018</v>
      </c>
      <c r="J10" s="55" t="s">
        <v>1018</v>
      </c>
      <c r="K10" s="55" t="s">
        <v>1018</v>
      </c>
      <c r="L10" s="55" t="s">
        <v>1018</v>
      </c>
      <c r="M10" s="55" t="s">
        <v>1018</v>
      </c>
      <c r="N10" s="55" t="s">
        <v>1018</v>
      </c>
      <c r="O10" s="55" t="s">
        <v>1018</v>
      </c>
      <c r="P10" s="55" t="s">
        <v>1018</v>
      </c>
      <c r="Q10" s="55" t="s">
        <v>1018</v>
      </c>
      <c r="R10" s="55" t="s">
        <v>1018</v>
      </c>
      <c r="S10" s="55" t="s">
        <v>1018</v>
      </c>
      <c r="T10" s="55" t="s">
        <v>1018</v>
      </c>
      <c r="U10" s="55" t="s">
        <v>1018</v>
      </c>
      <c r="V10" s="55" t="s">
        <v>1018</v>
      </c>
      <c r="W10" s="55" t="s">
        <v>1018</v>
      </c>
      <c r="X10" s="55" t="s">
        <v>1018</v>
      </c>
      <c r="Y10" s="55" t="s">
        <v>1018</v>
      </c>
      <c r="Z10" s="55" t="s">
        <v>1018</v>
      </c>
      <c r="AA10" s="55" t="s">
        <v>1018</v>
      </c>
      <c r="AB10" s="55" t="s">
        <v>1018</v>
      </c>
      <c r="AC10" s="55" t="s">
        <v>1018</v>
      </c>
      <c r="AD10" s="55" t="s">
        <v>1018</v>
      </c>
      <c r="AE10" s="55" t="s">
        <v>1018</v>
      </c>
      <c r="AF10" s="55" t="s">
        <v>1018</v>
      </c>
      <c r="AG10" s="41">
        <f t="shared" si="2"/>
        <v>29</v>
      </c>
      <c r="AH10" s="42">
        <f t="shared" si="3"/>
        <v>96.666666666666671</v>
      </c>
      <c r="AM10" s="20"/>
      <c r="AN10" s="56"/>
      <c r="AO10" s="56"/>
      <c r="AP10" s="56"/>
      <c r="AQ10" s="57"/>
      <c r="AR10" s="20"/>
    </row>
    <row r="11" spans="1:44" ht="15.75" customHeight="1" thickBot="1" x14ac:dyDescent="0.4">
      <c r="A11" s="7" t="s">
        <v>24</v>
      </c>
      <c r="B11" s="55" t="s">
        <v>422</v>
      </c>
      <c r="C11" s="55" t="s">
        <v>422</v>
      </c>
      <c r="D11" s="55" t="s">
        <v>422</v>
      </c>
      <c r="E11" s="55" t="s">
        <v>422</v>
      </c>
      <c r="F11" s="68"/>
      <c r="G11" s="55" t="s">
        <v>1021</v>
      </c>
      <c r="H11" s="55" t="s">
        <v>1021</v>
      </c>
      <c r="I11" s="55" t="s">
        <v>1021</v>
      </c>
      <c r="J11" s="55" t="s">
        <v>1021</v>
      </c>
      <c r="K11" s="55" t="s">
        <v>1021</v>
      </c>
      <c r="L11" s="55"/>
      <c r="M11" s="55"/>
      <c r="N11" s="55" t="s">
        <v>750</v>
      </c>
      <c r="O11" s="55" t="s">
        <v>750</v>
      </c>
      <c r="P11" s="55" t="s">
        <v>750</v>
      </c>
      <c r="Q11" s="68"/>
      <c r="R11" s="68"/>
      <c r="S11" s="55" t="s">
        <v>598</v>
      </c>
      <c r="T11" s="55" t="s">
        <v>598</v>
      </c>
      <c r="U11" s="55" t="s">
        <v>598</v>
      </c>
      <c r="V11" s="55" t="s">
        <v>1026</v>
      </c>
      <c r="W11" s="55" t="s">
        <v>1026</v>
      </c>
      <c r="X11" s="55" t="s">
        <v>1026</v>
      </c>
      <c r="Y11" s="55" t="s">
        <v>1026</v>
      </c>
      <c r="Z11" s="55" t="s">
        <v>134</v>
      </c>
      <c r="AA11" s="55" t="s">
        <v>97</v>
      </c>
      <c r="AB11" s="55" t="s">
        <v>97</v>
      </c>
      <c r="AC11" s="55" t="s">
        <v>97</v>
      </c>
      <c r="AD11" s="55" t="s">
        <v>97</v>
      </c>
      <c r="AE11" s="88"/>
      <c r="AF11" s="55"/>
      <c r="AG11" s="41">
        <f t="shared" si="2"/>
        <v>24</v>
      </c>
      <c r="AH11" s="42">
        <f t="shared" si="3"/>
        <v>80</v>
      </c>
      <c r="AM11" s="20"/>
      <c r="AN11" s="56"/>
      <c r="AO11" s="56"/>
      <c r="AP11" s="56"/>
      <c r="AQ11" s="57"/>
      <c r="AR11" s="20"/>
    </row>
    <row r="12" spans="1:44" ht="15" customHeight="1" x14ac:dyDescent="0.35">
      <c r="A12" s="45" t="s">
        <v>176</v>
      </c>
      <c r="B12" s="46">
        <f>COUNTA(B5:B11)</f>
        <v>5</v>
      </c>
      <c r="C12" s="46">
        <f>COUNTA(C5:C11)</f>
        <v>5</v>
      </c>
      <c r="D12" s="46">
        <f t="shared" ref="D12:AF12" si="4">COUNTA(D5:D11)</f>
        <v>6</v>
      </c>
      <c r="E12" s="46">
        <f t="shared" si="4"/>
        <v>6</v>
      </c>
      <c r="F12" s="46">
        <f t="shared" si="4"/>
        <v>5</v>
      </c>
      <c r="G12" s="46">
        <f t="shared" si="4"/>
        <v>6</v>
      </c>
      <c r="H12" s="46">
        <f t="shared" si="4"/>
        <v>6</v>
      </c>
      <c r="I12" s="46">
        <f t="shared" si="4"/>
        <v>6</v>
      </c>
      <c r="J12" s="46">
        <f t="shared" si="4"/>
        <v>6</v>
      </c>
      <c r="K12" s="46">
        <f t="shared" si="4"/>
        <v>6</v>
      </c>
      <c r="L12" s="46">
        <f t="shared" si="4"/>
        <v>5</v>
      </c>
      <c r="M12" s="46">
        <f t="shared" si="4"/>
        <v>5</v>
      </c>
      <c r="N12" s="46">
        <f t="shared" si="4"/>
        <v>6</v>
      </c>
      <c r="O12" s="46">
        <f t="shared" si="4"/>
        <v>6</v>
      </c>
      <c r="P12" s="46">
        <f t="shared" si="4"/>
        <v>6</v>
      </c>
      <c r="Q12" s="46">
        <f t="shared" si="4"/>
        <v>5</v>
      </c>
      <c r="R12" s="46">
        <f t="shared" si="4"/>
        <v>5</v>
      </c>
      <c r="S12" s="46">
        <f t="shared" si="4"/>
        <v>4</v>
      </c>
      <c r="T12" s="46">
        <f t="shared" si="4"/>
        <v>5</v>
      </c>
      <c r="U12" s="46">
        <f t="shared" si="4"/>
        <v>5</v>
      </c>
      <c r="V12" s="46">
        <f t="shared" si="4"/>
        <v>6</v>
      </c>
      <c r="W12" s="46">
        <f t="shared" si="4"/>
        <v>6</v>
      </c>
      <c r="X12" s="46">
        <f t="shared" si="4"/>
        <v>6</v>
      </c>
      <c r="Y12" s="46">
        <f t="shared" si="4"/>
        <v>6</v>
      </c>
      <c r="Z12" s="46">
        <f t="shared" si="4"/>
        <v>4</v>
      </c>
      <c r="AA12" s="46">
        <f t="shared" si="4"/>
        <v>5</v>
      </c>
      <c r="AB12" s="46">
        <f t="shared" si="4"/>
        <v>4</v>
      </c>
      <c r="AC12" s="46">
        <f>COUNTA(AC5:AC11)</f>
        <v>6</v>
      </c>
      <c r="AD12" s="46">
        <f>COUNTA(AD5:AD11)</f>
        <v>6</v>
      </c>
      <c r="AE12" s="46">
        <f>COUNTA(AE5:AE11)</f>
        <v>5</v>
      </c>
      <c r="AF12" s="46">
        <f t="shared" si="4"/>
        <v>5</v>
      </c>
      <c r="AG12" s="43">
        <f t="shared" ref="AG12" si="5">SUM(AG5:AG11)</f>
        <v>168</v>
      </c>
      <c r="AH12" s="44">
        <f>AVERAGE(AH5:AH11)</f>
        <v>80</v>
      </c>
      <c r="AI12" s="29"/>
      <c r="AM12" s="20"/>
      <c r="AN12" s="20"/>
      <c r="AO12" s="20"/>
      <c r="AP12" s="20"/>
      <c r="AQ12" s="20"/>
      <c r="AR12" s="20"/>
    </row>
    <row r="13" spans="1:44" ht="57" hidden="1" x14ac:dyDescent="0.35">
      <c r="A13" s="13" t="s">
        <v>28</v>
      </c>
      <c r="B13" s="14"/>
      <c r="C13" s="14"/>
      <c r="D13" s="14"/>
      <c r="E13" s="14"/>
      <c r="F13" s="14"/>
      <c r="G13" s="14"/>
      <c r="H13" s="14"/>
      <c r="I13" s="35"/>
      <c r="J13" s="34"/>
      <c r="K13" s="15"/>
      <c r="L13" s="14"/>
      <c r="M13" s="14"/>
      <c r="N13" s="25"/>
      <c r="O13" s="25"/>
      <c r="P13" s="25"/>
      <c r="Q13" s="14"/>
      <c r="R13" s="14"/>
      <c r="S13" s="14"/>
      <c r="T13" s="14"/>
      <c r="U13" s="14"/>
      <c r="V13" s="15"/>
      <c r="W13" s="15"/>
      <c r="X13" s="14"/>
      <c r="Y13" s="14"/>
      <c r="Z13" s="14"/>
      <c r="AA13" s="14"/>
      <c r="AB13" s="14"/>
      <c r="AC13" s="14"/>
      <c r="AD13" s="14"/>
      <c r="AE13" s="14"/>
      <c r="AF13" s="14"/>
      <c r="AG13" s="37"/>
      <c r="AH13" s="37"/>
      <c r="AM13" s="20"/>
      <c r="AN13" s="20"/>
      <c r="AO13" s="20"/>
      <c r="AP13" s="20"/>
      <c r="AQ13" s="20"/>
      <c r="AR13" s="20"/>
    </row>
    <row r="14" spans="1:44" ht="28.5" hidden="1" x14ac:dyDescent="0.35">
      <c r="A14" s="16" t="s">
        <v>29</v>
      </c>
      <c r="B14" s="14"/>
      <c r="C14" s="14"/>
      <c r="D14" s="14"/>
      <c r="E14" s="14"/>
      <c r="F14" s="14"/>
      <c r="G14" s="14"/>
      <c r="H14" s="14"/>
      <c r="I14" s="35"/>
      <c r="J14" s="34"/>
      <c r="K14" s="15"/>
      <c r="L14" s="14"/>
      <c r="M14" s="14"/>
      <c r="N14" s="25"/>
      <c r="O14" s="25"/>
      <c r="P14" s="25"/>
      <c r="Q14" s="14"/>
      <c r="R14" s="14"/>
      <c r="S14" s="14"/>
      <c r="T14" s="14"/>
      <c r="U14" s="14"/>
      <c r="V14" s="15"/>
      <c r="W14" s="15"/>
      <c r="X14" s="14"/>
      <c r="Y14" s="14"/>
      <c r="Z14" s="14"/>
      <c r="AA14" s="14"/>
      <c r="AB14" s="14"/>
      <c r="AC14" s="14"/>
      <c r="AD14" s="14"/>
      <c r="AE14" s="14"/>
      <c r="AF14" s="14"/>
      <c r="AG14" s="37"/>
      <c r="AH14" s="37"/>
      <c r="AM14" s="20"/>
      <c r="AN14" s="20"/>
      <c r="AO14" s="20"/>
      <c r="AP14" s="20"/>
      <c r="AQ14" s="20"/>
      <c r="AR14" s="20"/>
    </row>
    <row r="15" spans="1:44" x14ac:dyDescent="0.35">
      <c r="A15" s="7" t="s">
        <v>30</v>
      </c>
      <c r="B15" s="55" t="s">
        <v>914</v>
      </c>
      <c r="C15" s="55" t="s">
        <v>914</v>
      </c>
      <c r="D15" s="55" t="s">
        <v>914</v>
      </c>
      <c r="E15" s="55" t="s">
        <v>914</v>
      </c>
      <c r="F15" s="55" t="s">
        <v>914</v>
      </c>
      <c r="G15" s="55" t="s">
        <v>914</v>
      </c>
      <c r="H15" s="55" t="s">
        <v>914</v>
      </c>
      <c r="I15" s="55" t="s">
        <v>914</v>
      </c>
      <c r="J15" s="55" t="s">
        <v>914</v>
      </c>
      <c r="K15" s="55" t="s">
        <v>914</v>
      </c>
      <c r="L15" s="55" t="s">
        <v>914</v>
      </c>
      <c r="M15" s="55" t="s">
        <v>914</v>
      </c>
      <c r="N15" s="55" t="s">
        <v>471</v>
      </c>
      <c r="O15" s="55" t="s">
        <v>471</v>
      </c>
      <c r="P15" s="55" t="s">
        <v>471</v>
      </c>
      <c r="Q15" s="55" t="s">
        <v>471</v>
      </c>
      <c r="R15" s="55" t="s">
        <v>471</v>
      </c>
      <c r="S15" s="26"/>
      <c r="T15" s="26"/>
      <c r="U15" s="26"/>
      <c r="V15" s="55" t="s">
        <v>1026</v>
      </c>
      <c r="W15" s="55" t="s">
        <v>1026</v>
      </c>
      <c r="X15" s="55" t="s">
        <v>1026</v>
      </c>
      <c r="Y15" s="55" t="s">
        <v>1026</v>
      </c>
      <c r="Z15" s="55" t="s">
        <v>136</v>
      </c>
      <c r="AA15" s="88"/>
      <c r="AB15" s="8"/>
      <c r="AC15" s="55" t="s">
        <v>1027</v>
      </c>
      <c r="AD15" s="55" t="s">
        <v>1026</v>
      </c>
      <c r="AE15" s="55" t="s">
        <v>1026</v>
      </c>
      <c r="AF15" s="55" t="s">
        <v>1026</v>
      </c>
      <c r="AG15" s="41">
        <f>COUNTA(B15:AF15)</f>
        <v>26</v>
      </c>
      <c r="AH15" s="42">
        <f>AG15*100/30</f>
        <v>86.666666666666671</v>
      </c>
      <c r="AM15" s="20"/>
      <c r="AN15" s="20"/>
      <c r="AO15" s="20"/>
      <c r="AP15" s="20"/>
      <c r="AQ15" s="20"/>
      <c r="AR15" s="20"/>
    </row>
    <row r="16" spans="1:44" x14ac:dyDescent="0.35">
      <c r="A16" s="7" t="s">
        <v>35</v>
      </c>
      <c r="B16" s="8" t="s">
        <v>837</v>
      </c>
      <c r="C16" s="8" t="s">
        <v>837</v>
      </c>
      <c r="D16" s="8" t="s">
        <v>837</v>
      </c>
      <c r="E16" s="8" t="s">
        <v>837</v>
      </c>
      <c r="F16" s="8" t="s">
        <v>837</v>
      </c>
      <c r="G16" s="26"/>
      <c r="H16" s="8"/>
      <c r="I16" s="8"/>
      <c r="J16" s="8"/>
      <c r="K16" s="8"/>
      <c r="L16" s="8"/>
      <c r="M16" s="8"/>
      <c r="N16" s="8" t="s">
        <v>1022</v>
      </c>
      <c r="O16" s="8" t="s">
        <v>1022</v>
      </c>
      <c r="P16" s="8" t="s">
        <v>1022</v>
      </c>
      <c r="Q16" s="8" t="s">
        <v>1022</v>
      </c>
      <c r="R16" s="8" t="s">
        <v>1022</v>
      </c>
      <c r="S16" s="8" t="s">
        <v>1022</v>
      </c>
      <c r="T16" s="8" t="s">
        <v>1022</v>
      </c>
      <c r="U16" s="8" t="s">
        <v>1022</v>
      </c>
      <c r="V16" s="8" t="s">
        <v>1022</v>
      </c>
      <c r="W16" s="8" t="s">
        <v>1022</v>
      </c>
      <c r="X16" s="8" t="s">
        <v>1022</v>
      </c>
      <c r="Y16" s="8" t="s">
        <v>1022</v>
      </c>
      <c r="Z16" s="8" t="s">
        <v>1022</v>
      </c>
      <c r="AA16" s="8" t="s">
        <v>1022</v>
      </c>
      <c r="AB16" s="8" t="s">
        <v>1022</v>
      </c>
      <c r="AC16" s="8" t="s">
        <v>1022</v>
      </c>
      <c r="AD16" s="8" t="s">
        <v>1022</v>
      </c>
      <c r="AE16" s="8" t="s">
        <v>1022</v>
      </c>
      <c r="AF16" s="8" t="s">
        <v>1022</v>
      </c>
      <c r="AG16" s="41">
        <f t="shared" ref="AG16:AG22" si="6">COUNTA(B16:AF16)</f>
        <v>24</v>
      </c>
      <c r="AH16" s="42">
        <f>AG16*100/30</f>
        <v>80</v>
      </c>
      <c r="AM16" s="20"/>
      <c r="AN16" s="20"/>
      <c r="AO16" s="56"/>
      <c r="AP16" s="56"/>
      <c r="AQ16" s="20"/>
      <c r="AR16" s="20"/>
    </row>
    <row r="17" spans="1:50" x14ac:dyDescent="0.35">
      <c r="A17" s="7" t="s">
        <v>39</v>
      </c>
      <c r="B17" s="55" t="s">
        <v>503</v>
      </c>
      <c r="C17" s="55" t="s">
        <v>503</v>
      </c>
      <c r="D17" s="55" t="s">
        <v>503</v>
      </c>
      <c r="E17" s="55" t="s">
        <v>503</v>
      </c>
      <c r="F17" s="55" t="s">
        <v>503</v>
      </c>
      <c r="G17" s="55" t="s">
        <v>503</v>
      </c>
      <c r="H17" s="55" t="s">
        <v>503</v>
      </c>
      <c r="I17" s="55" t="s">
        <v>503</v>
      </c>
      <c r="J17" s="55" t="s">
        <v>503</v>
      </c>
      <c r="K17" s="55" t="s">
        <v>503</v>
      </c>
      <c r="L17" s="55" t="s">
        <v>503</v>
      </c>
      <c r="M17" s="55" t="s">
        <v>503</v>
      </c>
      <c r="N17" s="55" t="s">
        <v>503</v>
      </c>
      <c r="O17" s="55" t="s">
        <v>503</v>
      </c>
      <c r="P17" s="55" t="s">
        <v>503</v>
      </c>
      <c r="Q17" s="55" t="s">
        <v>503</v>
      </c>
      <c r="R17" s="55" t="s">
        <v>503</v>
      </c>
      <c r="S17" s="55" t="s">
        <v>503</v>
      </c>
      <c r="T17" s="55" t="s">
        <v>503</v>
      </c>
      <c r="U17" s="55" t="s">
        <v>503</v>
      </c>
      <c r="V17" s="55" t="s">
        <v>503</v>
      </c>
      <c r="W17" s="55" t="s">
        <v>503</v>
      </c>
      <c r="X17" s="55" t="s">
        <v>503</v>
      </c>
      <c r="Y17" s="55" t="s">
        <v>503</v>
      </c>
      <c r="Z17" s="55" t="s">
        <v>503</v>
      </c>
      <c r="AA17" s="55" t="s">
        <v>503</v>
      </c>
      <c r="AB17" s="55" t="s">
        <v>503</v>
      </c>
      <c r="AC17" s="55" t="s">
        <v>503</v>
      </c>
      <c r="AD17" s="55" t="s">
        <v>503</v>
      </c>
      <c r="AE17" s="55" t="s">
        <v>503</v>
      </c>
      <c r="AF17" s="55" t="s">
        <v>503</v>
      </c>
      <c r="AG17" s="41">
        <f t="shared" si="6"/>
        <v>31</v>
      </c>
      <c r="AH17" s="42">
        <f t="shared" ref="AH17:AH22" si="7">AG17*100/30</f>
        <v>103.33333333333333</v>
      </c>
      <c r="AM17" s="20"/>
      <c r="AN17" s="20"/>
      <c r="AO17" s="20"/>
      <c r="AP17" s="20"/>
      <c r="AQ17" s="20"/>
      <c r="AR17" s="20"/>
      <c r="AX17" s="58"/>
    </row>
    <row r="18" spans="1:50" x14ac:dyDescent="0.35">
      <c r="A18" s="7" t="s">
        <v>42</v>
      </c>
      <c r="B18" s="8"/>
      <c r="C18" s="8"/>
      <c r="D18" s="8" t="s">
        <v>327</v>
      </c>
      <c r="E18" s="8" t="s">
        <v>327</v>
      </c>
      <c r="F18" s="8"/>
      <c r="G18" s="26"/>
      <c r="H18" s="8"/>
      <c r="I18" s="8"/>
      <c r="J18" s="8"/>
      <c r="K18" s="8"/>
      <c r="L18" s="8"/>
      <c r="M18" s="8"/>
      <c r="N18" s="8" t="s">
        <v>1022</v>
      </c>
      <c r="O18" s="8" t="s">
        <v>1022</v>
      </c>
      <c r="P18" s="8" t="s">
        <v>1022</v>
      </c>
      <c r="Q18" s="8" t="s">
        <v>1022</v>
      </c>
      <c r="R18" s="8" t="s">
        <v>1022</v>
      </c>
      <c r="S18" s="8" t="s">
        <v>1022</v>
      </c>
      <c r="T18" s="8" t="s">
        <v>1022</v>
      </c>
      <c r="U18" s="8" t="s">
        <v>1022</v>
      </c>
      <c r="V18" s="8" t="s">
        <v>1022</v>
      </c>
      <c r="W18" s="8" t="s">
        <v>1022</v>
      </c>
      <c r="X18" s="8" t="s">
        <v>1022</v>
      </c>
      <c r="Y18" s="8" t="s">
        <v>1022</v>
      </c>
      <c r="Z18" s="8" t="s">
        <v>1022</v>
      </c>
      <c r="AA18" s="8" t="s">
        <v>1022</v>
      </c>
      <c r="AB18" s="8" t="s">
        <v>1022</v>
      </c>
      <c r="AC18" s="8" t="s">
        <v>1022</v>
      </c>
      <c r="AD18" s="8" t="s">
        <v>1022</v>
      </c>
      <c r="AE18" s="8" t="s">
        <v>1022</v>
      </c>
      <c r="AF18" s="8" t="s">
        <v>1022</v>
      </c>
      <c r="AG18" s="41">
        <f t="shared" si="6"/>
        <v>21</v>
      </c>
      <c r="AH18" s="42">
        <f t="shared" si="7"/>
        <v>70</v>
      </c>
      <c r="AM18" s="20"/>
      <c r="AN18" s="20"/>
      <c r="AO18" s="20"/>
      <c r="AP18" s="20"/>
      <c r="AQ18" s="20"/>
      <c r="AR18" s="20"/>
      <c r="AX18" s="58"/>
    </row>
    <row r="19" spans="1:50" x14ac:dyDescent="0.35">
      <c r="A19" s="7" t="s">
        <v>45</v>
      </c>
      <c r="B19" s="8"/>
      <c r="C19" s="8"/>
      <c r="D19" s="8" t="s">
        <v>327</v>
      </c>
      <c r="E19" s="8" t="s">
        <v>327</v>
      </c>
      <c r="F19" s="55" t="s">
        <v>1019</v>
      </c>
      <c r="G19" s="55" t="s">
        <v>1019</v>
      </c>
      <c r="H19" s="8"/>
      <c r="I19" s="8"/>
      <c r="J19" s="8"/>
      <c r="K19" s="8"/>
      <c r="L19" s="8"/>
      <c r="M19" s="8"/>
      <c r="N19" s="8" t="s">
        <v>1017</v>
      </c>
      <c r="O19" s="8" t="s">
        <v>1017</v>
      </c>
      <c r="P19" s="8" t="s">
        <v>1017</v>
      </c>
      <c r="Q19" s="8" t="s">
        <v>1017</v>
      </c>
      <c r="R19" s="26"/>
      <c r="S19" s="8" t="s">
        <v>1024</v>
      </c>
      <c r="T19" s="8" t="s">
        <v>1024</v>
      </c>
      <c r="U19" s="8" t="s">
        <v>1024</v>
      </c>
      <c r="V19" s="8" t="s">
        <v>1024</v>
      </c>
      <c r="W19" s="8" t="s">
        <v>1024</v>
      </c>
      <c r="X19" s="8" t="s">
        <v>1024</v>
      </c>
      <c r="Y19" s="8" t="s">
        <v>1024</v>
      </c>
      <c r="Z19" s="8" t="s">
        <v>1024</v>
      </c>
      <c r="AA19" s="55" t="s">
        <v>682</v>
      </c>
      <c r="AB19" s="55" t="s">
        <v>682</v>
      </c>
      <c r="AC19" s="55" t="s">
        <v>682</v>
      </c>
      <c r="AD19" s="55" t="s">
        <v>682</v>
      </c>
      <c r="AE19" s="88"/>
      <c r="AF19" s="8"/>
      <c r="AG19" s="41">
        <f t="shared" si="6"/>
        <v>20</v>
      </c>
      <c r="AH19" s="42">
        <f t="shared" si="7"/>
        <v>66.666666666666671</v>
      </c>
      <c r="AM19" s="20"/>
      <c r="AN19" s="20"/>
      <c r="AO19" s="20"/>
      <c r="AP19" s="20"/>
      <c r="AQ19" s="20"/>
      <c r="AR19" s="20"/>
      <c r="AX19" s="58"/>
    </row>
    <row r="20" spans="1:50" x14ac:dyDescent="0.35">
      <c r="A20" s="7" t="s">
        <v>47</v>
      </c>
      <c r="B20" s="8"/>
      <c r="C20" s="8"/>
      <c r="D20" s="8" t="s">
        <v>1020</v>
      </c>
      <c r="E20" s="8" t="s">
        <v>1020</v>
      </c>
      <c r="F20" s="8" t="s">
        <v>1020</v>
      </c>
      <c r="G20" s="8" t="s">
        <v>1020</v>
      </c>
      <c r="H20" s="8"/>
      <c r="I20" s="8"/>
      <c r="J20" s="8"/>
      <c r="K20" s="8"/>
      <c r="L20" s="8"/>
      <c r="M20" s="8"/>
      <c r="N20" s="55" t="s">
        <v>1016</v>
      </c>
      <c r="O20" s="55" t="s">
        <v>1016</v>
      </c>
      <c r="P20" s="55" t="s">
        <v>1016</v>
      </c>
      <c r="Q20" s="55" t="s">
        <v>1016</v>
      </c>
      <c r="R20" s="68"/>
      <c r="S20" s="8" t="s">
        <v>1025</v>
      </c>
      <c r="T20" s="8" t="s">
        <v>1025</v>
      </c>
      <c r="U20" s="8" t="s">
        <v>1025</v>
      </c>
      <c r="V20" s="8" t="s">
        <v>1025</v>
      </c>
      <c r="W20" s="26"/>
      <c r="X20" s="26"/>
      <c r="Y20" s="26"/>
      <c r="Z20" s="8" t="s">
        <v>25</v>
      </c>
      <c r="AA20" s="55" t="s">
        <v>682</v>
      </c>
      <c r="AB20" s="55" t="s">
        <v>682</v>
      </c>
      <c r="AC20" s="55" t="s">
        <v>682</v>
      </c>
      <c r="AD20" s="55" t="s">
        <v>682</v>
      </c>
      <c r="AE20" s="88"/>
      <c r="AF20" s="8"/>
      <c r="AG20" s="41">
        <f t="shared" si="6"/>
        <v>17</v>
      </c>
      <c r="AH20" s="42">
        <f t="shared" si="7"/>
        <v>56.666666666666664</v>
      </c>
      <c r="AM20" s="20"/>
      <c r="AN20" s="20"/>
      <c r="AO20" s="20"/>
      <c r="AP20" s="20"/>
      <c r="AQ20" s="20"/>
      <c r="AR20" s="20"/>
      <c r="AX20" s="58"/>
    </row>
    <row r="21" spans="1:50" x14ac:dyDescent="0.35">
      <c r="A21" s="7" t="s">
        <v>50</v>
      </c>
      <c r="B21" s="55" t="s">
        <v>609</v>
      </c>
      <c r="C21" s="55" t="s">
        <v>609</v>
      </c>
      <c r="D21" s="55" t="s">
        <v>609</v>
      </c>
      <c r="E21" s="55" t="s">
        <v>609</v>
      </c>
      <c r="F21" s="55" t="s">
        <v>609</v>
      </c>
      <c r="G21" s="55" t="s">
        <v>609</v>
      </c>
      <c r="H21" s="55" t="s">
        <v>609</v>
      </c>
      <c r="I21" s="55" t="s">
        <v>609</v>
      </c>
      <c r="J21" s="55" t="s">
        <v>609</v>
      </c>
      <c r="K21" s="55" t="s">
        <v>609</v>
      </c>
      <c r="L21" s="55" t="s">
        <v>609</v>
      </c>
      <c r="M21" s="55" t="s">
        <v>609</v>
      </c>
      <c r="N21" s="55" t="s">
        <v>609</v>
      </c>
      <c r="O21" s="55" t="s">
        <v>609</v>
      </c>
      <c r="P21" s="55" t="s">
        <v>609</v>
      </c>
      <c r="Q21" s="55" t="s">
        <v>609</v>
      </c>
      <c r="R21" s="55" t="s">
        <v>609</v>
      </c>
      <c r="S21" s="55" t="s">
        <v>609</v>
      </c>
      <c r="T21" s="55" t="s">
        <v>609</v>
      </c>
      <c r="U21" s="55" t="s">
        <v>609</v>
      </c>
      <c r="V21" s="55" t="s">
        <v>609</v>
      </c>
      <c r="W21" s="55" t="s">
        <v>609</v>
      </c>
      <c r="X21" s="55" t="s">
        <v>609</v>
      </c>
      <c r="Y21" s="55" t="s">
        <v>609</v>
      </c>
      <c r="Z21" s="55" t="s">
        <v>609</v>
      </c>
      <c r="AA21" s="55" t="s">
        <v>609</v>
      </c>
      <c r="AB21" s="55" t="s">
        <v>609</v>
      </c>
      <c r="AC21" s="55" t="s">
        <v>609</v>
      </c>
      <c r="AD21" s="55" t="s">
        <v>609</v>
      </c>
      <c r="AE21" s="55" t="s">
        <v>609</v>
      </c>
      <c r="AF21" s="55" t="s">
        <v>609</v>
      </c>
      <c r="AG21" s="41">
        <f t="shared" si="6"/>
        <v>31</v>
      </c>
      <c r="AH21" s="42">
        <f t="shared" si="7"/>
        <v>103.33333333333333</v>
      </c>
      <c r="AM21" s="20"/>
      <c r="AN21" s="20"/>
      <c r="AO21" s="20"/>
      <c r="AP21" s="20"/>
      <c r="AQ21" s="20"/>
      <c r="AR21" s="20"/>
      <c r="AX21" s="58"/>
    </row>
    <row r="22" spans="1:50" ht="15" thickBot="1" x14ac:dyDescent="0.4">
      <c r="A22" s="7" t="s">
        <v>51</v>
      </c>
      <c r="B22" s="8" t="s">
        <v>1000</v>
      </c>
      <c r="C22" s="8" t="s">
        <v>1000</v>
      </c>
      <c r="D22" s="8" t="s">
        <v>1000</v>
      </c>
      <c r="E22" s="8" t="s">
        <v>1000</v>
      </c>
      <c r="F22" s="8" t="s">
        <v>1000</v>
      </c>
      <c r="G22" s="8" t="s">
        <v>1000</v>
      </c>
      <c r="H22" s="8" t="s">
        <v>1000</v>
      </c>
      <c r="I22" s="8" t="s">
        <v>1000</v>
      </c>
      <c r="J22" s="8" t="s">
        <v>1000</v>
      </c>
      <c r="K22" s="8" t="s">
        <v>1000</v>
      </c>
      <c r="L22" s="8" t="s">
        <v>1000</v>
      </c>
      <c r="M22" s="8" t="s">
        <v>1000</v>
      </c>
      <c r="N22" s="8" t="s">
        <v>1000</v>
      </c>
      <c r="O22" s="8" t="s">
        <v>1000</v>
      </c>
      <c r="P22" s="8" t="s">
        <v>1000</v>
      </c>
      <c r="Q22" s="8" t="s">
        <v>1000</v>
      </c>
      <c r="R22" s="8" t="s">
        <v>1000</v>
      </c>
      <c r="S22" s="8" t="s">
        <v>1000</v>
      </c>
      <c r="T22" s="8" t="s">
        <v>1000</v>
      </c>
      <c r="U22" s="8" t="s">
        <v>1000</v>
      </c>
      <c r="V22" s="8" t="s">
        <v>1000</v>
      </c>
      <c r="W22" s="8" t="s">
        <v>1000</v>
      </c>
      <c r="X22" s="8" t="s">
        <v>1000</v>
      </c>
      <c r="Y22" s="8" t="s">
        <v>1000</v>
      </c>
      <c r="Z22" s="8" t="s">
        <v>1000</v>
      </c>
      <c r="AA22" s="82"/>
      <c r="AB22" s="8"/>
      <c r="AC22" s="55" t="s">
        <v>1027</v>
      </c>
      <c r="AD22" s="8" t="s">
        <v>1028</v>
      </c>
      <c r="AE22" s="82"/>
      <c r="AF22" s="8"/>
      <c r="AG22" s="41">
        <f t="shared" si="6"/>
        <v>27</v>
      </c>
      <c r="AH22" s="42">
        <f t="shared" si="7"/>
        <v>90</v>
      </c>
      <c r="AX22" s="58"/>
    </row>
    <row r="23" spans="1:50" ht="15.5" x14ac:dyDescent="0.35">
      <c r="A23" s="45" t="s">
        <v>176</v>
      </c>
      <c r="B23" s="46">
        <f>COUNTA(B15:B22)</f>
        <v>5</v>
      </c>
      <c r="C23" s="46">
        <f>COUNTA(C16:C22)</f>
        <v>4</v>
      </c>
      <c r="D23" s="46">
        <f>COUNTA(D16:D22)</f>
        <v>7</v>
      </c>
      <c r="E23" s="46">
        <f t="shared" ref="E23:AF23" si="8">COUNTA(E15:E22)</f>
        <v>8</v>
      </c>
      <c r="F23" s="46">
        <f t="shared" si="8"/>
        <v>7</v>
      </c>
      <c r="G23" s="46">
        <f t="shared" si="8"/>
        <v>6</v>
      </c>
      <c r="H23" s="46">
        <f t="shared" si="8"/>
        <v>4</v>
      </c>
      <c r="I23" s="46">
        <f t="shared" si="8"/>
        <v>4</v>
      </c>
      <c r="J23" s="46">
        <f t="shared" si="8"/>
        <v>4</v>
      </c>
      <c r="K23" s="46">
        <f t="shared" si="8"/>
        <v>4</v>
      </c>
      <c r="L23" s="46">
        <f t="shared" si="8"/>
        <v>4</v>
      </c>
      <c r="M23" s="46">
        <f t="shared" si="8"/>
        <v>4</v>
      </c>
      <c r="N23" s="46">
        <f t="shared" si="8"/>
        <v>8</v>
      </c>
      <c r="O23" s="46">
        <f t="shared" si="8"/>
        <v>8</v>
      </c>
      <c r="P23" s="46">
        <f t="shared" si="8"/>
        <v>8</v>
      </c>
      <c r="Q23" s="46">
        <f t="shared" si="8"/>
        <v>8</v>
      </c>
      <c r="R23" s="46">
        <f t="shared" si="8"/>
        <v>6</v>
      </c>
      <c r="S23" s="46">
        <f t="shared" si="8"/>
        <v>7</v>
      </c>
      <c r="T23" s="46">
        <f>COUNTA(T15:T22)</f>
        <v>7</v>
      </c>
      <c r="U23" s="46">
        <f t="shared" si="8"/>
        <v>7</v>
      </c>
      <c r="V23" s="46">
        <f t="shared" si="8"/>
        <v>8</v>
      </c>
      <c r="W23" s="46">
        <f t="shared" si="8"/>
        <v>7</v>
      </c>
      <c r="X23" s="46">
        <f t="shared" si="8"/>
        <v>7</v>
      </c>
      <c r="Y23" s="46">
        <f t="shared" si="8"/>
        <v>7</v>
      </c>
      <c r="Z23" s="46">
        <f t="shared" si="8"/>
        <v>8</v>
      </c>
      <c r="AA23" s="46">
        <f t="shared" si="8"/>
        <v>6</v>
      </c>
      <c r="AB23" s="46">
        <f t="shared" si="8"/>
        <v>6</v>
      </c>
      <c r="AC23" s="46">
        <f t="shared" si="8"/>
        <v>8</v>
      </c>
      <c r="AD23" s="46">
        <f t="shared" si="8"/>
        <v>8</v>
      </c>
      <c r="AE23" s="46">
        <f t="shared" si="8"/>
        <v>5</v>
      </c>
      <c r="AF23" s="46">
        <f t="shared" si="8"/>
        <v>5</v>
      </c>
      <c r="AG23" s="43">
        <f>SUM(AG15:AG22)</f>
        <v>197</v>
      </c>
      <c r="AH23" s="42">
        <f>AG23*100/30</f>
        <v>656.66666666666663</v>
      </c>
      <c r="AX23" s="58"/>
    </row>
    <row r="24" spans="1:50" ht="15.5" x14ac:dyDescent="0.35">
      <c r="A24" s="47" t="s">
        <v>178</v>
      </c>
      <c r="B24" s="52">
        <f>B12+B23</f>
        <v>10</v>
      </c>
      <c r="C24" s="52">
        <f t="shared" ref="C24:AF24" si="9">C12+C23</f>
        <v>9</v>
      </c>
      <c r="D24" s="52">
        <f t="shared" si="9"/>
        <v>13</v>
      </c>
      <c r="E24" s="52">
        <f t="shared" si="9"/>
        <v>14</v>
      </c>
      <c r="F24" s="52">
        <f t="shared" si="9"/>
        <v>12</v>
      </c>
      <c r="G24" s="52">
        <f t="shared" si="9"/>
        <v>12</v>
      </c>
      <c r="H24" s="52">
        <f t="shared" si="9"/>
        <v>10</v>
      </c>
      <c r="I24" s="52">
        <f t="shared" si="9"/>
        <v>10</v>
      </c>
      <c r="J24" s="52">
        <f t="shared" si="9"/>
        <v>10</v>
      </c>
      <c r="K24" s="52">
        <f t="shared" si="9"/>
        <v>10</v>
      </c>
      <c r="L24" s="52">
        <f t="shared" si="9"/>
        <v>9</v>
      </c>
      <c r="M24" s="52">
        <f t="shared" si="9"/>
        <v>9</v>
      </c>
      <c r="N24" s="52">
        <f t="shared" si="9"/>
        <v>14</v>
      </c>
      <c r="O24" s="52">
        <f t="shared" si="9"/>
        <v>14</v>
      </c>
      <c r="P24" s="52">
        <f t="shared" si="9"/>
        <v>14</v>
      </c>
      <c r="Q24" s="52">
        <f t="shared" si="9"/>
        <v>13</v>
      </c>
      <c r="R24" s="52">
        <f t="shared" si="9"/>
        <v>11</v>
      </c>
      <c r="S24" s="52">
        <f t="shared" si="9"/>
        <v>11</v>
      </c>
      <c r="T24" s="52">
        <f t="shared" si="9"/>
        <v>12</v>
      </c>
      <c r="U24" s="52">
        <f t="shared" si="9"/>
        <v>12</v>
      </c>
      <c r="V24" s="52">
        <f t="shared" si="9"/>
        <v>14</v>
      </c>
      <c r="W24" s="52">
        <f t="shared" si="9"/>
        <v>13</v>
      </c>
      <c r="X24" s="52">
        <f t="shared" si="9"/>
        <v>13</v>
      </c>
      <c r="Y24" s="52">
        <f t="shared" si="9"/>
        <v>13</v>
      </c>
      <c r="Z24" s="52">
        <f t="shared" si="9"/>
        <v>12</v>
      </c>
      <c r="AA24" s="52">
        <f t="shared" si="9"/>
        <v>11</v>
      </c>
      <c r="AB24" s="52">
        <f t="shared" si="9"/>
        <v>10</v>
      </c>
      <c r="AC24" s="52">
        <f t="shared" si="9"/>
        <v>14</v>
      </c>
      <c r="AD24" s="52">
        <f t="shared" si="9"/>
        <v>14</v>
      </c>
      <c r="AE24" s="52">
        <f t="shared" si="9"/>
        <v>10</v>
      </c>
      <c r="AF24" s="52">
        <f t="shared" si="9"/>
        <v>10</v>
      </c>
      <c r="AG24" s="49">
        <f>+AG12+AG23</f>
        <v>365</v>
      </c>
      <c r="AX24" s="58"/>
    </row>
    <row r="25" spans="1:50" ht="15.5" x14ac:dyDescent="0.35">
      <c r="A25" s="48" t="s">
        <v>179</v>
      </c>
      <c r="B25" s="42">
        <f>B24*100/15</f>
        <v>66.666666666666671</v>
      </c>
      <c r="C25" s="42">
        <f t="shared" ref="C25:AF25" si="10">C24*100/15</f>
        <v>60</v>
      </c>
      <c r="D25" s="42">
        <f t="shared" si="10"/>
        <v>86.666666666666671</v>
      </c>
      <c r="E25" s="42">
        <f t="shared" si="10"/>
        <v>93.333333333333329</v>
      </c>
      <c r="F25" s="42">
        <f t="shared" si="10"/>
        <v>80</v>
      </c>
      <c r="G25" s="42">
        <f t="shared" si="10"/>
        <v>80</v>
      </c>
      <c r="H25" s="42">
        <f t="shared" si="10"/>
        <v>66.666666666666671</v>
      </c>
      <c r="I25" s="42">
        <f t="shared" si="10"/>
        <v>66.666666666666671</v>
      </c>
      <c r="J25" s="42">
        <f t="shared" si="10"/>
        <v>66.666666666666671</v>
      </c>
      <c r="K25" s="42">
        <f t="shared" si="10"/>
        <v>66.666666666666671</v>
      </c>
      <c r="L25" s="42">
        <f t="shared" si="10"/>
        <v>60</v>
      </c>
      <c r="M25" s="42">
        <f t="shared" si="10"/>
        <v>60</v>
      </c>
      <c r="N25" s="42">
        <f t="shared" si="10"/>
        <v>93.333333333333329</v>
      </c>
      <c r="O25" s="42">
        <f t="shared" si="10"/>
        <v>93.333333333333329</v>
      </c>
      <c r="P25" s="42">
        <f t="shared" si="10"/>
        <v>93.333333333333329</v>
      </c>
      <c r="Q25" s="42">
        <f t="shared" si="10"/>
        <v>86.666666666666671</v>
      </c>
      <c r="R25" s="42">
        <f t="shared" si="10"/>
        <v>73.333333333333329</v>
      </c>
      <c r="S25" s="42">
        <f t="shared" si="10"/>
        <v>73.333333333333329</v>
      </c>
      <c r="T25" s="42">
        <f t="shared" si="10"/>
        <v>80</v>
      </c>
      <c r="U25" s="42">
        <f t="shared" si="10"/>
        <v>80</v>
      </c>
      <c r="V25" s="42">
        <f t="shared" si="10"/>
        <v>93.333333333333329</v>
      </c>
      <c r="W25" s="42">
        <f t="shared" si="10"/>
        <v>86.666666666666671</v>
      </c>
      <c r="X25" s="42">
        <f t="shared" si="10"/>
        <v>86.666666666666671</v>
      </c>
      <c r="Y25" s="42">
        <f t="shared" si="10"/>
        <v>86.666666666666671</v>
      </c>
      <c r="Z25" s="42">
        <f t="shared" si="10"/>
        <v>80</v>
      </c>
      <c r="AA25" s="42">
        <f t="shared" si="10"/>
        <v>73.333333333333329</v>
      </c>
      <c r="AB25" s="42">
        <f t="shared" si="10"/>
        <v>66.666666666666671</v>
      </c>
      <c r="AC25" s="42">
        <f t="shared" si="10"/>
        <v>93.333333333333329</v>
      </c>
      <c r="AD25" s="42">
        <f t="shared" si="10"/>
        <v>93.333333333333329</v>
      </c>
      <c r="AE25" s="42">
        <f t="shared" si="10"/>
        <v>66.666666666666671</v>
      </c>
      <c r="AF25" s="42">
        <f t="shared" si="10"/>
        <v>66.666666666666671</v>
      </c>
      <c r="AG25" s="50">
        <f>AVERAGE(B25:AE25)</f>
        <v>78.444444444444443</v>
      </c>
      <c r="AH25" s="51" t="s">
        <v>180</v>
      </c>
      <c r="AX25" s="58"/>
    </row>
    <row r="26" spans="1:50" x14ac:dyDescent="0.35">
      <c r="AX26" s="58"/>
    </row>
    <row r="27" spans="1:50" ht="41.5" customHeight="1" x14ac:dyDescent="0.35"/>
    <row r="30" spans="1:50" x14ac:dyDescent="0.35">
      <c r="F30" s="131"/>
      <c r="G30" s="131"/>
      <c r="H30" s="131"/>
    </row>
    <row r="31" spans="1:50" x14ac:dyDescent="0.35">
      <c r="C31" s="92"/>
    </row>
    <row r="32" spans="1:50" x14ac:dyDescent="0.35">
      <c r="C32" s="92"/>
    </row>
    <row r="33" spans="3:3" x14ac:dyDescent="0.35">
      <c r="C33" s="93"/>
    </row>
    <row r="34" spans="3:3" x14ac:dyDescent="0.35">
      <c r="C34" s="93"/>
    </row>
    <row r="35" spans="3:3" x14ac:dyDescent="0.35">
      <c r="C35" s="92"/>
    </row>
    <row r="36" spans="3:3" x14ac:dyDescent="0.35">
      <c r="C36" s="92"/>
    </row>
    <row r="37" spans="3:3" x14ac:dyDescent="0.35">
      <c r="C37" s="92"/>
    </row>
    <row r="38" spans="3:3" x14ac:dyDescent="0.35">
      <c r="C38" s="92"/>
    </row>
    <row r="39" spans="3:3" x14ac:dyDescent="0.35">
      <c r="C39" s="92"/>
    </row>
    <row r="40" spans="3:3" x14ac:dyDescent="0.35">
      <c r="C40" s="92"/>
    </row>
    <row r="41" spans="3:3" x14ac:dyDescent="0.35">
      <c r="C41" s="92"/>
    </row>
    <row r="42" spans="3:3" x14ac:dyDescent="0.35">
      <c r="C42" s="92"/>
    </row>
    <row r="43" spans="3:3" x14ac:dyDescent="0.35">
      <c r="C43" s="92"/>
    </row>
  </sheetData>
  <mergeCells count="3">
    <mergeCell ref="A1:AE1"/>
    <mergeCell ref="AM3:AR3"/>
    <mergeCell ref="F30:H30"/>
  </mergeCells>
  <conditionalFormatting sqref="B11:F11">
    <cfRule type="colorScale" priority="1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6:F16">
    <cfRule type="colorScale" priority="1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8:J18 B20:L20 B19:E19">
    <cfRule type="colorScale" priority="2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7:R7">
    <cfRule type="colorScale" priority="19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9:R9">
    <cfRule type="colorScale" priority="1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5:R15">
    <cfRule type="colorScale" priority="1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8:AA8">
    <cfRule type="colorScale" priority="18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22:AA22">
    <cfRule type="colorScale" priority="1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6:AF6">
    <cfRule type="colorScale" priority="20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7:AF17">
    <cfRule type="colorScale" priority="1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21:AF21">
    <cfRule type="colorScale" priority="1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F19:G19">
    <cfRule type="colorScale" priority="9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K18:L18 M20 S15:U15 S20:Z20 H19:Z19 AB22 AB15 AD22:AE22 G16:AF16">
    <cfRule type="colorScale" priority="2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L13:U14 B13:I14 X13:AH14">
    <cfRule type="colorScale" priority="3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M18">
    <cfRule type="colorScale" priority="8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N20:R20">
    <cfRule type="colorScale" priority="10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N18:AF18">
    <cfRule type="colorScale" priority="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S9:V10 B5:AF5 S7:AD7 AB8:AD8 G11:AF11 W9:AD9 AE7:AE9 B10:AE10 AF7:AF10">
    <cfRule type="colorScale" priority="3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V15:AA15">
    <cfRule type="colorScale" priority="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A19:AE19">
    <cfRule type="colorScale" priority="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A20:AE20">
    <cfRule type="colorScale" priority="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C15">
    <cfRule type="colorScale" priority="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C22">
    <cfRule type="colorScale" priority="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D15:AF15">
    <cfRule type="colorScale" priority="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F19:AF20 AF22">
    <cfRule type="colorScale" priority="30">
      <colorScale>
        <cfvo type="num" val="1"/>
        <cfvo type="max"/>
        <color theme="4" tint="0.59999389629810485"/>
        <color theme="5" tint="0.59999389629810485"/>
      </colorScale>
    </cfRule>
  </conditionalFormatting>
  <pageMargins left="0.2" right="0.45" top="0.75" bottom="0.75" header="0.3" footer="0.3"/>
  <pageSetup scale="90"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E5BE0-ECB6-426C-BCB9-922FBBD0B414}">
  <dimension ref="A1:AX43"/>
  <sheetViews>
    <sheetView zoomScale="90" zoomScaleNormal="100" workbookViewId="0">
      <pane xSplit="1" ySplit="4" topLeftCell="K5" activePane="bottomRight" state="frozen"/>
      <selection pane="topRight" activeCell="B1" sqref="B1"/>
      <selection pane="bottomLeft" activeCell="A5" sqref="A5"/>
      <selection pane="bottomRight" activeCell="AD21" sqref="AD21"/>
    </sheetView>
  </sheetViews>
  <sheetFormatPr defaultRowHeight="14.5" x14ac:dyDescent="0.35"/>
  <cols>
    <col min="1" max="1" width="43.7265625" customWidth="1"/>
    <col min="2" max="2" width="11.81640625" hidden="1" customWidth="1"/>
    <col min="3" max="3" width="10.54296875" hidden="1" customWidth="1"/>
    <col min="4" max="4" width="11.1796875" hidden="1" customWidth="1"/>
    <col min="5" max="5" width="12.26953125" hidden="1" customWidth="1"/>
    <col min="6" max="6" width="13.453125" hidden="1" customWidth="1"/>
    <col min="7" max="7" width="13.453125" bestFit="1" customWidth="1"/>
    <col min="8" max="8" width="17.453125" customWidth="1"/>
    <col min="9" max="10" width="13.453125" bestFit="1" customWidth="1"/>
    <col min="11" max="11" width="13.453125" hidden="1" customWidth="1"/>
    <col min="12" max="12" width="15.26953125" hidden="1" customWidth="1"/>
    <col min="13" max="13" width="15.81640625" hidden="1" customWidth="1"/>
    <col min="14" max="17" width="11.81640625" hidden="1" customWidth="1"/>
    <col min="18" max="18" width="12.81640625" hidden="1" customWidth="1"/>
    <col min="19" max="20" width="12.81640625" bestFit="1" customWidth="1"/>
    <col min="21" max="21" width="11.81640625" bestFit="1" customWidth="1"/>
    <col min="22" max="31" width="12.81640625" bestFit="1" customWidth="1"/>
    <col min="32" max="32" width="5" hidden="1" customWidth="1"/>
    <col min="33" max="33" width="4.7265625" bestFit="1" customWidth="1"/>
    <col min="34" max="34" width="8.453125" bestFit="1" customWidth="1"/>
    <col min="35" max="35" width="8" bestFit="1" customWidth="1"/>
    <col min="36" max="36" width="8.81640625" bestFit="1" customWidth="1"/>
    <col min="37" max="37" width="0" hidden="1" customWidth="1"/>
    <col min="38" max="38" width="3" hidden="1" customWidth="1"/>
    <col min="39" max="39" width="17.81640625" bestFit="1" customWidth="1"/>
    <col min="40" max="40" width="9.1796875" bestFit="1" customWidth="1"/>
    <col min="41" max="41" width="9.81640625" bestFit="1" customWidth="1"/>
    <col min="42" max="42" width="10.81640625" bestFit="1" customWidth="1"/>
    <col min="43" max="43" width="10.1796875" bestFit="1" customWidth="1"/>
    <col min="44" max="44" width="23.1796875" bestFit="1" customWidth="1"/>
    <col min="45" max="45" width="0.453125" hidden="1" customWidth="1"/>
    <col min="46" max="49" width="0" hidden="1" customWidth="1"/>
    <col min="51" max="51" width="15" bestFit="1" customWidth="1"/>
  </cols>
  <sheetData>
    <row r="1" spans="1:44" ht="15.5" x14ac:dyDescent="0.35">
      <c r="A1" s="120" t="s">
        <v>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65"/>
    </row>
    <row r="2" spans="1:44" ht="15" thickBot="1" x14ac:dyDescent="0.4"/>
    <row r="3" spans="1:44" ht="45.75" customHeight="1" x14ac:dyDescent="0.35">
      <c r="A3" s="1" t="s">
        <v>1</v>
      </c>
      <c r="B3" s="2">
        <f>AI4</f>
        <v>45962</v>
      </c>
      <c r="C3" s="2">
        <f t="shared" ref="C3:AF3" si="0">B3+1</f>
        <v>45963</v>
      </c>
      <c r="D3" s="2">
        <f t="shared" si="0"/>
        <v>45964</v>
      </c>
      <c r="E3" s="2">
        <f t="shared" si="0"/>
        <v>45965</v>
      </c>
      <c r="F3" s="2">
        <f t="shared" si="0"/>
        <v>45966</v>
      </c>
      <c r="G3" s="2">
        <f t="shared" si="0"/>
        <v>45967</v>
      </c>
      <c r="H3" s="2">
        <f t="shared" si="0"/>
        <v>45968</v>
      </c>
      <c r="I3" s="2">
        <f>H3+1</f>
        <v>45969</v>
      </c>
      <c r="J3" s="2">
        <f t="shared" si="0"/>
        <v>45970</v>
      </c>
      <c r="K3" s="2">
        <f t="shared" si="0"/>
        <v>45971</v>
      </c>
      <c r="L3" s="2">
        <f t="shared" si="0"/>
        <v>45972</v>
      </c>
      <c r="M3" s="2">
        <f t="shared" si="0"/>
        <v>45973</v>
      </c>
      <c r="N3" s="2">
        <f t="shared" si="0"/>
        <v>45974</v>
      </c>
      <c r="O3" s="2">
        <f t="shared" si="0"/>
        <v>45975</v>
      </c>
      <c r="P3" s="2">
        <f t="shared" si="0"/>
        <v>45976</v>
      </c>
      <c r="Q3" s="2">
        <f t="shared" si="0"/>
        <v>45977</v>
      </c>
      <c r="R3" s="2">
        <f t="shared" si="0"/>
        <v>45978</v>
      </c>
      <c r="S3" s="2">
        <f t="shared" si="0"/>
        <v>45979</v>
      </c>
      <c r="T3" s="2">
        <f t="shared" si="0"/>
        <v>45980</v>
      </c>
      <c r="U3" s="2">
        <f t="shared" si="0"/>
        <v>45981</v>
      </c>
      <c r="V3" s="2">
        <f t="shared" si="0"/>
        <v>45982</v>
      </c>
      <c r="W3" s="2">
        <f t="shared" si="0"/>
        <v>45983</v>
      </c>
      <c r="X3" s="2">
        <f t="shared" si="0"/>
        <v>45984</v>
      </c>
      <c r="Y3" s="2">
        <f t="shared" si="0"/>
        <v>45985</v>
      </c>
      <c r="Z3" s="2">
        <f t="shared" si="0"/>
        <v>45986</v>
      </c>
      <c r="AA3" s="2">
        <f t="shared" si="0"/>
        <v>45987</v>
      </c>
      <c r="AB3" s="2">
        <f t="shared" si="0"/>
        <v>45988</v>
      </c>
      <c r="AC3" s="2">
        <f t="shared" si="0"/>
        <v>45989</v>
      </c>
      <c r="AD3" s="2">
        <f t="shared" si="0"/>
        <v>45990</v>
      </c>
      <c r="AE3" s="2">
        <f t="shared" si="0"/>
        <v>45991</v>
      </c>
      <c r="AF3" s="2">
        <f t="shared" si="0"/>
        <v>45992</v>
      </c>
      <c r="AG3" s="36"/>
      <c r="AH3" s="36"/>
      <c r="AM3" s="122" t="s">
        <v>267</v>
      </c>
      <c r="AN3" s="123"/>
      <c r="AO3" s="123"/>
      <c r="AP3" s="123"/>
      <c r="AQ3" s="123"/>
      <c r="AR3" s="124"/>
    </row>
    <row r="4" spans="1:44" ht="31.5" customHeight="1" x14ac:dyDescent="0.35">
      <c r="A4" s="3" t="s">
        <v>2</v>
      </c>
      <c r="B4" s="4">
        <f t="shared" ref="B4:AF4" si="1">B3</f>
        <v>45962</v>
      </c>
      <c r="C4" s="4">
        <f t="shared" si="1"/>
        <v>45963</v>
      </c>
      <c r="D4" s="4">
        <f t="shared" si="1"/>
        <v>45964</v>
      </c>
      <c r="E4" s="4">
        <f t="shared" si="1"/>
        <v>45965</v>
      </c>
      <c r="F4" s="4">
        <f t="shared" si="1"/>
        <v>45966</v>
      </c>
      <c r="G4" s="4">
        <f t="shared" si="1"/>
        <v>45967</v>
      </c>
      <c r="H4" s="4">
        <f t="shared" si="1"/>
        <v>45968</v>
      </c>
      <c r="I4" s="4">
        <f t="shared" si="1"/>
        <v>45969</v>
      </c>
      <c r="J4" s="4">
        <f t="shared" si="1"/>
        <v>45970</v>
      </c>
      <c r="K4" s="4">
        <f t="shared" si="1"/>
        <v>45971</v>
      </c>
      <c r="L4" s="4">
        <f t="shared" si="1"/>
        <v>45972</v>
      </c>
      <c r="M4" s="4">
        <f t="shared" si="1"/>
        <v>45973</v>
      </c>
      <c r="N4" s="4">
        <f t="shared" si="1"/>
        <v>45974</v>
      </c>
      <c r="O4" s="4">
        <f t="shared" si="1"/>
        <v>45975</v>
      </c>
      <c r="P4" s="4">
        <f t="shared" si="1"/>
        <v>45976</v>
      </c>
      <c r="Q4" s="4">
        <f t="shared" si="1"/>
        <v>45977</v>
      </c>
      <c r="R4" s="4">
        <f t="shared" si="1"/>
        <v>45978</v>
      </c>
      <c r="S4" s="4">
        <f t="shared" si="1"/>
        <v>45979</v>
      </c>
      <c r="T4" s="4">
        <f t="shared" si="1"/>
        <v>45980</v>
      </c>
      <c r="U4" s="4">
        <f t="shared" si="1"/>
        <v>45981</v>
      </c>
      <c r="V4" s="4">
        <f t="shared" si="1"/>
        <v>45982</v>
      </c>
      <c r="W4" s="4">
        <f t="shared" si="1"/>
        <v>45983</v>
      </c>
      <c r="X4" s="4">
        <f t="shared" si="1"/>
        <v>45984</v>
      </c>
      <c r="Y4" s="4">
        <f t="shared" si="1"/>
        <v>45985</v>
      </c>
      <c r="Z4" s="4">
        <f t="shared" si="1"/>
        <v>45986</v>
      </c>
      <c r="AA4" s="4">
        <f t="shared" si="1"/>
        <v>45987</v>
      </c>
      <c r="AB4" s="4">
        <f t="shared" si="1"/>
        <v>45988</v>
      </c>
      <c r="AC4" s="4">
        <f t="shared" si="1"/>
        <v>45989</v>
      </c>
      <c r="AD4" s="4">
        <f t="shared" si="1"/>
        <v>45990</v>
      </c>
      <c r="AE4" s="4">
        <f t="shared" si="1"/>
        <v>45991</v>
      </c>
      <c r="AF4" s="4">
        <f t="shared" si="1"/>
        <v>45992</v>
      </c>
      <c r="AG4" s="39" t="s">
        <v>174</v>
      </c>
      <c r="AH4" s="40" t="s">
        <v>175</v>
      </c>
      <c r="AI4" s="5">
        <v>45962</v>
      </c>
      <c r="AJ4" s="6">
        <f>EOMONTH(AI4,0)</f>
        <v>45991</v>
      </c>
      <c r="AM4" s="19" t="s">
        <v>54</v>
      </c>
      <c r="AN4" s="19" t="s">
        <v>269</v>
      </c>
      <c r="AO4" s="19" t="s">
        <v>55</v>
      </c>
      <c r="AP4" s="19" t="s">
        <v>56</v>
      </c>
      <c r="AQ4" s="19" t="s">
        <v>251</v>
      </c>
      <c r="AR4" s="19" t="s">
        <v>57</v>
      </c>
    </row>
    <row r="5" spans="1:44" x14ac:dyDescent="0.35">
      <c r="A5" s="7" t="s">
        <v>3</v>
      </c>
      <c r="B5" s="55"/>
      <c r="C5" s="55"/>
      <c r="D5" s="55"/>
      <c r="E5" s="55"/>
      <c r="F5" s="80" t="s">
        <v>1033</v>
      </c>
      <c r="G5" s="80" t="s">
        <v>1033</v>
      </c>
      <c r="H5" s="80" t="s">
        <v>1033</v>
      </c>
      <c r="I5" s="80" t="s">
        <v>1033</v>
      </c>
      <c r="J5" s="80" t="s">
        <v>1033</v>
      </c>
      <c r="K5" s="55"/>
      <c r="L5" s="55" t="s">
        <v>761</v>
      </c>
      <c r="M5" s="55" t="s">
        <v>761</v>
      </c>
      <c r="N5" s="55" t="s">
        <v>761</v>
      </c>
      <c r="O5" s="55" t="s">
        <v>761</v>
      </c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41">
        <f>COUNTA(B5:AF5)</f>
        <v>9</v>
      </c>
      <c r="AH5" s="42">
        <f>AG5*100/30</f>
        <v>30</v>
      </c>
      <c r="AM5" s="20"/>
      <c r="AN5" s="56"/>
      <c r="AO5" s="56"/>
      <c r="AP5" s="56"/>
      <c r="AQ5" s="57"/>
      <c r="AR5" s="20"/>
    </row>
    <row r="6" spans="1:44" x14ac:dyDescent="0.35">
      <c r="A6" s="7" t="s">
        <v>7</v>
      </c>
      <c r="B6" s="55" t="s">
        <v>846</v>
      </c>
      <c r="C6" s="55" t="s">
        <v>846</v>
      </c>
      <c r="D6" s="55" t="s">
        <v>846</v>
      </c>
      <c r="E6" s="55" t="s">
        <v>846</v>
      </c>
      <c r="F6" s="55" t="s">
        <v>846</v>
      </c>
      <c r="G6" s="55" t="s">
        <v>846</v>
      </c>
      <c r="H6" s="55" t="s">
        <v>846</v>
      </c>
      <c r="I6" s="55" t="s">
        <v>846</v>
      </c>
      <c r="J6" s="55" t="s">
        <v>846</v>
      </c>
      <c r="K6" s="55" t="s">
        <v>846</v>
      </c>
      <c r="L6" s="55" t="s">
        <v>846</v>
      </c>
      <c r="M6" s="55" t="s">
        <v>846</v>
      </c>
      <c r="N6" s="55" t="s">
        <v>846</v>
      </c>
      <c r="O6" s="55" t="s">
        <v>846</v>
      </c>
      <c r="P6" s="55" t="s">
        <v>846</v>
      </c>
      <c r="Q6" s="55" t="s">
        <v>846</v>
      </c>
      <c r="R6" s="55" t="s">
        <v>846</v>
      </c>
      <c r="S6" s="55" t="s">
        <v>846</v>
      </c>
      <c r="T6" s="55" t="s">
        <v>846</v>
      </c>
      <c r="U6" s="55" t="s">
        <v>846</v>
      </c>
      <c r="V6" s="55" t="s">
        <v>846</v>
      </c>
      <c r="W6" s="55" t="s">
        <v>846</v>
      </c>
      <c r="X6" s="55" t="s">
        <v>846</v>
      </c>
      <c r="Y6" s="55" t="s">
        <v>846</v>
      </c>
      <c r="Z6" s="55" t="s">
        <v>846</v>
      </c>
      <c r="AA6" s="55" t="s">
        <v>846</v>
      </c>
      <c r="AB6" s="55" t="s">
        <v>846</v>
      </c>
      <c r="AC6" s="55" t="s">
        <v>846</v>
      </c>
      <c r="AD6" s="55" t="s">
        <v>846</v>
      </c>
      <c r="AE6" s="55" t="s">
        <v>846</v>
      </c>
      <c r="AF6" s="55"/>
      <c r="AG6" s="41">
        <f t="shared" ref="AG6:AG11" si="2">COUNTA(B6:AF6)</f>
        <v>30</v>
      </c>
      <c r="AH6" s="42">
        <f>AG6*100/30</f>
        <v>100</v>
      </c>
      <c r="AM6" s="20"/>
      <c r="AN6" s="56"/>
      <c r="AO6" s="56"/>
      <c r="AP6" s="56"/>
      <c r="AQ6" s="57"/>
      <c r="AR6" s="20"/>
    </row>
    <row r="7" spans="1:44" x14ac:dyDescent="0.35">
      <c r="A7" s="7" t="s">
        <v>11</v>
      </c>
      <c r="B7" s="55"/>
      <c r="C7" s="55"/>
      <c r="D7" s="68"/>
      <c r="E7" s="55"/>
      <c r="F7" s="68" t="s">
        <v>1034</v>
      </c>
      <c r="G7" s="68" t="s">
        <v>1034</v>
      </c>
      <c r="H7" s="68" t="s">
        <v>1034</v>
      </c>
      <c r="I7" s="68" t="s">
        <v>1034</v>
      </c>
      <c r="J7" s="68" t="s">
        <v>1034</v>
      </c>
      <c r="K7" s="55"/>
      <c r="L7" s="55" t="s">
        <v>493</v>
      </c>
      <c r="M7" s="55" t="s">
        <v>493</v>
      </c>
      <c r="N7" s="55" t="s">
        <v>493</v>
      </c>
      <c r="O7" s="55" t="s">
        <v>493</v>
      </c>
      <c r="P7" s="55"/>
      <c r="Q7" s="55"/>
      <c r="R7" s="55"/>
      <c r="S7" s="55"/>
      <c r="T7" s="55"/>
      <c r="U7" s="55"/>
      <c r="V7" s="55"/>
      <c r="W7" s="55"/>
      <c r="X7" s="55"/>
      <c r="Y7" s="55"/>
      <c r="Z7" s="55" t="s">
        <v>1047</v>
      </c>
      <c r="AA7" s="55"/>
      <c r="AB7" s="55"/>
      <c r="AC7" s="55"/>
      <c r="AD7" s="55"/>
      <c r="AE7" s="55"/>
      <c r="AF7" s="55"/>
      <c r="AG7" s="41">
        <f t="shared" si="2"/>
        <v>10</v>
      </c>
      <c r="AH7" s="42">
        <f t="shared" ref="AH7:AH11" si="3">AG7*100/30</f>
        <v>33.333333333333336</v>
      </c>
      <c r="AM7" s="20"/>
      <c r="AN7" s="56"/>
      <c r="AO7" s="56"/>
      <c r="AP7" s="56"/>
      <c r="AQ7" s="57"/>
      <c r="AR7" s="20"/>
    </row>
    <row r="8" spans="1:44" ht="15" customHeight="1" x14ac:dyDescent="0.35">
      <c r="A8" s="7" t="s">
        <v>15</v>
      </c>
      <c r="B8" s="55"/>
      <c r="C8" s="55"/>
      <c r="D8" s="68"/>
      <c r="E8" s="55"/>
      <c r="F8" s="68" t="s">
        <v>1038</v>
      </c>
      <c r="G8" s="68" t="s">
        <v>1038</v>
      </c>
      <c r="H8" s="68" t="s">
        <v>1038</v>
      </c>
      <c r="I8" s="68" t="s">
        <v>1038</v>
      </c>
      <c r="J8" s="68" t="s">
        <v>1038</v>
      </c>
      <c r="K8" s="55"/>
      <c r="L8" s="55" t="s">
        <v>99</v>
      </c>
      <c r="M8" s="55" t="s">
        <v>99</v>
      </c>
      <c r="N8" s="55" t="s">
        <v>99</v>
      </c>
      <c r="O8" s="55" t="s">
        <v>99</v>
      </c>
      <c r="P8" s="55"/>
      <c r="Q8" s="55"/>
      <c r="R8" s="55"/>
      <c r="S8" s="55"/>
      <c r="T8" s="55"/>
      <c r="U8" s="55"/>
      <c r="V8" s="55"/>
      <c r="W8" s="55"/>
      <c r="X8" s="55"/>
      <c r="Y8" s="55"/>
      <c r="Z8" s="55" t="s">
        <v>1047</v>
      </c>
      <c r="AA8" s="55"/>
      <c r="AB8" s="55" t="s">
        <v>524</v>
      </c>
      <c r="AC8" s="55"/>
      <c r="AD8" s="55"/>
      <c r="AE8" s="55"/>
      <c r="AF8" s="55"/>
      <c r="AG8" s="41">
        <f t="shared" si="2"/>
        <v>11</v>
      </c>
      <c r="AH8" s="42">
        <f t="shared" si="3"/>
        <v>36.666666666666664</v>
      </c>
      <c r="AK8" s="9"/>
      <c r="AM8" s="20"/>
      <c r="AN8" s="56"/>
      <c r="AO8" s="56"/>
      <c r="AP8" s="56"/>
      <c r="AQ8" s="57"/>
      <c r="AR8" s="20"/>
    </row>
    <row r="9" spans="1:44" ht="15.75" customHeight="1" x14ac:dyDescent="0.35">
      <c r="A9" s="7" t="s">
        <v>18</v>
      </c>
      <c r="B9" s="55"/>
      <c r="C9" s="55"/>
      <c r="D9" s="68"/>
      <c r="E9" s="55"/>
      <c r="F9" s="80" t="s">
        <v>95</v>
      </c>
      <c r="G9" s="80" t="s">
        <v>981</v>
      </c>
      <c r="H9" s="80" t="s">
        <v>981</v>
      </c>
      <c r="I9" s="80" t="s">
        <v>981</v>
      </c>
      <c r="J9" s="80" t="s">
        <v>981</v>
      </c>
      <c r="K9" s="55"/>
      <c r="L9" s="55" t="s">
        <v>924</v>
      </c>
      <c r="M9" s="55" t="s">
        <v>924</v>
      </c>
      <c r="N9" s="55" t="s">
        <v>924</v>
      </c>
      <c r="O9" s="55" t="s">
        <v>924</v>
      </c>
      <c r="P9" s="55"/>
      <c r="Q9" s="55"/>
      <c r="R9" s="55"/>
      <c r="S9" s="55"/>
      <c r="T9" s="55"/>
      <c r="U9" s="55"/>
      <c r="V9" s="55"/>
      <c r="W9" s="55"/>
      <c r="X9" s="55"/>
      <c r="Y9" s="55"/>
      <c r="Z9" s="55" t="s">
        <v>1047</v>
      </c>
      <c r="AA9" s="55"/>
      <c r="AB9" s="55"/>
      <c r="AC9" s="55"/>
      <c r="AD9" s="55"/>
      <c r="AE9" s="55"/>
      <c r="AF9" s="55"/>
      <c r="AG9" s="41">
        <f t="shared" si="2"/>
        <v>10</v>
      </c>
      <c r="AH9" s="42">
        <f t="shared" si="3"/>
        <v>33.333333333333336</v>
      </c>
      <c r="AM9" s="20"/>
      <c r="AN9" s="56"/>
      <c r="AO9" s="56"/>
      <c r="AP9" s="56"/>
      <c r="AQ9" s="57"/>
      <c r="AR9" s="20"/>
    </row>
    <row r="10" spans="1:44" ht="15.75" customHeight="1" x14ac:dyDescent="0.35">
      <c r="A10" s="7" t="s">
        <v>20</v>
      </c>
      <c r="B10" s="55" t="s">
        <v>1018</v>
      </c>
      <c r="C10" s="55" t="s">
        <v>1018</v>
      </c>
      <c r="D10" s="68"/>
      <c r="E10" s="55"/>
      <c r="F10" s="80" t="s">
        <v>924</v>
      </c>
      <c r="G10" s="80" t="s">
        <v>924</v>
      </c>
      <c r="H10" s="80" t="s">
        <v>924</v>
      </c>
      <c r="I10" s="80" t="s">
        <v>924</v>
      </c>
      <c r="J10" s="55" t="s">
        <v>1041</v>
      </c>
      <c r="K10" s="55" t="s">
        <v>1041</v>
      </c>
      <c r="L10" s="55" t="s">
        <v>1041</v>
      </c>
      <c r="M10" s="55" t="s">
        <v>1041</v>
      </c>
      <c r="N10" s="55" t="s">
        <v>1041</v>
      </c>
      <c r="O10" s="55" t="s">
        <v>1041</v>
      </c>
      <c r="P10" s="55"/>
      <c r="Q10" s="55" t="s">
        <v>1044</v>
      </c>
      <c r="R10" s="55" t="s">
        <v>1044</v>
      </c>
      <c r="S10" s="55" t="s">
        <v>1044</v>
      </c>
      <c r="T10" s="55" t="s">
        <v>1044</v>
      </c>
      <c r="U10" s="55" t="s">
        <v>1044</v>
      </c>
      <c r="V10" s="55"/>
      <c r="W10" s="55"/>
      <c r="X10" s="55"/>
      <c r="Y10" s="55"/>
      <c r="Z10" s="55" t="s">
        <v>1047</v>
      </c>
      <c r="AA10" s="55"/>
      <c r="AB10" s="55"/>
      <c r="AC10" s="55"/>
      <c r="AD10" s="55"/>
      <c r="AE10" s="55"/>
      <c r="AF10" s="55"/>
      <c r="AG10" s="41">
        <f t="shared" si="2"/>
        <v>18</v>
      </c>
      <c r="AH10" s="42">
        <f t="shared" si="3"/>
        <v>60</v>
      </c>
      <c r="AM10" s="20"/>
      <c r="AN10" s="56"/>
      <c r="AO10" s="56"/>
      <c r="AP10" s="56"/>
      <c r="AQ10" s="57"/>
      <c r="AR10" s="20"/>
    </row>
    <row r="11" spans="1:44" ht="15.75" customHeight="1" thickBot="1" x14ac:dyDescent="0.4">
      <c r="A11" s="7" t="s">
        <v>24</v>
      </c>
      <c r="B11" s="55"/>
      <c r="C11" s="55"/>
      <c r="D11" s="68"/>
      <c r="E11" s="55"/>
      <c r="F11" s="80" t="s">
        <v>981</v>
      </c>
      <c r="G11" s="80" t="s">
        <v>95</v>
      </c>
      <c r="H11" s="80" t="s">
        <v>95</v>
      </c>
      <c r="I11" s="80" t="s">
        <v>95</v>
      </c>
      <c r="J11" s="80" t="s">
        <v>95</v>
      </c>
      <c r="K11" s="55" t="s">
        <v>95</v>
      </c>
      <c r="L11" s="55" t="s">
        <v>95</v>
      </c>
      <c r="M11" s="55" t="s">
        <v>95</v>
      </c>
      <c r="N11" s="55" t="s">
        <v>95</v>
      </c>
      <c r="O11" s="55" t="s">
        <v>95</v>
      </c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 t="s">
        <v>1047</v>
      </c>
      <c r="AA11" s="55"/>
      <c r="AB11" s="55"/>
      <c r="AC11" s="55"/>
      <c r="AD11" s="55"/>
      <c r="AE11" s="55"/>
      <c r="AF11" s="55"/>
      <c r="AG11" s="41">
        <f t="shared" si="2"/>
        <v>11</v>
      </c>
      <c r="AH11" s="42">
        <f t="shared" si="3"/>
        <v>36.666666666666664</v>
      </c>
      <c r="AM11" s="20"/>
      <c r="AN11" s="56"/>
      <c r="AO11" s="56"/>
      <c r="AP11" s="56"/>
      <c r="AQ11" s="57"/>
      <c r="AR11" s="20"/>
    </row>
    <row r="12" spans="1:44" ht="15" customHeight="1" x14ac:dyDescent="0.35">
      <c r="A12" s="45" t="s">
        <v>176</v>
      </c>
      <c r="B12" s="46">
        <f>COUNTA(B5:B11)</f>
        <v>2</v>
      </c>
      <c r="C12" s="46">
        <f>COUNTA(C5:C11)</f>
        <v>2</v>
      </c>
      <c r="D12" s="46">
        <f t="shared" ref="D12:AF12" si="4">COUNTA(D5:D11)</f>
        <v>1</v>
      </c>
      <c r="E12" s="46">
        <f t="shared" si="4"/>
        <v>1</v>
      </c>
      <c r="F12" s="46">
        <f t="shared" si="4"/>
        <v>7</v>
      </c>
      <c r="G12" s="46">
        <f t="shared" si="4"/>
        <v>7</v>
      </c>
      <c r="H12" s="46">
        <f t="shared" si="4"/>
        <v>7</v>
      </c>
      <c r="I12" s="46">
        <f t="shared" si="4"/>
        <v>7</v>
      </c>
      <c r="J12" s="46">
        <f t="shared" si="4"/>
        <v>7</v>
      </c>
      <c r="K12" s="46">
        <f t="shared" si="4"/>
        <v>3</v>
      </c>
      <c r="L12" s="46">
        <f t="shared" si="4"/>
        <v>7</v>
      </c>
      <c r="M12" s="46">
        <f t="shared" si="4"/>
        <v>7</v>
      </c>
      <c r="N12" s="46">
        <f t="shared" si="4"/>
        <v>7</v>
      </c>
      <c r="O12" s="46">
        <f t="shared" si="4"/>
        <v>7</v>
      </c>
      <c r="P12" s="46">
        <f t="shared" si="4"/>
        <v>1</v>
      </c>
      <c r="Q12" s="46">
        <f t="shared" si="4"/>
        <v>2</v>
      </c>
      <c r="R12" s="46">
        <f t="shared" si="4"/>
        <v>2</v>
      </c>
      <c r="S12" s="46">
        <f t="shared" si="4"/>
        <v>2</v>
      </c>
      <c r="T12" s="46">
        <f t="shared" si="4"/>
        <v>2</v>
      </c>
      <c r="U12" s="46">
        <f t="shared" si="4"/>
        <v>2</v>
      </c>
      <c r="V12" s="46">
        <f t="shared" si="4"/>
        <v>1</v>
      </c>
      <c r="W12" s="46">
        <f t="shared" si="4"/>
        <v>1</v>
      </c>
      <c r="X12" s="46">
        <f t="shared" si="4"/>
        <v>1</v>
      </c>
      <c r="Y12" s="46">
        <f t="shared" si="4"/>
        <v>1</v>
      </c>
      <c r="Z12" s="46">
        <f t="shared" si="4"/>
        <v>6</v>
      </c>
      <c r="AA12" s="46">
        <f t="shared" si="4"/>
        <v>1</v>
      </c>
      <c r="AB12" s="46">
        <f t="shared" si="4"/>
        <v>2</v>
      </c>
      <c r="AC12" s="46">
        <f>COUNTA(AC5:AC11)</f>
        <v>1</v>
      </c>
      <c r="AD12" s="46">
        <f>COUNTA(AD5:AD11)</f>
        <v>1</v>
      </c>
      <c r="AE12" s="46">
        <f>COUNTA(AE5:AE11)</f>
        <v>1</v>
      </c>
      <c r="AF12" s="46">
        <f t="shared" si="4"/>
        <v>0</v>
      </c>
      <c r="AG12" s="43">
        <f t="shared" ref="AG12" si="5">SUM(AG5:AG11)</f>
        <v>99</v>
      </c>
      <c r="AH12" s="44">
        <f>AVERAGE(AH5:AH11)</f>
        <v>47.142857142857153</v>
      </c>
      <c r="AI12" s="29"/>
      <c r="AM12" s="20"/>
      <c r="AN12" s="20"/>
      <c r="AO12" s="20"/>
      <c r="AP12" s="20"/>
      <c r="AQ12" s="20"/>
      <c r="AR12" s="20"/>
    </row>
    <row r="13" spans="1:44" ht="57" hidden="1" x14ac:dyDescent="0.35">
      <c r="A13" s="13" t="s">
        <v>28</v>
      </c>
      <c r="B13" s="14"/>
      <c r="C13" s="14"/>
      <c r="D13" s="14"/>
      <c r="E13" s="14"/>
      <c r="F13" s="14"/>
      <c r="G13" s="14"/>
      <c r="H13" s="14"/>
      <c r="I13" s="35"/>
      <c r="J13" s="34"/>
      <c r="K13" s="15"/>
      <c r="L13" s="14"/>
      <c r="M13" s="14"/>
      <c r="N13" s="25"/>
      <c r="O13" s="25"/>
      <c r="P13" s="25"/>
      <c r="Q13" s="14"/>
      <c r="R13" s="14"/>
      <c r="S13" s="14"/>
      <c r="T13" s="14"/>
      <c r="U13" s="14"/>
      <c r="V13" s="15"/>
      <c r="W13" s="15"/>
      <c r="X13" s="14"/>
      <c r="Y13" s="14"/>
      <c r="Z13" s="14"/>
      <c r="AA13" s="14"/>
      <c r="AB13" s="14"/>
      <c r="AC13" s="14"/>
      <c r="AD13" s="14"/>
      <c r="AE13" s="14"/>
      <c r="AF13" s="14"/>
      <c r="AG13" s="37"/>
      <c r="AH13" s="37"/>
      <c r="AM13" s="20"/>
      <c r="AN13" s="20"/>
      <c r="AO13" s="20"/>
      <c r="AP13" s="20"/>
      <c r="AQ13" s="20"/>
      <c r="AR13" s="20"/>
    </row>
    <row r="14" spans="1:44" ht="28.5" hidden="1" x14ac:dyDescent="0.35">
      <c r="A14" s="16" t="s">
        <v>29</v>
      </c>
      <c r="B14" s="14"/>
      <c r="C14" s="14"/>
      <c r="D14" s="14"/>
      <c r="E14" s="14"/>
      <c r="F14" s="14"/>
      <c r="G14" s="14"/>
      <c r="H14" s="14"/>
      <c r="I14" s="35"/>
      <c r="J14" s="34"/>
      <c r="K14" s="15"/>
      <c r="L14" s="14"/>
      <c r="M14" s="14"/>
      <c r="N14" s="25"/>
      <c r="O14" s="25"/>
      <c r="P14" s="25"/>
      <c r="Q14" s="14"/>
      <c r="R14" s="14"/>
      <c r="S14" s="14"/>
      <c r="T14" s="14"/>
      <c r="U14" s="14"/>
      <c r="V14" s="15"/>
      <c r="W14" s="15"/>
      <c r="X14" s="14"/>
      <c r="Y14" s="14"/>
      <c r="Z14" s="14"/>
      <c r="AA14" s="14"/>
      <c r="AB14" s="14"/>
      <c r="AC14" s="14"/>
      <c r="AD14" s="14"/>
      <c r="AE14" s="14"/>
      <c r="AF14" s="14"/>
      <c r="AG14" s="37"/>
      <c r="AH14" s="37"/>
      <c r="AM14" s="20"/>
      <c r="AN14" s="20"/>
      <c r="AO14" s="20"/>
      <c r="AP14" s="20"/>
      <c r="AQ14" s="20"/>
      <c r="AR14" s="20"/>
    </row>
    <row r="15" spans="1:44" x14ac:dyDescent="0.35">
      <c r="A15" s="7" t="s">
        <v>30</v>
      </c>
      <c r="B15" s="55" t="s">
        <v>1030</v>
      </c>
      <c r="C15" s="55" t="s">
        <v>1030</v>
      </c>
      <c r="D15" s="55" t="s">
        <v>1030</v>
      </c>
      <c r="E15" s="55" t="s">
        <v>1030</v>
      </c>
      <c r="F15" s="105" t="s">
        <v>1036</v>
      </c>
      <c r="G15" s="105" t="s">
        <v>1036</v>
      </c>
      <c r="H15" s="105" t="s">
        <v>1036</v>
      </c>
      <c r="I15" s="105" t="s">
        <v>1036</v>
      </c>
      <c r="J15" s="105" t="s">
        <v>1036</v>
      </c>
      <c r="K15" s="55"/>
      <c r="L15" s="68"/>
      <c r="M15" s="68"/>
      <c r="N15" s="68"/>
      <c r="O15" s="68"/>
      <c r="P15" s="68"/>
      <c r="Q15" s="55"/>
      <c r="R15" s="55"/>
      <c r="S15" s="55"/>
      <c r="T15" s="55"/>
      <c r="U15" s="55"/>
      <c r="V15" s="55"/>
      <c r="W15" s="55"/>
      <c r="X15" s="55"/>
      <c r="Y15" s="55"/>
      <c r="Z15" s="55" t="s">
        <v>1048</v>
      </c>
      <c r="AA15" s="55" t="s">
        <v>1048</v>
      </c>
      <c r="AB15" s="55"/>
      <c r="AC15" s="55"/>
      <c r="AD15" s="55"/>
      <c r="AE15" s="8"/>
      <c r="AF15" s="8"/>
      <c r="AG15" s="41">
        <f>COUNTA(B15:AF15)</f>
        <v>11</v>
      </c>
      <c r="AH15" s="42">
        <f>AG15*100/30</f>
        <v>36.666666666666664</v>
      </c>
      <c r="AM15" s="20"/>
      <c r="AN15" s="20"/>
      <c r="AO15" s="20"/>
      <c r="AP15" s="20"/>
      <c r="AQ15" s="20"/>
      <c r="AR15" s="20"/>
    </row>
    <row r="16" spans="1:44" x14ac:dyDescent="0.35">
      <c r="A16" s="7" t="s">
        <v>35</v>
      </c>
      <c r="B16" s="8" t="s">
        <v>1022</v>
      </c>
      <c r="C16" s="8" t="s">
        <v>1022</v>
      </c>
      <c r="D16" s="8" t="s">
        <v>1022</v>
      </c>
      <c r="E16" s="8" t="s">
        <v>1022</v>
      </c>
      <c r="F16" s="106" t="s">
        <v>1036</v>
      </c>
      <c r="G16" s="106" t="s">
        <v>1036</v>
      </c>
      <c r="H16" s="106" t="s">
        <v>1036</v>
      </c>
      <c r="I16" s="106" t="s">
        <v>1036</v>
      </c>
      <c r="J16" s="106" t="s">
        <v>1036</v>
      </c>
      <c r="K16" s="8"/>
      <c r="L16" s="8" t="s">
        <v>1042</v>
      </c>
      <c r="M16" s="8" t="s">
        <v>1042</v>
      </c>
      <c r="N16" s="8" t="s">
        <v>1042</v>
      </c>
      <c r="O16" s="8" t="s">
        <v>1042</v>
      </c>
      <c r="P16" s="8" t="s">
        <v>1042</v>
      </c>
      <c r="Q16" s="8"/>
      <c r="R16" s="8"/>
      <c r="S16" s="8"/>
      <c r="T16" s="8"/>
      <c r="U16" s="8"/>
      <c r="V16" s="8"/>
      <c r="W16" s="8"/>
      <c r="X16" s="8"/>
      <c r="Y16" s="8"/>
      <c r="Z16" s="55" t="s">
        <v>1048</v>
      </c>
      <c r="AA16" s="55" t="s">
        <v>1048</v>
      </c>
      <c r="AB16" s="8"/>
      <c r="AC16" s="8"/>
      <c r="AD16" s="8" t="s">
        <v>1036</v>
      </c>
      <c r="AE16" s="8"/>
      <c r="AF16" s="8"/>
      <c r="AG16" s="41">
        <f t="shared" ref="AG16:AG22" si="6">COUNTA(B16:AF16)</f>
        <v>17</v>
      </c>
      <c r="AH16" s="42">
        <f>AG16*100/30</f>
        <v>56.666666666666664</v>
      </c>
      <c r="AM16" s="20"/>
      <c r="AN16" s="20"/>
      <c r="AO16" s="56"/>
      <c r="AP16" s="56"/>
      <c r="AQ16" s="20"/>
      <c r="AR16" s="20"/>
    </row>
    <row r="17" spans="1:50" x14ac:dyDescent="0.35">
      <c r="A17" s="7" t="s">
        <v>39</v>
      </c>
      <c r="B17" s="55" t="s">
        <v>503</v>
      </c>
      <c r="C17" s="55" t="s">
        <v>503</v>
      </c>
      <c r="D17" s="68"/>
      <c r="E17" s="55"/>
      <c r="F17" s="105" t="s">
        <v>1036</v>
      </c>
      <c r="G17" s="105" t="s">
        <v>1036</v>
      </c>
      <c r="H17" s="105" t="s">
        <v>1036</v>
      </c>
      <c r="I17" s="105" t="s">
        <v>1036</v>
      </c>
      <c r="J17" s="105" t="s">
        <v>1036</v>
      </c>
      <c r="K17" s="55"/>
      <c r="L17" s="55" t="s">
        <v>1043</v>
      </c>
      <c r="M17" s="55" t="s">
        <v>1043</v>
      </c>
      <c r="N17" s="55" t="s">
        <v>1043</v>
      </c>
      <c r="O17" s="55" t="s">
        <v>1043</v>
      </c>
      <c r="P17" s="55" t="s">
        <v>1043</v>
      </c>
      <c r="Q17" s="55"/>
      <c r="R17" s="55"/>
      <c r="S17" s="55"/>
      <c r="T17" s="55"/>
      <c r="U17" s="55"/>
      <c r="V17" s="55"/>
      <c r="W17" s="55"/>
      <c r="X17" s="55"/>
      <c r="Y17" s="55"/>
      <c r="Z17" s="55" t="s">
        <v>1047</v>
      </c>
      <c r="AA17" s="55"/>
      <c r="AB17" s="55"/>
      <c r="AC17" s="55"/>
      <c r="AD17" s="55"/>
      <c r="AE17" s="8"/>
      <c r="AF17" s="8"/>
      <c r="AG17" s="41">
        <f t="shared" si="6"/>
        <v>13</v>
      </c>
      <c r="AH17" s="42">
        <f t="shared" ref="AH17:AH22" si="7">AG17*100/30</f>
        <v>43.333333333333336</v>
      </c>
      <c r="AM17" s="20"/>
      <c r="AN17" s="20"/>
      <c r="AO17" s="20"/>
      <c r="AP17" s="20"/>
      <c r="AQ17" s="20"/>
      <c r="AR17" s="20"/>
      <c r="AX17" s="58"/>
    </row>
    <row r="18" spans="1:50" x14ac:dyDescent="0.35">
      <c r="A18" s="7" t="s">
        <v>42</v>
      </c>
      <c r="B18" s="8" t="s">
        <v>1022</v>
      </c>
      <c r="C18" s="8" t="s">
        <v>1022</v>
      </c>
      <c r="D18" s="8" t="s">
        <v>1022</v>
      </c>
      <c r="E18" s="8" t="s">
        <v>1022</v>
      </c>
      <c r="F18" s="106" t="s">
        <v>1036</v>
      </c>
      <c r="G18" s="106" t="s">
        <v>1036</v>
      </c>
      <c r="H18" s="106" t="s">
        <v>1036</v>
      </c>
      <c r="I18" s="106" t="s">
        <v>1036</v>
      </c>
      <c r="J18" s="106" t="s">
        <v>1036</v>
      </c>
      <c r="K18" s="8"/>
      <c r="L18" s="8"/>
      <c r="M18" s="8" t="s">
        <v>524</v>
      </c>
      <c r="N18" s="26"/>
      <c r="O18" s="8"/>
      <c r="P18" s="8"/>
      <c r="Q18" s="8"/>
      <c r="R18" s="8"/>
      <c r="S18" s="8"/>
      <c r="T18" s="8"/>
      <c r="U18" s="8"/>
      <c r="V18" s="8" t="s">
        <v>1045</v>
      </c>
      <c r="W18" s="8" t="s">
        <v>1045</v>
      </c>
      <c r="X18" s="8" t="s">
        <v>1045</v>
      </c>
      <c r="Y18" s="8" t="s">
        <v>1045</v>
      </c>
      <c r="Z18" s="8" t="s">
        <v>1045</v>
      </c>
      <c r="AA18" s="8" t="s">
        <v>1045</v>
      </c>
      <c r="AB18" s="8" t="s">
        <v>1045</v>
      </c>
      <c r="AC18" s="8" t="s">
        <v>651</v>
      </c>
      <c r="AD18" s="8" t="s">
        <v>651</v>
      </c>
      <c r="AE18" s="8" t="s">
        <v>651</v>
      </c>
      <c r="AF18" s="8"/>
      <c r="AG18" s="41">
        <f t="shared" si="6"/>
        <v>20</v>
      </c>
      <c r="AH18" s="42">
        <f t="shared" si="7"/>
        <v>66.666666666666671</v>
      </c>
      <c r="AM18" s="20"/>
      <c r="AN18" s="20"/>
      <c r="AO18" s="20"/>
      <c r="AP18" s="20"/>
      <c r="AQ18" s="20"/>
      <c r="AR18" s="20"/>
      <c r="AX18" s="58"/>
    </row>
    <row r="19" spans="1:50" x14ac:dyDescent="0.35">
      <c r="A19" s="7" t="s">
        <v>45</v>
      </c>
      <c r="B19" s="55"/>
      <c r="C19" s="8"/>
      <c r="D19" s="8" t="s">
        <v>1029</v>
      </c>
      <c r="E19" s="8" t="s">
        <v>1029</v>
      </c>
      <c r="F19" s="8" t="s">
        <v>1029</v>
      </c>
      <c r="G19" s="8" t="s">
        <v>1029</v>
      </c>
      <c r="H19" s="8" t="s">
        <v>1029</v>
      </c>
      <c r="I19" s="8" t="s">
        <v>1029</v>
      </c>
      <c r="J19" s="8" t="s">
        <v>1029</v>
      </c>
      <c r="K19" s="8" t="s">
        <v>1029</v>
      </c>
      <c r="L19" s="8" t="s">
        <v>1029</v>
      </c>
      <c r="M19" s="8" t="s">
        <v>1029</v>
      </c>
      <c r="N19" s="8" t="s">
        <v>1029</v>
      </c>
      <c r="O19" s="8" t="s">
        <v>1029</v>
      </c>
      <c r="P19" s="8" t="s">
        <v>1029</v>
      </c>
      <c r="Q19" s="8" t="s">
        <v>1029</v>
      </c>
      <c r="R19" s="8" t="s">
        <v>1029</v>
      </c>
      <c r="S19" s="8" t="s">
        <v>1029</v>
      </c>
      <c r="T19" s="8" t="s">
        <v>1029</v>
      </c>
      <c r="U19" s="8" t="s">
        <v>1029</v>
      </c>
      <c r="V19" s="8" t="s">
        <v>1029</v>
      </c>
      <c r="W19" s="8" t="s">
        <v>1029</v>
      </c>
      <c r="X19" s="8" t="s">
        <v>1029</v>
      </c>
      <c r="Y19" s="8" t="s">
        <v>1029</v>
      </c>
      <c r="Z19" s="8"/>
      <c r="AA19" s="8"/>
      <c r="AB19" s="8" t="s">
        <v>1046</v>
      </c>
      <c r="AC19" s="8"/>
      <c r="AD19" s="8"/>
      <c r="AE19" s="8"/>
      <c r="AF19" s="8"/>
      <c r="AG19" s="41">
        <f t="shared" si="6"/>
        <v>23</v>
      </c>
      <c r="AH19" s="42">
        <f t="shared" si="7"/>
        <v>76.666666666666671</v>
      </c>
      <c r="AM19" s="20"/>
      <c r="AN19" s="20"/>
      <c r="AO19" s="20"/>
      <c r="AP19" s="20"/>
      <c r="AQ19" s="20"/>
      <c r="AR19" s="20"/>
      <c r="AX19" s="58"/>
    </row>
    <row r="20" spans="1:50" x14ac:dyDescent="0.35">
      <c r="A20" s="7" t="s">
        <v>47</v>
      </c>
      <c r="B20" s="55"/>
      <c r="C20" s="55" t="s">
        <v>547</v>
      </c>
      <c r="D20" s="55" t="s">
        <v>547</v>
      </c>
      <c r="E20" s="55" t="s">
        <v>547</v>
      </c>
      <c r="F20" s="105" t="s">
        <v>1036</v>
      </c>
      <c r="G20" s="105" t="s">
        <v>1036</v>
      </c>
      <c r="H20" s="105" t="s">
        <v>1036</v>
      </c>
      <c r="I20" s="105" t="s">
        <v>1036</v>
      </c>
      <c r="J20" s="105" t="s">
        <v>1036</v>
      </c>
      <c r="K20" s="8"/>
      <c r="L20" s="8"/>
      <c r="M20" s="8" t="s">
        <v>878</v>
      </c>
      <c r="N20" s="26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55" t="s">
        <v>1048</v>
      </c>
      <c r="AA20" s="55" t="s">
        <v>1048</v>
      </c>
      <c r="AB20" s="8"/>
      <c r="AC20" s="8"/>
      <c r="AD20" s="8" t="s">
        <v>1036</v>
      </c>
      <c r="AE20" s="8"/>
      <c r="AF20" s="8"/>
      <c r="AG20" s="41">
        <f t="shared" si="6"/>
        <v>12</v>
      </c>
      <c r="AH20" s="42">
        <f t="shared" si="7"/>
        <v>40</v>
      </c>
      <c r="AM20" s="20"/>
      <c r="AN20" s="20"/>
      <c r="AO20" s="20"/>
      <c r="AP20" s="20"/>
      <c r="AQ20" s="20"/>
      <c r="AR20" s="20"/>
      <c r="AX20" s="58"/>
    </row>
    <row r="21" spans="1:50" x14ac:dyDescent="0.35">
      <c r="A21" s="7" t="s">
        <v>50</v>
      </c>
      <c r="B21" s="55" t="s">
        <v>609</v>
      </c>
      <c r="C21" s="55" t="s">
        <v>547</v>
      </c>
      <c r="D21" s="55" t="s">
        <v>547</v>
      </c>
      <c r="E21" s="55" t="s">
        <v>547</v>
      </c>
      <c r="F21" s="105" t="s">
        <v>1036</v>
      </c>
      <c r="G21" s="105" t="s">
        <v>1036</v>
      </c>
      <c r="H21" s="105" t="s">
        <v>1036</v>
      </c>
      <c r="I21" s="105" t="s">
        <v>1036</v>
      </c>
      <c r="J21" s="105" t="s">
        <v>1036</v>
      </c>
      <c r="K21" s="55"/>
      <c r="L21" s="55"/>
      <c r="M21" s="55" t="s">
        <v>872</v>
      </c>
      <c r="N21" s="68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8" t="s">
        <v>1036</v>
      </c>
      <c r="AE21" s="8"/>
      <c r="AF21" s="8"/>
      <c r="AG21" s="41">
        <f t="shared" si="6"/>
        <v>11</v>
      </c>
      <c r="AH21" s="42">
        <f t="shared" si="7"/>
        <v>36.666666666666664</v>
      </c>
      <c r="AM21" s="20"/>
      <c r="AN21" s="20"/>
      <c r="AO21" s="20"/>
      <c r="AP21" s="20"/>
      <c r="AQ21" s="20"/>
      <c r="AR21" s="20"/>
      <c r="AX21" s="58"/>
    </row>
    <row r="22" spans="1:50" ht="15" thickBot="1" x14ac:dyDescent="0.4">
      <c r="A22" s="7" t="s">
        <v>51</v>
      </c>
      <c r="B22" s="55" t="s">
        <v>1030</v>
      </c>
      <c r="C22" s="55" t="s">
        <v>1030</v>
      </c>
      <c r="D22" s="55" t="s">
        <v>1030</v>
      </c>
      <c r="E22" s="55" t="s">
        <v>1030</v>
      </c>
      <c r="F22" s="73" t="s">
        <v>1037</v>
      </c>
      <c r="G22" s="73" t="s">
        <v>1039</v>
      </c>
      <c r="H22" s="73" t="s">
        <v>1039</v>
      </c>
      <c r="I22" s="73" t="s">
        <v>1039</v>
      </c>
      <c r="J22" s="73" t="s">
        <v>1039</v>
      </c>
      <c r="K22" s="8"/>
      <c r="L22" s="8" t="s">
        <v>312</v>
      </c>
      <c r="M22" s="8" t="s">
        <v>312</v>
      </c>
      <c r="N22" s="8" t="s">
        <v>312</v>
      </c>
      <c r="O22" s="8" t="s">
        <v>312</v>
      </c>
      <c r="P22" s="8" t="s">
        <v>312</v>
      </c>
      <c r="Q22" s="8"/>
      <c r="R22" s="8"/>
      <c r="S22" s="8"/>
      <c r="T22" s="8"/>
      <c r="U22" s="8"/>
      <c r="V22" s="8"/>
      <c r="W22" s="8"/>
      <c r="X22" s="8"/>
      <c r="Y22" s="8" t="s">
        <v>477</v>
      </c>
      <c r="Z22" s="8"/>
      <c r="AA22" s="8" t="s">
        <v>477</v>
      </c>
      <c r="AB22" s="8"/>
      <c r="AC22" s="8"/>
      <c r="AD22" s="8"/>
      <c r="AE22" s="8"/>
      <c r="AF22" s="8"/>
      <c r="AG22" s="41">
        <f t="shared" si="6"/>
        <v>16</v>
      </c>
      <c r="AH22" s="42">
        <f t="shared" si="7"/>
        <v>53.333333333333336</v>
      </c>
      <c r="AX22" s="58"/>
    </row>
    <row r="23" spans="1:50" ht="15.5" x14ac:dyDescent="0.35">
      <c r="A23" s="45" t="s">
        <v>176</v>
      </c>
      <c r="B23" s="46">
        <f>COUNTA(B15:B22)</f>
        <v>6</v>
      </c>
      <c r="C23" s="46">
        <f>COUNTA(C16:C22)</f>
        <v>6</v>
      </c>
      <c r="D23" s="46">
        <f>COUNTA(D16:D22)</f>
        <v>6</v>
      </c>
      <c r="E23" s="46">
        <f t="shared" ref="E23:AF23" si="8">COUNTA(E15:E22)</f>
        <v>7</v>
      </c>
      <c r="F23" s="46">
        <f t="shared" si="8"/>
        <v>8</v>
      </c>
      <c r="G23" s="46">
        <f t="shared" si="8"/>
        <v>8</v>
      </c>
      <c r="H23" s="46">
        <f t="shared" si="8"/>
        <v>8</v>
      </c>
      <c r="I23" s="46">
        <f t="shared" si="8"/>
        <v>8</v>
      </c>
      <c r="J23" s="46">
        <f t="shared" si="8"/>
        <v>8</v>
      </c>
      <c r="K23" s="46">
        <f t="shared" si="8"/>
        <v>1</v>
      </c>
      <c r="L23" s="46">
        <f t="shared" si="8"/>
        <v>4</v>
      </c>
      <c r="M23" s="46">
        <f t="shared" si="8"/>
        <v>7</v>
      </c>
      <c r="N23" s="46">
        <f t="shared" si="8"/>
        <v>4</v>
      </c>
      <c r="O23" s="46">
        <f t="shared" si="8"/>
        <v>4</v>
      </c>
      <c r="P23" s="46">
        <f t="shared" si="8"/>
        <v>4</v>
      </c>
      <c r="Q23" s="46">
        <f t="shared" si="8"/>
        <v>1</v>
      </c>
      <c r="R23" s="46">
        <f t="shared" si="8"/>
        <v>1</v>
      </c>
      <c r="S23" s="46">
        <f t="shared" si="8"/>
        <v>1</v>
      </c>
      <c r="T23" s="46">
        <f>COUNTA(T15:T22)</f>
        <v>1</v>
      </c>
      <c r="U23" s="46">
        <f t="shared" si="8"/>
        <v>1</v>
      </c>
      <c r="V23" s="46">
        <f t="shared" si="8"/>
        <v>2</v>
      </c>
      <c r="W23" s="46">
        <f t="shared" si="8"/>
        <v>2</v>
      </c>
      <c r="X23" s="46">
        <f t="shared" si="8"/>
        <v>2</v>
      </c>
      <c r="Y23" s="46">
        <f t="shared" si="8"/>
        <v>3</v>
      </c>
      <c r="Z23" s="46">
        <f t="shared" si="8"/>
        <v>5</v>
      </c>
      <c r="AA23" s="46">
        <f t="shared" si="8"/>
        <v>5</v>
      </c>
      <c r="AB23" s="46">
        <f t="shared" si="8"/>
        <v>2</v>
      </c>
      <c r="AC23" s="46">
        <f t="shared" si="8"/>
        <v>1</v>
      </c>
      <c r="AD23" s="46">
        <f t="shared" si="8"/>
        <v>4</v>
      </c>
      <c r="AE23" s="46">
        <f t="shared" si="8"/>
        <v>1</v>
      </c>
      <c r="AF23" s="46">
        <f t="shared" si="8"/>
        <v>0</v>
      </c>
      <c r="AG23" s="43">
        <f>SUM(AG15:AG22)</f>
        <v>123</v>
      </c>
      <c r="AH23" s="42">
        <f>AG23*100/30</f>
        <v>410</v>
      </c>
      <c r="AX23" s="58"/>
    </row>
    <row r="24" spans="1:50" ht="15.5" x14ac:dyDescent="0.35">
      <c r="A24" s="47" t="s">
        <v>178</v>
      </c>
      <c r="B24" s="52">
        <f>B12+B23</f>
        <v>8</v>
      </c>
      <c r="C24" s="52">
        <f t="shared" ref="C24:AF24" si="9">C12+C23</f>
        <v>8</v>
      </c>
      <c r="D24" s="52">
        <f t="shared" si="9"/>
        <v>7</v>
      </c>
      <c r="E24" s="52">
        <f t="shared" si="9"/>
        <v>8</v>
      </c>
      <c r="F24" s="52">
        <f t="shared" si="9"/>
        <v>15</v>
      </c>
      <c r="G24" s="52">
        <f t="shared" si="9"/>
        <v>15</v>
      </c>
      <c r="H24" s="52">
        <f t="shared" si="9"/>
        <v>15</v>
      </c>
      <c r="I24" s="52">
        <f t="shared" si="9"/>
        <v>15</v>
      </c>
      <c r="J24" s="52">
        <f t="shared" si="9"/>
        <v>15</v>
      </c>
      <c r="K24" s="52">
        <f t="shared" si="9"/>
        <v>4</v>
      </c>
      <c r="L24" s="52">
        <f t="shared" si="9"/>
        <v>11</v>
      </c>
      <c r="M24" s="52">
        <f t="shared" si="9"/>
        <v>14</v>
      </c>
      <c r="N24" s="52">
        <f t="shared" si="9"/>
        <v>11</v>
      </c>
      <c r="O24" s="52">
        <f t="shared" si="9"/>
        <v>11</v>
      </c>
      <c r="P24" s="52">
        <f t="shared" si="9"/>
        <v>5</v>
      </c>
      <c r="Q24" s="52">
        <f t="shared" si="9"/>
        <v>3</v>
      </c>
      <c r="R24" s="52">
        <f t="shared" si="9"/>
        <v>3</v>
      </c>
      <c r="S24" s="52">
        <f t="shared" si="9"/>
        <v>3</v>
      </c>
      <c r="T24" s="52">
        <f t="shared" si="9"/>
        <v>3</v>
      </c>
      <c r="U24" s="52">
        <f t="shared" si="9"/>
        <v>3</v>
      </c>
      <c r="V24" s="52">
        <f t="shared" si="9"/>
        <v>3</v>
      </c>
      <c r="W24" s="52">
        <f t="shared" si="9"/>
        <v>3</v>
      </c>
      <c r="X24" s="52">
        <f t="shared" si="9"/>
        <v>3</v>
      </c>
      <c r="Y24" s="52">
        <f t="shared" si="9"/>
        <v>4</v>
      </c>
      <c r="Z24" s="52">
        <f t="shared" si="9"/>
        <v>11</v>
      </c>
      <c r="AA24" s="52">
        <f t="shared" si="9"/>
        <v>6</v>
      </c>
      <c r="AB24" s="52">
        <f t="shared" si="9"/>
        <v>4</v>
      </c>
      <c r="AC24" s="52">
        <f t="shared" si="9"/>
        <v>2</v>
      </c>
      <c r="AD24" s="52">
        <f t="shared" si="9"/>
        <v>5</v>
      </c>
      <c r="AE24" s="52">
        <f t="shared" si="9"/>
        <v>2</v>
      </c>
      <c r="AF24" s="52">
        <f t="shared" si="9"/>
        <v>0</v>
      </c>
      <c r="AG24" s="49">
        <f>+AG12+AG23</f>
        <v>222</v>
      </c>
      <c r="AX24" s="58"/>
    </row>
    <row r="25" spans="1:50" ht="15.5" x14ac:dyDescent="0.35">
      <c r="A25" s="48" t="s">
        <v>179</v>
      </c>
      <c r="B25" s="42">
        <f>B24*100/15</f>
        <v>53.333333333333336</v>
      </c>
      <c r="C25" s="42">
        <f t="shared" ref="C25:AF25" si="10">C24*100/15</f>
        <v>53.333333333333336</v>
      </c>
      <c r="D25" s="42">
        <f t="shared" si="10"/>
        <v>46.666666666666664</v>
      </c>
      <c r="E25" s="42">
        <f t="shared" si="10"/>
        <v>53.333333333333336</v>
      </c>
      <c r="F25" s="42">
        <f t="shared" si="10"/>
        <v>100</v>
      </c>
      <c r="G25" s="42">
        <f t="shared" si="10"/>
        <v>100</v>
      </c>
      <c r="H25" s="42">
        <f t="shared" si="10"/>
        <v>100</v>
      </c>
      <c r="I25" s="42">
        <f t="shared" si="10"/>
        <v>100</v>
      </c>
      <c r="J25" s="42">
        <f t="shared" si="10"/>
        <v>100</v>
      </c>
      <c r="K25" s="42">
        <f t="shared" si="10"/>
        <v>26.666666666666668</v>
      </c>
      <c r="L25" s="42">
        <f t="shared" si="10"/>
        <v>73.333333333333329</v>
      </c>
      <c r="M25" s="42">
        <f t="shared" si="10"/>
        <v>93.333333333333329</v>
      </c>
      <c r="N25" s="42">
        <f t="shared" si="10"/>
        <v>73.333333333333329</v>
      </c>
      <c r="O25" s="42">
        <f t="shared" si="10"/>
        <v>73.333333333333329</v>
      </c>
      <c r="P25" s="42">
        <f t="shared" si="10"/>
        <v>33.333333333333336</v>
      </c>
      <c r="Q25" s="42">
        <f t="shared" si="10"/>
        <v>20</v>
      </c>
      <c r="R25" s="42">
        <f t="shared" si="10"/>
        <v>20</v>
      </c>
      <c r="S25" s="42">
        <f t="shared" si="10"/>
        <v>20</v>
      </c>
      <c r="T25" s="42">
        <f t="shared" si="10"/>
        <v>20</v>
      </c>
      <c r="U25" s="42">
        <f t="shared" si="10"/>
        <v>20</v>
      </c>
      <c r="V25" s="42">
        <f t="shared" si="10"/>
        <v>20</v>
      </c>
      <c r="W25" s="42">
        <f t="shared" si="10"/>
        <v>20</v>
      </c>
      <c r="X25" s="42">
        <f t="shared" si="10"/>
        <v>20</v>
      </c>
      <c r="Y25" s="42">
        <f t="shared" si="10"/>
        <v>26.666666666666668</v>
      </c>
      <c r="Z25" s="42">
        <f t="shared" si="10"/>
        <v>73.333333333333329</v>
      </c>
      <c r="AA25" s="42">
        <f t="shared" si="10"/>
        <v>40</v>
      </c>
      <c r="AB25" s="42">
        <f t="shared" si="10"/>
        <v>26.666666666666668</v>
      </c>
      <c r="AC25" s="42">
        <f t="shared" si="10"/>
        <v>13.333333333333334</v>
      </c>
      <c r="AD25" s="42">
        <f t="shared" si="10"/>
        <v>33.333333333333336</v>
      </c>
      <c r="AE25" s="42">
        <f t="shared" si="10"/>
        <v>13.333333333333334</v>
      </c>
      <c r="AF25" s="42">
        <f t="shared" si="10"/>
        <v>0</v>
      </c>
      <c r="AG25" s="50">
        <f>AVERAGE(B25:AE25)</f>
        <v>48.888888888888886</v>
      </c>
      <c r="AH25" s="51" t="s">
        <v>180</v>
      </c>
      <c r="AX25" s="58"/>
    </row>
    <row r="26" spans="1:50" x14ac:dyDescent="0.35">
      <c r="AX26" s="58"/>
    </row>
    <row r="27" spans="1:50" x14ac:dyDescent="0.35">
      <c r="G27" s="107" t="s">
        <v>1031</v>
      </c>
      <c r="H27" s="108" t="s">
        <v>1032</v>
      </c>
    </row>
    <row r="28" spans="1:50" x14ac:dyDescent="0.35">
      <c r="G28" s="109" t="s">
        <v>1036</v>
      </c>
      <c r="H28" s="60" t="s">
        <v>861</v>
      </c>
    </row>
    <row r="29" spans="1:50" x14ac:dyDescent="0.35">
      <c r="G29" s="109" t="s">
        <v>1036</v>
      </c>
      <c r="H29" s="60" t="s">
        <v>1040</v>
      </c>
    </row>
    <row r="30" spans="1:50" x14ac:dyDescent="0.35">
      <c r="G30" s="109" t="s">
        <v>1036</v>
      </c>
      <c r="H30" s="60" t="s">
        <v>1035</v>
      </c>
    </row>
    <row r="31" spans="1:50" x14ac:dyDescent="0.35">
      <c r="C31" s="92"/>
    </row>
    <row r="32" spans="1:50" x14ac:dyDescent="0.35">
      <c r="C32" s="92"/>
    </row>
    <row r="33" spans="3:3" x14ac:dyDescent="0.35">
      <c r="C33" s="93"/>
    </row>
    <row r="34" spans="3:3" x14ac:dyDescent="0.35">
      <c r="C34" s="93"/>
    </row>
    <row r="35" spans="3:3" x14ac:dyDescent="0.35">
      <c r="C35" s="92"/>
    </row>
    <row r="36" spans="3:3" x14ac:dyDescent="0.35">
      <c r="C36" s="92"/>
    </row>
    <row r="37" spans="3:3" x14ac:dyDescent="0.35">
      <c r="C37" s="92"/>
    </row>
    <row r="38" spans="3:3" x14ac:dyDescent="0.35">
      <c r="C38" s="92"/>
    </row>
    <row r="39" spans="3:3" x14ac:dyDescent="0.35">
      <c r="C39" s="92"/>
    </row>
    <row r="40" spans="3:3" x14ac:dyDescent="0.35">
      <c r="C40" s="92"/>
    </row>
    <row r="41" spans="3:3" x14ac:dyDescent="0.35">
      <c r="C41" s="92"/>
    </row>
    <row r="42" spans="3:3" x14ac:dyDescent="0.35">
      <c r="C42" s="92"/>
    </row>
    <row r="43" spans="3:3" x14ac:dyDescent="0.35">
      <c r="C43" s="92"/>
    </row>
  </sheetData>
  <mergeCells count="2">
    <mergeCell ref="A1:AE1"/>
    <mergeCell ref="AM3:AR3"/>
  </mergeCells>
  <conditionalFormatting sqref="B19">
    <cfRule type="colorScale" priority="10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20">
    <cfRule type="colorScale" priority="9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21">
    <cfRule type="colorScale" priority="1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0:C10">
    <cfRule type="colorScale" priority="1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7:C17">
    <cfRule type="colorScale" priority="1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6:E16">
    <cfRule type="colorScale" priority="1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8:E18">
    <cfRule type="colorScale" priority="1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22:E22">
    <cfRule type="colorScale" priority="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5:Z15 Z16 AB15:AD15 AA15:AA16">
    <cfRule type="colorScale" priority="3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6:AE6">
    <cfRule type="colorScale" priority="1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5:AF5 AF6 B7:AF7 B11:Y11 D10:Y10 B8:Y9 Z8:AF11">
    <cfRule type="colorScale" priority="4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C20:J20">
    <cfRule type="colorScale" priority="8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C21:J21">
    <cfRule type="colorScale" priority="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D17:Y17 AA17:AD17">
    <cfRule type="colorScale" priority="28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F16:Y16 AB16:AD16">
    <cfRule type="colorScale" priority="29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F22:AD22">
    <cfRule type="colorScale" priority="30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K20:Y20 AB20:AC20 C19:AD19 F18:AE18">
    <cfRule type="colorScale" priority="3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K21:AC21">
    <cfRule type="colorScale" priority="2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L13:U14 B13:I14 X13:AH14">
    <cfRule type="colorScale" priority="4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Z17">
    <cfRule type="colorScale" priority="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Z20:AA20">
    <cfRule type="colorScale" priority="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D20">
    <cfRule type="colorScale" priority="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D21">
    <cfRule type="colorScale" priority="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E15:AE17 AE19:AE22">
    <cfRule type="colorScale" priority="38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F15">
    <cfRule type="colorScale" priority="40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F18">
    <cfRule type="colorScale" priority="39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F19:AF22 AF16:AF17">
    <cfRule type="colorScale" priority="41">
      <colorScale>
        <cfvo type="num" val="1"/>
        <cfvo type="max"/>
        <color theme="4" tint="0.59999389629810485"/>
        <color theme="5" tint="0.59999389629810485"/>
      </colorScale>
    </cfRule>
  </conditionalFormatting>
  <pageMargins left="0.2" right="0.45" top="0.75" bottom="0.75" header="0.3" footer="0.3"/>
  <pageSetup scale="90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1D880-C518-474B-9964-46279D13B2A5}">
  <dimension ref="A1:AX43"/>
  <sheetViews>
    <sheetView zoomScale="9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G22" sqref="G22:H22"/>
    </sheetView>
  </sheetViews>
  <sheetFormatPr defaultRowHeight="14.5" x14ac:dyDescent="0.35"/>
  <cols>
    <col min="1" max="1" width="43.54296875" bestFit="1" customWidth="1"/>
    <col min="2" max="7" width="12.54296875" bestFit="1" customWidth="1"/>
    <col min="8" max="8" width="17.453125" customWidth="1"/>
    <col min="9" max="9" width="13.453125" bestFit="1" customWidth="1"/>
    <col min="10" max="13" width="11.81640625" bestFit="1" customWidth="1"/>
    <col min="14" max="19" width="5.54296875" bestFit="1" customWidth="1"/>
    <col min="20" max="20" width="12.81640625" bestFit="1" customWidth="1"/>
    <col min="21" max="21" width="11.81640625" bestFit="1" customWidth="1"/>
    <col min="22" max="31" width="12.81640625" bestFit="1" customWidth="1"/>
    <col min="32" max="32" width="11.1796875" customWidth="1"/>
    <col min="33" max="33" width="4.7265625" bestFit="1" customWidth="1"/>
    <col min="34" max="34" width="8.453125" bestFit="1" customWidth="1"/>
    <col min="35" max="35" width="8" bestFit="1" customWidth="1"/>
    <col min="36" max="36" width="8.81640625" bestFit="1" customWidth="1"/>
    <col min="37" max="37" width="0" hidden="1" customWidth="1"/>
    <col min="38" max="38" width="3" hidden="1" customWidth="1"/>
    <col min="39" max="39" width="17.81640625" bestFit="1" customWidth="1"/>
    <col min="40" max="40" width="9.1796875" bestFit="1" customWidth="1"/>
    <col min="41" max="41" width="9.81640625" bestFit="1" customWidth="1"/>
    <col min="42" max="42" width="10.81640625" bestFit="1" customWidth="1"/>
    <col min="43" max="43" width="10.1796875" bestFit="1" customWidth="1"/>
    <col min="44" max="44" width="23.1796875" bestFit="1" customWidth="1"/>
    <col min="45" max="45" width="0.453125" hidden="1" customWidth="1"/>
    <col min="46" max="49" width="0" hidden="1" customWidth="1"/>
    <col min="51" max="51" width="15" bestFit="1" customWidth="1"/>
  </cols>
  <sheetData>
    <row r="1" spans="1:44" ht="15.5" x14ac:dyDescent="0.35">
      <c r="A1" s="120" t="s">
        <v>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65"/>
    </row>
    <row r="2" spans="1:44" ht="15" thickBot="1" x14ac:dyDescent="0.4"/>
    <row r="3" spans="1:44" ht="45.75" customHeight="1" x14ac:dyDescent="0.35">
      <c r="A3" s="1" t="s">
        <v>1</v>
      </c>
      <c r="B3" s="2">
        <f>AI4</f>
        <v>45992</v>
      </c>
      <c r="C3" s="2">
        <f t="shared" ref="C3:AF3" si="0">B3+1</f>
        <v>45993</v>
      </c>
      <c r="D3" s="2">
        <f t="shared" si="0"/>
        <v>45994</v>
      </c>
      <c r="E3" s="2">
        <f t="shared" si="0"/>
        <v>45995</v>
      </c>
      <c r="F3" s="2">
        <f t="shared" si="0"/>
        <v>45996</v>
      </c>
      <c r="G3" s="2">
        <f t="shared" si="0"/>
        <v>45997</v>
      </c>
      <c r="H3" s="2">
        <f t="shared" si="0"/>
        <v>45998</v>
      </c>
      <c r="I3" s="2">
        <f>H3+1</f>
        <v>45999</v>
      </c>
      <c r="J3" s="2">
        <f t="shared" si="0"/>
        <v>46000</v>
      </c>
      <c r="K3" s="2">
        <f t="shared" si="0"/>
        <v>46001</v>
      </c>
      <c r="L3" s="2">
        <f t="shared" si="0"/>
        <v>46002</v>
      </c>
      <c r="M3" s="2">
        <f t="shared" si="0"/>
        <v>46003</v>
      </c>
      <c r="N3" s="2">
        <f t="shared" si="0"/>
        <v>46004</v>
      </c>
      <c r="O3" s="2">
        <f t="shared" si="0"/>
        <v>46005</v>
      </c>
      <c r="P3" s="2">
        <f t="shared" si="0"/>
        <v>46006</v>
      </c>
      <c r="Q3" s="2">
        <f t="shared" si="0"/>
        <v>46007</v>
      </c>
      <c r="R3" s="2">
        <f t="shared" si="0"/>
        <v>46008</v>
      </c>
      <c r="S3" s="2">
        <f t="shared" si="0"/>
        <v>46009</v>
      </c>
      <c r="T3" s="2">
        <f t="shared" si="0"/>
        <v>46010</v>
      </c>
      <c r="U3" s="2">
        <f t="shared" si="0"/>
        <v>46011</v>
      </c>
      <c r="V3" s="2">
        <f t="shared" si="0"/>
        <v>46012</v>
      </c>
      <c r="W3" s="2">
        <f t="shared" si="0"/>
        <v>46013</v>
      </c>
      <c r="X3" s="2">
        <f t="shared" si="0"/>
        <v>46014</v>
      </c>
      <c r="Y3" s="2">
        <f t="shared" si="0"/>
        <v>46015</v>
      </c>
      <c r="Z3" s="2">
        <f t="shared" si="0"/>
        <v>46016</v>
      </c>
      <c r="AA3" s="2">
        <f t="shared" si="0"/>
        <v>46017</v>
      </c>
      <c r="AB3" s="2">
        <f t="shared" si="0"/>
        <v>46018</v>
      </c>
      <c r="AC3" s="2">
        <f t="shared" si="0"/>
        <v>46019</v>
      </c>
      <c r="AD3" s="2">
        <f t="shared" si="0"/>
        <v>46020</v>
      </c>
      <c r="AE3" s="2">
        <f t="shared" si="0"/>
        <v>46021</v>
      </c>
      <c r="AF3" s="2">
        <f t="shared" si="0"/>
        <v>46022</v>
      </c>
      <c r="AG3" s="36"/>
      <c r="AH3" s="36"/>
      <c r="AM3" s="122" t="s">
        <v>267</v>
      </c>
      <c r="AN3" s="123"/>
      <c r="AO3" s="123"/>
      <c r="AP3" s="123"/>
      <c r="AQ3" s="123"/>
      <c r="AR3" s="124"/>
    </row>
    <row r="4" spans="1:44" ht="31.5" customHeight="1" x14ac:dyDescent="0.35">
      <c r="A4" s="3" t="s">
        <v>2</v>
      </c>
      <c r="B4" s="4">
        <f t="shared" ref="B4:AF4" si="1">B3</f>
        <v>45992</v>
      </c>
      <c r="C4" s="4">
        <f t="shared" si="1"/>
        <v>45993</v>
      </c>
      <c r="D4" s="4">
        <f t="shared" si="1"/>
        <v>45994</v>
      </c>
      <c r="E4" s="4">
        <f t="shared" si="1"/>
        <v>45995</v>
      </c>
      <c r="F4" s="4">
        <f t="shared" si="1"/>
        <v>45996</v>
      </c>
      <c r="G4" s="4">
        <f t="shared" si="1"/>
        <v>45997</v>
      </c>
      <c r="H4" s="4">
        <f t="shared" si="1"/>
        <v>45998</v>
      </c>
      <c r="I4" s="4">
        <f t="shared" si="1"/>
        <v>45999</v>
      </c>
      <c r="J4" s="4">
        <f t="shared" si="1"/>
        <v>46000</v>
      </c>
      <c r="K4" s="4">
        <f t="shared" si="1"/>
        <v>46001</v>
      </c>
      <c r="L4" s="4">
        <f t="shared" si="1"/>
        <v>46002</v>
      </c>
      <c r="M4" s="4">
        <f t="shared" si="1"/>
        <v>46003</v>
      </c>
      <c r="N4" s="4">
        <f t="shared" si="1"/>
        <v>46004</v>
      </c>
      <c r="O4" s="4">
        <f t="shared" si="1"/>
        <v>46005</v>
      </c>
      <c r="P4" s="4">
        <f t="shared" si="1"/>
        <v>46006</v>
      </c>
      <c r="Q4" s="4">
        <f t="shared" si="1"/>
        <v>46007</v>
      </c>
      <c r="R4" s="4">
        <f t="shared" si="1"/>
        <v>46008</v>
      </c>
      <c r="S4" s="4">
        <f t="shared" si="1"/>
        <v>46009</v>
      </c>
      <c r="T4" s="4">
        <f t="shared" si="1"/>
        <v>46010</v>
      </c>
      <c r="U4" s="4">
        <f t="shared" si="1"/>
        <v>46011</v>
      </c>
      <c r="V4" s="4">
        <f t="shared" si="1"/>
        <v>46012</v>
      </c>
      <c r="W4" s="4">
        <f t="shared" si="1"/>
        <v>46013</v>
      </c>
      <c r="X4" s="4">
        <f t="shared" si="1"/>
        <v>46014</v>
      </c>
      <c r="Y4" s="4">
        <f t="shared" si="1"/>
        <v>46015</v>
      </c>
      <c r="Z4" s="4">
        <f t="shared" si="1"/>
        <v>46016</v>
      </c>
      <c r="AA4" s="4">
        <f t="shared" si="1"/>
        <v>46017</v>
      </c>
      <c r="AB4" s="4">
        <f t="shared" si="1"/>
        <v>46018</v>
      </c>
      <c r="AC4" s="4">
        <f t="shared" si="1"/>
        <v>46019</v>
      </c>
      <c r="AD4" s="4">
        <f t="shared" si="1"/>
        <v>46020</v>
      </c>
      <c r="AE4" s="4">
        <f t="shared" si="1"/>
        <v>46021</v>
      </c>
      <c r="AF4" s="4">
        <f t="shared" si="1"/>
        <v>46022</v>
      </c>
      <c r="AG4" s="39" t="s">
        <v>174</v>
      </c>
      <c r="AH4" s="40" t="s">
        <v>175</v>
      </c>
      <c r="AI4" s="5">
        <v>45992</v>
      </c>
      <c r="AJ4" s="6">
        <f>EOMONTH(AI4,0)</f>
        <v>46022</v>
      </c>
      <c r="AM4" s="19" t="s">
        <v>54</v>
      </c>
      <c r="AN4" s="19" t="s">
        <v>269</v>
      </c>
      <c r="AO4" s="19" t="s">
        <v>55</v>
      </c>
      <c r="AP4" s="19" t="s">
        <v>56</v>
      </c>
      <c r="AQ4" s="19" t="s">
        <v>251</v>
      </c>
      <c r="AR4" s="19" t="s">
        <v>57</v>
      </c>
    </row>
    <row r="5" spans="1:44" x14ac:dyDescent="0.35">
      <c r="A5" s="7" t="s">
        <v>3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41">
        <f>COUNTA(B5:AF5)</f>
        <v>0</v>
      </c>
      <c r="AH5" s="42">
        <f>AG5*100/30</f>
        <v>0</v>
      </c>
      <c r="AM5" s="20"/>
      <c r="AN5" s="56"/>
      <c r="AO5" s="56"/>
      <c r="AP5" s="56"/>
      <c r="AQ5" s="57"/>
      <c r="AR5" s="20"/>
    </row>
    <row r="6" spans="1:44" x14ac:dyDescent="0.35">
      <c r="A6" s="7" t="s">
        <v>7</v>
      </c>
      <c r="B6" s="55" t="s">
        <v>846</v>
      </c>
      <c r="C6" s="55" t="s">
        <v>846</v>
      </c>
      <c r="D6" s="55" t="s">
        <v>846</v>
      </c>
      <c r="E6" s="55" t="s">
        <v>846</v>
      </c>
      <c r="F6" s="55" t="s">
        <v>846</v>
      </c>
      <c r="G6" s="55" t="s">
        <v>846</v>
      </c>
      <c r="H6" s="55" t="s">
        <v>846</v>
      </c>
      <c r="I6" s="55" t="s">
        <v>846</v>
      </c>
      <c r="J6" s="55" t="s">
        <v>846</v>
      </c>
      <c r="K6" s="55" t="s">
        <v>846</v>
      </c>
      <c r="L6" s="55" t="s">
        <v>846</v>
      </c>
      <c r="M6" s="55" t="s">
        <v>846</v>
      </c>
      <c r="N6" s="55" t="s">
        <v>846</v>
      </c>
      <c r="O6" s="55" t="s">
        <v>846</v>
      </c>
      <c r="P6" s="55" t="s">
        <v>846</v>
      </c>
      <c r="Q6" s="55" t="s">
        <v>846</v>
      </c>
      <c r="R6" s="55" t="s">
        <v>846</v>
      </c>
      <c r="S6" s="55" t="s">
        <v>846</v>
      </c>
      <c r="T6" s="55" t="s">
        <v>846</v>
      </c>
      <c r="U6" s="55" t="s">
        <v>846</v>
      </c>
      <c r="V6" s="55" t="s">
        <v>846</v>
      </c>
      <c r="W6" s="55" t="s">
        <v>846</v>
      </c>
      <c r="X6" s="55" t="s">
        <v>846</v>
      </c>
      <c r="Y6" s="55" t="s">
        <v>846</v>
      </c>
      <c r="Z6" s="55" t="s">
        <v>846</v>
      </c>
      <c r="AA6" s="55" t="s">
        <v>846</v>
      </c>
      <c r="AB6" s="55" t="s">
        <v>846</v>
      </c>
      <c r="AC6" s="55" t="s">
        <v>846</v>
      </c>
      <c r="AD6" s="55" t="s">
        <v>846</v>
      </c>
      <c r="AE6" s="55"/>
      <c r="AF6" s="55"/>
      <c r="AG6" s="41">
        <f t="shared" ref="AG6:AG11" si="2">COUNTA(B6:AF6)</f>
        <v>29</v>
      </c>
      <c r="AH6" s="42">
        <f>AG6*100/30</f>
        <v>96.666666666666671</v>
      </c>
      <c r="AM6" s="20"/>
      <c r="AN6" s="56"/>
      <c r="AO6" s="56"/>
      <c r="AP6" s="56"/>
      <c r="AQ6" s="57"/>
      <c r="AR6" s="20"/>
    </row>
    <row r="7" spans="1:44" x14ac:dyDescent="0.35">
      <c r="A7" s="7" t="s">
        <v>11</v>
      </c>
      <c r="B7" s="55"/>
      <c r="C7" s="55"/>
      <c r="D7" s="55"/>
      <c r="E7" s="55" t="s">
        <v>478</v>
      </c>
      <c r="F7" s="55" t="s">
        <v>478</v>
      </c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 t="s">
        <v>1074</v>
      </c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 t="s">
        <v>1061</v>
      </c>
      <c r="AG7" s="41">
        <f t="shared" si="2"/>
        <v>4</v>
      </c>
      <c r="AH7" s="42">
        <f t="shared" ref="AH7:AH11" si="3">AG7*100/30</f>
        <v>13.333333333333334</v>
      </c>
      <c r="AM7" s="20"/>
      <c r="AN7" s="56"/>
      <c r="AO7" s="56"/>
      <c r="AP7" s="56"/>
      <c r="AQ7" s="57"/>
      <c r="AR7" s="20"/>
    </row>
    <row r="8" spans="1:44" ht="15" customHeight="1" x14ac:dyDescent="0.35">
      <c r="A8" s="7" t="s">
        <v>15</v>
      </c>
      <c r="B8" s="55"/>
      <c r="C8" s="55"/>
      <c r="D8" s="55"/>
      <c r="E8" s="55" t="s">
        <v>478</v>
      </c>
      <c r="F8" s="55" t="s">
        <v>478</v>
      </c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 t="s">
        <v>1073</v>
      </c>
      <c r="U8" s="55" t="s">
        <v>1073</v>
      </c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 t="s">
        <v>482</v>
      </c>
      <c r="AG8" s="41">
        <f t="shared" si="2"/>
        <v>5</v>
      </c>
      <c r="AH8" s="42">
        <f t="shared" si="3"/>
        <v>16.666666666666668</v>
      </c>
      <c r="AK8" s="9"/>
      <c r="AM8" s="20"/>
      <c r="AN8" s="56"/>
      <c r="AO8" s="56"/>
      <c r="AP8" s="56"/>
      <c r="AQ8" s="57"/>
      <c r="AR8" s="20"/>
    </row>
    <row r="9" spans="1:44" ht="15.75" customHeight="1" x14ac:dyDescent="0.35">
      <c r="A9" s="7" t="s">
        <v>18</v>
      </c>
      <c r="B9" s="55"/>
      <c r="C9" s="55"/>
      <c r="D9" s="55"/>
      <c r="E9" s="55" t="s">
        <v>981</v>
      </c>
      <c r="F9" s="55" t="s">
        <v>981</v>
      </c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 t="s">
        <v>1074</v>
      </c>
      <c r="U9" s="55"/>
      <c r="V9" s="55"/>
      <c r="W9" s="55"/>
      <c r="X9" s="55"/>
      <c r="Y9" s="55"/>
      <c r="Z9" s="55" t="s">
        <v>1068</v>
      </c>
      <c r="AA9" s="55"/>
      <c r="AB9" s="55" t="s">
        <v>1070</v>
      </c>
      <c r="AC9" s="55"/>
      <c r="AD9" s="55"/>
      <c r="AE9" s="55"/>
      <c r="AF9" s="55"/>
      <c r="AG9" s="41">
        <f t="shared" si="2"/>
        <v>5</v>
      </c>
      <c r="AH9" s="42">
        <f t="shared" si="3"/>
        <v>16.666666666666668</v>
      </c>
      <c r="AM9" s="20"/>
      <c r="AN9" s="56"/>
      <c r="AO9" s="56"/>
      <c r="AP9" s="56"/>
      <c r="AQ9" s="57"/>
      <c r="AR9" s="20"/>
    </row>
    <row r="10" spans="1:44" ht="15.75" customHeight="1" x14ac:dyDescent="0.35">
      <c r="A10" s="7" t="s">
        <v>20</v>
      </c>
      <c r="B10" s="55"/>
      <c r="C10" s="55" t="s">
        <v>865</v>
      </c>
      <c r="D10" s="55"/>
      <c r="E10" s="55" t="s">
        <v>478</v>
      </c>
      <c r="F10" s="55" t="s">
        <v>478</v>
      </c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 t="s">
        <v>95</v>
      </c>
      <c r="U10" s="55" t="s">
        <v>95</v>
      </c>
      <c r="V10" s="55"/>
      <c r="W10" s="55"/>
      <c r="X10" s="55"/>
      <c r="Y10" s="55"/>
      <c r="Z10" s="55" t="s">
        <v>1068</v>
      </c>
      <c r="AA10" s="55"/>
      <c r="AB10" s="55" t="s">
        <v>1069</v>
      </c>
      <c r="AC10" s="55" t="s">
        <v>537</v>
      </c>
      <c r="AD10" s="55"/>
      <c r="AE10" s="55"/>
      <c r="AF10" s="55"/>
      <c r="AG10" s="41">
        <f t="shared" si="2"/>
        <v>8</v>
      </c>
      <c r="AH10" s="42">
        <f t="shared" si="3"/>
        <v>26.666666666666668</v>
      </c>
      <c r="AM10" s="20"/>
      <c r="AN10" s="56"/>
      <c r="AO10" s="56"/>
      <c r="AP10" s="56"/>
      <c r="AQ10" s="57"/>
      <c r="AR10" s="20"/>
    </row>
    <row r="11" spans="1:44" ht="15.75" customHeight="1" thickBot="1" x14ac:dyDescent="0.4">
      <c r="A11" s="7" t="s">
        <v>24</v>
      </c>
      <c r="B11" s="55"/>
      <c r="C11" s="55"/>
      <c r="D11" s="55"/>
      <c r="E11" s="55" t="s">
        <v>478</v>
      </c>
      <c r="F11" s="55" t="s">
        <v>478</v>
      </c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 t="s">
        <v>1074</v>
      </c>
      <c r="U11" s="55"/>
      <c r="V11" s="55"/>
      <c r="W11" s="55"/>
      <c r="X11" s="55"/>
      <c r="Y11" s="55"/>
      <c r="Z11" s="55" t="s">
        <v>1067</v>
      </c>
      <c r="AA11" s="55"/>
      <c r="AB11" s="8" t="s">
        <v>1064</v>
      </c>
      <c r="AC11" s="55"/>
      <c r="AD11" s="55" t="s">
        <v>1053</v>
      </c>
      <c r="AE11" s="55" t="s">
        <v>1053</v>
      </c>
      <c r="AF11" s="55" t="s">
        <v>1053</v>
      </c>
      <c r="AG11" s="41">
        <f t="shared" si="2"/>
        <v>8</v>
      </c>
      <c r="AH11" s="42">
        <f t="shared" si="3"/>
        <v>26.666666666666668</v>
      </c>
      <c r="AM11" s="20"/>
      <c r="AN11" s="56"/>
      <c r="AO11" s="56"/>
      <c r="AP11" s="56"/>
      <c r="AQ11" s="57"/>
      <c r="AR11" s="20"/>
    </row>
    <row r="12" spans="1:44" ht="15" customHeight="1" x14ac:dyDescent="0.35">
      <c r="A12" s="45" t="s">
        <v>176</v>
      </c>
      <c r="B12" s="46">
        <f>COUNTA(B5:B11)</f>
        <v>1</v>
      </c>
      <c r="C12" s="46">
        <f>COUNTA(C5:C11)</f>
        <v>2</v>
      </c>
      <c r="D12" s="46">
        <f t="shared" ref="D12:AF12" si="4">COUNTA(D5:D11)</f>
        <v>1</v>
      </c>
      <c r="E12" s="46">
        <f t="shared" si="4"/>
        <v>6</v>
      </c>
      <c r="F12" s="46">
        <f t="shared" si="4"/>
        <v>6</v>
      </c>
      <c r="G12" s="46">
        <f t="shared" si="4"/>
        <v>1</v>
      </c>
      <c r="H12" s="46">
        <f t="shared" si="4"/>
        <v>1</v>
      </c>
      <c r="I12" s="46">
        <f t="shared" si="4"/>
        <v>1</v>
      </c>
      <c r="J12" s="46">
        <f t="shared" si="4"/>
        <v>1</v>
      </c>
      <c r="K12" s="46">
        <f t="shared" si="4"/>
        <v>1</v>
      </c>
      <c r="L12" s="46">
        <f t="shared" si="4"/>
        <v>1</v>
      </c>
      <c r="M12" s="46">
        <f t="shared" si="4"/>
        <v>1</v>
      </c>
      <c r="N12" s="46">
        <f t="shared" si="4"/>
        <v>1</v>
      </c>
      <c r="O12" s="46">
        <f t="shared" si="4"/>
        <v>1</v>
      </c>
      <c r="P12" s="46">
        <f t="shared" si="4"/>
        <v>1</v>
      </c>
      <c r="Q12" s="46">
        <f t="shared" si="4"/>
        <v>1</v>
      </c>
      <c r="R12" s="46">
        <f t="shared" si="4"/>
        <v>1</v>
      </c>
      <c r="S12" s="46">
        <f t="shared" si="4"/>
        <v>1</v>
      </c>
      <c r="T12" s="46">
        <f t="shared" si="4"/>
        <v>6</v>
      </c>
      <c r="U12" s="46">
        <f t="shared" si="4"/>
        <v>3</v>
      </c>
      <c r="V12" s="46">
        <f t="shared" si="4"/>
        <v>1</v>
      </c>
      <c r="W12" s="46">
        <f t="shared" si="4"/>
        <v>1</v>
      </c>
      <c r="X12" s="46">
        <f t="shared" si="4"/>
        <v>1</v>
      </c>
      <c r="Y12" s="46">
        <f t="shared" si="4"/>
        <v>1</v>
      </c>
      <c r="Z12" s="46">
        <f t="shared" si="4"/>
        <v>4</v>
      </c>
      <c r="AA12" s="46">
        <f t="shared" si="4"/>
        <v>1</v>
      </c>
      <c r="AB12" s="46">
        <f t="shared" si="4"/>
        <v>4</v>
      </c>
      <c r="AC12" s="46">
        <f>COUNTA(AC5:AC11)</f>
        <v>2</v>
      </c>
      <c r="AD12" s="46">
        <f>COUNTA(AD5:AD11)</f>
        <v>2</v>
      </c>
      <c r="AE12" s="46">
        <f>COUNTA(AE5:AE11)</f>
        <v>1</v>
      </c>
      <c r="AF12" s="46">
        <f t="shared" si="4"/>
        <v>3</v>
      </c>
      <c r="AG12" s="43">
        <f t="shared" ref="AG12" si="5">SUM(AG5:AG11)</f>
        <v>59</v>
      </c>
      <c r="AH12" s="44">
        <f>AVERAGE(AH5:AH11)</f>
        <v>28.095238095238095</v>
      </c>
      <c r="AI12" s="29"/>
      <c r="AM12" s="20"/>
      <c r="AN12" s="20"/>
      <c r="AO12" s="20"/>
      <c r="AP12" s="20"/>
      <c r="AQ12" s="20"/>
      <c r="AR12" s="20"/>
    </row>
    <row r="13" spans="1:44" ht="85.5" hidden="1" x14ac:dyDescent="0.35">
      <c r="A13" s="13" t="s">
        <v>28</v>
      </c>
      <c r="B13" s="14"/>
      <c r="C13" s="14"/>
      <c r="D13" s="14"/>
      <c r="E13" s="14"/>
      <c r="F13" s="14"/>
      <c r="G13" s="14"/>
      <c r="H13" s="14"/>
      <c r="I13" s="35"/>
      <c r="J13" s="34"/>
      <c r="K13" s="15"/>
      <c r="L13" s="14"/>
      <c r="M13" s="14"/>
      <c r="N13" s="25"/>
      <c r="O13" s="25"/>
      <c r="P13" s="25"/>
      <c r="Q13" s="14"/>
      <c r="R13" s="14"/>
      <c r="S13" s="14"/>
      <c r="T13" s="14"/>
      <c r="U13" s="14"/>
      <c r="V13" s="15"/>
      <c r="W13" s="15"/>
      <c r="X13" s="14"/>
      <c r="Y13" s="14"/>
      <c r="Z13" s="14"/>
      <c r="AA13" s="14"/>
      <c r="AB13" s="14"/>
      <c r="AC13" s="14"/>
      <c r="AD13" s="14"/>
      <c r="AE13" s="14"/>
      <c r="AF13" s="14"/>
      <c r="AG13" s="37"/>
      <c r="AH13" s="37"/>
      <c r="AM13" s="20"/>
      <c r="AN13" s="20"/>
      <c r="AO13" s="20"/>
      <c r="AP13" s="20"/>
      <c r="AQ13" s="20"/>
      <c r="AR13" s="20"/>
    </row>
    <row r="14" spans="1:44" ht="28.5" hidden="1" x14ac:dyDescent="0.35">
      <c r="A14" s="16" t="s">
        <v>29</v>
      </c>
      <c r="B14" s="14"/>
      <c r="C14" s="14"/>
      <c r="D14" s="14"/>
      <c r="E14" s="14"/>
      <c r="F14" s="14"/>
      <c r="G14" s="14"/>
      <c r="H14" s="14"/>
      <c r="I14" s="35"/>
      <c r="J14" s="34"/>
      <c r="K14" s="15"/>
      <c r="L14" s="14"/>
      <c r="M14" s="14"/>
      <c r="N14" s="25"/>
      <c r="O14" s="25"/>
      <c r="P14" s="25"/>
      <c r="Q14" s="14"/>
      <c r="R14" s="14"/>
      <c r="S14" s="14"/>
      <c r="T14" s="14"/>
      <c r="U14" s="14"/>
      <c r="V14" s="15"/>
      <c r="W14" s="15"/>
      <c r="X14" s="14"/>
      <c r="Y14" s="14"/>
      <c r="Z14" s="14"/>
      <c r="AA14" s="14"/>
      <c r="AB14" s="14"/>
      <c r="AC14" s="14"/>
      <c r="AD14" s="14"/>
      <c r="AE14" s="14"/>
      <c r="AF14" s="14"/>
      <c r="AG14" s="37"/>
      <c r="AH14" s="37"/>
      <c r="AM14" s="20"/>
      <c r="AN14" s="20"/>
      <c r="AO14" s="20"/>
      <c r="AP14" s="20"/>
      <c r="AQ14" s="20"/>
      <c r="AR14" s="20"/>
    </row>
    <row r="15" spans="1:44" x14ac:dyDescent="0.35">
      <c r="A15" s="7" t="s">
        <v>30</v>
      </c>
      <c r="B15" s="55"/>
      <c r="C15" s="55"/>
      <c r="D15" s="55"/>
      <c r="E15" s="55" t="s">
        <v>478</v>
      </c>
      <c r="F15" s="55" t="s">
        <v>478</v>
      </c>
      <c r="G15" s="55" t="s">
        <v>1051</v>
      </c>
      <c r="H15" s="55" t="s">
        <v>1051</v>
      </c>
      <c r="I15" s="55" t="s">
        <v>1051</v>
      </c>
      <c r="J15" s="55" t="s">
        <v>1051</v>
      </c>
      <c r="K15" s="55" t="s">
        <v>1051</v>
      </c>
      <c r="L15" s="55" t="s">
        <v>1051</v>
      </c>
      <c r="M15" s="55" t="s">
        <v>1051</v>
      </c>
      <c r="N15" s="55"/>
      <c r="O15" s="55"/>
      <c r="P15" s="55"/>
      <c r="Q15" s="55"/>
      <c r="R15" s="55"/>
      <c r="S15" s="55"/>
      <c r="T15" s="55" t="s">
        <v>1074</v>
      </c>
      <c r="U15" s="55"/>
      <c r="V15" s="55"/>
      <c r="W15" s="55"/>
      <c r="X15" s="55" t="s">
        <v>1062</v>
      </c>
      <c r="Y15" s="55" t="s">
        <v>1062</v>
      </c>
      <c r="Z15" s="55" t="s">
        <v>1062</v>
      </c>
      <c r="AA15" s="55" t="s">
        <v>1062</v>
      </c>
      <c r="AB15" s="55" t="s">
        <v>1062</v>
      </c>
      <c r="AC15" s="55" t="s">
        <v>1062</v>
      </c>
      <c r="AD15" s="55" t="s">
        <v>1062</v>
      </c>
      <c r="AE15" s="55" t="s">
        <v>1062</v>
      </c>
      <c r="AF15" s="55" t="s">
        <v>1062</v>
      </c>
      <c r="AG15" s="41">
        <f>COUNTA(B15:AF15)</f>
        <v>19</v>
      </c>
      <c r="AH15" s="42">
        <f>AG15*100/30</f>
        <v>63.333333333333336</v>
      </c>
      <c r="AM15" s="20"/>
      <c r="AN15" s="20"/>
      <c r="AO15" s="20"/>
      <c r="AP15" s="20"/>
      <c r="AQ15" s="20"/>
      <c r="AR15" s="20"/>
    </row>
    <row r="16" spans="1:44" x14ac:dyDescent="0.35">
      <c r="A16" s="7" t="s">
        <v>35</v>
      </c>
      <c r="B16" s="8"/>
      <c r="C16" s="8" t="s">
        <v>1049</v>
      </c>
      <c r="D16" s="8" t="s">
        <v>1049</v>
      </c>
      <c r="E16" s="8" t="s">
        <v>1049</v>
      </c>
      <c r="F16" s="8" t="s">
        <v>1049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 t="s">
        <v>312</v>
      </c>
      <c r="U16" s="8" t="s">
        <v>312</v>
      </c>
      <c r="V16" s="8" t="s">
        <v>1071</v>
      </c>
      <c r="W16" s="8" t="s">
        <v>187</v>
      </c>
      <c r="X16" s="8" t="s">
        <v>187</v>
      </c>
      <c r="Y16" s="8" t="s">
        <v>187</v>
      </c>
      <c r="Z16" s="8" t="s">
        <v>187</v>
      </c>
      <c r="AA16" s="8" t="s">
        <v>187</v>
      </c>
      <c r="AB16" s="8" t="s">
        <v>187</v>
      </c>
      <c r="AC16" s="8" t="s">
        <v>187</v>
      </c>
      <c r="AD16" s="8" t="s">
        <v>187</v>
      </c>
      <c r="AE16" s="8"/>
      <c r="AF16" s="55"/>
      <c r="AG16" s="41">
        <f t="shared" ref="AG16:AG22" si="6">COUNTA(B16:AF16)</f>
        <v>15</v>
      </c>
      <c r="AH16" s="42">
        <f>AG16*100/30</f>
        <v>50</v>
      </c>
      <c r="AM16" s="20"/>
      <c r="AN16" s="20"/>
      <c r="AO16" s="56"/>
      <c r="AP16" s="56"/>
      <c r="AQ16" s="20"/>
      <c r="AR16" s="20"/>
    </row>
    <row r="17" spans="1:50" x14ac:dyDescent="0.35">
      <c r="A17" s="7" t="s">
        <v>39</v>
      </c>
      <c r="B17" s="55"/>
      <c r="C17" s="55"/>
      <c r="D17" s="55"/>
      <c r="E17" s="55" t="s">
        <v>478</v>
      </c>
      <c r="F17" s="55" t="s">
        <v>478</v>
      </c>
      <c r="G17" s="55" t="s">
        <v>1075</v>
      </c>
      <c r="H17" s="55" t="s">
        <v>1075</v>
      </c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 t="s">
        <v>361</v>
      </c>
      <c r="U17" s="55" t="s">
        <v>361</v>
      </c>
      <c r="V17" s="55" t="s">
        <v>361</v>
      </c>
      <c r="W17" s="55" t="s">
        <v>361</v>
      </c>
      <c r="X17" s="55" t="s">
        <v>361</v>
      </c>
      <c r="Y17" s="55" t="s">
        <v>361</v>
      </c>
      <c r="Z17" s="55" t="s">
        <v>361</v>
      </c>
      <c r="AA17" s="55" t="s">
        <v>361</v>
      </c>
      <c r="AB17" s="55" t="s">
        <v>361</v>
      </c>
      <c r="AC17" s="55" t="s">
        <v>361</v>
      </c>
      <c r="AD17" s="55" t="s">
        <v>361</v>
      </c>
      <c r="AE17" s="8"/>
      <c r="AF17" s="55"/>
      <c r="AG17" s="41">
        <f t="shared" si="6"/>
        <v>15</v>
      </c>
      <c r="AH17" s="42">
        <f t="shared" ref="AH17:AH22" si="7">AG17*100/30</f>
        <v>50</v>
      </c>
      <c r="AM17" s="20"/>
      <c r="AN17" s="20"/>
      <c r="AO17" s="20"/>
      <c r="AP17" s="20"/>
      <c r="AQ17" s="20"/>
      <c r="AR17" s="20"/>
      <c r="AX17" s="58"/>
    </row>
    <row r="18" spans="1:50" x14ac:dyDescent="0.35">
      <c r="A18" s="7" t="s">
        <v>42</v>
      </c>
      <c r="B18" s="8" t="s">
        <v>651</v>
      </c>
      <c r="C18" s="8" t="s">
        <v>651</v>
      </c>
      <c r="D18" s="8" t="s">
        <v>651</v>
      </c>
      <c r="E18" s="8" t="s">
        <v>651</v>
      </c>
      <c r="F18" s="8" t="s">
        <v>651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55" t="s">
        <v>1074</v>
      </c>
      <c r="U18" s="55" t="s">
        <v>1055</v>
      </c>
      <c r="V18" s="55" t="s">
        <v>1055</v>
      </c>
      <c r="W18" s="55" t="s">
        <v>1055</v>
      </c>
      <c r="X18" s="55" t="s">
        <v>1055</v>
      </c>
      <c r="Y18" s="55" t="s">
        <v>1055</v>
      </c>
      <c r="Z18" s="55" t="s">
        <v>1055</v>
      </c>
      <c r="AA18" s="55" t="s">
        <v>1055</v>
      </c>
      <c r="AB18" s="55" t="s">
        <v>1055</v>
      </c>
      <c r="AC18" s="55" t="s">
        <v>1055</v>
      </c>
      <c r="AD18" s="55" t="s">
        <v>1055</v>
      </c>
      <c r="AE18" s="55" t="s">
        <v>1055</v>
      </c>
      <c r="AF18" s="55" t="s">
        <v>1055</v>
      </c>
      <c r="AG18" s="41">
        <f t="shared" si="6"/>
        <v>18</v>
      </c>
      <c r="AH18" s="42">
        <f t="shared" si="7"/>
        <v>60</v>
      </c>
      <c r="AM18" s="20"/>
      <c r="AN18" s="20"/>
      <c r="AO18" s="20"/>
      <c r="AP18" s="20"/>
      <c r="AQ18" s="20"/>
      <c r="AR18" s="20"/>
      <c r="AX18" s="58"/>
    </row>
    <row r="19" spans="1:50" x14ac:dyDescent="0.35">
      <c r="A19" s="7" t="s">
        <v>45</v>
      </c>
      <c r="B19" s="8"/>
      <c r="C19" s="8"/>
      <c r="D19" s="8"/>
      <c r="E19" s="55" t="s">
        <v>478</v>
      </c>
      <c r="F19" s="55" t="s">
        <v>478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55" t="s">
        <v>1074</v>
      </c>
      <c r="U19" s="8" t="s">
        <v>187</v>
      </c>
      <c r="V19" s="8" t="s">
        <v>187</v>
      </c>
      <c r="W19" s="8" t="s">
        <v>187</v>
      </c>
      <c r="X19" s="8" t="s">
        <v>187</v>
      </c>
      <c r="Y19" s="8" t="s">
        <v>187</v>
      </c>
      <c r="Z19" s="8" t="s">
        <v>187</v>
      </c>
      <c r="AA19" s="8" t="s">
        <v>187</v>
      </c>
      <c r="AB19" s="8" t="s">
        <v>187</v>
      </c>
      <c r="AC19" s="8" t="s">
        <v>187</v>
      </c>
      <c r="AD19" s="8" t="s">
        <v>187</v>
      </c>
      <c r="AE19" s="8"/>
      <c r="AF19" s="55"/>
      <c r="AG19" s="41">
        <f t="shared" si="6"/>
        <v>13</v>
      </c>
      <c r="AH19" s="42">
        <f t="shared" si="7"/>
        <v>43.333333333333336</v>
      </c>
      <c r="AM19" s="20"/>
      <c r="AN19" s="20"/>
      <c r="AO19" s="20"/>
      <c r="AP19" s="20"/>
      <c r="AQ19" s="20"/>
      <c r="AR19" s="20"/>
      <c r="AX19" s="58"/>
    </row>
    <row r="20" spans="1:50" x14ac:dyDescent="0.35">
      <c r="A20" s="7" t="s">
        <v>47</v>
      </c>
      <c r="B20" s="8"/>
      <c r="C20" s="8"/>
      <c r="D20" s="8"/>
      <c r="E20" s="8" t="s">
        <v>1052</v>
      </c>
      <c r="F20" s="8" t="s">
        <v>1052</v>
      </c>
      <c r="G20" s="55" t="s">
        <v>1051</v>
      </c>
      <c r="H20" s="55" t="s">
        <v>1051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55" t="s">
        <v>1074</v>
      </c>
      <c r="U20" s="8"/>
      <c r="V20" s="8"/>
      <c r="W20" s="8"/>
      <c r="X20" s="8" t="s">
        <v>25</v>
      </c>
      <c r="Y20" s="8" t="s">
        <v>1064</v>
      </c>
      <c r="Z20" s="8" t="s">
        <v>1064</v>
      </c>
      <c r="AA20" s="8" t="s">
        <v>1064</v>
      </c>
      <c r="AB20" s="8" t="s">
        <v>1064</v>
      </c>
      <c r="AC20" s="8" t="s">
        <v>25</v>
      </c>
      <c r="AD20" s="8" t="s">
        <v>25</v>
      </c>
      <c r="AE20" s="8"/>
      <c r="AF20" s="55"/>
      <c r="AG20" s="41">
        <f t="shared" si="6"/>
        <v>12</v>
      </c>
      <c r="AH20" s="42">
        <f t="shared" si="7"/>
        <v>40</v>
      </c>
      <c r="AM20" s="20"/>
      <c r="AN20" s="20"/>
      <c r="AO20" s="20"/>
      <c r="AP20" s="20"/>
      <c r="AQ20" s="20"/>
      <c r="AR20" s="20"/>
      <c r="AX20" s="58"/>
    </row>
    <row r="21" spans="1:50" x14ac:dyDescent="0.35">
      <c r="A21" s="7" t="s">
        <v>50</v>
      </c>
      <c r="B21" s="55"/>
      <c r="C21" s="55"/>
      <c r="D21" s="55"/>
      <c r="E21" s="55" t="s">
        <v>478</v>
      </c>
      <c r="F21" s="55" t="s">
        <v>478</v>
      </c>
      <c r="G21" s="8" t="s">
        <v>1052</v>
      </c>
      <c r="H21" s="8" t="s">
        <v>1052</v>
      </c>
      <c r="I21" s="8" t="s">
        <v>1052</v>
      </c>
      <c r="J21" s="8" t="s">
        <v>1052</v>
      </c>
      <c r="K21" s="8" t="s">
        <v>1052</v>
      </c>
      <c r="L21" s="8" t="s">
        <v>1052</v>
      </c>
      <c r="M21" s="55"/>
      <c r="N21" s="55"/>
      <c r="O21" s="55"/>
      <c r="P21" s="55"/>
      <c r="Q21" s="55"/>
      <c r="R21" s="55"/>
      <c r="S21" s="55"/>
      <c r="T21" s="55" t="s">
        <v>1063</v>
      </c>
      <c r="U21" s="55" t="s">
        <v>1063</v>
      </c>
      <c r="V21" s="55" t="s">
        <v>1063</v>
      </c>
      <c r="W21" s="55" t="s">
        <v>1063</v>
      </c>
      <c r="X21" s="55" t="s">
        <v>1063</v>
      </c>
      <c r="Y21" s="55" t="s">
        <v>1063</v>
      </c>
      <c r="Z21" s="55" t="s">
        <v>1063</v>
      </c>
      <c r="AA21" s="55" t="s">
        <v>1063</v>
      </c>
      <c r="AB21" s="55" t="s">
        <v>1063</v>
      </c>
      <c r="AC21" s="55" t="s">
        <v>1063</v>
      </c>
      <c r="AD21" s="55" t="s">
        <v>1063</v>
      </c>
      <c r="AE21" s="8"/>
      <c r="AF21" s="55"/>
      <c r="AG21" s="41">
        <f t="shared" si="6"/>
        <v>19</v>
      </c>
      <c r="AH21" s="42">
        <f t="shared" si="7"/>
        <v>63.333333333333336</v>
      </c>
      <c r="AM21" s="20"/>
      <c r="AN21" s="20"/>
      <c r="AO21" s="20"/>
      <c r="AP21" s="20"/>
      <c r="AQ21" s="20"/>
      <c r="AR21" s="20"/>
      <c r="AX21" s="58"/>
    </row>
    <row r="22" spans="1:50" ht="15" thickBot="1" x14ac:dyDescent="0.4">
      <c r="A22" s="7" t="s">
        <v>51</v>
      </c>
      <c r="B22" s="8"/>
      <c r="C22" s="55" t="s">
        <v>1050</v>
      </c>
      <c r="D22" s="8"/>
      <c r="E22" s="8" t="s">
        <v>557</v>
      </c>
      <c r="F22" s="8" t="s">
        <v>557</v>
      </c>
      <c r="G22" s="55"/>
      <c r="H22" s="55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55" t="s">
        <v>1074</v>
      </c>
      <c r="U22" s="8" t="s">
        <v>1072</v>
      </c>
      <c r="V22" s="8" t="s">
        <v>1072</v>
      </c>
      <c r="W22" s="8"/>
      <c r="X22" s="8"/>
      <c r="Y22" s="8" t="s">
        <v>1066</v>
      </c>
      <c r="Z22" s="8" t="s">
        <v>1066</v>
      </c>
      <c r="AA22" s="8" t="s">
        <v>1065</v>
      </c>
      <c r="AB22" s="8" t="s">
        <v>1065</v>
      </c>
      <c r="AC22" s="8" t="s">
        <v>136</v>
      </c>
      <c r="AD22" s="55" t="s">
        <v>1053</v>
      </c>
      <c r="AE22" s="55" t="s">
        <v>1053</v>
      </c>
      <c r="AF22" s="55" t="s">
        <v>1053</v>
      </c>
      <c r="AG22" s="41">
        <f t="shared" si="6"/>
        <v>14</v>
      </c>
      <c r="AH22" s="42">
        <f t="shared" si="7"/>
        <v>46.666666666666664</v>
      </c>
      <c r="AX22" s="58"/>
    </row>
    <row r="23" spans="1:50" ht="15.5" x14ac:dyDescent="0.35">
      <c r="A23" s="45" t="s">
        <v>176</v>
      </c>
      <c r="B23" s="46">
        <f>COUNTA(B15:B22)</f>
        <v>1</v>
      </c>
      <c r="C23" s="46">
        <f>COUNTA(C16:C22)</f>
        <v>3</v>
      </c>
      <c r="D23" s="46">
        <f>COUNTA(D16:D22)</f>
        <v>2</v>
      </c>
      <c r="E23" s="46">
        <f t="shared" ref="E23:AF23" si="8">COUNTA(E15:E22)</f>
        <v>8</v>
      </c>
      <c r="F23" s="46">
        <f t="shared" si="8"/>
        <v>8</v>
      </c>
      <c r="G23" s="46">
        <f t="shared" si="8"/>
        <v>4</v>
      </c>
      <c r="H23" s="46">
        <f t="shared" si="8"/>
        <v>4</v>
      </c>
      <c r="I23" s="46">
        <f t="shared" si="8"/>
        <v>2</v>
      </c>
      <c r="J23" s="46">
        <f t="shared" si="8"/>
        <v>2</v>
      </c>
      <c r="K23" s="46">
        <f t="shared" si="8"/>
        <v>2</v>
      </c>
      <c r="L23" s="46">
        <f t="shared" si="8"/>
        <v>2</v>
      </c>
      <c r="M23" s="46">
        <f t="shared" si="8"/>
        <v>1</v>
      </c>
      <c r="N23" s="46">
        <f t="shared" si="8"/>
        <v>0</v>
      </c>
      <c r="O23" s="46">
        <f t="shared" si="8"/>
        <v>0</v>
      </c>
      <c r="P23" s="46">
        <f t="shared" si="8"/>
        <v>0</v>
      </c>
      <c r="Q23" s="46">
        <f t="shared" si="8"/>
        <v>0</v>
      </c>
      <c r="R23" s="46">
        <f t="shared" si="8"/>
        <v>0</v>
      </c>
      <c r="S23" s="46">
        <f t="shared" si="8"/>
        <v>0</v>
      </c>
      <c r="T23" s="46">
        <f>COUNTA(T15:T22)</f>
        <v>8</v>
      </c>
      <c r="U23" s="46">
        <f t="shared" si="8"/>
        <v>6</v>
      </c>
      <c r="V23" s="46">
        <f t="shared" si="8"/>
        <v>6</v>
      </c>
      <c r="W23" s="46">
        <f t="shared" si="8"/>
        <v>5</v>
      </c>
      <c r="X23" s="46">
        <f t="shared" si="8"/>
        <v>7</v>
      </c>
      <c r="Y23" s="46">
        <f t="shared" si="8"/>
        <v>8</v>
      </c>
      <c r="Z23" s="46">
        <f t="shared" si="8"/>
        <v>8</v>
      </c>
      <c r="AA23" s="46">
        <f t="shared" si="8"/>
        <v>8</v>
      </c>
      <c r="AB23" s="46">
        <f t="shared" si="8"/>
        <v>8</v>
      </c>
      <c r="AC23" s="46">
        <f t="shared" si="8"/>
        <v>8</v>
      </c>
      <c r="AD23" s="46">
        <f t="shared" si="8"/>
        <v>8</v>
      </c>
      <c r="AE23" s="46">
        <f t="shared" si="8"/>
        <v>3</v>
      </c>
      <c r="AF23" s="46">
        <f t="shared" si="8"/>
        <v>3</v>
      </c>
      <c r="AG23" s="43">
        <f>SUM(AG15:AG22)</f>
        <v>125</v>
      </c>
      <c r="AH23" s="42">
        <f>AG23*100/30</f>
        <v>416.66666666666669</v>
      </c>
      <c r="AX23" s="58"/>
    </row>
    <row r="24" spans="1:50" ht="15.5" x14ac:dyDescent="0.35">
      <c r="A24" s="47" t="s">
        <v>178</v>
      </c>
      <c r="B24" s="52">
        <f>B12+B23</f>
        <v>2</v>
      </c>
      <c r="C24" s="52">
        <f t="shared" ref="C24:AF24" si="9">C12+C23</f>
        <v>5</v>
      </c>
      <c r="D24" s="52">
        <f t="shared" si="9"/>
        <v>3</v>
      </c>
      <c r="E24" s="52">
        <f t="shared" si="9"/>
        <v>14</v>
      </c>
      <c r="F24" s="52">
        <f t="shared" si="9"/>
        <v>14</v>
      </c>
      <c r="G24" s="52">
        <f t="shared" si="9"/>
        <v>5</v>
      </c>
      <c r="H24" s="52">
        <f t="shared" si="9"/>
        <v>5</v>
      </c>
      <c r="I24" s="52">
        <f t="shared" si="9"/>
        <v>3</v>
      </c>
      <c r="J24" s="52">
        <f t="shared" si="9"/>
        <v>3</v>
      </c>
      <c r="K24" s="52">
        <f t="shared" si="9"/>
        <v>3</v>
      </c>
      <c r="L24" s="52">
        <f t="shared" si="9"/>
        <v>3</v>
      </c>
      <c r="M24" s="52">
        <f t="shared" si="9"/>
        <v>2</v>
      </c>
      <c r="N24" s="52">
        <f t="shared" si="9"/>
        <v>1</v>
      </c>
      <c r="O24" s="52">
        <f t="shared" si="9"/>
        <v>1</v>
      </c>
      <c r="P24" s="52">
        <f t="shared" si="9"/>
        <v>1</v>
      </c>
      <c r="Q24" s="52">
        <f t="shared" si="9"/>
        <v>1</v>
      </c>
      <c r="R24" s="52">
        <f t="shared" si="9"/>
        <v>1</v>
      </c>
      <c r="S24" s="52">
        <f t="shared" si="9"/>
        <v>1</v>
      </c>
      <c r="T24" s="52">
        <f t="shared" si="9"/>
        <v>14</v>
      </c>
      <c r="U24" s="52">
        <f t="shared" si="9"/>
        <v>9</v>
      </c>
      <c r="V24" s="52">
        <f t="shared" si="9"/>
        <v>7</v>
      </c>
      <c r="W24" s="52">
        <f t="shared" si="9"/>
        <v>6</v>
      </c>
      <c r="X24" s="52">
        <f t="shared" si="9"/>
        <v>8</v>
      </c>
      <c r="Y24" s="52">
        <f t="shared" si="9"/>
        <v>9</v>
      </c>
      <c r="Z24" s="52">
        <f t="shared" si="9"/>
        <v>12</v>
      </c>
      <c r="AA24" s="52">
        <f t="shared" si="9"/>
        <v>9</v>
      </c>
      <c r="AB24" s="52">
        <f t="shared" si="9"/>
        <v>12</v>
      </c>
      <c r="AC24" s="52">
        <f t="shared" si="9"/>
        <v>10</v>
      </c>
      <c r="AD24" s="52">
        <f t="shared" si="9"/>
        <v>10</v>
      </c>
      <c r="AE24" s="52">
        <f t="shared" si="9"/>
        <v>4</v>
      </c>
      <c r="AF24" s="52">
        <f t="shared" si="9"/>
        <v>6</v>
      </c>
      <c r="AG24" s="49">
        <f>+AG12+AG23</f>
        <v>184</v>
      </c>
      <c r="AX24" s="58"/>
    </row>
    <row r="25" spans="1:50" ht="15.5" x14ac:dyDescent="0.35">
      <c r="A25" s="48" t="s">
        <v>179</v>
      </c>
      <c r="B25" s="42">
        <f>B24*100/15</f>
        <v>13.333333333333334</v>
      </c>
      <c r="C25" s="42">
        <f t="shared" ref="C25:AF25" si="10">C24*100/15</f>
        <v>33.333333333333336</v>
      </c>
      <c r="D25" s="42">
        <f t="shared" si="10"/>
        <v>20</v>
      </c>
      <c r="E25" s="42">
        <f t="shared" si="10"/>
        <v>93.333333333333329</v>
      </c>
      <c r="F25" s="42">
        <f t="shared" si="10"/>
        <v>93.333333333333329</v>
      </c>
      <c r="G25" s="42">
        <f t="shared" si="10"/>
        <v>33.333333333333336</v>
      </c>
      <c r="H25" s="42">
        <f t="shared" si="10"/>
        <v>33.333333333333336</v>
      </c>
      <c r="I25" s="42">
        <f t="shared" si="10"/>
        <v>20</v>
      </c>
      <c r="J25" s="42">
        <f t="shared" si="10"/>
        <v>20</v>
      </c>
      <c r="K25" s="42">
        <f t="shared" si="10"/>
        <v>20</v>
      </c>
      <c r="L25" s="42">
        <f t="shared" si="10"/>
        <v>20</v>
      </c>
      <c r="M25" s="42">
        <f t="shared" si="10"/>
        <v>13.333333333333334</v>
      </c>
      <c r="N25" s="42">
        <f t="shared" si="10"/>
        <v>6.666666666666667</v>
      </c>
      <c r="O25" s="42">
        <f t="shared" si="10"/>
        <v>6.666666666666667</v>
      </c>
      <c r="P25" s="42">
        <f t="shared" si="10"/>
        <v>6.666666666666667</v>
      </c>
      <c r="Q25" s="42">
        <f t="shared" si="10"/>
        <v>6.666666666666667</v>
      </c>
      <c r="R25" s="42">
        <f t="shared" si="10"/>
        <v>6.666666666666667</v>
      </c>
      <c r="S25" s="42">
        <f t="shared" si="10"/>
        <v>6.666666666666667</v>
      </c>
      <c r="T25" s="42">
        <f t="shared" si="10"/>
        <v>93.333333333333329</v>
      </c>
      <c r="U25" s="42">
        <f t="shared" si="10"/>
        <v>60</v>
      </c>
      <c r="V25" s="42">
        <f t="shared" si="10"/>
        <v>46.666666666666664</v>
      </c>
      <c r="W25" s="42">
        <f t="shared" si="10"/>
        <v>40</v>
      </c>
      <c r="X25" s="42">
        <f t="shared" si="10"/>
        <v>53.333333333333336</v>
      </c>
      <c r="Y25" s="42">
        <f t="shared" si="10"/>
        <v>60</v>
      </c>
      <c r="Z25" s="42">
        <f t="shared" si="10"/>
        <v>80</v>
      </c>
      <c r="AA25" s="42">
        <f t="shared" si="10"/>
        <v>60</v>
      </c>
      <c r="AB25" s="42">
        <f t="shared" si="10"/>
        <v>80</v>
      </c>
      <c r="AC25" s="42">
        <f t="shared" si="10"/>
        <v>66.666666666666671</v>
      </c>
      <c r="AD25" s="42">
        <f t="shared" si="10"/>
        <v>66.666666666666671</v>
      </c>
      <c r="AE25" s="42">
        <f t="shared" si="10"/>
        <v>26.666666666666668</v>
      </c>
      <c r="AF25" s="42">
        <f t="shared" si="10"/>
        <v>40</v>
      </c>
      <c r="AG25" s="50">
        <f>AVERAGE(B25:AE25)</f>
        <v>39.555555555555564</v>
      </c>
      <c r="AH25" s="51" t="s">
        <v>180</v>
      </c>
      <c r="AX25" s="58"/>
    </row>
    <row r="26" spans="1:50" x14ac:dyDescent="0.35">
      <c r="AX26" s="58"/>
    </row>
    <row r="31" spans="1:50" x14ac:dyDescent="0.35">
      <c r="C31" s="92"/>
    </row>
    <row r="32" spans="1:50" x14ac:dyDescent="0.35">
      <c r="C32" s="92"/>
    </row>
    <row r="33" spans="3:3" x14ac:dyDescent="0.35">
      <c r="C33" s="93"/>
    </row>
    <row r="34" spans="3:3" x14ac:dyDescent="0.35">
      <c r="C34" s="93"/>
    </row>
    <row r="35" spans="3:3" x14ac:dyDescent="0.35">
      <c r="C35" s="92"/>
    </row>
    <row r="36" spans="3:3" x14ac:dyDescent="0.35">
      <c r="C36" s="92"/>
    </row>
    <row r="37" spans="3:3" x14ac:dyDescent="0.35">
      <c r="C37" s="92"/>
    </row>
    <row r="38" spans="3:3" x14ac:dyDescent="0.35">
      <c r="C38" s="92"/>
    </row>
    <row r="39" spans="3:3" x14ac:dyDescent="0.35">
      <c r="C39" s="92"/>
    </row>
    <row r="40" spans="3:3" x14ac:dyDescent="0.35">
      <c r="C40" s="92"/>
    </row>
    <row r="41" spans="3:3" x14ac:dyDescent="0.35">
      <c r="C41" s="92"/>
    </row>
    <row r="42" spans="3:3" x14ac:dyDescent="0.35">
      <c r="C42" s="92"/>
    </row>
    <row r="43" spans="3:3" x14ac:dyDescent="0.35">
      <c r="C43" s="92"/>
    </row>
  </sheetData>
  <mergeCells count="2">
    <mergeCell ref="A1:AE1"/>
    <mergeCell ref="AM3:AR3"/>
  </mergeCells>
  <conditionalFormatting sqref="B15:D15 G15:S15 U15:V15">
    <cfRule type="colorScale" priority="3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7:D17 G17:AD17">
    <cfRule type="colorScale" priority="3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9:D19 G18:S19 B20:F20 U20:AD20 I20:S20">
    <cfRule type="colorScale" priority="38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21:D21 M21:AD21">
    <cfRule type="colorScale" priority="3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8:F18">
    <cfRule type="colorScale" priority="18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6:AD6">
    <cfRule type="colorScale" priority="19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6:AD16">
    <cfRule type="colorScale" priority="3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C22">
    <cfRule type="colorScale" priority="1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D22:F22 B22 U22:AC22 I22:S22">
    <cfRule type="colorScale" priority="3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E15:F15">
    <cfRule type="colorScale" priority="1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E17:F17">
    <cfRule type="colorScale" priority="1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E19:F19">
    <cfRule type="colorScale" priority="1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E21:F21">
    <cfRule type="colorScale" priority="1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G20:H20">
    <cfRule type="colorScale" priority="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G22:H22">
    <cfRule type="colorScale" priority="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G21:L21">
    <cfRule type="colorScale" priority="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L13:U14 B13:I14 X13:AH14">
    <cfRule type="colorScale" priority="4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T15">
    <cfRule type="colorScale" priority="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T18">
    <cfRule type="colorScale" priority="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T19:T20">
    <cfRule type="colorScale" priority="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T22">
    <cfRule type="colorScale" priority="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U19:AD19">
    <cfRule type="colorScale" priority="18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B11">
    <cfRule type="colorScale" priority="8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D22:AF22">
    <cfRule type="colorScale" priority="10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E6">
    <cfRule type="colorScale" priority="3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E16:AE17 AE19:AE21">
    <cfRule type="colorScale" priority="39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F5:AF6 B5:AE5 AC11 B7:AE10 B11:AA11">
    <cfRule type="colorScale" priority="4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F7:AF11 AD11:AE11">
    <cfRule type="colorScale" priority="1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F15:AF21 W15:AE15 U18:AE18">
    <cfRule type="colorScale" priority="179">
      <colorScale>
        <cfvo type="num" val="1"/>
        <cfvo type="max"/>
        <color theme="4" tint="0.59999389629810485"/>
        <color theme="5" tint="0.59999389629810485"/>
      </colorScale>
    </cfRule>
  </conditionalFormatting>
  <pageMargins left="0.2" right="0.45" top="0.75" bottom="0.75" header="0.3" footer="0.3"/>
  <pageSetup scale="90"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20F92-347C-4C26-898D-1F5042E14E9F}">
  <dimension ref="A1:AX43"/>
  <sheetViews>
    <sheetView zoomScale="110" zoomScaleNormal="110" workbookViewId="0">
      <pane xSplit="1" ySplit="4" topLeftCell="Y5" activePane="bottomRight" state="frozen"/>
      <selection pane="topRight" activeCell="B1" sqref="B1"/>
      <selection pane="bottomLeft" activeCell="A5" sqref="A5"/>
      <selection pane="bottomRight" activeCell="AF15" sqref="AF15:AF22"/>
    </sheetView>
  </sheetViews>
  <sheetFormatPr defaultRowHeight="14.5" x14ac:dyDescent="0.35"/>
  <cols>
    <col min="1" max="1" width="43.54296875" bestFit="1" customWidth="1"/>
    <col min="2" max="7" width="12.54296875" bestFit="1" customWidth="1"/>
    <col min="8" max="8" width="17.453125" customWidth="1"/>
    <col min="9" max="9" width="13.453125" bestFit="1" customWidth="1"/>
    <col min="10" max="13" width="11.81640625" bestFit="1" customWidth="1"/>
    <col min="14" max="19" width="5.54296875" bestFit="1" customWidth="1"/>
    <col min="20" max="20" width="12.81640625" bestFit="1" customWidth="1"/>
    <col min="21" max="21" width="11.81640625" bestFit="1" customWidth="1"/>
    <col min="22" max="31" width="12.81640625" bestFit="1" customWidth="1"/>
    <col min="32" max="32" width="11.1796875" customWidth="1"/>
    <col min="33" max="33" width="4.7265625" bestFit="1" customWidth="1"/>
    <col min="34" max="34" width="8.453125" bestFit="1" customWidth="1"/>
    <col min="35" max="35" width="8" bestFit="1" customWidth="1"/>
    <col min="36" max="36" width="8.81640625" bestFit="1" customWidth="1"/>
    <col min="37" max="37" width="0" hidden="1" customWidth="1"/>
    <col min="38" max="38" width="3" hidden="1" customWidth="1"/>
    <col min="39" max="39" width="17.81640625" bestFit="1" customWidth="1"/>
    <col min="40" max="40" width="9.1796875" bestFit="1" customWidth="1"/>
    <col min="41" max="41" width="9.81640625" bestFit="1" customWidth="1"/>
    <col min="42" max="42" width="10.81640625" bestFit="1" customWidth="1"/>
    <col min="43" max="43" width="10.1796875" bestFit="1" customWidth="1"/>
    <col min="44" max="44" width="23.1796875" bestFit="1" customWidth="1"/>
    <col min="45" max="45" width="0.453125" hidden="1" customWidth="1"/>
    <col min="46" max="49" width="0" hidden="1" customWidth="1"/>
    <col min="51" max="51" width="15" bestFit="1" customWidth="1"/>
  </cols>
  <sheetData>
    <row r="1" spans="1:44" ht="15.5" x14ac:dyDescent="0.35">
      <c r="A1" s="120" t="s">
        <v>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65"/>
    </row>
    <row r="2" spans="1:44" ht="15" thickBot="1" x14ac:dyDescent="0.4"/>
    <row r="3" spans="1:44" ht="45.75" customHeight="1" x14ac:dyDescent="0.35">
      <c r="A3" s="1" t="s">
        <v>1</v>
      </c>
      <c r="B3" s="2">
        <f>AI4</f>
        <v>46023</v>
      </c>
      <c r="C3" s="2">
        <f t="shared" ref="C3:AF3" si="0">B3+1</f>
        <v>46024</v>
      </c>
      <c r="D3" s="2">
        <f t="shared" si="0"/>
        <v>46025</v>
      </c>
      <c r="E3" s="2">
        <f t="shared" si="0"/>
        <v>46026</v>
      </c>
      <c r="F3" s="2">
        <f t="shared" si="0"/>
        <v>46027</v>
      </c>
      <c r="G3" s="2">
        <f t="shared" si="0"/>
        <v>46028</v>
      </c>
      <c r="H3" s="2">
        <f t="shared" si="0"/>
        <v>46029</v>
      </c>
      <c r="I3" s="2">
        <f>H3+1</f>
        <v>46030</v>
      </c>
      <c r="J3" s="2">
        <f t="shared" si="0"/>
        <v>46031</v>
      </c>
      <c r="K3" s="2">
        <f t="shared" si="0"/>
        <v>46032</v>
      </c>
      <c r="L3" s="2">
        <f t="shared" si="0"/>
        <v>46033</v>
      </c>
      <c r="M3" s="2">
        <f t="shared" si="0"/>
        <v>46034</v>
      </c>
      <c r="N3" s="2">
        <f t="shared" si="0"/>
        <v>46035</v>
      </c>
      <c r="O3" s="2">
        <f t="shared" si="0"/>
        <v>46036</v>
      </c>
      <c r="P3" s="2">
        <f t="shared" si="0"/>
        <v>46037</v>
      </c>
      <c r="Q3" s="2">
        <f t="shared" si="0"/>
        <v>46038</v>
      </c>
      <c r="R3" s="2">
        <f t="shared" si="0"/>
        <v>46039</v>
      </c>
      <c r="S3" s="2">
        <f t="shared" si="0"/>
        <v>46040</v>
      </c>
      <c r="T3" s="2">
        <f t="shared" si="0"/>
        <v>46041</v>
      </c>
      <c r="U3" s="2">
        <f t="shared" si="0"/>
        <v>46042</v>
      </c>
      <c r="V3" s="2">
        <f t="shared" si="0"/>
        <v>46043</v>
      </c>
      <c r="W3" s="2">
        <f t="shared" si="0"/>
        <v>46044</v>
      </c>
      <c r="X3" s="2">
        <f t="shared" si="0"/>
        <v>46045</v>
      </c>
      <c r="Y3" s="2">
        <f t="shared" si="0"/>
        <v>46046</v>
      </c>
      <c r="Z3" s="2">
        <f t="shared" si="0"/>
        <v>46047</v>
      </c>
      <c r="AA3" s="2">
        <f t="shared" si="0"/>
        <v>46048</v>
      </c>
      <c r="AB3" s="2">
        <f t="shared" si="0"/>
        <v>46049</v>
      </c>
      <c r="AC3" s="2">
        <f t="shared" si="0"/>
        <v>46050</v>
      </c>
      <c r="AD3" s="2">
        <f t="shared" si="0"/>
        <v>46051</v>
      </c>
      <c r="AE3" s="2">
        <f t="shared" si="0"/>
        <v>46052</v>
      </c>
      <c r="AF3" s="2">
        <f t="shared" si="0"/>
        <v>46053</v>
      </c>
      <c r="AG3" s="36"/>
      <c r="AH3" s="36"/>
      <c r="AM3" s="122" t="s">
        <v>267</v>
      </c>
      <c r="AN3" s="123"/>
      <c r="AO3" s="123"/>
      <c r="AP3" s="123"/>
      <c r="AQ3" s="123"/>
      <c r="AR3" s="124"/>
    </row>
    <row r="4" spans="1:44" ht="31.5" customHeight="1" x14ac:dyDescent="0.35">
      <c r="A4" s="3" t="s">
        <v>2</v>
      </c>
      <c r="B4" s="4">
        <f t="shared" ref="B4:AF4" si="1">B3</f>
        <v>46023</v>
      </c>
      <c r="C4" s="4">
        <f t="shared" si="1"/>
        <v>46024</v>
      </c>
      <c r="D4" s="4">
        <f t="shared" si="1"/>
        <v>46025</v>
      </c>
      <c r="E4" s="4">
        <f t="shared" si="1"/>
        <v>46026</v>
      </c>
      <c r="F4" s="4">
        <f t="shared" si="1"/>
        <v>46027</v>
      </c>
      <c r="G4" s="4">
        <f t="shared" si="1"/>
        <v>46028</v>
      </c>
      <c r="H4" s="4">
        <f t="shared" si="1"/>
        <v>46029</v>
      </c>
      <c r="I4" s="4">
        <f t="shared" si="1"/>
        <v>46030</v>
      </c>
      <c r="J4" s="4">
        <f t="shared" si="1"/>
        <v>46031</v>
      </c>
      <c r="K4" s="4">
        <f t="shared" si="1"/>
        <v>46032</v>
      </c>
      <c r="L4" s="4">
        <f t="shared" si="1"/>
        <v>46033</v>
      </c>
      <c r="M4" s="4">
        <f t="shared" si="1"/>
        <v>46034</v>
      </c>
      <c r="N4" s="4">
        <f t="shared" si="1"/>
        <v>46035</v>
      </c>
      <c r="O4" s="4">
        <f t="shared" si="1"/>
        <v>46036</v>
      </c>
      <c r="P4" s="4">
        <f t="shared" si="1"/>
        <v>46037</v>
      </c>
      <c r="Q4" s="4">
        <f t="shared" si="1"/>
        <v>46038</v>
      </c>
      <c r="R4" s="4">
        <f t="shared" si="1"/>
        <v>46039</v>
      </c>
      <c r="S4" s="4">
        <f t="shared" si="1"/>
        <v>46040</v>
      </c>
      <c r="T4" s="4">
        <f t="shared" si="1"/>
        <v>46041</v>
      </c>
      <c r="U4" s="4">
        <f t="shared" si="1"/>
        <v>46042</v>
      </c>
      <c r="V4" s="4">
        <f t="shared" si="1"/>
        <v>46043</v>
      </c>
      <c r="W4" s="4">
        <f t="shared" si="1"/>
        <v>46044</v>
      </c>
      <c r="X4" s="4">
        <f t="shared" si="1"/>
        <v>46045</v>
      </c>
      <c r="Y4" s="4">
        <f t="shared" si="1"/>
        <v>46046</v>
      </c>
      <c r="Z4" s="4">
        <f t="shared" si="1"/>
        <v>46047</v>
      </c>
      <c r="AA4" s="4">
        <f t="shared" si="1"/>
        <v>46048</v>
      </c>
      <c r="AB4" s="4">
        <f t="shared" si="1"/>
        <v>46049</v>
      </c>
      <c r="AC4" s="4">
        <f t="shared" si="1"/>
        <v>46050</v>
      </c>
      <c r="AD4" s="4">
        <f t="shared" si="1"/>
        <v>46051</v>
      </c>
      <c r="AE4" s="4">
        <f t="shared" si="1"/>
        <v>46052</v>
      </c>
      <c r="AF4" s="4">
        <f t="shared" si="1"/>
        <v>46053</v>
      </c>
      <c r="AG4" s="39" t="s">
        <v>174</v>
      </c>
      <c r="AH4" s="40" t="s">
        <v>175</v>
      </c>
      <c r="AI4" s="5">
        <v>46023</v>
      </c>
      <c r="AJ4" s="6">
        <f>EOMONTH(AI4,0)</f>
        <v>46053</v>
      </c>
      <c r="AM4" s="19" t="s">
        <v>54</v>
      </c>
      <c r="AN4" s="19" t="s">
        <v>269</v>
      </c>
      <c r="AO4" s="19" t="s">
        <v>55</v>
      </c>
      <c r="AP4" s="19" t="s">
        <v>56</v>
      </c>
      <c r="AQ4" s="19" t="s">
        <v>251</v>
      </c>
      <c r="AR4" s="19" t="s">
        <v>57</v>
      </c>
    </row>
    <row r="5" spans="1:44" x14ac:dyDescent="0.35">
      <c r="A5" s="7" t="s">
        <v>3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 t="s">
        <v>852</v>
      </c>
      <c r="R5" s="55" t="s">
        <v>852</v>
      </c>
      <c r="S5" s="55" t="s">
        <v>852</v>
      </c>
      <c r="T5" s="55" t="s">
        <v>852</v>
      </c>
      <c r="U5" s="55" t="s">
        <v>852</v>
      </c>
      <c r="V5" s="55" t="s">
        <v>852</v>
      </c>
      <c r="W5" s="55" t="s">
        <v>852</v>
      </c>
      <c r="X5" s="55"/>
      <c r="Y5" s="55"/>
      <c r="Z5" s="55"/>
      <c r="AA5" s="55"/>
      <c r="AB5" s="55"/>
      <c r="AC5" s="55"/>
      <c r="AD5" s="55"/>
      <c r="AE5" s="55"/>
      <c r="AF5" s="55"/>
      <c r="AG5" s="41">
        <f>COUNTA(B5:AF5)</f>
        <v>7</v>
      </c>
      <c r="AH5" s="42">
        <f>AG5*100/30</f>
        <v>23.333333333333332</v>
      </c>
      <c r="AM5" s="20"/>
      <c r="AN5" s="56"/>
      <c r="AO5" s="56"/>
      <c r="AP5" s="56"/>
      <c r="AQ5" s="57"/>
      <c r="AR5" s="20"/>
    </row>
    <row r="6" spans="1:44" x14ac:dyDescent="0.35">
      <c r="A6" s="7" t="s">
        <v>7</v>
      </c>
      <c r="B6" s="55"/>
      <c r="C6" s="55"/>
      <c r="D6" s="55"/>
      <c r="E6" s="55"/>
      <c r="F6" s="55"/>
      <c r="G6" s="55" t="s">
        <v>1057</v>
      </c>
      <c r="H6" s="55" t="s">
        <v>1057</v>
      </c>
      <c r="I6" s="55" t="s">
        <v>1057</v>
      </c>
      <c r="J6" s="55" t="s">
        <v>1057</v>
      </c>
      <c r="K6" s="55" t="s">
        <v>1057</v>
      </c>
      <c r="L6" s="55" t="s">
        <v>1057</v>
      </c>
      <c r="M6" s="55" t="s">
        <v>1057</v>
      </c>
      <c r="N6" s="55" t="s">
        <v>1057</v>
      </c>
      <c r="O6" s="55" t="s">
        <v>1057</v>
      </c>
      <c r="P6" s="55"/>
      <c r="Q6" s="55" t="s">
        <v>852</v>
      </c>
      <c r="R6" s="55" t="s">
        <v>852</v>
      </c>
      <c r="S6" s="55" t="s">
        <v>852</v>
      </c>
      <c r="T6" s="112" t="s">
        <v>1085</v>
      </c>
      <c r="U6" s="112" t="s">
        <v>1085</v>
      </c>
      <c r="V6" s="112" t="s">
        <v>1085</v>
      </c>
      <c r="W6" s="112" t="s">
        <v>1085</v>
      </c>
      <c r="X6" s="112" t="s">
        <v>1085</v>
      </c>
      <c r="Y6" s="112" t="s">
        <v>1085</v>
      </c>
      <c r="Z6" s="112" t="s">
        <v>1085</v>
      </c>
      <c r="AA6" s="112" t="s">
        <v>1085</v>
      </c>
      <c r="AB6" s="112" t="s">
        <v>1085</v>
      </c>
      <c r="AC6" s="112" t="s">
        <v>1085</v>
      </c>
      <c r="AD6" s="112" t="s">
        <v>1085</v>
      </c>
      <c r="AE6" s="112" t="s">
        <v>1085</v>
      </c>
      <c r="AF6" s="112" t="s">
        <v>1085</v>
      </c>
      <c r="AG6" s="41">
        <f t="shared" ref="AG6:AG11" si="2">COUNTA(B6:AF6)</f>
        <v>25</v>
      </c>
      <c r="AH6" s="42">
        <f>AG6*100/30</f>
        <v>83.333333333333329</v>
      </c>
      <c r="AM6" s="20"/>
      <c r="AN6" s="56"/>
      <c r="AO6" s="56"/>
      <c r="AP6" s="56"/>
      <c r="AQ6" s="57"/>
      <c r="AR6" s="20"/>
    </row>
    <row r="7" spans="1:44" x14ac:dyDescent="0.35">
      <c r="A7" s="7" t="s">
        <v>11</v>
      </c>
      <c r="B7" s="55" t="s">
        <v>1061</v>
      </c>
      <c r="C7" s="55" t="s">
        <v>1061</v>
      </c>
      <c r="D7" s="55"/>
      <c r="E7" s="55" t="s">
        <v>1054</v>
      </c>
      <c r="F7" s="55" t="s">
        <v>1054</v>
      </c>
      <c r="G7" s="55" t="s">
        <v>1054</v>
      </c>
      <c r="H7" s="55" t="s">
        <v>1054</v>
      </c>
      <c r="I7" s="55" t="s">
        <v>1054</v>
      </c>
      <c r="J7" s="55" t="s">
        <v>1054</v>
      </c>
      <c r="K7" s="55" t="s">
        <v>1054</v>
      </c>
      <c r="L7" s="55"/>
      <c r="M7" s="55"/>
      <c r="N7" s="55"/>
      <c r="O7" s="55"/>
      <c r="P7" s="55"/>
      <c r="Q7" s="55" t="s">
        <v>852</v>
      </c>
      <c r="R7" s="55" t="s">
        <v>852</v>
      </c>
      <c r="S7" s="55" t="s">
        <v>852</v>
      </c>
      <c r="T7" s="55" t="s">
        <v>739</v>
      </c>
      <c r="U7" s="55" t="s">
        <v>739</v>
      </c>
      <c r="V7" s="55" t="s">
        <v>739</v>
      </c>
      <c r="W7" s="55" t="s">
        <v>739</v>
      </c>
      <c r="X7" s="55" t="s">
        <v>948</v>
      </c>
      <c r="Y7" s="55" t="s">
        <v>1095</v>
      </c>
      <c r="Z7" s="55" t="s">
        <v>1096</v>
      </c>
      <c r="AA7" s="55" t="s">
        <v>1096</v>
      </c>
      <c r="AB7" s="55" t="s">
        <v>1096</v>
      </c>
      <c r="AC7" s="55" t="s">
        <v>1096</v>
      </c>
      <c r="AD7" s="55" t="s">
        <v>1096</v>
      </c>
      <c r="AE7" s="55" t="s">
        <v>1096</v>
      </c>
      <c r="AF7" s="55" t="s">
        <v>1096</v>
      </c>
      <c r="AG7" s="41">
        <f t="shared" si="2"/>
        <v>25</v>
      </c>
      <c r="AH7" s="42">
        <f t="shared" ref="AH7:AH11" si="3">AG7*100/30</f>
        <v>83.333333333333329</v>
      </c>
      <c r="AM7" s="20"/>
      <c r="AN7" s="56"/>
      <c r="AO7" s="56"/>
      <c r="AP7" s="56"/>
      <c r="AQ7" s="57"/>
      <c r="AR7" s="20"/>
    </row>
    <row r="8" spans="1:44" ht="15" customHeight="1" x14ac:dyDescent="0.35">
      <c r="A8" s="7" t="s">
        <v>15</v>
      </c>
      <c r="B8" s="55" t="s">
        <v>482</v>
      </c>
      <c r="C8" s="55" t="s">
        <v>482</v>
      </c>
      <c r="D8" s="55"/>
      <c r="E8" s="55" t="s">
        <v>1054</v>
      </c>
      <c r="F8" s="55" t="s">
        <v>1054</v>
      </c>
      <c r="G8" s="55" t="s">
        <v>1054</v>
      </c>
      <c r="H8" s="55" t="s">
        <v>1054</v>
      </c>
      <c r="I8" s="55" t="s">
        <v>1054</v>
      </c>
      <c r="J8" s="55" t="s">
        <v>1054</v>
      </c>
      <c r="K8" s="55" t="s">
        <v>1054</v>
      </c>
      <c r="L8" s="55"/>
      <c r="M8" s="55"/>
      <c r="N8" s="55"/>
      <c r="O8" s="55"/>
      <c r="P8" s="55"/>
      <c r="Q8" s="55"/>
      <c r="R8" s="55"/>
      <c r="S8" s="68"/>
      <c r="T8" s="112" t="s">
        <v>1077</v>
      </c>
      <c r="U8" s="112" t="s">
        <v>1077</v>
      </c>
      <c r="V8" s="112" t="s">
        <v>1077</v>
      </c>
      <c r="W8" s="112" t="s">
        <v>1077</v>
      </c>
      <c r="X8" s="55"/>
      <c r="Y8" s="55" t="s">
        <v>1095</v>
      </c>
      <c r="Z8" s="55"/>
      <c r="AA8" s="55" t="s">
        <v>1097</v>
      </c>
      <c r="AB8" s="55"/>
      <c r="AC8" s="55" t="s">
        <v>1100</v>
      </c>
      <c r="AD8" s="55" t="s">
        <v>1100</v>
      </c>
      <c r="AE8" s="55" t="s">
        <v>1100</v>
      </c>
      <c r="AF8" s="55" t="s">
        <v>1100</v>
      </c>
      <c r="AG8" s="41">
        <f t="shared" si="2"/>
        <v>19</v>
      </c>
      <c r="AH8" s="42">
        <f t="shared" si="3"/>
        <v>63.333333333333336</v>
      </c>
      <c r="AK8" s="9"/>
      <c r="AM8" s="20"/>
      <c r="AN8" s="56"/>
      <c r="AO8" s="56"/>
      <c r="AP8" s="56"/>
      <c r="AQ8" s="57"/>
      <c r="AR8" s="20"/>
    </row>
    <row r="9" spans="1:44" ht="15.75" customHeight="1" x14ac:dyDescent="0.35">
      <c r="A9" s="7" t="s">
        <v>18</v>
      </c>
      <c r="B9" s="55"/>
      <c r="C9" s="55"/>
      <c r="D9" s="55"/>
      <c r="E9" s="55"/>
      <c r="F9" s="55"/>
      <c r="G9" s="55" t="s">
        <v>1058</v>
      </c>
      <c r="H9" s="55" t="s">
        <v>1058</v>
      </c>
      <c r="I9" s="55" t="s">
        <v>1058</v>
      </c>
      <c r="J9" s="55" t="s">
        <v>1058</v>
      </c>
      <c r="K9" s="55" t="s">
        <v>1058</v>
      </c>
      <c r="L9" s="55" t="s">
        <v>1058</v>
      </c>
      <c r="M9" s="55" t="s">
        <v>1058</v>
      </c>
      <c r="N9" s="55" t="s">
        <v>1058</v>
      </c>
      <c r="O9" s="55" t="s">
        <v>1058</v>
      </c>
      <c r="P9" s="55"/>
      <c r="Q9" s="55"/>
      <c r="R9" s="55"/>
      <c r="S9" s="68"/>
      <c r="T9" s="55" t="s">
        <v>1078</v>
      </c>
      <c r="U9" s="55" t="s">
        <v>1078</v>
      </c>
      <c r="V9" s="55" t="s">
        <v>1078</v>
      </c>
      <c r="W9" s="55" t="s">
        <v>1078</v>
      </c>
      <c r="X9" s="55"/>
      <c r="Y9" s="55" t="s">
        <v>1095</v>
      </c>
      <c r="Z9" s="55"/>
      <c r="AA9" s="55" t="s">
        <v>935</v>
      </c>
      <c r="AB9" s="55"/>
      <c r="AC9" s="55" t="s">
        <v>1101</v>
      </c>
      <c r="AD9" s="55" t="s">
        <v>1101</v>
      </c>
      <c r="AE9" s="55" t="s">
        <v>1101</v>
      </c>
      <c r="AF9" s="55"/>
      <c r="AG9" s="41">
        <f t="shared" si="2"/>
        <v>18</v>
      </c>
      <c r="AH9" s="42">
        <f t="shared" si="3"/>
        <v>60</v>
      </c>
      <c r="AM9" s="20"/>
      <c r="AN9" s="56"/>
      <c r="AO9" s="56"/>
      <c r="AP9" s="56"/>
      <c r="AQ9" s="57"/>
      <c r="AR9" s="20"/>
    </row>
    <row r="10" spans="1:44" ht="15.75" customHeight="1" x14ac:dyDescent="0.35">
      <c r="A10" s="7" t="s">
        <v>20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68"/>
      <c r="T10" s="112" t="s">
        <v>1076</v>
      </c>
      <c r="U10" s="112" t="s">
        <v>1076</v>
      </c>
      <c r="V10" s="112" t="s">
        <v>1076</v>
      </c>
      <c r="W10" s="112" t="s">
        <v>1076</v>
      </c>
      <c r="X10" s="55"/>
      <c r="Y10" s="55" t="s">
        <v>1095</v>
      </c>
      <c r="Z10" s="55" t="s">
        <v>942</v>
      </c>
      <c r="AA10" s="55" t="s">
        <v>942</v>
      </c>
      <c r="AB10" s="55" t="s">
        <v>942</v>
      </c>
      <c r="AC10" s="55" t="s">
        <v>942</v>
      </c>
      <c r="AD10" s="55" t="s">
        <v>942</v>
      </c>
      <c r="AE10" s="55" t="s">
        <v>942</v>
      </c>
      <c r="AF10" s="55"/>
      <c r="AG10" s="41">
        <f t="shared" si="2"/>
        <v>11</v>
      </c>
      <c r="AH10" s="42">
        <f t="shared" si="3"/>
        <v>36.666666666666664</v>
      </c>
      <c r="AM10" s="20"/>
      <c r="AN10" s="56"/>
      <c r="AO10" s="56"/>
      <c r="AP10" s="56"/>
      <c r="AQ10" s="57"/>
      <c r="AR10" s="20"/>
    </row>
    <row r="11" spans="1:44" ht="15.75" customHeight="1" thickBot="1" x14ac:dyDescent="0.4">
      <c r="A11" s="7" t="s">
        <v>24</v>
      </c>
      <c r="B11" s="55" t="s">
        <v>1053</v>
      </c>
      <c r="C11" s="55" t="s">
        <v>1053</v>
      </c>
      <c r="D11" s="55" t="s">
        <v>1053</v>
      </c>
      <c r="E11" s="55" t="s">
        <v>1053</v>
      </c>
      <c r="F11" s="55" t="s">
        <v>1053</v>
      </c>
      <c r="G11" s="55" t="s">
        <v>1053</v>
      </c>
      <c r="H11" s="55" t="s">
        <v>1053</v>
      </c>
      <c r="I11" s="55" t="s">
        <v>1053</v>
      </c>
      <c r="J11" s="55" t="s">
        <v>1053</v>
      </c>
      <c r="K11" s="55" t="s">
        <v>1053</v>
      </c>
      <c r="L11" s="55" t="s">
        <v>1053</v>
      </c>
      <c r="M11" s="55" t="s">
        <v>1053</v>
      </c>
      <c r="N11" s="55" t="s">
        <v>1053</v>
      </c>
      <c r="O11" s="55" t="s">
        <v>1053</v>
      </c>
      <c r="P11" s="55" t="s">
        <v>1053</v>
      </c>
      <c r="Q11" s="55"/>
      <c r="R11" s="55"/>
      <c r="S11" s="68"/>
      <c r="T11" s="55" t="s">
        <v>1080</v>
      </c>
      <c r="U11" s="55" t="s">
        <v>1080</v>
      </c>
      <c r="V11" s="55" t="s">
        <v>1080</v>
      </c>
      <c r="W11" s="55" t="s">
        <v>1080</v>
      </c>
      <c r="X11" s="55"/>
      <c r="Y11" s="55" t="s">
        <v>1095</v>
      </c>
      <c r="Z11" s="55"/>
      <c r="AA11" s="55" t="s">
        <v>1098</v>
      </c>
      <c r="AB11" s="55"/>
      <c r="AC11" s="55"/>
      <c r="AD11" s="55" t="s">
        <v>582</v>
      </c>
      <c r="AE11" s="55" t="s">
        <v>582</v>
      </c>
      <c r="AF11" s="55" t="s">
        <v>582</v>
      </c>
      <c r="AG11" s="41">
        <f t="shared" si="2"/>
        <v>24</v>
      </c>
      <c r="AH11" s="42">
        <f t="shared" si="3"/>
        <v>80</v>
      </c>
      <c r="AM11" s="20"/>
      <c r="AN11" s="56"/>
      <c r="AO11" s="56"/>
      <c r="AP11" s="56"/>
      <c r="AQ11" s="57"/>
      <c r="AR11" s="20"/>
    </row>
    <row r="12" spans="1:44" ht="15" customHeight="1" x14ac:dyDescent="0.35">
      <c r="A12" s="45" t="s">
        <v>176</v>
      </c>
      <c r="B12" s="46">
        <f>COUNTA(B5:B11)</f>
        <v>3</v>
      </c>
      <c r="C12" s="46">
        <f>COUNTA(C5:C11)</f>
        <v>3</v>
      </c>
      <c r="D12" s="46">
        <f t="shared" ref="D12:AF12" si="4">COUNTA(D5:D11)</f>
        <v>1</v>
      </c>
      <c r="E12" s="46">
        <f t="shared" si="4"/>
        <v>3</v>
      </c>
      <c r="F12" s="46">
        <f t="shared" si="4"/>
        <v>3</v>
      </c>
      <c r="G12" s="46">
        <f t="shared" si="4"/>
        <v>5</v>
      </c>
      <c r="H12" s="46">
        <f t="shared" si="4"/>
        <v>5</v>
      </c>
      <c r="I12" s="46">
        <f t="shared" si="4"/>
        <v>5</v>
      </c>
      <c r="J12" s="46">
        <f t="shared" si="4"/>
        <v>5</v>
      </c>
      <c r="K12" s="46">
        <f t="shared" si="4"/>
        <v>5</v>
      </c>
      <c r="L12" s="46">
        <f t="shared" si="4"/>
        <v>3</v>
      </c>
      <c r="M12" s="46">
        <f t="shared" si="4"/>
        <v>3</v>
      </c>
      <c r="N12" s="46">
        <f t="shared" si="4"/>
        <v>3</v>
      </c>
      <c r="O12" s="46">
        <f t="shared" si="4"/>
        <v>3</v>
      </c>
      <c r="P12" s="46">
        <f t="shared" si="4"/>
        <v>1</v>
      </c>
      <c r="Q12" s="46">
        <f t="shared" si="4"/>
        <v>3</v>
      </c>
      <c r="R12" s="46">
        <f t="shared" si="4"/>
        <v>3</v>
      </c>
      <c r="S12" s="46">
        <f t="shared" si="4"/>
        <v>3</v>
      </c>
      <c r="T12" s="46">
        <f t="shared" si="4"/>
        <v>7</v>
      </c>
      <c r="U12" s="46">
        <f t="shared" si="4"/>
        <v>7</v>
      </c>
      <c r="V12" s="46">
        <f t="shared" si="4"/>
        <v>7</v>
      </c>
      <c r="W12" s="46">
        <f t="shared" si="4"/>
        <v>7</v>
      </c>
      <c r="X12" s="46">
        <f t="shared" si="4"/>
        <v>2</v>
      </c>
      <c r="Y12" s="46">
        <f t="shared" si="4"/>
        <v>6</v>
      </c>
      <c r="Z12" s="46">
        <f t="shared" si="4"/>
        <v>3</v>
      </c>
      <c r="AA12" s="46">
        <f t="shared" si="4"/>
        <v>6</v>
      </c>
      <c r="AB12" s="46">
        <f t="shared" si="4"/>
        <v>3</v>
      </c>
      <c r="AC12" s="46">
        <f>COUNTA(AC5:AC11)</f>
        <v>5</v>
      </c>
      <c r="AD12" s="46">
        <f>COUNTA(AD5:AD11)</f>
        <v>6</v>
      </c>
      <c r="AE12" s="46">
        <f>COUNTA(AE5:AE11)</f>
        <v>6</v>
      </c>
      <c r="AF12" s="46">
        <f t="shared" si="4"/>
        <v>4</v>
      </c>
      <c r="AG12" s="43">
        <f t="shared" ref="AG12" si="5">SUM(AG5:AG11)</f>
        <v>129</v>
      </c>
      <c r="AH12" s="44">
        <f>AVERAGE(AH5:AH11)</f>
        <v>61.428571428571438</v>
      </c>
      <c r="AI12" s="29"/>
      <c r="AM12" s="20"/>
      <c r="AN12" s="20"/>
      <c r="AO12" s="20"/>
      <c r="AP12" s="20"/>
      <c r="AQ12" s="20"/>
      <c r="AR12" s="20"/>
    </row>
    <row r="13" spans="1:44" ht="57" hidden="1" x14ac:dyDescent="0.35">
      <c r="A13" s="13" t="s">
        <v>28</v>
      </c>
      <c r="B13" s="14"/>
      <c r="C13" s="14"/>
      <c r="D13" s="14"/>
      <c r="E13" s="14"/>
      <c r="F13" s="14"/>
      <c r="G13" s="14"/>
      <c r="H13" s="14"/>
      <c r="I13" s="35"/>
      <c r="J13" s="34"/>
      <c r="K13" s="15"/>
      <c r="L13" s="14"/>
      <c r="M13" s="14"/>
      <c r="N13" s="25"/>
      <c r="O13" s="25"/>
      <c r="P13" s="25"/>
      <c r="Q13" s="14"/>
      <c r="R13" s="14"/>
      <c r="S13" s="14"/>
      <c r="T13" s="14"/>
      <c r="U13" s="14"/>
      <c r="V13" s="15"/>
      <c r="W13" s="15"/>
      <c r="X13" s="14"/>
      <c r="Y13" s="14"/>
      <c r="Z13" s="14"/>
      <c r="AA13" s="14"/>
      <c r="AB13" s="14"/>
      <c r="AC13" s="14"/>
      <c r="AD13" s="14"/>
      <c r="AE13" s="14"/>
      <c r="AF13" s="14"/>
      <c r="AG13" s="37"/>
      <c r="AH13" s="37"/>
      <c r="AM13" s="20"/>
      <c r="AN13" s="20"/>
      <c r="AO13" s="20"/>
      <c r="AP13" s="20"/>
      <c r="AQ13" s="20"/>
      <c r="AR13" s="20"/>
    </row>
    <row r="14" spans="1:44" ht="28.5" hidden="1" x14ac:dyDescent="0.35">
      <c r="A14" s="16" t="s">
        <v>29</v>
      </c>
      <c r="B14" s="14"/>
      <c r="C14" s="14"/>
      <c r="D14" s="14"/>
      <c r="E14" s="14"/>
      <c r="F14" s="14"/>
      <c r="G14" s="14"/>
      <c r="H14" s="14"/>
      <c r="I14" s="35"/>
      <c r="J14" s="34"/>
      <c r="K14" s="15"/>
      <c r="L14" s="14"/>
      <c r="M14" s="14"/>
      <c r="N14" s="25"/>
      <c r="O14" s="25"/>
      <c r="P14" s="25"/>
      <c r="Q14" s="14"/>
      <c r="R14" s="14"/>
      <c r="S14" s="14"/>
      <c r="T14" s="14"/>
      <c r="U14" s="14"/>
      <c r="V14" s="15"/>
      <c r="W14" s="15"/>
      <c r="X14" s="14"/>
      <c r="Y14" s="14"/>
      <c r="Z14" s="14"/>
      <c r="AA14" s="14"/>
      <c r="AB14" s="14"/>
      <c r="AC14" s="14"/>
      <c r="AD14" s="14"/>
      <c r="AE14" s="14"/>
      <c r="AF14" s="14"/>
      <c r="AG14" s="37"/>
      <c r="AH14" s="37"/>
      <c r="AM14" s="20"/>
      <c r="AN14" s="20"/>
      <c r="AO14" s="20"/>
      <c r="AP14" s="20"/>
      <c r="AQ14" s="20"/>
      <c r="AR14" s="20"/>
    </row>
    <row r="15" spans="1:44" x14ac:dyDescent="0.35">
      <c r="A15" s="7" t="s">
        <v>30</v>
      </c>
      <c r="B15" s="55" t="s">
        <v>1062</v>
      </c>
      <c r="C15" s="55" t="s">
        <v>651</v>
      </c>
      <c r="D15" s="55" t="s">
        <v>651</v>
      </c>
      <c r="E15" s="55" t="s">
        <v>651</v>
      </c>
      <c r="F15" s="55" t="s">
        <v>651</v>
      </c>
      <c r="G15" s="55" t="s">
        <v>651</v>
      </c>
      <c r="H15" s="55" t="s">
        <v>651</v>
      </c>
      <c r="I15" s="55" t="s">
        <v>651</v>
      </c>
      <c r="J15" s="55" t="s">
        <v>651</v>
      </c>
      <c r="K15" s="55"/>
      <c r="L15" s="55"/>
      <c r="M15" s="55"/>
      <c r="N15" s="55"/>
      <c r="O15" s="55"/>
      <c r="P15" s="55"/>
      <c r="Q15" s="55" t="s">
        <v>1087</v>
      </c>
      <c r="R15" s="55" t="s">
        <v>1087</v>
      </c>
      <c r="S15" s="55" t="s">
        <v>1087</v>
      </c>
      <c r="T15" s="112" t="s">
        <v>948</v>
      </c>
      <c r="U15" s="112" t="s">
        <v>948</v>
      </c>
      <c r="V15" s="112" t="s">
        <v>948</v>
      </c>
      <c r="W15" s="112" t="s">
        <v>948</v>
      </c>
      <c r="X15" s="55"/>
      <c r="Y15" s="55"/>
      <c r="Z15" s="55"/>
      <c r="AA15" s="55"/>
      <c r="AB15" s="55"/>
      <c r="AC15" s="55" t="s">
        <v>1101</v>
      </c>
      <c r="AD15" s="55" t="s">
        <v>1101</v>
      </c>
      <c r="AE15" s="55" t="s">
        <v>1101</v>
      </c>
      <c r="AF15" s="8"/>
      <c r="AG15" s="41">
        <f>COUNTA(B15:AF15)</f>
        <v>19</v>
      </c>
      <c r="AH15" s="42">
        <f>AG15*100/30</f>
        <v>63.333333333333336</v>
      </c>
      <c r="AM15" s="20"/>
      <c r="AN15" s="20"/>
      <c r="AO15" s="20"/>
      <c r="AP15" s="20"/>
      <c r="AQ15" s="20"/>
      <c r="AR15" s="20"/>
    </row>
    <row r="16" spans="1:44" x14ac:dyDescent="0.35">
      <c r="A16" s="7" t="s">
        <v>35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 t="s">
        <v>1088</v>
      </c>
      <c r="R16" s="55" t="s">
        <v>1088</v>
      </c>
      <c r="S16" s="55"/>
      <c r="T16" s="55" t="s">
        <v>1092</v>
      </c>
      <c r="U16" s="55" t="s">
        <v>1092</v>
      </c>
      <c r="V16" s="55" t="s">
        <v>1092</v>
      </c>
      <c r="W16" s="55" t="s">
        <v>1092</v>
      </c>
      <c r="X16" s="55" t="s">
        <v>1092</v>
      </c>
      <c r="Y16" s="55" t="s">
        <v>1092</v>
      </c>
      <c r="Z16" s="55" t="s">
        <v>1092</v>
      </c>
      <c r="AA16" s="55" t="s">
        <v>1092</v>
      </c>
      <c r="AB16" s="55"/>
      <c r="AC16" s="55" t="s">
        <v>1101</v>
      </c>
      <c r="AD16" s="55" t="s">
        <v>1101</v>
      </c>
      <c r="AE16" s="55" t="s">
        <v>1101</v>
      </c>
      <c r="AF16" s="8" t="s">
        <v>562</v>
      </c>
      <c r="AG16" s="41">
        <f t="shared" ref="AG16:AG22" si="6">COUNTA(B16:AF16)</f>
        <v>14</v>
      </c>
      <c r="AH16" s="42">
        <f>AG16*100/30</f>
        <v>46.666666666666664</v>
      </c>
      <c r="AM16" s="20"/>
      <c r="AN16" s="20"/>
      <c r="AO16" s="56"/>
      <c r="AP16" s="56"/>
      <c r="AQ16" s="20"/>
      <c r="AR16" s="20"/>
    </row>
    <row r="17" spans="1:50" x14ac:dyDescent="0.35">
      <c r="A17" s="7" t="s">
        <v>39</v>
      </c>
      <c r="B17" s="55"/>
      <c r="C17" s="55"/>
      <c r="D17" s="55"/>
      <c r="E17" s="55"/>
      <c r="F17" s="55"/>
      <c r="G17" s="55" t="s">
        <v>1056</v>
      </c>
      <c r="H17" s="55" t="s">
        <v>1056</v>
      </c>
      <c r="I17" s="55" t="s">
        <v>1056</v>
      </c>
      <c r="J17" s="55" t="s">
        <v>1056</v>
      </c>
      <c r="K17" s="55"/>
      <c r="L17" s="55"/>
      <c r="M17" s="55"/>
      <c r="N17" s="55"/>
      <c r="O17" s="55"/>
      <c r="P17" s="55"/>
      <c r="Q17" s="55"/>
      <c r="R17" s="55"/>
      <c r="S17" s="68"/>
      <c r="T17" s="112" t="s">
        <v>1079</v>
      </c>
      <c r="U17" s="112" t="s">
        <v>1079</v>
      </c>
      <c r="V17" s="112" t="s">
        <v>1079</v>
      </c>
      <c r="W17" s="112" t="s">
        <v>1079</v>
      </c>
      <c r="X17" s="55" t="s">
        <v>1094</v>
      </c>
      <c r="Y17" s="55" t="s">
        <v>1094</v>
      </c>
      <c r="Z17" s="55" t="s">
        <v>1094</v>
      </c>
      <c r="AA17" s="55" t="s">
        <v>1094</v>
      </c>
      <c r="AB17" s="55" t="s">
        <v>1094</v>
      </c>
      <c r="AC17" s="55" t="s">
        <v>1094</v>
      </c>
      <c r="AD17" s="55" t="s">
        <v>1094</v>
      </c>
      <c r="AE17" s="55" t="s">
        <v>1094</v>
      </c>
      <c r="AF17" s="8" t="s">
        <v>1102</v>
      </c>
      <c r="AG17" s="41">
        <f t="shared" si="6"/>
        <v>17</v>
      </c>
      <c r="AH17" s="42">
        <f t="shared" ref="AH17:AH22" si="7">AG17*100/30</f>
        <v>56.666666666666664</v>
      </c>
      <c r="AM17" s="20"/>
      <c r="AN17" s="20"/>
      <c r="AO17" s="20"/>
      <c r="AP17" s="20"/>
      <c r="AQ17" s="20"/>
      <c r="AR17" s="20"/>
      <c r="AX17" s="58"/>
    </row>
    <row r="18" spans="1:50" x14ac:dyDescent="0.35">
      <c r="A18" s="7" t="s">
        <v>42</v>
      </c>
      <c r="B18" s="55" t="s">
        <v>1055</v>
      </c>
      <c r="C18" s="55" t="s">
        <v>1055</v>
      </c>
      <c r="D18" s="55" t="s">
        <v>1055</v>
      </c>
      <c r="E18" s="55" t="s">
        <v>1055</v>
      </c>
      <c r="F18" s="55" t="s">
        <v>1055</v>
      </c>
      <c r="G18" s="55" t="s">
        <v>1055</v>
      </c>
      <c r="H18" s="55" t="s">
        <v>1055</v>
      </c>
      <c r="I18" s="55" t="s">
        <v>1055</v>
      </c>
      <c r="J18" s="55" t="s">
        <v>1055</v>
      </c>
      <c r="K18" s="55" t="s">
        <v>1055</v>
      </c>
      <c r="L18" s="55"/>
      <c r="M18" s="55"/>
      <c r="N18" s="55"/>
      <c r="O18" s="55"/>
      <c r="P18" s="55"/>
      <c r="Q18" s="55"/>
      <c r="R18" s="55"/>
      <c r="S18" s="68"/>
      <c r="T18" s="55" t="s">
        <v>1082</v>
      </c>
      <c r="U18" s="55" t="s">
        <v>1082</v>
      </c>
      <c r="V18" s="55" t="s">
        <v>1082</v>
      </c>
      <c r="W18" s="55" t="s">
        <v>1082</v>
      </c>
      <c r="X18" s="55" t="s">
        <v>1082</v>
      </c>
      <c r="Y18" s="55"/>
      <c r="Z18" s="55"/>
      <c r="AA18" s="55"/>
      <c r="AB18" s="55"/>
      <c r="AC18" s="55" t="s">
        <v>1101</v>
      </c>
      <c r="AD18" s="55" t="s">
        <v>1101</v>
      </c>
      <c r="AE18" s="55" t="s">
        <v>1101</v>
      </c>
      <c r="AF18" s="8"/>
      <c r="AG18" s="41">
        <f t="shared" si="6"/>
        <v>18</v>
      </c>
      <c r="AH18" s="42">
        <f t="shared" si="7"/>
        <v>60</v>
      </c>
      <c r="AM18" s="20"/>
      <c r="AN18" s="20"/>
      <c r="AO18" s="20"/>
      <c r="AP18" s="20"/>
      <c r="AQ18" s="20"/>
      <c r="AR18" s="20"/>
      <c r="AX18" s="58"/>
    </row>
    <row r="19" spans="1:50" x14ac:dyDescent="0.35">
      <c r="A19" s="7" t="s">
        <v>45</v>
      </c>
      <c r="B19" s="55"/>
      <c r="C19" s="55"/>
      <c r="D19" s="55"/>
      <c r="E19" s="55"/>
      <c r="F19" s="55"/>
      <c r="G19" s="55" t="s">
        <v>1060</v>
      </c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68"/>
      <c r="T19" s="112" t="s">
        <v>1083</v>
      </c>
      <c r="U19" s="112" t="s">
        <v>1083</v>
      </c>
      <c r="V19" s="112" t="s">
        <v>1083</v>
      </c>
      <c r="W19" s="112" t="s">
        <v>1083</v>
      </c>
      <c r="X19" s="55" t="s">
        <v>651</v>
      </c>
      <c r="Y19" s="55" t="s">
        <v>651</v>
      </c>
      <c r="Z19" s="55" t="s">
        <v>651</v>
      </c>
      <c r="AA19" s="55" t="s">
        <v>651</v>
      </c>
      <c r="AB19" s="55" t="s">
        <v>651</v>
      </c>
      <c r="AC19" s="55" t="s">
        <v>651</v>
      </c>
      <c r="AD19" s="55" t="s">
        <v>651</v>
      </c>
      <c r="AE19" s="55" t="s">
        <v>651</v>
      </c>
      <c r="AF19" s="8" t="s">
        <v>561</v>
      </c>
      <c r="AG19" s="41">
        <f t="shared" si="6"/>
        <v>14</v>
      </c>
      <c r="AH19" s="42">
        <f t="shared" si="7"/>
        <v>46.666666666666664</v>
      </c>
      <c r="AM19" s="20"/>
      <c r="AN19" s="20"/>
      <c r="AO19" s="20"/>
      <c r="AP19" s="20"/>
      <c r="AQ19" s="20"/>
      <c r="AR19" s="20"/>
      <c r="AX19" s="58"/>
    </row>
    <row r="20" spans="1:50" x14ac:dyDescent="0.35">
      <c r="A20" s="7" t="s">
        <v>47</v>
      </c>
      <c r="B20" s="55"/>
      <c r="C20" s="55" t="s">
        <v>1059</v>
      </c>
      <c r="D20" s="55" t="s">
        <v>1059</v>
      </c>
      <c r="E20" s="55" t="s">
        <v>1059</v>
      </c>
      <c r="F20" s="55" t="s">
        <v>1059</v>
      </c>
      <c r="G20" s="55" t="s">
        <v>1059</v>
      </c>
      <c r="H20" s="55" t="s">
        <v>1059</v>
      </c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 t="s">
        <v>1086</v>
      </c>
      <c r="T20" s="55" t="s">
        <v>1086</v>
      </c>
      <c r="U20" s="55" t="s">
        <v>1086</v>
      </c>
      <c r="V20" s="55" t="s">
        <v>1086</v>
      </c>
      <c r="W20" s="55" t="s">
        <v>1086</v>
      </c>
      <c r="X20" s="55" t="s">
        <v>1086</v>
      </c>
      <c r="Y20" s="55" t="s">
        <v>1086</v>
      </c>
      <c r="Z20" s="55" t="s">
        <v>1086</v>
      </c>
      <c r="AA20" s="55" t="s">
        <v>1086</v>
      </c>
      <c r="AB20" s="55" t="s">
        <v>1086</v>
      </c>
      <c r="AC20" s="55" t="s">
        <v>1086</v>
      </c>
      <c r="AD20" s="55" t="s">
        <v>1086</v>
      </c>
      <c r="AE20" s="55" t="s">
        <v>1086</v>
      </c>
      <c r="AF20" s="55" t="s">
        <v>1086</v>
      </c>
      <c r="AG20" s="41">
        <f t="shared" si="6"/>
        <v>20</v>
      </c>
      <c r="AH20" s="42">
        <f t="shared" si="7"/>
        <v>66.666666666666671</v>
      </c>
      <c r="AM20" s="20"/>
      <c r="AN20" s="20"/>
      <c r="AO20" s="20"/>
      <c r="AP20" s="20"/>
      <c r="AQ20" s="20"/>
      <c r="AR20" s="20"/>
      <c r="AX20" s="58"/>
    </row>
    <row r="21" spans="1:50" x14ac:dyDescent="0.35">
      <c r="A21" s="7" t="s">
        <v>50</v>
      </c>
      <c r="B21" s="55"/>
      <c r="C21" s="55"/>
      <c r="D21" s="55"/>
      <c r="E21" s="55" t="s">
        <v>1054</v>
      </c>
      <c r="F21" s="55" t="s">
        <v>1054</v>
      </c>
      <c r="G21" s="55" t="s">
        <v>1054</v>
      </c>
      <c r="H21" s="55" t="s">
        <v>1054</v>
      </c>
      <c r="I21" s="55" t="s">
        <v>1054</v>
      </c>
      <c r="J21" s="55" t="s">
        <v>1054</v>
      </c>
      <c r="K21" s="55" t="s">
        <v>1054</v>
      </c>
      <c r="L21" s="55"/>
      <c r="M21" s="55"/>
      <c r="N21" s="55"/>
      <c r="O21" s="55"/>
      <c r="P21" s="55"/>
      <c r="Q21" s="55"/>
      <c r="R21" s="55"/>
      <c r="S21" s="55" t="s">
        <v>1086</v>
      </c>
      <c r="T21" s="112" t="s">
        <v>1086</v>
      </c>
      <c r="U21" s="112" t="s">
        <v>1086</v>
      </c>
      <c r="V21" s="112" t="s">
        <v>1086</v>
      </c>
      <c r="W21" s="112" t="s">
        <v>1086</v>
      </c>
      <c r="X21" s="112" t="s">
        <v>1086</v>
      </c>
      <c r="Y21" s="112" t="s">
        <v>1086</v>
      </c>
      <c r="Z21" s="112" t="s">
        <v>1086</v>
      </c>
      <c r="AA21" s="112" t="s">
        <v>1086</v>
      </c>
      <c r="AB21" s="112" t="s">
        <v>1086</v>
      </c>
      <c r="AC21" s="112" t="s">
        <v>1086</v>
      </c>
      <c r="AD21" s="112" t="s">
        <v>1086</v>
      </c>
      <c r="AE21" s="112" t="s">
        <v>1086</v>
      </c>
      <c r="AF21" s="112" t="s">
        <v>1086</v>
      </c>
      <c r="AG21" s="41">
        <f t="shared" si="6"/>
        <v>21</v>
      </c>
      <c r="AH21" s="42">
        <f t="shared" si="7"/>
        <v>70</v>
      </c>
      <c r="AM21" s="20"/>
      <c r="AN21" s="20"/>
      <c r="AO21" s="20"/>
      <c r="AP21" s="20"/>
      <c r="AQ21" s="20"/>
      <c r="AR21" s="20"/>
      <c r="AX21" s="58"/>
    </row>
    <row r="22" spans="1:50" ht="15" thickBot="1" x14ac:dyDescent="0.4">
      <c r="A22" s="7" t="s">
        <v>51</v>
      </c>
      <c r="B22" s="55" t="s">
        <v>1053</v>
      </c>
      <c r="C22" s="55" t="s">
        <v>1053</v>
      </c>
      <c r="D22" s="55" t="s">
        <v>1053</v>
      </c>
      <c r="E22" s="55" t="s">
        <v>1053</v>
      </c>
      <c r="F22" s="55" t="s">
        <v>1053</v>
      </c>
      <c r="G22" s="55" t="s">
        <v>1053</v>
      </c>
      <c r="H22" s="55" t="s">
        <v>1053</v>
      </c>
      <c r="I22" s="55" t="s">
        <v>1053</v>
      </c>
      <c r="J22" s="55" t="s">
        <v>1053</v>
      </c>
      <c r="K22" s="55" t="s">
        <v>1053</v>
      </c>
      <c r="L22" s="55" t="s">
        <v>1053</v>
      </c>
      <c r="M22" s="55" t="s">
        <v>1053</v>
      </c>
      <c r="N22" s="55" t="s">
        <v>1053</v>
      </c>
      <c r="O22" s="55" t="s">
        <v>1053</v>
      </c>
      <c r="P22" s="55" t="s">
        <v>1053</v>
      </c>
      <c r="Q22" s="55"/>
      <c r="R22" s="55"/>
      <c r="S22" s="68"/>
      <c r="T22" s="55" t="s">
        <v>1093</v>
      </c>
      <c r="U22" s="55" t="s">
        <v>1093</v>
      </c>
      <c r="V22" s="55" t="s">
        <v>1093</v>
      </c>
      <c r="W22" s="55" t="s">
        <v>1093</v>
      </c>
      <c r="X22" s="55"/>
      <c r="Y22" s="55"/>
      <c r="Z22" s="55"/>
      <c r="AA22" s="55" t="s">
        <v>1099</v>
      </c>
      <c r="AB22" s="55"/>
      <c r="AC22" s="55"/>
      <c r="AD22" s="55" t="s">
        <v>1101</v>
      </c>
      <c r="AE22" s="55" t="s">
        <v>1101</v>
      </c>
      <c r="AF22" s="8"/>
      <c r="AG22" s="41">
        <f t="shared" si="6"/>
        <v>22</v>
      </c>
      <c r="AH22" s="42">
        <f t="shared" si="7"/>
        <v>73.333333333333329</v>
      </c>
      <c r="AX22" s="58"/>
    </row>
    <row r="23" spans="1:50" ht="15.5" x14ac:dyDescent="0.35">
      <c r="A23" s="45" t="s">
        <v>176</v>
      </c>
      <c r="B23" s="46">
        <f>COUNTA(B15:B22)</f>
        <v>3</v>
      </c>
      <c r="C23" s="46">
        <f>COUNTA(C16:C22)</f>
        <v>3</v>
      </c>
      <c r="D23" s="46">
        <f>COUNTA(D16:D22)</f>
        <v>3</v>
      </c>
      <c r="E23" s="46">
        <f t="shared" ref="E23:AF23" si="8">COUNTA(E15:E22)</f>
        <v>5</v>
      </c>
      <c r="F23" s="46">
        <f t="shared" si="8"/>
        <v>5</v>
      </c>
      <c r="G23" s="46">
        <f t="shared" si="8"/>
        <v>7</v>
      </c>
      <c r="H23" s="46">
        <f t="shared" si="8"/>
        <v>6</v>
      </c>
      <c r="I23" s="46">
        <f t="shared" si="8"/>
        <v>5</v>
      </c>
      <c r="J23" s="46">
        <f t="shared" si="8"/>
        <v>5</v>
      </c>
      <c r="K23" s="46">
        <f t="shared" si="8"/>
        <v>3</v>
      </c>
      <c r="L23" s="46">
        <f t="shared" si="8"/>
        <v>1</v>
      </c>
      <c r="M23" s="46">
        <f t="shared" si="8"/>
        <v>1</v>
      </c>
      <c r="N23" s="46">
        <f t="shared" si="8"/>
        <v>1</v>
      </c>
      <c r="O23" s="46">
        <f t="shared" si="8"/>
        <v>1</v>
      </c>
      <c r="P23" s="46">
        <f t="shared" si="8"/>
        <v>1</v>
      </c>
      <c r="Q23" s="46">
        <f t="shared" si="8"/>
        <v>2</v>
      </c>
      <c r="R23" s="46">
        <f t="shared" si="8"/>
        <v>2</v>
      </c>
      <c r="S23" s="46">
        <f t="shared" si="8"/>
        <v>3</v>
      </c>
      <c r="T23" s="46">
        <f>COUNTA(T15:T22)</f>
        <v>8</v>
      </c>
      <c r="U23" s="46">
        <f t="shared" si="8"/>
        <v>8</v>
      </c>
      <c r="V23" s="46">
        <f t="shared" si="8"/>
        <v>8</v>
      </c>
      <c r="W23" s="46">
        <f t="shared" si="8"/>
        <v>8</v>
      </c>
      <c r="X23" s="46">
        <f t="shared" si="8"/>
        <v>6</v>
      </c>
      <c r="Y23" s="46">
        <f t="shared" si="8"/>
        <v>5</v>
      </c>
      <c r="Z23" s="46">
        <f t="shared" si="8"/>
        <v>5</v>
      </c>
      <c r="AA23" s="46">
        <f t="shared" si="8"/>
        <v>6</v>
      </c>
      <c r="AB23" s="46">
        <f t="shared" si="8"/>
        <v>4</v>
      </c>
      <c r="AC23" s="46">
        <f t="shared" si="8"/>
        <v>7</v>
      </c>
      <c r="AD23" s="46">
        <f t="shared" si="8"/>
        <v>8</v>
      </c>
      <c r="AE23" s="46">
        <f t="shared" si="8"/>
        <v>8</v>
      </c>
      <c r="AF23" s="46">
        <f t="shared" si="8"/>
        <v>5</v>
      </c>
      <c r="AG23" s="43">
        <f>SUM(AG15:AG22)</f>
        <v>145</v>
      </c>
      <c r="AH23" s="42">
        <f>AG23*100/30</f>
        <v>483.33333333333331</v>
      </c>
      <c r="AX23" s="58"/>
    </row>
    <row r="24" spans="1:50" ht="15.5" x14ac:dyDescent="0.35">
      <c r="A24" s="47" t="s">
        <v>178</v>
      </c>
      <c r="B24" s="52">
        <f>B12+B23</f>
        <v>6</v>
      </c>
      <c r="C24" s="52">
        <f t="shared" ref="C24:AF24" si="9">C12+C23</f>
        <v>6</v>
      </c>
      <c r="D24" s="52">
        <f t="shared" si="9"/>
        <v>4</v>
      </c>
      <c r="E24" s="52">
        <f t="shared" si="9"/>
        <v>8</v>
      </c>
      <c r="F24" s="52">
        <f t="shared" si="9"/>
        <v>8</v>
      </c>
      <c r="G24" s="52">
        <f t="shared" si="9"/>
        <v>12</v>
      </c>
      <c r="H24" s="52">
        <f t="shared" si="9"/>
        <v>11</v>
      </c>
      <c r="I24" s="52">
        <f t="shared" si="9"/>
        <v>10</v>
      </c>
      <c r="J24" s="52">
        <f t="shared" si="9"/>
        <v>10</v>
      </c>
      <c r="K24" s="52">
        <f t="shared" si="9"/>
        <v>8</v>
      </c>
      <c r="L24" s="52">
        <f t="shared" si="9"/>
        <v>4</v>
      </c>
      <c r="M24" s="52">
        <f t="shared" si="9"/>
        <v>4</v>
      </c>
      <c r="N24" s="52">
        <f t="shared" si="9"/>
        <v>4</v>
      </c>
      <c r="O24" s="52">
        <f t="shared" si="9"/>
        <v>4</v>
      </c>
      <c r="P24" s="52">
        <f t="shared" si="9"/>
        <v>2</v>
      </c>
      <c r="Q24" s="52">
        <f t="shared" si="9"/>
        <v>5</v>
      </c>
      <c r="R24" s="52">
        <f t="shared" si="9"/>
        <v>5</v>
      </c>
      <c r="S24" s="52">
        <f t="shared" si="9"/>
        <v>6</v>
      </c>
      <c r="T24" s="52">
        <f t="shared" si="9"/>
        <v>15</v>
      </c>
      <c r="U24" s="52">
        <f t="shared" si="9"/>
        <v>15</v>
      </c>
      <c r="V24" s="52">
        <f t="shared" si="9"/>
        <v>15</v>
      </c>
      <c r="W24" s="52">
        <f t="shared" si="9"/>
        <v>15</v>
      </c>
      <c r="X24" s="52">
        <f t="shared" si="9"/>
        <v>8</v>
      </c>
      <c r="Y24" s="52">
        <f t="shared" si="9"/>
        <v>11</v>
      </c>
      <c r="Z24" s="52">
        <f t="shared" si="9"/>
        <v>8</v>
      </c>
      <c r="AA24" s="52">
        <f t="shared" si="9"/>
        <v>12</v>
      </c>
      <c r="AB24" s="52">
        <f t="shared" si="9"/>
        <v>7</v>
      </c>
      <c r="AC24" s="52">
        <f t="shared" si="9"/>
        <v>12</v>
      </c>
      <c r="AD24" s="52">
        <f t="shared" si="9"/>
        <v>14</v>
      </c>
      <c r="AE24" s="52">
        <f t="shared" si="9"/>
        <v>14</v>
      </c>
      <c r="AF24" s="52">
        <f t="shared" si="9"/>
        <v>9</v>
      </c>
      <c r="AG24" s="49">
        <f>+AG12+AG23</f>
        <v>274</v>
      </c>
      <c r="AX24" s="58"/>
    </row>
    <row r="25" spans="1:50" ht="15.5" x14ac:dyDescent="0.35">
      <c r="A25" s="48" t="s">
        <v>179</v>
      </c>
      <c r="B25" s="42">
        <f>B24*100/15</f>
        <v>40</v>
      </c>
      <c r="C25" s="42">
        <f t="shared" ref="C25:AF25" si="10">C24*100/15</f>
        <v>40</v>
      </c>
      <c r="D25" s="42">
        <f t="shared" si="10"/>
        <v>26.666666666666668</v>
      </c>
      <c r="E25" s="42">
        <f t="shared" si="10"/>
        <v>53.333333333333336</v>
      </c>
      <c r="F25" s="42">
        <f t="shared" si="10"/>
        <v>53.333333333333336</v>
      </c>
      <c r="G25" s="42">
        <f t="shared" si="10"/>
        <v>80</v>
      </c>
      <c r="H25" s="42">
        <f t="shared" si="10"/>
        <v>73.333333333333329</v>
      </c>
      <c r="I25" s="42">
        <f t="shared" si="10"/>
        <v>66.666666666666671</v>
      </c>
      <c r="J25" s="42">
        <f t="shared" si="10"/>
        <v>66.666666666666671</v>
      </c>
      <c r="K25" s="42">
        <f t="shared" si="10"/>
        <v>53.333333333333336</v>
      </c>
      <c r="L25" s="42">
        <f t="shared" si="10"/>
        <v>26.666666666666668</v>
      </c>
      <c r="M25" s="42">
        <f t="shared" si="10"/>
        <v>26.666666666666668</v>
      </c>
      <c r="N25" s="42">
        <f t="shared" si="10"/>
        <v>26.666666666666668</v>
      </c>
      <c r="O25" s="42">
        <f t="shared" si="10"/>
        <v>26.666666666666668</v>
      </c>
      <c r="P25" s="42">
        <f t="shared" si="10"/>
        <v>13.333333333333334</v>
      </c>
      <c r="Q25" s="42">
        <f t="shared" si="10"/>
        <v>33.333333333333336</v>
      </c>
      <c r="R25" s="42">
        <f t="shared" si="10"/>
        <v>33.333333333333336</v>
      </c>
      <c r="S25" s="42">
        <f t="shared" si="10"/>
        <v>40</v>
      </c>
      <c r="T25" s="42">
        <f t="shared" si="10"/>
        <v>100</v>
      </c>
      <c r="U25" s="42">
        <f t="shared" si="10"/>
        <v>100</v>
      </c>
      <c r="V25" s="42">
        <f t="shared" si="10"/>
        <v>100</v>
      </c>
      <c r="W25" s="42">
        <f t="shared" si="10"/>
        <v>100</v>
      </c>
      <c r="X25" s="42">
        <f t="shared" si="10"/>
        <v>53.333333333333336</v>
      </c>
      <c r="Y25" s="42">
        <f t="shared" si="10"/>
        <v>73.333333333333329</v>
      </c>
      <c r="Z25" s="42">
        <f t="shared" si="10"/>
        <v>53.333333333333336</v>
      </c>
      <c r="AA25" s="42">
        <f t="shared" si="10"/>
        <v>80</v>
      </c>
      <c r="AB25" s="42">
        <f t="shared" si="10"/>
        <v>46.666666666666664</v>
      </c>
      <c r="AC25" s="42">
        <f t="shared" si="10"/>
        <v>80</v>
      </c>
      <c r="AD25" s="42">
        <f t="shared" si="10"/>
        <v>93.333333333333329</v>
      </c>
      <c r="AE25" s="42">
        <f t="shared" si="10"/>
        <v>93.333333333333329</v>
      </c>
      <c r="AF25" s="42">
        <f t="shared" si="10"/>
        <v>60</v>
      </c>
      <c r="AG25" s="50">
        <f>AVERAGE(B25:AE25)</f>
        <v>58.444444444444436</v>
      </c>
      <c r="AH25" s="51" t="s">
        <v>180</v>
      </c>
      <c r="AX25" s="58"/>
    </row>
    <row r="26" spans="1:50" x14ac:dyDescent="0.35">
      <c r="AX26" s="58"/>
    </row>
    <row r="29" spans="1:50" x14ac:dyDescent="0.35">
      <c r="T29" s="110" t="s">
        <v>267</v>
      </c>
    </row>
    <row r="30" spans="1:50" x14ac:dyDescent="0.35">
      <c r="R30" s="55"/>
      <c r="T30" s="111" t="s">
        <v>1091</v>
      </c>
    </row>
    <row r="31" spans="1:50" x14ac:dyDescent="0.35">
      <c r="C31" s="92"/>
    </row>
    <row r="32" spans="1:50" x14ac:dyDescent="0.35">
      <c r="C32" s="92"/>
      <c r="T32" s="88" t="s">
        <v>1049</v>
      </c>
    </row>
    <row r="33" spans="3:20" x14ac:dyDescent="0.35">
      <c r="C33" s="93"/>
      <c r="T33" s="88" t="s">
        <v>1089</v>
      </c>
    </row>
    <row r="34" spans="3:20" x14ac:dyDescent="0.35">
      <c r="C34" s="93"/>
      <c r="T34" s="88" t="s">
        <v>1084</v>
      </c>
    </row>
    <row r="35" spans="3:20" x14ac:dyDescent="0.35">
      <c r="C35" s="92"/>
      <c r="T35" s="88" t="s">
        <v>1090</v>
      </c>
    </row>
    <row r="36" spans="3:20" x14ac:dyDescent="0.35">
      <c r="C36" s="92"/>
      <c r="T36" s="88" t="s">
        <v>740</v>
      </c>
    </row>
    <row r="37" spans="3:20" x14ac:dyDescent="0.35">
      <c r="C37" s="92"/>
      <c r="T37" s="88" t="s">
        <v>1081</v>
      </c>
    </row>
    <row r="38" spans="3:20" x14ac:dyDescent="0.35">
      <c r="C38" s="92"/>
      <c r="T38" s="55"/>
    </row>
    <row r="39" spans="3:20" x14ac:dyDescent="0.35">
      <c r="C39" s="92"/>
      <c r="T39" s="55"/>
    </row>
    <row r="40" spans="3:20" x14ac:dyDescent="0.35">
      <c r="C40" s="92"/>
    </row>
    <row r="41" spans="3:20" x14ac:dyDescent="0.35">
      <c r="C41" s="92"/>
    </row>
    <row r="42" spans="3:20" x14ac:dyDescent="0.35">
      <c r="C42" s="92"/>
    </row>
    <row r="43" spans="3:20" x14ac:dyDescent="0.35">
      <c r="C43" s="92"/>
    </row>
  </sheetData>
  <mergeCells count="2">
    <mergeCell ref="A1:AE1"/>
    <mergeCell ref="AM3:AR3"/>
  </mergeCells>
  <conditionalFormatting sqref="B21:D21 B16:S16 AB16 B18:S18 Y18:AB18 L21:W21 B20:W20 B15:AB15 R22:AC22 B19:Z19 X20:Z21 B17:AE17 AA19:AE21 AF20:AF21">
    <cfRule type="colorScale" priority="3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7:F11 F7:P8 G10:S10 B5:AF5 Q6:S8 X9:X10 P9:S9 T8:X8 G11:AF11 Y8:AE10 T7:AF7 AF7:AF10">
    <cfRule type="colorScale" priority="40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22:K22">
    <cfRule type="colorScale" priority="18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6:P6 T6:AF6">
    <cfRule type="colorScale" priority="29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E21:K21">
    <cfRule type="colorScale" priority="19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G9:O9">
    <cfRule type="colorScale" priority="2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L22:Q22">
    <cfRule type="colorScale" priority="20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L13:U14 B13:I14 X13:AH14">
    <cfRule type="colorScale" priority="4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R30">
    <cfRule type="colorScale" priority="10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T32:T33">
    <cfRule type="colorScale" priority="1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T34">
    <cfRule type="colorScale" priority="1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T35">
    <cfRule type="colorScale" priority="1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T36:T37">
    <cfRule type="colorScale" priority="9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T38:T39">
    <cfRule type="colorScale" priority="1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T9:W9">
    <cfRule type="colorScale" priority="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T10:W10">
    <cfRule type="colorScale" priority="1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T18:X18">
    <cfRule type="colorScale" priority="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T16:AA16">
    <cfRule type="colorScale" priority="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C15:AE16">
    <cfRule type="colorScale" priority="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C18:AE18">
    <cfRule type="colorScale" priority="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D22:AE22">
    <cfRule type="colorScale" priority="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F15">
    <cfRule type="colorScale" priority="38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F16:AF17 AF19 AF22">
    <cfRule type="colorScale" priority="39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F18">
    <cfRule type="colorScale" priority="37">
      <colorScale>
        <cfvo type="num" val="1"/>
        <cfvo type="max"/>
        <color theme="4" tint="0.59999389629810485"/>
        <color theme="5" tint="0.59999389629810485"/>
      </colorScale>
    </cfRule>
  </conditionalFormatting>
  <pageMargins left="0.2" right="0.45" top="0.75" bottom="0.75" header="0.3" footer="0.3"/>
  <pageSetup scale="90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F739B-FF2A-415C-85D2-802A14276C5B}">
  <dimension ref="A1:AX43"/>
  <sheetViews>
    <sheetView zoomScaleNormal="100" workbookViewId="0">
      <pane xSplit="1" ySplit="4" topLeftCell="AA15" activePane="bottomRight" state="frozen"/>
      <selection pane="topRight" activeCell="B1" sqref="B1"/>
      <selection pane="bottomLeft" activeCell="A5" sqref="A5"/>
      <selection pane="bottomRight" activeCell="AC4" sqref="AC4"/>
    </sheetView>
  </sheetViews>
  <sheetFormatPr defaultRowHeight="14.5" x14ac:dyDescent="0.35"/>
  <cols>
    <col min="1" max="1" width="43.54296875" bestFit="1" customWidth="1"/>
    <col min="2" max="7" width="12.54296875" bestFit="1" customWidth="1"/>
    <col min="8" max="8" width="17.453125" customWidth="1"/>
    <col min="9" max="9" width="13.453125" bestFit="1" customWidth="1"/>
    <col min="10" max="13" width="11.81640625" bestFit="1" customWidth="1"/>
    <col min="14" max="19" width="12.26953125" bestFit="1" customWidth="1"/>
    <col min="20" max="20" width="12.81640625" bestFit="1" customWidth="1"/>
    <col min="21" max="21" width="11.81640625" bestFit="1" customWidth="1"/>
    <col min="22" max="29" width="12.81640625" bestFit="1" customWidth="1"/>
    <col min="30" max="31" width="12.81640625" hidden="1" customWidth="1"/>
    <col min="32" max="32" width="11.1796875" hidden="1" customWidth="1"/>
    <col min="33" max="33" width="4.7265625" bestFit="1" customWidth="1"/>
    <col min="34" max="34" width="8.453125" bestFit="1" customWidth="1"/>
    <col min="35" max="35" width="11.54296875" bestFit="1" customWidth="1"/>
    <col min="36" max="36" width="14.1796875" bestFit="1" customWidth="1"/>
    <col min="37" max="37" width="0" hidden="1" customWidth="1"/>
    <col min="38" max="38" width="3" hidden="1" customWidth="1"/>
    <col min="39" max="39" width="17.81640625" bestFit="1" customWidth="1"/>
    <col min="40" max="40" width="9.1796875" bestFit="1" customWidth="1"/>
    <col min="41" max="41" width="9.81640625" bestFit="1" customWidth="1"/>
    <col min="42" max="42" width="10.81640625" bestFit="1" customWidth="1"/>
    <col min="43" max="43" width="10.1796875" bestFit="1" customWidth="1"/>
    <col min="44" max="44" width="23.1796875" bestFit="1" customWidth="1"/>
    <col min="45" max="45" width="0.453125" hidden="1" customWidth="1"/>
    <col min="46" max="49" width="0" hidden="1" customWidth="1"/>
    <col min="51" max="51" width="15" bestFit="1" customWidth="1"/>
  </cols>
  <sheetData>
    <row r="1" spans="1:44" ht="15.5" x14ac:dyDescent="0.35">
      <c r="A1" s="120" t="s">
        <v>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65"/>
    </row>
    <row r="2" spans="1:44" ht="15" thickBot="1" x14ac:dyDescent="0.4"/>
    <row r="3" spans="1:44" ht="45.75" customHeight="1" x14ac:dyDescent="0.35">
      <c r="A3" s="1" t="s">
        <v>1</v>
      </c>
      <c r="B3" s="2">
        <f>AI4</f>
        <v>46054</v>
      </c>
      <c r="C3" s="2">
        <f t="shared" ref="C3:AF3" si="0">B3+1</f>
        <v>46055</v>
      </c>
      <c r="D3" s="2">
        <f t="shared" si="0"/>
        <v>46056</v>
      </c>
      <c r="E3" s="2">
        <f t="shared" si="0"/>
        <v>46057</v>
      </c>
      <c r="F3" s="2">
        <f t="shared" si="0"/>
        <v>46058</v>
      </c>
      <c r="G3" s="2">
        <f t="shared" si="0"/>
        <v>46059</v>
      </c>
      <c r="H3" s="2">
        <f t="shared" si="0"/>
        <v>46060</v>
      </c>
      <c r="I3" s="2">
        <f>H3+1</f>
        <v>46061</v>
      </c>
      <c r="J3" s="2">
        <f t="shared" si="0"/>
        <v>46062</v>
      </c>
      <c r="K3" s="2">
        <f t="shared" si="0"/>
        <v>46063</v>
      </c>
      <c r="L3" s="2">
        <f t="shared" si="0"/>
        <v>46064</v>
      </c>
      <c r="M3" s="2">
        <f t="shared" si="0"/>
        <v>46065</v>
      </c>
      <c r="N3" s="2">
        <f t="shared" si="0"/>
        <v>46066</v>
      </c>
      <c r="O3" s="2">
        <f t="shared" si="0"/>
        <v>46067</v>
      </c>
      <c r="P3" s="2">
        <f t="shared" si="0"/>
        <v>46068</v>
      </c>
      <c r="Q3" s="2">
        <f t="shared" si="0"/>
        <v>46069</v>
      </c>
      <c r="R3" s="2">
        <f t="shared" si="0"/>
        <v>46070</v>
      </c>
      <c r="S3" s="2">
        <f t="shared" si="0"/>
        <v>46071</v>
      </c>
      <c r="T3" s="2">
        <f t="shared" si="0"/>
        <v>46072</v>
      </c>
      <c r="U3" s="2">
        <f t="shared" si="0"/>
        <v>46073</v>
      </c>
      <c r="V3" s="2">
        <f t="shared" si="0"/>
        <v>46074</v>
      </c>
      <c r="W3" s="2">
        <f t="shared" si="0"/>
        <v>46075</v>
      </c>
      <c r="X3" s="2">
        <f t="shared" si="0"/>
        <v>46076</v>
      </c>
      <c r="Y3" s="2">
        <f t="shared" si="0"/>
        <v>46077</v>
      </c>
      <c r="Z3" s="2">
        <f t="shared" si="0"/>
        <v>46078</v>
      </c>
      <c r="AA3" s="2">
        <f t="shared" si="0"/>
        <v>46079</v>
      </c>
      <c r="AB3" s="2">
        <f t="shared" si="0"/>
        <v>46080</v>
      </c>
      <c r="AC3" s="2">
        <f t="shared" si="0"/>
        <v>46081</v>
      </c>
      <c r="AD3" s="2">
        <f t="shared" si="0"/>
        <v>46082</v>
      </c>
      <c r="AE3" s="2">
        <f t="shared" si="0"/>
        <v>46083</v>
      </c>
      <c r="AF3" s="2">
        <f t="shared" si="0"/>
        <v>46084</v>
      </c>
      <c r="AG3" s="36"/>
      <c r="AH3" s="36"/>
      <c r="AM3" s="122" t="s">
        <v>267</v>
      </c>
      <c r="AN3" s="123"/>
      <c r="AO3" s="123"/>
      <c r="AP3" s="123"/>
      <c r="AQ3" s="123"/>
      <c r="AR3" s="124"/>
    </row>
    <row r="4" spans="1:44" ht="31.5" customHeight="1" x14ac:dyDescent="0.35">
      <c r="A4" s="3" t="s">
        <v>2</v>
      </c>
      <c r="B4" s="4">
        <f t="shared" ref="B4:AF4" si="1">B3</f>
        <v>46054</v>
      </c>
      <c r="C4" s="4">
        <f t="shared" si="1"/>
        <v>46055</v>
      </c>
      <c r="D4" s="4">
        <f t="shared" si="1"/>
        <v>46056</v>
      </c>
      <c r="E4" s="4">
        <f t="shared" si="1"/>
        <v>46057</v>
      </c>
      <c r="F4" s="4">
        <f t="shared" si="1"/>
        <v>46058</v>
      </c>
      <c r="G4" s="4">
        <f t="shared" si="1"/>
        <v>46059</v>
      </c>
      <c r="H4" s="4">
        <f t="shared" si="1"/>
        <v>46060</v>
      </c>
      <c r="I4" s="4">
        <f t="shared" si="1"/>
        <v>46061</v>
      </c>
      <c r="J4" s="4">
        <f t="shared" si="1"/>
        <v>46062</v>
      </c>
      <c r="K4" s="4">
        <f t="shared" si="1"/>
        <v>46063</v>
      </c>
      <c r="L4" s="4">
        <f t="shared" si="1"/>
        <v>46064</v>
      </c>
      <c r="M4" s="4">
        <f t="shared" si="1"/>
        <v>46065</v>
      </c>
      <c r="N4" s="4">
        <f t="shared" si="1"/>
        <v>46066</v>
      </c>
      <c r="O4" s="4">
        <f t="shared" si="1"/>
        <v>46067</v>
      </c>
      <c r="P4" s="4">
        <f t="shared" si="1"/>
        <v>46068</v>
      </c>
      <c r="Q4" s="4">
        <f t="shared" si="1"/>
        <v>46069</v>
      </c>
      <c r="R4" s="4">
        <f t="shared" si="1"/>
        <v>46070</v>
      </c>
      <c r="S4" s="4">
        <f t="shared" si="1"/>
        <v>46071</v>
      </c>
      <c r="T4" s="4">
        <f t="shared" si="1"/>
        <v>46072</v>
      </c>
      <c r="U4" s="4">
        <f t="shared" si="1"/>
        <v>46073</v>
      </c>
      <c r="V4" s="4">
        <f t="shared" si="1"/>
        <v>46074</v>
      </c>
      <c r="W4" s="4">
        <f t="shared" si="1"/>
        <v>46075</v>
      </c>
      <c r="X4" s="4">
        <f t="shared" si="1"/>
        <v>46076</v>
      </c>
      <c r="Y4" s="4">
        <f t="shared" si="1"/>
        <v>46077</v>
      </c>
      <c r="Z4" s="4">
        <f t="shared" si="1"/>
        <v>46078</v>
      </c>
      <c r="AA4" s="4">
        <f t="shared" si="1"/>
        <v>46079</v>
      </c>
      <c r="AB4" s="4">
        <f t="shared" si="1"/>
        <v>46080</v>
      </c>
      <c r="AC4" s="4">
        <f t="shared" si="1"/>
        <v>46081</v>
      </c>
      <c r="AD4" s="4">
        <f t="shared" si="1"/>
        <v>46082</v>
      </c>
      <c r="AE4" s="4">
        <f t="shared" si="1"/>
        <v>46083</v>
      </c>
      <c r="AF4" s="4">
        <f t="shared" si="1"/>
        <v>46084</v>
      </c>
      <c r="AG4" s="39" t="s">
        <v>174</v>
      </c>
      <c r="AH4" s="40" t="s">
        <v>175</v>
      </c>
      <c r="AI4" s="5">
        <v>46054</v>
      </c>
      <c r="AJ4" s="6">
        <f>EOMONTH(AI4,0)</f>
        <v>46081</v>
      </c>
      <c r="AM4" s="19" t="s">
        <v>54</v>
      </c>
      <c r="AN4" s="19" t="s">
        <v>269</v>
      </c>
      <c r="AO4" s="19" t="s">
        <v>55</v>
      </c>
      <c r="AP4" s="19" t="s">
        <v>56</v>
      </c>
      <c r="AQ4" s="19" t="s">
        <v>251</v>
      </c>
      <c r="AR4" s="19" t="s">
        <v>57</v>
      </c>
    </row>
    <row r="5" spans="1:44" x14ac:dyDescent="0.35">
      <c r="A5" s="7" t="s">
        <v>3</v>
      </c>
      <c r="B5" s="55"/>
      <c r="C5" s="55"/>
      <c r="D5" s="55"/>
      <c r="E5" s="55"/>
      <c r="F5" s="55"/>
      <c r="G5" s="55"/>
      <c r="H5" s="55"/>
      <c r="I5" s="55" t="s">
        <v>995</v>
      </c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80" t="s">
        <v>1124</v>
      </c>
      <c r="AC5" s="80" t="s">
        <v>1124</v>
      </c>
      <c r="AD5" s="55"/>
      <c r="AE5" s="55"/>
      <c r="AF5" s="55"/>
      <c r="AG5" s="41">
        <f>COUNTA(B5:AF5)</f>
        <v>3</v>
      </c>
      <c r="AH5" s="42">
        <f>AG5*100/28</f>
        <v>10.714285714285714</v>
      </c>
      <c r="AM5" s="20"/>
      <c r="AN5" s="56"/>
      <c r="AO5" s="56"/>
      <c r="AP5" s="56"/>
      <c r="AQ5" s="57"/>
      <c r="AR5" s="20"/>
    </row>
    <row r="6" spans="1:44" x14ac:dyDescent="0.35">
      <c r="A6" s="7" t="s">
        <v>7</v>
      </c>
      <c r="B6" s="112" t="s">
        <v>1085</v>
      </c>
      <c r="C6" s="112" t="s">
        <v>1085</v>
      </c>
      <c r="D6" s="112" t="s">
        <v>1085</v>
      </c>
      <c r="E6" s="112" t="s">
        <v>1085</v>
      </c>
      <c r="F6" s="112" t="s">
        <v>1085</v>
      </c>
      <c r="G6" s="112" t="s">
        <v>1085</v>
      </c>
      <c r="H6" s="112" t="s">
        <v>1085</v>
      </c>
      <c r="I6" s="112" t="s">
        <v>1085</v>
      </c>
      <c r="J6" s="112" t="s">
        <v>1085</v>
      </c>
      <c r="K6" s="112" t="s">
        <v>1085</v>
      </c>
      <c r="L6" s="112" t="s">
        <v>1085</v>
      </c>
      <c r="M6" s="112" t="s">
        <v>1085</v>
      </c>
      <c r="N6" s="112" t="s">
        <v>1085</v>
      </c>
      <c r="O6" s="112" t="s">
        <v>1085</v>
      </c>
      <c r="P6" s="112" t="s">
        <v>1085</v>
      </c>
      <c r="Q6" s="112" t="s">
        <v>1085</v>
      </c>
      <c r="R6" s="112" t="s">
        <v>1085</v>
      </c>
      <c r="S6" s="112" t="s">
        <v>1085</v>
      </c>
      <c r="T6" s="112" t="s">
        <v>1085</v>
      </c>
      <c r="U6" s="112" t="s">
        <v>1085</v>
      </c>
      <c r="V6" s="112" t="s">
        <v>1085</v>
      </c>
      <c r="W6" s="112" t="s">
        <v>1085</v>
      </c>
      <c r="X6" s="112" t="s">
        <v>1085</v>
      </c>
      <c r="Y6" s="112" t="s">
        <v>1085</v>
      </c>
      <c r="Z6" s="112" t="s">
        <v>1085</v>
      </c>
      <c r="AA6" s="55"/>
      <c r="AB6" s="80" t="s">
        <v>1124</v>
      </c>
      <c r="AC6" s="80" t="s">
        <v>1124</v>
      </c>
      <c r="AD6" s="55"/>
      <c r="AE6" s="55"/>
      <c r="AF6" s="55"/>
      <c r="AG6" s="41">
        <f t="shared" ref="AG6:AG11" si="2">COUNTA(B6:AF6)</f>
        <v>27</v>
      </c>
      <c r="AH6" s="42">
        <f t="shared" ref="AH6:AH11" si="3">AG6*100/28</f>
        <v>96.428571428571431</v>
      </c>
      <c r="AM6" s="20"/>
      <c r="AN6" s="56"/>
      <c r="AO6" s="56"/>
      <c r="AP6" s="56"/>
      <c r="AQ6" s="57"/>
      <c r="AR6" s="20"/>
    </row>
    <row r="7" spans="1:44" x14ac:dyDescent="0.35">
      <c r="A7" s="7" t="s">
        <v>11</v>
      </c>
      <c r="B7" s="55" t="s">
        <v>1096</v>
      </c>
      <c r="C7" s="55" t="s">
        <v>1096</v>
      </c>
      <c r="D7" s="55" t="s">
        <v>1096</v>
      </c>
      <c r="E7" s="55" t="s">
        <v>1096</v>
      </c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 t="s">
        <v>739</v>
      </c>
      <c r="R7" s="55" t="s">
        <v>739</v>
      </c>
      <c r="S7" s="55" t="s">
        <v>739</v>
      </c>
      <c r="T7" s="55"/>
      <c r="U7" s="55"/>
      <c r="V7" s="55" t="s">
        <v>1043</v>
      </c>
      <c r="W7" s="55"/>
      <c r="X7" s="55" t="s">
        <v>1113</v>
      </c>
      <c r="Y7" s="55" t="s">
        <v>1113</v>
      </c>
      <c r="Z7" s="68" t="s">
        <v>1113</v>
      </c>
      <c r="AA7" s="55"/>
      <c r="AB7" s="80" t="s">
        <v>1124</v>
      </c>
      <c r="AC7" s="80" t="s">
        <v>1124</v>
      </c>
      <c r="AD7" s="55"/>
      <c r="AE7" s="55"/>
      <c r="AF7" s="55"/>
      <c r="AG7" s="41">
        <f t="shared" si="2"/>
        <v>13</v>
      </c>
      <c r="AH7" s="42">
        <f t="shared" si="3"/>
        <v>46.428571428571431</v>
      </c>
      <c r="AM7" s="20"/>
      <c r="AN7" s="56"/>
      <c r="AO7" s="56"/>
      <c r="AP7" s="56"/>
      <c r="AQ7" s="57"/>
      <c r="AR7" s="20"/>
    </row>
    <row r="8" spans="1:44" ht="15" customHeight="1" x14ac:dyDescent="0.35">
      <c r="A8" s="113" t="s">
        <v>15</v>
      </c>
      <c r="B8" s="55" t="s">
        <v>1100</v>
      </c>
      <c r="C8" s="55" t="s">
        <v>1100</v>
      </c>
      <c r="D8" s="55" t="s">
        <v>1100</v>
      </c>
      <c r="E8" s="55" t="s">
        <v>1100</v>
      </c>
      <c r="F8" s="55" t="s">
        <v>1100</v>
      </c>
      <c r="G8" s="55" t="s">
        <v>1100</v>
      </c>
      <c r="H8" s="55" t="s">
        <v>1100</v>
      </c>
      <c r="I8" s="55" t="s">
        <v>1100</v>
      </c>
      <c r="J8" s="55" t="s">
        <v>1100</v>
      </c>
      <c r="K8" s="55" t="s">
        <v>1100</v>
      </c>
      <c r="L8" s="55" t="s">
        <v>1100</v>
      </c>
      <c r="M8" s="55"/>
      <c r="N8" s="55"/>
      <c r="O8" s="55"/>
      <c r="P8" s="55"/>
      <c r="Q8" s="112" t="s">
        <v>1076</v>
      </c>
      <c r="R8" s="112" t="s">
        <v>1076</v>
      </c>
      <c r="S8" s="112" t="s">
        <v>1076</v>
      </c>
      <c r="T8" s="55"/>
      <c r="U8" s="55"/>
      <c r="V8" s="55"/>
      <c r="W8" s="55"/>
      <c r="X8" s="55" t="s">
        <v>1113</v>
      </c>
      <c r="Y8" s="55" t="s">
        <v>1113</v>
      </c>
      <c r="Z8" s="68" t="s">
        <v>1113</v>
      </c>
      <c r="AA8" s="55"/>
      <c r="AB8" s="80" t="s">
        <v>1124</v>
      </c>
      <c r="AC8" s="80" t="s">
        <v>1124</v>
      </c>
      <c r="AD8" s="55"/>
      <c r="AE8" s="55"/>
      <c r="AF8" s="55"/>
      <c r="AG8" s="41">
        <f t="shared" si="2"/>
        <v>19</v>
      </c>
      <c r="AH8" s="42">
        <f t="shared" si="3"/>
        <v>67.857142857142861</v>
      </c>
      <c r="AK8" s="9"/>
      <c r="AM8" s="20"/>
      <c r="AN8" s="56"/>
      <c r="AO8" s="56"/>
      <c r="AP8" s="56"/>
      <c r="AQ8" s="57"/>
      <c r="AR8" s="20"/>
    </row>
    <row r="9" spans="1:44" ht="15.75" customHeight="1" x14ac:dyDescent="0.35">
      <c r="A9" s="7" t="s">
        <v>18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 t="s">
        <v>1078</v>
      </c>
      <c r="R9" s="55" t="s">
        <v>1078</v>
      </c>
      <c r="S9" s="55" t="s">
        <v>1078</v>
      </c>
      <c r="T9" s="55"/>
      <c r="U9" s="55"/>
      <c r="V9" s="55" t="s">
        <v>331</v>
      </c>
      <c r="W9" s="55"/>
      <c r="X9" s="55" t="s">
        <v>1109</v>
      </c>
      <c r="Y9" s="55" t="s">
        <v>1109</v>
      </c>
      <c r="Z9" s="54" t="s">
        <v>1109</v>
      </c>
      <c r="AA9" s="55"/>
      <c r="AB9" s="80" t="s">
        <v>1124</v>
      </c>
      <c r="AC9" s="80" t="s">
        <v>1124</v>
      </c>
      <c r="AD9" s="55"/>
      <c r="AE9" s="55"/>
      <c r="AF9" s="55"/>
      <c r="AG9" s="41">
        <f t="shared" si="2"/>
        <v>9</v>
      </c>
      <c r="AH9" s="42">
        <f t="shared" si="3"/>
        <v>32.142857142857146</v>
      </c>
      <c r="AM9" s="20"/>
      <c r="AN9" s="56"/>
      <c r="AO9" s="56"/>
      <c r="AP9" s="56"/>
      <c r="AQ9" s="57"/>
      <c r="AR9" s="20"/>
    </row>
    <row r="10" spans="1:44" ht="15.75" customHeight="1" x14ac:dyDescent="0.35">
      <c r="A10" s="113" t="s">
        <v>20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112" t="s">
        <v>1043</v>
      </c>
      <c r="R10" s="112" t="s">
        <v>1043</v>
      </c>
      <c r="S10" s="112" t="s">
        <v>1043</v>
      </c>
      <c r="T10" s="55"/>
      <c r="U10" s="55"/>
      <c r="V10" s="55" t="s">
        <v>1090</v>
      </c>
      <c r="W10" s="55"/>
      <c r="X10" s="55" t="s">
        <v>1111</v>
      </c>
      <c r="Y10" s="55" t="s">
        <v>1111</v>
      </c>
      <c r="Z10" s="54" t="s">
        <v>1111</v>
      </c>
      <c r="AA10" s="55"/>
      <c r="AB10" s="80" t="s">
        <v>1124</v>
      </c>
      <c r="AC10" s="80" t="s">
        <v>1124</v>
      </c>
      <c r="AD10" s="55"/>
      <c r="AE10" s="55"/>
      <c r="AF10" s="55"/>
      <c r="AG10" s="41">
        <f t="shared" si="2"/>
        <v>9</v>
      </c>
      <c r="AH10" s="42">
        <f t="shared" si="3"/>
        <v>32.142857142857146</v>
      </c>
      <c r="AM10" s="20"/>
      <c r="AN10" s="56"/>
      <c r="AO10" s="56"/>
      <c r="AP10" s="56"/>
      <c r="AQ10" s="57"/>
      <c r="AR10" s="20"/>
    </row>
    <row r="11" spans="1:44" ht="15.75" customHeight="1" thickBot="1" x14ac:dyDescent="0.4">
      <c r="A11" s="7" t="s">
        <v>24</v>
      </c>
      <c r="B11" s="55" t="s">
        <v>582</v>
      </c>
      <c r="C11" s="55" t="s">
        <v>582</v>
      </c>
      <c r="D11" s="55" t="s">
        <v>582</v>
      </c>
      <c r="E11" s="55" t="s">
        <v>582</v>
      </c>
      <c r="F11" s="55" t="s">
        <v>582</v>
      </c>
      <c r="G11" s="55" t="s">
        <v>582</v>
      </c>
      <c r="H11" s="55"/>
      <c r="I11" s="55"/>
      <c r="J11" s="55"/>
      <c r="K11" s="55"/>
      <c r="L11" s="55"/>
      <c r="M11" s="55"/>
      <c r="N11" s="55"/>
      <c r="O11" s="55"/>
      <c r="P11" s="55"/>
      <c r="Q11" s="55" t="s">
        <v>1080</v>
      </c>
      <c r="R11" s="55" t="s">
        <v>1080</v>
      </c>
      <c r="S11" s="55" t="s">
        <v>1080</v>
      </c>
      <c r="T11" s="55"/>
      <c r="U11" s="55"/>
      <c r="V11" s="55" t="s">
        <v>1118</v>
      </c>
      <c r="W11" s="55" t="s">
        <v>1118</v>
      </c>
      <c r="X11" s="55" t="s">
        <v>1110</v>
      </c>
      <c r="Y11" s="55" t="s">
        <v>1110</v>
      </c>
      <c r="Z11" s="54" t="s">
        <v>1110</v>
      </c>
      <c r="AA11" s="55"/>
      <c r="AB11" s="80" t="s">
        <v>1124</v>
      </c>
      <c r="AC11" s="80" t="s">
        <v>1124</v>
      </c>
      <c r="AD11" s="55"/>
      <c r="AE11" s="55"/>
      <c r="AF11" s="55"/>
      <c r="AG11" s="41">
        <f t="shared" si="2"/>
        <v>16</v>
      </c>
      <c r="AH11" s="42">
        <f t="shared" si="3"/>
        <v>57.142857142857146</v>
      </c>
      <c r="AM11" s="20"/>
      <c r="AN11" s="56"/>
      <c r="AO11" s="56"/>
      <c r="AP11" s="56"/>
      <c r="AQ11" s="57"/>
      <c r="AR11" s="20"/>
    </row>
    <row r="12" spans="1:44" ht="15" customHeight="1" x14ac:dyDescent="0.35">
      <c r="A12" s="45" t="s">
        <v>176</v>
      </c>
      <c r="B12" s="46">
        <f>COUNTA(B5:B11)</f>
        <v>4</v>
      </c>
      <c r="C12" s="46">
        <f>COUNTA(C5:C11)</f>
        <v>4</v>
      </c>
      <c r="D12" s="46">
        <f t="shared" ref="D12:AF12" si="4">COUNTA(D5:D11)</f>
        <v>4</v>
      </c>
      <c r="E12" s="46">
        <f t="shared" si="4"/>
        <v>4</v>
      </c>
      <c r="F12" s="46">
        <f t="shared" si="4"/>
        <v>3</v>
      </c>
      <c r="G12" s="46">
        <f t="shared" si="4"/>
        <v>3</v>
      </c>
      <c r="H12" s="46">
        <f t="shared" si="4"/>
        <v>2</v>
      </c>
      <c r="I12" s="46">
        <f t="shared" si="4"/>
        <v>3</v>
      </c>
      <c r="J12" s="46">
        <f t="shared" si="4"/>
        <v>2</v>
      </c>
      <c r="K12" s="46">
        <f t="shared" si="4"/>
        <v>2</v>
      </c>
      <c r="L12" s="46">
        <f t="shared" si="4"/>
        <v>2</v>
      </c>
      <c r="M12" s="46">
        <f t="shared" si="4"/>
        <v>1</v>
      </c>
      <c r="N12" s="46">
        <f t="shared" si="4"/>
        <v>1</v>
      </c>
      <c r="O12" s="46">
        <f t="shared" si="4"/>
        <v>1</v>
      </c>
      <c r="P12" s="46">
        <f t="shared" si="4"/>
        <v>1</v>
      </c>
      <c r="Q12" s="46">
        <f t="shared" si="4"/>
        <v>6</v>
      </c>
      <c r="R12" s="46">
        <f t="shared" si="4"/>
        <v>6</v>
      </c>
      <c r="S12" s="46">
        <f t="shared" si="4"/>
        <v>6</v>
      </c>
      <c r="T12" s="46">
        <f t="shared" si="4"/>
        <v>1</v>
      </c>
      <c r="U12" s="46">
        <f t="shared" si="4"/>
        <v>1</v>
      </c>
      <c r="V12" s="46">
        <f t="shared" si="4"/>
        <v>5</v>
      </c>
      <c r="W12" s="46">
        <f t="shared" si="4"/>
        <v>2</v>
      </c>
      <c r="X12" s="46">
        <f t="shared" si="4"/>
        <v>6</v>
      </c>
      <c r="Y12" s="46">
        <f t="shared" si="4"/>
        <v>6</v>
      </c>
      <c r="Z12" s="46">
        <f t="shared" si="4"/>
        <v>6</v>
      </c>
      <c r="AA12" s="46">
        <f t="shared" si="4"/>
        <v>0</v>
      </c>
      <c r="AB12" s="46">
        <f t="shared" si="4"/>
        <v>7</v>
      </c>
      <c r="AC12" s="46">
        <f>COUNTA(AC5:AC11)</f>
        <v>7</v>
      </c>
      <c r="AD12" s="46">
        <f>COUNTA(AD5:AD11)</f>
        <v>0</v>
      </c>
      <c r="AE12" s="46">
        <f>COUNTA(AE5:AE11)</f>
        <v>0</v>
      </c>
      <c r="AF12" s="46">
        <f t="shared" si="4"/>
        <v>0</v>
      </c>
      <c r="AG12" s="43">
        <f t="shared" ref="AG12" si="5">SUM(AG5:AG11)</f>
        <v>96</v>
      </c>
      <c r="AH12" s="44">
        <f>AVERAGE(AH5:AH11)</f>
        <v>48.979591836734699</v>
      </c>
      <c r="AI12" s="29"/>
      <c r="AM12" s="20"/>
      <c r="AN12" s="20"/>
      <c r="AO12" s="20"/>
      <c r="AP12" s="20"/>
      <c r="AQ12" s="20"/>
      <c r="AR12" s="20"/>
    </row>
    <row r="13" spans="1:44" ht="85.5" hidden="1" x14ac:dyDescent="0.35">
      <c r="A13" s="13" t="s">
        <v>28</v>
      </c>
      <c r="B13" s="14"/>
      <c r="C13" s="14"/>
      <c r="D13" s="14"/>
      <c r="E13" s="14"/>
      <c r="F13" s="14"/>
      <c r="G13" s="14"/>
      <c r="H13" s="14"/>
      <c r="I13" s="35"/>
      <c r="J13" s="34"/>
      <c r="K13" s="15"/>
      <c r="L13" s="14"/>
      <c r="M13" s="14"/>
      <c r="N13" s="25"/>
      <c r="O13" s="25"/>
      <c r="P13" s="25"/>
      <c r="Q13" s="14"/>
      <c r="R13" s="14"/>
      <c r="S13" s="14"/>
      <c r="T13" s="14"/>
      <c r="U13" s="14"/>
      <c r="V13" s="15"/>
      <c r="W13" s="15"/>
      <c r="X13" s="14"/>
      <c r="Y13" s="14"/>
      <c r="Z13" s="14"/>
      <c r="AA13" s="14"/>
      <c r="AB13" s="14"/>
      <c r="AC13" s="14"/>
      <c r="AD13" s="14"/>
      <c r="AE13" s="14"/>
      <c r="AF13" s="14"/>
      <c r="AG13" s="37"/>
      <c r="AH13" s="37"/>
      <c r="AM13" s="20"/>
      <c r="AN13" s="20"/>
      <c r="AO13" s="20"/>
      <c r="AP13" s="20"/>
      <c r="AQ13" s="20"/>
      <c r="AR13" s="20"/>
    </row>
    <row r="14" spans="1:44" ht="28.5" hidden="1" x14ac:dyDescent="0.35">
      <c r="A14" s="16" t="s">
        <v>29</v>
      </c>
      <c r="B14" s="14"/>
      <c r="C14" s="14"/>
      <c r="D14" s="14"/>
      <c r="E14" s="14"/>
      <c r="F14" s="14"/>
      <c r="G14" s="14"/>
      <c r="H14" s="14"/>
      <c r="I14" s="35"/>
      <c r="J14" s="34"/>
      <c r="K14" s="15"/>
      <c r="L14" s="14"/>
      <c r="M14" s="14"/>
      <c r="N14" s="25"/>
      <c r="O14" s="25"/>
      <c r="P14" s="25"/>
      <c r="Q14" s="14"/>
      <c r="R14" s="14"/>
      <c r="S14" s="14"/>
      <c r="T14" s="14"/>
      <c r="U14" s="14"/>
      <c r="V14" s="15"/>
      <c r="W14" s="15"/>
      <c r="X14" s="14"/>
      <c r="Y14" s="14"/>
      <c r="Z14" s="14"/>
      <c r="AA14" s="14"/>
      <c r="AB14" s="14"/>
      <c r="AC14" s="14"/>
      <c r="AD14" s="14"/>
      <c r="AE14" s="14"/>
      <c r="AF14" s="14"/>
      <c r="AG14" s="37"/>
      <c r="AH14" s="37"/>
      <c r="AM14" s="20"/>
      <c r="AN14" s="20"/>
      <c r="AO14" s="20"/>
      <c r="AP14" s="20"/>
      <c r="AQ14" s="20"/>
      <c r="AR14" s="20"/>
    </row>
    <row r="15" spans="1:44" x14ac:dyDescent="0.35">
      <c r="A15" s="7" t="s">
        <v>30</v>
      </c>
      <c r="B15" s="8"/>
      <c r="C15" s="55"/>
      <c r="D15" s="55"/>
      <c r="E15" s="55"/>
      <c r="F15" s="55"/>
      <c r="G15" s="55"/>
      <c r="H15" s="55" t="s">
        <v>651</v>
      </c>
      <c r="I15" s="55" t="s">
        <v>651</v>
      </c>
      <c r="J15" s="55" t="s">
        <v>651</v>
      </c>
      <c r="K15" s="55" t="s">
        <v>651</v>
      </c>
      <c r="L15" s="55" t="s">
        <v>651</v>
      </c>
      <c r="M15" s="55" t="s">
        <v>651</v>
      </c>
      <c r="N15" s="55" t="s">
        <v>651</v>
      </c>
      <c r="O15" s="55"/>
      <c r="P15" s="55"/>
      <c r="Q15" s="55" t="s">
        <v>1108</v>
      </c>
      <c r="R15" s="55" t="s">
        <v>1108</v>
      </c>
      <c r="S15" s="55" t="s">
        <v>1108</v>
      </c>
      <c r="T15" s="55"/>
      <c r="U15" s="55" t="s">
        <v>1116</v>
      </c>
      <c r="V15" s="55" t="s">
        <v>1116</v>
      </c>
      <c r="W15" s="55" t="s">
        <v>1116</v>
      </c>
      <c r="X15" s="55" t="s">
        <v>1116</v>
      </c>
      <c r="Y15" s="55"/>
      <c r="Z15" s="55"/>
      <c r="AA15" s="55"/>
      <c r="AB15" s="80" t="s">
        <v>1124</v>
      </c>
      <c r="AC15" s="80" t="s">
        <v>1124</v>
      </c>
      <c r="AD15" s="55"/>
      <c r="AE15" s="8"/>
      <c r="AF15" s="8"/>
      <c r="AG15" s="41">
        <f>COUNTA(B15:AF15)</f>
        <v>16</v>
      </c>
      <c r="AH15" s="42">
        <f>AG15*100/28</f>
        <v>57.142857142857146</v>
      </c>
      <c r="AM15" s="20"/>
      <c r="AN15" s="20"/>
      <c r="AO15" s="20"/>
      <c r="AP15" s="20"/>
      <c r="AQ15" s="20"/>
      <c r="AR15" s="20"/>
    </row>
    <row r="16" spans="1:44" x14ac:dyDescent="0.35">
      <c r="A16" s="113" t="s">
        <v>35</v>
      </c>
      <c r="B16" s="8" t="s">
        <v>562</v>
      </c>
      <c r="C16" s="8" t="s">
        <v>562</v>
      </c>
      <c r="D16" s="8" t="s">
        <v>562</v>
      </c>
      <c r="E16" s="8" t="s">
        <v>562</v>
      </c>
      <c r="F16" s="8" t="s">
        <v>562</v>
      </c>
      <c r="G16" s="8" t="s">
        <v>562</v>
      </c>
      <c r="H16" s="8" t="s">
        <v>562</v>
      </c>
      <c r="I16" s="8"/>
      <c r="J16" s="8"/>
      <c r="K16" s="55"/>
      <c r="L16" s="55" t="s">
        <v>1104</v>
      </c>
      <c r="M16" s="55" t="s">
        <v>1104</v>
      </c>
      <c r="N16" s="55" t="s">
        <v>1104</v>
      </c>
      <c r="O16" s="55"/>
      <c r="P16" s="55"/>
      <c r="Q16" s="112" t="s">
        <v>853</v>
      </c>
      <c r="R16" s="112" t="s">
        <v>853</v>
      </c>
      <c r="S16" s="112" t="s">
        <v>853</v>
      </c>
      <c r="T16" s="55"/>
      <c r="U16" s="55" t="s">
        <v>1116</v>
      </c>
      <c r="V16" s="55" t="s">
        <v>1116</v>
      </c>
      <c r="W16" s="55" t="s">
        <v>1116</v>
      </c>
      <c r="X16" s="55" t="s">
        <v>1116</v>
      </c>
      <c r="Y16" s="55"/>
      <c r="Z16" s="55"/>
      <c r="AA16" s="55"/>
      <c r="AB16" s="80" t="s">
        <v>1124</v>
      </c>
      <c r="AC16" s="80" t="s">
        <v>1124</v>
      </c>
      <c r="AD16" s="8"/>
      <c r="AE16" s="8"/>
      <c r="AF16" s="8"/>
      <c r="AG16" s="41">
        <f t="shared" ref="AG16:AG22" si="6">COUNTA(B16:AF16)</f>
        <v>19</v>
      </c>
      <c r="AH16" s="42">
        <f>AG16*100/28</f>
        <v>67.857142857142861</v>
      </c>
      <c r="AM16" s="20"/>
      <c r="AN16" s="20"/>
      <c r="AO16" s="56"/>
      <c r="AP16" s="56"/>
      <c r="AQ16" s="20"/>
      <c r="AR16" s="20"/>
    </row>
    <row r="17" spans="1:50" x14ac:dyDescent="0.35">
      <c r="A17" s="7" t="s">
        <v>39</v>
      </c>
      <c r="B17" s="8" t="s">
        <v>1102</v>
      </c>
      <c r="C17" s="8" t="s">
        <v>1102</v>
      </c>
      <c r="D17" s="8" t="s">
        <v>1102</v>
      </c>
      <c r="E17" s="8" t="s">
        <v>1102</v>
      </c>
      <c r="F17" s="8" t="s">
        <v>1102</v>
      </c>
      <c r="G17" s="8" t="s">
        <v>1102</v>
      </c>
      <c r="H17" s="8" t="s">
        <v>1102</v>
      </c>
      <c r="I17" s="8" t="s">
        <v>562</v>
      </c>
      <c r="J17" s="8" t="s">
        <v>562</v>
      </c>
      <c r="K17" s="8" t="s">
        <v>562</v>
      </c>
      <c r="L17" s="8" t="s">
        <v>562</v>
      </c>
      <c r="M17" s="8" t="s">
        <v>562</v>
      </c>
      <c r="N17" s="8" t="s">
        <v>562</v>
      </c>
      <c r="O17" s="8" t="s">
        <v>562</v>
      </c>
      <c r="P17" s="8" t="s">
        <v>562</v>
      </c>
      <c r="Q17" s="8" t="s">
        <v>562</v>
      </c>
      <c r="R17" s="8" t="s">
        <v>562</v>
      </c>
      <c r="S17" s="8" t="s">
        <v>562</v>
      </c>
      <c r="T17" s="8" t="s">
        <v>562</v>
      </c>
      <c r="U17" s="8" t="s">
        <v>562</v>
      </c>
      <c r="V17" s="8" t="s">
        <v>562</v>
      </c>
      <c r="W17" s="8" t="s">
        <v>562</v>
      </c>
      <c r="X17" s="8" t="s">
        <v>562</v>
      </c>
      <c r="Y17" s="8" t="s">
        <v>562</v>
      </c>
      <c r="Z17" s="54" t="s">
        <v>562</v>
      </c>
      <c r="AA17" s="55"/>
      <c r="AB17" s="80" t="s">
        <v>1124</v>
      </c>
      <c r="AC17" s="80" t="s">
        <v>1124</v>
      </c>
      <c r="AD17" s="55"/>
      <c r="AE17" s="8"/>
      <c r="AF17" s="8"/>
      <c r="AG17" s="41">
        <f t="shared" si="6"/>
        <v>27</v>
      </c>
      <c r="AH17" s="42">
        <f t="shared" ref="AH17:AH22" si="7">AG17*100/28</f>
        <v>96.428571428571431</v>
      </c>
      <c r="AM17" s="20"/>
      <c r="AN17" s="20"/>
      <c r="AO17" s="20"/>
      <c r="AP17" s="20"/>
      <c r="AQ17" s="20"/>
      <c r="AR17" s="20"/>
      <c r="AX17" s="58"/>
    </row>
    <row r="18" spans="1:50" x14ac:dyDescent="0.35">
      <c r="A18" s="113" t="s">
        <v>42</v>
      </c>
      <c r="B18" s="8"/>
      <c r="C18" s="55"/>
      <c r="D18" s="55"/>
      <c r="E18" s="55"/>
      <c r="F18" s="55" t="s">
        <v>1103</v>
      </c>
      <c r="G18" s="55" t="s">
        <v>1103</v>
      </c>
      <c r="H18" s="55" t="s">
        <v>1103</v>
      </c>
      <c r="I18" s="55" t="s">
        <v>1103</v>
      </c>
      <c r="J18" s="55" t="s">
        <v>1103</v>
      </c>
      <c r="K18" s="55" t="s">
        <v>1103</v>
      </c>
      <c r="L18" s="55" t="s">
        <v>1103</v>
      </c>
      <c r="M18" s="55" t="s">
        <v>1103</v>
      </c>
      <c r="N18" s="55" t="s">
        <v>1103</v>
      </c>
      <c r="O18" s="55"/>
      <c r="P18" s="55"/>
      <c r="Q18" s="112" t="s">
        <v>443</v>
      </c>
      <c r="R18" s="112" t="s">
        <v>443</v>
      </c>
      <c r="S18" s="112" t="s">
        <v>443</v>
      </c>
      <c r="T18" s="55"/>
      <c r="U18" s="55"/>
      <c r="V18" s="55" t="s">
        <v>739</v>
      </c>
      <c r="W18" s="55"/>
      <c r="X18" s="55" t="s">
        <v>1115</v>
      </c>
      <c r="Y18" s="55"/>
      <c r="Z18" s="54"/>
      <c r="AA18" s="55"/>
      <c r="AB18" s="80" t="s">
        <v>1124</v>
      </c>
      <c r="AC18" s="80" t="s">
        <v>1124</v>
      </c>
      <c r="AD18" s="8"/>
      <c r="AE18" s="8"/>
      <c r="AF18" s="8"/>
      <c r="AG18" s="41">
        <f t="shared" si="6"/>
        <v>16</v>
      </c>
      <c r="AH18" s="42">
        <f t="shared" si="7"/>
        <v>57.142857142857146</v>
      </c>
      <c r="AM18" s="20"/>
      <c r="AN18" s="20"/>
      <c r="AO18" s="20"/>
      <c r="AP18" s="20"/>
      <c r="AQ18" s="20"/>
      <c r="AR18" s="20"/>
      <c r="AX18" s="58"/>
    </row>
    <row r="19" spans="1:50" x14ac:dyDescent="0.35">
      <c r="A19" s="7" t="s">
        <v>45</v>
      </c>
      <c r="B19" s="8" t="s">
        <v>561</v>
      </c>
      <c r="C19" s="8" t="s">
        <v>561</v>
      </c>
      <c r="D19" s="8" t="s">
        <v>561</v>
      </c>
      <c r="E19" s="8" t="s">
        <v>561</v>
      </c>
      <c r="F19" s="8" t="s">
        <v>561</v>
      </c>
      <c r="G19" s="8" t="s">
        <v>561</v>
      </c>
      <c r="H19" s="8" t="s">
        <v>561</v>
      </c>
      <c r="I19" s="8" t="s">
        <v>561</v>
      </c>
      <c r="J19" s="8" t="s">
        <v>561</v>
      </c>
      <c r="K19" s="8" t="s">
        <v>561</v>
      </c>
      <c r="L19" s="8" t="s">
        <v>561</v>
      </c>
      <c r="M19" s="8" t="s">
        <v>561</v>
      </c>
      <c r="N19" s="8" t="s">
        <v>561</v>
      </c>
      <c r="O19" s="8" t="s">
        <v>561</v>
      </c>
      <c r="P19" s="8" t="s">
        <v>561</v>
      </c>
      <c r="Q19" s="8" t="s">
        <v>561</v>
      </c>
      <c r="R19" s="8" t="s">
        <v>561</v>
      </c>
      <c r="S19" s="8" t="s">
        <v>561</v>
      </c>
      <c r="T19" s="8" t="s">
        <v>561</v>
      </c>
      <c r="U19" s="8" t="s">
        <v>561</v>
      </c>
      <c r="V19" s="8" t="s">
        <v>561</v>
      </c>
      <c r="W19" s="8" t="s">
        <v>561</v>
      </c>
      <c r="X19" s="8" t="s">
        <v>561</v>
      </c>
      <c r="Y19" s="8" t="s">
        <v>561</v>
      </c>
      <c r="Z19" s="54" t="s">
        <v>561</v>
      </c>
      <c r="AA19" s="55"/>
      <c r="AB19" s="80" t="s">
        <v>1124</v>
      </c>
      <c r="AC19" s="80" t="s">
        <v>1124</v>
      </c>
      <c r="AD19" s="8"/>
      <c r="AE19" s="8"/>
      <c r="AF19" s="8"/>
      <c r="AG19" s="41">
        <f t="shared" si="6"/>
        <v>27</v>
      </c>
      <c r="AH19" s="42">
        <f t="shared" si="7"/>
        <v>96.428571428571431</v>
      </c>
      <c r="AM19" s="20"/>
      <c r="AN19" s="20"/>
      <c r="AO19" s="20"/>
      <c r="AP19" s="20"/>
      <c r="AQ19" s="20"/>
      <c r="AR19" s="20"/>
      <c r="AX19" s="58"/>
    </row>
    <row r="20" spans="1:50" x14ac:dyDescent="0.35">
      <c r="A20" s="113" t="s">
        <v>47</v>
      </c>
      <c r="B20" s="55" t="s">
        <v>1086</v>
      </c>
      <c r="C20" s="55" t="s">
        <v>1086</v>
      </c>
      <c r="D20" s="55" t="s">
        <v>1086</v>
      </c>
      <c r="E20" s="55" t="s">
        <v>1086</v>
      </c>
      <c r="F20" s="55" t="s">
        <v>1086</v>
      </c>
      <c r="G20" s="55"/>
      <c r="H20" s="55"/>
      <c r="I20" s="55"/>
      <c r="J20" s="55"/>
      <c r="K20" s="55"/>
      <c r="L20" s="55" t="s">
        <v>1105</v>
      </c>
      <c r="M20" s="55" t="s">
        <v>1105</v>
      </c>
      <c r="N20" s="55" t="s">
        <v>1105</v>
      </c>
      <c r="O20" s="55"/>
      <c r="P20" s="55"/>
      <c r="Q20" s="112"/>
      <c r="R20" s="112"/>
      <c r="S20" s="112"/>
      <c r="T20" s="55" t="s">
        <v>1117</v>
      </c>
      <c r="U20" s="55" t="s">
        <v>1117</v>
      </c>
      <c r="V20" s="55" t="s">
        <v>1117</v>
      </c>
      <c r="W20" s="55"/>
      <c r="X20" s="55"/>
      <c r="Y20" s="55"/>
      <c r="Z20" s="55"/>
      <c r="AA20" s="55"/>
      <c r="AB20" s="80" t="s">
        <v>1124</v>
      </c>
      <c r="AC20" s="80" t="s">
        <v>1124</v>
      </c>
      <c r="AD20" s="8"/>
      <c r="AE20" s="8"/>
      <c r="AF20" s="8"/>
      <c r="AG20" s="41">
        <f t="shared" si="6"/>
        <v>13</v>
      </c>
      <c r="AH20" s="42">
        <f t="shared" si="7"/>
        <v>46.428571428571431</v>
      </c>
      <c r="AM20" s="20"/>
      <c r="AN20" s="20"/>
      <c r="AO20" s="20"/>
      <c r="AP20" s="20"/>
      <c r="AQ20" s="20"/>
      <c r="AR20" s="20"/>
      <c r="AX20" s="58"/>
    </row>
    <row r="21" spans="1:50" x14ac:dyDescent="0.35">
      <c r="A21" s="7" t="s">
        <v>50</v>
      </c>
      <c r="B21" s="112" t="s">
        <v>1086</v>
      </c>
      <c r="C21" s="112" t="s">
        <v>1086</v>
      </c>
      <c r="D21" s="112" t="s">
        <v>1086</v>
      </c>
      <c r="E21" s="112" t="s">
        <v>1086</v>
      </c>
      <c r="F21" s="112" t="s">
        <v>1086</v>
      </c>
      <c r="G21" s="55"/>
      <c r="H21" s="55"/>
      <c r="I21" s="55"/>
      <c r="J21" s="55"/>
      <c r="K21" s="55"/>
      <c r="L21" s="55" t="s">
        <v>1105</v>
      </c>
      <c r="M21" s="55" t="s">
        <v>1105</v>
      </c>
      <c r="N21" s="55" t="s">
        <v>1105</v>
      </c>
      <c r="O21" s="55"/>
      <c r="P21" s="55"/>
      <c r="Q21" s="55" t="s">
        <v>981</v>
      </c>
      <c r="R21" s="55" t="s">
        <v>981</v>
      </c>
      <c r="S21" s="55" t="s">
        <v>981</v>
      </c>
      <c r="T21" s="55" t="s">
        <v>1055</v>
      </c>
      <c r="U21" s="55"/>
      <c r="V21" s="55" t="s">
        <v>1118</v>
      </c>
      <c r="W21" s="55" t="s">
        <v>1118</v>
      </c>
      <c r="X21" s="55" t="s">
        <v>1114</v>
      </c>
      <c r="Y21" s="55" t="s">
        <v>1114</v>
      </c>
      <c r="Z21" s="55" t="s">
        <v>1114</v>
      </c>
      <c r="AA21" s="55"/>
      <c r="AB21" s="80" t="s">
        <v>1124</v>
      </c>
      <c r="AC21" s="80" t="s">
        <v>1124</v>
      </c>
      <c r="AD21" s="55"/>
      <c r="AE21" s="8"/>
      <c r="AF21" s="8"/>
      <c r="AG21" s="41">
        <f t="shared" si="6"/>
        <v>19</v>
      </c>
      <c r="AH21" s="42">
        <f t="shared" si="7"/>
        <v>67.857142857142861</v>
      </c>
      <c r="AM21" s="20"/>
      <c r="AN21" s="20"/>
      <c r="AO21" s="20"/>
      <c r="AP21" s="20"/>
      <c r="AQ21" s="20"/>
      <c r="AR21" s="20"/>
      <c r="AX21" s="58"/>
    </row>
    <row r="22" spans="1:50" ht="15" thickBot="1" x14ac:dyDescent="0.4">
      <c r="A22" s="113" t="s">
        <v>51</v>
      </c>
      <c r="B22" s="8"/>
      <c r="C22" s="55"/>
      <c r="D22" s="55"/>
      <c r="E22" s="55"/>
      <c r="F22" s="55"/>
      <c r="G22" s="55"/>
      <c r="H22" s="55"/>
      <c r="I22" s="55" t="s">
        <v>861</v>
      </c>
      <c r="J22" s="55"/>
      <c r="K22" s="55"/>
      <c r="L22" s="55" t="s">
        <v>1106</v>
      </c>
      <c r="M22" s="55" t="s">
        <v>1106</v>
      </c>
      <c r="N22" s="55" t="s">
        <v>1106</v>
      </c>
      <c r="O22" s="55"/>
      <c r="P22" s="55"/>
      <c r="Q22" s="112" t="s">
        <v>1107</v>
      </c>
      <c r="R22" s="112" t="s">
        <v>1107</v>
      </c>
      <c r="S22" s="112" t="s">
        <v>1107</v>
      </c>
      <c r="T22" s="55"/>
      <c r="U22" s="55"/>
      <c r="V22" s="55" t="s">
        <v>1118</v>
      </c>
      <c r="W22" s="55" t="s">
        <v>1118</v>
      </c>
      <c r="X22" s="55" t="s">
        <v>1112</v>
      </c>
      <c r="Y22" s="55" t="s">
        <v>1112</v>
      </c>
      <c r="Z22" s="54" t="s">
        <v>1112</v>
      </c>
      <c r="AA22" s="55"/>
      <c r="AB22" s="80" t="s">
        <v>1124</v>
      </c>
      <c r="AC22" s="80" t="s">
        <v>1124</v>
      </c>
      <c r="AD22" s="8"/>
      <c r="AE22" s="8"/>
      <c r="AF22" s="8"/>
      <c r="AG22" s="41">
        <f t="shared" si="6"/>
        <v>14</v>
      </c>
      <c r="AH22" s="42">
        <f t="shared" si="7"/>
        <v>50</v>
      </c>
      <c r="AX22" s="58"/>
    </row>
    <row r="23" spans="1:50" ht="15.5" x14ac:dyDescent="0.35">
      <c r="A23" s="45" t="s">
        <v>176</v>
      </c>
      <c r="B23" s="46">
        <f>COUNTA(B15:B22)</f>
        <v>5</v>
      </c>
      <c r="C23" s="46">
        <f>COUNTA(C16:C22)</f>
        <v>5</v>
      </c>
      <c r="D23" s="46">
        <f>COUNTA(D16:D22)</f>
        <v>5</v>
      </c>
      <c r="E23" s="46">
        <f t="shared" ref="E23:AF23" si="8">COUNTA(E15:E22)</f>
        <v>5</v>
      </c>
      <c r="F23" s="46">
        <f t="shared" si="8"/>
        <v>6</v>
      </c>
      <c r="G23" s="46">
        <f t="shared" si="8"/>
        <v>4</v>
      </c>
      <c r="H23" s="46">
        <f t="shared" si="8"/>
        <v>5</v>
      </c>
      <c r="I23" s="46">
        <f t="shared" si="8"/>
        <v>5</v>
      </c>
      <c r="J23" s="46">
        <f t="shared" si="8"/>
        <v>4</v>
      </c>
      <c r="K23" s="46">
        <f t="shared" si="8"/>
        <v>4</v>
      </c>
      <c r="L23" s="46">
        <f t="shared" si="8"/>
        <v>8</v>
      </c>
      <c r="M23" s="46">
        <f t="shared" si="8"/>
        <v>8</v>
      </c>
      <c r="N23" s="46">
        <f t="shared" si="8"/>
        <v>8</v>
      </c>
      <c r="O23" s="46">
        <f t="shared" si="8"/>
        <v>2</v>
      </c>
      <c r="P23" s="46">
        <f t="shared" si="8"/>
        <v>2</v>
      </c>
      <c r="Q23" s="46">
        <f t="shared" si="8"/>
        <v>7</v>
      </c>
      <c r="R23" s="46">
        <f t="shared" si="8"/>
        <v>7</v>
      </c>
      <c r="S23" s="46">
        <f t="shared" si="8"/>
        <v>7</v>
      </c>
      <c r="T23" s="46">
        <f>COUNTA(T15:T22)</f>
        <v>4</v>
      </c>
      <c r="U23" s="46">
        <f t="shared" si="8"/>
        <v>5</v>
      </c>
      <c r="V23" s="46">
        <f t="shared" si="8"/>
        <v>8</v>
      </c>
      <c r="W23" s="46">
        <f t="shared" si="8"/>
        <v>6</v>
      </c>
      <c r="X23" s="46">
        <f t="shared" si="8"/>
        <v>7</v>
      </c>
      <c r="Y23" s="46">
        <f t="shared" si="8"/>
        <v>4</v>
      </c>
      <c r="Z23" s="46">
        <f t="shared" si="8"/>
        <v>4</v>
      </c>
      <c r="AA23" s="46">
        <f t="shared" si="8"/>
        <v>0</v>
      </c>
      <c r="AB23" s="46">
        <f t="shared" si="8"/>
        <v>8</v>
      </c>
      <c r="AC23" s="46">
        <f t="shared" si="8"/>
        <v>8</v>
      </c>
      <c r="AD23" s="46">
        <f t="shared" si="8"/>
        <v>0</v>
      </c>
      <c r="AE23" s="46">
        <f t="shared" si="8"/>
        <v>0</v>
      </c>
      <c r="AF23" s="46">
        <f t="shared" si="8"/>
        <v>0</v>
      </c>
      <c r="AG23" s="43">
        <f>SUM(AG15:AG22)</f>
        <v>151</v>
      </c>
      <c r="AX23" s="58"/>
    </row>
    <row r="24" spans="1:50" ht="15.5" x14ac:dyDescent="0.35">
      <c r="A24" s="47" t="s">
        <v>178</v>
      </c>
      <c r="B24" s="52">
        <f>B12+B23</f>
        <v>9</v>
      </c>
      <c r="C24" s="52">
        <f t="shared" ref="C24:AF24" si="9">C12+C23</f>
        <v>9</v>
      </c>
      <c r="D24" s="52">
        <f t="shared" si="9"/>
        <v>9</v>
      </c>
      <c r="E24" s="52">
        <f t="shared" si="9"/>
        <v>9</v>
      </c>
      <c r="F24" s="52">
        <f t="shared" si="9"/>
        <v>9</v>
      </c>
      <c r="G24" s="52">
        <f t="shared" si="9"/>
        <v>7</v>
      </c>
      <c r="H24" s="52">
        <f t="shared" si="9"/>
        <v>7</v>
      </c>
      <c r="I24" s="52">
        <f t="shared" si="9"/>
        <v>8</v>
      </c>
      <c r="J24" s="52">
        <f t="shared" si="9"/>
        <v>6</v>
      </c>
      <c r="K24" s="52">
        <f t="shared" si="9"/>
        <v>6</v>
      </c>
      <c r="L24" s="52">
        <f t="shared" si="9"/>
        <v>10</v>
      </c>
      <c r="M24" s="52">
        <f t="shared" si="9"/>
        <v>9</v>
      </c>
      <c r="N24" s="52">
        <f t="shared" si="9"/>
        <v>9</v>
      </c>
      <c r="O24" s="52">
        <f t="shared" si="9"/>
        <v>3</v>
      </c>
      <c r="P24" s="52">
        <f t="shared" si="9"/>
        <v>3</v>
      </c>
      <c r="Q24" s="52">
        <f t="shared" si="9"/>
        <v>13</v>
      </c>
      <c r="R24" s="52">
        <f t="shared" si="9"/>
        <v>13</v>
      </c>
      <c r="S24" s="52">
        <f t="shared" si="9"/>
        <v>13</v>
      </c>
      <c r="T24" s="52">
        <f t="shared" si="9"/>
        <v>5</v>
      </c>
      <c r="U24" s="52">
        <f t="shared" si="9"/>
        <v>6</v>
      </c>
      <c r="V24" s="52">
        <f t="shared" si="9"/>
        <v>13</v>
      </c>
      <c r="W24" s="52">
        <f t="shared" si="9"/>
        <v>8</v>
      </c>
      <c r="X24" s="52">
        <f t="shared" si="9"/>
        <v>13</v>
      </c>
      <c r="Y24" s="52">
        <f t="shared" si="9"/>
        <v>10</v>
      </c>
      <c r="Z24" s="52">
        <f t="shared" si="9"/>
        <v>10</v>
      </c>
      <c r="AA24" s="52">
        <f t="shared" si="9"/>
        <v>0</v>
      </c>
      <c r="AB24" s="52">
        <f t="shared" si="9"/>
        <v>15</v>
      </c>
      <c r="AC24" s="52">
        <f t="shared" si="9"/>
        <v>15</v>
      </c>
      <c r="AD24" s="52">
        <f t="shared" si="9"/>
        <v>0</v>
      </c>
      <c r="AE24" s="52">
        <f t="shared" si="9"/>
        <v>0</v>
      </c>
      <c r="AF24" s="52">
        <f t="shared" si="9"/>
        <v>0</v>
      </c>
      <c r="AG24" s="49">
        <f>+AG12+AG23</f>
        <v>247</v>
      </c>
      <c r="AX24" s="58"/>
    </row>
    <row r="25" spans="1:50" ht="15.5" x14ac:dyDescent="0.35">
      <c r="A25" s="48" t="s">
        <v>179</v>
      </c>
      <c r="B25" s="42">
        <f>B24*100/15</f>
        <v>60</v>
      </c>
      <c r="C25" s="42">
        <f t="shared" ref="C25:AF25" si="10">C24*100/15</f>
        <v>60</v>
      </c>
      <c r="D25" s="42">
        <f t="shared" si="10"/>
        <v>60</v>
      </c>
      <c r="E25" s="42">
        <f t="shared" si="10"/>
        <v>60</v>
      </c>
      <c r="F25" s="42">
        <f t="shared" si="10"/>
        <v>60</v>
      </c>
      <c r="G25" s="42">
        <f t="shared" si="10"/>
        <v>46.666666666666664</v>
      </c>
      <c r="H25" s="42">
        <f t="shared" si="10"/>
        <v>46.666666666666664</v>
      </c>
      <c r="I25" s="42">
        <f t="shared" si="10"/>
        <v>53.333333333333336</v>
      </c>
      <c r="J25" s="42">
        <f t="shared" si="10"/>
        <v>40</v>
      </c>
      <c r="K25" s="42">
        <f t="shared" si="10"/>
        <v>40</v>
      </c>
      <c r="L25" s="42">
        <f t="shared" si="10"/>
        <v>66.666666666666671</v>
      </c>
      <c r="M25" s="42">
        <f t="shared" si="10"/>
        <v>60</v>
      </c>
      <c r="N25" s="42">
        <f t="shared" si="10"/>
        <v>60</v>
      </c>
      <c r="O25" s="42">
        <f t="shared" si="10"/>
        <v>20</v>
      </c>
      <c r="P25" s="42">
        <f t="shared" si="10"/>
        <v>20</v>
      </c>
      <c r="Q25" s="42">
        <f t="shared" si="10"/>
        <v>86.666666666666671</v>
      </c>
      <c r="R25" s="42">
        <f t="shared" si="10"/>
        <v>86.666666666666671</v>
      </c>
      <c r="S25" s="42">
        <f t="shared" si="10"/>
        <v>86.666666666666671</v>
      </c>
      <c r="T25" s="42">
        <f t="shared" si="10"/>
        <v>33.333333333333336</v>
      </c>
      <c r="U25" s="42">
        <f t="shared" si="10"/>
        <v>40</v>
      </c>
      <c r="V25" s="42">
        <f t="shared" si="10"/>
        <v>86.666666666666671</v>
      </c>
      <c r="W25" s="42">
        <f t="shared" si="10"/>
        <v>53.333333333333336</v>
      </c>
      <c r="X25" s="42">
        <f t="shared" si="10"/>
        <v>86.666666666666671</v>
      </c>
      <c r="Y25" s="42">
        <f t="shared" si="10"/>
        <v>66.666666666666671</v>
      </c>
      <c r="Z25" s="42">
        <f t="shared" si="10"/>
        <v>66.666666666666671</v>
      </c>
      <c r="AA25" s="42">
        <f t="shared" si="10"/>
        <v>0</v>
      </c>
      <c r="AB25" s="42">
        <f t="shared" si="10"/>
        <v>100</v>
      </c>
      <c r="AC25" s="42">
        <f t="shared" si="10"/>
        <v>100</v>
      </c>
      <c r="AD25" s="42">
        <f t="shared" si="10"/>
        <v>0</v>
      </c>
      <c r="AE25" s="42">
        <f t="shared" si="10"/>
        <v>0</v>
      </c>
      <c r="AF25" s="42">
        <f t="shared" si="10"/>
        <v>0</v>
      </c>
      <c r="AG25" s="50">
        <f>AVERAGE(B25:AE25)</f>
        <v>54.888888888888893</v>
      </c>
      <c r="AH25" s="51" t="s">
        <v>180</v>
      </c>
      <c r="AX25" s="58"/>
    </row>
    <row r="26" spans="1:50" x14ac:dyDescent="0.35">
      <c r="AX26" s="58"/>
    </row>
    <row r="27" spans="1:50" x14ac:dyDescent="0.35">
      <c r="AA27" s="132" t="s">
        <v>1119</v>
      </c>
      <c r="AB27" s="133"/>
      <c r="AC27" s="134"/>
    </row>
    <row r="28" spans="1:50" x14ac:dyDescent="0.35">
      <c r="Y28" s="14" t="s">
        <v>1126</v>
      </c>
      <c r="Z28" s="14" t="s">
        <v>1127</v>
      </c>
      <c r="AA28" s="25" t="s">
        <v>1120</v>
      </c>
      <c r="AB28" s="25" t="s">
        <v>939</v>
      </c>
      <c r="AC28" s="25" t="s">
        <v>1121</v>
      </c>
      <c r="AH28" s="35" t="s">
        <v>1122</v>
      </c>
      <c r="AI28" s="114" t="s">
        <v>1032</v>
      </c>
      <c r="AJ28" s="114" t="s">
        <v>1123</v>
      </c>
    </row>
    <row r="29" spans="1:50" x14ac:dyDescent="0.35">
      <c r="Y29" s="115" t="s">
        <v>861</v>
      </c>
      <c r="Z29" s="115" t="s">
        <v>1128</v>
      </c>
      <c r="AA29" s="118" t="s">
        <v>761</v>
      </c>
      <c r="AB29" s="118"/>
      <c r="AC29" s="108" t="s">
        <v>1132</v>
      </c>
      <c r="AH29" s="115" t="s">
        <v>1125</v>
      </c>
      <c r="AI29" s="118" t="s">
        <v>761</v>
      </c>
      <c r="AJ29" s="118" t="s">
        <v>852</v>
      </c>
    </row>
    <row r="30" spans="1:50" x14ac:dyDescent="0.35">
      <c r="R30" s="55"/>
      <c r="Y30" s="115"/>
      <c r="Z30" s="115"/>
      <c r="AA30" s="118" t="s">
        <v>981</v>
      </c>
      <c r="AB30" s="118"/>
      <c r="AC30" s="108" t="s">
        <v>1132</v>
      </c>
      <c r="AH30" s="115" t="s">
        <v>406</v>
      </c>
      <c r="AI30" s="118" t="s">
        <v>981</v>
      </c>
      <c r="AJ30" s="118" t="s">
        <v>1043</v>
      </c>
    </row>
    <row r="31" spans="1:50" x14ac:dyDescent="0.35">
      <c r="C31" s="92"/>
      <c r="Y31" s="115"/>
      <c r="Z31" s="115"/>
      <c r="AA31" s="118"/>
      <c r="AB31" s="108"/>
      <c r="AC31" s="108" t="s">
        <v>1132</v>
      </c>
      <c r="AH31" s="115" t="s">
        <v>1041</v>
      </c>
      <c r="AI31" s="115"/>
      <c r="AJ31" s="118" t="s">
        <v>816</v>
      </c>
    </row>
    <row r="32" spans="1:50" x14ac:dyDescent="0.35">
      <c r="C32" s="92"/>
      <c r="Y32" s="115"/>
      <c r="Z32" s="115"/>
      <c r="AA32" s="118"/>
      <c r="AB32" s="108"/>
      <c r="AC32" s="108" t="s">
        <v>1132</v>
      </c>
      <c r="AH32" s="115"/>
    </row>
    <row r="33" spans="3:35" x14ac:dyDescent="0.35">
      <c r="C33" s="93"/>
      <c r="Y33" s="115"/>
      <c r="Z33" s="115"/>
      <c r="AA33" s="118"/>
      <c r="AB33" s="108"/>
      <c r="AC33" s="108"/>
    </row>
    <row r="34" spans="3:35" x14ac:dyDescent="0.35">
      <c r="C34" s="93"/>
      <c r="AA34" s="118"/>
      <c r="AB34" s="108"/>
      <c r="AC34" s="108"/>
      <c r="AH34" s="83" t="s">
        <v>1124</v>
      </c>
      <c r="AI34" s="83">
        <v>19</v>
      </c>
    </row>
    <row r="35" spans="3:35" x14ac:dyDescent="0.35">
      <c r="C35" s="92"/>
      <c r="AA35" s="118"/>
      <c r="AB35" s="117"/>
      <c r="AC35" s="108"/>
      <c r="AH35" s="119" t="s">
        <v>1129</v>
      </c>
      <c r="AI35" s="119">
        <v>9</v>
      </c>
    </row>
    <row r="36" spans="3:35" x14ac:dyDescent="0.35">
      <c r="C36" s="92"/>
      <c r="AB36" s="116"/>
      <c r="AC36" s="108"/>
      <c r="AH36" s="119" t="s">
        <v>1130</v>
      </c>
      <c r="AI36" s="119">
        <v>3</v>
      </c>
    </row>
    <row r="37" spans="3:35" x14ac:dyDescent="0.35">
      <c r="C37" s="92"/>
    </row>
    <row r="38" spans="3:35" x14ac:dyDescent="0.35">
      <c r="C38" s="92"/>
    </row>
    <row r="39" spans="3:35" x14ac:dyDescent="0.35">
      <c r="C39" s="92"/>
      <c r="AH39" t="s">
        <v>1131</v>
      </c>
      <c r="AI39" s="38">
        <f>SUM(AI34:AI38)</f>
        <v>31</v>
      </c>
    </row>
    <row r="40" spans="3:35" x14ac:dyDescent="0.35">
      <c r="C40" s="92"/>
    </row>
    <row r="41" spans="3:35" x14ac:dyDescent="0.35">
      <c r="C41" s="92"/>
    </row>
    <row r="42" spans="3:35" x14ac:dyDescent="0.35">
      <c r="C42" s="92"/>
    </row>
    <row r="43" spans="3:35" x14ac:dyDescent="0.35">
      <c r="C43" s="92"/>
    </row>
  </sheetData>
  <mergeCells count="3">
    <mergeCell ref="A1:AE1"/>
    <mergeCell ref="AM3:AR3"/>
    <mergeCell ref="AA27:AC27"/>
  </mergeCells>
  <phoneticPr fontId="9" type="noConversion"/>
  <conditionalFormatting sqref="B6">
    <cfRule type="colorScale" priority="9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7:B11 C7:H8 C11:H11 I8:L8">
    <cfRule type="colorScale" priority="10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5">
    <cfRule type="colorScale" priority="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8">
    <cfRule type="colorScale" priority="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20:F21">
    <cfRule type="colorScale" priority="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6:J17 B22 K17:Z17 B19:Z19">
    <cfRule type="colorScale" priority="8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C15:K15 K16 C18:AA18 AA19 AA17 L15:AA16 C22:U22 X21:AA22 G20:AA20 G21:U21 AD15">
    <cfRule type="colorScale" priority="3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C6:Z6">
    <cfRule type="colorScale" priority="1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L13:U14 B13:I14 X13:AH14">
    <cfRule type="colorScale" priority="4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Q7:S7 Q5:S5 Q11:S11">
    <cfRule type="colorScale" priority="1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Q8:S8">
    <cfRule type="colorScale" priority="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Q9:S9">
    <cfRule type="colorScale" priority="1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Q10:S10">
    <cfRule type="colorScale" priority="1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R30">
    <cfRule type="colorScale" priority="20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V21:W21">
    <cfRule type="colorScale" priority="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V22:W22">
    <cfRule type="colorScale" priority="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B15:AC22">
    <cfRule type="colorScale" priority="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D16">
    <cfRule type="colorScale" priority="3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D17">
    <cfRule type="colorScale" priority="3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D18:AD20">
    <cfRule type="colorScale" priority="3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D21">
    <cfRule type="colorScale" priority="3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D22">
    <cfRule type="colorScale" priority="3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D6:AE6 AA6">
    <cfRule type="colorScale" priority="30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E15:AE22">
    <cfRule type="colorScale" priority="3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F5:AF11 B5:P5 T5:AA5 I7:P7 C9:H10 I9:P11 M8:P8 T7:AA11 AD7:AE11 AD5:AE5 AB5:AC11">
    <cfRule type="colorScale" priority="4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F15">
    <cfRule type="colorScale" priority="39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F18">
    <cfRule type="colorScale" priority="38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F19:AF22 AF16:AF17">
    <cfRule type="colorScale" priority="40">
      <colorScale>
        <cfvo type="num" val="1"/>
        <cfvo type="max"/>
        <color theme="4" tint="0.59999389629810485"/>
        <color theme="5" tint="0.59999389629810485"/>
      </colorScale>
    </cfRule>
  </conditionalFormatting>
  <pageMargins left="0.2" right="0.45" top="0.75" bottom="0.75" header="0.3" footer="0.3"/>
  <pageSetup scale="90"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62FF2-E4A1-4F11-96C0-021B3917AF86}">
  <dimension ref="A1:AX43"/>
  <sheetViews>
    <sheetView zoomScaleNormal="100" workbookViewId="0">
      <pane xSplit="1" ySplit="4" topLeftCell="AD5" activePane="bottomRight" state="frozen"/>
      <selection pane="topRight" activeCell="B1" sqref="B1"/>
      <selection pane="bottomLeft" activeCell="A5" sqref="A5"/>
      <selection pane="bottomRight" activeCell="AF6" sqref="AF6:AF11"/>
    </sheetView>
  </sheetViews>
  <sheetFormatPr defaultRowHeight="14.5" x14ac:dyDescent="0.35"/>
  <cols>
    <col min="1" max="1" width="43.54296875" bestFit="1" customWidth="1"/>
    <col min="2" max="7" width="12.54296875" bestFit="1" customWidth="1"/>
    <col min="8" max="8" width="17.453125" customWidth="1"/>
    <col min="9" max="9" width="13.453125" bestFit="1" customWidth="1"/>
    <col min="10" max="13" width="11.81640625" bestFit="1" customWidth="1"/>
    <col min="14" max="19" width="12.26953125" bestFit="1" customWidth="1"/>
    <col min="20" max="20" width="12.81640625" bestFit="1" customWidth="1"/>
    <col min="21" max="21" width="11.81640625" bestFit="1" customWidth="1"/>
    <col min="22" max="29" width="12.81640625" bestFit="1" customWidth="1"/>
    <col min="30" max="30" width="12.54296875" customWidth="1"/>
    <col min="31" max="32" width="12.7265625" customWidth="1"/>
    <col min="33" max="33" width="4.7265625" bestFit="1" customWidth="1"/>
    <col min="34" max="34" width="8.453125" bestFit="1" customWidth="1"/>
    <col min="35" max="35" width="11.54296875" bestFit="1" customWidth="1"/>
    <col min="36" max="36" width="14.1796875" bestFit="1" customWidth="1"/>
    <col min="37" max="37" width="0" hidden="1" customWidth="1"/>
    <col min="38" max="38" width="3" hidden="1" customWidth="1"/>
    <col min="39" max="39" width="17.81640625" bestFit="1" customWidth="1"/>
    <col min="40" max="40" width="9.1796875" bestFit="1" customWidth="1"/>
    <col min="41" max="41" width="9.81640625" bestFit="1" customWidth="1"/>
    <col min="42" max="42" width="10.81640625" bestFit="1" customWidth="1"/>
    <col min="43" max="43" width="10.1796875" bestFit="1" customWidth="1"/>
    <col min="44" max="44" width="23.1796875" bestFit="1" customWidth="1"/>
    <col min="45" max="45" width="0.453125" hidden="1" customWidth="1"/>
    <col min="46" max="49" width="0" hidden="1" customWidth="1"/>
    <col min="51" max="51" width="15" bestFit="1" customWidth="1"/>
  </cols>
  <sheetData>
    <row r="1" spans="1:44" ht="15.5" x14ac:dyDescent="0.35">
      <c r="A1" s="120" t="s">
        <v>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65"/>
    </row>
    <row r="2" spans="1:44" ht="15" thickBot="1" x14ac:dyDescent="0.4"/>
    <row r="3" spans="1:44" ht="45.75" customHeight="1" x14ac:dyDescent="0.35">
      <c r="A3" s="1" t="s">
        <v>1</v>
      </c>
      <c r="B3" s="2">
        <f>AI4</f>
        <v>46082</v>
      </c>
      <c r="C3" s="2">
        <f t="shared" ref="C3:AC3" si="0">B3+1</f>
        <v>46083</v>
      </c>
      <c r="D3" s="2">
        <f t="shared" si="0"/>
        <v>46084</v>
      </c>
      <c r="E3" s="2">
        <f t="shared" si="0"/>
        <v>46085</v>
      </c>
      <c r="F3" s="2">
        <f t="shared" si="0"/>
        <v>46086</v>
      </c>
      <c r="G3" s="2">
        <f t="shared" si="0"/>
        <v>46087</v>
      </c>
      <c r="H3" s="2">
        <f t="shared" si="0"/>
        <v>46088</v>
      </c>
      <c r="I3" s="2">
        <f>H3+1</f>
        <v>46089</v>
      </c>
      <c r="J3" s="2">
        <f t="shared" si="0"/>
        <v>46090</v>
      </c>
      <c r="K3" s="2">
        <f t="shared" si="0"/>
        <v>46091</v>
      </c>
      <c r="L3" s="2">
        <f t="shared" si="0"/>
        <v>46092</v>
      </c>
      <c r="M3" s="2">
        <f t="shared" si="0"/>
        <v>46093</v>
      </c>
      <c r="N3" s="2">
        <f t="shared" si="0"/>
        <v>46094</v>
      </c>
      <c r="O3" s="2">
        <f t="shared" si="0"/>
        <v>46095</v>
      </c>
      <c r="P3" s="2">
        <f t="shared" si="0"/>
        <v>46096</v>
      </c>
      <c r="Q3" s="2">
        <f t="shared" si="0"/>
        <v>46097</v>
      </c>
      <c r="R3" s="2">
        <f t="shared" si="0"/>
        <v>46098</v>
      </c>
      <c r="S3" s="2">
        <f t="shared" si="0"/>
        <v>46099</v>
      </c>
      <c r="T3" s="2">
        <f t="shared" si="0"/>
        <v>46100</v>
      </c>
      <c r="U3" s="2">
        <f t="shared" si="0"/>
        <v>46101</v>
      </c>
      <c r="V3" s="2">
        <f t="shared" si="0"/>
        <v>46102</v>
      </c>
      <c r="W3" s="2">
        <f t="shared" si="0"/>
        <v>46103</v>
      </c>
      <c r="X3" s="2">
        <f t="shared" si="0"/>
        <v>46104</v>
      </c>
      <c r="Y3" s="2">
        <f t="shared" si="0"/>
        <v>46105</v>
      </c>
      <c r="Z3" s="2">
        <f t="shared" si="0"/>
        <v>46106</v>
      </c>
      <c r="AA3" s="2">
        <f t="shared" si="0"/>
        <v>46107</v>
      </c>
      <c r="AB3" s="2">
        <f t="shared" si="0"/>
        <v>46108</v>
      </c>
      <c r="AC3" s="2">
        <f t="shared" si="0"/>
        <v>46109</v>
      </c>
      <c r="AD3" s="2">
        <f t="shared" ref="AD3" si="1">AC3+1</f>
        <v>46110</v>
      </c>
      <c r="AE3" s="2">
        <f t="shared" ref="AE3" si="2">AD3+1</f>
        <v>46111</v>
      </c>
      <c r="AF3" s="2">
        <f t="shared" ref="AF3" si="3">AE3+1</f>
        <v>46112</v>
      </c>
      <c r="AG3" s="36"/>
      <c r="AH3" s="36"/>
      <c r="AM3" s="122" t="s">
        <v>267</v>
      </c>
      <c r="AN3" s="123"/>
      <c r="AO3" s="123"/>
      <c r="AP3" s="123"/>
      <c r="AQ3" s="123"/>
      <c r="AR3" s="124"/>
    </row>
    <row r="4" spans="1:44" ht="31.5" customHeight="1" x14ac:dyDescent="0.35">
      <c r="A4" s="3" t="s">
        <v>2</v>
      </c>
      <c r="B4" s="4">
        <f t="shared" ref="B4:AF4" si="4">B3</f>
        <v>46082</v>
      </c>
      <c r="C4" s="4">
        <f t="shared" si="4"/>
        <v>46083</v>
      </c>
      <c r="D4" s="4">
        <f t="shared" si="4"/>
        <v>46084</v>
      </c>
      <c r="E4" s="4">
        <f t="shared" si="4"/>
        <v>46085</v>
      </c>
      <c r="F4" s="4">
        <f t="shared" si="4"/>
        <v>46086</v>
      </c>
      <c r="G4" s="4">
        <f t="shared" si="4"/>
        <v>46087</v>
      </c>
      <c r="H4" s="4">
        <f t="shared" si="4"/>
        <v>46088</v>
      </c>
      <c r="I4" s="4">
        <f t="shared" si="4"/>
        <v>46089</v>
      </c>
      <c r="J4" s="4">
        <f t="shared" si="4"/>
        <v>46090</v>
      </c>
      <c r="K4" s="4">
        <f t="shared" si="4"/>
        <v>46091</v>
      </c>
      <c r="L4" s="4">
        <f t="shared" si="4"/>
        <v>46092</v>
      </c>
      <c r="M4" s="4">
        <f t="shared" si="4"/>
        <v>46093</v>
      </c>
      <c r="N4" s="4">
        <f t="shared" si="4"/>
        <v>46094</v>
      </c>
      <c r="O4" s="4">
        <f t="shared" si="4"/>
        <v>46095</v>
      </c>
      <c r="P4" s="4">
        <f t="shared" si="4"/>
        <v>46096</v>
      </c>
      <c r="Q4" s="4">
        <f t="shared" si="4"/>
        <v>46097</v>
      </c>
      <c r="R4" s="4">
        <f t="shared" si="4"/>
        <v>46098</v>
      </c>
      <c r="S4" s="4">
        <f t="shared" si="4"/>
        <v>46099</v>
      </c>
      <c r="T4" s="4">
        <f t="shared" si="4"/>
        <v>46100</v>
      </c>
      <c r="U4" s="4">
        <f t="shared" si="4"/>
        <v>46101</v>
      </c>
      <c r="V4" s="4">
        <f t="shared" si="4"/>
        <v>46102</v>
      </c>
      <c r="W4" s="4">
        <f t="shared" si="4"/>
        <v>46103</v>
      </c>
      <c r="X4" s="4">
        <f t="shared" si="4"/>
        <v>46104</v>
      </c>
      <c r="Y4" s="4">
        <f t="shared" si="4"/>
        <v>46105</v>
      </c>
      <c r="Z4" s="4">
        <f t="shared" si="4"/>
        <v>46106</v>
      </c>
      <c r="AA4" s="4">
        <f t="shared" si="4"/>
        <v>46107</v>
      </c>
      <c r="AB4" s="4">
        <f t="shared" si="4"/>
        <v>46108</v>
      </c>
      <c r="AC4" s="4">
        <f t="shared" si="4"/>
        <v>46109</v>
      </c>
      <c r="AD4" s="4">
        <f t="shared" si="4"/>
        <v>46110</v>
      </c>
      <c r="AE4" s="4">
        <f t="shared" si="4"/>
        <v>46111</v>
      </c>
      <c r="AF4" s="4">
        <f t="shared" si="4"/>
        <v>46112</v>
      </c>
      <c r="AG4" s="39" t="s">
        <v>174</v>
      </c>
      <c r="AH4" s="40" t="s">
        <v>175</v>
      </c>
      <c r="AI4" s="5">
        <v>46082</v>
      </c>
      <c r="AJ4" s="6">
        <f>EOMONTH(AI4,0)</f>
        <v>46112</v>
      </c>
      <c r="AM4" s="19" t="s">
        <v>54</v>
      </c>
      <c r="AN4" s="19" t="s">
        <v>269</v>
      </c>
      <c r="AO4" s="19" t="s">
        <v>55</v>
      </c>
      <c r="AP4" s="19" t="s">
        <v>56</v>
      </c>
      <c r="AQ4" s="19" t="s">
        <v>251</v>
      </c>
      <c r="AR4" s="19" t="s">
        <v>57</v>
      </c>
    </row>
    <row r="5" spans="1:44" x14ac:dyDescent="0.35">
      <c r="A5" s="7" t="s">
        <v>3</v>
      </c>
      <c r="B5" s="55" t="s">
        <v>1153</v>
      </c>
      <c r="C5" s="55" t="s">
        <v>1153</v>
      </c>
      <c r="D5" s="55" t="s">
        <v>1153</v>
      </c>
      <c r="E5" s="55"/>
      <c r="F5" s="55" t="s">
        <v>1150</v>
      </c>
      <c r="G5" s="55" t="s">
        <v>1150</v>
      </c>
      <c r="H5" s="55" t="s">
        <v>1150</v>
      </c>
      <c r="I5" s="55"/>
      <c r="J5" s="55"/>
      <c r="K5" s="55"/>
      <c r="L5" s="55"/>
      <c r="M5" s="55"/>
      <c r="N5" s="55"/>
      <c r="O5" s="55"/>
      <c r="P5" s="55"/>
      <c r="Q5" s="55" t="s">
        <v>1147</v>
      </c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41">
        <f>COUNTA(B5:AF5)</f>
        <v>7</v>
      </c>
      <c r="AH5" s="42">
        <f>AG5*100/31</f>
        <v>22.580645161290324</v>
      </c>
      <c r="AM5" s="20"/>
      <c r="AN5" s="56"/>
      <c r="AO5" s="56"/>
      <c r="AP5" s="56"/>
      <c r="AQ5" s="57"/>
      <c r="AR5" s="20"/>
    </row>
    <row r="6" spans="1:44" x14ac:dyDescent="0.35">
      <c r="A6" s="7" t="s">
        <v>7</v>
      </c>
      <c r="B6" s="55" t="s">
        <v>1158</v>
      </c>
      <c r="C6" s="55" t="s">
        <v>1158</v>
      </c>
      <c r="D6" s="55"/>
      <c r="E6" s="55" t="s">
        <v>1152</v>
      </c>
      <c r="F6" s="55" t="s">
        <v>1150</v>
      </c>
      <c r="G6" s="55" t="s">
        <v>1150</v>
      </c>
      <c r="H6" s="55" t="s">
        <v>1150</v>
      </c>
      <c r="I6" s="55"/>
      <c r="J6" s="55"/>
      <c r="K6" s="55"/>
      <c r="L6" s="55"/>
      <c r="M6" s="55"/>
      <c r="N6" s="55"/>
      <c r="O6" s="55"/>
      <c r="P6" s="55"/>
      <c r="Q6" s="55" t="s">
        <v>1147</v>
      </c>
      <c r="R6" s="55"/>
      <c r="S6" s="55"/>
      <c r="T6" s="55"/>
      <c r="U6" s="55"/>
      <c r="V6" s="55" t="s">
        <v>1085</v>
      </c>
      <c r="W6" s="55" t="s">
        <v>1085</v>
      </c>
      <c r="X6" s="55" t="s">
        <v>1085</v>
      </c>
      <c r="Y6" s="55" t="s">
        <v>1085</v>
      </c>
      <c r="Z6" s="55" t="s">
        <v>1085</v>
      </c>
      <c r="AA6" s="55" t="s">
        <v>1085</v>
      </c>
      <c r="AB6" s="55" t="s">
        <v>1085</v>
      </c>
      <c r="AC6" s="55" t="s">
        <v>1085</v>
      </c>
      <c r="AD6" s="55" t="s">
        <v>1085</v>
      </c>
      <c r="AE6" s="55" t="s">
        <v>1085</v>
      </c>
      <c r="AF6" s="55" t="s">
        <v>1085</v>
      </c>
      <c r="AG6" s="41">
        <f t="shared" ref="AG6:AG11" si="5">COUNTA(B6:AF6)</f>
        <v>18</v>
      </c>
      <c r="AH6" s="42">
        <f t="shared" ref="AH6:AH11" si="6">AG6*100/31</f>
        <v>58.064516129032256</v>
      </c>
      <c r="AM6" s="20"/>
      <c r="AN6" s="56"/>
      <c r="AO6" s="56"/>
      <c r="AP6" s="56"/>
      <c r="AQ6" s="57"/>
      <c r="AR6" s="20"/>
    </row>
    <row r="7" spans="1:44" x14ac:dyDescent="0.35">
      <c r="A7" s="7" t="s">
        <v>11</v>
      </c>
      <c r="B7" s="55" t="s">
        <v>1158</v>
      </c>
      <c r="C7" s="55" t="s">
        <v>1158</v>
      </c>
      <c r="D7" s="55" t="s">
        <v>1154</v>
      </c>
      <c r="E7" s="55" t="s">
        <v>1152</v>
      </c>
      <c r="F7" s="55" t="s">
        <v>1150</v>
      </c>
      <c r="G7" s="55" t="s">
        <v>1150</v>
      </c>
      <c r="H7" s="55" t="s">
        <v>1150</v>
      </c>
      <c r="I7" s="55"/>
      <c r="J7" s="55"/>
      <c r="K7" s="55"/>
      <c r="L7" s="55"/>
      <c r="M7" s="55"/>
      <c r="N7" s="55"/>
      <c r="O7" s="55"/>
      <c r="P7" s="55"/>
      <c r="Q7" s="55" t="s">
        <v>1147</v>
      </c>
      <c r="R7" s="55"/>
      <c r="S7" s="55"/>
      <c r="T7" s="55" t="s">
        <v>1143</v>
      </c>
      <c r="U7" s="55" t="s">
        <v>1143</v>
      </c>
      <c r="V7" s="55" t="s">
        <v>1143</v>
      </c>
      <c r="W7" s="55" t="s">
        <v>1138</v>
      </c>
      <c r="X7" s="55" t="s">
        <v>1138</v>
      </c>
      <c r="Y7" s="55" t="s">
        <v>1138</v>
      </c>
      <c r="Z7" s="55" t="s">
        <v>1138</v>
      </c>
      <c r="AA7" s="55" t="s">
        <v>1138</v>
      </c>
      <c r="AB7" s="55" t="s">
        <v>1138</v>
      </c>
      <c r="AC7" s="55"/>
      <c r="AD7" s="55" t="s">
        <v>312</v>
      </c>
      <c r="AE7" s="55"/>
      <c r="AF7" s="55" t="s">
        <v>1159</v>
      </c>
      <c r="AG7" s="41">
        <f t="shared" si="5"/>
        <v>19</v>
      </c>
      <c r="AH7" s="42">
        <f t="shared" si="6"/>
        <v>61.29032258064516</v>
      </c>
      <c r="AM7" s="20"/>
      <c r="AN7" s="56"/>
      <c r="AO7" s="56"/>
      <c r="AP7" s="56"/>
      <c r="AQ7" s="57"/>
      <c r="AR7" s="20"/>
    </row>
    <row r="8" spans="1:44" ht="15" customHeight="1" x14ac:dyDescent="0.35">
      <c r="A8" s="113" t="s">
        <v>15</v>
      </c>
      <c r="B8" s="55" t="s">
        <v>1158</v>
      </c>
      <c r="C8" s="55" t="s">
        <v>1158</v>
      </c>
      <c r="D8" s="55" t="s">
        <v>1155</v>
      </c>
      <c r="E8" s="55" t="s">
        <v>1152</v>
      </c>
      <c r="F8" s="55" t="s">
        <v>1150</v>
      </c>
      <c r="G8" s="55" t="s">
        <v>1150</v>
      </c>
      <c r="H8" s="55" t="s">
        <v>1150</v>
      </c>
      <c r="I8" s="55"/>
      <c r="J8" s="55"/>
      <c r="K8" s="55"/>
      <c r="L8" s="55" t="s">
        <v>1139</v>
      </c>
      <c r="M8" s="55" t="s">
        <v>1139</v>
      </c>
      <c r="N8" s="55" t="s">
        <v>1139</v>
      </c>
      <c r="O8" s="55" t="s">
        <v>1139</v>
      </c>
      <c r="P8" s="55" t="s">
        <v>1139</v>
      </c>
      <c r="Q8" s="55" t="s">
        <v>1139</v>
      </c>
      <c r="R8" s="55" t="s">
        <v>1139</v>
      </c>
      <c r="S8" s="55" t="s">
        <v>1139</v>
      </c>
      <c r="T8" s="55" t="s">
        <v>1139</v>
      </c>
      <c r="U8" s="55" t="s">
        <v>1139</v>
      </c>
      <c r="V8" s="55" t="s">
        <v>1139</v>
      </c>
      <c r="W8" s="55" t="s">
        <v>1139</v>
      </c>
      <c r="X8" s="55" t="s">
        <v>1139</v>
      </c>
      <c r="Y8" s="55" t="s">
        <v>1139</v>
      </c>
      <c r="Z8" s="55" t="s">
        <v>1139</v>
      </c>
      <c r="AA8" s="55" t="s">
        <v>1139</v>
      </c>
      <c r="AB8" s="55" t="s">
        <v>1139</v>
      </c>
      <c r="AC8" s="55"/>
      <c r="AD8" s="55" t="s">
        <v>1133</v>
      </c>
      <c r="AE8" s="55" t="s">
        <v>1133</v>
      </c>
      <c r="AF8" s="55" t="s">
        <v>1133</v>
      </c>
      <c r="AG8" s="41">
        <f t="shared" si="5"/>
        <v>27</v>
      </c>
      <c r="AH8" s="42">
        <f t="shared" si="6"/>
        <v>87.096774193548384</v>
      </c>
      <c r="AK8" s="9"/>
      <c r="AM8" s="20"/>
      <c r="AN8" s="56"/>
      <c r="AO8" s="56"/>
      <c r="AP8" s="56"/>
      <c r="AQ8" s="57"/>
      <c r="AR8" s="20"/>
    </row>
    <row r="9" spans="1:44" ht="15.75" customHeight="1" x14ac:dyDescent="0.35">
      <c r="A9" s="7" t="s">
        <v>18</v>
      </c>
      <c r="B9" s="55" t="s">
        <v>1158</v>
      </c>
      <c r="C9" s="55" t="s">
        <v>1158</v>
      </c>
      <c r="D9" s="55" t="s">
        <v>1156</v>
      </c>
      <c r="E9" s="55" t="s">
        <v>1152</v>
      </c>
      <c r="F9" s="55" t="s">
        <v>1150</v>
      </c>
      <c r="G9" s="55" t="s">
        <v>1150</v>
      </c>
      <c r="H9" s="55" t="s">
        <v>1150</v>
      </c>
      <c r="I9" s="55"/>
      <c r="J9" s="55" t="s">
        <v>1144</v>
      </c>
      <c r="K9" s="55" t="s">
        <v>1144</v>
      </c>
      <c r="L9" s="55" t="s">
        <v>1144</v>
      </c>
      <c r="M9" s="55" t="s">
        <v>1144</v>
      </c>
      <c r="N9" s="55"/>
      <c r="O9" s="55"/>
      <c r="P9" s="55"/>
      <c r="Q9" s="55" t="s">
        <v>1147</v>
      </c>
      <c r="R9" s="55"/>
      <c r="S9" s="55" t="s">
        <v>1140</v>
      </c>
      <c r="T9" s="55" t="s">
        <v>1140</v>
      </c>
      <c r="U9" s="55" t="s">
        <v>1140</v>
      </c>
      <c r="V9" s="55" t="s">
        <v>1140</v>
      </c>
      <c r="W9" s="55" t="s">
        <v>1140</v>
      </c>
      <c r="X9" s="55" t="s">
        <v>1140</v>
      </c>
      <c r="Y9" s="55" t="s">
        <v>1140</v>
      </c>
      <c r="Z9" s="55" t="s">
        <v>1140</v>
      </c>
      <c r="AA9" s="55" t="s">
        <v>1140</v>
      </c>
      <c r="AB9" s="55" t="s">
        <v>1140</v>
      </c>
      <c r="AC9" s="55"/>
      <c r="AD9" s="55" t="s">
        <v>1133</v>
      </c>
      <c r="AE9" s="55" t="s">
        <v>1133</v>
      </c>
      <c r="AF9" s="55" t="s">
        <v>1133</v>
      </c>
      <c r="AG9" s="41">
        <f t="shared" si="5"/>
        <v>25</v>
      </c>
      <c r="AH9" s="42">
        <f t="shared" si="6"/>
        <v>80.645161290322577</v>
      </c>
      <c r="AM9" s="20"/>
      <c r="AN9" s="56"/>
      <c r="AO9" s="56"/>
      <c r="AP9" s="56"/>
      <c r="AQ9" s="57"/>
      <c r="AR9" s="20"/>
    </row>
    <row r="10" spans="1:44" ht="15.75" customHeight="1" x14ac:dyDescent="0.35">
      <c r="A10" s="113" t="s">
        <v>20</v>
      </c>
      <c r="B10" s="55" t="s">
        <v>1158</v>
      </c>
      <c r="C10" s="55" t="s">
        <v>1158</v>
      </c>
      <c r="D10" s="55"/>
      <c r="E10" s="55"/>
      <c r="F10" s="55"/>
      <c r="G10" s="55"/>
      <c r="H10" s="55"/>
      <c r="I10" s="55"/>
      <c r="J10" s="55"/>
      <c r="K10" s="55"/>
      <c r="L10" s="55" t="s">
        <v>1140</v>
      </c>
      <c r="M10" s="55" t="s">
        <v>1140</v>
      </c>
      <c r="N10" s="55" t="s">
        <v>1140</v>
      </c>
      <c r="O10" s="55" t="s">
        <v>1140</v>
      </c>
      <c r="P10" s="55" t="s">
        <v>1140</v>
      </c>
      <c r="Q10" s="55" t="s">
        <v>1140</v>
      </c>
      <c r="R10" s="55" t="s">
        <v>1140</v>
      </c>
      <c r="S10" s="55"/>
      <c r="T10" s="55"/>
      <c r="U10" s="55"/>
      <c r="V10" s="55"/>
      <c r="W10" s="55" t="s">
        <v>814</v>
      </c>
      <c r="X10" s="55" t="s">
        <v>814</v>
      </c>
      <c r="Y10" s="55" t="s">
        <v>814</v>
      </c>
      <c r="Z10" s="55" t="s">
        <v>814</v>
      </c>
      <c r="AA10" s="55"/>
      <c r="AB10" s="55"/>
      <c r="AC10" s="55"/>
      <c r="AD10" s="55" t="s">
        <v>1133</v>
      </c>
      <c r="AE10" s="55" t="s">
        <v>1133</v>
      </c>
      <c r="AF10" s="55" t="s">
        <v>1133</v>
      </c>
      <c r="AG10" s="41">
        <f t="shared" si="5"/>
        <v>16</v>
      </c>
      <c r="AH10" s="42">
        <f t="shared" si="6"/>
        <v>51.612903225806448</v>
      </c>
      <c r="AM10" s="20"/>
      <c r="AN10" s="56"/>
      <c r="AO10" s="56"/>
      <c r="AP10" s="56"/>
      <c r="AQ10" s="57"/>
      <c r="AR10" s="20"/>
    </row>
    <row r="11" spans="1:44" ht="15.75" customHeight="1" thickBot="1" x14ac:dyDescent="0.4">
      <c r="A11" s="7" t="s">
        <v>24</v>
      </c>
      <c r="B11" s="55" t="s">
        <v>1158</v>
      </c>
      <c r="C11" s="55" t="s">
        <v>1158</v>
      </c>
      <c r="D11" s="55"/>
      <c r="E11" s="55" t="s">
        <v>837</v>
      </c>
      <c r="F11" s="55" t="s">
        <v>837</v>
      </c>
      <c r="G11" s="55" t="s">
        <v>837</v>
      </c>
      <c r="H11" s="55" t="s">
        <v>837</v>
      </c>
      <c r="I11" s="55" t="s">
        <v>837</v>
      </c>
      <c r="J11" s="55" t="s">
        <v>837</v>
      </c>
      <c r="K11" s="55" t="s">
        <v>837</v>
      </c>
      <c r="L11" s="55" t="s">
        <v>837</v>
      </c>
      <c r="M11" s="55" t="s">
        <v>837</v>
      </c>
      <c r="N11" s="55"/>
      <c r="O11" s="55"/>
      <c r="P11" s="55" t="s">
        <v>1144</v>
      </c>
      <c r="Q11" s="55" t="s">
        <v>1144</v>
      </c>
      <c r="R11" s="55" t="s">
        <v>1144</v>
      </c>
      <c r="S11" s="55" t="s">
        <v>1144</v>
      </c>
      <c r="T11" s="55" t="s">
        <v>1144</v>
      </c>
      <c r="U11" s="55" t="s">
        <v>1144</v>
      </c>
      <c r="V11" s="55"/>
      <c r="W11" s="55" t="s">
        <v>187</v>
      </c>
      <c r="X11" s="55" t="s">
        <v>187</v>
      </c>
      <c r="Y11" s="55" t="s">
        <v>187</v>
      </c>
      <c r="Z11" s="55" t="s">
        <v>187</v>
      </c>
      <c r="AA11" s="55" t="s">
        <v>187</v>
      </c>
      <c r="AB11" s="55" t="s">
        <v>187</v>
      </c>
      <c r="AC11" s="55" t="s">
        <v>187</v>
      </c>
      <c r="AD11" s="55" t="s">
        <v>187</v>
      </c>
      <c r="AE11" s="55" t="s">
        <v>187</v>
      </c>
      <c r="AF11" s="55" t="s">
        <v>187</v>
      </c>
      <c r="AG11" s="41">
        <f t="shared" si="5"/>
        <v>27</v>
      </c>
      <c r="AH11" s="42">
        <f t="shared" si="6"/>
        <v>87.096774193548384</v>
      </c>
      <c r="AM11" s="20"/>
      <c r="AN11" s="56"/>
      <c r="AO11" s="56"/>
      <c r="AP11" s="56"/>
      <c r="AQ11" s="57"/>
      <c r="AR11" s="20"/>
    </row>
    <row r="12" spans="1:44" ht="15" customHeight="1" x14ac:dyDescent="0.35">
      <c r="A12" s="45" t="s">
        <v>176</v>
      </c>
      <c r="B12" s="46">
        <f>COUNTA(B5:B11)</f>
        <v>7</v>
      </c>
      <c r="C12" s="46">
        <f>COUNTA(C5:C11)</f>
        <v>7</v>
      </c>
      <c r="D12" s="46">
        <f t="shared" ref="D12:AF12" si="7">COUNTA(D5:D11)</f>
        <v>4</v>
      </c>
      <c r="E12" s="46">
        <f t="shared" si="7"/>
        <v>5</v>
      </c>
      <c r="F12" s="46">
        <f t="shared" si="7"/>
        <v>6</v>
      </c>
      <c r="G12" s="46">
        <f t="shared" si="7"/>
        <v>6</v>
      </c>
      <c r="H12" s="46">
        <f t="shared" si="7"/>
        <v>6</v>
      </c>
      <c r="I12" s="46">
        <f t="shared" si="7"/>
        <v>1</v>
      </c>
      <c r="J12" s="46">
        <f t="shared" si="7"/>
        <v>2</v>
      </c>
      <c r="K12" s="46">
        <f t="shared" si="7"/>
        <v>2</v>
      </c>
      <c r="L12" s="46">
        <f t="shared" si="7"/>
        <v>4</v>
      </c>
      <c r="M12" s="46">
        <f t="shared" si="7"/>
        <v>4</v>
      </c>
      <c r="N12" s="46">
        <f t="shared" si="7"/>
        <v>2</v>
      </c>
      <c r="O12" s="46">
        <f t="shared" si="7"/>
        <v>2</v>
      </c>
      <c r="P12" s="46">
        <f t="shared" si="7"/>
        <v>3</v>
      </c>
      <c r="Q12" s="46">
        <f t="shared" si="7"/>
        <v>7</v>
      </c>
      <c r="R12" s="46">
        <f t="shared" si="7"/>
        <v>3</v>
      </c>
      <c r="S12" s="46">
        <f t="shared" si="7"/>
        <v>3</v>
      </c>
      <c r="T12" s="46">
        <f t="shared" si="7"/>
        <v>4</v>
      </c>
      <c r="U12" s="46">
        <f t="shared" si="7"/>
        <v>4</v>
      </c>
      <c r="V12" s="46">
        <f t="shared" si="7"/>
        <v>4</v>
      </c>
      <c r="W12" s="46">
        <f t="shared" si="7"/>
        <v>6</v>
      </c>
      <c r="X12" s="46">
        <f t="shared" si="7"/>
        <v>6</v>
      </c>
      <c r="Y12" s="46">
        <f t="shared" si="7"/>
        <v>6</v>
      </c>
      <c r="Z12" s="46">
        <f t="shared" si="7"/>
        <v>6</v>
      </c>
      <c r="AA12" s="46">
        <f t="shared" si="7"/>
        <v>5</v>
      </c>
      <c r="AB12" s="46">
        <f t="shared" si="7"/>
        <v>5</v>
      </c>
      <c r="AC12" s="46">
        <f>COUNTA(AC5:AC11)</f>
        <v>2</v>
      </c>
      <c r="AD12" s="46">
        <f>COUNTA(AD5:AD11)</f>
        <v>6</v>
      </c>
      <c r="AE12" s="46">
        <f>COUNTA(AE5:AE11)</f>
        <v>5</v>
      </c>
      <c r="AF12" s="46">
        <f t="shared" si="7"/>
        <v>6</v>
      </c>
      <c r="AG12" s="43">
        <f t="shared" ref="AG12" si="8">SUM(AG5:AG11)</f>
        <v>139</v>
      </c>
      <c r="AH12" s="44">
        <f>AVERAGE(AH5:AH11)</f>
        <v>64.055299539170505</v>
      </c>
      <c r="AI12" s="29"/>
      <c r="AM12" s="20"/>
      <c r="AN12" s="20"/>
      <c r="AO12" s="20"/>
      <c r="AP12" s="20"/>
      <c r="AQ12" s="20"/>
      <c r="AR12" s="20"/>
    </row>
    <row r="13" spans="1:44" ht="85.5" hidden="1" x14ac:dyDescent="0.35">
      <c r="A13" s="13" t="s">
        <v>28</v>
      </c>
      <c r="B13" s="14"/>
      <c r="C13" s="14"/>
      <c r="D13" s="14"/>
      <c r="E13" s="14"/>
      <c r="F13" s="14"/>
      <c r="G13" s="14"/>
      <c r="H13" s="14"/>
      <c r="I13" s="35"/>
      <c r="J13" s="34"/>
      <c r="K13" s="15"/>
      <c r="L13" s="14"/>
      <c r="M13" s="14"/>
      <c r="N13" s="25"/>
      <c r="O13" s="25"/>
      <c r="P13" s="25"/>
      <c r="Q13" s="14"/>
      <c r="R13" s="14"/>
      <c r="S13" s="14"/>
      <c r="T13" s="14"/>
      <c r="U13" s="14"/>
      <c r="V13" s="15"/>
      <c r="W13" s="15"/>
      <c r="X13" s="14"/>
      <c r="Y13" s="14"/>
      <c r="Z13" s="14"/>
      <c r="AA13" s="14"/>
      <c r="AB13" s="14"/>
      <c r="AC13" s="14"/>
      <c r="AD13" s="14"/>
      <c r="AE13" s="14"/>
      <c r="AF13" s="14"/>
      <c r="AG13" s="37"/>
      <c r="AH13" s="37"/>
      <c r="AM13" s="20"/>
      <c r="AN13" s="20"/>
      <c r="AO13" s="20"/>
      <c r="AP13" s="20"/>
      <c r="AQ13" s="20"/>
      <c r="AR13" s="20"/>
    </row>
    <row r="14" spans="1:44" ht="28.5" hidden="1" x14ac:dyDescent="0.35">
      <c r="A14" s="16" t="s">
        <v>29</v>
      </c>
      <c r="B14" s="14"/>
      <c r="C14" s="14"/>
      <c r="D14" s="14"/>
      <c r="E14" s="14"/>
      <c r="F14" s="14"/>
      <c r="G14" s="14"/>
      <c r="H14" s="14"/>
      <c r="I14" s="35"/>
      <c r="J14" s="34"/>
      <c r="K14" s="15"/>
      <c r="L14" s="14"/>
      <c r="M14" s="14"/>
      <c r="N14" s="25"/>
      <c r="O14" s="25"/>
      <c r="P14" s="25"/>
      <c r="Q14" s="14"/>
      <c r="R14" s="14"/>
      <c r="S14" s="14"/>
      <c r="T14" s="14"/>
      <c r="U14" s="14"/>
      <c r="V14" s="15"/>
      <c r="W14" s="15"/>
      <c r="X14" s="14"/>
      <c r="Y14" s="14"/>
      <c r="Z14" s="14"/>
      <c r="AA14" s="14"/>
      <c r="AB14" s="14"/>
      <c r="AC14" s="14"/>
      <c r="AD14" s="14"/>
      <c r="AE14" s="14"/>
      <c r="AF14" s="14"/>
      <c r="AG14" s="37"/>
      <c r="AH14" s="37"/>
      <c r="AM14" s="20"/>
      <c r="AN14" s="20"/>
      <c r="AO14" s="20"/>
      <c r="AP14" s="20"/>
      <c r="AQ14" s="20"/>
      <c r="AR14" s="20"/>
    </row>
    <row r="15" spans="1:44" x14ac:dyDescent="0.35">
      <c r="A15" s="7" t="s">
        <v>30</v>
      </c>
      <c r="B15" s="8"/>
      <c r="C15" s="8"/>
      <c r="D15" s="8" t="s">
        <v>477</v>
      </c>
      <c r="E15" s="8"/>
      <c r="F15" s="8" t="s">
        <v>1151</v>
      </c>
      <c r="G15" s="8" t="s">
        <v>1151</v>
      </c>
      <c r="H15" s="8" t="s">
        <v>1149</v>
      </c>
      <c r="I15" s="8" t="s">
        <v>1149</v>
      </c>
      <c r="J15" s="8"/>
      <c r="K15" s="8"/>
      <c r="L15" s="8"/>
      <c r="M15" s="8"/>
      <c r="N15" s="8"/>
      <c r="O15" s="8"/>
      <c r="P15" s="8" t="s">
        <v>471</v>
      </c>
      <c r="Q15" s="8" t="s">
        <v>471</v>
      </c>
      <c r="R15" s="8" t="s">
        <v>471</v>
      </c>
      <c r="S15" s="8" t="s">
        <v>471</v>
      </c>
      <c r="T15" s="8" t="s">
        <v>471</v>
      </c>
      <c r="U15" s="8" t="s">
        <v>471</v>
      </c>
      <c r="V15" s="8"/>
      <c r="W15" s="8" t="s">
        <v>187</v>
      </c>
      <c r="X15" s="8" t="s">
        <v>187</v>
      </c>
      <c r="Y15" s="8" t="s">
        <v>187</v>
      </c>
      <c r="Z15" s="8" t="s">
        <v>187</v>
      </c>
      <c r="AA15" s="8" t="s">
        <v>187</v>
      </c>
      <c r="AB15" s="8" t="s">
        <v>187</v>
      </c>
      <c r="AC15" s="8" t="s">
        <v>187</v>
      </c>
      <c r="AD15" s="8" t="s">
        <v>187</v>
      </c>
      <c r="AE15" s="8" t="s">
        <v>187</v>
      </c>
      <c r="AF15" s="8" t="s">
        <v>187</v>
      </c>
      <c r="AG15" s="41">
        <f>COUNTA(B15:AF15)</f>
        <v>21</v>
      </c>
      <c r="AH15" s="42">
        <f>AG15*100/31</f>
        <v>67.741935483870961</v>
      </c>
      <c r="AM15" s="20"/>
      <c r="AN15" s="20"/>
      <c r="AO15" s="20"/>
      <c r="AP15" s="20"/>
      <c r="AQ15" s="20"/>
      <c r="AR15" s="20"/>
    </row>
    <row r="16" spans="1:44" x14ac:dyDescent="0.35">
      <c r="A16" s="113" t="s">
        <v>35</v>
      </c>
      <c r="B16" s="8"/>
      <c r="C16" s="8" t="s">
        <v>406</v>
      </c>
      <c r="D16" s="8" t="s">
        <v>406</v>
      </c>
      <c r="E16" s="8" t="s">
        <v>406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 t="s">
        <v>1145</v>
      </c>
      <c r="Q16" s="8" t="s">
        <v>1145</v>
      </c>
      <c r="R16" s="8" t="s">
        <v>1145</v>
      </c>
      <c r="S16" s="8" t="s">
        <v>1145</v>
      </c>
      <c r="T16" s="8" t="s">
        <v>1145</v>
      </c>
      <c r="U16" s="8" t="s">
        <v>1145</v>
      </c>
      <c r="V16" s="8"/>
      <c r="W16" s="8" t="s">
        <v>391</v>
      </c>
      <c r="X16" s="8" t="s">
        <v>391</v>
      </c>
      <c r="Y16" s="8" t="s">
        <v>391</v>
      </c>
      <c r="Z16" s="8" t="s">
        <v>391</v>
      </c>
      <c r="AA16" s="8" t="s">
        <v>391</v>
      </c>
      <c r="AB16" s="8" t="s">
        <v>391</v>
      </c>
      <c r="AC16" s="8" t="s">
        <v>391</v>
      </c>
      <c r="AD16" s="8" t="s">
        <v>391</v>
      </c>
      <c r="AE16" s="8" t="s">
        <v>391</v>
      </c>
      <c r="AF16" s="8" t="s">
        <v>391</v>
      </c>
      <c r="AG16" s="41">
        <f t="shared" ref="AG16:AG22" si="9">COUNTA(B16:AF16)</f>
        <v>19</v>
      </c>
      <c r="AH16" s="42">
        <f t="shared" ref="AH16:AH22" si="10">AG16*100/31</f>
        <v>61.29032258064516</v>
      </c>
      <c r="AM16" s="20"/>
      <c r="AN16" s="20"/>
      <c r="AO16" s="56"/>
      <c r="AP16" s="56"/>
      <c r="AQ16" s="20"/>
      <c r="AR16" s="20"/>
    </row>
    <row r="17" spans="1:50" x14ac:dyDescent="0.35">
      <c r="A17" s="7" t="s">
        <v>39</v>
      </c>
      <c r="B17" s="8"/>
      <c r="C17" s="8" t="s">
        <v>1125</v>
      </c>
      <c r="D17" s="8" t="s">
        <v>1125</v>
      </c>
      <c r="E17" s="8" t="s">
        <v>1125</v>
      </c>
      <c r="F17" s="8" t="s">
        <v>1134</v>
      </c>
      <c r="G17" s="8" t="s">
        <v>1134</v>
      </c>
      <c r="H17" s="8" t="s">
        <v>1134</v>
      </c>
      <c r="I17" s="8" t="s">
        <v>1134</v>
      </c>
      <c r="J17" s="8" t="s">
        <v>1134</v>
      </c>
      <c r="K17" s="8" t="s">
        <v>1134</v>
      </c>
      <c r="L17" s="8" t="s">
        <v>1134</v>
      </c>
      <c r="M17" s="8" t="s">
        <v>1134</v>
      </c>
      <c r="N17" s="8" t="s">
        <v>1134</v>
      </c>
      <c r="O17" s="8" t="s">
        <v>1134</v>
      </c>
      <c r="P17" s="8" t="s">
        <v>1134</v>
      </c>
      <c r="Q17" s="8" t="s">
        <v>1134</v>
      </c>
      <c r="R17" s="8" t="s">
        <v>1134</v>
      </c>
      <c r="S17" s="8" t="s">
        <v>1134</v>
      </c>
      <c r="T17" s="8" t="s">
        <v>1134</v>
      </c>
      <c r="U17" s="8" t="s">
        <v>1134</v>
      </c>
      <c r="V17" s="8" t="s">
        <v>1134</v>
      </c>
      <c r="W17" s="8" t="s">
        <v>1134</v>
      </c>
      <c r="X17" s="8" t="s">
        <v>1134</v>
      </c>
      <c r="Y17" s="8" t="s">
        <v>1134</v>
      </c>
      <c r="Z17" s="8" t="s">
        <v>1134</v>
      </c>
      <c r="AA17" s="8" t="s">
        <v>1134</v>
      </c>
      <c r="AB17" s="8" t="s">
        <v>1134</v>
      </c>
      <c r="AC17" s="8" t="s">
        <v>1134</v>
      </c>
      <c r="AD17" s="8" t="s">
        <v>1134</v>
      </c>
      <c r="AE17" s="8" t="s">
        <v>1134</v>
      </c>
      <c r="AF17" s="8" t="s">
        <v>1134</v>
      </c>
      <c r="AG17" s="41">
        <f t="shared" si="9"/>
        <v>30</v>
      </c>
      <c r="AH17" s="42">
        <f t="shared" si="10"/>
        <v>96.774193548387103</v>
      </c>
      <c r="AM17" s="20"/>
      <c r="AN17" s="20"/>
      <c r="AO17" s="20"/>
      <c r="AP17" s="20"/>
      <c r="AQ17" s="20"/>
      <c r="AR17" s="20"/>
      <c r="AX17" s="58"/>
    </row>
    <row r="18" spans="1:50" x14ac:dyDescent="0.35">
      <c r="A18" s="113" t="s">
        <v>42</v>
      </c>
      <c r="B18" s="8"/>
      <c r="C18" s="8"/>
      <c r="D18" s="8"/>
      <c r="E18" s="8"/>
      <c r="F18" s="8"/>
      <c r="G18" s="8"/>
      <c r="H18" s="8" t="s">
        <v>1149</v>
      </c>
      <c r="I18" s="8" t="s">
        <v>1149</v>
      </c>
      <c r="J18" s="8"/>
      <c r="K18" s="8"/>
      <c r="L18" s="8"/>
      <c r="M18" s="8"/>
      <c r="N18" s="8"/>
      <c r="O18" s="8"/>
      <c r="P18" s="8"/>
      <c r="Q18" s="8" t="s">
        <v>1147</v>
      </c>
      <c r="R18" s="8"/>
      <c r="S18" s="8"/>
      <c r="T18" s="8" t="s">
        <v>1053</v>
      </c>
      <c r="U18" s="8" t="s">
        <v>1053</v>
      </c>
      <c r="V18" s="8"/>
      <c r="W18" s="8" t="s">
        <v>187</v>
      </c>
      <c r="X18" s="8" t="s">
        <v>187</v>
      </c>
      <c r="Y18" s="8" t="s">
        <v>187</v>
      </c>
      <c r="Z18" s="8" t="s">
        <v>187</v>
      </c>
      <c r="AA18" s="8" t="s">
        <v>187</v>
      </c>
      <c r="AB18" s="8" t="s">
        <v>187</v>
      </c>
      <c r="AC18" s="8" t="s">
        <v>187</v>
      </c>
      <c r="AD18" s="8" t="s">
        <v>187</v>
      </c>
      <c r="AE18" s="8" t="s">
        <v>187</v>
      </c>
      <c r="AF18" s="8" t="s">
        <v>187</v>
      </c>
      <c r="AG18" s="41">
        <f t="shared" si="9"/>
        <v>15</v>
      </c>
      <c r="AH18" s="42">
        <f t="shared" si="10"/>
        <v>48.387096774193552</v>
      </c>
      <c r="AM18" s="20"/>
      <c r="AN18" s="20"/>
      <c r="AO18" s="20"/>
      <c r="AP18" s="20"/>
      <c r="AQ18" s="20"/>
      <c r="AR18" s="20"/>
      <c r="AX18" s="58"/>
    </row>
    <row r="19" spans="1:50" x14ac:dyDescent="0.35">
      <c r="A19" s="7" t="s">
        <v>45</v>
      </c>
      <c r="B19" s="8"/>
      <c r="C19" s="8"/>
      <c r="D19" s="8"/>
      <c r="E19" s="8"/>
      <c r="F19" s="8" t="s">
        <v>1135</v>
      </c>
      <c r="G19" s="8" t="s">
        <v>1135</v>
      </c>
      <c r="H19" s="8" t="s">
        <v>1135</v>
      </c>
      <c r="I19" s="8" t="s">
        <v>1135</v>
      </c>
      <c r="J19" s="8" t="s">
        <v>1135</v>
      </c>
      <c r="K19" s="8" t="s">
        <v>1135</v>
      </c>
      <c r="L19" s="8" t="s">
        <v>1135</v>
      </c>
      <c r="M19" s="8" t="s">
        <v>1135</v>
      </c>
      <c r="N19" s="8" t="s">
        <v>1135</v>
      </c>
      <c r="O19" s="8" t="s">
        <v>1135</v>
      </c>
      <c r="P19" s="8" t="s">
        <v>1135</v>
      </c>
      <c r="Q19" s="8" t="s">
        <v>1135</v>
      </c>
      <c r="R19" s="8" t="s">
        <v>1135</v>
      </c>
      <c r="S19" s="8" t="s">
        <v>1135</v>
      </c>
      <c r="T19" s="8" t="s">
        <v>1135</v>
      </c>
      <c r="U19" s="8" t="s">
        <v>1135</v>
      </c>
      <c r="V19" s="8" t="s">
        <v>1135</v>
      </c>
      <c r="W19" s="8" t="s">
        <v>1135</v>
      </c>
      <c r="X19" s="8" t="s">
        <v>1135</v>
      </c>
      <c r="Y19" s="8" t="s">
        <v>1135</v>
      </c>
      <c r="Z19" s="8" t="s">
        <v>1135</v>
      </c>
      <c r="AA19" s="8" t="s">
        <v>1135</v>
      </c>
      <c r="AB19" s="8" t="s">
        <v>1135</v>
      </c>
      <c r="AC19" s="8" t="s">
        <v>1135</v>
      </c>
      <c r="AD19" s="8" t="s">
        <v>1135</v>
      </c>
      <c r="AE19" s="8" t="s">
        <v>1135</v>
      </c>
      <c r="AF19" s="8" t="s">
        <v>1135</v>
      </c>
      <c r="AG19" s="41">
        <f t="shared" si="9"/>
        <v>27</v>
      </c>
      <c r="AH19" s="42">
        <f t="shared" si="10"/>
        <v>87.096774193548384</v>
      </c>
      <c r="AM19" s="20"/>
      <c r="AN19" s="20"/>
      <c r="AO19" s="20"/>
      <c r="AP19" s="20"/>
      <c r="AQ19" s="20"/>
      <c r="AR19" s="20"/>
      <c r="AX19" s="58"/>
    </row>
    <row r="20" spans="1:50" x14ac:dyDescent="0.35">
      <c r="A20" s="113" t="s">
        <v>47</v>
      </c>
      <c r="B20" s="8" t="s">
        <v>853</v>
      </c>
      <c r="C20" s="8" t="s">
        <v>853</v>
      </c>
      <c r="D20" s="8" t="s">
        <v>853</v>
      </c>
      <c r="E20" s="8"/>
      <c r="F20" s="8"/>
      <c r="G20" s="8" t="s">
        <v>1148</v>
      </c>
      <c r="H20" s="8" t="s">
        <v>1148</v>
      </c>
      <c r="I20" s="8" t="s">
        <v>1148</v>
      </c>
      <c r="J20" s="8" t="s">
        <v>1148</v>
      </c>
      <c r="K20" s="8" t="s">
        <v>1148</v>
      </c>
      <c r="L20" s="8" t="s">
        <v>1148</v>
      </c>
      <c r="M20" s="8"/>
      <c r="N20" s="8"/>
      <c r="O20" s="8"/>
      <c r="P20" s="8"/>
      <c r="Q20" s="8" t="s">
        <v>1147</v>
      </c>
      <c r="R20" s="8"/>
      <c r="S20" s="8"/>
      <c r="T20" s="8" t="s">
        <v>1053</v>
      </c>
      <c r="U20" s="8" t="s">
        <v>1053</v>
      </c>
      <c r="V20" s="8"/>
      <c r="W20" s="8" t="s">
        <v>391</v>
      </c>
      <c r="X20" s="8" t="s">
        <v>391</v>
      </c>
      <c r="Y20" s="8" t="s">
        <v>391</v>
      </c>
      <c r="Z20" s="8" t="s">
        <v>391</v>
      </c>
      <c r="AA20" s="8" t="s">
        <v>391</v>
      </c>
      <c r="AB20" s="8" t="s">
        <v>391</v>
      </c>
      <c r="AC20" s="8" t="s">
        <v>391</v>
      </c>
      <c r="AD20" s="8" t="s">
        <v>391</v>
      </c>
      <c r="AE20" s="8" t="s">
        <v>391</v>
      </c>
      <c r="AF20" s="8" t="s">
        <v>391</v>
      </c>
      <c r="AG20" s="41">
        <f t="shared" si="9"/>
        <v>22</v>
      </c>
      <c r="AH20" s="42">
        <f t="shared" si="10"/>
        <v>70.967741935483872</v>
      </c>
      <c r="AM20" s="20"/>
      <c r="AN20" s="20"/>
      <c r="AO20" s="20"/>
      <c r="AP20" s="20"/>
      <c r="AQ20" s="20"/>
      <c r="AR20" s="20"/>
      <c r="AX20" s="58"/>
    </row>
    <row r="21" spans="1:50" x14ac:dyDescent="0.35">
      <c r="A21" s="7" t="s">
        <v>50</v>
      </c>
      <c r="B21" s="8"/>
      <c r="C21" s="8"/>
      <c r="D21" s="8"/>
      <c r="E21" s="8"/>
      <c r="F21" s="8" t="s">
        <v>25</v>
      </c>
      <c r="G21" s="8" t="s">
        <v>25</v>
      </c>
      <c r="H21" s="8" t="s">
        <v>1149</v>
      </c>
      <c r="I21" s="8" t="s">
        <v>1149</v>
      </c>
      <c r="J21" s="8"/>
      <c r="K21" s="8"/>
      <c r="L21" s="8"/>
      <c r="M21" s="8"/>
      <c r="N21" s="8" t="s">
        <v>1062</v>
      </c>
      <c r="O21" s="8" t="s">
        <v>1062</v>
      </c>
      <c r="P21" s="8" t="s">
        <v>1062</v>
      </c>
      <c r="Q21" s="8" t="s">
        <v>1062</v>
      </c>
      <c r="R21" s="8" t="s">
        <v>1062</v>
      </c>
      <c r="S21" s="8" t="s">
        <v>1062</v>
      </c>
      <c r="T21" s="8" t="s">
        <v>1062</v>
      </c>
      <c r="U21" s="8" t="s">
        <v>1141</v>
      </c>
      <c r="V21" s="8" t="s">
        <v>1141</v>
      </c>
      <c r="W21" s="8" t="s">
        <v>1141</v>
      </c>
      <c r="X21" s="8" t="s">
        <v>1141</v>
      </c>
      <c r="Y21" s="8" t="s">
        <v>1141</v>
      </c>
      <c r="Z21" s="8" t="s">
        <v>1141</v>
      </c>
      <c r="AA21" s="8" t="s">
        <v>1141</v>
      </c>
      <c r="AB21" s="8" t="s">
        <v>1136</v>
      </c>
      <c r="AC21" s="8" t="s">
        <v>1136</v>
      </c>
      <c r="AD21" s="8" t="s">
        <v>1136</v>
      </c>
      <c r="AE21" s="8" t="s">
        <v>1136</v>
      </c>
      <c r="AF21" s="8" t="s">
        <v>1136</v>
      </c>
      <c r="AG21" s="41">
        <f t="shared" si="9"/>
        <v>23</v>
      </c>
      <c r="AH21" s="42">
        <f t="shared" si="10"/>
        <v>74.193548387096769</v>
      </c>
      <c r="AM21" s="20"/>
      <c r="AN21" s="20"/>
      <c r="AO21" s="20"/>
      <c r="AP21" s="20"/>
      <c r="AQ21" s="20"/>
      <c r="AR21" s="20"/>
      <c r="AX21" s="58"/>
    </row>
    <row r="22" spans="1:50" ht="15" thickBot="1" x14ac:dyDescent="0.4">
      <c r="A22" s="113" t="s">
        <v>51</v>
      </c>
      <c r="B22" s="8" t="s">
        <v>1157</v>
      </c>
      <c r="C22" s="8" t="s">
        <v>1157</v>
      </c>
      <c r="D22" s="8" t="s">
        <v>1157</v>
      </c>
      <c r="E22" s="8"/>
      <c r="F22" s="8" t="s">
        <v>136</v>
      </c>
      <c r="G22" s="8" t="s">
        <v>136</v>
      </c>
      <c r="H22" s="8" t="s">
        <v>187</v>
      </c>
      <c r="I22" s="8" t="s">
        <v>187</v>
      </c>
      <c r="J22" s="8" t="s">
        <v>187</v>
      </c>
      <c r="K22" s="8" t="s">
        <v>187</v>
      </c>
      <c r="L22" s="8"/>
      <c r="M22" s="8"/>
      <c r="N22" s="8"/>
      <c r="O22" s="8"/>
      <c r="P22" s="8"/>
      <c r="Q22" s="8" t="s">
        <v>1147</v>
      </c>
      <c r="R22" s="8"/>
      <c r="S22" s="8"/>
      <c r="T22" s="8"/>
      <c r="U22" s="8" t="s">
        <v>1146</v>
      </c>
      <c r="V22" s="8"/>
      <c r="W22" s="8" t="s">
        <v>1142</v>
      </c>
      <c r="X22" s="8" t="s">
        <v>1142</v>
      </c>
      <c r="Y22" s="8" t="s">
        <v>1142</v>
      </c>
      <c r="Z22" s="8"/>
      <c r="AA22" s="8"/>
      <c r="AB22" s="8" t="s">
        <v>1137</v>
      </c>
      <c r="AC22" s="8" t="s">
        <v>1137</v>
      </c>
      <c r="AD22" s="8" t="s">
        <v>1137</v>
      </c>
      <c r="AE22" s="8" t="s">
        <v>1137</v>
      </c>
      <c r="AF22" s="8" t="s">
        <v>1137</v>
      </c>
      <c r="AG22" s="41">
        <f t="shared" si="9"/>
        <v>19</v>
      </c>
      <c r="AH22" s="42">
        <f t="shared" si="10"/>
        <v>61.29032258064516</v>
      </c>
      <c r="AX22" s="58"/>
    </row>
    <row r="23" spans="1:50" ht="15.5" x14ac:dyDescent="0.35">
      <c r="A23" s="45" t="s">
        <v>176</v>
      </c>
      <c r="B23" s="46">
        <f>COUNTA(B15:B22)</f>
        <v>2</v>
      </c>
      <c r="C23" s="46">
        <f>COUNTA(C16:C22)</f>
        <v>4</v>
      </c>
      <c r="D23" s="46">
        <f>COUNTA(D16:D22)</f>
        <v>4</v>
      </c>
      <c r="E23" s="46">
        <f t="shared" ref="E23:AF23" si="11">COUNTA(E15:E22)</f>
        <v>2</v>
      </c>
      <c r="F23" s="46">
        <f t="shared" si="11"/>
        <v>5</v>
      </c>
      <c r="G23" s="46">
        <f t="shared" si="11"/>
        <v>6</v>
      </c>
      <c r="H23" s="46">
        <f t="shared" si="11"/>
        <v>7</v>
      </c>
      <c r="I23" s="46">
        <f t="shared" si="11"/>
        <v>7</v>
      </c>
      <c r="J23" s="46">
        <f t="shared" si="11"/>
        <v>4</v>
      </c>
      <c r="K23" s="46">
        <f t="shared" si="11"/>
        <v>4</v>
      </c>
      <c r="L23" s="46">
        <f t="shared" si="11"/>
        <v>3</v>
      </c>
      <c r="M23" s="46">
        <f t="shared" si="11"/>
        <v>2</v>
      </c>
      <c r="N23" s="46">
        <f t="shared" si="11"/>
        <v>3</v>
      </c>
      <c r="O23" s="46">
        <f t="shared" si="11"/>
        <v>3</v>
      </c>
      <c r="P23" s="46">
        <f t="shared" si="11"/>
        <v>5</v>
      </c>
      <c r="Q23" s="46">
        <f t="shared" si="11"/>
        <v>8</v>
      </c>
      <c r="R23" s="46">
        <f t="shared" si="11"/>
        <v>5</v>
      </c>
      <c r="S23" s="46">
        <f t="shared" si="11"/>
        <v>5</v>
      </c>
      <c r="T23" s="46">
        <f>COUNTA(T15:T22)</f>
        <v>7</v>
      </c>
      <c r="U23" s="46">
        <f t="shared" si="11"/>
        <v>8</v>
      </c>
      <c r="V23" s="46">
        <f t="shared" si="11"/>
        <v>3</v>
      </c>
      <c r="W23" s="46">
        <f t="shared" si="11"/>
        <v>8</v>
      </c>
      <c r="X23" s="46">
        <f t="shared" si="11"/>
        <v>8</v>
      </c>
      <c r="Y23" s="46">
        <f t="shared" si="11"/>
        <v>8</v>
      </c>
      <c r="Z23" s="46">
        <f t="shared" si="11"/>
        <v>7</v>
      </c>
      <c r="AA23" s="46">
        <f t="shared" si="11"/>
        <v>7</v>
      </c>
      <c r="AB23" s="46">
        <f t="shared" si="11"/>
        <v>8</v>
      </c>
      <c r="AC23" s="46">
        <f t="shared" si="11"/>
        <v>8</v>
      </c>
      <c r="AD23" s="46">
        <f t="shared" si="11"/>
        <v>8</v>
      </c>
      <c r="AE23" s="46">
        <f t="shared" si="11"/>
        <v>8</v>
      </c>
      <c r="AF23" s="46">
        <f t="shared" si="11"/>
        <v>8</v>
      </c>
      <c r="AG23" s="43">
        <f>SUM(AG15:AG22)</f>
        <v>176</v>
      </c>
      <c r="AX23" s="58"/>
    </row>
    <row r="24" spans="1:50" ht="15.5" x14ac:dyDescent="0.35">
      <c r="A24" s="47" t="s">
        <v>178</v>
      </c>
      <c r="B24" s="52">
        <f>B12+B23</f>
        <v>9</v>
      </c>
      <c r="C24" s="52">
        <f t="shared" ref="C24:AF24" si="12">C12+C23</f>
        <v>11</v>
      </c>
      <c r="D24" s="52">
        <f t="shared" si="12"/>
        <v>8</v>
      </c>
      <c r="E24" s="52">
        <f t="shared" si="12"/>
        <v>7</v>
      </c>
      <c r="F24" s="52">
        <f t="shared" si="12"/>
        <v>11</v>
      </c>
      <c r="G24" s="52">
        <f t="shared" si="12"/>
        <v>12</v>
      </c>
      <c r="H24" s="52">
        <f t="shared" si="12"/>
        <v>13</v>
      </c>
      <c r="I24" s="52">
        <f t="shared" si="12"/>
        <v>8</v>
      </c>
      <c r="J24" s="52">
        <f t="shared" si="12"/>
        <v>6</v>
      </c>
      <c r="K24" s="52">
        <f t="shared" si="12"/>
        <v>6</v>
      </c>
      <c r="L24" s="52">
        <f t="shared" si="12"/>
        <v>7</v>
      </c>
      <c r="M24" s="52">
        <f t="shared" si="12"/>
        <v>6</v>
      </c>
      <c r="N24" s="52">
        <f t="shared" si="12"/>
        <v>5</v>
      </c>
      <c r="O24" s="52">
        <f t="shared" si="12"/>
        <v>5</v>
      </c>
      <c r="P24" s="52">
        <f t="shared" si="12"/>
        <v>8</v>
      </c>
      <c r="Q24" s="52">
        <f t="shared" si="12"/>
        <v>15</v>
      </c>
      <c r="R24" s="52">
        <f t="shared" si="12"/>
        <v>8</v>
      </c>
      <c r="S24" s="52">
        <f t="shared" si="12"/>
        <v>8</v>
      </c>
      <c r="T24" s="52">
        <f t="shared" si="12"/>
        <v>11</v>
      </c>
      <c r="U24" s="52">
        <f t="shared" si="12"/>
        <v>12</v>
      </c>
      <c r="V24" s="52">
        <f t="shared" si="12"/>
        <v>7</v>
      </c>
      <c r="W24" s="52">
        <f t="shared" si="12"/>
        <v>14</v>
      </c>
      <c r="X24" s="52">
        <f t="shared" si="12"/>
        <v>14</v>
      </c>
      <c r="Y24" s="52">
        <f t="shared" si="12"/>
        <v>14</v>
      </c>
      <c r="Z24" s="52">
        <f t="shared" si="12"/>
        <v>13</v>
      </c>
      <c r="AA24" s="52">
        <f t="shared" si="12"/>
        <v>12</v>
      </c>
      <c r="AB24" s="52">
        <f t="shared" si="12"/>
        <v>13</v>
      </c>
      <c r="AC24" s="52">
        <f t="shared" si="12"/>
        <v>10</v>
      </c>
      <c r="AD24" s="52">
        <f t="shared" si="12"/>
        <v>14</v>
      </c>
      <c r="AE24" s="52">
        <f t="shared" si="12"/>
        <v>13</v>
      </c>
      <c r="AF24" s="52">
        <f t="shared" si="12"/>
        <v>14</v>
      </c>
      <c r="AG24" s="49">
        <f>+AG12+AG23</f>
        <v>315</v>
      </c>
      <c r="AX24" s="58"/>
    </row>
    <row r="25" spans="1:50" ht="15.5" x14ac:dyDescent="0.35">
      <c r="A25" s="48" t="s">
        <v>179</v>
      </c>
      <c r="B25" s="42">
        <f>B24*100/15</f>
        <v>60</v>
      </c>
      <c r="C25" s="42">
        <f t="shared" ref="C25:AF25" si="13">C24*100/15</f>
        <v>73.333333333333329</v>
      </c>
      <c r="D25" s="42">
        <f t="shared" si="13"/>
        <v>53.333333333333336</v>
      </c>
      <c r="E25" s="42">
        <f t="shared" si="13"/>
        <v>46.666666666666664</v>
      </c>
      <c r="F25" s="42">
        <f t="shared" si="13"/>
        <v>73.333333333333329</v>
      </c>
      <c r="G25" s="42">
        <f t="shared" si="13"/>
        <v>80</v>
      </c>
      <c r="H25" s="42">
        <f t="shared" si="13"/>
        <v>86.666666666666671</v>
      </c>
      <c r="I25" s="42">
        <f t="shared" si="13"/>
        <v>53.333333333333336</v>
      </c>
      <c r="J25" s="42">
        <f t="shared" si="13"/>
        <v>40</v>
      </c>
      <c r="K25" s="42">
        <f t="shared" si="13"/>
        <v>40</v>
      </c>
      <c r="L25" s="42">
        <f t="shared" si="13"/>
        <v>46.666666666666664</v>
      </c>
      <c r="M25" s="42">
        <f t="shared" si="13"/>
        <v>40</v>
      </c>
      <c r="N25" s="42">
        <f t="shared" si="13"/>
        <v>33.333333333333336</v>
      </c>
      <c r="O25" s="42">
        <f t="shared" si="13"/>
        <v>33.333333333333336</v>
      </c>
      <c r="P25" s="42">
        <f t="shared" si="13"/>
        <v>53.333333333333336</v>
      </c>
      <c r="Q25" s="42">
        <f t="shared" si="13"/>
        <v>100</v>
      </c>
      <c r="R25" s="42">
        <f t="shared" si="13"/>
        <v>53.333333333333336</v>
      </c>
      <c r="S25" s="42">
        <f t="shared" si="13"/>
        <v>53.333333333333336</v>
      </c>
      <c r="T25" s="42">
        <f t="shared" si="13"/>
        <v>73.333333333333329</v>
      </c>
      <c r="U25" s="42">
        <f t="shared" si="13"/>
        <v>80</v>
      </c>
      <c r="V25" s="42">
        <f t="shared" si="13"/>
        <v>46.666666666666664</v>
      </c>
      <c r="W25" s="42">
        <f t="shared" si="13"/>
        <v>93.333333333333329</v>
      </c>
      <c r="X25" s="42">
        <f t="shared" si="13"/>
        <v>93.333333333333329</v>
      </c>
      <c r="Y25" s="42">
        <f t="shared" si="13"/>
        <v>93.333333333333329</v>
      </c>
      <c r="Z25" s="42">
        <f t="shared" si="13"/>
        <v>86.666666666666671</v>
      </c>
      <c r="AA25" s="42">
        <f t="shared" si="13"/>
        <v>80</v>
      </c>
      <c r="AB25" s="42">
        <f t="shared" si="13"/>
        <v>86.666666666666671</v>
      </c>
      <c r="AC25" s="42">
        <f t="shared" si="13"/>
        <v>66.666666666666671</v>
      </c>
      <c r="AD25" s="42">
        <f t="shared" si="13"/>
        <v>93.333333333333329</v>
      </c>
      <c r="AE25" s="42">
        <f t="shared" si="13"/>
        <v>86.666666666666671</v>
      </c>
      <c r="AF25" s="42">
        <f t="shared" si="13"/>
        <v>93.333333333333329</v>
      </c>
      <c r="AG25" s="50">
        <f>AVERAGE(B25:AE25)</f>
        <v>66.666666666666671</v>
      </c>
      <c r="AH25" s="51" t="s">
        <v>180</v>
      </c>
      <c r="AX25" s="58"/>
    </row>
    <row r="26" spans="1:50" x14ac:dyDescent="0.35">
      <c r="AX26" s="58"/>
    </row>
    <row r="27" spans="1:50" x14ac:dyDescent="0.35">
      <c r="AA27" s="132" t="s">
        <v>1119</v>
      </c>
      <c r="AB27" s="133"/>
      <c r="AC27" s="134"/>
    </row>
    <row r="28" spans="1:50" x14ac:dyDescent="0.35">
      <c r="Y28" s="14" t="s">
        <v>1126</v>
      </c>
      <c r="Z28" s="14" t="s">
        <v>1127</v>
      </c>
      <c r="AA28" s="25" t="s">
        <v>1120</v>
      </c>
      <c r="AB28" s="25" t="s">
        <v>939</v>
      </c>
      <c r="AC28" s="25" t="s">
        <v>1121</v>
      </c>
      <c r="AH28" s="35" t="s">
        <v>1122</v>
      </c>
      <c r="AI28" s="114" t="s">
        <v>1032</v>
      </c>
      <c r="AJ28" s="114" t="s">
        <v>1123</v>
      </c>
    </row>
    <row r="29" spans="1:50" x14ac:dyDescent="0.35">
      <c r="Y29" s="115" t="s">
        <v>861</v>
      </c>
      <c r="Z29" s="115" t="s">
        <v>1128</v>
      </c>
      <c r="AA29" s="118" t="s">
        <v>761</v>
      </c>
      <c r="AB29" s="118"/>
      <c r="AC29" s="108" t="s">
        <v>1132</v>
      </c>
      <c r="AH29" s="115" t="s">
        <v>1125</v>
      </c>
      <c r="AI29" s="118" t="s">
        <v>761</v>
      </c>
      <c r="AJ29" s="118" t="s">
        <v>852</v>
      </c>
    </row>
    <row r="30" spans="1:50" x14ac:dyDescent="0.35">
      <c r="R30" s="55"/>
      <c r="Y30" s="115"/>
      <c r="Z30" s="115"/>
      <c r="AA30" s="118" t="s">
        <v>981</v>
      </c>
      <c r="AB30" s="118"/>
      <c r="AC30" s="108" t="s">
        <v>1132</v>
      </c>
      <c r="AH30" s="115" t="s">
        <v>406</v>
      </c>
      <c r="AI30" s="118" t="s">
        <v>981</v>
      </c>
      <c r="AJ30" s="118" t="s">
        <v>1043</v>
      </c>
    </row>
    <row r="31" spans="1:50" x14ac:dyDescent="0.35">
      <c r="C31" s="92"/>
      <c r="Y31" s="115"/>
      <c r="Z31" s="115"/>
      <c r="AA31" s="118"/>
      <c r="AB31" s="108"/>
      <c r="AC31" s="108" t="s">
        <v>1132</v>
      </c>
      <c r="AH31" s="115" t="s">
        <v>1041</v>
      </c>
      <c r="AI31" s="115"/>
      <c r="AJ31" s="118" t="s">
        <v>816</v>
      </c>
    </row>
    <row r="32" spans="1:50" x14ac:dyDescent="0.35">
      <c r="C32" s="92"/>
      <c r="Y32" s="115"/>
      <c r="Z32" s="115"/>
      <c r="AA32" s="118"/>
      <c r="AB32" s="108"/>
      <c r="AC32" s="108" t="s">
        <v>1132</v>
      </c>
      <c r="AH32" s="115"/>
    </row>
    <row r="33" spans="3:35" x14ac:dyDescent="0.35">
      <c r="C33" s="93"/>
      <c r="Y33" s="115"/>
      <c r="Z33" s="115"/>
      <c r="AA33" s="118"/>
      <c r="AB33" s="108"/>
      <c r="AC33" s="108"/>
    </row>
    <row r="34" spans="3:35" x14ac:dyDescent="0.35">
      <c r="C34" s="93"/>
      <c r="AA34" s="118"/>
      <c r="AB34" s="108"/>
      <c r="AC34" s="108"/>
      <c r="AH34" s="83" t="s">
        <v>1124</v>
      </c>
      <c r="AI34" s="83">
        <v>19</v>
      </c>
    </row>
    <row r="35" spans="3:35" x14ac:dyDescent="0.35">
      <c r="C35" s="92"/>
      <c r="AA35" s="118"/>
      <c r="AB35" s="117"/>
      <c r="AC35" s="108"/>
      <c r="AH35" s="119" t="s">
        <v>1129</v>
      </c>
      <c r="AI35" s="119">
        <v>9</v>
      </c>
    </row>
    <row r="36" spans="3:35" x14ac:dyDescent="0.35">
      <c r="C36" s="92"/>
      <c r="AB36" s="116"/>
      <c r="AC36" s="108"/>
      <c r="AH36" s="119" t="s">
        <v>1130</v>
      </c>
      <c r="AI36" s="119">
        <v>3</v>
      </c>
    </row>
    <row r="37" spans="3:35" x14ac:dyDescent="0.35">
      <c r="C37" s="92"/>
    </row>
    <row r="38" spans="3:35" x14ac:dyDescent="0.35">
      <c r="C38" s="92"/>
    </row>
    <row r="39" spans="3:35" x14ac:dyDescent="0.35">
      <c r="C39" s="92"/>
      <c r="AH39" t="s">
        <v>1131</v>
      </c>
      <c r="AI39" s="38">
        <f>SUM(AI34:AI38)</f>
        <v>31</v>
      </c>
    </row>
    <row r="40" spans="3:35" x14ac:dyDescent="0.35">
      <c r="C40" s="92"/>
    </row>
    <row r="41" spans="3:35" x14ac:dyDescent="0.35">
      <c r="C41" s="92"/>
    </row>
    <row r="42" spans="3:35" x14ac:dyDescent="0.35">
      <c r="C42" s="92"/>
    </row>
    <row r="43" spans="3:35" x14ac:dyDescent="0.35">
      <c r="C43" s="92"/>
    </row>
  </sheetData>
  <mergeCells count="3">
    <mergeCell ref="A1:AE1"/>
    <mergeCell ref="AM3:AR3"/>
    <mergeCell ref="AA27:AC27"/>
  </mergeCells>
  <conditionalFormatting sqref="B5:AF11">
    <cfRule type="colorScale" priority="2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15:AF22">
    <cfRule type="colorScale" priority="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L13:U14 B13:I14 X13:AH14">
    <cfRule type="colorScale" priority="28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R30">
    <cfRule type="colorScale" priority="15">
      <colorScale>
        <cfvo type="num" val="1"/>
        <cfvo type="max"/>
        <color theme="4" tint="0.59999389629810485"/>
        <color theme="5" tint="0.59999389629810485"/>
      </colorScale>
    </cfRule>
  </conditionalFormatting>
  <pageMargins left="0.2" right="0.45" top="0.75" bottom="0.75" header="0.3" footer="0.3"/>
  <pageSetup scale="90" orientation="landscape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5D579-9DEB-406A-9F78-18246A711650}">
  <dimension ref="A1:AX43"/>
  <sheetViews>
    <sheetView zoomScaleNormal="100" workbookViewId="0">
      <pane xSplit="1" ySplit="4" topLeftCell="N5" activePane="bottomRight" state="frozen"/>
      <selection pane="topRight" activeCell="B1" sqref="B1"/>
      <selection pane="bottomLeft" activeCell="A5" sqref="A5"/>
      <selection pane="bottomRight" activeCell="T30" sqref="T30"/>
    </sheetView>
  </sheetViews>
  <sheetFormatPr defaultRowHeight="14.5" x14ac:dyDescent="0.35"/>
  <cols>
    <col min="1" max="1" width="43.54296875" bestFit="1" customWidth="1"/>
    <col min="2" max="7" width="12.54296875" bestFit="1" customWidth="1"/>
    <col min="8" max="8" width="17.453125" customWidth="1"/>
    <col min="9" max="9" width="13.453125" bestFit="1" customWidth="1"/>
    <col min="10" max="13" width="11.81640625" bestFit="1" customWidth="1"/>
    <col min="14" max="19" width="12.26953125" bestFit="1" customWidth="1"/>
    <col min="20" max="20" width="12.81640625" bestFit="1" customWidth="1"/>
    <col min="21" max="21" width="11.81640625" bestFit="1" customWidth="1"/>
    <col min="22" max="29" width="12.81640625" bestFit="1" customWidth="1"/>
    <col min="30" max="30" width="12.54296875" customWidth="1"/>
    <col min="31" max="31" width="12.7265625" customWidth="1"/>
    <col min="32" max="32" width="16.453125" hidden="1" customWidth="1"/>
    <col min="33" max="33" width="4.7265625" bestFit="1" customWidth="1"/>
    <col min="34" max="34" width="8.453125" bestFit="1" customWidth="1"/>
    <col min="35" max="35" width="11.54296875" bestFit="1" customWidth="1"/>
    <col min="36" max="36" width="14.1796875" bestFit="1" customWidth="1"/>
    <col min="37" max="37" width="0" hidden="1" customWidth="1"/>
    <col min="38" max="38" width="3" hidden="1" customWidth="1"/>
    <col min="39" max="39" width="17.81640625" bestFit="1" customWidth="1"/>
    <col min="40" max="40" width="9.1796875" bestFit="1" customWidth="1"/>
    <col min="41" max="41" width="9.81640625" bestFit="1" customWidth="1"/>
    <col min="42" max="42" width="10.81640625" bestFit="1" customWidth="1"/>
    <col min="43" max="43" width="10.1796875" bestFit="1" customWidth="1"/>
    <col min="44" max="44" width="23.1796875" bestFit="1" customWidth="1"/>
    <col min="45" max="45" width="0.453125" hidden="1" customWidth="1"/>
    <col min="46" max="49" width="0" hidden="1" customWidth="1"/>
    <col min="51" max="51" width="15" bestFit="1" customWidth="1"/>
  </cols>
  <sheetData>
    <row r="1" spans="1:44" ht="15.5" x14ac:dyDescent="0.35">
      <c r="A1" s="120" t="s">
        <v>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65"/>
    </row>
    <row r="2" spans="1:44" ht="15" thickBot="1" x14ac:dyDescent="0.4"/>
    <row r="3" spans="1:44" ht="45.75" customHeight="1" x14ac:dyDescent="0.35">
      <c r="A3" s="1" t="s">
        <v>1</v>
      </c>
      <c r="B3" s="2">
        <f>AI4</f>
        <v>46113</v>
      </c>
      <c r="C3" s="2">
        <f t="shared" ref="C3:AF3" si="0">B3+1</f>
        <v>46114</v>
      </c>
      <c r="D3" s="2">
        <f t="shared" si="0"/>
        <v>46115</v>
      </c>
      <c r="E3" s="2">
        <f t="shared" si="0"/>
        <v>46116</v>
      </c>
      <c r="F3" s="2">
        <f t="shared" si="0"/>
        <v>46117</v>
      </c>
      <c r="G3" s="2">
        <f t="shared" si="0"/>
        <v>46118</v>
      </c>
      <c r="H3" s="2">
        <f t="shared" si="0"/>
        <v>46119</v>
      </c>
      <c r="I3" s="2">
        <f>H3+1</f>
        <v>46120</v>
      </c>
      <c r="J3" s="2">
        <f t="shared" si="0"/>
        <v>46121</v>
      </c>
      <c r="K3" s="2">
        <f t="shared" si="0"/>
        <v>46122</v>
      </c>
      <c r="L3" s="2">
        <f t="shared" si="0"/>
        <v>46123</v>
      </c>
      <c r="M3" s="2">
        <f t="shared" si="0"/>
        <v>46124</v>
      </c>
      <c r="N3" s="2">
        <f t="shared" si="0"/>
        <v>46125</v>
      </c>
      <c r="O3" s="2">
        <f t="shared" si="0"/>
        <v>46126</v>
      </c>
      <c r="P3" s="2">
        <f t="shared" si="0"/>
        <v>46127</v>
      </c>
      <c r="Q3" s="2">
        <f t="shared" si="0"/>
        <v>46128</v>
      </c>
      <c r="R3" s="2">
        <f t="shared" si="0"/>
        <v>46129</v>
      </c>
      <c r="S3" s="2">
        <f t="shared" si="0"/>
        <v>46130</v>
      </c>
      <c r="T3" s="2">
        <f t="shared" si="0"/>
        <v>46131</v>
      </c>
      <c r="U3" s="2">
        <f t="shared" si="0"/>
        <v>46132</v>
      </c>
      <c r="V3" s="2">
        <f t="shared" si="0"/>
        <v>46133</v>
      </c>
      <c r="W3" s="2">
        <f t="shared" si="0"/>
        <v>46134</v>
      </c>
      <c r="X3" s="2">
        <f t="shared" si="0"/>
        <v>46135</v>
      </c>
      <c r="Y3" s="2">
        <f t="shared" si="0"/>
        <v>46136</v>
      </c>
      <c r="Z3" s="2">
        <f t="shared" si="0"/>
        <v>46137</v>
      </c>
      <c r="AA3" s="2">
        <f t="shared" si="0"/>
        <v>46138</v>
      </c>
      <c r="AB3" s="2">
        <f t="shared" si="0"/>
        <v>46139</v>
      </c>
      <c r="AC3" s="2">
        <f t="shared" si="0"/>
        <v>46140</v>
      </c>
      <c r="AD3" s="2">
        <f t="shared" si="0"/>
        <v>46141</v>
      </c>
      <c r="AE3" s="2">
        <f t="shared" si="0"/>
        <v>46142</v>
      </c>
      <c r="AF3" s="2">
        <f t="shared" si="0"/>
        <v>46143</v>
      </c>
      <c r="AG3" s="36"/>
      <c r="AH3" s="36"/>
      <c r="AM3" s="122" t="s">
        <v>267</v>
      </c>
      <c r="AN3" s="123"/>
      <c r="AO3" s="123"/>
      <c r="AP3" s="123"/>
      <c r="AQ3" s="123"/>
      <c r="AR3" s="124"/>
    </row>
    <row r="4" spans="1:44" ht="31.5" customHeight="1" x14ac:dyDescent="0.35">
      <c r="A4" s="3" t="s">
        <v>2</v>
      </c>
      <c r="B4" s="4">
        <f t="shared" ref="B4:AF4" si="1">B3</f>
        <v>46113</v>
      </c>
      <c r="C4" s="4">
        <f t="shared" si="1"/>
        <v>46114</v>
      </c>
      <c r="D4" s="4">
        <f t="shared" si="1"/>
        <v>46115</v>
      </c>
      <c r="E4" s="4">
        <f t="shared" si="1"/>
        <v>46116</v>
      </c>
      <c r="F4" s="4">
        <f t="shared" si="1"/>
        <v>46117</v>
      </c>
      <c r="G4" s="4">
        <f t="shared" si="1"/>
        <v>46118</v>
      </c>
      <c r="H4" s="4">
        <f t="shared" si="1"/>
        <v>46119</v>
      </c>
      <c r="I4" s="4">
        <f t="shared" si="1"/>
        <v>46120</v>
      </c>
      <c r="J4" s="4">
        <f t="shared" si="1"/>
        <v>46121</v>
      </c>
      <c r="K4" s="4">
        <f t="shared" si="1"/>
        <v>46122</v>
      </c>
      <c r="L4" s="4">
        <f t="shared" si="1"/>
        <v>46123</v>
      </c>
      <c r="M4" s="4">
        <f t="shared" si="1"/>
        <v>46124</v>
      </c>
      <c r="N4" s="4">
        <f t="shared" si="1"/>
        <v>46125</v>
      </c>
      <c r="O4" s="4">
        <f t="shared" si="1"/>
        <v>46126</v>
      </c>
      <c r="P4" s="4">
        <f t="shared" si="1"/>
        <v>46127</v>
      </c>
      <c r="Q4" s="4">
        <f t="shared" si="1"/>
        <v>46128</v>
      </c>
      <c r="R4" s="4">
        <f t="shared" si="1"/>
        <v>46129</v>
      </c>
      <c r="S4" s="4">
        <f t="shared" si="1"/>
        <v>46130</v>
      </c>
      <c r="T4" s="4">
        <f t="shared" si="1"/>
        <v>46131</v>
      </c>
      <c r="U4" s="4">
        <f t="shared" si="1"/>
        <v>46132</v>
      </c>
      <c r="V4" s="4">
        <f t="shared" si="1"/>
        <v>46133</v>
      </c>
      <c r="W4" s="4">
        <f t="shared" si="1"/>
        <v>46134</v>
      </c>
      <c r="X4" s="4">
        <f t="shared" si="1"/>
        <v>46135</v>
      </c>
      <c r="Y4" s="4">
        <f t="shared" si="1"/>
        <v>46136</v>
      </c>
      <c r="Z4" s="4">
        <f t="shared" si="1"/>
        <v>46137</v>
      </c>
      <c r="AA4" s="4">
        <f t="shared" si="1"/>
        <v>46138</v>
      </c>
      <c r="AB4" s="4">
        <f t="shared" si="1"/>
        <v>46139</v>
      </c>
      <c r="AC4" s="4">
        <f t="shared" si="1"/>
        <v>46140</v>
      </c>
      <c r="AD4" s="4">
        <f t="shared" si="1"/>
        <v>46141</v>
      </c>
      <c r="AE4" s="4">
        <f t="shared" si="1"/>
        <v>46142</v>
      </c>
      <c r="AF4" s="4">
        <f t="shared" si="1"/>
        <v>46143</v>
      </c>
      <c r="AG4" s="39" t="s">
        <v>174</v>
      </c>
      <c r="AH4" s="40" t="s">
        <v>175</v>
      </c>
      <c r="AI4" s="5">
        <v>46113</v>
      </c>
      <c r="AJ4" s="6">
        <f>EOMONTH(AI4,0)</f>
        <v>46142</v>
      </c>
      <c r="AM4" s="19" t="s">
        <v>54</v>
      </c>
      <c r="AN4" s="19" t="s">
        <v>269</v>
      </c>
      <c r="AO4" s="19" t="s">
        <v>55</v>
      </c>
      <c r="AP4" s="19" t="s">
        <v>56</v>
      </c>
      <c r="AQ4" s="19" t="s">
        <v>251</v>
      </c>
      <c r="AR4" s="19" t="s">
        <v>57</v>
      </c>
    </row>
    <row r="5" spans="1:44" x14ac:dyDescent="0.35">
      <c r="A5" s="7" t="s">
        <v>3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 t="s">
        <v>852</v>
      </c>
      <c r="V5" s="55" t="s">
        <v>852</v>
      </c>
      <c r="W5" s="55" t="s">
        <v>852</v>
      </c>
      <c r="X5" s="55" t="s">
        <v>852</v>
      </c>
      <c r="Y5" s="55" t="s">
        <v>852</v>
      </c>
      <c r="Z5" s="55" t="s">
        <v>852</v>
      </c>
      <c r="AA5" s="55"/>
      <c r="AB5" s="55"/>
      <c r="AC5" s="55"/>
      <c r="AD5" s="55"/>
      <c r="AE5" s="55"/>
      <c r="AF5" s="55"/>
      <c r="AG5" s="41">
        <f>COUNTA(B5:AF5)</f>
        <v>6</v>
      </c>
      <c r="AH5" s="42">
        <f>AG5*100/28</f>
        <v>21.428571428571427</v>
      </c>
      <c r="AM5" s="20"/>
      <c r="AN5" s="56"/>
      <c r="AO5" s="56"/>
      <c r="AP5" s="56"/>
      <c r="AQ5" s="57"/>
      <c r="AR5" s="20"/>
    </row>
    <row r="6" spans="1:44" x14ac:dyDescent="0.35">
      <c r="A6" s="7" t="s">
        <v>7</v>
      </c>
      <c r="B6" s="55" t="s">
        <v>1085</v>
      </c>
      <c r="C6" s="55" t="s">
        <v>1085</v>
      </c>
      <c r="D6" s="55" t="s">
        <v>1085</v>
      </c>
      <c r="E6" s="55" t="s">
        <v>1085</v>
      </c>
      <c r="F6" s="55" t="s">
        <v>1085</v>
      </c>
      <c r="G6" s="55" t="s">
        <v>1085</v>
      </c>
      <c r="H6" s="55" t="s">
        <v>1085</v>
      </c>
      <c r="I6" s="55" t="s">
        <v>1085</v>
      </c>
      <c r="J6" s="55" t="s">
        <v>1085</v>
      </c>
      <c r="K6" s="55" t="s">
        <v>1085</v>
      </c>
      <c r="L6" s="55" t="s">
        <v>1085</v>
      </c>
      <c r="M6" s="55" t="s">
        <v>1085</v>
      </c>
      <c r="N6" s="55" t="s">
        <v>1085</v>
      </c>
      <c r="O6" s="55" t="s">
        <v>1085</v>
      </c>
      <c r="P6" s="55" t="s">
        <v>1085</v>
      </c>
      <c r="Q6" s="55" t="s">
        <v>1085</v>
      </c>
      <c r="R6" s="55" t="s">
        <v>1085</v>
      </c>
      <c r="S6" s="55" t="s">
        <v>1085</v>
      </c>
      <c r="T6" s="55" t="s">
        <v>1085</v>
      </c>
      <c r="U6" s="55" t="s">
        <v>1085</v>
      </c>
      <c r="V6" s="55" t="s">
        <v>1085</v>
      </c>
      <c r="W6" s="55" t="s">
        <v>1085</v>
      </c>
      <c r="X6" s="55" t="s">
        <v>1085</v>
      </c>
      <c r="Y6" s="55" t="s">
        <v>1085</v>
      </c>
      <c r="Z6" s="55" t="s">
        <v>1085</v>
      </c>
      <c r="AA6" s="55" t="s">
        <v>1085</v>
      </c>
      <c r="AB6" s="55" t="s">
        <v>1085</v>
      </c>
      <c r="AC6" s="55" t="s">
        <v>1085</v>
      </c>
      <c r="AD6" s="55" t="s">
        <v>1085</v>
      </c>
      <c r="AE6" s="55" t="s">
        <v>1085</v>
      </c>
      <c r="AF6" s="55"/>
      <c r="AG6" s="41">
        <f t="shared" ref="AG6:AG11" si="2">COUNTA(B6:AF6)</f>
        <v>30</v>
      </c>
      <c r="AH6" s="42">
        <f t="shared" ref="AH6:AH11" si="3">AG6*100/28</f>
        <v>107.14285714285714</v>
      </c>
      <c r="AM6" s="20"/>
      <c r="AN6" s="56"/>
      <c r="AO6" s="56"/>
      <c r="AP6" s="56"/>
      <c r="AQ6" s="57"/>
      <c r="AR6" s="20"/>
    </row>
    <row r="7" spans="1:44" x14ac:dyDescent="0.35">
      <c r="A7" s="7" t="s">
        <v>11</v>
      </c>
      <c r="B7" s="55" t="s">
        <v>1159</v>
      </c>
      <c r="C7" s="55" t="s">
        <v>1159</v>
      </c>
      <c r="D7" s="55"/>
      <c r="E7" s="55"/>
      <c r="F7" s="55"/>
      <c r="G7" s="55"/>
      <c r="H7" s="55"/>
      <c r="I7" s="55"/>
      <c r="J7" s="55" t="s">
        <v>480</v>
      </c>
      <c r="K7" s="55" t="s">
        <v>480</v>
      </c>
      <c r="L7" s="55"/>
      <c r="M7" s="55"/>
      <c r="N7" s="55" t="s">
        <v>1173</v>
      </c>
      <c r="O7" s="55"/>
      <c r="P7" s="55"/>
      <c r="Q7" s="55"/>
      <c r="R7" s="55"/>
      <c r="S7" s="55"/>
      <c r="T7" s="55"/>
      <c r="U7" s="55"/>
      <c r="V7" s="68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41">
        <f t="shared" si="2"/>
        <v>5</v>
      </c>
      <c r="AH7" s="42">
        <f t="shared" si="3"/>
        <v>17.857142857142858</v>
      </c>
      <c r="AM7" s="20"/>
      <c r="AN7" s="56"/>
      <c r="AO7" s="56"/>
      <c r="AP7" s="56"/>
      <c r="AQ7" s="57"/>
      <c r="AR7" s="20"/>
    </row>
    <row r="8" spans="1:44" ht="15" customHeight="1" x14ac:dyDescent="0.35">
      <c r="A8" s="113" t="s">
        <v>15</v>
      </c>
      <c r="B8" s="55"/>
      <c r="C8" s="55"/>
      <c r="D8" s="55" t="s">
        <v>327</v>
      </c>
      <c r="E8" s="55" t="s">
        <v>327</v>
      </c>
      <c r="F8" s="55"/>
      <c r="G8" s="55"/>
      <c r="H8" s="55"/>
      <c r="I8" s="55"/>
      <c r="J8" s="55" t="s">
        <v>480</v>
      </c>
      <c r="K8" s="55" t="s">
        <v>480</v>
      </c>
      <c r="L8" s="55"/>
      <c r="M8" s="55"/>
      <c r="N8" s="55" t="s">
        <v>1173</v>
      </c>
      <c r="O8" s="55"/>
      <c r="P8" s="55"/>
      <c r="Q8" s="55"/>
      <c r="R8" s="55"/>
      <c r="S8" s="55"/>
      <c r="T8" s="55"/>
      <c r="U8" s="55"/>
      <c r="V8" s="68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41">
        <f t="shared" si="2"/>
        <v>5</v>
      </c>
      <c r="AH8" s="42">
        <f t="shared" si="3"/>
        <v>17.857142857142858</v>
      </c>
      <c r="AK8" s="9"/>
      <c r="AM8" s="20"/>
      <c r="AN8" s="56"/>
      <c r="AO8" s="56"/>
      <c r="AP8" s="56"/>
      <c r="AQ8" s="57"/>
      <c r="AR8" s="20"/>
    </row>
    <row r="9" spans="1:44" ht="15.75" customHeight="1" x14ac:dyDescent="0.35">
      <c r="A9" s="7" t="s">
        <v>18</v>
      </c>
      <c r="B9" s="55"/>
      <c r="C9" s="55"/>
      <c r="D9" s="55"/>
      <c r="E9" s="55"/>
      <c r="F9" s="55"/>
      <c r="G9" s="55"/>
      <c r="H9" s="55" t="s">
        <v>1142</v>
      </c>
      <c r="I9" s="55"/>
      <c r="J9" s="55" t="s">
        <v>769</v>
      </c>
      <c r="K9" s="55"/>
      <c r="L9" s="55"/>
      <c r="M9" s="55"/>
      <c r="N9" s="55" t="s">
        <v>1173</v>
      </c>
      <c r="O9" s="55" t="s">
        <v>1144</v>
      </c>
      <c r="P9" s="55" t="s">
        <v>1144</v>
      </c>
      <c r="Q9" s="55" t="s">
        <v>1144</v>
      </c>
      <c r="R9" s="55" t="s">
        <v>1144</v>
      </c>
      <c r="S9" s="55"/>
      <c r="T9" s="55"/>
      <c r="U9" s="55"/>
      <c r="V9" s="68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41">
        <f t="shared" si="2"/>
        <v>7</v>
      </c>
      <c r="AH9" s="42">
        <f t="shared" si="3"/>
        <v>25</v>
      </c>
      <c r="AM9" s="20"/>
      <c r="AN9" s="56"/>
      <c r="AO9" s="56"/>
      <c r="AP9" s="56"/>
      <c r="AQ9" s="57"/>
      <c r="AR9" s="20"/>
    </row>
    <row r="10" spans="1:44" ht="15.75" customHeight="1" x14ac:dyDescent="0.35">
      <c r="A10" s="113" t="s">
        <v>20</v>
      </c>
      <c r="B10" s="55"/>
      <c r="C10" s="55"/>
      <c r="D10" s="55"/>
      <c r="E10" s="55"/>
      <c r="F10" s="55" t="s">
        <v>1161</v>
      </c>
      <c r="G10" s="55" t="s">
        <v>327</v>
      </c>
      <c r="H10" s="55" t="s">
        <v>327</v>
      </c>
      <c r="I10" s="55" t="s">
        <v>327</v>
      </c>
      <c r="J10" s="55" t="s">
        <v>327</v>
      </c>
      <c r="K10" s="55" t="s">
        <v>327</v>
      </c>
      <c r="L10" s="55" t="s">
        <v>327</v>
      </c>
      <c r="M10" s="55" t="s">
        <v>327</v>
      </c>
      <c r="N10" s="55" t="s">
        <v>327</v>
      </c>
      <c r="O10" s="55" t="s">
        <v>327</v>
      </c>
      <c r="P10" s="55" t="s">
        <v>327</v>
      </c>
      <c r="Q10" s="55"/>
      <c r="R10" s="55" t="s">
        <v>1170</v>
      </c>
      <c r="S10" s="55" t="s">
        <v>1170</v>
      </c>
      <c r="T10" s="55"/>
      <c r="U10" s="55"/>
      <c r="V10" s="68"/>
      <c r="W10" s="55"/>
      <c r="X10" s="55" t="s">
        <v>1166</v>
      </c>
      <c r="Y10" s="55" t="s">
        <v>1166</v>
      </c>
      <c r="Z10" s="55"/>
      <c r="AA10" s="55"/>
      <c r="AB10" s="55"/>
      <c r="AC10" s="55" t="s">
        <v>1142</v>
      </c>
      <c r="AD10" s="55" t="s">
        <v>1142</v>
      </c>
      <c r="AE10" s="55" t="s">
        <v>1142</v>
      </c>
      <c r="AF10" s="55"/>
      <c r="AG10" s="41">
        <f t="shared" si="2"/>
        <v>18</v>
      </c>
      <c r="AH10" s="42">
        <f t="shared" si="3"/>
        <v>64.285714285714292</v>
      </c>
      <c r="AM10" s="20"/>
      <c r="AN10" s="56"/>
      <c r="AO10" s="56"/>
      <c r="AP10" s="56"/>
      <c r="AQ10" s="57"/>
      <c r="AR10" s="20"/>
    </row>
    <row r="11" spans="1:44" ht="15.75" customHeight="1" thickBot="1" x14ac:dyDescent="0.4">
      <c r="A11" s="7" t="s">
        <v>24</v>
      </c>
      <c r="B11" s="55" t="s">
        <v>187</v>
      </c>
      <c r="C11" s="55" t="s">
        <v>187</v>
      </c>
      <c r="D11" s="55"/>
      <c r="E11" s="55"/>
      <c r="F11" s="55" t="s">
        <v>670</v>
      </c>
      <c r="G11" s="55" t="s">
        <v>1160</v>
      </c>
      <c r="H11" s="55" t="s">
        <v>1160</v>
      </c>
      <c r="I11" s="55" t="s">
        <v>1160</v>
      </c>
      <c r="J11" s="55" t="s">
        <v>1160</v>
      </c>
      <c r="K11" s="55" t="s">
        <v>1160</v>
      </c>
      <c r="L11" s="55" t="s">
        <v>1160</v>
      </c>
      <c r="M11" s="55" t="s">
        <v>1160</v>
      </c>
      <c r="N11" s="55" t="s">
        <v>1160</v>
      </c>
      <c r="O11" s="55" t="s">
        <v>1160</v>
      </c>
      <c r="P11" s="55" t="s">
        <v>1160</v>
      </c>
      <c r="Q11" s="55" t="s">
        <v>1160</v>
      </c>
      <c r="R11" s="55" t="s">
        <v>1160</v>
      </c>
      <c r="S11" s="55" t="s">
        <v>1160</v>
      </c>
      <c r="T11" s="55" t="s">
        <v>1160</v>
      </c>
      <c r="U11" s="55" t="s">
        <v>1160</v>
      </c>
      <c r="V11" s="55" t="s">
        <v>1160</v>
      </c>
      <c r="W11" s="55" t="s">
        <v>1160</v>
      </c>
      <c r="X11" s="55" t="s">
        <v>1165</v>
      </c>
      <c r="Y11" s="55" t="s">
        <v>1165</v>
      </c>
      <c r="Z11" s="55"/>
      <c r="AA11" s="55"/>
      <c r="AB11" s="55"/>
      <c r="AC11" s="55" t="s">
        <v>1179</v>
      </c>
      <c r="AD11" s="55" t="s">
        <v>1179</v>
      </c>
      <c r="AE11" s="55" t="s">
        <v>1179</v>
      </c>
      <c r="AF11" s="55"/>
      <c r="AG11" s="41">
        <f t="shared" si="2"/>
        <v>25</v>
      </c>
      <c r="AH11" s="42">
        <f t="shared" si="3"/>
        <v>89.285714285714292</v>
      </c>
      <c r="AM11" s="20"/>
      <c r="AN11" s="56"/>
      <c r="AO11" s="56"/>
      <c r="AP11" s="56"/>
      <c r="AQ11" s="57"/>
      <c r="AR11" s="20"/>
    </row>
    <row r="12" spans="1:44" ht="15" customHeight="1" x14ac:dyDescent="0.35">
      <c r="A12" s="45" t="s">
        <v>176</v>
      </c>
      <c r="B12" s="46">
        <f>COUNTA(B5:B11)</f>
        <v>3</v>
      </c>
      <c r="C12" s="46">
        <f>COUNTA(C5:C11)</f>
        <v>3</v>
      </c>
      <c r="D12" s="46">
        <f t="shared" ref="D12:AF12" si="4">COUNTA(D5:D11)</f>
        <v>2</v>
      </c>
      <c r="E12" s="46">
        <f t="shared" si="4"/>
        <v>2</v>
      </c>
      <c r="F12" s="46">
        <f t="shared" si="4"/>
        <v>3</v>
      </c>
      <c r="G12" s="46">
        <f t="shared" si="4"/>
        <v>3</v>
      </c>
      <c r="H12" s="46">
        <f t="shared" si="4"/>
        <v>4</v>
      </c>
      <c r="I12" s="46">
        <f t="shared" si="4"/>
        <v>3</v>
      </c>
      <c r="J12" s="46">
        <f t="shared" si="4"/>
        <v>6</v>
      </c>
      <c r="K12" s="46">
        <f t="shared" si="4"/>
        <v>5</v>
      </c>
      <c r="L12" s="46">
        <f t="shared" si="4"/>
        <v>3</v>
      </c>
      <c r="M12" s="46">
        <f t="shared" si="4"/>
        <v>3</v>
      </c>
      <c r="N12" s="46">
        <f t="shared" si="4"/>
        <v>6</v>
      </c>
      <c r="O12" s="46">
        <f t="shared" si="4"/>
        <v>4</v>
      </c>
      <c r="P12" s="46">
        <f t="shared" si="4"/>
        <v>4</v>
      </c>
      <c r="Q12" s="46">
        <f t="shared" si="4"/>
        <v>3</v>
      </c>
      <c r="R12" s="46">
        <f t="shared" si="4"/>
        <v>4</v>
      </c>
      <c r="S12" s="46">
        <f t="shared" si="4"/>
        <v>3</v>
      </c>
      <c r="T12" s="46">
        <f t="shared" si="4"/>
        <v>2</v>
      </c>
      <c r="U12" s="46">
        <f t="shared" si="4"/>
        <v>3</v>
      </c>
      <c r="V12" s="46">
        <f t="shared" si="4"/>
        <v>3</v>
      </c>
      <c r="W12" s="46">
        <f t="shared" si="4"/>
        <v>3</v>
      </c>
      <c r="X12" s="46">
        <f t="shared" si="4"/>
        <v>4</v>
      </c>
      <c r="Y12" s="46">
        <f t="shared" si="4"/>
        <v>4</v>
      </c>
      <c r="Z12" s="46">
        <f t="shared" si="4"/>
        <v>2</v>
      </c>
      <c r="AA12" s="46">
        <f t="shared" si="4"/>
        <v>1</v>
      </c>
      <c r="AB12" s="46">
        <f t="shared" si="4"/>
        <v>1</v>
      </c>
      <c r="AC12" s="46">
        <f>COUNTA(AC5:AC11)</f>
        <v>3</v>
      </c>
      <c r="AD12" s="46">
        <f>COUNTA(AD5:AD11)</f>
        <v>3</v>
      </c>
      <c r="AE12" s="46">
        <f>COUNTA(AE5:AE11)</f>
        <v>3</v>
      </c>
      <c r="AF12" s="46">
        <f t="shared" si="4"/>
        <v>0</v>
      </c>
      <c r="AG12" s="43">
        <f t="shared" ref="AG12" si="5">SUM(AG5:AG11)</f>
        <v>96</v>
      </c>
      <c r="AH12" s="44">
        <f>AVERAGE(AH5:AH11)</f>
        <v>48.979591836734691</v>
      </c>
      <c r="AI12" s="29"/>
      <c r="AM12" s="20"/>
      <c r="AN12" s="20"/>
      <c r="AO12" s="20"/>
      <c r="AP12" s="20"/>
      <c r="AQ12" s="20"/>
      <c r="AR12" s="20"/>
    </row>
    <row r="13" spans="1:44" ht="85.5" hidden="1" x14ac:dyDescent="0.35">
      <c r="A13" s="13" t="s">
        <v>28</v>
      </c>
      <c r="B13" s="14"/>
      <c r="C13" s="14"/>
      <c r="D13" s="14"/>
      <c r="E13" s="14"/>
      <c r="F13" s="14"/>
      <c r="G13" s="14"/>
      <c r="H13" s="14"/>
      <c r="I13" s="35"/>
      <c r="J13" s="34"/>
      <c r="K13" s="15"/>
      <c r="L13" s="14"/>
      <c r="M13" s="14"/>
      <c r="N13" s="25"/>
      <c r="O13" s="25"/>
      <c r="P13" s="25"/>
      <c r="Q13" s="14"/>
      <c r="R13" s="14"/>
      <c r="S13" s="14"/>
      <c r="T13" s="14"/>
      <c r="U13" s="14"/>
      <c r="V13" s="15"/>
      <c r="W13" s="15"/>
      <c r="X13" s="14"/>
      <c r="Y13" s="14"/>
      <c r="Z13" s="14"/>
      <c r="AA13" s="14"/>
      <c r="AB13" s="14"/>
      <c r="AC13" s="14"/>
      <c r="AD13" s="14"/>
      <c r="AE13" s="14"/>
      <c r="AF13" s="14"/>
      <c r="AG13" s="37"/>
      <c r="AH13" s="37"/>
      <c r="AM13" s="20"/>
      <c r="AN13" s="20"/>
      <c r="AO13" s="20"/>
      <c r="AP13" s="20"/>
      <c r="AQ13" s="20"/>
      <c r="AR13" s="20"/>
    </row>
    <row r="14" spans="1:44" ht="28.5" hidden="1" x14ac:dyDescent="0.35">
      <c r="A14" s="16" t="s">
        <v>29</v>
      </c>
      <c r="B14" s="14"/>
      <c r="C14" s="14"/>
      <c r="D14" s="14"/>
      <c r="E14" s="14"/>
      <c r="F14" s="14"/>
      <c r="G14" s="14"/>
      <c r="H14" s="14"/>
      <c r="I14" s="35"/>
      <c r="J14" s="34"/>
      <c r="K14" s="15"/>
      <c r="L14" s="14"/>
      <c r="M14" s="14"/>
      <c r="N14" s="25"/>
      <c r="O14" s="25"/>
      <c r="P14" s="25"/>
      <c r="Q14" s="14"/>
      <c r="R14" s="14"/>
      <c r="S14" s="14"/>
      <c r="T14" s="14"/>
      <c r="U14" s="14"/>
      <c r="V14" s="15"/>
      <c r="W14" s="15"/>
      <c r="X14" s="14"/>
      <c r="Y14" s="14"/>
      <c r="Z14" s="14"/>
      <c r="AA14" s="14"/>
      <c r="AB14" s="14"/>
      <c r="AC14" s="14"/>
      <c r="AD14" s="14"/>
      <c r="AE14" s="14"/>
      <c r="AF14" s="14"/>
      <c r="AG14" s="37"/>
      <c r="AH14" s="37"/>
      <c r="AM14" s="20"/>
      <c r="AN14" s="20"/>
      <c r="AO14" s="20"/>
      <c r="AP14" s="20"/>
      <c r="AQ14" s="20"/>
      <c r="AR14" s="20"/>
    </row>
    <row r="15" spans="1:44" x14ac:dyDescent="0.35">
      <c r="A15" s="7" t="s">
        <v>30</v>
      </c>
      <c r="B15" s="8" t="s">
        <v>187</v>
      </c>
      <c r="C15" s="8" t="s">
        <v>187</v>
      </c>
      <c r="D15" s="8" t="s">
        <v>682</v>
      </c>
      <c r="E15" s="8" t="s">
        <v>682</v>
      </c>
      <c r="F15" s="8" t="s">
        <v>682</v>
      </c>
      <c r="G15" s="8" t="s">
        <v>682</v>
      </c>
      <c r="H15" s="8" t="s">
        <v>682</v>
      </c>
      <c r="I15" s="8" t="s">
        <v>682</v>
      </c>
      <c r="J15" s="8" t="s">
        <v>682</v>
      </c>
      <c r="K15" s="8" t="s">
        <v>682</v>
      </c>
      <c r="L15" s="8" t="s">
        <v>682</v>
      </c>
      <c r="M15" s="8" t="s">
        <v>682</v>
      </c>
      <c r="N15" s="8" t="s">
        <v>682</v>
      </c>
      <c r="O15" s="8" t="s">
        <v>682</v>
      </c>
      <c r="P15" s="8" t="s">
        <v>682</v>
      </c>
      <c r="Q15" s="8" t="s">
        <v>682</v>
      </c>
      <c r="R15" s="8" t="s">
        <v>682</v>
      </c>
      <c r="S15" s="8" t="s">
        <v>682</v>
      </c>
      <c r="T15" s="8" t="s">
        <v>682</v>
      </c>
      <c r="U15" s="8" t="s">
        <v>682</v>
      </c>
      <c r="V15" s="8"/>
      <c r="W15" s="8"/>
      <c r="X15" s="8"/>
      <c r="Y15" s="8" t="s">
        <v>1167</v>
      </c>
      <c r="Z15" s="8" t="s">
        <v>1167</v>
      </c>
      <c r="AA15" s="8" t="s">
        <v>1167</v>
      </c>
      <c r="AB15" s="8" t="s">
        <v>1062</v>
      </c>
      <c r="AC15" s="8" t="s">
        <v>1062</v>
      </c>
      <c r="AD15" s="8" t="s">
        <v>1062</v>
      </c>
      <c r="AE15" s="8" t="s">
        <v>1062</v>
      </c>
      <c r="AF15" s="8"/>
      <c r="AG15" s="41">
        <f>COUNTA(B15:AF15)</f>
        <v>27</v>
      </c>
      <c r="AH15" s="42">
        <f>AG15*100/28</f>
        <v>96.428571428571431</v>
      </c>
      <c r="AM15" s="20"/>
      <c r="AN15" s="20"/>
      <c r="AO15" s="20"/>
      <c r="AP15" s="20"/>
      <c r="AQ15" s="20"/>
      <c r="AR15" s="20"/>
    </row>
    <row r="16" spans="1:44" x14ac:dyDescent="0.35">
      <c r="A16" s="113" t="s">
        <v>35</v>
      </c>
      <c r="B16" s="8" t="s">
        <v>391</v>
      </c>
      <c r="C16" s="8" t="s">
        <v>391</v>
      </c>
      <c r="D16" s="8" t="s">
        <v>391</v>
      </c>
      <c r="E16" s="8" t="s">
        <v>391</v>
      </c>
      <c r="F16" s="8" t="s">
        <v>657</v>
      </c>
      <c r="G16" s="8" t="s">
        <v>657</v>
      </c>
      <c r="H16" s="8" t="s">
        <v>657</v>
      </c>
      <c r="I16" s="8" t="s">
        <v>657</v>
      </c>
      <c r="J16" s="8" t="s">
        <v>25</v>
      </c>
      <c r="K16" s="8" t="s">
        <v>25</v>
      </c>
      <c r="L16" s="8" t="s">
        <v>477</v>
      </c>
      <c r="M16" s="8"/>
      <c r="N16" s="103" t="s">
        <v>1162</v>
      </c>
      <c r="O16" s="103" t="s">
        <v>1162</v>
      </c>
      <c r="P16" s="103" t="s">
        <v>1162</v>
      </c>
      <c r="Q16" s="8" t="s">
        <v>1171</v>
      </c>
      <c r="R16" s="8" t="s">
        <v>1171</v>
      </c>
      <c r="S16" s="8"/>
      <c r="T16" s="8"/>
      <c r="U16" s="8" t="s">
        <v>1168</v>
      </c>
      <c r="V16" s="8" t="s">
        <v>1168</v>
      </c>
      <c r="W16" s="8"/>
      <c r="X16" s="8"/>
      <c r="Y16" s="8"/>
      <c r="Z16" s="8"/>
      <c r="AA16" s="8"/>
      <c r="AB16" s="8"/>
      <c r="AC16" s="8"/>
      <c r="AD16" s="8"/>
      <c r="AE16" s="8"/>
      <c r="AF16" s="8"/>
      <c r="AG16" s="41">
        <f t="shared" ref="AG16:AG22" si="6">COUNTA(B16:AF16)</f>
        <v>18</v>
      </c>
      <c r="AH16" s="42">
        <f>AG16*100/28</f>
        <v>64.285714285714292</v>
      </c>
      <c r="AM16" s="20"/>
      <c r="AN16" s="20"/>
      <c r="AO16" s="56"/>
      <c r="AP16" s="56"/>
      <c r="AQ16" s="20"/>
      <c r="AR16" s="20"/>
    </row>
    <row r="17" spans="1:50" x14ac:dyDescent="0.35">
      <c r="A17" s="7" t="s">
        <v>39</v>
      </c>
      <c r="B17" s="8" t="s">
        <v>1134</v>
      </c>
      <c r="C17" s="8" t="s">
        <v>1134</v>
      </c>
      <c r="D17" s="8" t="s">
        <v>1134</v>
      </c>
      <c r="E17" s="8" t="s">
        <v>1134</v>
      </c>
      <c r="F17" s="8" t="s">
        <v>1134</v>
      </c>
      <c r="G17" s="8" t="s">
        <v>1134</v>
      </c>
      <c r="H17" s="8" t="s">
        <v>1134</v>
      </c>
      <c r="I17" s="8" t="s">
        <v>1134</v>
      </c>
      <c r="J17" s="8" t="s">
        <v>1134</v>
      </c>
      <c r="K17" s="8" t="s">
        <v>1134</v>
      </c>
      <c r="L17" s="8" t="s">
        <v>1134</v>
      </c>
      <c r="M17" s="8"/>
      <c r="N17" s="103" t="s">
        <v>1163</v>
      </c>
      <c r="O17" s="103" t="s">
        <v>1163</v>
      </c>
      <c r="P17" s="8" t="s">
        <v>1172</v>
      </c>
      <c r="Q17" s="8" t="s">
        <v>1172</v>
      </c>
      <c r="R17" s="8" t="s">
        <v>1172</v>
      </c>
      <c r="S17" s="8" t="s">
        <v>1172</v>
      </c>
      <c r="T17" s="8"/>
      <c r="U17" s="26"/>
      <c r="V17" s="8"/>
      <c r="W17" s="8"/>
      <c r="X17" s="8"/>
      <c r="Y17" s="8"/>
      <c r="Z17" s="8"/>
      <c r="AA17" s="8"/>
      <c r="AB17" s="8"/>
      <c r="AC17" s="8"/>
      <c r="AD17" s="8"/>
      <c r="AE17" s="8" t="s">
        <v>1177</v>
      </c>
      <c r="AF17" s="8"/>
      <c r="AG17" s="41">
        <f t="shared" si="6"/>
        <v>18</v>
      </c>
      <c r="AH17" s="42">
        <f t="shared" ref="AH17:AH22" si="7">AG17*100/28</f>
        <v>64.285714285714292</v>
      </c>
      <c r="AM17" s="20"/>
      <c r="AN17" s="20"/>
      <c r="AO17" s="20"/>
      <c r="AP17" s="20"/>
      <c r="AQ17" s="20"/>
      <c r="AR17" s="20"/>
      <c r="AX17" s="58"/>
    </row>
    <row r="18" spans="1:50" x14ac:dyDescent="0.35">
      <c r="A18" s="113" t="s">
        <v>42</v>
      </c>
      <c r="B18" s="8" t="s">
        <v>187</v>
      </c>
      <c r="C18" s="8" t="s">
        <v>187</v>
      </c>
      <c r="D18" s="8"/>
      <c r="E18" s="8"/>
      <c r="F18" s="8" t="s">
        <v>657</v>
      </c>
      <c r="G18" s="8" t="s">
        <v>657</v>
      </c>
      <c r="H18" s="8" t="s">
        <v>657</v>
      </c>
      <c r="I18" s="8" t="s">
        <v>657</v>
      </c>
      <c r="J18" s="8" t="s">
        <v>657</v>
      </c>
      <c r="K18" s="8" t="s">
        <v>657</v>
      </c>
      <c r="L18" s="8" t="s">
        <v>1172</v>
      </c>
      <c r="M18" s="8" t="s">
        <v>1172</v>
      </c>
      <c r="N18" s="8" t="s">
        <v>1172</v>
      </c>
      <c r="O18" s="8" t="s">
        <v>1172</v>
      </c>
      <c r="P18" s="8"/>
      <c r="Q18" s="8"/>
      <c r="R18" s="8" t="s">
        <v>1169</v>
      </c>
      <c r="S18" s="8"/>
      <c r="T18" s="8"/>
      <c r="U18" s="8" t="s">
        <v>832</v>
      </c>
      <c r="V18" s="8" t="s">
        <v>832</v>
      </c>
      <c r="W18" s="8" t="s">
        <v>832</v>
      </c>
      <c r="X18" s="8"/>
      <c r="Y18" s="8"/>
      <c r="Z18" s="8"/>
      <c r="AA18" s="8"/>
      <c r="AB18" s="8" t="s">
        <v>1105</v>
      </c>
      <c r="AC18" s="8" t="s">
        <v>1105</v>
      </c>
      <c r="AD18" s="8" t="s">
        <v>1105</v>
      </c>
      <c r="AE18" s="8" t="s">
        <v>1105</v>
      </c>
      <c r="AF18" s="8"/>
      <c r="AG18" s="41">
        <f t="shared" si="6"/>
        <v>20</v>
      </c>
      <c r="AH18" s="42">
        <f t="shared" si="7"/>
        <v>71.428571428571431</v>
      </c>
      <c r="AM18" s="20"/>
      <c r="AN18" s="20"/>
      <c r="AO18" s="20"/>
      <c r="AP18" s="20"/>
      <c r="AQ18" s="20"/>
      <c r="AR18" s="20"/>
      <c r="AX18" s="58"/>
    </row>
    <row r="19" spans="1:50" x14ac:dyDescent="0.35">
      <c r="A19" s="7" t="s">
        <v>45</v>
      </c>
      <c r="B19" s="8" t="s">
        <v>1135</v>
      </c>
      <c r="C19" s="8" t="s">
        <v>1135</v>
      </c>
      <c r="D19" s="8" t="s">
        <v>1135</v>
      </c>
      <c r="E19" s="8" t="s">
        <v>1135</v>
      </c>
      <c r="F19" s="8" t="s">
        <v>1135</v>
      </c>
      <c r="G19" s="8" t="s">
        <v>1135</v>
      </c>
      <c r="H19" s="8" t="s">
        <v>1135</v>
      </c>
      <c r="I19" s="8" t="s">
        <v>1135</v>
      </c>
      <c r="J19" s="8" t="s">
        <v>1135</v>
      </c>
      <c r="K19" s="8" t="s">
        <v>1135</v>
      </c>
      <c r="L19" s="8" t="s">
        <v>1135</v>
      </c>
      <c r="M19" s="8"/>
      <c r="N19" s="103" t="s">
        <v>1164</v>
      </c>
      <c r="O19" s="103" t="s">
        <v>1164</v>
      </c>
      <c r="P19" s="8"/>
      <c r="Q19" s="8"/>
      <c r="R19" s="8" t="s">
        <v>1169</v>
      </c>
      <c r="S19" s="8"/>
      <c r="T19" s="8"/>
      <c r="U19" s="26"/>
      <c r="V19" s="8"/>
      <c r="W19" s="8"/>
      <c r="X19" s="8"/>
      <c r="Y19" s="8"/>
      <c r="Z19" s="8"/>
      <c r="AA19" s="8"/>
      <c r="AB19" s="8" t="s">
        <v>1105</v>
      </c>
      <c r="AC19" s="8" t="s">
        <v>1105</v>
      </c>
      <c r="AD19" s="8" t="s">
        <v>1105</v>
      </c>
      <c r="AE19" s="8" t="s">
        <v>1105</v>
      </c>
      <c r="AF19" s="8"/>
      <c r="AG19" s="41">
        <f t="shared" si="6"/>
        <v>18</v>
      </c>
      <c r="AH19" s="42">
        <f t="shared" si="7"/>
        <v>64.285714285714292</v>
      </c>
      <c r="AM19" s="20"/>
      <c r="AN19" s="20"/>
      <c r="AO19" s="20"/>
      <c r="AP19" s="20"/>
      <c r="AQ19" s="20"/>
      <c r="AR19" s="20"/>
      <c r="AX19" s="58"/>
    </row>
    <row r="20" spans="1:50" x14ac:dyDescent="0.35">
      <c r="A20" s="113" t="s">
        <v>47</v>
      </c>
      <c r="B20" s="8" t="s">
        <v>391</v>
      </c>
      <c r="C20" s="8" t="s">
        <v>391</v>
      </c>
      <c r="D20" s="8" t="s">
        <v>391</v>
      </c>
      <c r="E20" s="8" t="s">
        <v>391</v>
      </c>
      <c r="F20" s="8" t="s">
        <v>657</v>
      </c>
      <c r="G20" s="8" t="s">
        <v>657</v>
      </c>
      <c r="H20" s="8" t="s">
        <v>657</v>
      </c>
      <c r="I20" s="8" t="s">
        <v>657</v>
      </c>
      <c r="J20" s="8" t="s">
        <v>657</v>
      </c>
      <c r="K20" s="8" t="s">
        <v>657</v>
      </c>
      <c r="L20" s="8" t="s">
        <v>657</v>
      </c>
      <c r="M20" s="8" t="s">
        <v>1172</v>
      </c>
      <c r="N20" s="8" t="s">
        <v>1172</v>
      </c>
      <c r="O20" s="8" t="s">
        <v>1172</v>
      </c>
      <c r="P20" s="8" t="s">
        <v>1172</v>
      </c>
      <c r="Q20" s="8" t="s">
        <v>1172</v>
      </c>
      <c r="R20" s="8" t="s">
        <v>1172</v>
      </c>
      <c r="S20" s="8" t="s">
        <v>1172</v>
      </c>
      <c r="T20" s="8"/>
      <c r="U20" s="26"/>
      <c r="V20" s="8"/>
      <c r="W20" s="8"/>
      <c r="X20" s="8"/>
      <c r="Y20" s="8"/>
      <c r="Z20" s="8"/>
      <c r="AA20" s="8"/>
      <c r="AB20" s="8"/>
      <c r="AC20" s="8"/>
      <c r="AD20" s="8"/>
      <c r="AE20" s="8" t="s">
        <v>1055</v>
      </c>
      <c r="AF20" s="8"/>
      <c r="AG20" s="41">
        <f t="shared" si="6"/>
        <v>19</v>
      </c>
      <c r="AH20" s="42">
        <f t="shared" si="7"/>
        <v>67.857142857142861</v>
      </c>
      <c r="AM20" s="20"/>
      <c r="AN20" s="20"/>
      <c r="AO20" s="20"/>
      <c r="AP20" s="20"/>
      <c r="AQ20" s="20"/>
      <c r="AR20" s="20"/>
      <c r="AX20" s="58"/>
    </row>
    <row r="21" spans="1:50" x14ac:dyDescent="0.35">
      <c r="A21" s="7" t="s">
        <v>50</v>
      </c>
      <c r="B21" s="8"/>
      <c r="C21" s="8"/>
      <c r="D21" s="8"/>
      <c r="E21" s="8"/>
      <c r="F21" s="8" t="s">
        <v>657</v>
      </c>
      <c r="G21" s="8" t="s">
        <v>657</v>
      </c>
      <c r="H21" s="8" t="s">
        <v>657</v>
      </c>
      <c r="I21" s="8" t="s">
        <v>657</v>
      </c>
      <c r="J21" s="8" t="s">
        <v>657</v>
      </c>
      <c r="K21" s="8" t="s">
        <v>657</v>
      </c>
      <c r="L21" s="8" t="s">
        <v>657</v>
      </c>
      <c r="M21" s="8" t="s">
        <v>1172</v>
      </c>
      <c r="N21" s="8" t="s">
        <v>1172</v>
      </c>
      <c r="O21" s="8" t="s">
        <v>1172</v>
      </c>
      <c r="P21" s="8" t="s">
        <v>1172</v>
      </c>
      <c r="Q21" s="8" t="s">
        <v>1172</v>
      </c>
      <c r="R21" s="8" t="s">
        <v>1172</v>
      </c>
      <c r="S21" s="8" t="s">
        <v>1172</v>
      </c>
      <c r="T21" s="8"/>
      <c r="U21" s="26"/>
      <c r="V21" s="8"/>
      <c r="W21" s="8"/>
      <c r="X21" s="8"/>
      <c r="Y21" s="8"/>
      <c r="Z21" s="8"/>
      <c r="AA21" s="8"/>
      <c r="AB21" s="8"/>
      <c r="AC21" s="8"/>
      <c r="AD21" s="8" t="s">
        <v>1136</v>
      </c>
      <c r="AE21" s="8"/>
      <c r="AF21" s="8"/>
      <c r="AG21" s="41">
        <f t="shared" si="6"/>
        <v>15</v>
      </c>
      <c r="AH21" s="42">
        <f t="shared" si="7"/>
        <v>53.571428571428569</v>
      </c>
      <c r="AM21" s="20"/>
      <c r="AN21" s="20"/>
      <c r="AO21" s="20"/>
      <c r="AP21" s="20"/>
      <c r="AQ21" s="20"/>
      <c r="AR21" s="20"/>
      <c r="AX21" s="58"/>
    </row>
    <row r="22" spans="1:50" ht="15" thickBot="1" x14ac:dyDescent="0.4">
      <c r="A22" s="113" t="s">
        <v>51</v>
      </c>
      <c r="B22" s="8" t="s">
        <v>1137</v>
      </c>
      <c r="C22" s="8" t="s">
        <v>1137</v>
      </c>
      <c r="D22" s="8" t="s">
        <v>1137</v>
      </c>
      <c r="E22" s="8" t="s">
        <v>1137</v>
      </c>
      <c r="F22" s="8" t="s">
        <v>1137</v>
      </c>
      <c r="G22" s="8" t="s">
        <v>1137</v>
      </c>
      <c r="H22" s="8" t="s">
        <v>1137</v>
      </c>
      <c r="I22" s="8" t="s">
        <v>1137</v>
      </c>
      <c r="J22" s="8" t="s">
        <v>1137</v>
      </c>
      <c r="K22" s="8" t="s">
        <v>1137</v>
      </c>
      <c r="L22" s="8" t="s">
        <v>316</v>
      </c>
      <c r="M22" s="8"/>
      <c r="N22" s="8"/>
      <c r="O22" s="8"/>
      <c r="P22" s="8"/>
      <c r="Q22" s="8"/>
      <c r="R22" s="8" t="s">
        <v>1169</v>
      </c>
      <c r="S22" s="8"/>
      <c r="T22" s="8"/>
      <c r="U22" s="26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41">
        <f t="shared" si="6"/>
        <v>12</v>
      </c>
      <c r="AH22" s="42">
        <f t="shared" si="7"/>
        <v>42.857142857142854</v>
      </c>
      <c r="AX22" s="58"/>
    </row>
    <row r="23" spans="1:50" ht="15.5" x14ac:dyDescent="0.35">
      <c r="A23" s="45" t="s">
        <v>176</v>
      </c>
      <c r="B23" s="46">
        <f>COUNTA(B15:B22)</f>
        <v>7</v>
      </c>
      <c r="C23" s="46">
        <f>COUNTA(C16:C22)</f>
        <v>6</v>
      </c>
      <c r="D23" s="46">
        <f>COUNTA(D16:D22)</f>
        <v>5</v>
      </c>
      <c r="E23" s="46">
        <f t="shared" ref="E23:AF23" si="8">COUNTA(E15:E22)</f>
        <v>6</v>
      </c>
      <c r="F23" s="46">
        <f t="shared" si="8"/>
        <v>8</v>
      </c>
      <c r="G23" s="46">
        <f t="shared" si="8"/>
        <v>8</v>
      </c>
      <c r="H23" s="46">
        <f t="shared" si="8"/>
        <v>8</v>
      </c>
      <c r="I23" s="46">
        <f t="shared" si="8"/>
        <v>8</v>
      </c>
      <c r="J23" s="46">
        <f t="shared" si="8"/>
        <v>8</v>
      </c>
      <c r="K23" s="46">
        <f t="shared" si="8"/>
        <v>8</v>
      </c>
      <c r="L23" s="46">
        <f t="shared" si="8"/>
        <v>8</v>
      </c>
      <c r="M23" s="46">
        <f t="shared" si="8"/>
        <v>4</v>
      </c>
      <c r="N23" s="46">
        <f t="shared" si="8"/>
        <v>7</v>
      </c>
      <c r="O23" s="46">
        <f t="shared" si="8"/>
        <v>7</v>
      </c>
      <c r="P23" s="46">
        <f t="shared" si="8"/>
        <v>5</v>
      </c>
      <c r="Q23" s="46">
        <f t="shared" si="8"/>
        <v>5</v>
      </c>
      <c r="R23" s="46">
        <f t="shared" si="8"/>
        <v>8</v>
      </c>
      <c r="S23" s="46">
        <f t="shared" si="8"/>
        <v>4</v>
      </c>
      <c r="T23" s="46">
        <f>COUNTA(T15:T22)</f>
        <v>1</v>
      </c>
      <c r="U23" s="46">
        <f t="shared" si="8"/>
        <v>3</v>
      </c>
      <c r="V23" s="46">
        <f t="shared" si="8"/>
        <v>2</v>
      </c>
      <c r="W23" s="46">
        <f t="shared" si="8"/>
        <v>1</v>
      </c>
      <c r="X23" s="46">
        <f t="shared" si="8"/>
        <v>0</v>
      </c>
      <c r="Y23" s="46">
        <f t="shared" si="8"/>
        <v>1</v>
      </c>
      <c r="Z23" s="46">
        <f t="shared" si="8"/>
        <v>1</v>
      </c>
      <c r="AA23" s="46">
        <f t="shared" si="8"/>
        <v>1</v>
      </c>
      <c r="AB23" s="46">
        <f t="shared" si="8"/>
        <v>3</v>
      </c>
      <c r="AC23" s="46">
        <f t="shared" si="8"/>
        <v>3</v>
      </c>
      <c r="AD23" s="46">
        <f t="shared" si="8"/>
        <v>4</v>
      </c>
      <c r="AE23" s="46">
        <f t="shared" si="8"/>
        <v>5</v>
      </c>
      <c r="AF23" s="46">
        <f t="shared" si="8"/>
        <v>0</v>
      </c>
      <c r="AG23" s="43">
        <f>SUM(AG15:AG22)</f>
        <v>147</v>
      </c>
      <c r="AX23" s="58"/>
    </row>
    <row r="24" spans="1:50" ht="15.5" x14ac:dyDescent="0.35">
      <c r="A24" s="47" t="s">
        <v>178</v>
      </c>
      <c r="B24" s="52">
        <f>B12+B23</f>
        <v>10</v>
      </c>
      <c r="C24" s="52">
        <f t="shared" ref="C24:AF24" si="9">C12+C23</f>
        <v>9</v>
      </c>
      <c r="D24" s="52">
        <f t="shared" si="9"/>
        <v>7</v>
      </c>
      <c r="E24" s="52">
        <f t="shared" si="9"/>
        <v>8</v>
      </c>
      <c r="F24" s="52">
        <f t="shared" si="9"/>
        <v>11</v>
      </c>
      <c r="G24" s="52">
        <f t="shared" si="9"/>
        <v>11</v>
      </c>
      <c r="H24" s="52">
        <f t="shared" si="9"/>
        <v>12</v>
      </c>
      <c r="I24" s="52">
        <f t="shared" si="9"/>
        <v>11</v>
      </c>
      <c r="J24" s="52">
        <f t="shared" si="9"/>
        <v>14</v>
      </c>
      <c r="K24" s="52">
        <f t="shared" si="9"/>
        <v>13</v>
      </c>
      <c r="L24" s="52">
        <f t="shared" si="9"/>
        <v>11</v>
      </c>
      <c r="M24" s="52">
        <f t="shared" si="9"/>
        <v>7</v>
      </c>
      <c r="N24" s="52">
        <f t="shared" si="9"/>
        <v>13</v>
      </c>
      <c r="O24" s="52">
        <f t="shared" si="9"/>
        <v>11</v>
      </c>
      <c r="P24" s="52">
        <f t="shared" si="9"/>
        <v>9</v>
      </c>
      <c r="Q24" s="52">
        <f t="shared" si="9"/>
        <v>8</v>
      </c>
      <c r="R24" s="52">
        <f t="shared" si="9"/>
        <v>12</v>
      </c>
      <c r="S24" s="52">
        <f t="shared" si="9"/>
        <v>7</v>
      </c>
      <c r="T24" s="52">
        <f t="shared" si="9"/>
        <v>3</v>
      </c>
      <c r="U24" s="52">
        <f t="shared" si="9"/>
        <v>6</v>
      </c>
      <c r="V24" s="52">
        <f t="shared" si="9"/>
        <v>5</v>
      </c>
      <c r="W24" s="52">
        <f t="shared" si="9"/>
        <v>4</v>
      </c>
      <c r="X24" s="52">
        <f t="shared" si="9"/>
        <v>4</v>
      </c>
      <c r="Y24" s="52">
        <f t="shared" si="9"/>
        <v>5</v>
      </c>
      <c r="Z24" s="52">
        <f t="shared" si="9"/>
        <v>3</v>
      </c>
      <c r="AA24" s="52">
        <f t="shared" si="9"/>
        <v>2</v>
      </c>
      <c r="AB24" s="52">
        <f t="shared" si="9"/>
        <v>4</v>
      </c>
      <c r="AC24" s="52">
        <f t="shared" si="9"/>
        <v>6</v>
      </c>
      <c r="AD24" s="52">
        <f t="shared" si="9"/>
        <v>7</v>
      </c>
      <c r="AE24" s="52">
        <f t="shared" si="9"/>
        <v>8</v>
      </c>
      <c r="AF24" s="52">
        <f t="shared" si="9"/>
        <v>0</v>
      </c>
      <c r="AG24" s="49">
        <f>+AG12+AG23</f>
        <v>243</v>
      </c>
      <c r="AX24" s="58"/>
    </row>
    <row r="25" spans="1:50" ht="15.5" x14ac:dyDescent="0.35">
      <c r="A25" s="48" t="s">
        <v>179</v>
      </c>
      <c r="B25" s="42">
        <f>B24*100/15</f>
        <v>66.666666666666671</v>
      </c>
      <c r="C25" s="42">
        <f t="shared" ref="C25:AF25" si="10">C24*100/15</f>
        <v>60</v>
      </c>
      <c r="D25" s="42">
        <f t="shared" si="10"/>
        <v>46.666666666666664</v>
      </c>
      <c r="E25" s="42">
        <f t="shared" si="10"/>
        <v>53.333333333333336</v>
      </c>
      <c r="F25" s="42">
        <f t="shared" si="10"/>
        <v>73.333333333333329</v>
      </c>
      <c r="G25" s="42">
        <f t="shared" si="10"/>
        <v>73.333333333333329</v>
      </c>
      <c r="H25" s="42">
        <f t="shared" si="10"/>
        <v>80</v>
      </c>
      <c r="I25" s="42">
        <f t="shared" si="10"/>
        <v>73.333333333333329</v>
      </c>
      <c r="J25" s="42">
        <f t="shared" si="10"/>
        <v>93.333333333333329</v>
      </c>
      <c r="K25" s="42">
        <f t="shared" si="10"/>
        <v>86.666666666666671</v>
      </c>
      <c r="L25" s="42">
        <f t="shared" si="10"/>
        <v>73.333333333333329</v>
      </c>
      <c r="M25" s="42">
        <f t="shared" si="10"/>
        <v>46.666666666666664</v>
      </c>
      <c r="N25" s="42">
        <f t="shared" si="10"/>
        <v>86.666666666666671</v>
      </c>
      <c r="O25" s="42">
        <f t="shared" si="10"/>
        <v>73.333333333333329</v>
      </c>
      <c r="P25" s="42">
        <f t="shared" si="10"/>
        <v>60</v>
      </c>
      <c r="Q25" s="42">
        <f t="shared" si="10"/>
        <v>53.333333333333336</v>
      </c>
      <c r="R25" s="42">
        <f t="shared" si="10"/>
        <v>80</v>
      </c>
      <c r="S25" s="42">
        <f t="shared" si="10"/>
        <v>46.666666666666664</v>
      </c>
      <c r="T25" s="42">
        <f t="shared" si="10"/>
        <v>20</v>
      </c>
      <c r="U25" s="42">
        <f t="shared" si="10"/>
        <v>40</v>
      </c>
      <c r="V25" s="42">
        <f t="shared" si="10"/>
        <v>33.333333333333336</v>
      </c>
      <c r="W25" s="42">
        <f t="shared" si="10"/>
        <v>26.666666666666668</v>
      </c>
      <c r="X25" s="42">
        <f t="shared" si="10"/>
        <v>26.666666666666668</v>
      </c>
      <c r="Y25" s="42">
        <f t="shared" si="10"/>
        <v>33.333333333333336</v>
      </c>
      <c r="Z25" s="42">
        <f t="shared" si="10"/>
        <v>20</v>
      </c>
      <c r="AA25" s="42">
        <f t="shared" si="10"/>
        <v>13.333333333333334</v>
      </c>
      <c r="AB25" s="42">
        <f t="shared" si="10"/>
        <v>26.666666666666668</v>
      </c>
      <c r="AC25" s="42">
        <f t="shared" si="10"/>
        <v>40</v>
      </c>
      <c r="AD25" s="42">
        <f t="shared" si="10"/>
        <v>46.666666666666664</v>
      </c>
      <c r="AE25" s="42">
        <f t="shared" si="10"/>
        <v>53.333333333333336</v>
      </c>
      <c r="AF25" s="42">
        <f t="shared" si="10"/>
        <v>0</v>
      </c>
      <c r="AG25" s="50">
        <f>AVERAGE(B25:AE25)</f>
        <v>53.55555555555555</v>
      </c>
      <c r="AH25" s="51" t="s">
        <v>180</v>
      </c>
      <c r="AX25" s="58"/>
    </row>
    <row r="26" spans="1:50" x14ac:dyDescent="0.35">
      <c r="AX26" s="58"/>
    </row>
    <row r="27" spans="1:50" x14ac:dyDescent="0.35">
      <c r="AA27" s="132" t="s">
        <v>1119</v>
      </c>
      <c r="AB27" s="133"/>
      <c r="AC27" s="134"/>
    </row>
    <row r="28" spans="1:50" x14ac:dyDescent="0.35">
      <c r="Y28" s="14" t="s">
        <v>1126</v>
      </c>
      <c r="Z28" s="14" t="s">
        <v>1127</v>
      </c>
      <c r="AA28" s="25" t="s">
        <v>1120</v>
      </c>
      <c r="AB28" s="25" t="s">
        <v>939</v>
      </c>
      <c r="AC28" s="25" t="s">
        <v>1121</v>
      </c>
      <c r="AH28" s="35" t="s">
        <v>1122</v>
      </c>
      <c r="AI28" s="114" t="s">
        <v>1032</v>
      </c>
      <c r="AJ28" s="114" t="s">
        <v>1123</v>
      </c>
    </row>
    <row r="29" spans="1:50" x14ac:dyDescent="0.35">
      <c r="Y29" s="115" t="s">
        <v>861</v>
      </c>
      <c r="Z29" s="115" t="s">
        <v>1128</v>
      </c>
      <c r="AA29" s="118" t="s">
        <v>761</v>
      </c>
      <c r="AB29" s="118"/>
      <c r="AC29" s="108" t="s">
        <v>1132</v>
      </c>
      <c r="AH29" s="115" t="s">
        <v>1125</v>
      </c>
      <c r="AI29" s="118" t="s">
        <v>761</v>
      </c>
      <c r="AJ29" s="118" t="s">
        <v>852</v>
      </c>
    </row>
    <row r="30" spans="1:50" x14ac:dyDescent="0.35">
      <c r="R30" s="55"/>
      <c r="Y30" s="115"/>
      <c r="Z30" s="115"/>
      <c r="AA30" s="118" t="s">
        <v>981</v>
      </c>
      <c r="AB30" s="118"/>
      <c r="AC30" s="108" t="s">
        <v>1132</v>
      </c>
      <c r="AH30" s="115" t="s">
        <v>406</v>
      </c>
      <c r="AI30" s="118" t="s">
        <v>981</v>
      </c>
      <c r="AJ30" s="118" t="s">
        <v>1043</v>
      </c>
    </row>
    <row r="31" spans="1:50" x14ac:dyDescent="0.35">
      <c r="C31" s="92"/>
      <c r="Y31" s="115"/>
      <c r="Z31" s="115"/>
      <c r="AA31" s="118"/>
      <c r="AB31" s="108"/>
      <c r="AC31" s="108" t="s">
        <v>1132</v>
      </c>
      <c r="AH31" s="115" t="s">
        <v>1041</v>
      </c>
      <c r="AI31" s="115"/>
      <c r="AJ31" s="118" t="s">
        <v>816</v>
      </c>
    </row>
    <row r="32" spans="1:50" x14ac:dyDescent="0.35">
      <c r="C32" s="92"/>
      <c r="Y32" s="115"/>
      <c r="Z32" s="115"/>
      <c r="AA32" s="118"/>
      <c r="AB32" s="108"/>
      <c r="AC32" s="108" t="s">
        <v>1132</v>
      </c>
      <c r="AH32" s="115"/>
    </row>
    <row r="33" spans="3:35" x14ac:dyDescent="0.35">
      <c r="C33" s="93"/>
      <c r="Y33" s="115"/>
      <c r="Z33" s="115"/>
      <c r="AA33" s="118"/>
      <c r="AB33" s="108"/>
      <c r="AC33" s="108"/>
    </row>
    <row r="34" spans="3:35" x14ac:dyDescent="0.35">
      <c r="C34" s="93"/>
      <c r="AA34" s="118"/>
      <c r="AB34" s="108"/>
      <c r="AC34" s="108"/>
      <c r="AH34" s="83" t="s">
        <v>1124</v>
      </c>
      <c r="AI34" s="83">
        <v>19</v>
      </c>
    </row>
    <row r="35" spans="3:35" x14ac:dyDescent="0.35">
      <c r="C35" s="92"/>
      <c r="AA35" s="118"/>
      <c r="AB35" s="117"/>
      <c r="AC35" s="108"/>
      <c r="AH35" s="119" t="s">
        <v>1129</v>
      </c>
      <c r="AI35" s="119">
        <v>9</v>
      </c>
    </row>
    <row r="36" spans="3:35" x14ac:dyDescent="0.35">
      <c r="C36" s="92"/>
      <c r="AB36" s="116"/>
      <c r="AC36" s="108"/>
      <c r="AH36" s="119" t="s">
        <v>1130</v>
      </c>
      <c r="AI36" s="119">
        <v>3</v>
      </c>
    </row>
    <row r="37" spans="3:35" x14ac:dyDescent="0.35">
      <c r="C37" s="92"/>
    </row>
    <row r="38" spans="3:35" x14ac:dyDescent="0.35">
      <c r="C38" s="92"/>
    </row>
    <row r="39" spans="3:35" x14ac:dyDescent="0.35">
      <c r="C39" s="92"/>
      <c r="AH39" t="s">
        <v>1131</v>
      </c>
      <c r="AI39" s="38">
        <f>SUM(AI34:AI38)</f>
        <v>31</v>
      </c>
    </row>
    <row r="40" spans="3:35" x14ac:dyDescent="0.35">
      <c r="C40" s="92"/>
    </row>
    <row r="41" spans="3:35" x14ac:dyDescent="0.35">
      <c r="C41" s="92"/>
    </row>
    <row r="42" spans="3:35" x14ac:dyDescent="0.35">
      <c r="C42" s="92"/>
    </row>
    <row r="43" spans="3:35" x14ac:dyDescent="0.35">
      <c r="C43" s="92"/>
    </row>
  </sheetData>
  <mergeCells count="3">
    <mergeCell ref="A1:AE1"/>
    <mergeCell ref="AM3:AR3"/>
    <mergeCell ref="AA27:AC27"/>
  </mergeCells>
  <conditionalFormatting sqref="B5:AF11">
    <cfRule type="colorScale" priority="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21:AF22 B18:AA19 B20:AD20 B17:AD17 AF17:AF20 B15:AF16">
    <cfRule type="colorScale" priority="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L13:U14 B13:I14 X13:AH14">
    <cfRule type="colorScale" priority="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R30">
    <cfRule type="colorScale" priority="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B18:AE19">
    <cfRule type="colorScale" priority="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E17">
    <cfRule type="colorScale" priority="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AE20">
    <cfRule type="colorScale" priority="2">
      <colorScale>
        <cfvo type="num" val="1"/>
        <cfvo type="max"/>
        <color theme="4" tint="0.59999389629810485"/>
        <color theme="5" tint="0.59999389629810485"/>
      </colorScale>
    </cfRule>
  </conditionalFormatting>
  <pageMargins left="0.2" right="0.45" top="0.75" bottom="0.75" header="0.3" footer="0.3"/>
  <pageSetup scale="90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7CE04-C535-467B-B644-6E03A77284C1}">
  <dimension ref="A1:AX43"/>
  <sheetViews>
    <sheetView zoomScaleNormal="100" workbookViewId="0">
      <pane xSplit="1" ySplit="4" topLeftCell="T5" activePane="bottomRight" state="frozen"/>
      <selection pane="topRight" activeCell="B1" sqref="B1"/>
      <selection pane="bottomLeft" activeCell="A5" sqref="A5"/>
      <selection pane="bottomRight" activeCell="AF15" sqref="AF15:AF22"/>
    </sheetView>
  </sheetViews>
  <sheetFormatPr defaultRowHeight="14.5" x14ac:dyDescent="0.35"/>
  <cols>
    <col min="1" max="1" width="43.54296875" bestFit="1" customWidth="1"/>
    <col min="2" max="7" width="12.54296875" bestFit="1" customWidth="1"/>
    <col min="8" max="8" width="17.453125" customWidth="1"/>
    <col min="9" max="9" width="13.453125" bestFit="1" customWidth="1"/>
    <col min="10" max="13" width="11.81640625" bestFit="1" customWidth="1"/>
    <col min="14" max="19" width="12.26953125" bestFit="1" customWidth="1"/>
    <col min="20" max="20" width="12.81640625" bestFit="1" customWidth="1"/>
    <col min="21" max="21" width="11.81640625" bestFit="1" customWidth="1"/>
    <col min="22" max="29" width="12.81640625" bestFit="1" customWidth="1"/>
    <col min="30" max="30" width="12.54296875" customWidth="1"/>
    <col min="31" max="31" width="12.7265625" customWidth="1"/>
    <col min="32" max="32" width="16.453125" bestFit="1" customWidth="1"/>
    <col min="33" max="33" width="4.7265625" bestFit="1" customWidth="1"/>
    <col min="34" max="34" width="8.453125" bestFit="1" customWidth="1"/>
    <col min="35" max="35" width="11.54296875" bestFit="1" customWidth="1"/>
    <col min="36" max="36" width="14.1796875" bestFit="1" customWidth="1"/>
    <col min="37" max="37" width="0" hidden="1" customWidth="1"/>
    <col min="38" max="38" width="3" hidden="1" customWidth="1"/>
    <col min="39" max="39" width="17.81640625" bestFit="1" customWidth="1"/>
    <col min="40" max="40" width="9.1796875" bestFit="1" customWidth="1"/>
    <col min="41" max="41" width="9.81640625" bestFit="1" customWidth="1"/>
    <col min="42" max="42" width="10.81640625" bestFit="1" customWidth="1"/>
    <col min="43" max="43" width="10.1796875" bestFit="1" customWidth="1"/>
    <col min="44" max="44" width="23.1796875" bestFit="1" customWidth="1"/>
    <col min="45" max="45" width="0.453125" hidden="1" customWidth="1"/>
    <col min="46" max="49" width="0" hidden="1" customWidth="1"/>
    <col min="51" max="51" width="15" bestFit="1" customWidth="1"/>
  </cols>
  <sheetData>
    <row r="1" spans="1:44" ht="15.5" x14ac:dyDescent="0.35">
      <c r="A1" s="120" t="s">
        <v>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65"/>
    </row>
    <row r="2" spans="1:44" ht="15" thickBot="1" x14ac:dyDescent="0.4"/>
    <row r="3" spans="1:44" ht="45.75" customHeight="1" x14ac:dyDescent="0.35">
      <c r="A3" s="1" t="s">
        <v>1</v>
      </c>
      <c r="B3" s="2">
        <f>AI4</f>
        <v>46143</v>
      </c>
      <c r="C3" s="2">
        <f t="shared" ref="C3:AF3" si="0">B3+1</f>
        <v>46144</v>
      </c>
      <c r="D3" s="2">
        <f t="shared" si="0"/>
        <v>46145</v>
      </c>
      <c r="E3" s="2">
        <f t="shared" si="0"/>
        <v>46146</v>
      </c>
      <c r="F3" s="2">
        <f t="shared" si="0"/>
        <v>46147</v>
      </c>
      <c r="G3" s="2">
        <f t="shared" si="0"/>
        <v>46148</v>
      </c>
      <c r="H3" s="2">
        <f t="shared" si="0"/>
        <v>46149</v>
      </c>
      <c r="I3" s="2">
        <f>H3+1</f>
        <v>46150</v>
      </c>
      <c r="J3" s="2">
        <f t="shared" si="0"/>
        <v>46151</v>
      </c>
      <c r="K3" s="2">
        <f t="shared" si="0"/>
        <v>46152</v>
      </c>
      <c r="L3" s="2">
        <f t="shared" si="0"/>
        <v>46153</v>
      </c>
      <c r="M3" s="2">
        <f t="shared" si="0"/>
        <v>46154</v>
      </c>
      <c r="N3" s="2">
        <f t="shared" si="0"/>
        <v>46155</v>
      </c>
      <c r="O3" s="2">
        <f t="shared" si="0"/>
        <v>46156</v>
      </c>
      <c r="P3" s="2">
        <f t="shared" si="0"/>
        <v>46157</v>
      </c>
      <c r="Q3" s="2">
        <f t="shared" si="0"/>
        <v>46158</v>
      </c>
      <c r="R3" s="2">
        <f t="shared" si="0"/>
        <v>46159</v>
      </c>
      <c r="S3" s="2">
        <f t="shared" si="0"/>
        <v>46160</v>
      </c>
      <c r="T3" s="2">
        <f t="shared" si="0"/>
        <v>46161</v>
      </c>
      <c r="U3" s="2">
        <f t="shared" si="0"/>
        <v>46162</v>
      </c>
      <c r="V3" s="2">
        <f t="shared" si="0"/>
        <v>46163</v>
      </c>
      <c r="W3" s="2">
        <f t="shared" si="0"/>
        <v>46164</v>
      </c>
      <c r="X3" s="2">
        <f t="shared" si="0"/>
        <v>46165</v>
      </c>
      <c r="Y3" s="2">
        <f t="shared" si="0"/>
        <v>46166</v>
      </c>
      <c r="Z3" s="2">
        <f t="shared" si="0"/>
        <v>46167</v>
      </c>
      <c r="AA3" s="2">
        <f t="shared" si="0"/>
        <v>46168</v>
      </c>
      <c r="AB3" s="2">
        <f t="shared" si="0"/>
        <v>46169</v>
      </c>
      <c r="AC3" s="2">
        <f t="shared" si="0"/>
        <v>46170</v>
      </c>
      <c r="AD3" s="2">
        <f t="shared" si="0"/>
        <v>46171</v>
      </c>
      <c r="AE3" s="2">
        <f t="shared" si="0"/>
        <v>46172</v>
      </c>
      <c r="AF3" s="2">
        <f t="shared" si="0"/>
        <v>46173</v>
      </c>
      <c r="AG3" s="36"/>
      <c r="AH3" s="36"/>
      <c r="AM3" s="122" t="s">
        <v>267</v>
      </c>
      <c r="AN3" s="123"/>
      <c r="AO3" s="123"/>
      <c r="AP3" s="123"/>
      <c r="AQ3" s="123"/>
      <c r="AR3" s="124"/>
    </row>
    <row r="4" spans="1:44" ht="31.5" customHeight="1" x14ac:dyDescent="0.35">
      <c r="A4" s="3" t="s">
        <v>2</v>
      </c>
      <c r="B4" s="4">
        <f t="shared" ref="B4:AF4" si="1">B3</f>
        <v>46143</v>
      </c>
      <c r="C4" s="4">
        <f t="shared" si="1"/>
        <v>46144</v>
      </c>
      <c r="D4" s="4">
        <f t="shared" si="1"/>
        <v>46145</v>
      </c>
      <c r="E4" s="4">
        <f t="shared" si="1"/>
        <v>46146</v>
      </c>
      <c r="F4" s="4">
        <f t="shared" si="1"/>
        <v>46147</v>
      </c>
      <c r="G4" s="4">
        <f t="shared" si="1"/>
        <v>46148</v>
      </c>
      <c r="H4" s="4">
        <f t="shared" si="1"/>
        <v>46149</v>
      </c>
      <c r="I4" s="4">
        <f t="shared" si="1"/>
        <v>46150</v>
      </c>
      <c r="J4" s="4">
        <f t="shared" si="1"/>
        <v>46151</v>
      </c>
      <c r="K4" s="4">
        <f t="shared" si="1"/>
        <v>46152</v>
      </c>
      <c r="L4" s="4">
        <f t="shared" si="1"/>
        <v>46153</v>
      </c>
      <c r="M4" s="4">
        <f t="shared" si="1"/>
        <v>46154</v>
      </c>
      <c r="N4" s="4">
        <f t="shared" si="1"/>
        <v>46155</v>
      </c>
      <c r="O4" s="4">
        <f t="shared" si="1"/>
        <v>46156</v>
      </c>
      <c r="P4" s="4">
        <f t="shared" si="1"/>
        <v>46157</v>
      </c>
      <c r="Q4" s="4">
        <f t="shared" si="1"/>
        <v>46158</v>
      </c>
      <c r="R4" s="4">
        <f t="shared" si="1"/>
        <v>46159</v>
      </c>
      <c r="S4" s="4">
        <f t="shared" si="1"/>
        <v>46160</v>
      </c>
      <c r="T4" s="4">
        <f t="shared" si="1"/>
        <v>46161</v>
      </c>
      <c r="U4" s="4">
        <f t="shared" si="1"/>
        <v>46162</v>
      </c>
      <c r="V4" s="4">
        <f t="shared" si="1"/>
        <v>46163</v>
      </c>
      <c r="W4" s="4">
        <f t="shared" si="1"/>
        <v>46164</v>
      </c>
      <c r="X4" s="4">
        <f t="shared" si="1"/>
        <v>46165</v>
      </c>
      <c r="Y4" s="4">
        <f t="shared" si="1"/>
        <v>46166</v>
      </c>
      <c r="Z4" s="4">
        <f t="shared" si="1"/>
        <v>46167</v>
      </c>
      <c r="AA4" s="4">
        <f t="shared" si="1"/>
        <v>46168</v>
      </c>
      <c r="AB4" s="4">
        <f t="shared" si="1"/>
        <v>46169</v>
      </c>
      <c r="AC4" s="4">
        <f t="shared" si="1"/>
        <v>46170</v>
      </c>
      <c r="AD4" s="4">
        <f t="shared" si="1"/>
        <v>46171</v>
      </c>
      <c r="AE4" s="4">
        <f t="shared" si="1"/>
        <v>46172</v>
      </c>
      <c r="AF4" s="4">
        <f t="shared" si="1"/>
        <v>46173</v>
      </c>
      <c r="AG4" s="39" t="s">
        <v>174</v>
      </c>
      <c r="AH4" s="40" t="s">
        <v>175</v>
      </c>
      <c r="AI4" s="5">
        <v>46143</v>
      </c>
      <c r="AJ4" s="6">
        <f>EOMONTH(AI4,0)</f>
        <v>46173</v>
      </c>
      <c r="AM4" s="19" t="s">
        <v>54</v>
      </c>
      <c r="AN4" s="19" t="s">
        <v>269</v>
      </c>
      <c r="AO4" s="19" t="s">
        <v>55</v>
      </c>
      <c r="AP4" s="19" t="s">
        <v>56</v>
      </c>
      <c r="AQ4" s="19" t="s">
        <v>251</v>
      </c>
      <c r="AR4" s="19" t="s">
        <v>57</v>
      </c>
    </row>
    <row r="5" spans="1:44" x14ac:dyDescent="0.35">
      <c r="A5" s="7" t="s">
        <v>3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 t="s">
        <v>1174</v>
      </c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41">
        <f>COUNTA(B5:AF5)</f>
        <v>1</v>
      </c>
      <c r="AH5" s="42">
        <f>AG5*100/28</f>
        <v>3.5714285714285716</v>
      </c>
      <c r="AM5" s="20"/>
      <c r="AN5" s="56"/>
      <c r="AO5" s="56"/>
      <c r="AP5" s="56"/>
      <c r="AQ5" s="57"/>
      <c r="AR5" s="20"/>
    </row>
    <row r="6" spans="1:44" x14ac:dyDescent="0.35">
      <c r="A6" s="7" t="s">
        <v>7</v>
      </c>
      <c r="B6" s="55" t="s">
        <v>1085</v>
      </c>
      <c r="C6" s="55" t="s">
        <v>1085</v>
      </c>
      <c r="D6" s="55" t="s">
        <v>1085</v>
      </c>
      <c r="E6" s="55" t="s">
        <v>1085</v>
      </c>
      <c r="F6" s="55" t="s">
        <v>1085</v>
      </c>
      <c r="G6" s="55" t="s">
        <v>1085</v>
      </c>
      <c r="H6" s="55" t="s">
        <v>1085</v>
      </c>
      <c r="I6" s="55" t="s">
        <v>1085</v>
      </c>
      <c r="J6" s="55" t="s">
        <v>1085</v>
      </c>
      <c r="K6" s="55" t="s">
        <v>1085</v>
      </c>
      <c r="L6" s="55" t="s">
        <v>1085</v>
      </c>
      <c r="M6" s="55" t="s">
        <v>1085</v>
      </c>
      <c r="N6" s="55" t="s">
        <v>1085</v>
      </c>
      <c r="O6" s="55" t="s">
        <v>1085</v>
      </c>
      <c r="P6" s="55" t="s">
        <v>1085</v>
      </c>
      <c r="Q6" s="55" t="s">
        <v>1085</v>
      </c>
      <c r="R6" s="55" t="s">
        <v>1085</v>
      </c>
      <c r="S6" s="55" t="s">
        <v>1085</v>
      </c>
      <c r="T6" s="55" t="s">
        <v>1085</v>
      </c>
      <c r="U6" s="55" t="s">
        <v>1085</v>
      </c>
      <c r="V6" s="55" t="s">
        <v>1085</v>
      </c>
      <c r="W6" s="55" t="s">
        <v>1085</v>
      </c>
      <c r="X6" s="55" t="s">
        <v>1085</v>
      </c>
      <c r="Y6" s="55" t="s">
        <v>1085</v>
      </c>
      <c r="Z6" s="55" t="s">
        <v>1085</v>
      </c>
      <c r="AA6" s="55" t="s">
        <v>1085</v>
      </c>
      <c r="AB6" s="55" t="s">
        <v>1085</v>
      </c>
      <c r="AC6" s="55" t="s">
        <v>1085</v>
      </c>
      <c r="AD6" s="55" t="s">
        <v>1085</v>
      </c>
      <c r="AE6" s="55" t="s">
        <v>1085</v>
      </c>
      <c r="AF6" s="55" t="s">
        <v>1085</v>
      </c>
      <c r="AG6" s="41">
        <f t="shared" ref="AG6:AG11" si="2">COUNTA(B6:AF6)</f>
        <v>31</v>
      </c>
      <c r="AH6" s="42">
        <f t="shared" ref="AH6:AH11" si="3">AG6*100/28</f>
        <v>110.71428571428571</v>
      </c>
      <c r="AM6" s="20"/>
      <c r="AN6" s="56"/>
      <c r="AO6" s="56"/>
      <c r="AP6" s="56"/>
      <c r="AQ6" s="57"/>
      <c r="AR6" s="20"/>
    </row>
    <row r="7" spans="1:44" x14ac:dyDescent="0.35">
      <c r="A7" s="7" t="s">
        <v>11</v>
      </c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 t="s">
        <v>769</v>
      </c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41">
        <f t="shared" si="2"/>
        <v>1</v>
      </c>
      <c r="AH7" s="42">
        <f t="shared" si="3"/>
        <v>3.5714285714285716</v>
      </c>
      <c r="AM7" s="20"/>
      <c r="AN7" s="56"/>
      <c r="AO7" s="56"/>
      <c r="AP7" s="56"/>
      <c r="AQ7" s="57"/>
      <c r="AR7" s="20"/>
    </row>
    <row r="8" spans="1:44" ht="15" customHeight="1" x14ac:dyDescent="0.35">
      <c r="A8" s="113" t="s">
        <v>15</v>
      </c>
      <c r="B8" s="55"/>
      <c r="C8" s="55"/>
      <c r="D8" s="55" t="s">
        <v>1178</v>
      </c>
      <c r="E8" s="55" t="s">
        <v>1178</v>
      </c>
      <c r="F8" s="55"/>
      <c r="G8" s="55"/>
      <c r="H8" s="55"/>
      <c r="I8" s="55"/>
      <c r="J8" s="55"/>
      <c r="K8" s="55" t="s">
        <v>1125</v>
      </c>
      <c r="L8" s="55" t="s">
        <v>1125</v>
      </c>
      <c r="M8" s="55" t="s">
        <v>1125</v>
      </c>
      <c r="N8" s="55" t="s">
        <v>1125</v>
      </c>
      <c r="O8" s="55" t="s">
        <v>1125</v>
      </c>
      <c r="P8" s="55" t="s">
        <v>1125</v>
      </c>
      <c r="Q8" s="55"/>
      <c r="R8" s="55"/>
      <c r="S8" s="55"/>
      <c r="T8" s="55"/>
      <c r="U8" s="55"/>
      <c r="V8" s="55" t="s">
        <v>237</v>
      </c>
      <c r="W8" s="55"/>
      <c r="X8" s="55"/>
      <c r="Y8" s="55"/>
      <c r="Z8" s="55" t="s">
        <v>1180</v>
      </c>
      <c r="AA8" s="55" t="s">
        <v>1180</v>
      </c>
      <c r="AB8" s="55" t="s">
        <v>1180</v>
      </c>
      <c r="AC8" s="55"/>
      <c r="AD8" s="55"/>
      <c r="AE8" s="55"/>
      <c r="AF8" s="55"/>
      <c r="AG8" s="41">
        <f t="shared" si="2"/>
        <v>12</v>
      </c>
      <c r="AH8" s="42">
        <f t="shared" si="3"/>
        <v>42.857142857142854</v>
      </c>
      <c r="AK8" s="9"/>
      <c r="AM8" s="20"/>
      <c r="AN8" s="56"/>
      <c r="AO8" s="56"/>
      <c r="AP8" s="56"/>
      <c r="AQ8" s="57"/>
      <c r="AR8" s="20"/>
    </row>
    <row r="9" spans="1:44" ht="15.75" customHeight="1" x14ac:dyDescent="0.35">
      <c r="A9" s="7" t="s">
        <v>18</v>
      </c>
      <c r="B9" s="55"/>
      <c r="C9" s="55"/>
      <c r="D9" s="55" t="s">
        <v>1178</v>
      </c>
      <c r="E9" s="55" t="s">
        <v>1178</v>
      </c>
      <c r="F9" s="55"/>
      <c r="G9" s="55"/>
      <c r="H9" s="55"/>
      <c r="I9" s="55"/>
      <c r="J9" s="55"/>
      <c r="K9" s="8" t="s">
        <v>310</v>
      </c>
      <c r="L9" s="8" t="s">
        <v>310</v>
      </c>
      <c r="M9" s="8" t="s">
        <v>310</v>
      </c>
      <c r="N9" s="55"/>
      <c r="O9" s="55"/>
      <c r="P9" s="55" t="s">
        <v>1142</v>
      </c>
      <c r="Q9" s="55" t="s">
        <v>1142</v>
      </c>
      <c r="R9" s="55"/>
      <c r="S9" s="55"/>
      <c r="T9" s="55"/>
      <c r="U9" s="55"/>
      <c r="V9" s="55" t="s">
        <v>1181</v>
      </c>
      <c r="W9" s="55" t="s">
        <v>1181</v>
      </c>
      <c r="X9" s="55" t="s">
        <v>1181</v>
      </c>
      <c r="Y9" s="55"/>
      <c r="Z9" s="55"/>
      <c r="AA9" s="55"/>
      <c r="AB9" s="55"/>
      <c r="AC9" s="55"/>
      <c r="AD9" s="55"/>
      <c r="AE9" s="55"/>
      <c r="AF9" s="55"/>
      <c r="AG9" s="41">
        <f t="shared" si="2"/>
        <v>10</v>
      </c>
      <c r="AH9" s="42">
        <f t="shared" si="3"/>
        <v>35.714285714285715</v>
      </c>
      <c r="AM9" s="20"/>
      <c r="AN9" s="56"/>
      <c r="AO9" s="56"/>
      <c r="AP9" s="56"/>
      <c r="AQ9" s="57"/>
      <c r="AR9" s="20"/>
    </row>
    <row r="10" spans="1:44" ht="15.75" customHeight="1" x14ac:dyDescent="0.35">
      <c r="A10" s="113" t="s">
        <v>20</v>
      </c>
      <c r="B10" s="55"/>
      <c r="C10" s="55"/>
      <c r="D10" s="55" t="s">
        <v>1178</v>
      </c>
      <c r="E10" s="55" t="s">
        <v>1178</v>
      </c>
      <c r="F10" s="55"/>
      <c r="G10" s="55"/>
      <c r="H10" s="55"/>
      <c r="I10" s="55"/>
      <c r="J10" s="55"/>
      <c r="K10" s="8" t="s">
        <v>310</v>
      </c>
      <c r="L10" s="8" t="s">
        <v>310</v>
      </c>
      <c r="M10" s="8" t="s">
        <v>310</v>
      </c>
      <c r="N10" s="55"/>
      <c r="O10" s="8"/>
      <c r="P10" s="8" t="s">
        <v>361</v>
      </c>
      <c r="Q10" s="55"/>
      <c r="R10" s="55"/>
      <c r="S10" s="55"/>
      <c r="T10" s="55"/>
      <c r="U10" s="55"/>
      <c r="V10" s="55" t="s">
        <v>1181</v>
      </c>
      <c r="W10" s="55" t="s">
        <v>1181</v>
      </c>
      <c r="X10" s="55" t="s">
        <v>1181</v>
      </c>
      <c r="Y10" s="55"/>
      <c r="Z10" s="55" t="s">
        <v>1180</v>
      </c>
      <c r="AA10" s="55" t="s">
        <v>1180</v>
      </c>
      <c r="AB10" s="55" t="s">
        <v>1180</v>
      </c>
      <c r="AC10" s="55"/>
      <c r="AD10" s="55"/>
      <c r="AE10" s="55"/>
      <c r="AF10" s="55"/>
      <c r="AG10" s="41">
        <f t="shared" si="2"/>
        <v>12</v>
      </c>
      <c r="AH10" s="42">
        <f t="shared" si="3"/>
        <v>42.857142857142854</v>
      </c>
      <c r="AM10" s="20"/>
      <c r="AN10" s="56"/>
      <c r="AO10" s="56"/>
      <c r="AP10" s="56"/>
      <c r="AQ10" s="57"/>
      <c r="AR10" s="20"/>
    </row>
    <row r="11" spans="1:44" ht="15.75" customHeight="1" thickBot="1" x14ac:dyDescent="0.4">
      <c r="A11" s="7" t="s">
        <v>24</v>
      </c>
      <c r="B11" s="55"/>
      <c r="C11" s="55"/>
      <c r="D11" s="55" t="s">
        <v>1178</v>
      </c>
      <c r="E11" s="55" t="s">
        <v>1178</v>
      </c>
      <c r="F11" s="55"/>
      <c r="G11" s="55"/>
      <c r="H11" s="55"/>
      <c r="I11" s="55"/>
      <c r="J11" s="55"/>
      <c r="K11" s="8" t="s">
        <v>310</v>
      </c>
      <c r="L11" s="8" t="s">
        <v>310</v>
      </c>
      <c r="M11" s="8" t="s">
        <v>310</v>
      </c>
      <c r="N11" s="55"/>
      <c r="O11" s="55" t="s">
        <v>1183</v>
      </c>
      <c r="P11" s="55" t="s">
        <v>1183</v>
      </c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41">
        <f t="shared" si="2"/>
        <v>7</v>
      </c>
      <c r="AH11" s="42">
        <f t="shared" si="3"/>
        <v>25</v>
      </c>
      <c r="AM11" s="20"/>
      <c r="AN11" s="56"/>
      <c r="AO11" s="56"/>
      <c r="AP11" s="56"/>
      <c r="AQ11" s="57"/>
      <c r="AR11" s="20"/>
    </row>
    <row r="12" spans="1:44" ht="15" customHeight="1" x14ac:dyDescent="0.35">
      <c r="A12" s="45" t="s">
        <v>176</v>
      </c>
      <c r="B12" s="46">
        <f>COUNTA(B5:B11)</f>
        <v>1</v>
      </c>
      <c r="C12" s="46">
        <f>COUNTA(C5:C11)</f>
        <v>1</v>
      </c>
      <c r="D12" s="46">
        <f t="shared" ref="D12:AF12" si="4">COUNTA(D5:D11)</f>
        <v>5</v>
      </c>
      <c r="E12" s="46">
        <f t="shared" si="4"/>
        <v>5</v>
      </c>
      <c r="F12" s="46">
        <f t="shared" si="4"/>
        <v>1</v>
      </c>
      <c r="G12" s="46">
        <f t="shared" si="4"/>
        <v>1</v>
      </c>
      <c r="H12" s="46">
        <f t="shared" si="4"/>
        <v>1</v>
      </c>
      <c r="I12" s="46">
        <f t="shared" si="4"/>
        <v>1</v>
      </c>
      <c r="J12" s="46">
        <f t="shared" si="4"/>
        <v>1</v>
      </c>
      <c r="K12" s="46">
        <f t="shared" si="4"/>
        <v>5</v>
      </c>
      <c r="L12" s="46">
        <f t="shared" si="4"/>
        <v>5</v>
      </c>
      <c r="M12" s="46">
        <f t="shared" si="4"/>
        <v>7</v>
      </c>
      <c r="N12" s="46">
        <f t="shared" si="4"/>
        <v>2</v>
      </c>
      <c r="O12" s="46">
        <f t="shared" si="4"/>
        <v>3</v>
      </c>
      <c r="P12" s="46">
        <f t="shared" si="4"/>
        <v>5</v>
      </c>
      <c r="Q12" s="46">
        <f t="shared" si="4"/>
        <v>2</v>
      </c>
      <c r="R12" s="46">
        <f t="shared" si="4"/>
        <v>1</v>
      </c>
      <c r="S12" s="46">
        <f t="shared" si="4"/>
        <v>1</v>
      </c>
      <c r="T12" s="46">
        <f t="shared" si="4"/>
        <v>1</v>
      </c>
      <c r="U12" s="46">
        <f t="shared" si="4"/>
        <v>1</v>
      </c>
      <c r="V12" s="46">
        <f t="shared" si="4"/>
        <v>4</v>
      </c>
      <c r="W12" s="46">
        <f t="shared" si="4"/>
        <v>3</v>
      </c>
      <c r="X12" s="46">
        <f t="shared" si="4"/>
        <v>3</v>
      </c>
      <c r="Y12" s="46">
        <f t="shared" si="4"/>
        <v>1</v>
      </c>
      <c r="Z12" s="46">
        <f t="shared" si="4"/>
        <v>3</v>
      </c>
      <c r="AA12" s="46">
        <f t="shared" si="4"/>
        <v>3</v>
      </c>
      <c r="AB12" s="46">
        <f t="shared" si="4"/>
        <v>3</v>
      </c>
      <c r="AC12" s="46">
        <f>COUNTA(AC5:AC11)</f>
        <v>1</v>
      </c>
      <c r="AD12" s="46">
        <f>COUNTA(AD5:AD11)</f>
        <v>1</v>
      </c>
      <c r="AE12" s="46">
        <f>COUNTA(AE5:AE11)</f>
        <v>1</v>
      </c>
      <c r="AF12" s="46">
        <f t="shared" si="4"/>
        <v>1</v>
      </c>
      <c r="AG12" s="43">
        <f t="shared" ref="AG12" si="5">SUM(AG5:AG11)</f>
        <v>74</v>
      </c>
      <c r="AH12" s="44">
        <f>AVERAGE(AH5:AH11)</f>
        <v>37.755102040816325</v>
      </c>
      <c r="AI12" s="29"/>
      <c r="AM12" s="20"/>
      <c r="AN12" s="20"/>
      <c r="AO12" s="20"/>
      <c r="AP12" s="20"/>
      <c r="AQ12" s="20"/>
      <c r="AR12" s="20"/>
    </row>
    <row r="13" spans="1:44" ht="85.5" hidden="1" x14ac:dyDescent="0.35">
      <c r="A13" s="13" t="s">
        <v>28</v>
      </c>
      <c r="B13" s="14"/>
      <c r="C13" s="14"/>
      <c r="D13" s="14"/>
      <c r="E13" s="14"/>
      <c r="F13" s="14"/>
      <c r="G13" s="14"/>
      <c r="H13" s="14"/>
      <c r="I13" s="35"/>
      <c r="J13" s="34"/>
      <c r="K13" s="15"/>
      <c r="L13" s="14"/>
      <c r="M13" s="14"/>
      <c r="N13" s="25"/>
      <c r="O13" s="25"/>
      <c r="P13" s="25"/>
      <c r="Q13" s="14"/>
      <c r="R13" s="14"/>
      <c r="S13" s="14"/>
      <c r="T13" s="14"/>
      <c r="U13" s="14"/>
      <c r="V13" s="15"/>
      <c r="W13" s="15"/>
      <c r="X13" s="14"/>
      <c r="Y13" s="14"/>
      <c r="Z13" s="14"/>
      <c r="AA13" s="14"/>
      <c r="AB13" s="14"/>
      <c r="AC13" s="14"/>
      <c r="AD13" s="14"/>
      <c r="AE13" s="14"/>
      <c r="AF13" s="14"/>
      <c r="AG13" s="37"/>
      <c r="AH13" s="37"/>
      <c r="AM13" s="20"/>
      <c r="AN13" s="20"/>
      <c r="AO13" s="20"/>
      <c r="AP13" s="20"/>
      <c r="AQ13" s="20"/>
      <c r="AR13" s="20"/>
    </row>
    <row r="14" spans="1:44" ht="28.5" hidden="1" x14ac:dyDescent="0.35">
      <c r="A14" s="16" t="s">
        <v>29</v>
      </c>
      <c r="B14" s="14"/>
      <c r="C14" s="14"/>
      <c r="D14" s="14"/>
      <c r="E14" s="14"/>
      <c r="F14" s="14"/>
      <c r="G14" s="14"/>
      <c r="H14" s="14"/>
      <c r="I14" s="35"/>
      <c r="J14" s="34"/>
      <c r="K14" s="15"/>
      <c r="L14" s="14"/>
      <c r="M14" s="14"/>
      <c r="N14" s="25"/>
      <c r="O14" s="25"/>
      <c r="P14" s="25"/>
      <c r="Q14" s="14"/>
      <c r="R14" s="14"/>
      <c r="S14" s="14"/>
      <c r="T14" s="14"/>
      <c r="U14" s="14"/>
      <c r="V14" s="15"/>
      <c r="W14" s="15"/>
      <c r="X14" s="14"/>
      <c r="Y14" s="14"/>
      <c r="Z14" s="14"/>
      <c r="AA14" s="14"/>
      <c r="AB14" s="14"/>
      <c r="AC14" s="14"/>
      <c r="AD14" s="14"/>
      <c r="AE14" s="14"/>
      <c r="AF14" s="14"/>
      <c r="AG14" s="37"/>
      <c r="AH14" s="37"/>
      <c r="AM14" s="20"/>
      <c r="AN14" s="20"/>
      <c r="AO14" s="20"/>
      <c r="AP14" s="20"/>
      <c r="AQ14" s="20"/>
      <c r="AR14" s="20"/>
    </row>
    <row r="15" spans="1:44" x14ac:dyDescent="0.35">
      <c r="A15" s="7" t="s">
        <v>30</v>
      </c>
      <c r="B15" s="8" t="s">
        <v>651</v>
      </c>
      <c r="C15" s="8" t="s">
        <v>651</v>
      </c>
      <c r="D15" s="8" t="s">
        <v>651</v>
      </c>
      <c r="E15" s="8" t="s">
        <v>651</v>
      </c>
      <c r="F15" s="8"/>
      <c r="G15" s="8"/>
      <c r="H15" s="8"/>
      <c r="I15" s="8"/>
      <c r="J15" s="8"/>
      <c r="K15" s="8"/>
      <c r="L15" s="8" t="s">
        <v>34</v>
      </c>
      <c r="M15" s="8" t="s">
        <v>34</v>
      </c>
      <c r="N15" s="8"/>
      <c r="O15" s="8" t="s">
        <v>25</v>
      </c>
      <c r="P15" s="8"/>
      <c r="Q15" s="8" t="s">
        <v>25</v>
      </c>
      <c r="R15" s="8" t="s">
        <v>25</v>
      </c>
      <c r="S15" s="8" t="s">
        <v>25</v>
      </c>
      <c r="T15" s="8" t="s">
        <v>25</v>
      </c>
      <c r="U15" s="8"/>
      <c r="V15" s="8" t="s">
        <v>237</v>
      </c>
      <c r="W15" s="8"/>
      <c r="X15" s="8"/>
      <c r="Y15" s="8"/>
      <c r="Z15" s="8"/>
      <c r="AA15" s="8"/>
      <c r="AB15" s="8"/>
      <c r="AC15" s="8"/>
      <c r="AD15" s="8"/>
      <c r="AE15" s="8"/>
      <c r="AF15" s="8"/>
      <c r="AG15" s="41">
        <f>COUNTA(B15:AF15)</f>
        <v>12</v>
      </c>
      <c r="AH15" s="42">
        <f>AG15*100/28</f>
        <v>42.857142857142854</v>
      </c>
      <c r="AM15" s="20"/>
      <c r="AN15" s="20"/>
      <c r="AO15" s="20"/>
      <c r="AP15" s="20"/>
      <c r="AQ15" s="20"/>
      <c r="AR15" s="20"/>
    </row>
    <row r="16" spans="1:44" x14ac:dyDescent="0.35">
      <c r="A16" s="113" t="s">
        <v>35</v>
      </c>
      <c r="B16" s="8"/>
      <c r="C16" s="8"/>
      <c r="D16" s="55" t="s">
        <v>1178</v>
      </c>
      <c r="E16" s="55" t="s">
        <v>1178</v>
      </c>
      <c r="F16" s="8"/>
      <c r="G16" s="8"/>
      <c r="H16" s="8"/>
      <c r="I16" s="8"/>
      <c r="J16" s="8"/>
      <c r="K16" s="8"/>
      <c r="L16" s="8" t="s">
        <v>668</v>
      </c>
      <c r="M16" s="8" t="s">
        <v>668</v>
      </c>
      <c r="N16" s="8"/>
      <c r="O16" s="8" t="s">
        <v>1184</v>
      </c>
      <c r="P16" s="8" t="s">
        <v>1184</v>
      </c>
      <c r="Q16" s="8" t="s">
        <v>1182</v>
      </c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41">
        <f t="shared" ref="AG16:AG22" si="6">COUNTA(B16:AF16)</f>
        <v>7</v>
      </c>
      <c r="AH16" s="42">
        <f>AG16*100/28</f>
        <v>25</v>
      </c>
      <c r="AM16" s="20"/>
      <c r="AN16" s="20"/>
      <c r="AO16" s="56"/>
      <c r="AP16" s="56"/>
      <c r="AQ16" s="20"/>
      <c r="AR16" s="20"/>
    </row>
    <row r="17" spans="1:50" x14ac:dyDescent="0.35">
      <c r="A17" s="7" t="s">
        <v>39</v>
      </c>
      <c r="B17" s="8" t="s">
        <v>1177</v>
      </c>
      <c r="C17" s="8" t="s">
        <v>1177</v>
      </c>
      <c r="D17" s="8" t="s">
        <v>1177</v>
      </c>
      <c r="E17" s="8" t="s">
        <v>1177</v>
      </c>
      <c r="F17" s="8" t="s">
        <v>1177</v>
      </c>
      <c r="G17" s="8" t="s">
        <v>1177</v>
      </c>
      <c r="H17" s="8" t="s">
        <v>1177</v>
      </c>
      <c r="I17" s="8" t="s">
        <v>1177</v>
      </c>
      <c r="J17" s="8"/>
      <c r="K17" s="8" t="s">
        <v>361</v>
      </c>
      <c r="L17" s="8" t="s">
        <v>310</v>
      </c>
      <c r="M17" s="8" t="s">
        <v>310</v>
      </c>
      <c r="N17" s="8"/>
      <c r="O17" s="8"/>
      <c r="P17" s="8"/>
      <c r="Q17" s="8" t="s">
        <v>361</v>
      </c>
      <c r="R17" s="8" t="s">
        <v>361</v>
      </c>
      <c r="S17" s="8" t="s">
        <v>361</v>
      </c>
      <c r="T17" s="8" t="s">
        <v>361</v>
      </c>
      <c r="U17" s="8" t="s">
        <v>361</v>
      </c>
      <c r="V17" s="8" t="s">
        <v>361</v>
      </c>
      <c r="W17" s="8" t="s">
        <v>361</v>
      </c>
      <c r="X17" s="8" t="s">
        <v>361</v>
      </c>
      <c r="Y17" s="8" t="s">
        <v>361</v>
      </c>
      <c r="Z17" s="8" t="s">
        <v>361</v>
      </c>
      <c r="AA17" s="8" t="s">
        <v>361</v>
      </c>
      <c r="AB17" s="8" t="s">
        <v>361</v>
      </c>
      <c r="AC17" s="8" t="s">
        <v>361</v>
      </c>
      <c r="AD17" s="8" t="s">
        <v>361</v>
      </c>
      <c r="AE17" s="8" t="s">
        <v>361</v>
      </c>
      <c r="AF17" s="8" t="s">
        <v>361</v>
      </c>
      <c r="AG17" s="41">
        <f t="shared" si="6"/>
        <v>27</v>
      </c>
      <c r="AH17" s="42">
        <f t="shared" ref="AH17:AH22" si="7">AG17*100/28</f>
        <v>96.428571428571431</v>
      </c>
      <c r="AM17" s="20"/>
      <c r="AN17" s="20"/>
      <c r="AO17" s="20"/>
      <c r="AP17" s="20"/>
      <c r="AQ17" s="20"/>
      <c r="AR17" s="20"/>
      <c r="AX17" s="58"/>
    </row>
    <row r="18" spans="1:50" x14ac:dyDescent="0.35">
      <c r="A18" s="113" t="s">
        <v>42</v>
      </c>
      <c r="B18" s="8" t="s">
        <v>1105</v>
      </c>
      <c r="C18" s="8" t="s">
        <v>365</v>
      </c>
      <c r="D18" s="8" t="s">
        <v>365</v>
      </c>
      <c r="E18" s="8" t="s">
        <v>365</v>
      </c>
      <c r="F18" s="8"/>
      <c r="G18" s="8"/>
      <c r="H18" s="8"/>
      <c r="I18" s="8" t="s">
        <v>1175</v>
      </c>
      <c r="J18" s="8"/>
      <c r="K18" s="8"/>
      <c r="L18" s="8" t="s">
        <v>34</v>
      </c>
      <c r="M18" s="8"/>
      <c r="N18" s="8"/>
      <c r="O18" s="8" t="s">
        <v>1184</v>
      </c>
      <c r="P18" s="8" t="s">
        <v>1184</v>
      </c>
      <c r="Q18" s="8"/>
      <c r="R18" s="8"/>
      <c r="S18" s="8"/>
      <c r="T18" s="8"/>
      <c r="U18" s="8"/>
      <c r="V18" s="8"/>
      <c r="W18" s="8" t="s">
        <v>1062</v>
      </c>
      <c r="X18" s="8" t="s">
        <v>1062</v>
      </c>
      <c r="Y18" s="8" t="s">
        <v>1062</v>
      </c>
      <c r="Z18" s="8" t="s">
        <v>1062</v>
      </c>
      <c r="AA18" s="8" t="s">
        <v>1062</v>
      </c>
      <c r="AB18" s="8" t="s">
        <v>1062</v>
      </c>
      <c r="AC18" s="8"/>
      <c r="AD18" s="8"/>
      <c r="AE18" s="8"/>
      <c r="AF18" s="8"/>
      <c r="AG18" s="41">
        <f t="shared" si="6"/>
        <v>14</v>
      </c>
      <c r="AH18" s="42">
        <f t="shared" si="7"/>
        <v>50</v>
      </c>
      <c r="AM18" s="20"/>
      <c r="AN18" s="20"/>
      <c r="AO18" s="20"/>
      <c r="AP18" s="20"/>
      <c r="AQ18" s="20"/>
      <c r="AR18" s="20"/>
      <c r="AX18" s="58"/>
    </row>
    <row r="19" spans="1:50" x14ac:dyDescent="0.35">
      <c r="A19" s="7" t="s">
        <v>45</v>
      </c>
      <c r="B19" s="8" t="s">
        <v>1105</v>
      </c>
      <c r="C19" s="8" t="s">
        <v>365</v>
      </c>
      <c r="D19" s="8" t="s">
        <v>365</v>
      </c>
      <c r="E19" s="8" t="s">
        <v>365</v>
      </c>
      <c r="F19" s="8"/>
      <c r="G19" s="8"/>
      <c r="H19" s="8"/>
      <c r="I19" s="8"/>
      <c r="J19" s="8" t="s">
        <v>65</v>
      </c>
      <c r="K19" s="8" t="s">
        <v>65</v>
      </c>
      <c r="L19" s="8" t="s">
        <v>65</v>
      </c>
      <c r="M19" s="8" t="s">
        <v>65</v>
      </c>
      <c r="N19" s="8" t="s">
        <v>65</v>
      </c>
      <c r="O19" s="8" t="s">
        <v>65</v>
      </c>
      <c r="P19" s="8" t="s">
        <v>65</v>
      </c>
      <c r="Q19" s="8" t="s">
        <v>65</v>
      </c>
      <c r="R19" s="8" t="s">
        <v>65</v>
      </c>
      <c r="S19" s="8" t="s">
        <v>65</v>
      </c>
      <c r="T19" s="8" t="s">
        <v>65</v>
      </c>
      <c r="U19" s="8" t="s">
        <v>65</v>
      </c>
      <c r="V19" s="8" t="s">
        <v>65</v>
      </c>
      <c r="W19" s="8" t="s">
        <v>65</v>
      </c>
      <c r="X19" s="8" t="s">
        <v>65</v>
      </c>
      <c r="Y19" s="8" t="s">
        <v>65</v>
      </c>
      <c r="Z19" s="8" t="s">
        <v>65</v>
      </c>
      <c r="AA19" s="8" t="s">
        <v>65</v>
      </c>
      <c r="AB19" s="8" t="s">
        <v>65</v>
      </c>
      <c r="AC19" s="8" t="s">
        <v>65</v>
      </c>
      <c r="AD19" s="8" t="s">
        <v>65</v>
      </c>
      <c r="AE19" s="8" t="s">
        <v>65</v>
      </c>
      <c r="AF19" s="8" t="s">
        <v>65</v>
      </c>
      <c r="AG19" s="41">
        <f t="shared" si="6"/>
        <v>27</v>
      </c>
      <c r="AH19" s="42">
        <f t="shared" si="7"/>
        <v>96.428571428571431</v>
      </c>
      <c r="AM19" s="20"/>
      <c r="AN19" s="20"/>
      <c r="AO19" s="20"/>
      <c r="AP19" s="20"/>
      <c r="AQ19" s="20"/>
      <c r="AR19" s="20"/>
      <c r="AX19" s="58"/>
    </row>
    <row r="20" spans="1:50" x14ac:dyDescent="0.35">
      <c r="A20" s="113" t="s">
        <v>47</v>
      </c>
      <c r="B20" s="8" t="s">
        <v>1055</v>
      </c>
      <c r="C20" s="8" t="s">
        <v>1055</v>
      </c>
      <c r="D20" s="8" t="s">
        <v>1055</v>
      </c>
      <c r="E20" s="8" t="s">
        <v>1055</v>
      </c>
      <c r="F20" s="8" t="s">
        <v>1055</v>
      </c>
      <c r="G20" s="8" t="s">
        <v>1055</v>
      </c>
      <c r="H20" s="8" t="s">
        <v>1055</v>
      </c>
      <c r="I20" s="8" t="s">
        <v>1055</v>
      </c>
      <c r="J20" s="8"/>
      <c r="K20" s="8" t="s">
        <v>310</v>
      </c>
      <c r="L20" s="8" t="s">
        <v>310</v>
      </c>
      <c r="M20" s="8" t="s">
        <v>310</v>
      </c>
      <c r="N20" s="8"/>
      <c r="O20" s="8" t="s">
        <v>1184</v>
      </c>
      <c r="P20" s="8" t="s">
        <v>1184</v>
      </c>
      <c r="Q20" s="8"/>
      <c r="R20" s="8"/>
      <c r="S20" s="8"/>
      <c r="T20" s="8"/>
      <c r="U20" s="8"/>
      <c r="V20" s="8" t="s">
        <v>682</v>
      </c>
      <c r="W20" s="8" t="s">
        <v>682</v>
      </c>
      <c r="X20" s="8" t="s">
        <v>682</v>
      </c>
      <c r="Y20" s="8" t="s">
        <v>682</v>
      </c>
      <c r="Z20" s="8" t="s">
        <v>682</v>
      </c>
      <c r="AA20" s="8" t="s">
        <v>682</v>
      </c>
      <c r="AB20" s="8" t="s">
        <v>682</v>
      </c>
      <c r="AC20" s="8" t="s">
        <v>682</v>
      </c>
      <c r="AD20" s="8" t="s">
        <v>682</v>
      </c>
      <c r="AE20" s="8" t="s">
        <v>682</v>
      </c>
      <c r="AF20" s="8" t="s">
        <v>682</v>
      </c>
      <c r="AG20" s="41">
        <f t="shared" si="6"/>
        <v>24</v>
      </c>
      <c r="AH20" s="42">
        <f t="shared" si="7"/>
        <v>85.714285714285708</v>
      </c>
      <c r="AM20" s="20"/>
      <c r="AN20" s="20"/>
      <c r="AO20" s="20"/>
      <c r="AP20" s="20"/>
      <c r="AQ20" s="20"/>
      <c r="AR20" s="20"/>
      <c r="AX20" s="58"/>
    </row>
    <row r="21" spans="1:50" x14ac:dyDescent="0.35">
      <c r="A21" s="7" t="s">
        <v>50</v>
      </c>
      <c r="B21" s="8" t="s">
        <v>1059</v>
      </c>
      <c r="C21" s="8" t="s">
        <v>1059</v>
      </c>
      <c r="D21" s="8" t="s">
        <v>1059</v>
      </c>
      <c r="E21" s="8" t="s">
        <v>1059</v>
      </c>
      <c r="F21" s="8" t="s">
        <v>1185</v>
      </c>
      <c r="G21" s="8" t="s">
        <v>1185</v>
      </c>
      <c r="H21" s="8" t="s">
        <v>1185</v>
      </c>
      <c r="I21" s="8" t="s">
        <v>1185</v>
      </c>
      <c r="J21" s="8"/>
      <c r="K21" s="8" t="s">
        <v>310</v>
      </c>
      <c r="L21" s="8" t="s">
        <v>310</v>
      </c>
      <c r="M21" s="8" t="s">
        <v>310</v>
      </c>
      <c r="N21" s="8"/>
      <c r="O21" s="8" t="s">
        <v>1184</v>
      </c>
      <c r="P21" s="8" t="s">
        <v>1184</v>
      </c>
      <c r="Q21" s="8"/>
      <c r="R21" s="8"/>
      <c r="S21" s="8"/>
      <c r="T21" s="8"/>
      <c r="U21" s="8"/>
      <c r="V21" s="8" t="s">
        <v>682</v>
      </c>
      <c r="W21" s="8" t="s">
        <v>682</v>
      </c>
      <c r="X21" s="8" t="s">
        <v>682</v>
      </c>
      <c r="Y21" s="8" t="s">
        <v>682</v>
      </c>
      <c r="Z21" s="8" t="s">
        <v>682</v>
      </c>
      <c r="AA21" s="8" t="s">
        <v>682</v>
      </c>
      <c r="AB21" s="8" t="s">
        <v>682</v>
      </c>
      <c r="AC21" s="8" t="s">
        <v>682</v>
      </c>
      <c r="AD21" s="8" t="s">
        <v>682</v>
      </c>
      <c r="AE21" s="8" t="s">
        <v>682</v>
      </c>
      <c r="AF21" s="8" t="s">
        <v>682</v>
      </c>
      <c r="AG21" s="41">
        <f t="shared" si="6"/>
        <v>24</v>
      </c>
      <c r="AH21" s="42">
        <f t="shared" si="7"/>
        <v>85.714285714285708</v>
      </c>
      <c r="AM21" s="20"/>
      <c r="AN21" s="20"/>
      <c r="AO21" s="20"/>
      <c r="AP21" s="20"/>
      <c r="AQ21" s="20"/>
      <c r="AR21" s="20"/>
      <c r="AX21" s="58"/>
    </row>
    <row r="22" spans="1:50" ht="15" thickBot="1" x14ac:dyDescent="0.4">
      <c r="A22" s="113" t="s">
        <v>51</v>
      </c>
      <c r="B22" s="8"/>
      <c r="C22" s="8"/>
      <c r="D22" s="8" t="s">
        <v>1176</v>
      </c>
      <c r="E22" s="8" t="s">
        <v>1176</v>
      </c>
      <c r="F22" s="8" t="s">
        <v>1176</v>
      </c>
      <c r="G22" s="8" t="s">
        <v>1176</v>
      </c>
      <c r="H22" s="8" t="s">
        <v>1176</v>
      </c>
      <c r="I22" s="8"/>
      <c r="J22" s="8"/>
      <c r="K22" s="8" t="s">
        <v>310</v>
      </c>
      <c r="L22" s="8" t="s">
        <v>310</v>
      </c>
      <c r="M22" s="8" t="s">
        <v>310</v>
      </c>
      <c r="N22" s="8"/>
      <c r="O22" s="8" t="s">
        <v>1184</v>
      </c>
      <c r="P22" s="8" t="s">
        <v>1184</v>
      </c>
      <c r="Q22" s="8"/>
      <c r="R22" s="8"/>
      <c r="S22" s="8"/>
      <c r="T22" s="8"/>
      <c r="U22" s="8" t="s">
        <v>432</v>
      </c>
      <c r="V22" s="8"/>
      <c r="W22" s="8" t="s">
        <v>316</v>
      </c>
      <c r="X22" s="8"/>
      <c r="Y22" s="8"/>
      <c r="Z22" s="8"/>
      <c r="AA22" s="8"/>
      <c r="AB22" s="8"/>
      <c r="AC22" s="8"/>
      <c r="AD22" s="8"/>
      <c r="AE22" s="8"/>
      <c r="AF22" s="8"/>
      <c r="AG22" s="41">
        <f t="shared" si="6"/>
        <v>12</v>
      </c>
      <c r="AH22" s="42">
        <f t="shared" si="7"/>
        <v>42.857142857142854</v>
      </c>
      <c r="AX22" s="58"/>
    </row>
    <row r="23" spans="1:50" ht="15.5" x14ac:dyDescent="0.35">
      <c r="A23" s="45" t="s">
        <v>176</v>
      </c>
      <c r="B23" s="46">
        <f>COUNTA(B15:B22)</f>
        <v>6</v>
      </c>
      <c r="C23" s="46">
        <f>COUNTA(C16:C22)</f>
        <v>5</v>
      </c>
      <c r="D23" s="46">
        <f>COUNTA(D16:D22)</f>
        <v>7</v>
      </c>
      <c r="E23" s="46">
        <f t="shared" ref="E23:AF23" si="8">COUNTA(E15:E22)</f>
        <v>8</v>
      </c>
      <c r="F23" s="46">
        <f t="shared" si="8"/>
        <v>4</v>
      </c>
      <c r="G23" s="46">
        <f t="shared" si="8"/>
        <v>4</v>
      </c>
      <c r="H23" s="46">
        <f t="shared" si="8"/>
        <v>4</v>
      </c>
      <c r="I23" s="46">
        <f t="shared" si="8"/>
        <v>4</v>
      </c>
      <c r="J23" s="46">
        <f t="shared" si="8"/>
        <v>1</v>
      </c>
      <c r="K23" s="46">
        <f t="shared" si="8"/>
        <v>5</v>
      </c>
      <c r="L23" s="46">
        <f t="shared" si="8"/>
        <v>8</v>
      </c>
      <c r="M23" s="46">
        <f t="shared" si="8"/>
        <v>7</v>
      </c>
      <c r="N23" s="46">
        <f t="shared" si="8"/>
        <v>1</v>
      </c>
      <c r="O23" s="46">
        <f t="shared" si="8"/>
        <v>7</v>
      </c>
      <c r="P23" s="46">
        <f t="shared" si="8"/>
        <v>6</v>
      </c>
      <c r="Q23" s="46">
        <f t="shared" si="8"/>
        <v>4</v>
      </c>
      <c r="R23" s="46">
        <f t="shared" si="8"/>
        <v>3</v>
      </c>
      <c r="S23" s="46">
        <f t="shared" si="8"/>
        <v>3</v>
      </c>
      <c r="T23" s="46">
        <f>COUNTA(T15:T22)</f>
        <v>3</v>
      </c>
      <c r="U23" s="46">
        <f t="shared" si="8"/>
        <v>3</v>
      </c>
      <c r="V23" s="46">
        <f t="shared" si="8"/>
        <v>5</v>
      </c>
      <c r="W23" s="46">
        <f t="shared" si="8"/>
        <v>6</v>
      </c>
      <c r="X23" s="46">
        <f t="shared" si="8"/>
        <v>5</v>
      </c>
      <c r="Y23" s="46">
        <f t="shared" si="8"/>
        <v>5</v>
      </c>
      <c r="Z23" s="46">
        <f t="shared" si="8"/>
        <v>5</v>
      </c>
      <c r="AA23" s="46">
        <f t="shared" si="8"/>
        <v>5</v>
      </c>
      <c r="AB23" s="46">
        <f t="shared" si="8"/>
        <v>5</v>
      </c>
      <c r="AC23" s="46">
        <f t="shared" si="8"/>
        <v>4</v>
      </c>
      <c r="AD23" s="46">
        <f t="shared" si="8"/>
        <v>4</v>
      </c>
      <c r="AE23" s="46">
        <f t="shared" si="8"/>
        <v>4</v>
      </c>
      <c r="AF23" s="46">
        <f t="shared" si="8"/>
        <v>4</v>
      </c>
      <c r="AG23" s="43">
        <f>SUM(AG15:AG22)</f>
        <v>147</v>
      </c>
      <c r="AX23" s="58"/>
    </row>
    <row r="24" spans="1:50" ht="15.5" x14ac:dyDescent="0.35">
      <c r="A24" s="47" t="s">
        <v>178</v>
      </c>
      <c r="B24" s="52">
        <f>B12+B23</f>
        <v>7</v>
      </c>
      <c r="C24" s="52">
        <f t="shared" ref="C24:AF24" si="9">C12+C23</f>
        <v>6</v>
      </c>
      <c r="D24" s="52">
        <f t="shared" si="9"/>
        <v>12</v>
      </c>
      <c r="E24" s="52">
        <f t="shared" si="9"/>
        <v>13</v>
      </c>
      <c r="F24" s="52">
        <f t="shared" si="9"/>
        <v>5</v>
      </c>
      <c r="G24" s="52">
        <f t="shared" si="9"/>
        <v>5</v>
      </c>
      <c r="H24" s="52">
        <f t="shared" si="9"/>
        <v>5</v>
      </c>
      <c r="I24" s="52">
        <f t="shared" si="9"/>
        <v>5</v>
      </c>
      <c r="J24" s="52">
        <f t="shared" si="9"/>
        <v>2</v>
      </c>
      <c r="K24" s="52">
        <f t="shared" si="9"/>
        <v>10</v>
      </c>
      <c r="L24" s="52">
        <f t="shared" si="9"/>
        <v>13</v>
      </c>
      <c r="M24" s="52">
        <f t="shared" si="9"/>
        <v>14</v>
      </c>
      <c r="N24" s="52">
        <f t="shared" si="9"/>
        <v>3</v>
      </c>
      <c r="O24" s="52">
        <f t="shared" si="9"/>
        <v>10</v>
      </c>
      <c r="P24" s="52">
        <f t="shared" si="9"/>
        <v>11</v>
      </c>
      <c r="Q24" s="52">
        <f t="shared" si="9"/>
        <v>6</v>
      </c>
      <c r="R24" s="52">
        <f t="shared" si="9"/>
        <v>4</v>
      </c>
      <c r="S24" s="52">
        <f t="shared" si="9"/>
        <v>4</v>
      </c>
      <c r="T24" s="52">
        <f t="shared" si="9"/>
        <v>4</v>
      </c>
      <c r="U24" s="52">
        <f t="shared" si="9"/>
        <v>4</v>
      </c>
      <c r="V24" s="52">
        <f t="shared" si="9"/>
        <v>9</v>
      </c>
      <c r="W24" s="52">
        <f t="shared" si="9"/>
        <v>9</v>
      </c>
      <c r="X24" s="52">
        <f t="shared" si="9"/>
        <v>8</v>
      </c>
      <c r="Y24" s="52">
        <f t="shared" si="9"/>
        <v>6</v>
      </c>
      <c r="Z24" s="52">
        <f t="shared" si="9"/>
        <v>8</v>
      </c>
      <c r="AA24" s="52">
        <f t="shared" si="9"/>
        <v>8</v>
      </c>
      <c r="AB24" s="52">
        <f t="shared" si="9"/>
        <v>8</v>
      </c>
      <c r="AC24" s="52">
        <f t="shared" si="9"/>
        <v>5</v>
      </c>
      <c r="AD24" s="52">
        <f t="shared" si="9"/>
        <v>5</v>
      </c>
      <c r="AE24" s="52">
        <f t="shared" si="9"/>
        <v>5</v>
      </c>
      <c r="AF24" s="52">
        <f t="shared" si="9"/>
        <v>5</v>
      </c>
      <c r="AG24" s="49">
        <f>+AG12+AG23</f>
        <v>221</v>
      </c>
      <c r="AX24" s="58"/>
    </row>
    <row r="25" spans="1:50" ht="15.5" x14ac:dyDescent="0.35">
      <c r="A25" s="48" t="s">
        <v>179</v>
      </c>
      <c r="B25" s="42">
        <f>B24*100/15</f>
        <v>46.666666666666664</v>
      </c>
      <c r="C25" s="42">
        <f t="shared" ref="C25:AF25" si="10">C24*100/15</f>
        <v>40</v>
      </c>
      <c r="D25" s="42">
        <f t="shared" si="10"/>
        <v>80</v>
      </c>
      <c r="E25" s="42">
        <f t="shared" si="10"/>
        <v>86.666666666666671</v>
      </c>
      <c r="F25" s="42">
        <f t="shared" si="10"/>
        <v>33.333333333333336</v>
      </c>
      <c r="G25" s="42">
        <f t="shared" si="10"/>
        <v>33.333333333333336</v>
      </c>
      <c r="H25" s="42">
        <f t="shared" si="10"/>
        <v>33.333333333333336</v>
      </c>
      <c r="I25" s="42">
        <f t="shared" si="10"/>
        <v>33.333333333333336</v>
      </c>
      <c r="J25" s="42">
        <f t="shared" si="10"/>
        <v>13.333333333333334</v>
      </c>
      <c r="K25" s="42">
        <f t="shared" si="10"/>
        <v>66.666666666666671</v>
      </c>
      <c r="L25" s="42">
        <f t="shared" si="10"/>
        <v>86.666666666666671</v>
      </c>
      <c r="M25" s="42">
        <f t="shared" si="10"/>
        <v>93.333333333333329</v>
      </c>
      <c r="N25" s="42">
        <f t="shared" si="10"/>
        <v>20</v>
      </c>
      <c r="O25" s="42">
        <f t="shared" si="10"/>
        <v>66.666666666666671</v>
      </c>
      <c r="P25" s="42">
        <f t="shared" si="10"/>
        <v>73.333333333333329</v>
      </c>
      <c r="Q25" s="42">
        <f t="shared" si="10"/>
        <v>40</v>
      </c>
      <c r="R25" s="42">
        <f t="shared" si="10"/>
        <v>26.666666666666668</v>
      </c>
      <c r="S25" s="42">
        <f t="shared" si="10"/>
        <v>26.666666666666668</v>
      </c>
      <c r="T25" s="42">
        <f t="shared" si="10"/>
        <v>26.666666666666668</v>
      </c>
      <c r="U25" s="42">
        <f t="shared" si="10"/>
        <v>26.666666666666668</v>
      </c>
      <c r="V25" s="42">
        <f t="shared" si="10"/>
        <v>60</v>
      </c>
      <c r="W25" s="42">
        <f t="shared" si="10"/>
        <v>60</v>
      </c>
      <c r="X25" s="42">
        <f t="shared" si="10"/>
        <v>53.333333333333336</v>
      </c>
      <c r="Y25" s="42">
        <f t="shared" si="10"/>
        <v>40</v>
      </c>
      <c r="Z25" s="42">
        <f t="shared" si="10"/>
        <v>53.333333333333336</v>
      </c>
      <c r="AA25" s="42">
        <f t="shared" si="10"/>
        <v>53.333333333333336</v>
      </c>
      <c r="AB25" s="42">
        <f t="shared" si="10"/>
        <v>53.333333333333336</v>
      </c>
      <c r="AC25" s="42">
        <f t="shared" si="10"/>
        <v>33.333333333333336</v>
      </c>
      <c r="AD25" s="42">
        <f t="shared" si="10"/>
        <v>33.333333333333336</v>
      </c>
      <c r="AE25" s="42">
        <f t="shared" si="10"/>
        <v>33.333333333333336</v>
      </c>
      <c r="AF25" s="42">
        <f t="shared" si="10"/>
        <v>33.333333333333336</v>
      </c>
      <c r="AG25" s="50">
        <f>AVERAGE(B25:AE25)</f>
        <v>47.555555555555529</v>
      </c>
      <c r="AH25" s="51" t="s">
        <v>180</v>
      </c>
      <c r="AX25" s="58"/>
    </row>
    <row r="26" spans="1:50" x14ac:dyDescent="0.35">
      <c r="AX26" s="58"/>
    </row>
    <row r="30" spans="1:50" x14ac:dyDescent="0.35">
      <c r="R30" s="55"/>
    </row>
    <row r="31" spans="1:50" x14ac:dyDescent="0.35">
      <c r="C31" s="92"/>
    </row>
    <row r="32" spans="1:50" x14ac:dyDescent="0.35">
      <c r="C32" s="92"/>
    </row>
    <row r="33" spans="3:3" x14ac:dyDescent="0.35">
      <c r="C33" s="93"/>
    </row>
    <row r="34" spans="3:3" x14ac:dyDescent="0.35">
      <c r="C34" s="93"/>
    </row>
    <row r="35" spans="3:3" x14ac:dyDescent="0.35">
      <c r="C35" s="92"/>
    </row>
    <row r="36" spans="3:3" x14ac:dyDescent="0.35">
      <c r="C36" s="92"/>
    </row>
    <row r="37" spans="3:3" x14ac:dyDescent="0.35">
      <c r="C37" s="92"/>
    </row>
    <row r="38" spans="3:3" x14ac:dyDescent="0.35">
      <c r="C38" s="92"/>
    </row>
    <row r="39" spans="3:3" x14ac:dyDescent="0.35">
      <c r="C39" s="92"/>
    </row>
    <row r="40" spans="3:3" x14ac:dyDescent="0.35">
      <c r="C40" s="92"/>
    </row>
    <row r="41" spans="3:3" x14ac:dyDescent="0.35">
      <c r="C41" s="92"/>
    </row>
    <row r="42" spans="3:3" x14ac:dyDescent="0.35">
      <c r="C42" s="92"/>
    </row>
    <row r="43" spans="3:3" x14ac:dyDescent="0.35">
      <c r="C43" s="92"/>
    </row>
  </sheetData>
  <mergeCells count="2">
    <mergeCell ref="A1:AE1"/>
    <mergeCell ref="AM3:AR3"/>
  </mergeCells>
  <conditionalFormatting sqref="B16:C16 B15:O15 O16:O22 B17:K17 N17 F16:N16 B18:N22 P15:AF22">
    <cfRule type="colorScale" priority="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5:AF5 B7:AF7 E9:J11 B8:D11 E8:N8 Q10:AF10 O8:AF9 O11:AF11 N8:N11">
    <cfRule type="colorScale" priority="8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6:AF6">
    <cfRule type="colorScale" priority="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D16:E16">
    <cfRule type="colorScale" priority="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K9:M11">
    <cfRule type="colorScale" priority="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L17:M17">
    <cfRule type="colorScale" priority="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L13:U14 B13:I14 X13:AH14">
    <cfRule type="colorScale" priority="9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O10:P10">
    <cfRule type="colorScale" priority="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R30">
    <cfRule type="colorScale" priority="7">
      <colorScale>
        <cfvo type="num" val="1"/>
        <cfvo type="max"/>
        <color theme="4" tint="0.59999389629810485"/>
        <color theme="5" tint="0.59999389629810485"/>
      </colorScale>
    </cfRule>
  </conditionalFormatting>
  <pageMargins left="0.2" right="0.45" top="0.75" bottom="0.75" header="0.3" footer="0.3"/>
  <pageSetup scale="90" orientation="landscape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51537-16C5-4DD7-B71B-B6452B76A0C9}">
  <dimension ref="A1:AX43"/>
  <sheetViews>
    <sheetView zoomScaleNormal="100" workbookViewId="0">
      <pane xSplit="1" ySplit="4" topLeftCell="AA5" activePane="bottomRight" state="frozen"/>
      <selection pane="topRight" activeCell="B1" sqref="B1"/>
      <selection pane="bottomLeft" activeCell="A5" sqref="A5"/>
      <selection pane="bottomRight" activeCell="AH6" sqref="AH6"/>
    </sheetView>
  </sheetViews>
  <sheetFormatPr defaultRowHeight="14.5" x14ac:dyDescent="0.35"/>
  <cols>
    <col min="1" max="1" width="43.54296875" bestFit="1" customWidth="1"/>
    <col min="2" max="7" width="12.54296875" bestFit="1" customWidth="1"/>
    <col min="8" max="8" width="17.453125" customWidth="1"/>
    <col min="9" max="9" width="13.453125" bestFit="1" customWidth="1"/>
    <col min="10" max="13" width="11.81640625" bestFit="1" customWidth="1"/>
    <col min="14" max="19" width="12.26953125" bestFit="1" customWidth="1"/>
    <col min="20" max="20" width="12.81640625" bestFit="1" customWidth="1"/>
    <col min="21" max="21" width="11.81640625" bestFit="1" customWidth="1"/>
    <col min="22" max="29" width="12.81640625" bestFit="1" customWidth="1"/>
    <col min="30" max="30" width="12.54296875" customWidth="1"/>
    <col min="31" max="31" width="12.7265625" customWidth="1"/>
    <col min="32" max="32" width="16.453125" hidden="1" customWidth="1"/>
    <col min="33" max="33" width="4.7265625" bestFit="1" customWidth="1"/>
    <col min="34" max="34" width="8.453125" bestFit="1" customWidth="1"/>
    <col min="35" max="35" width="11.54296875" bestFit="1" customWidth="1"/>
    <col min="36" max="36" width="14.1796875" bestFit="1" customWidth="1"/>
    <col min="37" max="37" width="0" hidden="1" customWidth="1"/>
    <col min="38" max="38" width="3" hidden="1" customWidth="1"/>
    <col min="39" max="39" width="17.81640625" bestFit="1" customWidth="1"/>
    <col min="40" max="40" width="9.1796875" bestFit="1" customWidth="1"/>
    <col min="41" max="41" width="9.81640625" bestFit="1" customWidth="1"/>
    <col min="42" max="42" width="10.81640625" bestFit="1" customWidth="1"/>
    <col min="43" max="43" width="10.1796875" bestFit="1" customWidth="1"/>
    <col min="44" max="44" width="23.1796875" bestFit="1" customWidth="1"/>
    <col min="45" max="45" width="0.453125" hidden="1" customWidth="1"/>
    <col min="46" max="49" width="0" hidden="1" customWidth="1"/>
    <col min="51" max="51" width="15" bestFit="1" customWidth="1"/>
  </cols>
  <sheetData>
    <row r="1" spans="1:44" ht="15.5" x14ac:dyDescent="0.35">
      <c r="A1" s="120" t="s">
        <v>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65"/>
    </row>
    <row r="2" spans="1:44" ht="15" thickBot="1" x14ac:dyDescent="0.4"/>
    <row r="3" spans="1:44" ht="45.75" customHeight="1" x14ac:dyDescent="0.35">
      <c r="A3" s="1" t="s">
        <v>1</v>
      </c>
      <c r="B3" s="2">
        <f>AI4</f>
        <v>46174</v>
      </c>
      <c r="C3" s="2">
        <f t="shared" ref="C3:AF3" si="0">B3+1</f>
        <v>46175</v>
      </c>
      <c r="D3" s="2">
        <f t="shared" si="0"/>
        <v>46176</v>
      </c>
      <c r="E3" s="2">
        <f t="shared" si="0"/>
        <v>46177</v>
      </c>
      <c r="F3" s="2">
        <f t="shared" si="0"/>
        <v>46178</v>
      </c>
      <c r="G3" s="2">
        <f t="shared" si="0"/>
        <v>46179</v>
      </c>
      <c r="H3" s="2">
        <f t="shared" si="0"/>
        <v>46180</v>
      </c>
      <c r="I3" s="2">
        <f>H3+1</f>
        <v>46181</v>
      </c>
      <c r="J3" s="2">
        <f t="shared" si="0"/>
        <v>46182</v>
      </c>
      <c r="K3" s="2">
        <f t="shared" si="0"/>
        <v>46183</v>
      </c>
      <c r="L3" s="2">
        <f t="shared" si="0"/>
        <v>46184</v>
      </c>
      <c r="M3" s="2">
        <f t="shared" si="0"/>
        <v>46185</v>
      </c>
      <c r="N3" s="2">
        <f t="shared" si="0"/>
        <v>46186</v>
      </c>
      <c r="O3" s="2">
        <f t="shared" si="0"/>
        <v>46187</v>
      </c>
      <c r="P3" s="2">
        <f t="shared" si="0"/>
        <v>46188</v>
      </c>
      <c r="Q3" s="2">
        <f t="shared" si="0"/>
        <v>46189</v>
      </c>
      <c r="R3" s="2">
        <f t="shared" si="0"/>
        <v>46190</v>
      </c>
      <c r="S3" s="2">
        <f t="shared" si="0"/>
        <v>46191</v>
      </c>
      <c r="T3" s="2">
        <f t="shared" si="0"/>
        <v>46192</v>
      </c>
      <c r="U3" s="2">
        <f t="shared" si="0"/>
        <v>46193</v>
      </c>
      <c r="V3" s="2">
        <f t="shared" si="0"/>
        <v>46194</v>
      </c>
      <c r="W3" s="2">
        <f t="shared" si="0"/>
        <v>46195</v>
      </c>
      <c r="X3" s="2">
        <f t="shared" si="0"/>
        <v>46196</v>
      </c>
      <c r="Y3" s="2">
        <f t="shared" si="0"/>
        <v>46197</v>
      </c>
      <c r="Z3" s="2">
        <f t="shared" si="0"/>
        <v>46198</v>
      </c>
      <c r="AA3" s="2">
        <f t="shared" si="0"/>
        <v>46199</v>
      </c>
      <c r="AB3" s="2">
        <f t="shared" si="0"/>
        <v>46200</v>
      </c>
      <c r="AC3" s="2">
        <f t="shared" si="0"/>
        <v>46201</v>
      </c>
      <c r="AD3" s="2">
        <f t="shared" si="0"/>
        <v>46202</v>
      </c>
      <c r="AE3" s="2">
        <f t="shared" si="0"/>
        <v>46203</v>
      </c>
      <c r="AF3" s="2">
        <f t="shared" si="0"/>
        <v>46204</v>
      </c>
      <c r="AG3" s="36"/>
      <c r="AH3" s="36"/>
      <c r="AM3" s="122" t="s">
        <v>267</v>
      </c>
      <c r="AN3" s="123"/>
      <c r="AO3" s="123"/>
      <c r="AP3" s="123"/>
      <c r="AQ3" s="123"/>
      <c r="AR3" s="124"/>
    </row>
    <row r="4" spans="1:44" ht="31.5" customHeight="1" x14ac:dyDescent="0.35">
      <c r="A4" s="3" t="s">
        <v>2</v>
      </c>
      <c r="B4" s="4">
        <f t="shared" ref="B4:AF4" si="1">B3</f>
        <v>46174</v>
      </c>
      <c r="C4" s="4">
        <f t="shared" si="1"/>
        <v>46175</v>
      </c>
      <c r="D4" s="4">
        <f t="shared" si="1"/>
        <v>46176</v>
      </c>
      <c r="E4" s="4">
        <f t="shared" si="1"/>
        <v>46177</v>
      </c>
      <c r="F4" s="4">
        <f t="shared" si="1"/>
        <v>46178</v>
      </c>
      <c r="G4" s="4">
        <f t="shared" si="1"/>
        <v>46179</v>
      </c>
      <c r="H4" s="4">
        <f t="shared" si="1"/>
        <v>46180</v>
      </c>
      <c r="I4" s="4">
        <f t="shared" si="1"/>
        <v>46181</v>
      </c>
      <c r="J4" s="4">
        <f t="shared" si="1"/>
        <v>46182</v>
      </c>
      <c r="K4" s="4">
        <f t="shared" si="1"/>
        <v>46183</v>
      </c>
      <c r="L4" s="4">
        <f t="shared" si="1"/>
        <v>46184</v>
      </c>
      <c r="M4" s="4">
        <f t="shared" si="1"/>
        <v>46185</v>
      </c>
      <c r="N4" s="4">
        <f t="shared" si="1"/>
        <v>46186</v>
      </c>
      <c r="O4" s="4">
        <f t="shared" si="1"/>
        <v>46187</v>
      </c>
      <c r="P4" s="4">
        <f t="shared" si="1"/>
        <v>46188</v>
      </c>
      <c r="Q4" s="4">
        <f t="shared" si="1"/>
        <v>46189</v>
      </c>
      <c r="R4" s="4">
        <f t="shared" si="1"/>
        <v>46190</v>
      </c>
      <c r="S4" s="4">
        <f t="shared" si="1"/>
        <v>46191</v>
      </c>
      <c r="T4" s="4">
        <f t="shared" si="1"/>
        <v>46192</v>
      </c>
      <c r="U4" s="4">
        <f t="shared" si="1"/>
        <v>46193</v>
      </c>
      <c r="V4" s="4">
        <f t="shared" si="1"/>
        <v>46194</v>
      </c>
      <c r="W4" s="4">
        <f t="shared" si="1"/>
        <v>46195</v>
      </c>
      <c r="X4" s="4">
        <f t="shared" si="1"/>
        <v>46196</v>
      </c>
      <c r="Y4" s="4">
        <f t="shared" si="1"/>
        <v>46197</v>
      </c>
      <c r="Z4" s="4">
        <f t="shared" si="1"/>
        <v>46198</v>
      </c>
      <c r="AA4" s="4">
        <f t="shared" si="1"/>
        <v>46199</v>
      </c>
      <c r="AB4" s="4">
        <f t="shared" si="1"/>
        <v>46200</v>
      </c>
      <c r="AC4" s="4">
        <f t="shared" si="1"/>
        <v>46201</v>
      </c>
      <c r="AD4" s="4">
        <f t="shared" si="1"/>
        <v>46202</v>
      </c>
      <c r="AE4" s="4">
        <f t="shared" si="1"/>
        <v>46203</v>
      </c>
      <c r="AF4" s="4">
        <f t="shared" si="1"/>
        <v>46204</v>
      </c>
      <c r="AG4" s="39" t="s">
        <v>174</v>
      </c>
      <c r="AH4" s="40" t="s">
        <v>175</v>
      </c>
      <c r="AI4" s="5">
        <v>46174</v>
      </c>
      <c r="AJ4" s="6">
        <f>EOMONTH(AI4,0)</f>
        <v>46203</v>
      </c>
      <c r="AM4" s="19" t="s">
        <v>54</v>
      </c>
      <c r="AN4" s="19" t="s">
        <v>269</v>
      </c>
      <c r="AO4" s="19" t="s">
        <v>55</v>
      </c>
      <c r="AP4" s="19" t="s">
        <v>56</v>
      </c>
      <c r="AQ4" s="19" t="s">
        <v>251</v>
      </c>
      <c r="AR4" s="19" t="s">
        <v>57</v>
      </c>
    </row>
    <row r="5" spans="1:44" x14ac:dyDescent="0.35">
      <c r="A5" s="7" t="s">
        <v>3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41">
        <f>COUNTA(B5:AF5)</f>
        <v>0</v>
      </c>
      <c r="AH5" s="42">
        <f>AG5*100/28</f>
        <v>0</v>
      </c>
      <c r="AM5" s="20"/>
      <c r="AN5" s="56"/>
      <c r="AO5" s="56"/>
      <c r="AP5" s="56"/>
      <c r="AQ5" s="57"/>
      <c r="AR5" s="20"/>
    </row>
    <row r="6" spans="1:44" x14ac:dyDescent="0.35">
      <c r="A6" s="7" t="s">
        <v>7</v>
      </c>
      <c r="B6" s="55" t="s">
        <v>1085</v>
      </c>
      <c r="C6" s="55" t="s">
        <v>1085</v>
      </c>
      <c r="D6" s="55" t="s">
        <v>1085</v>
      </c>
      <c r="E6" s="55" t="s">
        <v>1085</v>
      </c>
      <c r="F6" s="55" t="s">
        <v>1085</v>
      </c>
      <c r="G6" s="55" t="s">
        <v>1085</v>
      </c>
      <c r="H6" s="55" t="s">
        <v>1085</v>
      </c>
      <c r="I6" s="55" t="s">
        <v>1085</v>
      </c>
      <c r="J6" s="55" t="s">
        <v>1085</v>
      </c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41">
        <f t="shared" ref="AG6:AG11" si="2">COUNTA(B6:AF6)</f>
        <v>9</v>
      </c>
      <c r="AH6" s="42">
        <f t="shared" ref="AH6:AH11" si="3">AG6*100/28</f>
        <v>32.142857142857146</v>
      </c>
      <c r="AM6" s="20"/>
      <c r="AN6" s="56"/>
      <c r="AO6" s="56"/>
      <c r="AP6" s="56"/>
      <c r="AQ6" s="57"/>
      <c r="AR6" s="20"/>
    </row>
    <row r="7" spans="1:44" x14ac:dyDescent="0.35">
      <c r="A7" s="7" t="s">
        <v>11</v>
      </c>
      <c r="B7" s="55"/>
      <c r="C7" s="55" t="s">
        <v>1043</v>
      </c>
      <c r="D7" s="55" t="s">
        <v>1043</v>
      </c>
      <c r="E7" s="55" t="s">
        <v>1043</v>
      </c>
      <c r="F7" s="55" t="s">
        <v>1043</v>
      </c>
      <c r="G7" s="55"/>
      <c r="H7" s="55"/>
      <c r="I7" s="68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41">
        <f t="shared" si="2"/>
        <v>4</v>
      </c>
      <c r="AH7" s="42">
        <f t="shared" si="3"/>
        <v>14.285714285714286</v>
      </c>
      <c r="AM7" s="20"/>
      <c r="AN7" s="56"/>
      <c r="AO7" s="56"/>
      <c r="AP7" s="56"/>
      <c r="AQ7" s="57"/>
      <c r="AR7" s="20"/>
    </row>
    <row r="8" spans="1:44" ht="15" customHeight="1" x14ac:dyDescent="0.35">
      <c r="A8" s="113" t="s">
        <v>15</v>
      </c>
      <c r="B8" s="55"/>
      <c r="C8" s="55"/>
      <c r="D8" s="55"/>
      <c r="E8" s="55"/>
      <c r="F8" s="55"/>
      <c r="G8" s="55"/>
      <c r="H8" s="55"/>
      <c r="I8" s="55" t="s">
        <v>1186</v>
      </c>
      <c r="J8" s="55" t="s">
        <v>1186</v>
      </c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41">
        <f t="shared" si="2"/>
        <v>2</v>
      </c>
      <c r="AH8" s="42">
        <f t="shared" si="3"/>
        <v>7.1428571428571432</v>
      </c>
      <c r="AK8" s="9"/>
      <c r="AM8" s="20"/>
      <c r="AN8" s="56"/>
      <c r="AO8" s="56"/>
      <c r="AP8" s="56"/>
      <c r="AQ8" s="57"/>
      <c r="AR8" s="20"/>
    </row>
    <row r="9" spans="1:44" ht="15.75" customHeight="1" x14ac:dyDescent="0.35">
      <c r="A9" s="7" t="s">
        <v>18</v>
      </c>
      <c r="B9" s="55"/>
      <c r="C9" s="55"/>
      <c r="D9" s="55"/>
      <c r="E9" s="55"/>
      <c r="F9" s="55"/>
      <c r="G9" s="55"/>
      <c r="H9" s="55"/>
      <c r="I9" s="55" t="s">
        <v>1186</v>
      </c>
      <c r="J9" s="55" t="s">
        <v>1186</v>
      </c>
      <c r="K9" s="8"/>
      <c r="L9" s="8"/>
      <c r="M9" s="8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41">
        <f t="shared" si="2"/>
        <v>2</v>
      </c>
      <c r="AH9" s="42">
        <f t="shared" si="3"/>
        <v>7.1428571428571432</v>
      </c>
      <c r="AM9" s="20"/>
      <c r="AN9" s="56"/>
      <c r="AO9" s="56"/>
      <c r="AP9" s="56"/>
      <c r="AQ9" s="57"/>
      <c r="AR9" s="20"/>
    </row>
    <row r="10" spans="1:44" ht="15.75" customHeight="1" x14ac:dyDescent="0.35">
      <c r="A10" s="113" t="s">
        <v>20</v>
      </c>
      <c r="B10" s="55"/>
      <c r="C10" s="55"/>
      <c r="D10" s="55"/>
      <c r="E10" s="55"/>
      <c r="F10" s="55"/>
      <c r="G10" s="55"/>
      <c r="H10" s="55"/>
      <c r="I10" s="55" t="s">
        <v>1186</v>
      </c>
      <c r="J10" s="55" t="s">
        <v>1186</v>
      </c>
      <c r="K10" s="8"/>
      <c r="L10" s="8"/>
      <c r="M10" s="8"/>
      <c r="N10" s="55"/>
      <c r="O10" s="8"/>
      <c r="P10" s="8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41">
        <f t="shared" si="2"/>
        <v>2</v>
      </c>
      <c r="AH10" s="42">
        <f t="shared" si="3"/>
        <v>7.1428571428571432</v>
      </c>
      <c r="AM10" s="20"/>
      <c r="AN10" s="56"/>
      <c r="AO10" s="56"/>
      <c r="AP10" s="56"/>
      <c r="AQ10" s="57"/>
      <c r="AR10" s="20"/>
    </row>
    <row r="11" spans="1:44" ht="15.75" customHeight="1" thickBot="1" x14ac:dyDescent="0.4">
      <c r="A11" s="7" t="s">
        <v>24</v>
      </c>
      <c r="B11" s="55"/>
      <c r="C11" s="55"/>
      <c r="D11" s="55"/>
      <c r="E11" s="55"/>
      <c r="F11" s="55"/>
      <c r="G11" s="55"/>
      <c r="H11" s="55"/>
      <c r="I11" s="55" t="s">
        <v>1186</v>
      </c>
      <c r="J11" s="55" t="s">
        <v>1186</v>
      </c>
      <c r="K11" s="8"/>
      <c r="L11" s="8"/>
      <c r="M11" s="8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41">
        <f t="shared" si="2"/>
        <v>2</v>
      </c>
      <c r="AH11" s="42">
        <f t="shared" si="3"/>
        <v>7.1428571428571432</v>
      </c>
      <c r="AM11" s="20"/>
      <c r="AN11" s="56"/>
      <c r="AO11" s="56"/>
      <c r="AP11" s="56"/>
      <c r="AQ11" s="57"/>
      <c r="AR11" s="20"/>
    </row>
    <row r="12" spans="1:44" ht="15" customHeight="1" x14ac:dyDescent="0.35">
      <c r="A12" s="45" t="s">
        <v>176</v>
      </c>
      <c r="B12" s="46">
        <f>COUNTA(B5:B11)</f>
        <v>1</v>
      </c>
      <c r="C12" s="46">
        <f>COUNTA(C5:C11)</f>
        <v>2</v>
      </c>
      <c r="D12" s="46">
        <f t="shared" ref="D12:AF12" si="4">COUNTA(D5:D11)</f>
        <v>2</v>
      </c>
      <c r="E12" s="46">
        <f t="shared" si="4"/>
        <v>2</v>
      </c>
      <c r="F12" s="46">
        <f t="shared" si="4"/>
        <v>2</v>
      </c>
      <c r="G12" s="46">
        <f t="shared" si="4"/>
        <v>1</v>
      </c>
      <c r="H12" s="46">
        <f t="shared" si="4"/>
        <v>1</v>
      </c>
      <c r="I12" s="46">
        <f t="shared" si="4"/>
        <v>5</v>
      </c>
      <c r="J12" s="46">
        <f t="shared" si="4"/>
        <v>5</v>
      </c>
      <c r="K12" s="46">
        <f t="shared" si="4"/>
        <v>0</v>
      </c>
      <c r="L12" s="46">
        <f t="shared" si="4"/>
        <v>0</v>
      </c>
      <c r="M12" s="46">
        <f t="shared" si="4"/>
        <v>0</v>
      </c>
      <c r="N12" s="46">
        <f t="shared" si="4"/>
        <v>0</v>
      </c>
      <c r="O12" s="46">
        <f t="shared" si="4"/>
        <v>0</v>
      </c>
      <c r="P12" s="46">
        <f t="shared" si="4"/>
        <v>0</v>
      </c>
      <c r="Q12" s="46">
        <f t="shared" si="4"/>
        <v>0</v>
      </c>
      <c r="R12" s="46">
        <f t="shared" si="4"/>
        <v>0</v>
      </c>
      <c r="S12" s="46">
        <f t="shared" si="4"/>
        <v>0</v>
      </c>
      <c r="T12" s="46">
        <f t="shared" si="4"/>
        <v>0</v>
      </c>
      <c r="U12" s="46">
        <f t="shared" si="4"/>
        <v>0</v>
      </c>
      <c r="V12" s="46">
        <f t="shared" si="4"/>
        <v>0</v>
      </c>
      <c r="W12" s="46">
        <f t="shared" si="4"/>
        <v>0</v>
      </c>
      <c r="X12" s="46">
        <f t="shared" si="4"/>
        <v>0</v>
      </c>
      <c r="Y12" s="46">
        <f t="shared" si="4"/>
        <v>0</v>
      </c>
      <c r="Z12" s="46">
        <f t="shared" si="4"/>
        <v>0</v>
      </c>
      <c r="AA12" s="46">
        <f t="shared" si="4"/>
        <v>0</v>
      </c>
      <c r="AB12" s="46">
        <f t="shared" si="4"/>
        <v>0</v>
      </c>
      <c r="AC12" s="46">
        <f>COUNTA(AC5:AC11)</f>
        <v>0</v>
      </c>
      <c r="AD12" s="46">
        <f>COUNTA(AD5:AD11)</f>
        <v>0</v>
      </c>
      <c r="AE12" s="46">
        <f>COUNTA(AE5:AE11)</f>
        <v>0</v>
      </c>
      <c r="AF12" s="46">
        <f t="shared" si="4"/>
        <v>0</v>
      </c>
      <c r="AG12" s="43">
        <f t="shared" ref="AG12" si="5">SUM(AG5:AG11)</f>
        <v>21</v>
      </c>
      <c r="AH12" s="44">
        <f>AVERAGE(AH5:AH11)</f>
        <v>10.714285714285714</v>
      </c>
      <c r="AI12" s="29"/>
      <c r="AM12" s="20"/>
      <c r="AN12" s="20"/>
      <c r="AO12" s="20"/>
      <c r="AP12" s="20"/>
      <c r="AQ12" s="20"/>
      <c r="AR12" s="20"/>
    </row>
    <row r="13" spans="1:44" ht="85.5" hidden="1" x14ac:dyDescent="0.35">
      <c r="A13" s="13" t="s">
        <v>28</v>
      </c>
      <c r="B13" s="14"/>
      <c r="C13" s="14"/>
      <c r="D13" s="14"/>
      <c r="E13" s="14"/>
      <c r="F13" s="14"/>
      <c r="G13" s="14"/>
      <c r="H13" s="14"/>
      <c r="I13" s="35"/>
      <c r="J13" s="34"/>
      <c r="K13" s="15"/>
      <c r="L13" s="14"/>
      <c r="M13" s="14"/>
      <c r="N13" s="25"/>
      <c r="O13" s="25"/>
      <c r="P13" s="25"/>
      <c r="Q13" s="14"/>
      <c r="R13" s="14"/>
      <c r="S13" s="14"/>
      <c r="T13" s="14"/>
      <c r="U13" s="14"/>
      <c r="V13" s="15"/>
      <c r="W13" s="15"/>
      <c r="X13" s="14"/>
      <c r="Y13" s="14"/>
      <c r="Z13" s="14"/>
      <c r="AA13" s="14"/>
      <c r="AB13" s="14"/>
      <c r="AC13" s="14"/>
      <c r="AD13" s="14"/>
      <c r="AE13" s="14"/>
      <c r="AF13" s="14"/>
      <c r="AG13" s="37"/>
      <c r="AH13" s="37"/>
      <c r="AM13" s="20"/>
      <c r="AN13" s="20"/>
      <c r="AO13" s="20"/>
      <c r="AP13" s="20"/>
      <c r="AQ13" s="20"/>
      <c r="AR13" s="20"/>
    </row>
    <row r="14" spans="1:44" ht="28.5" hidden="1" x14ac:dyDescent="0.35">
      <c r="A14" s="16" t="s">
        <v>29</v>
      </c>
      <c r="B14" s="14"/>
      <c r="C14" s="14"/>
      <c r="D14" s="14"/>
      <c r="E14" s="14"/>
      <c r="F14" s="14"/>
      <c r="G14" s="14"/>
      <c r="H14" s="14"/>
      <c r="I14" s="35"/>
      <c r="J14" s="34"/>
      <c r="K14" s="15"/>
      <c r="L14" s="14"/>
      <c r="M14" s="14"/>
      <c r="N14" s="25"/>
      <c r="O14" s="25"/>
      <c r="P14" s="25"/>
      <c r="Q14" s="14"/>
      <c r="R14" s="14"/>
      <c r="S14" s="14"/>
      <c r="T14" s="14"/>
      <c r="U14" s="14"/>
      <c r="V14" s="15"/>
      <c r="W14" s="15"/>
      <c r="X14" s="14"/>
      <c r="Y14" s="14"/>
      <c r="Z14" s="14"/>
      <c r="AA14" s="14"/>
      <c r="AB14" s="14"/>
      <c r="AC14" s="14"/>
      <c r="AD14" s="14"/>
      <c r="AE14" s="14"/>
      <c r="AF14" s="14"/>
      <c r="AG14" s="37"/>
      <c r="AH14" s="37"/>
      <c r="AM14" s="20"/>
      <c r="AN14" s="20"/>
      <c r="AO14" s="20"/>
      <c r="AP14" s="20"/>
      <c r="AQ14" s="20"/>
      <c r="AR14" s="20"/>
    </row>
    <row r="15" spans="1:44" x14ac:dyDescent="0.35">
      <c r="A15" s="7" t="s">
        <v>30</v>
      </c>
      <c r="B15" s="8" t="s">
        <v>1187</v>
      </c>
      <c r="C15" s="8" t="s">
        <v>1187</v>
      </c>
      <c r="D15" s="8" t="s">
        <v>1187</v>
      </c>
      <c r="E15" s="8" t="s">
        <v>1187</v>
      </c>
      <c r="F15" s="8" t="s">
        <v>1187</v>
      </c>
      <c r="G15" s="8" t="s">
        <v>1187</v>
      </c>
      <c r="H15" s="8" t="s">
        <v>1187</v>
      </c>
      <c r="I15" s="8" t="s">
        <v>1187</v>
      </c>
      <c r="J15" s="8" t="s">
        <v>1187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41">
        <f>COUNTA(B15:AF15)</f>
        <v>9</v>
      </c>
      <c r="AH15" s="42">
        <f>AG15*100/28</f>
        <v>32.142857142857146</v>
      </c>
      <c r="AM15" s="20"/>
      <c r="AN15" s="20"/>
      <c r="AO15" s="20"/>
      <c r="AP15" s="20"/>
      <c r="AQ15" s="20"/>
      <c r="AR15" s="20"/>
    </row>
    <row r="16" spans="1:44" x14ac:dyDescent="0.35">
      <c r="A16" s="113" t="s">
        <v>35</v>
      </c>
      <c r="B16" s="8"/>
      <c r="C16" s="8"/>
      <c r="D16" s="8"/>
      <c r="E16" s="8" t="s">
        <v>739</v>
      </c>
      <c r="F16" s="8" t="s">
        <v>739</v>
      </c>
      <c r="G16" s="8" t="s">
        <v>739</v>
      </c>
      <c r="H16" s="8"/>
      <c r="I16" s="26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41">
        <f t="shared" ref="AG16:AG22" si="6">COUNTA(B16:AF16)</f>
        <v>3</v>
      </c>
      <c r="AH16" s="42">
        <f>AG16*100/28</f>
        <v>10.714285714285714</v>
      </c>
      <c r="AM16" s="20"/>
      <c r="AN16" s="20"/>
      <c r="AO16" s="56"/>
      <c r="AP16" s="56"/>
      <c r="AQ16" s="20"/>
      <c r="AR16" s="20"/>
    </row>
    <row r="17" spans="1:50" x14ac:dyDescent="0.35">
      <c r="A17" s="7" t="s">
        <v>39</v>
      </c>
      <c r="B17" s="8" t="s">
        <v>361</v>
      </c>
      <c r="C17" s="8" t="s">
        <v>361</v>
      </c>
      <c r="D17" s="8" t="s">
        <v>361</v>
      </c>
      <c r="E17" s="8" t="s">
        <v>361</v>
      </c>
      <c r="F17" s="8" t="s">
        <v>361</v>
      </c>
      <c r="G17" s="8" t="s">
        <v>361</v>
      </c>
      <c r="H17" s="8" t="s">
        <v>361</v>
      </c>
      <c r="I17" s="8" t="s">
        <v>361</v>
      </c>
      <c r="J17" s="8" t="s">
        <v>361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41">
        <f t="shared" si="6"/>
        <v>9</v>
      </c>
      <c r="AH17" s="42">
        <f t="shared" ref="AH17:AH22" si="7">AG17*100/28</f>
        <v>32.142857142857146</v>
      </c>
      <c r="AM17" s="20"/>
      <c r="AN17" s="20"/>
      <c r="AO17" s="20"/>
      <c r="AP17" s="20"/>
      <c r="AQ17" s="20"/>
      <c r="AR17" s="20"/>
      <c r="AX17" s="58"/>
    </row>
    <row r="18" spans="1:50" x14ac:dyDescent="0.35">
      <c r="A18" s="113" t="s">
        <v>42</v>
      </c>
      <c r="B18" s="8" t="s">
        <v>1177</v>
      </c>
      <c r="C18" s="8" t="s">
        <v>1177</v>
      </c>
      <c r="D18" s="8" t="s">
        <v>1177</v>
      </c>
      <c r="E18" s="8" t="s">
        <v>1177</v>
      </c>
      <c r="F18" s="8" t="s">
        <v>1177</v>
      </c>
      <c r="G18" s="8" t="s">
        <v>1177</v>
      </c>
      <c r="H18" s="8" t="s">
        <v>1177</v>
      </c>
      <c r="I18" s="8" t="s">
        <v>1177</v>
      </c>
      <c r="J18" s="8" t="s">
        <v>1177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41">
        <f t="shared" si="6"/>
        <v>9</v>
      </c>
      <c r="AH18" s="42">
        <f t="shared" si="7"/>
        <v>32.142857142857146</v>
      </c>
      <c r="AM18" s="20"/>
      <c r="AN18" s="20"/>
      <c r="AO18" s="20"/>
      <c r="AP18" s="20"/>
      <c r="AQ18" s="20"/>
      <c r="AR18" s="20"/>
      <c r="AX18" s="58"/>
    </row>
    <row r="19" spans="1:50" x14ac:dyDescent="0.35">
      <c r="A19" s="7" t="s">
        <v>45</v>
      </c>
      <c r="B19" s="8" t="s">
        <v>65</v>
      </c>
      <c r="C19" s="8" t="s">
        <v>65</v>
      </c>
      <c r="D19" s="8" t="s">
        <v>65</v>
      </c>
      <c r="E19" s="8" t="s">
        <v>65</v>
      </c>
      <c r="F19" s="8" t="s">
        <v>65</v>
      </c>
      <c r="G19" s="8" t="s">
        <v>65</v>
      </c>
      <c r="H19" s="8" t="s">
        <v>65</v>
      </c>
      <c r="I19" s="8" t="s">
        <v>65</v>
      </c>
      <c r="J19" s="8" t="s">
        <v>65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41">
        <f t="shared" si="6"/>
        <v>9</v>
      </c>
      <c r="AH19" s="42">
        <f t="shared" si="7"/>
        <v>32.142857142857146</v>
      </c>
      <c r="AM19" s="20"/>
      <c r="AN19" s="20"/>
      <c r="AO19" s="20"/>
      <c r="AP19" s="20"/>
      <c r="AQ19" s="20"/>
      <c r="AR19" s="20"/>
      <c r="AX19" s="58"/>
    </row>
    <row r="20" spans="1:50" x14ac:dyDescent="0.35">
      <c r="A20" s="113" t="s">
        <v>47</v>
      </c>
      <c r="B20" s="8" t="s">
        <v>682</v>
      </c>
      <c r="C20" s="8" t="s">
        <v>682</v>
      </c>
      <c r="D20" s="8" t="s">
        <v>682</v>
      </c>
      <c r="E20" s="8" t="s">
        <v>682</v>
      </c>
      <c r="F20" s="8" t="s">
        <v>682</v>
      </c>
      <c r="G20" s="8" t="s">
        <v>682</v>
      </c>
      <c r="H20" s="8" t="s">
        <v>682</v>
      </c>
      <c r="I20" s="8" t="s">
        <v>682</v>
      </c>
      <c r="J20" s="8" t="s">
        <v>682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41">
        <f t="shared" si="6"/>
        <v>9</v>
      </c>
      <c r="AH20" s="42">
        <f t="shared" si="7"/>
        <v>32.142857142857146</v>
      </c>
      <c r="AM20" s="20"/>
      <c r="AN20" s="20"/>
      <c r="AO20" s="20"/>
      <c r="AP20" s="20"/>
      <c r="AQ20" s="20"/>
      <c r="AR20" s="20"/>
      <c r="AX20" s="58"/>
    </row>
    <row r="21" spans="1:50" x14ac:dyDescent="0.35">
      <c r="A21" s="7" t="s">
        <v>50</v>
      </c>
      <c r="B21" s="8" t="s">
        <v>682</v>
      </c>
      <c r="C21" s="8" t="s">
        <v>682</v>
      </c>
      <c r="D21" s="8" t="s">
        <v>682</v>
      </c>
      <c r="E21" s="8" t="s">
        <v>682</v>
      </c>
      <c r="F21" s="8" t="s">
        <v>682</v>
      </c>
      <c r="G21" s="8" t="s">
        <v>682</v>
      </c>
      <c r="H21" s="8" t="s">
        <v>682</v>
      </c>
      <c r="I21" s="8" t="s">
        <v>682</v>
      </c>
      <c r="J21" s="8" t="s">
        <v>682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41">
        <f t="shared" si="6"/>
        <v>9</v>
      </c>
      <c r="AH21" s="42">
        <f t="shared" si="7"/>
        <v>32.142857142857146</v>
      </c>
      <c r="AM21" s="20"/>
      <c r="AN21" s="20"/>
      <c r="AO21" s="20"/>
      <c r="AP21" s="20"/>
      <c r="AQ21" s="20"/>
      <c r="AR21" s="20"/>
      <c r="AX21" s="58"/>
    </row>
    <row r="22" spans="1:50" ht="15" thickBot="1" x14ac:dyDescent="0.4">
      <c r="A22" s="113" t="s">
        <v>51</v>
      </c>
      <c r="B22" s="8"/>
      <c r="C22" s="8"/>
      <c r="D22" s="8"/>
      <c r="E22" s="8" t="s">
        <v>981</v>
      </c>
      <c r="F22" s="8" t="s">
        <v>981</v>
      </c>
      <c r="G22" s="8" t="s">
        <v>981</v>
      </c>
      <c r="H22" s="8"/>
      <c r="I22" s="26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41">
        <f t="shared" si="6"/>
        <v>3</v>
      </c>
      <c r="AH22" s="42">
        <f t="shared" si="7"/>
        <v>10.714285714285714</v>
      </c>
      <c r="AX22" s="58"/>
    </row>
    <row r="23" spans="1:50" ht="15.5" x14ac:dyDescent="0.35">
      <c r="A23" s="45" t="s">
        <v>176</v>
      </c>
      <c r="B23" s="46">
        <f>COUNTA(B15:B22)</f>
        <v>6</v>
      </c>
      <c r="C23" s="46">
        <f>COUNTA(C16:C22)</f>
        <v>5</v>
      </c>
      <c r="D23" s="46">
        <f>COUNTA(D16:D22)</f>
        <v>5</v>
      </c>
      <c r="E23" s="46">
        <f t="shared" ref="E23:AF23" si="8">COUNTA(E15:E22)</f>
        <v>8</v>
      </c>
      <c r="F23" s="46">
        <f t="shared" si="8"/>
        <v>8</v>
      </c>
      <c r="G23" s="46">
        <f t="shared" si="8"/>
        <v>8</v>
      </c>
      <c r="H23" s="46">
        <f t="shared" si="8"/>
        <v>6</v>
      </c>
      <c r="I23" s="46">
        <f t="shared" si="8"/>
        <v>6</v>
      </c>
      <c r="J23" s="46">
        <f t="shared" si="8"/>
        <v>6</v>
      </c>
      <c r="K23" s="46">
        <f t="shared" si="8"/>
        <v>0</v>
      </c>
      <c r="L23" s="46">
        <f t="shared" si="8"/>
        <v>0</v>
      </c>
      <c r="M23" s="46">
        <f t="shared" si="8"/>
        <v>0</v>
      </c>
      <c r="N23" s="46">
        <f t="shared" si="8"/>
        <v>0</v>
      </c>
      <c r="O23" s="46">
        <f t="shared" si="8"/>
        <v>0</v>
      </c>
      <c r="P23" s="46">
        <f t="shared" si="8"/>
        <v>0</v>
      </c>
      <c r="Q23" s="46">
        <f t="shared" si="8"/>
        <v>0</v>
      </c>
      <c r="R23" s="46">
        <f t="shared" si="8"/>
        <v>0</v>
      </c>
      <c r="S23" s="46">
        <f t="shared" si="8"/>
        <v>0</v>
      </c>
      <c r="T23" s="46">
        <f>COUNTA(T15:T22)</f>
        <v>0</v>
      </c>
      <c r="U23" s="46">
        <f t="shared" si="8"/>
        <v>0</v>
      </c>
      <c r="V23" s="46">
        <f t="shared" si="8"/>
        <v>0</v>
      </c>
      <c r="W23" s="46">
        <f t="shared" si="8"/>
        <v>0</v>
      </c>
      <c r="X23" s="46">
        <f t="shared" si="8"/>
        <v>0</v>
      </c>
      <c r="Y23" s="46">
        <f t="shared" si="8"/>
        <v>0</v>
      </c>
      <c r="Z23" s="46">
        <f t="shared" si="8"/>
        <v>0</v>
      </c>
      <c r="AA23" s="46">
        <f t="shared" si="8"/>
        <v>0</v>
      </c>
      <c r="AB23" s="46">
        <f t="shared" si="8"/>
        <v>0</v>
      </c>
      <c r="AC23" s="46">
        <f t="shared" si="8"/>
        <v>0</v>
      </c>
      <c r="AD23" s="46">
        <f t="shared" si="8"/>
        <v>0</v>
      </c>
      <c r="AE23" s="46">
        <f t="shared" si="8"/>
        <v>0</v>
      </c>
      <c r="AF23" s="46">
        <f t="shared" si="8"/>
        <v>0</v>
      </c>
      <c r="AG23" s="43">
        <f>SUM(AG15:AG22)</f>
        <v>60</v>
      </c>
      <c r="AX23" s="58"/>
    </row>
    <row r="24" spans="1:50" ht="15.5" x14ac:dyDescent="0.35">
      <c r="A24" s="47" t="s">
        <v>178</v>
      </c>
      <c r="B24" s="52">
        <f>B12+B23</f>
        <v>7</v>
      </c>
      <c r="C24" s="52">
        <f t="shared" ref="C24:AF24" si="9">C12+C23</f>
        <v>7</v>
      </c>
      <c r="D24" s="52">
        <f t="shared" si="9"/>
        <v>7</v>
      </c>
      <c r="E24" s="52">
        <f t="shared" si="9"/>
        <v>10</v>
      </c>
      <c r="F24" s="52">
        <f t="shared" si="9"/>
        <v>10</v>
      </c>
      <c r="G24" s="52">
        <f t="shared" si="9"/>
        <v>9</v>
      </c>
      <c r="H24" s="52">
        <f t="shared" si="9"/>
        <v>7</v>
      </c>
      <c r="I24" s="52">
        <f t="shared" si="9"/>
        <v>11</v>
      </c>
      <c r="J24" s="52">
        <f t="shared" si="9"/>
        <v>11</v>
      </c>
      <c r="K24" s="52">
        <f t="shared" si="9"/>
        <v>0</v>
      </c>
      <c r="L24" s="52">
        <f t="shared" si="9"/>
        <v>0</v>
      </c>
      <c r="M24" s="52">
        <f t="shared" si="9"/>
        <v>0</v>
      </c>
      <c r="N24" s="52">
        <f t="shared" si="9"/>
        <v>0</v>
      </c>
      <c r="O24" s="52">
        <f t="shared" si="9"/>
        <v>0</v>
      </c>
      <c r="P24" s="52">
        <f t="shared" si="9"/>
        <v>0</v>
      </c>
      <c r="Q24" s="52">
        <f t="shared" si="9"/>
        <v>0</v>
      </c>
      <c r="R24" s="52">
        <f t="shared" si="9"/>
        <v>0</v>
      </c>
      <c r="S24" s="52">
        <f t="shared" si="9"/>
        <v>0</v>
      </c>
      <c r="T24" s="52">
        <f t="shared" si="9"/>
        <v>0</v>
      </c>
      <c r="U24" s="52">
        <f t="shared" si="9"/>
        <v>0</v>
      </c>
      <c r="V24" s="52">
        <f t="shared" si="9"/>
        <v>0</v>
      </c>
      <c r="W24" s="52">
        <f t="shared" si="9"/>
        <v>0</v>
      </c>
      <c r="X24" s="52">
        <f t="shared" si="9"/>
        <v>0</v>
      </c>
      <c r="Y24" s="52">
        <f t="shared" si="9"/>
        <v>0</v>
      </c>
      <c r="Z24" s="52">
        <f t="shared" si="9"/>
        <v>0</v>
      </c>
      <c r="AA24" s="52">
        <f t="shared" si="9"/>
        <v>0</v>
      </c>
      <c r="AB24" s="52">
        <f t="shared" si="9"/>
        <v>0</v>
      </c>
      <c r="AC24" s="52">
        <f t="shared" si="9"/>
        <v>0</v>
      </c>
      <c r="AD24" s="52">
        <f t="shared" si="9"/>
        <v>0</v>
      </c>
      <c r="AE24" s="52">
        <f t="shared" si="9"/>
        <v>0</v>
      </c>
      <c r="AF24" s="52">
        <f t="shared" si="9"/>
        <v>0</v>
      </c>
      <c r="AG24" s="49">
        <f>+AG12+AG23</f>
        <v>81</v>
      </c>
      <c r="AX24" s="58"/>
    </row>
    <row r="25" spans="1:50" ht="15.5" x14ac:dyDescent="0.35">
      <c r="A25" s="48" t="s">
        <v>179</v>
      </c>
      <c r="B25" s="42">
        <f>B24*100/15</f>
        <v>46.666666666666664</v>
      </c>
      <c r="C25" s="42">
        <f t="shared" ref="C25:AF25" si="10">C24*100/15</f>
        <v>46.666666666666664</v>
      </c>
      <c r="D25" s="42">
        <f t="shared" si="10"/>
        <v>46.666666666666664</v>
      </c>
      <c r="E25" s="42">
        <f t="shared" si="10"/>
        <v>66.666666666666671</v>
      </c>
      <c r="F25" s="42">
        <f t="shared" si="10"/>
        <v>66.666666666666671</v>
      </c>
      <c r="G25" s="42">
        <f t="shared" si="10"/>
        <v>60</v>
      </c>
      <c r="H25" s="42">
        <f t="shared" si="10"/>
        <v>46.666666666666664</v>
      </c>
      <c r="I25" s="42">
        <f t="shared" si="10"/>
        <v>73.333333333333329</v>
      </c>
      <c r="J25" s="42">
        <f t="shared" si="10"/>
        <v>73.333333333333329</v>
      </c>
      <c r="K25" s="42">
        <f t="shared" si="10"/>
        <v>0</v>
      </c>
      <c r="L25" s="42">
        <f t="shared" si="10"/>
        <v>0</v>
      </c>
      <c r="M25" s="42">
        <f t="shared" si="10"/>
        <v>0</v>
      </c>
      <c r="N25" s="42">
        <f t="shared" si="10"/>
        <v>0</v>
      </c>
      <c r="O25" s="42">
        <f t="shared" si="10"/>
        <v>0</v>
      </c>
      <c r="P25" s="42">
        <f t="shared" si="10"/>
        <v>0</v>
      </c>
      <c r="Q25" s="42">
        <f t="shared" si="10"/>
        <v>0</v>
      </c>
      <c r="R25" s="42">
        <f t="shared" si="10"/>
        <v>0</v>
      </c>
      <c r="S25" s="42">
        <f t="shared" si="10"/>
        <v>0</v>
      </c>
      <c r="T25" s="42">
        <f t="shared" si="10"/>
        <v>0</v>
      </c>
      <c r="U25" s="42">
        <f t="shared" si="10"/>
        <v>0</v>
      </c>
      <c r="V25" s="42">
        <f t="shared" si="10"/>
        <v>0</v>
      </c>
      <c r="W25" s="42">
        <f t="shared" si="10"/>
        <v>0</v>
      </c>
      <c r="X25" s="42">
        <f t="shared" si="10"/>
        <v>0</v>
      </c>
      <c r="Y25" s="42">
        <f t="shared" si="10"/>
        <v>0</v>
      </c>
      <c r="Z25" s="42">
        <f t="shared" si="10"/>
        <v>0</v>
      </c>
      <c r="AA25" s="42">
        <f t="shared" si="10"/>
        <v>0</v>
      </c>
      <c r="AB25" s="42">
        <f t="shared" si="10"/>
        <v>0</v>
      </c>
      <c r="AC25" s="42">
        <f t="shared" si="10"/>
        <v>0</v>
      </c>
      <c r="AD25" s="42">
        <f t="shared" si="10"/>
        <v>0</v>
      </c>
      <c r="AE25" s="42">
        <f t="shared" si="10"/>
        <v>0</v>
      </c>
      <c r="AF25" s="42">
        <f t="shared" si="10"/>
        <v>0</v>
      </c>
      <c r="AG25" s="50">
        <f>AVERAGE(B25:AE25)</f>
        <v>17.555555555555557</v>
      </c>
      <c r="AH25" s="51" t="s">
        <v>180</v>
      </c>
      <c r="AX25" s="58"/>
    </row>
    <row r="26" spans="1:50" x14ac:dyDescent="0.35">
      <c r="AX26" s="58"/>
    </row>
    <row r="30" spans="1:50" x14ac:dyDescent="0.35">
      <c r="R30" s="55"/>
    </row>
    <row r="31" spans="1:50" x14ac:dyDescent="0.35">
      <c r="C31" s="92"/>
    </row>
    <row r="32" spans="1:50" x14ac:dyDescent="0.35">
      <c r="C32" s="92"/>
    </row>
    <row r="33" spans="3:3" x14ac:dyDescent="0.35">
      <c r="C33" s="93"/>
    </row>
    <row r="34" spans="3:3" x14ac:dyDescent="0.35">
      <c r="C34" s="93"/>
    </row>
    <row r="35" spans="3:3" x14ac:dyDescent="0.35">
      <c r="C35" s="92"/>
    </row>
    <row r="36" spans="3:3" x14ac:dyDescent="0.35">
      <c r="C36" s="92"/>
    </row>
    <row r="37" spans="3:3" x14ac:dyDescent="0.35">
      <c r="C37" s="92"/>
    </row>
    <row r="38" spans="3:3" x14ac:dyDescent="0.35">
      <c r="C38" s="92"/>
    </row>
    <row r="39" spans="3:3" x14ac:dyDescent="0.35">
      <c r="C39" s="92"/>
    </row>
    <row r="40" spans="3:3" x14ac:dyDescent="0.35">
      <c r="C40" s="92"/>
    </row>
    <row r="41" spans="3:3" x14ac:dyDescent="0.35">
      <c r="C41" s="92"/>
    </row>
    <row r="42" spans="3:3" x14ac:dyDescent="0.35">
      <c r="C42" s="92"/>
    </row>
    <row r="43" spans="3:3" x14ac:dyDescent="0.35">
      <c r="C43" s="92"/>
    </row>
  </sheetData>
  <mergeCells count="2">
    <mergeCell ref="A1:AE1"/>
    <mergeCell ref="AM3:AR3"/>
  </mergeCells>
  <conditionalFormatting sqref="B15:B22 C17:J21 C15:J15">
    <cfRule type="colorScale" priority="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6:J6">
    <cfRule type="colorScale" priority="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5:T5 N9:N11 AC5:AF11 U5:AB7 Q10:AB10 O8:AB9 O11:AB11 B7:T7 K8:N8 B8:J11">
    <cfRule type="colorScale" priority="10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C16:AF16 K17:AF21 C22:AF22 K15:AF15">
    <cfRule type="colorScale" priority="8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K9:M11">
    <cfRule type="colorScale" priority="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K6:T6">
    <cfRule type="colorScale" priority="7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L13:U14 B13:I14 X13:AH14">
    <cfRule type="colorScale" priority="1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O10:P10">
    <cfRule type="colorScale" priority="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R30">
    <cfRule type="colorScale" priority="9">
      <colorScale>
        <cfvo type="num" val="1"/>
        <cfvo type="max"/>
        <color theme="4" tint="0.59999389629810485"/>
        <color theme="5" tint="0.59999389629810485"/>
      </colorScale>
    </cfRule>
  </conditionalFormatting>
  <pageMargins left="0.2" right="0.45" top="0.75" bottom="0.75" header="0.3" footer="0.3"/>
  <pageSetup scale="90" orientation="landscape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27B1C-B0D0-4869-A578-30D8532B76FB}">
  <dimension ref="A1:AX43"/>
  <sheetViews>
    <sheetView zoomScaleNormal="100" workbookViewId="0">
      <pane xSplit="1" ySplit="4" topLeftCell="AB18" activePane="bottomRight" state="frozen"/>
      <selection pane="topRight" activeCell="B1" sqref="B1"/>
      <selection pane="bottomLeft" activeCell="A5" sqref="A5"/>
      <selection pane="bottomRight" activeCell="AE20" sqref="AE20"/>
    </sheetView>
  </sheetViews>
  <sheetFormatPr defaultRowHeight="14.5" x14ac:dyDescent="0.35"/>
  <cols>
    <col min="1" max="1" width="43.54296875" bestFit="1" customWidth="1"/>
    <col min="2" max="7" width="12.54296875" bestFit="1" customWidth="1"/>
    <col min="8" max="8" width="17.453125" customWidth="1"/>
    <col min="9" max="9" width="13.453125" bestFit="1" customWidth="1"/>
    <col min="10" max="13" width="11.81640625" bestFit="1" customWidth="1"/>
    <col min="14" max="19" width="12.26953125" bestFit="1" customWidth="1"/>
    <col min="20" max="20" width="12.81640625" bestFit="1" customWidth="1"/>
    <col min="21" max="21" width="11.81640625" bestFit="1" customWidth="1"/>
    <col min="22" max="29" width="12.81640625" bestFit="1" customWidth="1"/>
    <col min="30" max="30" width="12.54296875" customWidth="1"/>
    <col min="31" max="31" width="12.7265625" customWidth="1"/>
    <col min="32" max="32" width="16.453125" hidden="1" customWidth="1"/>
    <col min="33" max="33" width="4.7265625" bestFit="1" customWidth="1"/>
    <col min="34" max="34" width="8.453125" bestFit="1" customWidth="1"/>
    <col min="35" max="35" width="11.54296875" bestFit="1" customWidth="1"/>
    <col min="36" max="36" width="14.1796875" bestFit="1" customWidth="1"/>
    <col min="37" max="37" width="0" hidden="1" customWidth="1"/>
    <col min="38" max="38" width="3" hidden="1" customWidth="1"/>
    <col min="39" max="39" width="17.81640625" bestFit="1" customWidth="1"/>
    <col min="40" max="40" width="9.1796875" bestFit="1" customWidth="1"/>
    <col min="41" max="41" width="9.81640625" bestFit="1" customWidth="1"/>
    <col min="42" max="42" width="10.81640625" bestFit="1" customWidth="1"/>
    <col min="43" max="43" width="10.1796875" bestFit="1" customWidth="1"/>
    <col min="44" max="44" width="23.1796875" bestFit="1" customWidth="1"/>
    <col min="45" max="45" width="0.453125" hidden="1" customWidth="1"/>
    <col min="46" max="49" width="0" hidden="1" customWidth="1"/>
    <col min="51" max="51" width="15" bestFit="1" customWidth="1"/>
  </cols>
  <sheetData>
    <row r="1" spans="1:44" ht="15.5" x14ac:dyDescent="0.35">
      <c r="A1" s="120" t="s">
        <v>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1"/>
      <c r="AE1" s="121"/>
      <c r="AF1" s="65"/>
    </row>
    <row r="2" spans="1:44" ht="15" thickBot="1" x14ac:dyDescent="0.4"/>
    <row r="3" spans="1:44" ht="45.75" customHeight="1" x14ac:dyDescent="0.35">
      <c r="A3" s="1" t="s">
        <v>1</v>
      </c>
      <c r="B3" s="2">
        <f>AI4</f>
        <v>46204</v>
      </c>
      <c r="C3" s="2">
        <f t="shared" ref="C3:AF3" si="0">B3+1</f>
        <v>46205</v>
      </c>
      <c r="D3" s="2">
        <f t="shared" si="0"/>
        <v>46206</v>
      </c>
      <c r="E3" s="2">
        <f t="shared" si="0"/>
        <v>46207</v>
      </c>
      <c r="F3" s="2">
        <f t="shared" si="0"/>
        <v>46208</v>
      </c>
      <c r="G3" s="2">
        <f t="shared" si="0"/>
        <v>46209</v>
      </c>
      <c r="H3" s="2">
        <f t="shared" si="0"/>
        <v>46210</v>
      </c>
      <c r="I3" s="2">
        <f>H3+1</f>
        <v>46211</v>
      </c>
      <c r="J3" s="2">
        <f t="shared" si="0"/>
        <v>46212</v>
      </c>
      <c r="K3" s="2">
        <f t="shared" si="0"/>
        <v>46213</v>
      </c>
      <c r="L3" s="2">
        <f t="shared" si="0"/>
        <v>46214</v>
      </c>
      <c r="M3" s="2">
        <f t="shared" si="0"/>
        <v>46215</v>
      </c>
      <c r="N3" s="2">
        <f t="shared" si="0"/>
        <v>46216</v>
      </c>
      <c r="O3" s="2">
        <f t="shared" si="0"/>
        <v>46217</v>
      </c>
      <c r="P3" s="2">
        <f t="shared" si="0"/>
        <v>46218</v>
      </c>
      <c r="Q3" s="2">
        <f t="shared" si="0"/>
        <v>46219</v>
      </c>
      <c r="R3" s="2">
        <f t="shared" si="0"/>
        <v>46220</v>
      </c>
      <c r="S3" s="2">
        <f t="shared" si="0"/>
        <v>46221</v>
      </c>
      <c r="T3" s="2">
        <f t="shared" si="0"/>
        <v>46222</v>
      </c>
      <c r="U3" s="2">
        <f t="shared" si="0"/>
        <v>46223</v>
      </c>
      <c r="V3" s="2">
        <f t="shared" si="0"/>
        <v>46224</v>
      </c>
      <c r="W3" s="2">
        <f t="shared" si="0"/>
        <v>46225</v>
      </c>
      <c r="X3" s="2">
        <f t="shared" si="0"/>
        <v>46226</v>
      </c>
      <c r="Y3" s="2">
        <f t="shared" si="0"/>
        <v>46227</v>
      </c>
      <c r="Z3" s="2">
        <f t="shared" si="0"/>
        <v>46228</v>
      </c>
      <c r="AA3" s="2">
        <f t="shared" si="0"/>
        <v>46229</v>
      </c>
      <c r="AB3" s="2">
        <f t="shared" si="0"/>
        <v>46230</v>
      </c>
      <c r="AC3" s="2">
        <f t="shared" si="0"/>
        <v>46231</v>
      </c>
      <c r="AD3" s="2">
        <f t="shared" si="0"/>
        <v>46232</v>
      </c>
      <c r="AE3" s="2">
        <f t="shared" si="0"/>
        <v>46233</v>
      </c>
      <c r="AF3" s="2">
        <f t="shared" si="0"/>
        <v>46234</v>
      </c>
      <c r="AG3" s="36"/>
      <c r="AH3" s="36"/>
      <c r="AM3" s="122" t="s">
        <v>267</v>
      </c>
      <c r="AN3" s="123"/>
      <c r="AO3" s="123"/>
      <c r="AP3" s="123"/>
      <c r="AQ3" s="123"/>
      <c r="AR3" s="124"/>
    </row>
    <row r="4" spans="1:44" ht="31.5" customHeight="1" x14ac:dyDescent="0.35">
      <c r="A4" s="3" t="s">
        <v>2</v>
      </c>
      <c r="B4" s="4">
        <f t="shared" ref="B4:AF4" si="1">B3</f>
        <v>46204</v>
      </c>
      <c r="C4" s="4">
        <f t="shared" si="1"/>
        <v>46205</v>
      </c>
      <c r="D4" s="4">
        <f t="shared" si="1"/>
        <v>46206</v>
      </c>
      <c r="E4" s="4">
        <f t="shared" si="1"/>
        <v>46207</v>
      </c>
      <c r="F4" s="4">
        <f t="shared" si="1"/>
        <v>46208</v>
      </c>
      <c r="G4" s="4">
        <f t="shared" si="1"/>
        <v>46209</v>
      </c>
      <c r="H4" s="4">
        <f t="shared" si="1"/>
        <v>46210</v>
      </c>
      <c r="I4" s="4">
        <f t="shared" si="1"/>
        <v>46211</v>
      </c>
      <c r="J4" s="4">
        <f t="shared" si="1"/>
        <v>46212</v>
      </c>
      <c r="K4" s="4">
        <f t="shared" si="1"/>
        <v>46213</v>
      </c>
      <c r="L4" s="4">
        <f t="shared" si="1"/>
        <v>46214</v>
      </c>
      <c r="M4" s="4">
        <f t="shared" si="1"/>
        <v>46215</v>
      </c>
      <c r="N4" s="4">
        <f t="shared" si="1"/>
        <v>46216</v>
      </c>
      <c r="O4" s="4">
        <f t="shared" si="1"/>
        <v>46217</v>
      </c>
      <c r="P4" s="4">
        <f t="shared" si="1"/>
        <v>46218</v>
      </c>
      <c r="Q4" s="4">
        <f t="shared" si="1"/>
        <v>46219</v>
      </c>
      <c r="R4" s="4">
        <f t="shared" si="1"/>
        <v>46220</v>
      </c>
      <c r="S4" s="4">
        <f t="shared" si="1"/>
        <v>46221</v>
      </c>
      <c r="T4" s="4">
        <f t="shared" si="1"/>
        <v>46222</v>
      </c>
      <c r="U4" s="4">
        <f t="shared" si="1"/>
        <v>46223</v>
      </c>
      <c r="V4" s="4">
        <f t="shared" si="1"/>
        <v>46224</v>
      </c>
      <c r="W4" s="4">
        <f t="shared" si="1"/>
        <v>46225</v>
      </c>
      <c r="X4" s="4">
        <f t="shared" si="1"/>
        <v>46226</v>
      </c>
      <c r="Y4" s="4">
        <f t="shared" si="1"/>
        <v>46227</v>
      </c>
      <c r="Z4" s="4">
        <f t="shared" si="1"/>
        <v>46228</v>
      </c>
      <c r="AA4" s="4">
        <f t="shared" si="1"/>
        <v>46229</v>
      </c>
      <c r="AB4" s="4">
        <f t="shared" si="1"/>
        <v>46230</v>
      </c>
      <c r="AC4" s="4">
        <f t="shared" si="1"/>
        <v>46231</v>
      </c>
      <c r="AD4" s="4">
        <f t="shared" si="1"/>
        <v>46232</v>
      </c>
      <c r="AE4" s="4">
        <f t="shared" si="1"/>
        <v>46233</v>
      </c>
      <c r="AF4" s="4">
        <f t="shared" si="1"/>
        <v>46234</v>
      </c>
      <c r="AG4" s="39" t="s">
        <v>174</v>
      </c>
      <c r="AH4" s="40" t="s">
        <v>175</v>
      </c>
      <c r="AI4" s="5">
        <v>46204</v>
      </c>
      <c r="AJ4" s="6">
        <f>EOMONTH(AI4,0)</f>
        <v>46234</v>
      </c>
      <c r="AM4" s="19" t="s">
        <v>54</v>
      </c>
      <c r="AN4" s="19" t="s">
        <v>269</v>
      </c>
      <c r="AO4" s="19" t="s">
        <v>55</v>
      </c>
      <c r="AP4" s="19" t="s">
        <v>56</v>
      </c>
      <c r="AQ4" s="19" t="s">
        <v>251</v>
      </c>
      <c r="AR4" s="19" t="s">
        <v>57</v>
      </c>
    </row>
    <row r="5" spans="1:44" x14ac:dyDescent="0.35">
      <c r="A5" s="7" t="s">
        <v>3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 t="s">
        <v>1188</v>
      </c>
      <c r="AC5" s="55" t="s">
        <v>1188</v>
      </c>
      <c r="AD5" s="55"/>
      <c r="AE5" s="55"/>
      <c r="AF5" s="55"/>
      <c r="AG5" s="41">
        <f>COUNTA(B5:AF5)</f>
        <v>2</v>
      </c>
      <c r="AH5" s="42">
        <f>AG5*100/28</f>
        <v>7.1428571428571432</v>
      </c>
      <c r="AM5" s="20"/>
      <c r="AN5" s="56"/>
      <c r="AO5" s="56"/>
      <c r="AP5" s="56"/>
      <c r="AQ5" s="57"/>
      <c r="AR5" s="20"/>
    </row>
    <row r="6" spans="1:44" x14ac:dyDescent="0.35">
      <c r="A6" s="7" t="s">
        <v>7</v>
      </c>
      <c r="B6" s="55" t="s">
        <v>1085</v>
      </c>
      <c r="C6" s="55" t="s">
        <v>1085</v>
      </c>
      <c r="D6" s="55" t="s">
        <v>1085</v>
      </c>
      <c r="E6" s="55" t="s">
        <v>1085</v>
      </c>
      <c r="F6" s="55" t="s">
        <v>1085</v>
      </c>
      <c r="G6" s="55" t="s">
        <v>1085</v>
      </c>
      <c r="H6" s="55" t="s">
        <v>1085</v>
      </c>
      <c r="I6" s="55" t="s">
        <v>1085</v>
      </c>
      <c r="J6" s="55" t="s">
        <v>1085</v>
      </c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 t="s">
        <v>1190</v>
      </c>
      <c r="AC6" s="55" t="s">
        <v>1190</v>
      </c>
      <c r="AD6" s="55"/>
      <c r="AE6" s="55"/>
      <c r="AF6" s="55"/>
      <c r="AG6" s="41">
        <f t="shared" ref="AG6:AG11" si="2">COUNTA(B6:AF6)</f>
        <v>11</v>
      </c>
      <c r="AH6" s="42">
        <f t="shared" ref="AH6:AH11" si="3">AG6*100/28</f>
        <v>39.285714285714285</v>
      </c>
      <c r="AM6" s="20"/>
      <c r="AN6" s="56"/>
      <c r="AO6" s="56"/>
      <c r="AP6" s="56"/>
      <c r="AQ6" s="57"/>
      <c r="AR6" s="20"/>
    </row>
    <row r="7" spans="1:44" x14ac:dyDescent="0.35">
      <c r="A7" s="7" t="s">
        <v>11</v>
      </c>
      <c r="B7" s="55"/>
      <c r="C7" s="55" t="s">
        <v>1043</v>
      </c>
      <c r="D7" s="55" t="s">
        <v>1043</v>
      </c>
      <c r="E7" s="55" t="s">
        <v>1043</v>
      </c>
      <c r="F7" s="55" t="s">
        <v>1043</v>
      </c>
      <c r="G7" s="55"/>
      <c r="H7" s="55"/>
      <c r="I7" s="68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 t="s">
        <v>1077</v>
      </c>
      <c r="AC7" s="55" t="s">
        <v>1077</v>
      </c>
      <c r="AD7" s="55"/>
      <c r="AE7" s="55"/>
      <c r="AF7" s="55"/>
      <c r="AG7" s="41">
        <f t="shared" si="2"/>
        <v>6</v>
      </c>
      <c r="AH7" s="42">
        <f t="shared" si="3"/>
        <v>21.428571428571427</v>
      </c>
      <c r="AM7" s="20"/>
      <c r="AN7" s="56"/>
      <c r="AO7" s="56"/>
      <c r="AP7" s="56"/>
      <c r="AQ7" s="57"/>
      <c r="AR7" s="20"/>
    </row>
    <row r="8" spans="1:44" ht="15" customHeight="1" x14ac:dyDescent="0.35">
      <c r="A8" s="113" t="s">
        <v>15</v>
      </c>
      <c r="B8" s="55"/>
      <c r="C8" s="55"/>
      <c r="D8" s="55"/>
      <c r="E8" s="55"/>
      <c r="F8" s="55"/>
      <c r="G8" s="55"/>
      <c r="H8" s="55"/>
      <c r="I8" s="55" t="s">
        <v>1186</v>
      </c>
      <c r="J8" s="55" t="s">
        <v>1186</v>
      </c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 t="s">
        <v>739</v>
      </c>
      <c r="AC8" s="55" t="s">
        <v>739</v>
      </c>
      <c r="AD8" s="55"/>
      <c r="AE8" s="55"/>
      <c r="AF8" s="55"/>
      <c r="AG8" s="41">
        <f t="shared" si="2"/>
        <v>4</v>
      </c>
      <c r="AH8" s="42">
        <f t="shared" si="3"/>
        <v>14.285714285714286</v>
      </c>
      <c r="AK8" s="9"/>
      <c r="AM8" s="20"/>
      <c r="AN8" s="56"/>
      <c r="AO8" s="56"/>
      <c r="AP8" s="56"/>
      <c r="AQ8" s="57"/>
      <c r="AR8" s="20"/>
    </row>
    <row r="9" spans="1:44" ht="15.75" customHeight="1" x14ac:dyDescent="0.35">
      <c r="A9" s="7" t="s">
        <v>18</v>
      </c>
      <c r="B9" s="55"/>
      <c r="C9" s="55"/>
      <c r="D9" s="55"/>
      <c r="E9" s="55"/>
      <c r="F9" s="55"/>
      <c r="G9" s="55"/>
      <c r="H9" s="55"/>
      <c r="I9" s="55" t="s">
        <v>1186</v>
      </c>
      <c r="J9" s="55" t="s">
        <v>1186</v>
      </c>
      <c r="K9" s="8"/>
      <c r="L9" s="8"/>
      <c r="M9" s="8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 t="s">
        <v>1076</v>
      </c>
      <c r="AC9" s="55" t="s">
        <v>1076</v>
      </c>
      <c r="AD9" s="55"/>
      <c r="AE9" s="55"/>
      <c r="AF9" s="55"/>
      <c r="AG9" s="41">
        <f t="shared" si="2"/>
        <v>4</v>
      </c>
      <c r="AH9" s="42">
        <f t="shared" si="3"/>
        <v>14.285714285714286</v>
      </c>
      <c r="AM9" s="20"/>
      <c r="AN9" s="56"/>
      <c r="AO9" s="56"/>
      <c r="AP9" s="56"/>
      <c r="AQ9" s="57"/>
      <c r="AR9" s="20"/>
    </row>
    <row r="10" spans="1:44" ht="15.75" customHeight="1" x14ac:dyDescent="0.35">
      <c r="A10" s="113" t="s">
        <v>20</v>
      </c>
      <c r="B10" s="55"/>
      <c r="C10" s="55"/>
      <c r="D10" s="55"/>
      <c r="E10" s="55"/>
      <c r="F10" s="55"/>
      <c r="G10" s="55"/>
      <c r="H10" s="55"/>
      <c r="I10" s="55" t="s">
        <v>1186</v>
      </c>
      <c r="J10" s="55" t="s">
        <v>1186</v>
      </c>
      <c r="K10" s="8"/>
      <c r="L10" s="8"/>
      <c r="M10" s="8"/>
      <c r="N10" s="55"/>
      <c r="O10" s="8"/>
      <c r="P10" s="8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 t="s">
        <v>1043</v>
      </c>
      <c r="AC10" s="55" t="s">
        <v>1043</v>
      </c>
      <c r="AD10" s="55"/>
      <c r="AE10" s="55"/>
      <c r="AF10" s="55"/>
      <c r="AG10" s="41">
        <f t="shared" si="2"/>
        <v>4</v>
      </c>
      <c r="AH10" s="42">
        <f t="shared" si="3"/>
        <v>14.285714285714286</v>
      </c>
      <c r="AM10" s="20"/>
      <c r="AN10" s="56"/>
      <c r="AO10" s="56"/>
      <c r="AP10" s="56"/>
      <c r="AQ10" s="57"/>
      <c r="AR10" s="20"/>
    </row>
    <row r="11" spans="1:44" ht="15.75" customHeight="1" thickBot="1" x14ac:dyDescent="0.4">
      <c r="A11" s="7" t="s">
        <v>24</v>
      </c>
      <c r="B11" s="55"/>
      <c r="C11" s="55"/>
      <c r="D11" s="55"/>
      <c r="E11" s="55"/>
      <c r="F11" s="55"/>
      <c r="G11" s="55"/>
      <c r="H11" s="55"/>
      <c r="I11" s="55" t="s">
        <v>1186</v>
      </c>
      <c r="J11" s="55" t="s">
        <v>1186</v>
      </c>
      <c r="K11" s="8"/>
      <c r="L11" s="8"/>
      <c r="M11" s="8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 t="s">
        <v>1189</v>
      </c>
      <c r="AC11" s="55" t="s">
        <v>1189</v>
      </c>
      <c r="AD11" s="55"/>
      <c r="AE11" s="55"/>
      <c r="AF11" s="55"/>
      <c r="AG11" s="41">
        <f t="shared" si="2"/>
        <v>4</v>
      </c>
      <c r="AH11" s="42">
        <f t="shared" si="3"/>
        <v>14.285714285714286</v>
      </c>
      <c r="AM11" s="20"/>
      <c r="AN11" s="56"/>
      <c r="AO11" s="56"/>
      <c r="AP11" s="56"/>
      <c r="AQ11" s="57"/>
      <c r="AR11" s="20"/>
    </row>
    <row r="12" spans="1:44" ht="15" customHeight="1" x14ac:dyDescent="0.35">
      <c r="A12" s="45" t="s">
        <v>176</v>
      </c>
      <c r="B12" s="46">
        <f>COUNTA(B5:B11)</f>
        <v>1</v>
      </c>
      <c r="C12" s="46">
        <f>COUNTA(C5:C11)</f>
        <v>2</v>
      </c>
      <c r="D12" s="46">
        <f t="shared" ref="D12:AF12" si="4">COUNTA(D5:D11)</f>
        <v>2</v>
      </c>
      <c r="E12" s="46">
        <f t="shared" si="4"/>
        <v>2</v>
      </c>
      <c r="F12" s="46">
        <f t="shared" si="4"/>
        <v>2</v>
      </c>
      <c r="G12" s="46">
        <f t="shared" si="4"/>
        <v>1</v>
      </c>
      <c r="H12" s="46">
        <f t="shared" si="4"/>
        <v>1</v>
      </c>
      <c r="I12" s="46">
        <f t="shared" si="4"/>
        <v>5</v>
      </c>
      <c r="J12" s="46">
        <f t="shared" si="4"/>
        <v>5</v>
      </c>
      <c r="K12" s="46">
        <f t="shared" si="4"/>
        <v>0</v>
      </c>
      <c r="L12" s="46">
        <f t="shared" si="4"/>
        <v>0</v>
      </c>
      <c r="M12" s="46">
        <f t="shared" si="4"/>
        <v>0</v>
      </c>
      <c r="N12" s="46">
        <f t="shared" si="4"/>
        <v>0</v>
      </c>
      <c r="O12" s="46">
        <f t="shared" si="4"/>
        <v>0</v>
      </c>
      <c r="P12" s="46">
        <f t="shared" si="4"/>
        <v>0</v>
      </c>
      <c r="Q12" s="46">
        <f t="shared" si="4"/>
        <v>0</v>
      </c>
      <c r="R12" s="46">
        <f t="shared" si="4"/>
        <v>0</v>
      </c>
      <c r="S12" s="46">
        <f t="shared" si="4"/>
        <v>0</v>
      </c>
      <c r="T12" s="46">
        <f t="shared" si="4"/>
        <v>0</v>
      </c>
      <c r="U12" s="46">
        <f t="shared" si="4"/>
        <v>0</v>
      </c>
      <c r="V12" s="46">
        <f t="shared" si="4"/>
        <v>0</v>
      </c>
      <c r="W12" s="46">
        <f t="shared" si="4"/>
        <v>0</v>
      </c>
      <c r="X12" s="46">
        <f t="shared" si="4"/>
        <v>0</v>
      </c>
      <c r="Y12" s="46">
        <f t="shared" si="4"/>
        <v>0</v>
      </c>
      <c r="Z12" s="46">
        <f t="shared" si="4"/>
        <v>0</v>
      </c>
      <c r="AA12" s="46">
        <f t="shared" si="4"/>
        <v>0</v>
      </c>
      <c r="AB12" s="46">
        <f t="shared" si="4"/>
        <v>7</v>
      </c>
      <c r="AC12" s="46">
        <f>COUNTA(AC5:AC11)</f>
        <v>7</v>
      </c>
      <c r="AD12" s="46">
        <f>COUNTA(AD5:AD11)</f>
        <v>0</v>
      </c>
      <c r="AE12" s="46">
        <f>COUNTA(AE5:AE11)</f>
        <v>0</v>
      </c>
      <c r="AF12" s="46">
        <f t="shared" si="4"/>
        <v>0</v>
      </c>
      <c r="AG12" s="43">
        <f t="shared" ref="AG12" si="5">SUM(AG5:AG11)</f>
        <v>35</v>
      </c>
      <c r="AH12" s="44">
        <f>AVERAGE(AH5:AH11)</f>
        <v>17.857142857142861</v>
      </c>
      <c r="AI12" s="29"/>
      <c r="AM12" s="20"/>
      <c r="AN12" s="20"/>
      <c r="AO12" s="20"/>
      <c r="AP12" s="20"/>
      <c r="AQ12" s="20"/>
      <c r="AR12" s="20"/>
    </row>
    <row r="13" spans="1:44" ht="85.5" hidden="1" x14ac:dyDescent="0.35">
      <c r="A13" s="13" t="s">
        <v>28</v>
      </c>
      <c r="B13" s="14"/>
      <c r="C13" s="14"/>
      <c r="D13" s="14"/>
      <c r="E13" s="14"/>
      <c r="F13" s="14"/>
      <c r="G13" s="14"/>
      <c r="H13" s="14"/>
      <c r="I13" s="35"/>
      <c r="J13" s="34"/>
      <c r="K13" s="15"/>
      <c r="L13" s="14"/>
      <c r="M13" s="14"/>
      <c r="N13" s="25"/>
      <c r="O13" s="25"/>
      <c r="P13" s="25"/>
      <c r="Q13" s="14"/>
      <c r="R13" s="14"/>
      <c r="S13" s="14"/>
      <c r="T13" s="14"/>
      <c r="U13" s="14"/>
      <c r="V13" s="15"/>
      <c r="W13" s="15"/>
      <c r="X13" s="14"/>
      <c r="Y13" s="14"/>
      <c r="Z13" s="14"/>
      <c r="AA13" s="14"/>
      <c r="AB13" s="14"/>
      <c r="AC13" s="14"/>
      <c r="AD13" s="14"/>
      <c r="AE13" s="14"/>
      <c r="AF13" s="14"/>
      <c r="AG13" s="37"/>
      <c r="AH13" s="37"/>
      <c r="AM13" s="20"/>
      <c r="AN13" s="20"/>
      <c r="AO13" s="20"/>
      <c r="AP13" s="20"/>
      <c r="AQ13" s="20"/>
      <c r="AR13" s="20"/>
    </row>
    <row r="14" spans="1:44" ht="28.5" hidden="1" x14ac:dyDescent="0.35">
      <c r="A14" s="16" t="s">
        <v>29</v>
      </c>
      <c r="B14" s="14"/>
      <c r="C14" s="14"/>
      <c r="D14" s="14"/>
      <c r="E14" s="14"/>
      <c r="F14" s="14"/>
      <c r="G14" s="14"/>
      <c r="H14" s="14"/>
      <c r="I14" s="35"/>
      <c r="J14" s="34"/>
      <c r="K14" s="15"/>
      <c r="L14" s="14"/>
      <c r="M14" s="14"/>
      <c r="N14" s="25"/>
      <c r="O14" s="25"/>
      <c r="P14" s="25"/>
      <c r="Q14" s="14"/>
      <c r="R14" s="14"/>
      <c r="S14" s="14"/>
      <c r="T14" s="14"/>
      <c r="U14" s="14"/>
      <c r="V14" s="15"/>
      <c r="W14" s="15"/>
      <c r="X14" s="14"/>
      <c r="Y14" s="14"/>
      <c r="Z14" s="14"/>
      <c r="AA14" s="14"/>
      <c r="AB14" s="14"/>
      <c r="AC14" s="14"/>
      <c r="AD14" s="14"/>
      <c r="AE14" s="14"/>
      <c r="AF14" s="14"/>
      <c r="AG14" s="37"/>
      <c r="AH14" s="37"/>
      <c r="AM14" s="20"/>
      <c r="AN14" s="20"/>
      <c r="AO14" s="20"/>
      <c r="AP14" s="20"/>
      <c r="AQ14" s="20"/>
      <c r="AR14" s="20"/>
    </row>
    <row r="15" spans="1:44" x14ac:dyDescent="0.35">
      <c r="A15" s="7" t="s">
        <v>30</v>
      </c>
      <c r="B15" s="8" t="s">
        <v>1187</v>
      </c>
      <c r="C15" s="8" t="s">
        <v>1187</v>
      </c>
      <c r="D15" s="8" t="s">
        <v>1187</v>
      </c>
      <c r="E15" s="8" t="s">
        <v>1187</v>
      </c>
      <c r="F15" s="8" t="s">
        <v>1187</v>
      </c>
      <c r="G15" s="8" t="s">
        <v>1187</v>
      </c>
      <c r="H15" s="8" t="s">
        <v>1187</v>
      </c>
      <c r="I15" s="8" t="s">
        <v>1187</v>
      </c>
      <c r="J15" s="8" t="s">
        <v>1187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 t="s">
        <v>1191</v>
      </c>
      <c r="AC15" s="8" t="s">
        <v>1191</v>
      </c>
      <c r="AD15" s="8"/>
      <c r="AE15" s="8"/>
      <c r="AF15" s="8"/>
      <c r="AG15" s="41">
        <f>COUNTA(B15:AF15)</f>
        <v>11</v>
      </c>
      <c r="AH15" s="42">
        <f>AG15*100/28</f>
        <v>39.285714285714285</v>
      </c>
      <c r="AM15" s="20"/>
      <c r="AN15" s="20"/>
      <c r="AO15" s="20"/>
      <c r="AP15" s="20"/>
      <c r="AQ15" s="20"/>
      <c r="AR15" s="20"/>
    </row>
    <row r="16" spans="1:44" x14ac:dyDescent="0.35">
      <c r="A16" s="113" t="s">
        <v>35</v>
      </c>
      <c r="B16" s="8"/>
      <c r="C16" s="8"/>
      <c r="D16" s="8"/>
      <c r="E16" s="8" t="s">
        <v>739</v>
      </c>
      <c r="F16" s="8" t="s">
        <v>739</v>
      </c>
      <c r="G16" s="8" t="s">
        <v>739</v>
      </c>
      <c r="H16" s="8"/>
      <c r="I16" s="26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 t="s">
        <v>1191</v>
      </c>
      <c r="AC16" s="8" t="s">
        <v>1191</v>
      </c>
      <c r="AD16" s="8"/>
      <c r="AE16" s="8"/>
      <c r="AF16" s="8"/>
      <c r="AG16" s="41">
        <f t="shared" ref="AG16:AG22" si="6">COUNTA(B16:AF16)</f>
        <v>5</v>
      </c>
      <c r="AH16" s="42">
        <f>AG16*100/28</f>
        <v>17.857142857142858</v>
      </c>
      <c r="AM16" s="20"/>
      <c r="AN16" s="20"/>
      <c r="AO16" s="56"/>
      <c r="AP16" s="56"/>
      <c r="AQ16" s="20"/>
      <c r="AR16" s="20"/>
    </row>
    <row r="17" spans="1:50" x14ac:dyDescent="0.35">
      <c r="A17" s="7" t="s">
        <v>39</v>
      </c>
      <c r="B17" s="8" t="s">
        <v>361</v>
      </c>
      <c r="C17" s="8" t="s">
        <v>361</v>
      </c>
      <c r="D17" s="8" t="s">
        <v>361</v>
      </c>
      <c r="E17" s="8" t="s">
        <v>361</v>
      </c>
      <c r="F17" s="8" t="s">
        <v>361</v>
      </c>
      <c r="G17" s="8" t="s">
        <v>361</v>
      </c>
      <c r="H17" s="8" t="s">
        <v>361</v>
      </c>
      <c r="I17" s="8" t="s">
        <v>361</v>
      </c>
      <c r="J17" s="8" t="s">
        <v>361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 t="s">
        <v>488</v>
      </c>
      <c r="AC17" s="8" t="s">
        <v>488</v>
      </c>
      <c r="AD17" s="8"/>
      <c r="AE17" s="8"/>
      <c r="AF17" s="8"/>
      <c r="AG17" s="41">
        <f t="shared" si="6"/>
        <v>11</v>
      </c>
      <c r="AH17" s="42">
        <f t="shared" ref="AH17:AH22" si="7">AG17*100/28</f>
        <v>39.285714285714285</v>
      </c>
      <c r="AM17" s="20"/>
      <c r="AN17" s="20"/>
      <c r="AO17" s="20"/>
      <c r="AP17" s="20"/>
      <c r="AQ17" s="20"/>
      <c r="AR17" s="20"/>
      <c r="AX17" s="58"/>
    </row>
    <row r="18" spans="1:50" x14ac:dyDescent="0.35">
      <c r="A18" s="113" t="s">
        <v>42</v>
      </c>
      <c r="B18" s="8" t="s">
        <v>1177</v>
      </c>
      <c r="C18" s="8" t="s">
        <v>1177</v>
      </c>
      <c r="D18" s="8" t="s">
        <v>1177</v>
      </c>
      <c r="E18" s="8" t="s">
        <v>1177</v>
      </c>
      <c r="F18" s="8" t="s">
        <v>1177</v>
      </c>
      <c r="G18" s="8" t="s">
        <v>1177</v>
      </c>
      <c r="H18" s="8" t="s">
        <v>1177</v>
      </c>
      <c r="I18" s="8" t="s">
        <v>1177</v>
      </c>
      <c r="J18" s="8" t="s">
        <v>1177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 t="s">
        <v>1082</v>
      </c>
      <c r="AC18" s="8" t="s">
        <v>1082</v>
      </c>
      <c r="AD18" s="8"/>
      <c r="AE18" s="8"/>
      <c r="AF18" s="8"/>
      <c r="AG18" s="41">
        <f t="shared" si="6"/>
        <v>11</v>
      </c>
      <c r="AH18" s="42">
        <f t="shared" si="7"/>
        <v>39.285714285714285</v>
      </c>
      <c r="AM18" s="20"/>
      <c r="AN18" s="20"/>
      <c r="AO18" s="20"/>
      <c r="AP18" s="20"/>
      <c r="AQ18" s="20"/>
      <c r="AR18" s="20"/>
      <c r="AX18" s="58"/>
    </row>
    <row r="19" spans="1:50" x14ac:dyDescent="0.35">
      <c r="A19" s="7" t="s">
        <v>45</v>
      </c>
      <c r="B19" s="8" t="s">
        <v>65</v>
      </c>
      <c r="C19" s="8" t="s">
        <v>65</v>
      </c>
      <c r="D19" s="8" t="s">
        <v>65</v>
      </c>
      <c r="E19" s="8" t="s">
        <v>65</v>
      </c>
      <c r="F19" s="8" t="s">
        <v>65</v>
      </c>
      <c r="G19" s="8" t="s">
        <v>65</v>
      </c>
      <c r="H19" s="8" t="s">
        <v>65</v>
      </c>
      <c r="I19" s="8" t="s">
        <v>65</v>
      </c>
      <c r="J19" s="8" t="s">
        <v>65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 t="s">
        <v>1090</v>
      </c>
      <c r="AC19" s="8" t="s">
        <v>1090</v>
      </c>
      <c r="AD19" s="8"/>
      <c r="AE19" s="8"/>
      <c r="AF19" s="8"/>
      <c r="AG19" s="41">
        <f t="shared" si="6"/>
        <v>11</v>
      </c>
      <c r="AH19" s="42">
        <f t="shared" si="7"/>
        <v>39.285714285714285</v>
      </c>
      <c r="AM19" s="20"/>
      <c r="AN19" s="20"/>
      <c r="AO19" s="20"/>
      <c r="AP19" s="20"/>
      <c r="AQ19" s="20"/>
      <c r="AR19" s="20"/>
      <c r="AX19" s="58"/>
    </row>
    <row r="20" spans="1:50" x14ac:dyDescent="0.35">
      <c r="A20" s="113" t="s">
        <v>47</v>
      </c>
      <c r="B20" s="8" t="s">
        <v>682</v>
      </c>
      <c r="C20" s="8" t="s">
        <v>682</v>
      </c>
      <c r="D20" s="8" t="s">
        <v>682</v>
      </c>
      <c r="E20" s="8" t="s">
        <v>682</v>
      </c>
      <c r="F20" s="8" t="s">
        <v>682</v>
      </c>
      <c r="G20" s="8" t="s">
        <v>682</v>
      </c>
      <c r="H20" s="8" t="s">
        <v>682</v>
      </c>
      <c r="I20" s="8" t="s">
        <v>682</v>
      </c>
      <c r="J20" s="8" t="s">
        <v>682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 t="s">
        <v>1138</v>
      </c>
      <c r="AC20" s="8" t="s">
        <v>1138</v>
      </c>
      <c r="AD20" s="8"/>
      <c r="AE20" s="8"/>
      <c r="AF20" s="8"/>
      <c r="AG20" s="41">
        <f t="shared" si="6"/>
        <v>11</v>
      </c>
      <c r="AH20" s="42">
        <f t="shared" si="7"/>
        <v>39.285714285714285</v>
      </c>
      <c r="AM20" s="20"/>
      <c r="AN20" s="20"/>
      <c r="AO20" s="20"/>
      <c r="AP20" s="20"/>
      <c r="AQ20" s="20"/>
      <c r="AR20" s="20"/>
      <c r="AX20" s="58"/>
    </row>
    <row r="21" spans="1:50" x14ac:dyDescent="0.35">
      <c r="A21" s="7" t="s">
        <v>50</v>
      </c>
      <c r="B21" s="8" t="s">
        <v>682</v>
      </c>
      <c r="C21" s="8" t="s">
        <v>682</v>
      </c>
      <c r="D21" s="8" t="s">
        <v>682</v>
      </c>
      <c r="E21" s="8" t="s">
        <v>682</v>
      </c>
      <c r="F21" s="8" t="s">
        <v>682</v>
      </c>
      <c r="G21" s="8" t="s">
        <v>682</v>
      </c>
      <c r="H21" s="8" t="s">
        <v>682</v>
      </c>
      <c r="I21" s="8" t="s">
        <v>682</v>
      </c>
      <c r="J21" s="8" t="s">
        <v>682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 t="s">
        <v>1138</v>
      </c>
      <c r="AC21" s="8" t="s">
        <v>1138</v>
      </c>
      <c r="AD21" s="8"/>
      <c r="AE21" s="8"/>
      <c r="AF21" s="8"/>
      <c r="AG21" s="41">
        <f t="shared" si="6"/>
        <v>11</v>
      </c>
      <c r="AH21" s="42">
        <f t="shared" si="7"/>
        <v>39.285714285714285</v>
      </c>
      <c r="AM21" s="20"/>
      <c r="AN21" s="20"/>
      <c r="AO21" s="20"/>
      <c r="AP21" s="20"/>
      <c r="AQ21" s="20"/>
      <c r="AR21" s="20"/>
      <c r="AX21" s="58"/>
    </row>
    <row r="22" spans="1:50" ht="15" thickBot="1" x14ac:dyDescent="0.4">
      <c r="A22" s="113" t="s">
        <v>51</v>
      </c>
      <c r="B22" s="8"/>
      <c r="C22" s="8"/>
      <c r="D22" s="8"/>
      <c r="E22" s="8" t="s">
        <v>981</v>
      </c>
      <c r="F22" s="8" t="s">
        <v>981</v>
      </c>
      <c r="G22" s="8" t="s">
        <v>981</v>
      </c>
      <c r="H22" s="8"/>
      <c r="I22" s="26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 t="s">
        <v>1192</v>
      </c>
      <c r="AC22" s="8" t="s">
        <v>1192</v>
      </c>
      <c r="AD22" s="8"/>
      <c r="AE22" s="8"/>
      <c r="AF22" s="8"/>
      <c r="AG22" s="41">
        <f t="shared" si="6"/>
        <v>5</v>
      </c>
      <c r="AH22" s="42">
        <f t="shared" si="7"/>
        <v>17.857142857142858</v>
      </c>
      <c r="AX22" s="58"/>
    </row>
    <row r="23" spans="1:50" ht="15.5" x14ac:dyDescent="0.35">
      <c r="A23" s="45" t="s">
        <v>176</v>
      </c>
      <c r="B23" s="46">
        <f>COUNTA(B15:B22)</f>
        <v>6</v>
      </c>
      <c r="C23" s="46">
        <f>COUNTA(C16:C22)</f>
        <v>5</v>
      </c>
      <c r="D23" s="46">
        <f>COUNTA(D16:D22)</f>
        <v>5</v>
      </c>
      <c r="E23" s="46">
        <f t="shared" ref="E23:AF23" si="8">COUNTA(E15:E22)</f>
        <v>8</v>
      </c>
      <c r="F23" s="46">
        <f t="shared" si="8"/>
        <v>8</v>
      </c>
      <c r="G23" s="46">
        <f t="shared" si="8"/>
        <v>8</v>
      </c>
      <c r="H23" s="46">
        <f t="shared" si="8"/>
        <v>6</v>
      </c>
      <c r="I23" s="46">
        <f t="shared" si="8"/>
        <v>6</v>
      </c>
      <c r="J23" s="46">
        <f t="shared" si="8"/>
        <v>6</v>
      </c>
      <c r="K23" s="46">
        <f t="shared" si="8"/>
        <v>0</v>
      </c>
      <c r="L23" s="46">
        <f t="shared" si="8"/>
        <v>0</v>
      </c>
      <c r="M23" s="46">
        <f t="shared" si="8"/>
        <v>0</v>
      </c>
      <c r="N23" s="46">
        <f t="shared" si="8"/>
        <v>0</v>
      </c>
      <c r="O23" s="46">
        <f t="shared" si="8"/>
        <v>0</v>
      </c>
      <c r="P23" s="46">
        <f t="shared" si="8"/>
        <v>0</v>
      </c>
      <c r="Q23" s="46">
        <f t="shared" si="8"/>
        <v>0</v>
      </c>
      <c r="R23" s="46">
        <f t="shared" si="8"/>
        <v>0</v>
      </c>
      <c r="S23" s="46">
        <f t="shared" si="8"/>
        <v>0</v>
      </c>
      <c r="T23" s="46">
        <f>COUNTA(T15:T22)</f>
        <v>0</v>
      </c>
      <c r="U23" s="46">
        <f t="shared" si="8"/>
        <v>0</v>
      </c>
      <c r="V23" s="46">
        <f t="shared" si="8"/>
        <v>0</v>
      </c>
      <c r="W23" s="46">
        <f t="shared" si="8"/>
        <v>0</v>
      </c>
      <c r="X23" s="46">
        <f t="shared" si="8"/>
        <v>0</v>
      </c>
      <c r="Y23" s="46">
        <f t="shared" si="8"/>
        <v>0</v>
      </c>
      <c r="Z23" s="46">
        <f t="shared" si="8"/>
        <v>0</v>
      </c>
      <c r="AA23" s="46">
        <f t="shared" si="8"/>
        <v>0</v>
      </c>
      <c r="AB23" s="46">
        <f t="shared" si="8"/>
        <v>8</v>
      </c>
      <c r="AC23" s="46">
        <f t="shared" si="8"/>
        <v>8</v>
      </c>
      <c r="AD23" s="46">
        <f t="shared" si="8"/>
        <v>0</v>
      </c>
      <c r="AE23" s="46">
        <f t="shared" si="8"/>
        <v>0</v>
      </c>
      <c r="AF23" s="46">
        <f t="shared" si="8"/>
        <v>0</v>
      </c>
      <c r="AG23" s="43">
        <f>SUM(AG15:AG22)</f>
        <v>76</v>
      </c>
      <c r="AX23" s="58"/>
    </row>
    <row r="24" spans="1:50" ht="15.5" x14ac:dyDescent="0.35">
      <c r="A24" s="47" t="s">
        <v>178</v>
      </c>
      <c r="B24" s="52">
        <f>B12+B23</f>
        <v>7</v>
      </c>
      <c r="C24" s="52">
        <f t="shared" ref="C24:AF24" si="9">C12+C23</f>
        <v>7</v>
      </c>
      <c r="D24" s="52">
        <f t="shared" si="9"/>
        <v>7</v>
      </c>
      <c r="E24" s="52">
        <f t="shared" si="9"/>
        <v>10</v>
      </c>
      <c r="F24" s="52">
        <f t="shared" si="9"/>
        <v>10</v>
      </c>
      <c r="G24" s="52">
        <f t="shared" si="9"/>
        <v>9</v>
      </c>
      <c r="H24" s="52">
        <f t="shared" si="9"/>
        <v>7</v>
      </c>
      <c r="I24" s="52">
        <f t="shared" si="9"/>
        <v>11</v>
      </c>
      <c r="J24" s="52">
        <f t="shared" si="9"/>
        <v>11</v>
      </c>
      <c r="K24" s="52">
        <f t="shared" si="9"/>
        <v>0</v>
      </c>
      <c r="L24" s="52">
        <f t="shared" si="9"/>
        <v>0</v>
      </c>
      <c r="M24" s="52">
        <f t="shared" si="9"/>
        <v>0</v>
      </c>
      <c r="N24" s="52">
        <f t="shared" si="9"/>
        <v>0</v>
      </c>
      <c r="O24" s="52">
        <f t="shared" si="9"/>
        <v>0</v>
      </c>
      <c r="P24" s="52">
        <f t="shared" si="9"/>
        <v>0</v>
      </c>
      <c r="Q24" s="52">
        <f t="shared" si="9"/>
        <v>0</v>
      </c>
      <c r="R24" s="52">
        <f t="shared" si="9"/>
        <v>0</v>
      </c>
      <c r="S24" s="52">
        <f t="shared" si="9"/>
        <v>0</v>
      </c>
      <c r="T24" s="52">
        <f t="shared" si="9"/>
        <v>0</v>
      </c>
      <c r="U24" s="52">
        <f t="shared" si="9"/>
        <v>0</v>
      </c>
      <c r="V24" s="52">
        <f t="shared" si="9"/>
        <v>0</v>
      </c>
      <c r="W24" s="52">
        <f t="shared" si="9"/>
        <v>0</v>
      </c>
      <c r="X24" s="52">
        <f t="shared" si="9"/>
        <v>0</v>
      </c>
      <c r="Y24" s="52">
        <f t="shared" si="9"/>
        <v>0</v>
      </c>
      <c r="Z24" s="52">
        <f t="shared" si="9"/>
        <v>0</v>
      </c>
      <c r="AA24" s="52">
        <f t="shared" si="9"/>
        <v>0</v>
      </c>
      <c r="AB24" s="52">
        <f t="shared" si="9"/>
        <v>15</v>
      </c>
      <c r="AC24" s="52">
        <f t="shared" si="9"/>
        <v>15</v>
      </c>
      <c r="AD24" s="52">
        <f t="shared" si="9"/>
        <v>0</v>
      </c>
      <c r="AE24" s="52">
        <f t="shared" si="9"/>
        <v>0</v>
      </c>
      <c r="AF24" s="52">
        <f t="shared" si="9"/>
        <v>0</v>
      </c>
      <c r="AG24" s="49">
        <f>+AG12+AG23</f>
        <v>111</v>
      </c>
      <c r="AX24" s="58"/>
    </row>
    <row r="25" spans="1:50" ht="15.5" x14ac:dyDescent="0.35">
      <c r="A25" s="48" t="s">
        <v>179</v>
      </c>
      <c r="B25" s="42">
        <f>B24*100/15</f>
        <v>46.666666666666664</v>
      </c>
      <c r="C25" s="42">
        <f t="shared" ref="C25:AF25" si="10">C24*100/15</f>
        <v>46.666666666666664</v>
      </c>
      <c r="D25" s="42">
        <f t="shared" si="10"/>
        <v>46.666666666666664</v>
      </c>
      <c r="E25" s="42">
        <f t="shared" si="10"/>
        <v>66.666666666666671</v>
      </c>
      <c r="F25" s="42">
        <f t="shared" si="10"/>
        <v>66.666666666666671</v>
      </c>
      <c r="G25" s="42">
        <f t="shared" si="10"/>
        <v>60</v>
      </c>
      <c r="H25" s="42">
        <f t="shared" si="10"/>
        <v>46.666666666666664</v>
      </c>
      <c r="I25" s="42">
        <f t="shared" si="10"/>
        <v>73.333333333333329</v>
      </c>
      <c r="J25" s="42">
        <f t="shared" si="10"/>
        <v>73.333333333333329</v>
      </c>
      <c r="K25" s="42">
        <f t="shared" si="10"/>
        <v>0</v>
      </c>
      <c r="L25" s="42">
        <f t="shared" si="10"/>
        <v>0</v>
      </c>
      <c r="M25" s="42">
        <f t="shared" si="10"/>
        <v>0</v>
      </c>
      <c r="N25" s="42">
        <f t="shared" si="10"/>
        <v>0</v>
      </c>
      <c r="O25" s="42">
        <f t="shared" si="10"/>
        <v>0</v>
      </c>
      <c r="P25" s="42">
        <f t="shared" si="10"/>
        <v>0</v>
      </c>
      <c r="Q25" s="42">
        <f t="shared" si="10"/>
        <v>0</v>
      </c>
      <c r="R25" s="42">
        <f t="shared" si="10"/>
        <v>0</v>
      </c>
      <c r="S25" s="42">
        <f t="shared" si="10"/>
        <v>0</v>
      </c>
      <c r="T25" s="42">
        <f t="shared" si="10"/>
        <v>0</v>
      </c>
      <c r="U25" s="42">
        <f t="shared" si="10"/>
        <v>0</v>
      </c>
      <c r="V25" s="42">
        <f t="shared" si="10"/>
        <v>0</v>
      </c>
      <c r="W25" s="42">
        <f t="shared" si="10"/>
        <v>0</v>
      </c>
      <c r="X25" s="42">
        <f t="shared" si="10"/>
        <v>0</v>
      </c>
      <c r="Y25" s="42">
        <f t="shared" si="10"/>
        <v>0</v>
      </c>
      <c r="Z25" s="42">
        <f t="shared" si="10"/>
        <v>0</v>
      </c>
      <c r="AA25" s="42">
        <f t="shared" si="10"/>
        <v>0</v>
      </c>
      <c r="AB25" s="42">
        <f t="shared" si="10"/>
        <v>100</v>
      </c>
      <c r="AC25" s="42">
        <f t="shared" si="10"/>
        <v>100</v>
      </c>
      <c r="AD25" s="42">
        <f t="shared" si="10"/>
        <v>0</v>
      </c>
      <c r="AE25" s="42">
        <f t="shared" si="10"/>
        <v>0</v>
      </c>
      <c r="AF25" s="42">
        <f t="shared" si="10"/>
        <v>0</v>
      </c>
      <c r="AG25" s="50">
        <f>AVERAGE(B25:AE25)</f>
        <v>24.222222222222225</v>
      </c>
      <c r="AH25" s="51" t="s">
        <v>180</v>
      </c>
      <c r="AX25" s="58"/>
    </row>
    <row r="26" spans="1:50" x14ac:dyDescent="0.35">
      <c r="AX26" s="58"/>
    </row>
    <row r="30" spans="1:50" x14ac:dyDescent="0.35">
      <c r="R30" s="55"/>
    </row>
    <row r="31" spans="1:50" x14ac:dyDescent="0.35">
      <c r="C31" s="92"/>
    </row>
    <row r="32" spans="1:50" x14ac:dyDescent="0.35">
      <c r="C32" s="92"/>
    </row>
    <row r="33" spans="3:3" x14ac:dyDescent="0.35">
      <c r="C33" s="93"/>
    </row>
    <row r="34" spans="3:3" x14ac:dyDescent="0.35">
      <c r="C34" s="93"/>
    </row>
    <row r="35" spans="3:3" x14ac:dyDescent="0.35">
      <c r="C35" s="92"/>
    </row>
    <row r="36" spans="3:3" x14ac:dyDescent="0.35">
      <c r="C36" s="92"/>
    </row>
    <row r="37" spans="3:3" x14ac:dyDescent="0.35">
      <c r="C37" s="92"/>
    </row>
    <row r="38" spans="3:3" x14ac:dyDescent="0.35">
      <c r="C38" s="92"/>
    </row>
    <row r="39" spans="3:3" x14ac:dyDescent="0.35">
      <c r="C39" s="92"/>
    </row>
    <row r="40" spans="3:3" x14ac:dyDescent="0.35">
      <c r="C40" s="92"/>
    </row>
    <row r="41" spans="3:3" x14ac:dyDescent="0.35">
      <c r="C41" s="92"/>
    </row>
    <row r="42" spans="3:3" x14ac:dyDescent="0.35">
      <c r="C42" s="92"/>
    </row>
    <row r="43" spans="3:3" x14ac:dyDescent="0.35">
      <c r="C43" s="92"/>
    </row>
  </sheetData>
  <mergeCells count="2">
    <mergeCell ref="A1:AE1"/>
    <mergeCell ref="AM3:AR3"/>
  </mergeCells>
  <conditionalFormatting sqref="B15:B22 C17:J21 C15:J15">
    <cfRule type="colorScale" priority="1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6:J6">
    <cfRule type="colorScale" priority="2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B5:T5 N9:N11 Q10:AB10 O11:AB11 B7:T7 K8:N8 B8:J11 U5:AB7 O8:AB9 AC5:AF11">
    <cfRule type="colorScale" priority="8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K9:M11">
    <cfRule type="colorScale" priority="4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K6:T6">
    <cfRule type="colorScale" priority="5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K15:AB15 C16:AB16 AC15:AF16 K17:AF21 C22:AF22">
    <cfRule type="colorScale" priority="6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L13:U14 B13:I14 X13:AH14">
    <cfRule type="colorScale" priority="9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O10:P10">
    <cfRule type="colorScale" priority="3">
      <colorScale>
        <cfvo type="num" val="1"/>
        <cfvo type="max"/>
        <color theme="4" tint="0.59999389629810485"/>
        <color theme="5" tint="0.59999389629810485"/>
      </colorScale>
    </cfRule>
  </conditionalFormatting>
  <conditionalFormatting sqref="R30">
    <cfRule type="colorScale" priority="7">
      <colorScale>
        <cfvo type="num" val="1"/>
        <cfvo type="max"/>
        <color theme="4" tint="0.59999389629810485"/>
        <color theme="5" tint="0.59999389629810485"/>
      </colorScale>
    </cfRule>
  </conditionalFormatting>
  <pageMargins left="0.2" right="0.45" top="0.75" bottom="0.75" header="0.3" footer="0.3"/>
  <pageSetup scale="90" orientation="landscape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C3E20-1D11-4120-9FC3-F2C1CA1B9C7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49</vt:i4>
      </vt:variant>
      <vt:variant>
        <vt:lpstr>Named Ranges</vt:lpstr>
      </vt:variant>
      <vt:variant>
        <vt:i4>37</vt:i4>
      </vt:variant>
    </vt:vector>
  </HeadingPairs>
  <TitlesOfParts>
    <vt:vector size="86" baseType="lpstr">
      <vt:lpstr>Planning Sept22 </vt:lpstr>
      <vt:lpstr>Planning Oct22  </vt:lpstr>
      <vt:lpstr>Planning Nov22 </vt:lpstr>
      <vt:lpstr>Planning Dec22  (2)</vt:lpstr>
      <vt:lpstr>Planning Jan 23</vt:lpstr>
      <vt:lpstr>Planning Fev 23</vt:lpstr>
      <vt:lpstr>Planning Mars 23</vt:lpstr>
      <vt:lpstr>Planning April 23</vt:lpstr>
      <vt:lpstr>Planning May 23 </vt:lpstr>
      <vt:lpstr>Planning June 23 </vt:lpstr>
      <vt:lpstr>Planning July 23</vt:lpstr>
      <vt:lpstr>Planning Aug 23</vt:lpstr>
      <vt:lpstr>Planning Sept 23 </vt:lpstr>
      <vt:lpstr>Planning Oct 23</vt:lpstr>
      <vt:lpstr>Planning Nov 23</vt:lpstr>
      <vt:lpstr>Planning DEC 23</vt:lpstr>
      <vt:lpstr>Planning Jan 24</vt:lpstr>
      <vt:lpstr>Planning Fev 24 </vt:lpstr>
      <vt:lpstr>Planning March 24</vt:lpstr>
      <vt:lpstr>Planning Avril 24 </vt:lpstr>
      <vt:lpstr>Planning May 24</vt:lpstr>
      <vt:lpstr>Planning June 24 </vt:lpstr>
      <vt:lpstr>Planning Juil 24</vt:lpstr>
      <vt:lpstr>Planning Aug 24 </vt:lpstr>
      <vt:lpstr>Planning Sept 24 </vt:lpstr>
      <vt:lpstr>Planning Oct 24</vt:lpstr>
      <vt:lpstr>Planning Nov 24 </vt:lpstr>
      <vt:lpstr>Planning Dec 24 </vt:lpstr>
      <vt:lpstr>Planning Dec 24-Following</vt:lpstr>
      <vt:lpstr>Planning Jan 25</vt:lpstr>
      <vt:lpstr>Planning Feb 25 </vt:lpstr>
      <vt:lpstr>Planning march 25</vt:lpstr>
      <vt:lpstr>Planning avril 25</vt:lpstr>
      <vt:lpstr>Planning Mai 25</vt:lpstr>
      <vt:lpstr>Planning Juin 25</vt:lpstr>
      <vt:lpstr>Planning Juillet 25 </vt:lpstr>
      <vt:lpstr>Planning Août 25</vt:lpstr>
      <vt:lpstr>Planning Sept 25 </vt:lpstr>
      <vt:lpstr>Planning Oct 25 </vt:lpstr>
      <vt:lpstr>Planning Nov 25</vt:lpstr>
      <vt:lpstr>Planning Dec 25 </vt:lpstr>
      <vt:lpstr>Planning Jan 26</vt:lpstr>
      <vt:lpstr>Planning Feb 26 </vt:lpstr>
      <vt:lpstr>Planning March 26</vt:lpstr>
      <vt:lpstr>Planning April 26 </vt:lpstr>
      <vt:lpstr>Planning May 26 </vt:lpstr>
      <vt:lpstr>Planning Juin 26</vt:lpstr>
      <vt:lpstr>Planning Juillet 26</vt:lpstr>
      <vt:lpstr>Sheet1</vt:lpstr>
      <vt:lpstr>'Planning Août 25'!Print_Area</vt:lpstr>
      <vt:lpstr>'Planning April 26 '!Print_Area</vt:lpstr>
      <vt:lpstr>'Planning Aug 23'!Print_Area</vt:lpstr>
      <vt:lpstr>'Planning Aug 24 '!Print_Area</vt:lpstr>
      <vt:lpstr>'Planning Avril 24 '!Print_Area</vt:lpstr>
      <vt:lpstr>'Planning avril 25'!Print_Area</vt:lpstr>
      <vt:lpstr>'Planning DEC 23'!Print_Area</vt:lpstr>
      <vt:lpstr>'Planning Dec 24 '!Print_Area</vt:lpstr>
      <vt:lpstr>'Planning Dec 24-Following'!Print_Area</vt:lpstr>
      <vt:lpstr>'Planning Dec 25 '!Print_Area</vt:lpstr>
      <vt:lpstr>'Planning Feb 25 '!Print_Area</vt:lpstr>
      <vt:lpstr>'Planning Feb 26 '!Print_Area</vt:lpstr>
      <vt:lpstr>'Planning Fev 24 '!Print_Area</vt:lpstr>
      <vt:lpstr>'Planning Jan 24'!Print_Area</vt:lpstr>
      <vt:lpstr>'Planning Jan 25'!Print_Area</vt:lpstr>
      <vt:lpstr>'Planning Jan 26'!Print_Area</vt:lpstr>
      <vt:lpstr>'Planning Juil 24'!Print_Area</vt:lpstr>
      <vt:lpstr>'Planning Juillet 25 '!Print_Area</vt:lpstr>
      <vt:lpstr>'Planning Juillet 26'!Print_Area</vt:lpstr>
      <vt:lpstr>'Planning Juin 25'!Print_Area</vt:lpstr>
      <vt:lpstr>'Planning Juin 26'!Print_Area</vt:lpstr>
      <vt:lpstr>'Planning July 23'!Print_Area</vt:lpstr>
      <vt:lpstr>'Planning June 24 '!Print_Area</vt:lpstr>
      <vt:lpstr>'Planning Mai 25'!Print_Area</vt:lpstr>
      <vt:lpstr>'Planning March 24'!Print_Area</vt:lpstr>
      <vt:lpstr>'Planning march 25'!Print_Area</vt:lpstr>
      <vt:lpstr>'Planning March 26'!Print_Area</vt:lpstr>
      <vt:lpstr>'Planning May 24'!Print_Area</vt:lpstr>
      <vt:lpstr>'Planning May 26 '!Print_Area</vt:lpstr>
      <vt:lpstr>'Planning Nov 23'!Print_Area</vt:lpstr>
      <vt:lpstr>'Planning Nov 24 '!Print_Area</vt:lpstr>
      <vt:lpstr>'Planning Nov 25'!Print_Area</vt:lpstr>
      <vt:lpstr>'Planning Oct 23'!Print_Area</vt:lpstr>
      <vt:lpstr>'Planning Oct 24'!Print_Area</vt:lpstr>
      <vt:lpstr>'Planning Oct 25 '!Print_Area</vt:lpstr>
      <vt:lpstr>'Planning Sept 23 '!Print_Area</vt:lpstr>
      <vt:lpstr>'Planning Sept 24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 Muakasa</dc:creator>
  <cp:lastModifiedBy>Gedeon Massadi</cp:lastModifiedBy>
  <cp:lastPrinted>2026-07-24T11:09:22Z</cp:lastPrinted>
  <dcterms:created xsi:type="dcterms:W3CDTF">2022-09-27T10:26:47Z</dcterms:created>
  <dcterms:modified xsi:type="dcterms:W3CDTF">2026-07-28T13:22:37Z</dcterms:modified>
</cp:coreProperties>
</file>