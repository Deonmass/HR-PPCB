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F61C990D-942C-4386-81EC-E2DEFA07DBC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shboard" sheetId="1" r:id="rId1"/>
    <sheet name="Base" sheetId="2" r:id="rId2"/>
    <sheet name="EXIT" sheetId="4" r:id="rId3"/>
  </sheets>
  <definedNames>
    <definedName name="_xlnm._FilterDatabase" localSheetId="1" hidden="1">Base!$A$2:$AB$177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L3" i="4"/>
  <c r="U177" i="2"/>
  <c r="L177" i="2"/>
  <c r="U176" i="2"/>
  <c r="L176" i="2"/>
  <c r="U175" i="2"/>
  <c r="L175" i="2"/>
  <c r="U174" i="2"/>
  <c r="L174" i="2"/>
  <c r="U173" i="2"/>
  <c r="L173" i="2"/>
  <c r="U172" i="2"/>
  <c r="L172" i="2"/>
  <c r="U171" i="2"/>
  <c r="L171" i="2"/>
  <c r="U170" i="2"/>
  <c r="L170" i="2"/>
  <c r="U169" i="2"/>
  <c r="L169" i="2"/>
  <c r="U168" i="2"/>
  <c r="L168" i="2"/>
  <c r="U167" i="2"/>
  <c r="L167" i="2"/>
  <c r="U166" i="2"/>
  <c r="L166" i="2"/>
  <c r="U165" i="2"/>
  <c r="L165" i="2"/>
  <c r="U164" i="2"/>
  <c r="L164" i="2"/>
  <c r="U163" i="2"/>
  <c r="L163" i="2"/>
  <c r="U162" i="2"/>
  <c r="L162" i="2"/>
  <c r="U161" i="2"/>
  <c r="L161" i="2"/>
  <c r="U160" i="2"/>
  <c r="L160" i="2"/>
  <c r="U159" i="2"/>
  <c r="L159" i="2"/>
  <c r="U158" i="2"/>
  <c r="L158" i="2"/>
  <c r="U157" i="2"/>
  <c r="L157" i="2"/>
  <c r="U156" i="2"/>
  <c r="L156" i="2"/>
  <c r="U155" i="2"/>
  <c r="L155" i="2"/>
  <c r="U154" i="2"/>
  <c r="L154" i="2"/>
  <c r="U153" i="2"/>
  <c r="L153" i="2"/>
  <c r="U152" i="2"/>
  <c r="L152" i="2"/>
  <c r="U151" i="2"/>
  <c r="L151" i="2"/>
  <c r="U150" i="2"/>
  <c r="L150" i="2"/>
  <c r="U149" i="2"/>
  <c r="L149" i="2"/>
  <c r="U148" i="2"/>
  <c r="L148" i="2"/>
  <c r="U147" i="2"/>
  <c r="L147" i="2"/>
  <c r="U146" i="2"/>
  <c r="L146" i="2"/>
  <c r="U145" i="2"/>
  <c r="L145" i="2"/>
  <c r="U144" i="2"/>
  <c r="L144" i="2"/>
  <c r="U143" i="2"/>
  <c r="L143" i="2"/>
  <c r="U142" i="2"/>
  <c r="L142" i="2"/>
  <c r="U141" i="2"/>
  <c r="L141" i="2"/>
  <c r="U140" i="2"/>
  <c r="L140" i="2"/>
  <c r="U139" i="2"/>
  <c r="L139" i="2"/>
  <c r="U138" i="2"/>
  <c r="L138" i="2"/>
  <c r="U137" i="2"/>
  <c r="L137" i="2"/>
  <c r="U136" i="2"/>
  <c r="L136" i="2"/>
  <c r="U135" i="2"/>
  <c r="L135" i="2"/>
  <c r="U134" i="2"/>
  <c r="L134" i="2"/>
  <c r="U133" i="2"/>
  <c r="L133" i="2"/>
  <c r="U132" i="2"/>
  <c r="L132" i="2"/>
  <c r="U131" i="2"/>
  <c r="L131" i="2"/>
  <c r="U130" i="2"/>
  <c r="L130" i="2"/>
  <c r="U129" i="2"/>
  <c r="L129" i="2"/>
  <c r="U128" i="2"/>
  <c r="L128" i="2"/>
  <c r="U127" i="2"/>
  <c r="L127" i="2"/>
  <c r="U126" i="2"/>
  <c r="L126" i="2"/>
  <c r="U125" i="2"/>
  <c r="L125" i="2"/>
  <c r="U124" i="2"/>
  <c r="L124" i="2"/>
  <c r="U123" i="2"/>
  <c r="L123" i="2"/>
  <c r="U122" i="2"/>
  <c r="L122" i="2"/>
  <c r="U121" i="2"/>
  <c r="L121" i="2"/>
  <c r="U120" i="2"/>
  <c r="L120" i="2"/>
  <c r="U119" i="2"/>
  <c r="L119" i="2"/>
  <c r="U118" i="2"/>
  <c r="L118" i="2"/>
  <c r="U117" i="2"/>
  <c r="L117" i="2"/>
  <c r="U116" i="2"/>
  <c r="L116" i="2"/>
  <c r="U115" i="2"/>
  <c r="L115" i="2"/>
  <c r="U114" i="2"/>
  <c r="L114" i="2"/>
  <c r="U113" i="2"/>
  <c r="L113" i="2"/>
  <c r="U112" i="2"/>
  <c r="L112" i="2"/>
  <c r="U111" i="2"/>
  <c r="L111" i="2"/>
  <c r="U110" i="2"/>
  <c r="L110" i="2"/>
  <c r="U109" i="2"/>
  <c r="L109" i="2"/>
  <c r="U108" i="2"/>
  <c r="L108" i="2"/>
  <c r="U107" i="2"/>
  <c r="L107" i="2"/>
  <c r="U106" i="2"/>
  <c r="L106" i="2"/>
  <c r="U105" i="2"/>
  <c r="L105" i="2"/>
  <c r="U104" i="2"/>
  <c r="L104" i="2"/>
  <c r="U103" i="2"/>
  <c r="L103" i="2"/>
  <c r="U102" i="2"/>
  <c r="L102" i="2"/>
  <c r="U101" i="2"/>
  <c r="L101" i="2"/>
  <c r="U100" i="2"/>
  <c r="L100" i="2"/>
  <c r="U99" i="2"/>
  <c r="L99" i="2"/>
  <c r="U98" i="2"/>
  <c r="L98" i="2"/>
  <c r="U97" i="2"/>
  <c r="L97" i="2"/>
  <c r="U96" i="2"/>
  <c r="L96" i="2"/>
  <c r="U95" i="2"/>
  <c r="L95" i="2"/>
  <c r="U94" i="2"/>
  <c r="L94" i="2"/>
  <c r="U93" i="2"/>
  <c r="L93" i="2"/>
  <c r="U92" i="2"/>
  <c r="L92" i="2"/>
  <c r="U91" i="2"/>
  <c r="L91" i="2"/>
  <c r="U90" i="2"/>
  <c r="L90" i="2"/>
  <c r="U89" i="2"/>
  <c r="L89" i="2"/>
  <c r="U88" i="2"/>
  <c r="L88" i="2"/>
  <c r="U87" i="2"/>
  <c r="L87" i="2"/>
  <c r="U86" i="2"/>
  <c r="L86" i="2"/>
  <c r="U85" i="2"/>
  <c r="L85" i="2"/>
  <c r="U84" i="2"/>
  <c r="L84" i="2"/>
  <c r="U83" i="2"/>
  <c r="L83" i="2"/>
  <c r="U82" i="2"/>
  <c r="L82" i="2"/>
  <c r="U81" i="2"/>
  <c r="L81" i="2"/>
  <c r="U80" i="2"/>
  <c r="L80" i="2"/>
  <c r="U79" i="2"/>
  <c r="L79" i="2"/>
  <c r="U78" i="2"/>
  <c r="L78" i="2"/>
  <c r="U77" i="2"/>
  <c r="L77" i="2"/>
  <c r="U76" i="2"/>
  <c r="L76" i="2"/>
  <c r="U75" i="2"/>
  <c r="L75" i="2"/>
  <c r="U74" i="2"/>
  <c r="L74" i="2"/>
  <c r="U73" i="2"/>
  <c r="L73" i="2"/>
  <c r="U72" i="2"/>
  <c r="L72" i="2"/>
  <c r="U71" i="2"/>
  <c r="L71" i="2"/>
  <c r="U70" i="2"/>
  <c r="L70" i="2"/>
  <c r="U69" i="2"/>
  <c r="L69" i="2"/>
  <c r="U68" i="2"/>
  <c r="L68" i="2"/>
  <c r="U67" i="2"/>
  <c r="L67" i="2"/>
  <c r="U66" i="2"/>
  <c r="L66" i="2"/>
  <c r="U65" i="2"/>
  <c r="L65" i="2"/>
  <c r="U64" i="2"/>
  <c r="L64" i="2"/>
  <c r="U63" i="2"/>
  <c r="L63" i="2"/>
  <c r="U62" i="2"/>
  <c r="L62" i="2"/>
  <c r="U61" i="2"/>
  <c r="L61" i="2"/>
  <c r="U60" i="2"/>
  <c r="L60" i="2"/>
  <c r="U59" i="2"/>
  <c r="L59" i="2"/>
  <c r="U58" i="2"/>
  <c r="L58" i="2"/>
  <c r="U57" i="2"/>
  <c r="L57" i="2"/>
  <c r="U56" i="2"/>
  <c r="L56" i="2"/>
  <c r="U55" i="2"/>
  <c r="L55" i="2"/>
  <c r="U54" i="2"/>
  <c r="L54" i="2"/>
  <c r="U53" i="2"/>
  <c r="L53" i="2"/>
  <c r="U52" i="2"/>
  <c r="L52" i="2"/>
  <c r="U51" i="2"/>
  <c r="L51" i="2"/>
  <c r="U50" i="2"/>
  <c r="L50" i="2"/>
  <c r="U49" i="2"/>
  <c r="L49" i="2"/>
  <c r="U48" i="2"/>
  <c r="L48" i="2"/>
  <c r="U47" i="2"/>
  <c r="L47" i="2"/>
  <c r="U46" i="2"/>
  <c r="L46" i="2"/>
  <c r="U45" i="2"/>
  <c r="L45" i="2"/>
  <c r="U44" i="2"/>
  <c r="L44" i="2"/>
  <c r="U43" i="2"/>
  <c r="L43" i="2"/>
  <c r="U42" i="2"/>
  <c r="L42" i="2"/>
  <c r="U41" i="2"/>
  <c r="L41" i="2"/>
  <c r="U40" i="2"/>
  <c r="L40" i="2"/>
  <c r="U39" i="2"/>
  <c r="L39" i="2"/>
  <c r="U38" i="2"/>
  <c r="L38" i="2"/>
  <c r="U37" i="2"/>
  <c r="L37" i="2"/>
  <c r="U36" i="2"/>
  <c r="L36" i="2"/>
  <c r="U35" i="2"/>
  <c r="L35" i="2"/>
  <c r="U34" i="2"/>
  <c r="L34" i="2"/>
  <c r="U33" i="2"/>
  <c r="L33" i="2"/>
  <c r="U32" i="2"/>
  <c r="L32" i="2"/>
  <c r="U31" i="2"/>
  <c r="L31" i="2"/>
  <c r="U30" i="2"/>
  <c r="L30" i="2"/>
  <c r="U29" i="2"/>
  <c r="L29" i="2"/>
  <c r="U28" i="2"/>
  <c r="L28" i="2"/>
  <c r="U27" i="2"/>
  <c r="L27" i="2"/>
  <c r="U26" i="2"/>
  <c r="L26" i="2"/>
  <c r="U25" i="2"/>
  <c r="L25" i="2"/>
  <c r="U24" i="2"/>
  <c r="L24" i="2"/>
  <c r="U23" i="2"/>
  <c r="L23" i="2"/>
  <c r="U22" i="2"/>
  <c r="L22" i="2"/>
  <c r="U21" i="2"/>
  <c r="L21" i="2"/>
  <c r="U20" i="2"/>
  <c r="L20" i="2"/>
  <c r="U19" i="2"/>
  <c r="L19" i="2"/>
  <c r="U18" i="2"/>
  <c r="L18" i="2"/>
  <c r="U17" i="2"/>
  <c r="L17" i="2"/>
  <c r="U16" i="2"/>
  <c r="L16" i="2"/>
  <c r="U15" i="2"/>
  <c r="L15" i="2"/>
  <c r="U14" i="2"/>
  <c r="L14" i="2"/>
  <c r="U13" i="2"/>
  <c r="L13" i="2"/>
  <c r="U12" i="2"/>
  <c r="L12" i="2"/>
  <c r="U11" i="2"/>
  <c r="L11" i="2"/>
  <c r="U10" i="2"/>
  <c r="L10" i="2"/>
  <c r="U9" i="2"/>
  <c r="L9" i="2"/>
  <c r="U8" i="2"/>
  <c r="L8" i="2"/>
  <c r="U7" i="2"/>
  <c r="L7" i="2"/>
  <c r="U6" i="2"/>
  <c r="L6" i="2"/>
  <c r="U5" i="2"/>
  <c r="L5" i="2"/>
  <c r="U4" i="2"/>
  <c r="L4" i="2"/>
  <c r="U3" i="2"/>
  <c r="L3" i="2"/>
  <c r="C40" i="1"/>
  <c r="C39" i="1"/>
  <c r="C41" i="1" s="1"/>
  <c r="C38" i="1"/>
  <c r="C37" i="1"/>
  <c r="C35" i="1"/>
  <c r="F31" i="1"/>
  <c r="F32" i="1" s="1"/>
  <c r="F30" i="1"/>
  <c r="F29" i="1"/>
  <c r="F28" i="1"/>
  <c r="C28" i="1"/>
  <c r="I27" i="1"/>
  <c r="F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C29" i="1" s="1"/>
  <c r="I18" i="1"/>
  <c r="C18" i="1"/>
  <c r="I17" i="1"/>
  <c r="I16" i="1"/>
  <c r="I15" i="1"/>
  <c r="I14" i="1"/>
  <c r="I13" i="1"/>
  <c r="F13" i="1"/>
  <c r="C13" i="1"/>
  <c r="I12" i="1"/>
  <c r="F12" i="1"/>
  <c r="C12" i="1"/>
  <c r="I11" i="1"/>
  <c r="I28" i="1" s="1"/>
  <c r="F11" i="1"/>
  <c r="F14" i="1" s="1"/>
  <c r="C11" i="1"/>
  <c r="C14" i="1" s="1"/>
  <c r="H7" i="1"/>
  <c r="E7" i="1"/>
  <c r="H5" i="1"/>
  <c r="E5" i="1"/>
  <c r="B5" i="1"/>
  <c r="B3" i="1"/>
  <c r="F19" i="1" l="1"/>
  <c r="F20" i="1"/>
  <c r="F21" i="1"/>
  <c r="F18" i="1"/>
  <c r="F22" i="1"/>
  <c r="B7" i="1"/>
  <c r="F23" i="1" l="1"/>
</calcChain>
</file>

<file path=xl/sharedStrings.xml><?xml version="1.0" encoding="utf-8"?>
<sst xmlns="http://schemas.openxmlformats.org/spreadsheetml/2006/main" count="2770" uniqueCount="522">
  <si>
    <t>TOTAL EMPLOYÉS</t>
  </si>
  <si>
    <t>HOMMES</t>
  </si>
  <si>
    <t>FEMMES</t>
  </si>
  <si>
    <t>ÂGE MOYEN</t>
  </si>
  <si>
    <t>MOY. ENFANTS</t>
  </si>
  <si>
    <t>MARIÉS</t>
  </si>
  <si>
    <t>PAR LOCALISATION</t>
  </si>
  <si>
    <t>Catégorie</t>
  </si>
  <si>
    <t>Effectif</t>
  </si>
  <si>
    <t>Zamba</t>
  </si>
  <si>
    <t>Kinshasa</t>
  </si>
  <si>
    <t>Lubudi</t>
  </si>
  <si>
    <t>TOTAL</t>
  </si>
  <si>
    <t>PAR DÉPARTEMENT</t>
  </si>
  <si>
    <t>Sales &amp; Logistics</t>
  </si>
  <si>
    <t>Corporate Admin</t>
  </si>
  <si>
    <t>Engineering</t>
  </si>
  <si>
    <t>Production</t>
  </si>
  <si>
    <t>Administration</t>
  </si>
  <si>
    <t>Quality Assurance</t>
  </si>
  <si>
    <t>Mining</t>
  </si>
  <si>
    <t>Human Resources</t>
  </si>
  <si>
    <t>Packaging &amp; Logistics</t>
  </si>
  <si>
    <t>Risk &amp; Environment</t>
  </si>
  <si>
    <t>Finance</t>
  </si>
  <si>
    <t>PAR GENRE</t>
  </si>
  <si>
    <t>Male</t>
  </si>
  <si>
    <t>Female</t>
  </si>
  <si>
    <t>female</t>
  </si>
  <si>
    <t>PAR GRADE</t>
  </si>
  <si>
    <t>C2</t>
  </si>
  <si>
    <t>C3</t>
  </si>
  <si>
    <t>C4</t>
  </si>
  <si>
    <t>D2</t>
  </si>
  <si>
    <t>B2</t>
  </si>
  <si>
    <t>C1</t>
  </si>
  <si>
    <t>C5</t>
  </si>
  <si>
    <t>D1</t>
  </si>
  <si>
    <t>B3</t>
  </si>
  <si>
    <t>B4</t>
  </si>
  <si>
    <t>D4</t>
  </si>
  <si>
    <t>D5</t>
  </si>
  <si>
    <t>B1</t>
  </si>
  <si>
    <t>B5</t>
  </si>
  <si>
    <t>E1</t>
  </si>
  <si>
    <t>E2</t>
  </si>
  <si>
    <t>E4</t>
  </si>
  <si>
    <t>PAR TRANCHE D'ÂGE</t>
  </si>
  <si>
    <t>35-44</t>
  </si>
  <si>
    <t>25-34</t>
  </si>
  <si>
    <t>45-54</t>
  </si>
  <si>
    <t>55+</t>
  </si>
  <si>
    <t>&lt; 25</t>
  </si>
  <si>
    <t>PAR NATIONALITÉ</t>
  </si>
  <si>
    <t>Congolese</t>
  </si>
  <si>
    <t>congolese</t>
  </si>
  <si>
    <t>Kenyan</t>
  </si>
  <si>
    <t>Cameroonian</t>
  </si>
  <si>
    <t>Ivorian</t>
  </si>
  <si>
    <t>Permanent</t>
  </si>
  <si>
    <t>Contract</t>
  </si>
  <si>
    <t>MATRICULE</t>
  </si>
  <si>
    <t>COMPANY</t>
  </si>
  <si>
    <t>COMPLET NAME</t>
  </si>
  <si>
    <t>DEPARTMENT</t>
  </si>
  <si>
    <t>GRADE</t>
  </si>
  <si>
    <t>JOB TITLE</t>
  </si>
  <si>
    <t>LOCALISATION</t>
  </si>
  <si>
    <t>CENTER DES COUTS</t>
  </si>
  <si>
    <t>Appointment Date</t>
  </si>
  <si>
    <t>Gender</t>
  </si>
  <si>
    <t>Date of Birth</t>
  </si>
  <si>
    <t>Age</t>
  </si>
  <si>
    <t>Nationality</t>
  </si>
  <si>
    <t>Marital Status</t>
  </si>
  <si>
    <t>number of children</t>
  </si>
  <si>
    <t>Personnal Area</t>
  </si>
  <si>
    <t>Employee SubGroup</t>
  </si>
  <si>
    <t>Payroll Area</t>
  </si>
  <si>
    <t>Departement</t>
  </si>
  <si>
    <t>Line Manager Name</t>
  </si>
  <si>
    <t>Line manager position</t>
  </si>
  <si>
    <t>PPC Barnet DRC Manufacturing</t>
  </si>
  <si>
    <t>MBODI BAUSHILE GAEL</t>
  </si>
  <si>
    <t>Site Manager</t>
  </si>
  <si>
    <t>DL5110</t>
  </si>
  <si>
    <t>Married</t>
  </si>
  <si>
    <t>DRC</t>
  </si>
  <si>
    <t>Monthly</t>
  </si>
  <si>
    <t>Production Manager</t>
  </si>
  <si>
    <t>MUAKASA NSONI SERGE</t>
  </si>
  <si>
    <t>Estate Officer</t>
  </si>
  <si>
    <t>KM5631</t>
  </si>
  <si>
    <t>Plant HR Manager</t>
  </si>
  <si>
    <t>ZODULUA GADUA Jean Jacques</t>
  </si>
  <si>
    <t>Driver</t>
  </si>
  <si>
    <t>KC8710</t>
  </si>
  <si>
    <t>Lisangola Marie Jose</t>
  </si>
  <si>
    <t>KIMBANZI FEINTA BOVICK</t>
  </si>
  <si>
    <t>Senior Sales Consultant</t>
  </si>
  <si>
    <t>KC6111</t>
  </si>
  <si>
    <t>Bashige Rurabura Jean-Pierre</t>
  </si>
  <si>
    <t xml:space="preserve">PPC Barnet DRC Quarrying </t>
  </si>
  <si>
    <t>KUASA KINSIONA CHRISPIN</t>
  </si>
  <si>
    <t xml:space="preserve">Mining </t>
  </si>
  <si>
    <t xml:space="preserve">Drilling Operator </t>
  </si>
  <si>
    <t>KQ1010</t>
  </si>
  <si>
    <t>LUZOLO NSEMBOLO THOMAS</t>
  </si>
  <si>
    <t>Mechanic</t>
  </si>
  <si>
    <t>KM5317</t>
  </si>
  <si>
    <t>Mechanical Engineer</t>
  </si>
  <si>
    <t>BANGULI KIESSE SANDRINE</t>
  </si>
  <si>
    <t>Payroll and Admin Manager</t>
  </si>
  <si>
    <t>Carine Ewuli</t>
  </si>
  <si>
    <t>LISANGOLA YOWALI Marie-Josee</t>
  </si>
  <si>
    <t>Facilities Officer</t>
  </si>
  <si>
    <t>Kiesse Banguli</t>
  </si>
  <si>
    <t>MUNANGA DINA CARINE</t>
  </si>
  <si>
    <t>Customer Demand Supply Planner</t>
  </si>
  <si>
    <t>KC6312</t>
  </si>
  <si>
    <t>BANGA BANGA APEA ONESIME</t>
  </si>
  <si>
    <t>KITAMBO SENEMONA MEDARD</t>
  </si>
  <si>
    <t>KM5413</t>
  </si>
  <si>
    <t>KABANGU MUTAMBAYI CHARLIE</t>
  </si>
  <si>
    <t>Shift Supervisor</t>
  </si>
  <si>
    <t>KM4421</t>
  </si>
  <si>
    <t>KABEYA KABENGELE Tresor Michel</t>
  </si>
  <si>
    <t>KM5110</t>
  </si>
  <si>
    <t>Andrew Molonga</t>
  </si>
  <si>
    <t>Plant Manager</t>
  </si>
  <si>
    <t>KADIMOYO ILUNGA YVAN</t>
  </si>
  <si>
    <t xml:space="preserve">Production Superintendent </t>
  </si>
  <si>
    <t>Michel Kabeya</t>
  </si>
  <si>
    <t>MAPHASI VANGU PHILIPPE</t>
  </si>
  <si>
    <t>Production Shift Supervisor</t>
  </si>
  <si>
    <t>KM4510</t>
  </si>
  <si>
    <t>Yvan Kadimoyo</t>
  </si>
  <si>
    <t>MUBA KAYEMBE JEREMIE</t>
  </si>
  <si>
    <t>Packing Plant Foreman</t>
  </si>
  <si>
    <t>KM4610</t>
  </si>
  <si>
    <t>NEMWANDJARE PERO PHILEMON</t>
  </si>
  <si>
    <t>Junior Process Engineer</t>
  </si>
  <si>
    <t>KM5910</t>
  </si>
  <si>
    <t>Parician Ucchi</t>
  </si>
  <si>
    <t>UUCHI UMIRAMBE PARICIAN</t>
  </si>
  <si>
    <t>Optimisation Process Engineer</t>
  </si>
  <si>
    <t>MULOLO KANKOLONGO MANIX</t>
  </si>
  <si>
    <t>IT Manager</t>
  </si>
  <si>
    <t>KC8414</t>
  </si>
  <si>
    <t>Cedric Muzadi</t>
  </si>
  <si>
    <t>MACHARIA KINYANJUI SIMON</t>
  </si>
  <si>
    <t>Electrical &amp; Instrumentation Engineer</t>
  </si>
  <si>
    <t>KM5310</t>
  </si>
  <si>
    <t>Single</t>
  </si>
  <si>
    <t>Jack Ilondo</t>
  </si>
  <si>
    <t>Engineering Manager</t>
  </si>
  <si>
    <t>ILONDO LIKOMBA Jack Lethycien</t>
  </si>
  <si>
    <t>NZAZI KALUZAKI TOUBI</t>
  </si>
  <si>
    <t>MAKIVOVI KEVENA EDDO</t>
  </si>
  <si>
    <t>Safety Officer</t>
  </si>
  <si>
    <t>KM5811</t>
  </si>
  <si>
    <t>Mobile Equipment Operator</t>
  </si>
  <si>
    <t>BILONDA KAZADI DIANE</t>
  </si>
  <si>
    <t>Senior Regional Sales Consultant Construction, Ready Mix &amp; Indus</t>
  </si>
  <si>
    <t>MUKENDI KABONGO PATRICK</t>
  </si>
  <si>
    <t>KM5311</t>
  </si>
  <si>
    <t>Mechanical Foreman</t>
  </si>
  <si>
    <t>KILOSO SANDA HELENA</t>
  </si>
  <si>
    <t>Senior Regional Sales Consultant Retail &amp; Funa</t>
  </si>
  <si>
    <t>Serge Bazola</t>
  </si>
  <si>
    <t>PONGO PONGO LIWANDA LUTE CHARLES</t>
  </si>
  <si>
    <t>Quality Assurance Manager</t>
  </si>
  <si>
    <t>KM5510</t>
  </si>
  <si>
    <t>TANUI KIPRUTO ELIAS</t>
  </si>
  <si>
    <t>Project Manager</t>
  </si>
  <si>
    <t>KM8910</t>
  </si>
  <si>
    <t>Patrick Kahasha</t>
  </si>
  <si>
    <t>Managing Director</t>
  </si>
  <si>
    <t>DIAKIESE LUTUTALA GRACE</t>
  </si>
  <si>
    <t>Sales Consultant Tshangu</t>
  </si>
  <si>
    <t>Sales Consultant</t>
  </si>
  <si>
    <t>BAYISA SIMON DIDIER</t>
  </si>
  <si>
    <t>Fitter &amp; Turner</t>
  </si>
  <si>
    <t>Patrick Mukendi</t>
  </si>
  <si>
    <t>NSAKALA KUNIEKI GAYLOR</t>
  </si>
  <si>
    <t xml:space="preserve">Operator Support </t>
  </si>
  <si>
    <t>LUTONADIO NGUAWANI OLIVIER</t>
  </si>
  <si>
    <t>Packing/Loading Shift Supervisor</t>
  </si>
  <si>
    <t>TULENGI KASIAMA REAGAN</t>
  </si>
  <si>
    <t>Fitter &amp; Crane Specialist</t>
  </si>
  <si>
    <t>LUZOLAWO MANKELA RODRIGUE</t>
  </si>
  <si>
    <t>Gael Mbodi</t>
  </si>
  <si>
    <t>NZUZI TABILA JOEL</t>
  </si>
  <si>
    <t>MUANDA BALOKI JISCA</t>
  </si>
  <si>
    <t>KALUNGA MASELE RAMSES</t>
  </si>
  <si>
    <t>Process Operator</t>
  </si>
  <si>
    <t>Jeremie Muba</t>
  </si>
  <si>
    <t>MPONGO KOLONGO LEON</t>
  </si>
  <si>
    <t>Buyer</t>
  </si>
  <si>
    <t>KC8813</t>
  </si>
  <si>
    <t>Nelly Biganiro</t>
  </si>
  <si>
    <t>Purchasing Manager</t>
  </si>
  <si>
    <t>DUNGA KUEKUBATU PLATINI</t>
  </si>
  <si>
    <t>BAVIBIDILA MUNTANA GERVAIS</t>
  </si>
  <si>
    <t>KM4321</t>
  </si>
  <si>
    <t>Philippe Vangu</t>
  </si>
  <si>
    <t>BITUTU NDUNGU EDER</t>
  </si>
  <si>
    <t>NDONGA NGANGULA NOEL</t>
  </si>
  <si>
    <t>NLANDU NDONGALA ERICK</t>
  </si>
  <si>
    <t>Lab Analyst</t>
  </si>
  <si>
    <t>Sosthène Kamanda</t>
  </si>
  <si>
    <t>Senior Lab Analyst</t>
  </si>
  <si>
    <t>SAMBA ZANKEMBO CADET</t>
  </si>
  <si>
    <t>Routine Tester</t>
  </si>
  <si>
    <t>Pongo Pongo Charles</t>
  </si>
  <si>
    <t>QA Chemist</t>
  </si>
  <si>
    <t>BATEKISA MIABANGANA NICHA</t>
  </si>
  <si>
    <t>Customer Relationship Officer</t>
  </si>
  <si>
    <t>KC6310</t>
  </si>
  <si>
    <t>DINANDI MVUMBI PHILIPPE</t>
  </si>
  <si>
    <t>Boilermaker</t>
  </si>
  <si>
    <t>NSILU MALUTA NADEGE</t>
  </si>
  <si>
    <t>Physical Lab Tester</t>
  </si>
  <si>
    <t>TANDU NKWALA BERTIN</t>
  </si>
  <si>
    <t>FINKIDI MAYETO EDGARD</t>
  </si>
  <si>
    <t>MUSAKO KINZONZOLI MOISE</t>
  </si>
  <si>
    <t>Charles Pongo Pongo</t>
  </si>
  <si>
    <t>MVILAMBI BIMPALU DELVIS</t>
  </si>
  <si>
    <t>Moise Musako</t>
  </si>
  <si>
    <t>EKWALANGA MONGALIKITA BONIFACE</t>
  </si>
  <si>
    <t>Financial Controller</t>
  </si>
  <si>
    <t>KC8412</t>
  </si>
  <si>
    <t>ZIWANUKA KIANGEBENI MITHA</t>
  </si>
  <si>
    <t>Planning Administrator</t>
  </si>
  <si>
    <t>Mpay Rufin</t>
  </si>
  <si>
    <t>TULOMBA BALELE OVIE</t>
  </si>
  <si>
    <t xml:space="preserve">Electrician </t>
  </si>
  <si>
    <t>Marcel Ngoyi</t>
  </si>
  <si>
    <t>Electrical Foreman</t>
  </si>
  <si>
    <t>NGOYI MUIKULU MARCEL</t>
  </si>
  <si>
    <t>Simon Macharia</t>
  </si>
  <si>
    <t>MBANGI MAKULENDA ANDRE</t>
  </si>
  <si>
    <t>Handyman Electrical</t>
  </si>
  <si>
    <t>KADIMA TSHONDO Ben Paulin</t>
  </si>
  <si>
    <t>Senior Regional Sales Consultant</t>
  </si>
  <si>
    <t>KC6113</t>
  </si>
  <si>
    <t>LUKUAYI MANKUENIA OSEE</t>
  </si>
  <si>
    <t>NKOSI LIMA MASUDI BIENVENU</t>
  </si>
  <si>
    <t>Mining Mobile Equipment Operator</t>
  </si>
  <si>
    <t>KQ1910</t>
  </si>
  <si>
    <t>DIMENENE LUZAYADIO PAMPHIL</t>
  </si>
  <si>
    <t>Production Mobile Equipment Operator</t>
  </si>
  <si>
    <t>LUFUA LUA NGUALA JOSEPH</t>
  </si>
  <si>
    <t>Senior Sales Consultant Tshangu</t>
  </si>
  <si>
    <t>KANAHUNA LUZAYADIO MIRTHA</t>
  </si>
  <si>
    <t>Invoice Verification Clerk</t>
  </si>
  <si>
    <t>KC8411</t>
  </si>
  <si>
    <t>Cyril Kone</t>
  </si>
  <si>
    <t>Finance Manager</t>
  </si>
  <si>
    <t>LUMANISA WASOLOKELE CEDRICK</t>
  </si>
  <si>
    <t>NGOMA NALOLO DIEU</t>
  </si>
  <si>
    <t>Lead Fitter</t>
  </si>
  <si>
    <t>MVUTU LUTEMBE KARINE</t>
  </si>
  <si>
    <t>OH Nurse</t>
  </si>
  <si>
    <t>KM5721</t>
  </si>
  <si>
    <t>Joel Adhule</t>
  </si>
  <si>
    <t>Safety Manager</t>
  </si>
  <si>
    <t>MOLEKA GBANGA FRED</t>
  </si>
  <si>
    <t>monthly</t>
  </si>
  <si>
    <t>Kumarasamy</t>
  </si>
  <si>
    <t>NGOMA NIMI GLODY</t>
  </si>
  <si>
    <t>Transport Optimisation Manager</t>
  </si>
  <si>
    <t>KC8812</t>
  </si>
  <si>
    <t>Transport optimisation Manager</t>
  </si>
  <si>
    <t>Head of Supply Chain</t>
  </si>
  <si>
    <t>MANANGA MAMBULU JOSEPH</t>
  </si>
  <si>
    <t>CEC Officer</t>
  </si>
  <si>
    <t>KM5416</t>
  </si>
  <si>
    <t>ADHULE NYADRIA JOEL</t>
  </si>
  <si>
    <t>KM5711</t>
  </si>
  <si>
    <t>ONOSAMBA LUNDI LUNDI</t>
  </si>
  <si>
    <t>NZUNGU ANTOINE BONHEUR</t>
  </si>
  <si>
    <t>NSEKA LUGUNGU DHEINS</t>
  </si>
  <si>
    <t>Senior Regional Sales Consultant Distribution &amp; Wholesale</t>
  </si>
  <si>
    <t>KABOTO META CLEMENTINE</t>
  </si>
  <si>
    <t>Creditor Controler</t>
  </si>
  <si>
    <t>Divorced</t>
  </si>
  <si>
    <t>Boniface Ekwalanga</t>
  </si>
  <si>
    <t>LONGO ZOLA CHRISPIN</t>
  </si>
  <si>
    <t>KQ1023</t>
  </si>
  <si>
    <t>Mining Superintendant</t>
  </si>
  <si>
    <t>KILUMONIKO DIAWAWANA RACHIE</t>
  </si>
  <si>
    <t xml:space="preserve">Mobile Equipment Operator - Grader </t>
  </si>
  <si>
    <t>Nsuami Nsuami Elie</t>
  </si>
  <si>
    <t>SAMBA LUINDA HONORE</t>
  </si>
  <si>
    <t>KAMUNGOMA WENGA EMMANUEL</t>
  </si>
  <si>
    <t>Customer Service Clerk</t>
  </si>
  <si>
    <t>MUZADI LUKOKESHA CEDRIC</t>
  </si>
  <si>
    <t>Head of Finance and IT</t>
  </si>
  <si>
    <t>KC8410</t>
  </si>
  <si>
    <t>LISANGOLA ITOFELE L EMMANUEL</t>
  </si>
  <si>
    <t>Warehouse  Administrator</t>
  </si>
  <si>
    <t>KM5412</t>
  </si>
  <si>
    <t>Jean-Pierre Mavuangala Mvioki</t>
  </si>
  <si>
    <t>MULAMBA KASONGO JUNIOR</t>
  </si>
  <si>
    <t>Senior Sales Consultant IHB Segment</t>
  </si>
  <si>
    <t>TSASA NKONGO PAUL</t>
  </si>
  <si>
    <t>MALONDA PHUATI FRANCIS</t>
  </si>
  <si>
    <t>Financial Accountant</t>
  </si>
  <si>
    <t>KIAMUENEDIOKO KINSOMONA HORNEL</t>
  </si>
  <si>
    <t>Customer Relationship Clerk</t>
  </si>
  <si>
    <t>KAHAMBO ALIMASI NALIK</t>
  </si>
  <si>
    <t>Sales Consultant Mont Amba</t>
  </si>
  <si>
    <t>MAKAYA DIAMATONDO DENIS</t>
  </si>
  <si>
    <t>Shipping Coordinator</t>
  </si>
  <si>
    <t>MALU MALUNGA SEBASTIEN</t>
  </si>
  <si>
    <t>KUABI PANZU CHRISTIAN</t>
  </si>
  <si>
    <t>Jérémie Muba</t>
  </si>
  <si>
    <t>MANEKA MPUDI TRESOR</t>
  </si>
  <si>
    <t>Immigration Officer</t>
  </si>
  <si>
    <t>KILENDA BANGI ALI</t>
  </si>
  <si>
    <t>ZAKUANI BAHATI BENNY</t>
  </si>
  <si>
    <t>Talent &amp; Development Manager</t>
  </si>
  <si>
    <t>KC8711</t>
  </si>
  <si>
    <t>KABAMBA MUTUNGILAYI GERVAIS</t>
  </si>
  <si>
    <t>Marketing Analyst</t>
  </si>
  <si>
    <t>KC6210</t>
  </si>
  <si>
    <t>Papy Muzila</t>
  </si>
  <si>
    <t>Marketing Manager</t>
  </si>
  <si>
    <t>BIGANIRO NDAMUSO NELLY</t>
  </si>
  <si>
    <t>MUTOMBO NTALAJA ACHILLE</t>
  </si>
  <si>
    <t>Head of legal</t>
  </si>
  <si>
    <t>KC9215</t>
  </si>
  <si>
    <t>MBALE KABANGU HUGO</t>
  </si>
  <si>
    <t>Tax Manager</t>
  </si>
  <si>
    <t>KC8413</t>
  </si>
  <si>
    <t>MAVUANGALA MVIOKI JEAN-PIERRE</t>
  </si>
  <si>
    <t>Logistic Manager</t>
  </si>
  <si>
    <t>BINTU SAFI BARBARA</t>
  </si>
  <si>
    <t>TMS Clerk</t>
  </si>
  <si>
    <t>KC8811</t>
  </si>
  <si>
    <t>Jean Pierre Mavuangala</t>
  </si>
  <si>
    <t>KODJAWA MAGA PATRICK</t>
  </si>
  <si>
    <t>Ports Coordinator</t>
  </si>
  <si>
    <t>Joseph Marhegero</t>
  </si>
  <si>
    <t>MPAY MAYELE RUFIN</t>
  </si>
  <si>
    <t>Maintenance Planner</t>
  </si>
  <si>
    <t>NDAYA ABELI CARDOSO TANYA</t>
  </si>
  <si>
    <t>Compliance Officer</t>
  </si>
  <si>
    <t>KC9111</t>
  </si>
  <si>
    <t>ODIPO WERE Edgard</t>
  </si>
  <si>
    <t>Regional Manager-Grand Katanga</t>
  </si>
  <si>
    <t>DL9411</t>
  </si>
  <si>
    <t>MPUNGWE KAPEPULA MARQUES</t>
  </si>
  <si>
    <t>Giscard Rukomeza</t>
  </si>
  <si>
    <t>BOMPETA MPINGO ERICK</t>
  </si>
  <si>
    <t>MARHEGERO TATU JOSEPH</t>
  </si>
  <si>
    <t>Transports &amp; Transit Manager</t>
  </si>
  <si>
    <t>KONE KATYNAN CYRILLE</t>
  </si>
  <si>
    <t>KAMANDA NYOMBA SOSTHENE</t>
  </si>
  <si>
    <t>TOKO MATONDO JOEL</t>
  </si>
  <si>
    <t>Charly Kabangu</t>
  </si>
  <si>
    <t>VANGU VANGU ALBERT</t>
  </si>
  <si>
    <t>MATOKO PUATI JOEL</t>
  </si>
  <si>
    <t>Packaging/Loading Shift Supervisor</t>
  </si>
  <si>
    <t>BINDAMA KAMOSIKO ALPHONSE</t>
  </si>
  <si>
    <t>Fred Moleka</t>
  </si>
  <si>
    <t>MANSIAMINA DIANLEMVO PATIENCE</t>
  </si>
  <si>
    <t>Fitter</t>
  </si>
  <si>
    <t>NDALA TSHIUNZA FABRICE</t>
  </si>
  <si>
    <t>KANKONDE ILUNGA ALIDOR</t>
  </si>
  <si>
    <t>Production Clerk</t>
  </si>
  <si>
    <t>NTUNGA PIERRE DIEU-MERCI</t>
  </si>
  <si>
    <t>Maintenance Inspector</t>
  </si>
  <si>
    <t>WAMPANGULUA BUKAKA GUYLAIN</t>
  </si>
  <si>
    <t>Electrical Handyman</t>
  </si>
  <si>
    <t>KM5314</t>
  </si>
  <si>
    <t xml:space="preserve">LUCIO DA CONCEICAO </t>
  </si>
  <si>
    <t>Electrical Techinician</t>
  </si>
  <si>
    <t>KANANGA HASSAN</t>
  </si>
  <si>
    <t xml:space="preserve">Mining Shift Supervisor </t>
  </si>
  <si>
    <t>MASOKA HAPPY IYANYA</t>
  </si>
  <si>
    <t>Marketing Officer</t>
  </si>
  <si>
    <t>MOLOPAKWA MAGBALU AIME</t>
  </si>
  <si>
    <t>Warehouse Operator</t>
  </si>
  <si>
    <t>MOKANGA OSSUTA MICHEL</t>
  </si>
  <si>
    <t>KC6112</t>
  </si>
  <si>
    <t>SAIDI MOUSSA TRESOR</t>
  </si>
  <si>
    <t>SABI DIZITIDI HERVE</t>
  </si>
  <si>
    <t>Information Management System Coordinator</t>
  </si>
  <si>
    <t>KM8920</t>
  </si>
  <si>
    <t>MAYUMBU NZINDU NELSON</t>
  </si>
  <si>
    <t>Finance Plant Controler</t>
  </si>
  <si>
    <t>KM5410</t>
  </si>
  <si>
    <t>BIAWILA JEAN ROSTAND</t>
  </si>
  <si>
    <t>Receiver</t>
  </si>
  <si>
    <t>Emmanuel Lisangola</t>
  </si>
  <si>
    <t>TSHILOLO MWABILA Willy</t>
  </si>
  <si>
    <t>Jisca Muanda</t>
  </si>
  <si>
    <t>MUKONKOLE KABELE Christian</t>
  </si>
  <si>
    <t>BADIBANGA MUTSHIPAYI Leon</t>
  </si>
  <si>
    <t>NTONDO RIMELS</t>
  </si>
  <si>
    <t>BASHIGE RUBABURA Jean Pierre</t>
  </si>
  <si>
    <t>Regional Sales Manager Interior</t>
  </si>
  <si>
    <t>Edgard Odipo Were</t>
  </si>
  <si>
    <t>MILAMBU MBENGAY HERVE</t>
  </si>
  <si>
    <t>KEMO BALOMBA DEBORAH</t>
  </si>
  <si>
    <t>Administrator Account Payable</t>
  </si>
  <si>
    <t>MOLONGA LYONGA ANDREW</t>
  </si>
  <si>
    <t>MOLA BOIKA OLIVIER</t>
  </si>
  <si>
    <t>Manager Internal Audit</t>
  </si>
  <si>
    <t>KC9114</t>
  </si>
  <si>
    <t>NGUDI NGILA CHRISTIAN</t>
  </si>
  <si>
    <t>BILANGA LINGOMA Jonas</t>
  </si>
  <si>
    <t>Inventory Controller</t>
  </si>
  <si>
    <t>KAHASHA MBASHA PATRICK</t>
  </si>
  <si>
    <t>KC9211</t>
  </si>
  <si>
    <t>PPC Group</t>
  </si>
  <si>
    <t>NSINABAU TAMFUM NATHAN</t>
  </si>
  <si>
    <t>LAN Administrator</t>
  </si>
  <si>
    <t>Manix Mulolo</t>
  </si>
  <si>
    <t>KALAMBAY TSHILOMBO YANNICK</t>
  </si>
  <si>
    <t>Instrument Control Technician</t>
  </si>
  <si>
    <t>Macharia Simon</t>
  </si>
  <si>
    <t>NGABA TANKUEY ARNOLD</t>
  </si>
  <si>
    <t>Revenue &amp; Inventory Controller</t>
  </si>
  <si>
    <t>KAMUNGA KAMUNGA YANNICK</t>
  </si>
  <si>
    <t>EWULI SUKA Carine</t>
  </si>
  <si>
    <t>Head of Human Resources</t>
  </si>
  <si>
    <t>KC8712</t>
  </si>
  <si>
    <t>RUKOMEZA KARHIBULA GISCARD</t>
  </si>
  <si>
    <t>Mining Manager</t>
  </si>
  <si>
    <t>BAHATI BUHENDWA ANGELE</t>
  </si>
  <si>
    <t>Account Receivable Administrator</t>
  </si>
  <si>
    <t>TSHIMANGA KALOMBO CHARITE</t>
  </si>
  <si>
    <t>Junior Talent Management</t>
  </si>
  <si>
    <t>Cedric Zynga</t>
  </si>
  <si>
    <t>MULENDA ARCHIPP</t>
  </si>
  <si>
    <t>Junior Digitalization</t>
  </si>
  <si>
    <t>TSHIOMBE BADIBANGA CALEB</t>
  </si>
  <si>
    <t>Junior Tax</t>
  </si>
  <si>
    <t>Cyrille Kone</t>
  </si>
  <si>
    <t>KILONDO WOLENG STEPHANE</t>
  </si>
  <si>
    <t>Compliance Agent</t>
  </si>
  <si>
    <t>Tanya Ndaya</t>
  </si>
  <si>
    <t>MAWETE NSOTA EMMANUEL</t>
  </si>
  <si>
    <t>ASIKANDAMBU SIMBA GRÂCE</t>
  </si>
  <si>
    <t>Internal Auditor</t>
  </si>
  <si>
    <t>Olivier Mola</t>
  </si>
  <si>
    <t>NKEMBI MABELUANGA GRASSINDA</t>
  </si>
  <si>
    <t>Legal Counsel</t>
  </si>
  <si>
    <t>Achille Mutombo</t>
  </si>
  <si>
    <t>LANDU LUYEYE</t>
  </si>
  <si>
    <t>Civil Engineer</t>
  </si>
  <si>
    <t>ETEME ABOUDI LOUIS MARIE</t>
  </si>
  <si>
    <t>Reliability Engineer</t>
  </si>
  <si>
    <t>NGIMBI NSILULU DECLAIRK</t>
  </si>
  <si>
    <t>MUNTANDA TUMBA OXANO</t>
  </si>
  <si>
    <t>Instrumentation Technician</t>
  </si>
  <si>
    <t>KITUMAINI NASHI ELODIE</t>
  </si>
  <si>
    <t>TMS Officer</t>
  </si>
  <si>
    <t>Jeff Marhegeko</t>
  </si>
  <si>
    <t>KANI NSIMBA ERIC</t>
  </si>
  <si>
    <t>Helena Kiloso</t>
  </si>
  <si>
    <t>NSAKALA MPINDY DORLY</t>
  </si>
  <si>
    <t>KALALA KALOMBO EL NATHAN</t>
  </si>
  <si>
    <t xml:space="preserve">Sales Consultant </t>
  </si>
  <si>
    <t>MUTOMBO SHAMBUYI LÉONARD</t>
  </si>
  <si>
    <t>Environmental Officer</t>
  </si>
  <si>
    <t>BABALA MATWAN ANTOINE</t>
  </si>
  <si>
    <t>Executive Assistant</t>
  </si>
  <si>
    <t>KC9214</t>
  </si>
  <si>
    <t>NDONGALA STEPHANIE</t>
  </si>
  <si>
    <t>MD-Personal Assistant</t>
  </si>
  <si>
    <t>KC9212</t>
  </si>
  <si>
    <t>KASEREKA KALENDE GUYLAIN</t>
  </si>
  <si>
    <t>Alternative Fuels &amp; Raw Materials Manager</t>
  </si>
  <si>
    <t>MATA MATOMBA ALEXANDRE</t>
  </si>
  <si>
    <t>KINKINIA DIAVEZUKA PELAGIE</t>
  </si>
  <si>
    <t>BOOKE BASA MICHAEL</t>
  </si>
  <si>
    <t>KC8810</t>
  </si>
  <si>
    <t>MUZILA EBALOSONG Papy</t>
  </si>
  <si>
    <t>Serge  Bazola</t>
  </si>
  <si>
    <t>MIRINDI CARINE</t>
  </si>
  <si>
    <t>HR Officer</t>
  </si>
  <si>
    <t>ATATALA ANIPAP JEREMIE</t>
  </si>
  <si>
    <t>Mining Supervisor</t>
  </si>
  <si>
    <t>MIKINDO KYANGWI PAUL SAMSON</t>
  </si>
  <si>
    <t>Maintenance Supervisor</t>
  </si>
  <si>
    <t>BUHENDWA JERRY</t>
  </si>
  <si>
    <t>Supply Chain Officer</t>
  </si>
  <si>
    <t>YUMBA LUSA LYSTHA</t>
  </si>
  <si>
    <t>Production Supervisor</t>
  </si>
  <si>
    <t>PANDA KYALEVA PATRICK</t>
  </si>
  <si>
    <t>MUZO NKIENE BLANCHARD</t>
  </si>
  <si>
    <t>NDONDA LUFULUABO PASCAL</t>
  </si>
  <si>
    <t>MASSADI GEDEON GEDEON</t>
  </si>
  <si>
    <t>HR Administrator</t>
  </si>
  <si>
    <t>Pelagie Kinkinia</t>
  </si>
  <si>
    <t>NLANDU TSHIBAMBA JUNIOR</t>
  </si>
  <si>
    <t>Fitter Vulcanizer</t>
  </si>
  <si>
    <t>NaN</t>
  </si>
  <si>
    <t xml:space="preserve">EMPLOYEE BASE </t>
  </si>
  <si>
    <t>HR KPIs DASHBOARD — EMPLOYÉS</t>
  </si>
  <si>
    <t>Kwango</t>
  </si>
  <si>
    <t>Equateur</t>
  </si>
  <si>
    <t>Mbandaka</t>
  </si>
  <si>
    <t>Kisangani</t>
  </si>
  <si>
    <t>0</t>
  </si>
  <si>
    <t>SORTIES (EXIT)</t>
  </si>
  <si>
    <t>Total sorties</t>
  </si>
  <si>
    <t>Motif</t>
  </si>
  <si>
    <t>Demission</t>
  </si>
  <si>
    <t>Licenciement</t>
  </si>
  <si>
    <t>Retraite</t>
  </si>
  <si>
    <t>Fin de contrat</t>
  </si>
  <si>
    <t>EXIT — AGENTS SORTIS</t>
  </si>
  <si>
    <t>NDUSHA CLEMENT</t>
  </si>
  <si>
    <t>Process Technician</t>
  </si>
  <si>
    <t>Inactive</t>
  </si>
  <si>
    <t>CDD</t>
  </si>
  <si>
    <t>Payroll 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</si>
</sst>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64748B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24"/>
      <name val="Calibri"/>
      <family val="2"/>
    </font>
    <font>
      <b/>
      <sz val="12"/>
      <color theme="1"/>
      <name val="Calibri"/>
      <family val="2"/>
    </font>
    <font>
      <b/>
      <sz val="10"/>
      <name val="Calibri"/>
      <family val="2"/>
    </font>
    <font>
      <b/>
      <sz val="9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F2744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5" borderId="0" xfId="0" applyFont="1" applyFill="1" applyAlignment="1">
      <alignment horizontal="left"/>
    </xf>
    <xf numFmtId="0" fontId="7" fillId="5" borderId="0" xfId="0" applyFont="1" applyFill="1"/>
    <xf numFmtId="14" fontId="7" fillId="5" borderId="0" xfId="0" applyNumberFormat="1" applyFont="1" applyFill="1"/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6" fillId="0" borderId="7" xfId="0" applyFont="1" applyBorder="1"/>
    <xf numFmtId="14" fontId="6" fillId="0" borderId="7" xfId="0" applyNumberFormat="1" applyFont="1" applyBorder="1"/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86EC-6BE1-4B76-8BE6-22E73D050649}">
  <dimension ref="B1:T70"/>
  <sheetViews>
    <sheetView showGridLines="0" topLeftCell="A5" workbookViewId="0">
      <selection activeCell="B34" sqref="B34"/>
    </sheetView>
  </sheetViews>
  <sheetFormatPr defaultRowHeight="18" customHeight="1" x14ac:dyDescent="0.35"/>
  <cols>
    <col min="1" max="1" width="3" customWidth="1"/>
    <col min="2" max="2" width="26" customWidth="1"/>
    <col min="3" max="3" width="12" style="17" customWidth="1"/>
    <col min="4" max="4" width="12" customWidth="1"/>
    <col min="5" max="5" width="22.453125" customWidth="1"/>
    <col min="6" max="7" width="11.6328125" customWidth="1"/>
    <col min="8" max="8" width="27.90625" customWidth="1"/>
    <col min="9" max="18" width="11.6328125" customWidth="1"/>
    <col min="19" max="19" width="10" customWidth="1"/>
  </cols>
  <sheetData>
    <row r="1" spans="2:20" ht="14.5" x14ac:dyDescent="0.35"/>
    <row r="2" spans="2:20" ht="28" customHeight="1" x14ac:dyDescent="0.35">
      <c r="B2" s="27" t="s">
        <v>503</v>
      </c>
      <c r="C2" s="28"/>
      <c r="D2" s="28"/>
      <c r="E2" s="28"/>
      <c r="F2" s="28"/>
      <c r="G2" s="28"/>
      <c r="H2" s="28"/>
      <c r="I2" s="28"/>
    </row>
    <row r="3" spans="2:20" ht="14.5" x14ac:dyDescent="0.35">
      <c r="B3" s="13" t="str">
        <f ca="1">"Export du "&amp;TEXT(TODAY(),"dd/mm/yyyy")&amp;" — "&amp;COUNTA(Base!$A$3:$A$177)&amp;" employés"</f>
        <v>Export du 24/07/2026 — 175 employés</v>
      </c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0" ht="14.5" x14ac:dyDescent="0.35">
      <c r="B4" s="43" t="s">
        <v>0</v>
      </c>
      <c r="C4" s="44"/>
      <c r="D4" s="45"/>
      <c r="E4" s="52" t="s">
        <v>1</v>
      </c>
      <c r="F4" s="53"/>
      <c r="G4" s="54"/>
      <c r="H4" s="29" t="s">
        <v>2</v>
      </c>
      <c r="I4" s="30"/>
    </row>
    <row r="5" spans="2:20" ht="47.5" customHeight="1" x14ac:dyDescent="0.35">
      <c r="B5" s="37">
        <f>COUNTA(Base!$A$3:$A$177)</f>
        <v>175</v>
      </c>
      <c r="C5" s="38"/>
      <c r="D5" s="39"/>
      <c r="E5" s="40">
        <f>COUNTIF(Base!$J$3:$J$177,"Male")+COUNTIF(Base!$J$3:$J$177,"M")</f>
        <v>148</v>
      </c>
      <c r="F5" s="41"/>
      <c r="G5" s="42"/>
      <c r="H5" s="31">
        <f>COUNTIF(Base!$J$3:$J$177,"Female")+COUNTIF(Base!$J$3:$J$177,"F")</f>
        <v>27</v>
      </c>
      <c r="I5" s="32"/>
    </row>
    <row r="6" spans="2:20" ht="14.5" x14ac:dyDescent="0.35">
      <c r="B6" s="46" t="s">
        <v>3</v>
      </c>
      <c r="C6" s="47"/>
      <c r="D6" s="48"/>
      <c r="E6" s="55" t="s">
        <v>4</v>
      </c>
      <c r="F6" s="56"/>
      <c r="G6" s="57"/>
      <c r="H6" s="33" t="s">
        <v>5</v>
      </c>
      <c r="I6" s="34"/>
    </row>
    <row r="7" spans="2:20" ht="48.5" customHeight="1" x14ac:dyDescent="0.35">
      <c r="B7" s="49">
        <f ca="1">IFERROR(ROUND(AVERAGE(Base!$L$3:$L$177),1),0)</f>
        <v>40.1</v>
      </c>
      <c r="C7" s="50"/>
      <c r="D7" s="51"/>
      <c r="E7" s="58">
        <f>IFERROR(ROUND(AVERAGE(Base!$O$3:$O$177),2),0)</f>
        <v>2.25</v>
      </c>
      <c r="F7" s="59"/>
      <c r="G7" s="60"/>
      <c r="H7" s="35">
        <f>COUNTIF(Base!$N$3:$N$177,"*Married*")</f>
        <v>128</v>
      </c>
      <c r="I7" s="36"/>
    </row>
    <row r="8" spans="2:20" ht="18" customHeight="1" thickBot="1" x14ac:dyDescent="0.4"/>
    <row r="9" spans="2:20" ht="16" thickBot="1" x14ac:dyDescent="0.4">
      <c r="B9" s="20" t="s">
        <v>6</v>
      </c>
      <c r="C9" s="21"/>
      <c r="E9" s="20" t="s">
        <v>25</v>
      </c>
      <c r="F9" s="21"/>
      <c r="H9" s="20" t="s">
        <v>29</v>
      </c>
      <c r="I9" s="21"/>
    </row>
    <row r="10" spans="2:20" ht="14.5" x14ac:dyDescent="0.35">
      <c r="B10" s="18" t="s">
        <v>7</v>
      </c>
      <c r="C10" s="19" t="s">
        <v>8</v>
      </c>
      <c r="E10" s="1" t="s">
        <v>7</v>
      </c>
      <c r="F10" s="15" t="s">
        <v>8</v>
      </c>
      <c r="H10" s="1" t="s">
        <v>7</v>
      </c>
      <c r="I10" s="15" t="s">
        <v>8</v>
      </c>
    </row>
    <row r="11" spans="2:20" ht="14.5" x14ac:dyDescent="0.35">
      <c r="B11" s="22" t="s">
        <v>9</v>
      </c>
      <c r="C11" s="2">
        <f>COUNTIF(Base!$G$3:$G$177,"Zamba")</f>
        <v>101</v>
      </c>
      <c r="E11" s="22" t="s">
        <v>26</v>
      </c>
      <c r="F11" s="2">
        <f>COUNTIF(Base!$J$3:$J$177,"Male")</f>
        <v>148</v>
      </c>
      <c r="H11" s="22" t="s">
        <v>30</v>
      </c>
      <c r="I11" s="2">
        <f>COUNTIF(Base!$E$3:$E$177,"C2")</f>
        <v>38</v>
      </c>
    </row>
    <row r="12" spans="2:20" ht="14.5" x14ac:dyDescent="0.35">
      <c r="B12" s="23" t="s">
        <v>10</v>
      </c>
      <c r="C12" s="3">
        <f>COUNTIF(Base!$G$3:$G$177,"Kinshasa")</f>
        <v>66</v>
      </c>
      <c r="E12" s="23" t="s">
        <v>27</v>
      </c>
      <c r="F12" s="3">
        <f>COUNTIF(Base!$J$3:$J$177,"Female")</f>
        <v>27</v>
      </c>
      <c r="H12" s="23" t="s">
        <v>31</v>
      </c>
      <c r="I12" s="3">
        <f>COUNTIF(Base!$E$3:$E$177,"C3")</f>
        <v>24</v>
      </c>
    </row>
    <row r="13" spans="2:20" ht="14.5" x14ac:dyDescent="0.35">
      <c r="B13" s="22" t="s">
        <v>11</v>
      </c>
      <c r="C13" s="2">
        <f>COUNTIF(Base!$G$3:$G$177,"Lubudi")</f>
        <v>8</v>
      </c>
      <c r="E13" s="22" t="s">
        <v>28</v>
      </c>
      <c r="F13" s="2">
        <f>COUNTIF(Base!$J$3:$J$177,"female")</f>
        <v>27</v>
      </c>
      <c r="H13" s="22" t="s">
        <v>32</v>
      </c>
      <c r="I13" s="2">
        <f>COUNTIF(Base!$E$3:$E$177,"C4")</f>
        <v>19</v>
      </c>
    </row>
    <row r="14" spans="2:20" ht="14.5" x14ac:dyDescent="0.35">
      <c r="B14" s="4" t="s">
        <v>12</v>
      </c>
      <c r="C14" s="16">
        <f>SUM(C11:C13)</f>
        <v>175</v>
      </c>
      <c r="E14" s="4" t="s">
        <v>12</v>
      </c>
      <c r="F14" s="16">
        <f>SUM(F11:F13)</f>
        <v>202</v>
      </c>
      <c r="H14" s="23" t="s">
        <v>33</v>
      </c>
      <c r="I14" s="3">
        <f>COUNTIF(Base!$E$3:$E$177,"D2")</f>
        <v>17</v>
      </c>
    </row>
    <row r="15" spans="2:20" ht="18" customHeight="1" thickBot="1" x14ac:dyDescent="0.4">
      <c r="H15" s="22" t="s">
        <v>34</v>
      </c>
      <c r="I15" s="2">
        <f>COUNTIF(Base!$E$3:$E$177,"B2")</f>
        <v>14</v>
      </c>
    </row>
    <row r="16" spans="2:20" ht="16" thickBot="1" x14ac:dyDescent="0.4">
      <c r="B16" s="20" t="s">
        <v>13</v>
      </c>
      <c r="C16" s="21"/>
      <c r="E16" s="20" t="s">
        <v>47</v>
      </c>
      <c r="F16" s="21"/>
      <c r="H16" s="23" t="s">
        <v>35</v>
      </c>
      <c r="I16" s="3">
        <f>COUNTIF(Base!$E$3:$E$177,"C1")</f>
        <v>12</v>
      </c>
    </row>
    <row r="17" spans="2:9" ht="14.5" x14ac:dyDescent="0.35">
      <c r="B17" s="1" t="s">
        <v>7</v>
      </c>
      <c r="C17" s="15" t="s">
        <v>8</v>
      </c>
      <c r="E17" s="1" t="s">
        <v>7</v>
      </c>
      <c r="F17" s="15" t="s">
        <v>8</v>
      </c>
      <c r="H17" s="22" t="s">
        <v>36</v>
      </c>
      <c r="I17" s="2">
        <f>COUNTIF(Base!$E$3:$E$177,"C5")</f>
        <v>11</v>
      </c>
    </row>
    <row r="18" spans="2:9" ht="14.5" x14ac:dyDescent="0.35">
      <c r="B18" s="22" t="s">
        <v>14</v>
      </c>
      <c r="C18" s="2">
        <f>COUNTIF(Base!$D$3:$D$177,"Sales &amp; Logistics")</f>
        <v>35</v>
      </c>
      <c r="E18" s="22" t="s">
        <v>48</v>
      </c>
      <c r="F18" s="2">
        <f ca="1">COUNTIFS(Base!$L$3:$L$177,"&gt;=35",Base!$L$3:$L$177,"&lt;45")</f>
        <v>91</v>
      </c>
      <c r="H18" s="23" t="s">
        <v>37</v>
      </c>
      <c r="I18" s="3">
        <f>COUNTIF(Base!$E$3:$E$177,"D1")</f>
        <v>8</v>
      </c>
    </row>
    <row r="19" spans="2:9" ht="14.5" x14ac:dyDescent="0.35">
      <c r="B19" s="23" t="s">
        <v>15</v>
      </c>
      <c r="C19" s="3">
        <f>COUNTIF(Base!$D$3:$D$177,"Corporate Admin")</f>
        <v>34</v>
      </c>
      <c r="E19" s="23" t="s">
        <v>49</v>
      </c>
      <c r="F19" s="3">
        <f ca="1">COUNTIFS(Base!$L$3:$L$177,"&gt;=25",Base!$L$3:$L$177,"&lt;35")</f>
        <v>39</v>
      </c>
      <c r="H19" s="22" t="s">
        <v>38</v>
      </c>
      <c r="I19" s="2">
        <f>COUNTIF(Base!$E$3:$E$177,"B3")</f>
        <v>7</v>
      </c>
    </row>
    <row r="20" spans="2:9" ht="14.5" x14ac:dyDescent="0.35">
      <c r="B20" s="22" t="s">
        <v>16</v>
      </c>
      <c r="C20" s="2">
        <f>COUNTIF(Base!$D$3:$D$177,"Engineering")</f>
        <v>28</v>
      </c>
      <c r="E20" s="22" t="s">
        <v>50</v>
      </c>
      <c r="F20" s="2">
        <f ca="1">COUNTIFS(Base!$L$3:$L$177,"&gt;=45",Base!$L$3:$L$177,"&lt;55")</f>
        <v>33</v>
      </c>
      <c r="H20" s="23" t="s">
        <v>39</v>
      </c>
      <c r="I20" s="3">
        <f>COUNTIF(Base!$E$3:$E$177,"B4")</f>
        <v>6</v>
      </c>
    </row>
    <row r="21" spans="2:9" ht="14.5" x14ac:dyDescent="0.35">
      <c r="B21" s="23" t="s">
        <v>17</v>
      </c>
      <c r="C21" s="3">
        <f>COUNTIF(Base!$D$3:$D$177,"Production")</f>
        <v>21</v>
      </c>
      <c r="E21" s="23" t="s">
        <v>51</v>
      </c>
      <c r="F21" s="3">
        <f ca="1">COUNTIF(Base!$L$3:$L$177,"&gt;=55")</f>
        <v>11</v>
      </c>
      <c r="H21" s="22" t="s">
        <v>40</v>
      </c>
      <c r="I21" s="2">
        <f>COUNTIF(Base!$E$3:$E$177,"D4")</f>
        <v>6</v>
      </c>
    </row>
    <row r="22" spans="2:9" ht="14.5" x14ac:dyDescent="0.35">
      <c r="B22" s="22" t="s">
        <v>18</v>
      </c>
      <c r="C22" s="2">
        <f>COUNTIF(Base!$D$3:$D$177,"Administration")</f>
        <v>18</v>
      </c>
      <c r="E22" s="22" t="s">
        <v>52</v>
      </c>
      <c r="F22" s="2">
        <f ca="1">COUNTIFS(Base!$L$3:$L$177,"&gt;=0",Base!$L$3:$L$177,"&lt;25")</f>
        <v>1</v>
      </c>
      <c r="H22" s="23" t="s">
        <v>41</v>
      </c>
      <c r="I22" s="3">
        <f>COUNTIF(Base!$E$3:$E$177,"D5")</f>
        <v>4</v>
      </c>
    </row>
    <row r="23" spans="2:9" ht="14.5" x14ac:dyDescent="0.35">
      <c r="B23" s="23" t="s">
        <v>19</v>
      </c>
      <c r="C23" s="3">
        <f>COUNTIF(Base!$D$3:$D$177,"Quality Assurance")</f>
        <v>11</v>
      </c>
      <c r="E23" s="4" t="s">
        <v>12</v>
      </c>
      <c r="F23" s="16">
        <f ca="1">SUM(F18:F22)</f>
        <v>175</v>
      </c>
      <c r="H23" s="22" t="s">
        <v>42</v>
      </c>
      <c r="I23" s="2">
        <f>COUNTIF(Base!$E$3:$E$177,"B1")</f>
        <v>3</v>
      </c>
    </row>
    <row r="24" spans="2:9" ht="15" thickBot="1" x14ac:dyDescent="0.4">
      <c r="B24" s="22" t="s">
        <v>20</v>
      </c>
      <c r="C24" s="2">
        <f>COUNTIF(Base!$D$3:$D$177,"Mining")</f>
        <v>0</v>
      </c>
      <c r="H24" s="23" t="s">
        <v>43</v>
      </c>
      <c r="I24" s="3">
        <f>COUNTIF(Base!$E$3:$E$177,"B5")</f>
        <v>3</v>
      </c>
    </row>
    <row r="25" spans="2:9" ht="16" thickBot="1" x14ac:dyDescent="0.4">
      <c r="B25" s="23" t="s">
        <v>21</v>
      </c>
      <c r="C25" s="3">
        <f>COUNTIF(Base!$D$3:$D$177,"Human Resources")</f>
        <v>7</v>
      </c>
      <c r="E25" s="20" t="s">
        <v>53</v>
      </c>
      <c r="F25" s="21"/>
      <c r="H25" s="22" t="s">
        <v>44</v>
      </c>
      <c r="I25" s="2">
        <f>COUNTIF(Base!$E$3:$E$177,"E1")</f>
        <v>1</v>
      </c>
    </row>
    <row r="26" spans="2:9" ht="14.5" x14ac:dyDescent="0.35">
      <c r="B26" s="22" t="s">
        <v>22</v>
      </c>
      <c r="C26" s="2">
        <f>COUNTIF(Base!$D$3:$D$177,"Packaging &amp; Logistics")</f>
        <v>5</v>
      </c>
      <c r="E26" s="1" t="s">
        <v>7</v>
      </c>
      <c r="F26" s="15" t="s">
        <v>8</v>
      </c>
      <c r="H26" s="23" t="s">
        <v>45</v>
      </c>
      <c r="I26" s="3">
        <f>COUNTIF(Base!$E$3:$E$177,"E2")</f>
        <v>1</v>
      </c>
    </row>
    <row r="27" spans="2:9" ht="14.5" x14ac:dyDescent="0.35">
      <c r="B27" s="23" t="s">
        <v>23</v>
      </c>
      <c r="C27" s="3">
        <f>COUNTIF(Base!$D$3:$D$177,"Risk &amp; Environment")</f>
        <v>5</v>
      </c>
      <c r="E27" s="22" t="s">
        <v>54</v>
      </c>
      <c r="F27" s="2">
        <f>COUNTIF(Base!$M$3:$M$177,"Congolese")</f>
        <v>169</v>
      </c>
      <c r="H27" s="22" t="s">
        <v>46</v>
      </c>
      <c r="I27" s="2">
        <f>COUNTIF(Base!$E$3:$E$177,"E4")</f>
        <v>1</v>
      </c>
    </row>
    <row r="28" spans="2:9" ht="14.5" x14ac:dyDescent="0.35">
      <c r="B28" s="22" t="s">
        <v>24</v>
      </c>
      <c r="C28" s="2">
        <f>COUNTIF(Base!$D$3:$D$177,"Finance")</f>
        <v>2</v>
      </c>
      <c r="E28" s="23" t="s">
        <v>55</v>
      </c>
      <c r="F28" s="3">
        <f>COUNTIF(Base!$M$3:$M$177,"congolese")</f>
        <v>169</v>
      </c>
      <c r="H28" s="4" t="s">
        <v>12</v>
      </c>
      <c r="I28" s="16">
        <f>SUM(I11:I27)</f>
        <v>175</v>
      </c>
    </row>
    <row r="29" spans="2:9" ht="14.5" x14ac:dyDescent="0.35">
      <c r="B29" s="4" t="s">
        <v>12</v>
      </c>
      <c r="C29" s="16">
        <f>SUM(C18:C28)</f>
        <v>166</v>
      </c>
      <c r="E29" s="22" t="s">
        <v>56</v>
      </c>
      <c r="F29" s="2">
        <f>COUNTIF(Base!$M$3:$M$177,"Kenyan")</f>
        <v>3</v>
      </c>
    </row>
    <row r="30" spans="2:9" ht="18" customHeight="1" x14ac:dyDescent="0.35">
      <c r="E30" s="23" t="s">
        <v>57</v>
      </c>
      <c r="F30" s="3">
        <f>COUNTIF(Base!$M$3:$M$177,"Cameroonian")</f>
        <v>2</v>
      </c>
    </row>
    <row r="31" spans="2:9" ht="14.5" x14ac:dyDescent="0.35">
      <c r="E31" s="22" t="s">
        <v>58</v>
      </c>
      <c r="F31" s="2">
        <f>COUNTIF(Base!$M$3:$M$177,"Ivorian")</f>
        <v>1</v>
      </c>
    </row>
    <row r="32" spans="2:9" ht="14.5" x14ac:dyDescent="0.35">
      <c r="E32" s="4" t="s">
        <v>12</v>
      </c>
      <c r="F32" s="16">
        <f>SUM(F27:F31)</f>
        <v>344</v>
      </c>
    </row>
    <row r="33" spans="2:3" ht="14.5" x14ac:dyDescent="0.35"/>
    <row r="34" spans="2:3" ht="14.5" x14ac:dyDescent="0.35">
      <c r="B34" t="s">
        <v>509</v>
      </c>
    </row>
    <row r="35" spans="2:3" ht="14.5" x14ac:dyDescent="0.35">
      <c r="B35" t="s">
        <v>510</v>
      </c>
      <c r="C35" s="17">
        <f>COUNTA(EXIT!$A$3:$A$3)</f>
        <v>1</v>
      </c>
    </row>
    <row r="36" spans="2:3" ht="14.5" x14ac:dyDescent="0.35">
      <c r="B36" t="s">
        <v>511</v>
      </c>
      <c r="C36" s="17" t="s">
        <v>8</v>
      </c>
    </row>
    <row r="37" spans="2:3" ht="14.5" x14ac:dyDescent="0.35">
      <c r="B37" t="s">
        <v>512</v>
      </c>
      <c r="C37" s="17">
        <f>COUNTIF(EXIT!$AD$3:$AD$3,"Demission")</f>
        <v>1</v>
      </c>
    </row>
    <row r="38" spans="2:3" ht="14.5" x14ac:dyDescent="0.35">
      <c r="B38" t="s">
        <v>513</v>
      </c>
      <c r="C38" s="17">
        <f>COUNTIF(EXIT!$AD$3:$AD$3,"Licenciement")</f>
        <v>0</v>
      </c>
    </row>
    <row r="39" spans="2:3" ht="14.5" x14ac:dyDescent="0.35">
      <c r="B39" t="s">
        <v>514</v>
      </c>
      <c r="C39" s="17">
        <f>COUNTIF(EXIT!$AD$3:$AD$3,"Retraite")</f>
        <v>0</v>
      </c>
    </row>
    <row r="40" spans="2:3" ht="14.5" x14ac:dyDescent="0.35">
      <c r="B40" t="s">
        <v>515</v>
      </c>
      <c r="C40" s="17">
        <f>COUNTIF(EXIT!$AD$3:$AD$3,"Fin de contrat")</f>
        <v>0</v>
      </c>
    </row>
    <row r="41" spans="2:3" ht="14.5" x14ac:dyDescent="0.35">
      <c r="B41" t="s">
        <v>12</v>
      </c>
      <c r="C41" s="17">
        <f>SUM(C37:C40)</f>
        <v>1</v>
      </c>
    </row>
    <row r="42" spans="2:3" ht="14.5" x14ac:dyDescent="0.35"/>
    <row r="43" spans="2:3" ht="14.5" x14ac:dyDescent="0.35"/>
    <row r="44" spans="2:3" ht="14.5" x14ac:dyDescent="0.35"/>
    <row r="45" spans="2:3" ht="14.5" x14ac:dyDescent="0.35"/>
    <row r="46" spans="2:3" ht="14.5" x14ac:dyDescent="0.35"/>
    <row r="47" spans="2:3" ht="14.5" x14ac:dyDescent="0.35"/>
    <row r="48" spans="2:3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</sheetData>
  <mergeCells count="13">
    <mergeCell ref="B2:I2"/>
    <mergeCell ref="H4:I4"/>
    <mergeCell ref="H5:I5"/>
    <mergeCell ref="H6:I6"/>
    <mergeCell ref="H7:I7"/>
    <mergeCell ref="B5:D5"/>
    <mergeCell ref="E5:G5"/>
    <mergeCell ref="B4:D4"/>
    <mergeCell ref="B6:D6"/>
    <mergeCell ref="B7:D7"/>
    <mergeCell ref="E4:G4"/>
    <mergeCell ref="E6:G6"/>
    <mergeCell ref="E7:G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0CEC-6CCC-421C-88B0-40A562B2DBF8}">
  <sheetPr filterMode="1"/>
  <dimension ref="A1:U1048573"/>
  <sheetViews>
    <sheetView showGridLines="0" tabSelected="1" workbookViewId="0">
      <pane ySplit="2" topLeftCell="A3" activePane="bottomLeft" state="frozen"/>
      <selection pane="bottomLeft" activeCell="A7" sqref="A1:A1048576"/>
    </sheetView>
  </sheetViews>
  <sheetFormatPr defaultRowHeight="14.5" x14ac:dyDescent="0.35"/>
  <cols>
    <col min="1" max="1" width="13.90625" style="63" customWidth="1"/>
    <col min="2" max="2" width="33.26953125" customWidth="1"/>
    <col min="3" max="3" width="36.26953125" customWidth="1"/>
    <col min="4" max="4" width="21.36328125" customWidth="1"/>
    <col min="5" max="5" width="10.90625" customWidth="1"/>
    <col min="6" max="6" width="64.36328125" customWidth="1"/>
    <col min="7" max="7" width="15.08984375" customWidth="1"/>
    <col min="8" max="8" width="17.1796875" customWidth="1"/>
    <col min="9" max="9" width="17.54296875" customWidth="1"/>
    <col min="10" max="10" width="10.453125" customWidth="1"/>
    <col min="11" max="11" width="17.54296875" customWidth="1"/>
    <col min="12" max="12" width="5.81640625" customWidth="1"/>
    <col min="13" max="14" width="15.08984375" customWidth="1"/>
    <col min="15" max="15" width="17.36328125" customWidth="1"/>
    <col min="16" max="16" width="20.7265625" customWidth="1"/>
    <col min="17" max="17" width="27.26953125" customWidth="1"/>
    <col min="18" max="18" width="16.453125" customWidth="1"/>
    <col min="19" max="19" width="16.36328125" bestFit="1" customWidth="1"/>
    <col min="20" max="20" width="28.6328125" bestFit="1" customWidth="1"/>
    <col min="21" max="21" width="35" bestFit="1" customWidth="1"/>
    <col min="22" max="22" width="0" hidden="1"/>
  </cols>
  <sheetData>
    <row r="1" spans="1:21" ht="31" x14ac:dyDescent="0.7">
      <c r="A1" s="12" t="s">
        <v>502</v>
      </c>
    </row>
    <row r="2" spans="1:21" x14ac:dyDescent="0.35">
      <c r="A2" s="9" t="s">
        <v>61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 t="s">
        <v>69</v>
      </c>
      <c r="J2" s="11" t="s">
        <v>70</v>
      </c>
      <c r="K2" s="11" t="s">
        <v>71</v>
      </c>
      <c r="L2" s="11" t="s">
        <v>72</v>
      </c>
      <c r="M2" s="11" t="s">
        <v>73</v>
      </c>
      <c r="N2" s="11" t="s">
        <v>74</v>
      </c>
      <c r="O2" s="11" t="s">
        <v>75</v>
      </c>
      <c r="P2" s="11" t="s">
        <v>76</v>
      </c>
      <c r="Q2" s="11" t="s">
        <v>77</v>
      </c>
      <c r="R2" s="10" t="s">
        <v>78</v>
      </c>
      <c r="S2" s="10" t="s">
        <v>521</v>
      </c>
      <c r="T2" s="10" t="s">
        <v>80</v>
      </c>
      <c r="U2" s="10" t="s">
        <v>81</v>
      </c>
    </row>
    <row r="3" spans="1:21" hidden="1" x14ac:dyDescent="0.35">
      <c r="A3" s="7">
        <v>70000002</v>
      </c>
      <c r="B3" s="5" t="s">
        <v>82</v>
      </c>
      <c r="C3" s="5" t="s">
        <v>83</v>
      </c>
      <c r="D3" s="5" t="s">
        <v>18</v>
      </c>
      <c r="E3" s="5" t="s">
        <v>33</v>
      </c>
      <c r="F3" s="5" t="s">
        <v>84</v>
      </c>
      <c r="G3" s="5" t="s">
        <v>11</v>
      </c>
      <c r="H3" s="5" t="s">
        <v>85</v>
      </c>
      <c r="I3" s="6">
        <v>41852</v>
      </c>
      <c r="J3" s="5" t="s">
        <v>26</v>
      </c>
      <c r="K3" s="6">
        <v>31575</v>
      </c>
      <c r="L3" s="5">
        <f t="shared" ref="L3:L34" ca="1" si="0">DATEDIF(K3,TODAY(),"Y")</f>
        <v>40</v>
      </c>
      <c r="M3" s="5" t="s">
        <v>54</v>
      </c>
      <c r="N3" s="5" t="s">
        <v>86</v>
      </c>
      <c r="O3" s="5">
        <v>3</v>
      </c>
      <c r="P3" s="5" t="s">
        <v>87</v>
      </c>
      <c r="Q3" s="5" t="s">
        <v>9</v>
      </c>
      <c r="R3" s="5" t="s">
        <v>59</v>
      </c>
      <c r="S3" s="5" t="s">
        <v>88</v>
      </c>
      <c r="T3" s="25" t="s">
        <v>126</v>
      </c>
      <c r="U3" s="25" t="str">
        <f>IFERROR(VLOOKUP(T3,Base!$C$3:$F$177,4,FALSE),"Production Manager")</f>
        <v>Production Manager</v>
      </c>
    </row>
    <row r="4" spans="1:21" hidden="1" x14ac:dyDescent="0.35">
      <c r="A4" s="7">
        <v>70000008</v>
      </c>
      <c r="B4" s="5" t="s">
        <v>82</v>
      </c>
      <c r="C4" s="5" t="s">
        <v>90</v>
      </c>
      <c r="D4" s="5" t="s">
        <v>21</v>
      </c>
      <c r="E4" s="5" t="s">
        <v>32</v>
      </c>
      <c r="F4" s="5" t="s">
        <v>91</v>
      </c>
      <c r="G4" s="5" t="s">
        <v>9</v>
      </c>
      <c r="H4" s="5" t="s">
        <v>92</v>
      </c>
      <c r="I4" s="6">
        <v>42099</v>
      </c>
      <c r="J4" s="5" t="s">
        <v>26</v>
      </c>
      <c r="K4" s="6">
        <v>28524</v>
      </c>
      <c r="L4" s="5">
        <f t="shared" ca="1" si="0"/>
        <v>48</v>
      </c>
      <c r="M4" s="5" t="s">
        <v>54</v>
      </c>
      <c r="N4" s="5" t="s">
        <v>86</v>
      </c>
      <c r="O4" s="5">
        <v>4</v>
      </c>
      <c r="P4" s="5" t="s">
        <v>87</v>
      </c>
      <c r="Q4" s="5" t="s">
        <v>9</v>
      </c>
      <c r="R4" s="5" t="s">
        <v>59</v>
      </c>
      <c r="S4" s="5" t="s">
        <v>88</v>
      </c>
      <c r="T4" s="25" t="s">
        <v>321</v>
      </c>
      <c r="U4" s="25" t="str">
        <f>IFERROR(VLOOKUP(T4,Base!$C$3:$F$177,4,FALSE),"Plant HR Manager")</f>
        <v>Talent &amp; Development Manager</v>
      </c>
    </row>
    <row r="5" spans="1:21" hidden="1" x14ac:dyDescent="0.35">
      <c r="A5" s="7">
        <v>70000009</v>
      </c>
      <c r="B5" s="5" t="s">
        <v>82</v>
      </c>
      <c r="C5" s="5" t="s">
        <v>94</v>
      </c>
      <c r="D5" s="5" t="s">
        <v>15</v>
      </c>
      <c r="E5" s="5" t="s">
        <v>34</v>
      </c>
      <c r="F5" s="5" t="s">
        <v>95</v>
      </c>
      <c r="G5" s="5" t="s">
        <v>10</v>
      </c>
      <c r="H5" s="5" t="s">
        <v>96</v>
      </c>
      <c r="I5" s="6">
        <v>42135</v>
      </c>
      <c r="J5" s="5" t="s">
        <v>26</v>
      </c>
      <c r="K5" s="6">
        <v>25429</v>
      </c>
      <c r="L5" s="5">
        <f t="shared" ca="1" si="0"/>
        <v>56</v>
      </c>
      <c r="M5" s="5" t="s">
        <v>54</v>
      </c>
      <c r="N5" s="5" t="s">
        <v>86</v>
      </c>
      <c r="O5" s="5">
        <v>2</v>
      </c>
      <c r="P5" s="5" t="s">
        <v>87</v>
      </c>
      <c r="Q5" s="5" t="s">
        <v>10</v>
      </c>
      <c r="R5" s="5" t="s">
        <v>59</v>
      </c>
      <c r="S5" s="5" t="s">
        <v>88</v>
      </c>
      <c r="T5" s="25" t="s">
        <v>97</v>
      </c>
      <c r="U5" s="25" t="str">
        <f>IFERROR(VLOOKUP(T5,Base!$C$3:$F$177,4,FALSE),"Facilities coordinator and adm (HQ)")</f>
        <v>Facilities coordinator and adm (HQ)</v>
      </c>
    </row>
    <row r="6" spans="1:21" hidden="1" x14ac:dyDescent="0.35">
      <c r="A6" s="7">
        <v>70000011</v>
      </c>
      <c r="B6" s="5" t="s">
        <v>82</v>
      </c>
      <c r="C6" s="5" t="s">
        <v>98</v>
      </c>
      <c r="D6" s="5" t="s">
        <v>14</v>
      </c>
      <c r="E6" s="5" t="s">
        <v>32</v>
      </c>
      <c r="F6" s="5" t="s">
        <v>99</v>
      </c>
      <c r="G6" s="5" t="s">
        <v>9</v>
      </c>
      <c r="H6" s="5" t="s">
        <v>100</v>
      </c>
      <c r="I6" s="6">
        <v>42240</v>
      </c>
      <c r="J6" s="5" t="s">
        <v>26</v>
      </c>
      <c r="K6" s="6">
        <v>25330</v>
      </c>
      <c r="L6" s="5">
        <f t="shared" ca="1" si="0"/>
        <v>57</v>
      </c>
      <c r="M6" s="5" t="s">
        <v>54</v>
      </c>
      <c r="N6" s="5" t="s">
        <v>86</v>
      </c>
      <c r="O6" s="5">
        <v>4</v>
      </c>
      <c r="P6" s="5" t="s">
        <v>87</v>
      </c>
      <c r="Q6" s="5" t="s">
        <v>504</v>
      </c>
      <c r="R6" s="5" t="s">
        <v>59</v>
      </c>
      <c r="S6" s="5" t="s">
        <v>88</v>
      </c>
      <c r="T6" s="25" t="s">
        <v>101</v>
      </c>
      <c r="U6" s="25" t="str">
        <f>IFERROR(VLOOKUP(T6,Base!$C$3:$F$177,4,FALSE),"Regional Sales Manager")</f>
        <v>Regional Sales Manager</v>
      </c>
    </row>
    <row r="7" spans="1:21" x14ac:dyDescent="0.35">
      <c r="A7" s="61">
        <v>70000013</v>
      </c>
      <c r="B7" s="25" t="s">
        <v>102</v>
      </c>
      <c r="C7" s="25" t="s">
        <v>103</v>
      </c>
      <c r="D7" s="25" t="s">
        <v>104</v>
      </c>
      <c r="E7" s="25" t="s">
        <v>34</v>
      </c>
      <c r="F7" s="25" t="s">
        <v>105</v>
      </c>
      <c r="G7" s="25" t="s">
        <v>9</v>
      </c>
      <c r="H7" s="25" t="s">
        <v>106</v>
      </c>
      <c r="I7" s="26">
        <v>42240</v>
      </c>
      <c r="J7" s="25" t="s">
        <v>26</v>
      </c>
      <c r="K7" s="26">
        <v>30277</v>
      </c>
      <c r="L7" s="25">
        <f t="shared" ca="1" si="0"/>
        <v>43</v>
      </c>
      <c r="M7" s="25" t="s">
        <v>54</v>
      </c>
      <c r="N7" s="25" t="s">
        <v>86</v>
      </c>
      <c r="O7" s="25">
        <v>5</v>
      </c>
      <c r="P7" s="25" t="s">
        <v>87</v>
      </c>
      <c r="Q7" s="25" t="s">
        <v>9</v>
      </c>
      <c r="R7" s="25" t="s">
        <v>59</v>
      </c>
      <c r="S7" s="25" t="s">
        <v>88</v>
      </c>
      <c r="T7" s="25" t="s">
        <v>288</v>
      </c>
      <c r="U7" s="25" t="str">
        <f>IFERROR(VLOOKUP(T7,Base!$C$3:$F$177,4,FALSE),"Shift Supervisor/ blaster")</f>
        <v>Shift Supervisor</v>
      </c>
    </row>
    <row r="8" spans="1:21" hidden="1" x14ac:dyDescent="0.35">
      <c r="A8" s="7">
        <v>70000015</v>
      </c>
      <c r="B8" s="5" t="s">
        <v>82</v>
      </c>
      <c r="C8" s="5" t="s">
        <v>107</v>
      </c>
      <c r="D8" s="5" t="s">
        <v>16</v>
      </c>
      <c r="E8" s="5" t="s">
        <v>30</v>
      </c>
      <c r="F8" s="5" t="s">
        <v>108</v>
      </c>
      <c r="G8" s="5" t="s">
        <v>9</v>
      </c>
      <c r="H8" s="5" t="s">
        <v>109</v>
      </c>
      <c r="I8" s="6">
        <v>42286</v>
      </c>
      <c r="J8" s="5" t="s">
        <v>26</v>
      </c>
      <c r="K8" s="6">
        <v>32509</v>
      </c>
      <c r="L8" s="5">
        <f t="shared" ca="1" si="0"/>
        <v>37</v>
      </c>
      <c r="M8" s="5" t="s">
        <v>54</v>
      </c>
      <c r="N8" s="5" t="s">
        <v>86</v>
      </c>
      <c r="O8" s="5">
        <v>7</v>
      </c>
      <c r="P8" s="5" t="s">
        <v>87</v>
      </c>
      <c r="Q8" s="5" t="s">
        <v>9</v>
      </c>
      <c r="R8" s="5" t="s">
        <v>59</v>
      </c>
      <c r="S8" s="5" t="s">
        <v>88</v>
      </c>
      <c r="T8" s="25" t="s">
        <v>110</v>
      </c>
      <c r="U8" s="25" t="str">
        <f>IFERROR(VLOOKUP(T8,Base!$C$3:$F$177,4,FALSE),"Mechanical Engineer")</f>
        <v>Mechanical Engineer</v>
      </c>
    </row>
    <row r="9" spans="1:21" x14ac:dyDescent="0.35">
      <c r="A9" s="61">
        <v>70000019</v>
      </c>
      <c r="B9" s="25" t="s">
        <v>82</v>
      </c>
      <c r="C9" s="25" t="s">
        <v>111</v>
      </c>
      <c r="D9" s="25" t="s">
        <v>15</v>
      </c>
      <c r="E9" s="25" t="s">
        <v>37</v>
      </c>
      <c r="F9" s="25" t="s">
        <v>112</v>
      </c>
      <c r="G9" s="25" t="s">
        <v>10</v>
      </c>
      <c r="H9" s="25" t="s">
        <v>96</v>
      </c>
      <c r="I9" s="26">
        <v>41771</v>
      </c>
      <c r="J9" s="25" t="s">
        <v>27</v>
      </c>
      <c r="K9" s="26">
        <v>28799</v>
      </c>
      <c r="L9" s="25">
        <f t="shared" ca="1" si="0"/>
        <v>47</v>
      </c>
      <c r="M9" s="25" t="s">
        <v>54</v>
      </c>
      <c r="N9" s="25" t="s">
        <v>86</v>
      </c>
      <c r="O9" s="25">
        <v>0</v>
      </c>
      <c r="P9" s="25" t="s">
        <v>87</v>
      </c>
      <c r="Q9" s="25" t="s">
        <v>10</v>
      </c>
      <c r="R9" s="25" t="s">
        <v>59</v>
      </c>
      <c r="S9" s="25" t="s">
        <v>88</v>
      </c>
      <c r="T9" s="25" t="s">
        <v>113</v>
      </c>
      <c r="U9" s="25" t="str">
        <f>IFERROR(VLOOKUP(T9,Base!$C$3:$F$177,4,FALSE),"Head of HR")</f>
        <v>Head of HR</v>
      </c>
    </row>
    <row r="10" spans="1:21" hidden="1" x14ac:dyDescent="0.35">
      <c r="A10" s="7">
        <v>70000021</v>
      </c>
      <c r="B10" s="5" t="s">
        <v>82</v>
      </c>
      <c r="C10" s="5" t="s">
        <v>114</v>
      </c>
      <c r="D10" s="5" t="s">
        <v>15</v>
      </c>
      <c r="E10" s="5" t="s">
        <v>32</v>
      </c>
      <c r="F10" s="5" t="s">
        <v>115</v>
      </c>
      <c r="G10" s="5" t="s">
        <v>10</v>
      </c>
      <c r="H10" s="5" t="s">
        <v>96</v>
      </c>
      <c r="I10" s="6">
        <v>41771</v>
      </c>
      <c r="J10" s="5" t="s">
        <v>27</v>
      </c>
      <c r="K10" s="6">
        <v>29642</v>
      </c>
      <c r="L10" s="5">
        <f t="shared" ca="1" si="0"/>
        <v>45</v>
      </c>
      <c r="M10" s="5" t="s">
        <v>54</v>
      </c>
      <c r="N10" s="5" t="s">
        <v>86</v>
      </c>
      <c r="O10" s="5">
        <v>2</v>
      </c>
      <c r="P10" s="5" t="s">
        <v>87</v>
      </c>
      <c r="Q10" s="5" t="s">
        <v>10</v>
      </c>
      <c r="R10" s="5" t="s">
        <v>59</v>
      </c>
      <c r="S10" s="5" t="s">
        <v>88</v>
      </c>
      <c r="T10" s="25" t="s">
        <v>116</v>
      </c>
      <c r="U10" s="25" t="str">
        <f>IFERROR(VLOOKUP(T10,Base!$C$3:$F$177,4,FALSE),"Payroll and Admin Manager")</f>
        <v>Payroll and Admin Manager</v>
      </c>
    </row>
    <row r="11" spans="1:21" x14ac:dyDescent="0.35">
      <c r="A11" s="61">
        <v>70000022</v>
      </c>
      <c r="B11" s="25" t="s">
        <v>82</v>
      </c>
      <c r="C11" s="25" t="s">
        <v>117</v>
      </c>
      <c r="D11" s="25" t="s">
        <v>14</v>
      </c>
      <c r="E11" s="25" t="s">
        <v>36</v>
      </c>
      <c r="F11" s="25" t="s">
        <v>118</v>
      </c>
      <c r="G11" s="25" t="s">
        <v>10</v>
      </c>
      <c r="H11" s="25" t="s">
        <v>119</v>
      </c>
      <c r="I11" s="26">
        <v>41771</v>
      </c>
      <c r="J11" s="25" t="s">
        <v>27</v>
      </c>
      <c r="K11" s="26">
        <v>29186</v>
      </c>
      <c r="L11" s="25">
        <f t="shared" ca="1" si="0"/>
        <v>46</v>
      </c>
      <c r="M11" s="25" t="s">
        <v>54</v>
      </c>
      <c r="N11" s="25" t="s">
        <v>86</v>
      </c>
      <c r="O11" s="25">
        <v>2</v>
      </c>
      <c r="P11" s="25" t="s">
        <v>87</v>
      </c>
      <c r="Q11" s="25" t="s">
        <v>10</v>
      </c>
      <c r="R11" s="25" t="s">
        <v>59</v>
      </c>
      <c r="S11" s="25" t="s">
        <v>88</v>
      </c>
      <c r="T11" s="25" t="s">
        <v>508</v>
      </c>
      <c r="U11" s="25" t="str">
        <f>IFERROR(VLOOKUP(T11,Base!$C$3:$F$177,4,FALSE),"Lead Customer Excellence")</f>
        <v>Lead Customer Excellence</v>
      </c>
    </row>
    <row r="12" spans="1:21" x14ac:dyDescent="0.35">
      <c r="A12" s="61">
        <v>70000023</v>
      </c>
      <c r="B12" s="25" t="s">
        <v>82</v>
      </c>
      <c r="C12" s="25" t="s">
        <v>120</v>
      </c>
      <c r="D12" s="25" t="s">
        <v>15</v>
      </c>
      <c r="E12" s="25" t="s">
        <v>34</v>
      </c>
      <c r="F12" s="25" t="s">
        <v>95</v>
      </c>
      <c r="G12" s="25" t="s">
        <v>10</v>
      </c>
      <c r="H12" s="25" t="s">
        <v>96</v>
      </c>
      <c r="I12" s="26">
        <v>41913</v>
      </c>
      <c r="J12" s="25" t="s">
        <v>26</v>
      </c>
      <c r="K12" s="26">
        <v>25208</v>
      </c>
      <c r="L12" s="25">
        <f t="shared" ca="1" si="0"/>
        <v>57</v>
      </c>
      <c r="M12" s="25" t="s">
        <v>54</v>
      </c>
      <c r="N12" s="25" t="s">
        <v>86</v>
      </c>
      <c r="O12" s="25">
        <v>2</v>
      </c>
      <c r="P12" s="25" t="s">
        <v>87</v>
      </c>
      <c r="Q12" s="25" t="s">
        <v>10</v>
      </c>
      <c r="R12" s="25" t="s">
        <v>59</v>
      </c>
      <c r="S12" s="25" t="s">
        <v>88</v>
      </c>
      <c r="T12" s="25" t="s">
        <v>97</v>
      </c>
      <c r="U12" s="25" t="str">
        <f>IFERROR(VLOOKUP(T12,Base!$C$3:$F$177,4,FALSE),"Facilities coordinator and adm (HQ)")</f>
        <v>Facilities coordinator and adm (HQ)</v>
      </c>
    </row>
    <row r="13" spans="1:21" x14ac:dyDescent="0.35">
      <c r="A13" s="61">
        <v>70000024</v>
      </c>
      <c r="B13" s="25" t="s">
        <v>82</v>
      </c>
      <c r="C13" s="25" t="s">
        <v>121</v>
      </c>
      <c r="D13" s="25" t="s">
        <v>21</v>
      </c>
      <c r="E13" s="25" t="s">
        <v>34</v>
      </c>
      <c r="F13" s="25" t="s">
        <v>95</v>
      </c>
      <c r="G13" s="25" t="s">
        <v>9</v>
      </c>
      <c r="H13" s="25" t="s">
        <v>122</v>
      </c>
      <c r="I13" s="26">
        <v>41897</v>
      </c>
      <c r="J13" s="25" t="s">
        <v>26</v>
      </c>
      <c r="K13" s="26">
        <v>23836</v>
      </c>
      <c r="L13" s="25">
        <f t="shared" ca="1" si="0"/>
        <v>61</v>
      </c>
      <c r="M13" s="25" t="s">
        <v>54</v>
      </c>
      <c r="N13" s="25" t="s">
        <v>86</v>
      </c>
      <c r="O13" s="25">
        <v>0</v>
      </c>
      <c r="P13" s="25" t="s">
        <v>87</v>
      </c>
      <c r="Q13" s="25" t="s">
        <v>9</v>
      </c>
      <c r="R13" s="25" t="s">
        <v>59</v>
      </c>
      <c r="S13" s="25" t="s">
        <v>88</v>
      </c>
      <c r="T13" s="25" t="s">
        <v>90</v>
      </c>
      <c r="U13" s="25" t="str">
        <f>IFERROR(VLOOKUP(T13,Base!$C$3:$F$177,4,FALSE),"State Officer")</f>
        <v>Estate Officer</v>
      </c>
    </row>
    <row r="14" spans="1:21" x14ac:dyDescent="0.35">
      <c r="A14" s="61">
        <v>70000026</v>
      </c>
      <c r="B14" s="25" t="s">
        <v>82</v>
      </c>
      <c r="C14" s="25" t="s">
        <v>123</v>
      </c>
      <c r="D14" s="25" t="s">
        <v>17</v>
      </c>
      <c r="E14" s="25" t="s">
        <v>31</v>
      </c>
      <c r="F14" s="25" t="s">
        <v>124</v>
      </c>
      <c r="G14" s="25" t="s">
        <v>9</v>
      </c>
      <c r="H14" s="25" t="s">
        <v>125</v>
      </c>
      <c r="I14" s="26">
        <v>42317</v>
      </c>
      <c r="J14" s="25" t="s">
        <v>26</v>
      </c>
      <c r="K14" s="26">
        <v>32392</v>
      </c>
      <c r="L14" s="25">
        <f t="shared" ca="1" si="0"/>
        <v>37</v>
      </c>
      <c r="M14" s="25" t="s">
        <v>54</v>
      </c>
      <c r="N14" s="25" t="s">
        <v>86</v>
      </c>
      <c r="O14" s="25">
        <v>2</v>
      </c>
      <c r="P14" s="25" t="s">
        <v>87</v>
      </c>
      <c r="Q14" s="25" t="s">
        <v>9</v>
      </c>
      <c r="R14" s="25" t="s">
        <v>59</v>
      </c>
      <c r="S14" s="25" t="s">
        <v>88</v>
      </c>
      <c r="T14" s="25" t="s">
        <v>126</v>
      </c>
      <c r="U14" s="25" t="str">
        <f>IFERROR(VLOOKUP(T14,Base!$C$3:$F$177,4,FALSE),"Production Manager")</f>
        <v>Production Manager</v>
      </c>
    </row>
    <row r="15" spans="1:21" x14ac:dyDescent="0.35">
      <c r="A15" s="61">
        <v>70000027</v>
      </c>
      <c r="B15" s="25" t="s">
        <v>82</v>
      </c>
      <c r="C15" s="25" t="s">
        <v>126</v>
      </c>
      <c r="D15" s="25" t="s">
        <v>17</v>
      </c>
      <c r="E15" s="25" t="s">
        <v>40</v>
      </c>
      <c r="F15" s="25" t="s">
        <v>89</v>
      </c>
      <c r="G15" s="25" t="s">
        <v>9</v>
      </c>
      <c r="H15" s="25" t="s">
        <v>127</v>
      </c>
      <c r="I15" s="26">
        <v>42317</v>
      </c>
      <c r="J15" s="25" t="s">
        <v>26</v>
      </c>
      <c r="K15" s="26">
        <v>31255</v>
      </c>
      <c r="L15" s="25">
        <f t="shared" ca="1" si="0"/>
        <v>40</v>
      </c>
      <c r="M15" s="25" t="s">
        <v>54</v>
      </c>
      <c r="N15" s="25" t="s">
        <v>86</v>
      </c>
      <c r="O15" s="25">
        <v>0</v>
      </c>
      <c r="P15" s="25" t="s">
        <v>87</v>
      </c>
      <c r="Q15" s="25" t="s">
        <v>9</v>
      </c>
      <c r="R15" s="25" t="s">
        <v>59</v>
      </c>
      <c r="S15" s="25" t="s">
        <v>88</v>
      </c>
      <c r="T15" s="25" t="s">
        <v>128</v>
      </c>
      <c r="U15" s="25" t="str">
        <f>IFERROR(VLOOKUP(T15,Base!$C$3:$F$177,4,FALSE),"Plant Manager")</f>
        <v>Plant Manager</v>
      </c>
    </row>
    <row r="16" spans="1:21" x14ac:dyDescent="0.35">
      <c r="A16" s="61">
        <v>70000028</v>
      </c>
      <c r="B16" s="25" t="s">
        <v>82</v>
      </c>
      <c r="C16" s="25" t="s">
        <v>130</v>
      </c>
      <c r="D16" s="25" t="s">
        <v>17</v>
      </c>
      <c r="E16" s="25" t="s">
        <v>37</v>
      </c>
      <c r="F16" s="25" t="s">
        <v>131</v>
      </c>
      <c r="G16" s="25" t="s">
        <v>9</v>
      </c>
      <c r="H16" s="25" t="s">
        <v>125</v>
      </c>
      <c r="I16" s="26">
        <v>42317</v>
      </c>
      <c r="J16" s="25" t="s">
        <v>26</v>
      </c>
      <c r="K16" s="26">
        <v>33504</v>
      </c>
      <c r="L16" s="25">
        <f t="shared" ca="1" si="0"/>
        <v>34</v>
      </c>
      <c r="M16" s="25" t="s">
        <v>54</v>
      </c>
      <c r="N16" s="25" t="s">
        <v>86</v>
      </c>
      <c r="O16" s="25">
        <v>1</v>
      </c>
      <c r="P16" s="25" t="s">
        <v>87</v>
      </c>
      <c r="Q16" s="25" t="s">
        <v>9</v>
      </c>
      <c r="R16" s="25" t="s">
        <v>59</v>
      </c>
      <c r="S16" s="25" t="s">
        <v>88</v>
      </c>
      <c r="T16" s="25" t="s">
        <v>132</v>
      </c>
      <c r="U16" s="25" t="str">
        <f>IFERROR(VLOOKUP(T16,Base!$C$3:$F$177,4,FALSE),"Production Manager")</f>
        <v>Production Manager</v>
      </c>
    </row>
    <row r="17" spans="1:21" x14ac:dyDescent="0.35">
      <c r="A17" s="61">
        <v>70000029</v>
      </c>
      <c r="B17" s="25" t="s">
        <v>82</v>
      </c>
      <c r="C17" s="25" t="s">
        <v>133</v>
      </c>
      <c r="D17" s="25" t="s">
        <v>17</v>
      </c>
      <c r="E17" s="25" t="s">
        <v>31</v>
      </c>
      <c r="F17" s="25" t="s">
        <v>134</v>
      </c>
      <c r="G17" s="25" t="s">
        <v>9</v>
      </c>
      <c r="H17" s="25" t="s">
        <v>135</v>
      </c>
      <c r="I17" s="26">
        <v>42317</v>
      </c>
      <c r="J17" s="25" t="s">
        <v>26</v>
      </c>
      <c r="K17" s="26">
        <v>30405</v>
      </c>
      <c r="L17" s="25">
        <f t="shared" ca="1" si="0"/>
        <v>43</v>
      </c>
      <c r="M17" s="25" t="s">
        <v>54</v>
      </c>
      <c r="N17" s="25" t="s">
        <v>86</v>
      </c>
      <c r="O17" s="25">
        <v>4</v>
      </c>
      <c r="P17" s="25" t="s">
        <v>87</v>
      </c>
      <c r="Q17" s="25" t="s">
        <v>9</v>
      </c>
      <c r="R17" s="25" t="s">
        <v>59</v>
      </c>
      <c r="S17" s="25" t="s">
        <v>88</v>
      </c>
      <c r="T17" s="25" t="s">
        <v>136</v>
      </c>
      <c r="U17" s="25" t="str">
        <f>IFERROR(VLOOKUP(T17,Base!$C$3:$F$177,4,FALSE),"Production Superintendent")</f>
        <v>Production Superintendent</v>
      </c>
    </row>
    <row r="18" spans="1:21" x14ac:dyDescent="0.35">
      <c r="A18" s="61">
        <v>70000030</v>
      </c>
      <c r="B18" s="25" t="s">
        <v>82</v>
      </c>
      <c r="C18" s="25" t="s">
        <v>137</v>
      </c>
      <c r="D18" s="25" t="s">
        <v>22</v>
      </c>
      <c r="E18" s="25" t="s">
        <v>32</v>
      </c>
      <c r="F18" s="25" t="s">
        <v>138</v>
      </c>
      <c r="G18" s="25" t="s">
        <v>9</v>
      </c>
      <c r="H18" s="25" t="s">
        <v>139</v>
      </c>
      <c r="I18" s="26">
        <v>42317</v>
      </c>
      <c r="J18" s="25" t="s">
        <v>26</v>
      </c>
      <c r="K18" s="26">
        <v>32730</v>
      </c>
      <c r="L18" s="25">
        <f t="shared" ca="1" si="0"/>
        <v>36</v>
      </c>
      <c r="M18" s="25" t="s">
        <v>54</v>
      </c>
      <c r="N18" s="25" t="s">
        <v>86</v>
      </c>
      <c r="O18" s="25">
        <v>2</v>
      </c>
      <c r="P18" s="25" t="s">
        <v>87</v>
      </c>
      <c r="Q18" s="25" t="s">
        <v>9</v>
      </c>
      <c r="R18" s="25" t="s">
        <v>59</v>
      </c>
      <c r="S18" s="25" t="s">
        <v>88</v>
      </c>
      <c r="T18" s="25" t="s">
        <v>136</v>
      </c>
      <c r="U18" s="25" t="str">
        <f>IFERROR(VLOOKUP(T18,Base!$C$3:$F$177,4,FALSE),"Production Superintendent")</f>
        <v>Production Superintendent</v>
      </c>
    </row>
    <row r="19" spans="1:21" x14ac:dyDescent="0.35">
      <c r="A19" s="61">
        <v>70000032</v>
      </c>
      <c r="B19" s="25" t="s">
        <v>82</v>
      </c>
      <c r="C19" s="25" t="s">
        <v>140</v>
      </c>
      <c r="D19" s="25" t="s">
        <v>18</v>
      </c>
      <c r="E19" s="25" t="s">
        <v>36</v>
      </c>
      <c r="F19" s="25" t="s">
        <v>141</v>
      </c>
      <c r="G19" s="25" t="s">
        <v>9</v>
      </c>
      <c r="H19" s="25" t="s">
        <v>142</v>
      </c>
      <c r="I19" s="26">
        <v>42317</v>
      </c>
      <c r="J19" s="25" t="s">
        <v>26</v>
      </c>
      <c r="K19" s="26">
        <v>32748</v>
      </c>
      <c r="L19" s="25">
        <f t="shared" ca="1" si="0"/>
        <v>36</v>
      </c>
      <c r="M19" s="25" t="s">
        <v>54</v>
      </c>
      <c r="N19" s="25" t="s">
        <v>86</v>
      </c>
      <c r="O19" s="25">
        <v>2</v>
      </c>
      <c r="P19" s="25" t="s">
        <v>87</v>
      </c>
      <c r="Q19" s="25" t="s">
        <v>9</v>
      </c>
      <c r="R19" s="25" t="s">
        <v>59</v>
      </c>
      <c r="S19" s="25" t="s">
        <v>88</v>
      </c>
      <c r="T19" s="25" t="s">
        <v>143</v>
      </c>
      <c r="U19" s="25" t="str">
        <f>IFERROR(VLOOKUP(T19,Base!$C$3:$F$177,4,FALSE),"Process Engineer")</f>
        <v>Process Engineer</v>
      </c>
    </row>
    <row r="20" spans="1:21" x14ac:dyDescent="0.35">
      <c r="A20" s="61">
        <v>70000033</v>
      </c>
      <c r="B20" s="25" t="s">
        <v>82</v>
      </c>
      <c r="C20" s="25" t="s">
        <v>144</v>
      </c>
      <c r="D20" s="25" t="s">
        <v>18</v>
      </c>
      <c r="E20" s="25" t="s">
        <v>37</v>
      </c>
      <c r="F20" s="25" t="s">
        <v>145</v>
      </c>
      <c r="G20" s="25" t="s">
        <v>9</v>
      </c>
      <c r="H20" s="25" t="s">
        <v>142</v>
      </c>
      <c r="I20" s="26">
        <v>42317</v>
      </c>
      <c r="J20" s="25" t="s">
        <v>26</v>
      </c>
      <c r="K20" s="26">
        <v>32408</v>
      </c>
      <c r="L20" s="25">
        <f t="shared" ca="1" si="0"/>
        <v>37</v>
      </c>
      <c r="M20" s="25" t="s">
        <v>54</v>
      </c>
      <c r="N20" s="25" t="s">
        <v>86</v>
      </c>
      <c r="O20" s="25">
        <v>3</v>
      </c>
      <c r="P20" s="25" t="s">
        <v>87</v>
      </c>
      <c r="Q20" s="25" t="s">
        <v>9</v>
      </c>
      <c r="R20" s="25" t="s">
        <v>59</v>
      </c>
      <c r="S20" s="25" t="s">
        <v>88</v>
      </c>
      <c r="T20" s="25" t="s">
        <v>128</v>
      </c>
      <c r="U20" s="25" t="str">
        <f>IFERROR(VLOOKUP(T20,Base!$C$3:$F$177,4,FALSE),"Plant Manager")</f>
        <v>Plant Manager</v>
      </c>
    </row>
    <row r="21" spans="1:21" x14ac:dyDescent="0.35">
      <c r="A21" s="61">
        <v>70000034</v>
      </c>
      <c r="B21" s="25" t="s">
        <v>82</v>
      </c>
      <c r="C21" s="25" t="s">
        <v>146</v>
      </c>
      <c r="D21" s="25" t="s">
        <v>15</v>
      </c>
      <c r="E21" s="25" t="s">
        <v>33</v>
      </c>
      <c r="F21" s="25" t="s">
        <v>147</v>
      </c>
      <c r="G21" s="25" t="s">
        <v>10</v>
      </c>
      <c r="H21" s="25" t="s">
        <v>148</v>
      </c>
      <c r="I21" s="26">
        <v>42338</v>
      </c>
      <c r="J21" s="25" t="s">
        <v>26</v>
      </c>
      <c r="K21" s="26">
        <v>31762</v>
      </c>
      <c r="L21" s="25">
        <f t="shared" ca="1" si="0"/>
        <v>39</v>
      </c>
      <c r="M21" s="25" t="s">
        <v>54</v>
      </c>
      <c r="N21" s="25" t="s">
        <v>86</v>
      </c>
      <c r="O21" s="25">
        <v>3</v>
      </c>
      <c r="P21" s="25" t="s">
        <v>87</v>
      </c>
      <c r="Q21" s="25" t="s">
        <v>10</v>
      </c>
      <c r="R21" s="25" t="s">
        <v>59</v>
      </c>
      <c r="S21" s="25" t="s">
        <v>88</v>
      </c>
      <c r="T21" s="25" t="s">
        <v>149</v>
      </c>
      <c r="U21" s="25" t="str">
        <f>IFERROR(VLOOKUP(T21,Base!$C$3:$F$177,4,FALSE),"Head of Finance")</f>
        <v>Head of Finance</v>
      </c>
    </row>
    <row r="22" spans="1:21" hidden="1" x14ac:dyDescent="0.35">
      <c r="A22" s="7">
        <v>70000038</v>
      </c>
      <c r="B22" s="5" t="s">
        <v>82</v>
      </c>
      <c r="C22" s="5" t="s">
        <v>150</v>
      </c>
      <c r="D22" s="5" t="s">
        <v>16</v>
      </c>
      <c r="E22" s="5" t="s">
        <v>37</v>
      </c>
      <c r="F22" s="5" t="s">
        <v>151</v>
      </c>
      <c r="G22" s="5" t="s">
        <v>9</v>
      </c>
      <c r="H22" s="5" t="s">
        <v>152</v>
      </c>
      <c r="I22" s="6">
        <v>42430</v>
      </c>
      <c r="J22" s="5" t="s">
        <v>26</v>
      </c>
      <c r="K22" s="6">
        <v>29048</v>
      </c>
      <c r="L22" s="5">
        <f t="shared" ca="1" si="0"/>
        <v>47</v>
      </c>
      <c r="M22" s="5" t="s">
        <v>56</v>
      </c>
      <c r="N22" s="5" t="s">
        <v>153</v>
      </c>
      <c r="O22" s="5">
        <v>0</v>
      </c>
      <c r="P22" s="5" t="s">
        <v>87</v>
      </c>
      <c r="Q22" s="5" t="s">
        <v>9</v>
      </c>
      <c r="R22" s="5" t="s">
        <v>59</v>
      </c>
      <c r="S22" s="5" t="s">
        <v>88</v>
      </c>
      <c r="T22" s="25" t="s">
        <v>154</v>
      </c>
      <c r="U22" s="25" t="str">
        <f>IFERROR(VLOOKUP(T22,Base!$C$3:$F$177,4,FALSE),"Engineering Manager")</f>
        <v>Engineering Manager</v>
      </c>
    </row>
    <row r="23" spans="1:21" x14ac:dyDescent="0.35">
      <c r="A23" s="61">
        <v>70000040</v>
      </c>
      <c r="B23" s="25" t="s">
        <v>82</v>
      </c>
      <c r="C23" s="25" t="s">
        <v>156</v>
      </c>
      <c r="D23" s="25" t="s">
        <v>16</v>
      </c>
      <c r="E23" s="25" t="s">
        <v>40</v>
      </c>
      <c r="F23" s="25" t="s">
        <v>155</v>
      </c>
      <c r="G23" s="25" t="s">
        <v>9</v>
      </c>
      <c r="H23" s="25" t="s">
        <v>152</v>
      </c>
      <c r="I23" s="26">
        <v>42471</v>
      </c>
      <c r="J23" s="25" t="s">
        <v>26</v>
      </c>
      <c r="K23" s="26">
        <v>31855</v>
      </c>
      <c r="L23" s="25">
        <f t="shared" ca="1" si="0"/>
        <v>39</v>
      </c>
      <c r="M23" s="25" t="s">
        <v>54</v>
      </c>
      <c r="N23" s="25" t="s">
        <v>86</v>
      </c>
      <c r="O23" s="25">
        <v>3</v>
      </c>
      <c r="P23" s="25" t="s">
        <v>87</v>
      </c>
      <c r="Q23" s="25" t="s">
        <v>9</v>
      </c>
      <c r="R23" s="25" t="s">
        <v>59</v>
      </c>
      <c r="S23" s="25" t="s">
        <v>88</v>
      </c>
      <c r="T23" s="25" t="s">
        <v>128</v>
      </c>
      <c r="U23" s="25" t="str">
        <f>IFERROR(VLOOKUP(T23,Base!$C$3:$F$177,4,FALSE),"Plant Manager")</f>
        <v>Plant Manager</v>
      </c>
    </row>
    <row r="24" spans="1:21" x14ac:dyDescent="0.35">
      <c r="A24" s="61">
        <v>70000042</v>
      </c>
      <c r="B24" s="25" t="s">
        <v>102</v>
      </c>
      <c r="C24" s="25" t="s">
        <v>157</v>
      </c>
      <c r="D24" s="25" t="s">
        <v>104</v>
      </c>
      <c r="E24" s="25" t="s">
        <v>34</v>
      </c>
      <c r="F24" s="25" t="s">
        <v>105</v>
      </c>
      <c r="G24" s="25" t="s">
        <v>9</v>
      </c>
      <c r="H24" s="25" t="s">
        <v>106</v>
      </c>
      <c r="I24" s="26">
        <v>42499</v>
      </c>
      <c r="J24" s="25" t="s">
        <v>26</v>
      </c>
      <c r="K24" s="26">
        <v>25820</v>
      </c>
      <c r="L24" s="25">
        <f t="shared" ca="1" si="0"/>
        <v>55</v>
      </c>
      <c r="M24" s="25" t="s">
        <v>54</v>
      </c>
      <c r="N24" s="25" t="s">
        <v>153</v>
      </c>
      <c r="O24" s="25">
        <v>5</v>
      </c>
      <c r="P24" s="25" t="s">
        <v>87</v>
      </c>
      <c r="Q24" s="25" t="s">
        <v>9</v>
      </c>
      <c r="R24" s="25" t="s">
        <v>59</v>
      </c>
      <c r="S24" s="25" t="s">
        <v>88</v>
      </c>
      <c r="T24" s="25" t="s">
        <v>288</v>
      </c>
      <c r="U24" s="25" t="str">
        <f>IFERROR(VLOOKUP(T24,Base!$C$3:$F$177,4,FALSE),"Mining Supervisor/blaster")</f>
        <v>Shift Supervisor</v>
      </c>
    </row>
    <row r="25" spans="1:21" x14ac:dyDescent="0.35">
      <c r="A25" s="61">
        <v>70000043</v>
      </c>
      <c r="B25" s="25" t="s">
        <v>82</v>
      </c>
      <c r="C25" s="25" t="s">
        <v>158</v>
      </c>
      <c r="D25" s="25" t="s">
        <v>23</v>
      </c>
      <c r="E25" s="25" t="s">
        <v>30</v>
      </c>
      <c r="F25" s="25" t="s">
        <v>159</v>
      </c>
      <c r="G25" s="25" t="s">
        <v>9</v>
      </c>
      <c r="H25" s="25" t="s">
        <v>160</v>
      </c>
      <c r="I25" s="26">
        <v>42499</v>
      </c>
      <c r="J25" s="25" t="s">
        <v>26</v>
      </c>
      <c r="K25" s="26">
        <v>26131</v>
      </c>
      <c r="L25" s="25">
        <f t="shared" ca="1" si="0"/>
        <v>55</v>
      </c>
      <c r="M25" s="25" t="s">
        <v>54</v>
      </c>
      <c r="N25" s="25" t="s">
        <v>86</v>
      </c>
      <c r="O25" s="25">
        <v>6</v>
      </c>
      <c r="P25" s="25" t="s">
        <v>87</v>
      </c>
      <c r="Q25" s="25" t="s">
        <v>9</v>
      </c>
      <c r="R25" s="25" t="s">
        <v>59</v>
      </c>
      <c r="S25" s="25" t="s">
        <v>88</v>
      </c>
      <c r="T25" s="25" t="s">
        <v>161</v>
      </c>
      <c r="U25" s="25" t="str">
        <f>IFERROR(VLOOKUP(T25,Base!$C$3:$F$177,4,FALSE),"Mining Supervisor/blaster")</f>
        <v>Mining Supervisor/blaster</v>
      </c>
    </row>
    <row r="26" spans="1:21" x14ac:dyDescent="0.35">
      <c r="A26" s="61">
        <v>70000045</v>
      </c>
      <c r="B26" s="25" t="s">
        <v>82</v>
      </c>
      <c r="C26" s="25" t="s">
        <v>162</v>
      </c>
      <c r="D26" s="25" t="s">
        <v>14</v>
      </c>
      <c r="E26" s="25" t="s">
        <v>36</v>
      </c>
      <c r="F26" s="25" t="s">
        <v>163</v>
      </c>
      <c r="G26" s="25" t="s">
        <v>10</v>
      </c>
      <c r="H26" s="25" t="s">
        <v>100</v>
      </c>
      <c r="I26" s="26">
        <v>42506</v>
      </c>
      <c r="J26" s="25" t="s">
        <v>27</v>
      </c>
      <c r="K26" s="26">
        <v>32197</v>
      </c>
      <c r="L26" s="25">
        <f t="shared" ca="1" si="0"/>
        <v>38</v>
      </c>
      <c r="M26" s="25" t="s">
        <v>54</v>
      </c>
      <c r="N26" s="25" t="s">
        <v>86</v>
      </c>
      <c r="O26" s="25">
        <v>0</v>
      </c>
      <c r="P26" s="25" t="s">
        <v>87</v>
      </c>
      <c r="Q26" s="25" t="s">
        <v>10</v>
      </c>
      <c r="R26" s="25" t="s">
        <v>59</v>
      </c>
      <c r="S26" s="25" t="s">
        <v>88</v>
      </c>
      <c r="T26" s="25" t="s">
        <v>167</v>
      </c>
      <c r="U26" s="25" t="str">
        <f>IFERROR(VLOOKUP(T26,Base!$C$3:$F$177,4,FALSE),"Regional Sales Manager")</f>
        <v>Senior Regional Sales Consultant Retail &amp; Funa</v>
      </c>
    </row>
    <row r="27" spans="1:21" hidden="1" x14ac:dyDescent="0.35">
      <c r="A27" s="7">
        <v>70000046</v>
      </c>
      <c r="B27" s="5" t="s">
        <v>82</v>
      </c>
      <c r="C27" s="5" t="s">
        <v>164</v>
      </c>
      <c r="D27" s="5" t="s">
        <v>16</v>
      </c>
      <c r="E27" s="5" t="s">
        <v>37</v>
      </c>
      <c r="F27" s="5" t="s">
        <v>110</v>
      </c>
      <c r="G27" s="5" t="s">
        <v>9</v>
      </c>
      <c r="H27" s="5" t="s">
        <v>165</v>
      </c>
      <c r="I27" s="6">
        <v>42522</v>
      </c>
      <c r="J27" s="5" t="s">
        <v>26</v>
      </c>
      <c r="K27" s="6">
        <v>29323</v>
      </c>
      <c r="L27" s="5">
        <f t="shared" ca="1" si="0"/>
        <v>46</v>
      </c>
      <c r="M27" s="5" t="s">
        <v>54</v>
      </c>
      <c r="N27" s="5" t="s">
        <v>86</v>
      </c>
      <c r="O27" s="5">
        <v>5</v>
      </c>
      <c r="P27" s="5" t="s">
        <v>87</v>
      </c>
      <c r="Q27" s="5" t="s">
        <v>9</v>
      </c>
      <c r="R27" s="5" t="s">
        <v>59</v>
      </c>
      <c r="S27" s="5" t="s">
        <v>88</v>
      </c>
      <c r="T27" s="25" t="s">
        <v>154</v>
      </c>
      <c r="U27" s="25" t="str">
        <f>IFERROR(VLOOKUP(T27,Base!$C$3:$F$177,4,FALSE),"Engineering manager")</f>
        <v>Engineering manager</v>
      </c>
    </row>
    <row r="28" spans="1:21" x14ac:dyDescent="0.35">
      <c r="A28" s="61">
        <v>70000048</v>
      </c>
      <c r="B28" s="25" t="s">
        <v>82</v>
      </c>
      <c r="C28" s="25" t="s">
        <v>167</v>
      </c>
      <c r="D28" s="25" t="s">
        <v>14</v>
      </c>
      <c r="E28" s="25" t="s">
        <v>36</v>
      </c>
      <c r="F28" s="25" t="s">
        <v>168</v>
      </c>
      <c r="G28" s="25" t="s">
        <v>10</v>
      </c>
      <c r="H28" s="25" t="s">
        <v>100</v>
      </c>
      <c r="I28" s="26">
        <v>42522</v>
      </c>
      <c r="J28" s="25" t="s">
        <v>27</v>
      </c>
      <c r="K28" s="26">
        <v>32543</v>
      </c>
      <c r="L28" s="25">
        <f t="shared" ca="1" si="0"/>
        <v>37</v>
      </c>
      <c r="M28" s="25" t="s">
        <v>54</v>
      </c>
      <c r="N28" s="25" t="s">
        <v>153</v>
      </c>
      <c r="O28" s="25">
        <v>0</v>
      </c>
      <c r="P28" s="25" t="s">
        <v>87</v>
      </c>
      <c r="Q28" s="25" t="s">
        <v>10</v>
      </c>
      <c r="R28" s="25" t="s">
        <v>59</v>
      </c>
      <c r="S28" s="25" t="s">
        <v>88</v>
      </c>
      <c r="T28" s="25" t="s">
        <v>169</v>
      </c>
      <c r="U28" s="25" t="str">
        <f>IFERROR(VLOOKUP(T28,Base!$C$3:$F$177,4,FALSE),"Head of Business Development")</f>
        <v>Head of Business Development</v>
      </c>
    </row>
    <row r="29" spans="1:21" x14ac:dyDescent="0.35">
      <c r="A29" s="61">
        <v>70000049</v>
      </c>
      <c r="B29" s="25" t="s">
        <v>82</v>
      </c>
      <c r="C29" s="25" t="s">
        <v>170</v>
      </c>
      <c r="D29" s="25" t="s">
        <v>19</v>
      </c>
      <c r="E29" s="25" t="s">
        <v>33</v>
      </c>
      <c r="F29" s="25" t="s">
        <v>171</v>
      </c>
      <c r="G29" s="25" t="s">
        <v>9</v>
      </c>
      <c r="H29" s="25" t="s">
        <v>172</v>
      </c>
      <c r="I29" s="26">
        <v>42515</v>
      </c>
      <c r="J29" s="25" t="s">
        <v>26</v>
      </c>
      <c r="K29" s="26">
        <v>23282</v>
      </c>
      <c r="L29" s="25">
        <f t="shared" ca="1" si="0"/>
        <v>62</v>
      </c>
      <c r="M29" s="25" t="s">
        <v>54</v>
      </c>
      <c r="N29" s="25" t="s">
        <v>86</v>
      </c>
      <c r="O29" s="25">
        <v>6</v>
      </c>
      <c r="P29" s="25" t="s">
        <v>87</v>
      </c>
      <c r="Q29" s="25" t="s">
        <v>9</v>
      </c>
      <c r="R29" s="25" t="s">
        <v>59</v>
      </c>
      <c r="S29" s="25" t="s">
        <v>88</v>
      </c>
      <c r="T29" s="25" t="s">
        <v>128</v>
      </c>
      <c r="U29" s="25" t="str">
        <f>IFERROR(VLOOKUP(T29,Base!$C$3:$F$177,4,FALSE),"Plant Manager")</f>
        <v>Plant Manager</v>
      </c>
    </row>
    <row r="30" spans="1:21" hidden="1" x14ac:dyDescent="0.35">
      <c r="A30" s="7">
        <v>70000050</v>
      </c>
      <c r="B30" s="5" t="s">
        <v>82</v>
      </c>
      <c r="C30" s="5" t="s">
        <v>173</v>
      </c>
      <c r="D30" s="5" t="s">
        <v>18</v>
      </c>
      <c r="E30" s="5" t="s">
        <v>40</v>
      </c>
      <c r="F30" s="5" t="s">
        <v>174</v>
      </c>
      <c r="G30" s="5" t="s">
        <v>9</v>
      </c>
      <c r="H30" s="5" t="s">
        <v>175</v>
      </c>
      <c r="I30" s="6">
        <v>42562</v>
      </c>
      <c r="J30" s="5" t="s">
        <v>26</v>
      </c>
      <c r="K30" s="6">
        <v>27214</v>
      </c>
      <c r="L30" s="5">
        <f t="shared" ca="1" si="0"/>
        <v>52</v>
      </c>
      <c r="M30" s="5" t="s">
        <v>56</v>
      </c>
      <c r="N30" s="5" t="s">
        <v>86</v>
      </c>
      <c r="O30" s="5">
        <v>1</v>
      </c>
      <c r="P30" s="5" t="s">
        <v>87</v>
      </c>
      <c r="Q30" s="5" t="s">
        <v>9</v>
      </c>
      <c r="R30" s="5" t="s">
        <v>59</v>
      </c>
      <c r="S30" s="5" t="s">
        <v>88</v>
      </c>
      <c r="T30" s="25" t="s">
        <v>176</v>
      </c>
      <c r="U30" s="25" t="str">
        <f>IFERROR(VLOOKUP(T30,Base!$C$3:$F$177,4,FALSE),"Managing Director")</f>
        <v>Managing Director</v>
      </c>
    </row>
    <row r="31" spans="1:21" x14ac:dyDescent="0.35">
      <c r="A31" s="61">
        <v>70000051</v>
      </c>
      <c r="B31" s="25" t="s">
        <v>82</v>
      </c>
      <c r="C31" s="25" t="s">
        <v>178</v>
      </c>
      <c r="D31" s="25" t="s">
        <v>14</v>
      </c>
      <c r="E31" s="25" t="s">
        <v>30</v>
      </c>
      <c r="F31" s="25" t="s">
        <v>179</v>
      </c>
      <c r="G31" s="25" t="s">
        <v>10</v>
      </c>
      <c r="H31" s="25" t="s">
        <v>100</v>
      </c>
      <c r="I31" s="26">
        <v>42569</v>
      </c>
      <c r="J31" s="25" t="s">
        <v>27</v>
      </c>
      <c r="K31" s="26">
        <v>34355</v>
      </c>
      <c r="L31" s="25">
        <f t="shared" ca="1" si="0"/>
        <v>32</v>
      </c>
      <c r="M31" s="25" t="s">
        <v>54</v>
      </c>
      <c r="N31" s="25" t="s">
        <v>86</v>
      </c>
      <c r="O31" s="25">
        <v>4</v>
      </c>
      <c r="P31" s="25" t="s">
        <v>87</v>
      </c>
      <c r="Q31" s="25" t="s">
        <v>10</v>
      </c>
      <c r="R31" s="25" t="s">
        <v>59</v>
      </c>
      <c r="S31" s="25" t="s">
        <v>88</v>
      </c>
      <c r="T31" s="25" t="s">
        <v>167</v>
      </c>
      <c r="U31" s="25" t="str">
        <f>IFERROR(VLOOKUP(T31,Base!$C$3:$F$177,4,FALSE),"Regional Sales Manager")</f>
        <v>Senior Regional Sales Consultant Retail &amp; Funa</v>
      </c>
    </row>
    <row r="32" spans="1:21" hidden="1" x14ac:dyDescent="0.35">
      <c r="A32" s="7">
        <v>70000052</v>
      </c>
      <c r="B32" s="5" t="s">
        <v>82</v>
      </c>
      <c r="C32" s="5" t="s">
        <v>181</v>
      </c>
      <c r="D32" s="5" t="s">
        <v>16</v>
      </c>
      <c r="E32" s="5" t="s">
        <v>30</v>
      </c>
      <c r="F32" s="5" t="s">
        <v>182</v>
      </c>
      <c r="G32" s="5" t="s">
        <v>9</v>
      </c>
      <c r="H32" s="5" t="s">
        <v>152</v>
      </c>
      <c r="I32" s="6">
        <v>42569</v>
      </c>
      <c r="J32" s="5" t="s">
        <v>26</v>
      </c>
      <c r="K32" s="6">
        <v>29768</v>
      </c>
      <c r="L32" s="5">
        <f t="shared" ca="1" si="0"/>
        <v>45</v>
      </c>
      <c r="M32" s="5" t="s">
        <v>54</v>
      </c>
      <c r="N32" s="5" t="s">
        <v>86</v>
      </c>
      <c r="O32" s="5">
        <v>5</v>
      </c>
      <c r="P32" s="5" t="s">
        <v>87</v>
      </c>
      <c r="Q32" s="5" t="s">
        <v>9</v>
      </c>
      <c r="R32" s="5" t="s">
        <v>59</v>
      </c>
      <c r="S32" s="5" t="s">
        <v>88</v>
      </c>
      <c r="T32" s="25" t="s">
        <v>183</v>
      </c>
      <c r="U32" s="25" t="str">
        <f>IFERROR(VLOOKUP(T32,Base!$C$3:$F$177,4,FALSE),"Mechanical Foreman")</f>
        <v>Mechanical Foreman</v>
      </c>
    </row>
    <row r="33" spans="1:21" x14ac:dyDescent="0.35">
      <c r="A33" s="61">
        <v>70000056</v>
      </c>
      <c r="B33" s="25" t="s">
        <v>82</v>
      </c>
      <c r="C33" s="25" t="s">
        <v>184</v>
      </c>
      <c r="D33" s="25" t="s">
        <v>17</v>
      </c>
      <c r="E33" s="25" t="s">
        <v>39</v>
      </c>
      <c r="F33" s="25" t="s">
        <v>185</v>
      </c>
      <c r="G33" s="25" t="s">
        <v>9</v>
      </c>
      <c r="H33" s="25" t="s">
        <v>135</v>
      </c>
      <c r="I33" s="26">
        <v>42632</v>
      </c>
      <c r="J33" s="25" t="s">
        <v>26</v>
      </c>
      <c r="K33" s="26">
        <v>30206</v>
      </c>
      <c r="L33" s="25">
        <f t="shared" ca="1" si="0"/>
        <v>43</v>
      </c>
      <c r="M33" s="25" t="s">
        <v>54</v>
      </c>
      <c r="N33" s="25" t="s">
        <v>86</v>
      </c>
      <c r="O33" s="25">
        <v>4</v>
      </c>
      <c r="P33" s="25" t="s">
        <v>87</v>
      </c>
      <c r="Q33" s="25" t="s">
        <v>9</v>
      </c>
      <c r="R33" s="25" t="s">
        <v>59</v>
      </c>
      <c r="S33" s="25" t="s">
        <v>88</v>
      </c>
      <c r="T33" s="25" t="s">
        <v>197</v>
      </c>
      <c r="U33" s="25" t="str">
        <f>IFERROR(VLOOKUP(T33,Base!$C$3:$F$177,4,FALSE),"Packing/ Loading shift supervisor")</f>
        <v>Buyer</v>
      </c>
    </row>
    <row r="34" spans="1:21" x14ac:dyDescent="0.35">
      <c r="A34" s="61">
        <v>70000057</v>
      </c>
      <c r="B34" s="25" t="s">
        <v>82</v>
      </c>
      <c r="C34" s="25" t="s">
        <v>186</v>
      </c>
      <c r="D34" s="25" t="s">
        <v>22</v>
      </c>
      <c r="E34" s="25" t="s">
        <v>30</v>
      </c>
      <c r="F34" s="25" t="s">
        <v>187</v>
      </c>
      <c r="G34" s="25" t="s">
        <v>9</v>
      </c>
      <c r="H34" s="25" t="s">
        <v>139</v>
      </c>
      <c r="I34" s="26">
        <v>42632</v>
      </c>
      <c r="J34" s="25" t="s">
        <v>26</v>
      </c>
      <c r="K34" s="26">
        <v>32768</v>
      </c>
      <c r="L34" s="25">
        <f t="shared" ca="1" si="0"/>
        <v>36</v>
      </c>
      <c r="M34" s="25" t="s">
        <v>54</v>
      </c>
      <c r="N34" s="25" t="s">
        <v>153</v>
      </c>
      <c r="O34" s="25">
        <v>2</v>
      </c>
      <c r="P34" s="25" t="s">
        <v>87</v>
      </c>
      <c r="Q34" s="25" t="s">
        <v>9</v>
      </c>
      <c r="R34" s="25" t="s">
        <v>59</v>
      </c>
      <c r="S34" s="25" t="s">
        <v>88</v>
      </c>
      <c r="T34" s="25" t="s">
        <v>278</v>
      </c>
      <c r="U34" s="25" t="str">
        <f>IFERROR(VLOOKUP(T34,Base!$C$3:$F$177,4,FALSE),"Packing Plant Manager")</f>
        <v>Safety Manager</v>
      </c>
    </row>
    <row r="35" spans="1:21" x14ac:dyDescent="0.35">
      <c r="A35" s="61">
        <v>70000058</v>
      </c>
      <c r="B35" s="25" t="s">
        <v>82</v>
      </c>
      <c r="C35" s="25" t="s">
        <v>188</v>
      </c>
      <c r="D35" s="25" t="s">
        <v>16</v>
      </c>
      <c r="E35" s="25" t="s">
        <v>30</v>
      </c>
      <c r="F35" s="25" t="s">
        <v>189</v>
      </c>
      <c r="G35" s="25" t="s">
        <v>9</v>
      </c>
      <c r="H35" s="25" t="s">
        <v>152</v>
      </c>
      <c r="I35" s="26">
        <v>42632</v>
      </c>
      <c r="J35" s="25" t="s">
        <v>26</v>
      </c>
      <c r="K35" s="26">
        <v>31705</v>
      </c>
      <c r="L35" s="25">
        <f t="shared" ref="L35:L66" ca="1" si="1">DATEDIF(K35,TODAY(),"Y")</f>
        <v>39</v>
      </c>
      <c r="M35" s="25" t="s">
        <v>54</v>
      </c>
      <c r="N35" s="25" t="s">
        <v>86</v>
      </c>
      <c r="O35" s="25">
        <v>5</v>
      </c>
      <c r="P35" s="25" t="s">
        <v>87</v>
      </c>
      <c r="Q35" s="25" t="s">
        <v>9</v>
      </c>
      <c r="R35" s="25" t="s">
        <v>59</v>
      </c>
      <c r="S35" s="25" t="s">
        <v>88</v>
      </c>
      <c r="T35" s="25" t="s">
        <v>183</v>
      </c>
      <c r="U35" s="25" t="str">
        <f>IFERROR(VLOOKUP(T35,Base!$C$3:$F$177,4,FALSE),"Mechanical Foreman")</f>
        <v>Mechanical Foreman</v>
      </c>
    </row>
    <row r="36" spans="1:21" x14ac:dyDescent="0.35">
      <c r="A36" s="61">
        <v>70000059</v>
      </c>
      <c r="B36" s="25" t="s">
        <v>82</v>
      </c>
      <c r="C36" s="25" t="s">
        <v>190</v>
      </c>
      <c r="D36" s="25" t="s">
        <v>22</v>
      </c>
      <c r="E36" s="25" t="s">
        <v>30</v>
      </c>
      <c r="F36" s="25" t="s">
        <v>187</v>
      </c>
      <c r="G36" s="25" t="s">
        <v>9</v>
      </c>
      <c r="H36" s="25" t="s">
        <v>139</v>
      </c>
      <c r="I36" s="26">
        <v>42632</v>
      </c>
      <c r="J36" s="25" t="s">
        <v>26</v>
      </c>
      <c r="K36" s="26">
        <v>31885</v>
      </c>
      <c r="L36" s="25">
        <f t="shared" ca="1" si="1"/>
        <v>39</v>
      </c>
      <c r="M36" s="25" t="s">
        <v>54</v>
      </c>
      <c r="N36" s="25" t="s">
        <v>86</v>
      </c>
      <c r="O36" s="25">
        <v>2</v>
      </c>
      <c r="P36" s="25" t="s">
        <v>87</v>
      </c>
      <c r="Q36" s="25" t="s">
        <v>9</v>
      </c>
      <c r="R36" s="25" t="s">
        <v>59</v>
      </c>
      <c r="S36" s="25" t="s">
        <v>88</v>
      </c>
      <c r="T36" s="25" t="s">
        <v>191</v>
      </c>
      <c r="U36" s="25" t="str">
        <f>IFERROR(VLOOKUP(T36,Base!$C$3:$F$177,4,FALSE),"Packing Plant Superintendant")</f>
        <v>Packing Plant Superintendant</v>
      </c>
    </row>
    <row r="37" spans="1:21" x14ac:dyDescent="0.35">
      <c r="A37" s="61">
        <v>70000061</v>
      </c>
      <c r="B37" s="25" t="s">
        <v>82</v>
      </c>
      <c r="C37" s="25" t="s">
        <v>192</v>
      </c>
      <c r="D37" s="25" t="s">
        <v>22</v>
      </c>
      <c r="E37" s="25" t="s">
        <v>30</v>
      </c>
      <c r="F37" s="25" t="s">
        <v>187</v>
      </c>
      <c r="G37" s="25" t="s">
        <v>9</v>
      </c>
      <c r="H37" s="25" t="s">
        <v>139</v>
      </c>
      <c r="I37" s="26">
        <v>42632</v>
      </c>
      <c r="J37" s="25" t="s">
        <v>26</v>
      </c>
      <c r="K37" s="26">
        <v>25800</v>
      </c>
      <c r="L37" s="25">
        <f t="shared" ca="1" si="1"/>
        <v>55</v>
      </c>
      <c r="M37" s="25" t="s">
        <v>54</v>
      </c>
      <c r="N37" s="25" t="s">
        <v>86</v>
      </c>
      <c r="O37" s="25">
        <v>5</v>
      </c>
      <c r="P37" s="25" t="s">
        <v>87</v>
      </c>
      <c r="Q37" s="25" t="s">
        <v>9</v>
      </c>
      <c r="R37" s="25" t="s">
        <v>59</v>
      </c>
      <c r="S37" s="25" t="s">
        <v>88</v>
      </c>
      <c r="T37" s="25" t="s">
        <v>191</v>
      </c>
      <c r="U37" s="25" t="str">
        <f>IFERROR(VLOOKUP(T37,Base!$C$3:$F$177,4,FALSE),"Packing Plant Superintendant")</f>
        <v>Packing Plant Superintendant</v>
      </c>
    </row>
    <row r="38" spans="1:21" x14ac:dyDescent="0.35">
      <c r="A38" s="61">
        <v>70000063</v>
      </c>
      <c r="B38" s="25" t="s">
        <v>82</v>
      </c>
      <c r="C38" s="25" t="s">
        <v>193</v>
      </c>
      <c r="D38" s="25" t="s">
        <v>17</v>
      </c>
      <c r="E38" s="25" t="s">
        <v>31</v>
      </c>
      <c r="F38" s="25" t="s">
        <v>124</v>
      </c>
      <c r="G38" s="25" t="s">
        <v>9</v>
      </c>
      <c r="H38" s="25" t="s">
        <v>125</v>
      </c>
      <c r="I38" s="26">
        <v>42632</v>
      </c>
      <c r="J38" s="25" t="s">
        <v>26</v>
      </c>
      <c r="K38" s="26">
        <v>30284</v>
      </c>
      <c r="L38" s="25">
        <f t="shared" ca="1" si="1"/>
        <v>43</v>
      </c>
      <c r="M38" s="25" t="s">
        <v>54</v>
      </c>
      <c r="N38" s="25" t="s">
        <v>86</v>
      </c>
      <c r="O38" s="25">
        <v>3</v>
      </c>
      <c r="P38" s="25" t="s">
        <v>87</v>
      </c>
      <c r="Q38" s="25" t="s">
        <v>9</v>
      </c>
      <c r="R38" s="25" t="s">
        <v>59</v>
      </c>
      <c r="S38" s="25" t="s">
        <v>88</v>
      </c>
      <c r="T38" s="25" t="s">
        <v>136</v>
      </c>
      <c r="U38" s="25" t="str">
        <f>IFERROR(VLOOKUP(T38,Base!$C$3:$F$177,4,FALSE),"Production Superintendent")</f>
        <v>Production Superintendent</v>
      </c>
    </row>
    <row r="39" spans="1:21" x14ac:dyDescent="0.35">
      <c r="A39" s="61">
        <v>70000064</v>
      </c>
      <c r="B39" s="25" t="s">
        <v>82</v>
      </c>
      <c r="C39" s="25" t="s">
        <v>194</v>
      </c>
      <c r="D39" s="25" t="s">
        <v>17</v>
      </c>
      <c r="E39" s="25" t="s">
        <v>35</v>
      </c>
      <c r="F39" s="25" t="s">
        <v>195</v>
      </c>
      <c r="G39" s="25" t="s">
        <v>9</v>
      </c>
      <c r="H39" s="25" t="s">
        <v>125</v>
      </c>
      <c r="I39" s="26">
        <v>42632</v>
      </c>
      <c r="J39" s="25" t="s">
        <v>26</v>
      </c>
      <c r="K39" s="26">
        <v>31917</v>
      </c>
      <c r="L39" s="25">
        <f t="shared" ca="1" si="1"/>
        <v>39</v>
      </c>
      <c r="M39" s="25" t="s">
        <v>54</v>
      </c>
      <c r="N39" s="25" t="s">
        <v>86</v>
      </c>
      <c r="O39" s="25">
        <v>2</v>
      </c>
      <c r="P39" s="25" t="s">
        <v>87</v>
      </c>
      <c r="Q39" s="25" t="s">
        <v>9</v>
      </c>
      <c r="R39" s="25" t="s">
        <v>59</v>
      </c>
      <c r="S39" s="25" t="s">
        <v>88</v>
      </c>
      <c r="T39" s="25" t="s">
        <v>196</v>
      </c>
      <c r="U39" s="25" t="str">
        <f>IFERROR(VLOOKUP(T39,Base!$C$3:$F$177,4,FALSE),"Shift Supervisor")</f>
        <v>Shift Supervisor</v>
      </c>
    </row>
    <row r="40" spans="1:21" x14ac:dyDescent="0.35">
      <c r="A40" s="61">
        <v>70000067</v>
      </c>
      <c r="B40" s="25" t="s">
        <v>82</v>
      </c>
      <c r="C40" s="25" t="s">
        <v>197</v>
      </c>
      <c r="D40" s="25" t="s">
        <v>14</v>
      </c>
      <c r="E40" s="25" t="s">
        <v>31</v>
      </c>
      <c r="F40" s="25" t="s">
        <v>198</v>
      </c>
      <c r="G40" s="25" t="s">
        <v>9</v>
      </c>
      <c r="H40" s="25" t="s">
        <v>199</v>
      </c>
      <c r="I40" s="26">
        <v>42632</v>
      </c>
      <c r="J40" s="25" t="s">
        <v>26</v>
      </c>
      <c r="K40" s="26">
        <v>33425</v>
      </c>
      <c r="L40" s="25">
        <f t="shared" ca="1" si="1"/>
        <v>35</v>
      </c>
      <c r="M40" s="25" t="s">
        <v>54</v>
      </c>
      <c r="N40" s="25" t="s">
        <v>153</v>
      </c>
      <c r="O40" s="25">
        <v>1</v>
      </c>
      <c r="P40" s="25" t="s">
        <v>87</v>
      </c>
      <c r="Q40" s="25" t="s">
        <v>9</v>
      </c>
      <c r="R40" s="25" t="s">
        <v>59</v>
      </c>
      <c r="S40" s="25" t="s">
        <v>88</v>
      </c>
      <c r="T40" s="25" t="s">
        <v>200</v>
      </c>
      <c r="U40" s="25" t="str">
        <f>IFERROR(VLOOKUP(T40,Base!$C$3:$F$177,4,FALSE),"Purchasing Manager")</f>
        <v>Purchasing Manager</v>
      </c>
    </row>
    <row r="41" spans="1:21" x14ac:dyDescent="0.35">
      <c r="A41" s="61">
        <v>70000068</v>
      </c>
      <c r="B41" s="25" t="s">
        <v>82</v>
      </c>
      <c r="C41" s="25" t="s">
        <v>202</v>
      </c>
      <c r="D41" s="25" t="s">
        <v>17</v>
      </c>
      <c r="E41" s="25" t="s">
        <v>35</v>
      </c>
      <c r="F41" s="25" t="s">
        <v>195</v>
      </c>
      <c r="G41" s="25" t="s">
        <v>9</v>
      </c>
      <c r="H41" s="25" t="s">
        <v>135</v>
      </c>
      <c r="I41" s="26">
        <v>42632</v>
      </c>
      <c r="J41" s="25" t="s">
        <v>26</v>
      </c>
      <c r="K41" s="26">
        <v>32582</v>
      </c>
      <c r="L41" s="25">
        <f t="shared" ca="1" si="1"/>
        <v>37</v>
      </c>
      <c r="M41" s="25" t="s">
        <v>54</v>
      </c>
      <c r="N41" s="25" t="s">
        <v>86</v>
      </c>
      <c r="O41" s="25">
        <v>3</v>
      </c>
      <c r="P41" s="25" t="s">
        <v>87</v>
      </c>
      <c r="Q41" s="25" t="s">
        <v>9</v>
      </c>
      <c r="R41" s="25" t="s">
        <v>59</v>
      </c>
      <c r="S41" s="25" t="s">
        <v>88</v>
      </c>
      <c r="T41" s="25" t="s">
        <v>196</v>
      </c>
      <c r="U41" s="25" t="str">
        <f>IFERROR(VLOOKUP(T41,Base!$C$3:$F$177,4,FALSE),"Shift Supervisor")</f>
        <v>Shift Supervisor</v>
      </c>
    </row>
    <row r="42" spans="1:21" x14ac:dyDescent="0.35">
      <c r="A42" s="61">
        <v>70000069</v>
      </c>
      <c r="B42" s="25" t="s">
        <v>82</v>
      </c>
      <c r="C42" s="25" t="s">
        <v>203</v>
      </c>
      <c r="D42" s="25" t="s">
        <v>17</v>
      </c>
      <c r="E42" s="25" t="s">
        <v>34</v>
      </c>
      <c r="F42" s="25" t="s">
        <v>185</v>
      </c>
      <c r="G42" s="25" t="s">
        <v>9</v>
      </c>
      <c r="H42" s="25" t="s">
        <v>204</v>
      </c>
      <c r="I42" s="26">
        <v>42632</v>
      </c>
      <c r="J42" s="25" t="s">
        <v>26</v>
      </c>
      <c r="K42" s="26">
        <v>27917</v>
      </c>
      <c r="L42" s="25">
        <f t="shared" ca="1" si="1"/>
        <v>50</v>
      </c>
      <c r="M42" s="25" t="s">
        <v>54</v>
      </c>
      <c r="N42" s="25" t="s">
        <v>86</v>
      </c>
      <c r="O42" s="25">
        <v>2</v>
      </c>
      <c r="P42" s="25" t="s">
        <v>87</v>
      </c>
      <c r="Q42" s="25" t="s">
        <v>9</v>
      </c>
      <c r="R42" s="25" t="s">
        <v>59</v>
      </c>
      <c r="S42" s="25" t="s">
        <v>88</v>
      </c>
      <c r="T42" s="25" t="s">
        <v>205</v>
      </c>
      <c r="U42" s="25" t="str">
        <f>IFERROR(VLOOKUP(T42,Base!$C$3:$F$177,4,FALSE),"Shift Supervisor")</f>
        <v>Shift Supervisor</v>
      </c>
    </row>
    <row r="43" spans="1:21" x14ac:dyDescent="0.35">
      <c r="A43" s="61">
        <v>70000070</v>
      </c>
      <c r="B43" s="25" t="s">
        <v>82</v>
      </c>
      <c r="C43" s="25" t="s">
        <v>206</v>
      </c>
      <c r="D43" s="25" t="s">
        <v>17</v>
      </c>
      <c r="E43" s="25" t="s">
        <v>34</v>
      </c>
      <c r="F43" s="25" t="s">
        <v>185</v>
      </c>
      <c r="G43" s="25" t="s">
        <v>9</v>
      </c>
      <c r="H43" s="25" t="s">
        <v>204</v>
      </c>
      <c r="I43" s="26">
        <v>42632</v>
      </c>
      <c r="J43" s="25" t="s">
        <v>26</v>
      </c>
      <c r="K43" s="26">
        <v>31105</v>
      </c>
      <c r="L43" s="25">
        <f t="shared" ca="1" si="1"/>
        <v>41</v>
      </c>
      <c r="M43" s="25" t="s">
        <v>54</v>
      </c>
      <c r="N43" s="25" t="s">
        <v>86</v>
      </c>
      <c r="O43" s="25">
        <v>5</v>
      </c>
      <c r="P43" s="25" t="s">
        <v>87</v>
      </c>
      <c r="Q43" s="25" t="s">
        <v>9</v>
      </c>
      <c r="R43" s="25" t="s">
        <v>59</v>
      </c>
      <c r="S43" s="25" t="s">
        <v>88</v>
      </c>
      <c r="T43" s="25" t="s">
        <v>136</v>
      </c>
      <c r="U43" s="25" t="str">
        <f>IFERROR(VLOOKUP(T43,Base!$C$3:$F$177,4,FALSE),"Shift Supervisor")</f>
        <v>Shift Supervisor</v>
      </c>
    </row>
    <row r="44" spans="1:21" x14ac:dyDescent="0.35">
      <c r="A44" s="61">
        <v>70000072</v>
      </c>
      <c r="B44" s="25" t="s">
        <v>82</v>
      </c>
      <c r="C44" s="25" t="s">
        <v>207</v>
      </c>
      <c r="D44" s="25" t="s">
        <v>17</v>
      </c>
      <c r="E44" s="25" t="s">
        <v>35</v>
      </c>
      <c r="F44" s="25" t="s">
        <v>195</v>
      </c>
      <c r="G44" s="25" t="s">
        <v>9</v>
      </c>
      <c r="H44" s="25" t="s">
        <v>125</v>
      </c>
      <c r="I44" s="26">
        <v>42632</v>
      </c>
      <c r="J44" s="25" t="s">
        <v>26</v>
      </c>
      <c r="K44" s="26">
        <v>33232</v>
      </c>
      <c r="L44" s="25">
        <f t="shared" ca="1" si="1"/>
        <v>35</v>
      </c>
      <c r="M44" s="25" t="s">
        <v>54</v>
      </c>
      <c r="N44" s="25" t="s">
        <v>153</v>
      </c>
      <c r="O44" s="25">
        <v>0</v>
      </c>
      <c r="P44" s="25" t="s">
        <v>87</v>
      </c>
      <c r="Q44" s="25" t="s">
        <v>9</v>
      </c>
      <c r="R44" s="25" t="s">
        <v>59</v>
      </c>
      <c r="S44" s="25" t="s">
        <v>88</v>
      </c>
      <c r="T44" s="25" t="s">
        <v>136</v>
      </c>
      <c r="U44" s="25" t="str">
        <f>IFERROR(VLOOKUP(T44,Base!$C$3:$F$177,4,FALSE),"Shift Supervisor")</f>
        <v>Shift Supervisor</v>
      </c>
    </row>
    <row r="45" spans="1:21" x14ac:dyDescent="0.35">
      <c r="A45" s="61">
        <v>70000076</v>
      </c>
      <c r="B45" s="25" t="s">
        <v>82</v>
      </c>
      <c r="C45" s="25" t="s">
        <v>208</v>
      </c>
      <c r="D45" s="25" t="s">
        <v>19</v>
      </c>
      <c r="E45" s="25" t="s">
        <v>43</v>
      </c>
      <c r="F45" s="25" t="s">
        <v>209</v>
      </c>
      <c r="G45" s="25" t="s">
        <v>9</v>
      </c>
      <c r="H45" s="25" t="s">
        <v>172</v>
      </c>
      <c r="I45" s="26">
        <v>42646</v>
      </c>
      <c r="J45" s="25" t="s">
        <v>26</v>
      </c>
      <c r="K45" s="26">
        <v>29763</v>
      </c>
      <c r="L45" s="25">
        <f t="shared" ca="1" si="1"/>
        <v>45</v>
      </c>
      <c r="M45" s="25" t="s">
        <v>54</v>
      </c>
      <c r="N45" s="25" t="s">
        <v>86</v>
      </c>
      <c r="O45" s="25">
        <v>4</v>
      </c>
      <c r="P45" s="25" t="s">
        <v>87</v>
      </c>
      <c r="Q45" s="25" t="s">
        <v>9</v>
      </c>
      <c r="R45" s="25" t="s">
        <v>59</v>
      </c>
      <c r="S45" s="25" t="s">
        <v>88</v>
      </c>
      <c r="T45" s="25" t="s">
        <v>210</v>
      </c>
      <c r="U45" s="25" t="str">
        <f>IFERROR(VLOOKUP(T45,Base!$C$3:$F$177,4,FALSE),"Senior Lab Analyst")</f>
        <v>Senior Lab Analyst</v>
      </c>
    </row>
    <row r="46" spans="1:21" x14ac:dyDescent="0.35">
      <c r="A46" s="61">
        <v>70000077</v>
      </c>
      <c r="B46" s="25" t="s">
        <v>82</v>
      </c>
      <c r="C46" s="25" t="s">
        <v>212</v>
      </c>
      <c r="D46" s="25" t="s">
        <v>19</v>
      </c>
      <c r="E46" s="25" t="s">
        <v>38</v>
      </c>
      <c r="F46" s="25" t="s">
        <v>213</v>
      </c>
      <c r="G46" s="25" t="s">
        <v>9</v>
      </c>
      <c r="H46" s="25" t="s">
        <v>172</v>
      </c>
      <c r="I46" s="26">
        <v>42646</v>
      </c>
      <c r="J46" s="25" t="s">
        <v>26</v>
      </c>
      <c r="K46" s="26">
        <v>33577</v>
      </c>
      <c r="L46" s="25">
        <f t="shared" ca="1" si="1"/>
        <v>34</v>
      </c>
      <c r="M46" s="25" t="s">
        <v>54</v>
      </c>
      <c r="N46" s="25" t="s">
        <v>86</v>
      </c>
      <c r="O46" s="25">
        <v>2</v>
      </c>
      <c r="P46" s="25" t="s">
        <v>87</v>
      </c>
      <c r="Q46" s="25" t="s">
        <v>9</v>
      </c>
      <c r="R46" s="25" t="s">
        <v>59</v>
      </c>
      <c r="S46" s="25" t="s">
        <v>88</v>
      </c>
      <c r="T46" s="25" t="s">
        <v>214</v>
      </c>
      <c r="U46" s="25" t="str">
        <f>IFERROR(VLOOKUP(T46,Base!$C$3:$F$177,4,FALSE),"QA Chemist")</f>
        <v>QA Chemist</v>
      </c>
    </row>
    <row r="47" spans="1:21" x14ac:dyDescent="0.35">
      <c r="A47" s="61">
        <v>70000078</v>
      </c>
      <c r="B47" s="25" t="s">
        <v>82</v>
      </c>
      <c r="C47" s="25" t="s">
        <v>216</v>
      </c>
      <c r="D47" s="25" t="s">
        <v>14</v>
      </c>
      <c r="E47" s="25" t="s">
        <v>30</v>
      </c>
      <c r="F47" s="25" t="s">
        <v>217</v>
      </c>
      <c r="G47" s="25" t="s">
        <v>10</v>
      </c>
      <c r="H47" s="25" t="s">
        <v>218</v>
      </c>
      <c r="I47" s="26">
        <v>42646</v>
      </c>
      <c r="J47" s="25" t="s">
        <v>27</v>
      </c>
      <c r="K47" s="26">
        <v>35405</v>
      </c>
      <c r="L47" s="25">
        <f t="shared" ca="1" si="1"/>
        <v>29</v>
      </c>
      <c r="M47" s="25" t="s">
        <v>54</v>
      </c>
      <c r="N47" s="25" t="s">
        <v>153</v>
      </c>
      <c r="O47" s="25">
        <v>0</v>
      </c>
      <c r="P47" s="25" t="s">
        <v>87</v>
      </c>
      <c r="Q47" s="25" t="s">
        <v>10</v>
      </c>
      <c r="R47" s="25" t="s">
        <v>59</v>
      </c>
      <c r="S47" s="25" t="s">
        <v>88</v>
      </c>
      <c r="T47" s="25" t="s">
        <v>508</v>
      </c>
      <c r="U47" s="25" t="str">
        <f>IFERROR(VLOOKUP(T47,Base!$C$3:$F$177,4,FALSE),"0")</f>
        <v>0</v>
      </c>
    </row>
    <row r="48" spans="1:21" x14ac:dyDescent="0.35">
      <c r="A48" s="61">
        <v>70000079</v>
      </c>
      <c r="B48" s="25" t="s">
        <v>82</v>
      </c>
      <c r="C48" s="25" t="s">
        <v>219</v>
      </c>
      <c r="D48" s="25" t="s">
        <v>16</v>
      </c>
      <c r="E48" s="25" t="s">
        <v>30</v>
      </c>
      <c r="F48" s="25" t="s">
        <v>220</v>
      </c>
      <c r="G48" s="25" t="s">
        <v>9</v>
      </c>
      <c r="H48" s="25" t="s">
        <v>152</v>
      </c>
      <c r="I48" s="26">
        <v>42639</v>
      </c>
      <c r="J48" s="25" t="s">
        <v>26</v>
      </c>
      <c r="K48" s="26">
        <v>28178</v>
      </c>
      <c r="L48" s="25">
        <f t="shared" ca="1" si="1"/>
        <v>49</v>
      </c>
      <c r="M48" s="25" t="s">
        <v>54</v>
      </c>
      <c r="N48" s="25" t="s">
        <v>86</v>
      </c>
      <c r="O48" s="25">
        <v>5</v>
      </c>
      <c r="P48" s="25" t="s">
        <v>87</v>
      </c>
      <c r="Q48" s="25" t="s">
        <v>9</v>
      </c>
      <c r="R48" s="25" t="s">
        <v>59</v>
      </c>
      <c r="S48" s="25" t="s">
        <v>88</v>
      </c>
      <c r="T48" s="25" t="s">
        <v>183</v>
      </c>
      <c r="U48" s="25" t="str">
        <f>IFERROR(VLOOKUP(T48,Base!$C$3:$F$177,4,FALSE),"Mechanical Foreman")</f>
        <v>Mechanical Foreman</v>
      </c>
    </row>
    <row r="49" spans="1:21" x14ac:dyDescent="0.35">
      <c r="A49" s="61">
        <v>70000080</v>
      </c>
      <c r="B49" s="25" t="s">
        <v>82</v>
      </c>
      <c r="C49" s="25" t="s">
        <v>221</v>
      </c>
      <c r="D49" s="25" t="s">
        <v>19</v>
      </c>
      <c r="E49" s="25" t="s">
        <v>38</v>
      </c>
      <c r="F49" s="25" t="s">
        <v>222</v>
      </c>
      <c r="G49" s="25" t="s">
        <v>9</v>
      </c>
      <c r="H49" s="25" t="s">
        <v>172</v>
      </c>
      <c r="I49" s="26">
        <v>42646</v>
      </c>
      <c r="J49" s="25" t="s">
        <v>27</v>
      </c>
      <c r="K49" s="26">
        <v>32347</v>
      </c>
      <c r="L49" s="25">
        <f t="shared" ca="1" si="1"/>
        <v>38</v>
      </c>
      <c r="M49" s="25" t="s">
        <v>54</v>
      </c>
      <c r="N49" s="25" t="s">
        <v>86</v>
      </c>
      <c r="O49" s="25">
        <v>2</v>
      </c>
      <c r="P49" s="25" t="s">
        <v>87</v>
      </c>
      <c r="Q49" s="25" t="s">
        <v>9</v>
      </c>
      <c r="R49" s="25" t="s">
        <v>59</v>
      </c>
      <c r="S49" s="25" t="s">
        <v>88</v>
      </c>
      <c r="T49" s="25" t="s">
        <v>210</v>
      </c>
      <c r="U49" s="25" t="str">
        <f>IFERROR(VLOOKUP(T49,Base!$C$3:$F$177,4,FALSE),"Senior Lab Analyst")</f>
        <v>Senior Lab Analyst</v>
      </c>
    </row>
    <row r="50" spans="1:21" hidden="1" x14ac:dyDescent="0.35">
      <c r="A50" s="7">
        <v>70000081</v>
      </c>
      <c r="B50" s="5" t="s">
        <v>82</v>
      </c>
      <c r="C50" s="5" t="s">
        <v>223</v>
      </c>
      <c r="D50" s="5" t="s">
        <v>19</v>
      </c>
      <c r="E50" s="5" t="s">
        <v>38</v>
      </c>
      <c r="F50" s="5" t="s">
        <v>213</v>
      </c>
      <c r="G50" s="5" t="s">
        <v>9</v>
      </c>
      <c r="H50" s="5" t="s">
        <v>172</v>
      </c>
      <c r="I50" s="6">
        <v>42646</v>
      </c>
      <c r="J50" s="5" t="s">
        <v>26</v>
      </c>
      <c r="K50" s="6">
        <v>28513</v>
      </c>
      <c r="L50" s="5">
        <f t="shared" ca="1" si="1"/>
        <v>48</v>
      </c>
      <c r="M50" s="5" t="s">
        <v>54</v>
      </c>
      <c r="N50" s="5" t="s">
        <v>86</v>
      </c>
      <c r="O50" s="5">
        <v>4</v>
      </c>
      <c r="P50" s="5" t="s">
        <v>87</v>
      </c>
      <c r="Q50" s="5" t="s">
        <v>9</v>
      </c>
      <c r="R50" s="5" t="s">
        <v>59</v>
      </c>
      <c r="S50" s="5" t="s">
        <v>88</v>
      </c>
      <c r="T50" s="25" t="s">
        <v>225</v>
      </c>
      <c r="U50" s="25" t="str">
        <f>IFERROR(VLOOKUP(T50,Base!$C$3:$F$177,4,FALSE),"QA Chemist")</f>
        <v>QA Chemist</v>
      </c>
    </row>
    <row r="51" spans="1:21" x14ac:dyDescent="0.35">
      <c r="A51" s="61">
        <v>70000082</v>
      </c>
      <c r="B51" s="25" t="s">
        <v>82</v>
      </c>
      <c r="C51" s="25" t="s">
        <v>224</v>
      </c>
      <c r="D51" s="25" t="s">
        <v>19</v>
      </c>
      <c r="E51" s="25" t="s">
        <v>38</v>
      </c>
      <c r="F51" s="25" t="s">
        <v>213</v>
      </c>
      <c r="G51" s="25" t="s">
        <v>9</v>
      </c>
      <c r="H51" s="25" t="s">
        <v>172</v>
      </c>
      <c r="I51" s="26">
        <v>42646</v>
      </c>
      <c r="J51" s="25" t="s">
        <v>26</v>
      </c>
      <c r="K51" s="26">
        <v>30794</v>
      </c>
      <c r="L51" s="25">
        <f t="shared" ca="1" si="1"/>
        <v>42</v>
      </c>
      <c r="M51" s="25" t="s">
        <v>54</v>
      </c>
      <c r="N51" s="25" t="s">
        <v>86</v>
      </c>
      <c r="O51" s="25">
        <v>5</v>
      </c>
      <c r="P51" s="25" t="s">
        <v>87</v>
      </c>
      <c r="Q51" s="25" t="s">
        <v>9</v>
      </c>
      <c r="R51" s="25" t="s">
        <v>59</v>
      </c>
      <c r="S51" s="25" t="s">
        <v>88</v>
      </c>
      <c r="T51" s="25" t="s">
        <v>225</v>
      </c>
      <c r="U51" s="25" t="str">
        <f>IFERROR(VLOOKUP(T51,Base!$C$3:$F$177,4,FALSE),"QA Chemist")</f>
        <v>QA Chemist</v>
      </c>
    </row>
    <row r="52" spans="1:21" x14ac:dyDescent="0.35">
      <c r="A52" s="61">
        <v>70000083</v>
      </c>
      <c r="B52" s="25" t="s">
        <v>82</v>
      </c>
      <c r="C52" s="25" t="s">
        <v>225</v>
      </c>
      <c r="D52" s="25" t="s">
        <v>19</v>
      </c>
      <c r="E52" s="25" t="s">
        <v>31</v>
      </c>
      <c r="F52" s="25" t="s">
        <v>215</v>
      </c>
      <c r="G52" s="25" t="s">
        <v>9</v>
      </c>
      <c r="H52" s="25" t="s">
        <v>172</v>
      </c>
      <c r="I52" s="26">
        <v>42644</v>
      </c>
      <c r="J52" s="25" t="s">
        <v>26</v>
      </c>
      <c r="K52" s="26">
        <v>34515</v>
      </c>
      <c r="L52" s="25">
        <f t="shared" ca="1" si="1"/>
        <v>32</v>
      </c>
      <c r="M52" s="25" t="s">
        <v>54</v>
      </c>
      <c r="N52" s="25" t="s">
        <v>86</v>
      </c>
      <c r="O52" s="25">
        <v>2</v>
      </c>
      <c r="P52" s="25" t="s">
        <v>87</v>
      </c>
      <c r="Q52" s="25" t="s">
        <v>9</v>
      </c>
      <c r="R52" s="25" t="s">
        <v>59</v>
      </c>
      <c r="S52" s="25" t="s">
        <v>88</v>
      </c>
      <c r="T52" s="25" t="s">
        <v>226</v>
      </c>
      <c r="U52" s="25" t="str">
        <f>IFERROR(VLOOKUP(T52,Base!$C$3:$F$177,4,FALSE),"Quality Manager")</f>
        <v>Quality Manager</v>
      </c>
    </row>
    <row r="53" spans="1:21" x14ac:dyDescent="0.35">
      <c r="A53" s="61">
        <v>70000084</v>
      </c>
      <c r="B53" s="25" t="s">
        <v>82</v>
      </c>
      <c r="C53" s="25" t="s">
        <v>227</v>
      </c>
      <c r="D53" s="25" t="s">
        <v>19</v>
      </c>
      <c r="E53" s="25" t="s">
        <v>38</v>
      </c>
      <c r="F53" s="25" t="s">
        <v>213</v>
      </c>
      <c r="G53" s="25" t="s">
        <v>9</v>
      </c>
      <c r="H53" s="25" t="s">
        <v>172</v>
      </c>
      <c r="I53" s="26">
        <v>42646</v>
      </c>
      <c r="J53" s="25" t="s">
        <v>26</v>
      </c>
      <c r="K53" s="26">
        <v>34125</v>
      </c>
      <c r="L53" s="25">
        <f t="shared" ca="1" si="1"/>
        <v>33</v>
      </c>
      <c r="M53" s="25" t="s">
        <v>54</v>
      </c>
      <c r="N53" s="25" t="s">
        <v>153</v>
      </c>
      <c r="O53" s="25">
        <v>2</v>
      </c>
      <c r="P53" s="25" t="s">
        <v>87</v>
      </c>
      <c r="Q53" s="25" t="s">
        <v>9</v>
      </c>
      <c r="R53" s="25" t="s">
        <v>59</v>
      </c>
      <c r="S53" s="25" t="s">
        <v>88</v>
      </c>
      <c r="T53" s="25" t="s">
        <v>228</v>
      </c>
      <c r="U53" s="25" t="str">
        <f>IFERROR(VLOOKUP(T53,Base!$C$3:$F$177,4,FALSE),"QA Chemist")</f>
        <v>QA Chemist</v>
      </c>
    </row>
    <row r="54" spans="1:21" x14ac:dyDescent="0.35">
      <c r="A54" s="61">
        <v>70000085</v>
      </c>
      <c r="B54" s="25" t="s">
        <v>82</v>
      </c>
      <c r="C54" s="25" t="s">
        <v>229</v>
      </c>
      <c r="D54" s="25" t="s">
        <v>15</v>
      </c>
      <c r="E54" s="25" t="s">
        <v>40</v>
      </c>
      <c r="F54" s="25" t="s">
        <v>230</v>
      </c>
      <c r="G54" s="25" t="s">
        <v>10</v>
      </c>
      <c r="H54" s="25" t="s">
        <v>231</v>
      </c>
      <c r="I54" s="26">
        <v>42653</v>
      </c>
      <c r="J54" s="25" t="s">
        <v>26</v>
      </c>
      <c r="K54" s="26">
        <v>32706</v>
      </c>
      <c r="L54" s="25">
        <f t="shared" ca="1" si="1"/>
        <v>37</v>
      </c>
      <c r="M54" s="25" t="s">
        <v>54</v>
      </c>
      <c r="N54" s="25" t="s">
        <v>86</v>
      </c>
      <c r="O54" s="25">
        <v>3</v>
      </c>
      <c r="P54" s="25" t="s">
        <v>87</v>
      </c>
      <c r="Q54" s="25" t="s">
        <v>10</v>
      </c>
      <c r="R54" s="25" t="s">
        <v>59</v>
      </c>
      <c r="S54" s="25" t="s">
        <v>88</v>
      </c>
      <c r="T54" s="25" t="s">
        <v>149</v>
      </c>
      <c r="U54" s="25" t="str">
        <f>IFERROR(VLOOKUP(T54,Base!$C$3:$F$177,4,FALSE),"Head of Finance")</f>
        <v>Head of Finance</v>
      </c>
    </row>
    <row r="55" spans="1:21" hidden="1" x14ac:dyDescent="0.35">
      <c r="A55" s="7">
        <v>70000087</v>
      </c>
      <c r="B55" s="5" t="s">
        <v>82</v>
      </c>
      <c r="C55" s="5" t="s">
        <v>232</v>
      </c>
      <c r="D55" s="5" t="s">
        <v>16</v>
      </c>
      <c r="E55" s="5" t="s">
        <v>39</v>
      </c>
      <c r="F55" s="5" t="s">
        <v>233</v>
      </c>
      <c r="G55" s="5" t="s">
        <v>9</v>
      </c>
      <c r="H55" s="5" t="s">
        <v>152</v>
      </c>
      <c r="I55" s="6">
        <v>42653</v>
      </c>
      <c r="J55" s="5" t="s">
        <v>27</v>
      </c>
      <c r="K55" s="6">
        <v>30793</v>
      </c>
      <c r="L55" s="5">
        <f t="shared" ca="1" si="1"/>
        <v>42</v>
      </c>
      <c r="M55" s="5" t="s">
        <v>54</v>
      </c>
      <c r="N55" s="5" t="s">
        <v>153</v>
      </c>
      <c r="O55" s="5">
        <v>2</v>
      </c>
      <c r="P55" s="5" t="s">
        <v>87</v>
      </c>
      <c r="Q55" s="5" t="s">
        <v>9</v>
      </c>
      <c r="R55" s="5" t="s">
        <v>59</v>
      </c>
      <c r="S55" s="5" t="s">
        <v>88</v>
      </c>
      <c r="T55" s="25" t="s">
        <v>234</v>
      </c>
      <c r="U55" s="25" t="str">
        <f>IFERROR(VLOOKUP(T55,Base!$C$3:$F$177,4,FALSE),"Planner")</f>
        <v>Planner</v>
      </c>
    </row>
    <row r="56" spans="1:21" x14ac:dyDescent="0.35">
      <c r="A56" s="61">
        <v>70000088</v>
      </c>
      <c r="B56" s="25" t="s">
        <v>82</v>
      </c>
      <c r="C56" s="25" t="s">
        <v>235</v>
      </c>
      <c r="D56" s="25" t="s">
        <v>16</v>
      </c>
      <c r="E56" s="25" t="s">
        <v>30</v>
      </c>
      <c r="F56" s="25" t="s">
        <v>236</v>
      </c>
      <c r="G56" s="25" t="s">
        <v>9</v>
      </c>
      <c r="H56" s="25" t="s">
        <v>152</v>
      </c>
      <c r="I56" s="26">
        <v>42653</v>
      </c>
      <c r="J56" s="25" t="s">
        <v>26</v>
      </c>
      <c r="K56" s="26">
        <v>33662</v>
      </c>
      <c r="L56" s="25">
        <f t="shared" ca="1" si="1"/>
        <v>34</v>
      </c>
      <c r="M56" s="25" t="s">
        <v>54</v>
      </c>
      <c r="N56" s="25" t="s">
        <v>86</v>
      </c>
      <c r="O56" s="25">
        <v>5</v>
      </c>
      <c r="P56" s="25" t="s">
        <v>87</v>
      </c>
      <c r="Q56" s="25" t="s">
        <v>9</v>
      </c>
      <c r="R56" s="25" t="s">
        <v>59</v>
      </c>
      <c r="S56" s="25" t="s">
        <v>88</v>
      </c>
      <c r="T56" s="25" t="s">
        <v>237</v>
      </c>
      <c r="U56" s="25" t="str">
        <f>IFERROR(VLOOKUP(T56,Base!$C$3:$F$177,4,FALSE),"Electrical Foreman")</f>
        <v>Electrical Foreman</v>
      </c>
    </row>
    <row r="57" spans="1:21" x14ac:dyDescent="0.35">
      <c r="A57" s="61">
        <v>70000091</v>
      </c>
      <c r="B57" s="25" t="s">
        <v>82</v>
      </c>
      <c r="C57" s="25" t="s">
        <v>239</v>
      </c>
      <c r="D57" s="25" t="s">
        <v>16</v>
      </c>
      <c r="E57" s="25" t="s">
        <v>32</v>
      </c>
      <c r="F57" s="25" t="s">
        <v>238</v>
      </c>
      <c r="G57" s="25" t="s">
        <v>9</v>
      </c>
      <c r="H57" s="25" t="s">
        <v>152</v>
      </c>
      <c r="I57" s="26">
        <v>42660</v>
      </c>
      <c r="J57" s="25" t="s">
        <v>26</v>
      </c>
      <c r="K57" s="26">
        <v>27307</v>
      </c>
      <c r="L57" s="25">
        <f t="shared" ca="1" si="1"/>
        <v>51</v>
      </c>
      <c r="M57" s="25" t="s">
        <v>54</v>
      </c>
      <c r="N57" s="25" t="s">
        <v>86</v>
      </c>
      <c r="O57" s="25">
        <v>2</v>
      </c>
      <c r="P57" s="25" t="s">
        <v>87</v>
      </c>
      <c r="Q57" s="25" t="s">
        <v>9</v>
      </c>
      <c r="R57" s="25" t="s">
        <v>59</v>
      </c>
      <c r="S57" s="25" t="s">
        <v>88</v>
      </c>
      <c r="T57" s="25" t="s">
        <v>240</v>
      </c>
      <c r="U57" s="25" t="str">
        <f>IFERROR(VLOOKUP(T57,Base!$C$3:$F$177,4,FALSE),"Electrical &amp; instrumentation Engineer")</f>
        <v>Electrical &amp; instrumentation Engineer</v>
      </c>
    </row>
    <row r="58" spans="1:21" x14ac:dyDescent="0.35">
      <c r="A58" s="61">
        <v>70000093</v>
      </c>
      <c r="B58" s="25" t="s">
        <v>82</v>
      </c>
      <c r="C58" s="25" t="s">
        <v>241</v>
      </c>
      <c r="D58" s="25" t="s">
        <v>16</v>
      </c>
      <c r="E58" s="25" t="s">
        <v>34</v>
      </c>
      <c r="F58" s="25" t="s">
        <v>242</v>
      </c>
      <c r="G58" s="25" t="s">
        <v>9</v>
      </c>
      <c r="H58" s="25" t="s">
        <v>152</v>
      </c>
      <c r="I58" s="26">
        <v>42660</v>
      </c>
      <c r="J58" s="25" t="s">
        <v>26</v>
      </c>
      <c r="K58" s="26">
        <v>25543</v>
      </c>
      <c r="L58" s="25">
        <f t="shared" ca="1" si="1"/>
        <v>56</v>
      </c>
      <c r="M58" s="25" t="s">
        <v>54</v>
      </c>
      <c r="N58" s="25" t="s">
        <v>86</v>
      </c>
      <c r="O58" s="25">
        <v>5</v>
      </c>
      <c r="P58" s="25" t="s">
        <v>87</v>
      </c>
      <c r="Q58" s="25" t="s">
        <v>9</v>
      </c>
      <c r="R58" s="25" t="s">
        <v>59</v>
      </c>
      <c r="S58" s="25" t="s">
        <v>88</v>
      </c>
      <c r="T58" s="25" t="s">
        <v>183</v>
      </c>
      <c r="U58" s="25" t="str">
        <f>IFERROR(VLOOKUP(T58,Base!$C$3:$F$177,4,FALSE),"Mechanical Foreman")</f>
        <v>Mechanical Foreman</v>
      </c>
    </row>
    <row r="59" spans="1:21" x14ac:dyDescent="0.35">
      <c r="A59" s="61">
        <v>70000094</v>
      </c>
      <c r="B59" s="25" t="s">
        <v>82</v>
      </c>
      <c r="C59" s="25" t="s">
        <v>243</v>
      </c>
      <c r="D59" s="25" t="s">
        <v>14</v>
      </c>
      <c r="E59" s="25" t="s">
        <v>36</v>
      </c>
      <c r="F59" s="25" t="s">
        <v>244</v>
      </c>
      <c r="G59" s="25" t="s">
        <v>10</v>
      </c>
      <c r="H59" s="25" t="s">
        <v>245</v>
      </c>
      <c r="I59" s="26">
        <v>42662</v>
      </c>
      <c r="J59" s="25" t="s">
        <v>26</v>
      </c>
      <c r="K59" s="26">
        <v>31638</v>
      </c>
      <c r="L59" s="25">
        <f t="shared" ca="1" si="1"/>
        <v>39</v>
      </c>
      <c r="M59" s="25" t="s">
        <v>54</v>
      </c>
      <c r="N59" s="25" t="s">
        <v>86</v>
      </c>
      <c r="O59" s="25">
        <v>3</v>
      </c>
      <c r="P59" s="25" t="s">
        <v>87</v>
      </c>
      <c r="Q59" s="25" t="s">
        <v>10</v>
      </c>
      <c r="R59" s="25" t="s">
        <v>59</v>
      </c>
      <c r="S59" s="25" t="s">
        <v>88</v>
      </c>
      <c r="T59" s="25" t="s">
        <v>101</v>
      </c>
      <c r="U59" s="25" t="str">
        <f>IFERROR(VLOOKUP(T59,Base!$C$3:$F$177,4,FALSE),"Regional Sales Manager")</f>
        <v>Regional Sales Manager</v>
      </c>
    </row>
    <row r="60" spans="1:21" hidden="1" x14ac:dyDescent="0.35">
      <c r="A60" s="7">
        <v>70000096</v>
      </c>
      <c r="B60" s="5" t="s">
        <v>82</v>
      </c>
      <c r="C60" s="5" t="s">
        <v>246</v>
      </c>
      <c r="D60" s="5" t="s">
        <v>17</v>
      </c>
      <c r="E60" s="5" t="s">
        <v>42</v>
      </c>
      <c r="F60" s="5" t="s">
        <v>185</v>
      </c>
      <c r="G60" s="5" t="s">
        <v>9</v>
      </c>
      <c r="H60" s="5" t="s">
        <v>135</v>
      </c>
      <c r="I60" s="6">
        <v>42679</v>
      </c>
      <c r="J60" s="5" t="s">
        <v>26</v>
      </c>
      <c r="K60" s="6">
        <v>34280</v>
      </c>
      <c r="L60" s="5">
        <f t="shared" ca="1" si="1"/>
        <v>32</v>
      </c>
      <c r="M60" s="5" t="s">
        <v>54</v>
      </c>
      <c r="N60" s="5" t="s">
        <v>86</v>
      </c>
      <c r="O60" s="5">
        <v>4</v>
      </c>
      <c r="P60" s="5" t="s">
        <v>87</v>
      </c>
      <c r="Q60" s="5" t="s">
        <v>9</v>
      </c>
      <c r="R60" s="5" t="s">
        <v>59</v>
      </c>
      <c r="S60" s="5" t="s">
        <v>88</v>
      </c>
      <c r="T60" s="25" t="s">
        <v>126</v>
      </c>
      <c r="U60" s="25" t="str">
        <f>IFERROR(VLOOKUP(T60,Base!$C$3:$F$177,4,FALSE),"Production Manager")</f>
        <v>Production Manager</v>
      </c>
    </row>
    <row r="61" spans="1:21" x14ac:dyDescent="0.35">
      <c r="A61" s="61">
        <v>70000097</v>
      </c>
      <c r="B61" s="25" t="s">
        <v>102</v>
      </c>
      <c r="C61" s="25" t="s">
        <v>247</v>
      </c>
      <c r="D61" s="25" t="s">
        <v>104</v>
      </c>
      <c r="E61" s="25" t="s">
        <v>34</v>
      </c>
      <c r="F61" s="25" t="s">
        <v>248</v>
      </c>
      <c r="G61" s="25" t="s">
        <v>9</v>
      </c>
      <c r="H61" s="25" t="s">
        <v>249</v>
      </c>
      <c r="I61" s="26">
        <v>42679</v>
      </c>
      <c r="J61" s="25" t="s">
        <v>26</v>
      </c>
      <c r="K61" s="26">
        <v>32060</v>
      </c>
      <c r="L61" s="25">
        <f t="shared" ca="1" si="1"/>
        <v>38</v>
      </c>
      <c r="M61" s="25" t="s">
        <v>54</v>
      </c>
      <c r="N61" s="25" t="s">
        <v>153</v>
      </c>
      <c r="O61" s="25">
        <v>4</v>
      </c>
      <c r="P61" s="25" t="s">
        <v>87</v>
      </c>
      <c r="Q61" s="25" t="s">
        <v>9</v>
      </c>
      <c r="R61" s="25" t="s">
        <v>59</v>
      </c>
      <c r="S61" s="25" t="s">
        <v>88</v>
      </c>
      <c r="T61" s="25" t="s">
        <v>288</v>
      </c>
      <c r="U61" s="25" t="str">
        <f>IFERROR(VLOOKUP(T61,Base!$C$3:$F$177,4,FALSE),"Shift Supervisor/ blaster")</f>
        <v>Shift Supervisor</v>
      </c>
    </row>
    <row r="62" spans="1:21" x14ac:dyDescent="0.35">
      <c r="A62" s="61">
        <v>70000099</v>
      </c>
      <c r="B62" s="25" t="s">
        <v>82</v>
      </c>
      <c r="C62" s="25" t="s">
        <v>250</v>
      </c>
      <c r="D62" s="25" t="s">
        <v>17</v>
      </c>
      <c r="E62" s="25" t="s">
        <v>42</v>
      </c>
      <c r="F62" s="25" t="s">
        <v>251</v>
      </c>
      <c r="G62" s="25" t="s">
        <v>9</v>
      </c>
      <c r="H62" s="25" t="s">
        <v>125</v>
      </c>
      <c r="I62" s="26">
        <v>42679</v>
      </c>
      <c r="J62" s="25" t="s">
        <v>26</v>
      </c>
      <c r="K62" s="26">
        <v>26447</v>
      </c>
      <c r="L62" s="25">
        <f t="shared" ca="1" si="1"/>
        <v>54</v>
      </c>
      <c r="M62" s="25" t="s">
        <v>54</v>
      </c>
      <c r="N62" s="25" t="s">
        <v>86</v>
      </c>
      <c r="O62" s="25">
        <v>4</v>
      </c>
      <c r="P62" s="25" t="s">
        <v>87</v>
      </c>
      <c r="Q62" s="25" t="s">
        <v>9</v>
      </c>
      <c r="R62" s="25" t="s">
        <v>59</v>
      </c>
      <c r="S62" s="25" t="s">
        <v>88</v>
      </c>
      <c r="T62" s="25" t="s">
        <v>136</v>
      </c>
      <c r="U62" s="25" t="str">
        <f>IFERROR(VLOOKUP(T62,Base!$C$3:$F$177,4,FALSE),"Production Superintendent")</f>
        <v>Production Superintendent</v>
      </c>
    </row>
    <row r="63" spans="1:21" x14ac:dyDescent="0.35">
      <c r="A63" s="61">
        <v>70000100</v>
      </c>
      <c r="B63" s="25" t="s">
        <v>82</v>
      </c>
      <c r="C63" s="25" t="s">
        <v>252</v>
      </c>
      <c r="D63" s="25" t="s">
        <v>14</v>
      </c>
      <c r="E63" s="25" t="s">
        <v>32</v>
      </c>
      <c r="F63" s="25" t="s">
        <v>253</v>
      </c>
      <c r="G63" s="25" t="s">
        <v>10</v>
      </c>
      <c r="H63" s="25" t="s">
        <v>100</v>
      </c>
      <c r="I63" s="26">
        <v>42679</v>
      </c>
      <c r="J63" s="25" t="s">
        <v>26</v>
      </c>
      <c r="K63" s="26">
        <v>27917</v>
      </c>
      <c r="L63" s="25">
        <f t="shared" ca="1" si="1"/>
        <v>50</v>
      </c>
      <c r="M63" s="25" t="s">
        <v>54</v>
      </c>
      <c r="N63" s="25" t="s">
        <v>86</v>
      </c>
      <c r="O63" s="25">
        <v>8</v>
      </c>
      <c r="P63" s="25" t="s">
        <v>87</v>
      </c>
      <c r="Q63" s="25" t="s">
        <v>505</v>
      </c>
      <c r="R63" s="25" t="s">
        <v>59</v>
      </c>
      <c r="S63" s="25" t="s">
        <v>88</v>
      </c>
      <c r="T63" s="25" t="s">
        <v>101</v>
      </c>
      <c r="U63" s="25" t="str">
        <f>IFERROR(VLOOKUP(T63,Base!$C$3:$F$177,4,FALSE),"Regional Sales Manager")</f>
        <v>Regional Sales Manager</v>
      </c>
    </row>
    <row r="64" spans="1:21" hidden="1" x14ac:dyDescent="0.35">
      <c r="A64" s="7">
        <v>70000101</v>
      </c>
      <c r="B64" s="5" t="s">
        <v>82</v>
      </c>
      <c r="C64" s="5" t="s">
        <v>254</v>
      </c>
      <c r="D64" s="5" t="s">
        <v>15</v>
      </c>
      <c r="E64" s="5" t="s">
        <v>39</v>
      </c>
      <c r="F64" s="5" t="s">
        <v>255</v>
      </c>
      <c r="G64" s="5" t="s">
        <v>9</v>
      </c>
      <c r="H64" s="5" t="s">
        <v>256</v>
      </c>
      <c r="I64" s="6">
        <v>42679</v>
      </c>
      <c r="J64" s="5" t="s">
        <v>27</v>
      </c>
      <c r="K64" s="6">
        <v>30130</v>
      </c>
      <c r="L64" s="5">
        <f t="shared" ca="1" si="1"/>
        <v>44</v>
      </c>
      <c r="M64" s="5" t="s">
        <v>54</v>
      </c>
      <c r="N64" s="5" t="s">
        <v>86</v>
      </c>
      <c r="O64" s="5">
        <v>4</v>
      </c>
      <c r="P64" s="5" t="s">
        <v>87</v>
      </c>
      <c r="Q64" s="5" t="s">
        <v>9</v>
      </c>
      <c r="R64" s="5" t="s">
        <v>59</v>
      </c>
      <c r="S64" s="5" t="s">
        <v>88</v>
      </c>
      <c r="T64" s="25" t="s">
        <v>257</v>
      </c>
      <c r="U64" s="25" t="str">
        <f>IFERROR(VLOOKUP(T64,Base!$C$3:$F$177,4,FALSE),"Finance Manager")</f>
        <v>Finance Manager</v>
      </c>
    </row>
    <row r="65" spans="1:21" x14ac:dyDescent="0.35">
      <c r="A65" s="61">
        <v>70000102</v>
      </c>
      <c r="B65" s="25" t="s">
        <v>102</v>
      </c>
      <c r="C65" s="25" t="s">
        <v>259</v>
      </c>
      <c r="D65" s="25" t="s">
        <v>104</v>
      </c>
      <c r="E65" s="25" t="s">
        <v>42</v>
      </c>
      <c r="F65" s="25" t="s">
        <v>105</v>
      </c>
      <c r="G65" s="25" t="s">
        <v>9</v>
      </c>
      <c r="H65" s="25" t="s">
        <v>106</v>
      </c>
      <c r="I65" s="26">
        <v>42679</v>
      </c>
      <c r="J65" s="25" t="s">
        <v>26</v>
      </c>
      <c r="K65" s="26">
        <v>30322</v>
      </c>
      <c r="L65" s="25">
        <f t="shared" ca="1" si="1"/>
        <v>43</v>
      </c>
      <c r="M65" s="25" t="s">
        <v>54</v>
      </c>
      <c r="N65" s="25" t="s">
        <v>86</v>
      </c>
      <c r="O65" s="25">
        <v>7</v>
      </c>
      <c r="P65" s="25" t="s">
        <v>87</v>
      </c>
      <c r="Q65" s="25" t="s">
        <v>9</v>
      </c>
      <c r="R65" s="25" t="s">
        <v>59</v>
      </c>
      <c r="S65" s="25" t="s">
        <v>88</v>
      </c>
      <c r="T65" s="25" t="s">
        <v>288</v>
      </c>
      <c r="U65" s="25" t="str">
        <f>IFERROR(VLOOKUP(T65,Base!$C$3:$F$177,4,FALSE),"Shift Supervisor/ blaster")</f>
        <v>Shift Supervisor</v>
      </c>
    </row>
    <row r="66" spans="1:21" x14ac:dyDescent="0.35">
      <c r="A66" s="61">
        <v>70000104</v>
      </c>
      <c r="B66" s="25" t="s">
        <v>82</v>
      </c>
      <c r="C66" s="25" t="s">
        <v>260</v>
      </c>
      <c r="D66" s="25" t="s">
        <v>16</v>
      </c>
      <c r="E66" s="25" t="s">
        <v>31</v>
      </c>
      <c r="F66" s="25" t="s">
        <v>261</v>
      </c>
      <c r="G66" s="25" t="s">
        <v>9</v>
      </c>
      <c r="H66" s="25" t="s">
        <v>152</v>
      </c>
      <c r="I66" s="26">
        <v>42679</v>
      </c>
      <c r="J66" s="25" t="s">
        <v>26</v>
      </c>
      <c r="K66" s="26">
        <v>32600</v>
      </c>
      <c r="L66" s="25">
        <f t="shared" ca="1" si="1"/>
        <v>37</v>
      </c>
      <c r="M66" s="25" t="s">
        <v>54</v>
      </c>
      <c r="N66" s="25" t="s">
        <v>153</v>
      </c>
      <c r="O66" s="25">
        <v>4</v>
      </c>
      <c r="P66" s="25" t="s">
        <v>87</v>
      </c>
      <c r="Q66" s="25" t="s">
        <v>9</v>
      </c>
      <c r="R66" s="25" t="s">
        <v>59</v>
      </c>
      <c r="S66" s="25" t="s">
        <v>88</v>
      </c>
      <c r="T66" s="25" t="s">
        <v>183</v>
      </c>
      <c r="U66" s="25" t="str">
        <f>IFERROR(VLOOKUP(T66,Base!$C$3:$F$177,4,FALSE),"Mechanical Foreman")</f>
        <v>Mechanical Foreman</v>
      </c>
    </row>
    <row r="67" spans="1:21" x14ac:dyDescent="0.35">
      <c r="A67" s="61">
        <v>70000107</v>
      </c>
      <c r="B67" s="25" t="s">
        <v>82</v>
      </c>
      <c r="C67" s="25" t="s">
        <v>262</v>
      </c>
      <c r="D67" s="25" t="s">
        <v>23</v>
      </c>
      <c r="E67" s="25" t="s">
        <v>30</v>
      </c>
      <c r="F67" s="25" t="s">
        <v>263</v>
      </c>
      <c r="G67" s="25" t="s">
        <v>9</v>
      </c>
      <c r="H67" s="25" t="s">
        <v>264</v>
      </c>
      <c r="I67" s="26">
        <v>42690</v>
      </c>
      <c r="J67" s="25" t="s">
        <v>27</v>
      </c>
      <c r="K67" s="26">
        <v>31105</v>
      </c>
      <c r="L67" s="25">
        <f t="shared" ref="L67:L98" ca="1" si="2">DATEDIF(K67,TODAY(),"Y")</f>
        <v>41</v>
      </c>
      <c r="M67" s="25" t="s">
        <v>54</v>
      </c>
      <c r="N67" s="25" t="s">
        <v>86</v>
      </c>
      <c r="O67" s="25">
        <v>2</v>
      </c>
      <c r="P67" s="25" t="s">
        <v>87</v>
      </c>
      <c r="Q67" s="25" t="s">
        <v>9</v>
      </c>
      <c r="R67" s="25" t="s">
        <v>59</v>
      </c>
      <c r="S67" s="25" t="s">
        <v>88</v>
      </c>
      <c r="T67" s="25" t="s">
        <v>265</v>
      </c>
      <c r="U67" s="25" t="str">
        <f>IFERROR(VLOOKUP(T67,Base!$C$3:$F$177,4,FALSE),"Safety Manager")</f>
        <v>Safety Manager</v>
      </c>
    </row>
    <row r="68" spans="1:21" x14ac:dyDescent="0.35">
      <c r="A68" s="61">
        <v>70000109</v>
      </c>
      <c r="B68" s="25" t="s">
        <v>82</v>
      </c>
      <c r="C68" s="25" t="s">
        <v>267</v>
      </c>
      <c r="D68" s="25" t="s">
        <v>16</v>
      </c>
      <c r="E68" s="25" t="s">
        <v>32</v>
      </c>
      <c r="F68" s="25" t="s">
        <v>166</v>
      </c>
      <c r="G68" s="25" t="s">
        <v>9</v>
      </c>
      <c r="H68" s="25" t="s">
        <v>152</v>
      </c>
      <c r="I68" s="26">
        <v>42711</v>
      </c>
      <c r="J68" s="25" t="s">
        <v>26</v>
      </c>
      <c r="K68" s="26">
        <v>33072</v>
      </c>
      <c r="L68" s="25">
        <f t="shared" ca="1" si="2"/>
        <v>36</v>
      </c>
      <c r="M68" s="25" t="s">
        <v>54</v>
      </c>
      <c r="N68" s="25" t="s">
        <v>86</v>
      </c>
      <c r="O68" s="25">
        <v>5</v>
      </c>
      <c r="P68" s="25" t="s">
        <v>87</v>
      </c>
      <c r="Q68" s="25" t="s">
        <v>9</v>
      </c>
      <c r="R68" s="25" t="s">
        <v>59</v>
      </c>
      <c r="S68" s="25" t="s">
        <v>268</v>
      </c>
      <c r="T68" s="25" t="s">
        <v>269</v>
      </c>
      <c r="U68" s="25" t="str">
        <f>IFERROR(VLOOKUP(T68,Base!$C$3:$F$177,4,FALSE),"Mechanical Engineer")</f>
        <v>Mechanical Engineer</v>
      </c>
    </row>
    <row r="69" spans="1:21" x14ac:dyDescent="0.35">
      <c r="A69" s="61">
        <v>70000110</v>
      </c>
      <c r="B69" s="25" t="s">
        <v>82</v>
      </c>
      <c r="C69" s="25" t="s">
        <v>270</v>
      </c>
      <c r="D69" s="25" t="s">
        <v>14</v>
      </c>
      <c r="E69" s="25" t="s">
        <v>33</v>
      </c>
      <c r="F69" s="25" t="s">
        <v>271</v>
      </c>
      <c r="G69" s="25" t="s">
        <v>10</v>
      </c>
      <c r="H69" s="25" t="s">
        <v>272</v>
      </c>
      <c r="I69" s="26">
        <v>42711</v>
      </c>
      <c r="J69" s="25" t="s">
        <v>26</v>
      </c>
      <c r="K69" s="26">
        <v>32373</v>
      </c>
      <c r="L69" s="25">
        <f t="shared" ca="1" si="2"/>
        <v>37</v>
      </c>
      <c r="M69" s="25" t="s">
        <v>54</v>
      </c>
      <c r="N69" s="25" t="s">
        <v>86</v>
      </c>
      <c r="O69" s="25">
        <v>1</v>
      </c>
      <c r="P69" s="25" t="s">
        <v>87</v>
      </c>
      <c r="Q69" s="25" t="s">
        <v>9</v>
      </c>
      <c r="R69" s="25" t="s">
        <v>59</v>
      </c>
      <c r="S69" s="25" t="s">
        <v>88</v>
      </c>
      <c r="T69" s="25" t="s">
        <v>273</v>
      </c>
      <c r="U69" s="25" t="str">
        <f>IFERROR(VLOOKUP(T69,Base!$C$3:$F$177,4,FALSE),"Head of Supply Chain")</f>
        <v>Head of Supply Chain</v>
      </c>
    </row>
    <row r="70" spans="1:21" hidden="1" x14ac:dyDescent="0.35">
      <c r="A70" s="7">
        <v>70000111</v>
      </c>
      <c r="B70" s="5" t="s">
        <v>82</v>
      </c>
      <c r="C70" s="5" t="s">
        <v>275</v>
      </c>
      <c r="D70" s="5" t="s">
        <v>21</v>
      </c>
      <c r="E70" s="5" t="s">
        <v>35</v>
      </c>
      <c r="F70" s="5" t="s">
        <v>276</v>
      </c>
      <c r="G70" s="5" t="s">
        <v>9</v>
      </c>
      <c r="H70" s="5" t="s">
        <v>277</v>
      </c>
      <c r="I70" s="6">
        <v>42711</v>
      </c>
      <c r="J70" s="5" t="s">
        <v>26</v>
      </c>
      <c r="K70" s="6">
        <v>28924</v>
      </c>
      <c r="L70" s="5">
        <f t="shared" ca="1" si="2"/>
        <v>47</v>
      </c>
      <c r="M70" s="5" t="s">
        <v>54</v>
      </c>
      <c r="N70" s="5" t="s">
        <v>86</v>
      </c>
      <c r="O70" s="5">
        <v>2</v>
      </c>
      <c r="P70" s="5" t="s">
        <v>87</v>
      </c>
      <c r="Q70" s="5" t="s">
        <v>9</v>
      </c>
      <c r="R70" s="5" t="s">
        <v>59</v>
      </c>
      <c r="S70" s="5" t="s">
        <v>88</v>
      </c>
      <c r="T70" s="25" t="s">
        <v>508</v>
      </c>
      <c r="U70" s="25" t="str">
        <f>IFERROR(VLOOKUP(T70,Base!$C$3:$F$177,4,FALSE),"Plant CRO")</f>
        <v>Plant CRO</v>
      </c>
    </row>
    <row r="71" spans="1:21" x14ac:dyDescent="0.35">
      <c r="A71" s="61">
        <v>70000112</v>
      </c>
      <c r="B71" s="25" t="s">
        <v>82</v>
      </c>
      <c r="C71" s="25" t="s">
        <v>278</v>
      </c>
      <c r="D71" s="25" t="s">
        <v>23</v>
      </c>
      <c r="E71" s="25" t="s">
        <v>33</v>
      </c>
      <c r="F71" s="25" t="s">
        <v>266</v>
      </c>
      <c r="G71" s="25" t="s">
        <v>9</v>
      </c>
      <c r="H71" s="25" t="s">
        <v>279</v>
      </c>
      <c r="I71" s="26">
        <v>42711</v>
      </c>
      <c r="J71" s="25" t="s">
        <v>26</v>
      </c>
      <c r="K71" s="26">
        <v>30328</v>
      </c>
      <c r="L71" s="25">
        <f t="shared" ca="1" si="2"/>
        <v>43</v>
      </c>
      <c r="M71" s="25" t="s">
        <v>54</v>
      </c>
      <c r="N71" s="25" t="s">
        <v>86</v>
      </c>
      <c r="O71" s="25">
        <v>4</v>
      </c>
      <c r="P71" s="25" t="s">
        <v>87</v>
      </c>
      <c r="Q71" s="25" t="s">
        <v>9</v>
      </c>
      <c r="R71" s="25" t="s">
        <v>59</v>
      </c>
      <c r="S71" s="25" t="s">
        <v>88</v>
      </c>
      <c r="T71" s="25" t="s">
        <v>128</v>
      </c>
      <c r="U71" s="25" t="str">
        <f>IFERROR(VLOOKUP(T71,Base!$C$3:$F$177,4,FALSE),"Plant Manager")</f>
        <v>Plant Manager</v>
      </c>
    </row>
    <row r="72" spans="1:21" x14ac:dyDescent="0.35">
      <c r="A72" s="61">
        <v>70000115</v>
      </c>
      <c r="B72" s="25" t="s">
        <v>82</v>
      </c>
      <c r="C72" s="25" t="s">
        <v>280</v>
      </c>
      <c r="D72" s="25" t="s">
        <v>16</v>
      </c>
      <c r="E72" s="25" t="s">
        <v>30</v>
      </c>
      <c r="F72" s="25" t="s">
        <v>182</v>
      </c>
      <c r="G72" s="25" t="s">
        <v>9</v>
      </c>
      <c r="H72" s="25" t="s">
        <v>152</v>
      </c>
      <c r="I72" s="26">
        <v>42786</v>
      </c>
      <c r="J72" s="25" t="s">
        <v>26</v>
      </c>
      <c r="K72" s="26">
        <v>28210</v>
      </c>
      <c r="L72" s="25">
        <f t="shared" ca="1" si="2"/>
        <v>49</v>
      </c>
      <c r="M72" s="25" t="s">
        <v>54</v>
      </c>
      <c r="N72" s="25" t="s">
        <v>86</v>
      </c>
      <c r="O72" s="25">
        <v>4</v>
      </c>
      <c r="P72" s="25" t="s">
        <v>87</v>
      </c>
      <c r="Q72" s="25" t="s">
        <v>9</v>
      </c>
      <c r="R72" s="25" t="s">
        <v>59</v>
      </c>
      <c r="S72" s="25" t="s">
        <v>88</v>
      </c>
      <c r="T72" s="25" t="s">
        <v>183</v>
      </c>
      <c r="U72" s="25" t="str">
        <f>IFERROR(VLOOKUP(T72,Base!$C$3:$F$177,4,FALSE),"Mechanical Foreman")</f>
        <v>Mechanical Foreman</v>
      </c>
    </row>
    <row r="73" spans="1:21" x14ac:dyDescent="0.35">
      <c r="A73" s="61">
        <v>70000116</v>
      </c>
      <c r="B73" s="25" t="s">
        <v>82</v>
      </c>
      <c r="C73" s="25" t="s">
        <v>281</v>
      </c>
      <c r="D73" s="25" t="s">
        <v>16</v>
      </c>
      <c r="E73" s="25" t="s">
        <v>30</v>
      </c>
      <c r="F73" s="25" t="s">
        <v>220</v>
      </c>
      <c r="G73" s="25" t="s">
        <v>9</v>
      </c>
      <c r="H73" s="25" t="s">
        <v>152</v>
      </c>
      <c r="I73" s="26">
        <v>42788</v>
      </c>
      <c r="J73" s="25" t="s">
        <v>26</v>
      </c>
      <c r="K73" s="26">
        <v>30546</v>
      </c>
      <c r="L73" s="25">
        <f t="shared" ca="1" si="2"/>
        <v>42</v>
      </c>
      <c r="M73" s="25" t="s">
        <v>54</v>
      </c>
      <c r="N73" s="25" t="s">
        <v>153</v>
      </c>
      <c r="O73" s="25">
        <v>2</v>
      </c>
      <c r="P73" s="25" t="s">
        <v>87</v>
      </c>
      <c r="Q73" s="25" t="s">
        <v>9</v>
      </c>
      <c r="R73" s="25" t="s">
        <v>59</v>
      </c>
      <c r="S73" s="25" t="s">
        <v>88</v>
      </c>
      <c r="T73" s="25" t="s">
        <v>183</v>
      </c>
      <c r="U73" s="25" t="str">
        <f>IFERROR(VLOOKUP(T73,Base!$C$3:$F$177,4,FALSE),"Mechanical Foreman")</f>
        <v>Mechanical Foreman</v>
      </c>
    </row>
    <row r="74" spans="1:21" x14ac:dyDescent="0.35">
      <c r="A74" s="61">
        <v>70000117</v>
      </c>
      <c r="B74" s="25" t="s">
        <v>82</v>
      </c>
      <c r="C74" s="25" t="s">
        <v>282</v>
      </c>
      <c r="D74" s="25" t="s">
        <v>14</v>
      </c>
      <c r="E74" s="25" t="s">
        <v>36</v>
      </c>
      <c r="F74" s="25" t="s">
        <v>283</v>
      </c>
      <c r="G74" s="25" t="s">
        <v>10</v>
      </c>
      <c r="H74" s="25" t="s">
        <v>100</v>
      </c>
      <c r="I74" s="26">
        <v>42800</v>
      </c>
      <c r="J74" s="25" t="s">
        <v>26</v>
      </c>
      <c r="K74" s="26">
        <v>28560</v>
      </c>
      <c r="L74" s="25">
        <f t="shared" ca="1" si="2"/>
        <v>48</v>
      </c>
      <c r="M74" s="25" t="s">
        <v>54</v>
      </c>
      <c r="N74" s="25" t="s">
        <v>86</v>
      </c>
      <c r="O74" s="25">
        <v>3</v>
      </c>
      <c r="P74" s="25" t="s">
        <v>87</v>
      </c>
      <c r="Q74" s="25" t="s">
        <v>10</v>
      </c>
      <c r="R74" s="25" t="s">
        <v>59</v>
      </c>
      <c r="S74" s="25" t="s">
        <v>88</v>
      </c>
      <c r="T74" s="25" t="s">
        <v>101</v>
      </c>
      <c r="U74" s="25" t="str">
        <f>IFERROR(VLOOKUP(T74,Base!$C$3:$F$177,4,FALSE),"Regional Sales Manager")</f>
        <v>Regional Sales Manager</v>
      </c>
    </row>
    <row r="75" spans="1:21" hidden="1" x14ac:dyDescent="0.35">
      <c r="A75" s="7">
        <v>70000118</v>
      </c>
      <c r="B75" s="5" t="s">
        <v>82</v>
      </c>
      <c r="C75" s="5" t="s">
        <v>284</v>
      </c>
      <c r="D75" s="5" t="s">
        <v>15</v>
      </c>
      <c r="E75" s="5" t="s">
        <v>31</v>
      </c>
      <c r="F75" s="5" t="s">
        <v>285</v>
      </c>
      <c r="G75" s="5" t="s">
        <v>10</v>
      </c>
      <c r="H75" s="5" t="s">
        <v>256</v>
      </c>
      <c r="I75" s="6">
        <v>42858</v>
      </c>
      <c r="J75" s="5" t="s">
        <v>27</v>
      </c>
      <c r="K75" s="6">
        <v>30115</v>
      </c>
      <c r="L75" s="5">
        <f t="shared" ca="1" si="2"/>
        <v>44</v>
      </c>
      <c r="M75" s="5" t="s">
        <v>54</v>
      </c>
      <c r="N75" s="5" t="s">
        <v>286</v>
      </c>
      <c r="O75" s="5">
        <v>1</v>
      </c>
      <c r="P75" s="5" t="s">
        <v>87</v>
      </c>
      <c r="Q75" s="5" t="s">
        <v>10</v>
      </c>
      <c r="R75" s="5" t="s">
        <v>59</v>
      </c>
      <c r="S75" s="5" t="s">
        <v>88</v>
      </c>
      <c r="T75" s="25" t="s">
        <v>287</v>
      </c>
      <c r="U75" s="25" t="str">
        <f>IFERROR(VLOOKUP(T75,Base!$C$3:$F$177,4,FALSE),"Financial controller")</f>
        <v>Financial controller</v>
      </c>
    </row>
    <row r="76" spans="1:21" hidden="1" x14ac:dyDescent="0.35">
      <c r="A76" s="7">
        <v>70000124</v>
      </c>
      <c r="B76" s="5" t="s">
        <v>102</v>
      </c>
      <c r="C76" s="5" t="s">
        <v>288</v>
      </c>
      <c r="D76" s="5" t="s">
        <v>104</v>
      </c>
      <c r="E76" s="5" t="s">
        <v>31</v>
      </c>
      <c r="F76" s="5" t="s">
        <v>124</v>
      </c>
      <c r="G76" s="5" t="s">
        <v>9</v>
      </c>
      <c r="H76" s="5" t="s">
        <v>289</v>
      </c>
      <c r="I76" s="6">
        <v>42240</v>
      </c>
      <c r="J76" s="5" t="s">
        <v>26</v>
      </c>
      <c r="K76" s="6">
        <v>28108</v>
      </c>
      <c r="L76" s="5">
        <f t="shared" ca="1" si="2"/>
        <v>49</v>
      </c>
      <c r="M76" s="5" t="s">
        <v>54</v>
      </c>
      <c r="N76" s="5" t="s">
        <v>86</v>
      </c>
      <c r="O76" s="5">
        <v>5</v>
      </c>
      <c r="P76" s="5" t="s">
        <v>87</v>
      </c>
      <c r="Q76" s="5" t="s">
        <v>9</v>
      </c>
      <c r="R76" s="5" t="s">
        <v>59</v>
      </c>
      <c r="S76" s="5" t="s">
        <v>88</v>
      </c>
      <c r="T76" s="25" t="s">
        <v>353</v>
      </c>
      <c r="U76" s="25" t="str">
        <f>IFERROR(VLOOKUP(T76,Base!$C$3:$F$177,4,FALSE),"Mining Superintendant")</f>
        <v>Mining Superintendant</v>
      </c>
    </row>
    <row r="77" spans="1:21" hidden="1" x14ac:dyDescent="0.35">
      <c r="A77" s="7">
        <v>70000129</v>
      </c>
      <c r="B77" s="5" t="s">
        <v>102</v>
      </c>
      <c r="C77" s="5" t="s">
        <v>291</v>
      </c>
      <c r="D77" s="5" t="s">
        <v>104</v>
      </c>
      <c r="E77" s="5" t="s">
        <v>38</v>
      </c>
      <c r="F77" s="5" t="s">
        <v>292</v>
      </c>
      <c r="G77" s="5" t="s">
        <v>9</v>
      </c>
      <c r="H77" s="5" t="s">
        <v>249</v>
      </c>
      <c r="I77" s="6">
        <v>43192</v>
      </c>
      <c r="J77" s="5" t="s">
        <v>26</v>
      </c>
      <c r="K77" s="6">
        <v>30536</v>
      </c>
      <c r="L77" s="5">
        <f t="shared" ca="1" si="2"/>
        <v>42</v>
      </c>
      <c r="M77" s="5" t="s">
        <v>54</v>
      </c>
      <c r="N77" s="5" t="s">
        <v>86</v>
      </c>
      <c r="O77" s="5">
        <v>7</v>
      </c>
      <c r="P77" s="5" t="s">
        <v>87</v>
      </c>
      <c r="Q77" s="5" t="s">
        <v>9</v>
      </c>
      <c r="R77" s="5" t="s">
        <v>59</v>
      </c>
      <c r="S77" s="5" t="s">
        <v>88</v>
      </c>
      <c r="T77" s="25" t="s">
        <v>293</v>
      </c>
      <c r="U77" s="25" t="str">
        <f>IFERROR(VLOOKUP(T77,Base!$C$3:$F$177,4,FALSE),"Mining Supervisor/blaster")</f>
        <v>Mining Supervisor/blaster</v>
      </c>
    </row>
    <row r="78" spans="1:21" x14ac:dyDescent="0.35">
      <c r="A78" s="61">
        <v>70000130</v>
      </c>
      <c r="B78" s="25" t="s">
        <v>82</v>
      </c>
      <c r="C78" s="25" t="s">
        <v>294</v>
      </c>
      <c r="D78" s="25" t="s">
        <v>15</v>
      </c>
      <c r="E78" s="25" t="s">
        <v>34</v>
      </c>
      <c r="F78" s="25" t="s">
        <v>95</v>
      </c>
      <c r="G78" s="25" t="s">
        <v>10</v>
      </c>
      <c r="H78" s="25" t="s">
        <v>96</v>
      </c>
      <c r="I78" s="26">
        <v>43190</v>
      </c>
      <c r="J78" s="25" t="s">
        <v>26</v>
      </c>
      <c r="K78" s="26">
        <v>26862</v>
      </c>
      <c r="L78" s="25">
        <f t="shared" ca="1" si="2"/>
        <v>53</v>
      </c>
      <c r="M78" s="25" t="s">
        <v>54</v>
      </c>
      <c r="N78" s="25" t="s">
        <v>86</v>
      </c>
      <c r="O78" s="25">
        <v>5</v>
      </c>
      <c r="P78" s="25" t="s">
        <v>87</v>
      </c>
      <c r="Q78" s="25" t="s">
        <v>10</v>
      </c>
      <c r="R78" s="25" t="s">
        <v>59</v>
      </c>
      <c r="S78" s="25" t="s">
        <v>88</v>
      </c>
      <c r="T78" s="25" t="s">
        <v>97</v>
      </c>
      <c r="U78" s="25" t="str">
        <f>IFERROR(VLOOKUP(T78,Base!$C$3:$F$177,4,FALSE),"Facilities coordinator and adm (HQ)")</f>
        <v>Facilities coordinator and adm (HQ)</v>
      </c>
    </row>
    <row r="79" spans="1:21" hidden="1" x14ac:dyDescent="0.35">
      <c r="A79" s="7">
        <v>70000134</v>
      </c>
      <c r="B79" s="5" t="s">
        <v>82</v>
      </c>
      <c r="C79" s="5" t="s">
        <v>295</v>
      </c>
      <c r="D79" s="5" t="s">
        <v>14</v>
      </c>
      <c r="E79" s="5" t="s">
        <v>30</v>
      </c>
      <c r="F79" s="5" t="s">
        <v>217</v>
      </c>
      <c r="G79" s="5" t="s">
        <v>10</v>
      </c>
      <c r="H79" s="5" t="s">
        <v>218</v>
      </c>
      <c r="I79" s="6">
        <v>43283</v>
      </c>
      <c r="J79" s="5" t="s">
        <v>26</v>
      </c>
      <c r="K79" s="6">
        <v>32874</v>
      </c>
      <c r="L79" s="5">
        <f t="shared" ca="1" si="2"/>
        <v>36</v>
      </c>
      <c r="M79" s="5" t="s">
        <v>54</v>
      </c>
      <c r="N79" s="5" t="s">
        <v>153</v>
      </c>
      <c r="O79" s="5">
        <v>0</v>
      </c>
      <c r="P79" s="5" t="s">
        <v>87</v>
      </c>
      <c r="Q79" s="5" t="s">
        <v>9</v>
      </c>
      <c r="R79" s="5" t="s">
        <v>59</v>
      </c>
      <c r="S79" s="5" t="s">
        <v>88</v>
      </c>
      <c r="T79" s="25" t="s">
        <v>270</v>
      </c>
      <c r="U79" s="25" t="str">
        <f>IFERROR(VLOOKUP(T79,Base!$C$3:$F$177,4,FALSE),"Customer Excellence Officer")</f>
        <v>Transport Optimisation Manager</v>
      </c>
    </row>
    <row r="80" spans="1:21" hidden="1" x14ac:dyDescent="0.35">
      <c r="A80" s="7">
        <v>70000135</v>
      </c>
      <c r="B80" s="5" t="s">
        <v>82</v>
      </c>
      <c r="C80" s="5" t="s">
        <v>297</v>
      </c>
      <c r="D80" s="5" t="s">
        <v>15</v>
      </c>
      <c r="E80" s="5" t="s">
        <v>45</v>
      </c>
      <c r="F80" s="5" t="s">
        <v>298</v>
      </c>
      <c r="G80" s="5" t="s">
        <v>10</v>
      </c>
      <c r="H80" s="5" t="s">
        <v>299</v>
      </c>
      <c r="I80" s="6">
        <v>43314</v>
      </c>
      <c r="J80" s="5" t="s">
        <v>26</v>
      </c>
      <c r="K80" s="6">
        <v>31172</v>
      </c>
      <c r="L80" s="5">
        <f t="shared" ca="1" si="2"/>
        <v>41</v>
      </c>
      <c r="M80" s="5" t="s">
        <v>54</v>
      </c>
      <c r="N80" s="5" t="s">
        <v>86</v>
      </c>
      <c r="O80" s="5">
        <v>0</v>
      </c>
      <c r="P80" s="5" t="s">
        <v>87</v>
      </c>
      <c r="Q80" s="5" t="s">
        <v>10</v>
      </c>
      <c r="R80" s="5" t="s">
        <v>59</v>
      </c>
      <c r="S80" s="5" t="s">
        <v>88</v>
      </c>
      <c r="T80" s="25" t="s">
        <v>176</v>
      </c>
      <c r="U80" s="25" t="str">
        <f>IFERROR(VLOOKUP(T80,Base!$C$3:$F$177,4,FALSE),"Managing Director")</f>
        <v>Managing Director</v>
      </c>
    </row>
    <row r="81" spans="1:21" hidden="1" x14ac:dyDescent="0.35">
      <c r="A81" s="7">
        <v>70000137</v>
      </c>
      <c r="B81" s="5" t="s">
        <v>82</v>
      </c>
      <c r="C81" s="5" t="s">
        <v>300</v>
      </c>
      <c r="D81" s="5" t="s">
        <v>18</v>
      </c>
      <c r="E81" s="5" t="s">
        <v>36</v>
      </c>
      <c r="F81" s="5" t="s">
        <v>301</v>
      </c>
      <c r="G81" s="5" t="s">
        <v>9</v>
      </c>
      <c r="H81" s="5" t="s">
        <v>302</v>
      </c>
      <c r="I81" s="6">
        <v>43374</v>
      </c>
      <c r="J81" s="5" t="s">
        <v>26</v>
      </c>
      <c r="K81" s="6">
        <v>31303</v>
      </c>
      <c r="L81" s="5">
        <f t="shared" ca="1" si="2"/>
        <v>40</v>
      </c>
      <c r="M81" s="5" t="s">
        <v>54</v>
      </c>
      <c r="N81" s="5" t="s">
        <v>86</v>
      </c>
      <c r="O81" s="5">
        <v>0</v>
      </c>
      <c r="P81" s="5" t="s">
        <v>87</v>
      </c>
      <c r="Q81" s="5" t="s">
        <v>9</v>
      </c>
      <c r="R81" s="5" t="s">
        <v>59</v>
      </c>
      <c r="S81" s="5" t="s">
        <v>88</v>
      </c>
      <c r="T81" s="25" t="s">
        <v>303</v>
      </c>
      <c r="U81" s="25" t="str">
        <f>IFERROR(VLOOKUP(T81,Base!$C$3:$F$177,4,FALSE),"Lead Logistics")</f>
        <v>Lead Logistics</v>
      </c>
    </row>
    <row r="82" spans="1:21" x14ac:dyDescent="0.35">
      <c r="A82" s="61">
        <v>70000139</v>
      </c>
      <c r="B82" s="25" t="s">
        <v>82</v>
      </c>
      <c r="C82" s="25" t="s">
        <v>304</v>
      </c>
      <c r="D82" s="25" t="s">
        <v>14</v>
      </c>
      <c r="E82" s="25" t="s">
        <v>32</v>
      </c>
      <c r="F82" s="25" t="s">
        <v>305</v>
      </c>
      <c r="G82" s="25" t="s">
        <v>10</v>
      </c>
      <c r="H82" s="25" t="s">
        <v>245</v>
      </c>
      <c r="I82" s="26">
        <v>43360</v>
      </c>
      <c r="J82" s="25" t="s">
        <v>26</v>
      </c>
      <c r="K82" s="26">
        <v>30898</v>
      </c>
      <c r="L82" s="25">
        <f t="shared" ca="1" si="2"/>
        <v>41</v>
      </c>
      <c r="M82" s="25" t="s">
        <v>54</v>
      </c>
      <c r="N82" s="25" t="s">
        <v>86</v>
      </c>
      <c r="O82" s="25">
        <v>4</v>
      </c>
      <c r="P82" s="25" t="s">
        <v>87</v>
      </c>
      <c r="Q82" s="25" t="s">
        <v>506</v>
      </c>
      <c r="R82" s="25" t="s">
        <v>59</v>
      </c>
      <c r="S82" s="25" t="s">
        <v>88</v>
      </c>
      <c r="T82" s="25" t="s">
        <v>101</v>
      </c>
      <c r="U82" s="25" t="str">
        <f>IFERROR(VLOOKUP(T82,Base!$C$3:$F$177,4,FALSE),"Regional Sales Manager")</f>
        <v>Regional Sales Manager</v>
      </c>
    </row>
    <row r="83" spans="1:21" hidden="1" x14ac:dyDescent="0.35">
      <c r="A83" s="7">
        <v>70000144</v>
      </c>
      <c r="B83" s="5" t="s">
        <v>82</v>
      </c>
      <c r="C83" s="5" t="s">
        <v>306</v>
      </c>
      <c r="D83" s="5" t="s">
        <v>14</v>
      </c>
      <c r="E83" s="5" t="s">
        <v>36</v>
      </c>
      <c r="F83" s="5" t="s">
        <v>244</v>
      </c>
      <c r="G83" s="5" t="s">
        <v>10</v>
      </c>
      <c r="H83" s="5" t="s">
        <v>100</v>
      </c>
      <c r="I83" s="6">
        <v>43570</v>
      </c>
      <c r="J83" s="5" t="s">
        <v>26</v>
      </c>
      <c r="K83" s="6">
        <v>32435</v>
      </c>
      <c r="L83" s="5">
        <f t="shared" ca="1" si="2"/>
        <v>37</v>
      </c>
      <c r="M83" s="5" t="s">
        <v>55</v>
      </c>
      <c r="N83" s="5" t="s">
        <v>86</v>
      </c>
      <c r="O83" s="5">
        <v>2</v>
      </c>
      <c r="P83" s="5" t="s">
        <v>87</v>
      </c>
      <c r="Q83" s="5" t="s">
        <v>10</v>
      </c>
      <c r="R83" s="5" t="s">
        <v>59</v>
      </c>
      <c r="S83" s="5" t="s">
        <v>88</v>
      </c>
      <c r="T83" s="25" t="s">
        <v>167</v>
      </c>
      <c r="U83" s="25" t="str">
        <f>IFERROR(VLOOKUP(T83,Base!$C$3:$F$177,4,FALSE),"Regional Sales Manager")</f>
        <v>Senior Regional Sales Consultant Retail &amp; Funa</v>
      </c>
    </row>
    <row r="84" spans="1:21" hidden="1" x14ac:dyDescent="0.35">
      <c r="A84" s="7">
        <v>70000152</v>
      </c>
      <c r="B84" s="5" t="s">
        <v>82</v>
      </c>
      <c r="C84" s="5" t="s">
        <v>307</v>
      </c>
      <c r="D84" s="5" t="s">
        <v>15</v>
      </c>
      <c r="E84" s="5" t="s">
        <v>32</v>
      </c>
      <c r="F84" s="5" t="s">
        <v>308</v>
      </c>
      <c r="G84" s="5" t="s">
        <v>10</v>
      </c>
      <c r="H84" s="5" t="s">
        <v>256</v>
      </c>
      <c r="I84" s="6">
        <v>43647</v>
      </c>
      <c r="J84" s="5" t="s">
        <v>26</v>
      </c>
      <c r="K84" s="6">
        <v>33329</v>
      </c>
      <c r="L84" s="5">
        <f t="shared" ca="1" si="2"/>
        <v>35</v>
      </c>
      <c r="M84" s="5" t="s">
        <v>54</v>
      </c>
      <c r="N84" s="5" t="s">
        <v>86</v>
      </c>
      <c r="O84" s="5">
        <v>1</v>
      </c>
      <c r="P84" s="5" t="s">
        <v>87</v>
      </c>
      <c r="Q84" s="5" t="s">
        <v>10</v>
      </c>
      <c r="R84" s="5" t="s">
        <v>59</v>
      </c>
      <c r="S84" s="5" t="s">
        <v>88</v>
      </c>
      <c r="T84" s="25" t="s">
        <v>149</v>
      </c>
      <c r="U84" s="25" t="str">
        <f>IFERROR(VLOOKUP(T84,Base!$C$3:$F$177,4,FALSE),"Head of Finance")</f>
        <v>Head of Finance</v>
      </c>
    </row>
    <row r="85" spans="1:21" x14ac:dyDescent="0.35">
      <c r="A85" s="61">
        <v>70000155</v>
      </c>
      <c r="B85" s="25" t="s">
        <v>82</v>
      </c>
      <c r="C85" s="25" t="s">
        <v>309</v>
      </c>
      <c r="D85" s="25" t="s">
        <v>21</v>
      </c>
      <c r="E85" s="25" t="s">
        <v>30</v>
      </c>
      <c r="F85" s="25" t="s">
        <v>310</v>
      </c>
      <c r="G85" s="25" t="s">
        <v>9</v>
      </c>
      <c r="H85" s="25" t="s">
        <v>277</v>
      </c>
      <c r="I85" s="26">
        <v>43711</v>
      </c>
      <c r="J85" s="25" t="s">
        <v>27</v>
      </c>
      <c r="K85" s="26">
        <v>34084</v>
      </c>
      <c r="L85" s="25">
        <f t="shared" ca="1" si="2"/>
        <v>33</v>
      </c>
      <c r="M85" s="25" t="s">
        <v>54</v>
      </c>
      <c r="N85" s="25" t="s">
        <v>86</v>
      </c>
      <c r="O85" s="25">
        <v>2</v>
      </c>
      <c r="P85" s="25" t="s">
        <v>87</v>
      </c>
      <c r="Q85" s="25" t="s">
        <v>9</v>
      </c>
      <c r="R85" s="25" t="s">
        <v>59</v>
      </c>
      <c r="S85" s="25" t="s">
        <v>88</v>
      </c>
      <c r="T85" s="25" t="s">
        <v>508</v>
      </c>
      <c r="U85" s="25" t="str">
        <f>IFERROR(VLOOKUP(T85,Base!$C$3:$F$177,4,FALSE),"Customer Excellence Officer")</f>
        <v>Customer Excellence Officer</v>
      </c>
    </row>
    <row r="86" spans="1:21" hidden="1" x14ac:dyDescent="0.35">
      <c r="A86" s="7">
        <v>70000157</v>
      </c>
      <c r="B86" s="5" t="s">
        <v>82</v>
      </c>
      <c r="C86" s="5" t="s">
        <v>311</v>
      </c>
      <c r="D86" s="5" t="s">
        <v>14</v>
      </c>
      <c r="E86" s="5" t="s">
        <v>30</v>
      </c>
      <c r="F86" s="5" t="s">
        <v>312</v>
      </c>
      <c r="G86" s="5" t="s">
        <v>10</v>
      </c>
      <c r="H86" s="5" t="s">
        <v>100</v>
      </c>
      <c r="I86" s="6">
        <v>43752</v>
      </c>
      <c r="J86" s="5" t="s">
        <v>26</v>
      </c>
      <c r="K86" s="6">
        <v>32229</v>
      </c>
      <c r="L86" s="5">
        <f t="shared" ca="1" si="2"/>
        <v>38</v>
      </c>
      <c r="M86" s="5" t="s">
        <v>54</v>
      </c>
      <c r="N86" s="5" t="s">
        <v>86</v>
      </c>
      <c r="O86" s="5">
        <v>0</v>
      </c>
      <c r="P86" s="5" t="s">
        <v>87</v>
      </c>
      <c r="Q86" s="5" t="s">
        <v>10</v>
      </c>
      <c r="R86" s="5" t="s">
        <v>59</v>
      </c>
      <c r="S86" s="5" t="s">
        <v>88</v>
      </c>
      <c r="T86" s="25" t="s">
        <v>243</v>
      </c>
      <c r="U86" s="25" t="str">
        <f>IFERROR(VLOOKUP(T86,Base!$C$3:$F$177,4,FALSE),"Senior Sales Consultant")</f>
        <v>Senior Regional Sales Consultant</v>
      </c>
    </row>
    <row r="87" spans="1:21" hidden="1" x14ac:dyDescent="0.35">
      <c r="A87" s="7">
        <v>70000159</v>
      </c>
      <c r="B87" s="5" t="s">
        <v>82</v>
      </c>
      <c r="C87" s="5" t="s">
        <v>313</v>
      </c>
      <c r="D87" s="5" t="s">
        <v>14</v>
      </c>
      <c r="E87" s="5" t="s">
        <v>31</v>
      </c>
      <c r="F87" s="5" t="s">
        <v>314</v>
      </c>
      <c r="G87" s="5" t="s">
        <v>10</v>
      </c>
      <c r="H87" s="5" t="s">
        <v>272</v>
      </c>
      <c r="I87" s="6">
        <v>43831</v>
      </c>
      <c r="J87" s="5" t="s">
        <v>26</v>
      </c>
      <c r="K87" s="6">
        <v>27164</v>
      </c>
      <c r="L87" s="5">
        <f t="shared" ca="1" si="2"/>
        <v>52</v>
      </c>
      <c r="M87" s="5" t="s">
        <v>54</v>
      </c>
      <c r="N87" s="5" t="s">
        <v>86</v>
      </c>
      <c r="O87" s="5">
        <v>2</v>
      </c>
      <c r="P87" s="5" t="s">
        <v>87</v>
      </c>
      <c r="Q87" s="5" t="s">
        <v>10</v>
      </c>
      <c r="R87" s="5" t="s">
        <v>59</v>
      </c>
      <c r="S87" s="5" t="s">
        <v>88</v>
      </c>
      <c r="T87" s="25" t="s">
        <v>303</v>
      </c>
      <c r="U87" s="25" t="str">
        <f>IFERROR(VLOOKUP(T87,Base!$C$3:$F$177,4,FALSE),"Procurement Manager")</f>
        <v>Procurement Manager</v>
      </c>
    </row>
    <row r="88" spans="1:21" x14ac:dyDescent="0.35">
      <c r="A88" s="61">
        <v>70000164</v>
      </c>
      <c r="B88" s="25" t="s">
        <v>82</v>
      </c>
      <c r="C88" s="25" t="s">
        <v>315</v>
      </c>
      <c r="D88" s="25" t="s">
        <v>21</v>
      </c>
      <c r="E88" s="25" t="s">
        <v>30</v>
      </c>
      <c r="F88" s="25" t="s">
        <v>296</v>
      </c>
      <c r="G88" s="25" t="s">
        <v>9</v>
      </c>
      <c r="H88" s="25" t="s">
        <v>277</v>
      </c>
      <c r="I88" s="26">
        <v>44046</v>
      </c>
      <c r="J88" s="25" t="s">
        <v>26</v>
      </c>
      <c r="K88" s="26">
        <v>24105</v>
      </c>
      <c r="L88" s="25">
        <f t="shared" ca="1" si="2"/>
        <v>60</v>
      </c>
      <c r="M88" s="25" t="s">
        <v>54</v>
      </c>
      <c r="N88" s="25" t="s">
        <v>86</v>
      </c>
      <c r="O88" s="25">
        <v>1</v>
      </c>
      <c r="P88" s="25" t="s">
        <v>87</v>
      </c>
      <c r="Q88" s="25" t="s">
        <v>9</v>
      </c>
      <c r="R88" s="25" t="s">
        <v>59</v>
      </c>
      <c r="S88" s="25" t="s">
        <v>88</v>
      </c>
      <c r="T88" s="25" t="s">
        <v>508</v>
      </c>
      <c r="U88" s="25" t="str">
        <f>IFERROR(VLOOKUP(T88,Base!$C$3:$F$177,4,FALSE),"Customer Relationship Officer")</f>
        <v>Customer Relationship Officer</v>
      </c>
    </row>
    <row r="89" spans="1:21" x14ac:dyDescent="0.35">
      <c r="A89" s="61">
        <v>70000171</v>
      </c>
      <c r="B89" s="25" t="s">
        <v>82</v>
      </c>
      <c r="C89" s="25" t="s">
        <v>316</v>
      </c>
      <c r="D89" s="25" t="s">
        <v>17</v>
      </c>
      <c r="E89" s="25" t="s">
        <v>35</v>
      </c>
      <c r="F89" s="25" t="s">
        <v>195</v>
      </c>
      <c r="G89" s="25" t="s">
        <v>9</v>
      </c>
      <c r="H89" s="25" t="s">
        <v>127</v>
      </c>
      <c r="I89" s="26">
        <v>44059</v>
      </c>
      <c r="J89" s="25" t="s">
        <v>26</v>
      </c>
      <c r="K89" s="26">
        <v>32111</v>
      </c>
      <c r="L89" s="25">
        <f t="shared" ca="1" si="2"/>
        <v>38</v>
      </c>
      <c r="M89" s="25" t="s">
        <v>54</v>
      </c>
      <c r="N89" s="25" t="s">
        <v>86</v>
      </c>
      <c r="O89" s="25">
        <v>1</v>
      </c>
      <c r="P89" s="25" t="s">
        <v>87</v>
      </c>
      <c r="Q89" s="25" t="s">
        <v>9</v>
      </c>
      <c r="R89" s="25" t="s">
        <v>59</v>
      </c>
      <c r="S89" s="25" t="s">
        <v>88</v>
      </c>
      <c r="T89" s="25" t="s">
        <v>317</v>
      </c>
      <c r="U89" s="25" t="str">
        <f>IFERROR(VLOOKUP(T89,Base!$C$3:$F$177,4,FALSE),"Shift Supervisor")</f>
        <v>Shift Supervisor</v>
      </c>
    </row>
    <row r="90" spans="1:21" hidden="1" x14ac:dyDescent="0.35">
      <c r="A90" s="7">
        <v>70000175</v>
      </c>
      <c r="B90" s="5" t="s">
        <v>82</v>
      </c>
      <c r="C90" s="5" t="s">
        <v>318</v>
      </c>
      <c r="D90" s="5" t="s">
        <v>15</v>
      </c>
      <c r="E90" s="5" t="s">
        <v>30</v>
      </c>
      <c r="F90" s="5" t="s">
        <v>319</v>
      </c>
      <c r="G90" s="5" t="s">
        <v>10</v>
      </c>
      <c r="H90" s="5" t="s">
        <v>96</v>
      </c>
      <c r="I90" s="6">
        <v>44105</v>
      </c>
      <c r="J90" s="5" t="s">
        <v>26</v>
      </c>
      <c r="K90" s="6">
        <v>28866</v>
      </c>
      <c r="L90" s="5">
        <f t="shared" ca="1" si="2"/>
        <v>47</v>
      </c>
      <c r="M90" s="5" t="s">
        <v>54</v>
      </c>
      <c r="N90" s="5" t="s">
        <v>86</v>
      </c>
      <c r="O90" s="5">
        <v>4</v>
      </c>
      <c r="P90" s="5" t="s">
        <v>87</v>
      </c>
      <c r="Q90" s="5" t="s">
        <v>10</v>
      </c>
      <c r="R90" s="5" t="s">
        <v>59</v>
      </c>
      <c r="S90" s="5" t="s">
        <v>88</v>
      </c>
      <c r="T90" s="25" t="s">
        <v>113</v>
      </c>
      <c r="U90" s="25" t="str">
        <f>IFERROR(VLOOKUP(T90,Base!$C$3:$F$177,4,FALSE),"Head of HR")</f>
        <v>Head of HR</v>
      </c>
    </row>
    <row r="91" spans="1:21" hidden="1" x14ac:dyDescent="0.35">
      <c r="A91" s="7">
        <v>70000176</v>
      </c>
      <c r="B91" s="5" t="s">
        <v>82</v>
      </c>
      <c r="C91" s="5" t="s">
        <v>320</v>
      </c>
      <c r="D91" s="5" t="s">
        <v>15</v>
      </c>
      <c r="E91" s="5" t="s">
        <v>34</v>
      </c>
      <c r="F91" s="5" t="s">
        <v>95</v>
      </c>
      <c r="G91" s="5" t="s">
        <v>10</v>
      </c>
      <c r="H91" s="5" t="s">
        <v>96</v>
      </c>
      <c r="I91" s="6">
        <v>44105</v>
      </c>
      <c r="J91" s="5" t="s">
        <v>26</v>
      </c>
      <c r="K91" s="6">
        <v>28062</v>
      </c>
      <c r="L91" s="5">
        <f t="shared" ca="1" si="2"/>
        <v>49</v>
      </c>
      <c r="M91" s="5" t="s">
        <v>54</v>
      </c>
      <c r="N91" s="5" t="s">
        <v>86</v>
      </c>
      <c r="O91" s="5">
        <v>6</v>
      </c>
      <c r="P91" s="5" t="s">
        <v>87</v>
      </c>
      <c r="Q91" s="5" t="s">
        <v>10</v>
      </c>
      <c r="R91" s="5" t="s">
        <v>59</v>
      </c>
      <c r="S91" s="5" t="s">
        <v>88</v>
      </c>
      <c r="T91" s="25" t="s">
        <v>97</v>
      </c>
      <c r="U91" s="25" t="str">
        <f>IFERROR(VLOOKUP(T91,Base!$C$3:$F$177,4,FALSE),"Facilities coordinator and adm (HQ)")</f>
        <v>Facilities coordinator and adm (HQ)</v>
      </c>
    </row>
    <row r="92" spans="1:21" hidden="1" x14ac:dyDescent="0.35">
      <c r="A92" s="7">
        <v>70000177</v>
      </c>
      <c r="B92" s="5" t="s">
        <v>82</v>
      </c>
      <c r="C92" s="5" t="s">
        <v>321</v>
      </c>
      <c r="D92" s="5" t="s">
        <v>15</v>
      </c>
      <c r="E92" s="5" t="s">
        <v>33</v>
      </c>
      <c r="F92" s="5" t="s">
        <v>322</v>
      </c>
      <c r="G92" s="5" t="s">
        <v>10</v>
      </c>
      <c r="H92" s="5" t="s">
        <v>323</v>
      </c>
      <c r="I92" s="6">
        <v>44105</v>
      </c>
      <c r="J92" s="5" t="s">
        <v>26</v>
      </c>
      <c r="K92" s="6">
        <v>30120</v>
      </c>
      <c r="L92" s="5">
        <f t="shared" ca="1" si="2"/>
        <v>44</v>
      </c>
      <c r="M92" s="5" t="s">
        <v>54</v>
      </c>
      <c r="N92" s="5" t="s">
        <v>86</v>
      </c>
      <c r="O92" s="5">
        <v>3</v>
      </c>
      <c r="P92" s="5" t="s">
        <v>87</v>
      </c>
      <c r="Q92" s="5" t="s">
        <v>9</v>
      </c>
      <c r="R92" s="5" t="s">
        <v>59</v>
      </c>
      <c r="S92" s="5" t="s">
        <v>88</v>
      </c>
      <c r="T92" s="25" t="s">
        <v>113</v>
      </c>
      <c r="U92" s="25" t="str">
        <f>IFERROR(VLOOKUP(T92,Base!$C$3:$F$177,4,FALSE),"Head of HR")</f>
        <v>Head of HR</v>
      </c>
    </row>
    <row r="93" spans="1:21" hidden="1" x14ac:dyDescent="0.35">
      <c r="A93" s="7">
        <v>70000178</v>
      </c>
      <c r="B93" s="5" t="s">
        <v>82</v>
      </c>
      <c r="C93" s="5" t="s">
        <v>324</v>
      </c>
      <c r="D93" s="5" t="s">
        <v>14</v>
      </c>
      <c r="E93" s="5" t="s">
        <v>37</v>
      </c>
      <c r="F93" s="5" t="s">
        <v>325</v>
      </c>
      <c r="G93" s="5" t="s">
        <v>10</v>
      </c>
      <c r="H93" s="5" t="s">
        <v>326</v>
      </c>
      <c r="I93" s="6">
        <v>44102</v>
      </c>
      <c r="J93" s="5" t="s">
        <v>26</v>
      </c>
      <c r="K93" s="6">
        <v>31598</v>
      </c>
      <c r="L93" s="5">
        <f t="shared" ca="1" si="2"/>
        <v>40</v>
      </c>
      <c r="M93" s="5" t="s">
        <v>54</v>
      </c>
      <c r="N93" s="5" t="s">
        <v>86</v>
      </c>
      <c r="O93" s="5">
        <v>5</v>
      </c>
      <c r="P93" s="5" t="s">
        <v>87</v>
      </c>
      <c r="Q93" s="5" t="s">
        <v>10</v>
      </c>
      <c r="R93" s="5" t="s">
        <v>59</v>
      </c>
      <c r="S93" s="5" t="s">
        <v>88</v>
      </c>
      <c r="T93" s="25" t="s">
        <v>327</v>
      </c>
      <c r="U93" s="25" t="str">
        <f>IFERROR(VLOOKUP(T93,Base!$C$3:$F$177,4,FALSE),"Marketing Manager")</f>
        <v>Marketing Manager</v>
      </c>
    </row>
    <row r="94" spans="1:21" hidden="1" x14ac:dyDescent="0.35">
      <c r="A94" s="7">
        <v>70000179</v>
      </c>
      <c r="B94" s="5" t="s">
        <v>82</v>
      </c>
      <c r="C94" s="5" t="s">
        <v>329</v>
      </c>
      <c r="D94" s="5" t="s">
        <v>14</v>
      </c>
      <c r="E94" s="5" t="s">
        <v>33</v>
      </c>
      <c r="F94" s="5" t="s">
        <v>201</v>
      </c>
      <c r="G94" s="5" t="s">
        <v>10</v>
      </c>
      <c r="H94" s="5" t="s">
        <v>199</v>
      </c>
      <c r="I94" s="6">
        <v>44123</v>
      </c>
      <c r="J94" s="5" t="s">
        <v>27</v>
      </c>
      <c r="K94" s="6">
        <v>31542</v>
      </c>
      <c r="L94" s="5">
        <f t="shared" ca="1" si="2"/>
        <v>40</v>
      </c>
      <c r="M94" s="5" t="s">
        <v>54</v>
      </c>
      <c r="N94" s="5" t="s">
        <v>153</v>
      </c>
      <c r="O94" s="5">
        <v>0</v>
      </c>
      <c r="P94" s="5" t="s">
        <v>87</v>
      </c>
      <c r="Q94" s="5" t="s">
        <v>10</v>
      </c>
      <c r="R94" s="5" t="s">
        <v>59</v>
      </c>
      <c r="S94" s="5" t="s">
        <v>88</v>
      </c>
      <c r="T94" s="25" t="s">
        <v>176</v>
      </c>
      <c r="U94" s="25" t="str">
        <f>IFERROR(VLOOKUP(T94,Base!$C$3:$F$177,4,FALSE),"Managing Director")</f>
        <v>Managing Director</v>
      </c>
    </row>
    <row r="95" spans="1:21" hidden="1" x14ac:dyDescent="0.35">
      <c r="A95" s="7">
        <v>70000180</v>
      </c>
      <c r="B95" s="5" t="s">
        <v>82</v>
      </c>
      <c r="C95" s="5" t="s">
        <v>330</v>
      </c>
      <c r="D95" s="5" t="s">
        <v>15</v>
      </c>
      <c r="E95" s="5" t="s">
        <v>41</v>
      </c>
      <c r="F95" s="5" t="s">
        <v>331</v>
      </c>
      <c r="G95" s="5" t="s">
        <v>10</v>
      </c>
      <c r="H95" s="5" t="s">
        <v>332</v>
      </c>
      <c r="I95" s="6">
        <v>44120</v>
      </c>
      <c r="J95" s="5" t="s">
        <v>26</v>
      </c>
      <c r="K95" s="6">
        <v>29501</v>
      </c>
      <c r="L95" s="5">
        <f t="shared" ca="1" si="2"/>
        <v>45</v>
      </c>
      <c r="M95" s="5" t="s">
        <v>54</v>
      </c>
      <c r="N95" s="5" t="s">
        <v>86</v>
      </c>
      <c r="O95" s="5">
        <v>1</v>
      </c>
      <c r="P95" s="5" t="s">
        <v>87</v>
      </c>
      <c r="Q95" s="5" t="s">
        <v>10</v>
      </c>
      <c r="R95" s="5" t="s">
        <v>59</v>
      </c>
      <c r="S95" s="5" t="s">
        <v>88</v>
      </c>
      <c r="T95" s="25" t="s">
        <v>176</v>
      </c>
      <c r="U95" s="25" t="str">
        <f>IFERROR(VLOOKUP(T95,Base!$C$3:$F$177,4,FALSE),"Managing Director")</f>
        <v>Managing Director</v>
      </c>
    </row>
    <row r="96" spans="1:21" hidden="1" x14ac:dyDescent="0.35">
      <c r="A96" s="7">
        <v>70000184</v>
      </c>
      <c r="B96" s="5" t="s">
        <v>82</v>
      </c>
      <c r="C96" s="5" t="s">
        <v>333</v>
      </c>
      <c r="D96" s="5" t="s">
        <v>15</v>
      </c>
      <c r="E96" s="5" t="s">
        <v>33</v>
      </c>
      <c r="F96" s="5" t="s">
        <v>334</v>
      </c>
      <c r="G96" s="5" t="s">
        <v>10</v>
      </c>
      <c r="H96" s="5" t="s">
        <v>335</v>
      </c>
      <c r="I96" s="6">
        <v>44166</v>
      </c>
      <c r="J96" s="5" t="s">
        <v>26</v>
      </c>
      <c r="K96" s="6">
        <v>31590</v>
      </c>
      <c r="L96" s="5">
        <f t="shared" ca="1" si="2"/>
        <v>40</v>
      </c>
      <c r="M96" s="5" t="s">
        <v>54</v>
      </c>
      <c r="N96" s="5" t="s">
        <v>86</v>
      </c>
      <c r="O96" s="5">
        <v>2</v>
      </c>
      <c r="P96" s="5" t="s">
        <v>87</v>
      </c>
      <c r="Q96" s="5" t="s">
        <v>10</v>
      </c>
      <c r="R96" s="5" t="s">
        <v>59</v>
      </c>
      <c r="S96" s="5" t="s">
        <v>88</v>
      </c>
      <c r="T96" s="25" t="s">
        <v>149</v>
      </c>
      <c r="U96" s="25" t="str">
        <f>IFERROR(VLOOKUP(T96,Base!$C$3:$F$177,4,FALSE),"Head of Finance")</f>
        <v>Head of Finance</v>
      </c>
    </row>
    <row r="97" spans="1:21" hidden="1" x14ac:dyDescent="0.35">
      <c r="A97" s="7">
        <v>70000185</v>
      </c>
      <c r="B97" s="5" t="s">
        <v>82</v>
      </c>
      <c r="C97" s="5" t="s">
        <v>336</v>
      </c>
      <c r="D97" s="5" t="s">
        <v>14</v>
      </c>
      <c r="E97" s="5" t="s">
        <v>40</v>
      </c>
      <c r="F97" s="5" t="s">
        <v>337</v>
      </c>
      <c r="G97" s="5" t="s">
        <v>10</v>
      </c>
      <c r="H97" s="5" t="s">
        <v>272</v>
      </c>
      <c r="I97" s="6">
        <v>44172</v>
      </c>
      <c r="J97" s="5" t="s">
        <v>26</v>
      </c>
      <c r="K97" s="6">
        <v>27867</v>
      </c>
      <c r="L97" s="5">
        <f t="shared" ca="1" si="2"/>
        <v>50</v>
      </c>
      <c r="M97" s="5" t="s">
        <v>54</v>
      </c>
      <c r="N97" s="5" t="s">
        <v>86</v>
      </c>
      <c r="O97" s="5">
        <v>3</v>
      </c>
      <c r="P97" s="5" t="s">
        <v>87</v>
      </c>
      <c r="Q97" s="5" t="s">
        <v>10</v>
      </c>
      <c r="R97" s="5" t="s">
        <v>59</v>
      </c>
      <c r="S97" s="5" t="s">
        <v>88</v>
      </c>
      <c r="T97" s="25" t="s">
        <v>176</v>
      </c>
      <c r="U97" s="25" t="str">
        <f>IFERROR(VLOOKUP(T97,Base!$C$3:$F$177,4,FALSE),"Managing Director")</f>
        <v>Managing Director</v>
      </c>
    </row>
    <row r="98" spans="1:21" hidden="1" x14ac:dyDescent="0.35">
      <c r="A98" s="7">
        <v>70000186</v>
      </c>
      <c r="B98" s="5" t="s">
        <v>82</v>
      </c>
      <c r="C98" s="5" t="s">
        <v>338</v>
      </c>
      <c r="D98" s="5" t="s">
        <v>14</v>
      </c>
      <c r="E98" s="5" t="s">
        <v>39</v>
      </c>
      <c r="F98" s="5" t="s">
        <v>339</v>
      </c>
      <c r="G98" s="5" t="s">
        <v>10</v>
      </c>
      <c r="H98" s="5" t="s">
        <v>340</v>
      </c>
      <c r="I98" s="6">
        <v>44228</v>
      </c>
      <c r="J98" s="5" t="s">
        <v>27</v>
      </c>
      <c r="K98" s="6">
        <v>32273</v>
      </c>
      <c r="L98" s="5">
        <f t="shared" ca="1" si="2"/>
        <v>38</v>
      </c>
      <c r="M98" s="5" t="s">
        <v>54</v>
      </c>
      <c r="N98" s="5" t="s">
        <v>153</v>
      </c>
      <c r="O98" s="5">
        <v>0</v>
      </c>
      <c r="P98" s="5" t="s">
        <v>87</v>
      </c>
      <c r="Q98" s="5" t="s">
        <v>10</v>
      </c>
      <c r="R98" s="5" t="s">
        <v>59</v>
      </c>
      <c r="S98" s="5" t="s">
        <v>88</v>
      </c>
      <c r="T98" s="25" t="s">
        <v>341</v>
      </c>
      <c r="U98" s="25" t="str">
        <f>IFERROR(VLOOKUP(T98,Base!$C$3:$F$177,4,FALSE),"Lead Logistics")</f>
        <v>Lead Logistics</v>
      </c>
    </row>
    <row r="99" spans="1:21" hidden="1" x14ac:dyDescent="0.35">
      <c r="A99" s="7">
        <v>70000187</v>
      </c>
      <c r="B99" s="5" t="s">
        <v>82</v>
      </c>
      <c r="C99" s="5" t="s">
        <v>342</v>
      </c>
      <c r="D99" s="5" t="s">
        <v>14</v>
      </c>
      <c r="E99" s="5" t="s">
        <v>32</v>
      </c>
      <c r="F99" s="5" t="s">
        <v>343</v>
      </c>
      <c r="G99" s="5" t="s">
        <v>10</v>
      </c>
      <c r="H99" s="5" t="s">
        <v>340</v>
      </c>
      <c r="I99" s="6">
        <v>44228</v>
      </c>
      <c r="J99" s="5" t="s">
        <v>26</v>
      </c>
      <c r="K99" s="6">
        <v>31685</v>
      </c>
      <c r="L99" s="5">
        <f t="shared" ref="L99:L130" ca="1" si="3">DATEDIF(K99,TODAY(),"Y")</f>
        <v>39</v>
      </c>
      <c r="M99" s="5" t="s">
        <v>54</v>
      </c>
      <c r="N99" s="5" t="s">
        <v>153</v>
      </c>
      <c r="O99" s="5">
        <v>0</v>
      </c>
      <c r="P99" s="5" t="s">
        <v>87</v>
      </c>
      <c r="Q99" s="5" t="s">
        <v>507</v>
      </c>
      <c r="R99" s="5" t="s">
        <v>59</v>
      </c>
      <c r="S99" s="5" t="s">
        <v>88</v>
      </c>
      <c r="T99" s="25" t="s">
        <v>344</v>
      </c>
      <c r="U99" s="25" t="str">
        <f>IFERROR(VLOOKUP(T99,Base!$C$3:$F$177,4,FALSE),"Transport &amp; Transit Manager")</f>
        <v>Transport &amp; Transit Manager</v>
      </c>
    </row>
    <row r="100" spans="1:21" x14ac:dyDescent="0.35">
      <c r="A100" s="61">
        <v>70000191</v>
      </c>
      <c r="B100" s="25" t="s">
        <v>82</v>
      </c>
      <c r="C100" s="25" t="s">
        <v>345</v>
      </c>
      <c r="D100" s="25" t="s">
        <v>16</v>
      </c>
      <c r="E100" s="25" t="s">
        <v>32</v>
      </c>
      <c r="F100" s="25" t="s">
        <v>346</v>
      </c>
      <c r="G100" s="25" t="s">
        <v>9</v>
      </c>
      <c r="H100" s="25" t="s">
        <v>152</v>
      </c>
      <c r="I100" s="26">
        <v>44270</v>
      </c>
      <c r="J100" s="25" t="s">
        <v>26</v>
      </c>
      <c r="K100" s="26">
        <v>31626</v>
      </c>
      <c r="L100" s="25">
        <f t="shared" ca="1" si="3"/>
        <v>39</v>
      </c>
      <c r="M100" s="25" t="s">
        <v>54</v>
      </c>
      <c r="N100" s="25" t="s">
        <v>86</v>
      </c>
      <c r="O100" s="25">
        <v>0</v>
      </c>
      <c r="P100" s="25" t="s">
        <v>87</v>
      </c>
      <c r="Q100" s="25" t="s">
        <v>9</v>
      </c>
      <c r="R100" s="25" t="s">
        <v>59</v>
      </c>
      <c r="S100" s="25" t="s">
        <v>88</v>
      </c>
      <c r="T100" s="25" t="s">
        <v>154</v>
      </c>
      <c r="U100" s="25" t="str">
        <f>IFERROR(VLOOKUP(T100,Base!$C$3:$F$177,4,FALSE),"Engineering Manager")</f>
        <v>Engineering Manager</v>
      </c>
    </row>
    <row r="101" spans="1:21" hidden="1" x14ac:dyDescent="0.35">
      <c r="A101" s="7">
        <v>70000200</v>
      </c>
      <c r="B101" s="5" t="s">
        <v>82</v>
      </c>
      <c r="C101" s="5" t="s">
        <v>347</v>
      </c>
      <c r="D101" s="5" t="s">
        <v>15</v>
      </c>
      <c r="E101" s="5" t="s">
        <v>32</v>
      </c>
      <c r="F101" s="5" t="s">
        <v>348</v>
      </c>
      <c r="G101" s="5" t="s">
        <v>10</v>
      </c>
      <c r="H101" s="5" t="s">
        <v>349</v>
      </c>
      <c r="I101" s="6">
        <v>44298</v>
      </c>
      <c r="J101" s="5" t="s">
        <v>27</v>
      </c>
      <c r="K101" s="6">
        <v>32406</v>
      </c>
      <c r="L101" s="5">
        <f t="shared" ca="1" si="3"/>
        <v>37</v>
      </c>
      <c r="M101" s="5" t="s">
        <v>54</v>
      </c>
      <c r="N101" s="5" t="s">
        <v>86</v>
      </c>
      <c r="O101" s="5">
        <v>0</v>
      </c>
      <c r="P101" s="5" t="s">
        <v>87</v>
      </c>
      <c r="Q101" s="5" t="s">
        <v>10</v>
      </c>
      <c r="R101" s="5" t="s">
        <v>59</v>
      </c>
      <c r="S101" s="5" t="s">
        <v>88</v>
      </c>
      <c r="T101" s="25" t="s">
        <v>176</v>
      </c>
      <c r="U101" s="25" t="str">
        <f>IFERROR(VLOOKUP(T101,Base!$C$3:$F$177,4,FALSE),"Managing Director")</f>
        <v>Managing Director</v>
      </c>
    </row>
    <row r="102" spans="1:21" hidden="1" x14ac:dyDescent="0.35">
      <c r="A102" s="7">
        <v>70000203</v>
      </c>
      <c r="B102" s="5" t="s">
        <v>82</v>
      </c>
      <c r="C102" s="5" t="s">
        <v>350</v>
      </c>
      <c r="D102" s="5" t="s">
        <v>18</v>
      </c>
      <c r="E102" s="5" t="s">
        <v>41</v>
      </c>
      <c r="F102" s="5" t="s">
        <v>351</v>
      </c>
      <c r="G102" s="5" t="s">
        <v>11</v>
      </c>
      <c r="H102" s="5" t="s">
        <v>352</v>
      </c>
      <c r="I102" s="6">
        <v>44301</v>
      </c>
      <c r="J102" s="5" t="s">
        <v>26</v>
      </c>
      <c r="K102" s="6">
        <v>29891</v>
      </c>
      <c r="L102" s="5">
        <f t="shared" ca="1" si="3"/>
        <v>44</v>
      </c>
      <c r="M102" s="5" t="s">
        <v>56</v>
      </c>
      <c r="N102" s="5" t="s">
        <v>86</v>
      </c>
      <c r="O102" s="5">
        <v>2</v>
      </c>
      <c r="P102" s="5" t="s">
        <v>87</v>
      </c>
      <c r="Q102" s="5" t="s">
        <v>10</v>
      </c>
      <c r="R102" s="5" t="s">
        <v>59</v>
      </c>
      <c r="S102" s="5" t="s">
        <v>88</v>
      </c>
      <c r="T102" s="25" t="s">
        <v>176</v>
      </c>
      <c r="U102" s="25" t="str">
        <f>IFERROR(VLOOKUP(T102,Base!$C$3:$F$177,4,FALSE),"Managing Director")</f>
        <v>Managing Director</v>
      </c>
    </row>
    <row r="103" spans="1:21" x14ac:dyDescent="0.35">
      <c r="A103" s="61">
        <v>70000204</v>
      </c>
      <c r="B103" s="25" t="s">
        <v>102</v>
      </c>
      <c r="C103" s="25" t="s">
        <v>353</v>
      </c>
      <c r="D103" s="25" t="s">
        <v>104</v>
      </c>
      <c r="E103" s="25" t="s">
        <v>37</v>
      </c>
      <c r="F103" s="25" t="s">
        <v>290</v>
      </c>
      <c r="G103" s="25" t="s">
        <v>9</v>
      </c>
      <c r="H103" s="25" t="s">
        <v>249</v>
      </c>
      <c r="I103" s="26">
        <v>44319</v>
      </c>
      <c r="J103" s="25" t="s">
        <v>26</v>
      </c>
      <c r="K103" s="26">
        <v>28290</v>
      </c>
      <c r="L103" s="25">
        <f t="shared" ca="1" si="3"/>
        <v>49</v>
      </c>
      <c r="M103" s="25" t="s">
        <v>54</v>
      </c>
      <c r="N103" s="25" t="s">
        <v>86</v>
      </c>
      <c r="O103" s="25">
        <v>1</v>
      </c>
      <c r="P103" s="25" t="s">
        <v>87</v>
      </c>
      <c r="Q103" s="25" t="s">
        <v>9</v>
      </c>
      <c r="R103" s="25" t="s">
        <v>59</v>
      </c>
      <c r="S103" s="25" t="s">
        <v>88</v>
      </c>
      <c r="T103" s="25" t="s">
        <v>354</v>
      </c>
      <c r="U103" s="25" t="str">
        <f>IFERROR(VLOOKUP(T103,Base!$C$3:$F$177,4,FALSE),"Mining manager")</f>
        <v>Mining manager</v>
      </c>
    </row>
    <row r="104" spans="1:21" x14ac:dyDescent="0.35">
      <c r="A104" s="61">
        <v>70000205</v>
      </c>
      <c r="B104" s="25" t="s">
        <v>82</v>
      </c>
      <c r="C104" s="25" t="s">
        <v>355</v>
      </c>
      <c r="D104" s="25" t="s">
        <v>21</v>
      </c>
      <c r="E104" s="25" t="s">
        <v>35</v>
      </c>
      <c r="F104" s="25" t="s">
        <v>276</v>
      </c>
      <c r="G104" s="25" t="s">
        <v>9</v>
      </c>
      <c r="H104" s="25" t="s">
        <v>277</v>
      </c>
      <c r="I104" s="26">
        <v>44348</v>
      </c>
      <c r="J104" s="25" t="s">
        <v>26</v>
      </c>
      <c r="K104" s="26">
        <v>33390</v>
      </c>
      <c r="L104" s="25">
        <f t="shared" ca="1" si="3"/>
        <v>35</v>
      </c>
      <c r="M104" s="25" t="s">
        <v>54</v>
      </c>
      <c r="N104" s="25" t="s">
        <v>153</v>
      </c>
      <c r="O104" s="25">
        <v>0</v>
      </c>
      <c r="P104" s="25" t="s">
        <v>87</v>
      </c>
      <c r="Q104" s="25" t="s">
        <v>9</v>
      </c>
      <c r="R104" s="25" t="s">
        <v>59</v>
      </c>
      <c r="S104" s="25" t="s">
        <v>88</v>
      </c>
      <c r="T104" s="25" t="s">
        <v>327</v>
      </c>
      <c r="U104" s="25" t="str">
        <f>IFERROR(VLOOKUP(T104,Base!$C$3:$F$177,4,FALSE),"Marketing Manager")</f>
        <v>Marketing Manager</v>
      </c>
    </row>
    <row r="105" spans="1:21" hidden="1" x14ac:dyDescent="0.35">
      <c r="A105" s="7">
        <v>70000206</v>
      </c>
      <c r="B105" s="5" t="s">
        <v>82</v>
      </c>
      <c r="C105" s="5" t="s">
        <v>356</v>
      </c>
      <c r="D105" s="5" t="s">
        <v>14</v>
      </c>
      <c r="E105" s="5" t="s">
        <v>33</v>
      </c>
      <c r="F105" s="5" t="s">
        <v>357</v>
      </c>
      <c r="G105" s="5" t="s">
        <v>10</v>
      </c>
      <c r="H105" s="5" t="s">
        <v>272</v>
      </c>
      <c r="I105" s="6">
        <v>44368</v>
      </c>
      <c r="J105" s="5" t="s">
        <v>26</v>
      </c>
      <c r="K105" s="6">
        <v>29730</v>
      </c>
      <c r="L105" s="5">
        <f t="shared" ca="1" si="3"/>
        <v>45</v>
      </c>
      <c r="M105" s="5" t="s">
        <v>54</v>
      </c>
      <c r="N105" s="5" t="s">
        <v>153</v>
      </c>
      <c r="O105" s="5">
        <v>2</v>
      </c>
      <c r="P105" s="5" t="s">
        <v>87</v>
      </c>
      <c r="Q105" s="5" t="s">
        <v>10</v>
      </c>
      <c r="R105" s="5" t="s">
        <v>59</v>
      </c>
      <c r="S105" s="5" t="s">
        <v>88</v>
      </c>
      <c r="T105" s="25" t="s">
        <v>176</v>
      </c>
      <c r="U105" s="25" t="str">
        <f>IFERROR(VLOOKUP(T105,Base!$C$3:$F$177,4,FALSE),"Managing Director")</f>
        <v>Managing Director</v>
      </c>
    </row>
    <row r="106" spans="1:21" x14ac:dyDescent="0.35">
      <c r="A106" s="61">
        <v>70000208</v>
      </c>
      <c r="B106" s="25" t="s">
        <v>102</v>
      </c>
      <c r="C106" s="25" t="s">
        <v>358</v>
      </c>
      <c r="D106" s="25" t="s">
        <v>24</v>
      </c>
      <c r="E106" s="25" t="s">
        <v>33</v>
      </c>
      <c r="F106" s="25" t="s">
        <v>258</v>
      </c>
      <c r="G106" s="25" t="s">
        <v>10</v>
      </c>
      <c r="H106" s="25" t="s">
        <v>249</v>
      </c>
      <c r="I106" s="26">
        <v>44424</v>
      </c>
      <c r="J106" s="25" t="s">
        <v>26</v>
      </c>
      <c r="K106" s="26">
        <v>33139</v>
      </c>
      <c r="L106" s="25">
        <f t="shared" ca="1" si="3"/>
        <v>35</v>
      </c>
      <c r="M106" s="25" t="s">
        <v>58</v>
      </c>
      <c r="N106" s="25" t="s">
        <v>153</v>
      </c>
      <c r="O106" s="25">
        <v>0</v>
      </c>
      <c r="P106" s="25" t="s">
        <v>87</v>
      </c>
      <c r="Q106" s="25" t="s">
        <v>10</v>
      </c>
      <c r="R106" s="25" t="s">
        <v>59</v>
      </c>
      <c r="S106" s="25" t="s">
        <v>88</v>
      </c>
      <c r="T106" s="25" t="s">
        <v>149</v>
      </c>
      <c r="U106" s="25" t="str">
        <f>IFERROR(VLOOKUP(T106,Base!$C$3:$F$177,4,FALSE),"Head of Finance")</f>
        <v>Head of Finance</v>
      </c>
    </row>
    <row r="107" spans="1:21" x14ac:dyDescent="0.35">
      <c r="A107" s="61">
        <v>70000210</v>
      </c>
      <c r="B107" s="25" t="s">
        <v>82</v>
      </c>
      <c r="C107" s="25" t="s">
        <v>359</v>
      </c>
      <c r="D107" s="25" t="s">
        <v>19</v>
      </c>
      <c r="E107" s="25" t="s">
        <v>30</v>
      </c>
      <c r="F107" s="25" t="s">
        <v>211</v>
      </c>
      <c r="G107" s="25" t="s">
        <v>9</v>
      </c>
      <c r="H107" s="25" t="s">
        <v>172</v>
      </c>
      <c r="I107" s="26">
        <v>44409</v>
      </c>
      <c r="J107" s="25" t="s">
        <v>26</v>
      </c>
      <c r="K107" s="26">
        <v>33256</v>
      </c>
      <c r="L107" s="25">
        <f t="shared" ca="1" si="3"/>
        <v>35</v>
      </c>
      <c r="M107" s="25" t="s">
        <v>54</v>
      </c>
      <c r="N107" s="25" t="s">
        <v>86</v>
      </c>
      <c r="O107" s="25">
        <v>0</v>
      </c>
      <c r="P107" s="25" t="s">
        <v>87</v>
      </c>
      <c r="Q107" s="25" t="s">
        <v>9</v>
      </c>
      <c r="R107" s="25" t="s">
        <v>59</v>
      </c>
      <c r="S107" s="25" t="s">
        <v>88</v>
      </c>
      <c r="T107" s="25" t="s">
        <v>214</v>
      </c>
      <c r="U107" s="25" t="str">
        <f>IFERROR(VLOOKUP(T107,Base!$C$3:$F$177,4,FALSE),"Quality Manager")</f>
        <v>Quality Manager</v>
      </c>
    </row>
    <row r="108" spans="1:21" x14ac:dyDescent="0.35">
      <c r="A108" s="61">
        <v>70000211</v>
      </c>
      <c r="B108" s="25" t="s">
        <v>82</v>
      </c>
      <c r="C108" s="25" t="s">
        <v>360</v>
      </c>
      <c r="D108" s="25" t="s">
        <v>17</v>
      </c>
      <c r="E108" s="25" t="s">
        <v>35</v>
      </c>
      <c r="F108" s="25" t="s">
        <v>195</v>
      </c>
      <c r="G108" s="25" t="s">
        <v>9</v>
      </c>
      <c r="H108" s="25" t="s">
        <v>135</v>
      </c>
      <c r="I108" s="26">
        <v>44409</v>
      </c>
      <c r="J108" s="25" t="s">
        <v>26</v>
      </c>
      <c r="K108" s="26">
        <v>33567</v>
      </c>
      <c r="L108" s="25">
        <f t="shared" ca="1" si="3"/>
        <v>34</v>
      </c>
      <c r="M108" s="25" t="s">
        <v>54</v>
      </c>
      <c r="N108" s="25" t="s">
        <v>86</v>
      </c>
      <c r="O108" s="25">
        <v>2</v>
      </c>
      <c r="P108" s="25" t="s">
        <v>87</v>
      </c>
      <c r="Q108" s="25" t="s">
        <v>9</v>
      </c>
      <c r="R108" s="25" t="s">
        <v>59</v>
      </c>
      <c r="S108" s="25" t="s">
        <v>88</v>
      </c>
      <c r="T108" s="5" t="s">
        <v>361</v>
      </c>
      <c r="U108" s="5" t="str">
        <f>IFERROR(VLOOKUP(T108,Base!$C$3:$F$177,4,FALSE),"Shift Supervisor")</f>
        <v>Shift Supervisor</v>
      </c>
    </row>
    <row r="109" spans="1:21" x14ac:dyDescent="0.35">
      <c r="A109" s="61">
        <v>70000212</v>
      </c>
      <c r="B109" s="25" t="s">
        <v>82</v>
      </c>
      <c r="C109" s="25" t="s">
        <v>362</v>
      </c>
      <c r="D109" s="25" t="s">
        <v>17</v>
      </c>
      <c r="E109" s="25" t="s">
        <v>34</v>
      </c>
      <c r="F109" s="25" t="s">
        <v>185</v>
      </c>
      <c r="G109" s="25" t="s">
        <v>9</v>
      </c>
      <c r="H109" s="25" t="s">
        <v>135</v>
      </c>
      <c r="I109" s="26">
        <v>44409</v>
      </c>
      <c r="J109" s="25" t="s">
        <v>26</v>
      </c>
      <c r="K109" s="26">
        <v>26801</v>
      </c>
      <c r="L109" s="25">
        <f t="shared" ca="1" si="3"/>
        <v>53</v>
      </c>
      <c r="M109" s="25" t="s">
        <v>54</v>
      </c>
      <c r="N109" s="25" t="s">
        <v>86</v>
      </c>
      <c r="O109" s="25">
        <v>6</v>
      </c>
      <c r="P109" s="25" t="s">
        <v>87</v>
      </c>
      <c r="Q109" s="25" t="s">
        <v>9</v>
      </c>
      <c r="R109" s="25" t="s">
        <v>59</v>
      </c>
      <c r="S109" s="25" t="s">
        <v>88</v>
      </c>
      <c r="T109" t="s">
        <v>136</v>
      </c>
      <c r="U109" t="str">
        <f>IFERROR(VLOOKUP(T109,Base!$C$3:$F$177,4,FALSE),"Production Superintendent")</f>
        <v>Production Superintendent</v>
      </c>
    </row>
    <row r="110" spans="1:21" x14ac:dyDescent="0.35">
      <c r="A110" s="61">
        <v>70000214</v>
      </c>
      <c r="B110" s="25" t="s">
        <v>82</v>
      </c>
      <c r="C110" s="25" t="s">
        <v>363</v>
      </c>
      <c r="D110" s="25" t="s">
        <v>22</v>
      </c>
      <c r="E110" s="25" t="s">
        <v>30</v>
      </c>
      <c r="F110" s="25" t="s">
        <v>364</v>
      </c>
      <c r="G110" s="25" t="s">
        <v>9</v>
      </c>
      <c r="H110" s="25" t="s">
        <v>139</v>
      </c>
      <c r="I110" s="26">
        <v>44409</v>
      </c>
      <c r="J110" s="25" t="s">
        <v>26</v>
      </c>
      <c r="K110" s="26">
        <v>32519</v>
      </c>
      <c r="L110" s="25">
        <f t="shared" ca="1" si="3"/>
        <v>37</v>
      </c>
      <c r="M110" s="25" t="s">
        <v>54</v>
      </c>
      <c r="N110" s="25" t="s">
        <v>86</v>
      </c>
      <c r="O110" s="25">
        <v>1</v>
      </c>
      <c r="P110" s="25" t="s">
        <v>87</v>
      </c>
      <c r="Q110" s="25" t="s">
        <v>9</v>
      </c>
      <c r="R110" s="25" t="s">
        <v>59</v>
      </c>
      <c r="S110" s="25" t="s">
        <v>88</v>
      </c>
      <c r="T110" t="s">
        <v>191</v>
      </c>
      <c r="U110" t="str">
        <f>IFERROR(VLOOKUP(T110,Base!$C$3:$F$177,4,FALSE),"Packing Plant Superintendent")</f>
        <v>Packing Plant Superintendent</v>
      </c>
    </row>
    <row r="111" spans="1:21" x14ac:dyDescent="0.35">
      <c r="A111" s="61">
        <v>70000215</v>
      </c>
      <c r="B111" s="25" t="s">
        <v>82</v>
      </c>
      <c r="C111" s="25" t="s">
        <v>365</v>
      </c>
      <c r="D111" s="25" t="s">
        <v>16</v>
      </c>
      <c r="E111" s="25" t="s">
        <v>31</v>
      </c>
      <c r="F111" s="25" t="s">
        <v>261</v>
      </c>
      <c r="G111" s="25" t="s">
        <v>9</v>
      </c>
      <c r="H111" s="25" t="s">
        <v>152</v>
      </c>
      <c r="I111" s="26">
        <v>44396</v>
      </c>
      <c r="J111" s="25" t="s">
        <v>26</v>
      </c>
      <c r="K111" s="26">
        <v>25275</v>
      </c>
      <c r="L111" s="25">
        <f t="shared" ca="1" si="3"/>
        <v>57</v>
      </c>
      <c r="M111" s="25" t="s">
        <v>54</v>
      </c>
      <c r="N111" s="25" t="s">
        <v>86</v>
      </c>
      <c r="O111" s="25">
        <v>3</v>
      </c>
      <c r="P111" s="25" t="s">
        <v>87</v>
      </c>
      <c r="Q111" s="25" t="s">
        <v>9</v>
      </c>
      <c r="R111" s="25" t="s">
        <v>59</v>
      </c>
      <c r="S111" s="25" t="s">
        <v>88</v>
      </c>
      <c r="T111" t="s">
        <v>366</v>
      </c>
      <c r="U111" t="str">
        <f>IFERROR(VLOOKUP(T111,Base!$C$3:$F$177,4,FALSE),"Mechanical Foreman")</f>
        <v>Mechanical Foreman</v>
      </c>
    </row>
    <row r="112" spans="1:21" hidden="1" x14ac:dyDescent="0.35">
      <c r="A112" s="7">
        <v>70000216</v>
      </c>
      <c r="B112" s="5" t="s">
        <v>82</v>
      </c>
      <c r="C112" s="5" t="s">
        <v>367</v>
      </c>
      <c r="D112" s="5" t="s">
        <v>16</v>
      </c>
      <c r="E112" s="5" t="s">
        <v>30</v>
      </c>
      <c r="F112" s="5" t="s">
        <v>368</v>
      </c>
      <c r="G112" s="5" t="s">
        <v>9</v>
      </c>
      <c r="H112" s="5" t="s">
        <v>152</v>
      </c>
      <c r="I112" s="6">
        <v>44396</v>
      </c>
      <c r="J112" s="5" t="s">
        <v>26</v>
      </c>
      <c r="K112" s="6">
        <v>31273</v>
      </c>
      <c r="L112" s="5">
        <f t="shared" ca="1" si="3"/>
        <v>40</v>
      </c>
      <c r="M112" s="5" t="s">
        <v>54</v>
      </c>
      <c r="N112" s="5" t="s">
        <v>86</v>
      </c>
      <c r="O112" s="5">
        <v>2</v>
      </c>
      <c r="P112" s="5" t="s">
        <v>87</v>
      </c>
      <c r="Q112" s="5" t="s">
        <v>9</v>
      </c>
      <c r="R112" s="5" t="s">
        <v>59</v>
      </c>
      <c r="S112" s="5" t="s">
        <v>88</v>
      </c>
      <c r="T112" t="s">
        <v>183</v>
      </c>
      <c r="U112" t="str">
        <f>IFERROR(VLOOKUP(T112,Base!$C$3:$F$177,4,FALSE),"Mechanical Foreman")</f>
        <v>Mechanical Foreman</v>
      </c>
    </row>
    <row r="113" spans="1:21" hidden="1" x14ac:dyDescent="0.35">
      <c r="A113" s="7">
        <v>70000220</v>
      </c>
      <c r="B113" s="5" t="s">
        <v>82</v>
      </c>
      <c r="C113" s="5" t="s">
        <v>369</v>
      </c>
      <c r="D113" s="5" t="s">
        <v>14</v>
      </c>
      <c r="E113" s="5" t="s">
        <v>31</v>
      </c>
      <c r="F113" s="5" t="s">
        <v>198</v>
      </c>
      <c r="G113" s="5" t="s">
        <v>10</v>
      </c>
      <c r="H113" s="5" t="s">
        <v>199</v>
      </c>
      <c r="I113" s="6">
        <v>44564</v>
      </c>
      <c r="J113" s="5" t="s">
        <v>26</v>
      </c>
      <c r="K113" s="6">
        <v>33784</v>
      </c>
      <c r="L113" s="5">
        <f t="shared" ca="1" si="3"/>
        <v>34</v>
      </c>
      <c r="M113" s="5" t="s">
        <v>54</v>
      </c>
      <c r="N113" s="5" t="s">
        <v>153</v>
      </c>
      <c r="O113" s="5">
        <v>0</v>
      </c>
      <c r="P113" s="5" t="s">
        <v>87</v>
      </c>
      <c r="Q113" s="5" t="s">
        <v>10</v>
      </c>
      <c r="R113" s="5" t="s">
        <v>59</v>
      </c>
      <c r="S113" s="5" t="s">
        <v>88</v>
      </c>
      <c r="T113" t="s">
        <v>200</v>
      </c>
      <c r="U113" t="str">
        <f>IFERROR(VLOOKUP(T113,Base!$C$3:$F$177,4,FALSE),"Purchasing Manager")</f>
        <v>Purchasing Manager</v>
      </c>
    </row>
    <row r="114" spans="1:21" x14ac:dyDescent="0.35">
      <c r="A114" s="61">
        <v>70000226</v>
      </c>
      <c r="B114" s="25" t="s">
        <v>82</v>
      </c>
      <c r="C114" s="25" t="s">
        <v>370</v>
      </c>
      <c r="D114" s="25" t="s">
        <v>17</v>
      </c>
      <c r="E114" s="25" t="s">
        <v>39</v>
      </c>
      <c r="F114" s="25" t="s">
        <v>371</v>
      </c>
      <c r="G114" s="25" t="s">
        <v>9</v>
      </c>
      <c r="H114" s="25" t="s">
        <v>135</v>
      </c>
      <c r="I114" s="26">
        <v>44652</v>
      </c>
      <c r="J114" s="25" t="s">
        <v>26</v>
      </c>
      <c r="K114" s="26">
        <v>34074</v>
      </c>
      <c r="L114" s="25">
        <f t="shared" ca="1" si="3"/>
        <v>33</v>
      </c>
      <c r="M114" s="25" t="s">
        <v>54</v>
      </c>
      <c r="N114" s="25" t="s">
        <v>86</v>
      </c>
      <c r="O114" s="25">
        <v>2</v>
      </c>
      <c r="P114" s="25" t="s">
        <v>87</v>
      </c>
      <c r="Q114" s="25" t="s">
        <v>9</v>
      </c>
      <c r="R114" s="25" t="s">
        <v>59</v>
      </c>
      <c r="S114" s="25" t="s">
        <v>88</v>
      </c>
      <c r="T114" t="s">
        <v>132</v>
      </c>
      <c r="U114" t="str">
        <f>IFERROR(VLOOKUP(T114,Base!$C$3:$F$177,4,FALSE),"Production Manager")</f>
        <v>Production Manager</v>
      </c>
    </row>
    <row r="115" spans="1:21" x14ac:dyDescent="0.35">
      <c r="A115" s="61">
        <v>70000227</v>
      </c>
      <c r="B115" s="25" t="s">
        <v>82</v>
      </c>
      <c r="C115" s="25" t="s">
        <v>372</v>
      </c>
      <c r="D115" s="25" t="s">
        <v>16</v>
      </c>
      <c r="E115" s="25" t="s">
        <v>31</v>
      </c>
      <c r="F115" s="25" t="s">
        <v>373</v>
      </c>
      <c r="G115" s="25" t="s">
        <v>9</v>
      </c>
      <c r="H115" s="25" t="s">
        <v>152</v>
      </c>
      <c r="I115" s="26">
        <v>44652</v>
      </c>
      <c r="J115" s="25" t="s">
        <v>26</v>
      </c>
      <c r="K115" s="26">
        <v>32893</v>
      </c>
      <c r="L115" s="25">
        <f t="shared" ca="1" si="3"/>
        <v>36</v>
      </c>
      <c r="M115" s="25" t="s">
        <v>54</v>
      </c>
      <c r="N115" s="25" t="s">
        <v>86</v>
      </c>
      <c r="O115" s="25">
        <v>1</v>
      </c>
      <c r="P115" s="25" t="s">
        <v>87</v>
      </c>
      <c r="Q115" s="25" t="s">
        <v>9</v>
      </c>
      <c r="R115" s="25" t="s">
        <v>59</v>
      </c>
      <c r="S115" s="25" t="s">
        <v>88</v>
      </c>
      <c r="T115" t="s">
        <v>154</v>
      </c>
      <c r="U115" t="str">
        <f>IFERROR(VLOOKUP(T115,Base!$C$3:$F$177,4,FALSE),"Engineering Manager")</f>
        <v>Engineering Manager</v>
      </c>
    </row>
    <row r="116" spans="1:21" x14ac:dyDescent="0.35">
      <c r="A116" s="61">
        <v>70000229</v>
      </c>
      <c r="B116" s="25" t="s">
        <v>82</v>
      </c>
      <c r="C116" s="25" t="s">
        <v>374</v>
      </c>
      <c r="D116" s="25" t="s">
        <v>16</v>
      </c>
      <c r="E116" s="25" t="s">
        <v>34</v>
      </c>
      <c r="F116" s="25" t="s">
        <v>375</v>
      </c>
      <c r="G116" s="25" t="s">
        <v>9</v>
      </c>
      <c r="H116" s="25" t="s">
        <v>376</v>
      </c>
      <c r="I116" s="26">
        <v>44704</v>
      </c>
      <c r="J116" s="25" t="s">
        <v>26</v>
      </c>
      <c r="K116" s="26">
        <v>30317</v>
      </c>
      <c r="L116" s="25">
        <f t="shared" ca="1" si="3"/>
        <v>43</v>
      </c>
      <c r="M116" s="25" t="s">
        <v>54</v>
      </c>
      <c r="N116" s="25" t="s">
        <v>153</v>
      </c>
      <c r="O116" s="25">
        <v>2</v>
      </c>
      <c r="P116" s="25" t="s">
        <v>87</v>
      </c>
      <c r="Q116" s="25" t="s">
        <v>9</v>
      </c>
      <c r="R116" s="25" t="s">
        <v>59</v>
      </c>
      <c r="S116" s="25" t="s">
        <v>88</v>
      </c>
      <c r="T116" t="s">
        <v>237</v>
      </c>
      <c r="U116" t="str">
        <f>IFERROR(VLOOKUP(T116,Base!$C$3:$F$177,4,FALSE),"Electrical Foreman")</f>
        <v>Electrical Foreman</v>
      </c>
    </row>
    <row r="117" spans="1:21" hidden="1" x14ac:dyDescent="0.35">
      <c r="A117" s="7">
        <v>70000232</v>
      </c>
      <c r="B117" s="5" t="s">
        <v>82</v>
      </c>
      <c r="C117" s="5" t="s">
        <v>377</v>
      </c>
      <c r="D117" s="5" t="s">
        <v>16</v>
      </c>
      <c r="E117" s="5" t="s">
        <v>31</v>
      </c>
      <c r="F117" s="5" t="s">
        <v>378</v>
      </c>
      <c r="G117" s="5" t="s">
        <v>9</v>
      </c>
      <c r="H117" s="5" t="s">
        <v>376</v>
      </c>
      <c r="I117" s="6">
        <v>45446</v>
      </c>
      <c r="J117" s="5" t="s">
        <v>26</v>
      </c>
      <c r="K117" s="6">
        <v>35114</v>
      </c>
      <c r="L117" s="5">
        <f t="shared" ca="1" si="3"/>
        <v>30</v>
      </c>
      <c r="M117" s="5" t="s">
        <v>55</v>
      </c>
      <c r="N117" s="5" t="s">
        <v>153</v>
      </c>
      <c r="O117" s="5">
        <v>0</v>
      </c>
      <c r="P117" s="5" t="s">
        <v>87</v>
      </c>
      <c r="Q117" s="5" t="s">
        <v>9</v>
      </c>
      <c r="R117" s="5" t="s">
        <v>59</v>
      </c>
      <c r="S117" s="5" t="s">
        <v>88</v>
      </c>
      <c r="T117" t="s">
        <v>237</v>
      </c>
      <c r="U117" t="str">
        <f>IFERROR(VLOOKUP(T117,Base!$C$3:$F$177,4,FALSE),"Electrical Foreman")</f>
        <v>Electrical Foreman</v>
      </c>
    </row>
    <row r="118" spans="1:21" hidden="1" x14ac:dyDescent="0.35">
      <c r="A118" s="7">
        <v>70000233</v>
      </c>
      <c r="B118" s="5" t="s">
        <v>102</v>
      </c>
      <c r="C118" s="5" t="s">
        <v>379</v>
      </c>
      <c r="D118" s="5" t="s">
        <v>104</v>
      </c>
      <c r="E118" s="5" t="s">
        <v>31</v>
      </c>
      <c r="F118" s="5" t="s">
        <v>380</v>
      </c>
      <c r="G118" s="5" t="s">
        <v>9</v>
      </c>
      <c r="H118" s="5" t="s">
        <v>249</v>
      </c>
      <c r="I118" s="6">
        <v>45446</v>
      </c>
      <c r="J118" s="5" t="s">
        <v>26</v>
      </c>
      <c r="K118" s="6">
        <v>34429</v>
      </c>
      <c r="L118" s="5">
        <f t="shared" ca="1" si="3"/>
        <v>32</v>
      </c>
      <c r="M118" s="5" t="s">
        <v>55</v>
      </c>
      <c r="N118" s="5" t="s">
        <v>153</v>
      </c>
      <c r="O118" s="5">
        <v>0</v>
      </c>
      <c r="P118" s="5" t="s">
        <v>87</v>
      </c>
      <c r="Q118" s="5" t="s">
        <v>9</v>
      </c>
      <c r="R118" s="5" t="s">
        <v>59</v>
      </c>
      <c r="S118" s="5" t="s">
        <v>88</v>
      </c>
      <c r="T118" t="s">
        <v>353</v>
      </c>
      <c r="U118" t="str">
        <f>IFERROR(VLOOKUP(T118,Base!$C$3:$F$177,4,FALSE),"Mining Superintendant")</f>
        <v>Mining Superintendant</v>
      </c>
    </row>
    <row r="119" spans="1:21" hidden="1" x14ac:dyDescent="0.35">
      <c r="A119" s="7">
        <v>70000235</v>
      </c>
      <c r="B119" s="5" t="s">
        <v>82</v>
      </c>
      <c r="C119" s="5" t="s">
        <v>381</v>
      </c>
      <c r="D119" s="5" t="s">
        <v>14</v>
      </c>
      <c r="E119" s="5" t="s">
        <v>32</v>
      </c>
      <c r="F119" s="5" t="s">
        <v>382</v>
      </c>
      <c r="G119" s="5" t="s">
        <v>10</v>
      </c>
      <c r="H119" s="5" t="s">
        <v>326</v>
      </c>
      <c r="I119" s="6">
        <v>44746</v>
      </c>
      <c r="J119" s="5" t="s">
        <v>27</v>
      </c>
      <c r="K119" s="6">
        <v>35574</v>
      </c>
      <c r="L119" s="5">
        <f t="shared" ca="1" si="3"/>
        <v>29</v>
      </c>
      <c r="M119" s="5" t="s">
        <v>54</v>
      </c>
      <c r="N119" s="5" t="s">
        <v>153</v>
      </c>
      <c r="O119" s="5">
        <v>0</v>
      </c>
      <c r="P119" s="5" t="s">
        <v>87</v>
      </c>
      <c r="Q119" s="5" t="s">
        <v>10</v>
      </c>
      <c r="R119" s="5" t="s">
        <v>59</v>
      </c>
      <c r="S119" s="5" t="s">
        <v>88</v>
      </c>
      <c r="T119" t="s">
        <v>508</v>
      </c>
      <c r="U119" t="str">
        <f>IFERROR(VLOOKUP(T119,Base!$C$3:$F$177,4,FALSE),"Lead Customer Excellence")</f>
        <v>Lead Customer Excellence</v>
      </c>
    </row>
    <row r="120" spans="1:21" x14ac:dyDescent="0.35">
      <c r="A120" s="61">
        <v>70000236</v>
      </c>
      <c r="B120" s="25" t="s">
        <v>82</v>
      </c>
      <c r="C120" s="25" t="s">
        <v>383</v>
      </c>
      <c r="D120" s="25" t="s">
        <v>14</v>
      </c>
      <c r="E120" s="25" t="s">
        <v>30</v>
      </c>
      <c r="F120" s="25" t="s">
        <v>384</v>
      </c>
      <c r="G120" s="25" t="s">
        <v>10</v>
      </c>
      <c r="H120" s="25" t="s">
        <v>340</v>
      </c>
      <c r="I120" s="26">
        <v>44746</v>
      </c>
      <c r="J120" s="25" t="s">
        <v>26</v>
      </c>
      <c r="K120" s="26">
        <v>28626</v>
      </c>
      <c r="L120" s="25">
        <f t="shared" ca="1" si="3"/>
        <v>48</v>
      </c>
      <c r="M120" s="25" t="s">
        <v>54</v>
      </c>
      <c r="N120" s="25" t="s">
        <v>86</v>
      </c>
      <c r="O120" s="25">
        <v>4</v>
      </c>
      <c r="P120" s="25" t="s">
        <v>87</v>
      </c>
      <c r="Q120" s="25" t="s">
        <v>10</v>
      </c>
      <c r="R120" s="25" t="s">
        <v>59</v>
      </c>
      <c r="S120" s="25" t="s">
        <v>88</v>
      </c>
      <c r="T120" t="s">
        <v>341</v>
      </c>
      <c r="U120" t="str">
        <f>IFERROR(VLOOKUP(T120,Base!$C$3:$F$177,4,FALSE),"Lead Manager")</f>
        <v>Lead Manager</v>
      </c>
    </row>
    <row r="121" spans="1:21" x14ac:dyDescent="0.35">
      <c r="A121" s="61">
        <v>70000237</v>
      </c>
      <c r="B121" s="25" t="s">
        <v>82</v>
      </c>
      <c r="C121" s="25" t="s">
        <v>385</v>
      </c>
      <c r="D121" s="25" t="s">
        <v>14</v>
      </c>
      <c r="E121" s="25" t="s">
        <v>36</v>
      </c>
      <c r="F121" s="25" t="s">
        <v>244</v>
      </c>
      <c r="G121" s="25" t="s">
        <v>10</v>
      </c>
      <c r="H121" s="25" t="s">
        <v>386</v>
      </c>
      <c r="I121" s="26">
        <v>44775</v>
      </c>
      <c r="J121" s="25" t="s">
        <v>26</v>
      </c>
      <c r="K121" s="26">
        <v>32694</v>
      </c>
      <c r="L121" s="25">
        <f t="shared" ca="1" si="3"/>
        <v>37</v>
      </c>
      <c r="M121" s="25" t="s">
        <v>54</v>
      </c>
      <c r="N121" s="25" t="s">
        <v>86</v>
      </c>
      <c r="O121" s="25">
        <v>4</v>
      </c>
      <c r="P121" s="25" t="s">
        <v>87</v>
      </c>
      <c r="Q121" s="25" t="s">
        <v>506</v>
      </c>
      <c r="R121" s="25" t="s">
        <v>59</v>
      </c>
      <c r="S121" s="25" t="s">
        <v>88</v>
      </c>
      <c r="T121" t="s">
        <v>101</v>
      </c>
      <c r="U121" t="str">
        <f>IFERROR(VLOOKUP(T121,Base!$C$3:$F$177,4,FALSE),"Regional Sales Manager")</f>
        <v>Regional Sales Manager</v>
      </c>
    </row>
    <row r="122" spans="1:21" x14ac:dyDescent="0.35">
      <c r="A122" s="61">
        <v>70000238</v>
      </c>
      <c r="B122" s="25" t="s">
        <v>82</v>
      </c>
      <c r="C122" s="25" t="s">
        <v>387</v>
      </c>
      <c r="D122" s="25" t="s">
        <v>14</v>
      </c>
      <c r="E122" s="25" t="s">
        <v>32</v>
      </c>
      <c r="F122" s="25" t="s">
        <v>99</v>
      </c>
      <c r="G122" s="25" t="s">
        <v>9</v>
      </c>
      <c r="H122" s="25" t="s">
        <v>100</v>
      </c>
      <c r="I122" s="26">
        <v>44775</v>
      </c>
      <c r="J122" s="25" t="s">
        <v>26</v>
      </c>
      <c r="K122" s="26">
        <v>32373</v>
      </c>
      <c r="L122" s="25">
        <f t="shared" ca="1" si="3"/>
        <v>37</v>
      </c>
      <c r="M122" s="25" t="s">
        <v>54</v>
      </c>
      <c r="N122" s="25" t="s">
        <v>86</v>
      </c>
      <c r="O122" s="25">
        <v>2</v>
      </c>
      <c r="P122" s="25" t="s">
        <v>87</v>
      </c>
      <c r="Q122" s="25" t="s">
        <v>507</v>
      </c>
      <c r="R122" s="25" t="s">
        <v>59</v>
      </c>
      <c r="S122" s="25" t="s">
        <v>88</v>
      </c>
      <c r="T122" t="s">
        <v>101</v>
      </c>
      <c r="U122" t="str">
        <f>IFERROR(VLOOKUP(T122,Base!$C$3:$F$177,4,FALSE),"Regional Sales Manager")</f>
        <v>Regional Sales Manager</v>
      </c>
    </row>
    <row r="123" spans="1:21" x14ac:dyDescent="0.35">
      <c r="A123" s="61">
        <v>70000239</v>
      </c>
      <c r="B123" s="25" t="s">
        <v>82</v>
      </c>
      <c r="C123" s="25" t="s">
        <v>388</v>
      </c>
      <c r="D123" s="25" t="s">
        <v>18</v>
      </c>
      <c r="E123" s="25" t="s">
        <v>30</v>
      </c>
      <c r="F123" s="25" t="s">
        <v>389</v>
      </c>
      <c r="G123" s="25" t="s">
        <v>9</v>
      </c>
      <c r="H123" s="25" t="s">
        <v>390</v>
      </c>
      <c r="I123" s="26">
        <v>44809</v>
      </c>
      <c r="J123" s="25" t="s">
        <v>26</v>
      </c>
      <c r="K123" s="26">
        <v>29317</v>
      </c>
      <c r="L123" s="25">
        <f t="shared" ca="1" si="3"/>
        <v>46</v>
      </c>
      <c r="M123" s="25" t="s">
        <v>54</v>
      </c>
      <c r="N123" s="25" t="s">
        <v>86</v>
      </c>
      <c r="O123" s="25">
        <v>0</v>
      </c>
      <c r="P123" s="25" t="s">
        <v>87</v>
      </c>
      <c r="Q123" s="25" t="s">
        <v>9</v>
      </c>
      <c r="R123" s="25" t="s">
        <v>59</v>
      </c>
      <c r="S123" s="25" t="s">
        <v>88</v>
      </c>
      <c r="T123" t="s">
        <v>128</v>
      </c>
      <c r="U123" t="str">
        <f>IFERROR(VLOOKUP(T123,Base!$C$3:$F$177,4,FALSE),"Plant Manager")</f>
        <v>Plant Manager</v>
      </c>
    </row>
    <row r="124" spans="1:21" x14ac:dyDescent="0.35">
      <c r="A124" s="61">
        <v>70000240</v>
      </c>
      <c r="B124" s="25" t="s">
        <v>82</v>
      </c>
      <c r="C124" s="25" t="s">
        <v>391</v>
      </c>
      <c r="D124" s="25" t="s">
        <v>18</v>
      </c>
      <c r="E124" s="25" t="s">
        <v>33</v>
      </c>
      <c r="F124" s="25" t="s">
        <v>392</v>
      </c>
      <c r="G124" s="25" t="s">
        <v>9</v>
      </c>
      <c r="H124" s="25" t="s">
        <v>393</v>
      </c>
      <c r="I124" s="26">
        <v>44819</v>
      </c>
      <c r="J124" s="25" t="s">
        <v>26</v>
      </c>
      <c r="K124" s="26">
        <v>34545</v>
      </c>
      <c r="L124" s="25">
        <f t="shared" ca="1" si="3"/>
        <v>31</v>
      </c>
      <c r="M124" s="25" t="s">
        <v>54</v>
      </c>
      <c r="N124" s="25" t="s">
        <v>153</v>
      </c>
      <c r="O124" s="25">
        <v>0</v>
      </c>
      <c r="P124" s="25" t="s">
        <v>87</v>
      </c>
      <c r="Q124" s="25" t="s">
        <v>9</v>
      </c>
      <c r="R124" s="25" t="s">
        <v>59</v>
      </c>
      <c r="S124" s="25" t="s">
        <v>88</v>
      </c>
      <c r="T124" t="s">
        <v>287</v>
      </c>
      <c r="U124" t="str">
        <f>IFERROR(VLOOKUP(T124,Base!$C$3:$F$177,4,FALSE),"Finance Controller")</f>
        <v>Finance Controller</v>
      </c>
    </row>
    <row r="125" spans="1:21" x14ac:dyDescent="0.35">
      <c r="A125" s="61">
        <v>70000241</v>
      </c>
      <c r="B125" s="25" t="s">
        <v>82</v>
      </c>
      <c r="C125" s="25" t="s">
        <v>394</v>
      </c>
      <c r="D125" s="25" t="s">
        <v>18</v>
      </c>
      <c r="E125" s="25" t="s">
        <v>38</v>
      </c>
      <c r="F125" s="25" t="s">
        <v>395</v>
      </c>
      <c r="G125" s="25" t="s">
        <v>9</v>
      </c>
      <c r="H125" s="25" t="s">
        <v>302</v>
      </c>
      <c r="I125" s="26">
        <v>44835</v>
      </c>
      <c r="J125" s="25" t="s">
        <v>26</v>
      </c>
      <c r="K125" s="26">
        <v>29902</v>
      </c>
      <c r="L125" s="25">
        <f t="shared" ca="1" si="3"/>
        <v>44</v>
      </c>
      <c r="M125" s="25" t="s">
        <v>54</v>
      </c>
      <c r="N125" s="25" t="s">
        <v>86</v>
      </c>
      <c r="O125" s="25">
        <v>1</v>
      </c>
      <c r="P125" s="25" t="s">
        <v>87</v>
      </c>
      <c r="Q125" s="25" t="s">
        <v>9</v>
      </c>
      <c r="R125" s="25" t="s">
        <v>59</v>
      </c>
      <c r="S125" s="25" t="s">
        <v>88</v>
      </c>
      <c r="T125" t="s">
        <v>396</v>
      </c>
      <c r="U125" t="str">
        <f>IFERROR(VLOOKUP(T125,Base!$C$3:$F$177,4,FALSE),"Warehouse Administrator")</f>
        <v>Warehouse Administrator</v>
      </c>
    </row>
    <row r="126" spans="1:21" x14ac:dyDescent="0.35">
      <c r="A126" s="61">
        <v>70000242</v>
      </c>
      <c r="B126" s="25" t="s">
        <v>82</v>
      </c>
      <c r="C126" s="25" t="s">
        <v>397</v>
      </c>
      <c r="D126" s="25" t="s">
        <v>17</v>
      </c>
      <c r="E126" s="25" t="s">
        <v>35</v>
      </c>
      <c r="F126" s="25" t="s">
        <v>195</v>
      </c>
      <c r="G126" s="25" t="s">
        <v>9</v>
      </c>
      <c r="H126" s="25" t="s">
        <v>125</v>
      </c>
      <c r="I126" s="26">
        <v>44858</v>
      </c>
      <c r="J126" s="25" t="s">
        <v>26</v>
      </c>
      <c r="K126" s="26">
        <v>32865</v>
      </c>
      <c r="L126" s="25">
        <f t="shared" ca="1" si="3"/>
        <v>36</v>
      </c>
      <c r="M126" s="25" t="s">
        <v>54</v>
      </c>
      <c r="N126" s="25" t="s">
        <v>153</v>
      </c>
      <c r="O126" s="25">
        <v>0</v>
      </c>
      <c r="P126" s="25" t="s">
        <v>87</v>
      </c>
      <c r="Q126" s="25" t="s">
        <v>9</v>
      </c>
      <c r="R126" s="25" t="s">
        <v>59</v>
      </c>
      <c r="S126" s="25" t="s">
        <v>88</v>
      </c>
      <c r="T126" t="s">
        <v>398</v>
      </c>
      <c r="U126" t="str">
        <f>IFERROR(VLOOKUP(T126,Base!$C$3:$F$177,4,FALSE),"Shift Supervisor")</f>
        <v>Shift Supervisor</v>
      </c>
    </row>
    <row r="127" spans="1:21" hidden="1" x14ac:dyDescent="0.35">
      <c r="A127" s="7">
        <v>70000243</v>
      </c>
      <c r="B127" s="5" t="s">
        <v>82</v>
      </c>
      <c r="C127" s="5" t="s">
        <v>399</v>
      </c>
      <c r="D127" s="5" t="s">
        <v>17</v>
      </c>
      <c r="E127" s="5" t="s">
        <v>35</v>
      </c>
      <c r="F127" s="5" t="s">
        <v>195</v>
      </c>
      <c r="G127" s="5" t="s">
        <v>9</v>
      </c>
      <c r="H127" s="5" t="s">
        <v>125</v>
      </c>
      <c r="I127" s="6">
        <v>44858</v>
      </c>
      <c r="J127" s="5" t="s">
        <v>26</v>
      </c>
      <c r="K127" s="6">
        <v>31767</v>
      </c>
      <c r="L127" s="5">
        <f t="shared" ca="1" si="3"/>
        <v>39</v>
      </c>
      <c r="M127" s="5" t="s">
        <v>54</v>
      </c>
      <c r="N127" s="5" t="s">
        <v>86</v>
      </c>
      <c r="O127" s="5">
        <v>0</v>
      </c>
      <c r="P127" s="5" t="s">
        <v>87</v>
      </c>
      <c r="Q127" s="5" t="s">
        <v>9</v>
      </c>
      <c r="R127" s="5" t="s">
        <v>59</v>
      </c>
      <c r="S127" s="5" t="s">
        <v>88</v>
      </c>
      <c r="T127" t="s">
        <v>205</v>
      </c>
      <c r="U127" t="str">
        <f>IFERROR(VLOOKUP(T127,Base!$C$3:$F$177,4,FALSE),"Shift Supervisor")</f>
        <v>Shift Supervisor</v>
      </c>
    </row>
    <row r="128" spans="1:21" hidden="1" x14ac:dyDescent="0.35">
      <c r="A128" s="7">
        <v>70000244</v>
      </c>
      <c r="B128" s="5" t="s">
        <v>82</v>
      </c>
      <c r="C128" s="5" t="s">
        <v>400</v>
      </c>
      <c r="D128" s="5" t="s">
        <v>17</v>
      </c>
      <c r="E128" s="5" t="s">
        <v>35</v>
      </c>
      <c r="F128" s="5" t="s">
        <v>195</v>
      </c>
      <c r="G128" s="5" t="s">
        <v>9</v>
      </c>
      <c r="H128" s="5" t="s">
        <v>125</v>
      </c>
      <c r="I128" s="6">
        <v>44858</v>
      </c>
      <c r="J128" s="5" t="s">
        <v>26</v>
      </c>
      <c r="K128" s="6">
        <v>34103</v>
      </c>
      <c r="L128" s="5">
        <f t="shared" ca="1" si="3"/>
        <v>33</v>
      </c>
      <c r="M128" s="5" t="s">
        <v>54</v>
      </c>
      <c r="N128" s="5" t="s">
        <v>153</v>
      </c>
      <c r="O128" s="5">
        <v>0</v>
      </c>
      <c r="P128" s="5" t="s">
        <v>87</v>
      </c>
      <c r="Q128" s="5" t="s">
        <v>9</v>
      </c>
      <c r="R128" s="5" t="s">
        <v>59</v>
      </c>
      <c r="S128" s="5" t="s">
        <v>88</v>
      </c>
      <c r="T128" t="s">
        <v>205</v>
      </c>
      <c r="U128" t="str">
        <f>IFERROR(VLOOKUP(T128,Base!$C$3:$F$177,4,FALSE),"Shift Supervisor")</f>
        <v>Shift Supervisor</v>
      </c>
    </row>
    <row r="129" spans="1:21" x14ac:dyDescent="0.35">
      <c r="A129" s="61">
        <v>70000245</v>
      </c>
      <c r="B129" s="25" t="s">
        <v>82</v>
      </c>
      <c r="C129" s="25" t="s">
        <v>401</v>
      </c>
      <c r="D129" s="25" t="s">
        <v>15</v>
      </c>
      <c r="E129" s="25" t="s">
        <v>36</v>
      </c>
      <c r="F129" s="25" t="s">
        <v>308</v>
      </c>
      <c r="G129" s="25" t="s">
        <v>10</v>
      </c>
      <c r="H129" s="25" t="s">
        <v>256</v>
      </c>
      <c r="I129" s="26">
        <v>44858</v>
      </c>
      <c r="J129" s="25" t="s">
        <v>28</v>
      </c>
      <c r="K129" s="26">
        <v>35522</v>
      </c>
      <c r="L129" s="25">
        <f t="shared" ca="1" si="3"/>
        <v>29</v>
      </c>
      <c r="M129" s="25" t="s">
        <v>54</v>
      </c>
      <c r="N129" s="25" t="s">
        <v>153</v>
      </c>
      <c r="O129" s="25">
        <v>1</v>
      </c>
      <c r="P129" s="25" t="s">
        <v>87</v>
      </c>
      <c r="Q129" s="25" t="s">
        <v>10</v>
      </c>
      <c r="R129" s="25" t="s">
        <v>59</v>
      </c>
      <c r="S129" s="25" t="s">
        <v>88</v>
      </c>
      <c r="T129" t="s">
        <v>257</v>
      </c>
      <c r="U129" t="str">
        <f>IFERROR(VLOOKUP(T129,Base!$C$3:$F$177,4,FALSE),"Finance Manager")</f>
        <v>Finance Manager</v>
      </c>
    </row>
    <row r="130" spans="1:21" hidden="1" x14ac:dyDescent="0.35">
      <c r="A130" s="7">
        <v>70000246</v>
      </c>
      <c r="B130" s="5" t="s">
        <v>82</v>
      </c>
      <c r="C130" s="5" t="s">
        <v>402</v>
      </c>
      <c r="D130" s="5" t="s">
        <v>14</v>
      </c>
      <c r="E130" s="5" t="s">
        <v>33</v>
      </c>
      <c r="F130" s="5" t="s">
        <v>403</v>
      </c>
      <c r="G130" s="5" t="s">
        <v>10</v>
      </c>
      <c r="H130" s="5" t="s">
        <v>386</v>
      </c>
      <c r="I130" s="6">
        <v>44896</v>
      </c>
      <c r="J130" s="5" t="s">
        <v>26</v>
      </c>
      <c r="K130" s="6">
        <v>28711</v>
      </c>
      <c r="L130" s="5">
        <f t="shared" ca="1" si="3"/>
        <v>47</v>
      </c>
      <c r="M130" s="5" t="s">
        <v>54</v>
      </c>
      <c r="N130" s="5" t="s">
        <v>86</v>
      </c>
      <c r="O130" s="5">
        <v>8</v>
      </c>
      <c r="P130" s="5" t="s">
        <v>87</v>
      </c>
      <c r="Q130" s="5" t="s">
        <v>10</v>
      </c>
      <c r="R130" s="5" t="s">
        <v>59</v>
      </c>
      <c r="S130" s="5" t="s">
        <v>88</v>
      </c>
      <c r="T130" t="s">
        <v>404</v>
      </c>
      <c r="U130" t="str">
        <f>IFERROR(VLOOKUP(T130,Base!$C$3:$F$177,4,FALSE),"Head of Business Development")</f>
        <v>Head of Business Development</v>
      </c>
    </row>
    <row r="131" spans="1:21" x14ac:dyDescent="0.35">
      <c r="A131" s="61">
        <v>70000247</v>
      </c>
      <c r="B131" s="25" t="s">
        <v>82</v>
      </c>
      <c r="C131" s="25" t="s">
        <v>405</v>
      </c>
      <c r="D131" s="25" t="s">
        <v>23</v>
      </c>
      <c r="E131" s="25" t="s">
        <v>30</v>
      </c>
      <c r="F131" s="25" t="s">
        <v>159</v>
      </c>
      <c r="G131" s="25" t="s">
        <v>9</v>
      </c>
      <c r="H131" s="25" t="s">
        <v>279</v>
      </c>
      <c r="I131" s="26">
        <v>44935</v>
      </c>
      <c r="J131" s="25" t="s">
        <v>26</v>
      </c>
      <c r="K131" s="26">
        <v>31779</v>
      </c>
      <c r="L131" s="25">
        <f t="shared" ref="L131:L162" ca="1" si="4">DATEDIF(K131,TODAY(),"Y")</f>
        <v>39</v>
      </c>
      <c r="M131" s="25" t="s">
        <v>54</v>
      </c>
      <c r="N131" s="25" t="s">
        <v>153</v>
      </c>
      <c r="O131" s="25">
        <v>3</v>
      </c>
      <c r="P131" s="25" t="s">
        <v>87</v>
      </c>
      <c r="Q131" s="25" t="s">
        <v>9</v>
      </c>
      <c r="R131" s="25" t="s">
        <v>59</v>
      </c>
      <c r="S131" s="25" t="s">
        <v>88</v>
      </c>
      <c r="T131" t="s">
        <v>265</v>
      </c>
      <c r="U131" t="str">
        <f>IFERROR(VLOOKUP(T131,Base!$C$3:$F$177,4,FALSE),"Safety Manager")</f>
        <v>Safety Manager</v>
      </c>
    </row>
    <row r="132" spans="1:21" x14ac:dyDescent="0.35">
      <c r="A132" s="61">
        <v>70000250</v>
      </c>
      <c r="B132" s="25" t="s">
        <v>82</v>
      </c>
      <c r="C132" s="25" t="s">
        <v>406</v>
      </c>
      <c r="D132" s="25" t="s">
        <v>15</v>
      </c>
      <c r="E132" s="25" t="s">
        <v>30</v>
      </c>
      <c r="F132" s="25" t="s">
        <v>407</v>
      </c>
      <c r="G132" s="25" t="s">
        <v>10</v>
      </c>
      <c r="H132" s="25" t="s">
        <v>256</v>
      </c>
      <c r="I132" s="26">
        <v>45017</v>
      </c>
      <c r="J132" s="25" t="s">
        <v>27</v>
      </c>
      <c r="K132" s="26">
        <v>35969</v>
      </c>
      <c r="L132" s="25">
        <f t="shared" ca="1" si="4"/>
        <v>28</v>
      </c>
      <c r="M132" s="25" t="s">
        <v>54</v>
      </c>
      <c r="N132" s="25" t="s">
        <v>153</v>
      </c>
      <c r="O132" s="25">
        <v>0</v>
      </c>
      <c r="P132" s="25" t="s">
        <v>87</v>
      </c>
      <c r="Q132" s="25" t="s">
        <v>10</v>
      </c>
      <c r="R132" s="25" t="s">
        <v>59</v>
      </c>
      <c r="S132" s="25" t="s">
        <v>88</v>
      </c>
      <c r="T132" t="s">
        <v>257</v>
      </c>
      <c r="U132" t="str">
        <f>IFERROR(VLOOKUP(T132,Base!$C$3:$F$177,4,FALSE),"Finance Manager")</f>
        <v>Finance Manager</v>
      </c>
    </row>
    <row r="133" spans="1:21" hidden="1" x14ac:dyDescent="0.35">
      <c r="A133" s="7">
        <v>70000252</v>
      </c>
      <c r="B133" s="5" t="s">
        <v>82</v>
      </c>
      <c r="C133" s="5" t="s">
        <v>408</v>
      </c>
      <c r="D133" s="5" t="s">
        <v>18</v>
      </c>
      <c r="E133" s="5" t="s">
        <v>44</v>
      </c>
      <c r="F133" s="5" t="s">
        <v>129</v>
      </c>
      <c r="G133" s="5" t="s">
        <v>9</v>
      </c>
      <c r="H133" s="5" t="s">
        <v>393</v>
      </c>
      <c r="I133" s="6">
        <v>45110</v>
      </c>
      <c r="J133" s="5" t="s">
        <v>26</v>
      </c>
      <c r="K133" s="6">
        <v>31613</v>
      </c>
      <c r="L133" s="5">
        <f t="shared" ca="1" si="4"/>
        <v>40</v>
      </c>
      <c r="M133" s="5" t="s">
        <v>57</v>
      </c>
      <c r="N133" s="5" t="s">
        <v>86</v>
      </c>
      <c r="O133" s="5">
        <v>3</v>
      </c>
      <c r="P133" s="5" t="s">
        <v>87</v>
      </c>
      <c r="Q133" s="5" t="s">
        <v>9</v>
      </c>
      <c r="R133" s="5" t="s">
        <v>59</v>
      </c>
      <c r="S133" s="5" t="s">
        <v>88</v>
      </c>
      <c r="T133" t="s">
        <v>176</v>
      </c>
      <c r="U133" t="str">
        <f>IFERROR(VLOOKUP(T133,Base!$C$3:$F$177,4,FALSE),"Managing Director")</f>
        <v>Managing Director</v>
      </c>
    </row>
    <row r="134" spans="1:21" hidden="1" x14ac:dyDescent="0.35">
      <c r="A134" s="7">
        <v>70000253</v>
      </c>
      <c r="B134" s="5" t="s">
        <v>82</v>
      </c>
      <c r="C134" s="5" t="s">
        <v>409</v>
      </c>
      <c r="D134" s="5" t="s">
        <v>15</v>
      </c>
      <c r="E134" s="5" t="s">
        <v>33</v>
      </c>
      <c r="F134" s="5" t="s">
        <v>410</v>
      </c>
      <c r="G134" s="5" t="s">
        <v>10</v>
      </c>
      <c r="H134" s="5" t="s">
        <v>411</v>
      </c>
      <c r="I134" s="6">
        <v>45170</v>
      </c>
      <c r="J134" s="5" t="s">
        <v>26</v>
      </c>
      <c r="K134" s="6">
        <v>33937</v>
      </c>
      <c r="L134" s="5">
        <f t="shared" ca="1" si="4"/>
        <v>33</v>
      </c>
      <c r="M134" s="5" t="s">
        <v>55</v>
      </c>
      <c r="N134" s="5" t="s">
        <v>86</v>
      </c>
      <c r="O134" s="5">
        <v>1</v>
      </c>
      <c r="P134" s="5" t="s">
        <v>87</v>
      </c>
      <c r="Q134" s="5" t="s">
        <v>10</v>
      </c>
      <c r="R134" s="5" t="s">
        <v>59</v>
      </c>
      <c r="S134" s="5" t="s">
        <v>88</v>
      </c>
      <c r="T134" t="s">
        <v>176</v>
      </c>
      <c r="U134" t="str">
        <f>IFERROR(VLOOKUP(T134,Base!$C$3:$F$177,4,FALSE),"Managing Director")</f>
        <v>Managing Director</v>
      </c>
    </row>
    <row r="135" spans="1:21" hidden="1" x14ac:dyDescent="0.35">
      <c r="A135" s="7">
        <v>70000254</v>
      </c>
      <c r="B135" s="5" t="s">
        <v>82</v>
      </c>
      <c r="C135" s="5" t="s">
        <v>412</v>
      </c>
      <c r="D135" s="5" t="s">
        <v>14</v>
      </c>
      <c r="E135" s="5" t="s">
        <v>31</v>
      </c>
      <c r="F135" s="5" t="s">
        <v>198</v>
      </c>
      <c r="G135" s="5" t="s">
        <v>10</v>
      </c>
      <c r="H135" s="5" t="s">
        <v>199</v>
      </c>
      <c r="I135" s="6">
        <v>45148</v>
      </c>
      <c r="J135" s="5" t="s">
        <v>26</v>
      </c>
      <c r="K135" s="6">
        <v>30279</v>
      </c>
      <c r="L135" s="5">
        <f t="shared" ca="1" si="4"/>
        <v>43</v>
      </c>
      <c r="M135" s="5" t="s">
        <v>55</v>
      </c>
      <c r="N135" s="5" t="s">
        <v>86</v>
      </c>
      <c r="O135" s="5">
        <v>4</v>
      </c>
      <c r="P135" s="5" t="s">
        <v>87</v>
      </c>
      <c r="Q135" s="5" t="s">
        <v>10</v>
      </c>
      <c r="R135" s="5" t="s">
        <v>59</v>
      </c>
      <c r="S135" s="5" t="s">
        <v>88</v>
      </c>
      <c r="T135" t="s">
        <v>200</v>
      </c>
      <c r="U135" t="str">
        <f>IFERROR(VLOOKUP(T135,Base!$C$3:$F$177,4,FALSE),"Purchasing Manager")</f>
        <v>Purchasing Manager</v>
      </c>
    </row>
    <row r="136" spans="1:21" x14ac:dyDescent="0.35">
      <c r="A136" s="61">
        <v>70000255</v>
      </c>
      <c r="B136" s="25" t="s">
        <v>82</v>
      </c>
      <c r="C136" s="25" t="s">
        <v>413</v>
      </c>
      <c r="D136" s="25" t="s">
        <v>18</v>
      </c>
      <c r="E136" s="25" t="s">
        <v>31</v>
      </c>
      <c r="F136" s="25" t="s">
        <v>414</v>
      </c>
      <c r="G136" s="25" t="s">
        <v>9</v>
      </c>
      <c r="H136" s="25" t="s">
        <v>302</v>
      </c>
      <c r="I136" s="26">
        <v>45139</v>
      </c>
      <c r="J136" s="25" t="s">
        <v>26</v>
      </c>
      <c r="K136" s="26">
        <v>34414</v>
      </c>
      <c r="L136" s="25">
        <f t="shared" ca="1" si="4"/>
        <v>32</v>
      </c>
      <c r="M136" s="25" t="s">
        <v>55</v>
      </c>
      <c r="N136" s="25" t="s">
        <v>86</v>
      </c>
      <c r="O136" s="25">
        <v>1</v>
      </c>
      <c r="P136" s="25" t="s">
        <v>87</v>
      </c>
      <c r="Q136" s="25" t="s">
        <v>9</v>
      </c>
      <c r="R136" s="25" t="s">
        <v>59</v>
      </c>
      <c r="S136" s="25" t="s">
        <v>88</v>
      </c>
      <c r="T136" t="s">
        <v>396</v>
      </c>
      <c r="U136" t="str">
        <f>IFERROR(VLOOKUP(T136,Base!$C$3:$F$177,4,FALSE),"Warehouse Administrator")</f>
        <v>Warehouse Administrator</v>
      </c>
    </row>
    <row r="137" spans="1:21" x14ac:dyDescent="0.35">
      <c r="A137" s="61">
        <v>70000256</v>
      </c>
      <c r="B137" s="25" t="s">
        <v>82</v>
      </c>
      <c r="C137" s="25" t="s">
        <v>415</v>
      </c>
      <c r="D137" s="25" t="s">
        <v>15</v>
      </c>
      <c r="E137" s="25" t="s">
        <v>46</v>
      </c>
      <c r="F137" s="25" t="s">
        <v>177</v>
      </c>
      <c r="G137" s="25" t="s">
        <v>10</v>
      </c>
      <c r="H137" s="25" t="s">
        <v>416</v>
      </c>
      <c r="I137" s="26">
        <v>45170</v>
      </c>
      <c r="J137" s="25" t="s">
        <v>26</v>
      </c>
      <c r="K137" s="26">
        <v>30520</v>
      </c>
      <c r="L137" s="25">
        <f t="shared" ca="1" si="4"/>
        <v>43</v>
      </c>
      <c r="M137" s="25" t="s">
        <v>55</v>
      </c>
      <c r="N137" s="25" t="s">
        <v>86</v>
      </c>
      <c r="O137" s="25">
        <v>5</v>
      </c>
      <c r="P137" s="25" t="s">
        <v>87</v>
      </c>
      <c r="Q137" s="25" t="s">
        <v>10</v>
      </c>
      <c r="R137" s="25" t="s">
        <v>59</v>
      </c>
      <c r="S137" s="25" t="s">
        <v>88</v>
      </c>
      <c r="T137" t="s">
        <v>417</v>
      </c>
      <c r="U137" t="str">
        <f>IFERROR(VLOOKUP(T137,Base!$C$3:$F$177,4,FALSE),"PPC Group")</f>
        <v>PPC Group</v>
      </c>
    </row>
    <row r="138" spans="1:21" hidden="1" x14ac:dyDescent="0.35">
      <c r="A138" s="7">
        <v>70000259</v>
      </c>
      <c r="B138" s="5" t="s">
        <v>82</v>
      </c>
      <c r="C138" s="5" t="s">
        <v>418</v>
      </c>
      <c r="D138" s="5" t="s">
        <v>15</v>
      </c>
      <c r="E138" s="5" t="s">
        <v>31</v>
      </c>
      <c r="F138" s="5" t="s">
        <v>419</v>
      </c>
      <c r="G138" s="5" t="s">
        <v>9</v>
      </c>
      <c r="H138" s="5" t="s">
        <v>148</v>
      </c>
      <c r="I138" s="6">
        <v>45190</v>
      </c>
      <c r="J138" s="5" t="s">
        <v>26</v>
      </c>
      <c r="K138" s="6">
        <v>35066</v>
      </c>
      <c r="L138" s="5">
        <f t="shared" ca="1" si="4"/>
        <v>30</v>
      </c>
      <c r="M138" s="5" t="s">
        <v>55</v>
      </c>
      <c r="N138" s="5" t="s">
        <v>86</v>
      </c>
      <c r="O138" s="5">
        <v>0</v>
      </c>
      <c r="P138" s="5" t="s">
        <v>87</v>
      </c>
      <c r="Q138" s="5" t="s">
        <v>9</v>
      </c>
      <c r="R138" s="5" t="s">
        <v>59</v>
      </c>
      <c r="S138" s="5" t="s">
        <v>88</v>
      </c>
      <c r="T138" t="s">
        <v>420</v>
      </c>
      <c r="U138" t="str">
        <f>IFERROR(VLOOKUP(T138,Base!$C$3:$F$177,4,FALSE),"IT Manager")</f>
        <v>IT Manager</v>
      </c>
    </row>
    <row r="139" spans="1:21" x14ac:dyDescent="0.35">
      <c r="A139" s="61">
        <v>70000261</v>
      </c>
      <c r="B139" s="25" t="s">
        <v>82</v>
      </c>
      <c r="C139" s="25" t="s">
        <v>421</v>
      </c>
      <c r="D139" s="25" t="s">
        <v>16</v>
      </c>
      <c r="E139" s="25" t="s">
        <v>31</v>
      </c>
      <c r="F139" s="25" t="s">
        <v>422</v>
      </c>
      <c r="G139" s="25" t="s">
        <v>9</v>
      </c>
      <c r="H139" s="25" t="s">
        <v>152</v>
      </c>
      <c r="I139" s="26">
        <v>45243</v>
      </c>
      <c r="J139" s="25" t="s">
        <v>26</v>
      </c>
      <c r="K139" s="26">
        <v>32041</v>
      </c>
      <c r="L139" s="25">
        <f t="shared" ca="1" si="4"/>
        <v>38</v>
      </c>
      <c r="M139" s="25" t="s">
        <v>55</v>
      </c>
      <c r="N139" s="25" t="s">
        <v>86</v>
      </c>
      <c r="O139" s="25">
        <v>0</v>
      </c>
      <c r="P139" s="25" t="s">
        <v>87</v>
      </c>
      <c r="Q139" s="25" t="s">
        <v>9</v>
      </c>
      <c r="R139" s="25" t="s">
        <v>59</v>
      </c>
      <c r="S139" s="25" t="s">
        <v>88</v>
      </c>
      <c r="T139" t="s">
        <v>423</v>
      </c>
      <c r="U139" t="str">
        <f>IFERROR(VLOOKUP(T139,Base!$C$3:$F$177,4,FALSE),"Electrical &amp; instrumentation Engineer")</f>
        <v>Electrical &amp; instrumentation Engineer</v>
      </c>
    </row>
    <row r="140" spans="1:21" hidden="1" x14ac:dyDescent="0.35">
      <c r="A140" s="7">
        <v>70000262</v>
      </c>
      <c r="B140" s="5" t="s">
        <v>82</v>
      </c>
      <c r="C140" s="5" t="s">
        <v>424</v>
      </c>
      <c r="D140" s="5" t="s">
        <v>15</v>
      </c>
      <c r="E140" s="5" t="s">
        <v>31</v>
      </c>
      <c r="F140" s="5" t="s">
        <v>425</v>
      </c>
      <c r="G140" s="5" t="s">
        <v>10</v>
      </c>
      <c r="H140" s="5" t="s">
        <v>231</v>
      </c>
      <c r="I140" s="6">
        <v>45306</v>
      </c>
      <c r="J140" s="5" t="s">
        <v>26</v>
      </c>
      <c r="K140" s="6">
        <v>32653</v>
      </c>
      <c r="L140" s="5">
        <f t="shared" ca="1" si="4"/>
        <v>37</v>
      </c>
      <c r="M140" s="5" t="s">
        <v>55</v>
      </c>
      <c r="N140" s="5" t="s">
        <v>86</v>
      </c>
      <c r="O140" s="5">
        <v>2</v>
      </c>
      <c r="P140" s="5" t="s">
        <v>87</v>
      </c>
      <c r="Q140" s="5" t="s">
        <v>10</v>
      </c>
      <c r="R140" s="5" t="s">
        <v>59</v>
      </c>
      <c r="S140" s="5" t="s">
        <v>88</v>
      </c>
      <c r="T140" t="s">
        <v>287</v>
      </c>
      <c r="U140" t="str">
        <f>IFERROR(VLOOKUP(T140,Base!$C$3:$F$177,4,FALSE),"Finance Controler")</f>
        <v>Finance Controler</v>
      </c>
    </row>
    <row r="141" spans="1:21" hidden="1" x14ac:dyDescent="0.35">
      <c r="A141" s="7">
        <v>70000264</v>
      </c>
      <c r="B141" s="5" t="s">
        <v>82</v>
      </c>
      <c r="C141" s="5" t="s">
        <v>426</v>
      </c>
      <c r="D141" s="5" t="s">
        <v>17</v>
      </c>
      <c r="E141" s="5" t="s">
        <v>35</v>
      </c>
      <c r="F141" s="5" t="s">
        <v>195</v>
      </c>
      <c r="G141" s="5" t="s">
        <v>9</v>
      </c>
      <c r="H141" s="5" t="s">
        <v>125</v>
      </c>
      <c r="I141" s="6">
        <v>45348</v>
      </c>
      <c r="J141" s="5" t="s">
        <v>26</v>
      </c>
      <c r="K141" s="6">
        <v>34554</v>
      </c>
      <c r="L141" s="5">
        <f t="shared" ca="1" si="4"/>
        <v>31</v>
      </c>
      <c r="M141" s="5" t="s">
        <v>55</v>
      </c>
      <c r="N141" s="5" t="s">
        <v>86</v>
      </c>
      <c r="O141" s="5">
        <v>1</v>
      </c>
      <c r="P141" s="5" t="s">
        <v>87</v>
      </c>
      <c r="Q141" s="5" t="s">
        <v>9</v>
      </c>
      <c r="R141" s="5" t="s">
        <v>59</v>
      </c>
      <c r="S141" s="5" t="s">
        <v>88</v>
      </c>
      <c r="T141" t="s">
        <v>196</v>
      </c>
      <c r="U141" t="str">
        <f>IFERROR(VLOOKUP(T141,Base!$C$3:$F$177,4,FALSE),"Shift Supervisor")</f>
        <v>Shift Supervisor</v>
      </c>
    </row>
    <row r="142" spans="1:21" x14ac:dyDescent="0.35">
      <c r="A142" s="61">
        <v>70000265</v>
      </c>
      <c r="B142" s="25" t="s">
        <v>82</v>
      </c>
      <c r="C142" s="25" t="s">
        <v>427</v>
      </c>
      <c r="D142" s="25" t="s">
        <v>15</v>
      </c>
      <c r="E142" s="25" t="s">
        <v>41</v>
      </c>
      <c r="F142" s="25" t="s">
        <v>428</v>
      </c>
      <c r="G142" s="25" t="s">
        <v>10</v>
      </c>
      <c r="H142" s="25" t="s">
        <v>429</v>
      </c>
      <c r="I142" s="26">
        <v>45397</v>
      </c>
      <c r="J142" s="25" t="s">
        <v>27</v>
      </c>
      <c r="K142" s="26">
        <v>30022</v>
      </c>
      <c r="L142" s="25">
        <f t="shared" ca="1" si="4"/>
        <v>44</v>
      </c>
      <c r="M142" s="25" t="s">
        <v>55</v>
      </c>
      <c r="N142" s="25" t="s">
        <v>86</v>
      </c>
      <c r="O142" s="25">
        <v>2</v>
      </c>
      <c r="P142" s="25" t="s">
        <v>87</v>
      </c>
      <c r="Q142" s="25" t="s">
        <v>10</v>
      </c>
      <c r="R142" s="25" t="s">
        <v>59</v>
      </c>
      <c r="S142" s="25" t="s">
        <v>88</v>
      </c>
      <c r="T142" t="s">
        <v>176</v>
      </c>
      <c r="U142" t="str">
        <f>IFERROR(VLOOKUP(T142,Base!$C$3:$F$177,4,FALSE),"Managing Director")</f>
        <v>Managing Director</v>
      </c>
    </row>
    <row r="143" spans="1:21" x14ac:dyDescent="0.35">
      <c r="A143" s="61">
        <v>70000266</v>
      </c>
      <c r="B143" s="25" t="s">
        <v>102</v>
      </c>
      <c r="C143" s="25" t="s">
        <v>430</v>
      </c>
      <c r="D143" s="25" t="s">
        <v>104</v>
      </c>
      <c r="E143" s="25" t="s">
        <v>33</v>
      </c>
      <c r="F143" s="25" t="s">
        <v>431</v>
      </c>
      <c r="G143" s="25" t="s">
        <v>9</v>
      </c>
      <c r="H143" s="25" t="s">
        <v>249</v>
      </c>
      <c r="I143" s="26">
        <v>45414</v>
      </c>
      <c r="J143" s="25" t="s">
        <v>26</v>
      </c>
      <c r="K143" s="26">
        <v>31578</v>
      </c>
      <c r="L143" s="25">
        <f t="shared" ca="1" si="4"/>
        <v>40</v>
      </c>
      <c r="M143" s="25" t="s">
        <v>55</v>
      </c>
      <c r="N143" s="25" t="s">
        <v>86</v>
      </c>
      <c r="O143" s="25">
        <v>1</v>
      </c>
      <c r="P143" s="25" t="s">
        <v>87</v>
      </c>
      <c r="Q143" s="25" t="s">
        <v>9</v>
      </c>
      <c r="R143" s="25" t="s">
        <v>59</v>
      </c>
      <c r="S143" s="25" t="s">
        <v>88</v>
      </c>
      <c r="T143" t="s">
        <v>128</v>
      </c>
      <c r="U143" t="str">
        <f>IFERROR(VLOOKUP(T143,Base!$C$3:$F$177,4,FALSE),"Plant Manager")</f>
        <v>Plant Manager</v>
      </c>
    </row>
    <row r="144" spans="1:21" x14ac:dyDescent="0.35">
      <c r="A144" s="61">
        <v>70000268</v>
      </c>
      <c r="B144" s="25" t="s">
        <v>82</v>
      </c>
      <c r="C144" s="25" t="s">
        <v>432</v>
      </c>
      <c r="D144" s="25" t="s">
        <v>15</v>
      </c>
      <c r="E144" s="25" t="s">
        <v>30</v>
      </c>
      <c r="F144" s="25" t="s">
        <v>433</v>
      </c>
      <c r="G144" s="25" t="s">
        <v>10</v>
      </c>
      <c r="H144" s="25" t="s">
        <v>231</v>
      </c>
      <c r="I144" s="26">
        <v>45404</v>
      </c>
      <c r="J144" s="25" t="s">
        <v>27</v>
      </c>
      <c r="K144" s="26">
        <v>36806</v>
      </c>
      <c r="L144" s="25">
        <f t="shared" ca="1" si="4"/>
        <v>25</v>
      </c>
      <c r="M144" s="25" t="s">
        <v>55</v>
      </c>
      <c r="N144" s="25" t="s">
        <v>153</v>
      </c>
      <c r="O144" s="25">
        <v>0</v>
      </c>
      <c r="P144" s="25" t="s">
        <v>87</v>
      </c>
      <c r="Q144" s="25" t="s">
        <v>10</v>
      </c>
      <c r="R144" s="25" t="s">
        <v>59</v>
      </c>
      <c r="S144" s="25" t="s">
        <v>88</v>
      </c>
      <c r="T144" t="s">
        <v>287</v>
      </c>
      <c r="U144" t="str">
        <f>IFERROR(VLOOKUP(T144,Base!$C$3:$F$177,4,FALSE),"Finance Controller")</f>
        <v>Finance Controller</v>
      </c>
    </row>
    <row r="145" spans="1:21" hidden="1" x14ac:dyDescent="0.35">
      <c r="A145" s="7">
        <v>70000269</v>
      </c>
      <c r="B145" s="5" t="s">
        <v>82</v>
      </c>
      <c r="C145" s="5" t="s">
        <v>434</v>
      </c>
      <c r="D145" s="5" t="s">
        <v>15</v>
      </c>
      <c r="E145" s="5" t="s">
        <v>30</v>
      </c>
      <c r="F145" s="5" t="s">
        <v>435</v>
      </c>
      <c r="G145" s="5" t="s">
        <v>10</v>
      </c>
      <c r="H145" s="5" t="s">
        <v>96</v>
      </c>
      <c r="I145" s="6">
        <v>45446</v>
      </c>
      <c r="J145" s="5" t="s">
        <v>27</v>
      </c>
      <c r="K145" s="6">
        <v>36150</v>
      </c>
      <c r="L145" s="5">
        <f t="shared" ca="1" si="4"/>
        <v>27</v>
      </c>
      <c r="M145" s="5" t="s">
        <v>55</v>
      </c>
      <c r="N145" s="5" t="s">
        <v>153</v>
      </c>
      <c r="O145" s="5">
        <v>0</v>
      </c>
      <c r="P145" s="5" t="s">
        <v>87</v>
      </c>
      <c r="Q145" s="5" t="s">
        <v>10</v>
      </c>
      <c r="R145" s="5" t="s">
        <v>60</v>
      </c>
      <c r="S145" s="5" t="s">
        <v>88</v>
      </c>
      <c r="T145" t="s">
        <v>436</v>
      </c>
      <c r="U145" t="str">
        <f>IFERROR(VLOOKUP(T145,Base!$C$3:$F$177,4,FALSE),"Talent &amp; Development Manager")</f>
        <v>Talent &amp; Development Manager</v>
      </c>
    </row>
    <row r="146" spans="1:21" x14ac:dyDescent="0.35">
      <c r="A146" s="61">
        <v>70000270</v>
      </c>
      <c r="B146" s="25" t="s">
        <v>82</v>
      </c>
      <c r="C146" s="25" t="s">
        <v>437</v>
      </c>
      <c r="D146" s="25" t="s">
        <v>15</v>
      </c>
      <c r="E146" s="25" t="s">
        <v>30</v>
      </c>
      <c r="F146" s="25" t="s">
        <v>438</v>
      </c>
      <c r="G146" s="25" t="s">
        <v>9</v>
      </c>
      <c r="H146" s="25" t="s">
        <v>148</v>
      </c>
      <c r="I146" s="26">
        <v>45446</v>
      </c>
      <c r="J146" s="25" t="s">
        <v>26</v>
      </c>
      <c r="K146" s="26">
        <v>36498</v>
      </c>
      <c r="L146" s="25">
        <f t="shared" ca="1" si="4"/>
        <v>26</v>
      </c>
      <c r="M146" s="25" t="s">
        <v>55</v>
      </c>
      <c r="N146" s="25" t="s">
        <v>153</v>
      </c>
      <c r="O146" s="25">
        <v>0</v>
      </c>
      <c r="P146" s="25" t="s">
        <v>87</v>
      </c>
      <c r="Q146" s="25" t="s">
        <v>9</v>
      </c>
      <c r="R146" s="25" t="s">
        <v>60</v>
      </c>
      <c r="S146" s="25" t="s">
        <v>88</v>
      </c>
      <c r="T146" t="s">
        <v>420</v>
      </c>
      <c r="U146" t="str">
        <f>IFERROR(VLOOKUP(T146,Base!$C$3:$F$177,4,FALSE),"IT Manager")</f>
        <v>IT Manager</v>
      </c>
    </row>
    <row r="147" spans="1:21" hidden="1" x14ac:dyDescent="0.35">
      <c r="A147" s="7">
        <v>70000274</v>
      </c>
      <c r="B147" s="5" t="s">
        <v>82</v>
      </c>
      <c r="C147" s="5" t="s">
        <v>439</v>
      </c>
      <c r="D147" s="5" t="s">
        <v>15</v>
      </c>
      <c r="E147" s="5" t="s">
        <v>30</v>
      </c>
      <c r="F147" s="5" t="s">
        <v>440</v>
      </c>
      <c r="G147" s="5" t="s">
        <v>10</v>
      </c>
      <c r="H147" s="5" t="s">
        <v>256</v>
      </c>
      <c r="I147" s="6">
        <v>45446</v>
      </c>
      <c r="J147" s="5" t="s">
        <v>26</v>
      </c>
      <c r="K147" s="6">
        <v>36231</v>
      </c>
      <c r="L147" s="5">
        <f t="shared" ca="1" si="4"/>
        <v>27</v>
      </c>
      <c r="M147" s="5" t="s">
        <v>55</v>
      </c>
      <c r="N147" s="5" t="s">
        <v>153</v>
      </c>
      <c r="O147" s="5">
        <v>0</v>
      </c>
      <c r="P147" s="5" t="s">
        <v>87</v>
      </c>
      <c r="Q147" s="5" t="s">
        <v>10</v>
      </c>
      <c r="R147" s="5" t="s">
        <v>60</v>
      </c>
      <c r="S147" s="5" t="s">
        <v>88</v>
      </c>
      <c r="T147" t="s">
        <v>441</v>
      </c>
      <c r="U147" t="str">
        <f>IFERROR(VLOOKUP(T147,Base!$C$3:$F$177,4,FALSE),"Finance Manager")</f>
        <v>Finance Manager</v>
      </c>
    </row>
    <row r="148" spans="1:21" x14ac:dyDescent="0.35">
      <c r="A148" s="61">
        <v>70000275</v>
      </c>
      <c r="B148" s="25" t="s">
        <v>82</v>
      </c>
      <c r="C148" s="25" t="s">
        <v>442</v>
      </c>
      <c r="D148" s="25" t="s">
        <v>15</v>
      </c>
      <c r="E148" s="25" t="s">
        <v>31</v>
      </c>
      <c r="F148" s="25" t="s">
        <v>443</v>
      </c>
      <c r="G148" s="25" t="s">
        <v>9</v>
      </c>
      <c r="H148" s="25" t="s">
        <v>349</v>
      </c>
      <c r="I148" s="26">
        <v>45455</v>
      </c>
      <c r="J148" s="25" t="s">
        <v>26</v>
      </c>
      <c r="K148" s="26">
        <v>34268</v>
      </c>
      <c r="L148" s="25">
        <f t="shared" ca="1" si="4"/>
        <v>32</v>
      </c>
      <c r="M148" s="25" t="s">
        <v>55</v>
      </c>
      <c r="N148" s="25" t="s">
        <v>86</v>
      </c>
      <c r="O148" s="25">
        <v>2</v>
      </c>
      <c r="P148" s="25" t="s">
        <v>87</v>
      </c>
      <c r="Q148" s="25" t="s">
        <v>9</v>
      </c>
      <c r="R148" s="25" t="s">
        <v>59</v>
      </c>
      <c r="S148" s="25" t="s">
        <v>88</v>
      </c>
      <c r="T148" t="s">
        <v>444</v>
      </c>
      <c r="U148" t="str">
        <f>IFERROR(VLOOKUP(T148,Base!$C$3:$F$177,4,FALSE),"Compliance Officer")</f>
        <v>Compliance Officer</v>
      </c>
    </row>
    <row r="149" spans="1:21" x14ac:dyDescent="0.35">
      <c r="A149" s="61">
        <v>70000276</v>
      </c>
      <c r="B149" s="25" t="s">
        <v>82</v>
      </c>
      <c r="C149" s="25" t="s">
        <v>445</v>
      </c>
      <c r="D149" s="25" t="s">
        <v>19</v>
      </c>
      <c r="E149" s="25" t="s">
        <v>43</v>
      </c>
      <c r="F149" s="25" t="s">
        <v>209</v>
      </c>
      <c r="G149" s="25" t="s">
        <v>9</v>
      </c>
      <c r="H149" s="25" t="s">
        <v>172</v>
      </c>
      <c r="I149" s="26">
        <v>45446</v>
      </c>
      <c r="J149" s="25" t="s">
        <v>26</v>
      </c>
      <c r="K149" s="26">
        <v>35765</v>
      </c>
      <c r="L149" s="25">
        <f t="shared" ca="1" si="4"/>
        <v>28</v>
      </c>
      <c r="M149" s="25" t="s">
        <v>55</v>
      </c>
      <c r="N149" s="25" t="s">
        <v>153</v>
      </c>
      <c r="O149" s="25">
        <v>0</v>
      </c>
      <c r="P149" s="25" t="s">
        <v>87</v>
      </c>
      <c r="Q149" s="25" t="s">
        <v>9</v>
      </c>
      <c r="R149" s="25" t="s">
        <v>59</v>
      </c>
      <c r="S149" s="25" t="s">
        <v>88</v>
      </c>
      <c r="T149" t="s">
        <v>210</v>
      </c>
      <c r="U149" t="str">
        <f>IFERROR(VLOOKUP(T149,Base!$C$3:$F$177,4,FALSE),"Senior Lab Analyst")</f>
        <v>Senior Lab Analyst</v>
      </c>
    </row>
    <row r="150" spans="1:21" hidden="1" x14ac:dyDescent="0.35">
      <c r="A150" s="7">
        <v>70000278</v>
      </c>
      <c r="B150" s="5" t="s">
        <v>82</v>
      </c>
      <c r="C150" s="5" t="s">
        <v>446</v>
      </c>
      <c r="D150" s="5" t="s">
        <v>15</v>
      </c>
      <c r="E150" s="5" t="s">
        <v>36</v>
      </c>
      <c r="F150" s="5" t="s">
        <v>447</v>
      </c>
      <c r="G150" s="5" t="s">
        <v>10</v>
      </c>
      <c r="H150" s="5" t="s">
        <v>411</v>
      </c>
      <c r="I150" s="6">
        <v>45530</v>
      </c>
      <c r="J150" s="5" t="s">
        <v>26</v>
      </c>
      <c r="K150" s="6">
        <v>34844</v>
      </c>
      <c r="L150" s="5">
        <f t="shared" ca="1" si="4"/>
        <v>31</v>
      </c>
      <c r="M150" s="5" t="s">
        <v>55</v>
      </c>
      <c r="N150" s="5" t="s">
        <v>153</v>
      </c>
      <c r="O150" s="5">
        <v>0</v>
      </c>
      <c r="P150" s="5" t="s">
        <v>87</v>
      </c>
      <c r="Q150" s="5" t="s">
        <v>10</v>
      </c>
      <c r="R150" s="5" t="s">
        <v>59</v>
      </c>
      <c r="S150" s="5" t="s">
        <v>88</v>
      </c>
      <c r="T150" t="s">
        <v>448</v>
      </c>
      <c r="U150" t="str">
        <f>IFERROR(VLOOKUP(T150,Base!$C$3:$F$177,4,FALSE),"Manager Internal Auditor")</f>
        <v>Manager Internal Auditor</v>
      </c>
    </row>
    <row r="151" spans="1:21" hidden="1" x14ac:dyDescent="0.35">
      <c r="A151" s="7">
        <v>70000279</v>
      </c>
      <c r="B151" s="5" t="s">
        <v>82</v>
      </c>
      <c r="C151" s="5" t="s">
        <v>449</v>
      </c>
      <c r="D151" s="5" t="s">
        <v>15</v>
      </c>
      <c r="E151" s="5" t="s">
        <v>32</v>
      </c>
      <c r="F151" s="5" t="s">
        <v>450</v>
      </c>
      <c r="G151" s="5" t="s">
        <v>10</v>
      </c>
      <c r="H151" s="5" t="s">
        <v>332</v>
      </c>
      <c r="I151" s="6">
        <v>45544</v>
      </c>
      <c r="J151" s="5" t="s">
        <v>27</v>
      </c>
      <c r="K151" s="6">
        <v>34439</v>
      </c>
      <c r="L151" s="5">
        <f t="shared" ca="1" si="4"/>
        <v>32</v>
      </c>
      <c r="M151" s="5" t="s">
        <v>55</v>
      </c>
      <c r="N151" s="5" t="s">
        <v>153</v>
      </c>
      <c r="O151" s="5">
        <v>0</v>
      </c>
      <c r="P151" s="5" t="s">
        <v>87</v>
      </c>
      <c r="Q151" s="5" t="s">
        <v>10</v>
      </c>
      <c r="R151" s="5" t="s">
        <v>59</v>
      </c>
      <c r="S151" s="5" t="s">
        <v>88</v>
      </c>
      <c r="T151" t="s">
        <v>451</v>
      </c>
      <c r="U151" t="str">
        <f>IFERROR(VLOOKUP(T151,Base!$C$3:$F$177,4,FALSE),"Head of Legal")</f>
        <v>Head of Legal</v>
      </c>
    </row>
    <row r="152" spans="1:21" x14ac:dyDescent="0.35">
      <c r="A152" s="61">
        <v>70000280</v>
      </c>
      <c r="B152" s="25" t="s">
        <v>82</v>
      </c>
      <c r="C152" s="25" t="s">
        <v>452</v>
      </c>
      <c r="D152" s="25" t="s">
        <v>16</v>
      </c>
      <c r="E152" s="25" t="s">
        <v>32</v>
      </c>
      <c r="F152" s="25" t="s">
        <v>453</v>
      </c>
      <c r="G152" s="25" t="s">
        <v>9</v>
      </c>
      <c r="H152" s="25" t="s">
        <v>152</v>
      </c>
      <c r="I152" s="26">
        <v>45586</v>
      </c>
      <c r="J152" s="25" t="s">
        <v>26</v>
      </c>
      <c r="K152" s="26">
        <v>34128</v>
      </c>
      <c r="L152" s="25">
        <f t="shared" ca="1" si="4"/>
        <v>33</v>
      </c>
      <c r="M152" s="25" t="s">
        <v>55</v>
      </c>
      <c r="N152" s="25" t="s">
        <v>153</v>
      </c>
      <c r="O152" s="25">
        <v>0</v>
      </c>
      <c r="P152" s="25" t="s">
        <v>87</v>
      </c>
      <c r="Q152" s="25" t="s">
        <v>9</v>
      </c>
      <c r="R152" s="25" t="s">
        <v>59</v>
      </c>
      <c r="S152" s="25" t="s">
        <v>88</v>
      </c>
      <c r="T152" t="s">
        <v>154</v>
      </c>
      <c r="U152" t="str">
        <f>IFERROR(VLOOKUP(T152,Base!$C$3:$F$177,4,FALSE),"Engineering Manager")</f>
        <v>Engineering Manager</v>
      </c>
    </row>
    <row r="153" spans="1:21" x14ac:dyDescent="0.35">
      <c r="A153" s="61">
        <v>70000281</v>
      </c>
      <c r="B153" s="25" t="s">
        <v>82</v>
      </c>
      <c r="C153" s="25" t="s">
        <v>454</v>
      </c>
      <c r="D153" s="25" t="s">
        <v>16</v>
      </c>
      <c r="E153" s="25" t="s">
        <v>37</v>
      </c>
      <c r="F153" s="25" t="s">
        <v>455</v>
      </c>
      <c r="G153" s="25" t="s">
        <v>9</v>
      </c>
      <c r="H153" s="25" t="s">
        <v>152</v>
      </c>
      <c r="I153" s="26">
        <v>45684</v>
      </c>
      <c r="J153" s="25" t="s">
        <v>26</v>
      </c>
      <c r="K153" s="26">
        <v>30463</v>
      </c>
      <c r="L153" s="25">
        <f t="shared" ca="1" si="4"/>
        <v>43</v>
      </c>
      <c r="M153" s="25" t="s">
        <v>57</v>
      </c>
      <c r="N153" s="25" t="s">
        <v>86</v>
      </c>
      <c r="O153" s="25">
        <v>1</v>
      </c>
      <c r="P153" s="25" t="s">
        <v>87</v>
      </c>
      <c r="Q153" s="25" t="s">
        <v>9</v>
      </c>
      <c r="R153" s="25" t="s">
        <v>60</v>
      </c>
      <c r="S153" s="25" t="s">
        <v>88</v>
      </c>
      <c r="T153" t="s">
        <v>154</v>
      </c>
      <c r="U153" t="str">
        <f>IFERROR(VLOOKUP(T153,Base!$C$3:$F$177,4,FALSE),"Engineering Manager")</f>
        <v>Engineering Manager</v>
      </c>
    </row>
    <row r="154" spans="1:21" x14ac:dyDescent="0.35">
      <c r="A154" s="61">
        <v>70000283</v>
      </c>
      <c r="B154" s="25" t="s">
        <v>82</v>
      </c>
      <c r="C154" s="25" t="s">
        <v>456</v>
      </c>
      <c r="D154" s="25" t="s">
        <v>16</v>
      </c>
      <c r="E154" s="25" t="s">
        <v>34</v>
      </c>
      <c r="F154" s="25" t="s">
        <v>375</v>
      </c>
      <c r="G154" s="25" t="s">
        <v>9</v>
      </c>
      <c r="H154" s="25" t="s">
        <v>152</v>
      </c>
      <c r="I154" s="26">
        <v>45703</v>
      </c>
      <c r="J154" s="25" t="s">
        <v>26</v>
      </c>
      <c r="K154" s="26">
        <v>34339</v>
      </c>
      <c r="L154" s="25">
        <f t="shared" ca="1" si="4"/>
        <v>32</v>
      </c>
      <c r="M154" s="25" t="s">
        <v>55</v>
      </c>
      <c r="N154" s="25" t="s">
        <v>153</v>
      </c>
      <c r="O154" s="25">
        <v>2</v>
      </c>
      <c r="P154" s="25" t="s">
        <v>87</v>
      </c>
      <c r="Q154" s="25" t="s">
        <v>9</v>
      </c>
      <c r="R154" s="25" t="s">
        <v>59</v>
      </c>
      <c r="S154" s="25" t="s">
        <v>88</v>
      </c>
      <c r="T154" t="s">
        <v>237</v>
      </c>
      <c r="U154" t="str">
        <f>IFERROR(VLOOKUP(T154,Base!$C$3:$F$177,4,FALSE),"Electrical Foreman")</f>
        <v>Electrical Foreman</v>
      </c>
    </row>
    <row r="155" spans="1:21" x14ac:dyDescent="0.35">
      <c r="A155" s="61">
        <v>70000284</v>
      </c>
      <c r="B155" s="25" t="s">
        <v>82</v>
      </c>
      <c r="C155" s="25" t="s">
        <v>457</v>
      </c>
      <c r="D155" s="25" t="s">
        <v>16</v>
      </c>
      <c r="E155" s="25" t="s">
        <v>30</v>
      </c>
      <c r="F155" s="25" t="s">
        <v>458</v>
      </c>
      <c r="G155" s="25" t="s">
        <v>9</v>
      </c>
      <c r="H155" s="25" t="s">
        <v>152</v>
      </c>
      <c r="I155" s="26">
        <v>45703</v>
      </c>
      <c r="J155" s="25" t="s">
        <v>26</v>
      </c>
      <c r="K155" s="26">
        <v>37476</v>
      </c>
      <c r="L155" s="25">
        <f t="shared" ca="1" si="4"/>
        <v>23</v>
      </c>
      <c r="M155" s="25" t="s">
        <v>55</v>
      </c>
      <c r="N155" s="25" t="s">
        <v>153</v>
      </c>
      <c r="O155" s="25">
        <v>0</v>
      </c>
      <c r="P155" s="25" t="s">
        <v>87</v>
      </c>
      <c r="Q155" s="25" t="s">
        <v>9</v>
      </c>
      <c r="R155" s="25" t="s">
        <v>59</v>
      </c>
      <c r="S155" s="25" t="s">
        <v>88</v>
      </c>
      <c r="T155" t="s">
        <v>240</v>
      </c>
      <c r="U155" t="str">
        <f>IFERROR(VLOOKUP(T155,Base!$C$3:$F$177,4,FALSE),"Electrical and Instrumentation Engineer")</f>
        <v>Electrical and Instrumentation Engineer</v>
      </c>
    </row>
    <row r="156" spans="1:21" hidden="1" x14ac:dyDescent="0.35">
      <c r="A156" s="7">
        <v>70000285</v>
      </c>
      <c r="B156" s="5" t="s">
        <v>82</v>
      </c>
      <c r="C156" s="5" t="s">
        <v>459</v>
      </c>
      <c r="D156" s="5" t="s">
        <v>14</v>
      </c>
      <c r="E156" s="5" t="s">
        <v>39</v>
      </c>
      <c r="F156" s="5" t="s">
        <v>460</v>
      </c>
      <c r="G156" s="5" t="s">
        <v>10</v>
      </c>
      <c r="H156" s="5" t="s">
        <v>272</v>
      </c>
      <c r="I156" s="6">
        <v>45726</v>
      </c>
      <c r="J156" s="5" t="s">
        <v>27</v>
      </c>
      <c r="K156" s="6">
        <v>36193</v>
      </c>
      <c r="L156" s="5">
        <f t="shared" ca="1" si="4"/>
        <v>27</v>
      </c>
      <c r="M156" s="5" t="s">
        <v>55</v>
      </c>
      <c r="N156" s="5" t="s">
        <v>153</v>
      </c>
      <c r="O156" s="5">
        <v>0</v>
      </c>
      <c r="P156" s="5" t="s">
        <v>87</v>
      </c>
      <c r="Q156" s="5" t="s">
        <v>10</v>
      </c>
      <c r="R156" s="5" t="s">
        <v>59</v>
      </c>
      <c r="S156" s="5" t="s">
        <v>88</v>
      </c>
      <c r="T156" t="s">
        <v>461</v>
      </c>
      <c r="U156" t="str">
        <f>IFERROR(VLOOKUP(T156,Base!$C$3:$F$177,4,FALSE),"Transport &amp; Transit Manager")</f>
        <v>Transport &amp; Transit Manager</v>
      </c>
    </row>
    <row r="157" spans="1:21" hidden="1" x14ac:dyDescent="0.35">
      <c r="A157" s="7">
        <v>70000286</v>
      </c>
      <c r="B157" s="5" t="s">
        <v>82</v>
      </c>
      <c r="C157" s="5" t="s">
        <v>462</v>
      </c>
      <c r="D157" s="5" t="s">
        <v>14</v>
      </c>
      <c r="E157" s="5" t="s">
        <v>30</v>
      </c>
      <c r="F157" s="5" t="s">
        <v>180</v>
      </c>
      <c r="G157" s="5" t="s">
        <v>10</v>
      </c>
      <c r="H157" s="5" t="s">
        <v>100</v>
      </c>
      <c r="I157" s="6">
        <v>45723</v>
      </c>
      <c r="J157" s="5" t="s">
        <v>26</v>
      </c>
      <c r="K157" s="6">
        <v>30946</v>
      </c>
      <c r="L157" s="5">
        <f t="shared" ca="1" si="4"/>
        <v>41</v>
      </c>
      <c r="M157" s="5" t="s">
        <v>55</v>
      </c>
      <c r="N157" s="5" t="s">
        <v>86</v>
      </c>
      <c r="O157" s="5">
        <v>4</v>
      </c>
      <c r="P157" s="5" t="s">
        <v>87</v>
      </c>
      <c r="Q157" s="5" t="s">
        <v>10</v>
      </c>
      <c r="R157" s="5" t="s">
        <v>59</v>
      </c>
      <c r="S157" s="5" t="s">
        <v>88</v>
      </c>
      <c r="T157" t="s">
        <v>463</v>
      </c>
      <c r="U157" t="str">
        <f>IFERROR(VLOOKUP(T157,Base!$C$3:$F$177,4,FALSE),"SRSMI")</f>
        <v>SRSMI</v>
      </c>
    </row>
    <row r="158" spans="1:21" hidden="1" x14ac:dyDescent="0.35">
      <c r="A158" s="7">
        <v>70000287</v>
      </c>
      <c r="B158" s="5" t="s">
        <v>82</v>
      </c>
      <c r="C158" s="5" t="s">
        <v>464</v>
      </c>
      <c r="D158" s="5" t="s">
        <v>14</v>
      </c>
      <c r="E158" s="5" t="s">
        <v>30</v>
      </c>
      <c r="F158" s="5" t="s">
        <v>180</v>
      </c>
      <c r="G158" s="5" t="s">
        <v>10</v>
      </c>
      <c r="H158" s="5" t="s">
        <v>100</v>
      </c>
      <c r="I158" s="6">
        <v>45733</v>
      </c>
      <c r="J158" s="5" t="s">
        <v>26</v>
      </c>
      <c r="K158" s="6">
        <v>33031</v>
      </c>
      <c r="L158" s="5">
        <f t="shared" ca="1" si="4"/>
        <v>36</v>
      </c>
      <c r="M158" s="5" t="s">
        <v>55</v>
      </c>
      <c r="N158" s="5" t="s">
        <v>86</v>
      </c>
      <c r="O158" s="5">
        <v>2</v>
      </c>
      <c r="P158" s="5" t="s">
        <v>87</v>
      </c>
      <c r="Q158" s="5" t="s">
        <v>10</v>
      </c>
      <c r="R158" s="5" t="s">
        <v>59</v>
      </c>
      <c r="S158" s="5" t="s">
        <v>88</v>
      </c>
      <c r="T158" t="s">
        <v>463</v>
      </c>
      <c r="U158" t="str">
        <f>IFERROR(VLOOKUP(T158,Base!$C$3:$F$177,4,FALSE),"SRSMI")</f>
        <v>SRSMI</v>
      </c>
    </row>
    <row r="159" spans="1:21" hidden="1" x14ac:dyDescent="0.35">
      <c r="A159" s="7">
        <v>70000288</v>
      </c>
      <c r="B159" s="5" t="s">
        <v>82</v>
      </c>
      <c r="C159" s="5" t="s">
        <v>465</v>
      </c>
      <c r="D159" s="5" t="s">
        <v>14</v>
      </c>
      <c r="E159" s="5" t="s">
        <v>30</v>
      </c>
      <c r="F159" s="5" t="s">
        <v>466</v>
      </c>
      <c r="G159" s="5" t="s">
        <v>10</v>
      </c>
      <c r="H159" s="5" t="s">
        <v>100</v>
      </c>
      <c r="I159" s="6">
        <v>45733</v>
      </c>
      <c r="J159" s="5" t="s">
        <v>26</v>
      </c>
      <c r="K159" s="6">
        <v>33290</v>
      </c>
      <c r="L159" s="5">
        <f t="shared" ca="1" si="4"/>
        <v>35</v>
      </c>
      <c r="M159" s="5" t="s">
        <v>55</v>
      </c>
      <c r="N159" s="5" t="s">
        <v>86</v>
      </c>
      <c r="O159" s="5">
        <v>1</v>
      </c>
      <c r="P159" s="5" t="s">
        <v>87</v>
      </c>
      <c r="Q159" s="5" t="s">
        <v>10</v>
      </c>
      <c r="R159" s="5" t="s">
        <v>59</v>
      </c>
      <c r="S159" s="5" t="s">
        <v>88</v>
      </c>
      <c r="T159" t="s">
        <v>463</v>
      </c>
      <c r="U159" t="str">
        <f>IFERROR(VLOOKUP(T159,Base!$C$3:$F$177,4,FALSE),"SRSMI")</f>
        <v>SRSMI</v>
      </c>
    </row>
    <row r="160" spans="1:21" hidden="1" x14ac:dyDescent="0.35">
      <c r="A160" s="7">
        <v>70000290</v>
      </c>
      <c r="B160" s="5" t="s">
        <v>82</v>
      </c>
      <c r="C160" s="5" t="s">
        <v>467</v>
      </c>
      <c r="D160" s="5" t="s">
        <v>23</v>
      </c>
      <c r="E160" s="5" t="s">
        <v>32</v>
      </c>
      <c r="F160" s="5" t="s">
        <v>468</v>
      </c>
      <c r="G160" s="5" t="s">
        <v>9</v>
      </c>
      <c r="H160" s="5" t="s">
        <v>160</v>
      </c>
      <c r="I160" s="6">
        <v>45740</v>
      </c>
      <c r="J160" s="5" t="s">
        <v>26</v>
      </c>
      <c r="K160" s="6">
        <v>32351</v>
      </c>
      <c r="L160" s="5">
        <f t="shared" ca="1" si="4"/>
        <v>37</v>
      </c>
      <c r="M160" s="5" t="s">
        <v>55</v>
      </c>
      <c r="N160" s="5" t="s">
        <v>86</v>
      </c>
      <c r="O160" s="5">
        <v>2</v>
      </c>
      <c r="P160" s="5" t="s">
        <v>87</v>
      </c>
      <c r="Q160" s="5" t="s">
        <v>9</v>
      </c>
      <c r="R160" s="5" t="s">
        <v>59</v>
      </c>
      <c r="S160" s="5" t="s">
        <v>88</v>
      </c>
      <c r="T160" t="s">
        <v>128</v>
      </c>
      <c r="U160" t="str">
        <f>IFERROR(VLOOKUP(T160,Base!$C$3:$F$177,4,FALSE),"Plant Manager")</f>
        <v>Plant Manager</v>
      </c>
    </row>
    <row r="161" spans="1:21" x14ac:dyDescent="0.35">
      <c r="A161" s="61">
        <v>70000291</v>
      </c>
      <c r="B161" s="25" t="s">
        <v>82</v>
      </c>
      <c r="C161" s="25" t="s">
        <v>469</v>
      </c>
      <c r="D161" s="25" t="s">
        <v>15</v>
      </c>
      <c r="E161" s="25" t="s">
        <v>40</v>
      </c>
      <c r="F161" s="25" t="s">
        <v>470</v>
      </c>
      <c r="G161" s="25" t="s">
        <v>10</v>
      </c>
      <c r="H161" s="25" t="s">
        <v>471</v>
      </c>
      <c r="I161" s="26">
        <v>45839</v>
      </c>
      <c r="J161" s="25" t="s">
        <v>27</v>
      </c>
      <c r="K161" s="26">
        <v>36151</v>
      </c>
      <c r="L161" s="25">
        <f t="shared" ca="1" si="4"/>
        <v>27</v>
      </c>
      <c r="M161" s="25" t="s">
        <v>55</v>
      </c>
      <c r="N161" s="25" t="s">
        <v>153</v>
      </c>
      <c r="O161" s="25">
        <v>0</v>
      </c>
      <c r="P161" s="25" t="s">
        <v>87</v>
      </c>
      <c r="Q161" s="25" t="s">
        <v>10</v>
      </c>
      <c r="R161" s="25" t="s">
        <v>60</v>
      </c>
      <c r="S161" s="25" t="s">
        <v>88</v>
      </c>
      <c r="T161" t="s">
        <v>176</v>
      </c>
      <c r="U161" t="str">
        <f>IFERROR(VLOOKUP(T161,Base!$C$3:$F$177,4,FALSE),"Managing Director")</f>
        <v>Managing Director</v>
      </c>
    </row>
    <row r="162" spans="1:21" hidden="1" x14ac:dyDescent="0.35">
      <c r="A162" s="7">
        <v>70000292</v>
      </c>
      <c r="B162" s="5" t="s">
        <v>82</v>
      </c>
      <c r="C162" s="5" t="s">
        <v>472</v>
      </c>
      <c r="D162" s="5" t="s">
        <v>15</v>
      </c>
      <c r="E162" s="5" t="s">
        <v>30</v>
      </c>
      <c r="F162" s="5" t="s">
        <v>473</v>
      </c>
      <c r="G162" s="5" t="s">
        <v>10</v>
      </c>
      <c r="H162" s="5" t="s">
        <v>474</v>
      </c>
      <c r="I162" s="6">
        <v>45723</v>
      </c>
      <c r="J162" s="5" t="s">
        <v>26</v>
      </c>
      <c r="K162" s="6">
        <v>30476</v>
      </c>
      <c r="L162" s="5">
        <f t="shared" ca="1" si="4"/>
        <v>43</v>
      </c>
      <c r="M162" s="5" t="s">
        <v>55</v>
      </c>
      <c r="N162" s="5" t="s">
        <v>86</v>
      </c>
      <c r="O162" s="5">
        <v>1</v>
      </c>
      <c r="P162" s="5" t="s">
        <v>87</v>
      </c>
      <c r="Q162" s="5" t="s">
        <v>10</v>
      </c>
      <c r="R162" s="5" t="s">
        <v>59</v>
      </c>
      <c r="S162" s="5" t="s">
        <v>88</v>
      </c>
      <c r="T162" t="s">
        <v>176</v>
      </c>
      <c r="U162" t="str">
        <f>IFERROR(VLOOKUP(T162,Base!$C$3:$F$177,4,FALSE),"Managing Director")</f>
        <v>Managing Director</v>
      </c>
    </row>
    <row r="163" spans="1:21" x14ac:dyDescent="0.35">
      <c r="A163" s="61">
        <v>70000293</v>
      </c>
      <c r="B163" s="25" t="s">
        <v>82</v>
      </c>
      <c r="C163" s="25" t="s">
        <v>475</v>
      </c>
      <c r="D163" s="25" t="s">
        <v>15</v>
      </c>
      <c r="E163" s="25" t="s">
        <v>33</v>
      </c>
      <c r="F163" s="25" t="s">
        <v>476</v>
      </c>
      <c r="G163" s="25" t="s">
        <v>9</v>
      </c>
      <c r="H163" s="25" t="s">
        <v>416</v>
      </c>
      <c r="I163" s="26">
        <v>45847</v>
      </c>
      <c r="J163" s="25" t="s">
        <v>26</v>
      </c>
      <c r="K163" s="26">
        <v>30744</v>
      </c>
      <c r="L163" s="25">
        <f t="shared" ref="L163:L194" ca="1" si="5">DATEDIF(K163,TODAY(),"Y")</f>
        <v>42</v>
      </c>
      <c r="M163" s="25" t="s">
        <v>55</v>
      </c>
      <c r="N163" s="25" t="s">
        <v>86</v>
      </c>
      <c r="O163" s="25">
        <v>7</v>
      </c>
      <c r="P163" s="25" t="s">
        <v>87</v>
      </c>
      <c r="Q163" s="25" t="s">
        <v>9</v>
      </c>
      <c r="R163" s="25" t="s">
        <v>59</v>
      </c>
      <c r="S163" s="25" t="s">
        <v>88</v>
      </c>
      <c r="T163" t="s">
        <v>176</v>
      </c>
      <c r="U163" t="str">
        <f>IFERROR(VLOOKUP(T163,Base!$C$3:$F$177,4,FALSE),"Managing Director")</f>
        <v>Managing Director</v>
      </c>
    </row>
    <row r="164" spans="1:21" x14ac:dyDescent="0.35">
      <c r="A164" s="61">
        <v>70000294</v>
      </c>
      <c r="B164" s="25" t="s">
        <v>82</v>
      </c>
      <c r="C164" s="25" t="s">
        <v>477</v>
      </c>
      <c r="D164" s="25" t="s">
        <v>19</v>
      </c>
      <c r="E164" s="25" t="s">
        <v>43</v>
      </c>
      <c r="F164" s="25" t="s">
        <v>209</v>
      </c>
      <c r="G164" s="25" t="s">
        <v>9</v>
      </c>
      <c r="H164" s="25" t="s">
        <v>172</v>
      </c>
      <c r="I164" s="26">
        <v>45901</v>
      </c>
      <c r="J164" s="25" t="s">
        <v>26</v>
      </c>
      <c r="K164" s="26">
        <v>32093</v>
      </c>
      <c r="L164" s="25">
        <f t="shared" ca="1" si="5"/>
        <v>38</v>
      </c>
      <c r="M164" s="25" t="s">
        <v>55</v>
      </c>
      <c r="N164" s="25" t="s">
        <v>153</v>
      </c>
      <c r="O164" s="25">
        <v>0</v>
      </c>
      <c r="P164" s="25" t="s">
        <v>87</v>
      </c>
      <c r="Q164" s="25" t="s">
        <v>9</v>
      </c>
      <c r="R164" s="25" t="s">
        <v>60</v>
      </c>
      <c r="S164" s="25" t="s">
        <v>88</v>
      </c>
      <c r="T164" t="s">
        <v>210</v>
      </c>
      <c r="U164" t="str">
        <f>IFERROR(VLOOKUP(T164,Base!$C$3:$F$177,4,FALSE),"Senior Lab Analyst")</f>
        <v>Senior Lab Analyst</v>
      </c>
    </row>
    <row r="165" spans="1:21" x14ac:dyDescent="0.35">
      <c r="A165" s="61">
        <v>70000295</v>
      </c>
      <c r="B165" s="25" t="s">
        <v>82</v>
      </c>
      <c r="C165" s="25" t="s">
        <v>478</v>
      </c>
      <c r="D165" s="25" t="s">
        <v>18</v>
      </c>
      <c r="E165" s="25" t="s">
        <v>33</v>
      </c>
      <c r="F165" s="25" t="s">
        <v>93</v>
      </c>
      <c r="G165" s="25" t="s">
        <v>9</v>
      </c>
      <c r="H165" s="25" t="s">
        <v>122</v>
      </c>
      <c r="I165" s="26">
        <v>45931</v>
      </c>
      <c r="J165" s="25" t="s">
        <v>27</v>
      </c>
      <c r="K165" s="26">
        <v>27986</v>
      </c>
      <c r="L165" s="25">
        <f t="shared" ca="1" si="5"/>
        <v>49</v>
      </c>
      <c r="M165" s="25" t="s">
        <v>55</v>
      </c>
      <c r="N165" s="25" t="s">
        <v>86</v>
      </c>
      <c r="O165" s="25">
        <v>4</v>
      </c>
      <c r="P165" s="25" t="s">
        <v>87</v>
      </c>
      <c r="Q165" s="25" t="s">
        <v>10</v>
      </c>
      <c r="R165" s="25" t="s">
        <v>59</v>
      </c>
      <c r="S165" s="25" t="s">
        <v>88</v>
      </c>
      <c r="T165" t="s">
        <v>113</v>
      </c>
      <c r="U165" t="str">
        <f>IFERROR(VLOOKUP(T165,Base!$C$3:$F$177,4,FALSE),"Head of HR")</f>
        <v>Head of HR</v>
      </c>
    </row>
    <row r="166" spans="1:21" hidden="1" x14ac:dyDescent="0.35">
      <c r="A166" s="7">
        <v>70000296</v>
      </c>
      <c r="B166" s="5" t="s">
        <v>82</v>
      </c>
      <c r="C166" s="5" t="s">
        <v>479</v>
      </c>
      <c r="D166" s="5" t="s">
        <v>14</v>
      </c>
      <c r="E166" s="5" t="s">
        <v>41</v>
      </c>
      <c r="F166" s="5" t="s">
        <v>274</v>
      </c>
      <c r="G166" s="5" t="s">
        <v>10</v>
      </c>
      <c r="H166" s="5" t="s">
        <v>480</v>
      </c>
      <c r="I166" s="6">
        <v>45971</v>
      </c>
      <c r="J166" s="5" t="s">
        <v>26</v>
      </c>
      <c r="K166" s="6">
        <v>34417</v>
      </c>
      <c r="L166" s="5">
        <f t="shared" ca="1" si="5"/>
        <v>32</v>
      </c>
      <c r="M166" s="5" t="s">
        <v>55</v>
      </c>
      <c r="N166" s="5" t="s">
        <v>86</v>
      </c>
      <c r="O166" s="5">
        <v>2</v>
      </c>
      <c r="P166" s="5" t="s">
        <v>87</v>
      </c>
      <c r="Q166" s="5" t="s">
        <v>10</v>
      </c>
      <c r="R166" s="5" t="s">
        <v>59</v>
      </c>
      <c r="S166" s="5" t="s">
        <v>88</v>
      </c>
      <c r="T166" t="s">
        <v>176</v>
      </c>
      <c r="U166" t="str">
        <f>IFERROR(VLOOKUP(T166,Base!$C$3:$F$177,4,FALSE),"Managing Director")</f>
        <v>Managing Director</v>
      </c>
    </row>
    <row r="167" spans="1:21" hidden="1" x14ac:dyDescent="0.35">
      <c r="A167" s="7">
        <v>70000297</v>
      </c>
      <c r="B167" s="5" t="s">
        <v>82</v>
      </c>
      <c r="C167" s="5" t="s">
        <v>481</v>
      </c>
      <c r="D167" s="5" t="s">
        <v>14</v>
      </c>
      <c r="E167" s="5" t="s">
        <v>33</v>
      </c>
      <c r="F167" s="5" t="s">
        <v>328</v>
      </c>
      <c r="G167" s="5" t="s">
        <v>10</v>
      </c>
      <c r="H167" s="5" t="s">
        <v>218</v>
      </c>
      <c r="I167" s="6">
        <v>45964</v>
      </c>
      <c r="J167" s="5" t="s">
        <v>26</v>
      </c>
      <c r="K167" s="6">
        <v>28809</v>
      </c>
      <c r="L167" s="5">
        <f t="shared" ca="1" si="5"/>
        <v>47</v>
      </c>
      <c r="M167" s="5" t="s">
        <v>55</v>
      </c>
      <c r="N167" s="5" t="s">
        <v>86</v>
      </c>
      <c r="O167" s="5">
        <v>2</v>
      </c>
      <c r="P167" s="5" t="s">
        <v>87</v>
      </c>
      <c r="Q167" s="5" t="s">
        <v>10</v>
      </c>
      <c r="R167" s="5" t="s">
        <v>59</v>
      </c>
      <c r="S167" s="5" t="s">
        <v>88</v>
      </c>
      <c r="T167" t="s">
        <v>482</v>
      </c>
      <c r="U167" t="str">
        <f>IFERROR(VLOOKUP(T167,Base!$C$3:$F$177,4,FALSE),"Head of Business Development")</f>
        <v>Head of Business Development</v>
      </c>
    </row>
    <row r="168" spans="1:21" hidden="1" x14ac:dyDescent="0.35">
      <c r="A168" s="7">
        <v>70000299</v>
      </c>
      <c r="B168" s="5" t="s">
        <v>82</v>
      </c>
      <c r="C168" s="5" t="s">
        <v>483</v>
      </c>
      <c r="D168" s="5" t="s">
        <v>18</v>
      </c>
      <c r="E168" s="5" t="s">
        <v>31</v>
      </c>
      <c r="F168" s="5" t="s">
        <v>484</v>
      </c>
      <c r="G168" s="5" t="s">
        <v>11</v>
      </c>
      <c r="H168" s="5" t="s">
        <v>85</v>
      </c>
      <c r="I168" s="6">
        <v>45992</v>
      </c>
      <c r="J168" s="5" t="s">
        <v>27</v>
      </c>
      <c r="K168" s="6">
        <v>30494</v>
      </c>
      <c r="L168" s="5">
        <f t="shared" ca="1" si="5"/>
        <v>43</v>
      </c>
      <c r="M168" s="5" t="s">
        <v>55</v>
      </c>
      <c r="N168" s="5" t="s">
        <v>153</v>
      </c>
      <c r="O168" s="5">
        <v>2</v>
      </c>
      <c r="P168" s="5" t="s">
        <v>87</v>
      </c>
      <c r="Q168" s="5" t="s">
        <v>11</v>
      </c>
      <c r="R168" s="5" t="s">
        <v>60</v>
      </c>
      <c r="S168" s="5" t="s">
        <v>88</v>
      </c>
      <c r="T168" t="s">
        <v>113</v>
      </c>
      <c r="U168" t="str">
        <f>IFERROR(VLOOKUP(T168,Base!$C$3:$F$177,4,FALSE),"Head of HR")</f>
        <v>Head of HR</v>
      </c>
    </row>
    <row r="169" spans="1:21" hidden="1" x14ac:dyDescent="0.35">
      <c r="A169" s="7">
        <v>70000300</v>
      </c>
      <c r="B169" s="5" t="s">
        <v>82</v>
      </c>
      <c r="C169" s="5" t="s">
        <v>485</v>
      </c>
      <c r="D169" s="5" t="s">
        <v>18</v>
      </c>
      <c r="E169" s="5" t="s">
        <v>31</v>
      </c>
      <c r="F169" s="5" t="s">
        <v>486</v>
      </c>
      <c r="G169" s="5" t="s">
        <v>11</v>
      </c>
      <c r="H169" s="5" t="s">
        <v>85</v>
      </c>
      <c r="I169" s="6">
        <v>45992</v>
      </c>
      <c r="J169" s="5" t="s">
        <v>26</v>
      </c>
      <c r="K169" s="6">
        <v>36210</v>
      </c>
      <c r="L169" s="5">
        <f t="shared" ca="1" si="5"/>
        <v>27</v>
      </c>
      <c r="M169" s="5" t="s">
        <v>55</v>
      </c>
      <c r="N169" s="5" t="s">
        <v>153</v>
      </c>
      <c r="O169" s="5">
        <v>0</v>
      </c>
      <c r="P169" s="5" t="s">
        <v>87</v>
      </c>
      <c r="Q169" s="5" t="s">
        <v>11</v>
      </c>
      <c r="R169" s="5" t="s">
        <v>60</v>
      </c>
      <c r="S169" s="5" t="s">
        <v>88</v>
      </c>
      <c r="T169" t="s">
        <v>191</v>
      </c>
      <c r="U169" t="str">
        <f>IFERROR(VLOOKUP(T169,Base!$C$3:$F$177,4,FALSE),"Site Manager")</f>
        <v>Site Manager</v>
      </c>
    </row>
    <row r="170" spans="1:21" hidden="1" x14ac:dyDescent="0.35">
      <c r="A170" s="7">
        <v>70000302</v>
      </c>
      <c r="B170" s="5" t="s">
        <v>82</v>
      </c>
      <c r="C170" s="5" t="s">
        <v>487</v>
      </c>
      <c r="D170" s="5" t="s">
        <v>18</v>
      </c>
      <c r="E170" s="5" t="s">
        <v>32</v>
      </c>
      <c r="F170" s="5" t="s">
        <v>488</v>
      </c>
      <c r="G170" s="5" t="s">
        <v>11</v>
      </c>
      <c r="H170" s="5" t="s">
        <v>85</v>
      </c>
      <c r="I170" s="6">
        <v>45992</v>
      </c>
      <c r="J170" s="5" t="s">
        <v>26</v>
      </c>
      <c r="K170" s="6">
        <v>33260</v>
      </c>
      <c r="L170" s="5">
        <f t="shared" ca="1" si="5"/>
        <v>35</v>
      </c>
      <c r="M170" s="5" t="s">
        <v>55</v>
      </c>
      <c r="N170" s="5" t="s">
        <v>86</v>
      </c>
      <c r="O170" s="5">
        <v>3</v>
      </c>
      <c r="P170" s="5" t="s">
        <v>87</v>
      </c>
      <c r="Q170" s="5" t="s">
        <v>11</v>
      </c>
      <c r="R170" s="5" t="s">
        <v>60</v>
      </c>
      <c r="S170" s="5" t="s">
        <v>88</v>
      </c>
      <c r="T170" t="s">
        <v>191</v>
      </c>
      <c r="U170" t="str">
        <f>IFERROR(VLOOKUP(T170,Base!$C$3:$F$177,4,FALSE),"Site Manager")</f>
        <v>Site Manager</v>
      </c>
    </row>
    <row r="171" spans="1:21" hidden="1" x14ac:dyDescent="0.35">
      <c r="A171" s="7">
        <v>70000303</v>
      </c>
      <c r="B171" s="5" t="s">
        <v>82</v>
      </c>
      <c r="C171" s="5" t="s">
        <v>489</v>
      </c>
      <c r="D171" s="5" t="s">
        <v>18</v>
      </c>
      <c r="E171" s="5" t="s">
        <v>31</v>
      </c>
      <c r="F171" s="5" t="s">
        <v>490</v>
      </c>
      <c r="G171" s="5" t="s">
        <v>11</v>
      </c>
      <c r="H171" s="5" t="s">
        <v>85</v>
      </c>
      <c r="I171" s="6">
        <v>45992</v>
      </c>
      <c r="J171" s="5" t="s">
        <v>26</v>
      </c>
      <c r="K171" s="6">
        <v>33058</v>
      </c>
      <c r="L171" s="5">
        <f t="shared" ca="1" si="5"/>
        <v>36</v>
      </c>
      <c r="M171" s="5" t="s">
        <v>55</v>
      </c>
      <c r="N171" s="5" t="s">
        <v>86</v>
      </c>
      <c r="O171" s="5">
        <v>3</v>
      </c>
      <c r="P171" s="5" t="s">
        <v>87</v>
      </c>
      <c r="Q171" s="5" t="s">
        <v>11</v>
      </c>
      <c r="R171" s="5" t="s">
        <v>60</v>
      </c>
      <c r="S171" s="5" t="s">
        <v>88</v>
      </c>
      <c r="T171" t="s">
        <v>191</v>
      </c>
      <c r="U171" t="str">
        <f>IFERROR(VLOOKUP(T171,Base!$C$3:$F$177,4,FALSE),"Site Manager")</f>
        <v>Site Manager</v>
      </c>
    </row>
    <row r="172" spans="1:21" hidden="1" x14ac:dyDescent="0.35">
      <c r="A172" s="7">
        <v>70000304</v>
      </c>
      <c r="B172" s="5" t="s">
        <v>82</v>
      </c>
      <c r="C172" s="5" t="s">
        <v>491</v>
      </c>
      <c r="D172" s="5" t="s">
        <v>18</v>
      </c>
      <c r="E172" s="5" t="s">
        <v>32</v>
      </c>
      <c r="F172" s="5" t="s">
        <v>492</v>
      </c>
      <c r="G172" s="5" t="s">
        <v>11</v>
      </c>
      <c r="H172" s="5" t="s">
        <v>85</v>
      </c>
      <c r="I172" s="6">
        <v>45992</v>
      </c>
      <c r="J172" s="5" t="s">
        <v>26</v>
      </c>
      <c r="K172" s="6">
        <v>31097</v>
      </c>
      <c r="L172" s="5">
        <f t="shared" ca="1" si="5"/>
        <v>41</v>
      </c>
      <c r="M172" s="5" t="s">
        <v>55</v>
      </c>
      <c r="N172" s="5" t="s">
        <v>86</v>
      </c>
      <c r="O172" s="5">
        <v>3</v>
      </c>
      <c r="P172" s="5" t="s">
        <v>87</v>
      </c>
      <c r="Q172" s="5" t="s">
        <v>11</v>
      </c>
      <c r="R172" s="5" t="s">
        <v>60</v>
      </c>
      <c r="S172" s="5" t="s">
        <v>88</v>
      </c>
      <c r="T172" t="s">
        <v>191</v>
      </c>
      <c r="U172" t="str">
        <f>IFERROR(VLOOKUP(T172,Base!$C$3:$F$177,4,FALSE),"Site Manager")</f>
        <v>Site Manager</v>
      </c>
    </row>
    <row r="173" spans="1:21" hidden="1" x14ac:dyDescent="0.35">
      <c r="A173" s="7">
        <v>70000305</v>
      </c>
      <c r="B173" s="5" t="s">
        <v>82</v>
      </c>
      <c r="C173" s="5" t="s">
        <v>493</v>
      </c>
      <c r="D173" s="5" t="s">
        <v>18</v>
      </c>
      <c r="E173" s="5" t="s">
        <v>30</v>
      </c>
      <c r="F173" s="5" t="s">
        <v>466</v>
      </c>
      <c r="G173" s="5" t="s">
        <v>11</v>
      </c>
      <c r="H173" s="5" t="s">
        <v>85</v>
      </c>
      <c r="I173" s="6">
        <v>45992</v>
      </c>
      <c r="J173" s="5" t="s">
        <v>26</v>
      </c>
      <c r="K173" s="6">
        <v>32689</v>
      </c>
      <c r="L173" s="5">
        <f t="shared" ca="1" si="5"/>
        <v>37</v>
      </c>
      <c r="M173" s="5" t="s">
        <v>55</v>
      </c>
      <c r="N173" s="5" t="s">
        <v>86</v>
      </c>
      <c r="O173" s="5">
        <v>3</v>
      </c>
      <c r="P173" s="5" t="s">
        <v>87</v>
      </c>
      <c r="Q173" s="5" t="s">
        <v>11</v>
      </c>
      <c r="R173" s="5" t="s">
        <v>60</v>
      </c>
      <c r="S173" s="5" t="s">
        <v>88</v>
      </c>
      <c r="T173" t="s">
        <v>191</v>
      </c>
      <c r="U173" t="str">
        <f>IFERROR(VLOOKUP(T173,Base!$C$3:$F$177,4,FALSE),"Site Manager")</f>
        <v>Site Manager</v>
      </c>
    </row>
    <row r="174" spans="1:21" x14ac:dyDescent="0.35">
      <c r="A174" s="61">
        <v>70000306</v>
      </c>
      <c r="B174" s="25" t="s">
        <v>82</v>
      </c>
      <c r="C174" s="25" t="s">
        <v>494</v>
      </c>
      <c r="D174" s="25" t="s">
        <v>16</v>
      </c>
      <c r="E174" s="25" t="s">
        <v>30</v>
      </c>
      <c r="F174" s="25" t="s">
        <v>458</v>
      </c>
      <c r="G174" s="25" t="s">
        <v>10</v>
      </c>
      <c r="H174" s="25" t="s">
        <v>152</v>
      </c>
      <c r="I174" s="26">
        <v>46146</v>
      </c>
      <c r="J174" s="25" t="s">
        <v>26</v>
      </c>
      <c r="K174" s="26">
        <v>32347</v>
      </c>
      <c r="L174" s="25">
        <f t="shared" ca="1" si="5"/>
        <v>38</v>
      </c>
      <c r="M174" s="25" t="s">
        <v>55</v>
      </c>
      <c r="N174" s="25" t="s">
        <v>86</v>
      </c>
      <c r="O174" s="25">
        <v>3</v>
      </c>
      <c r="P174" s="25" t="s">
        <v>87</v>
      </c>
      <c r="Q174" s="25" t="s">
        <v>9</v>
      </c>
      <c r="R174" s="25" t="s">
        <v>60</v>
      </c>
      <c r="S174" s="25" t="s">
        <v>88</v>
      </c>
      <c r="T174" t="s">
        <v>240</v>
      </c>
      <c r="U174" t="str">
        <f>IFERROR(VLOOKUP(T174,Base!$C$3:$F$177,4,FALSE),"Electrical &amp; Instrumentation Engineer")</f>
        <v>Electrical &amp; Instrumentation Engineer</v>
      </c>
    </row>
    <row r="175" spans="1:21" x14ac:dyDescent="0.35">
      <c r="A175" s="61">
        <v>70000307</v>
      </c>
      <c r="B175" s="25" t="s">
        <v>82</v>
      </c>
      <c r="C175" s="25" t="s">
        <v>495</v>
      </c>
      <c r="D175" s="25" t="s">
        <v>24</v>
      </c>
      <c r="E175" s="25" t="s">
        <v>31</v>
      </c>
      <c r="F175" s="25" t="s">
        <v>425</v>
      </c>
      <c r="G175" s="25" t="s">
        <v>10</v>
      </c>
      <c r="H175" s="25" t="s">
        <v>501</v>
      </c>
      <c r="I175" s="26">
        <v>46174</v>
      </c>
      <c r="J175" s="25" t="s">
        <v>26</v>
      </c>
      <c r="K175" s="26">
        <v>36995</v>
      </c>
      <c r="L175" s="25">
        <f t="shared" ca="1" si="5"/>
        <v>25</v>
      </c>
      <c r="M175" s="25" t="s">
        <v>55</v>
      </c>
      <c r="N175" s="25" t="s">
        <v>153</v>
      </c>
      <c r="O175" s="25">
        <v>0</v>
      </c>
      <c r="P175" s="25" t="s">
        <v>87</v>
      </c>
      <c r="Q175" s="25" t="s">
        <v>10</v>
      </c>
      <c r="R175" s="25" t="s">
        <v>60</v>
      </c>
      <c r="S175" s="25" t="s">
        <v>88</v>
      </c>
      <c r="T175" t="s">
        <v>287</v>
      </c>
      <c r="U175" t="str">
        <f>IFERROR(VLOOKUP(T175,Base!$C$3:$F$177,4,FALSE),"Finance Controller")</f>
        <v>Finance Controller</v>
      </c>
    </row>
    <row r="176" spans="1:21" x14ac:dyDescent="0.35">
      <c r="A176" s="61">
        <v>70000308</v>
      </c>
      <c r="B176" s="25" t="s">
        <v>82</v>
      </c>
      <c r="C176" s="25" t="s">
        <v>496</v>
      </c>
      <c r="D176" s="25" t="s">
        <v>21</v>
      </c>
      <c r="E176" s="25" t="s">
        <v>35</v>
      </c>
      <c r="F176" s="25" t="s">
        <v>497</v>
      </c>
      <c r="G176" s="25" t="s">
        <v>10</v>
      </c>
      <c r="H176" s="25" t="s">
        <v>501</v>
      </c>
      <c r="I176" s="26">
        <v>46190</v>
      </c>
      <c r="J176" s="25" t="s">
        <v>26</v>
      </c>
      <c r="K176" s="26">
        <v>34369</v>
      </c>
      <c r="L176" s="25">
        <f t="shared" ca="1" si="5"/>
        <v>32</v>
      </c>
      <c r="M176" s="25" t="s">
        <v>55</v>
      </c>
      <c r="N176" s="25" t="s">
        <v>86</v>
      </c>
      <c r="O176" s="25">
        <v>1</v>
      </c>
      <c r="P176" s="25" t="s">
        <v>87</v>
      </c>
      <c r="Q176" s="25" t="s">
        <v>9</v>
      </c>
      <c r="R176" s="25" t="s">
        <v>60</v>
      </c>
      <c r="S176" s="25" t="s">
        <v>88</v>
      </c>
      <c r="T176" t="s">
        <v>498</v>
      </c>
      <c r="U176" t="str">
        <f>IFERROR(VLOOKUP(T176,Base!$C$3:$F$177,4,FALSE),"HR Plant Manager")</f>
        <v>HR Plant Manager</v>
      </c>
    </row>
    <row r="177" spans="1:21" x14ac:dyDescent="0.35">
      <c r="A177" s="61">
        <v>70000309</v>
      </c>
      <c r="B177" s="25" t="s">
        <v>82</v>
      </c>
      <c r="C177" s="25" t="s">
        <v>499</v>
      </c>
      <c r="D177" s="25" t="s">
        <v>16</v>
      </c>
      <c r="E177" s="25" t="s">
        <v>30</v>
      </c>
      <c r="F177" s="25" t="s">
        <v>500</v>
      </c>
      <c r="G177" s="25" t="s">
        <v>10</v>
      </c>
      <c r="H177" s="25" t="s">
        <v>501</v>
      </c>
      <c r="I177" s="26">
        <v>46181</v>
      </c>
      <c r="J177" s="25" t="s">
        <v>26</v>
      </c>
      <c r="K177" s="26">
        <v>31161</v>
      </c>
      <c r="L177" s="25">
        <f t="shared" ca="1" si="5"/>
        <v>41</v>
      </c>
      <c r="M177" s="25" t="s">
        <v>55</v>
      </c>
      <c r="N177" s="25" t="s">
        <v>86</v>
      </c>
      <c r="O177" s="25">
        <v>2</v>
      </c>
      <c r="P177" s="25" t="s">
        <v>87</v>
      </c>
      <c r="Q177" s="25" t="s">
        <v>9</v>
      </c>
      <c r="R177" s="25" t="s">
        <v>60</v>
      </c>
      <c r="S177" s="25" t="s">
        <v>88</v>
      </c>
      <c r="T177" t="s">
        <v>183</v>
      </c>
      <c r="U177" t="str">
        <f>IFERROR(VLOOKUP(T177,Base!$C$3:$F$177,4,FALSE),"Mechanical Foreman")</f>
        <v>Mechanical Foreman</v>
      </c>
    </row>
    <row r="178" spans="1:21" x14ac:dyDescent="0.35">
      <c r="A178" s="62"/>
      <c r="B178" s="5"/>
      <c r="C178" s="5"/>
      <c r="D178" s="5"/>
      <c r="E178" s="5"/>
      <c r="F178" s="5"/>
      <c r="G178" s="5"/>
      <c r="H178" s="5"/>
      <c r="I178" s="6"/>
      <c r="J178" s="5"/>
      <c r="K178" s="6"/>
      <c r="L178" s="5"/>
      <c r="M178" s="5"/>
      <c r="N178" s="5"/>
      <c r="O178" s="5"/>
      <c r="P178" s="5"/>
      <c r="Q178" s="5"/>
      <c r="R178" s="5"/>
      <c r="S178" s="5"/>
    </row>
    <row r="1048508" spans="20:20" x14ac:dyDescent="0.35">
      <c r="T1048508" s="10"/>
    </row>
    <row r="1048509" spans="20:20" x14ac:dyDescent="0.35">
      <c r="T1048509" s="25"/>
    </row>
    <row r="1048510" spans="20:20" x14ac:dyDescent="0.35">
      <c r="T1048510" s="25"/>
    </row>
    <row r="1048511" spans="20:20" x14ac:dyDescent="0.35">
      <c r="T1048511" s="25"/>
    </row>
    <row r="1048512" spans="20:20" x14ac:dyDescent="0.35">
      <c r="T1048512" s="25"/>
    </row>
    <row r="1048513" spans="20:20" x14ac:dyDescent="0.35">
      <c r="T1048513" s="25"/>
    </row>
    <row r="1048514" spans="20:20" x14ac:dyDescent="0.35">
      <c r="T1048514" s="25"/>
    </row>
    <row r="1048515" spans="20:20" x14ac:dyDescent="0.35">
      <c r="T1048515" s="25"/>
    </row>
    <row r="1048516" spans="20:20" x14ac:dyDescent="0.35">
      <c r="T1048516" s="25"/>
    </row>
    <row r="1048517" spans="20:20" x14ac:dyDescent="0.35">
      <c r="T1048517" s="25"/>
    </row>
    <row r="1048518" spans="20:20" x14ac:dyDescent="0.35">
      <c r="T1048518" s="25"/>
    </row>
    <row r="1048519" spans="20:20" x14ac:dyDescent="0.35">
      <c r="T1048519" s="25"/>
    </row>
    <row r="1048520" spans="20:20" x14ac:dyDescent="0.35">
      <c r="T1048520" s="25"/>
    </row>
    <row r="1048521" spans="20:20" x14ac:dyDescent="0.35">
      <c r="T1048521" s="25"/>
    </row>
    <row r="1048522" spans="20:20" x14ac:dyDescent="0.35">
      <c r="T1048522" s="25"/>
    </row>
    <row r="1048523" spans="20:20" x14ac:dyDescent="0.35">
      <c r="T1048523" s="25"/>
    </row>
    <row r="1048524" spans="20:20" x14ac:dyDescent="0.35">
      <c r="T1048524" s="25"/>
    </row>
    <row r="1048525" spans="20:20" x14ac:dyDescent="0.35">
      <c r="T1048525" s="25"/>
    </row>
    <row r="1048526" spans="20:20" x14ac:dyDescent="0.35">
      <c r="T1048526" s="25"/>
    </row>
    <row r="1048527" spans="20:20" x14ac:dyDescent="0.35">
      <c r="T1048527" s="25"/>
    </row>
    <row r="1048528" spans="20:20" x14ac:dyDescent="0.35">
      <c r="T1048528" s="25"/>
    </row>
    <row r="1048529" spans="20:20" x14ac:dyDescent="0.35">
      <c r="T1048529" s="25"/>
    </row>
    <row r="1048530" spans="20:20" x14ac:dyDescent="0.35">
      <c r="T1048530" s="25"/>
    </row>
    <row r="1048531" spans="20:20" x14ac:dyDescent="0.35">
      <c r="T1048531" s="25"/>
    </row>
    <row r="1048532" spans="20:20" x14ac:dyDescent="0.35">
      <c r="T1048532" s="25"/>
    </row>
    <row r="1048533" spans="20:20" x14ac:dyDescent="0.35">
      <c r="T1048533" s="25"/>
    </row>
    <row r="1048534" spans="20:20" x14ac:dyDescent="0.35">
      <c r="T1048534" s="25"/>
    </row>
    <row r="1048535" spans="20:20" x14ac:dyDescent="0.35">
      <c r="T1048535" s="25"/>
    </row>
    <row r="1048536" spans="20:20" x14ac:dyDescent="0.35">
      <c r="T1048536" s="25"/>
    </row>
    <row r="1048537" spans="20:20" x14ac:dyDescent="0.35">
      <c r="T1048537" s="25"/>
    </row>
    <row r="1048538" spans="20:20" x14ac:dyDescent="0.35">
      <c r="T1048538" s="25"/>
    </row>
    <row r="1048539" spans="20:20" x14ac:dyDescent="0.35">
      <c r="T1048539" s="25"/>
    </row>
    <row r="1048540" spans="20:20" x14ac:dyDescent="0.35">
      <c r="T1048540" s="25"/>
    </row>
    <row r="1048541" spans="20:20" x14ac:dyDescent="0.35">
      <c r="T1048541" s="25"/>
    </row>
    <row r="1048542" spans="20:20" x14ac:dyDescent="0.35">
      <c r="T1048542" s="25"/>
    </row>
    <row r="1048543" spans="20:20" x14ac:dyDescent="0.35">
      <c r="T1048543" s="25"/>
    </row>
    <row r="1048544" spans="20:20" x14ac:dyDescent="0.35">
      <c r="T1048544" s="25"/>
    </row>
    <row r="1048545" spans="20:20" x14ac:dyDescent="0.35">
      <c r="T1048545" s="25"/>
    </row>
    <row r="1048546" spans="20:20" x14ac:dyDescent="0.35">
      <c r="T1048546" s="25"/>
    </row>
    <row r="1048547" spans="20:20" x14ac:dyDescent="0.35">
      <c r="T1048547" s="25"/>
    </row>
    <row r="1048548" spans="20:20" x14ac:dyDescent="0.35">
      <c r="T1048548" s="25"/>
    </row>
    <row r="1048549" spans="20:20" x14ac:dyDescent="0.35">
      <c r="T1048549" s="25"/>
    </row>
    <row r="1048550" spans="20:20" x14ac:dyDescent="0.35">
      <c r="T1048550" s="25"/>
    </row>
    <row r="1048551" spans="20:20" x14ac:dyDescent="0.35">
      <c r="T1048551" s="25"/>
    </row>
    <row r="1048552" spans="20:20" x14ac:dyDescent="0.35">
      <c r="T1048552" s="25"/>
    </row>
    <row r="1048553" spans="20:20" x14ac:dyDescent="0.35">
      <c r="T1048553" s="25"/>
    </row>
    <row r="1048554" spans="20:20" x14ac:dyDescent="0.35">
      <c r="T1048554" s="25"/>
    </row>
    <row r="1048555" spans="20:20" x14ac:dyDescent="0.35">
      <c r="T1048555" s="25"/>
    </row>
    <row r="1048556" spans="20:20" x14ac:dyDescent="0.35">
      <c r="T1048556" s="25"/>
    </row>
    <row r="1048557" spans="20:20" x14ac:dyDescent="0.35">
      <c r="T1048557" s="25"/>
    </row>
    <row r="1048558" spans="20:20" x14ac:dyDescent="0.35">
      <c r="T1048558" s="25"/>
    </row>
    <row r="1048559" spans="20:20" x14ac:dyDescent="0.35">
      <c r="T1048559" s="25"/>
    </row>
    <row r="1048560" spans="20:20" x14ac:dyDescent="0.35">
      <c r="T1048560" s="25"/>
    </row>
    <row r="1048561" spans="20:20" x14ac:dyDescent="0.35">
      <c r="T1048561" s="25"/>
    </row>
    <row r="1048562" spans="20:20" x14ac:dyDescent="0.35">
      <c r="T1048562" s="25"/>
    </row>
    <row r="1048563" spans="20:20" x14ac:dyDescent="0.35">
      <c r="T1048563" s="25"/>
    </row>
    <row r="1048564" spans="20:20" x14ac:dyDescent="0.35">
      <c r="T1048564" s="25"/>
    </row>
    <row r="1048565" spans="20:20" x14ac:dyDescent="0.35">
      <c r="T1048565" s="25"/>
    </row>
    <row r="1048566" spans="20:20" x14ac:dyDescent="0.35">
      <c r="T1048566" s="25"/>
    </row>
    <row r="1048567" spans="20:20" x14ac:dyDescent="0.35">
      <c r="T1048567" s="25"/>
    </row>
    <row r="1048568" spans="20:20" x14ac:dyDescent="0.35">
      <c r="T1048568" s="25"/>
    </row>
    <row r="1048569" spans="20:20" x14ac:dyDescent="0.35">
      <c r="T1048569" s="25"/>
    </row>
    <row r="1048570" spans="20:20" x14ac:dyDescent="0.35">
      <c r="T1048570" s="25"/>
    </row>
    <row r="1048571" spans="20:20" x14ac:dyDescent="0.35">
      <c r="T1048571" s="25"/>
    </row>
    <row r="1048572" spans="20:20" x14ac:dyDescent="0.35">
      <c r="T1048572" s="25"/>
    </row>
    <row r="1048573" spans="20:20" x14ac:dyDescent="0.35">
      <c r="T1048573" s="25"/>
    </row>
  </sheetData>
  <autoFilter ref="A2:AB177" xr:uid="{00000000-0001-0000-0100-000000000000}">
    <filterColumn colId="6">
      <filters>
        <filter val="Zamba"/>
      </filters>
    </filterColumn>
    <sortState xmlns:xlrd2="http://schemas.microsoft.com/office/spreadsheetml/2017/richdata2" ref="A3:AB177">
      <sortCondition ref="I2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A59E-8D73-4B64-AF85-FCF0933BC2CE}">
  <sheetPr filterMode="1"/>
  <dimension ref="A1:AD178"/>
  <sheetViews>
    <sheetView showGridLines="0" workbookViewId="0">
      <pane ySplit="2" topLeftCell="A126" activePane="bottomLeft" state="frozen"/>
      <selection pane="bottomLeft" activeCell="V142" sqref="V142"/>
    </sheetView>
  </sheetViews>
  <sheetFormatPr defaultRowHeight="14.5" x14ac:dyDescent="0.35"/>
  <cols>
    <col min="1" max="1" width="13.90625" style="8" customWidth="1"/>
    <col min="2" max="2" width="33.26953125" customWidth="1"/>
    <col min="3" max="3" width="36.26953125" customWidth="1"/>
    <col min="4" max="4" width="21.36328125" customWidth="1"/>
    <col min="5" max="5" width="10.90625" customWidth="1"/>
    <col min="6" max="6" width="64.36328125" customWidth="1"/>
    <col min="7" max="7" width="15.08984375" customWidth="1"/>
    <col min="8" max="8" width="17.1796875" customWidth="1"/>
    <col min="9" max="9" width="17.54296875" customWidth="1"/>
    <col min="10" max="10" width="10.453125" customWidth="1"/>
    <col min="11" max="11" width="17.54296875" customWidth="1"/>
    <col min="12" max="12" width="5.81640625" customWidth="1"/>
    <col min="13" max="14" width="15.08984375" customWidth="1"/>
    <col min="15" max="15" width="17.36328125" customWidth="1"/>
    <col min="16" max="16" width="20.7265625" customWidth="1"/>
    <col min="17" max="17" width="27.26953125" customWidth="1"/>
    <col min="18" max="18" width="16.453125" customWidth="1"/>
    <col min="19" max="19" width="18.36328125" customWidth="1"/>
    <col min="20" max="20" width="28.6328125" hidden="1" customWidth="1"/>
    <col min="21" max="21" width="35" hidden="1" customWidth="1"/>
    <col min="22" max="22" width="28.6328125" bestFit="1" customWidth="1"/>
    <col min="23" max="23" width="35" bestFit="1" customWidth="1"/>
    <col min="24" max="24" width="0" hidden="1"/>
  </cols>
  <sheetData>
    <row r="1" spans="1:30" ht="31" x14ac:dyDescent="0.7">
      <c r="A1" s="12" t="s">
        <v>516</v>
      </c>
    </row>
    <row r="2" spans="1:30" x14ac:dyDescent="0.35">
      <c r="A2" s="9" t="s">
        <v>61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 t="s">
        <v>69</v>
      </c>
      <c r="J2" s="11" t="s">
        <v>70</v>
      </c>
      <c r="K2" s="11" t="s">
        <v>71</v>
      </c>
      <c r="L2" s="11" t="s">
        <v>72</v>
      </c>
      <c r="M2" s="11" t="s">
        <v>73</v>
      </c>
      <c r="N2" s="11" t="s">
        <v>74</v>
      </c>
      <c r="O2" s="11" t="s">
        <v>75</v>
      </c>
      <c r="P2" s="11" t="s">
        <v>76</v>
      </c>
      <c r="Q2" s="11" t="s">
        <v>77</v>
      </c>
      <c r="R2" s="10" t="s">
        <v>78</v>
      </c>
      <c r="S2" s="11" t="s">
        <v>79</v>
      </c>
      <c r="T2" s="11"/>
      <c r="U2" s="11"/>
      <c r="V2" t="s">
        <v>80</v>
      </c>
      <c r="W2" t="s">
        <v>81</v>
      </c>
    </row>
    <row r="3" spans="1:30" hidden="1" x14ac:dyDescent="0.35">
      <c r="A3" s="7">
        <v>70000273</v>
      </c>
      <c r="B3" s="5" t="s">
        <v>82</v>
      </c>
      <c r="C3" s="5" t="s">
        <v>517</v>
      </c>
      <c r="D3" s="5" t="s">
        <v>18</v>
      </c>
      <c r="E3" s="5" t="s">
        <v>30</v>
      </c>
      <c r="F3" s="5" t="s">
        <v>518</v>
      </c>
      <c r="G3" s="5" t="s">
        <v>9</v>
      </c>
      <c r="H3" s="5" t="s">
        <v>142</v>
      </c>
      <c r="I3" s="6">
        <v>45446</v>
      </c>
      <c r="J3" s="5" t="s">
        <v>26</v>
      </c>
      <c r="K3" s="6">
        <v>36512</v>
      </c>
      <c r="L3" s="5">
        <f ca="1">DATEDIF(K3,TODAY(),"Y")</f>
        <v>26</v>
      </c>
      <c r="M3" s="5" t="s">
        <v>55</v>
      </c>
      <c r="N3" s="5" t="s">
        <v>153</v>
      </c>
      <c r="O3" s="5">
        <v>0</v>
      </c>
      <c r="P3" s="5" t="s">
        <v>87</v>
      </c>
      <c r="Q3" s="5"/>
      <c r="R3" s="5" t="s">
        <v>60</v>
      </c>
      <c r="S3" s="5" t="s">
        <v>88</v>
      </c>
      <c r="T3" s="5"/>
      <c r="U3" s="5"/>
      <c r="V3" t="s">
        <v>143</v>
      </c>
      <c r="W3" t="str">
        <f>IFERROR(VLOOKUP(V3,Base!$C$3:$F$177,4,FALSE),"Optimization Process Engineer")</f>
        <v>Optimization Process Engineer</v>
      </c>
      <c r="Y3" t="s">
        <v>519</v>
      </c>
      <c r="Z3" t="s">
        <v>520</v>
      </c>
      <c r="AA3">
        <v>26</v>
      </c>
      <c r="AB3">
        <v>46237</v>
      </c>
      <c r="AC3">
        <v>46217</v>
      </c>
      <c r="AD3" t="s">
        <v>512</v>
      </c>
    </row>
    <row r="4" spans="1:30" hidden="1" x14ac:dyDescent="0.35">
      <c r="A4" s="7"/>
      <c r="B4" s="5"/>
      <c r="C4" s="5"/>
      <c r="D4" s="5"/>
      <c r="E4" s="5"/>
      <c r="F4" s="5"/>
      <c r="G4" s="5"/>
      <c r="H4" s="5"/>
      <c r="I4" s="6"/>
      <c r="J4" s="5"/>
      <c r="K4" s="6"/>
      <c r="L4" s="5"/>
      <c r="M4" s="5"/>
      <c r="N4" s="5"/>
      <c r="O4" s="5"/>
      <c r="P4" s="5"/>
      <c r="Q4" s="5"/>
      <c r="R4" s="5"/>
      <c r="S4" s="5"/>
      <c r="T4" s="5"/>
      <c r="U4" s="5"/>
    </row>
    <row r="5" spans="1:30" hidden="1" x14ac:dyDescent="0.35">
      <c r="A5" s="7"/>
      <c r="B5" s="5"/>
      <c r="C5" s="5"/>
      <c r="D5" s="5"/>
      <c r="E5" s="5"/>
      <c r="F5" s="5"/>
      <c r="G5" s="5"/>
      <c r="H5" s="5"/>
      <c r="I5" s="6"/>
      <c r="J5" s="5"/>
      <c r="K5" s="6"/>
      <c r="L5" s="5"/>
      <c r="M5" s="5"/>
      <c r="N5" s="5"/>
      <c r="O5" s="5"/>
      <c r="P5" s="5"/>
      <c r="Q5" s="5"/>
      <c r="R5" s="5"/>
      <c r="S5" s="5"/>
      <c r="T5" s="5"/>
      <c r="U5" s="5"/>
    </row>
    <row r="6" spans="1:30" hidden="1" x14ac:dyDescent="0.35">
      <c r="A6" s="7"/>
      <c r="B6" s="5"/>
      <c r="C6" s="5"/>
      <c r="D6" s="5"/>
      <c r="E6" s="5"/>
      <c r="F6" s="5"/>
      <c r="G6" s="5"/>
      <c r="H6" s="5"/>
      <c r="I6" s="6"/>
      <c r="J6" s="5"/>
      <c r="K6" s="6"/>
      <c r="L6" s="5"/>
      <c r="M6" s="5"/>
      <c r="N6" s="5"/>
      <c r="O6" s="5"/>
      <c r="P6" s="5"/>
      <c r="Q6" s="5"/>
      <c r="R6" s="5"/>
      <c r="S6" s="5"/>
      <c r="T6" s="5"/>
      <c r="U6" s="5"/>
    </row>
    <row r="7" spans="1:30" x14ac:dyDescent="0.35">
      <c r="A7" s="24"/>
      <c r="B7" s="25"/>
      <c r="C7" s="25"/>
      <c r="D7" s="25"/>
      <c r="E7" s="25"/>
      <c r="F7" s="25"/>
      <c r="G7" s="25"/>
      <c r="H7" s="25"/>
      <c r="I7" s="26"/>
      <c r="J7" s="25"/>
      <c r="K7" s="26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30" hidden="1" x14ac:dyDescent="0.35">
      <c r="A8" s="7"/>
      <c r="B8" s="5"/>
      <c r="C8" s="5"/>
      <c r="D8" s="5"/>
      <c r="E8" s="5"/>
      <c r="F8" s="5"/>
      <c r="G8" s="5"/>
      <c r="H8" s="5"/>
      <c r="I8" s="6"/>
      <c r="J8" s="5"/>
      <c r="K8" s="6"/>
      <c r="L8" s="5"/>
      <c r="M8" s="5"/>
      <c r="N8" s="5"/>
      <c r="O8" s="5"/>
      <c r="P8" s="5"/>
      <c r="Q8" s="5"/>
      <c r="R8" s="5"/>
      <c r="S8" s="5"/>
      <c r="T8" s="5"/>
      <c r="U8" s="5"/>
    </row>
    <row r="9" spans="1:30" x14ac:dyDescent="0.35">
      <c r="A9" s="24"/>
      <c r="B9" s="25"/>
      <c r="C9" s="25"/>
      <c r="D9" s="25"/>
      <c r="E9" s="25"/>
      <c r="F9" s="25"/>
      <c r="G9" s="25"/>
      <c r="H9" s="25"/>
      <c r="I9" s="26"/>
      <c r="J9" s="25"/>
      <c r="K9" s="26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30" hidden="1" x14ac:dyDescent="0.35">
      <c r="A10" s="7"/>
      <c r="B10" s="5"/>
      <c r="C10" s="5"/>
      <c r="D10" s="5"/>
      <c r="E10" s="5"/>
      <c r="F10" s="5"/>
      <c r="G10" s="5"/>
      <c r="H10" s="5"/>
      <c r="I10" s="6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30" x14ac:dyDescent="0.35">
      <c r="A11" s="24"/>
      <c r="B11" s="25"/>
      <c r="C11" s="25"/>
      <c r="D11" s="25"/>
      <c r="E11" s="25"/>
      <c r="F11" s="25"/>
      <c r="G11" s="25"/>
      <c r="H11" s="25"/>
      <c r="I11" s="26"/>
      <c r="J11" s="25"/>
      <c r="K11" s="26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30" x14ac:dyDescent="0.35">
      <c r="A12" s="24"/>
      <c r="B12" s="25"/>
      <c r="C12" s="25"/>
      <c r="D12" s="25"/>
      <c r="E12" s="25"/>
      <c r="F12" s="25"/>
      <c r="G12" s="25"/>
      <c r="H12" s="25"/>
      <c r="I12" s="26"/>
      <c r="J12" s="25"/>
      <c r="K12" s="26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30" x14ac:dyDescent="0.35">
      <c r="A13" s="24"/>
      <c r="B13" s="25"/>
      <c r="C13" s="25"/>
      <c r="D13" s="25"/>
      <c r="E13" s="25"/>
      <c r="F13" s="25"/>
      <c r="G13" s="25"/>
      <c r="H13" s="25"/>
      <c r="I13" s="26"/>
      <c r="J13" s="25"/>
      <c r="K13" s="26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30" x14ac:dyDescent="0.35">
      <c r="A14" s="24"/>
      <c r="B14" s="25"/>
      <c r="C14" s="25"/>
      <c r="D14" s="25"/>
      <c r="E14" s="25"/>
      <c r="F14" s="25"/>
      <c r="G14" s="25"/>
      <c r="H14" s="25"/>
      <c r="I14" s="26"/>
      <c r="J14" s="25"/>
      <c r="K14" s="26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30" x14ac:dyDescent="0.35">
      <c r="A15" s="24"/>
      <c r="B15" s="25"/>
      <c r="C15" s="25"/>
      <c r="D15" s="25"/>
      <c r="E15" s="25"/>
      <c r="F15" s="25"/>
      <c r="G15" s="25"/>
      <c r="H15" s="25"/>
      <c r="I15" s="26"/>
      <c r="J15" s="25"/>
      <c r="K15" s="26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30" x14ac:dyDescent="0.35">
      <c r="A16" s="24"/>
      <c r="B16" s="25"/>
      <c r="C16" s="25"/>
      <c r="D16" s="25"/>
      <c r="E16" s="25"/>
      <c r="F16" s="25"/>
      <c r="G16" s="25"/>
      <c r="H16" s="25"/>
      <c r="I16" s="26"/>
      <c r="J16" s="25"/>
      <c r="K16" s="26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x14ac:dyDescent="0.35">
      <c r="A17" s="24"/>
      <c r="B17" s="25"/>
      <c r="C17" s="25"/>
      <c r="D17" s="25"/>
      <c r="E17" s="25"/>
      <c r="F17" s="25"/>
      <c r="G17" s="25"/>
      <c r="H17" s="25"/>
      <c r="I17" s="26"/>
      <c r="J17" s="25"/>
      <c r="K17" s="26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x14ac:dyDescent="0.35">
      <c r="A18" s="24"/>
      <c r="B18" s="25"/>
      <c r="C18" s="25"/>
      <c r="D18" s="25"/>
      <c r="E18" s="25"/>
      <c r="F18" s="25"/>
      <c r="G18" s="25"/>
      <c r="H18" s="25"/>
      <c r="I18" s="26"/>
      <c r="J18" s="25"/>
      <c r="K18" s="26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x14ac:dyDescent="0.35">
      <c r="A19" s="24"/>
      <c r="B19" s="25"/>
      <c r="C19" s="25"/>
      <c r="D19" s="25"/>
      <c r="E19" s="25"/>
      <c r="F19" s="25"/>
      <c r="G19" s="25"/>
      <c r="H19" s="25"/>
      <c r="I19" s="26"/>
      <c r="J19" s="25"/>
      <c r="K19" s="26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x14ac:dyDescent="0.35">
      <c r="A20" s="24"/>
      <c r="B20" s="25"/>
      <c r="C20" s="25"/>
      <c r="D20" s="25"/>
      <c r="E20" s="25"/>
      <c r="F20" s="25"/>
      <c r="G20" s="25"/>
      <c r="H20" s="25"/>
      <c r="I20" s="26"/>
      <c r="J20" s="25"/>
      <c r="K20" s="26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x14ac:dyDescent="0.35">
      <c r="A21" s="24"/>
      <c r="B21" s="25"/>
      <c r="C21" s="25"/>
      <c r="D21" s="25"/>
      <c r="E21" s="25"/>
      <c r="F21" s="25"/>
      <c r="G21" s="25"/>
      <c r="H21" s="25"/>
      <c r="I21" s="26"/>
      <c r="J21" s="25"/>
      <c r="K21" s="26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idden="1" x14ac:dyDescent="0.35">
      <c r="A22" s="7"/>
      <c r="B22" s="5"/>
      <c r="C22" s="5"/>
      <c r="D22" s="5"/>
      <c r="E22" s="5"/>
      <c r="F22" s="5"/>
      <c r="G22" s="5"/>
      <c r="H22" s="5"/>
      <c r="I22" s="6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5">
      <c r="A23" s="24"/>
      <c r="B23" s="25"/>
      <c r="C23" s="25"/>
      <c r="D23" s="25"/>
      <c r="E23" s="25"/>
      <c r="F23" s="25"/>
      <c r="G23" s="25"/>
      <c r="H23" s="25"/>
      <c r="I23" s="26"/>
      <c r="J23" s="25"/>
      <c r="K23" s="26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x14ac:dyDescent="0.35">
      <c r="A24" s="24"/>
      <c r="B24" s="25"/>
      <c r="C24" s="25"/>
      <c r="D24" s="25"/>
      <c r="E24" s="25"/>
      <c r="F24" s="25"/>
      <c r="G24" s="25"/>
      <c r="H24" s="25"/>
      <c r="I24" s="26"/>
      <c r="J24" s="25"/>
      <c r="K24" s="26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x14ac:dyDescent="0.35">
      <c r="A25" s="24"/>
      <c r="B25" s="25"/>
      <c r="C25" s="25"/>
      <c r="D25" s="25"/>
      <c r="E25" s="25"/>
      <c r="F25" s="25"/>
      <c r="G25" s="25"/>
      <c r="H25" s="25"/>
      <c r="I25" s="26"/>
      <c r="J25" s="25"/>
      <c r="K25" s="26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x14ac:dyDescent="0.35">
      <c r="A26" s="24"/>
      <c r="B26" s="25"/>
      <c r="C26" s="25"/>
      <c r="D26" s="25"/>
      <c r="E26" s="25"/>
      <c r="F26" s="25"/>
      <c r="G26" s="25"/>
      <c r="H26" s="25"/>
      <c r="I26" s="26"/>
      <c r="J26" s="25"/>
      <c r="K26" s="26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idden="1" x14ac:dyDescent="0.35">
      <c r="A27" s="7"/>
      <c r="B27" s="5"/>
      <c r="C27" s="5"/>
      <c r="D27" s="5"/>
      <c r="E27" s="5"/>
      <c r="F27" s="5"/>
      <c r="G27" s="5"/>
      <c r="H27" s="5"/>
      <c r="I27" s="6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35">
      <c r="A28" s="24"/>
      <c r="B28" s="25"/>
      <c r="C28" s="25"/>
      <c r="D28" s="25"/>
      <c r="E28" s="25"/>
      <c r="F28" s="25"/>
      <c r="G28" s="25"/>
      <c r="H28" s="25"/>
      <c r="I28" s="26"/>
      <c r="J28" s="25"/>
      <c r="K28" s="26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x14ac:dyDescent="0.35">
      <c r="A29" s="24"/>
      <c r="B29" s="25"/>
      <c r="C29" s="25"/>
      <c r="D29" s="25"/>
      <c r="E29" s="25"/>
      <c r="F29" s="25"/>
      <c r="G29" s="25"/>
      <c r="H29" s="25"/>
      <c r="I29" s="26"/>
      <c r="J29" s="25"/>
      <c r="K29" s="26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idden="1" x14ac:dyDescent="0.35">
      <c r="A30" s="7"/>
      <c r="B30" s="5"/>
      <c r="C30" s="5"/>
      <c r="D30" s="5"/>
      <c r="E30" s="5"/>
      <c r="F30" s="5"/>
      <c r="G30" s="5"/>
      <c r="H30" s="5"/>
      <c r="I30" s="6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35">
      <c r="A31" s="24"/>
      <c r="B31" s="25"/>
      <c r="C31" s="25"/>
      <c r="D31" s="25"/>
      <c r="E31" s="25"/>
      <c r="F31" s="25"/>
      <c r="G31" s="25"/>
      <c r="H31" s="25"/>
      <c r="I31" s="26"/>
      <c r="J31" s="25"/>
      <c r="K31" s="26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idden="1" x14ac:dyDescent="0.35">
      <c r="A32" s="7"/>
      <c r="B32" s="5"/>
      <c r="C32" s="5"/>
      <c r="D32" s="5"/>
      <c r="E32" s="5"/>
      <c r="F32" s="5"/>
      <c r="G32" s="5"/>
      <c r="H32" s="5"/>
      <c r="I32" s="6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x14ac:dyDescent="0.35">
      <c r="A33" s="24"/>
      <c r="B33" s="25"/>
      <c r="C33" s="25"/>
      <c r="D33" s="25"/>
      <c r="E33" s="25"/>
      <c r="F33" s="25"/>
      <c r="G33" s="25"/>
      <c r="H33" s="25"/>
      <c r="I33" s="26"/>
      <c r="J33" s="25"/>
      <c r="K33" s="26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x14ac:dyDescent="0.35">
      <c r="A34" s="24"/>
      <c r="B34" s="25"/>
      <c r="C34" s="25"/>
      <c r="D34" s="25"/>
      <c r="E34" s="25"/>
      <c r="F34" s="25"/>
      <c r="G34" s="25"/>
      <c r="H34" s="25"/>
      <c r="I34" s="26"/>
      <c r="J34" s="25"/>
      <c r="K34" s="26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x14ac:dyDescent="0.35">
      <c r="A35" s="24"/>
      <c r="B35" s="25"/>
      <c r="C35" s="25"/>
      <c r="D35" s="25"/>
      <c r="E35" s="25"/>
      <c r="F35" s="25"/>
      <c r="G35" s="25"/>
      <c r="H35" s="25"/>
      <c r="I35" s="26"/>
      <c r="J35" s="25"/>
      <c r="K35" s="26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x14ac:dyDescent="0.35">
      <c r="A36" s="24"/>
      <c r="B36" s="25"/>
      <c r="C36" s="25"/>
      <c r="D36" s="25"/>
      <c r="E36" s="25"/>
      <c r="F36" s="25"/>
      <c r="G36" s="25"/>
      <c r="H36" s="25"/>
      <c r="I36" s="26"/>
      <c r="J36" s="25"/>
      <c r="K36" s="26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x14ac:dyDescent="0.35">
      <c r="A37" s="24"/>
      <c r="B37" s="25"/>
      <c r="C37" s="25"/>
      <c r="D37" s="25"/>
      <c r="E37" s="25"/>
      <c r="F37" s="25"/>
      <c r="G37" s="25"/>
      <c r="H37" s="25"/>
      <c r="I37" s="26"/>
      <c r="J37" s="25"/>
      <c r="K37" s="26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x14ac:dyDescent="0.35">
      <c r="A38" s="24"/>
      <c r="B38" s="25"/>
      <c r="C38" s="25"/>
      <c r="D38" s="25"/>
      <c r="E38" s="25"/>
      <c r="F38" s="25"/>
      <c r="G38" s="25"/>
      <c r="H38" s="25"/>
      <c r="I38" s="26"/>
      <c r="J38" s="25"/>
      <c r="K38" s="26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x14ac:dyDescent="0.35">
      <c r="A39" s="24"/>
      <c r="B39" s="25"/>
      <c r="C39" s="25"/>
      <c r="D39" s="25"/>
      <c r="E39" s="25"/>
      <c r="F39" s="25"/>
      <c r="G39" s="25"/>
      <c r="H39" s="25"/>
      <c r="I39" s="26"/>
      <c r="J39" s="25"/>
      <c r="K39" s="26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x14ac:dyDescent="0.35">
      <c r="A40" s="24"/>
      <c r="B40" s="25"/>
      <c r="C40" s="25"/>
      <c r="D40" s="25"/>
      <c r="E40" s="25"/>
      <c r="F40" s="25"/>
      <c r="G40" s="25"/>
      <c r="H40" s="25"/>
      <c r="I40" s="26"/>
      <c r="J40" s="25"/>
      <c r="K40" s="26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x14ac:dyDescent="0.35">
      <c r="A41" s="24"/>
      <c r="B41" s="25"/>
      <c r="C41" s="25"/>
      <c r="D41" s="25"/>
      <c r="E41" s="25"/>
      <c r="F41" s="25"/>
      <c r="G41" s="25"/>
      <c r="H41" s="25"/>
      <c r="I41" s="26"/>
      <c r="J41" s="25"/>
      <c r="K41" s="26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x14ac:dyDescent="0.35">
      <c r="A42" s="24"/>
      <c r="B42" s="25"/>
      <c r="C42" s="25"/>
      <c r="D42" s="25"/>
      <c r="E42" s="25"/>
      <c r="F42" s="25"/>
      <c r="G42" s="25"/>
      <c r="H42" s="25"/>
      <c r="I42" s="26"/>
      <c r="J42" s="25"/>
      <c r="K42" s="26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x14ac:dyDescent="0.35">
      <c r="A43" s="24"/>
      <c r="B43" s="25"/>
      <c r="C43" s="25"/>
      <c r="D43" s="25"/>
      <c r="E43" s="25"/>
      <c r="F43" s="25"/>
      <c r="G43" s="25"/>
      <c r="H43" s="25"/>
      <c r="I43" s="26"/>
      <c r="J43" s="25"/>
      <c r="K43" s="26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x14ac:dyDescent="0.35">
      <c r="A44" s="24"/>
      <c r="B44" s="25"/>
      <c r="C44" s="25"/>
      <c r="D44" s="25"/>
      <c r="E44" s="25"/>
      <c r="F44" s="25"/>
      <c r="G44" s="25"/>
      <c r="H44" s="25"/>
      <c r="I44" s="26"/>
      <c r="J44" s="25"/>
      <c r="K44" s="26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x14ac:dyDescent="0.35">
      <c r="A45" s="24"/>
      <c r="B45" s="25"/>
      <c r="C45" s="25"/>
      <c r="D45" s="25"/>
      <c r="E45" s="25"/>
      <c r="F45" s="25"/>
      <c r="G45" s="25"/>
      <c r="H45" s="25"/>
      <c r="I45" s="26"/>
      <c r="J45" s="25"/>
      <c r="K45" s="26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x14ac:dyDescent="0.35">
      <c r="A46" s="24"/>
      <c r="B46" s="25"/>
      <c r="C46" s="25"/>
      <c r="D46" s="25"/>
      <c r="E46" s="25"/>
      <c r="F46" s="25"/>
      <c r="G46" s="25"/>
      <c r="H46" s="25"/>
      <c r="I46" s="26"/>
      <c r="J46" s="25"/>
      <c r="K46" s="26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x14ac:dyDescent="0.35">
      <c r="A47" s="24"/>
      <c r="B47" s="25"/>
      <c r="C47" s="25"/>
      <c r="D47" s="25"/>
      <c r="E47" s="25"/>
      <c r="F47" s="25"/>
      <c r="G47" s="25"/>
      <c r="H47" s="25"/>
      <c r="I47" s="26"/>
      <c r="J47" s="25"/>
      <c r="K47" s="26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x14ac:dyDescent="0.35">
      <c r="A48" s="24"/>
      <c r="B48" s="25"/>
      <c r="C48" s="25"/>
      <c r="D48" s="25"/>
      <c r="E48" s="25"/>
      <c r="F48" s="25"/>
      <c r="G48" s="25"/>
      <c r="H48" s="25"/>
      <c r="I48" s="26"/>
      <c r="J48" s="25"/>
      <c r="K48" s="26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x14ac:dyDescent="0.35">
      <c r="A49" s="24"/>
      <c r="B49" s="25"/>
      <c r="C49" s="25"/>
      <c r="D49" s="25"/>
      <c r="E49" s="25"/>
      <c r="F49" s="25"/>
      <c r="G49" s="25"/>
      <c r="H49" s="25"/>
      <c r="I49" s="26"/>
      <c r="J49" s="25"/>
      <c r="K49" s="26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idden="1" x14ac:dyDescent="0.35">
      <c r="A50" s="7"/>
      <c r="B50" s="5"/>
      <c r="C50" s="5"/>
      <c r="D50" s="5"/>
      <c r="E50" s="5"/>
      <c r="F50" s="5"/>
      <c r="G50" s="5"/>
      <c r="H50" s="5"/>
      <c r="I50" s="6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35">
      <c r="A51" s="24"/>
      <c r="B51" s="25"/>
      <c r="C51" s="25"/>
      <c r="D51" s="25"/>
      <c r="E51" s="25"/>
      <c r="F51" s="25"/>
      <c r="G51" s="25"/>
      <c r="H51" s="25"/>
      <c r="I51" s="26"/>
      <c r="J51" s="25"/>
      <c r="K51" s="26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x14ac:dyDescent="0.35">
      <c r="A52" s="24"/>
      <c r="B52" s="25"/>
      <c r="C52" s="25"/>
      <c r="D52" s="25"/>
      <c r="E52" s="25"/>
      <c r="F52" s="25"/>
      <c r="G52" s="25"/>
      <c r="H52" s="25"/>
      <c r="I52" s="26"/>
      <c r="J52" s="25"/>
      <c r="K52" s="26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x14ac:dyDescent="0.35">
      <c r="A53" s="24"/>
      <c r="B53" s="25"/>
      <c r="C53" s="25"/>
      <c r="D53" s="25"/>
      <c r="E53" s="25"/>
      <c r="F53" s="25"/>
      <c r="G53" s="25"/>
      <c r="H53" s="25"/>
      <c r="I53" s="26"/>
      <c r="J53" s="25"/>
      <c r="K53" s="26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x14ac:dyDescent="0.35">
      <c r="A54" s="24"/>
      <c r="B54" s="25"/>
      <c r="C54" s="25"/>
      <c r="D54" s="25"/>
      <c r="E54" s="25"/>
      <c r="F54" s="25"/>
      <c r="G54" s="25"/>
      <c r="H54" s="25"/>
      <c r="I54" s="26"/>
      <c r="J54" s="25"/>
      <c r="K54" s="26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idden="1" x14ac:dyDescent="0.35">
      <c r="A55" s="7"/>
      <c r="B55" s="5"/>
      <c r="C55" s="5"/>
      <c r="D55" s="5"/>
      <c r="E55" s="5"/>
      <c r="F55" s="5"/>
      <c r="G55" s="5"/>
      <c r="H55" s="5"/>
      <c r="I55" s="6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35">
      <c r="A56" s="24"/>
      <c r="B56" s="25"/>
      <c r="C56" s="25"/>
      <c r="D56" s="25"/>
      <c r="E56" s="25"/>
      <c r="F56" s="25"/>
      <c r="G56" s="25"/>
      <c r="H56" s="25"/>
      <c r="I56" s="26"/>
      <c r="J56" s="25"/>
      <c r="K56" s="26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x14ac:dyDescent="0.35">
      <c r="A57" s="24"/>
      <c r="B57" s="25"/>
      <c r="C57" s="25"/>
      <c r="D57" s="25"/>
      <c r="E57" s="25"/>
      <c r="F57" s="25"/>
      <c r="G57" s="25"/>
      <c r="H57" s="25"/>
      <c r="I57" s="26"/>
      <c r="J57" s="25"/>
      <c r="K57" s="26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x14ac:dyDescent="0.35">
      <c r="A58" s="24"/>
      <c r="B58" s="25"/>
      <c r="C58" s="25"/>
      <c r="D58" s="25"/>
      <c r="E58" s="25"/>
      <c r="F58" s="25"/>
      <c r="G58" s="25"/>
      <c r="H58" s="25"/>
      <c r="I58" s="26"/>
      <c r="J58" s="25"/>
      <c r="K58" s="26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x14ac:dyDescent="0.35">
      <c r="A59" s="24"/>
      <c r="B59" s="25"/>
      <c r="C59" s="25"/>
      <c r="D59" s="25"/>
      <c r="E59" s="25"/>
      <c r="F59" s="25"/>
      <c r="G59" s="25"/>
      <c r="H59" s="25"/>
      <c r="I59" s="26"/>
      <c r="J59" s="25"/>
      <c r="K59" s="26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idden="1" x14ac:dyDescent="0.35">
      <c r="A60" s="7"/>
      <c r="B60" s="5"/>
      <c r="C60" s="5"/>
      <c r="D60" s="5"/>
      <c r="E60" s="5"/>
      <c r="F60" s="5"/>
      <c r="G60" s="5"/>
      <c r="H60" s="5"/>
      <c r="I60" s="6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35">
      <c r="A61" s="24"/>
      <c r="B61" s="25"/>
      <c r="C61" s="25"/>
      <c r="D61" s="25"/>
      <c r="E61" s="25"/>
      <c r="F61" s="25"/>
      <c r="G61" s="25"/>
      <c r="H61" s="25"/>
      <c r="I61" s="26"/>
      <c r="J61" s="25"/>
      <c r="K61" s="26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x14ac:dyDescent="0.35">
      <c r="A62" s="24"/>
      <c r="B62" s="25"/>
      <c r="C62" s="25"/>
      <c r="D62" s="25"/>
      <c r="E62" s="25"/>
      <c r="F62" s="25"/>
      <c r="G62" s="25"/>
      <c r="H62" s="25"/>
      <c r="I62" s="26"/>
      <c r="J62" s="25"/>
      <c r="K62" s="26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x14ac:dyDescent="0.35">
      <c r="A63" s="24"/>
      <c r="B63" s="25"/>
      <c r="C63" s="25"/>
      <c r="D63" s="25"/>
      <c r="E63" s="25"/>
      <c r="F63" s="25"/>
      <c r="G63" s="25"/>
      <c r="H63" s="25"/>
      <c r="I63" s="26"/>
      <c r="J63" s="25"/>
      <c r="K63" s="26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idden="1" x14ac:dyDescent="0.35">
      <c r="A64" s="7"/>
      <c r="B64" s="5"/>
      <c r="C64" s="5"/>
      <c r="D64" s="5"/>
      <c r="E64" s="5"/>
      <c r="F64" s="5"/>
      <c r="G64" s="5"/>
      <c r="H64" s="5"/>
      <c r="I64" s="6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x14ac:dyDescent="0.35">
      <c r="A65" s="24"/>
      <c r="B65" s="25"/>
      <c r="C65" s="25"/>
      <c r="D65" s="25"/>
      <c r="E65" s="25"/>
      <c r="F65" s="25"/>
      <c r="G65" s="25"/>
      <c r="H65" s="25"/>
      <c r="I65" s="26"/>
      <c r="J65" s="25"/>
      <c r="K65" s="26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x14ac:dyDescent="0.35">
      <c r="A66" s="24"/>
      <c r="B66" s="25"/>
      <c r="C66" s="25"/>
      <c r="D66" s="25"/>
      <c r="E66" s="25"/>
      <c r="F66" s="25"/>
      <c r="G66" s="25"/>
      <c r="H66" s="25"/>
      <c r="I66" s="26"/>
      <c r="J66" s="25"/>
      <c r="K66" s="26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x14ac:dyDescent="0.35">
      <c r="A67" s="24"/>
      <c r="B67" s="25"/>
      <c r="C67" s="25"/>
      <c r="D67" s="25"/>
      <c r="E67" s="25"/>
      <c r="F67" s="25"/>
      <c r="G67" s="25"/>
      <c r="H67" s="25"/>
      <c r="I67" s="26"/>
      <c r="J67" s="25"/>
      <c r="K67" s="26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x14ac:dyDescent="0.35">
      <c r="A68" s="24"/>
      <c r="B68" s="25"/>
      <c r="C68" s="25"/>
      <c r="D68" s="25"/>
      <c r="E68" s="25"/>
      <c r="F68" s="25"/>
      <c r="G68" s="25"/>
      <c r="H68" s="25"/>
      <c r="I68" s="26"/>
      <c r="J68" s="25"/>
      <c r="K68" s="26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x14ac:dyDescent="0.35">
      <c r="A69" s="24"/>
      <c r="B69" s="25"/>
      <c r="C69" s="25"/>
      <c r="D69" s="25"/>
      <c r="E69" s="25"/>
      <c r="F69" s="25"/>
      <c r="G69" s="25"/>
      <c r="H69" s="25"/>
      <c r="I69" s="26"/>
      <c r="J69" s="25"/>
      <c r="K69" s="26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idden="1" x14ac:dyDescent="0.35">
      <c r="A70" s="7"/>
      <c r="B70" s="5"/>
      <c r="C70" s="5"/>
      <c r="D70" s="5"/>
      <c r="E70" s="5"/>
      <c r="F70" s="5"/>
      <c r="G70" s="5"/>
      <c r="H70" s="5"/>
      <c r="I70" s="6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x14ac:dyDescent="0.35">
      <c r="A71" s="24"/>
      <c r="B71" s="25"/>
      <c r="C71" s="25"/>
      <c r="D71" s="25"/>
      <c r="E71" s="25"/>
      <c r="F71" s="25"/>
      <c r="G71" s="25"/>
      <c r="H71" s="25"/>
      <c r="I71" s="26"/>
      <c r="J71" s="25"/>
      <c r="K71" s="26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x14ac:dyDescent="0.35">
      <c r="A72" s="24"/>
      <c r="B72" s="25"/>
      <c r="C72" s="25"/>
      <c r="D72" s="25"/>
      <c r="E72" s="25"/>
      <c r="F72" s="25"/>
      <c r="G72" s="25"/>
      <c r="H72" s="25"/>
      <c r="I72" s="26"/>
      <c r="J72" s="25"/>
      <c r="K72" s="26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x14ac:dyDescent="0.35">
      <c r="A73" s="24"/>
      <c r="B73" s="25"/>
      <c r="C73" s="25"/>
      <c r="D73" s="25"/>
      <c r="E73" s="25"/>
      <c r="F73" s="25"/>
      <c r="G73" s="25"/>
      <c r="H73" s="25"/>
      <c r="I73" s="26"/>
      <c r="J73" s="25"/>
      <c r="K73" s="26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x14ac:dyDescent="0.35">
      <c r="A74" s="24"/>
      <c r="B74" s="25"/>
      <c r="C74" s="25"/>
      <c r="D74" s="25"/>
      <c r="E74" s="25"/>
      <c r="F74" s="25"/>
      <c r="G74" s="25"/>
      <c r="H74" s="25"/>
      <c r="I74" s="26"/>
      <c r="J74" s="25"/>
      <c r="K74" s="26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idden="1" x14ac:dyDescent="0.35">
      <c r="A75" s="7"/>
      <c r="B75" s="5"/>
      <c r="C75" s="5"/>
      <c r="D75" s="5"/>
      <c r="E75" s="5"/>
      <c r="F75" s="5"/>
      <c r="G75" s="5"/>
      <c r="H75" s="5"/>
      <c r="I75" s="6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idden="1" x14ac:dyDescent="0.35">
      <c r="A76" s="7"/>
      <c r="B76" s="5"/>
      <c r="C76" s="5"/>
      <c r="D76" s="5"/>
      <c r="E76" s="5"/>
      <c r="F76" s="5"/>
      <c r="G76" s="5"/>
      <c r="H76" s="5"/>
      <c r="I76" s="6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idden="1" x14ac:dyDescent="0.35">
      <c r="A77" s="7"/>
      <c r="B77" s="5"/>
      <c r="C77" s="5"/>
      <c r="D77" s="5"/>
      <c r="E77" s="5"/>
      <c r="F77" s="5"/>
      <c r="G77" s="5"/>
      <c r="H77" s="5"/>
      <c r="I77" s="6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35">
      <c r="A78" s="24"/>
      <c r="B78" s="25"/>
      <c r="C78" s="25"/>
      <c r="D78" s="25"/>
      <c r="E78" s="25"/>
      <c r="F78" s="25"/>
      <c r="G78" s="25"/>
      <c r="H78" s="25"/>
      <c r="I78" s="26"/>
      <c r="J78" s="25"/>
      <c r="K78" s="26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idden="1" x14ac:dyDescent="0.35">
      <c r="A79" s="7"/>
      <c r="B79" s="5"/>
      <c r="C79" s="5"/>
      <c r="D79" s="5"/>
      <c r="E79" s="5"/>
      <c r="F79" s="5"/>
      <c r="G79" s="5"/>
      <c r="H79" s="5"/>
      <c r="I79" s="6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idden="1" x14ac:dyDescent="0.35">
      <c r="A80" s="7"/>
      <c r="B80" s="5"/>
      <c r="C80" s="5"/>
      <c r="D80" s="5"/>
      <c r="E80" s="5"/>
      <c r="F80" s="5"/>
      <c r="G80" s="5"/>
      <c r="H80" s="5"/>
      <c r="I80" s="6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idden="1" x14ac:dyDescent="0.35">
      <c r="A81" s="7"/>
      <c r="B81" s="5"/>
      <c r="C81" s="5"/>
      <c r="D81" s="5"/>
      <c r="E81" s="5"/>
      <c r="F81" s="5"/>
      <c r="G81" s="5"/>
      <c r="H81" s="5"/>
      <c r="I81" s="6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x14ac:dyDescent="0.35">
      <c r="A82" s="24"/>
      <c r="B82" s="25"/>
      <c r="C82" s="25"/>
      <c r="D82" s="25"/>
      <c r="E82" s="25"/>
      <c r="F82" s="25"/>
      <c r="G82" s="25"/>
      <c r="H82" s="25"/>
      <c r="I82" s="26"/>
      <c r="J82" s="25"/>
      <c r="K82" s="26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idden="1" x14ac:dyDescent="0.35">
      <c r="A83" s="7"/>
      <c r="B83" s="5"/>
      <c r="C83" s="5"/>
      <c r="D83" s="5"/>
      <c r="E83" s="5"/>
      <c r="F83" s="5"/>
      <c r="G83" s="5"/>
      <c r="H83" s="5"/>
      <c r="I83" s="6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idden="1" x14ac:dyDescent="0.35">
      <c r="A84" s="7"/>
      <c r="B84" s="5"/>
      <c r="C84" s="5"/>
      <c r="D84" s="5"/>
      <c r="E84" s="5"/>
      <c r="F84" s="5"/>
      <c r="G84" s="5"/>
      <c r="H84" s="5"/>
      <c r="I84" s="6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x14ac:dyDescent="0.35">
      <c r="A85" s="24"/>
      <c r="B85" s="25"/>
      <c r="C85" s="25"/>
      <c r="D85" s="25"/>
      <c r="E85" s="25"/>
      <c r="F85" s="25"/>
      <c r="G85" s="25"/>
      <c r="H85" s="25"/>
      <c r="I85" s="26"/>
      <c r="J85" s="25"/>
      <c r="K85" s="26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idden="1" x14ac:dyDescent="0.35">
      <c r="A86" s="7"/>
      <c r="B86" s="5"/>
      <c r="C86" s="5"/>
      <c r="D86" s="5"/>
      <c r="E86" s="5"/>
      <c r="F86" s="5"/>
      <c r="G86" s="5"/>
      <c r="H86" s="5"/>
      <c r="I86" s="6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idden="1" x14ac:dyDescent="0.35">
      <c r="A87" s="7"/>
      <c r="B87" s="5"/>
      <c r="C87" s="5"/>
      <c r="D87" s="5"/>
      <c r="E87" s="5"/>
      <c r="F87" s="5"/>
      <c r="G87" s="5"/>
      <c r="H87" s="5"/>
      <c r="I87" s="6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35">
      <c r="A88" s="24"/>
      <c r="B88" s="25"/>
      <c r="C88" s="25"/>
      <c r="D88" s="25"/>
      <c r="E88" s="25"/>
      <c r="F88" s="25"/>
      <c r="G88" s="25"/>
      <c r="H88" s="25"/>
      <c r="I88" s="26"/>
      <c r="J88" s="25"/>
      <c r="K88" s="26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x14ac:dyDescent="0.35">
      <c r="A89" s="24"/>
      <c r="B89" s="25"/>
      <c r="C89" s="25"/>
      <c r="D89" s="25"/>
      <c r="E89" s="25"/>
      <c r="F89" s="25"/>
      <c r="G89" s="25"/>
      <c r="H89" s="25"/>
      <c r="I89" s="26"/>
      <c r="J89" s="25"/>
      <c r="K89" s="26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idden="1" x14ac:dyDescent="0.35">
      <c r="A90" s="7"/>
      <c r="B90" s="5"/>
      <c r="C90" s="5"/>
      <c r="D90" s="5"/>
      <c r="E90" s="5"/>
      <c r="F90" s="5"/>
      <c r="G90" s="5"/>
      <c r="H90" s="5"/>
      <c r="I90" s="6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idden="1" x14ac:dyDescent="0.35">
      <c r="A91" s="7"/>
      <c r="B91" s="5"/>
      <c r="C91" s="5"/>
      <c r="D91" s="5"/>
      <c r="E91" s="5"/>
      <c r="F91" s="5"/>
      <c r="G91" s="5"/>
      <c r="H91" s="5"/>
      <c r="I91" s="6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idden="1" x14ac:dyDescent="0.35">
      <c r="A92" s="7"/>
      <c r="B92" s="5"/>
      <c r="C92" s="5"/>
      <c r="D92" s="5"/>
      <c r="E92" s="5"/>
      <c r="F92" s="5"/>
      <c r="G92" s="5"/>
      <c r="H92" s="5"/>
      <c r="I92" s="6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idden="1" x14ac:dyDescent="0.35">
      <c r="A93" s="7"/>
      <c r="B93" s="5"/>
      <c r="C93" s="5"/>
      <c r="D93" s="5"/>
      <c r="E93" s="5"/>
      <c r="F93" s="5"/>
      <c r="G93" s="5"/>
      <c r="H93" s="5"/>
      <c r="I93" s="6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idden="1" x14ac:dyDescent="0.35">
      <c r="A94" s="7"/>
      <c r="B94" s="5"/>
      <c r="C94" s="5"/>
      <c r="D94" s="5"/>
      <c r="E94" s="5"/>
      <c r="F94" s="5"/>
      <c r="G94" s="5"/>
      <c r="H94" s="5"/>
      <c r="I94" s="6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idden="1" x14ac:dyDescent="0.35">
      <c r="A95" s="7"/>
      <c r="B95" s="5"/>
      <c r="C95" s="5"/>
      <c r="D95" s="5"/>
      <c r="E95" s="5"/>
      <c r="F95" s="5"/>
      <c r="G95" s="5"/>
      <c r="H95" s="5"/>
      <c r="I95" s="6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idden="1" x14ac:dyDescent="0.35">
      <c r="A96" s="7"/>
      <c r="B96" s="5"/>
      <c r="C96" s="5"/>
      <c r="D96" s="5"/>
      <c r="E96" s="5"/>
      <c r="F96" s="5"/>
      <c r="G96" s="5"/>
      <c r="H96" s="5"/>
      <c r="I96" s="6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idden="1" x14ac:dyDescent="0.35">
      <c r="A97" s="7"/>
      <c r="B97" s="5"/>
      <c r="C97" s="5"/>
      <c r="D97" s="5"/>
      <c r="E97" s="5"/>
      <c r="F97" s="5"/>
      <c r="G97" s="5"/>
      <c r="H97" s="5"/>
      <c r="I97" s="6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idden="1" x14ac:dyDescent="0.35">
      <c r="A98" s="7"/>
      <c r="B98" s="5"/>
      <c r="C98" s="5"/>
      <c r="D98" s="5"/>
      <c r="E98" s="5"/>
      <c r="F98" s="5"/>
      <c r="G98" s="5"/>
      <c r="H98" s="5"/>
      <c r="I98" s="6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idden="1" x14ac:dyDescent="0.35">
      <c r="A99" s="7"/>
      <c r="B99" s="5"/>
      <c r="C99" s="5"/>
      <c r="D99" s="5"/>
      <c r="E99" s="5"/>
      <c r="F99" s="5"/>
      <c r="G99" s="5"/>
      <c r="H99" s="5"/>
      <c r="I99" s="6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35">
      <c r="A100" s="24"/>
      <c r="B100" s="25"/>
      <c r="C100" s="25"/>
      <c r="D100" s="25"/>
      <c r="E100" s="25"/>
      <c r="F100" s="25"/>
      <c r="G100" s="25"/>
      <c r="H100" s="25"/>
      <c r="I100" s="26"/>
      <c r="J100" s="25"/>
      <c r="K100" s="26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idden="1" x14ac:dyDescent="0.35">
      <c r="A101" s="7"/>
      <c r="B101" s="5"/>
      <c r="C101" s="5"/>
      <c r="D101" s="5"/>
      <c r="E101" s="5"/>
      <c r="F101" s="5"/>
      <c r="G101" s="5"/>
      <c r="H101" s="5"/>
      <c r="I101" s="6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idden="1" x14ac:dyDescent="0.35">
      <c r="A102" s="7"/>
      <c r="B102" s="5"/>
      <c r="C102" s="5"/>
      <c r="D102" s="5"/>
      <c r="E102" s="5"/>
      <c r="F102" s="5"/>
      <c r="G102" s="5"/>
      <c r="H102" s="5"/>
      <c r="I102" s="6"/>
      <c r="J102" s="5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x14ac:dyDescent="0.35">
      <c r="A103" s="24"/>
      <c r="B103" s="25"/>
      <c r="C103" s="25"/>
      <c r="D103" s="25"/>
      <c r="E103" s="25"/>
      <c r="F103" s="25"/>
      <c r="G103" s="25"/>
      <c r="H103" s="25"/>
      <c r="I103" s="26"/>
      <c r="J103" s="25"/>
      <c r="K103" s="26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x14ac:dyDescent="0.35">
      <c r="A104" s="24"/>
      <c r="B104" s="25"/>
      <c r="C104" s="25"/>
      <c r="D104" s="25"/>
      <c r="E104" s="25"/>
      <c r="F104" s="25"/>
      <c r="G104" s="25"/>
      <c r="H104" s="25"/>
      <c r="I104" s="26"/>
      <c r="J104" s="25"/>
      <c r="K104" s="26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idden="1" x14ac:dyDescent="0.35">
      <c r="A105" s="7"/>
      <c r="B105" s="5"/>
      <c r="C105" s="5"/>
      <c r="D105" s="5"/>
      <c r="E105" s="5"/>
      <c r="F105" s="5"/>
      <c r="G105" s="5"/>
      <c r="H105" s="5"/>
      <c r="I105" s="6"/>
      <c r="J105" s="5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x14ac:dyDescent="0.35">
      <c r="A106" s="24"/>
      <c r="B106" s="25"/>
      <c r="C106" s="25"/>
      <c r="D106" s="25"/>
      <c r="E106" s="25"/>
      <c r="F106" s="25"/>
      <c r="G106" s="25"/>
      <c r="H106" s="25"/>
      <c r="I106" s="26"/>
      <c r="J106" s="25"/>
      <c r="K106" s="26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x14ac:dyDescent="0.35">
      <c r="A107" s="24"/>
      <c r="B107" s="25"/>
      <c r="C107" s="25"/>
      <c r="D107" s="25"/>
      <c r="E107" s="25"/>
      <c r="F107" s="25"/>
      <c r="G107" s="25"/>
      <c r="H107" s="25"/>
      <c r="I107" s="26"/>
      <c r="J107" s="25"/>
      <c r="K107" s="26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x14ac:dyDescent="0.35">
      <c r="A108" s="24"/>
      <c r="B108" s="25"/>
      <c r="C108" s="25"/>
      <c r="D108" s="25"/>
      <c r="E108" s="25"/>
      <c r="F108" s="25"/>
      <c r="G108" s="25"/>
      <c r="H108" s="25"/>
      <c r="I108" s="26"/>
      <c r="J108" s="25"/>
      <c r="K108" s="26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x14ac:dyDescent="0.35">
      <c r="A109" s="24"/>
      <c r="B109" s="25"/>
      <c r="C109" s="25"/>
      <c r="D109" s="25"/>
      <c r="E109" s="25"/>
      <c r="F109" s="25"/>
      <c r="G109" s="25"/>
      <c r="H109" s="25"/>
      <c r="I109" s="26"/>
      <c r="J109" s="25"/>
      <c r="K109" s="26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x14ac:dyDescent="0.35">
      <c r="A110" s="24"/>
      <c r="B110" s="25"/>
      <c r="C110" s="25"/>
      <c r="D110" s="25"/>
      <c r="E110" s="25"/>
      <c r="F110" s="25"/>
      <c r="G110" s="25"/>
      <c r="H110" s="25"/>
      <c r="I110" s="26"/>
      <c r="J110" s="25"/>
      <c r="K110" s="26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x14ac:dyDescent="0.35">
      <c r="A111" s="24"/>
      <c r="B111" s="25"/>
      <c r="C111" s="25"/>
      <c r="D111" s="25"/>
      <c r="E111" s="25"/>
      <c r="F111" s="25"/>
      <c r="G111" s="25"/>
      <c r="H111" s="25"/>
      <c r="I111" s="26"/>
      <c r="J111" s="25"/>
      <c r="K111" s="26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idden="1" x14ac:dyDescent="0.35">
      <c r="A112" s="7"/>
      <c r="B112" s="5"/>
      <c r="C112" s="5"/>
      <c r="D112" s="5"/>
      <c r="E112" s="5"/>
      <c r="F112" s="5"/>
      <c r="G112" s="5"/>
      <c r="H112" s="5"/>
      <c r="I112" s="6"/>
      <c r="J112" s="5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idden="1" x14ac:dyDescent="0.35">
      <c r="A113" s="7"/>
      <c r="B113" s="5"/>
      <c r="C113" s="5"/>
      <c r="D113" s="5"/>
      <c r="E113" s="5"/>
      <c r="F113" s="5"/>
      <c r="G113" s="5"/>
      <c r="H113" s="5"/>
      <c r="I113" s="6"/>
      <c r="J113" s="5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x14ac:dyDescent="0.35">
      <c r="A114" s="24"/>
      <c r="B114" s="25"/>
      <c r="C114" s="25"/>
      <c r="D114" s="25"/>
      <c r="E114" s="25"/>
      <c r="F114" s="25"/>
      <c r="G114" s="25"/>
      <c r="H114" s="25"/>
      <c r="I114" s="26"/>
      <c r="J114" s="25"/>
      <c r="K114" s="26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x14ac:dyDescent="0.35">
      <c r="A115" s="24"/>
      <c r="B115" s="25"/>
      <c r="C115" s="25"/>
      <c r="D115" s="25"/>
      <c r="E115" s="25"/>
      <c r="F115" s="25"/>
      <c r="G115" s="25"/>
      <c r="H115" s="25"/>
      <c r="I115" s="26"/>
      <c r="J115" s="25"/>
      <c r="K115" s="26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x14ac:dyDescent="0.35">
      <c r="A116" s="24"/>
      <c r="B116" s="25"/>
      <c r="C116" s="25"/>
      <c r="D116" s="25"/>
      <c r="E116" s="25"/>
      <c r="F116" s="25"/>
      <c r="G116" s="25"/>
      <c r="H116" s="25"/>
      <c r="I116" s="26"/>
      <c r="J116" s="25"/>
      <c r="K116" s="26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idden="1" x14ac:dyDescent="0.35">
      <c r="A117" s="7"/>
      <c r="B117" s="5"/>
      <c r="C117" s="5"/>
      <c r="D117" s="5"/>
      <c r="E117" s="5"/>
      <c r="F117" s="5"/>
      <c r="G117" s="5"/>
      <c r="H117" s="5"/>
      <c r="I117" s="6"/>
      <c r="J117" s="5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idden="1" x14ac:dyDescent="0.35">
      <c r="A118" s="7"/>
      <c r="B118" s="5"/>
      <c r="C118" s="5"/>
      <c r="D118" s="5"/>
      <c r="E118" s="5"/>
      <c r="F118" s="5"/>
      <c r="G118" s="5"/>
      <c r="H118" s="5"/>
      <c r="I118" s="6"/>
      <c r="J118" s="5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idden="1" x14ac:dyDescent="0.35">
      <c r="A119" s="7"/>
      <c r="B119" s="5"/>
      <c r="C119" s="5"/>
      <c r="D119" s="5"/>
      <c r="E119" s="5"/>
      <c r="F119" s="5"/>
      <c r="G119" s="5"/>
      <c r="H119" s="5"/>
      <c r="I119" s="6"/>
      <c r="J119" s="5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x14ac:dyDescent="0.35">
      <c r="A120" s="24"/>
      <c r="B120" s="25"/>
      <c r="C120" s="25"/>
      <c r="D120" s="25"/>
      <c r="E120" s="25"/>
      <c r="F120" s="25"/>
      <c r="G120" s="25"/>
      <c r="H120" s="25"/>
      <c r="I120" s="26"/>
      <c r="J120" s="25"/>
      <c r="K120" s="26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x14ac:dyDescent="0.35">
      <c r="A121" s="24"/>
      <c r="B121" s="25"/>
      <c r="C121" s="25"/>
      <c r="D121" s="25"/>
      <c r="E121" s="25"/>
      <c r="F121" s="25"/>
      <c r="G121" s="25"/>
      <c r="H121" s="25"/>
      <c r="I121" s="26"/>
      <c r="J121" s="25"/>
      <c r="K121" s="26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x14ac:dyDescent="0.35">
      <c r="A122" s="24"/>
      <c r="B122" s="25"/>
      <c r="C122" s="25"/>
      <c r="D122" s="25"/>
      <c r="E122" s="25"/>
      <c r="F122" s="25"/>
      <c r="G122" s="25"/>
      <c r="H122" s="25"/>
      <c r="I122" s="26"/>
      <c r="J122" s="25"/>
      <c r="K122" s="26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x14ac:dyDescent="0.35">
      <c r="A123" s="24"/>
      <c r="B123" s="25"/>
      <c r="C123" s="25"/>
      <c r="D123" s="25"/>
      <c r="E123" s="25"/>
      <c r="F123" s="25"/>
      <c r="G123" s="25"/>
      <c r="H123" s="25"/>
      <c r="I123" s="26"/>
      <c r="J123" s="25"/>
      <c r="K123" s="26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x14ac:dyDescent="0.35">
      <c r="A124" s="24"/>
      <c r="B124" s="25"/>
      <c r="C124" s="25"/>
      <c r="D124" s="25"/>
      <c r="E124" s="25"/>
      <c r="F124" s="25"/>
      <c r="G124" s="25"/>
      <c r="H124" s="25"/>
      <c r="I124" s="26"/>
      <c r="J124" s="25"/>
      <c r="K124" s="26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x14ac:dyDescent="0.35">
      <c r="A125" s="24"/>
      <c r="B125" s="25"/>
      <c r="C125" s="25"/>
      <c r="D125" s="25"/>
      <c r="E125" s="25"/>
      <c r="F125" s="25"/>
      <c r="G125" s="25"/>
      <c r="H125" s="25"/>
      <c r="I125" s="26"/>
      <c r="J125" s="25"/>
      <c r="K125" s="26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x14ac:dyDescent="0.35">
      <c r="A126" s="24"/>
      <c r="B126" s="25"/>
      <c r="C126" s="25"/>
      <c r="D126" s="25"/>
      <c r="E126" s="25"/>
      <c r="F126" s="25"/>
      <c r="G126" s="25"/>
      <c r="H126" s="25"/>
      <c r="I126" s="26"/>
      <c r="J126" s="25"/>
      <c r="K126" s="26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idden="1" x14ac:dyDescent="0.35">
      <c r="A127" s="7"/>
      <c r="B127" s="5"/>
      <c r="C127" s="5"/>
      <c r="D127" s="5"/>
      <c r="E127" s="5"/>
      <c r="F127" s="5"/>
      <c r="G127" s="5"/>
      <c r="H127" s="5"/>
      <c r="I127" s="6"/>
      <c r="J127" s="5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idden="1" x14ac:dyDescent="0.35">
      <c r="A128" s="7"/>
      <c r="B128" s="5"/>
      <c r="C128" s="5"/>
      <c r="D128" s="5"/>
      <c r="E128" s="5"/>
      <c r="F128" s="5"/>
      <c r="G128" s="5"/>
      <c r="H128" s="5"/>
      <c r="I128" s="6"/>
      <c r="J128" s="5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x14ac:dyDescent="0.35">
      <c r="A129" s="24"/>
      <c r="B129" s="25"/>
      <c r="C129" s="25"/>
      <c r="D129" s="25"/>
      <c r="E129" s="25"/>
      <c r="F129" s="25"/>
      <c r="G129" s="25"/>
      <c r="H129" s="25"/>
      <c r="I129" s="26"/>
      <c r="J129" s="25"/>
      <c r="K129" s="26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idden="1" x14ac:dyDescent="0.35">
      <c r="A130" s="7"/>
      <c r="B130" s="5"/>
      <c r="C130" s="5"/>
      <c r="D130" s="5"/>
      <c r="E130" s="5"/>
      <c r="F130" s="5"/>
      <c r="G130" s="5"/>
      <c r="H130" s="5"/>
      <c r="I130" s="6"/>
      <c r="J130" s="5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x14ac:dyDescent="0.35">
      <c r="A131" s="24"/>
      <c r="B131" s="25"/>
      <c r="C131" s="25"/>
      <c r="D131" s="25"/>
      <c r="E131" s="25"/>
      <c r="F131" s="25"/>
      <c r="G131" s="25"/>
      <c r="H131" s="25"/>
      <c r="I131" s="26"/>
      <c r="J131" s="25"/>
      <c r="K131" s="26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x14ac:dyDescent="0.35">
      <c r="A132" s="24"/>
      <c r="B132" s="25"/>
      <c r="C132" s="25"/>
      <c r="D132" s="25"/>
      <c r="E132" s="25"/>
      <c r="F132" s="25"/>
      <c r="G132" s="25"/>
      <c r="H132" s="25"/>
      <c r="I132" s="26"/>
      <c r="J132" s="25"/>
      <c r="K132" s="26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idden="1" x14ac:dyDescent="0.35">
      <c r="A133" s="7"/>
      <c r="B133" s="5"/>
      <c r="C133" s="5"/>
      <c r="D133" s="5"/>
      <c r="E133" s="5"/>
      <c r="F133" s="5"/>
      <c r="G133" s="5"/>
      <c r="H133" s="5"/>
      <c r="I133" s="6"/>
      <c r="J133" s="5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idden="1" x14ac:dyDescent="0.35">
      <c r="A134" s="7"/>
      <c r="B134" s="5"/>
      <c r="C134" s="5"/>
      <c r="D134" s="5"/>
      <c r="E134" s="5"/>
      <c r="F134" s="5"/>
      <c r="G134" s="5"/>
      <c r="H134" s="5"/>
      <c r="I134" s="6"/>
      <c r="J134" s="5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idden="1" x14ac:dyDescent="0.35">
      <c r="A135" s="7"/>
      <c r="B135" s="5"/>
      <c r="C135" s="5"/>
      <c r="D135" s="5"/>
      <c r="E135" s="5"/>
      <c r="F135" s="5"/>
      <c r="G135" s="5"/>
      <c r="H135" s="5"/>
      <c r="I135" s="6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x14ac:dyDescent="0.35">
      <c r="A136" s="24"/>
      <c r="B136" s="25"/>
      <c r="C136" s="25"/>
      <c r="D136" s="25"/>
      <c r="E136" s="25"/>
      <c r="F136" s="25"/>
      <c r="G136" s="25"/>
      <c r="H136" s="25"/>
      <c r="I136" s="26"/>
      <c r="J136" s="25"/>
      <c r="K136" s="26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x14ac:dyDescent="0.35">
      <c r="A137" s="24"/>
      <c r="B137" s="25"/>
      <c r="C137" s="25"/>
      <c r="D137" s="25"/>
      <c r="E137" s="25"/>
      <c r="F137" s="25"/>
      <c r="G137" s="25"/>
      <c r="H137" s="25"/>
      <c r="I137" s="26"/>
      <c r="J137" s="25"/>
      <c r="K137" s="26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idden="1" x14ac:dyDescent="0.35">
      <c r="A138" s="7"/>
      <c r="B138" s="5"/>
      <c r="C138" s="5"/>
      <c r="D138" s="5"/>
      <c r="E138" s="5"/>
      <c r="F138" s="5"/>
      <c r="G138" s="5"/>
      <c r="H138" s="5"/>
      <c r="I138" s="6"/>
      <c r="J138" s="5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x14ac:dyDescent="0.35">
      <c r="A139" s="24"/>
      <c r="B139" s="25"/>
      <c r="C139" s="25"/>
      <c r="D139" s="25"/>
      <c r="E139" s="25"/>
      <c r="F139" s="25"/>
      <c r="G139" s="25"/>
      <c r="H139" s="25"/>
      <c r="I139" s="26"/>
      <c r="J139" s="25"/>
      <c r="K139" s="26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idden="1" x14ac:dyDescent="0.35">
      <c r="A140" s="7"/>
      <c r="B140" s="5"/>
      <c r="C140" s="5"/>
      <c r="D140" s="5"/>
      <c r="E140" s="5"/>
      <c r="F140" s="5"/>
      <c r="G140" s="5"/>
      <c r="H140" s="5"/>
      <c r="I140" s="6"/>
      <c r="J140" s="5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idden="1" x14ac:dyDescent="0.35">
      <c r="A141" s="7"/>
      <c r="B141" s="5"/>
      <c r="C141" s="5"/>
      <c r="D141" s="5"/>
      <c r="E141" s="5"/>
      <c r="F141" s="5"/>
      <c r="G141" s="5"/>
      <c r="H141" s="5"/>
      <c r="I141" s="6"/>
      <c r="J141" s="5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35">
      <c r="A142" s="24"/>
      <c r="B142" s="25"/>
      <c r="C142" s="25"/>
      <c r="D142" s="25"/>
      <c r="E142" s="25"/>
      <c r="F142" s="25"/>
      <c r="G142" s="25"/>
      <c r="H142" s="25"/>
      <c r="I142" s="26"/>
      <c r="J142" s="25"/>
      <c r="K142" s="26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x14ac:dyDescent="0.35">
      <c r="A143" s="24"/>
      <c r="B143" s="25"/>
      <c r="C143" s="25"/>
      <c r="D143" s="25"/>
      <c r="E143" s="25"/>
      <c r="F143" s="25"/>
      <c r="G143" s="25"/>
      <c r="H143" s="25"/>
      <c r="I143" s="26"/>
      <c r="J143" s="25"/>
      <c r="K143" s="26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x14ac:dyDescent="0.35">
      <c r="A144" s="24"/>
      <c r="B144" s="25"/>
      <c r="C144" s="25"/>
      <c r="D144" s="25"/>
      <c r="E144" s="25"/>
      <c r="F144" s="25"/>
      <c r="G144" s="25"/>
      <c r="H144" s="25"/>
      <c r="I144" s="26"/>
      <c r="J144" s="25"/>
      <c r="K144" s="26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idden="1" x14ac:dyDescent="0.35">
      <c r="A145" s="7"/>
      <c r="B145" s="5"/>
      <c r="C145" s="5"/>
      <c r="D145" s="5"/>
      <c r="E145" s="5"/>
      <c r="F145" s="5"/>
      <c r="G145" s="5"/>
      <c r="H145" s="5"/>
      <c r="I145" s="6"/>
      <c r="J145" s="5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x14ac:dyDescent="0.35">
      <c r="A146" s="24"/>
      <c r="B146" s="25"/>
      <c r="C146" s="25"/>
      <c r="D146" s="25"/>
      <c r="E146" s="25"/>
      <c r="F146" s="25"/>
      <c r="G146" s="25"/>
      <c r="H146" s="25"/>
      <c r="I146" s="26"/>
      <c r="J146" s="25"/>
      <c r="K146" s="26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idden="1" x14ac:dyDescent="0.35">
      <c r="A147" s="7"/>
      <c r="B147" s="5"/>
      <c r="C147" s="5"/>
      <c r="D147" s="5"/>
      <c r="E147" s="5"/>
      <c r="F147" s="5"/>
      <c r="G147" s="5"/>
      <c r="H147" s="5"/>
      <c r="I147" s="6"/>
      <c r="J147" s="5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x14ac:dyDescent="0.35">
      <c r="A148" s="24"/>
      <c r="B148" s="25"/>
      <c r="C148" s="25"/>
      <c r="D148" s="25"/>
      <c r="E148" s="25"/>
      <c r="F148" s="25"/>
      <c r="G148" s="25"/>
      <c r="H148" s="25"/>
      <c r="I148" s="26"/>
      <c r="J148" s="25"/>
      <c r="K148" s="26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x14ac:dyDescent="0.35">
      <c r="A149" s="24"/>
      <c r="B149" s="25"/>
      <c r="C149" s="25"/>
      <c r="D149" s="25"/>
      <c r="E149" s="25"/>
      <c r="F149" s="25"/>
      <c r="G149" s="25"/>
      <c r="H149" s="25"/>
      <c r="I149" s="26"/>
      <c r="J149" s="25"/>
      <c r="K149" s="26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idden="1" x14ac:dyDescent="0.35">
      <c r="A150" s="7"/>
      <c r="B150" s="5"/>
      <c r="C150" s="5"/>
      <c r="D150" s="5"/>
      <c r="E150" s="5"/>
      <c r="F150" s="5"/>
      <c r="G150" s="5"/>
      <c r="H150" s="5"/>
      <c r="I150" s="6"/>
      <c r="J150" s="5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idden="1" x14ac:dyDescent="0.35">
      <c r="A151" s="7"/>
      <c r="B151" s="5"/>
      <c r="C151" s="5"/>
      <c r="D151" s="5"/>
      <c r="E151" s="5"/>
      <c r="F151" s="5"/>
      <c r="G151" s="5"/>
      <c r="H151" s="5"/>
      <c r="I151" s="6"/>
      <c r="J151" s="5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x14ac:dyDescent="0.35">
      <c r="A152" s="24"/>
      <c r="B152" s="25"/>
      <c r="C152" s="25"/>
      <c r="D152" s="25"/>
      <c r="E152" s="25"/>
      <c r="F152" s="25"/>
      <c r="G152" s="25"/>
      <c r="H152" s="25"/>
      <c r="I152" s="26"/>
      <c r="J152" s="25"/>
      <c r="K152" s="26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x14ac:dyDescent="0.35">
      <c r="A153" s="24"/>
      <c r="B153" s="25"/>
      <c r="C153" s="25"/>
      <c r="D153" s="25"/>
      <c r="E153" s="25"/>
      <c r="F153" s="25"/>
      <c r="G153" s="25"/>
      <c r="H153" s="25"/>
      <c r="I153" s="26"/>
      <c r="J153" s="25"/>
      <c r="K153" s="26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x14ac:dyDescent="0.35">
      <c r="A154" s="24"/>
      <c r="B154" s="25"/>
      <c r="C154" s="25"/>
      <c r="D154" s="25"/>
      <c r="E154" s="25"/>
      <c r="F154" s="25"/>
      <c r="G154" s="25"/>
      <c r="H154" s="25"/>
      <c r="I154" s="26"/>
      <c r="J154" s="25"/>
      <c r="K154" s="26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x14ac:dyDescent="0.35">
      <c r="A155" s="24"/>
      <c r="B155" s="25"/>
      <c r="C155" s="25"/>
      <c r="D155" s="25"/>
      <c r="E155" s="25"/>
      <c r="F155" s="25"/>
      <c r="G155" s="25"/>
      <c r="H155" s="25"/>
      <c r="I155" s="26"/>
      <c r="J155" s="25"/>
      <c r="K155" s="26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idden="1" x14ac:dyDescent="0.35">
      <c r="A156" s="7"/>
      <c r="B156" s="5"/>
      <c r="C156" s="5"/>
      <c r="D156" s="5"/>
      <c r="E156" s="5"/>
      <c r="F156" s="5"/>
      <c r="G156" s="5"/>
      <c r="H156" s="5"/>
      <c r="I156" s="6"/>
      <c r="J156" s="5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idden="1" x14ac:dyDescent="0.35">
      <c r="A157" s="7"/>
      <c r="B157" s="5"/>
      <c r="C157" s="5"/>
      <c r="D157" s="5"/>
      <c r="E157" s="5"/>
      <c r="F157" s="5"/>
      <c r="G157" s="5"/>
      <c r="H157" s="5"/>
      <c r="I157" s="6"/>
      <c r="J157" s="5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idden="1" x14ac:dyDescent="0.35">
      <c r="A158" s="7"/>
      <c r="B158" s="5"/>
      <c r="C158" s="5"/>
      <c r="D158" s="5"/>
      <c r="E158" s="5"/>
      <c r="F158" s="5"/>
      <c r="G158" s="5"/>
      <c r="H158" s="5"/>
      <c r="I158" s="6"/>
      <c r="J158" s="5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idden="1" x14ac:dyDescent="0.35">
      <c r="A159" s="7"/>
      <c r="B159" s="5"/>
      <c r="C159" s="5"/>
      <c r="D159" s="5"/>
      <c r="E159" s="5"/>
      <c r="F159" s="5"/>
      <c r="G159" s="5"/>
      <c r="H159" s="5"/>
      <c r="I159" s="6"/>
      <c r="J159" s="5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idden="1" x14ac:dyDescent="0.35">
      <c r="A160" s="7"/>
      <c r="B160" s="5"/>
      <c r="C160" s="5"/>
      <c r="D160" s="5"/>
      <c r="E160" s="5"/>
      <c r="F160" s="5"/>
      <c r="G160" s="5"/>
      <c r="H160" s="5"/>
      <c r="I160" s="6"/>
      <c r="J160" s="5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x14ac:dyDescent="0.35">
      <c r="A161" s="24"/>
      <c r="B161" s="25"/>
      <c r="C161" s="25"/>
      <c r="D161" s="25"/>
      <c r="E161" s="25"/>
      <c r="F161" s="25"/>
      <c r="G161" s="25"/>
      <c r="H161" s="25"/>
      <c r="I161" s="26"/>
      <c r="J161" s="25"/>
      <c r="K161" s="26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idden="1" x14ac:dyDescent="0.35">
      <c r="A162" s="7"/>
      <c r="B162" s="5"/>
      <c r="C162" s="5"/>
      <c r="D162" s="5"/>
      <c r="E162" s="5"/>
      <c r="F162" s="5"/>
      <c r="G162" s="5"/>
      <c r="H162" s="5"/>
      <c r="I162" s="6"/>
      <c r="J162" s="5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x14ac:dyDescent="0.35">
      <c r="A163" s="24"/>
      <c r="B163" s="25"/>
      <c r="C163" s="25"/>
      <c r="D163" s="25"/>
      <c r="E163" s="25"/>
      <c r="F163" s="25"/>
      <c r="G163" s="25"/>
      <c r="H163" s="25"/>
      <c r="I163" s="26"/>
      <c r="J163" s="25"/>
      <c r="K163" s="26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x14ac:dyDescent="0.35">
      <c r="A164" s="24"/>
      <c r="B164" s="25"/>
      <c r="C164" s="25"/>
      <c r="D164" s="25"/>
      <c r="E164" s="25"/>
      <c r="F164" s="25"/>
      <c r="G164" s="25"/>
      <c r="H164" s="25"/>
      <c r="I164" s="26"/>
      <c r="J164" s="25"/>
      <c r="K164" s="26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x14ac:dyDescent="0.35">
      <c r="A165" s="24"/>
      <c r="B165" s="25"/>
      <c r="C165" s="25"/>
      <c r="D165" s="25"/>
      <c r="E165" s="25"/>
      <c r="F165" s="25"/>
      <c r="G165" s="25"/>
      <c r="H165" s="25"/>
      <c r="I165" s="26"/>
      <c r="J165" s="25"/>
      <c r="K165" s="26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idden="1" x14ac:dyDescent="0.35">
      <c r="A166" s="7"/>
      <c r="B166" s="5"/>
      <c r="C166" s="5"/>
      <c r="D166" s="5"/>
      <c r="E166" s="5"/>
      <c r="F166" s="5"/>
      <c r="G166" s="5"/>
      <c r="H166" s="5"/>
      <c r="I166" s="6"/>
      <c r="J166" s="5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idden="1" x14ac:dyDescent="0.35">
      <c r="A167" s="7"/>
      <c r="B167" s="5"/>
      <c r="C167" s="5"/>
      <c r="D167" s="5"/>
      <c r="E167" s="5"/>
      <c r="F167" s="5"/>
      <c r="G167" s="5"/>
      <c r="H167" s="5"/>
      <c r="I167" s="6"/>
      <c r="J167" s="5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idden="1" x14ac:dyDescent="0.35">
      <c r="A168" s="7"/>
      <c r="B168" s="5"/>
      <c r="C168" s="5"/>
      <c r="D168" s="5"/>
      <c r="E168" s="5"/>
      <c r="F168" s="5"/>
      <c r="G168" s="5"/>
      <c r="H168" s="5"/>
      <c r="I168" s="6"/>
      <c r="J168" s="5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idden="1" x14ac:dyDescent="0.35">
      <c r="A169" s="7"/>
      <c r="B169" s="5"/>
      <c r="C169" s="5"/>
      <c r="D169" s="5"/>
      <c r="E169" s="5"/>
      <c r="F169" s="5"/>
      <c r="G169" s="5"/>
      <c r="H169" s="5"/>
      <c r="I169" s="6"/>
      <c r="J169" s="5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idden="1" x14ac:dyDescent="0.35">
      <c r="A170" s="7"/>
      <c r="B170" s="5"/>
      <c r="C170" s="5"/>
      <c r="D170" s="5"/>
      <c r="E170" s="5"/>
      <c r="F170" s="5"/>
      <c r="G170" s="5"/>
      <c r="H170" s="5"/>
      <c r="I170" s="6"/>
      <c r="J170" s="5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idden="1" x14ac:dyDescent="0.35">
      <c r="A171" s="7"/>
      <c r="B171" s="5"/>
      <c r="C171" s="5"/>
      <c r="D171" s="5"/>
      <c r="E171" s="5"/>
      <c r="F171" s="5"/>
      <c r="G171" s="5"/>
      <c r="H171" s="5"/>
      <c r="I171" s="6"/>
      <c r="J171" s="5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idden="1" x14ac:dyDescent="0.35">
      <c r="A172" s="7"/>
      <c r="B172" s="5"/>
      <c r="C172" s="5"/>
      <c r="D172" s="5"/>
      <c r="E172" s="5"/>
      <c r="F172" s="5"/>
      <c r="G172" s="5"/>
      <c r="H172" s="5"/>
      <c r="I172" s="6"/>
      <c r="J172" s="5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idden="1" x14ac:dyDescent="0.35">
      <c r="A173" s="7"/>
      <c r="B173" s="5"/>
      <c r="C173" s="5"/>
      <c r="D173" s="5"/>
      <c r="E173" s="5"/>
      <c r="F173" s="5"/>
      <c r="G173" s="5"/>
      <c r="H173" s="5"/>
      <c r="I173" s="6"/>
      <c r="J173" s="5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x14ac:dyDescent="0.35">
      <c r="A174" s="24"/>
      <c r="B174" s="25"/>
      <c r="C174" s="25"/>
      <c r="D174" s="25"/>
      <c r="E174" s="25"/>
      <c r="F174" s="25"/>
      <c r="G174" s="25"/>
      <c r="H174" s="25"/>
      <c r="I174" s="26"/>
      <c r="J174" s="25"/>
      <c r="K174" s="26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x14ac:dyDescent="0.35">
      <c r="A175" s="24"/>
      <c r="B175" s="25"/>
      <c r="C175" s="25"/>
      <c r="D175" s="25"/>
      <c r="E175" s="25"/>
      <c r="F175" s="25"/>
      <c r="G175" s="25"/>
      <c r="H175" s="25"/>
      <c r="I175" s="26"/>
      <c r="J175" s="25"/>
      <c r="K175" s="26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x14ac:dyDescent="0.35">
      <c r="A176" s="24"/>
      <c r="B176" s="25"/>
      <c r="C176" s="25"/>
      <c r="D176" s="25"/>
      <c r="E176" s="25"/>
      <c r="F176" s="25"/>
      <c r="G176" s="25"/>
      <c r="H176" s="25"/>
      <c r="I176" s="26"/>
      <c r="J176" s="25"/>
      <c r="K176" s="26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x14ac:dyDescent="0.35">
      <c r="A177" s="24"/>
      <c r="B177" s="25"/>
      <c r="C177" s="25"/>
      <c r="D177" s="25"/>
      <c r="E177" s="25"/>
      <c r="F177" s="25"/>
      <c r="G177" s="25"/>
      <c r="H177" s="25"/>
      <c r="I177" s="26"/>
      <c r="J177" s="25"/>
      <c r="K177" s="26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x14ac:dyDescent="0.35">
      <c r="A178" s="7"/>
      <c r="B178" s="5"/>
      <c r="C178" s="5"/>
      <c r="D178" s="5"/>
      <c r="E178" s="5"/>
      <c r="F178" s="5"/>
      <c r="G178" s="5"/>
      <c r="H178" s="5"/>
      <c r="I178" s="6"/>
      <c r="J178" s="5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</row>
  </sheetData>
  <autoFilter ref="A2:AD177" xr:uid="{00000000-0001-0000-0100-000000000000}">
    <filterColumn colId="6">
      <filters>
        <filter val="Zamba"/>
      </filters>
    </filterColumn>
    <sortState xmlns:xlrd2="http://schemas.microsoft.com/office/spreadsheetml/2017/richdata2" ref="A3:AD177">
      <sortCondition ref="I2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Base</vt:lpstr>
      <vt:lpstr>EXIT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2026-07-13T17:09:39Z</dcterms:created>
  <dcterms:modified xsi:type="dcterms:W3CDTF">2026-07-24T10:10:13Z</dcterms:modified>
  <cp:category/>
</cp:coreProperties>
</file>