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pps\hr-rh-app\Excel\factures-fournisseurs\"/>
    </mc:Choice>
  </mc:AlternateContent>
  <xr:revisionPtr revIDLastSave="0" documentId="13_ncr:1_{B78D50A3-C0E9-46DC-A901-F0702FEE2EE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ashboard" sheetId="2" r:id="rId1"/>
    <sheet name="Factures" sheetId="1" r:id="rId2"/>
    <sheet name="Gui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O502" i="1"/>
  <c r="N502" i="1"/>
  <c r="M502" i="1"/>
  <c r="L502" i="1"/>
  <c r="O501" i="1"/>
  <c r="N501" i="1"/>
  <c r="M501" i="1"/>
  <c r="L501" i="1"/>
  <c r="O500" i="1"/>
  <c r="N500" i="1"/>
  <c r="M500" i="1"/>
  <c r="L500" i="1"/>
  <c r="O499" i="1"/>
  <c r="N499" i="1"/>
  <c r="M499" i="1"/>
  <c r="L499" i="1"/>
  <c r="O498" i="1"/>
  <c r="N498" i="1"/>
  <c r="M498" i="1"/>
  <c r="L498" i="1"/>
  <c r="O497" i="1"/>
  <c r="N497" i="1"/>
  <c r="M497" i="1"/>
  <c r="L497" i="1"/>
  <c r="O496" i="1"/>
  <c r="N496" i="1"/>
  <c r="M496" i="1"/>
  <c r="L496" i="1"/>
  <c r="O495" i="1"/>
  <c r="N495" i="1"/>
  <c r="M495" i="1"/>
  <c r="L495" i="1"/>
  <c r="O494" i="1"/>
  <c r="N494" i="1"/>
  <c r="M494" i="1"/>
  <c r="L494" i="1"/>
  <c r="O493" i="1"/>
  <c r="N493" i="1"/>
  <c r="M493" i="1"/>
  <c r="L493" i="1"/>
  <c r="O492" i="1"/>
  <c r="N492" i="1"/>
  <c r="M492" i="1"/>
  <c r="L492" i="1"/>
  <c r="O491" i="1"/>
  <c r="N491" i="1"/>
  <c r="M491" i="1"/>
  <c r="L491" i="1"/>
  <c r="O490" i="1"/>
  <c r="N490" i="1"/>
  <c r="M490" i="1"/>
  <c r="L490" i="1"/>
  <c r="O489" i="1"/>
  <c r="N489" i="1"/>
  <c r="M489" i="1"/>
  <c r="L489" i="1"/>
  <c r="O488" i="1"/>
  <c r="N488" i="1"/>
  <c r="M488" i="1"/>
  <c r="L488" i="1"/>
  <c r="O487" i="1"/>
  <c r="N487" i="1"/>
  <c r="M487" i="1"/>
  <c r="L487" i="1"/>
  <c r="O486" i="1"/>
  <c r="N486" i="1"/>
  <c r="M486" i="1"/>
  <c r="L486" i="1"/>
  <c r="O485" i="1"/>
  <c r="N485" i="1"/>
  <c r="M485" i="1"/>
  <c r="L485" i="1"/>
  <c r="O484" i="1"/>
  <c r="N484" i="1"/>
  <c r="M484" i="1"/>
  <c r="L484" i="1"/>
  <c r="O483" i="1"/>
  <c r="N483" i="1"/>
  <c r="M483" i="1"/>
  <c r="L483" i="1"/>
  <c r="O482" i="1"/>
  <c r="N482" i="1"/>
  <c r="M482" i="1"/>
  <c r="L482" i="1"/>
  <c r="O481" i="1"/>
  <c r="N481" i="1"/>
  <c r="M481" i="1"/>
  <c r="L481" i="1"/>
  <c r="O480" i="1"/>
  <c r="N480" i="1"/>
  <c r="M480" i="1"/>
  <c r="L480" i="1"/>
  <c r="O479" i="1"/>
  <c r="N479" i="1"/>
  <c r="M479" i="1"/>
  <c r="L479" i="1"/>
  <c r="O478" i="1"/>
  <c r="N478" i="1"/>
  <c r="M478" i="1"/>
  <c r="L478" i="1"/>
  <c r="O477" i="1"/>
  <c r="N477" i="1"/>
  <c r="M477" i="1"/>
  <c r="L477" i="1"/>
  <c r="O476" i="1"/>
  <c r="N476" i="1"/>
  <c r="M476" i="1"/>
  <c r="L476" i="1"/>
  <c r="O475" i="1"/>
  <c r="N475" i="1"/>
  <c r="M475" i="1"/>
  <c r="L475" i="1"/>
  <c r="O474" i="1"/>
  <c r="N474" i="1"/>
  <c r="M474" i="1"/>
  <c r="L474" i="1"/>
  <c r="O473" i="1"/>
  <c r="N473" i="1"/>
  <c r="M473" i="1"/>
  <c r="L473" i="1"/>
  <c r="O472" i="1"/>
  <c r="N472" i="1"/>
  <c r="M472" i="1"/>
  <c r="L472" i="1"/>
  <c r="O471" i="1"/>
  <c r="N471" i="1"/>
  <c r="M471" i="1"/>
  <c r="L471" i="1"/>
  <c r="O470" i="1"/>
  <c r="N470" i="1"/>
  <c r="M470" i="1"/>
  <c r="L470" i="1"/>
  <c r="O469" i="1"/>
  <c r="N469" i="1"/>
  <c r="M469" i="1"/>
  <c r="L469" i="1"/>
  <c r="O468" i="1"/>
  <c r="N468" i="1"/>
  <c r="M468" i="1"/>
  <c r="L468" i="1"/>
  <c r="O467" i="1"/>
  <c r="N467" i="1"/>
  <c r="M467" i="1"/>
  <c r="L467" i="1"/>
  <c r="O466" i="1"/>
  <c r="N466" i="1"/>
  <c r="M466" i="1"/>
  <c r="L466" i="1"/>
  <c r="O465" i="1"/>
  <c r="N465" i="1"/>
  <c r="M465" i="1"/>
  <c r="L465" i="1"/>
  <c r="O464" i="1"/>
  <c r="N464" i="1"/>
  <c r="M464" i="1"/>
  <c r="L464" i="1"/>
  <c r="O463" i="1"/>
  <c r="N463" i="1"/>
  <c r="M463" i="1"/>
  <c r="L463" i="1"/>
  <c r="O462" i="1"/>
  <c r="N462" i="1"/>
  <c r="M462" i="1"/>
  <c r="L462" i="1"/>
  <c r="O461" i="1"/>
  <c r="N461" i="1"/>
  <c r="M461" i="1"/>
  <c r="L461" i="1"/>
  <c r="O460" i="1"/>
  <c r="N460" i="1"/>
  <c r="M460" i="1"/>
  <c r="L460" i="1"/>
  <c r="O459" i="1"/>
  <c r="N459" i="1"/>
  <c r="M459" i="1"/>
  <c r="L459" i="1"/>
  <c r="O458" i="1"/>
  <c r="N458" i="1"/>
  <c r="M458" i="1"/>
  <c r="L458" i="1"/>
  <c r="O457" i="1"/>
  <c r="N457" i="1"/>
  <c r="M457" i="1"/>
  <c r="L457" i="1"/>
  <c r="O456" i="1"/>
  <c r="N456" i="1"/>
  <c r="M456" i="1"/>
  <c r="L456" i="1"/>
  <c r="O455" i="1"/>
  <c r="N455" i="1"/>
  <c r="M455" i="1"/>
  <c r="L455" i="1"/>
  <c r="O454" i="1"/>
  <c r="N454" i="1"/>
  <c r="M454" i="1"/>
  <c r="L454" i="1"/>
  <c r="O453" i="1"/>
  <c r="N453" i="1"/>
  <c r="M453" i="1"/>
  <c r="L453" i="1"/>
  <c r="O452" i="1"/>
  <c r="N452" i="1"/>
  <c r="M452" i="1"/>
  <c r="L452" i="1"/>
  <c r="O451" i="1"/>
  <c r="N451" i="1"/>
  <c r="M451" i="1"/>
  <c r="L451" i="1"/>
  <c r="O450" i="1"/>
  <c r="N450" i="1"/>
  <c r="M450" i="1"/>
  <c r="L450" i="1"/>
  <c r="O449" i="1"/>
  <c r="N449" i="1"/>
  <c r="M449" i="1"/>
  <c r="L449" i="1"/>
  <c r="O448" i="1"/>
  <c r="N448" i="1"/>
  <c r="M448" i="1"/>
  <c r="L448" i="1"/>
  <c r="O447" i="1"/>
  <c r="N447" i="1"/>
  <c r="M447" i="1"/>
  <c r="L447" i="1"/>
  <c r="O446" i="1"/>
  <c r="N446" i="1"/>
  <c r="M446" i="1"/>
  <c r="L446" i="1"/>
  <c r="O445" i="1"/>
  <c r="N445" i="1"/>
  <c r="M445" i="1"/>
  <c r="L445" i="1"/>
  <c r="O444" i="1"/>
  <c r="N444" i="1"/>
  <c r="M444" i="1"/>
  <c r="L444" i="1"/>
  <c r="O443" i="1"/>
  <c r="N443" i="1"/>
  <c r="M443" i="1"/>
  <c r="L443" i="1"/>
  <c r="O442" i="1"/>
  <c r="N442" i="1"/>
  <c r="M442" i="1"/>
  <c r="L442" i="1"/>
  <c r="O441" i="1"/>
  <c r="N441" i="1"/>
  <c r="M441" i="1"/>
  <c r="L441" i="1"/>
  <c r="O440" i="1"/>
  <c r="N440" i="1"/>
  <c r="M440" i="1"/>
  <c r="L440" i="1"/>
  <c r="O439" i="1"/>
  <c r="N439" i="1"/>
  <c r="M439" i="1"/>
  <c r="L439" i="1"/>
  <c r="O438" i="1"/>
  <c r="N438" i="1"/>
  <c r="M438" i="1"/>
  <c r="L438" i="1"/>
  <c r="O437" i="1"/>
  <c r="N437" i="1"/>
  <c r="M437" i="1"/>
  <c r="L437" i="1"/>
  <c r="O436" i="1"/>
  <c r="N436" i="1"/>
  <c r="M436" i="1"/>
  <c r="L436" i="1"/>
  <c r="O435" i="1"/>
  <c r="N435" i="1"/>
  <c r="M435" i="1"/>
  <c r="L435" i="1"/>
  <c r="O434" i="1"/>
  <c r="N434" i="1"/>
  <c r="M434" i="1"/>
  <c r="L434" i="1"/>
  <c r="O433" i="1"/>
  <c r="N433" i="1"/>
  <c r="M433" i="1"/>
  <c r="L433" i="1"/>
  <c r="O432" i="1"/>
  <c r="N432" i="1"/>
  <c r="M432" i="1"/>
  <c r="L432" i="1"/>
  <c r="O431" i="1"/>
  <c r="N431" i="1"/>
  <c r="M431" i="1"/>
  <c r="L431" i="1"/>
  <c r="O430" i="1"/>
  <c r="N430" i="1"/>
  <c r="M430" i="1"/>
  <c r="L430" i="1"/>
  <c r="O429" i="1"/>
  <c r="N429" i="1"/>
  <c r="M429" i="1"/>
  <c r="L429" i="1"/>
  <c r="O428" i="1"/>
  <c r="N428" i="1"/>
  <c r="M428" i="1"/>
  <c r="L428" i="1"/>
  <c r="O427" i="1"/>
  <c r="N427" i="1"/>
  <c r="M427" i="1"/>
  <c r="L427" i="1"/>
  <c r="O426" i="1"/>
  <c r="N426" i="1"/>
  <c r="M426" i="1"/>
  <c r="L426" i="1"/>
  <c r="O425" i="1"/>
  <c r="N425" i="1"/>
  <c r="M425" i="1"/>
  <c r="L425" i="1"/>
  <c r="O424" i="1"/>
  <c r="N424" i="1"/>
  <c r="M424" i="1"/>
  <c r="L424" i="1"/>
  <c r="O423" i="1"/>
  <c r="N423" i="1"/>
  <c r="M423" i="1"/>
  <c r="L423" i="1"/>
  <c r="O422" i="1"/>
  <c r="N422" i="1"/>
  <c r="M422" i="1"/>
  <c r="L422" i="1"/>
  <c r="O421" i="1"/>
  <c r="N421" i="1"/>
  <c r="M421" i="1"/>
  <c r="L421" i="1"/>
  <c r="O420" i="1"/>
  <c r="N420" i="1"/>
  <c r="M420" i="1"/>
  <c r="L420" i="1"/>
  <c r="O419" i="1"/>
  <c r="N419" i="1"/>
  <c r="M419" i="1"/>
  <c r="L419" i="1"/>
  <c r="O418" i="1"/>
  <c r="N418" i="1"/>
  <c r="M418" i="1"/>
  <c r="L418" i="1"/>
  <c r="O417" i="1"/>
  <c r="N417" i="1"/>
  <c r="M417" i="1"/>
  <c r="L417" i="1"/>
  <c r="O416" i="1"/>
  <c r="N416" i="1"/>
  <c r="M416" i="1"/>
  <c r="L416" i="1"/>
  <c r="O415" i="1"/>
  <c r="N415" i="1"/>
  <c r="M415" i="1"/>
  <c r="L415" i="1"/>
  <c r="O414" i="1"/>
  <c r="N414" i="1"/>
  <c r="M414" i="1"/>
  <c r="L414" i="1"/>
  <c r="O413" i="1"/>
  <c r="N413" i="1"/>
  <c r="M413" i="1"/>
  <c r="L413" i="1"/>
  <c r="O412" i="1"/>
  <c r="N412" i="1"/>
  <c r="M412" i="1"/>
  <c r="L412" i="1"/>
  <c r="O411" i="1"/>
  <c r="N411" i="1"/>
  <c r="M411" i="1"/>
  <c r="L411" i="1"/>
  <c r="O410" i="1"/>
  <c r="N410" i="1"/>
  <c r="M410" i="1"/>
  <c r="L410" i="1"/>
  <c r="O409" i="1"/>
  <c r="N409" i="1"/>
  <c r="M409" i="1"/>
  <c r="L409" i="1"/>
  <c r="O408" i="1"/>
  <c r="N408" i="1"/>
  <c r="M408" i="1"/>
  <c r="L408" i="1"/>
  <c r="O407" i="1"/>
  <c r="N407" i="1"/>
  <c r="M407" i="1"/>
  <c r="L407" i="1"/>
  <c r="O406" i="1"/>
  <c r="N406" i="1"/>
  <c r="M406" i="1"/>
  <c r="L406" i="1"/>
  <c r="O405" i="1"/>
  <c r="N405" i="1"/>
  <c r="M405" i="1"/>
  <c r="L405" i="1"/>
  <c r="O404" i="1"/>
  <c r="N404" i="1"/>
  <c r="M404" i="1"/>
  <c r="L404" i="1"/>
  <c r="O403" i="1"/>
  <c r="N403" i="1"/>
  <c r="M403" i="1"/>
  <c r="L403" i="1"/>
  <c r="O402" i="1"/>
  <c r="N402" i="1"/>
  <c r="M402" i="1"/>
  <c r="L402" i="1"/>
  <c r="O401" i="1"/>
  <c r="N401" i="1"/>
  <c r="M401" i="1"/>
  <c r="L401" i="1"/>
  <c r="O400" i="1"/>
  <c r="N400" i="1"/>
  <c r="M400" i="1"/>
  <c r="L400" i="1"/>
  <c r="O399" i="1"/>
  <c r="N399" i="1"/>
  <c r="M399" i="1"/>
  <c r="L399" i="1"/>
  <c r="O398" i="1"/>
  <c r="N398" i="1"/>
  <c r="M398" i="1"/>
  <c r="L398" i="1"/>
  <c r="O397" i="1"/>
  <c r="N397" i="1"/>
  <c r="M397" i="1"/>
  <c r="L397" i="1"/>
  <c r="O396" i="1"/>
  <c r="N396" i="1"/>
  <c r="M396" i="1"/>
  <c r="L396" i="1"/>
  <c r="O395" i="1"/>
  <c r="N395" i="1"/>
  <c r="M395" i="1"/>
  <c r="L395" i="1"/>
  <c r="O394" i="1"/>
  <c r="N394" i="1"/>
  <c r="M394" i="1"/>
  <c r="L394" i="1"/>
  <c r="O393" i="1"/>
  <c r="N393" i="1"/>
  <c r="M393" i="1"/>
  <c r="L393" i="1"/>
  <c r="O392" i="1"/>
  <c r="N392" i="1"/>
  <c r="M392" i="1"/>
  <c r="L392" i="1"/>
  <c r="O391" i="1"/>
  <c r="N391" i="1"/>
  <c r="M391" i="1"/>
  <c r="L391" i="1"/>
  <c r="O390" i="1"/>
  <c r="N390" i="1"/>
  <c r="M390" i="1"/>
  <c r="L390" i="1"/>
  <c r="O389" i="1"/>
  <c r="N389" i="1"/>
  <c r="M389" i="1"/>
  <c r="L389" i="1"/>
  <c r="O388" i="1"/>
  <c r="N388" i="1"/>
  <c r="M388" i="1"/>
  <c r="L388" i="1"/>
  <c r="O387" i="1"/>
  <c r="N387" i="1"/>
  <c r="M387" i="1"/>
  <c r="L387" i="1"/>
  <c r="O386" i="1"/>
  <c r="N386" i="1"/>
  <c r="M386" i="1"/>
  <c r="L386" i="1"/>
  <c r="O385" i="1"/>
  <c r="N385" i="1"/>
  <c r="M385" i="1"/>
  <c r="L385" i="1"/>
  <c r="O384" i="1"/>
  <c r="N384" i="1"/>
  <c r="M384" i="1"/>
  <c r="L384" i="1"/>
  <c r="O383" i="1"/>
  <c r="N383" i="1"/>
  <c r="M383" i="1"/>
  <c r="L383" i="1"/>
  <c r="O382" i="1"/>
  <c r="N382" i="1"/>
  <c r="M382" i="1"/>
  <c r="L382" i="1"/>
  <c r="O381" i="1"/>
  <c r="N381" i="1"/>
  <c r="M381" i="1"/>
  <c r="L381" i="1"/>
  <c r="O380" i="1"/>
  <c r="N380" i="1"/>
  <c r="M380" i="1"/>
  <c r="L380" i="1"/>
  <c r="O379" i="1"/>
  <c r="N379" i="1"/>
  <c r="M379" i="1"/>
  <c r="L379" i="1"/>
  <c r="O378" i="1"/>
  <c r="N378" i="1"/>
  <c r="M378" i="1"/>
  <c r="L378" i="1"/>
  <c r="O377" i="1"/>
  <c r="N377" i="1"/>
  <c r="M377" i="1"/>
  <c r="L377" i="1"/>
  <c r="O376" i="1"/>
  <c r="N376" i="1"/>
  <c r="M376" i="1"/>
  <c r="L376" i="1"/>
  <c r="O375" i="1"/>
  <c r="N375" i="1"/>
  <c r="M375" i="1"/>
  <c r="L375" i="1"/>
  <c r="O374" i="1"/>
  <c r="N374" i="1"/>
  <c r="M374" i="1"/>
  <c r="L374" i="1"/>
  <c r="O373" i="1"/>
  <c r="N373" i="1"/>
  <c r="M373" i="1"/>
  <c r="L373" i="1"/>
  <c r="O372" i="1"/>
  <c r="N372" i="1"/>
  <c r="M372" i="1"/>
  <c r="L372" i="1"/>
  <c r="O371" i="1"/>
  <c r="N371" i="1"/>
  <c r="M371" i="1"/>
  <c r="L371" i="1"/>
  <c r="O370" i="1"/>
  <c r="N370" i="1"/>
  <c r="M370" i="1"/>
  <c r="L370" i="1"/>
  <c r="O369" i="1"/>
  <c r="N369" i="1"/>
  <c r="M369" i="1"/>
  <c r="L369" i="1"/>
  <c r="O368" i="1"/>
  <c r="N368" i="1"/>
  <c r="M368" i="1"/>
  <c r="L368" i="1"/>
  <c r="O367" i="1"/>
  <c r="N367" i="1"/>
  <c r="M367" i="1"/>
  <c r="L367" i="1"/>
  <c r="O366" i="1"/>
  <c r="N366" i="1"/>
  <c r="M366" i="1"/>
  <c r="L366" i="1"/>
  <c r="O365" i="1"/>
  <c r="N365" i="1"/>
  <c r="M365" i="1"/>
  <c r="L365" i="1"/>
  <c r="O364" i="1"/>
  <c r="N364" i="1"/>
  <c r="M364" i="1"/>
  <c r="L364" i="1"/>
  <c r="O363" i="1"/>
  <c r="N363" i="1"/>
  <c r="M363" i="1"/>
  <c r="L363" i="1"/>
  <c r="O362" i="1"/>
  <c r="N362" i="1"/>
  <c r="M362" i="1"/>
  <c r="L362" i="1"/>
  <c r="O361" i="1"/>
  <c r="N361" i="1"/>
  <c r="M361" i="1"/>
  <c r="L361" i="1"/>
  <c r="O360" i="1"/>
  <c r="N360" i="1"/>
  <c r="M360" i="1"/>
  <c r="L360" i="1"/>
  <c r="O359" i="1"/>
  <c r="N359" i="1"/>
  <c r="M359" i="1"/>
  <c r="L359" i="1"/>
  <c r="O358" i="1"/>
  <c r="N358" i="1"/>
  <c r="M358" i="1"/>
  <c r="L358" i="1"/>
  <c r="O357" i="1"/>
  <c r="N357" i="1"/>
  <c r="M357" i="1"/>
  <c r="L357" i="1"/>
  <c r="O356" i="1"/>
  <c r="N356" i="1"/>
  <c r="M356" i="1"/>
  <c r="L356" i="1"/>
  <c r="O355" i="1"/>
  <c r="N355" i="1"/>
  <c r="M355" i="1"/>
  <c r="L355" i="1"/>
  <c r="O354" i="1"/>
  <c r="N354" i="1"/>
  <c r="M354" i="1"/>
  <c r="L354" i="1"/>
  <c r="O353" i="1"/>
  <c r="N353" i="1"/>
  <c r="M353" i="1"/>
  <c r="L353" i="1"/>
  <c r="O352" i="1"/>
  <c r="N352" i="1"/>
  <c r="M352" i="1"/>
  <c r="L352" i="1"/>
  <c r="O351" i="1"/>
  <c r="N351" i="1"/>
  <c r="M351" i="1"/>
  <c r="L351" i="1"/>
  <c r="O350" i="1"/>
  <c r="N350" i="1"/>
  <c r="M350" i="1"/>
  <c r="L350" i="1"/>
  <c r="O349" i="1"/>
  <c r="N349" i="1"/>
  <c r="M349" i="1"/>
  <c r="L349" i="1"/>
  <c r="O348" i="1"/>
  <c r="N348" i="1"/>
  <c r="M348" i="1"/>
  <c r="L348" i="1"/>
  <c r="O347" i="1"/>
  <c r="N347" i="1"/>
  <c r="M347" i="1"/>
  <c r="L347" i="1"/>
  <c r="O346" i="1"/>
  <c r="N346" i="1"/>
  <c r="M346" i="1"/>
  <c r="L346" i="1"/>
  <c r="O345" i="1"/>
  <c r="N345" i="1"/>
  <c r="M345" i="1"/>
  <c r="L345" i="1"/>
  <c r="O344" i="1"/>
  <c r="N344" i="1"/>
  <c r="M344" i="1"/>
  <c r="L344" i="1"/>
  <c r="O343" i="1"/>
  <c r="N343" i="1"/>
  <c r="M343" i="1"/>
  <c r="L343" i="1"/>
  <c r="O342" i="1"/>
  <c r="N342" i="1"/>
  <c r="M342" i="1"/>
  <c r="L342" i="1"/>
  <c r="O341" i="1"/>
  <c r="N341" i="1"/>
  <c r="M341" i="1"/>
  <c r="L341" i="1"/>
  <c r="O340" i="1"/>
  <c r="N340" i="1"/>
  <c r="M340" i="1"/>
  <c r="L340" i="1"/>
  <c r="O339" i="1"/>
  <c r="N339" i="1"/>
  <c r="M339" i="1"/>
  <c r="L339" i="1"/>
  <c r="O338" i="1"/>
  <c r="N338" i="1"/>
  <c r="M338" i="1"/>
  <c r="L338" i="1"/>
  <c r="O337" i="1"/>
  <c r="N337" i="1"/>
  <c r="M337" i="1"/>
  <c r="L337" i="1"/>
  <c r="O336" i="1"/>
  <c r="N336" i="1"/>
  <c r="M336" i="1"/>
  <c r="L336" i="1"/>
  <c r="O335" i="1"/>
  <c r="N335" i="1"/>
  <c r="M335" i="1"/>
  <c r="L335" i="1"/>
  <c r="O334" i="1"/>
  <c r="N334" i="1"/>
  <c r="M334" i="1"/>
  <c r="L334" i="1"/>
  <c r="O333" i="1"/>
  <c r="N333" i="1"/>
  <c r="M333" i="1"/>
  <c r="L333" i="1"/>
  <c r="O332" i="1"/>
  <c r="N332" i="1"/>
  <c r="M332" i="1"/>
  <c r="L332" i="1"/>
  <c r="O331" i="1"/>
  <c r="N331" i="1"/>
  <c r="M331" i="1"/>
  <c r="L331" i="1"/>
  <c r="O330" i="1"/>
  <c r="N330" i="1"/>
  <c r="M330" i="1"/>
  <c r="L330" i="1"/>
  <c r="O329" i="1"/>
  <c r="N329" i="1"/>
  <c r="M329" i="1"/>
  <c r="L329" i="1"/>
  <c r="O328" i="1"/>
  <c r="N328" i="1"/>
  <c r="M328" i="1"/>
  <c r="L328" i="1"/>
  <c r="O327" i="1"/>
  <c r="N327" i="1"/>
  <c r="M327" i="1"/>
  <c r="L327" i="1"/>
  <c r="O326" i="1"/>
  <c r="N326" i="1"/>
  <c r="M326" i="1"/>
  <c r="L326" i="1"/>
  <c r="O325" i="1"/>
  <c r="N325" i="1"/>
  <c r="M325" i="1"/>
  <c r="L325" i="1"/>
  <c r="O324" i="1"/>
  <c r="N324" i="1"/>
  <c r="M324" i="1"/>
  <c r="L324" i="1"/>
  <c r="O323" i="1"/>
  <c r="N323" i="1"/>
  <c r="M323" i="1"/>
  <c r="L323" i="1"/>
  <c r="O322" i="1"/>
  <c r="N322" i="1"/>
  <c r="M322" i="1"/>
  <c r="L322" i="1"/>
  <c r="O321" i="1"/>
  <c r="N321" i="1"/>
  <c r="M321" i="1"/>
  <c r="L321" i="1"/>
  <c r="O320" i="1"/>
  <c r="N320" i="1"/>
  <c r="M320" i="1"/>
  <c r="L320" i="1"/>
  <c r="O319" i="1"/>
  <c r="N319" i="1"/>
  <c r="M319" i="1"/>
  <c r="L319" i="1"/>
  <c r="O318" i="1"/>
  <c r="N318" i="1"/>
  <c r="M318" i="1"/>
  <c r="L318" i="1"/>
  <c r="O317" i="1"/>
  <c r="N317" i="1"/>
  <c r="M317" i="1"/>
  <c r="L317" i="1"/>
  <c r="O316" i="1"/>
  <c r="N316" i="1"/>
  <c r="M316" i="1"/>
  <c r="L316" i="1"/>
  <c r="O315" i="1"/>
  <c r="N315" i="1"/>
  <c r="M315" i="1"/>
  <c r="L315" i="1"/>
  <c r="O314" i="1"/>
  <c r="N314" i="1"/>
  <c r="M314" i="1"/>
  <c r="L314" i="1"/>
  <c r="O313" i="1"/>
  <c r="N313" i="1"/>
  <c r="M313" i="1"/>
  <c r="L313" i="1"/>
  <c r="O312" i="1"/>
  <c r="N312" i="1"/>
  <c r="M312" i="1"/>
  <c r="L312" i="1"/>
  <c r="O311" i="1"/>
  <c r="N311" i="1"/>
  <c r="M311" i="1"/>
  <c r="L311" i="1"/>
  <c r="O310" i="1"/>
  <c r="N310" i="1"/>
  <c r="M310" i="1"/>
  <c r="L310" i="1"/>
  <c r="O309" i="1"/>
  <c r="N309" i="1"/>
  <c r="M309" i="1"/>
  <c r="L309" i="1"/>
  <c r="O308" i="1"/>
  <c r="N308" i="1"/>
  <c r="M308" i="1"/>
  <c r="L308" i="1"/>
  <c r="O307" i="1"/>
  <c r="N307" i="1"/>
  <c r="M307" i="1"/>
  <c r="L307" i="1"/>
  <c r="O306" i="1"/>
  <c r="N306" i="1"/>
  <c r="M306" i="1"/>
  <c r="L306" i="1"/>
  <c r="O305" i="1"/>
  <c r="N305" i="1"/>
  <c r="M305" i="1"/>
  <c r="L305" i="1"/>
  <c r="O304" i="1"/>
  <c r="N304" i="1"/>
  <c r="M304" i="1"/>
  <c r="L304" i="1"/>
  <c r="O303" i="1"/>
  <c r="N303" i="1"/>
  <c r="M303" i="1"/>
  <c r="L303" i="1"/>
  <c r="O302" i="1"/>
  <c r="N302" i="1"/>
  <c r="M302" i="1"/>
  <c r="L302" i="1"/>
  <c r="O301" i="1"/>
  <c r="N301" i="1"/>
  <c r="M301" i="1"/>
  <c r="L301" i="1"/>
  <c r="O300" i="1"/>
  <c r="N300" i="1"/>
  <c r="M300" i="1"/>
  <c r="L300" i="1"/>
  <c r="O299" i="1"/>
  <c r="N299" i="1"/>
  <c r="M299" i="1"/>
  <c r="L299" i="1"/>
  <c r="O298" i="1"/>
  <c r="N298" i="1"/>
  <c r="M298" i="1"/>
  <c r="L298" i="1"/>
  <c r="O297" i="1"/>
  <c r="N297" i="1"/>
  <c r="M297" i="1"/>
  <c r="L297" i="1"/>
  <c r="O296" i="1"/>
  <c r="N296" i="1"/>
  <c r="M296" i="1"/>
  <c r="L296" i="1"/>
  <c r="O295" i="1"/>
  <c r="N295" i="1"/>
  <c r="M295" i="1"/>
  <c r="L295" i="1"/>
  <c r="O294" i="1"/>
  <c r="N294" i="1"/>
  <c r="M294" i="1"/>
  <c r="L294" i="1"/>
  <c r="O293" i="1"/>
  <c r="N293" i="1"/>
  <c r="M293" i="1"/>
  <c r="L293" i="1"/>
  <c r="O292" i="1"/>
  <c r="N292" i="1"/>
  <c r="M292" i="1"/>
  <c r="L292" i="1"/>
  <c r="O291" i="1"/>
  <c r="N291" i="1"/>
  <c r="M291" i="1"/>
  <c r="L291" i="1"/>
  <c r="O290" i="1"/>
  <c r="N290" i="1"/>
  <c r="M290" i="1"/>
  <c r="L290" i="1"/>
  <c r="O289" i="1"/>
  <c r="N289" i="1"/>
  <c r="M289" i="1"/>
  <c r="L289" i="1"/>
  <c r="O288" i="1"/>
  <c r="N288" i="1"/>
  <c r="M288" i="1"/>
  <c r="L288" i="1"/>
  <c r="O287" i="1"/>
  <c r="N287" i="1"/>
  <c r="M287" i="1"/>
  <c r="L287" i="1"/>
  <c r="O286" i="1"/>
  <c r="N286" i="1"/>
  <c r="M286" i="1"/>
  <c r="L286" i="1"/>
  <c r="O285" i="1"/>
  <c r="N285" i="1"/>
  <c r="M285" i="1"/>
  <c r="L285" i="1"/>
  <c r="O284" i="1"/>
  <c r="N284" i="1"/>
  <c r="M284" i="1"/>
  <c r="L284" i="1"/>
  <c r="O283" i="1"/>
  <c r="N283" i="1"/>
  <c r="M283" i="1"/>
  <c r="L283" i="1"/>
  <c r="O282" i="1"/>
  <c r="N282" i="1"/>
  <c r="M282" i="1"/>
  <c r="L282" i="1"/>
  <c r="O281" i="1"/>
  <c r="N281" i="1"/>
  <c r="M281" i="1"/>
  <c r="L281" i="1"/>
  <c r="O280" i="1"/>
  <c r="N280" i="1"/>
  <c r="M280" i="1"/>
  <c r="L280" i="1"/>
  <c r="O279" i="1"/>
  <c r="N279" i="1"/>
  <c r="M279" i="1"/>
  <c r="L279" i="1"/>
  <c r="O278" i="1"/>
  <c r="N278" i="1"/>
  <c r="M278" i="1"/>
  <c r="L278" i="1"/>
  <c r="O277" i="1"/>
  <c r="N277" i="1"/>
  <c r="M277" i="1"/>
  <c r="L277" i="1"/>
  <c r="O276" i="1"/>
  <c r="N276" i="1"/>
  <c r="M276" i="1"/>
  <c r="L276" i="1"/>
  <c r="O275" i="1"/>
  <c r="N275" i="1"/>
  <c r="M275" i="1"/>
  <c r="L275" i="1"/>
  <c r="O274" i="1"/>
  <c r="N274" i="1"/>
  <c r="M274" i="1"/>
  <c r="L274" i="1"/>
  <c r="O273" i="1"/>
  <c r="N273" i="1"/>
  <c r="M273" i="1"/>
  <c r="L273" i="1"/>
  <c r="O272" i="1"/>
  <c r="N272" i="1"/>
  <c r="M272" i="1"/>
  <c r="L272" i="1"/>
  <c r="O271" i="1"/>
  <c r="N271" i="1"/>
  <c r="M271" i="1"/>
  <c r="L271" i="1"/>
  <c r="O270" i="1"/>
  <c r="N270" i="1"/>
  <c r="M270" i="1"/>
  <c r="L270" i="1"/>
  <c r="O269" i="1"/>
  <c r="N269" i="1"/>
  <c r="M269" i="1"/>
  <c r="L269" i="1"/>
  <c r="O268" i="1"/>
  <c r="N268" i="1"/>
  <c r="M268" i="1"/>
  <c r="L268" i="1"/>
  <c r="O267" i="1"/>
  <c r="N267" i="1"/>
  <c r="M267" i="1"/>
  <c r="L267" i="1"/>
  <c r="O266" i="1"/>
  <c r="N266" i="1"/>
  <c r="M266" i="1"/>
  <c r="L266" i="1"/>
  <c r="O265" i="1"/>
  <c r="N265" i="1"/>
  <c r="M265" i="1"/>
  <c r="L265" i="1"/>
  <c r="O264" i="1"/>
  <c r="N264" i="1"/>
  <c r="M264" i="1"/>
  <c r="L264" i="1"/>
  <c r="O263" i="1"/>
  <c r="N263" i="1"/>
  <c r="M263" i="1"/>
  <c r="L263" i="1"/>
  <c r="O262" i="1"/>
  <c r="N262" i="1"/>
  <c r="M262" i="1"/>
  <c r="L262" i="1"/>
  <c r="O261" i="1"/>
  <c r="N261" i="1"/>
  <c r="M261" i="1"/>
  <c r="L261" i="1"/>
  <c r="O260" i="1"/>
  <c r="N260" i="1"/>
  <c r="M260" i="1"/>
  <c r="L260" i="1"/>
  <c r="O259" i="1"/>
  <c r="N259" i="1"/>
  <c r="M259" i="1"/>
  <c r="L259" i="1"/>
  <c r="O258" i="1"/>
  <c r="N258" i="1"/>
  <c r="M258" i="1"/>
  <c r="L258" i="1"/>
  <c r="O257" i="1"/>
  <c r="N257" i="1"/>
  <c r="M257" i="1"/>
  <c r="L257" i="1"/>
  <c r="O256" i="1"/>
  <c r="N256" i="1"/>
  <c r="M256" i="1"/>
  <c r="L256" i="1"/>
  <c r="O255" i="1"/>
  <c r="N255" i="1"/>
  <c r="M255" i="1"/>
  <c r="L255" i="1"/>
  <c r="O254" i="1"/>
  <c r="N254" i="1"/>
  <c r="M254" i="1"/>
  <c r="L254" i="1"/>
  <c r="O253" i="1"/>
  <c r="N253" i="1"/>
  <c r="M253" i="1"/>
  <c r="L253" i="1"/>
  <c r="O252" i="1"/>
  <c r="N252" i="1"/>
  <c r="M252" i="1"/>
  <c r="L252" i="1"/>
  <c r="O251" i="1"/>
  <c r="N251" i="1"/>
  <c r="M251" i="1"/>
  <c r="L251" i="1"/>
  <c r="O250" i="1"/>
  <c r="N250" i="1"/>
  <c r="M250" i="1"/>
  <c r="L250" i="1"/>
  <c r="O249" i="1"/>
  <c r="N249" i="1"/>
  <c r="M249" i="1"/>
  <c r="L249" i="1"/>
  <c r="O248" i="1"/>
  <c r="N248" i="1"/>
  <c r="M248" i="1"/>
  <c r="L248" i="1"/>
  <c r="O247" i="1"/>
  <c r="N247" i="1"/>
  <c r="M247" i="1"/>
  <c r="L247" i="1"/>
  <c r="O246" i="1"/>
  <c r="N246" i="1"/>
  <c r="M246" i="1"/>
  <c r="L246" i="1"/>
  <c r="O245" i="1"/>
  <c r="N245" i="1"/>
  <c r="M245" i="1"/>
  <c r="L245" i="1"/>
  <c r="O244" i="1"/>
  <c r="N244" i="1"/>
  <c r="M244" i="1"/>
  <c r="L244" i="1"/>
  <c r="O243" i="1"/>
  <c r="N243" i="1"/>
  <c r="M243" i="1"/>
  <c r="L243" i="1"/>
  <c r="O242" i="1"/>
  <c r="N242" i="1"/>
  <c r="M242" i="1"/>
  <c r="L242" i="1"/>
  <c r="O241" i="1"/>
  <c r="N241" i="1"/>
  <c r="M241" i="1"/>
  <c r="L241" i="1"/>
  <c r="O240" i="1"/>
  <c r="N240" i="1"/>
  <c r="M240" i="1"/>
  <c r="L240" i="1"/>
  <c r="O239" i="1"/>
  <c r="N239" i="1"/>
  <c r="M239" i="1"/>
  <c r="L239" i="1"/>
  <c r="O238" i="1"/>
  <c r="N238" i="1"/>
  <c r="M238" i="1"/>
  <c r="L238" i="1"/>
  <c r="O237" i="1"/>
  <c r="N237" i="1"/>
  <c r="M237" i="1"/>
  <c r="L237" i="1"/>
  <c r="O236" i="1"/>
  <c r="N236" i="1"/>
  <c r="M236" i="1"/>
  <c r="L236" i="1"/>
  <c r="O235" i="1"/>
  <c r="N235" i="1"/>
  <c r="M235" i="1"/>
  <c r="L235" i="1"/>
  <c r="O234" i="1"/>
  <c r="N234" i="1"/>
  <c r="M234" i="1"/>
  <c r="L234" i="1"/>
  <c r="O233" i="1"/>
  <c r="N233" i="1"/>
  <c r="M233" i="1"/>
  <c r="L233" i="1"/>
  <c r="O232" i="1"/>
  <c r="N232" i="1"/>
  <c r="M232" i="1"/>
  <c r="L232" i="1"/>
  <c r="O231" i="1"/>
  <c r="N231" i="1"/>
  <c r="M231" i="1"/>
  <c r="L231" i="1"/>
  <c r="O230" i="1"/>
  <c r="N230" i="1"/>
  <c r="M230" i="1"/>
  <c r="L230" i="1"/>
  <c r="O229" i="1"/>
  <c r="N229" i="1"/>
  <c r="M229" i="1"/>
  <c r="L229" i="1"/>
  <c r="O228" i="1"/>
  <c r="N228" i="1"/>
  <c r="M228" i="1"/>
  <c r="L228" i="1"/>
  <c r="O227" i="1"/>
  <c r="N227" i="1"/>
  <c r="M227" i="1"/>
  <c r="L227" i="1"/>
  <c r="O226" i="1"/>
  <c r="N226" i="1"/>
  <c r="M226" i="1"/>
  <c r="L226" i="1"/>
  <c r="O225" i="1"/>
  <c r="N225" i="1"/>
  <c r="M225" i="1"/>
  <c r="L225" i="1"/>
  <c r="O224" i="1"/>
  <c r="N224" i="1"/>
  <c r="M224" i="1"/>
  <c r="L224" i="1"/>
  <c r="O223" i="1"/>
  <c r="N223" i="1"/>
  <c r="M223" i="1"/>
  <c r="L223" i="1"/>
  <c r="O222" i="1"/>
  <c r="N222" i="1"/>
  <c r="M222" i="1"/>
  <c r="L222" i="1"/>
  <c r="O221" i="1"/>
  <c r="N221" i="1"/>
  <c r="M221" i="1"/>
  <c r="L221" i="1"/>
  <c r="O220" i="1"/>
  <c r="N220" i="1"/>
  <c r="M220" i="1"/>
  <c r="L220" i="1"/>
  <c r="O219" i="1"/>
  <c r="N219" i="1"/>
  <c r="M219" i="1"/>
  <c r="L219" i="1"/>
  <c r="O218" i="1"/>
  <c r="N218" i="1"/>
  <c r="M218" i="1"/>
  <c r="L218" i="1"/>
  <c r="O217" i="1"/>
  <c r="N217" i="1"/>
  <c r="M217" i="1"/>
  <c r="L217" i="1"/>
  <c r="O216" i="1"/>
  <c r="N216" i="1"/>
  <c r="M216" i="1"/>
  <c r="L216" i="1"/>
  <c r="O215" i="1"/>
  <c r="N215" i="1"/>
  <c r="M215" i="1"/>
  <c r="L215" i="1"/>
  <c r="O214" i="1"/>
  <c r="N214" i="1"/>
  <c r="M214" i="1"/>
  <c r="L214" i="1"/>
  <c r="O213" i="1"/>
  <c r="N213" i="1"/>
  <c r="M213" i="1"/>
  <c r="L213" i="1"/>
  <c r="O212" i="1"/>
  <c r="N212" i="1"/>
  <c r="M212" i="1"/>
  <c r="L212" i="1"/>
  <c r="O211" i="1"/>
  <c r="N211" i="1"/>
  <c r="M211" i="1"/>
  <c r="L211" i="1"/>
  <c r="O210" i="1"/>
  <c r="N210" i="1"/>
  <c r="M210" i="1"/>
  <c r="L210" i="1"/>
  <c r="O209" i="1"/>
  <c r="N209" i="1"/>
  <c r="M209" i="1"/>
  <c r="L209" i="1"/>
  <c r="O208" i="1"/>
  <c r="N208" i="1"/>
  <c r="M208" i="1"/>
  <c r="L208" i="1"/>
  <c r="O207" i="1"/>
  <c r="N207" i="1"/>
  <c r="M207" i="1"/>
  <c r="L207" i="1"/>
  <c r="O206" i="1"/>
  <c r="N206" i="1"/>
  <c r="M206" i="1"/>
  <c r="L206" i="1"/>
  <c r="O205" i="1"/>
  <c r="N205" i="1"/>
  <c r="M205" i="1"/>
  <c r="L205" i="1"/>
  <c r="O204" i="1"/>
  <c r="N204" i="1"/>
  <c r="M204" i="1"/>
  <c r="L204" i="1"/>
  <c r="O203" i="1"/>
  <c r="N203" i="1"/>
  <c r="M203" i="1"/>
  <c r="L203" i="1"/>
  <c r="O202" i="1"/>
  <c r="N202" i="1"/>
  <c r="M202" i="1"/>
  <c r="L202" i="1"/>
  <c r="O201" i="1"/>
  <c r="N201" i="1"/>
  <c r="M201" i="1"/>
  <c r="L201" i="1"/>
  <c r="O200" i="1"/>
  <c r="N200" i="1"/>
  <c r="M200" i="1"/>
  <c r="L200" i="1"/>
  <c r="O199" i="1"/>
  <c r="N199" i="1"/>
  <c r="M199" i="1"/>
  <c r="L199" i="1"/>
  <c r="O198" i="1"/>
  <c r="N198" i="1"/>
  <c r="M198" i="1"/>
  <c r="L198" i="1"/>
  <c r="O197" i="1"/>
  <c r="N197" i="1"/>
  <c r="M197" i="1"/>
  <c r="L197" i="1"/>
  <c r="O196" i="1"/>
  <c r="N196" i="1"/>
  <c r="M196" i="1"/>
  <c r="L196" i="1"/>
  <c r="O195" i="1"/>
  <c r="N195" i="1"/>
  <c r="M195" i="1"/>
  <c r="L195" i="1"/>
  <c r="O194" i="1"/>
  <c r="N194" i="1"/>
  <c r="M194" i="1"/>
  <c r="L194" i="1"/>
  <c r="O193" i="1"/>
  <c r="N193" i="1"/>
  <c r="M193" i="1"/>
  <c r="L193" i="1"/>
  <c r="O192" i="1"/>
  <c r="N192" i="1"/>
  <c r="M192" i="1"/>
  <c r="L192" i="1"/>
  <c r="O191" i="1"/>
  <c r="N191" i="1"/>
  <c r="M191" i="1"/>
  <c r="L191" i="1"/>
  <c r="O190" i="1"/>
  <c r="N190" i="1"/>
  <c r="M190" i="1"/>
  <c r="L190" i="1"/>
  <c r="O189" i="1"/>
  <c r="N189" i="1"/>
  <c r="M189" i="1"/>
  <c r="L189" i="1"/>
  <c r="O188" i="1"/>
  <c r="N188" i="1"/>
  <c r="M188" i="1"/>
  <c r="L188" i="1"/>
  <c r="O187" i="1"/>
  <c r="N187" i="1"/>
  <c r="M187" i="1"/>
  <c r="L187" i="1"/>
  <c r="O186" i="1"/>
  <c r="N186" i="1"/>
  <c r="M186" i="1"/>
  <c r="L186" i="1"/>
  <c r="O185" i="1"/>
  <c r="N185" i="1"/>
  <c r="M185" i="1"/>
  <c r="L185" i="1"/>
  <c r="O184" i="1"/>
  <c r="N184" i="1"/>
  <c r="M184" i="1"/>
  <c r="L184" i="1"/>
  <c r="O183" i="1"/>
  <c r="N183" i="1"/>
  <c r="M183" i="1"/>
  <c r="L183" i="1"/>
  <c r="O182" i="1"/>
  <c r="N182" i="1"/>
  <c r="M182" i="1"/>
  <c r="L182" i="1"/>
  <c r="O181" i="1"/>
  <c r="N181" i="1"/>
  <c r="M181" i="1"/>
  <c r="L181" i="1"/>
  <c r="O180" i="1"/>
  <c r="N180" i="1"/>
  <c r="M180" i="1"/>
  <c r="L180" i="1"/>
  <c r="O179" i="1"/>
  <c r="N179" i="1"/>
  <c r="M179" i="1"/>
  <c r="L179" i="1"/>
  <c r="O178" i="1"/>
  <c r="N178" i="1"/>
  <c r="M178" i="1"/>
  <c r="L178" i="1"/>
  <c r="O177" i="1"/>
  <c r="N177" i="1"/>
  <c r="M177" i="1"/>
  <c r="L177" i="1"/>
  <c r="O176" i="1"/>
  <c r="N176" i="1"/>
  <c r="M176" i="1"/>
  <c r="L176" i="1"/>
  <c r="O175" i="1"/>
  <c r="N175" i="1"/>
  <c r="M175" i="1"/>
  <c r="L175" i="1"/>
  <c r="O174" i="1"/>
  <c r="N174" i="1"/>
  <c r="M174" i="1"/>
  <c r="L174" i="1"/>
  <c r="O173" i="1"/>
  <c r="N173" i="1"/>
  <c r="M173" i="1"/>
  <c r="L173" i="1"/>
  <c r="O172" i="1"/>
  <c r="N172" i="1"/>
  <c r="M172" i="1"/>
  <c r="L172" i="1"/>
  <c r="O171" i="1"/>
  <c r="N171" i="1"/>
  <c r="M171" i="1"/>
  <c r="L171" i="1"/>
  <c r="O170" i="1"/>
  <c r="N170" i="1"/>
  <c r="M170" i="1"/>
  <c r="L170" i="1"/>
  <c r="O169" i="1"/>
  <c r="N169" i="1"/>
  <c r="M169" i="1"/>
  <c r="L169" i="1"/>
  <c r="O168" i="1"/>
  <c r="N168" i="1"/>
  <c r="M168" i="1"/>
  <c r="L168" i="1"/>
  <c r="O167" i="1"/>
  <c r="N167" i="1"/>
  <c r="M167" i="1"/>
  <c r="L167" i="1"/>
  <c r="O166" i="1"/>
  <c r="N166" i="1"/>
  <c r="M166" i="1"/>
  <c r="L166" i="1"/>
  <c r="O165" i="1"/>
  <c r="N165" i="1"/>
  <c r="M165" i="1"/>
  <c r="L165" i="1"/>
  <c r="O164" i="1"/>
  <c r="N164" i="1"/>
  <c r="M164" i="1"/>
  <c r="L164" i="1"/>
  <c r="O163" i="1"/>
  <c r="N163" i="1"/>
  <c r="M163" i="1"/>
  <c r="L163" i="1"/>
  <c r="O162" i="1"/>
  <c r="N162" i="1"/>
  <c r="M162" i="1"/>
  <c r="L162" i="1"/>
  <c r="O161" i="1"/>
  <c r="N161" i="1"/>
  <c r="M161" i="1"/>
  <c r="L161" i="1"/>
  <c r="O160" i="1"/>
  <c r="N160" i="1"/>
  <c r="M160" i="1"/>
  <c r="L160" i="1"/>
  <c r="O159" i="1"/>
  <c r="N159" i="1"/>
  <c r="M159" i="1"/>
  <c r="L159" i="1"/>
  <c r="O158" i="1"/>
  <c r="N158" i="1"/>
  <c r="M158" i="1"/>
  <c r="L158" i="1"/>
  <c r="O157" i="1"/>
  <c r="N157" i="1"/>
  <c r="M157" i="1"/>
  <c r="L157" i="1"/>
  <c r="O156" i="1"/>
  <c r="N156" i="1"/>
  <c r="M156" i="1"/>
  <c r="L156" i="1"/>
  <c r="O155" i="1"/>
  <c r="N155" i="1"/>
  <c r="M155" i="1"/>
  <c r="L155" i="1"/>
  <c r="O154" i="1"/>
  <c r="N154" i="1"/>
  <c r="M154" i="1"/>
  <c r="L154" i="1"/>
  <c r="O153" i="1"/>
  <c r="N153" i="1"/>
  <c r="M153" i="1"/>
  <c r="L153" i="1"/>
  <c r="O152" i="1"/>
  <c r="N152" i="1"/>
  <c r="M152" i="1"/>
  <c r="L152" i="1"/>
  <c r="O151" i="1"/>
  <c r="N151" i="1"/>
  <c r="M151" i="1"/>
  <c r="L151" i="1"/>
  <c r="O150" i="1"/>
  <c r="N150" i="1"/>
  <c r="M150" i="1"/>
  <c r="L150" i="1"/>
  <c r="O149" i="1"/>
  <c r="N149" i="1"/>
  <c r="M149" i="1"/>
  <c r="L149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3" i="1"/>
  <c r="N3" i="1"/>
  <c r="M3" i="1"/>
  <c r="L3" i="1"/>
  <c r="C6" i="2"/>
  <c r="B6" i="2"/>
  <c r="C7" i="2" l="1"/>
  <c r="C8" i="2"/>
  <c r="H8" i="2"/>
  <c r="F6" i="2"/>
  <c r="G6" i="2" s="1"/>
  <c r="B9" i="2"/>
  <c r="C9" i="2"/>
  <c r="B7" i="2"/>
  <c r="F8" i="2"/>
  <c r="G8" i="2" s="1"/>
  <c r="F9" i="2"/>
  <c r="G9" i="2" s="1"/>
  <c r="B8" i="2"/>
  <c r="H6" i="2"/>
  <c r="F7" i="2"/>
  <c r="G7" i="2" s="1"/>
  <c r="H9" i="2"/>
  <c r="H7" i="2"/>
</calcChain>
</file>

<file path=xl/sharedStrings.xml><?xml version="1.0" encoding="utf-8"?>
<sst xmlns="http://schemas.openxmlformats.org/spreadsheetml/2006/main" count="51" uniqueCount="50">
  <si>
    <t>Dashboard — Suivi des factures fournisseurs</t>
  </si>
  <si>
    <t>Généré le</t>
  </si>
  <si>
    <t>20/07/2026 13:17:23</t>
  </si>
  <si>
    <t>KPI</t>
  </si>
  <si>
    <t>Indicateur</t>
  </si>
  <si>
    <t>Nb</t>
  </si>
  <si>
    <t>Montant ($)</t>
  </si>
  <si>
    <t>TOTAL FACTURES</t>
  </si>
  <si>
    <t>MONTANT DÛ</t>
  </si>
  <si>
    <t>EN RETARD (ÉCHÉANCE)</t>
  </si>
  <si>
    <t>POSTED AND UNPAID</t>
  </si>
  <si>
    <t>Étape</t>
  </si>
  <si>
    <t>Nb factures</t>
  </si>
  <si>
    <t>% factures</t>
  </si>
  <si>
    <t>Facture reçue</t>
  </si>
  <si>
    <t>PR</t>
  </si>
  <si>
    <t>GRN</t>
  </si>
  <si>
    <t>Posted and unpaid</t>
  </si>
  <si>
    <t>Suivi des factures fournisseurs</t>
  </si>
  <si>
    <t>DATE</t>
  </si>
  <si>
    <t>SOCIETE</t>
  </si>
  <si>
    <t>FACTURE</t>
  </si>
  <si>
    <t>MONTANT</t>
  </si>
  <si>
    <t>ECHEANCE</t>
  </si>
  <si>
    <t>DATE PR</t>
  </si>
  <si>
    <t>P.O</t>
  </si>
  <si>
    <t>DATE PO</t>
  </si>
  <si>
    <t>DATE GRN</t>
  </si>
  <si>
    <t>STATUT</t>
  </si>
  <si>
    <t>COMMENTAIRE</t>
  </si>
  <si>
    <t>Guide — gestion Excel du suivi factures</t>
  </si>
  <si>
    <t>Pipeline</t>
  </si>
  <si>
    <t>Règle PR</t>
  </si>
  <si>
    <t>1 PR peut regrouper plusieurs factures</t>
  </si>
  <si>
    <t>Règle PO</t>
  </si>
  <si>
    <t>1 PO peut regrouper plusieurs PR</t>
  </si>
  <si>
    <t>Règle GRN</t>
  </si>
  <si>
    <t>1 GRN est lié à un seul PO</t>
  </si>
  <si>
    <t>Saisie</t>
  </si>
  <si>
    <t>Calculé</t>
  </si>
  <si>
    <t>PIPELINE</t>
  </si>
  <si>
    <t>STATUT et COMMENTAIRE (ne pas écraser)</t>
  </si>
  <si>
    <t>unpaid</t>
  </si>
  <si>
    <t>paid</t>
  </si>
  <si>
    <t>payment</t>
  </si>
  <si>
    <t>DATE PYM</t>
  </si>
  <si>
    <t>Facture reçue → unpaid (PR/PO) → Posted and unpaid (GRN) → paid (payment)</t>
  </si>
  <si>
    <t>DATE, SOCIETE, FACTURE, MONTANT, ECHEANCE, PR, DATE PR, P.O, DATE PO, GRN, DATE GRN, payment, DATE PYM</t>
  </si>
  <si>
    <t>Statuts</t>
  </si>
  <si>
    <t>unpaid = PR ou PO renseigné ; Posted and unpaid = GRN ; paid =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</si>
</sst>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"/>
  </numFmts>
  <fonts count="2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color rgb="FF64748B"/>
      <name val="Calibri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22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5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3A5F"/>
      </patternFill>
    </fill>
    <fill>
      <patternFill patternType="solid">
        <fgColor rgb="FF1E3A5F"/>
      </patternFill>
    </fill>
    <fill>
      <patternFill patternType="solid">
        <fgColor rgb="FF1E3A5F"/>
      </patternFill>
    </fill>
    <fill>
      <patternFill patternType="solid">
        <fgColor rgb="FF1E3A5F"/>
      </patternFill>
    </fill>
    <fill>
      <patternFill patternType="solid">
        <fgColor rgb="FFEEF2FF"/>
      </patternFill>
    </fill>
    <fill>
      <patternFill patternType="solid">
        <fgColor rgb="FFEEF2FF"/>
      </patternFill>
    </fill>
    <fill>
      <patternFill patternType="solid">
        <fgColor rgb="FFEEF2FF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E2E2"/>
      </patternFill>
    </fill>
    <fill>
      <patternFill patternType="solid">
        <fgColor rgb="FFFEE2E2"/>
      </patternFill>
    </fill>
    <fill>
      <patternFill patternType="solid">
        <fgColor rgb="FFFEE2E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EF2FF"/>
      </patternFill>
    </fill>
    <fill>
      <patternFill patternType="solid">
        <fgColor rgb="FFEEF2FF"/>
      </patternFill>
    </fill>
    <fill>
      <patternFill patternType="solid">
        <fgColor rgb="FFEEF2FF"/>
      </patternFill>
    </fill>
    <fill>
      <patternFill patternType="solid">
        <fgColor rgb="FFEEF2FF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F172A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7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3" fillId="48" borderId="69" xfId="0" applyFont="1" applyFill="1" applyBorder="1"/>
    <xf numFmtId="0" fontId="14" fillId="49" borderId="70" xfId="0" applyFont="1" applyFill="1" applyBorder="1"/>
    <xf numFmtId="0" fontId="15" fillId="50" borderId="71" xfId="0" applyFont="1" applyFill="1" applyBorder="1"/>
    <xf numFmtId="0" fontId="16" fillId="51" borderId="72" xfId="0" applyFont="1" applyFill="1" applyBorder="1"/>
    <xf numFmtId="0" fontId="17" fillId="52" borderId="73" xfId="0" applyFont="1" applyFill="1" applyBorder="1"/>
    <xf numFmtId="0" fontId="18" fillId="53" borderId="74" xfId="0" applyFont="1" applyFill="1" applyBorder="1"/>
    <xf numFmtId="0" fontId="19" fillId="54" borderId="75" xfId="0" applyFont="1" applyFill="1" applyBorder="1"/>
    <xf numFmtId="0" fontId="20" fillId="55" borderId="76" xfId="0" applyFont="1" applyFill="1" applyBorder="1"/>
    <xf numFmtId="0" fontId="11" fillId="46" borderId="67" xfId="0" applyFont="1" applyFill="1" applyBorder="1" applyAlignment="1">
      <alignment wrapText="1"/>
    </xf>
    <xf numFmtId="0" fontId="0" fillId="0" borderId="0" xfId="0" applyAlignment="1">
      <alignment vertical="center"/>
    </xf>
    <xf numFmtId="165" fontId="10" fillId="55" borderId="66" xfId="0" applyNumberFormat="1" applyFont="1" applyFill="1" applyBorder="1" applyAlignment="1">
      <alignment vertical="center"/>
    </xf>
    <xf numFmtId="4" fontId="10" fillId="55" borderId="66" xfId="0" applyNumberFormat="1" applyFont="1" applyFill="1" applyBorder="1" applyAlignment="1">
      <alignment vertical="center"/>
    </xf>
    <xf numFmtId="0" fontId="4" fillId="57" borderId="20" xfId="0" applyFont="1" applyFill="1" applyBorder="1" applyAlignment="1">
      <alignment horizontal="right" vertical="center" wrapText="1"/>
    </xf>
    <xf numFmtId="0" fontId="5" fillId="57" borderId="22" xfId="0" applyFont="1" applyFill="1" applyBorder="1" applyAlignment="1">
      <alignment horizontal="right" vertical="center" wrapText="1"/>
    </xf>
    <xf numFmtId="0" fontId="6" fillId="57" borderId="24" xfId="0" applyFont="1" applyFill="1" applyBorder="1" applyAlignment="1">
      <alignment horizontal="right" vertical="center" wrapText="1"/>
    </xf>
    <xf numFmtId="0" fontId="10" fillId="55" borderId="66" xfId="0" applyFont="1" applyFill="1" applyBorder="1" applyAlignment="1">
      <alignment horizontal="right" vertical="center"/>
    </xf>
    <xf numFmtId="165" fontId="10" fillId="55" borderId="66" xfId="0" applyNumberFormat="1" applyFont="1" applyFill="1" applyBorder="1" applyAlignment="1">
      <alignment horizontal="right" vertical="center"/>
    </xf>
    <xf numFmtId="0" fontId="9" fillId="55" borderId="66" xfId="0" applyFont="1" applyFill="1" applyBorder="1" applyAlignment="1">
      <alignment vertical="center"/>
    </xf>
    <xf numFmtId="0" fontId="21" fillId="0" borderId="0" xfId="0" applyFont="1"/>
    <xf numFmtId="0" fontId="1" fillId="2" borderId="14" xfId="0" applyFont="1" applyFill="1" applyBorder="1" applyAlignment="1">
      <alignment horizontal="left" vertical="center" wrapText="1"/>
    </xf>
    <xf numFmtId="165" fontId="10" fillId="55" borderId="66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3" borderId="15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horizontal="left" vertical="center" wrapText="1"/>
    </xf>
    <xf numFmtId="0" fontId="2" fillId="5" borderId="17" xfId="0" applyFont="1" applyFill="1" applyBorder="1" applyAlignment="1">
      <alignment horizontal="right" vertical="center" wrapText="1"/>
    </xf>
    <xf numFmtId="0" fontId="3" fillId="6" borderId="18" xfId="0" applyFont="1" applyFill="1" applyBorder="1" applyAlignment="1">
      <alignment horizontal="right" vertical="center" wrapText="1"/>
    </xf>
    <xf numFmtId="0" fontId="7" fillId="58" borderId="25" xfId="0" applyFont="1" applyFill="1" applyBorder="1" applyAlignment="1">
      <alignment horizontal="left" vertical="center" wrapText="1"/>
    </xf>
    <xf numFmtId="0" fontId="8" fillId="58" borderId="26" xfId="0" applyFont="1" applyFill="1" applyBorder="1" applyAlignment="1">
      <alignment horizontal="left" vertical="center" wrapText="1"/>
    </xf>
    <xf numFmtId="0" fontId="10" fillId="55" borderId="66" xfId="0" applyFont="1" applyFill="1" applyBorder="1" applyAlignment="1">
      <alignment horizontal="left" vertical="center"/>
    </xf>
    <xf numFmtId="0" fontId="24" fillId="0" borderId="0" xfId="0" applyFont="1"/>
    <xf numFmtId="0" fontId="24" fillId="0" borderId="0" xfId="0" applyFont="1" applyAlignment="1">
      <alignment horizontal="right"/>
    </xf>
    <xf numFmtId="0" fontId="9" fillId="22" borderId="42" xfId="0" applyFont="1" applyFill="1" applyBorder="1"/>
    <xf numFmtId="0" fontId="9" fillId="36" borderId="56" xfId="0" applyFont="1" applyFill="1" applyBorder="1"/>
    <xf numFmtId="0" fontId="9" fillId="38" borderId="58" xfId="0" applyFont="1" applyFill="1" applyBorder="1"/>
    <xf numFmtId="0" fontId="9" fillId="40" borderId="60" xfId="0" applyFont="1" applyFill="1" applyBorder="1"/>
    <xf numFmtId="0" fontId="9" fillId="42" borderId="62" xfId="0" applyFont="1" applyFill="1" applyBorder="1"/>
    <xf numFmtId="0" fontId="9" fillId="44" borderId="64" xfId="0" applyFont="1" applyFill="1" applyBorder="1"/>
    <xf numFmtId="0" fontId="9" fillId="7" borderId="27" xfId="0" applyFont="1" applyFill="1" applyBorder="1"/>
    <xf numFmtId="0" fontId="9" fillId="16" borderId="36" xfId="0" applyFont="1" applyFill="1" applyBorder="1"/>
    <xf numFmtId="0" fontId="9" fillId="18" borderId="38" xfId="0" applyFont="1" applyFill="1" applyBorder="1"/>
    <xf numFmtId="0" fontId="9" fillId="13" borderId="33" xfId="0" applyFont="1" applyFill="1" applyBorder="1"/>
    <xf numFmtId="0" fontId="9" fillId="20" borderId="40" xfId="0" applyFont="1" applyFill="1" applyBorder="1"/>
    <xf numFmtId="0" fontId="9" fillId="8" borderId="28" xfId="0" applyFont="1" applyFill="1" applyBorder="1" applyAlignment="1">
      <alignment horizontal="right"/>
    </xf>
    <xf numFmtId="0" fontId="9" fillId="9" borderId="29" xfId="0" applyFont="1" applyFill="1" applyBorder="1" applyAlignment="1">
      <alignment horizontal="right"/>
    </xf>
    <xf numFmtId="0" fontId="9" fillId="17" borderId="37" xfId="0" applyFont="1" applyFill="1" applyBorder="1" applyAlignment="1">
      <alignment horizontal="right"/>
    </xf>
    <xf numFmtId="4" fontId="9" fillId="10" borderId="30" xfId="0" applyNumberFormat="1" applyFont="1" applyFill="1" applyBorder="1" applyAlignment="1">
      <alignment horizontal="right"/>
    </xf>
    <xf numFmtId="0" fontId="9" fillId="19" borderId="39" xfId="0" applyFont="1" applyFill="1" applyBorder="1" applyAlignment="1">
      <alignment horizontal="right"/>
    </xf>
    <xf numFmtId="4" fontId="9" fillId="11" borderId="31" xfId="0" applyNumberFormat="1" applyFont="1" applyFill="1" applyBorder="1" applyAlignment="1">
      <alignment horizontal="right"/>
    </xf>
    <xf numFmtId="0" fontId="9" fillId="14" borderId="34" xfId="0" applyFont="1" applyFill="1" applyBorder="1" applyAlignment="1">
      <alignment horizontal="right"/>
    </xf>
    <xf numFmtId="4" fontId="9" fillId="12" borderId="32" xfId="0" applyNumberFormat="1" applyFont="1" applyFill="1" applyBorder="1" applyAlignment="1">
      <alignment horizontal="right"/>
    </xf>
    <xf numFmtId="0" fontId="9" fillId="21" borderId="41" xfId="0" applyFont="1" applyFill="1" applyBorder="1" applyAlignment="1">
      <alignment horizontal="right"/>
    </xf>
    <xf numFmtId="4" fontId="9" fillId="15" borderId="35" xfId="0" applyNumberFormat="1" applyFont="1" applyFill="1" applyBorder="1" applyAlignment="1">
      <alignment horizontal="right"/>
    </xf>
    <xf numFmtId="0" fontId="9" fillId="23" borderId="43" xfId="0" applyFont="1" applyFill="1" applyBorder="1" applyAlignment="1">
      <alignment horizontal="right"/>
    </xf>
    <xf numFmtId="0" fontId="9" fillId="24" borderId="44" xfId="0" applyFont="1" applyFill="1" applyBorder="1" applyAlignment="1">
      <alignment horizontal="right"/>
    </xf>
    <xf numFmtId="0" fontId="9" fillId="25" borderId="45" xfId="0" applyFont="1" applyFill="1" applyBorder="1" applyAlignment="1">
      <alignment horizontal="right"/>
    </xf>
    <xf numFmtId="0" fontId="9" fillId="37" borderId="57" xfId="0" applyFont="1" applyFill="1" applyBorder="1" applyAlignment="1">
      <alignment horizontal="right"/>
    </xf>
    <xf numFmtId="164" fontId="9" fillId="26" borderId="46" xfId="0" applyNumberFormat="1" applyFont="1" applyFill="1" applyBorder="1" applyAlignment="1">
      <alignment horizontal="right"/>
    </xf>
    <xf numFmtId="4" fontId="9" fillId="27" borderId="47" xfId="0" applyNumberFormat="1" applyFont="1" applyFill="1" applyBorder="1" applyAlignment="1">
      <alignment horizontal="right"/>
    </xf>
    <xf numFmtId="0" fontId="9" fillId="39" borderId="59" xfId="0" applyFont="1" applyFill="1" applyBorder="1" applyAlignment="1">
      <alignment horizontal="right"/>
    </xf>
    <xf numFmtId="164" fontId="9" fillId="28" borderId="48" xfId="0" applyNumberFormat="1" applyFont="1" applyFill="1" applyBorder="1" applyAlignment="1">
      <alignment horizontal="right"/>
    </xf>
    <xf numFmtId="4" fontId="9" fillId="29" borderId="49" xfId="0" applyNumberFormat="1" applyFont="1" applyFill="1" applyBorder="1" applyAlignment="1">
      <alignment horizontal="right"/>
    </xf>
    <xf numFmtId="0" fontId="9" fillId="41" borderId="61" xfId="0" applyFont="1" applyFill="1" applyBorder="1" applyAlignment="1">
      <alignment horizontal="right"/>
    </xf>
    <xf numFmtId="164" fontId="9" fillId="30" borderId="50" xfId="0" applyNumberFormat="1" applyFont="1" applyFill="1" applyBorder="1" applyAlignment="1">
      <alignment horizontal="right"/>
    </xf>
    <xf numFmtId="4" fontId="9" fillId="31" borderId="51" xfId="0" applyNumberFormat="1" applyFont="1" applyFill="1" applyBorder="1" applyAlignment="1">
      <alignment horizontal="right"/>
    </xf>
    <xf numFmtId="0" fontId="9" fillId="43" borderId="63" xfId="0" applyFont="1" applyFill="1" applyBorder="1" applyAlignment="1">
      <alignment horizontal="right"/>
    </xf>
    <xf numFmtId="164" fontId="9" fillId="32" borderId="52" xfId="0" applyNumberFormat="1" applyFont="1" applyFill="1" applyBorder="1" applyAlignment="1">
      <alignment horizontal="right"/>
    </xf>
    <xf numFmtId="4" fontId="9" fillId="33" borderId="53" xfId="0" applyNumberFormat="1" applyFont="1" applyFill="1" applyBorder="1" applyAlignment="1">
      <alignment horizontal="right"/>
    </xf>
    <xf numFmtId="0" fontId="9" fillId="45" borderId="65" xfId="0" applyFont="1" applyFill="1" applyBorder="1" applyAlignment="1">
      <alignment horizontal="right"/>
    </xf>
    <xf numFmtId="164" fontId="9" fillId="34" borderId="54" xfId="0" applyNumberFormat="1" applyFont="1" applyFill="1" applyBorder="1" applyAlignment="1">
      <alignment horizontal="right"/>
    </xf>
    <xf numFmtId="4" fontId="9" fillId="35" borderId="55" xfId="0" applyNumberFormat="1" applyFont="1" applyFill="1" applyBorder="1" applyAlignment="1">
      <alignment horizontal="right"/>
    </xf>
    <xf numFmtId="0" fontId="23" fillId="56" borderId="77" xfId="0" applyFont="1" applyFill="1" applyBorder="1" applyAlignment="1">
      <alignment horizontal="center" vertical="center"/>
    </xf>
    <xf numFmtId="0" fontId="25" fillId="58" borderId="78" xfId="0" applyFont="1" applyFill="1" applyBorder="1" applyAlignment="1">
      <alignment horizontal="left"/>
    </xf>
    <xf numFmtId="0" fontId="12" fillId="47" borderId="68" xfId="0" applyFont="1" applyFill="1" applyBorder="1"/>
    <xf numFmtId="0" fontId="0" fillId="0" borderId="0" xfId="0"/>
    <xf numFmtId="0" fontId="22" fillId="56" borderId="1" xfId="0" applyFont="1" applyFill="1" applyBorder="1" applyAlignment="1">
      <alignment vertical="center"/>
    </xf>
    <xf numFmtId="0" fontId="22" fillId="56" borderId="2" xfId="0" applyFont="1" applyFill="1" applyBorder="1" applyAlignment="1">
      <alignment vertical="center"/>
    </xf>
    <xf numFmtId="0" fontId="22" fillId="56" borderId="3" xfId="0" applyFont="1" applyFill="1" applyBorder="1" applyAlignment="1">
      <alignment vertical="center"/>
    </xf>
    <xf numFmtId="0" fontId="22" fillId="56" borderId="4" xfId="0" applyFont="1" applyFill="1" applyBorder="1" applyAlignment="1">
      <alignment vertical="center"/>
    </xf>
    <xf numFmtId="0" fontId="22" fillId="56" borderId="5" xfId="0" applyFont="1" applyFill="1" applyBorder="1" applyAlignment="1">
      <alignment vertical="center"/>
    </xf>
    <xf numFmtId="0" fontId="22" fillId="56" borderId="6" xfId="0" applyFont="1" applyFill="1" applyBorder="1" applyAlignment="1">
      <alignment vertical="center"/>
    </xf>
    <xf numFmtId="0" fontId="22" fillId="56" borderId="7" xfId="0" applyFont="1" applyFill="1" applyBorder="1" applyAlignment="1">
      <alignment vertical="center"/>
    </xf>
    <xf numFmtId="0" fontId="22" fillId="56" borderId="8" xfId="0" applyFont="1" applyFill="1" applyBorder="1" applyAlignment="1">
      <alignment vertical="center"/>
    </xf>
    <xf numFmtId="0" fontId="22" fillId="56" borderId="9" xfId="0" applyFont="1" applyFill="1" applyBorder="1" applyAlignment="1">
      <alignment vertical="center"/>
    </xf>
    <xf numFmtId="0" fontId="22" fillId="56" borderId="10" xfId="0" applyFont="1" applyFill="1" applyBorder="1" applyAlignment="1">
      <alignment vertical="center"/>
    </xf>
    <xf numFmtId="0" fontId="22" fillId="56" borderId="11" xfId="0" applyFont="1" applyFill="1" applyBorder="1" applyAlignment="1">
      <alignment vertical="center"/>
    </xf>
    <xf numFmtId="0" fontId="22" fillId="56" borderId="12" xfId="0" applyFont="1" applyFill="1" applyBorder="1" applyAlignment="1">
      <alignment vertical="center"/>
    </xf>
    <xf numFmtId="0" fontId="22" fillId="56" borderId="13" xfId="0" applyFont="1" applyFill="1" applyBorder="1" applyAlignment="1">
      <alignment vertical="center"/>
    </xf>
    <xf numFmtId="0" fontId="1" fillId="57" borderId="19" xfId="0" applyFont="1" applyFill="1" applyBorder="1" applyAlignment="1">
      <alignment horizontal="right" vertical="center" wrapText="1"/>
    </xf>
    <xf numFmtId="0" fontId="9" fillId="55" borderId="66" xfId="0" applyFont="1" applyFill="1" applyBorder="1" applyAlignment="1">
      <alignment horizontal="right" vertical="center"/>
    </xf>
    <xf numFmtId="0" fontId="1" fillId="57" borderId="21" xfId="0" applyFont="1" applyFill="1" applyBorder="1" applyAlignment="1">
      <alignment horizontal="right" vertical="center" wrapText="1"/>
    </xf>
    <xf numFmtId="0" fontId="1" fillId="57" borderId="23" xfId="0" applyFont="1" applyFill="1" applyBorder="1" applyAlignment="1">
      <alignment horizontal="right" vertical="center" wrapText="1"/>
    </xf>
    <xf numFmtId="0" fontId="9" fillId="55" borderId="66" xfId="0" applyFont="1" applyFill="1" applyBorder="1" applyAlignment="1">
      <alignment horizontal="left" vertical="center"/>
    </xf>
    <xf numFmtId="0" fontId="2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Dashboard!$F$5</c:f>
              <c:strCache>
                <c:ptCount val="1"/>
                <c:pt idx="0">
                  <c:v>Nb factures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Dashboard!$E$6:$E$10</c:f>
              <c:strCache>
                <c:ptCount val="4"/>
                <c:pt idx="0">
                  <c:v>Facture reçue</c:v>
                </c:pt>
                <c:pt idx="1">
                  <c:v>unpaid</c:v>
                </c:pt>
                <c:pt idx="2">
                  <c:v>Posted and unpaid</c:v>
                </c:pt>
                <c:pt idx="3">
                  <c:v>paid</c:v>
                </c:pt>
              </c:strCache>
            </c:strRef>
          </c:cat>
          <c:val>
            <c:numRef>
              <c:f>Dashboard!$F$6:$F$10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1-4210-9E48-6D11FD217C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8715199"/>
        <c:axId val="1784703951"/>
      </c:barChart>
      <c:lineChart>
        <c:grouping val="standard"/>
        <c:varyColors val="0"/>
        <c:ser>
          <c:idx val="1"/>
          <c:order val="1"/>
          <c:tx>
            <c:strRef>
              <c:f>Dashboard!$H$5</c:f>
              <c:strCache>
                <c:ptCount val="1"/>
                <c:pt idx="0">
                  <c:v>Montant ($)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Dashboard!$E$6:$E$10</c:f>
              <c:strCache>
                <c:ptCount val="4"/>
                <c:pt idx="0">
                  <c:v>Facture reçue</c:v>
                </c:pt>
                <c:pt idx="1">
                  <c:v>unpaid</c:v>
                </c:pt>
                <c:pt idx="2">
                  <c:v>Posted and unpaid</c:v>
                </c:pt>
                <c:pt idx="3">
                  <c:v>paid</c:v>
                </c:pt>
              </c:strCache>
            </c:strRef>
          </c:cat>
          <c:val>
            <c:numRef>
              <c:f>Dashboard!$H$6:$H$10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1-4210-9E48-6D11FD217C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58725871"/>
        <c:axId val="1784709231"/>
      </c:lineChart>
      <c:catAx>
        <c:axId val="195871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4703951"/>
        <c:crosses val="autoZero"/>
        <c:auto val="1"/>
        <c:lblAlgn val="ctr"/>
        <c:lblOffset val="100"/>
        <c:noMultiLvlLbl val="0"/>
      </c:catAx>
      <c:valAx>
        <c:axId val="178470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8715199"/>
        <c:crosses val="autoZero"/>
        <c:crossBetween val="between"/>
      </c:valAx>
      <c:valAx>
        <c:axId val="1784709231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8725871"/>
        <c:crosses val="max"/>
        <c:crossBetween val="between"/>
      </c:valAx>
      <c:catAx>
        <c:axId val="19587258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847092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11</xdr:row>
      <xdr:rowOff>19050</xdr:rowOff>
    </xdr:from>
    <xdr:to>
      <xdr:col>8</xdr:col>
      <xdr:colOff>38100</xdr:colOff>
      <xdr:row>29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92C42F-4972-93E6-3C62-5C25D0F7B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workbookViewId="0">
      <selection activeCell="L23" sqref="L23"/>
    </sheetView>
  </sheetViews>
  <sheetFormatPr defaultRowHeight="14.5" x14ac:dyDescent="0.35"/>
  <cols>
    <col min="1" max="1" width="30" customWidth="1"/>
    <col min="2" max="4" width="14" customWidth="1"/>
    <col min="5" max="5" width="22.453125" bestFit="1" customWidth="1"/>
    <col min="6" max="6" width="18" customWidth="1"/>
    <col min="7" max="7" width="14" customWidth="1"/>
    <col min="8" max="8" width="10.81640625" customWidth="1"/>
  </cols>
  <sheetData>
    <row r="1" spans="1:8" ht="28" customHeight="1" thickBot="1" x14ac:dyDescent="0.4">
      <c r="A1" s="71" t="s">
        <v>0</v>
      </c>
      <c r="B1" s="71"/>
      <c r="C1" s="71"/>
      <c r="D1" s="71"/>
      <c r="E1" s="71"/>
      <c r="F1" s="71"/>
      <c r="G1" s="71"/>
      <c r="H1" s="71"/>
    </row>
    <row r="2" spans="1:8" ht="15" thickTop="1" x14ac:dyDescent="0.35">
      <c r="A2" s="30" t="s">
        <v>1</v>
      </c>
      <c r="H2" s="31" t="s">
        <v>2</v>
      </c>
    </row>
    <row r="4" spans="1:8" x14ac:dyDescent="0.35">
      <c r="A4" s="72" t="s">
        <v>3</v>
      </c>
      <c r="B4" s="72"/>
      <c r="C4" s="72"/>
      <c r="E4" s="72" t="s">
        <v>40</v>
      </c>
      <c r="F4" s="72"/>
      <c r="G4" s="72"/>
      <c r="H4" s="72"/>
    </row>
    <row r="5" spans="1:8" x14ac:dyDescent="0.35">
      <c r="A5" s="38" t="s">
        <v>4</v>
      </c>
      <c r="B5" s="43" t="s">
        <v>5</v>
      </c>
      <c r="C5" s="44" t="s">
        <v>6</v>
      </c>
      <c r="E5" s="32" t="s">
        <v>11</v>
      </c>
      <c r="F5" s="53" t="s">
        <v>12</v>
      </c>
      <c r="G5" s="54" t="s">
        <v>13</v>
      </c>
      <c r="H5" s="55" t="s">
        <v>6</v>
      </c>
    </row>
    <row r="6" spans="1:8" x14ac:dyDescent="0.35">
      <c r="A6" s="39" t="s">
        <v>7</v>
      </c>
      <c r="B6" s="45">
        <f>COUNTA(Factures!$C$3:$C$502)</f>
        <v>0</v>
      </c>
      <c r="C6" s="46">
        <f>SUM(Factures!$D$3:$D$502)</f>
        <v>0</v>
      </c>
      <c r="E6" s="33" t="s">
        <v>14</v>
      </c>
      <c r="F6" s="56">
        <f>COUNTIF(Factures!$N$3:$N$502,"Facture reçue")</f>
        <v>0</v>
      </c>
      <c r="G6" s="57">
        <f>IFERROR(F6/$B$6,0)</f>
        <v>0</v>
      </c>
      <c r="H6" s="58">
        <f>SUMIF(Factures!$N$3:$N$502,"Facture reçue",Factures!$D$3:$D$502)</f>
        <v>0</v>
      </c>
    </row>
    <row r="7" spans="1:8" x14ac:dyDescent="0.35">
      <c r="A7" s="40" t="s">
        <v>8</v>
      </c>
      <c r="B7" s="47">
        <f>B6-COUNTIF(Factures!$N$3:$N$502,"paid")</f>
        <v>0</v>
      </c>
      <c r="C7" s="48">
        <f>C6-SUMIF(Factures!$N$3:$N$502,"paid",Factures!$D$3:$D$502)</f>
        <v>0</v>
      </c>
      <c r="E7" s="34" t="s">
        <v>42</v>
      </c>
      <c r="F7" s="59">
        <f>COUNTIF(Factures!$N$3:$N$502,"unpaid")</f>
        <v>0</v>
      </c>
      <c r="G7" s="60">
        <f>IFERROR(F7/$B$6,0)</f>
        <v>0</v>
      </c>
      <c r="H7" s="61">
        <f>SUMIF(Factures!$N$3:$N$502,"unpaid",Factures!$D$3:$D$502)</f>
        <v>0</v>
      </c>
    </row>
    <row r="8" spans="1:8" x14ac:dyDescent="0.35">
      <c r="A8" s="41" t="s">
        <v>9</v>
      </c>
      <c r="B8" s="49">
        <f ca="1">SUMPRODUCT((Factures!$C$3:$C$502&lt;&gt;"")*(Factures!$N$3:$N$502&lt;&gt;"paid")*(Factures!$E$3:$E$502&lt;&gt;"")*(Factures!$E$3:$E$502&lt;TODAY()))</f>
        <v>0</v>
      </c>
      <c r="C8" s="50">
        <f ca="1">SUMPRODUCT((Factures!$C$3:$C$502&lt;&gt;"")*(Factures!$N$3:$N$502&lt;&gt;"paid")*(Factures!$E$3:$E$502&lt;&gt;"")*(Factures!$E$3:$E$502&lt;TODAY())*(Factures!$D$3:$D$502))</f>
        <v>0</v>
      </c>
      <c r="E8" s="35" t="s">
        <v>17</v>
      </c>
      <c r="F8" s="62">
        <f>COUNTIF(Factures!$N$3:$N$502,"Posted and unpaid")</f>
        <v>0</v>
      </c>
      <c r="G8" s="63">
        <f>IFERROR(F8/$B$6,0)</f>
        <v>0</v>
      </c>
      <c r="H8" s="64">
        <f>SUMIF(Factures!$N$3:$N$502,"Posted and unpaid",Factures!$D$3:$D$502)</f>
        <v>0</v>
      </c>
    </row>
    <row r="9" spans="1:8" x14ac:dyDescent="0.35">
      <c r="A9" s="42" t="s">
        <v>10</v>
      </c>
      <c r="B9" s="51">
        <f>COUNTIF(Factures!$N$3:$N$502,"Posted and unpaid")</f>
        <v>0</v>
      </c>
      <c r="C9" s="52">
        <f>SUMIF(Factures!$N$3:$N$502,"Posted and unpaid",Factures!$D$3:$D$502)</f>
        <v>0</v>
      </c>
      <c r="E9" s="36" t="s">
        <v>43</v>
      </c>
      <c r="F9" s="65">
        <f>COUNTIF(Factures!$N$3:$N$502,"paid")</f>
        <v>0</v>
      </c>
      <c r="G9" s="66">
        <f>IFERROR(F9/$B$6,0)</f>
        <v>0</v>
      </c>
      <c r="H9" s="67">
        <f>SUMIF(Factures!$N$3:$N$502,"paid",Factures!$D$3:$D$502)</f>
        <v>0</v>
      </c>
    </row>
    <row r="10" spans="1:8" x14ac:dyDescent="0.35">
      <c r="A10" s="42"/>
      <c r="B10" s="51"/>
      <c r="C10" s="52"/>
      <c r="E10" s="37"/>
      <c r="F10" s="68"/>
      <c r="G10" s="69"/>
      <c r="H10" s="70"/>
    </row>
    <row r="28" spans="1:1" ht="36" customHeight="1" x14ac:dyDescent="0.35">
      <c r="A28" s="9"/>
    </row>
  </sheetData>
  <mergeCells count="3">
    <mergeCell ref="A1:H1"/>
    <mergeCell ref="A4:C4"/>
    <mergeCell ref="E4:H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2"/>
  <sheetViews>
    <sheetView showGridLines="0" tabSelected="1" workbookViewId="0">
      <pane ySplit="2" topLeftCell="A3" activePane="bottomLeft" state="frozen"/>
      <selection pane="bottomLeft" activeCell="G18" sqref="G18"/>
    </sheetView>
  </sheetViews>
  <sheetFormatPr defaultRowHeight="14.5" x14ac:dyDescent="0.35"/>
  <cols>
    <col min="1" max="1" width="12" style="22" customWidth="1"/>
    <col min="2" max="2" width="22" style="19" customWidth="1"/>
    <col min="3" max="3" width="14" style="19" customWidth="1"/>
    <col min="4" max="4" width="12" customWidth="1"/>
    <col min="5" max="5" width="9.81640625" bestFit="1" customWidth="1"/>
    <col min="6" max="6" width="12" style="19" customWidth="1"/>
    <col min="7" max="7" width="12" customWidth="1"/>
    <col min="8" max="8" width="12" style="19" customWidth="1"/>
    <col min="9" max="9" width="12" customWidth="1"/>
    <col min="10" max="10" width="12" style="19" customWidth="1"/>
    <col min="11" max="11" width="12" customWidth="1"/>
    <col min="12" max="12" width="13.7265625" style="93" customWidth="1"/>
    <col min="13" max="13" width="16.08984375" style="22" customWidth="1"/>
    <col min="14" max="14" width="18" style="22" customWidth="1"/>
    <col min="15" max="15" width="45.7265625" style="22" customWidth="1"/>
  </cols>
  <sheetData>
    <row r="1" spans="1:15" ht="32" customHeight="1" x14ac:dyDescent="0.35">
      <c r="A1" s="75" t="s">
        <v>18</v>
      </c>
      <c r="B1" s="76"/>
      <c r="C1" s="77"/>
      <c r="D1" s="78"/>
      <c r="E1" s="79"/>
      <c r="F1" s="80"/>
      <c r="G1" s="81"/>
      <c r="H1" s="82"/>
      <c r="I1" s="83"/>
      <c r="J1" s="84"/>
      <c r="K1" s="85"/>
      <c r="L1" s="86"/>
      <c r="M1" s="87"/>
      <c r="N1"/>
      <c r="O1"/>
    </row>
    <row r="2" spans="1:15" s="10" customFormat="1" ht="28" customHeight="1" x14ac:dyDescent="0.35">
      <c r="A2" s="20" t="s">
        <v>19</v>
      </c>
      <c r="B2" s="23" t="s">
        <v>20</v>
      </c>
      <c r="C2" s="24" t="s">
        <v>21</v>
      </c>
      <c r="D2" s="25" t="s">
        <v>22</v>
      </c>
      <c r="E2" s="26" t="s">
        <v>23</v>
      </c>
      <c r="F2" s="88" t="s">
        <v>15</v>
      </c>
      <c r="G2" s="13" t="s">
        <v>24</v>
      </c>
      <c r="H2" s="90" t="s">
        <v>25</v>
      </c>
      <c r="I2" s="14" t="s">
        <v>26</v>
      </c>
      <c r="J2" s="91" t="s">
        <v>16</v>
      </c>
      <c r="K2" s="15" t="s">
        <v>27</v>
      </c>
      <c r="L2" s="91" t="s">
        <v>44</v>
      </c>
      <c r="M2" s="15" t="s">
        <v>45</v>
      </c>
      <c r="N2" s="27" t="s">
        <v>28</v>
      </c>
      <c r="O2" s="28" t="s">
        <v>29</v>
      </c>
    </row>
    <row r="3" spans="1:15" x14ac:dyDescent="0.35">
      <c r="A3" s="21"/>
      <c r="B3" s="18"/>
      <c r="C3" s="18"/>
      <c r="D3" s="12"/>
      <c r="E3" s="11"/>
      <c r="F3" s="89"/>
      <c r="G3" s="17"/>
      <c r="H3" s="89"/>
      <c r="I3" s="16"/>
      <c r="J3" s="89"/>
      <c r="K3" s="16"/>
      <c r="L3" s="92" t="str">
        <f t="shared" ref="L3:L66" si="0">IF(C3="","",IF(F3="","Facture reçue",IF(H3="","PR",IF(J3="","PO","Posted and unpaid"))))</f>
        <v/>
      </c>
      <c r="M3" s="29" t="str">
        <f t="shared" ref="M3:M66" si="1">IF(C3="","",IF(F3="","La facture a été reçue et est en attente de création du PR.",IF(H3="","Le PR a été renseigné ; en attente de création du bon de commande (PO).",IF(J3="","Le PO a été renseigné ; en attente du bon de réception (GRN).","Facture comptabilisée et non payée."))))</f>
        <v/>
      </c>
      <c r="N3" s="29" t="str">
        <f t="shared" ref="N3:N66" si="2">IF(C3="","",IF(F3="","Facture reçue",IF(H3="","unpaid",IF(J3="","unpaid",IF(L3="","Posted and unpaid","paid")))))</f>
        <v/>
      </c>
      <c r="O3" s="29" t="str">
        <f t="shared" ref="O3:O66" si="3">IF(C3="","",IF(F3="","La facture a été reçue et est en attente de création du PR.",IF(H3="","Le PR a été renseigné ; facture non payée, en attente du bon de commande (PO).",IF(J3="","Le PO a été renseigné ; facture non payée, en attente du bon de réception (GRN).",IF(L3="","Le GRN a été renseigné ; facture comptabilisée et non payée.","Le paiement a été enregistré ; facture payée.")))))</f>
        <v/>
      </c>
    </row>
    <row r="4" spans="1:15" x14ac:dyDescent="0.35">
      <c r="A4" s="21"/>
      <c r="B4" s="18"/>
      <c r="C4" s="18"/>
      <c r="D4" s="12"/>
      <c r="E4" s="11"/>
      <c r="F4" s="89"/>
      <c r="G4" s="17"/>
      <c r="H4" s="89"/>
      <c r="I4" s="16"/>
      <c r="J4" s="89"/>
      <c r="K4" s="16"/>
      <c r="L4" s="92" t="str">
        <f t="shared" si="0"/>
        <v/>
      </c>
      <c r="M4" s="29" t="str">
        <f t="shared" si="1"/>
        <v/>
      </c>
      <c r="N4" s="29" t="str">
        <f t="shared" si="2"/>
        <v/>
      </c>
      <c r="O4" s="29" t="str">
        <f t="shared" si="3"/>
        <v/>
      </c>
    </row>
    <row r="5" spans="1:15" x14ac:dyDescent="0.35">
      <c r="A5" s="21"/>
      <c r="B5" s="18"/>
      <c r="C5" s="18"/>
      <c r="D5" s="12"/>
      <c r="E5" s="11"/>
      <c r="F5" s="89"/>
      <c r="G5" s="17"/>
      <c r="H5" s="89"/>
      <c r="I5" s="16"/>
      <c r="J5" s="89"/>
      <c r="K5" s="16"/>
      <c r="L5" s="92" t="str">
        <f t="shared" si="0"/>
        <v/>
      </c>
      <c r="M5" s="29" t="str">
        <f t="shared" si="1"/>
        <v/>
      </c>
      <c r="N5" s="29" t="str">
        <f t="shared" si="2"/>
        <v/>
      </c>
      <c r="O5" s="29" t="str">
        <f t="shared" si="3"/>
        <v/>
      </c>
    </row>
    <row r="6" spans="1:15" x14ac:dyDescent="0.35">
      <c r="A6" s="21"/>
      <c r="B6" s="18"/>
      <c r="C6" s="18"/>
      <c r="D6" s="12"/>
      <c r="E6" s="11"/>
      <c r="F6" s="89"/>
      <c r="G6" s="17"/>
      <c r="H6" s="89"/>
      <c r="I6" s="16"/>
      <c r="J6" s="89"/>
      <c r="K6" s="16"/>
      <c r="L6" s="92" t="str">
        <f t="shared" si="0"/>
        <v/>
      </c>
      <c r="M6" s="29" t="str">
        <f t="shared" si="1"/>
        <v/>
      </c>
      <c r="N6" s="29" t="str">
        <f t="shared" si="2"/>
        <v/>
      </c>
      <c r="O6" s="29" t="str">
        <f t="shared" si="3"/>
        <v/>
      </c>
    </row>
    <row r="7" spans="1:15" x14ac:dyDescent="0.35">
      <c r="A7" s="21"/>
      <c r="B7" s="18"/>
      <c r="C7" s="18"/>
      <c r="D7" s="12"/>
      <c r="E7" s="11"/>
      <c r="F7" s="89"/>
      <c r="G7" s="17"/>
      <c r="H7" s="89"/>
      <c r="I7" s="16"/>
      <c r="J7" s="89"/>
      <c r="K7" s="16"/>
      <c r="L7" s="92" t="str">
        <f t="shared" si="0"/>
        <v/>
      </c>
      <c r="M7" s="29" t="str">
        <f t="shared" si="1"/>
        <v/>
      </c>
      <c r="N7" s="29" t="str">
        <f t="shared" si="2"/>
        <v/>
      </c>
      <c r="O7" s="29" t="str">
        <f t="shared" si="3"/>
        <v/>
      </c>
    </row>
    <row r="8" spans="1:15" x14ac:dyDescent="0.35">
      <c r="A8" s="21"/>
      <c r="B8" s="18"/>
      <c r="C8" s="18"/>
      <c r="D8" s="12"/>
      <c r="E8" s="11"/>
      <c r="F8" s="89"/>
      <c r="G8" s="16"/>
      <c r="H8" s="89"/>
      <c r="I8" s="16"/>
      <c r="J8" s="89"/>
      <c r="K8" s="16"/>
      <c r="L8" s="92" t="str">
        <f t="shared" si="0"/>
        <v/>
      </c>
      <c r="M8" s="29" t="str">
        <f t="shared" si="1"/>
        <v/>
      </c>
      <c r="N8" s="29" t="str">
        <f t="shared" si="2"/>
        <v/>
      </c>
      <c r="O8" s="29" t="str">
        <f t="shared" si="3"/>
        <v/>
      </c>
    </row>
    <row r="9" spans="1:15" x14ac:dyDescent="0.35">
      <c r="A9" s="21"/>
      <c r="B9" s="18"/>
      <c r="C9" s="18"/>
      <c r="D9" s="12"/>
      <c r="E9" s="11"/>
      <c r="F9" s="89"/>
      <c r="G9" s="16"/>
      <c r="H9" s="89"/>
      <c r="I9" s="16"/>
      <c r="J9" s="89"/>
      <c r="K9" s="16"/>
      <c r="L9" s="92" t="str">
        <f t="shared" si="0"/>
        <v/>
      </c>
      <c r="M9" s="29" t="str">
        <f t="shared" si="1"/>
        <v/>
      </c>
      <c r="N9" s="29" t="str">
        <f t="shared" si="2"/>
        <v/>
      </c>
      <c r="O9" s="29" t="str">
        <f t="shared" si="3"/>
        <v/>
      </c>
    </row>
    <row r="10" spans="1:15" x14ac:dyDescent="0.35">
      <c r="A10" s="21"/>
      <c r="B10" s="18"/>
      <c r="C10" s="18"/>
      <c r="D10" s="12"/>
      <c r="E10" s="11"/>
      <c r="F10" s="89"/>
      <c r="G10" s="16"/>
      <c r="H10" s="89"/>
      <c r="I10" s="16"/>
      <c r="J10" s="89"/>
      <c r="K10" s="16"/>
      <c r="L10" s="92" t="str">
        <f t="shared" si="0"/>
        <v/>
      </c>
      <c r="M10" s="29" t="str">
        <f t="shared" si="1"/>
        <v/>
      </c>
      <c r="N10" s="29" t="str">
        <f t="shared" si="2"/>
        <v/>
      </c>
      <c r="O10" s="29" t="str">
        <f t="shared" si="3"/>
        <v/>
      </c>
    </row>
    <row r="11" spans="1:15" x14ac:dyDescent="0.35">
      <c r="A11" s="21"/>
      <c r="B11" s="18"/>
      <c r="C11" s="18"/>
      <c r="D11" s="12"/>
      <c r="E11" s="11"/>
      <c r="F11" s="89"/>
      <c r="G11" s="16"/>
      <c r="H11" s="89"/>
      <c r="I11" s="16"/>
      <c r="J11" s="89"/>
      <c r="K11" s="16"/>
      <c r="L11" s="92" t="str">
        <f t="shared" si="0"/>
        <v/>
      </c>
      <c r="M11" s="29" t="str">
        <f t="shared" si="1"/>
        <v/>
      </c>
      <c r="N11" s="29" t="str">
        <f t="shared" si="2"/>
        <v/>
      </c>
      <c r="O11" s="29" t="str">
        <f t="shared" si="3"/>
        <v/>
      </c>
    </row>
    <row r="12" spans="1:15" x14ac:dyDescent="0.35">
      <c r="A12" s="21"/>
      <c r="B12" s="18"/>
      <c r="C12" s="18"/>
      <c r="D12" s="12"/>
      <c r="E12" s="11"/>
      <c r="F12" s="89"/>
      <c r="G12" s="16"/>
      <c r="H12" s="89"/>
      <c r="I12" s="16"/>
      <c r="J12" s="89"/>
      <c r="K12" s="16"/>
      <c r="L12" s="92" t="str">
        <f t="shared" ref="L12:L75" si="4">IF(C12="","",IF(F12="","Facture reçue",IF(H12="","PR",IF(J12="","PO","Posted and unpaid"))))</f>
        <v/>
      </c>
      <c r="M12" s="29" t="str">
        <f t="shared" ref="M12:M75" si="5">IF(C12="","",IF(F12="","La facture a été reçue et est en attente de création du PR.",IF(H12="","Le PR a été renseigné ; en attente de création du bon de commande (PO).",IF(J12="","Le PO a été renseigné ; en attente du bon de réception (GRN).","Facture comptabilisée et non payée."))))</f>
        <v/>
      </c>
      <c r="N12" s="29" t="str">
        <f t="shared" ref="N12:N75" si="6">IF(C12="","",IF(F12="","Facture reçue",IF(H12="","unpaid",IF(J12="","unpaid",IF(L12="","Posted and unpaid","paid")))))</f>
        <v/>
      </c>
      <c r="O12" s="29" t="str">
        <f t="shared" ref="O12:O75" si="7">IF(C12="","",IF(F12="","La facture a été reçue et est en attente de création du PR.",IF(H12="","Le PR a été renseigné ; facture non payée, en attente du bon de commande (PO).",IF(J12="","Le PO a été renseigné ; facture non payée, en attente du bon de réception (GRN).",IF(L12="","Le GRN a été renseigné ; facture comptabilisée et non payée.","Le paiement a été enregistré ; facture payée.")))))</f>
        <v/>
      </c>
    </row>
    <row r="13" spans="1:15" x14ac:dyDescent="0.35">
      <c r="A13" s="21"/>
      <c r="B13" s="18"/>
      <c r="C13" s="18"/>
      <c r="D13" s="12"/>
      <c r="E13" s="11"/>
      <c r="F13" s="89"/>
      <c r="G13" s="16"/>
      <c r="H13" s="89"/>
      <c r="I13" s="16"/>
      <c r="J13" s="89"/>
      <c r="K13" s="16"/>
      <c r="L13" s="92" t="str">
        <f t="shared" si="4"/>
        <v/>
      </c>
      <c r="M13" s="29" t="str">
        <f t="shared" si="5"/>
        <v/>
      </c>
      <c r="N13" s="29" t="str">
        <f t="shared" si="6"/>
        <v/>
      </c>
      <c r="O13" s="29" t="str">
        <f t="shared" si="7"/>
        <v/>
      </c>
    </row>
    <row r="14" spans="1:15" x14ac:dyDescent="0.35">
      <c r="A14" s="21"/>
      <c r="B14" s="18"/>
      <c r="C14" s="18"/>
      <c r="D14" s="12"/>
      <c r="E14" s="11"/>
      <c r="F14" s="89"/>
      <c r="G14" s="16"/>
      <c r="H14" s="89"/>
      <c r="I14" s="16"/>
      <c r="J14" s="89"/>
      <c r="K14" s="16"/>
      <c r="L14" s="92" t="str">
        <f t="shared" si="4"/>
        <v/>
      </c>
      <c r="M14" s="29" t="str">
        <f t="shared" si="5"/>
        <v/>
      </c>
      <c r="N14" s="29" t="str">
        <f t="shared" si="6"/>
        <v/>
      </c>
      <c r="O14" s="29" t="str">
        <f t="shared" si="7"/>
        <v/>
      </c>
    </row>
    <row r="15" spans="1:15" x14ac:dyDescent="0.35">
      <c r="A15" s="21"/>
      <c r="B15" s="18"/>
      <c r="C15" s="18"/>
      <c r="D15" s="12"/>
      <c r="E15" s="11"/>
      <c r="F15" s="89"/>
      <c r="G15" s="16"/>
      <c r="H15" s="89"/>
      <c r="I15" s="16"/>
      <c r="J15" s="89"/>
      <c r="K15" s="16"/>
      <c r="L15" s="92" t="str">
        <f t="shared" si="4"/>
        <v/>
      </c>
      <c r="M15" s="29" t="str">
        <f t="shared" si="5"/>
        <v/>
      </c>
      <c r="N15" s="29" t="str">
        <f t="shared" si="6"/>
        <v/>
      </c>
      <c r="O15" s="29" t="str">
        <f t="shared" si="7"/>
        <v/>
      </c>
    </row>
    <row r="16" spans="1:15" x14ac:dyDescent="0.35">
      <c r="A16" s="21"/>
      <c r="B16" s="18"/>
      <c r="C16" s="18"/>
      <c r="D16" s="12"/>
      <c r="E16" s="11"/>
      <c r="F16" s="89"/>
      <c r="G16" s="16"/>
      <c r="H16" s="89"/>
      <c r="I16" s="16"/>
      <c r="J16" s="89"/>
      <c r="K16" s="16"/>
      <c r="L16" s="92" t="str">
        <f t="shared" si="4"/>
        <v/>
      </c>
      <c r="M16" s="29" t="str">
        <f t="shared" si="5"/>
        <v/>
      </c>
      <c r="N16" s="29" t="str">
        <f t="shared" si="6"/>
        <v/>
      </c>
      <c r="O16" s="29" t="str">
        <f t="shared" si="7"/>
        <v/>
      </c>
    </row>
    <row r="17" spans="1:15" x14ac:dyDescent="0.35">
      <c r="A17" s="21"/>
      <c r="B17" s="18"/>
      <c r="C17" s="18"/>
      <c r="D17" s="12"/>
      <c r="E17" s="11"/>
      <c r="F17" s="89"/>
      <c r="G17" s="16"/>
      <c r="H17" s="89"/>
      <c r="I17" s="16"/>
      <c r="J17" s="89"/>
      <c r="K17" s="16"/>
      <c r="L17" s="92" t="str">
        <f t="shared" si="4"/>
        <v/>
      </c>
      <c r="M17" s="29" t="str">
        <f t="shared" si="5"/>
        <v/>
      </c>
      <c r="N17" s="29" t="str">
        <f t="shared" si="6"/>
        <v/>
      </c>
      <c r="O17" s="29" t="str">
        <f t="shared" si="7"/>
        <v/>
      </c>
    </row>
    <row r="18" spans="1:15" x14ac:dyDescent="0.35">
      <c r="A18" s="21"/>
      <c r="B18" s="18"/>
      <c r="C18" s="18"/>
      <c r="D18" s="12"/>
      <c r="E18" s="11"/>
      <c r="F18" s="89"/>
      <c r="G18" s="16"/>
      <c r="H18" s="89"/>
      <c r="I18" s="16"/>
      <c r="J18" s="89"/>
      <c r="K18" s="16"/>
      <c r="L18" s="92" t="str">
        <f t="shared" si="4"/>
        <v/>
      </c>
      <c r="M18" s="29" t="str">
        <f t="shared" si="5"/>
        <v/>
      </c>
      <c r="N18" s="29" t="str">
        <f t="shared" si="6"/>
        <v/>
      </c>
      <c r="O18" s="29" t="str">
        <f t="shared" si="7"/>
        <v/>
      </c>
    </row>
    <row r="19" spans="1:15" x14ac:dyDescent="0.35">
      <c r="A19" s="21"/>
      <c r="B19" s="18"/>
      <c r="C19" s="18"/>
      <c r="D19" s="12"/>
      <c r="E19" s="11"/>
      <c r="F19" s="89"/>
      <c r="G19" s="16"/>
      <c r="H19" s="89"/>
      <c r="I19" s="16"/>
      <c r="J19" s="89"/>
      <c r="K19" s="16"/>
      <c r="L19" s="92" t="str">
        <f t="shared" si="4"/>
        <v/>
      </c>
      <c r="M19" s="29" t="str">
        <f t="shared" si="5"/>
        <v/>
      </c>
      <c r="N19" s="29" t="str">
        <f t="shared" si="6"/>
        <v/>
      </c>
      <c r="O19" s="29" t="str">
        <f t="shared" si="7"/>
        <v/>
      </c>
    </row>
    <row r="20" spans="1:15" x14ac:dyDescent="0.35">
      <c r="A20" s="21"/>
      <c r="B20" s="18"/>
      <c r="C20" s="18"/>
      <c r="D20" s="12"/>
      <c r="E20" s="11"/>
      <c r="F20" s="89"/>
      <c r="G20" s="16"/>
      <c r="H20" s="89"/>
      <c r="I20" s="16"/>
      <c r="J20" s="89"/>
      <c r="K20" s="16"/>
      <c r="L20" s="92" t="str">
        <f t="shared" si="4"/>
        <v/>
      </c>
      <c r="M20" s="29" t="str">
        <f t="shared" si="5"/>
        <v/>
      </c>
      <c r="N20" s="29" t="str">
        <f t="shared" si="6"/>
        <v/>
      </c>
      <c r="O20" s="29" t="str">
        <f t="shared" si="7"/>
        <v/>
      </c>
    </row>
    <row r="21" spans="1:15" x14ac:dyDescent="0.35">
      <c r="A21" s="21"/>
      <c r="B21" s="18"/>
      <c r="C21" s="18"/>
      <c r="D21" s="12"/>
      <c r="E21" s="11"/>
      <c r="F21" s="89"/>
      <c r="G21" s="16"/>
      <c r="H21" s="89"/>
      <c r="I21" s="16"/>
      <c r="J21" s="89"/>
      <c r="K21" s="16"/>
      <c r="L21" s="92" t="str">
        <f t="shared" si="4"/>
        <v/>
      </c>
      <c r="M21" s="29" t="str">
        <f t="shared" si="5"/>
        <v/>
      </c>
      <c r="N21" s="29" t="str">
        <f t="shared" si="6"/>
        <v/>
      </c>
      <c r="O21" s="29" t="str">
        <f t="shared" si="7"/>
        <v/>
      </c>
    </row>
    <row r="22" spans="1:15" x14ac:dyDescent="0.35">
      <c r="A22" s="21"/>
      <c r="B22" s="18"/>
      <c r="C22" s="18"/>
      <c r="D22" s="12"/>
      <c r="E22" s="11"/>
      <c r="F22" s="89"/>
      <c r="G22" s="16"/>
      <c r="H22" s="89"/>
      <c r="I22" s="16"/>
      <c r="J22" s="89"/>
      <c r="K22" s="16"/>
      <c r="L22" s="92" t="str">
        <f t="shared" si="4"/>
        <v/>
      </c>
      <c r="M22" s="29" t="str">
        <f t="shared" si="5"/>
        <v/>
      </c>
      <c r="N22" s="29" t="str">
        <f t="shared" si="6"/>
        <v/>
      </c>
      <c r="O22" s="29" t="str">
        <f t="shared" si="7"/>
        <v/>
      </c>
    </row>
    <row r="23" spans="1:15" x14ac:dyDescent="0.35">
      <c r="A23" s="21"/>
      <c r="B23" s="18"/>
      <c r="C23" s="18"/>
      <c r="D23" s="12"/>
      <c r="E23" s="11"/>
      <c r="F23" s="89"/>
      <c r="G23" s="16"/>
      <c r="H23" s="89"/>
      <c r="I23" s="16"/>
      <c r="J23" s="89"/>
      <c r="K23" s="16"/>
      <c r="L23" s="92" t="str">
        <f t="shared" si="4"/>
        <v/>
      </c>
      <c r="M23" s="29" t="str">
        <f t="shared" si="5"/>
        <v/>
      </c>
      <c r="N23" s="29" t="str">
        <f t="shared" si="6"/>
        <v/>
      </c>
      <c r="O23" s="29" t="str">
        <f t="shared" si="7"/>
        <v/>
      </c>
    </row>
    <row r="24" spans="1:15" x14ac:dyDescent="0.35">
      <c r="A24" s="21"/>
      <c r="B24" s="18"/>
      <c r="C24" s="18"/>
      <c r="D24" s="12"/>
      <c r="E24" s="11"/>
      <c r="F24" s="89"/>
      <c r="G24" s="16"/>
      <c r="H24" s="89"/>
      <c r="I24" s="16"/>
      <c r="J24" s="89"/>
      <c r="K24" s="16"/>
      <c r="L24" s="92" t="str">
        <f t="shared" si="4"/>
        <v/>
      </c>
      <c r="M24" s="29" t="str">
        <f t="shared" si="5"/>
        <v/>
      </c>
      <c r="N24" s="29" t="str">
        <f t="shared" si="6"/>
        <v/>
      </c>
      <c r="O24" s="29" t="str">
        <f t="shared" si="7"/>
        <v/>
      </c>
    </row>
    <row r="25" spans="1:15" x14ac:dyDescent="0.35">
      <c r="A25" s="21"/>
      <c r="B25" s="18"/>
      <c r="C25" s="18"/>
      <c r="D25" s="12"/>
      <c r="E25" s="11"/>
      <c r="F25" s="89"/>
      <c r="G25" s="16"/>
      <c r="H25" s="89"/>
      <c r="I25" s="16"/>
      <c r="J25" s="89"/>
      <c r="K25" s="16"/>
      <c r="L25" s="92" t="str">
        <f t="shared" si="4"/>
        <v/>
      </c>
      <c r="M25" s="29" t="str">
        <f t="shared" si="5"/>
        <v/>
      </c>
      <c r="N25" s="29" t="str">
        <f t="shared" si="6"/>
        <v/>
      </c>
      <c r="O25" s="29" t="str">
        <f t="shared" si="7"/>
        <v/>
      </c>
    </row>
    <row r="26" spans="1:15" x14ac:dyDescent="0.35">
      <c r="A26" s="21"/>
      <c r="B26" s="18"/>
      <c r="C26" s="18"/>
      <c r="D26" s="12"/>
      <c r="E26" s="11"/>
      <c r="F26" s="89"/>
      <c r="G26" s="16"/>
      <c r="H26" s="89"/>
      <c r="I26" s="16"/>
      <c r="J26" s="89"/>
      <c r="K26" s="16"/>
      <c r="L26" s="92" t="str">
        <f t="shared" si="4"/>
        <v/>
      </c>
      <c r="M26" s="29" t="str">
        <f t="shared" si="5"/>
        <v/>
      </c>
      <c r="N26" s="29" t="str">
        <f t="shared" si="6"/>
        <v/>
      </c>
      <c r="O26" s="29" t="str">
        <f t="shared" si="7"/>
        <v/>
      </c>
    </row>
    <row r="27" spans="1:15" x14ac:dyDescent="0.35">
      <c r="A27" s="21"/>
      <c r="B27" s="18"/>
      <c r="C27" s="18"/>
      <c r="D27" s="12"/>
      <c r="E27" s="11"/>
      <c r="F27" s="89"/>
      <c r="G27" s="16"/>
      <c r="H27" s="89"/>
      <c r="I27" s="16"/>
      <c r="J27" s="89"/>
      <c r="K27" s="16"/>
      <c r="L27" s="92" t="str">
        <f t="shared" si="4"/>
        <v/>
      </c>
      <c r="M27" s="29" t="str">
        <f t="shared" si="5"/>
        <v/>
      </c>
      <c r="N27" s="29" t="str">
        <f t="shared" si="6"/>
        <v/>
      </c>
      <c r="O27" s="29" t="str">
        <f t="shared" si="7"/>
        <v/>
      </c>
    </row>
    <row r="28" spans="1:15" x14ac:dyDescent="0.35">
      <c r="A28" s="21"/>
      <c r="B28" s="18"/>
      <c r="C28" s="18"/>
      <c r="D28" s="12"/>
      <c r="E28" s="11"/>
      <c r="F28" s="89"/>
      <c r="G28" s="16"/>
      <c r="H28" s="89"/>
      <c r="I28" s="16"/>
      <c r="J28" s="89"/>
      <c r="K28" s="16"/>
      <c r="L28" s="92" t="str">
        <f t="shared" si="4"/>
        <v/>
      </c>
      <c r="M28" s="29" t="str">
        <f t="shared" si="5"/>
        <v/>
      </c>
      <c r="N28" s="29" t="str">
        <f t="shared" si="6"/>
        <v/>
      </c>
      <c r="O28" s="29" t="str">
        <f t="shared" si="7"/>
        <v/>
      </c>
    </row>
    <row r="29" spans="1:15" x14ac:dyDescent="0.35">
      <c r="A29" s="21"/>
      <c r="B29" s="18"/>
      <c r="C29" s="18"/>
      <c r="D29" s="12"/>
      <c r="E29" s="11"/>
      <c r="F29" s="89"/>
      <c r="G29" s="16"/>
      <c r="H29" s="89"/>
      <c r="I29" s="16"/>
      <c r="J29" s="89"/>
      <c r="K29" s="16"/>
      <c r="L29" s="92" t="str">
        <f t="shared" si="4"/>
        <v/>
      </c>
      <c r="M29" s="29" t="str">
        <f t="shared" si="5"/>
        <v/>
      </c>
      <c r="N29" s="29" t="str">
        <f t="shared" si="6"/>
        <v/>
      </c>
      <c r="O29" s="29" t="str">
        <f t="shared" si="7"/>
        <v/>
      </c>
    </row>
    <row r="30" spans="1:15" x14ac:dyDescent="0.35">
      <c r="A30" s="21"/>
      <c r="B30" s="18"/>
      <c r="C30" s="18"/>
      <c r="D30" s="12"/>
      <c r="E30" s="11"/>
      <c r="F30" s="89"/>
      <c r="G30" s="16"/>
      <c r="H30" s="89"/>
      <c r="I30" s="16"/>
      <c r="J30" s="89"/>
      <c r="K30" s="16"/>
      <c r="L30" s="92" t="str">
        <f t="shared" si="4"/>
        <v/>
      </c>
      <c r="M30" s="29" t="str">
        <f t="shared" si="5"/>
        <v/>
      </c>
      <c r="N30" s="29" t="str">
        <f t="shared" si="6"/>
        <v/>
      </c>
      <c r="O30" s="29" t="str">
        <f t="shared" si="7"/>
        <v/>
      </c>
    </row>
    <row r="31" spans="1:15" x14ac:dyDescent="0.35">
      <c r="A31" s="21"/>
      <c r="B31" s="18"/>
      <c r="C31" s="18"/>
      <c r="D31" s="12"/>
      <c r="E31" s="11"/>
      <c r="F31" s="89"/>
      <c r="G31" s="16"/>
      <c r="H31" s="89"/>
      <c r="I31" s="16"/>
      <c r="J31" s="89"/>
      <c r="K31" s="16"/>
      <c r="L31" s="92" t="str">
        <f t="shared" si="4"/>
        <v/>
      </c>
      <c r="M31" s="29" t="str">
        <f t="shared" si="5"/>
        <v/>
      </c>
      <c r="N31" s="29" t="str">
        <f t="shared" si="6"/>
        <v/>
      </c>
      <c r="O31" s="29" t="str">
        <f t="shared" si="7"/>
        <v/>
      </c>
    </row>
    <row r="32" spans="1:15" x14ac:dyDescent="0.35">
      <c r="A32" s="21"/>
      <c r="B32" s="18"/>
      <c r="C32" s="18"/>
      <c r="D32" s="12"/>
      <c r="E32" s="11"/>
      <c r="F32" s="89"/>
      <c r="G32" s="16"/>
      <c r="H32" s="89"/>
      <c r="I32" s="16"/>
      <c r="J32" s="89"/>
      <c r="K32" s="16"/>
      <c r="L32" s="92" t="str">
        <f t="shared" si="4"/>
        <v/>
      </c>
      <c r="M32" s="29" t="str">
        <f t="shared" si="5"/>
        <v/>
      </c>
      <c r="N32" s="29" t="str">
        <f t="shared" si="6"/>
        <v/>
      </c>
      <c r="O32" s="29" t="str">
        <f t="shared" si="7"/>
        <v/>
      </c>
    </row>
    <row r="33" spans="1:15" x14ac:dyDescent="0.35">
      <c r="A33" s="21"/>
      <c r="B33" s="18"/>
      <c r="C33" s="18"/>
      <c r="D33" s="12"/>
      <c r="E33" s="11"/>
      <c r="F33" s="89"/>
      <c r="G33" s="16"/>
      <c r="H33" s="89"/>
      <c r="I33" s="16"/>
      <c r="J33" s="89"/>
      <c r="K33" s="16"/>
      <c r="L33" s="92" t="str">
        <f t="shared" si="4"/>
        <v/>
      </c>
      <c r="M33" s="29" t="str">
        <f t="shared" si="5"/>
        <v/>
      </c>
      <c r="N33" s="29" t="str">
        <f t="shared" si="6"/>
        <v/>
      </c>
      <c r="O33" s="29" t="str">
        <f t="shared" si="7"/>
        <v/>
      </c>
    </row>
    <row r="34" spans="1:15" x14ac:dyDescent="0.35">
      <c r="A34" s="21"/>
      <c r="B34" s="18"/>
      <c r="C34" s="18"/>
      <c r="D34" s="12"/>
      <c r="E34" s="11"/>
      <c r="F34" s="89"/>
      <c r="G34" s="16"/>
      <c r="H34" s="89"/>
      <c r="I34" s="16"/>
      <c r="J34" s="89"/>
      <c r="K34" s="16"/>
      <c r="L34" s="92" t="str">
        <f t="shared" si="4"/>
        <v/>
      </c>
      <c r="M34" s="29" t="str">
        <f t="shared" si="5"/>
        <v/>
      </c>
      <c r="N34" s="29" t="str">
        <f t="shared" si="6"/>
        <v/>
      </c>
      <c r="O34" s="29" t="str">
        <f t="shared" si="7"/>
        <v/>
      </c>
    </row>
    <row r="35" spans="1:15" x14ac:dyDescent="0.35">
      <c r="A35" s="21"/>
      <c r="B35" s="18"/>
      <c r="C35" s="18"/>
      <c r="D35" s="12"/>
      <c r="E35" s="11"/>
      <c r="F35" s="89"/>
      <c r="G35" s="16"/>
      <c r="H35" s="89"/>
      <c r="I35" s="16"/>
      <c r="J35" s="89"/>
      <c r="K35" s="16"/>
      <c r="L35" s="92" t="str">
        <f t="shared" si="4"/>
        <v/>
      </c>
      <c r="M35" s="29" t="str">
        <f t="shared" si="5"/>
        <v/>
      </c>
      <c r="N35" s="29" t="str">
        <f t="shared" si="6"/>
        <v/>
      </c>
      <c r="O35" s="29" t="str">
        <f t="shared" si="7"/>
        <v/>
      </c>
    </row>
    <row r="36" spans="1:15" x14ac:dyDescent="0.35">
      <c r="A36" s="21"/>
      <c r="B36" s="18"/>
      <c r="C36" s="18"/>
      <c r="D36" s="12"/>
      <c r="E36" s="11"/>
      <c r="F36" s="89"/>
      <c r="G36" s="16"/>
      <c r="H36" s="89"/>
      <c r="I36" s="16"/>
      <c r="J36" s="89"/>
      <c r="K36" s="16"/>
      <c r="L36" s="92" t="str">
        <f t="shared" si="4"/>
        <v/>
      </c>
      <c r="M36" s="29" t="str">
        <f t="shared" si="5"/>
        <v/>
      </c>
      <c r="N36" s="29" t="str">
        <f t="shared" si="6"/>
        <v/>
      </c>
      <c r="O36" s="29" t="str">
        <f t="shared" si="7"/>
        <v/>
      </c>
    </row>
    <row r="37" spans="1:15" x14ac:dyDescent="0.35">
      <c r="A37" s="21"/>
      <c r="B37" s="18"/>
      <c r="C37" s="18"/>
      <c r="D37" s="12"/>
      <c r="E37" s="11"/>
      <c r="F37" s="89"/>
      <c r="G37" s="16"/>
      <c r="H37" s="89"/>
      <c r="I37" s="16"/>
      <c r="J37" s="89"/>
      <c r="K37" s="16"/>
      <c r="L37" s="92" t="str">
        <f t="shared" si="4"/>
        <v/>
      </c>
      <c r="M37" s="29" t="str">
        <f t="shared" si="5"/>
        <v/>
      </c>
      <c r="N37" s="29" t="str">
        <f t="shared" si="6"/>
        <v/>
      </c>
      <c r="O37" s="29" t="str">
        <f t="shared" si="7"/>
        <v/>
      </c>
    </row>
    <row r="38" spans="1:15" x14ac:dyDescent="0.35">
      <c r="A38" s="21"/>
      <c r="B38" s="18"/>
      <c r="C38" s="18"/>
      <c r="D38" s="12"/>
      <c r="E38" s="11"/>
      <c r="F38" s="89"/>
      <c r="G38" s="16"/>
      <c r="H38" s="89"/>
      <c r="I38" s="16"/>
      <c r="J38" s="89"/>
      <c r="K38" s="16"/>
      <c r="L38" s="92" t="str">
        <f t="shared" si="4"/>
        <v/>
      </c>
      <c r="M38" s="29" t="str">
        <f t="shared" si="5"/>
        <v/>
      </c>
      <c r="N38" s="29" t="str">
        <f t="shared" si="6"/>
        <v/>
      </c>
      <c r="O38" s="29" t="str">
        <f t="shared" si="7"/>
        <v/>
      </c>
    </row>
    <row r="39" spans="1:15" x14ac:dyDescent="0.35">
      <c r="A39" s="21"/>
      <c r="B39" s="18"/>
      <c r="C39" s="18"/>
      <c r="D39" s="12"/>
      <c r="E39" s="11"/>
      <c r="F39" s="89"/>
      <c r="G39" s="16"/>
      <c r="H39" s="89"/>
      <c r="I39" s="16"/>
      <c r="J39" s="89"/>
      <c r="K39" s="16"/>
      <c r="L39" s="92" t="str">
        <f t="shared" si="4"/>
        <v/>
      </c>
      <c r="M39" s="29" t="str">
        <f t="shared" si="5"/>
        <v/>
      </c>
      <c r="N39" s="29" t="str">
        <f t="shared" si="6"/>
        <v/>
      </c>
      <c r="O39" s="29" t="str">
        <f t="shared" si="7"/>
        <v/>
      </c>
    </row>
    <row r="40" spans="1:15" x14ac:dyDescent="0.35">
      <c r="A40" s="21"/>
      <c r="B40" s="18"/>
      <c r="C40" s="18"/>
      <c r="D40" s="12"/>
      <c r="E40" s="11"/>
      <c r="F40" s="89"/>
      <c r="G40" s="16"/>
      <c r="H40" s="89"/>
      <c r="I40" s="16"/>
      <c r="J40" s="89"/>
      <c r="K40" s="16"/>
      <c r="L40" s="92" t="str">
        <f t="shared" si="4"/>
        <v/>
      </c>
      <c r="M40" s="29" t="str">
        <f t="shared" si="5"/>
        <v/>
      </c>
      <c r="N40" s="29" t="str">
        <f t="shared" si="6"/>
        <v/>
      </c>
      <c r="O40" s="29" t="str">
        <f t="shared" si="7"/>
        <v/>
      </c>
    </row>
    <row r="41" spans="1:15" x14ac:dyDescent="0.35">
      <c r="A41" s="21"/>
      <c r="B41" s="18"/>
      <c r="C41" s="18"/>
      <c r="D41" s="12"/>
      <c r="E41" s="11"/>
      <c r="F41" s="89"/>
      <c r="G41" s="16"/>
      <c r="H41" s="89"/>
      <c r="I41" s="16"/>
      <c r="J41" s="89"/>
      <c r="K41" s="16"/>
      <c r="L41" s="92" t="str">
        <f t="shared" si="4"/>
        <v/>
      </c>
      <c r="M41" s="29" t="str">
        <f t="shared" si="5"/>
        <v/>
      </c>
      <c r="N41" s="29" t="str">
        <f t="shared" si="6"/>
        <v/>
      </c>
      <c r="O41" s="29" t="str">
        <f t="shared" si="7"/>
        <v/>
      </c>
    </row>
    <row r="42" spans="1:15" x14ac:dyDescent="0.35">
      <c r="A42" s="21"/>
      <c r="B42" s="18"/>
      <c r="C42" s="18"/>
      <c r="D42" s="12"/>
      <c r="E42" s="11"/>
      <c r="F42" s="89"/>
      <c r="G42" s="16"/>
      <c r="H42" s="89"/>
      <c r="I42" s="16"/>
      <c r="J42" s="89"/>
      <c r="K42" s="16"/>
      <c r="L42" s="92" t="str">
        <f t="shared" si="4"/>
        <v/>
      </c>
      <c r="M42" s="29" t="str">
        <f t="shared" si="5"/>
        <v/>
      </c>
      <c r="N42" s="29" t="str">
        <f t="shared" si="6"/>
        <v/>
      </c>
      <c r="O42" s="29" t="str">
        <f t="shared" si="7"/>
        <v/>
      </c>
    </row>
    <row r="43" spans="1:15" x14ac:dyDescent="0.35">
      <c r="A43" s="21"/>
      <c r="B43" s="18"/>
      <c r="C43" s="18"/>
      <c r="D43" s="12"/>
      <c r="E43" s="11"/>
      <c r="F43" s="89"/>
      <c r="G43" s="16"/>
      <c r="H43" s="89"/>
      <c r="I43" s="16"/>
      <c r="J43" s="89"/>
      <c r="K43" s="16"/>
      <c r="L43" s="92" t="str">
        <f t="shared" si="4"/>
        <v/>
      </c>
      <c r="M43" s="29" t="str">
        <f t="shared" si="5"/>
        <v/>
      </c>
      <c r="N43" s="29" t="str">
        <f t="shared" si="6"/>
        <v/>
      </c>
      <c r="O43" s="29" t="str">
        <f t="shared" si="7"/>
        <v/>
      </c>
    </row>
    <row r="44" spans="1:15" x14ac:dyDescent="0.35">
      <c r="A44" s="21"/>
      <c r="B44" s="18"/>
      <c r="C44" s="18"/>
      <c r="D44" s="12"/>
      <c r="E44" s="11"/>
      <c r="F44" s="89"/>
      <c r="G44" s="16"/>
      <c r="H44" s="89"/>
      <c r="I44" s="16"/>
      <c r="J44" s="89"/>
      <c r="K44" s="16"/>
      <c r="L44" s="92" t="str">
        <f t="shared" si="4"/>
        <v/>
      </c>
      <c r="M44" s="29" t="str">
        <f t="shared" si="5"/>
        <v/>
      </c>
      <c r="N44" s="29" t="str">
        <f t="shared" si="6"/>
        <v/>
      </c>
      <c r="O44" s="29" t="str">
        <f t="shared" si="7"/>
        <v/>
      </c>
    </row>
    <row r="45" spans="1:15" x14ac:dyDescent="0.35">
      <c r="A45" s="21"/>
      <c r="B45" s="18"/>
      <c r="C45" s="18"/>
      <c r="D45" s="12"/>
      <c r="E45" s="11"/>
      <c r="F45" s="89"/>
      <c r="G45" s="16"/>
      <c r="H45" s="89"/>
      <c r="I45" s="16"/>
      <c r="J45" s="89"/>
      <c r="K45" s="16"/>
      <c r="L45" s="92" t="str">
        <f t="shared" si="4"/>
        <v/>
      </c>
      <c r="M45" s="29" t="str">
        <f t="shared" si="5"/>
        <v/>
      </c>
      <c r="N45" s="29" t="str">
        <f t="shared" si="6"/>
        <v/>
      </c>
      <c r="O45" s="29" t="str">
        <f t="shared" si="7"/>
        <v/>
      </c>
    </row>
    <row r="46" spans="1:15" x14ac:dyDescent="0.35">
      <c r="A46" s="21"/>
      <c r="B46" s="18"/>
      <c r="C46" s="18"/>
      <c r="D46" s="12"/>
      <c r="E46" s="11"/>
      <c r="F46" s="89"/>
      <c r="G46" s="16"/>
      <c r="H46" s="89"/>
      <c r="I46" s="16"/>
      <c r="J46" s="89"/>
      <c r="K46" s="16"/>
      <c r="L46" s="92" t="str">
        <f t="shared" si="4"/>
        <v/>
      </c>
      <c r="M46" s="29" t="str">
        <f t="shared" si="5"/>
        <v/>
      </c>
      <c r="N46" s="29" t="str">
        <f t="shared" si="6"/>
        <v/>
      </c>
      <c r="O46" s="29" t="str">
        <f t="shared" si="7"/>
        <v/>
      </c>
    </row>
    <row r="47" spans="1:15" x14ac:dyDescent="0.35">
      <c r="A47" s="21"/>
      <c r="B47" s="18"/>
      <c r="C47" s="18"/>
      <c r="D47" s="12"/>
      <c r="E47" s="11"/>
      <c r="F47" s="89"/>
      <c r="G47" s="16"/>
      <c r="H47" s="89"/>
      <c r="I47" s="16"/>
      <c r="J47" s="89"/>
      <c r="K47" s="16"/>
      <c r="L47" s="92" t="str">
        <f t="shared" si="4"/>
        <v/>
      </c>
      <c r="M47" s="29" t="str">
        <f t="shared" si="5"/>
        <v/>
      </c>
      <c r="N47" s="29" t="str">
        <f t="shared" si="6"/>
        <v/>
      </c>
      <c r="O47" s="29" t="str">
        <f t="shared" si="7"/>
        <v/>
      </c>
    </row>
    <row r="48" spans="1:15" x14ac:dyDescent="0.35">
      <c r="A48" s="21"/>
      <c r="B48" s="18"/>
      <c r="C48" s="18"/>
      <c r="D48" s="12"/>
      <c r="E48" s="11"/>
      <c r="F48" s="89"/>
      <c r="G48" s="16"/>
      <c r="H48" s="89"/>
      <c r="I48" s="16"/>
      <c r="J48" s="89"/>
      <c r="K48" s="16"/>
      <c r="L48" s="92" t="str">
        <f t="shared" si="4"/>
        <v/>
      </c>
      <c r="M48" s="29" t="str">
        <f t="shared" si="5"/>
        <v/>
      </c>
      <c r="N48" s="29" t="str">
        <f t="shared" si="6"/>
        <v/>
      </c>
      <c r="O48" s="29" t="str">
        <f t="shared" si="7"/>
        <v/>
      </c>
    </row>
    <row r="49" spans="1:15" x14ac:dyDescent="0.35">
      <c r="A49" s="21"/>
      <c r="B49" s="18"/>
      <c r="C49" s="18"/>
      <c r="D49" s="12"/>
      <c r="E49" s="11"/>
      <c r="F49" s="89"/>
      <c r="G49" s="16"/>
      <c r="H49" s="89"/>
      <c r="I49" s="16"/>
      <c r="J49" s="89"/>
      <c r="K49" s="16"/>
      <c r="L49" s="92" t="str">
        <f t="shared" si="4"/>
        <v/>
      </c>
      <c r="M49" s="29" t="str">
        <f t="shared" si="5"/>
        <v/>
      </c>
      <c r="N49" s="29" t="str">
        <f t="shared" si="6"/>
        <v/>
      </c>
      <c r="O49" s="29" t="str">
        <f t="shared" si="7"/>
        <v/>
      </c>
    </row>
    <row r="50" spans="1:15" x14ac:dyDescent="0.35">
      <c r="A50" s="21"/>
      <c r="B50" s="18"/>
      <c r="C50" s="18"/>
      <c r="D50" s="12"/>
      <c r="E50" s="11"/>
      <c r="F50" s="89"/>
      <c r="G50" s="16"/>
      <c r="H50" s="89"/>
      <c r="I50" s="16"/>
      <c r="J50" s="89"/>
      <c r="K50" s="16"/>
      <c r="L50" s="92" t="str">
        <f t="shared" si="4"/>
        <v/>
      </c>
      <c r="M50" s="29" t="str">
        <f t="shared" si="5"/>
        <v/>
      </c>
      <c r="N50" s="29" t="str">
        <f t="shared" si="6"/>
        <v/>
      </c>
      <c r="O50" s="29" t="str">
        <f t="shared" si="7"/>
        <v/>
      </c>
    </row>
    <row r="51" spans="1:15" x14ac:dyDescent="0.35">
      <c r="A51" s="21"/>
      <c r="B51" s="18"/>
      <c r="C51" s="18"/>
      <c r="D51" s="12"/>
      <c r="E51" s="11"/>
      <c r="F51" s="89"/>
      <c r="G51" s="16"/>
      <c r="H51" s="89"/>
      <c r="I51" s="16"/>
      <c r="J51" s="89"/>
      <c r="K51" s="16"/>
      <c r="L51" s="92" t="str">
        <f t="shared" si="4"/>
        <v/>
      </c>
      <c r="M51" s="29" t="str">
        <f t="shared" si="5"/>
        <v/>
      </c>
      <c r="N51" s="29" t="str">
        <f t="shared" si="6"/>
        <v/>
      </c>
      <c r="O51" s="29" t="str">
        <f t="shared" si="7"/>
        <v/>
      </c>
    </row>
    <row r="52" spans="1:15" x14ac:dyDescent="0.35">
      <c r="A52" s="21"/>
      <c r="B52" s="18"/>
      <c r="C52" s="18"/>
      <c r="D52" s="12"/>
      <c r="E52" s="11"/>
      <c r="F52" s="89"/>
      <c r="G52" s="16"/>
      <c r="H52" s="89"/>
      <c r="I52" s="16"/>
      <c r="J52" s="89"/>
      <c r="K52" s="16"/>
      <c r="L52" s="92" t="str">
        <f t="shared" si="4"/>
        <v/>
      </c>
      <c r="M52" s="29" t="str">
        <f t="shared" si="5"/>
        <v/>
      </c>
      <c r="N52" s="29" t="str">
        <f t="shared" si="6"/>
        <v/>
      </c>
      <c r="O52" s="29" t="str">
        <f t="shared" si="7"/>
        <v/>
      </c>
    </row>
    <row r="53" spans="1:15" x14ac:dyDescent="0.35">
      <c r="A53" s="21"/>
      <c r="B53" s="18"/>
      <c r="C53" s="18"/>
      <c r="D53" s="12"/>
      <c r="E53" s="11"/>
      <c r="F53" s="89"/>
      <c r="G53" s="16"/>
      <c r="H53" s="89"/>
      <c r="I53" s="16"/>
      <c r="J53" s="89"/>
      <c r="K53" s="16"/>
      <c r="L53" s="92" t="str">
        <f t="shared" si="4"/>
        <v/>
      </c>
      <c r="M53" s="29" t="str">
        <f t="shared" si="5"/>
        <v/>
      </c>
      <c r="N53" s="29" t="str">
        <f t="shared" si="6"/>
        <v/>
      </c>
      <c r="O53" s="29" t="str">
        <f t="shared" si="7"/>
        <v/>
      </c>
    </row>
    <row r="54" spans="1:15" x14ac:dyDescent="0.35">
      <c r="A54" s="21"/>
      <c r="B54" s="18"/>
      <c r="C54" s="18"/>
      <c r="D54" s="12"/>
      <c r="E54" s="11"/>
      <c r="F54" s="89"/>
      <c r="G54" s="16"/>
      <c r="H54" s="89"/>
      <c r="I54" s="16"/>
      <c r="J54" s="89"/>
      <c r="K54" s="16"/>
      <c r="L54" s="92" t="str">
        <f t="shared" si="4"/>
        <v/>
      </c>
      <c r="M54" s="29" t="str">
        <f t="shared" si="5"/>
        <v/>
      </c>
      <c r="N54" s="29" t="str">
        <f t="shared" si="6"/>
        <v/>
      </c>
      <c r="O54" s="29" t="str">
        <f t="shared" si="7"/>
        <v/>
      </c>
    </row>
    <row r="55" spans="1:15" x14ac:dyDescent="0.35">
      <c r="A55" s="21"/>
      <c r="B55" s="18"/>
      <c r="C55" s="18"/>
      <c r="D55" s="12"/>
      <c r="E55" s="11"/>
      <c r="F55" s="89"/>
      <c r="G55" s="16"/>
      <c r="H55" s="89"/>
      <c r="I55" s="16"/>
      <c r="J55" s="89"/>
      <c r="K55" s="16"/>
      <c r="L55" s="92" t="str">
        <f t="shared" si="4"/>
        <v/>
      </c>
      <c r="M55" s="29" t="str">
        <f t="shared" si="5"/>
        <v/>
      </c>
      <c r="N55" s="29" t="str">
        <f t="shared" si="6"/>
        <v/>
      </c>
      <c r="O55" s="29" t="str">
        <f t="shared" si="7"/>
        <v/>
      </c>
    </row>
    <row r="56" spans="1:15" x14ac:dyDescent="0.35">
      <c r="A56" s="21"/>
      <c r="B56" s="18"/>
      <c r="C56" s="18"/>
      <c r="D56" s="12"/>
      <c r="E56" s="11"/>
      <c r="F56" s="89"/>
      <c r="G56" s="16"/>
      <c r="H56" s="89"/>
      <c r="I56" s="16"/>
      <c r="J56" s="89"/>
      <c r="K56" s="16"/>
      <c r="L56" s="92" t="str">
        <f t="shared" si="4"/>
        <v/>
      </c>
      <c r="M56" s="29" t="str">
        <f t="shared" si="5"/>
        <v/>
      </c>
      <c r="N56" s="29" t="str">
        <f t="shared" si="6"/>
        <v/>
      </c>
      <c r="O56" s="29" t="str">
        <f t="shared" si="7"/>
        <v/>
      </c>
    </row>
    <row r="57" spans="1:15" x14ac:dyDescent="0.35">
      <c r="A57" s="21"/>
      <c r="B57" s="18"/>
      <c r="C57" s="18"/>
      <c r="D57" s="12"/>
      <c r="E57" s="11"/>
      <c r="F57" s="89"/>
      <c r="G57" s="16"/>
      <c r="H57" s="89"/>
      <c r="I57" s="16"/>
      <c r="J57" s="89"/>
      <c r="K57" s="16"/>
      <c r="L57" s="92" t="str">
        <f t="shared" si="4"/>
        <v/>
      </c>
      <c r="M57" s="29" t="str">
        <f t="shared" si="5"/>
        <v/>
      </c>
      <c r="N57" s="29" t="str">
        <f t="shared" si="6"/>
        <v/>
      </c>
      <c r="O57" s="29" t="str">
        <f t="shared" si="7"/>
        <v/>
      </c>
    </row>
    <row r="58" spans="1:15" x14ac:dyDescent="0.35">
      <c r="A58" s="21"/>
      <c r="B58" s="18"/>
      <c r="C58" s="18"/>
      <c r="D58" s="12"/>
      <c r="E58" s="11"/>
      <c r="F58" s="89"/>
      <c r="G58" s="16"/>
      <c r="H58" s="89"/>
      <c r="I58" s="16"/>
      <c r="J58" s="89"/>
      <c r="K58" s="16"/>
      <c r="L58" s="92" t="str">
        <f t="shared" si="4"/>
        <v/>
      </c>
      <c r="M58" s="29" t="str">
        <f t="shared" si="5"/>
        <v/>
      </c>
      <c r="N58" s="29" t="str">
        <f t="shared" si="6"/>
        <v/>
      </c>
      <c r="O58" s="29" t="str">
        <f t="shared" si="7"/>
        <v/>
      </c>
    </row>
    <row r="59" spans="1:15" x14ac:dyDescent="0.35">
      <c r="A59" s="21"/>
      <c r="B59" s="18"/>
      <c r="C59" s="18"/>
      <c r="D59" s="12"/>
      <c r="E59" s="11"/>
      <c r="F59" s="89"/>
      <c r="G59" s="16"/>
      <c r="H59" s="89"/>
      <c r="I59" s="16"/>
      <c r="J59" s="89"/>
      <c r="K59" s="16"/>
      <c r="L59" s="92" t="str">
        <f t="shared" si="4"/>
        <v/>
      </c>
      <c r="M59" s="29" t="str">
        <f t="shared" si="5"/>
        <v/>
      </c>
      <c r="N59" s="29" t="str">
        <f t="shared" si="6"/>
        <v/>
      </c>
      <c r="O59" s="29" t="str">
        <f t="shared" si="7"/>
        <v/>
      </c>
    </row>
    <row r="60" spans="1:15" x14ac:dyDescent="0.35">
      <c r="A60" s="21"/>
      <c r="B60" s="18"/>
      <c r="C60" s="18"/>
      <c r="D60" s="12"/>
      <c r="E60" s="11"/>
      <c r="F60" s="89"/>
      <c r="G60" s="16"/>
      <c r="H60" s="89"/>
      <c r="I60" s="16"/>
      <c r="J60" s="89"/>
      <c r="K60" s="16"/>
      <c r="L60" s="92" t="str">
        <f t="shared" si="4"/>
        <v/>
      </c>
      <c r="M60" s="29" t="str">
        <f t="shared" si="5"/>
        <v/>
      </c>
      <c r="N60" s="29" t="str">
        <f t="shared" si="6"/>
        <v/>
      </c>
      <c r="O60" s="29" t="str">
        <f t="shared" si="7"/>
        <v/>
      </c>
    </row>
    <row r="61" spans="1:15" x14ac:dyDescent="0.35">
      <c r="A61" s="21"/>
      <c r="B61" s="18"/>
      <c r="C61" s="18"/>
      <c r="D61" s="12"/>
      <c r="E61" s="11"/>
      <c r="F61" s="89"/>
      <c r="G61" s="16"/>
      <c r="H61" s="89"/>
      <c r="I61" s="16"/>
      <c r="J61" s="89"/>
      <c r="K61" s="16"/>
      <c r="L61" s="92" t="str">
        <f t="shared" si="4"/>
        <v/>
      </c>
      <c r="M61" s="29" t="str">
        <f t="shared" si="5"/>
        <v/>
      </c>
      <c r="N61" s="29" t="str">
        <f t="shared" si="6"/>
        <v/>
      </c>
      <c r="O61" s="29" t="str">
        <f t="shared" si="7"/>
        <v/>
      </c>
    </row>
    <row r="62" spans="1:15" x14ac:dyDescent="0.35">
      <c r="A62" s="21"/>
      <c r="B62" s="18"/>
      <c r="C62" s="18"/>
      <c r="D62" s="12"/>
      <c r="E62" s="11"/>
      <c r="F62" s="89"/>
      <c r="G62" s="16"/>
      <c r="H62" s="89"/>
      <c r="I62" s="16"/>
      <c r="J62" s="89"/>
      <c r="K62" s="16"/>
      <c r="L62" s="92" t="str">
        <f t="shared" si="4"/>
        <v/>
      </c>
      <c r="M62" s="29" t="str">
        <f t="shared" si="5"/>
        <v/>
      </c>
      <c r="N62" s="29" t="str">
        <f t="shared" si="6"/>
        <v/>
      </c>
      <c r="O62" s="29" t="str">
        <f t="shared" si="7"/>
        <v/>
      </c>
    </row>
    <row r="63" spans="1:15" x14ac:dyDescent="0.35">
      <c r="A63" s="21"/>
      <c r="B63" s="18"/>
      <c r="C63" s="18"/>
      <c r="D63" s="12"/>
      <c r="E63" s="11"/>
      <c r="F63" s="89"/>
      <c r="G63" s="16"/>
      <c r="H63" s="89"/>
      <c r="I63" s="16"/>
      <c r="J63" s="89"/>
      <c r="K63" s="16"/>
      <c r="L63" s="92" t="str">
        <f t="shared" si="4"/>
        <v/>
      </c>
      <c r="M63" s="29" t="str">
        <f t="shared" si="5"/>
        <v/>
      </c>
      <c r="N63" s="29" t="str">
        <f t="shared" si="6"/>
        <v/>
      </c>
      <c r="O63" s="29" t="str">
        <f t="shared" si="7"/>
        <v/>
      </c>
    </row>
    <row r="64" spans="1:15" x14ac:dyDescent="0.35">
      <c r="A64" s="21"/>
      <c r="B64" s="18"/>
      <c r="C64" s="18"/>
      <c r="D64" s="12"/>
      <c r="E64" s="11"/>
      <c r="F64" s="89"/>
      <c r="G64" s="16"/>
      <c r="H64" s="89"/>
      <c r="I64" s="16"/>
      <c r="J64" s="89"/>
      <c r="K64" s="16"/>
      <c r="L64" s="92" t="str">
        <f t="shared" si="4"/>
        <v/>
      </c>
      <c r="M64" s="29" t="str">
        <f t="shared" si="5"/>
        <v/>
      </c>
      <c r="N64" s="29" t="str">
        <f t="shared" si="6"/>
        <v/>
      </c>
      <c r="O64" s="29" t="str">
        <f t="shared" si="7"/>
        <v/>
      </c>
    </row>
    <row r="65" spans="1:15" x14ac:dyDescent="0.35">
      <c r="A65" s="21"/>
      <c r="B65" s="18"/>
      <c r="C65" s="18"/>
      <c r="D65" s="12"/>
      <c r="E65" s="11"/>
      <c r="F65" s="89"/>
      <c r="G65" s="16"/>
      <c r="H65" s="89"/>
      <c r="I65" s="16"/>
      <c r="J65" s="89"/>
      <c r="K65" s="16"/>
      <c r="L65" s="92" t="str">
        <f t="shared" si="4"/>
        <v/>
      </c>
      <c r="M65" s="29" t="str">
        <f t="shared" si="5"/>
        <v/>
      </c>
      <c r="N65" s="29" t="str">
        <f t="shared" si="6"/>
        <v/>
      </c>
      <c r="O65" s="29" t="str">
        <f t="shared" si="7"/>
        <v/>
      </c>
    </row>
    <row r="66" spans="1:15" x14ac:dyDescent="0.35">
      <c r="A66" s="21"/>
      <c r="B66" s="18"/>
      <c r="C66" s="18"/>
      <c r="D66" s="12"/>
      <c r="E66" s="11"/>
      <c r="F66" s="89"/>
      <c r="G66" s="16"/>
      <c r="H66" s="89"/>
      <c r="I66" s="16"/>
      <c r="J66" s="89"/>
      <c r="K66" s="16"/>
      <c r="L66" s="92" t="str">
        <f t="shared" si="4"/>
        <v/>
      </c>
      <c r="M66" s="29" t="str">
        <f t="shared" si="5"/>
        <v/>
      </c>
      <c r="N66" s="29" t="str">
        <f t="shared" si="6"/>
        <v/>
      </c>
      <c r="O66" s="29" t="str">
        <f t="shared" si="7"/>
        <v/>
      </c>
    </row>
    <row r="67" spans="1:15" x14ac:dyDescent="0.35">
      <c r="A67" s="21"/>
      <c r="B67" s="18"/>
      <c r="C67" s="18"/>
      <c r="D67" s="12"/>
      <c r="E67" s="11"/>
      <c r="F67" s="89"/>
      <c r="G67" s="16"/>
      <c r="H67" s="89"/>
      <c r="I67" s="16"/>
      <c r="J67" s="89"/>
      <c r="K67" s="16"/>
      <c r="L67" s="92" t="str">
        <f t="shared" si="4"/>
        <v/>
      </c>
      <c r="M67" s="29" t="str">
        <f t="shared" si="5"/>
        <v/>
      </c>
      <c r="N67" s="29" t="str">
        <f t="shared" si="6"/>
        <v/>
      </c>
      <c r="O67" s="29" t="str">
        <f t="shared" si="7"/>
        <v/>
      </c>
    </row>
    <row r="68" spans="1:15" x14ac:dyDescent="0.35">
      <c r="A68" s="21"/>
      <c r="B68" s="18"/>
      <c r="C68" s="18"/>
      <c r="D68" s="12"/>
      <c r="E68" s="11"/>
      <c r="F68" s="89"/>
      <c r="G68" s="16"/>
      <c r="H68" s="89"/>
      <c r="I68" s="16"/>
      <c r="J68" s="89"/>
      <c r="K68" s="16"/>
      <c r="L68" s="92" t="str">
        <f t="shared" si="4"/>
        <v/>
      </c>
      <c r="M68" s="29" t="str">
        <f t="shared" si="5"/>
        <v/>
      </c>
      <c r="N68" s="29" t="str">
        <f t="shared" si="6"/>
        <v/>
      </c>
      <c r="O68" s="29" t="str">
        <f t="shared" si="7"/>
        <v/>
      </c>
    </row>
    <row r="69" spans="1:15" x14ac:dyDescent="0.35">
      <c r="A69" s="21"/>
      <c r="B69" s="18"/>
      <c r="C69" s="18"/>
      <c r="D69" s="12"/>
      <c r="E69" s="11"/>
      <c r="F69" s="89"/>
      <c r="G69" s="16"/>
      <c r="H69" s="89"/>
      <c r="I69" s="16"/>
      <c r="J69" s="89"/>
      <c r="K69" s="16"/>
      <c r="L69" s="92" t="str">
        <f t="shared" si="4"/>
        <v/>
      </c>
      <c r="M69" s="29" t="str">
        <f t="shared" si="5"/>
        <v/>
      </c>
      <c r="N69" s="29" t="str">
        <f t="shared" si="6"/>
        <v/>
      </c>
      <c r="O69" s="29" t="str">
        <f t="shared" si="7"/>
        <v/>
      </c>
    </row>
    <row r="70" spans="1:15" x14ac:dyDescent="0.35">
      <c r="A70" s="21"/>
      <c r="B70" s="18"/>
      <c r="C70" s="18"/>
      <c r="D70" s="12"/>
      <c r="E70" s="11"/>
      <c r="F70" s="89"/>
      <c r="G70" s="16"/>
      <c r="H70" s="89"/>
      <c r="I70" s="16"/>
      <c r="J70" s="89"/>
      <c r="K70" s="16"/>
      <c r="L70" s="92" t="str">
        <f t="shared" si="4"/>
        <v/>
      </c>
      <c r="M70" s="29" t="str">
        <f t="shared" si="5"/>
        <v/>
      </c>
      <c r="N70" s="29" t="str">
        <f t="shared" si="6"/>
        <v/>
      </c>
      <c r="O70" s="29" t="str">
        <f t="shared" si="7"/>
        <v/>
      </c>
    </row>
    <row r="71" spans="1:15" x14ac:dyDescent="0.35">
      <c r="A71" s="21"/>
      <c r="B71" s="18"/>
      <c r="C71" s="18"/>
      <c r="D71" s="12"/>
      <c r="E71" s="11"/>
      <c r="F71" s="89"/>
      <c r="G71" s="16"/>
      <c r="H71" s="89"/>
      <c r="I71" s="16"/>
      <c r="J71" s="89"/>
      <c r="K71" s="16"/>
      <c r="L71" s="92" t="str">
        <f t="shared" si="4"/>
        <v/>
      </c>
      <c r="M71" s="29" t="str">
        <f t="shared" si="5"/>
        <v/>
      </c>
      <c r="N71" s="29" t="str">
        <f t="shared" si="6"/>
        <v/>
      </c>
      <c r="O71" s="29" t="str">
        <f t="shared" si="7"/>
        <v/>
      </c>
    </row>
    <row r="72" spans="1:15" x14ac:dyDescent="0.35">
      <c r="A72" s="21"/>
      <c r="B72" s="18"/>
      <c r="C72" s="18"/>
      <c r="D72" s="12"/>
      <c r="E72" s="11"/>
      <c r="F72" s="89"/>
      <c r="G72" s="16"/>
      <c r="H72" s="89"/>
      <c r="I72" s="16"/>
      <c r="J72" s="89"/>
      <c r="K72" s="16"/>
      <c r="L72" s="92" t="str">
        <f t="shared" si="4"/>
        <v/>
      </c>
      <c r="M72" s="29" t="str">
        <f t="shared" si="5"/>
        <v/>
      </c>
      <c r="N72" s="29" t="str">
        <f t="shared" si="6"/>
        <v/>
      </c>
      <c r="O72" s="29" t="str">
        <f t="shared" si="7"/>
        <v/>
      </c>
    </row>
    <row r="73" spans="1:15" x14ac:dyDescent="0.35">
      <c r="A73" s="21"/>
      <c r="B73" s="18"/>
      <c r="C73" s="18"/>
      <c r="D73" s="12"/>
      <c r="E73" s="11"/>
      <c r="F73" s="89"/>
      <c r="G73" s="16"/>
      <c r="H73" s="89"/>
      <c r="I73" s="16"/>
      <c r="J73" s="89"/>
      <c r="K73" s="16"/>
      <c r="L73" s="92" t="str">
        <f t="shared" si="4"/>
        <v/>
      </c>
      <c r="M73" s="29" t="str">
        <f t="shared" si="5"/>
        <v/>
      </c>
      <c r="N73" s="29" t="str">
        <f t="shared" si="6"/>
        <v/>
      </c>
      <c r="O73" s="29" t="str">
        <f t="shared" si="7"/>
        <v/>
      </c>
    </row>
    <row r="74" spans="1:15" x14ac:dyDescent="0.35">
      <c r="A74" s="21"/>
      <c r="B74" s="18"/>
      <c r="C74" s="18"/>
      <c r="D74" s="12"/>
      <c r="E74" s="11"/>
      <c r="F74" s="89"/>
      <c r="G74" s="16"/>
      <c r="H74" s="89"/>
      <c r="I74" s="16"/>
      <c r="J74" s="89"/>
      <c r="K74" s="16"/>
      <c r="L74" s="92" t="str">
        <f t="shared" si="4"/>
        <v/>
      </c>
      <c r="M74" s="29" t="str">
        <f t="shared" si="5"/>
        <v/>
      </c>
      <c r="N74" s="29" t="str">
        <f t="shared" si="6"/>
        <v/>
      </c>
      <c r="O74" s="29" t="str">
        <f t="shared" si="7"/>
        <v/>
      </c>
    </row>
    <row r="75" spans="1:15" x14ac:dyDescent="0.35">
      <c r="A75" s="21"/>
      <c r="B75" s="18"/>
      <c r="C75" s="18"/>
      <c r="D75" s="12"/>
      <c r="E75" s="11"/>
      <c r="F75" s="89"/>
      <c r="G75" s="16"/>
      <c r="H75" s="89"/>
      <c r="I75" s="16"/>
      <c r="J75" s="89"/>
      <c r="K75" s="16"/>
      <c r="L75" s="92" t="str">
        <f t="shared" si="4"/>
        <v/>
      </c>
      <c r="M75" s="29" t="str">
        <f t="shared" si="5"/>
        <v/>
      </c>
      <c r="N75" s="29" t="str">
        <f t="shared" si="6"/>
        <v/>
      </c>
      <c r="O75" s="29" t="str">
        <f t="shared" si="7"/>
        <v/>
      </c>
    </row>
    <row r="76" spans="1:15" x14ac:dyDescent="0.35">
      <c r="A76" s="21"/>
      <c r="B76" s="18"/>
      <c r="C76" s="18"/>
      <c r="D76" s="12"/>
      <c r="E76" s="11"/>
      <c r="F76" s="89"/>
      <c r="G76" s="16"/>
      <c r="H76" s="89"/>
      <c r="I76" s="16"/>
      <c r="J76" s="89"/>
      <c r="K76" s="16"/>
      <c r="L76" s="92" t="str">
        <f t="shared" ref="L76:L139" si="8">IF(C76="","",IF(F76="","Facture reçue",IF(H76="","PR",IF(J76="","PO","Posted and unpaid"))))</f>
        <v/>
      </c>
      <c r="M76" s="29" t="str">
        <f t="shared" ref="M76:M139" si="9">IF(C76="","",IF(F76="","La facture a été reçue et est en attente de création du PR.",IF(H76="","Le PR a été renseigné ; en attente de création du bon de commande (PO).",IF(J76="","Le PO a été renseigné ; en attente du bon de réception (GRN).","Facture comptabilisée et non payée."))))</f>
        <v/>
      </c>
      <c r="N76" s="29" t="str">
        <f t="shared" ref="N76:N139" si="10">IF(C76="","",IF(F76="","Facture reçue",IF(H76="","unpaid",IF(J76="","unpaid",IF(L76="","Posted and unpaid","paid")))))</f>
        <v/>
      </c>
      <c r="O76" s="29" t="str">
        <f t="shared" ref="O76:O139" si="11">IF(C76="","",IF(F76="","La facture a été reçue et est en attente de création du PR.",IF(H76="","Le PR a été renseigné ; facture non payée, en attente du bon de commande (PO).",IF(J76="","Le PO a été renseigné ; facture non payée, en attente du bon de réception (GRN).",IF(L76="","Le GRN a été renseigné ; facture comptabilisée et non payée.","Le paiement a été enregistré ; facture payée.")))))</f>
        <v/>
      </c>
    </row>
    <row r="77" spans="1:15" x14ac:dyDescent="0.35">
      <c r="A77" s="21"/>
      <c r="B77" s="18"/>
      <c r="C77" s="18"/>
      <c r="D77" s="12"/>
      <c r="E77" s="11"/>
      <c r="F77" s="89"/>
      <c r="G77" s="16"/>
      <c r="H77" s="89"/>
      <c r="I77" s="16"/>
      <c r="J77" s="89"/>
      <c r="K77" s="16"/>
      <c r="L77" s="92" t="str">
        <f t="shared" si="8"/>
        <v/>
      </c>
      <c r="M77" s="29" t="str">
        <f t="shared" si="9"/>
        <v/>
      </c>
      <c r="N77" s="29" t="str">
        <f t="shared" si="10"/>
        <v/>
      </c>
      <c r="O77" s="29" t="str">
        <f t="shared" si="11"/>
        <v/>
      </c>
    </row>
    <row r="78" spans="1:15" x14ac:dyDescent="0.35">
      <c r="A78" s="21"/>
      <c r="B78" s="18"/>
      <c r="C78" s="18"/>
      <c r="D78" s="12"/>
      <c r="E78" s="11"/>
      <c r="F78" s="89"/>
      <c r="G78" s="16"/>
      <c r="H78" s="89"/>
      <c r="I78" s="16"/>
      <c r="J78" s="89"/>
      <c r="K78" s="16"/>
      <c r="L78" s="92" t="str">
        <f t="shared" si="8"/>
        <v/>
      </c>
      <c r="M78" s="29" t="str">
        <f t="shared" si="9"/>
        <v/>
      </c>
      <c r="N78" s="29" t="str">
        <f t="shared" si="10"/>
        <v/>
      </c>
      <c r="O78" s="29" t="str">
        <f t="shared" si="11"/>
        <v/>
      </c>
    </row>
    <row r="79" spans="1:15" x14ac:dyDescent="0.35">
      <c r="A79" s="21"/>
      <c r="B79" s="18"/>
      <c r="C79" s="18"/>
      <c r="D79" s="12"/>
      <c r="E79" s="11"/>
      <c r="F79" s="89"/>
      <c r="G79" s="16"/>
      <c r="H79" s="89"/>
      <c r="I79" s="16"/>
      <c r="J79" s="89"/>
      <c r="K79" s="16"/>
      <c r="L79" s="92" t="str">
        <f t="shared" si="8"/>
        <v/>
      </c>
      <c r="M79" s="29" t="str">
        <f t="shared" si="9"/>
        <v/>
      </c>
      <c r="N79" s="29" t="str">
        <f t="shared" si="10"/>
        <v/>
      </c>
      <c r="O79" s="29" t="str">
        <f t="shared" si="11"/>
        <v/>
      </c>
    </row>
    <row r="80" spans="1:15" x14ac:dyDescent="0.35">
      <c r="A80" s="21"/>
      <c r="B80" s="18"/>
      <c r="C80" s="18"/>
      <c r="D80" s="12"/>
      <c r="E80" s="11"/>
      <c r="F80" s="89"/>
      <c r="G80" s="16"/>
      <c r="H80" s="89"/>
      <c r="I80" s="16"/>
      <c r="J80" s="89"/>
      <c r="K80" s="16"/>
      <c r="L80" s="92" t="str">
        <f t="shared" si="8"/>
        <v/>
      </c>
      <c r="M80" s="29" t="str">
        <f t="shared" si="9"/>
        <v/>
      </c>
      <c r="N80" s="29" t="str">
        <f t="shared" si="10"/>
        <v/>
      </c>
      <c r="O80" s="29" t="str">
        <f t="shared" si="11"/>
        <v/>
      </c>
    </row>
    <row r="81" spans="1:15" x14ac:dyDescent="0.35">
      <c r="A81" s="21"/>
      <c r="B81" s="18"/>
      <c r="C81" s="18"/>
      <c r="D81" s="12"/>
      <c r="E81" s="11"/>
      <c r="F81" s="89"/>
      <c r="G81" s="16"/>
      <c r="H81" s="89"/>
      <c r="I81" s="16"/>
      <c r="J81" s="89"/>
      <c r="K81" s="16"/>
      <c r="L81" s="92" t="str">
        <f t="shared" si="8"/>
        <v/>
      </c>
      <c r="M81" s="29" t="str">
        <f t="shared" si="9"/>
        <v/>
      </c>
      <c r="N81" s="29" t="str">
        <f t="shared" si="10"/>
        <v/>
      </c>
      <c r="O81" s="29" t="str">
        <f t="shared" si="11"/>
        <v/>
      </c>
    </row>
    <row r="82" spans="1:15" x14ac:dyDescent="0.35">
      <c r="A82" s="21"/>
      <c r="B82" s="18"/>
      <c r="C82" s="18"/>
      <c r="D82" s="12"/>
      <c r="E82" s="11"/>
      <c r="F82" s="89"/>
      <c r="G82" s="16"/>
      <c r="H82" s="89"/>
      <c r="I82" s="16"/>
      <c r="J82" s="89"/>
      <c r="K82" s="16"/>
      <c r="L82" s="92" t="str">
        <f t="shared" si="8"/>
        <v/>
      </c>
      <c r="M82" s="29" t="str">
        <f t="shared" si="9"/>
        <v/>
      </c>
      <c r="N82" s="29" t="str">
        <f t="shared" si="10"/>
        <v/>
      </c>
      <c r="O82" s="29" t="str">
        <f t="shared" si="11"/>
        <v/>
      </c>
    </row>
    <row r="83" spans="1:15" x14ac:dyDescent="0.35">
      <c r="A83" s="21"/>
      <c r="B83" s="18"/>
      <c r="C83" s="18"/>
      <c r="D83" s="12"/>
      <c r="E83" s="11"/>
      <c r="F83" s="89"/>
      <c r="G83" s="16"/>
      <c r="H83" s="89"/>
      <c r="I83" s="16"/>
      <c r="J83" s="89"/>
      <c r="K83" s="16"/>
      <c r="L83" s="92" t="str">
        <f t="shared" si="8"/>
        <v/>
      </c>
      <c r="M83" s="29" t="str">
        <f t="shared" si="9"/>
        <v/>
      </c>
      <c r="N83" s="29" t="str">
        <f t="shared" si="10"/>
        <v/>
      </c>
      <c r="O83" s="29" t="str">
        <f t="shared" si="11"/>
        <v/>
      </c>
    </row>
    <row r="84" spans="1:15" x14ac:dyDescent="0.35">
      <c r="A84" s="21"/>
      <c r="B84" s="18"/>
      <c r="C84" s="18"/>
      <c r="D84" s="12"/>
      <c r="E84" s="11"/>
      <c r="F84" s="89"/>
      <c r="G84" s="16"/>
      <c r="H84" s="89"/>
      <c r="I84" s="16"/>
      <c r="J84" s="89"/>
      <c r="K84" s="16"/>
      <c r="L84" s="92" t="str">
        <f t="shared" si="8"/>
        <v/>
      </c>
      <c r="M84" s="29" t="str">
        <f t="shared" si="9"/>
        <v/>
      </c>
      <c r="N84" s="29" t="str">
        <f t="shared" si="10"/>
        <v/>
      </c>
      <c r="O84" s="29" t="str">
        <f t="shared" si="11"/>
        <v/>
      </c>
    </row>
    <row r="85" spans="1:15" x14ac:dyDescent="0.35">
      <c r="A85" s="21"/>
      <c r="B85" s="18"/>
      <c r="C85" s="18"/>
      <c r="D85" s="12"/>
      <c r="E85" s="11"/>
      <c r="F85" s="89"/>
      <c r="G85" s="16"/>
      <c r="H85" s="89"/>
      <c r="I85" s="16"/>
      <c r="J85" s="89"/>
      <c r="K85" s="16"/>
      <c r="L85" s="92" t="str">
        <f t="shared" si="8"/>
        <v/>
      </c>
      <c r="M85" s="29" t="str">
        <f t="shared" si="9"/>
        <v/>
      </c>
      <c r="N85" s="29" t="str">
        <f t="shared" si="10"/>
        <v/>
      </c>
      <c r="O85" s="29" t="str">
        <f t="shared" si="11"/>
        <v/>
      </c>
    </row>
    <row r="86" spans="1:15" x14ac:dyDescent="0.35">
      <c r="A86" s="21"/>
      <c r="B86" s="18"/>
      <c r="C86" s="18"/>
      <c r="D86" s="12"/>
      <c r="E86" s="11"/>
      <c r="F86" s="89"/>
      <c r="G86" s="16"/>
      <c r="H86" s="89"/>
      <c r="I86" s="16"/>
      <c r="J86" s="89"/>
      <c r="K86" s="16"/>
      <c r="L86" s="92" t="str">
        <f t="shared" si="8"/>
        <v/>
      </c>
      <c r="M86" s="29" t="str">
        <f t="shared" si="9"/>
        <v/>
      </c>
      <c r="N86" s="29" t="str">
        <f t="shared" si="10"/>
        <v/>
      </c>
      <c r="O86" s="29" t="str">
        <f t="shared" si="11"/>
        <v/>
      </c>
    </row>
    <row r="87" spans="1:15" x14ac:dyDescent="0.35">
      <c r="A87" s="21"/>
      <c r="B87" s="18"/>
      <c r="C87" s="18"/>
      <c r="D87" s="12"/>
      <c r="E87" s="11"/>
      <c r="F87" s="89"/>
      <c r="G87" s="16"/>
      <c r="H87" s="89"/>
      <c r="I87" s="16"/>
      <c r="J87" s="89"/>
      <c r="K87" s="16"/>
      <c r="L87" s="92" t="str">
        <f t="shared" si="8"/>
        <v/>
      </c>
      <c r="M87" s="29" t="str">
        <f t="shared" si="9"/>
        <v/>
      </c>
      <c r="N87" s="29" t="str">
        <f t="shared" si="10"/>
        <v/>
      </c>
      <c r="O87" s="29" t="str">
        <f t="shared" si="11"/>
        <v/>
      </c>
    </row>
    <row r="88" spans="1:15" x14ac:dyDescent="0.35">
      <c r="A88" s="21"/>
      <c r="B88" s="18"/>
      <c r="C88" s="18"/>
      <c r="D88" s="12"/>
      <c r="E88" s="11"/>
      <c r="F88" s="89"/>
      <c r="G88" s="16"/>
      <c r="H88" s="89"/>
      <c r="I88" s="16"/>
      <c r="J88" s="89"/>
      <c r="K88" s="16"/>
      <c r="L88" s="92" t="str">
        <f t="shared" si="8"/>
        <v/>
      </c>
      <c r="M88" s="29" t="str">
        <f t="shared" si="9"/>
        <v/>
      </c>
      <c r="N88" s="29" t="str">
        <f t="shared" si="10"/>
        <v/>
      </c>
      <c r="O88" s="29" t="str">
        <f t="shared" si="11"/>
        <v/>
      </c>
    </row>
    <row r="89" spans="1:15" x14ac:dyDescent="0.35">
      <c r="A89" s="21"/>
      <c r="B89" s="18"/>
      <c r="C89" s="18"/>
      <c r="D89" s="12"/>
      <c r="E89" s="11"/>
      <c r="F89" s="89"/>
      <c r="G89" s="16"/>
      <c r="H89" s="89"/>
      <c r="I89" s="16"/>
      <c r="J89" s="89"/>
      <c r="K89" s="16"/>
      <c r="L89" s="92" t="str">
        <f t="shared" si="8"/>
        <v/>
      </c>
      <c r="M89" s="29" t="str">
        <f t="shared" si="9"/>
        <v/>
      </c>
      <c r="N89" s="29" t="str">
        <f t="shared" si="10"/>
        <v/>
      </c>
      <c r="O89" s="29" t="str">
        <f t="shared" si="11"/>
        <v/>
      </c>
    </row>
    <row r="90" spans="1:15" x14ac:dyDescent="0.35">
      <c r="A90" s="21"/>
      <c r="B90" s="18"/>
      <c r="C90" s="18"/>
      <c r="D90" s="12"/>
      <c r="E90" s="11"/>
      <c r="F90" s="89"/>
      <c r="G90" s="16"/>
      <c r="H90" s="89"/>
      <c r="I90" s="16"/>
      <c r="J90" s="89"/>
      <c r="K90" s="16"/>
      <c r="L90" s="92" t="str">
        <f t="shared" si="8"/>
        <v/>
      </c>
      <c r="M90" s="29" t="str">
        <f t="shared" si="9"/>
        <v/>
      </c>
      <c r="N90" s="29" t="str">
        <f t="shared" si="10"/>
        <v/>
      </c>
      <c r="O90" s="29" t="str">
        <f t="shared" si="11"/>
        <v/>
      </c>
    </row>
    <row r="91" spans="1:15" x14ac:dyDescent="0.35">
      <c r="A91" s="21"/>
      <c r="B91" s="18"/>
      <c r="C91" s="18"/>
      <c r="D91" s="12"/>
      <c r="E91" s="11"/>
      <c r="F91" s="89"/>
      <c r="G91" s="16"/>
      <c r="H91" s="89"/>
      <c r="I91" s="16"/>
      <c r="J91" s="89"/>
      <c r="K91" s="16"/>
      <c r="L91" s="92" t="str">
        <f t="shared" si="8"/>
        <v/>
      </c>
      <c r="M91" s="29" t="str">
        <f t="shared" si="9"/>
        <v/>
      </c>
      <c r="N91" s="29" t="str">
        <f t="shared" si="10"/>
        <v/>
      </c>
      <c r="O91" s="29" t="str">
        <f t="shared" si="11"/>
        <v/>
      </c>
    </row>
    <row r="92" spans="1:15" x14ac:dyDescent="0.35">
      <c r="A92" s="21"/>
      <c r="B92" s="18"/>
      <c r="C92" s="18"/>
      <c r="D92" s="12"/>
      <c r="E92" s="11"/>
      <c r="F92" s="89"/>
      <c r="G92" s="16"/>
      <c r="H92" s="89"/>
      <c r="I92" s="16"/>
      <c r="J92" s="89"/>
      <c r="K92" s="16"/>
      <c r="L92" s="92" t="str">
        <f t="shared" si="8"/>
        <v/>
      </c>
      <c r="M92" s="29" t="str">
        <f t="shared" si="9"/>
        <v/>
      </c>
      <c r="N92" s="29" t="str">
        <f t="shared" si="10"/>
        <v/>
      </c>
      <c r="O92" s="29" t="str">
        <f t="shared" si="11"/>
        <v/>
      </c>
    </row>
    <row r="93" spans="1:15" x14ac:dyDescent="0.35">
      <c r="A93" s="21"/>
      <c r="B93" s="18"/>
      <c r="C93" s="18"/>
      <c r="D93" s="12"/>
      <c r="E93" s="11"/>
      <c r="F93" s="89"/>
      <c r="G93" s="16"/>
      <c r="H93" s="89"/>
      <c r="I93" s="16"/>
      <c r="J93" s="89"/>
      <c r="K93" s="16"/>
      <c r="L93" s="92" t="str">
        <f t="shared" si="8"/>
        <v/>
      </c>
      <c r="M93" s="29" t="str">
        <f t="shared" si="9"/>
        <v/>
      </c>
      <c r="N93" s="29" t="str">
        <f t="shared" si="10"/>
        <v/>
      </c>
      <c r="O93" s="29" t="str">
        <f t="shared" si="11"/>
        <v/>
      </c>
    </row>
    <row r="94" spans="1:15" x14ac:dyDescent="0.35">
      <c r="A94" s="21"/>
      <c r="B94" s="18"/>
      <c r="C94" s="18"/>
      <c r="D94" s="12"/>
      <c r="E94" s="11"/>
      <c r="F94" s="89"/>
      <c r="G94" s="16"/>
      <c r="H94" s="89"/>
      <c r="I94" s="16"/>
      <c r="J94" s="89"/>
      <c r="K94" s="16"/>
      <c r="L94" s="92" t="str">
        <f t="shared" si="8"/>
        <v/>
      </c>
      <c r="M94" s="29" t="str">
        <f t="shared" si="9"/>
        <v/>
      </c>
      <c r="N94" s="29" t="str">
        <f t="shared" si="10"/>
        <v/>
      </c>
      <c r="O94" s="29" t="str">
        <f t="shared" si="11"/>
        <v/>
      </c>
    </row>
    <row r="95" spans="1:15" x14ac:dyDescent="0.35">
      <c r="A95" s="21"/>
      <c r="B95" s="18"/>
      <c r="C95" s="18"/>
      <c r="D95" s="12"/>
      <c r="E95" s="11"/>
      <c r="F95" s="89"/>
      <c r="G95" s="16"/>
      <c r="H95" s="89"/>
      <c r="I95" s="16"/>
      <c r="J95" s="89"/>
      <c r="K95" s="16"/>
      <c r="L95" s="92" t="str">
        <f t="shared" si="8"/>
        <v/>
      </c>
      <c r="M95" s="29" t="str">
        <f t="shared" si="9"/>
        <v/>
      </c>
      <c r="N95" s="29" t="str">
        <f t="shared" si="10"/>
        <v/>
      </c>
      <c r="O95" s="29" t="str">
        <f t="shared" si="11"/>
        <v/>
      </c>
    </row>
    <row r="96" spans="1:15" x14ac:dyDescent="0.35">
      <c r="A96" s="21"/>
      <c r="B96" s="18"/>
      <c r="C96" s="18"/>
      <c r="D96" s="12"/>
      <c r="E96" s="11"/>
      <c r="F96" s="89"/>
      <c r="G96" s="16"/>
      <c r="H96" s="89"/>
      <c r="I96" s="16"/>
      <c r="J96" s="89"/>
      <c r="K96" s="16"/>
      <c r="L96" s="92" t="str">
        <f t="shared" si="8"/>
        <v/>
      </c>
      <c r="M96" s="29" t="str">
        <f t="shared" si="9"/>
        <v/>
      </c>
      <c r="N96" s="29" t="str">
        <f t="shared" si="10"/>
        <v/>
      </c>
      <c r="O96" s="29" t="str">
        <f t="shared" si="11"/>
        <v/>
      </c>
    </row>
    <row r="97" spans="1:15" x14ac:dyDescent="0.35">
      <c r="A97" s="21"/>
      <c r="B97" s="18"/>
      <c r="C97" s="18"/>
      <c r="D97" s="12"/>
      <c r="E97" s="11"/>
      <c r="F97" s="89"/>
      <c r="G97" s="16"/>
      <c r="H97" s="89"/>
      <c r="I97" s="16"/>
      <c r="J97" s="89"/>
      <c r="K97" s="16"/>
      <c r="L97" s="92" t="str">
        <f t="shared" si="8"/>
        <v/>
      </c>
      <c r="M97" s="29" t="str">
        <f t="shared" si="9"/>
        <v/>
      </c>
      <c r="N97" s="29" t="str">
        <f t="shared" si="10"/>
        <v/>
      </c>
      <c r="O97" s="29" t="str">
        <f t="shared" si="11"/>
        <v/>
      </c>
    </row>
    <row r="98" spans="1:15" x14ac:dyDescent="0.35">
      <c r="A98" s="21"/>
      <c r="B98" s="18"/>
      <c r="C98" s="18"/>
      <c r="D98" s="12"/>
      <c r="E98" s="11"/>
      <c r="F98" s="89"/>
      <c r="G98" s="16"/>
      <c r="H98" s="89"/>
      <c r="I98" s="16"/>
      <c r="J98" s="89"/>
      <c r="K98" s="16"/>
      <c r="L98" s="92" t="str">
        <f t="shared" si="8"/>
        <v/>
      </c>
      <c r="M98" s="29" t="str">
        <f t="shared" si="9"/>
        <v/>
      </c>
      <c r="N98" s="29" t="str">
        <f t="shared" si="10"/>
        <v/>
      </c>
      <c r="O98" s="29" t="str">
        <f t="shared" si="11"/>
        <v/>
      </c>
    </row>
    <row r="99" spans="1:15" x14ac:dyDescent="0.35">
      <c r="A99" s="21"/>
      <c r="B99" s="18"/>
      <c r="C99" s="18"/>
      <c r="D99" s="12"/>
      <c r="E99" s="11"/>
      <c r="F99" s="89"/>
      <c r="G99" s="16"/>
      <c r="H99" s="89"/>
      <c r="I99" s="16"/>
      <c r="J99" s="89"/>
      <c r="K99" s="16"/>
      <c r="L99" s="92" t="str">
        <f t="shared" si="8"/>
        <v/>
      </c>
      <c r="M99" s="29" t="str">
        <f t="shared" si="9"/>
        <v/>
      </c>
      <c r="N99" s="29" t="str">
        <f t="shared" si="10"/>
        <v/>
      </c>
      <c r="O99" s="29" t="str">
        <f t="shared" si="11"/>
        <v/>
      </c>
    </row>
    <row r="100" spans="1:15" x14ac:dyDescent="0.35">
      <c r="A100" s="21"/>
      <c r="B100" s="18"/>
      <c r="C100" s="18"/>
      <c r="D100" s="12"/>
      <c r="E100" s="11"/>
      <c r="F100" s="89"/>
      <c r="G100" s="16"/>
      <c r="H100" s="89"/>
      <c r="I100" s="16"/>
      <c r="J100" s="89"/>
      <c r="K100" s="16"/>
      <c r="L100" s="92" t="str">
        <f t="shared" si="8"/>
        <v/>
      </c>
      <c r="M100" s="29" t="str">
        <f t="shared" si="9"/>
        <v/>
      </c>
      <c r="N100" s="29" t="str">
        <f t="shared" si="10"/>
        <v/>
      </c>
      <c r="O100" s="29" t="str">
        <f t="shared" si="11"/>
        <v/>
      </c>
    </row>
    <row r="101" spans="1:15" x14ac:dyDescent="0.35">
      <c r="A101" s="21"/>
      <c r="B101" s="18"/>
      <c r="C101" s="18"/>
      <c r="D101" s="12"/>
      <c r="E101" s="11"/>
      <c r="F101" s="89"/>
      <c r="G101" s="16"/>
      <c r="H101" s="89"/>
      <c r="I101" s="16"/>
      <c r="J101" s="89"/>
      <c r="K101" s="16"/>
      <c r="L101" s="92" t="str">
        <f t="shared" si="8"/>
        <v/>
      </c>
      <c r="M101" s="29" t="str">
        <f t="shared" si="9"/>
        <v/>
      </c>
      <c r="N101" s="29" t="str">
        <f t="shared" si="10"/>
        <v/>
      </c>
      <c r="O101" s="29" t="str">
        <f t="shared" si="11"/>
        <v/>
      </c>
    </row>
    <row r="102" spans="1:15" x14ac:dyDescent="0.35">
      <c r="A102" s="21"/>
      <c r="B102" s="18"/>
      <c r="C102" s="18"/>
      <c r="D102" s="12"/>
      <c r="E102" s="11"/>
      <c r="F102" s="89"/>
      <c r="G102" s="16"/>
      <c r="H102" s="89"/>
      <c r="I102" s="16"/>
      <c r="J102" s="89"/>
      <c r="K102" s="16"/>
      <c r="L102" s="92" t="str">
        <f t="shared" si="8"/>
        <v/>
      </c>
      <c r="M102" s="29" t="str">
        <f t="shared" si="9"/>
        <v/>
      </c>
      <c r="N102" s="29" t="str">
        <f t="shared" si="10"/>
        <v/>
      </c>
      <c r="O102" s="29" t="str">
        <f t="shared" si="11"/>
        <v/>
      </c>
    </row>
    <row r="103" spans="1:15" x14ac:dyDescent="0.35">
      <c r="A103" s="21"/>
      <c r="B103" s="18"/>
      <c r="C103" s="18"/>
      <c r="D103" s="12"/>
      <c r="E103" s="11"/>
      <c r="F103" s="89"/>
      <c r="G103" s="16"/>
      <c r="H103" s="89"/>
      <c r="I103" s="16"/>
      <c r="J103" s="89"/>
      <c r="K103" s="16"/>
      <c r="L103" s="92" t="str">
        <f t="shared" si="8"/>
        <v/>
      </c>
      <c r="M103" s="29" t="str">
        <f t="shared" si="9"/>
        <v/>
      </c>
      <c r="N103" s="29" t="str">
        <f t="shared" si="10"/>
        <v/>
      </c>
      <c r="O103" s="29" t="str">
        <f t="shared" si="11"/>
        <v/>
      </c>
    </row>
    <row r="104" spans="1:15" x14ac:dyDescent="0.35">
      <c r="A104" s="21"/>
      <c r="B104" s="18"/>
      <c r="C104" s="18"/>
      <c r="D104" s="12"/>
      <c r="E104" s="11"/>
      <c r="F104" s="89"/>
      <c r="G104" s="16"/>
      <c r="H104" s="89"/>
      <c r="I104" s="16"/>
      <c r="J104" s="89"/>
      <c r="K104" s="16"/>
      <c r="L104" s="92" t="str">
        <f t="shared" si="8"/>
        <v/>
      </c>
      <c r="M104" s="29" t="str">
        <f t="shared" si="9"/>
        <v/>
      </c>
      <c r="N104" s="29" t="str">
        <f t="shared" si="10"/>
        <v/>
      </c>
      <c r="O104" s="29" t="str">
        <f t="shared" si="11"/>
        <v/>
      </c>
    </row>
    <row r="105" spans="1:15" x14ac:dyDescent="0.35">
      <c r="A105" s="21"/>
      <c r="B105" s="18"/>
      <c r="C105" s="18"/>
      <c r="D105" s="12"/>
      <c r="E105" s="11"/>
      <c r="F105" s="89"/>
      <c r="G105" s="16"/>
      <c r="H105" s="89"/>
      <c r="I105" s="16"/>
      <c r="J105" s="89"/>
      <c r="K105" s="16"/>
      <c r="L105" s="92" t="str">
        <f t="shared" si="8"/>
        <v/>
      </c>
      <c r="M105" s="29" t="str">
        <f t="shared" si="9"/>
        <v/>
      </c>
      <c r="N105" s="29" t="str">
        <f t="shared" si="10"/>
        <v/>
      </c>
      <c r="O105" s="29" t="str">
        <f t="shared" si="11"/>
        <v/>
      </c>
    </row>
    <row r="106" spans="1:15" x14ac:dyDescent="0.35">
      <c r="A106" s="21"/>
      <c r="B106" s="18"/>
      <c r="C106" s="18"/>
      <c r="D106" s="12"/>
      <c r="E106" s="11"/>
      <c r="F106" s="89"/>
      <c r="G106" s="16"/>
      <c r="H106" s="89"/>
      <c r="I106" s="16"/>
      <c r="J106" s="89"/>
      <c r="K106" s="16"/>
      <c r="L106" s="92" t="str">
        <f t="shared" si="8"/>
        <v/>
      </c>
      <c r="M106" s="29" t="str">
        <f t="shared" si="9"/>
        <v/>
      </c>
      <c r="N106" s="29" t="str">
        <f t="shared" si="10"/>
        <v/>
      </c>
      <c r="O106" s="29" t="str">
        <f t="shared" si="11"/>
        <v/>
      </c>
    </row>
    <row r="107" spans="1:15" x14ac:dyDescent="0.35">
      <c r="A107" s="21"/>
      <c r="B107" s="18"/>
      <c r="C107" s="18"/>
      <c r="D107" s="12"/>
      <c r="E107" s="11"/>
      <c r="F107" s="89"/>
      <c r="G107" s="16"/>
      <c r="H107" s="89"/>
      <c r="I107" s="16"/>
      <c r="J107" s="89"/>
      <c r="K107" s="16"/>
      <c r="L107" s="92" t="str">
        <f t="shared" si="8"/>
        <v/>
      </c>
      <c r="M107" s="29" t="str">
        <f t="shared" si="9"/>
        <v/>
      </c>
      <c r="N107" s="29" t="str">
        <f t="shared" si="10"/>
        <v/>
      </c>
      <c r="O107" s="29" t="str">
        <f t="shared" si="11"/>
        <v/>
      </c>
    </row>
    <row r="108" spans="1:15" x14ac:dyDescent="0.35">
      <c r="A108" s="21"/>
      <c r="B108" s="18"/>
      <c r="C108" s="18"/>
      <c r="D108" s="12"/>
      <c r="E108" s="11"/>
      <c r="F108" s="89"/>
      <c r="G108" s="16"/>
      <c r="H108" s="89"/>
      <c r="I108" s="16"/>
      <c r="J108" s="89"/>
      <c r="K108" s="16"/>
      <c r="L108" s="92" t="str">
        <f t="shared" si="8"/>
        <v/>
      </c>
      <c r="M108" s="29" t="str">
        <f t="shared" si="9"/>
        <v/>
      </c>
      <c r="N108" s="29" t="str">
        <f t="shared" si="10"/>
        <v/>
      </c>
      <c r="O108" s="29" t="str">
        <f t="shared" si="11"/>
        <v/>
      </c>
    </row>
    <row r="109" spans="1:15" x14ac:dyDescent="0.35">
      <c r="A109" s="21"/>
      <c r="B109" s="18"/>
      <c r="C109" s="18"/>
      <c r="D109" s="12"/>
      <c r="E109" s="11"/>
      <c r="F109" s="89"/>
      <c r="G109" s="16"/>
      <c r="H109" s="89"/>
      <c r="I109" s="16"/>
      <c r="J109" s="89"/>
      <c r="K109" s="16"/>
      <c r="L109" s="92" t="str">
        <f t="shared" si="8"/>
        <v/>
      </c>
      <c r="M109" s="29" t="str">
        <f t="shared" si="9"/>
        <v/>
      </c>
      <c r="N109" s="29" t="str">
        <f t="shared" si="10"/>
        <v/>
      </c>
      <c r="O109" s="29" t="str">
        <f t="shared" si="11"/>
        <v/>
      </c>
    </row>
    <row r="110" spans="1:15" x14ac:dyDescent="0.35">
      <c r="A110" s="21"/>
      <c r="B110" s="18"/>
      <c r="C110" s="18"/>
      <c r="D110" s="12"/>
      <c r="E110" s="11"/>
      <c r="F110" s="89"/>
      <c r="G110" s="16"/>
      <c r="H110" s="89"/>
      <c r="I110" s="16"/>
      <c r="J110" s="89"/>
      <c r="K110" s="16"/>
      <c r="L110" s="92" t="str">
        <f t="shared" si="8"/>
        <v/>
      </c>
      <c r="M110" s="29" t="str">
        <f t="shared" si="9"/>
        <v/>
      </c>
      <c r="N110" s="29" t="str">
        <f t="shared" si="10"/>
        <v/>
      </c>
      <c r="O110" s="29" t="str">
        <f t="shared" si="11"/>
        <v/>
      </c>
    </row>
    <row r="111" spans="1:15" x14ac:dyDescent="0.35">
      <c r="A111" s="21"/>
      <c r="B111" s="18"/>
      <c r="C111" s="18"/>
      <c r="D111" s="12"/>
      <c r="E111" s="11"/>
      <c r="F111" s="89"/>
      <c r="G111" s="16"/>
      <c r="H111" s="89"/>
      <c r="I111" s="16"/>
      <c r="J111" s="89"/>
      <c r="K111" s="16"/>
      <c r="L111" s="92" t="str">
        <f t="shared" si="8"/>
        <v/>
      </c>
      <c r="M111" s="29" t="str">
        <f t="shared" si="9"/>
        <v/>
      </c>
      <c r="N111" s="29" t="str">
        <f t="shared" si="10"/>
        <v/>
      </c>
      <c r="O111" s="29" t="str">
        <f t="shared" si="11"/>
        <v/>
      </c>
    </row>
    <row r="112" spans="1:15" x14ac:dyDescent="0.35">
      <c r="A112" s="21"/>
      <c r="B112" s="18"/>
      <c r="C112" s="18"/>
      <c r="D112" s="12"/>
      <c r="E112" s="11"/>
      <c r="F112" s="89"/>
      <c r="G112" s="16"/>
      <c r="H112" s="89"/>
      <c r="I112" s="16"/>
      <c r="J112" s="89"/>
      <c r="K112" s="16"/>
      <c r="L112" s="92" t="str">
        <f t="shared" si="8"/>
        <v/>
      </c>
      <c r="M112" s="29" t="str">
        <f t="shared" si="9"/>
        <v/>
      </c>
      <c r="N112" s="29" t="str">
        <f t="shared" si="10"/>
        <v/>
      </c>
      <c r="O112" s="29" t="str">
        <f t="shared" si="11"/>
        <v/>
      </c>
    </row>
    <row r="113" spans="1:15" x14ac:dyDescent="0.35">
      <c r="A113" s="21"/>
      <c r="B113" s="18"/>
      <c r="C113" s="18"/>
      <c r="D113" s="12"/>
      <c r="E113" s="11"/>
      <c r="F113" s="89"/>
      <c r="G113" s="16"/>
      <c r="H113" s="89"/>
      <c r="I113" s="16"/>
      <c r="J113" s="89"/>
      <c r="K113" s="16"/>
      <c r="L113" s="92" t="str">
        <f t="shared" si="8"/>
        <v/>
      </c>
      <c r="M113" s="29" t="str">
        <f t="shared" si="9"/>
        <v/>
      </c>
      <c r="N113" s="29" t="str">
        <f t="shared" si="10"/>
        <v/>
      </c>
      <c r="O113" s="29" t="str">
        <f t="shared" si="11"/>
        <v/>
      </c>
    </row>
    <row r="114" spans="1:15" x14ac:dyDescent="0.35">
      <c r="A114" s="21"/>
      <c r="B114" s="18"/>
      <c r="C114" s="18"/>
      <c r="D114" s="12"/>
      <c r="E114" s="11"/>
      <c r="F114" s="89"/>
      <c r="G114" s="16"/>
      <c r="H114" s="89"/>
      <c r="I114" s="16"/>
      <c r="J114" s="89"/>
      <c r="K114" s="16"/>
      <c r="L114" s="92" t="str">
        <f t="shared" si="8"/>
        <v/>
      </c>
      <c r="M114" s="29" t="str">
        <f t="shared" si="9"/>
        <v/>
      </c>
      <c r="N114" s="29" t="str">
        <f t="shared" si="10"/>
        <v/>
      </c>
      <c r="O114" s="29" t="str">
        <f t="shared" si="11"/>
        <v/>
      </c>
    </row>
    <row r="115" spans="1:15" x14ac:dyDescent="0.35">
      <c r="A115" s="21"/>
      <c r="B115" s="18"/>
      <c r="C115" s="18"/>
      <c r="D115" s="12"/>
      <c r="E115" s="11"/>
      <c r="F115" s="89"/>
      <c r="G115" s="16"/>
      <c r="H115" s="89"/>
      <c r="I115" s="16"/>
      <c r="J115" s="89"/>
      <c r="K115" s="16"/>
      <c r="L115" s="92" t="str">
        <f t="shared" si="8"/>
        <v/>
      </c>
      <c r="M115" s="29" t="str">
        <f t="shared" si="9"/>
        <v/>
      </c>
      <c r="N115" s="29" t="str">
        <f t="shared" si="10"/>
        <v/>
      </c>
      <c r="O115" s="29" t="str">
        <f t="shared" si="11"/>
        <v/>
      </c>
    </row>
    <row r="116" spans="1:15" x14ac:dyDescent="0.35">
      <c r="A116" s="21"/>
      <c r="B116" s="18"/>
      <c r="C116" s="18"/>
      <c r="D116" s="12"/>
      <c r="E116" s="11"/>
      <c r="F116" s="89"/>
      <c r="G116" s="16"/>
      <c r="H116" s="89"/>
      <c r="I116" s="16"/>
      <c r="J116" s="89"/>
      <c r="K116" s="16"/>
      <c r="L116" s="92" t="str">
        <f t="shared" si="8"/>
        <v/>
      </c>
      <c r="M116" s="29" t="str">
        <f t="shared" si="9"/>
        <v/>
      </c>
      <c r="N116" s="29" t="str">
        <f t="shared" si="10"/>
        <v/>
      </c>
      <c r="O116" s="29" t="str">
        <f t="shared" si="11"/>
        <v/>
      </c>
    </row>
    <row r="117" spans="1:15" x14ac:dyDescent="0.35">
      <c r="A117" s="21"/>
      <c r="B117" s="18"/>
      <c r="C117" s="18"/>
      <c r="D117" s="12"/>
      <c r="E117" s="11"/>
      <c r="F117" s="89"/>
      <c r="G117" s="16"/>
      <c r="H117" s="89"/>
      <c r="I117" s="16"/>
      <c r="J117" s="89"/>
      <c r="K117" s="16"/>
      <c r="L117" s="92" t="str">
        <f t="shared" si="8"/>
        <v/>
      </c>
      <c r="M117" s="29" t="str">
        <f t="shared" si="9"/>
        <v/>
      </c>
      <c r="N117" s="29" t="str">
        <f t="shared" si="10"/>
        <v/>
      </c>
      <c r="O117" s="29" t="str">
        <f t="shared" si="11"/>
        <v/>
      </c>
    </row>
    <row r="118" spans="1:15" x14ac:dyDescent="0.35">
      <c r="A118" s="21"/>
      <c r="B118" s="18"/>
      <c r="C118" s="18"/>
      <c r="D118" s="12"/>
      <c r="E118" s="11"/>
      <c r="F118" s="89"/>
      <c r="G118" s="16"/>
      <c r="H118" s="89"/>
      <c r="I118" s="16"/>
      <c r="J118" s="89"/>
      <c r="K118" s="16"/>
      <c r="L118" s="92" t="str">
        <f t="shared" si="8"/>
        <v/>
      </c>
      <c r="M118" s="29" t="str">
        <f t="shared" si="9"/>
        <v/>
      </c>
      <c r="N118" s="29" t="str">
        <f t="shared" si="10"/>
        <v/>
      </c>
      <c r="O118" s="29" t="str">
        <f t="shared" si="11"/>
        <v/>
      </c>
    </row>
    <row r="119" spans="1:15" x14ac:dyDescent="0.35">
      <c r="A119" s="21"/>
      <c r="B119" s="18"/>
      <c r="C119" s="18"/>
      <c r="D119" s="12"/>
      <c r="E119" s="11"/>
      <c r="F119" s="89"/>
      <c r="G119" s="16"/>
      <c r="H119" s="89"/>
      <c r="I119" s="16"/>
      <c r="J119" s="89"/>
      <c r="K119" s="16"/>
      <c r="L119" s="92" t="str">
        <f t="shared" si="8"/>
        <v/>
      </c>
      <c r="M119" s="29" t="str">
        <f t="shared" si="9"/>
        <v/>
      </c>
      <c r="N119" s="29" t="str">
        <f t="shared" si="10"/>
        <v/>
      </c>
      <c r="O119" s="29" t="str">
        <f t="shared" si="11"/>
        <v/>
      </c>
    </row>
    <row r="120" spans="1:15" x14ac:dyDescent="0.35">
      <c r="A120" s="21"/>
      <c r="B120" s="18"/>
      <c r="C120" s="18"/>
      <c r="D120" s="12"/>
      <c r="E120" s="11"/>
      <c r="F120" s="89"/>
      <c r="G120" s="16"/>
      <c r="H120" s="89"/>
      <c r="I120" s="16"/>
      <c r="J120" s="89"/>
      <c r="K120" s="16"/>
      <c r="L120" s="92" t="str">
        <f t="shared" si="8"/>
        <v/>
      </c>
      <c r="M120" s="29" t="str">
        <f t="shared" si="9"/>
        <v/>
      </c>
      <c r="N120" s="29" t="str">
        <f t="shared" si="10"/>
        <v/>
      </c>
      <c r="O120" s="29" t="str">
        <f t="shared" si="11"/>
        <v/>
      </c>
    </row>
    <row r="121" spans="1:15" x14ac:dyDescent="0.35">
      <c r="A121" s="21"/>
      <c r="B121" s="18"/>
      <c r="C121" s="18"/>
      <c r="D121" s="12"/>
      <c r="E121" s="11"/>
      <c r="F121" s="89"/>
      <c r="G121" s="16"/>
      <c r="H121" s="89"/>
      <c r="I121" s="16"/>
      <c r="J121" s="89"/>
      <c r="K121" s="16"/>
      <c r="L121" s="92" t="str">
        <f t="shared" si="8"/>
        <v/>
      </c>
      <c r="M121" s="29" t="str">
        <f t="shared" si="9"/>
        <v/>
      </c>
      <c r="N121" s="29" t="str">
        <f t="shared" si="10"/>
        <v/>
      </c>
      <c r="O121" s="29" t="str">
        <f t="shared" si="11"/>
        <v/>
      </c>
    </row>
    <row r="122" spans="1:15" x14ac:dyDescent="0.35">
      <c r="A122" s="21"/>
      <c r="B122" s="18"/>
      <c r="C122" s="18"/>
      <c r="D122" s="12"/>
      <c r="E122" s="11"/>
      <c r="F122" s="89"/>
      <c r="G122" s="16"/>
      <c r="H122" s="89"/>
      <c r="I122" s="16"/>
      <c r="J122" s="89"/>
      <c r="K122" s="16"/>
      <c r="L122" s="92" t="str">
        <f t="shared" si="8"/>
        <v/>
      </c>
      <c r="M122" s="29" t="str">
        <f t="shared" si="9"/>
        <v/>
      </c>
      <c r="N122" s="29" t="str">
        <f t="shared" si="10"/>
        <v/>
      </c>
      <c r="O122" s="29" t="str">
        <f t="shared" si="11"/>
        <v/>
      </c>
    </row>
    <row r="123" spans="1:15" x14ac:dyDescent="0.35">
      <c r="A123" s="21"/>
      <c r="B123" s="18"/>
      <c r="C123" s="18"/>
      <c r="D123" s="12"/>
      <c r="E123" s="11"/>
      <c r="F123" s="89"/>
      <c r="G123" s="16"/>
      <c r="H123" s="89"/>
      <c r="I123" s="16"/>
      <c r="J123" s="89"/>
      <c r="K123" s="16"/>
      <c r="L123" s="92" t="str">
        <f t="shared" si="8"/>
        <v/>
      </c>
      <c r="M123" s="29" t="str">
        <f t="shared" si="9"/>
        <v/>
      </c>
      <c r="N123" s="29" t="str">
        <f t="shared" si="10"/>
        <v/>
      </c>
      <c r="O123" s="29" t="str">
        <f t="shared" si="11"/>
        <v/>
      </c>
    </row>
    <row r="124" spans="1:15" x14ac:dyDescent="0.35">
      <c r="A124" s="21"/>
      <c r="B124" s="18"/>
      <c r="C124" s="18"/>
      <c r="D124" s="12"/>
      <c r="E124" s="11"/>
      <c r="F124" s="89"/>
      <c r="G124" s="16"/>
      <c r="H124" s="89"/>
      <c r="I124" s="16"/>
      <c r="J124" s="89"/>
      <c r="K124" s="16"/>
      <c r="L124" s="92" t="str">
        <f t="shared" si="8"/>
        <v/>
      </c>
      <c r="M124" s="29" t="str">
        <f t="shared" si="9"/>
        <v/>
      </c>
      <c r="N124" s="29" t="str">
        <f t="shared" si="10"/>
        <v/>
      </c>
      <c r="O124" s="29" t="str">
        <f t="shared" si="11"/>
        <v/>
      </c>
    </row>
    <row r="125" spans="1:15" x14ac:dyDescent="0.35">
      <c r="A125" s="21"/>
      <c r="B125" s="18"/>
      <c r="C125" s="18"/>
      <c r="D125" s="12"/>
      <c r="E125" s="11"/>
      <c r="F125" s="89"/>
      <c r="G125" s="16"/>
      <c r="H125" s="89"/>
      <c r="I125" s="16"/>
      <c r="J125" s="89"/>
      <c r="K125" s="16"/>
      <c r="L125" s="92" t="str">
        <f t="shared" si="8"/>
        <v/>
      </c>
      <c r="M125" s="29" t="str">
        <f t="shared" si="9"/>
        <v/>
      </c>
      <c r="N125" s="29" t="str">
        <f t="shared" si="10"/>
        <v/>
      </c>
      <c r="O125" s="29" t="str">
        <f t="shared" si="11"/>
        <v/>
      </c>
    </row>
    <row r="126" spans="1:15" x14ac:dyDescent="0.35">
      <c r="A126" s="21"/>
      <c r="B126" s="18"/>
      <c r="C126" s="18"/>
      <c r="D126" s="12"/>
      <c r="E126" s="11"/>
      <c r="F126" s="89"/>
      <c r="G126" s="16"/>
      <c r="H126" s="89"/>
      <c r="I126" s="16"/>
      <c r="J126" s="89"/>
      <c r="K126" s="16"/>
      <c r="L126" s="92" t="str">
        <f t="shared" si="8"/>
        <v/>
      </c>
      <c r="M126" s="29" t="str">
        <f t="shared" si="9"/>
        <v/>
      </c>
      <c r="N126" s="29" t="str">
        <f t="shared" si="10"/>
        <v/>
      </c>
      <c r="O126" s="29" t="str">
        <f t="shared" si="11"/>
        <v/>
      </c>
    </row>
    <row r="127" spans="1:15" x14ac:dyDescent="0.35">
      <c r="A127" s="21"/>
      <c r="B127" s="18"/>
      <c r="C127" s="18"/>
      <c r="D127" s="12"/>
      <c r="E127" s="11"/>
      <c r="F127" s="89"/>
      <c r="G127" s="16"/>
      <c r="H127" s="89"/>
      <c r="I127" s="16"/>
      <c r="J127" s="89"/>
      <c r="K127" s="16"/>
      <c r="L127" s="92" t="str">
        <f t="shared" si="8"/>
        <v/>
      </c>
      <c r="M127" s="29" t="str">
        <f t="shared" si="9"/>
        <v/>
      </c>
      <c r="N127" s="29" t="str">
        <f t="shared" si="10"/>
        <v/>
      </c>
      <c r="O127" s="29" t="str">
        <f t="shared" si="11"/>
        <v/>
      </c>
    </row>
    <row r="128" spans="1:15" x14ac:dyDescent="0.35">
      <c r="A128" s="21"/>
      <c r="B128" s="18"/>
      <c r="C128" s="18"/>
      <c r="D128" s="12"/>
      <c r="E128" s="11"/>
      <c r="F128" s="89"/>
      <c r="G128" s="16"/>
      <c r="H128" s="89"/>
      <c r="I128" s="16"/>
      <c r="J128" s="89"/>
      <c r="K128" s="16"/>
      <c r="L128" s="92" t="str">
        <f t="shared" si="8"/>
        <v/>
      </c>
      <c r="M128" s="29" t="str">
        <f t="shared" si="9"/>
        <v/>
      </c>
      <c r="N128" s="29" t="str">
        <f t="shared" si="10"/>
        <v/>
      </c>
      <c r="O128" s="29" t="str">
        <f t="shared" si="11"/>
        <v/>
      </c>
    </row>
    <row r="129" spans="1:15" x14ac:dyDescent="0.35">
      <c r="A129" s="21"/>
      <c r="B129" s="18"/>
      <c r="C129" s="18"/>
      <c r="D129" s="12"/>
      <c r="E129" s="11"/>
      <c r="F129" s="89"/>
      <c r="G129" s="16"/>
      <c r="H129" s="89"/>
      <c r="I129" s="16"/>
      <c r="J129" s="89"/>
      <c r="K129" s="16"/>
      <c r="L129" s="92" t="str">
        <f t="shared" si="8"/>
        <v/>
      </c>
      <c r="M129" s="29" t="str">
        <f t="shared" si="9"/>
        <v/>
      </c>
      <c r="N129" s="29" t="str">
        <f t="shared" si="10"/>
        <v/>
      </c>
      <c r="O129" s="29" t="str">
        <f t="shared" si="11"/>
        <v/>
      </c>
    </row>
    <row r="130" spans="1:15" x14ac:dyDescent="0.35">
      <c r="A130" s="21"/>
      <c r="B130" s="18"/>
      <c r="C130" s="18"/>
      <c r="D130" s="12"/>
      <c r="E130" s="11"/>
      <c r="F130" s="89"/>
      <c r="G130" s="16"/>
      <c r="H130" s="89"/>
      <c r="I130" s="16"/>
      <c r="J130" s="89"/>
      <c r="K130" s="16"/>
      <c r="L130" s="92" t="str">
        <f t="shared" si="8"/>
        <v/>
      </c>
      <c r="M130" s="29" t="str">
        <f t="shared" si="9"/>
        <v/>
      </c>
      <c r="N130" s="29" t="str">
        <f t="shared" si="10"/>
        <v/>
      </c>
      <c r="O130" s="29" t="str">
        <f t="shared" si="11"/>
        <v/>
      </c>
    </row>
    <row r="131" spans="1:15" x14ac:dyDescent="0.35">
      <c r="A131" s="21"/>
      <c r="B131" s="18"/>
      <c r="C131" s="18"/>
      <c r="D131" s="12"/>
      <c r="E131" s="11"/>
      <c r="F131" s="89"/>
      <c r="G131" s="16"/>
      <c r="H131" s="89"/>
      <c r="I131" s="16"/>
      <c r="J131" s="89"/>
      <c r="K131" s="16"/>
      <c r="L131" s="92" t="str">
        <f t="shared" si="8"/>
        <v/>
      </c>
      <c r="M131" s="29" t="str">
        <f t="shared" si="9"/>
        <v/>
      </c>
      <c r="N131" s="29" t="str">
        <f t="shared" si="10"/>
        <v/>
      </c>
      <c r="O131" s="29" t="str">
        <f t="shared" si="11"/>
        <v/>
      </c>
    </row>
    <row r="132" spans="1:15" x14ac:dyDescent="0.35">
      <c r="A132" s="21"/>
      <c r="B132" s="18"/>
      <c r="C132" s="18"/>
      <c r="D132" s="12"/>
      <c r="E132" s="11"/>
      <c r="F132" s="89"/>
      <c r="G132" s="16"/>
      <c r="H132" s="89"/>
      <c r="I132" s="16"/>
      <c r="J132" s="89"/>
      <c r="K132" s="16"/>
      <c r="L132" s="92" t="str">
        <f t="shared" si="8"/>
        <v/>
      </c>
      <c r="M132" s="29" t="str">
        <f t="shared" si="9"/>
        <v/>
      </c>
      <c r="N132" s="29" t="str">
        <f t="shared" si="10"/>
        <v/>
      </c>
      <c r="O132" s="29" t="str">
        <f t="shared" si="11"/>
        <v/>
      </c>
    </row>
    <row r="133" spans="1:15" x14ac:dyDescent="0.35">
      <c r="A133" s="21"/>
      <c r="B133" s="18"/>
      <c r="C133" s="18"/>
      <c r="D133" s="12"/>
      <c r="E133" s="11"/>
      <c r="F133" s="89"/>
      <c r="G133" s="16"/>
      <c r="H133" s="89"/>
      <c r="I133" s="16"/>
      <c r="J133" s="89"/>
      <c r="K133" s="16"/>
      <c r="L133" s="92" t="str">
        <f t="shared" si="8"/>
        <v/>
      </c>
      <c r="M133" s="29" t="str">
        <f t="shared" si="9"/>
        <v/>
      </c>
      <c r="N133" s="29" t="str">
        <f t="shared" si="10"/>
        <v/>
      </c>
      <c r="O133" s="29" t="str">
        <f t="shared" si="11"/>
        <v/>
      </c>
    </row>
    <row r="134" spans="1:15" x14ac:dyDescent="0.35">
      <c r="A134" s="21"/>
      <c r="B134" s="18"/>
      <c r="C134" s="18"/>
      <c r="D134" s="12"/>
      <c r="E134" s="11"/>
      <c r="F134" s="89"/>
      <c r="G134" s="16"/>
      <c r="H134" s="89"/>
      <c r="I134" s="16"/>
      <c r="J134" s="89"/>
      <c r="K134" s="16"/>
      <c r="L134" s="92" t="str">
        <f t="shared" si="8"/>
        <v/>
      </c>
      <c r="M134" s="29" t="str">
        <f t="shared" si="9"/>
        <v/>
      </c>
      <c r="N134" s="29" t="str">
        <f t="shared" si="10"/>
        <v/>
      </c>
      <c r="O134" s="29" t="str">
        <f t="shared" si="11"/>
        <v/>
      </c>
    </row>
    <row r="135" spans="1:15" x14ac:dyDescent="0.35">
      <c r="A135" s="21"/>
      <c r="B135" s="18"/>
      <c r="C135" s="18"/>
      <c r="D135" s="12"/>
      <c r="E135" s="11"/>
      <c r="F135" s="89"/>
      <c r="G135" s="16"/>
      <c r="H135" s="89"/>
      <c r="I135" s="16"/>
      <c r="J135" s="89"/>
      <c r="K135" s="16"/>
      <c r="L135" s="92" t="str">
        <f t="shared" si="8"/>
        <v/>
      </c>
      <c r="M135" s="29" t="str">
        <f t="shared" si="9"/>
        <v/>
      </c>
      <c r="N135" s="29" t="str">
        <f t="shared" si="10"/>
        <v/>
      </c>
      <c r="O135" s="29" t="str">
        <f t="shared" si="11"/>
        <v/>
      </c>
    </row>
    <row r="136" spans="1:15" x14ac:dyDescent="0.35">
      <c r="A136" s="21"/>
      <c r="B136" s="18"/>
      <c r="C136" s="18"/>
      <c r="D136" s="12"/>
      <c r="E136" s="11"/>
      <c r="F136" s="89"/>
      <c r="G136" s="16"/>
      <c r="H136" s="89"/>
      <c r="I136" s="16"/>
      <c r="J136" s="89"/>
      <c r="K136" s="16"/>
      <c r="L136" s="92" t="str">
        <f t="shared" si="8"/>
        <v/>
      </c>
      <c r="M136" s="29" t="str">
        <f t="shared" si="9"/>
        <v/>
      </c>
      <c r="N136" s="29" t="str">
        <f t="shared" si="10"/>
        <v/>
      </c>
      <c r="O136" s="29" t="str">
        <f t="shared" si="11"/>
        <v/>
      </c>
    </row>
    <row r="137" spans="1:15" x14ac:dyDescent="0.35">
      <c r="A137" s="21"/>
      <c r="B137" s="18"/>
      <c r="C137" s="18"/>
      <c r="D137" s="12"/>
      <c r="E137" s="11"/>
      <c r="F137" s="89"/>
      <c r="G137" s="16"/>
      <c r="H137" s="89"/>
      <c r="I137" s="16"/>
      <c r="J137" s="89"/>
      <c r="K137" s="16"/>
      <c r="L137" s="92" t="str">
        <f t="shared" si="8"/>
        <v/>
      </c>
      <c r="M137" s="29" t="str">
        <f t="shared" si="9"/>
        <v/>
      </c>
      <c r="N137" s="29" t="str">
        <f t="shared" si="10"/>
        <v/>
      </c>
      <c r="O137" s="29" t="str">
        <f t="shared" si="11"/>
        <v/>
      </c>
    </row>
    <row r="138" spans="1:15" x14ac:dyDescent="0.35">
      <c r="A138" s="21"/>
      <c r="B138" s="18"/>
      <c r="C138" s="18"/>
      <c r="D138" s="12"/>
      <c r="E138" s="11"/>
      <c r="F138" s="89"/>
      <c r="G138" s="16"/>
      <c r="H138" s="89"/>
      <c r="I138" s="16"/>
      <c r="J138" s="89"/>
      <c r="K138" s="16"/>
      <c r="L138" s="92" t="str">
        <f t="shared" si="8"/>
        <v/>
      </c>
      <c r="M138" s="29" t="str">
        <f t="shared" si="9"/>
        <v/>
      </c>
      <c r="N138" s="29" t="str">
        <f t="shared" si="10"/>
        <v/>
      </c>
      <c r="O138" s="29" t="str">
        <f t="shared" si="11"/>
        <v/>
      </c>
    </row>
    <row r="139" spans="1:15" x14ac:dyDescent="0.35">
      <c r="A139" s="21"/>
      <c r="B139" s="18"/>
      <c r="C139" s="18"/>
      <c r="D139" s="12"/>
      <c r="E139" s="11"/>
      <c r="F139" s="89"/>
      <c r="G139" s="16"/>
      <c r="H139" s="89"/>
      <c r="I139" s="16"/>
      <c r="J139" s="89"/>
      <c r="K139" s="16"/>
      <c r="L139" s="92" t="str">
        <f t="shared" si="8"/>
        <v/>
      </c>
      <c r="M139" s="29" t="str">
        <f t="shared" si="9"/>
        <v/>
      </c>
      <c r="N139" s="29" t="str">
        <f t="shared" si="10"/>
        <v/>
      </c>
      <c r="O139" s="29" t="str">
        <f t="shared" si="11"/>
        <v/>
      </c>
    </row>
    <row r="140" spans="1:15" x14ac:dyDescent="0.35">
      <c r="A140" s="21"/>
      <c r="B140" s="18"/>
      <c r="C140" s="18"/>
      <c r="D140" s="12"/>
      <c r="E140" s="11"/>
      <c r="F140" s="89"/>
      <c r="G140" s="16"/>
      <c r="H140" s="89"/>
      <c r="I140" s="16"/>
      <c r="J140" s="89"/>
      <c r="K140" s="16"/>
      <c r="L140" s="92" t="str">
        <f t="shared" ref="L140:L148" si="12">IF(C140="","",IF(F140="","Facture reçue",IF(H140="","PR",IF(J140="","PO","Posted and unpaid"))))</f>
        <v/>
      </c>
      <c r="M140" s="29" t="str">
        <f t="shared" ref="M140:M148" si="13">IF(C140="","",IF(F140="","La facture a été reçue et est en attente de création du PR.",IF(H140="","Le PR a été renseigné ; en attente de création du bon de commande (PO).",IF(J140="","Le PO a été renseigné ; en attente du bon de réception (GRN).","Facture comptabilisée et non payée."))))</f>
        <v/>
      </c>
      <c r="N140" s="29" t="str">
        <f t="shared" ref="N140:N148" si="14">IF(C140="","",IF(F140="","Facture reçue",IF(H140="","unpaid",IF(J140="","unpaid",IF(L140="","Posted and unpaid","paid")))))</f>
        <v/>
      </c>
      <c r="O140" s="29" t="str">
        <f t="shared" ref="O140:O148" si="15">IF(C140="","",IF(F140="","La facture a été reçue et est en attente de création du PR.",IF(H140="","Le PR a été renseigné ; facture non payée, en attente du bon de commande (PO).",IF(J140="","Le PO a été renseigné ; facture non payée, en attente du bon de réception (GRN).",IF(L140="","Le GRN a été renseigné ; facture comptabilisée et non payée.","Le paiement a été enregistré ; facture payée.")))))</f>
        <v/>
      </c>
    </row>
    <row r="141" spans="1:15" x14ac:dyDescent="0.35">
      <c r="A141" s="21"/>
      <c r="B141" s="18"/>
      <c r="C141" s="18"/>
      <c r="D141" s="12"/>
      <c r="E141" s="11"/>
      <c r="F141" s="89"/>
      <c r="G141" s="16"/>
      <c r="H141" s="89"/>
      <c r="I141" s="16"/>
      <c r="J141" s="89"/>
      <c r="K141" s="16"/>
      <c r="L141" s="92" t="str">
        <f t="shared" si="12"/>
        <v/>
      </c>
      <c r="M141" s="29" t="str">
        <f t="shared" si="13"/>
        <v/>
      </c>
      <c r="N141" s="29" t="str">
        <f t="shared" si="14"/>
        <v/>
      </c>
      <c r="O141" s="29" t="str">
        <f t="shared" si="15"/>
        <v/>
      </c>
    </row>
    <row r="142" spans="1:15" x14ac:dyDescent="0.35">
      <c r="A142" s="21"/>
      <c r="B142" s="18"/>
      <c r="C142" s="18"/>
      <c r="D142" s="12"/>
      <c r="E142" s="11"/>
      <c r="F142" s="89"/>
      <c r="G142" s="16"/>
      <c r="H142" s="89"/>
      <c r="I142" s="16"/>
      <c r="J142" s="89"/>
      <c r="K142" s="16"/>
      <c r="L142" s="92" t="str">
        <f t="shared" si="12"/>
        <v/>
      </c>
      <c r="M142" s="29" t="str">
        <f t="shared" si="13"/>
        <v/>
      </c>
      <c r="N142" s="29" t="str">
        <f t="shared" si="14"/>
        <v/>
      </c>
      <c r="O142" s="29" t="str">
        <f t="shared" si="15"/>
        <v/>
      </c>
    </row>
    <row r="143" spans="1:15" x14ac:dyDescent="0.35">
      <c r="A143" s="21"/>
      <c r="B143" s="18"/>
      <c r="C143" s="18"/>
      <c r="D143" s="12"/>
      <c r="E143" s="11"/>
      <c r="F143" s="89"/>
      <c r="G143" s="16"/>
      <c r="H143" s="89"/>
      <c r="I143" s="16"/>
      <c r="J143" s="89"/>
      <c r="K143" s="16"/>
      <c r="L143" s="92" t="str">
        <f t="shared" si="12"/>
        <v/>
      </c>
      <c r="M143" s="29" t="str">
        <f t="shared" si="13"/>
        <v/>
      </c>
      <c r="N143" s="29" t="str">
        <f t="shared" si="14"/>
        <v/>
      </c>
      <c r="O143" s="29" t="str">
        <f t="shared" si="15"/>
        <v/>
      </c>
    </row>
    <row r="144" spans="1:15" x14ac:dyDescent="0.35">
      <c r="A144" s="21"/>
      <c r="B144" s="18"/>
      <c r="C144" s="18"/>
      <c r="D144" s="12"/>
      <c r="E144" s="11"/>
      <c r="F144" s="89"/>
      <c r="G144" s="16"/>
      <c r="H144" s="89"/>
      <c r="I144" s="16"/>
      <c r="J144" s="89"/>
      <c r="K144" s="16"/>
      <c r="L144" s="92" t="str">
        <f t="shared" si="12"/>
        <v/>
      </c>
      <c r="M144" s="29" t="str">
        <f t="shared" si="13"/>
        <v/>
      </c>
      <c r="N144" s="29" t="str">
        <f t="shared" si="14"/>
        <v/>
      </c>
      <c r="O144" s="29" t="str">
        <f t="shared" si="15"/>
        <v/>
      </c>
    </row>
    <row r="145" spans="1:15" x14ac:dyDescent="0.35">
      <c r="A145" s="21"/>
      <c r="B145" s="18"/>
      <c r="C145" s="18"/>
      <c r="D145" s="12"/>
      <c r="E145" s="11"/>
      <c r="F145" s="89"/>
      <c r="G145" s="16"/>
      <c r="H145" s="89"/>
      <c r="I145" s="16"/>
      <c r="J145" s="89"/>
      <c r="K145" s="16"/>
      <c r="L145" s="92" t="str">
        <f t="shared" si="12"/>
        <v/>
      </c>
      <c r="M145" s="29" t="str">
        <f t="shared" si="13"/>
        <v/>
      </c>
      <c r="N145" s="29" t="str">
        <f t="shared" si="14"/>
        <v/>
      </c>
      <c r="O145" s="29" t="str">
        <f t="shared" si="15"/>
        <v/>
      </c>
    </row>
    <row r="146" spans="1:15" x14ac:dyDescent="0.35">
      <c r="A146" s="21"/>
      <c r="B146" s="18"/>
      <c r="C146" s="18"/>
      <c r="D146" s="12"/>
      <c r="E146" s="11"/>
      <c r="F146" s="89"/>
      <c r="G146" s="16"/>
      <c r="H146" s="89"/>
      <c r="I146" s="16"/>
      <c r="J146" s="89"/>
      <c r="K146" s="16"/>
      <c r="L146" s="92" t="str">
        <f t="shared" si="12"/>
        <v/>
      </c>
      <c r="M146" s="29" t="str">
        <f t="shared" si="13"/>
        <v/>
      </c>
      <c r="N146" s="29" t="str">
        <f t="shared" si="14"/>
        <v/>
      </c>
      <c r="O146" s="29" t="str">
        <f t="shared" si="15"/>
        <v/>
      </c>
    </row>
    <row r="147" spans="1:15" x14ac:dyDescent="0.35">
      <c r="A147" s="21"/>
      <c r="B147" s="18"/>
      <c r="C147" s="18"/>
      <c r="D147" s="12"/>
      <c r="E147" s="11"/>
      <c r="F147" s="89"/>
      <c r="G147" s="16"/>
      <c r="H147" s="89"/>
      <c r="I147" s="16"/>
      <c r="J147" s="89"/>
      <c r="K147" s="16"/>
      <c r="L147" s="92" t="str">
        <f t="shared" si="12"/>
        <v/>
      </c>
      <c r="M147" s="29" t="str">
        <f t="shared" si="13"/>
        <v/>
      </c>
      <c r="N147" s="29" t="str">
        <f t="shared" si="14"/>
        <v/>
      </c>
      <c r="O147" s="29" t="str">
        <f t="shared" si="15"/>
        <v/>
      </c>
    </row>
    <row r="148" spans="1:15" x14ac:dyDescent="0.35">
      <c r="A148" s="21"/>
      <c r="B148" s="18"/>
      <c r="C148" s="18"/>
      <c r="D148" s="12"/>
      <c r="E148" s="11"/>
      <c r="F148" s="89"/>
      <c r="G148" s="16"/>
      <c r="H148" s="89"/>
      <c r="I148" s="16"/>
      <c r="J148" s="89"/>
      <c r="K148" s="16"/>
      <c r="L148" s="92" t="str">
        <f t="shared" si="12"/>
        <v/>
      </c>
      <c r="M148" s="29" t="str">
        <f t="shared" si="13"/>
        <v/>
      </c>
      <c r="N148" s="29" t="str">
        <f t="shared" si="14"/>
        <v/>
      </c>
      <c r="O148" s="29" t="str">
        <f t="shared" si="15"/>
        <v/>
      </c>
    </row>
    <row r="149" spans="1:15" x14ac:dyDescent="0.35">
      <c r="L149" s="93" t="str">
        <f t="shared" ref="L131:L194" si="16">IF(C149="","",IF(F149="","Facture reçue",IF(H149="","PR",IF(J149="","PO","Posted and unpaid"))))</f>
        <v/>
      </c>
      <c r="M149" s="22" t="str">
        <f t="shared" ref="M131:M194" si="17">IF(C149="","",IF(F149="","La facture a été reçue et est en attente de création du PR.",IF(H149="","Le PR a été renseigné ; en attente de création du bon de commande (PO).",IF(J149="","Le PO a été renseigné ; en attente du bon de réception (GRN).","Facture comptabilisée et non payée."))))</f>
        <v/>
      </c>
      <c r="N149" s="22" t="str">
        <f t="shared" ref="N131:N194" si="18">IF(C149="","",IF(F149="","Facture reçue",IF(H149="","unpaid",IF(J149="","unpaid",IF(L149="","Posted and unpaid","paid")))))</f>
        <v/>
      </c>
      <c r="O149" s="22" t="str">
        <f t="shared" ref="O131:O194" si="19">IF(C149="","",IF(F149="","La facture a été reçue et est en attente de création du PR.",IF(H149="","Le PR a été renseigné ; facture non payée, en attente du bon de commande (PO).",IF(J149="","Le PO a été renseigné ; facture non payée, en attente du bon de réception (GRN).",IF(L149="","Le GRN a été renseigné ; facture comptabilisée et non payée.","Le paiement a été enregistré ; facture payée.")))))</f>
        <v/>
      </c>
    </row>
    <row r="150" spans="1:15" x14ac:dyDescent="0.35">
      <c r="L150" s="93" t="str">
        <f t="shared" si="16"/>
        <v/>
      </c>
      <c r="M150" s="22" t="str">
        <f t="shared" si="17"/>
        <v/>
      </c>
      <c r="N150" s="22" t="str">
        <f t="shared" si="18"/>
        <v/>
      </c>
      <c r="O150" s="22" t="str">
        <f t="shared" si="19"/>
        <v/>
      </c>
    </row>
    <row r="151" spans="1:15" x14ac:dyDescent="0.35">
      <c r="L151" s="93" t="str">
        <f t="shared" si="16"/>
        <v/>
      </c>
      <c r="M151" s="22" t="str">
        <f t="shared" si="17"/>
        <v/>
      </c>
      <c r="N151" s="22" t="str">
        <f t="shared" si="18"/>
        <v/>
      </c>
      <c r="O151" s="22" t="str">
        <f t="shared" si="19"/>
        <v/>
      </c>
    </row>
    <row r="152" spans="1:15" x14ac:dyDescent="0.35">
      <c r="L152" s="93" t="str">
        <f t="shared" si="16"/>
        <v/>
      </c>
      <c r="M152" s="22" t="str">
        <f t="shared" si="17"/>
        <v/>
      </c>
      <c r="N152" s="22" t="str">
        <f t="shared" si="18"/>
        <v/>
      </c>
      <c r="O152" s="22" t="str">
        <f t="shared" si="19"/>
        <v/>
      </c>
    </row>
    <row r="153" spans="1:15" x14ac:dyDescent="0.35">
      <c r="L153" s="93" t="str">
        <f t="shared" si="16"/>
        <v/>
      </c>
      <c r="M153" s="22" t="str">
        <f t="shared" si="17"/>
        <v/>
      </c>
      <c r="N153" s="22" t="str">
        <f t="shared" si="18"/>
        <v/>
      </c>
      <c r="O153" s="22" t="str">
        <f t="shared" si="19"/>
        <v/>
      </c>
    </row>
    <row r="154" spans="1:15" x14ac:dyDescent="0.35">
      <c r="L154" s="93" t="str">
        <f t="shared" si="16"/>
        <v/>
      </c>
      <c r="M154" s="22" t="str">
        <f t="shared" si="17"/>
        <v/>
      </c>
      <c r="N154" s="22" t="str">
        <f t="shared" si="18"/>
        <v/>
      </c>
      <c r="O154" s="22" t="str">
        <f t="shared" si="19"/>
        <v/>
      </c>
    </row>
    <row r="155" spans="1:15" x14ac:dyDescent="0.35">
      <c r="L155" s="93" t="str">
        <f t="shared" si="16"/>
        <v/>
      </c>
      <c r="M155" s="22" t="str">
        <f t="shared" si="17"/>
        <v/>
      </c>
      <c r="N155" s="22" t="str">
        <f t="shared" si="18"/>
        <v/>
      </c>
      <c r="O155" s="22" t="str">
        <f t="shared" si="19"/>
        <v/>
      </c>
    </row>
    <row r="156" spans="1:15" x14ac:dyDescent="0.35">
      <c r="L156" s="93" t="str">
        <f t="shared" si="16"/>
        <v/>
      </c>
      <c r="M156" s="22" t="str">
        <f t="shared" si="17"/>
        <v/>
      </c>
      <c r="N156" s="22" t="str">
        <f t="shared" si="18"/>
        <v/>
      </c>
      <c r="O156" s="22" t="str">
        <f t="shared" si="19"/>
        <v/>
      </c>
    </row>
    <row r="157" spans="1:15" x14ac:dyDescent="0.35">
      <c r="L157" s="93" t="str">
        <f t="shared" si="16"/>
        <v/>
      </c>
      <c r="M157" s="22" t="str">
        <f t="shared" si="17"/>
        <v/>
      </c>
      <c r="N157" s="22" t="str">
        <f t="shared" si="18"/>
        <v/>
      </c>
      <c r="O157" s="22" t="str">
        <f t="shared" si="19"/>
        <v/>
      </c>
    </row>
    <row r="158" spans="1:15" x14ac:dyDescent="0.35">
      <c r="L158" s="93" t="str">
        <f t="shared" si="16"/>
        <v/>
      </c>
      <c r="M158" s="22" t="str">
        <f t="shared" si="17"/>
        <v/>
      </c>
      <c r="N158" s="22" t="str">
        <f t="shared" si="18"/>
        <v/>
      </c>
      <c r="O158" s="22" t="str">
        <f t="shared" si="19"/>
        <v/>
      </c>
    </row>
    <row r="159" spans="1:15" x14ac:dyDescent="0.35">
      <c r="L159" s="93" t="str">
        <f t="shared" si="16"/>
        <v/>
      </c>
      <c r="M159" s="22" t="str">
        <f t="shared" si="17"/>
        <v/>
      </c>
      <c r="N159" s="22" t="str">
        <f t="shared" si="18"/>
        <v/>
      </c>
      <c r="O159" s="22" t="str">
        <f t="shared" si="19"/>
        <v/>
      </c>
    </row>
    <row r="160" spans="1:15" x14ac:dyDescent="0.35">
      <c r="L160" s="93" t="str">
        <f t="shared" si="16"/>
        <v/>
      </c>
      <c r="M160" s="22" t="str">
        <f t="shared" si="17"/>
        <v/>
      </c>
      <c r="N160" s="22" t="str">
        <f t="shared" si="18"/>
        <v/>
      </c>
      <c r="O160" s="22" t="str">
        <f t="shared" si="19"/>
        <v/>
      </c>
    </row>
    <row r="161" spans="12:15" x14ac:dyDescent="0.35">
      <c r="L161" s="93" t="str">
        <f t="shared" si="16"/>
        <v/>
      </c>
      <c r="M161" s="22" t="str">
        <f t="shared" si="17"/>
        <v/>
      </c>
      <c r="N161" s="22" t="str">
        <f t="shared" si="18"/>
        <v/>
      </c>
      <c r="O161" s="22" t="str">
        <f t="shared" si="19"/>
        <v/>
      </c>
    </row>
    <row r="162" spans="12:15" x14ac:dyDescent="0.35">
      <c r="L162" s="93" t="str">
        <f t="shared" si="16"/>
        <v/>
      </c>
      <c r="M162" s="22" t="str">
        <f t="shared" si="17"/>
        <v/>
      </c>
      <c r="N162" s="22" t="str">
        <f t="shared" si="18"/>
        <v/>
      </c>
      <c r="O162" s="22" t="str">
        <f t="shared" si="19"/>
        <v/>
      </c>
    </row>
    <row r="163" spans="12:15" x14ac:dyDescent="0.35">
      <c r="L163" s="93" t="str">
        <f t="shared" si="16"/>
        <v/>
      </c>
      <c r="M163" s="22" t="str">
        <f t="shared" si="17"/>
        <v/>
      </c>
      <c r="N163" s="22" t="str">
        <f t="shared" si="18"/>
        <v/>
      </c>
      <c r="O163" s="22" t="str">
        <f t="shared" si="19"/>
        <v/>
      </c>
    </row>
    <row r="164" spans="12:15" x14ac:dyDescent="0.35">
      <c r="L164" s="93" t="str">
        <f t="shared" si="16"/>
        <v/>
      </c>
      <c r="M164" s="22" t="str">
        <f t="shared" si="17"/>
        <v/>
      </c>
      <c r="N164" s="22" t="str">
        <f t="shared" si="18"/>
        <v/>
      </c>
      <c r="O164" s="22" t="str">
        <f t="shared" si="19"/>
        <v/>
      </c>
    </row>
    <row r="165" spans="12:15" x14ac:dyDescent="0.35">
      <c r="L165" s="93" t="str">
        <f t="shared" si="16"/>
        <v/>
      </c>
      <c r="M165" s="22" t="str">
        <f t="shared" si="17"/>
        <v/>
      </c>
      <c r="N165" s="22" t="str">
        <f t="shared" si="18"/>
        <v/>
      </c>
      <c r="O165" s="22" t="str">
        <f t="shared" si="19"/>
        <v/>
      </c>
    </row>
    <row r="166" spans="12:15" x14ac:dyDescent="0.35">
      <c r="L166" s="93" t="str">
        <f t="shared" si="16"/>
        <v/>
      </c>
      <c r="M166" s="22" t="str">
        <f t="shared" si="17"/>
        <v/>
      </c>
      <c r="N166" s="22" t="str">
        <f t="shared" si="18"/>
        <v/>
      </c>
      <c r="O166" s="22" t="str">
        <f t="shared" si="19"/>
        <v/>
      </c>
    </row>
    <row r="167" spans="12:15" x14ac:dyDescent="0.35">
      <c r="L167" s="93" t="str">
        <f t="shared" si="16"/>
        <v/>
      </c>
      <c r="M167" s="22" t="str">
        <f t="shared" si="17"/>
        <v/>
      </c>
      <c r="N167" s="22" t="str">
        <f t="shared" si="18"/>
        <v/>
      </c>
      <c r="O167" s="22" t="str">
        <f t="shared" si="19"/>
        <v/>
      </c>
    </row>
    <row r="168" spans="12:15" x14ac:dyDescent="0.35">
      <c r="L168" s="93" t="str">
        <f t="shared" si="16"/>
        <v/>
      </c>
      <c r="M168" s="22" t="str">
        <f t="shared" si="17"/>
        <v/>
      </c>
      <c r="N168" s="22" t="str">
        <f t="shared" si="18"/>
        <v/>
      </c>
      <c r="O168" s="22" t="str">
        <f t="shared" si="19"/>
        <v/>
      </c>
    </row>
    <row r="169" spans="12:15" x14ac:dyDescent="0.35">
      <c r="L169" s="93" t="str">
        <f t="shared" si="16"/>
        <v/>
      </c>
      <c r="M169" s="22" t="str">
        <f t="shared" si="17"/>
        <v/>
      </c>
      <c r="N169" s="22" t="str">
        <f t="shared" si="18"/>
        <v/>
      </c>
      <c r="O169" s="22" t="str">
        <f t="shared" si="19"/>
        <v/>
      </c>
    </row>
    <row r="170" spans="12:15" x14ac:dyDescent="0.35">
      <c r="L170" s="93" t="str">
        <f t="shared" si="16"/>
        <v/>
      </c>
      <c r="M170" s="22" t="str">
        <f t="shared" si="17"/>
        <v/>
      </c>
      <c r="N170" s="22" t="str">
        <f t="shared" si="18"/>
        <v/>
      </c>
      <c r="O170" s="22" t="str">
        <f t="shared" si="19"/>
        <v/>
      </c>
    </row>
    <row r="171" spans="12:15" x14ac:dyDescent="0.35">
      <c r="L171" s="93" t="str">
        <f t="shared" si="16"/>
        <v/>
      </c>
      <c r="M171" s="22" t="str">
        <f t="shared" si="17"/>
        <v/>
      </c>
      <c r="N171" s="22" t="str">
        <f t="shared" si="18"/>
        <v/>
      </c>
      <c r="O171" s="22" t="str">
        <f t="shared" si="19"/>
        <v/>
      </c>
    </row>
    <row r="172" spans="12:15" x14ac:dyDescent="0.35">
      <c r="L172" s="93" t="str">
        <f t="shared" si="16"/>
        <v/>
      </c>
      <c r="M172" s="22" t="str">
        <f t="shared" si="17"/>
        <v/>
      </c>
      <c r="N172" s="22" t="str">
        <f t="shared" si="18"/>
        <v/>
      </c>
      <c r="O172" s="22" t="str">
        <f t="shared" si="19"/>
        <v/>
      </c>
    </row>
    <row r="173" spans="12:15" x14ac:dyDescent="0.35">
      <c r="L173" s="93" t="str">
        <f t="shared" si="16"/>
        <v/>
      </c>
      <c r="M173" s="22" t="str">
        <f t="shared" si="17"/>
        <v/>
      </c>
      <c r="N173" s="22" t="str">
        <f t="shared" si="18"/>
        <v/>
      </c>
      <c r="O173" s="22" t="str">
        <f t="shared" si="19"/>
        <v/>
      </c>
    </row>
    <row r="174" spans="12:15" x14ac:dyDescent="0.35">
      <c r="L174" s="93" t="str">
        <f t="shared" si="16"/>
        <v/>
      </c>
      <c r="M174" s="22" t="str">
        <f t="shared" si="17"/>
        <v/>
      </c>
      <c r="N174" s="22" t="str">
        <f t="shared" si="18"/>
        <v/>
      </c>
      <c r="O174" s="22" t="str">
        <f t="shared" si="19"/>
        <v/>
      </c>
    </row>
    <row r="175" spans="12:15" x14ac:dyDescent="0.35">
      <c r="L175" s="93" t="str">
        <f t="shared" si="16"/>
        <v/>
      </c>
      <c r="M175" s="22" t="str">
        <f t="shared" si="17"/>
        <v/>
      </c>
      <c r="N175" s="22" t="str">
        <f t="shared" si="18"/>
        <v/>
      </c>
      <c r="O175" s="22" t="str">
        <f t="shared" si="19"/>
        <v/>
      </c>
    </row>
    <row r="176" spans="12:15" x14ac:dyDescent="0.35">
      <c r="L176" s="93" t="str">
        <f t="shared" si="16"/>
        <v/>
      </c>
      <c r="M176" s="22" t="str">
        <f t="shared" si="17"/>
        <v/>
      </c>
      <c r="N176" s="22" t="str">
        <f t="shared" si="18"/>
        <v/>
      </c>
      <c r="O176" s="22" t="str">
        <f t="shared" si="19"/>
        <v/>
      </c>
    </row>
    <row r="177" spans="12:15" x14ac:dyDescent="0.35">
      <c r="L177" s="93" t="str">
        <f t="shared" si="16"/>
        <v/>
      </c>
      <c r="M177" s="22" t="str">
        <f t="shared" si="17"/>
        <v/>
      </c>
      <c r="N177" s="22" t="str">
        <f t="shared" si="18"/>
        <v/>
      </c>
      <c r="O177" s="22" t="str">
        <f t="shared" si="19"/>
        <v/>
      </c>
    </row>
    <row r="178" spans="12:15" x14ac:dyDescent="0.35">
      <c r="L178" s="93" t="str">
        <f t="shared" si="16"/>
        <v/>
      </c>
      <c r="M178" s="22" t="str">
        <f t="shared" si="17"/>
        <v/>
      </c>
      <c r="N178" s="22" t="str">
        <f t="shared" si="18"/>
        <v/>
      </c>
      <c r="O178" s="22" t="str">
        <f t="shared" si="19"/>
        <v/>
      </c>
    </row>
    <row r="179" spans="12:15" x14ac:dyDescent="0.35">
      <c r="L179" s="93" t="str">
        <f t="shared" si="16"/>
        <v/>
      </c>
      <c r="M179" s="22" t="str">
        <f t="shared" si="17"/>
        <v/>
      </c>
      <c r="N179" s="22" t="str">
        <f t="shared" si="18"/>
        <v/>
      </c>
      <c r="O179" s="22" t="str">
        <f t="shared" si="19"/>
        <v/>
      </c>
    </row>
    <row r="180" spans="12:15" x14ac:dyDescent="0.35">
      <c r="L180" s="93" t="str">
        <f t="shared" si="16"/>
        <v/>
      </c>
      <c r="M180" s="22" t="str">
        <f t="shared" si="17"/>
        <v/>
      </c>
      <c r="N180" s="22" t="str">
        <f t="shared" si="18"/>
        <v/>
      </c>
      <c r="O180" s="22" t="str">
        <f t="shared" si="19"/>
        <v/>
      </c>
    </row>
    <row r="181" spans="12:15" x14ac:dyDescent="0.35">
      <c r="L181" s="93" t="str">
        <f t="shared" si="16"/>
        <v/>
      </c>
      <c r="M181" s="22" t="str">
        <f t="shared" si="17"/>
        <v/>
      </c>
      <c r="N181" s="22" t="str">
        <f t="shared" si="18"/>
        <v/>
      </c>
      <c r="O181" s="22" t="str">
        <f t="shared" si="19"/>
        <v/>
      </c>
    </row>
    <row r="182" spans="12:15" x14ac:dyDescent="0.35">
      <c r="L182" s="93" t="str">
        <f t="shared" si="16"/>
        <v/>
      </c>
      <c r="M182" s="22" t="str">
        <f t="shared" si="17"/>
        <v/>
      </c>
      <c r="N182" s="22" t="str">
        <f t="shared" si="18"/>
        <v/>
      </c>
      <c r="O182" s="22" t="str">
        <f t="shared" si="19"/>
        <v/>
      </c>
    </row>
    <row r="183" spans="12:15" x14ac:dyDescent="0.35">
      <c r="L183" s="93" t="str">
        <f t="shared" si="16"/>
        <v/>
      </c>
      <c r="M183" s="22" t="str">
        <f t="shared" si="17"/>
        <v/>
      </c>
      <c r="N183" s="22" t="str">
        <f t="shared" si="18"/>
        <v/>
      </c>
      <c r="O183" s="22" t="str">
        <f t="shared" si="19"/>
        <v/>
      </c>
    </row>
    <row r="184" spans="12:15" x14ac:dyDescent="0.35">
      <c r="L184" s="93" t="str">
        <f t="shared" si="16"/>
        <v/>
      </c>
      <c r="M184" s="22" t="str">
        <f t="shared" si="17"/>
        <v/>
      </c>
      <c r="N184" s="22" t="str">
        <f t="shared" si="18"/>
        <v/>
      </c>
      <c r="O184" s="22" t="str">
        <f t="shared" si="19"/>
        <v/>
      </c>
    </row>
    <row r="185" spans="12:15" x14ac:dyDescent="0.35">
      <c r="L185" s="93" t="str">
        <f t="shared" si="16"/>
        <v/>
      </c>
      <c r="M185" s="22" t="str">
        <f t="shared" si="17"/>
        <v/>
      </c>
      <c r="N185" s="22" t="str">
        <f t="shared" si="18"/>
        <v/>
      </c>
      <c r="O185" s="22" t="str">
        <f t="shared" si="19"/>
        <v/>
      </c>
    </row>
    <row r="186" spans="12:15" x14ac:dyDescent="0.35">
      <c r="L186" s="93" t="str">
        <f t="shared" si="16"/>
        <v/>
      </c>
      <c r="M186" s="22" t="str">
        <f t="shared" si="17"/>
        <v/>
      </c>
      <c r="N186" s="22" t="str">
        <f t="shared" si="18"/>
        <v/>
      </c>
      <c r="O186" s="22" t="str">
        <f t="shared" si="19"/>
        <v/>
      </c>
    </row>
    <row r="187" spans="12:15" x14ac:dyDescent="0.35">
      <c r="L187" s="93" t="str">
        <f t="shared" si="16"/>
        <v/>
      </c>
      <c r="M187" s="22" t="str">
        <f t="shared" si="17"/>
        <v/>
      </c>
      <c r="N187" s="22" t="str">
        <f t="shared" si="18"/>
        <v/>
      </c>
      <c r="O187" s="22" t="str">
        <f t="shared" si="19"/>
        <v/>
      </c>
    </row>
    <row r="188" spans="12:15" x14ac:dyDescent="0.35">
      <c r="L188" s="93" t="str">
        <f t="shared" si="16"/>
        <v/>
      </c>
      <c r="M188" s="22" t="str">
        <f t="shared" si="17"/>
        <v/>
      </c>
      <c r="N188" s="22" t="str">
        <f t="shared" si="18"/>
        <v/>
      </c>
      <c r="O188" s="22" t="str">
        <f t="shared" si="19"/>
        <v/>
      </c>
    </row>
    <row r="189" spans="12:15" x14ac:dyDescent="0.35">
      <c r="L189" s="93" t="str">
        <f t="shared" si="16"/>
        <v/>
      </c>
      <c r="M189" s="22" t="str">
        <f t="shared" si="17"/>
        <v/>
      </c>
      <c r="N189" s="22" t="str">
        <f t="shared" si="18"/>
        <v/>
      </c>
      <c r="O189" s="22" t="str">
        <f t="shared" si="19"/>
        <v/>
      </c>
    </row>
    <row r="190" spans="12:15" x14ac:dyDescent="0.35">
      <c r="L190" s="93" t="str">
        <f t="shared" si="16"/>
        <v/>
      </c>
      <c r="M190" s="22" t="str">
        <f t="shared" si="17"/>
        <v/>
      </c>
      <c r="N190" s="22" t="str">
        <f t="shared" si="18"/>
        <v/>
      </c>
      <c r="O190" s="22" t="str">
        <f t="shared" si="19"/>
        <v/>
      </c>
    </row>
    <row r="191" spans="12:15" x14ac:dyDescent="0.35">
      <c r="L191" s="93" t="str">
        <f t="shared" si="16"/>
        <v/>
      </c>
      <c r="M191" s="22" t="str">
        <f t="shared" si="17"/>
        <v/>
      </c>
      <c r="N191" s="22" t="str">
        <f t="shared" si="18"/>
        <v/>
      </c>
      <c r="O191" s="22" t="str">
        <f t="shared" si="19"/>
        <v/>
      </c>
    </row>
    <row r="192" spans="12:15" x14ac:dyDescent="0.35">
      <c r="L192" s="93" t="str">
        <f t="shared" si="16"/>
        <v/>
      </c>
      <c r="M192" s="22" t="str">
        <f t="shared" si="17"/>
        <v/>
      </c>
      <c r="N192" s="22" t="str">
        <f t="shared" si="18"/>
        <v/>
      </c>
      <c r="O192" s="22" t="str">
        <f t="shared" si="19"/>
        <v/>
      </c>
    </row>
    <row r="193" spans="12:15" x14ac:dyDescent="0.35">
      <c r="L193" s="93" t="str">
        <f t="shared" si="16"/>
        <v/>
      </c>
      <c r="M193" s="22" t="str">
        <f t="shared" si="17"/>
        <v/>
      </c>
      <c r="N193" s="22" t="str">
        <f t="shared" si="18"/>
        <v/>
      </c>
      <c r="O193" s="22" t="str">
        <f t="shared" si="19"/>
        <v/>
      </c>
    </row>
    <row r="194" spans="12:15" x14ac:dyDescent="0.35">
      <c r="L194" s="93" t="str">
        <f t="shared" si="16"/>
        <v/>
      </c>
      <c r="M194" s="22" t="str">
        <f t="shared" si="17"/>
        <v/>
      </c>
      <c r="N194" s="22" t="str">
        <f t="shared" si="18"/>
        <v/>
      </c>
      <c r="O194" s="22" t="str">
        <f t="shared" si="19"/>
        <v/>
      </c>
    </row>
    <row r="195" spans="12:15" x14ac:dyDescent="0.35">
      <c r="L195" s="93" t="str">
        <f t="shared" ref="L195:L258" si="20">IF(C195="","",IF(F195="","Facture reçue",IF(H195="","PR",IF(J195="","PO","Posted and unpaid"))))</f>
        <v/>
      </c>
      <c r="M195" s="22" t="str">
        <f t="shared" ref="M195:M258" si="21">IF(C195="","",IF(F195="","La facture a été reçue et est en attente de création du PR.",IF(H195="","Le PR a été renseigné ; en attente de création du bon de commande (PO).",IF(J195="","Le PO a été renseigné ; en attente du bon de réception (GRN).","Facture comptabilisée et non payée."))))</f>
        <v/>
      </c>
      <c r="N195" s="22" t="str">
        <f t="shared" ref="N195:N258" si="22">IF(C195="","",IF(F195="","Facture reçue",IF(H195="","unpaid",IF(J195="","unpaid",IF(L195="","Posted and unpaid","paid")))))</f>
        <v/>
      </c>
      <c r="O195" s="22" t="str">
        <f t="shared" ref="O195:O258" si="23">IF(C195="","",IF(F195="","La facture a été reçue et est en attente de création du PR.",IF(H195="","Le PR a été renseigné ; facture non payée, en attente du bon de commande (PO).",IF(J195="","Le PO a été renseigné ; facture non payée, en attente du bon de réception (GRN).",IF(L195="","Le GRN a été renseigné ; facture comptabilisée et non payée.","Le paiement a été enregistré ; facture payée.")))))</f>
        <v/>
      </c>
    </row>
    <row r="196" spans="12:15" x14ac:dyDescent="0.35">
      <c r="L196" s="93" t="str">
        <f t="shared" si="20"/>
        <v/>
      </c>
      <c r="M196" s="22" t="str">
        <f t="shared" si="21"/>
        <v/>
      </c>
      <c r="N196" s="22" t="str">
        <f t="shared" si="22"/>
        <v/>
      </c>
      <c r="O196" s="22" t="str">
        <f t="shared" si="23"/>
        <v/>
      </c>
    </row>
    <row r="197" spans="12:15" x14ac:dyDescent="0.35">
      <c r="L197" s="93" t="str">
        <f t="shared" si="20"/>
        <v/>
      </c>
      <c r="M197" s="22" t="str">
        <f t="shared" si="21"/>
        <v/>
      </c>
      <c r="N197" s="22" t="str">
        <f t="shared" si="22"/>
        <v/>
      </c>
      <c r="O197" s="22" t="str">
        <f t="shared" si="23"/>
        <v/>
      </c>
    </row>
    <row r="198" spans="12:15" x14ac:dyDescent="0.35">
      <c r="L198" s="93" t="str">
        <f t="shared" si="20"/>
        <v/>
      </c>
      <c r="M198" s="22" t="str">
        <f t="shared" si="21"/>
        <v/>
      </c>
      <c r="N198" s="22" t="str">
        <f t="shared" si="22"/>
        <v/>
      </c>
      <c r="O198" s="22" t="str">
        <f t="shared" si="23"/>
        <v/>
      </c>
    </row>
    <row r="199" spans="12:15" x14ac:dyDescent="0.35">
      <c r="L199" s="93" t="str">
        <f t="shared" si="20"/>
        <v/>
      </c>
      <c r="M199" s="22" t="str">
        <f t="shared" si="21"/>
        <v/>
      </c>
      <c r="N199" s="22" t="str">
        <f t="shared" si="22"/>
        <v/>
      </c>
      <c r="O199" s="22" t="str">
        <f t="shared" si="23"/>
        <v/>
      </c>
    </row>
    <row r="200" spans="12:15" x14ac:dyDescent="0.35">
      <c r="L200" s="93" t="str">
        <f t="shared" si="20"/>
        <v/>
      </c>
      <c r="M200" s="22" t="str">
        <f t="shared" si="21"/>
        <v/>
      </c>
      <c r="N200" s="22" t="str">
        <f t="shared" si="22"/>
        <v/>
      </c>
      <c r="O200" s="22" t="str">
        <f t="shared" si="23"/>
        <v/>
      </c>
    </row>
    <row r="201" spans="12:15" x14ac:dyDescent="0.35">
      <c r="L201" s="93" t="str">
        <f t="shared" si="20"/>
        <v/>
      </c>
      <c r="M201" s="22" t="str">
        <f t="shared" si="21"/>
        <v/>
      </c>
      <c r="N201" s="22" t="str">
        <f t="shared" si="22"/>
        <v/>
      </c>
      <c r="O201" s="22" t="str">
        <f t="shared" si="23"/>
        <v/>
      </c>
    </row>
    <row r="202" spans="12:15" x14ac:dyDescent="0.35">
      <c r="L202" s="93" t="str">
        <f t="shared" si="20"/>
        <v/>
      </c>
      <c r="M202" s="22" t="str">
        <f t="shared" si="21"/>
        <v/>
      </c>
      <c r="N202" s="22" t="str">
        <f t="shared" si="22"/>
        <v/>
      </c>
      <c r="O202" s="22" t="str">
        <f t="shared" si="23"/>
        <v/>
      </c>
    </row>
    <row r="203" spans="12:15" x14ac:dyDescent="0.35">
      <c r="L203" s="93" t="str">
        <f t="shared" si="20"/>
        <v/>
      </c>
      <c r="M203" s="22" t="str">
        <f t="shared" si="21"/>
        <v/>
      </c>
      <c r="N203" s="22" t="str">
        <f t="shared" si="22"/>
        <v/>
      </c>
      <c r="O203" s="22" t="str">
        <f t="shared" si="23"/>
        <v/>
      </c>
    </row>
    <row r="204" spans="12:15" x14ac:dyDescent="0.35">
      <c r="L204" s="93" t="str">
        <f t="shared" si="20"/>
        <v/>
      </c>
      <c r="M204" s="22" t="str">
        <f t="shared" si="21"/>
        <v/>
      </c>
      <c r="N204" s="22" t="str">
        <f t="shared" si="22"/>
        <v/>
      </c>
      <c r="O204" s="22" t="str">
        <f t="shared" si="23"/>
        <v/>
      </c>
    </row>
    <row r="205" spans="12:15" x14ac:dyDescent="0.35">
      <c r="L205" s="93" t="str">
        <f t="shared" si="20"/>
        <v/>
      </c>
      <c r="M205" s="22" t="str">
        <f t="shared" si="21"/>
        <v/>
      </c>
      <c r="N205" s="22" t="str">
        <f t="shared" si="22"/>
        <v/>
      </c>
      <c r="O205" s="22" t="str">
        <f t="shared" si="23"/>
        <v/>
      </c>
    </row>
    <row r="206" spans="12:15" x14ac:dyDescent="0.35">
      <c r="L206" s="93" t="str">
        <f t="shared" si="20"/>
        <v/>
      </c>
      <c r="M206" s="22" t="str">
        <f t="shared" si="21"/>
        <v/>
      </c>
      <c r="N206" s="22" t="str">
        <f t="shared" si="22"/>
        <v/>
      </c>
      <c r="O206" s="22" t="str">
        <f t="shared" si="23"/>
        <v/>
      </c>
    </row>
    <row r="207" spans="12:15" x14ac:dyDescent="0.35">
      <c r="L207" s="93" t="str">
        <f t="shared" si="20"/>
        <v/>
      </c>
      <c r="M207" s="22" t="str">
        <f t="shared" si="21"/>
        <v/>
      </c>
      <c r="N207" s="22" t="str">
        <f t="shared" si="22"/>
        <v/>
      </c>
      <c r="O207" s="22" t="str">
        <f t="shared" si="23"/>
        <v/>
      </c>
    </row>
    <row r="208" spans="12:15" x14ac:dyDescent="0.35">
      <c r="L208" s="93" t="str">
        <f t="shared" si="20"/>
        <v/>
      </c>
      <c r="M208" s="22" t="str">
        <f t="shared" si="21"/>
        <v/>
      </c>
      <c r="N208" s="22" t="str">
        <f t="shared" si="22"/>
        <v/>
      </c>
      <c r="O208" s="22" t="str">
        <f t="shared" si="23"/>
        <v/>
      </c>
    </row>
    <row r="209" spans="12:15" x14ac:dyDescent="0.35">
      <c r="L209" s="93" t="str">
        <f t="shared" si="20"/>
        <v/>
      </c>
      <c r="M209" s="22" t="str">
        <f t="shared" si="21"/>
        <v/>
      </c>
      <c r="N209" s="22" t="str">
        <f t="shared" si="22"/>
        <v/>
      </c>
      <c r="O209" s="22" t="str">
        <f t="shared" si="23"/>
        <v/>
      </c>
    </row>
    <row r="210" spans="12:15" x14ac:dyDescent="0.35">
      <c r="L210" s="93" t="str">
        <f t="shared" si="20"/>
        <v/>
      </c>
      <c r="M210" s="22" t="str">
        <f t="shared" si="21"/>
        <v/>
      </c>
      <c r="N210" s="22" t="str">
        <f t="shared" si="22"/>
        <v/>
      </c>
      <c r="O210" s="22" t="str">
        <f t="shared" si="23"/>
        <v/>
      </c>
    </row>
    <row r="211" spans="12:15" x14ac:dyDescent="0.35">
      <c r="L211" s="93" t="str">
        <f t="shared" si="20"/>
        <v/>
      </c>
      <c r="M211" s="22" t="str">
        <f t="shared" si="21"/>
        <v/>
      </c>
      <c r="N211" s="22" t="str">
        <f t="shared" si="22"/>
        <v/>
      </c>
      <c r="O211" s="22" t="str">
        <f t="shared" si="23"/>
        <v/>
      </c>
    </row>
    <row r="212" spans="12:15" x14ac:dyDescent="0.35">
      <c r="L212" s="93" t="str">
        <f t="shared" si="20"/>
        <v/>
      </c>
      <c r="M212" s="22" t="str">
        <f t="shared" si="21"/>
        <v/>
      </c>
      <c r="N212" s="22" t="str">
        <f t="shared" si="22"/>
        <v/>
      </c>
      <c r="O212" s="22" t="str">
        <f t="shared" si="23"/>
        <v/>
      </c>
    </row>
    <row r="213" spans="12:15" x14ac:dyDescent="0.35">
      <c r="L213" s="93" t="str">
        <f t="shared" si="20"/>
        <v/>
      </c>
      <c r="M213" s="22" t="str">
        <f t="shared" si="21"/>
        <v/>
      </c>
      <c r="N213" s="22" t="str">
        <f t="shared" si="22"/>
        <v/>
      </c>
      <c r="O213" s="22" t="str">
        <f t="shared" si="23"/>
        <v/>
      </c>
    </row>
    <row r="214" spans="12:15" x14ac:dyDescent="0.35">
      <c r="L214" s="93" t="str">
        <f t="shared" si="20"/>
        <v/>
      </c>
      <c r="M214" s="22" t="str">
        <f t="shared" si="21"/>
        <v/>
      </c>
      <c r="N214" s="22" t="str">
        <f t="shared" si="22"/>
        <v/>
      </c>
      <c r="O214" s="22" t="str">
        <f t="shared" si="23"/>
        <v/>
      </c>
    </row>
    <row r="215" spans="12:15" x14ac:dyDescent="0.35">
      <c r="L215" s="93" t="str">
        <f t="shared" si="20"/>
        <v/>
      </c>
      <c r="M215" s="22" t="str">
        <f t="shared" si="21"/>
        <v/>
      </c>
      <c r="N215" s="22" t="str">
        <f t="shared" si="22"/>
        <v/>
      </c>
      <c r="O215" s="22" t="str">
        <f t="shared" si="23"/>
        <v/>
      </c>
    </row>
    <row r="216" spans="12:15" x14ac:dyDescent="0.35">
      <c r="L216" s="93" t="str">
        <f t="shared" si="20"/>
        <v/>
      </c>
      <c r="M216" s="22" t="str">
        <f t="shared" si="21"/>
        <v/>
      </c>
      <c r="N216" s="22" t="str">
        <f t="shared" si="22"/>
        <v/>
      </c>
      <c r="O216" s="22" t="str">
        <f t="shared" si="23"/>
        <v/>
      </c>
    </row>
    <row r="217" spans="12:15" x14ac:dyDescent="0.35">
      <c r="L217" s="93" t="str">
        <f t="shared" si="20"/>
        <v/>
      </c>
      <c r="M217" s="22" t="str">
        <f t="shared" si="21"/>
        <v/>
      </c>
      <c r="N217" s="22" t="str">
        <f t="shared" si="22"/>
        <v/>
      </c>
      <c r="O217" s="22" t="str">
        <f t="shared" si="23"/>
        <v/>
      </c>
    </row>
    <row r="218" spans="12:15" x14ac:dyDescent="0.35">
      <c r="L218" s="93" t="str">
        <f t="shared" si="20"/>
        <v/>
      </c>
      <c r="M218" s="22" t="str">
        <f t="shared" si="21"/>
        <v/>
      </c>
      <c r="N218" s="22" t="str">
        <f t="shared" si="22"/>
        <v/>
      </c>
      <c r="O218" s="22" t="str">
        <f t="shared" si="23"/>
        <v/>
      </c>
    </row>
    <row r="219" spans="12:15" x14ac:dyDescent="0.35">
      <c r="L219" s="93" t="str">
        <f t="shared" si="20"/>
        <v/>
      </c>
      <c r="M219" s="22" t="str">
        <f t="shared" si="21"/>
        <v/>
      </c>
      <c r="N219" s="22" t="str">
        <f t="shared" si="22"/>
        <v/>
      </c>
      <c r="O219" s="22" t="str">
        <f t="shared" si="23"/>
        <v/>
      </c>
    </row>
    <row r="220" spans="12:15" x14ac:dyDescent="0.35">
      <c r="L220" s="93" t="str">
        <f t="shared" si="20"/>
        <v/>
      </c>
      <c r="M220" s="22" t="str">
        <f t="shared" si="21"/>
        <v/>
      </c>
      <c r="N220" s="22" t="str">
        <f t="shared" si="22"/>
        <v/>
      </c>
      <c r="O220" s="22" t="str">
        <f t="shared" si="23"/>
        <v/>
      </c>
    </row>
    <row r="221" spans="12:15" x14ac:dyDescent="0.35">
      <c r="L221" s="93" t="str">
        <f t="shared" si="20"/>
        <v/>
      </c>
      <c r="M221" s="22" t="str">
        <f t="shared" si="21"/>
        <v/>
      </c>
      <c r="N221" s="22" t="str">
        <f t="shared" si="22"/>
        <v/>
      </c>
      <c r="O221" s="22" t="str">
        <f t="shared" si="23"/>
        <v/>
      </c>
    </row>
    <row r="222" spans="12:15" x14ac:dyDescent="0.35">
      <c r="L222" s="93" t="str">
        <f t="shared" si="20"/>
        <v/>
      </c>
      <c r="M222" s="22" t="str">
        <f t="shared" si="21"/>
        <v/>
      </c>
      <c r="N222" s="22" t="str">
        <f t="shared" si="22"/>
        <v/>
      </c>
      <c r="O222" s="22" t="str">
        <f t="shared" si="23"/>
        <v/>
      </c>
    </row>
    <row r="223" spans="12:15" x14ac:dyDescent="0.35">
      <c r="L223" s="93" t="str">
        <f t="shared" si="20"/>
        <v/>
      </c>
      <c r="M223" s="22" t="str">
        <f t="shared" si="21"/>
        <v/>
      </c>
      <c r="N223" s="22" t="str">
        <f t="shared" si="22"/>
        <v/>
      </c>
      <c r="O223" s="22" t="str">
        <f t="shared" si="23"/>
        <v/>
      </c>
    </row>
    <row r="224" spans="12:15" x14ac:dyDescent="0.35">
      <c r="L224" s="93" t="str">
        <f t="shared" si="20"/>
        <v/>
      </c>
      <c r="M224" s="22" t="str">
        <f t="shared" si="21"/>
        <v/>
      </c>
      <c r="N224" s="22" t="str">
        <f t="shared" si="22"/>
        <v/>
      </c>
      <c r="O224" s="22" t="str">
        <f t="shared" si="23"/>
        <v/>
      </c>
    </row>
    <row r="225" spans="12:15" x14ac:dyDescent="0.35">
      <c r="L225" s="93" t="str">
        <f t="shared" si="20"/>
        <v/>
      </c>
      <c r="M225" s="22" t="str">
        <f t="shared" si="21"/>
        <v/>
      </c>
      <c r="N225" s="22" t="str">
        <f t="shared" si="22"/>
        <v/>
      </c>
      <c r="O225" s="22" t="str">
        <f t="shared" si="23"/>
        <v/>
      </c>
    </row>
    <row r="226" spans="12:15" x14ac:dyDescent="0.35">
      <c r="L226" s="93" t="str">
        <f t="shared" si="20"/>
        <v/>
      </c>
      <c r="M226" s="22" t="str">
        <f t="shared" si="21"/>
        <v/>
      </c>
      <c r="N226" s="22" t="str">
        <f t="shared" si="22"/>
        <v/>
      </c>
      <c r="O226" s="22" t="str">
        <f t="shared" si="23"/>
        <v/>
      </c>
    </row>
    <row r="227" spans="12:15" x14ac:dyDescent="0.35">
      <c r="L227" s="93" t="str">
        <f t="shared" si="20"/>
        <v/>
      </c>
      <c r="M227" s="22" t="str">
        <f t="shared" si="21"/>
        <v/>
      </c>
      <c r="N227" s="22" t="str">
        <f t="shared" si="22"/>
        <v/>
      </c>
      <c r="O227" s="22" t="str">
        <f t="shared" si="23"/>
        <v/>
      </c>
    </row>
    <row r="228" spans="12:15" x14ac:dyDescent="0.35">
      <c r="L228" s="93" t="str">
        <f t="shared" si="20"/>
        <v/>
      </c>
      <c r="M228" s="22" t="str">
        <f t="shared" si="21"/>
        <v/>
      </c>
      <c r="N228" s="22" t="str">
        <f t="shared" si="22"/>
        <v/>
      </c>
      <c r="O228" s="22" t="str">
        <f t="shared" si="23"/>
        <v/>
      </c>
    </row>
    <row r="229" spans="12:15" x14ac:dyDescent="0.35">
      <c r="L229" s="93" t="str">
        <f t="shared" si="20"/>
        <v/>
      </c>
      <c r="M229" s="22" t="str">
        <f t="shared" si="21"/>
        <v/>
      </c>
      <c r="N229" s="22" t="str">
        <f t="shared" si="22"/>
        <v/>
      </c>
      <c r="O229" s="22" t="str">
        <f t="shared" si="23"/>
        <v/>
      </c>
    </row>
    <row r="230" spans="12:15" x14ac:dyDescent="0.35">
      <c r="L230" s="93" t="str">
        <f t="shared" si="20"/>
        <v/>
      </c>
      <c r="M230" s="22" t="str">
        <f t="shared" si="21"/>
        <v/>
      </c>
      <c r="N230" s="22" t="str">
        <f t="shared" si="22"/>
        <v/>
      </c>
      <c r="O230" s="22" t="str">
        <f t="shared" si="23"/>
        <v/>
      </c>
    </row>
    <row r="231" spans="12:15" x14ac:dyDescent="0.35">
      <c r="L231" s="93" t="str">
        <f t="shared" si="20"/>
        <v/>
      </c>
      <c r="M231" s="22" t="str">
        <f t="shared" si="21"/>
        <v/>
      </c>
      <c r="N231" s="22" t="str">
        <f t="shared" si="22"/>
        <v/>
      </c>
      <c r="O231" s="22" t="str">
        <f t="shared" si="23"/>
        <v/>
      </c>
    </row>
    <row r="232" spans="12:15" x14ac:dyDescent="0.35">
      <c r="L232" s="93" t="str">
        <f t="shared" si="20"/>
        <v/>
      </c>
      <c r="M232" s="22" t="str">
        <f t="shared" si="21"/>
        <v/>
      </c>
      <c r="N232" s="22" t="str">
        <f t="shared" si="22"/>
        <v/>
      </c>
      <c r="O232" s="22" t="str">
        <f t="shared" si="23"/>
        <v/>
      </c>
    </row>
    <row r="233" spans="12:15" x14ac:dyDescent="0.35">
      <c r="L233" s="93" t="str">
        <f t="shared" si="20"/>
        <v/>
      </c>
      <c r="M233" s="22" t="str">
        <f t="shared" si="21"/>
        <v/>
      </c>
      <c r="N233" s="22" t="str">
        <f t="shared" si="22"/>
        <v/>
      </c>
      <c r="O233" s="22" t="str">
        <f t="shared" si="23"/>
        <v/>
      </c>
    </row>
    <row r="234" spans="12:15" x14ac:dyDescent="0.35">
      <c r="L234" s="93" t="str">
        <f t="shared" si="20"/>
        <v/>
      </c>
      <c r="M234" s="22" t="str">
        <f t="shared" si="21"/>
        <v/>
      </c>
      <c r="N234" s="22" t="str">
        <f t="shared" si="22"/>
        <v/>
      </c>
      <c r="O234" s="22" t="str">
        <f t="shared" si="23"/>
        <v/>
      </c>
    </row>
    <row r="235" spans="12:15" x14ac:dyDescent="0.35">
      <c r="L235" s="93" t="str">
        <f t="shared" si="20"/>
        <v/>
      </c>
      <c r="M235" s="22" t="str">
        <f t="shared" si="21"/>
        <v/>
      </c>
      <c r="N235" s="22" t="str">
        <f t="shared" si="22"/>
        <v/>
      </c>
      <c r="O235" s="22" t="str">
        <f t="shared" si="23"/>
        <v/>
      </c>
    </row>
    <row r="236" spans="12:15" x14ac:dyDescent="0.35">
      <c r="L236" s="93" t="str">
        <f t="shared" si="20"/>
        <v/>
      </c>
      <c r="M236" s="22" t="str">
        <f t="shared" si="21"/>
        <v/>
      </c>
      <c r="N236" s="22" t="str">
        <f t="shared" si="22"/>
        <v/>
      </c>
      <c r="O236" s="22" t="str">
        <f t="shared" si="23"/>
        <v/>
      </c>
    </row>
    <row r="237" spans="12:15" x14ac:dyDescent="0.35">
      <c r="L237" s="93" t="str">
        <f t="shared" si="20"/>
        <v/>
      </c>
      <c r="M237" s="22" t="str">
        <f t="shared" si="21"/>
        <v/>
      </c>
      <c r="N237" s="22" t="str">
        <f t="shared" si="22"/>
        <v/>
      </c>
      <c r="O237" s="22" t="str">
        <f t="shared" si="23"/>
        <v/>
      </c>
    </row>
    <row r="238" spans="12:15" x14ac:dyDescent="0.35">
      <c r="L238" s="93" t="str">
        <f t="shared" si="20"/>
        <v/>
      </c>
      <c r="M238" s="22" t="str">
        <f t="shared" si="21"/>
        <v/>
      </c>
      <c r="N238" s="22" t="str">
        <f t="shared" si="22"/>
        <v/>
      </c>
      <c r="O238" s="22" t="str">
        <f t="shared" si="23"/>
        <v/>
      </c>
    </row>
    <row r="239" spans="12:15" x14ac:dyDescent="0.35">
      <c r="L239" s="93" t="str">
        <f t="shared" si="20"/>
        <v/>
      </c>
      <c r="M239" s="22" t="str">
        <f t="shared" si="21"/>
        <v/>
      </c>
      <c r="N239" s="22" t="str">
        <f t="shared" si="22"/>
        <v/>
      </c>
      <c r="O239" s="22" t="str">
        <f t="shared" si="23"/>
        <v/>
      </c>
    </row>
    <row r="240" spans="12:15" x14ac:dyDescent="0.35">
      <c r="L240" s="93" t="str">
        <f t="shared" si="20"/>
        <v/>
      </c>
      <c r="M240" s="22" t="str">
        <f t="shared" si="21"/>
        <v/>
      </c>
      <c r="N240" s="22" t="str">
        <f t="shared" si="22"/>
        <v/>
      </c>
      <c r="O240" s="22" t="str">
        <f t="shared" si="23"/>
        <v/>
      </c>
    </row>
    <row r="241" spans="12:15" x14ac:dyDescent="0.35">
      <c r="L241" s="93" t="str">
        <f t="shared" si="20"/>
        <v/>
      </c>
      <c r="M241" s="22" t="str">
        <f t="shared" si="21"/>
        <v/>
      </c>
      <c r="N241" s="22" t="str">
        <f t="shared" si="22"/>
        <v/>
      </c>
      <c r="O241" s="22" t="str">
        <f t="shared" si="23"/>
        <v/>
      </c>
    </row>
    <row r="242" spans="12:15" x14ac:dyDescent="0.35">
      <c r="L242" s="93" t="str">
        <f t="shared" si="20"/>
        <v/>
      </c>
      <c r="M242" s="22" t="str">
        <f t="shared" si="21"/>
        <v/>
      </c>
      <c r="N242" s="22" t="str">
        <f t="shared" si="22"/>
        <v/>
      </c>
      <c r="O242" s="22" t="str">
        <f t="shared" si="23"/>
        <v/>
      </c>
    </row>
    <row r="243" spans="12:15" x14ac:dyDescent="0.35">
      <c r="L243" s="93" t="str">
        <f t="shared" si="20"/>
        <v/>
      </c>
      <c r="M243" s="22" t="str">
        <f t="shared" si="21"/>
        <v/>
      </c>
      <c r="N243" s="22" t="str">
        <f t="shared" si="22"/>
        <v/>
      </c>
      <c r="O243" s="22" t="str">
        <f t="shared" si="23"/>
        <v/>
      </c>
    </row>
    <row r="244" spans="12:15" x14ac:dyDescent="0.35">
      <c r="L244" s="93" t="str">
        <f t="shared" si="20"/>
        <v/>
      </c>
      <c r="M244" s="22" t="str">
        <f t="shared" si="21"/>
        <v/>
      </c>
      <c r="N244" s="22" t="str">
        <f t="shared" si="22"/>
        <v/>
      </c>
      <c r="O244" s="22" t="str">
        <f t="shared" si="23"/>
        <v/>
      </c>
    </row>
    <row r="245" spans="12:15" x14ac:dyDescent="0.35">
      <c r="L245" s="93" t="str">
        <f t="shared" si="20"/>
        <v/>
      </c>
      <c r="M245" s="22" t="str">
        <f t="shared" si="21"/>
        <v/>
      </c>
      <c r="N245" s="22" t="str">
        <f t="shared" si="22"/>
        <v/>
      </c>
      <c r="O245" s="22" t="str">
        <f t="shared" si="23"/>
        <v/>
      </c>
    </row>
    <row r="246" spans="12:15" x14ac:dyDescent="0.35">
      <c r="L246" s="93" t="str">
        <f t="shared" si="20"/>
        <v/>
      </c>
      <c r="M246" s="22" t="str">
        <f t="shared" si="21"/>
        <v/>
      </c>
      <c r="N246" s="22" t="str">
        <f t="shared" si="22"/>
        <v/>
      </c>
      <c r="O246" s="22" t="str">
        <f t="shared" si="23"/>
        <v/>
      </c>
    </row>
    <row r="247" spans="12:15" x14ac:dyDescent="0.35">
      <c r="L247" s="93" t="str">
        <f t="shared" si="20"/>
        <v/>
      </c>
      <c r="M247" s="22" t="str">
        <f t="shared" si="21"/>
        <v/>
      </c>
      <c r="N247" s="22" t="str">
        <f t="shared" si="22"/>
        <v/>
      </c>
      <c r="O247" s="22" t="str">
        <f t="shared" si="23"/>
        <v/>
      </c>
    </row>
    <row r="248" spans="12:15" x14ac:dyDescent="0.35">
      <c r="L248" s="93" t="str">
        <f t="shared" si="20"/>
        <v/>
      </c>
      <c r="M248" s="22" t="str">
        <f t="shared" si="21"/>
        <v/>
      </c>
      <c r="N248" s="22" t="str">
        <f t="shared" si="22"/>
        <v/>
      </c>
      <c r="O248" s="22" t="str">
        <f t="shared" si="23"/>
        <v/>
      </c>
    </row>
    <row r="249" spans="12:15" x14ac:dyDescent="0.35">
      <c r="L249" s="93" t="str">
        <f t="shared" si="20"/>
        <v/>
      </c>
      <c r="M249" s="22" t="str">
        <f t="shared" si="21"/>
        <v/>
      </c>
      <c r="N249" s="22" t="str">
        <f t="shared" si="22"/>
        <v/>
      </c>
      <c r="O249" s="22" t="str">
        <f t="shared" si="23"/>
        <v/>
      </c>
    </row>
    <row r="250" spans="12:15" x14ac:dyDescent="0.35">
      <c r="L250" s="93" t="str">
        <f t="shared" si="20"/>
        <v/>
      </c>
      <c r="M250" s="22" t="str">
        <f t="shared" si="21"/>
        <v/>
      </c>
      <c r="N250" s="22" t="str">
        <f t="shared" si="22"/>
        <v/>
      </c>
      <c r="O250" s="22" t="str">
        <f t="shared" si="23"/>
        <v/>
      </c>
    </row>
    <row r="251" spans="12:15" x14ac:dyDescent="0.35">
      <c r="L251" s="93" t="str">
        <f t="shared" si="20"/>
        <v/>
      </c>
      <c r="M251" s="22" t="str">
        <f t="shared" si="21"/>
        <v/>
      </c>
      <c r="N251" s="22" t="str">
        <f t="shared" si="22"/>
        <v/>
      </c>
      <c r="O251" s="22" t="str">
        <f t="shared" si="23"/>
        <v/>
      </c>
    </row>
    <row r="252" spans="12:15" x14ac:dyDescent="0.35">
      <c r="L252" s="93" t="str">
        <f t="shared" si="20"/>
        <v/>
      </c>
      <c r="M252" s="22" t="str">
        <f t="shared" si="21"/>
        <v/>
      </c>
      <c r="N252" s="22" t="str">
        <f t="shared" si="22"/>
        <v/>
      </c>
      <c r="O252" s="22" t="str">
        <f t="shared" si="23"/>
        <v/>
      </c>
    </row>
    <row r="253" spans="12:15" x14ac:dyDescent="0.35">
      <c r="L253" s="93" t="str">
        <f t="shared" si="20"/>
        <v/>
      </c>
      <c r="M253" s="22" t="str">
        <f t="shared" si="21"/>
        <v/>
      </c>
      <c r="N253" s="22" t="str">
        <f t="shared" si="22"/>
        <v/>
      </c>
      <c r="O253" s="22" t="str">
        <f t="shared" si="23"/>
        <v/>
      </c>
    </row>
    <row r="254" spans="12:15" x14ac:dyDescent="0.35">
      <c r="L254" s="93" t="str">
        <f t="shared" si="20"/>
        <v/>
      </c>
      <c r="M254" s="22" t="str">
        <f t="shared" si="21"/>
        <v/>
      </c>
      <c r="N254" s="22" t="str">
        <f t="shared" si="22"/>
        <v/>
      </c>
      <c r="O254" s="22" t="str">
        <f t="shared" si="23"/>
        <v/>
      </c>
    </row>
    <row r="255" spans="12:15" x14ac:dyDescent="0.35">
      <c r="L255" s="93" t="str">
        <f t="shared" si="20"/>
        <v/>
      </c>
      <c r="M255" s="22" t="str">
        <f t="shared" si="21"/>
        <v/>
      </c>
      <c r="N255" s="22" t="str">
        <f t="shared" si="22"/>
        <v/>
      </c>
      <c r="O255" s="22" t="str">
        <f t="shared" si="23"/>
        <v/>
      </c>
    </row>
    <row r="256" spans="12:15" x14ac:dyDescent="0.35">
      <c r="L256" s="93" t="str">
        <f t="shared" si="20"/>
        <v/>
      </c>
      <c r="M256" s="22" t="str">
        <f t="shared" si="21"/>
        <v/>
      </c>
      <c r="N256" s="22" t="str">
        <f t="shared" si="22"/>
        <v/>
      </c>
      <c r="O256" s="22" t="str">
        <f t="shared" si="23"/>
        <v/>
      </c>
    </row>
    <row r="257" spans="12:15" x14ac:dyDescent="0.35">
      <c r="L257" s="93" t="str">
        <f t="shared" si="20"/>
        <v/>
      </c>
      <c r="M257" s="22" t="str">
        <f t="shared" si="21"/>
        <v/>
      </c>
      <c r="N257" s="22" t="str">
        <f t="shared" si="22"/>
        <v/>
      </c>
      <c r="O257" s="22" t="str">
        <f t="shared" si="23"/>
        <v/>
      </c>
    </row>
    <row r="258" spans="12:15" x14ac:dyDescent="0.35">
      <c r="L258" s="93" t="str">
        <f t="shared" si="20"/>
        <v/>
      </c>
      <c r="M258" s="22" t="str">
        <f t="shared" si="21"/>
        <v/>
      </c>
      <c r="N258" s="22" t="str">
        <f t="shared" si="22"/>
        <v/>
      </c>
      <c r="O258" s="22" t="str">
        <f t="shared" si="23"/>
        <v/>
      </c>
    </row>
    <row r="259" spans="12:15" x14ac:dyDescent="0.35">
      <c r="L259" s="93" t="str">
        <f t="shared" ref="L259:L322" si="24">IF(C259="","",IF(F259="","Facture reçue",IF(H259="","PR",IF(J259="","PO","Posted and unpaid"))))</f>
        <v/>
      </c>
      <c r="M259" s="22" t="str">
        <f t="shared" ref="M259:M322" si="25">IF(C259="","",IF(F259="","La facture a été reçue et est en attente de création du PR.",IF(H259="","Le PR a été renseigné ; en attente de création du bon de commande (PO).",IF(J259="","Le PO a été renseigné ; en attente du bon de réception (GRN).","Facture comptabilisée et non payée."))))</f>
        <v/>
      </c>
      <c r="N259" s="22" t="str">
        <f t="shared" ref="N259:N322" si="26">IF(C259="","",IF(F259="","Facture reçue",IF(H259="","unpaid",IF(J259="","unpaid",IF(L259="","Posted and unpaid","paid")))))</f>
        <v/>
      </c>
      <c r="O259" s="22" t="str">
        <f t="shared" ref="O259:O322" si="27">IF(C259="","",IF(F259="","La facture a été reçue et est en attente de création du PR.",IF(H259="","Le PR a été renseigné ; facture non payée, en attente du bon de commande (PO).",IF(J259="","Le PO a été renseigné ; facture non payée, en attente du bon de réception (GRN).",IF(L259="","Le GRN a été renseigné ; facture comptabilisée et non payée.","Le paiement a été enregistré ; facture payée.")))))</f>
        <v/>
      </c>
    </row>
    <row r="260" spans="12:15" x14ac:dyDescent="0.35">
      <c r="L260" s="93" t="str">
        <f t="shared" si="24"/>
        <v/>
      </c>
      <c r="M260" s="22" t="str">
        <f t="shared" si="25"/>
        <v/>
      </c>
      <c r="N260" s="22" t="str">
        <f t="shared" si="26"/>
        <v/>
      </c>
      <c r="O260" s="22" t="str">
        <f t="shared" si="27"/>
        <v/>
      </c>
    </row>
    <row r="261" spans="12:15" x14ac:dyDescent="0.35">
      <c r="L261" s="93" t="str">
        <f t="shared" si="24"/>
        <v/>
      </c>
      <c r="M261" s="22" t="str">
        <f t="shared" si="25"/>
        <v/>
      </c>
      <c r="N261" s="22" t="str">
        <f t="shared" si="26"/>
        <v/>
      </c>
      <c r="O261" s="22" t="str">
        <f t="shared" si="27"/>
        <v/>
      </c>
    </row>
    <row r="262" spans="12:15" x14ac:dyDescent="0.35">
      <c r="L262" s="93" t="str">
        <f t="shared" si="24"/>
        <v/>
      </c>
      <c r="M262" s="22" t="str">
        <f t="shared" si="25"/>
        <v/>
      </c>
      <c r="N262" s="22" t="str">
        <f t="shared" si="26"/>
        <v/>
      </c>
      <c r="O262" s="22" t="str">
        <f t="shared" si="27"/>
        <v/>
      </c>
    </row>
    <row r="263" spans="12:15" x14ac:dyDescent="0.35">
      <c r="L263" s="93" t="str">
        <f t="shared" si="24"/>
        <v/>
      </c>
      <c r="M263" s="22" t="str">
        <f t="shared" si="25"/>
        <v/>
      </c>
      <c r="N263" s="22" t="str">
        <f t="shared" si="26"/>
        <v/>
      </c>
      <c r="O263" s="22" t="str">
        <f t="shared" si="27"/>
        <v/>
      </c>
    </row>
    <row r="264" spans="12:15" x14ac:dyDescent="0.35">
      <c r="L264" s="93" t="str">
        <f t="shared" si="24"/>
        <v/>
      </c>
      <c r="M264" s="22" t="str">
        <f t="shared" si="25"/>
        <v/>
      </c>
      <c r="N264" s="22" t="str">
        <f t="shared" si="26"/>
        <v/>
      </c>
      <c r="O264" s="22" t="str">
        <f t="shared" si="27"/>
        <v/>
      </c>
    </row>
    <row r="265" spans="12:15" x14ac:dyDescent="0.35">
      <c r="L265" s="93" t="str">
        <f t="shared" si="24"/>
        <v/>
      </c>
      <c r="M265" s="22" t="str">
        <f t="shared" si="25"/>
        <v/>
      </c>
      <c r="N265" s="22" t="str">
        <f t="shared" si="26"/>
        <v/>
      </c>
      <c r="O265" s="22" t="str">
        <f t="shared" si="27"/>
        <v/>
      </c>
    </row>
    <row r="266" spans="12:15" x14ac:dyDescent="0.35">
      <c r="L266" s="93" t="str">
        <f t="shared" si="24"/>
        <v/>
      </c>
      <c r="M266" s="22" t="str">
        <f t="shared" si="25"/>
        <v/>
      </c>
      <c r="N266" s="22" t="str">
        <f t="shared" si="26"/>
        <v/>
      </c>
      <c r="O266" s="22" t="str">
        <f t="shared" si="27"/>
        <v/>
      </c>
    </row>
    <row r="267" spans="12:15" x14ac:dyDescent="0.35">
      <c r="L267" s="93" t="str">
        <f t="shared" si="24"/>
        <v/>
      </c>
      <c r="M267" s="22" t="str">
        <f t="shared" si="25"/>
        <v/>
      </c>
      <c r="N267" s="22" t="str">
        <f t="shared" si="26"/>
        <v/>
      </c>
      <c r="O267" s="22" t="str">
        <f t="shared" si="27"/>
        <v/>
      </c>
    </row>
    <row r="268" spans="12:15" x14ac:dyDescent="0.35">
      <c r="L268" s="93" t="str">
        <f t="shared" si="24"/>
        <v/>
      </c>
      <c r="M268" s="22" t="str">
        <f t="shared" si="25"/>
        <v/>
      </c>
      <c r="N268" s="22" t="str">
        <f t="shared" si="26"/>
        <v/>
      </c>
      <c r="O268" s="22" t="str">
        <f t="shared" si="27"/>
        <v/>
      </c>
    </row>
    <row r="269" spans="12:15" x14ac:dyDescent="0.35">
      <c r="L269" s="93" t="str">
        <f t="shared" si="24"/>
        <v/>
      </c>
      <c r="M269" s="22" t="str">
        <f t="shared" si="25"/>
        <v/>
      </c>
      <c r="N269" s="22" t="str">
        <f t="shared" si="26"/>
        <v/>
      </c>
      <c r="O269" s="22" t="str">
        <f t="shared" si="27"/>
        <v/>
      </c>
    </row>
    <row r="270" spans="12:15" x14ac:dyDescent="0.35">
      <c r="L270" s="93" t="str">
        <f t="shared" si="24"/>
        <v/>
      </c>
      <c r="M270" s="22" t="str">
        <f t="shared" si="25"/>
        <v/>
      </c>
      <c r="N270" s="22" t="str">
        <f t="shared" si="26"/>
        <v/>
      </c>
      <c r="O270" s="22" t="str">
        <f t="shared" si="27"/>
        <v/>
      </c>
    </row>
    <row r="271" spans="12:15" x14ac:dyDescent="0.35">
      <c r="L271" s="93" t="str">
        <f t="shared" si="24"/>
        <v/>
      </c>
      <c r="M271" s="22" t="str">
        <f t="shared" si="25"/>
        <v/>
      </c>
      <c r="N271" s="22" t="str">
        <f t="shared" si="26"/>
        <v/>
      </c>
      <c r="O271" s="22" t="str">
        <f t="shared" si="27"/>
        <v/>
      </c>
    </row>
    <row r="272" spans="12:15" x14ac:dyDescent="0.35">
      <c r="L272" s="93" t="str">
        <f t="shared" si="24"/>
        <v/>
      </c>
      <c r="M272" s="22" t="str">
        <f t="shared" si="25"/>
        <v/>
      </c>
      <c r="N272" s="22" t="str">
        <f t="shared" si="26"/>
        <v/>
      </c>
      <c r="O272" s="22" t="str">
        <f t="shared" si="27"/>
        <v/>
      </c>
    </row>
    <row r="273" spans="12:15" x14ac:dyDescent="0.35">
      <c r="L273" s="93" t="str">
        <f t="shared" si="24"/>
        <v/>
      </c>
      <c r="M273" s="22" t="str">
        <f t="shared" si="25"/>
        <v/>
      </c>
      <c r="N273" s="22" t="str">
        <f t="shared" si="26"/>
        <v/>
      </c>
      <c r="O273" s="22" t="str">
        <f t="shared" si="27"/>
        <v/>
      </c>
    </row>
    <row r="274" spans="12:15" x14ac:dyDescent="0.35">
      <c r="L274" s="93" t="str">
        <f t="shared" si="24"/>
        <v/>
      </c>
      <c r="M274" s="22" t="str">
        <f t="shared" si="25"/>
        <v/>
      </c>
      <c r="N274" s="22" t="str">
        <f t="shared" si="26"/>
        <v/>
      </c>
      <c r="O274" s="22" t="str">
        <f t="shared" si="27"/>
        <v/>
      </c>
    </row>
    <row r="275" spans="12:15" x14ac:dyDescent="0.35">
      <c r="L275" s="93" t="str">
        <f t="shared" si="24"/>
        <v/>
      </c>
      <c r="M275" s="22" t="str">
        <f t="shared" si="25"/>
        <v/>
      </c>
      <c r="N275" s="22" t="str">
        <f t="shared" si="26"/>
        <v/>
      </c>
      <c r="O275" s="22" t="str">
        <f t="shared" si="27"/>
        <v/>
      </c>
    </row>
    <row r="276" spans="12:15" x14ac:dyDescent="0.35">
      <c r="L276" s="93" t="str">
        <f t="shared" si="24"/>
        <v/>
      </c>
      <c r="M276" s="22" t="str">
        <f t="shared" si="25"/>
        <v/>
      </c>
      <c r="N276" s="22" t="str">
        <f t="shared" si="26"/>
        <v/>
      </c>
      <c r="O276" s="22" t="str">
        <f t="shared" si="27"/>
        <v/>
      </c>
    </row>
    <row r="277" spans="12:15" x14ac:dyDescent="0.35">
      <c r="L277" s="93" t="str">
        <f t="shared" si="24"/>
        <v/>
      </c>
      <c r="M277" s="22" t="str">
        <f t="shared" si="25"/>
        <v/>
      </c>
      <c r="N277" s="22" t="str">
        <f t="shared" si="26"/>
        <v/>
      </c>
      <c r="O277" s="22" t="str">
        <f t="shared" si="27"/>
        <v/>
      </c>
    </row>
    <row r="278" spans="12:15" x14ac:dyDescent="0.35">
      <c r="L278" s="93" t="str">
        <f t="shared" si="24"/>
        <v/>
      </c>
      <c r="M278" s="22" t="str">
        <f t="shared" si="25"/>
        <v/>
      </c>
      <c r="N278" s="22" t="str">
        <f t="shared" si="26"/>
        <v/>
      </c>
      <c r="O278" s="22" t="str">
        <f t="shared" si="27"/>
        <v/>
      </c>
    </row>
    <row r="279" spans="12:15" x14ac:dyDescent="0.35">
      <c r="L279" s="93" t="str">
        <f t="shared" si="24"/>
        <v/>
      </c>
      <c r="M279" s="22" t="str">
        <f t="shared" si="25"/>
        <v/>
      </c>
      <c r="N279" s="22" t="str">
        <f t="shared" si="26"/>
        <v/>
      </c>
      <c r="O279" s="22" t="str">
        <f t="shared" si="27"/>
        <v/>
      </c>
    </row>
    <row r="280" spans="12:15" x14ac:dyDescent="0.35">
      <c r="L280" s="93" t="str">
        <f t="shared" si="24"/>
        <v/>
      </c>
      <c r="M280" s="22" t="str">
        <f t="shared" si="25"/>
        <v/>
      </c>
      <c r="N280" s="22" t="str">
        <f t="shared" si="26"/>
        <v/>
      </c>
      <c r="O280" s="22" t="str">
        <f t="shared" si="27"/>
        <v/>
      </c>
    </row>
    <row r="281" spans="12:15" x14ac:dyDescent="0.35">
      <c r="L281" s="93" t="str">
        <f t="shared" si="24"/>
        <v/>
      </c>
      <c r="M281" s="22" t="str">
        <f t="shared" si="25"/>
        <v/>
      </c>
      <c r="N281" s="22" t="str">
        <f t="shared" si="26"/>
        <v/>
      </c>
      <c r="O281" s="22" t="str">
        <f t="shared" si="27"/>
        <v/>
      </c>
    </row>
    <row r="282" spans="12:15" x14ac:dyDescent="0.35">
      <c r="L282" s="93" t="str">
        <f t="shared" si="24"/>
        <v/>
      </c>
      <c r="M282" s="22" t="str">
        <f t="shared" si="25"/>
        <v/>
      </c>
      <c r="N282" s="22" t="str">
        <f t="shared" si="26"/>
        <v/>
      </c>
      <c r="O282" s="22" t="str">
        <f t="shared" si="27"/>
        <v/>
      </c>
    </row>
    <row r="283" spans="12:15" x14ac:dyDescent="0.35">
      <c r="L283" s="93" t="str">
        <f t="shared" si="24"/>
        <v/>
      </c>
      <c r="M283" s="22" t="str">
        <f t="shared" si="25"/>
        <v/>
      </c>
      <c r="N283" s="22" t="str">
        <f t="shared" si="26"/>
        <v/>
      </c>
      <c r="O283" s="22" t="str">
        <f t="shared" si="27"/>
        <v/>
      </c>
    </row>
    <row r="284" spans="12:15" x14ac:dyDescent="0.35">
      <c r="L284" s="93" t="str">
        <f t="shared" si="24"/>
        <v/>
      </c>
      <c r="M284" s="22" t="str">
        <f t="shared" si="25"/>
        <v/>
      </c>
      <c r="N284" s="22" t="str">
        <f t="shared" si="26"/>
        <v/>
      </c>
      <c r="O284" s="22" t="str">
        <f t="shared" si="27"/>
        <v/>
      </c>
    </row>
    <row r="285" spans="12:15" x14ac:dyDescent="0.35">
      <c r="L285" s="93" t="str">
        <f t="shared" si="24"/>
        <v/>
      </c>
      <c r="M285" s="22" t="str">
        <f t="shared" si="25"/>
        <v/>
      </c>
      <c r="N285" s="22" t="str">
        <f t="shared" si="26"/>
        <v/>
      </c>
      <c r="O285" s="22" t="str">
        <f t="shared" si="27"/>
        <v/>
      </c>
    </row>
    <row r="286" spans="12:15" x14ac:dyDescent="0.35">
      <c r="L286" s="93" t="str">
        <f t="shared" si="24"/>
        <v/>
      </c>
      <c r="M286" s="22" t="str">
        <f t="shared" si="25"/>
        <v/>
      </c>
      <c r="N286" s="22" t="str">
        <f t="shared" si="26"/>
        <v/>
      </c>
      <c r="O286" s="22" t="str">
        <f t="shared" si="27"/>
        <v/>
      </c>
    </row>
    <row r="287" spans="12:15" x14ac:dyDescent="0.35">
      <c r="L287" s="93" t="str">
        <f t="shared" si="24"/>
        <v/>
      </c>
      <c r="M287" s="22" t="str">
        <f t="shared" si="25"/>
        <v/>
      </c>
      <c r="N287" s="22" t="str">
        <f t="shared" si="26"/>
        <v/>
      </c>
      <c r="O287" s="22" t="str">
        <f t="shared" si="27"/>
        <v/>
      </c>
    </row>
    <row r="288" spans="12:15" x14ac:dyDescent="0.35">
      <c r="L288" s="93" t="str">
        <f t="shared" si="24"/>
        <v/>
      </c>
      <c r="M288" s="22" t="str">
        <f t="shared" si="25"/>
        <v/>
      </c>
      <c r="N288" s="22" t="str">
        <f t="shared" si="26"/>
        <v/>
      </c>
      <c r="O288" s="22" t="str">
        <f t="shared" si="27"/>
        <v/>
      </c>
    </row>
    <row r="289" spans="12:15" x14ac:dyDescent="0.35">
      <c r="L289" s="93" t="str">
        <f t="shared" si="24"/>
        <v/>
      </c>
      <c r="M289" s="22" t="str">
        <f t="shared" si="25"/>
        <v/>
      </c>
      <c r="N289" s="22" t="str">
        <f t="shared" si="26"/>
        <v/>
      </c>
      <c r="O289" s="22" t="str">
        <f t="shared" si="27"/>
        <v/>
      </c>
    </row>
    <row r="290" spans="12:15" x14ac:dyDescent="0.35">
      <c r="L290" s="93" t="str">
        <f t="shared" si="24"/>
        <v/>
      </c>
      <c r="M290" s="22" t="str">
        <f t="shared" si="25"/>
        <v/>
      </c>
      <c r="N290" s="22" t="str">
        <f t="shared" si="26"/>
        <v/>
      </c>
      <c r="O290" s="22" t="str">
        <f t="shared" si="27"/>
        <v/>
      </c>
    </row>
    <row r="291" spans="12:15" x14ac:dyDescent="0.35">
      <c r="L291" s="93" t="str">
        <f t="shared" si="24"/>
        <v/>
      </c>
      <c r="M291" s="22" t="str">
        <f t="shared" si="25"/>
        <v/>
      </c>
      <c r="N291" s="22" t="str">
        <f t="shared" si="26"/>
        <v/>
      </c>
      <c r="O291" s="22" t="str">
        <f t="shared" si="27"/>
        <v/>
      </c>
    </row>
    <row r="292" spans="12:15" x14ac:dyDescent="0.35">
      <c r="L292" s="93" t="str">
        <f t="shared" si="24"/>
        <v/>
      </c>
      <c r="M292" s="22" t="str">
        <f t="shared" si="25"/>
        <v/>
      </c>
      <c r="N292" s="22" t="str">
        <f t="shared" si="26"/>
        <v/>
      </c>
      <c r="O292" s="22" t="str">
        <f t="shared" si="27"/>
        <v/>
      </c>
    </row>
    <row r="293" spans="12:15" x14ac:dyDescent="0.35">
      <c r="L293" s="93" t="str">
        <f t="shared" si="24"/>
        <v/>
      </c>
      <c r="M293" s="22" t="str">
        <f t="shared" si="25"/>
        <v/>
      </c>
      <c r="N293" s="22" t="str">
        <f t="shared" si="26"/>
        <v/>
      </c>
      <c r="O293" s="22" t="str">
        <f t="shared" si="27"/>
        <v/>
      </c>
    </row>
    <row r="294" spans="12:15" x14ac:dyDescent="0.35">
      <c r="L294" s="93" t="str">
        <f t="shared" si="24"/>
        <v/>
      </c>
      <c r="M294" s="22" t="str">
        <f t="shared" si="25"/>
        <v/>
      </c>
      <c r="N294" s="22" t="str">
        <f t="shared" si="26"/>
        <v/>
      </c>
      <c r="O294" s="22" t="str">
        <f t="shared" si="27"/>
        <v/>
      </c>
    </row>
    <row r="295" spans="12:15" x14ac:dyDescent="0.35">
      <c r="L295" s="93" t="str">
        <f t="shared" si="24"/>
        <v/>
      </c>
      <c r="M295" s="22" t="str">
        <f t="shared" si="25"/>
        <v/>
      </c>
      <c r="N295" s="22" t="str">
        <f t="shared" si="26"/>
        <v/>
      </c>
      <c r="O295" s="22" t="str">
        <f t="shared" si="27"/>
        <v/>
      </c>
    </row>
    <row r="296" spans="12:15" x14ac:dyDescent="0.35">
      <c r="L296" s="93" t="str">
        <f t="shared" si="24"/>
        <v/>
      </c>
      <c r="M296" s="22" t="str">
        <f t="shared" si="25"/>
        <v/>
      </c>
      <c r="N296" s="22" t="str">
        <f t="shared" si="26"/>
        <v/>
      </c>
      <c r="O296" s="22" t="str">
        <f t="shared" si="27"/>
        <v/>
      </c>
    </row>
    <row r="297" spans="12:15" x14ac:dyDescent="0.35">
      <c r="L297" s="93" t="str">
        <f t="shared" si="24"/>
        <v/>
      </c>
      <c r="M297" s="22" t="str">
        <f t="shared" si="25"/>
        <v/>
      </c>
      <c r="N297" s="22" t="str">
        <f t="shared" si="26"/>
        <v/>
      </c>
      <c r="O297" s="22" t="str">
        <f t="shared" si="27"/>
        <v/>
      </c>
    </row>
    <row r="298" spans="12:15" x14ac:dyDescent="0.35">
      <c r="L298" s="93" t="str">
        <f t="shared" si="24"/>
        <v/>
      </c>
      <c r="M298" s="22" t="str">
        <f t="shared" si="25"/>
        <v/>
      </c>
      <c r="N298" s="22" t="str">
        <f t="shared" si="26"/>
        <v/>
      </c>
      <c r="O298" s="22" t="str">
        <f t="shared" si="27"/>
        <v/>
      </c>
    </row>
    <row r="299" spans="12:15" x14ac:dyDescent="0.35">
      <c r="L299" s="93" t="str">
        <f t="shared" si="24"/>
        <v/>
      </c>
      <c r="M299" s="22" t="str">
        <f t="shared" si="25"/>
        <v/>
      </c>
      <c r="N299" s="22" t="str">
        <f t="shared" si="26"/>
        <v/>
      </c>
      <c r="O299" s="22" t="str">
        <f t="shared" si="27"/>
        <v/>
      </c>
    </row>
    <row r="300" spans="12:15" x14ac:dyDescent="0.35">
      <c r="L300" s="93" t="str">
        <f t="shared" si="24"/>
        <v/>
      </c>
      <c r="M300" s="22" t="str">
        <f t="shared" si="25"/>
        <v/>
      </c>
      <c r="N300" s="22" t="str">
        <f t="shared" si="26"/>
        <v/>
      </c>
      <c r="O300" s="22" t="str">
        <f t="shared" si="27"/>
        <v/>
      </c>
    </row>
    <row r="301" spans="12:15" x14ac:dyDescent="0.35">
      <c r="L301" s="93" t="str">
        <f t="shared" si="24"/>
        <v/>
      </c>
      <c r="M301" s="22" t="str">
        <f t="shared" si="25"/>
        <v/>
      </c>
      <c r="N301" s="22" t="str">
        <f t="shared" si="26"/>
        <v/>
      </c>
      <c r="O301" s="22" t="str">
        <f t="shared" si="27"/>
        <v/>
      </c>
    </row>
    <row r="302" spans="12:15" x14ac:dyDescent="0.35">
      <c r="L302" s="93" t="str">
        <f t="shared" si="24"/>
        <v/>
      </c>
      <c r="M302" s="22" t="str">
        <f t="shared" si="25"/>
        <v/>
      </c>
      <c r="N302" s="22" t="str">
        <f t="shared" si="26"/>
        <v/>
      </c>
      <c r="O302" s="22" t="str">
        <f t="shared" si="27"/>
        <v/>
      </c>
    </row>
    <row r="303" spans="12:15" x14ac:dyDescent="0.35">
      <c r="L303" s="93" t="str">
        <f t="shared" si="24"/>
        <v/>
      </c>
      <c r="M303" s="22" t="str">
        <f t="shared" si="25"/>
        <v/>
      </c>
      <c r="N303" s="22" t="str">
        <f t="shared" si="26"/>
        <v/>
      </c>
      <c r="O303" s="22" t="str">
        <f t="shared" si="27"/>
        <v/>
      </c>
    </row>
    <row r="304" spans="12:15" x14ac:dyDescent="0.35">
      <c r="L304" s="93" t="str">
        <f t="shared" si="24"/>
        <v/>
      </c>
      <c r="M304" s="22" t="str">
        <f t="shared" si="25"/>
        <v/>
      </c>
      <c r="N304" s="22" t="str">
        <f t="shared" si="26"/>
        <v/>
      </c>
      <c r="O304" s="22" t="str">
        <f t="shared" si="27"/>
        <v/>
      </c>
    </row>
    <row r="305" spans="12:15" x14ac:dyDescent="0.35">
      <c r="L305" s="93" t="str">
        <f t="shared" si="24"/>
        <v/>
      </c>
      <c r="M305" s="22" t="str">
        <f t="shared" si="25"/>
        <v/>
      </c>
      <c r="N305" s="22" t="str">
        <f t="shared" si="26"/>
        <v/>
      </c>
      <c r="O305" s="22" t="str">
        <f t="shared" si="27"/>
        <v/>
      </c>
    </row>
    <row r="306" spans="12:15" x14ac:dyDescent="0.35">
      <c r="L306" s="93" t="str">
        <f t="shared" si="24"/>
        <v/>
      </c>
      <c r="M306" s="22" t="str">
        <f t="shared" si="25"/>
        <v/>
      </c>
      <c r="N306" s="22" t="str">
        <f t="shared" si="26"/>
        <v/>
      </c>
      <c r="O306" s="22" t="str">
        <f t="shared" si="27"/>
        <v/>
      </c>
    </row>
    <row r="307" spans="12:15" x14ac:dyDescent="0.35">
      <c r="L307" s="93" t="str">
        <f t="shared" si="24"/>
        <v/>
      </c>
      <c r="M307" s="22" t="str">
        <f t="shared" si="25"/>
        <v/>
      </c>
      <c r="N307" s="22" t="str">
        <f t="shared" si="26"/>
        <v/>
      </c>
      <c r="O307" s="22" t="str">
        <f t="shared" si="27"/>
        <v/>
      </c>
    </row>
    <row r="308" spans="12:15" x14ac:dyDescent="0.35">
      <c r="L308" s="93" t="str">
        <f t="shared" si="24"/>
        <v/>
      </c>
      <c r="M308" s="22" t="str">
        <f t="shared" si="25"/>
        <v/>
      </c>
      <c r="N308" s="22" t="str">
        <f t="shared" si="26"/>
        <v/>
      </c>
      <c r="O308" s="22" t="str">
        <f t="shared" si="27"/>
        <v/>
      </c>
    </row>
    <row r="309" spans="12:15" x14ac:dyDescent="0.35">
      <c r="L309" s="93" t="str">
        <f t="shared" si="24"/>
        <v/>
      </c>
      <c r="M309" s="22" t="str">
        <f t="shared" si="25"/>
        <v/>
      </c>
      <c r="N309" s="22" t="str">
        <f t="shared" si="26"/>
        <v/>
      </c>
      <c r="O309" s="22" t="str">
        <f t="shared" si="27"/>
        <v/>
      </c>
    </row>
    <row r="310" spans="12:15" x14ac:dyDescent="0.35">
      <c r="L310" s="93" t="str">
        <f t="shared" si="24"/>
        <v/>
      </c>
      <c r="M310" s="22" t="str">
        <f t="shared" si="25"/>
        <v/>
      </c>
      <c r="N310" s="22" t="str">
        <f t="shared" si="26"/>
        <v/>
      </c>
      <c r="O310" s="22" t="str">
        <f t="shared" si="27"/>
        <v/>
      </c>
    </row>
    <row r="311" spans="12:15" x14ac:dyDescent="0.35">
      <c r="L311" s="93" t="str">
        <f t="shared" si="24"/>
        <v/>
      </c>
      <c r="M311" s="22" t="str">
        <f t="shared" si="25"/>
        <v/>
      </c>
      <c r="N311" s="22" t="str">
        <f t="shared" si="26"/>
        <v/>
      </c>
      <c r="O311" s="22" t="str">
        <f t="shared" si="27"/>
        <v/>
      </c>
    </row>
    <row r="312" spans="12:15" x14ac:dyDescent="0.35">
      <c r="L312" s="93" t="str">
        <f t="shared" si="24"/>
        <v/>
      </c>
      <c r="M312" s="22" t="str">
        <f t="shared" si="25"/>
        <v/>
      </c>
      <c r="N312" s="22" t="str">
        <f t="shared" si="26"/>
        <v/>
      </c>
      <c r="O312" s="22" t="str">
        <f t="shared" si="27"/>
        <v/>
      </c>
    </row>
    <row r="313" spans="12:15" x14ac:dyDescent="0.35">
      <c r="L313" s="93" t="str">
        <f t="shared" si="24"/>
        <v/>
      </c>
      <c r="M313" s="22" t="str">
        <f t="shared" si="25"/>
        <v/>
      </c>
      <c r="N313" s="22" t="str">
        <f t="shared" si="26"/>
        <v/>
      </c>
      <c r="O313" s="22" t="str">
        <f t="shared" si="27"/>
        <v/>
      </c>
    </row>
    <row r="314" spans="12:15" x14ac:dyDescent="0.35">
      <c r="L314" s="93" t="str">
        <f t="shared" si="24"/>
        <v/>
      </c>
      <c r="M314" s="22" t="str">
        <f t="shared" si="25"/>
        <v/>
      </c>
      <c r="N314" s="22" t="str">
        <f t="shared" si="26"/>
        <v/>
      </c>
      <c r="O314" s="22" t="str">
        <f t="shared" si="27"/>
        <v/>
      </c>
    </row>
    <row r="315" spans="12:15" x14ac:dyDescent="0.35">
      <c r="L315" s="93" t="str">
        <f t="shared" si="24"/>
        <v/>
      </c>
      <c r="M315" s="22" t="str">
        <f t="shared" si="25"/>
        <v/>
      </c>
      <c r="N315" s="22" t="str">
        <f t="shared" si="26"/>
        <v/>
      </c>
      <c r="O315" s="22" t="str">
        <f t="shared" si="27"/>
        <v/>
      </c>
    </row>
    <row r="316" spans="12:15" x14ac:dyDescent="0.35">
      <c r="L316" s="93" t="str">
        <f t="shared" si="24"/>
        <v/>
      </c>
      <c r="M316" s="22" t="str">
        <f t="shared" si="25"/>
        <v/>
      </c>
      <c r="N316" s="22" t="str">
        <f t="shared" si="26"/>
        <v/>
      </c>
      <c r="O316" s="22" t="str">
        <f t="shared" si="27"/>
        <v/>
      </c>
    </row>
    <row r="317" spans="12:15" x14ac:dyDescent="0.35">
      <c r="L317" s="93" t="str">
        <f t="shared" si="24"/>
        <v/>
      </c>
      <c r="M317" s="22" t="str">
        <f t="shared" si="25"/>
        <v/>
      </c>
      <c r="N317" s="22" t="str">
        <f t="shared" si="26"/>
        <v/>
      </c>
      <c r="O317" s="22" t="str">
        <f t="shared" si="27"/>
        <v/>
      </c>
    </row>
    <row r="318" spans="12:15" x14ac:dyDescent="0.35">
      <c r="L318" s="93" t="str">
        <f t="shared" si="24"/>
        <v/>
      </c>
      <c r="M318" s="22" t="str">
        <f t="shared" si="25"/>
        <v/>
      </c>
      <c r="N318" s="22" t="str">
        <f t="shared" si="26"/>
        <v/>
      </c>
      <c r="O318" s="22" t="str">
        <f t="shared" si="27"/>
        <v/>
      </c>
    </row>
    <row r="319" spans="12:15" x14ac:dyDescent="0.35">
      <c r="L319" s="93" t="str">
        <f t="shared" si="24"/>
        <v/>
      </c>
      <c r="M319" s="22" t="str">
        <f t="shared" si="25"/>
        <v/>
      </c>
      <c r="N319" s="22" t="str">
        <f t="shared" si="26"/>
        <v/>
      </c>
      <c r="O319" s="22" t="str">
        <f t="shared" si="27"/>
        <v/>
      </c>
    </row>
    <row r="320" spans="12:15" x14ac:dyDescent="0.35">
      <c r="L320" s="93" t="str">
        <f t="shared" si="24"/>
        <v/>
      </c>
      <c r="M320" s="22" t="str">
        <f t="shared" si="25"/>
        <v/>
      </c>
      <c r="N320" s="22" t="str">
        <f t="shared" si="26"/>
        <v/>
      </c>
      <c r="O320" s="22" t="str">
        <f t="shared" si="27"/>
        <v/>
      </c>
    </row>
    <row r="321" spans="12:15" x14ac:dyDescent="0.35">
      <c r="L321" s="93" t="str">
        <f t="shared" si="24"/>
        <v/>
      </c>
      <c r="M321" s="22" t="str">
        <f t="shared" si="25"/>
        <v/>
      </c>
      <c r="N321" s="22" t="str">
        <f t="shared" si="26"/>
        <v/>
      </c>
      <c r="O321" s="22" t="str">
        <f t="shared" si="27"/>
        <v/>
      </c>
    </row>
    <row r="322" spans="12:15" x14ac:dyDescent="0.35">
      <c r="L322" s="93" t="str">
        <f t="shared" si="24"/>
        <v/>
      </c>
      <c r="M322" s="22" t="str">
        <f t="shared" si="25"/>
        <v/>
      </c>
      <c r="N322" s="22" t="str">
        <f t="shared" si="26"/>
        <v/>
      </c>
      <c r="O322" s="22" t="str">
        <f t="shared" si="27"/>
        <v/>
      </c>
    </row>
    <row r="323" spans="12:15" x14ac:dyDescent="0.35">
      <c r="L323" s="93" t="str">
        <f t="shared" ref="L323:L386" si="28">IF(C323="","",IF(F323="","Facture reçue",IF(H323="","PR",IF(J323="","PO","Posted and unpaid"))))</f>
        <v/>
      </c>
      <c r="M323" s="22" t="str">
        <f t="shared" ref="M323:M386" si="29">IF(C323="","",IF(F323="","La facture a été reçue et est en attente de création du PR.",IF(H323="","Le PR a été renseigné ; en attente de création du bon de commande (PO).",IF(J323="","Le PO a été renseigné ; en attente du bon de réception (GRN).","Facture comptabilisée et non payée."))))</f>
        <v/>
      </c>
      <c r="N323" s="22" t="str">
        <f t="shared" ref="N323:N386" si="30">IF(C323="","",IF(F323="","Facture reçue",IF(H323="","unpaid",IF(J323="","unpaid",IF(L323="","Posted and unpaid","paid")))))</f>
        <v/>
      </c>
      <c r="O323" s="22" t="str">
        <f t="shared" ref="O323:O386" si="31">IF(C323="","",IF(F323="","La facture a été reçue et est en attente de création du PR.",IF(H323="","Le PR a été renseigné ; facture non payée, en attente du bon de commande (PO).",IF(J323="","Le PO a été renseigné ; facture non payée, en attente du bon de réception (GRN).",IF(L323="","Le GRN a été renseigné ; facture comptabilisée et non payée.","Le paiement a été enregistré ; facture payée.")))))</f>
        <v/>
      </c>
    </row>
    <row r="324" spans="12:15" x14ac:dyDescent="0.35">
      <c r="L324" s="93" t="str">
        <f t="shared" si="28"/>
        <v/>
      </c>
      <c r="M324" s="22" t="str">
        <f t="shared" si="29"/>
        <v/>
      </c>
      <c r="N324" s="22" t="str">
        <f t="shared" si="30"/>
        <v/>
      </c>
      <c r="O324" s="22" t="str">
        <f t="shared" si="31"/>
        <v/>
      </c>
    </row>
    <row r="325" spans="12:15" x14ac:dyDescent="0.35">
      <c r="L325" s="93" t="str">
        <f t="shared" si="28"/>
        <v/>
      </c>
      <c r="M325" s="22" t="str">
        <f t="shared" si="29"/>
        <v/>
      </c>
      <c r="N325" s="22" t="str">
        <f t="shared" si="30"/>
        <v/>
      </c>
      <c r="O325" s="22" t="str">
        <f t="shared" si="31"/>
        <v/>
      </c>
    </row>
    <row r="326" spans="12:15" x14ac:dyDescent="0.35">
      <c r="L326" s="93" t="str">
        <f t="shared" si="28"/>
        <v/>
      </c>
      <c r="M326" s="22" t="str">
        <f t="shared" si="29"/>
        <v/>
      </c>
      <c r="N326" s="22" t="str">
        <f t="shared" si="30"/>
        <v/>
      </c>
      <c r="O326" s="22" t="str">
        <f t="shared" si="31"/>
        <v/>
      </c>
    </row>
    <row r="327" spans="12:15" x14ac:dyDescent="0.35">
      <c r="L327" s="93" t="str">
        <f t="shared" si="28"/>
        <v/>
      </c>
      <c r="M327" s="22" t="str">
        <f t="shared" si="29"/>
        <v/>
      </c>
      <c r="N327" s="22" t="str">
        <f t="shared" si="30"/>
        <v/>
      </c>
      <c r="O327" s="22" t="str">
        <f t="shared" si="31"/>
        <v/>
      </c>
    </row>
    <row r="328" spans="12:15" x14ac:dyDescent="0.35">
      <c r="L328" s="93" t="str">
        <f t="shared" si="28"/>
        <v/>
      </c>
      <c r="M328" s="22" t="str">
        <f t="shared" si="29"/>
        <v/>
      </c>
      <c r="N328" s="22" t="str">
        <f t="shared" si="30"/>
        <v/>
      </c>
      <c r="O328" s="22" t="str">
        <f t="shared" si="31"/>
        <v/>
      </c>
    </row>
    <row r="329" spans="12:15" x14ac:dyDescent="0.35">
      <c r="L329" s="93" t="str">
        <f t="shared" si="28"/>
        <v/>
      </c>
      <c r="M329" s="22" t="str">
        <f t="shared" si="29"/>
        <v/>
      </c>
      <c r="N329" s="22" t="str">
        <f t="shared" si="30"/>
        <v/>
      </c>
      <c r="O329" s="22" t="str">
        <f t="shared" si="31"/>
        <v/>
      </c>
    </row>
    <row r="330" spans="12:15" x14ac:dyDescent="0.35">
      <c r="L330" s="93" t="str">
        <f t="shared" si="28"/>
        <v/>
      </c>
      <c r="M330" s="22" t="str">
        <f t="shared" si="29"/>
        <v/>
      </c>
      <c r="N330" s="22" t="str">
        <f t="shared" si="30"/>
        <v/>
      </c>
      <c r="O330" s="22" t="str">
        <f t="shared" si="31"/>
        <v/>
      </c>
    </row>
    <row r="331" spans="12:15" x14ac:dyDescent="0.35">
      <c r="L331" s="93" t="str">
        <f t="shared" si="28"/>
        <v/>
      </c>
      <c r="M331" s="22" t="str">
        <f t="shared" si="29"/>
        <v/>
      </c>
      <c r="N331" s="22" t="str">
        <f t="shared" si="30"/>
        <v/>
      </c>
      <c r="O331" s="22" t="str">
        <f t="shared" si="31"/>
        <v/>
      </c>
    </row>
    <row r="332" spans="12:15" x14ac:dyDescent="0.35">
      <c r="L332" s="93" t="str">
        <f t="shared" si="28"/>
        <v/>
      </c>
      <c r="M332" s="22" t="str">
        <f t="shared" si="29"/>
        <v/>
      </c>
      <c r="N332" s="22" t="str">
        <f t="shared" si="30"/>
        <v/>
      </c>
      <c r="O332" s="22" t="str">
        <f t="shared" si="31"/>
        <v/>
      </c>
    </row>
    <row r="333" spans="12:15" x14ac:dyDescent="0.35">
      <c r="L333" s="93" t="str">
        <f t="shared" si="28"/>
        <v/>
      </c>
      <c r="M333" s="22" t="str">
        <f t="shared" si="29"/>
        <v/>
      </c>
      <c r="N333" s="22" t="str">
        <f t="shared" si="30"/>
        <v/>
      </c>
      <c r="O333" s="22" t="str">
        <f t="shared" si="31"/>
        <v/>
      </c>
    </row>
    <row r="334" spans="12:15" x14ac:dyDescent="0.35">
      <c r="L334" s="93" t="str">
        <f t="shared" si="28"/>
        <v/>
      </c>
      <c r="M334" s="22" t="str">
        <f t="shared" si="29"/>
        <v/>
      </c>
      <c r="N334" s="22" t="str">
        <f t="shared" si="30"/>
        <v/>
      </c>
      <c r="O334" s="22" t="str">
        <f t="shared" si="31"/>
        <v/>
      </c>
    </row>
    <row r="335" spans="12:15" x14ac:dyDescent="0.35">
      <c r="L335" s="93" t="str">
        <f t="shared" si="28"/>
        <v/>
      </c>
      <c r="M335" s="22" t="str">
        <f t="shared" si="29"/>
        <v/>
      </c>
      <c r="N335" s="22" t="str">
        <f t="shared" si="30"/>
        <v/>
      </c>
      <c r="O335" s="22" t="str">
        <f t="shared" si="31"/>
        <v/>
      </c>
    </row>
    <row r="336" spans="12:15" x14ac:dyDescent="0.35">
      <c r="L336" s="93" t="str">
        <f t="shared" si="28"/>
        <v/>
      </c>
      <c r="M336" s="22" t="str">
        <f t="shared" si="29"/>
        <v/>
      </c>
      <c r="N336" s="22" t="str">
        <f t="shared" si="30"/>
        <v/>
      </c>
      <c r="O336" s="22" t="str">
        <f t="shared" si="31"/>
        <v/>
      </c>
    </row>
    <row r="337" spans="12:15" x14ac:dyDescent="0.35">
      <c r="L337" s="93" t="str">
        <f t="shared" si="28"/>
        <v/>
      </c>
      <c r="M337" s="22" t="str">
        <f t="shared" si="29"/>
        <v/>
      </c>
      <c r="N337" s="22" t="str">
        <f t="shared" si="30"/>
        <v/>
      </c>
      <c r="O337" s="22" t="str">
        <f t="shared" si="31"/>
        <v/>
      </c>
    </row>
    <row r="338" spans="12:15" x14ac:dyDescent="0.35">
      <c r="L338" s="93" t="str">
        <f t="shared" si="28"/>
        <v/>
      </c>
      <c r="M338" s="22" t="str">
        <f t="shared" si="29"/>
        <v/>
      </c>
      <c r="N338" s="22" t="str">
        <f t="shared" si="30"/>
        <v/>
      </c>
      <c r="O338" s="22" t="str">
        <f t="shared" si="31"/>
        <v/>
      </c>
    </row>
    <row r="339" spans="12:15" x14ac:dyDescent="0.35">
      <c r="L339" s="93" t="str">
        <f t="shared" si="28"/>
        <v/>
      </c>
      <c r="M339" s="22" t="str">
        <f t="shared" si="29"/>
        <v/>
      </c>
      <c r="N339" s="22" t="str">
        <f t="shared" si="30"/>
        <v/>
      </c>
      <c r="O339" s="22" t="str">
        <f t="shared" si="31"/>
        <v/>
      </c>
    </row>
    <row r="340" spans="12:15" x14ac:dyDescent="0.35">
      <c r="L340" s="93" t="str">
        <f t="shared" si="28"/>
        <v/>
      </c>
      <c r="M340" s="22" t="str">
        <f t="shared" si="29"/>
        <v/>
      </c>
      <c r="N340" s="22" t="str">
        <f t="shared" si="30"/>
        <v/>
      </c>
      <c r="O340" s="22" t="str">
        <f t="shared" si="31"/>
        <v/>
      </c>
    </row>
    <row r="341" spans="12:15" x14ac:dyDescent="0.35">
      <c r="L341" s="93" t="str">
        <f t="shared" si="28"/>
        <v/>
      </c>
      <c r="M341" s="22" t="str">
        <f t="shared" si="29"/>
        <v/>
      </c>
      <c r="N341" s="22" t="str">
        <f t="shared" si="30"/>
        <v/>
      </c>
      <c r="O341" s="22" t="str">
        <f t="shared" si="31"/>
        <v/>
      </c>
    </row>
    <row r="342" spans="12:15" x14ac:dyDescent="0.35">
      <c r="L342" s="93" t="str">
        <f t="shared" si="28"/>
        <v/>
      </c>
      <c r="M342" s="22" t="str">
        <f t="shared" si="29"/>
        <v/>
      </c>
      <c r="N342" s="22" t="str">
        <f t="shared" si="30"/>
        <v/>
      </c>
      <c r="O342" s="22" t="str">
        <f t="shared" si="31"/>
        <v/>
      </c>
    </row>
    <row r="343" spans="12:15" x14ac:dyDescent="0.35">
      <c r="L343" s="93" t="str">
        <f t="shared" si="28"/>
        <v/>
      </c>
      <c r="M343" s="22" t="str">
        <f t="shared" si="29"/>
        <v/>
      </c>
      <c r="N343" s="22" t="str">
        <f t="shared" si="30"/>
        <v/>
      </c>
      <c r="O343" s="22" t="str">
        <f t="shared" si="31"/>
        <v/>
      </c>
    </row>
    <row r="344" spans="12:15" x14ac:dyDescent="0.35">
      <c r="L344" s="93" t="str">
        <f t="shared" si="28"/>
        <v/>
      </c>
      <c r="M344" s="22" t="str">
        <f t="shared" si="29"/>
        <v/>
      </c>
      <c r="N344" s="22" t="str">
        <f t="shared" si="30"/>
        <v/>
      </c>
      <c r="O344" s="22" t="str">
        <f t="shared" si="31"/>
        <v/>
      </c>
    </row>
    <row r="345" spans="12:15" x14ac:dyDescent="0.35">
      <c r="L345" s="93" t="str">
        <f t="shared" si="28"/>
        <v/>
      </c>
      <c r="M345" s="22" t="str">
        <f t="shared" si="29"/>
        <v/>
      </c>
      <c r="N345" s="22" t="str">
        <f t="shared" si="30"/>
        <v/>
      </c>
      <c r="O345" s="22" t="str">
        <f t="shared" si="31"/>
        <v/>
      </c>
    </row>
    <row r="346" spans="12:15" x14ac:dyDescent="0.35">
      <c r="L346" s="93" t="str">
        <f t="shared" si="28"/>
        <v/>
      </c>
      <c r="M346" s="22" t="str">
        <f t="shared" si="29"/>
        <v/>
      </c>
      <c r="N346" s="22" t="str">
        <f t="shared" si="30"/>
        <v/>
      </c>
      <c r="O346" s="22" t="str">
        <f t="shared" si="31"/>
        <v/>
      </c>
    </row>
    <row r="347" spans="12:15" x14ac:dyDescent="0.35">
      <c r="L347" s="93" t="str">
        <f t="shared" si="28"/>
        <v/>
      </c>
      <c r="M347" s="22" t="str">
        <f t="shared" si="29"/>
        <v/>
      </c>
      <c r="N347" s="22" t="str">
        <f t="shared" si="30"/>
        <v/>
      </c>
      <c r="O347" s="22" t="str">
        <f t="shared" si="31"/>
        <v/>
      </c>
    </row>
    <row r="348" spans="12:15" x14ac:dyDescent="0.35">
      <c r="L348" s="93" t="str">
        <f t="shared" si="28"/>
        <v/>
      </c>
      <c r="M348" s="22" t="str">
        <f t="shared" si="29"/>
        <v/>
      </c>
      <c r="N348" s="22" t="str">
        <f t="shared" si="30"/>
        <v/>
      </c>
      <c r="O348" s="22" t="str">
        <f t="shared" si="31"/>
        <v/>
      </c>
    </row>
    <row r="349" spans="12:15" x14ac:dyDescent="0.35">
      <c r="L349" s="93" t="str">
        <f t="shared" si="28"/>
        <v/>
      </c>
      <c r="M349" s="22" t="str">
        <f t="shared" si="29"/>
        <v/>
      </c>
      <c r="N349" s="22" t="str">
        <f t="shared" si="30"/>
        <v/>
      </c>
      <c r="O349" s="22" t="str">
        <f t="shared" si="31"/>
        <v/>
      </c>
    </row>
    <row r="350" spans="12:15" x14ac:dyDescent="0.35">
      <c r="L350" s="93" t="str">
        <f t="shared" si="28"/>
        <v/>
      </c>
      <c r="M350" s="22" t="str">
        <f t="shared" si="29"/>
        <v/>
      </c>
      <c r="N350" s="22" t="str">
        <f t="shared" si="30"/>
        <v/>
      </c>
      <c r="O350" s="22" t="str">
        <f t="shared" si="31"/>
        <v/>
      </c>
    </row>
    <row r="351" spans="12:15" x14ac:dyDescent="0.35">
      <c r="L351" s="93" t="str">
        <f t="shared" si="28"/>
        <v/>
      </c>
      <c r="M351" s="22" t="str">
        <f t="shared" si="29"/>
        <v/>
      </c>
      <c r="N351" s="22" t="str">
        <f t="shared" si="30"/>
        <v/>
      </c>
      <c r="O351" s="22" t="str">
        <f t="shared" si="31"/>
        <v/>
      </c>
    </row>
    <row r="352" spans="12:15" x14ac:dyDescent="0.35">
      <c r="L352" s="93" t="str">
        <f t="shared" si="28"/>
        <v/>
      </c>
      <c r="M352" s="22" t="str">
        <f t="shared" si="29"/>
        <v/>
      </c>
      <c r="N352" s="22" t="str">
        <f t="shared" si="30"/>
        <v/>
      </c>
      <c r="O352" s="22" t="str">
        <f t="shared" si="31"/>
        <v/>
      </c>
    </row>
    <row r="353" spans="12:15" x14ac:dyDescent="0.35">
      <c r="L353" s="93" t="str">
        <f t="shared" si="28"/>
        <v/>
      </c>
      <c r="M353" s="22" t="str">
        <f t="shared" si="29"/>
        <v/>
      </c>
      <c r="N353" s="22" t="str">
        <f t="shared" si="30"/>
        <v/>
      </c>
      <c r="O353" s="22" t="str">
        <f t="shared" si="31"/>
        <v/>
      </c>
    </row>
    <row r="354" spans="12:15" x14ac:dyDescent="0.35">
      <c r="L354" s="93" t="str">
        <f t="shared" si="28"/>
        <v/>
      </c>
      <c r="M354" s="22" t="str">
        <f t="shared" si="29"/>
        <v/>
      </c>
      <c r="N354" s="22" t="str">
        <f t="shared" si="30"/>
        <v/>
      </c>
      <c r="O354" s="22" t="str">
        <f t="shared" si="31"/>
        <v/>
      </c>
    </row>
    <row r="355" spans="12:15" x14ac:dyDescent="0.35">
      <c r="L355" s="93" t="str">
        <f t="shared" si="28"/>
        <v/>
      </c>
      <c r="M355" s="22" t="str">
        <f t="shared" si="29"/>
        <v/>
      </c>
      <c r="N355" s="22" t="str">
        <f t="shared" si="30"/>
        <v/>
      </c>
      <c r="O355" s="22" t="str">
        <f t="shared" si="31"/>
        <v/>
      </c>
    </row>
    <row r="356" spans="12:15" x14ac:dyDescent="0.35">
      <c r="L356" s="93" t="str">
        <f t="shared" si="28"/>
        <v/>
      </c>
      <c r="M356" s="22" t="str">
        <f t="shared" si="29"/>
        <v/>
      </c>
      <c r="N356" s="22" t="str">
        <f t="shared" si="30"/>
        <v/>
      </c>
      <c r="O356" s="22" t="str">
        <f t="shared" si="31"/>
        <v/>
      </c>
    </row>
    <row r="357" spans="12:15" x14ac:dyDescent="0.35">
      <c r="L357" s="93" t="str">
        <f t="shared" si="28"/>
        <v/>
      </c>
      <c r="M357" s="22" t="str">
        <f t="shared" si="29"/>
        <v/>
      </c>
      <c r="N357" s="22" t="str">
        <f t="shared" si="30"/>
        <v/>
      </c>
      <c r="O357" s="22" t="str">
        <f t="shared" si="31"/>
        <v/>
      </c>
    </row>
    <row r="358" spans="12:15" x14ac:dyDescent="0.35">
      <c r="L358" s="93" t="str">
        <f t="shared" si="28"/>
        <v/>
      </c>
      <c r="M358" s="22" t="str">
        <f t="shared" si="29"/>
        <v/>
      </c>
      <c r="N358" s="22" t="str">
        <f t="shared" si="30"/>
        <v/>
      </c>
      <c r="O358" s="22" t="str">
        <f t="shared" si="31"/>
        <v/>
      </c>
    </row>
    <row r="359" spans="12:15" x14ac:dyDescent="0.35">
      <c r="L359" s="93" t="str">
        <f t="shared" si="28"/>
        <v/>
      </c>
      <c r="M359" s="22" t="str">
        <f t="shared" si="29"/>
        <v/>
      </c>
      <c r="N359" s="22" t="str">
        <f t="shared" si="30"/>
        <v/>
      </c>
      <c r="O359" s="22" t="str">
        <f t="shared" si="31"/>
        <v/>
      </c>
    </row>
    <row r="360" spans="12:15" x14ac:dyDescent="0.35">
      <c r="L360" s="93" t="str">
        <f t="shared" si="28"/>
        <v/>
      </c>
      <c r="M360" s="22" t="str">
        <f t="shared" si="29"/>
        <v/>
      </c>
      <c r="N360" s="22" t="str">
        <f t="shared" si="30"/>
        <v/>
      </c>
      <c r="O360" s="22" t="str">
        <f t="shared" si="31"/>
        <v/>
      </c>
    </row>
    <row r="361" spans="12:15" x14ac:dyDescent="0.35">
      <c r="L361" s="93" t="str">
        <f t="shared" si="28"/>
        <v/>
      </c>
      <c r="M361" s="22" t="str">
        <f t="shared" si="29"/>
        <v/>
      </c>
      <c r="N361" s="22" t="str">
        <f t="shared" si="30"/>
        <v/>
      </c>
      <c r="O361" s="22" t="str">
        <f t="shared" si="31"/>
        <v/>
      </c>
    </row>
    <row r="362" spans="12:15" x14ac:dyDescent="0.35">
      <c r="L362" s="93" t="str">
        <f t="shared" si="28"/>
        <v/>
      </c>
      <c r="M362" s="22" t="str">
        <f t="shared" si="29"/>
        <v/>
      </c>
      <c r="N362" s="22" t="str">
        <f t="shared" si="30"/>
        <v/>
      </c>
      <c r="O362" s="22" t="str">
        <f t="shared" si="31"/>
        <v/>
      </c>
    </row>
    <row r="363" spans="12:15" x14ac:dyDescent="0.35">
      <c r="L363" s="93" t="str">
        <f t="shared" si="28"/>
        <v/>
      </c>
      <c r="M363" s="22" t="str">
        <f t="shared" si="29"/>
        <v/>
      </c>
      <c r="N363" s="22" t="str">
        <f t="shared" si="30"/>
        <v/>
      </c>
      <c r="O363" s="22" t="str">
        <f t="shared" si="31"/>
        <v/>
      </c>
    </row>
    <row r="364" spans="12:15" x14ac:dyDescent="0.35">
      <c r="L364" s="93" t="str">
        <f t="shared" si="28"/>
        <v/>
      </c>
      <c r="M364" s="22" t="str">
        <f t="shared" si="29"/>
        <v/>
      </c>
      <c r="N364" s="22" t="str">
        <f t="shared" si="30"/>
        <v/>
      </c>
      <c r="O364" s="22" t="str">
        <f t="shared" si="31"/>
        <v/>
      </c>
    </row>
    <row r="365" spans="12:15" x14ac:dyDescent="0.35">
      <c r="L365" s="93" t="str">
        <f t="shared" si="28"/>
        <v/>
      </c>
      <c r="M365" s="22" t="str">
        <f t="shared" si="29"/>
        <v/>
      </c>
      <c r="N365" s="22" t="str">
        <f t="shared" si="30"/>
        <v/>
      </c>
      <c r="O365" s="22" t="str">
        <f t="shared" si="31"/>
        <v/>
      </c>
    </row>
    <row r="366" spans="12:15" x14ac:dyDescent="0.35">
      <c r="L366" s="93" t="str">
        <f t="shared" si="28"/>
        <v/>
      </c>
      <c r="M366" s="22" t="str">
        <f t="shared" si="29"/>
        <v/>
      </c>
      <c r="N366" s="22" t="str">
        <f t="shared" si="30"/>
        <v/>
      </c>
      <c r="O366" s="22" t="str">
        <f t="shared" si="31"/>
        <v/>
      </c>
    </row>
    <row r="367" spans="12:15" x14ac:dyDescent="0.35">
      <c r="L367" s="93" t="str">
        <f t="shared" si="28"/>
        <v/>
      </c>
      <c r="M367" s="22" t="str">
        <f t="shared" si="29"/>
        <v/>
      </c>
      <c r="N367" s="22" t="str">
        <f t="shared" si="30"/>
        <v/>
      </c>
      <c r="O367" s="22" t="str">
        <f t="shared" si="31"/>
        <v/>
      </c>
    </row>
    <row r="368" spans="12:15" x14ac:dyDescent="0.35">
      <c r="L368" s="93" t="str">
        <f t="shared" si="28"/>
        <v/>
      </c>
      <c r="M368" s="22" t="str">
        <f t="shared" si="29"/>
        <v/>
      </c>
      <c r="N368" s="22" t="str">
        <f t="shared" si="30"/>
        <v/>
      </c>
      <c r="O368" s="22" t="str">
        <f t="shared" si="31"/>
        <v/>
      </c>
    </row>
    <row r="369" spans="12:15" x14ac:dyDescent="0.35">
      <c r="L369" s="93" t="str">
        <f t="shared" si="28"/>
        <v/>
      </c>
      <c r="M369" s="22" t="str">
        <f t="shared" si="29"/>
        <v/>
      </c>
      <c r="N369" s="22" t="str">
        <f t="shared" si="30"/>
        <v/>
      </c>
      <c r="O369" s="22" t="str">
        <f t="shared" si="31"/>
        <v/>
      </c>
    </row>
    <row r="370" spans="12:15" x14ac:dyDescent="0.35">
      <c r="L370" s="93" t="str">
        <f t="shared" si="28"/>
        <v/>
      </c>
      <c r="M370" s="22" t="str">
        <f t="shared" si="29"/>
        <v/>
      </c>
      <c r="N370" s="22" t="str">
        <f t="shared" si="30"/>
        <v/>
      </c>
      <c r="O370" s="22" t="str">
        <f t="shared" si="31"/>
        <v/>
      </c>
    </row>
    <row r="371" spans="12:15" x14ac:dyDescent="0.35">
      <c r="L371" s="93" t="str">
        <f t="shared" si="28"/>
        <v/>
      </c>
      <c r="M371" s="22" t="str">
        <f t="shared" si="29"/>
        <v/>
      </c>
      <c r="N371" s="22" t="str">
        <f t="shared" si="30"/>
        <v/>
      </c>
      <c r="O371" s="22" t="str">
        <f t="shared" si="31"/>
        <v/>
      </c>
    </row>
    <row r="372" spans="12:15" x14ac:dyDescent="0.35">
      <c r="L372" s="93" t="str">
        <f t="shared" si="28"/>
        <v/>
      </c>
      <c r="M372" s="22" t="str">
        <f t="shared" si="29"/>
        <v/>
      </c>
      <c r="N372" s="22" t="str">
        <f t="shared" si="30"/>
        <v/>
      </c>
      <c r="O372" s="22" t="str">
        <f t="shared" si="31"/>
        <v/>
      </c>
    </row>
    <row r="373" spans="12:15" x14ac:dyDescent="0.35">
      <c r="L373" s="93" t="str">
        <f t="shared" si="28"/>
        <v/>
      </c>
      <c r="M373" s="22" t="str">
        <f t="shared" si="29"/>
        <v/>
      </c>
      <c r="N373" s="22" t="str">
        <f t="shared" si="30"/>
        <v/>
      </c>
      <c r="O373" s="22" t="str">
        <f t="shared" si="31"/>
        <v/>
      </c>
    </row>
    <row r="374" spans="12:15" x14ac:dyDescent="0.35">
      <c r="L374" s="93" t="str">
        <f t="shared" si="28"/>
        <v/>
      </c>
      <c r="M374" s="22" t="str">
        <f t="shared" si="29"/>
        <v/>
      </c>
      <c r="N374" s="22" t="str">
        <f t="shared" si="30"/>
        <v/>
      </c>
      <c r="O374" s="22" t="str">
        <f t="shared" si="31"/>
        <v/>
      </c>
    </row>
    <row r="375" spans="12:15" x14ac:dyDescent="0.35">
      <c r="L375" s="93" t="str">
        <f t="shared" si="28"/>
        <v/>
      </c>
      <c r="M375" s="22" t="str">
        <f t="shared" si="29"/>
        <v/>
      </c>
      <c r="N375" s="22" t="str">
        <f t="shared" si="30"/>
        <v/>
      </c>
      <c r="O375" s="22" t="str">
        <f t="shared" si="31"/>
        <v/>
      </c>
    </row>
    <row r="376" spans="12:15" x14ac:dyDescent="0.35">
      <c r="L376" s="93" t="str">
        <f t="shared" si="28"/>
        <v/>
      </c>
      <c r="M376" s="22" t="str">
        <f t="shared" si="29"/>
        <v/>
      </c>
      <c r="N376" s="22" t="str">
        <f t="shared" si="30"/>
        <v/>
      </c>
      <c r="O376" s="22" t="str">
        <f t="shared" si="31"/>
        <v/>
      </c>
    </row>
    <row r="377" spans="12:15" x14ac:dyDescent="0.35">
      <c r="L377" s="93" t="str">
        <f t="shared" si="28"/>
        <v/>
      </c>
      <c r="M377" s="22" t="str">
        <f t="shared" si="29"/>
        <v/>
      </c>
      <c r="N377" s="22" t="str">
        <f t="shared" si="30"/>
        <v/>
      </c>
      <c r="O377" s="22" t="str">
        <f t="shared" si="31"/>
        <v/>
      </c>
    </row>
    <row r="378" spans="12:15" x14ac:dyDescent="0.35">
      <c r="L378" s="93" t="str">
        <f t="shared" si="28"/>
        <v/>
      </c>
      <c r="M378" s="22" t="str">
        <f t="shared" si="29"/>
        <v/>
      </c>
      <c r="N378" s="22" t="str">
        <f t="shared" si="30"/>
        <v/>
      </c>
      <c r="O378" s="22" t="str">
        <f t="shared" si="31"/>
        <v/>
      </c>
    </row>
    <row r="379" spans="12:15" x14ac:dyDescent="0.35">
      <c r="L379" s="93" t="str">
        <f t="shared" si="28"/>
        <v/>
      </c>
      <c r="M379" s="22" t="str">
        <f t="shared" si="29"/>
        <v/>
      </c>
      <c r="N379" s="22" t="str">
        <f t="shared" si="30"/>
        <v/>
      </c>
      <c r="O379" s="22" t="str">
        <f t="shared" si="31"/>
        <v/>
      </c>
    </row>
    <row r="380" spans="12:15" x14ac:dyDescent="0.35">
      <c r="L380" s="93" t="str">
        <f t="shared" si="28"/>
        <v/>
      </c>
      <c r="M380" s="22" t="str">
        <f t="shared" si="29"/>
        <v/>
      </c>
      <c r="N380" s="22" t="str">
        <f t="shared" si="30"/>
        <v/>
      </c>
      <c r="O380" s="22" t="str">
        <f t="shared" si="31"/>
        <v/>
      </c>
    </row>
    <row r="381" spans="12:15" x14ac:dyDescent="0.35">
      <c r="L381" s="93" t="str">
        <f t="shared" si="28"/>
        <v/>
      </c>
      <c r="M381" s="22" t="str">
        <f t="shared" si="29"/>
        <v/>
      </c>
      <c r="N381" s="22" t="str">
        <f t="shared" si="30"/>
        <v/>
      </c>
      <c r="O381" s="22" t="str">
        <f t="shared" si="31"/>
        <v/>
      </c>
    </row>
    <row r="382" spans="12:15" x14ac:dyDescent="0.35">
      <c r="L382" s="93" t="str">
        <f t="shared" si="28"/>
        <v/>
      </c>
      <c r="M382" s="22" t="str">
        <f t="shared" si="29"/>
        <v/>
      </c>
      <c r="N382" s="22" t="str">
        <f t="shared" si="30"/>
        <v/>
      </c>
      <c r="O382" s="22" t="str">
        <f t="shared" si="31"/>
        <v/>
      </c>
    </row>
    <row r="383" spans="12:15" x14ac:dyDescent="0.35">
      <c r="L383" s="93" t="str">
        <f t="shared" si="28"/>
        <v/>
      </c>
      <c r="M383" s="22" t="str">
        <f t="shared" si="29"/>
        <v/>
      </c>
      <c r="N383" s="22" t="str">
        <f t="shared" si="30"/>
        <v/>
      </c>
      <c r="O383" s="22" t="str">
        <f t="shared" si="31"/>
        <v/>
      </c>
    </row>
    <row r="384" spans="12:15" x14ac:dyDescent="0.35">
      <c r="L384" s="93" t="str">
        <f t="shared" si="28"/>
        <v/>
      </c>
      <c r="M384" s="22" t="str">
        <f t="shared" si="29"/>
        <v/>
      </c>
      <c r="N384" s="22" t="str">
        <f t="shared" si="30"/>
        <v/>
      </c>
      <c r="O384" s="22" t="str">
        <f t="shared" si="31"/>
        <v/>
      </c>
    </row>
    <row r="385" spans="12:15" x14ac:dyDescent="0.35">
      <c r="L385" s="93" t="str">
        <f t="shared" si="28"/>
        <v/>
      </c>
      <c r="M385" s="22" t="str">
        <f t="shared" si="29"/>
        <v/>
      </c>
      <c r="N385" s="22" t="str">
        <f t="shared" si="30"/>
        <v/>
      </c>
      <c r="O385" s="22" t="str">
        <f t="shared" si="31"/>
        <v/>
      </c>
    </row>
    <row r="386" spans="12:15" x14ac:dyDescent="0.35">
      <c r="L386" s="93" t="str">
        <f t="shared" si="28"/>
        <v/>
      </c>
      <c r="M386" s="22" t="str">
        <f t="shared" si="29"/>
        <v/>
      </c>
      <c r="N386" s="22" t="str">
        <f t="shared" si="30"/>
        <v/>
      </c>
      <c r="O386" s="22" t="str">
        <f t="shared" si="31"/>
        <v/>
      </c>
    </row>
    <row r="387" spans="12:15" x14ac:dyDescent="0.35">
      <c r="L387" s="93" t="str">
        <f t="shared" ref="L387:L450" si="32">IF(C387="","",IF(F387="","Facture reçue",IF(H387="","PR",IF(J387="","PO","Posted and unpaid"))))</f>
        <v/>
      </c>
      <c r="M387" s="22" t="str">
        <f t="shared" ref="M387:M450" si="33">IF(C387="","",IF(F387="","La facture a été reçue et est en attente de création du PR.",IF(H387="","Le PR a été renseigné ; en attente de création du bon de commande (PO).",IF(J387="","Le PO a été renseigné ; en attente du bon de réception (GRN).","Facture comptabilisée et non payée."))))</f>
        <v/>
      </c>
      <c r="N387" s="22" t="str">
        <f t="shared" ref="N387:N450" si="34">IF(C387="","",IF(F387="","Facture reçue",IF(H387="","unpaid",IF(J387="","unpaid",IF(L387="","Posted and unpaid","paid")))))</f>
        <v/>
      </c>
      <c r="O387" s="22" t="str">
        <f t="shared" ref="O387:O450" si="35">IF(C387="","",IF(F387="","La facture a été reçue et est en attente de création du PR.",IF(H387="","Le PR a été renseigné ; facture non payée, en attente du bon de commande (PO).",IF(J387="","Le PO a été renseigné ; facture non payée, en attente du bon de réception (GRN).",IF(L387="","Le GRN a été renseigné ; facture comptabilisée et non payée.","Le paiement a été enregistré ; facture payée.")))))</f>
        <v/>
      </c>
    </row>
    <row r="388" spans="12:15" x14ac:dyDescent="0.35">
      <c r="L388" s="93" t="str">
        <f t="shared" si="32"/>
        <v/>
      </c>
      <c r="M388" s="22" t="str">
        <f t="shared" si="33"/>
        <v/>
      </c>
      <c r="N388" s="22" t="str">
        <f t="shared" si="34"/>
        <v/>
      </c>
      <c r="O388" s="22" t="str">
        <f t="shared" si="35"/>
        <v/>
      </c>
    </row>
    <row r="389" spans="12:15" x14ac:dyDescent="0.35">
      <c r="L389" s="93" t="str">
        <f t="shared" si="32"/>
        <v/>
      </c>
      <c r="M389" s="22" t="str">
        <f t="shared" si="33"/>
        <v/>
      </c>
      <c r="N389" s="22" t="str">
        <f t="shared" si="34"/>
        <v/>
      </c>
      <c r="O389" s="22" t="str">
        <f t="shared" si="35"/>
        <v/>
      </c>
    </row>
    <row r="390" spans="12:15" x14ac:dyDescent="0.35">
      <c r="L390" s="93" t="str">
        <f t="shared" si="32"/>
        <v/>
      </c>
      <c r="M390" s="22" t="str">
        <f t="shared" si="33"/>
        <v/>
      </c>
      <c r="N390" s="22" t="str">
        <f t="shared" si="34"/>
        <v/>
      </c>
      <c r="O390" s="22" t="str">
        <f t="shared" si="35"/>
        <v/>
      </c>
    </row>
    <row r="391" spans="12:15" x14ac:dyDescent="0.35">
      <c r="L391" s="93" t="str">
        <f t="shared" si="32"/>
        <v/>
      </c>
      <c r="M391" s="22" t="str">
        <f t="shared" si="33"/>
        <v/>
      </c>
      <c r="N391" s="22" t="str">
        <f t="shared" si="34"/>
        <v/>
      </c>
      <c r="O391" s="22" t="str">
        <f t="shared" si="35"/>
        <v/>
      </c>
    </row>
    <row r="392" spans="12:15" x14ac:dyDescent="0.35">
      <c r="L392" s="93" t="str">
        <f t="shared" si="32"/>
        <v/>
      </c>
      <c r="M392" s="22" t="str">
        <f t="shared" si="33"/>
        <v/>
      </c>
      <c r="N392" s="22" t="str">
        <f t="shared" si="34"/>
        <v/>
      </c>
      <c r="O392" s="22" t="str">
        <f t="shared" si="35"/>
        <v/>
      </c>
    </row>
    <row r="393" spans="12:15" x14ac:dyDescent="0.35">
      <c r="L393" s="93" t="str">
        <f t="shared" si="32"/>
        <v/>
      </c>
      <c r="M393" s="22" t="str">
        <f t="shared" si="33"/>
        <v/>
      </c>
      <c r="N393" s="22" t="str">
        <f t="shared" si="34"/>
        <v/>
      </c>
      <c r="O393" s="22" t="str">
        <f t="shared" si="35"/>
        <v/>
      </c>
    </row>
    <row r="394" spans="12:15" x14ac:dyDescent="0.35">
      <c r="L394" s="93" t="str">
        <f t="shared" si="32"/>
        <v/>
      </c>
      <c r="M394" s="22" t="str">
        <f t="shared" si="33"/>
        <v/>
      </c>
      <c r="N394" s="22" t="str">
        <f t="shared" si="34"/>
        <v/>
      </c>
      <c r="O394" s="22" t="str">
        <f t="shared" si="35"/>
        <v/>
      </c>
    </row>
    <row r="395" spans="12:15" x14ac:dyDescent="0.35">
      <c r="L395" s="93" t="str">
        <f t="shared" si="32"/>
        <v/>
      </c>
      <c r="M395" s="22" t="str">
        <f t="shared" si="33"/>
        <v/>
      </c>
      <c r="N395" s="22" t="str">
        <f t="shared" si="34"/>
        <v/>
      </c>
      <c r="O395" s="22" t="str">
        <f t="shared" si="35"/>
        <v/>
      </c>
    </row>
    <row r="396" spans="12:15" x14ac:dyDescent="0.35">
      <c r="L396" s="93" t="str">
        <f t="shared" si="32"/>
        <v/>
      </c>
      <c r="M396" s="22" t="str">
        <f t="shared" si="33"/>
        <v/>
      </c>
      <c r="N396" s="22" t="str">
        <f t="shared" si="34"/>
        <v/>
      </c>
      <c r="O396" s="22" t="str">
        <f t="shared" si="35"/>
        <v/>
      </c>
    </row>
    <row r="397" spans="12:15" x14ac:dyDescent="0.35">
      <c r="L397" s="93" t="str">
        <f t="shared" si="32"/>
        <v/>
      </c>
      <c r="M397" s="22" t="str">
        <f t="shared" si="33"/>
        <v/>
      </c>
      <c r="N397" s="22" t="str">
        <f t="shared" si="34"/>
        <v/>
      </c>
      <c r="O397" s="22" t="str">
        <f t="shared" si="35"/>
        <v/>
      </c>
    </row>
    <row r="398" spans="12:15" x14ac:dyDescent="0.35">
      <c r="L398" s="93" t="str">
        <f t="shared" si="32"/>
        <v/>
      </c>
      <c r="M398" s="22" t="str">
        <f t="shared" si="33"/>
        <v/>
      </c>
      <c r="N398" s="22" t="str">
        <f t="shared" si="34"/>
        <v/>
      </c>
      <c r="O398" s="22" t="str">
        <f t="shared" si="35"/>
        <v/>
      </c>
    </row>
    <row r="399" spans="12:15" x14ac:dyDescent="0.35">
      <c r="L399" s="93" t="str">
        <f t="shared" si="32"/>
        <v/>
      </c>
      <c r="M399" s="22" t="str">
        <f t="shared" si="33"/>
        <v/>
      </c>
      <c r="N399" s="22" t="str">
        <f t="shared" si="34"/>
        <v/>
      </c>
      <c r="O399" s="22" t="str">
        <f t="shared" si="35"/>
        <v/>
      </c>
    </row>
    <row r="400" spans="12:15" x14ac:dyDescent="0.35">
      <c r="L400" s="93" t="str">
        <f t="shared" si="32"/>
        <v/>
      </c>
      <c r="M400" s="22" t="str">
        <f t="shared" si="33"/>
        <v/>
      </c>
      <c r="N400" s="22" t="str">
        <f t="shared" si="34"/>
        <v/>
      </c>
      <c r="O400" s="22" t="str">
        <f t="shared" si="35"/>
        <v/>
      </c>
    </row>
    <row r="401" spans="12:15" x14ac:dyDescent="0.35">
      <c r="L401" s="93" t="str">
        <f t="shared" si="32"/>
        <v/>
      </c>
      <c r="M401" s="22" t="str">
        <f t="shared" si="33"/>
        <v/>
      </c>
      <c r="N401" s="22" t="str">
        <f t="shared" si="34"/>
        <v/>
      </c>
      <c r="O401" s="22" t="str">
        <f t="shared" si="35"/>
        <v/>
      </c>
    </row>
    <row r="402" spans="12:15" x14ac:dyDescent="0.35">
      <c r="L402" s="93" t="str">
        <f t="shared" si="32"/>
        <v/>
      </c>
      <c r="M402" s="22" t="str">
        <f t="shared" si="33"/>
        <v/>
      </c>
      <c r="N402" s="22" t="str">
        <f t="shared" si="34"/>
        <v/>
      </c>
      <c r="O402" s="22" t="str">
        <f t="shared" si="35"/>
        <v/>
      </c>
    </row>
    <row r="403" spans="12:15" x14ac:dyDescent="0.35">
      <c r="L403" s="93" t="str">
        <f t="shared" si="32"/>
        <v/>
      </c>
      <c r="M403" s="22" t="str">
        <f t="shared" si="33"/>
        <v/>
      </c>
      <c r="N403" s="22" t="str">
        <f t="shared" si="34"/>
        <v/>
      </c>
      <c r="O403" s="22" t="str">
        <f t="shared" si="35"/>
        <v/>
      </c>
    </row>
    <row r="404" spans="12:15" x14ac:dyDescent="0.35">
      <c r="L404" s="93" t="str">
        <f t="shared" si="32"/>
        <v/>
      </c>
      <c r="M404" s="22" t="str">
        <f t="shared" si="33"/>
        <v/>
      </c>
      <c r="N404" s="22" t="str">
        <f t="shared" si="34"/>
        <v/>
      </c>
      <c r="O404" s="22" t="str">
        <f t="shared" si="35"/>
        <v/>
      </c>
    </row>
    <row r="405" spans="12:15" x14ac:dyDescent="0.35">
      <c r="L405" s="93" t="str">
        <f t="shared" si="32"/>
        <v/>
      </c>
      <c r="M405" s="22" t="str">
        <f t="shared" si="33"/>
        <v/>
      </c>
      <c r="N405" s="22" t="str">
        <f t="shared" si="34"/>
        <v/>
      </c>
      <c r="O405" s="22" t="str">
        <f t="shared" si="35"/>
        <v/>
      </c>
    </row>
    <row r="406" spans="12:15" x14ac:dyDescent="0.35">
      <c r="L406" s="93" t="str">
        <f t="shared" si="32"/>
        <v/>
      </c>
      <c r="M406" s="22" t="str">
        <f t="shared" si="33"/>
        <v/>
      </c>
      <c r="N406" s="22" t="str">
        <f t="shared" si="34"/>
        <v/>
      </c>
      <c r="O406" s="22" t="str">
        <f t="shared" si="35"/>
        <v/>
      </c>
    </row>
    <row r="407" spans="12:15" x14ac:dyDescent="0.35">
      <c r="L407" s="93" t="str">
        <f t="shared" si="32"/>
        <v/>
      </c>
      <c r="M407" s="22" t="str">
        <f t="shared" si="33"/>
        <v/>
      </c>
      <c r="N407" s="22" t="str">
        <f t="shared" si="34"/>
        <v/>
      </c>
      <c r="O407" s="22" t="str">
        <f t="shared" si="35"/>
        <v/>
      </c>
    </row>
    <row r="408" spans="12:15" x14ac:dyDescent="0.35">
      <c r="L408" s="93" t="str">
        <f t="shared" si="32"/>
        <v/>
      </c>
      <c r="M408" s="22" t="str">
        <f t="shared" si="33"/>
        <v/>
      </c>
      <c r="N408" s="22" t="str">
        <f t="shared" si="34"/>
        <v/>
      </c>
      <c r="O408" s="22" t="str">
        <f t="shared" si="35"/>
        <v/>
      </c>
    </row>
    <row r="409" spans="12:15" x14ac:dyDescent="0.35">
      <c r="L409" s="93" t="str">
        <f t="shared" si="32"/>
        <v/>
      </c>
      <c r="M409" s="22" t="str">
        <f t="shared" si="33"/>
        <v/>
      </c>
      <c r="N409" s="22" t="str">
        <f t="shared" si="34"/>
        <v/>
      </c>
      <c r="O409" s="22" t="str">
        <f t="shared" si="35"/>
        <v/>
      </c>
    </row>
    <row r="410" spans="12:15" x14ac:dyDescent="0.35">
      <c r="L410" s="93" t="str">
        <f t="shared" si="32"/>
        <v/>
      </c>
      <c r="M410" s="22" t="str">
        <f t="shared" si="33"/>
        <v/>
      </c>
      <c r="N410" s="22" t="str">
        <f t="shared" si="34"/>
        <v/>
      </c>
      <c r="O410" s="22" t="str">
        <f t="shared" si="35"/>
        <v/>
      </c>
    </row>
    <row r="411" spans="12:15" x14ac:dyDescent="0.35">
      <c r="L411" s="93" t="str">
        <f t="shared" si="32"/>
        <v/>
      </c>
      <c r="M411" s="22" t="str">
        <f t="shared" si="33"/>
        <v/>
      </c>
      <c r="N411" s="22" t="str">
        <f t="shared" si="34"/>
        <v/>
      </c>
      <c r="O411" s="22" t="str">
        <f t="shared" si="35"/>
        <v/>
      </c>
    </row>
    <row r="412" spans="12:15" x14ac:dyDescent="0.35">
      <c r="L412" s="93" t="str">
        <f t="shared" si="32"/>
        <v/>
      </c>
      <c r="M412" s="22" t="str">
        <f t="shared" si="33"/>
        <v/>
      </c>
      <c r="N412" s="22" t="str">
        <f t="shared" si="34"/>
        <v/>
      </c>
      <c r="O412" s="22" t="str">
        <f t="shared" si="35"/>
        <v/>
      </c>
    </row>
    <row r="413" spans="12:15" x14ac:dyDescent="0.35">
      <c r="L413" s="93" t="str">
        <f t="shared" si="32"/>
        <v/>
      </c>
      <c r="M413" s="22" t="str">
        <f t="shared" si="33"/>
        <v/>
      </c>
      <c r="N413" s="22" t="str">
        <f t="shared" si="34"/>
        <v/>
      </c>
      <c r="O413" s="22" t="str">
        <f t="shared" si="35"/>
        <v/>
      </c>
    </row>
    <row r="414" spans="12:15" x14ac:dyDescent="0.35">
      <c r="L414" s="93" t="str">
        <f t="shared" si="32"/>
        <v/>
      </c>
      <c r="M414" s="22" t="str">
        <f t="shared" si="33"/>
        <v/>
      </c>
      <c r="N414" s="22" t="str">
        <f t="shared" si="34"/>
        <v/>
      </c>
      <c r="O414" s="22" t="str">
        <f t="shared" si="35"/>
        <v/>
      </c>
    </row>
    <row r="415" spans="12:15" x14ac:dyDescent="0.35">
      <c r="L415" s="93" t="str">
        <f t="shared" si="32"/>
        <v/>
      </c>
      <c r="M415" s="22" t="str">
        <f t="shared" si="33"/>
        <v/>
      </c>
      <c r="N415" s="22" t="str">
        <f t="shared" si="34"/>
        <v/>
      </c>
      <c r="O415" s="22" t="str">
        <f t="shared" si="35"/>
        <v/>
      </c>
    </row>
    <row r="416" spans="12:15" x14ac:dyDescent="0.35">
      <c r="L416" s="93" t="str">
        <f t="shared" si="32"/>
        <v/>
      </c>
      <c r="M416" s="22" t="str">
        <f t="shared" si="33"/>
        <v/>
      </c>
      <c r="N416" s="22" t="str">
        <f t="shared" si="34"/>
        <v/>
      </c>
      <c r="O416" s="22" t="str">
        <f t="shared" si="35"/>
        <v/>
      </c>
    </row>
    <row r="417" spans="12:15" x14ac:dyDescent="0.35">
      <c r="L417" s="93" t="str">
        <f t="shared" si="32"/>
        <v/>
      </c>
      <c r="M417" s="22" t="str">
        <f t="shared" si="33"/>
        <v/>
      </c>
      <c r="N417" s="22" t="str">
        <f t="shared" si="34"/>
        <v/>
      </c>
      <c r="O417" s="22" t="str">
        <f t="shared" si="35"/>
        <v/>
      </c>
    </row>
    <row r="418" spans="12:15" x14ac:dyDescent="0.35">
      <c r="L418" s="93" t="str">
        <f t="shared" si="32"/>
        <v/>
      </c>
      <c r="M418" s="22" t="str">
        <f t="shared" si="33"/>
        <v/>
      </c>
      <c r="N418" s="22" t="str">
        <f t="shared" si="34"/>
        <v/>
      </c>
      <c r="O418" s="22" t="str">
        <f t="shared" si="35"/>
        <v/>
      </c>
    </row>
    <row r="419" spans="12:15" x14ac:dyDescent="0.35">
      <c r="L419" s="93" t="str">
        <f t="shared" si="32"/>
        <v/>
      </c>
      <c r="M419" s="22" t="str">
        <f t="shared" si="33"/>
        <v/>
      </c>
      <c r="N419" s="22" t="str">
        <f t="shared" si="34"/>
        <v/>
      </c>
      <c r="O419" s="22" t="str">
        <f t="shared" si="35"/>
        <v/>
      </c>
    </row>
    <row r="420" spans="12:15" x14ac:dyDescent="0.35">
      <c r="L420" s="93" t="str">
        <f t="shared" si="32"/>
        <v/>
      </c>
      <c r="M420" s="22" t="str">
        <f t="shared" si="33"/>
        <v/>
      </c>
      <c r="N420" s="22" t="str">
        <f t="shared" si="34"/>
        <v/>
      </c>
      <c r="O420" s="22" t="str">
        <f t="shared" si="35"/>
        <v/>
      </c>
    </row>
    <row r="421" spans="12:15" x14ac:dyDescent="0.35">
      <c r="L421" s="93" t="str">
        <f t="shared" si="32"/>
        <v/>
      </c>
      <c r="M421" s="22" t="str">
        <f t="shared" si="33"/>
        <v/>
      </c>
      <c r="N421" s="22" t="str">
        <f t="shared" si="34"/>
        <v/>
      </c>
      <c r="O421" s="22" t="str">
        <f t="shared" si="35"/>
        <v/>
      </c>
    </row>
    <row r="422" spans="12:15" x14ac:dyDescent="0.35">
      <c r="L422" s="93" t="str">
        <f t="shared" si="32"/>
        <v/>
      </c>
      <c r="M422" s="22" t="str">
        <f t="shared" si="33"/>
        <v/>
      </c>
      <c r="N422" s="22" t="str">
        <f t="shared" si="34"/>
        <v/>
      </c>
      <c r="O422" s="22" t="str">
        <f t="shared" si="35"/>
        <v/>
      </c>
    </row>
    <row r="423" spans="12:15" x14ac:dyDescent="0.35">
      <c r="L423" s="93" t="str">
        <f t="shared" si="32"/>
        <v/>
      </c>
      <c r="M423" s="22" t="str">
        <f t="shared" si="33"/>
        <v/>
      </c>
      <c r="N423" s="22" t="str">
        <f t="shared" si="34"/>
        <v/>
      </c>
      <c r="O423" s="22" t="str">
        <f t="shared" si="35"/>
        <v/>
      </c>
    </row>
    <row r="424" spans="12:15" x14ac:dyDescent="0.35">
      <c r="L424" s="93" t="str">
        <f t="shared" si="32"/>
        <v/>
      </c>
      <c r="M424" s="22" t="str">
        <f t="shared" si="33"/>
        <v/>
      </c>
      <c r="N424" s="22" t="str">
        <f t="shared" si="34"/>
        <v/>
      </c>
      <c r="O424" s="22" t="str">
        <f t="shared" si="35"/>
        <v/>
      </c>
    </row>
    <row r="425" spans="12:15" x14ac:dyDescent="0.35">
      <c r="L425" s="93" t="str">
        <f t="shared" si="32"/>
        <v/>
      </c>
      <c r="M425" s="22" t="str">
        <f t="shared" si="33"/>
        <v/>
      </c>
      <c r="N425" s="22" t="str">
        <f t="shared" si="34"/>
        <v/>
      </c>
      <c r="O425" s="22" t="str">
        <f t="shared" si="35"/>
        <v/>
      </c>
    </row>
    <row r="426" spans="12:15" x14ac:dyDescent="0.35">
      <c r="L426" s="93" t="str">
        <f t="shared" si="32"/>
        <v/>
      </c>
      <c r="M426" s="22" t="str">
        <f t="shared" si="33"/>
        <v/>
      </c>
      <c r="N426" s="22" t="str">
        <f t="shared" si="34"/>
        <v/>
      </c>
      <c r="O426" s="22" t="str">
        <f t="shared" si="35"/>
        <v/>
      </c>
    </row>
    <row r="427" spans="12:15" x14ac:dyDescent="0.35">
      <c r="L427" s="93" t="str">
        <f t="shared" si="32"/>
        <v/>
      </c>
      <c r="M427" s="22" t="str">
        <f t="shared" si="33"/>
        <v/>
      </c>
      <c r="N427" s="22" t="str">
        <f t="shared" si="34"/>
        <v/>
      </c>
      <c r="O427" s="22" t="str">
        <f t="shared" si="35"/>
        <v/>
      </c>
    </row>
    <row r="428" spans="12:15" x14ac:dyDescent="0.35">
      <c r="L428" s="93" t="str">
        <f t="shared" si="32"/>
        <v/>
      </c>
      <c r="M428" s="22" t="str">
        <f t="shared" si="33"/>
        <v/>
      </c>
      <c r="N428" s="22" t="str">
        <f t="shared" si="34"/>
        <v/>
      </c>
      <c r="O428" s="22" t="str">
        <f t="shared" si="35"/>
        <v/>
      </c>
    </row>
    <row r="429" spans="12:15" x14ac:dyDescent="0.35">
      <c r="L429" s="93" t="str">
        <f t="shared" si="32"/>
        <v/>
      </c>
      <c r="M429" s="22" t="str">
        <f t="shared" si="33"/>
        <v/>
      </c>
      <c r="N429" s="22" t="str">
        <f t="shared" si="34"/>
        <v/>
      </c>
      <c r="O429" s="22" t="str">
        <f t="shared" si="35"/>
        <v/>
      </c>
    </row>
    <row r="430" spans="12:15" x14ac:dyDescent="0.35">
      <c r="L430" s="93" t="str">
        <f t="shared" si="32"/>
        <v/>
      </c>
      <c r="M430" s="22" t="str">
        <f t="shared" si="33"/>
        <v/>
      </c>
      <c r="N430" s="22" t="str">
        <f t="shared" si="34"/>
        <v/>
      </c>
      <c r="O430" s="22" t="str">
        <f t="shared" si="35"/>
        <v/>
      </c>
    </row>
    <row r="431" spans="12:15" x14ac:dyDescent="0.35">
      <c r="L431" s="93" t="str">
        <f t="shared" si="32"/>
        <v/>
      </c>
      <c r="M431" s="22" t="str">
        <f t="shared" si="33"/>
        <v/>
      </c>
      <c r="N431" s="22" t="str">
        <f t="shared" si="34"/>
        <v/>
      </c>
      <c r="O431" s="22" t="str">
        <f t="shared" si="35"/>
        <v/>
      </c>
    </row>
    <row r="432" spans="12:15" x14ac:dyDescent="0.35">
      <c r="L432" s="93" t="str">
        <f t="shared" si="32"/>
        <v/>
      </c>
      <c r="M432" s="22" t="str">
        <f t="shared" si="33"/>
        <v/>
      </c>
      <c r="N432" s="22" t="str">
        <f t="shared" si="34"/>
        <v/>
      </c>
      <c r="O432" s="22" t="str">
        <f t="shared" si="35"/>
        <v/>
      </c>
    </row>
    <row r="433" spans="12:15" x14ac:dyDescent="0.35">
      <c r="L433" s="93" t="str">
        <f t="shared" si="32"/>
        <v/>
      </c>
      <c r="M433" s="22" t="str">
        <f t="shared" si="33"/>
        <v/>
      </c>
      <c r="N433" s="22" t="str">
        <f t="shared" si="34"/>
        <v/>
      </c>
      <c r="O433" s="22" t="str">
        <f t="shared" si="35"/>
        <v/>
      </c>
    </row>
    <row r="434" spans="12:15" x14ac:dyDescent="0.35">
      <c r="L434" s="93" t="str">
        <f t="shared" si="32"/>
        <v/>
      </c>
      <c r="M434" s="22" t="str">
        <f t="shared" si="33"/>
        <v/>
      </c>
      <c r="N434" s="22" t="str">
        <f t="shared" si="34"/>
        <v/>
      </c>
      <c r="O434" s="22" t="str">
        <f t="shared" si="35"/>
        <v/>
      </c>
    </row>
    <row r="435" spans="12:15" x14ac:dyDescent="0.35">
      <c r="L435" s="93" t="str">
        <f t="shared" si="32"/>
        <v/>
      </c>
      <c r="M435" s="22" t="str">
        <f t="shared" si="33"/>
        <v/>
      </c>
      <c r="N435" s="22" t="str">
        <f t="shared" si="34"/>
        <v/>
      </c>
      <c r="O435" s="22" t="str">
        <f t="shared" si="35"/>
        <v/>
      </c>
    </row>
    <row r="436" spans="12:15" x14ac:dyDescent="0.35">
      <c r="L436" s="93" t="str">
        <f t="shared" si="32"/>
        <v/>
      </c>
      <c r="M436" s="22" t="str">
        <f t="shared" si="33"/>
        <v/>
      </c>
      <c r="N436" s="22" t="str">
        <f t="shared" si="34"/>
        <v/>
      </c>
      <c r="O436" s="22" t="str">
        <f t="shared" si="35"/>
        <v/>
      </c>
    </row>
    <row r="437" spans="12:15" x14ac:dyDescent="0.35">
      <c r="L437" s="93" t="str">
        <f t="shared" si="32"/>
        <v/>
      </c>
      <c r="M437" s="22" t="str">
        <f t="shared" si="33"/>
        <v/>
      </c>
      <c r="N437" s="22" t="str">
        <f t="shared" si="34"/>
        <v/>
      </c>
      <c r="O437" s="22" t="str">
        <f t="shared" si="35"/>
        <v/>
      </c>
    </row>
    <row r="438" spans="12:15" x14ac:dyDescent="0.35">
      <c r="L438" s="93" t="str">
        <f t="shared" si="32"/>
        <v/>
      </c>
      <c r="M438" s="22" t="str">
        <f t="shared" si="33"/>
        <v/>
      </c>
      <c r="N438" s="22" t="str">
        <f t="shared" si="34"/>
        <v/>
      </c>
      <c r="O438" s="22" t="str">
        <f t="shared" si="35"/>
        <v/>
      </c>
    </row>
    <row r="439" spans="12:15" x14ac:dyDescent="0.35">
      <c r="L439" s="93" t="str">
        <f t="shared" si="32"/>
        <v/>
      </c>
      <c r="M439" s="22" t="str">
        <f t="shared" si="33"/>
        <v/>
      </c>
      <c r="N439" s="22" t="str">
        <f t="shared" si="34"/>
        <v/>
      </c>
      <c r="O439" s="22" t="str">
        <f t="shared" si="35"/>
        <v/>
      </c>
    </row>
    <row r="440" spans="12:15" x14ac:dyDescent="0.35">
      <c r="L440" s="93" t="str">
        <f t="shared" si="32"/>
        <v/>
      </c>
      <c r="M440" s="22" t="str">
        <f t="shared" si="33"/>
        <v/>
      </c>
      <c r="N440" s="22" t="str">
        <f t="shared" si="34"/>
        <v/>
      </c>
      <c r="O440" s="22" t="str">
        <f t="shared" si="35"/>
        <v/>
      </c>
    </row>
    <row r="441" spans="12:15" x14ac:dyDescent="0.35">
      <c r="L441" s="93" t="str">
        <f t="shared" si="32"/>
        <v/>
      </c>
      <c r="M441" s="22" t="str">
        <f t="shared" si="33"/>
        <v/>
      </c>
      <c r="N441" s="22" t="str">
        <f t="shared" si="34"/>
        <v/>
      </c>
      <c r="O441" s="22" t="str">
        <f t="shared" si="35"/>
        <v/>
      </c>
    </row>
    <row r="442" spans="12:15" x14ac:dyDescent="0.35">
      <c r="L442" s="93" t="str">
        <f t="shared" si="32"/>
        <v/>
      </c>
      <c r="M442" s="22" t="str">
        <f t="shared" si="33"/>
        <v/>
      </c>
      <c r="N442" s="22" t="str">
        <f t="shared" si="34"/>
        <v/>
      </c>
      <c r="O442" s="22" t="str">
        <f t="shared" si="35"/>
        <v/>
      </c>
    </row>
    <row r="443" spans="12:15" x14ac:dyDescent="0.35">
      <c r="L443" s="93" t="str">
        <f t="shared" si="32"/>
        <v/>
      </c>
      <c r="M443" s="22" t="str">
        <f t="shared" si="33"/>
        <v/>
      </c>
      <c r="N443" s="22" t="str">
        <f t="shared" si="34"/>
        <v/>
      </c>
      <c r="O443" s="22" t="str">
        <f t="shared" si="35"/>
        <v/>
      </c>
    </row>
    <row r="444" spans="12:15" x14ac:dyDescent="0.35">
      <c r="L444" s="93" t="str">
        <f t="shared" si="32"/>
        <v/>
      </c>
      <c r="M444" s="22" t="str">
        <f t="shared" si="33"/>
        <v/>
      </c>
      <c r="N444" s="22" t="str">
        <f t="shared" si="34"/>
        <v/>
      </c>
      <c r="O444" s="22" t="str">
        <f t="shared" si="35"/>
        <v/>
      </c>
    </row>
    <row r="445" spans="12:15" x14ac:dyDescent="0.35">
      <c r="L445" s="93" t="str">
        <f t="shared" si="32"/>
        <v/>
      </c>
      <c r="M445" s="22" t="str">
        <f t="shared" si="33"/>
        <v/>
      </c>
      <c r="N445" s="22" t="str">
        <f t="shared" si="34"/>
        <v/>
      </c>
      <c r="O445" s="22" t="str">
        <f t="shared" si="35"/>
        <v/>
      </c>
    </row>
    <row r="446" spans="12:15" x14ac:dyDescent="0.35">
      <c r="L446" s="93" t="str">
        <f t="shared" si="32"/>
        <v/>
      </c>
      <c r="M446" s="22" t="str">
        <f t="shared" si="33"/>
        <v/>
      </c>
      <c r="N446" s="22" t="str">
        <f t="shared" si="34"/>
        <v/>
      </c>
      <c r="O446" s="22" t="str">
        <f t="shared" si="35"/>
        <v/>
      </c>
    </row>
    <row r="447" spans="12:15" x14ac:dyDescent="0.35">
      <c r="L447" s="93" t="str">
        <f t="shared" si="32"/>
        <v/>
      </c>
      <c r="M447" s="22" t="str">
        <f t="shared" si="33"/>
        <v/>
      </c>
      <c r="N447" s="22" t="str">
        <f t="shared" si="34"/>
        <v/>
      </c>
      <c r="O447" s="22" t="str">
        <f t="shared" si="35"/>
        <v/>
      </c>
    </row>
    <row r="448" spans="12:15" x14ac:dyDescent="0.35">
      <c r="L448" s="93" t="str">
        <f t="shared" si="32"/>
        <v/>
      </c>
      <c r="M448" s="22" t="str">
        <f t="shared" si="33"/>
        <v/>
      </c>
      <c r="N448" s="22" t="str">
        <f t="shared" si="34"/>
        <v/>
      </c>
      <c r="O448" s="22" t="str">
        <f t="shared" si="35"/>
        <v/>
      </c>
    </row>
    <row r="449" spans="12:15" x14ac:dyDescent="0.35">
      <c r="L449" s="93" t="str">
        <f t="shared" si="32"/>
        <v/>
      </c>
      <c r="M449" s="22" t="str">
        <f t="shared" si="33"/>
        <v/>
      </c>
      <c r="N449" s="22" t="str">
        <f t="shared" si="34"/>
        <v/>
      </c>
      <c r="O449" s="22" t="str">
        <f t="shared" si="35"/>
        <v/>
      </c>
    </row>
    <row r="450" spans="12:15" x14ac:dyDescent="0.35">
      <c r="L450" s="93" t="str">
        <f t="shared" si="32"/>
        <v/>
      </c>
      <c r="M450" s="22" t="str">
        <f t="shared" si="33"/>
        <v/>
      </c>
      <c r="N450" s="22" t="str">
        <f t="shared" si="34"/>
        <v/>
      </c>
      <c r="O450" s="22" t="str">
        <f t="shared" si="35"/>
        <v/>
      </c>
    </row>
    <row r="451" spans="12:15" x14ac:dyDescent="0.35">
      <c r="L451" s="93" t="str">
        <f t="shared" ref="L451:L502" si="36">IF(C451="","",IF(F451="","Facture reçue",IF(H451="","PR",IF(J451="","PO","Posted and unpaid"))))</f>
        <v/>
      </c>
      <c r="M451" s="22" t="str">
        <f t="shared" ref="M451:M502" si="37">IF(C451="","",IF(F451="","La facture a été reçue et est en attente de création du PR.",IF(H451="","Le PR a été renseigné ; en attente de création du bon de commande (PO).",IF(J451="","Le PO a été renseigné ; en attente du bon de réception (GRN).","Facture comptabilisée et non payée."))))</f>
        <v/>
      </c>
      <c r="N451" s="22" t="str">
        <f t="shared" ref="N451:N502" si="38">IF(C451="","",IF(F451="","Facture reçue",IF(H451="","unpaid",IF(J451="","unpaid",IF(L451="","Posted and unpaid","paid")))))</f>
        <v/>
      </c>
      <c r="O451" s="22" t="str">
        <f t="shared" ref="O451:O502" si="39">IF(C451="","",IF(F451="","La facture a été reçue et est en attente de création du PR.",IF(H451="","Le PR a été renseigné ; facture non payée, en attente du bon de commande (PO).",IF(J451="","Le PO a été renseigné ; facture non payée, en attente du bon de réception (GRN).",IF(L451="","Le GRN a été renseigné ; facture comptabilisée et non payée.","Le paiement a été enregistré ; facture payée.")))))</f>
        <v/>
      </c>
    </row>
    <row r="452" spans="12:15" x14ac:dyDescent="0.35">
      <c r="L452" s="93" t="str">
        <f t="shared" si="36"/>
        <v/>
      </c>
      <c r="M452" s="22" t="str">
        <f t="shared" si="37"/>
        <v/>
      </c>
      <c r="N452" s="22" t="str">
        <f t="shared" si="38"/>
        <v/>
      </c>
      <c r="O452" s="22" t="str">
        <f t="shared" si="39"/>
        <v/>
      </c>
    </row>
    <row r="453" spans="12:15" x14ac:dyDescent="0.35">
      <c r="L453" s="93" t="str">
        <f t="shared" si="36"/>
        <v/>
      </c>
      <c r="M453" s="22" t="str">
        <f t="shared" si="37"/>
        <v/>
      </c>
      <c r="N453" s="22" t="str">
        <f t="shared" si="38"/>
        <v/>
      </c>
      <c r="O453" s="22" t="str">
        <f t="shared" si="39"/>
        <v/>
      </c>
    </row>
    <row r="454" spans="12:15" x14ac:dyDescent="0.35">
      <c r="L454" s="93" t="str">
        <f t="shared" si="36"/>
        <v/>
      </c>
      <c r="M454" s="22" t="str">
        <f t="shared" si="37"/>
        <v/>
      </c>
      <c r="N454" s="22" t="str">
        <f t="shared" si="38"/>
        <v/>
      </c>
      <c r="O454" s="22" t="str">
        <f t="shared" si="39"/>
        <v/>
      </c>
    </row>
    <row r="455" spans="12:15" x14ac:dyDescent="0.35">
      <c r="L455" s="93" t="str">
        <f t="shared" si="36"/>
        <v/>
      </c>
      <c r="M455" s="22" t="str">
        <f t="shared" si="37"/>
        <v/>
      </c>
      <c r="N455" s="22" t="str">
        <f t="shared" si="38"/>
        <v/>
      </c>
      <c r="O455" s="22" t="str">
        <f t="shared" si="39"/>
        <v/>
      </c>
    </row>
    <row r="456" spans="12:15" x14ac:dyDescent="0.35">
      <c r="L456" s="93" t="str">
        <f t="shared" si="36"/>
        <v/>
      </c>
      <c r="M456" s="22" t="str">
        <f t="shared" si="37"/>
        <v/>
      </c>
      <c r="N456" s="22" t="str">
        <f t="shared" si="38"/>
        <v/>
      </c>
      <c r="O456" s="22" t="str">
        <f t="shared" si="39"/>
        <v/>
      </c>
    </row>
    <row r="457" spans="12:15" x14ac:dyDescent="0.35">
      <c r="L457" s="93" t="str">
        <f t="shared" si="36"/>
        <v/>
      </c>
      <c r="M457" s="22" t="str">
        <f t="shared" si="37"/>
        <v/>
      </c>
      <c r="N457" s="22" t="str">
        <f t="shared" si="38"/>
        <v/>
      </c>
      <c r="O457" s="22" t="str">
        <f t="shared" si="39"/>
        <v/>
      </c>
    </row>
    <row r="458" spans="12:15" x14ac:dyDescent="0.35">
      <c r="L458" s="93" t="str">
        <f t="shared" si="36"/>
        <v/>
      </c>
      <c r="M458" s="22" t="str">
        <f t="shared" si="37"/>
        <v/>
      </c>
      <c r="N458" s="22" t="str">
        <f t="shared" si="38"/>
        <v/>
      </c>
      <c r="O458" s="22" t="str">
        <f t="shared" si="39"/>
        <v/>
      </c>
    </row>
    <row r="459" spans="12:15" x14ac:dyDescent="0.35">
      <c r="L459" s="93" t="str">
        <f t="shared" si="36"/>
        <v/>
      </c>
      <c r="M459" s="22" t="str">
        <f t="shared" si="37"/>
        <v/>
      </c>
      <c r="N459" s="22" t="str">
        <f t="shared" si="38"/>
        <v/>
      </c>
      <c r="O459" s="22" t="str">
        <f t="shared" si="39"/>
        <v/>
      </c>
    </row>
    <row r="460" spans="12:15" x14ac:dyDescent="0.35">
      <c r="L460" s="93" t="str">
        <f t="shared" si="36"/>
        <v/>
      </c>
      <c r="M460" s="22" t="str">
        <f t="shared" si="37"/>
        <v/>
      </c>
      <c r="N460" s="22" t="str">
        <f t="shared" si="38"/>
        <v/>
      </c>
      <c r="O460" s="22" t="str">
        <f t="shared" si="39"/>
        <v/>
      </c>
    </row>
    <row r="461" spans="12:15" x14ac:dyDescent="0.35">
      <c r="L461" s="93" t="str">
        <f t="shared" si="36"/>
        <v/>
      </c>
      <c r="M461" s="22" t="str">
        <f t="shared" si="37"/>
        <v/>
      </c>
      <c r="N461" s="22" t="str">
        <f t="shared" si="38"/>
        <v/>
      </c>
      <c r="O461" s="22" t="str">
        <f t="shared" si="39"/>
        <v/>
      </c>
    </row>
    <row r="462" spans="12:15" x14ac:dyDescent="0.35">
      <c r="L462" s="93" t="str">
        <f t="shared" si="36"/>
        <v/>
      </c>
      <c r="M462" s="22" t="str">
        <f t="shared" si="37"/>
        <v/>
      </c>
      <c r="N462" s="22" t="str">
        <f t="shared" si="38"/>
        <v/>
      </c>
      <c r="O462" s="22" t="str">
        <f t="shared" si="39"/>
        <v/>
      </c>
    </row>
    <row r="463" spans="12:15" x14ac:dyDescent="0.35">
      <c r="L463" s="93" t="str">
        <f t="shared" si="36"/>
        <v/>
      </c>
      <c r="M463" s="22" t="str">
        <f t="shared" si="37"/>
        <v/>
      </c>
      <c r="N463" s="22" t="str">
        <f t="shared" si="38"/>
        <v/>
      </c>
      <c r="O463" s="22" t="str">
        <f t="shared" si="39"/>
        <v/>
      </c>
    </row>
    <row r="464" spans="12:15" x14ac:dyDescent="0.35">
      <c r="L464" s="93" t="str">
        <f t="shared" si="36"/>
        <v/>
      </c>
      <c r="M464" s="22" t="str">
        <f t="shared" si="37"/>
        <v/>
      </c>
      <c r="N464" s="22" t="str">
        <f t="shared" si="38"/>
        <v/>
      </c>
      <c r="O464" s="22" t="str">
        <f t="shared" si="39"/>
        <v/>
      </c>
    </row>
    <row r="465" spans="12:15" x14ac:dyDescent="0.35">
      <c r="L465" s="93" t="str">
        <f t="shared" si="36"/>
        <v/>
      </c>
      <c r="M465" s="22" t="str">
        <f t="shared" si="37"/>
        <v/>
      </c>
      <c r="N465" s="22" t="str">
        <f t="shared" si="38"/>
        <v/>
      </c>
      <c r="O465" s="22" t="str">
        <f t="shared" si="39"/>
        <v/>
      </c>
    </row>
    <row r="466" spans="12:15" x14ac:dyDescent="0.35">
      <c r="L466" s="93" t="str">
        <f t="shared" si="36"/>
        <v/>
      </c>
      <c r="M466" s="22" t="str">
        <f t="shared" si="37"/>
        <v/>
      </c>
      <c r="N466" s="22" t="str">
        <f t="shared" si="38"/>
        <v/>
      </c>
      <c r="O466" s="22" t="str">
        <f t="shared" si="39"/>
        <v/>
      </c>
    </row>
    <row r="467" spans="12:15" x14ac:dyDescent="0.35">
      <c r="L467" s="93" t="str">
        <f t="shared" si="36"/>
        <v/>
      </c>
      <c r="M467" s="22" t="str">
        <f t="shared" si="37"/>
        <v/>
      </c>
      <c r="N467" s="22" t="str">
        <f t="shared" si="38"/>
        <v/>
      </c>
      <c r="O467" s="22" t="str">
        <f t="shared" si="39"/>
        <v/>
      </c>
    </row>
    <row r="468" spans="12:15" x14ac:dyDescent="0.35">
      <c r="L468" s="93" t="str">
        <f t="shared" si="36"/>
        <v/>
      </c>
      <c r="M468" s="22" t="str">
        <f t="shared" si="37"/>
        <v/>
      </c>
      <c r="N468" s="22" t="str">
        <f t="shared" si="38"/>
        <v/>
      </c>
      <c r="O468" s="22" t="str">
        <f t="shared" si="39"/>
        <v/>
      </c>
    </row>
    <row r="469" spans="12:15" x14ac:dyDescent="0.35">
      <c r="L469" s="93" t="str">
        <f t="shared" si="36"/>
        <v/>
      </c>
      <c r="M469" s="22" t="str">
        <f t="shared" si="37"/>
        <v/>
      </c>
      <c r="N469" s="22" t="str">
        <f t="shared" si="38"/>
        <v/>
      </c>
      <c r="O469" s="22" t="str">
        <f t="shared" si="39"/>
        <v/>
      </c>
    </row>
    <row r="470" spans="12:15" x14ac:dyDescent="0.35">
      <c r="L470" s="93" t="str">
        <f t="shared" si="36"/>
        <v/>
      </c>
      <c r="M470" s="22" t="str">
        <f t="shared" si="37"/>
        <v/>
      </c>
      <c r="N470" s="22" t="str">
        <f t="shared" si="38"/>
        <v/>
      </c>
      <c r="O470" s="22" t="str">
        <f t="shared" si="39"/>
        <v/>
      </c>
    </row>
    <row r="471" spans="12:15" x14ac:dyDescent="0.35">
      <c r="L471" s="93" t="str">
        <f t="shared" si="36"/>
        <v/>
      </c>
      <c r="M471" s="22" t="str">
        <f t="shared" si="37"/>
        <v/>
      </c>
      <c r="N471" s="22" t="str">
        <f t="shared" si="38"/>
        <v/>
      </c>
      <c r="O471" s="22" t="str">
        <f t="shared" si="39"/>
        <v/>
      </c>
    </row>
    <row r="472" spans="12:15" x14ac:dyDescent="0.35">
      <c r="L472" s="93" t="str">
        <f t="shared" si="36"/>
        <v/>
      </c>
      <c r="M472" s="22" t="str">
        <f t="shared" si="37"/>
        <v/>
      </c>
      <c r="N472" s="22" t="str">
        <f t="shared" si="38"/>
        <v/>
      </c>
      <c r="O472" s="22" t="str">
        <f t="shared" si="39"/>
        <v/>
      </c>
    </row>
    <row r="473" spans="12:15" x14ac:dyDescent="0.35">
      <c r="L473" s="93" t="str">
        <f t="shared" si="36"/>
        <v/>
      </c>
      <c r="M473" s="22" t="str">
        <f t="shared" si="37"/>
        <v/>
      </c>
      <c r="N473" s="22" t="str">
        <f t="shared" si="38"/>
        <v/>
      </c>
      <c r="O473" s="22" t="str">
        <f t="shared" si="39"/>
        <v/>
      </c>
    </row>
    <row r="474" spans="12:15" x14ac:dyDescent="0.35">
      <c r="L474" s="93" t="str">
        <f t="shared" si="36"/>
        <v/>
      </c>
      <c r="M474" s="22" t="str">
        <f t="shared" si="37"/>
        <v/>
      </c>
      <c r="N474" s="22" t="str">
        <f t="shared" si="38"/>
        <v/>
      </c>
      <c r="O474" s="22" t="str">
        <f t="shared" si="39"/>
        <v/>
      </c>
    </row>
    <row r="475" spans="12:15" x14ac:dyDescent="0.35">
      <c r="L475" s="93" t="str">
        <f t="shared" si="36"/>
        <v/>
      </c>
      <c r="M475" s="22" t="str">
        <f t="shared" si="37"/>
        <v/>
      </c>
      <c r="N475" s="22" t="str">
        <f t="shared" si="38"/>
        <v/>
      </c>
      <c r="O475" s="22" t="str">
        <f t="shared" si="39"/>
        <v/>
      </c>
    </row>
    <row r="476" spans="12:15" x14ac:dyDescent="0.35">
      <c r="L476" s="93" t="str">
        <f t="shared" si="36"/>
        <v/>
      </c>
      <c r="M476" s="22" t="str">
        <f t="shared" si="37"/>
        <v/>
      </c>
      <c r="N476" s="22" t="str">
        <f t="shared" si="38"/>
        <v/>
      </c>
      <c r="O476" s="22" t="str">
        <f t="shared" si="39"/>
        <v/>
      </c>
    </row>
    <row r="477" spans="12:15" x14ac:dyDescent="0.35">
      <c r="L477" s="93" t="str">
        <f t="shared" si="36"/>
        <v/>
      </c>
      <c r="M477" s="22" t="str">
        <f t="shared" si="37"/>
        <v/>
      </c>
      <c r="N477" s="22" t="str">
        <f t="shared" si="38"/>
        <v/>
      </c>
      <c r="O477" s="22" t="str">
        <f t="shared" si="39"/>
        <v/>
      </c>
    </row>
    <row r="478" spans="12:15" x14ac:dyDescent="0.35">
      <c r="L478" s="93" t="str">
        <f t="shared" si="36"/>
        <v/>
      </c>
      <c r="M478" s="22" t="str">
        <f t="shared" si="37"/>
        <v/>
      </c>
      <c r="N478" s="22" t="str">
        <f t="shared" si="38"/>
        <v/>
      </c>
      <c r="O478" s="22" t="str">
        <f t="shared" si="39"/>
        <v/>
      </c>
    </row>
    <row r="479" spans="12:15" x14ac:dyDescent="0.35">
      <c r="L479" s="93" t="str">
        <f t="shared" si="36"/>
        <v/>
      </c>
      <c r="M479" s="22" t="str">
        <f t="shared" si="37"/>
        <v/>
      </c>
      <c r="N479" s="22" t="str">
        <f t="shared" si="38"/>
        <v/>
      </c>
      <c r="O479" s="22" t="str">
        <f t="shared" si="39"/>
        <v/>
      </c>
    </row>
    <row r="480" spans="12:15" x14ac:dyDescent="0.35">
      <c r="L480" s="93" t="str">
        <f t="shared" si="36"/>
        <v/>
      </c>
      <c r="M480" s="22" t="str">
        <f t="shared" si="37"/>
        <v/>
      </c>
      <c r="N480" s="22" t="str">
        <f t="shared" si="38"/>
        <v/>
      </c>
      <c r="O480" s="22" t="str">
        <f t="shared" si="39"/>
        <v/>
      </c>
    </row>
    <row r="481" spans="12:15" x14ac:dyDescent="0.35">
      <c r="L481" s="93" t="str">
        <f t="shared" si="36"/>
        <v/>
      </c>
      <c r="M481" s="22" t="str">
        <f t="shared" si="37"/>
        <v/>
      </c>
      <c r="N481" s="22" t="str">
        <f t="shared" si="38"/>
        <v/>
      </c>
      <c r="O481" s="22" t="str">
        <f t="shared" si="39"/>
        <v/>
      </c>
    </row>
    <row r="482" spans="12:15" x14ac:dyDescent="0.35">
      <c r="L482" s="93" t="str">
        <f t="shared" si="36"/>
        <v/>
      </c>
      <c r="M482" s="22" t="str">
        <f t="shared" si="37"/>
        <v/>
      </c>
      <c r="N482" s="22" t="str">
        <f t="shared" si="38"/>
        <v/>
      </c>
      <c r="O482" s="22" t="str">
        <f t="shared" si="39"/>
        <v/>
      </c>
    </row>
    <row r="483" spans="12:15" x14ac:dyDescent="0.35">
      <c r="L483" s="93" t="str">
        <f t="shared" si="36"/>
        <v/>
      </c>
      <c r="M483" s="22" t="str">
        <f t="shared" si="37"/>
        <v/>
      </c>
      <c r="N483" s="22" t="str">
        <f t="shared" si="38"/>
        <v/>
      </c>
      <c r="O483" s="22" t="str">
        <f t="shared" si="39"/>
        <v/>
      </c>
    </row>
    <row r="484" spans="12:15" x14ac:dyDescent="0.35">
      <c r="L484" s="93" t="str">
        <f t="shared" si="36"/>
        <v/>
      </c>
      <c r="M484" s="22" t="str">
        <f t="shared" si="37"/>
        <v/>
      </c>
      <c r="N484" s="22" t="str">
        <f t="shared" si="38"/>
        <v/>
      </c>
      <c r="O484" s="22" t="str">
        <f t="shared" si="39"/>
        <v/>
      </c>
    </row>
    <row r="485" spans="12:15" x14ac:dyDescent="0.35">
      <c r="L485" s="93" t="str">
        <f t="shared" si="36"/>
        <v/>
      </c>
      <c r="M485" s="22" t="str">
        <f t="shared" si="37"/>
        <v/>
      </c>
      <c r="N485" s="22" t="str">
        <f t="shared" si="38"/>
        <v/>
      </c>
      <c r="O485" s="22" t="str">
        <f t="shared" si="39"/>
        <v/>
      </c>
    </row>
    <row r="486" spans="12:15" x14ac:dyDescent="0.35">
      <c r="L486" s="93" t="str">
        <f t="shared" si="36"/>
        <v/>
      </c>
      <c r="M486" s="22" t="str">
        <f t="shared" si="37"/>
        <v/>
      </c>
      <c r="N486" s="22" t="str">
        <f t="shared" si="38"/>
        <v/>
      </c>
      <c r="O486" s="22" t="str">
        <f t="shared" si="39"/>
        <v/>
      </c>
    </row>
    <row r="487" spans="12:15" x14ac:dyDescent="0.35">
      <c r="L487" s="93" t="str">
        <f t="shared" si="36"/>
        <v/>
      </c>
      <c r="M487" s="22" t="str">
        <f t="shared" si="37"/>
        <v/>
      </c>
      <c r="N487" s="22" t="str">
        <f t="shared" si="38"/>
        <v/>
      </c>
      <c r="O487" s="22" t="str">
        <f t="shared" si="39"/>
        <v/>
      </c>
    </row>
    <row r="488" spans="12:15" x14ac:dyDescent="0.35">
      <c r="L488" s="93" t="str">
        <f t="shared" si="36"/>
        <v/>
      </c>
      <c r="M488" s="22" t="str">
        <f t="shared" si="37"/>
        <v/>
      </c>
      <c r="N488" s="22" t="str">
        <f t="shared" si="38"/>
        <v/>
      </c>
      <c r="O488" s="22" t="str">
        <f t="shared" si="39"/>
        <v/>
      </c>
    </row>
    <row r="489" spans="12:15" x14ac:dyDescent="0.35">
      <c r="L489" s="93" t="str">
        <f t="shared" si="36"/>
        <v/>
      </c>
      <c r="M489" s="22" t="str">
        <f t="shared" si="37"/>
        <v/>
      </c>
      <c r="N489" s="22" t="str">
        <f t="shared" si="38"/>
        <v/>
      </c>
      <c r="O489" s="22" t="str">
        <f t="shared" si="39"/>
        <v/>
      </c>
    </row>
    <row r="490" spans="12:15" x14ac:dyDescent="0.35">
      <c r="L490" s="93" t="str">
        <f t="shared" si="36"/>
        <v/>
      </c>
      <c r="M490" s="22" t="str">
        <f t="shared" si="37"/>
        <v/>
      </c>
      <c r="N490" s="22" t="str">
        <f t="shared" si="38"/>
        <v/>
      </c>
      <c r="O490" s="22" t="str">
        <f t="shared" si="39"/>
        <v/>
      </c>
    </row>
    <row r="491" spans="12:15" x14ac:dyDescent="0.35">
      <c r="L491" s="93" t="str">
        <f t="shared" si="36"/>
        <v/>
      </c>
      <c r="M491" s="22" t="str">
        <f t="shared" si="37"/>
        <v/>
      </c>
      <c r="N491" s="22" t="str">
        <f t="shared" si="38"/>
        <v/>
      </c>
      <c r="O491" s="22" t="str">
        <f t="shared" si="39"/>
        <v/>
      </c>
    </row>
    <row r="492" spans="12:15" x14ac:dyDescent="0.35">
      <c r="L492" s="93" t="str">
        <f t="shared" si="36"/>
        <v/>
      </c>
      <c r="M492" s="22" t="str">
        <f t="shared" si="37"/>
        <v/>
      </c>
      <c r="N492" s="22" t="str">
        <f t="shared" si="38"/>
        <v/>
      </c>
      <c r="O492" s="22" t="str">
        <f t="shared" si="39"/>
        <v/>
      </c>
    </row>
    <row r="493" spans="12:15" x14ac:dyDescent="0.35">
      <c r="L493" s="93" t="str">
        <f t="shared" si="36"/>
        <v/>
      </c>
      <c r="M493" s="22" t="str">
        <f t="shared" si="37"/>
        <v/>
      </c>
      <c r="N493" s="22" t="str">
        <f t="shared" si="38"/>
        <v/>
      </c>
      <c r="O493" s="22" t="str">
        <f t="shared" si="39"/>
        <v/>
      </c>
    </row>
    <row r="494" spans="12:15" x14ac:dyDescent="0.35">
      <c r="L494" s="93" t="str">
        <f t="shared" si="36"/>
        <v/>
      </c>
      <c r="M494" s="22" t="str">
        <f t="shared" si="37"/>
        <v/>
      </c>
      <c r="N494" s="22" t="str">
        <f t="shared" si="38"/>
        <v/>
      </c>
      <c r="O494" s="22" t="str">
        <f t="shared" si="39"/>
        <v/>
      </c>
    </row>
    <row r="495" spans="12:15" x14ac:dyDescent="0.35">
      <c r="L495" s="93" t="str">
        <f t="shared" si="36"/>
        <v/>
      </c>
      <c r="M495" s="22" t="str">
        <f t="shared" si="37"/>
        <v/>
      </c>
      <c r="N495" s="22" t="str">
        <f t="shared" si="38"/>
        <v/>
      </c>
      <c r="O495" s="22" t="str">
        <f t="shared" si="39"/>
        <v/>
      </c>
    </row>
    <row r="496" spans="12:15" x14ac:dyDescent="0.35">
      <c r="L496" s="93" t="str">
        <f t="shared" si="36"/>
        <v/>
      </c>
      <c r="M496" s="22" t="str">
        <f t="shared" si="37"/>
        <v/>
      </c>
      <c r="N496" s="22" t="str">
        <f t="shared" si="38"/>
        <v/>
      </c>
      <c r="O496" s="22" t="str">
        <f t="shared" si="39"/>
        <v/>
      </c>
    </row>
    <row r="497" spans="12:15" x14ac:dyDescent="0.35">
      <c r="L497" s="93" t="str">
        <f t="shared" si="36"/>
        <v/>
      </c>
      <c r="M497" s="22" t="str">
        <f t="shared" si="37"/>
        <v/>
      </c>
      <c r="N497" s="22" t="str">
        <f t="shared" si="38"/>
        <v/>
      </c>
      <c r="O497" s="22" t="str">
        <f t="shared" si="39"/>
        <v/>
      </c>
    </row>
    <row r="498" spans="12:15" x14ac:dyDescent="0.35">
      <c r="L498" s="93" t="str">
        <f t="shared" si="36"/>
        <v/>
      </c>
      <c r="M498" s="22" t="str">
        <f t="shared" si="37"/>
        <v/>
      </c>
      <c r="N498" s="22" t="str">
        <f t="shared" si="38"/>
        <v/>
      </c>
      <c r="O498" s="22" t="str">
        <f t="shared" si="39"/>
        <v/>
      </c>
    </row>
    <row r="499" spans="12:15" x14ac:dyDescent="0.35">
      <c r="L499" s="93" t="str">
        <f t="shared" si="36"/>
        <v/>
      </c>
      <c r="M499" s="22" t="str">
        <f t="shared" si="37"/>
        <v/>
      </c>
      <c r="N499" s="22" t="str">
        <f t="shared" si="38"/>
        <v/>
      </c>
      <c r="O499" s="22" t="str">
        <f t="shared" si="39"/>
        <v/>
      </c>
    </row>
    <row r="500" spans="12:15" x14ac:dyDescent="0.35">
      <c r="L500" s="93" t="str">
        <f t="shared" si="36"/>
        <v/>
      </c>
      <c r="M500" s="22" t="str">
        <f t="shared" si="37"/>
        <v/>
      </c>
      <c r="N500" s="22" t="str">
        <f t="shared" si="38"/>
        <v/>
      </c>
      <c r="O500" s="22" t="str">
        <f t="shared" si="39"/>
        <v/>
      </c>
    </row>
    <row r="501" spans="12:15" x14ac:dyDescent="0.35">
      <c r="L501" s="93" t="str">
        <f t="shared" si="36"/>
        <v/>
      </c>
      <c r="M501" s="22" t="str">
        <f t="shared" si="37"/>
        <v/>
      </c>
      <c r="N501" s="22" t="str">
        <f t="shared" si="38"/>
        <v/>
      </c>
      <c r="O501" s="22" t="str">
        <f t="shared" si="39"/>
        <v/>
      </c>
    </row>
    <row r="502" spans="12:15" x14ac:dyDescent="0.35">
      <c r="L502" s="93" t="str">
        <f t="shared" si="36"/>
        <v/>
      </c>
      <c r="M502" s="22" t="str">
        <f t="shared" si="37"/>
        <v/>
      </c>
      <c r="N502" s="22" t="str">
        <f t="shared" si="38"/>
        <v/>
      </c>
      <c r="O502" s="22" t="str">
        <f t="shared" si="39"/>
        <v/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5" x14ac:dyDescent="0.35"/>
  <cols>
    <col min="1" max="1" width="22" customWidth="1"/>
    <col min="2" max="2" width="90" customWidth="1"/>
  </cols>
  <sheetData>
    <row r="1" spans="1:2" ht="17" x14ac:dyDescent="0.4">
      <c r="A1" s="73" t="s">
        <v>30</v>
      </c>
      <c r="B1" s="74"/>
    </row>
    <row r="3" spans="1:2" x14ac:dyDescent="0.35">
      <c r="A3" s="1" t="s">
        <v>31</v>
      </c>
      <c r="B3" t="s">
        <v>46</v>
      </c>
    </row>
    <row r="4" spans="1:2" x14ac:dyDescent="0.35">
      <c r="A4" s="2" t="s">
        <v>32</v>
      </c>
      <c r="B4" t="s">
        <v>33</v>
      </c>
    </row>
    <row r="5" spans="1:2" x14ac:dyDescent="0.35">
      <c r="A5" s="3" t="s">
        <v>34</v>
      </c>
      <c r="B5" t="s">
        <v>35</v>
      </c>
    </row>
    <row r="6" spans="1:2" x14ac:dyDescent="0.35">
      <c r="A6" s="4" t="s">
        <v>36</v>
      </c>
      <c r="B6" t="s">
        <v>37</v>
      </c>
    </row>
    <row r="7" spans="1:2" x14ac:dyDescent="0.35">
      <c r="A7" s="5" t="s">
        <v>38</v>
      </c>
      <c r="B7" t="s">
        <v>47</v>
      </c>
    </row>
    <row r="8" spans="1:2" x14ac:dyDescent="0.35">
      <c r="A8" s="6" t="s">
        <v>39</v>
      </c>
      <c r="B8" t="s">
        <v>41</v>
      </c>
    </row>
    <row r="9" spans="1:2" x14ac:dyDescent="0.35">
      <c r="A9" s="7" t="s">
        <v>48</v>
      </c>
      <c r="B9" t="s">
        <v>49</v>
      </c>
    </row>
    <row r="10" spans="1:2" x14ac:dyDescent="0.35">
      <c r="A10" s="8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Factures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Gedeon Massadi</cp:lastModifiedBy>
  <cp:lastPrinted>2026-07-20T12:37:58Z</cp:lastPrinted>
  <dcterms:modified xsi:type="dcterms:W3CDTF">2026-07-20T14:17:44Z</dcterms:modified>
</cp:coreProperties>
</file>