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hr-rh-app\Excel\"/>
    </mc:Choice>
  </mc:AlternateContent>
  <xr:revisionPtr revIDLastSave="0" documentId="13_ncr:1_{AD205D50-D43B-4446-ACB2-4A52D405CDFC}" xr6:coauthVersionLast="47" xr6:coauthVersionMax="47" xr10:uidLastSave="{00000000-0000-0000-0000-000000000000}"/>
  <bookViews>
    <workbookView xWindow="28680" yWindow="-120" windowWidth="29040" windowHeight="15720" xr2:uid="{5DD06A03-791B-452C-A552-C240E4A9DDFC}" activeTab="0"/>
  </bookViews>
  <sheets>
    <sheet name="G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<sst xmlns="http://schemas.openxmlformats.org/spreadsheetml/2006/main">
  <si>
    <t xml:space="preserve">PPCB Village Guesthouse 
</t>
  </si>
  <si>
    <t>Total</t>
  </si>
  <si>
    <t>Taux %</t>
  </si>
  <si>
    <t>Room # VIP - ZAMBA</t>
  </si>
  <si>
    <t>Room # 3 - MALANGA</t>
  </si>
  <si>
    <t>Francois du Bois</t>
  </si>
  <si>
    <t>Room # 4 - KUMBA</t>
  </si>
  <si>
    <t>Michael Booke</t>
  </si>
  <si>
    <t>Room # 5 - KIASUNGWA</t>
  </si>
  <si>
    <t>Hitclif-Afr du Sud</t>
  </si>
  <si>
    <t>Room # 6 - LUKUNGA</t>
  </si>
  <si>
    <t>Room # 7 - BANGU</t>
  </si>
  <si>
    <t>Room # 8 - KWILU</t>
  </si>
  <si>
    <t>Total Occupation</t>
  </si>
  <si>
    <t>Room # 9 - SONGOLOLO</t>
  </si>
  <si>
    <t>Comic</t>
  </si>
  <si>
    <t>Room # 10 - KIMPESE</t>
  </si>
  <si>
    <t>Me Achille</t>
  </si>
  <si>
    <t>Room # 11 - LUKALA</t>
  </si>
  <si>
    <t>Felly</t>
  </si>
  <si>
    <t>Room # 12 - VAMPA</t>
  </si>
  <si>
    <t>Guy Sodex</t>
  </si>
  <si>
    <t>Room # 13 - LUFU</t>
  </si>
  <si>
    <t>Jonathan</t>
  </si>
  <si>
    <t>Room # 14 - NANGA</t>
  </si>
  <si>
    <t>Nobael</t>
  </si>
  <si>
    <t>Room # 15 - NTEMO</t>
  </si>
  <si>
    <t>Room # 16 - MATADI</t>
  </si>
  <si>
    <t>Stephanie</t>
  </si>
  <si>
    <t>Total General Occupation</t>
  </si>
  <si>
    <t>Taux d occupation %</t>
  </si>
  <si>
    <t>Batiment #2</t>
  </si>
  <si>
    <t>Batiment #1</t>
  </si>
  <si>
    <t>Total Room</t>
  </si>
  <si>
    <t xml:space="preserve"/>
  </si>
  <si>
    <t xml:space="preserve">Kimpese</t>
  </si>
  <si>
    <t xml:space="preserve">Hôtels externes (débordement) — noms saisis dans l’app; export remplit les lignes suivantes.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</si>
</sst>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[$-409]d\-mmm;@"/>
    <numFmt numFmtId="165" formatCode="ddd"/>
  </numFmts>
  <fonts x14ac:knownFonts="1">
    <font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rgb="FF0070C0"/>
      <name val="Aptos Narrow"/>
      <family val="2"/>
      <scheme val="minor"/>
    </font>
    <font>
      <b/>
    </font>
  </fonts>
  <fills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9BC2E6"/>
      </patternFill>
    </fill>
  </fills>
  <borders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textRotation="90"/>
    </xf>
    <xf numFmtId="164" fontId="2" fillId="0" borderId="0" xfId="0" applyNumberFormat="1" applyFont="1" applyAlignment="1">
      <alignment horizontal="center" vertical="center" textRotation="90"/>
    </xf>
    <xf numFmtId="165" fontId="3" fillId="0" borderId="2" xfId="0" applyNumberFormat="1" applyFont="1" applyBorder="1" applyAlignment="1">
      <alignment horizontal="center" vertical="center" textRotation="90"/>
    </xf>
    <xf numFmtId="14" fontId="4" fillId="0" borderId="2" xfId="0" applyNumberFormat="1" applyFont="1" applyBorder="1" applyAlignment="1">
      <alignment textRotation="90"/>
    </xf>
    <xf numFmtId="14" fontId="5" fillId="0" borderId="2" xfId="0" applyNumberFormat="1" applyFont="1" applyBorder="1" applyAlignment="1">
      <alignment textRotation="90"/>
    </xf>
    <xf numFmtId="0" fontId="0" fillId="0" borderId="3" xfId="0" applyBorder="1"/>
    <xf numFmtId="0" fontId="6" fillId="0" borderId="2" xfId="0" applyFont="1" applyBorder="1"/>
    <xf numFmtId="0" fontId="4" fillId="3" borderId="2" xfId="0" applyFont="1" applyFill="1" applyBorder="1"/>
    <xf numFmtId="1" fontId="5" fillId="4" borderId="2" xfId="0" applyNumberFormat="1" applyFont="1" applyFill="1" applyBorder="1"/>
    <xf numFmtId="0" fontId="6" fillId="5" borderId="2" xfId="0" applyFont="1" applyFill="1" applyBorder="1"/>
    <xf numFmtId="0" fontId="0" fillId="6" borderId="3" xfId="0" applyFill="1" applyBorder="1"/>
    <xf numFmtId="0" fontId="7" fillId="0" borderId="2" xfId="0" applyFont="1" applyBorder="1"/>
    <xf numFmtId="0" fontId="8" fillId="0" borderId="4" xfId="0" applyFont="1" applyBorder="1"/>
    <xf numFmtId="1" fontId="2" fillId="5" borderId="5" xfId="0" applyNumberFormat="1" applyFont="1" applyFill="1" applyBorder="1"/>
    <xf numFmtId="0" fontId="8" fillId="7" borderId="2" xfId="0" applyFont="1" applyFill="1" applyBorder="1"/>
    <xf numFmtId="1" fontId="5" fillId="8" borderId="6" xfId="0" applyNumberFormat="1" applyFont="1" applyFill="1" applyBorder="1"/>
    <xf numFmtId="0" fontId="0" fillId="10" borderId="2" xfId="0" applyFill="1" applyBorder="1"/>
    <xf numFmtId="0" fontId="0" fillId="11" borderId="2" xfId="0" applyFill="1" applyBorder="1"/>
    <xf numFmtId="0" fontId="7" fillId="11" borderId="2" xfId="0" applyFont="1" applyFill="1" applyBorder="1"/>
    <xf numFmtId="0" fontId="7" fillId="10" borderId="2" xfId="0" applyFont="1" applyFill="1" applyBorder="1"/>
    <xf numFmtId="0" fontId="0" fillId="6" borderId="2" xfId="0" applyFill="1" applyBorder="1"/>
    <xf numFmtId="0" fontId="0" fillId="10" borderId="0" xfId="0" applyFill="1"/>
    <xf numFmtId="0" fontId="7" fillId="5" borderId="2" xfId="0" applyFont="1" applyFill="1" applyBorder="1"/>
    <xf numFmtId="0" fontId="8" fillId="0" borderId="3" xfId="0" applyFont="1" applyBorder="1"/>
    <xf numFmtId="1" fontId="8" fillId="0" borderId="2" xfId="0" applyNumberFormat="1" applyFont="1" applyBorder="1"/>
    <xf numFmtId="0" fontId="8" fillId="0" borderId="0" xfId="0" applyFont="1"/>
    <xf numFmtId="0" fontId="5" fillId="4" borderId="2" xfId="0" applyFont="1" applyFill="1" applyBorder="1"/>
    <xf numFmtId="0" fontId="4" fillId="0" borderId="0" xfId="0" applyFont="1"/>
    <xf numFmtId="0" fontId="1" fillId="9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9" fontId="5" fillId="4" borderId="2" xfId="0" applyNumberFormat="1" applyFont="1" applyFill="1" applyBorder="1"/>
    <xf numFmtId="9" fontId="8" fillId="12" borderId="0" xfId="0" applyNumberFormat="1" applyFont="1" applyFill="1"/>
    <xf numFmtId="9" fontId="0" fillId="0" borderId="0" xfId="0" applyNumberFormat="1"/>
    <xf fontId="10" fillId="13" borderId="8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405B-814A-4681-99A7-9B5C63B98960}">
  <sheetPr/>
  <sheetViews>
    <sheetView tabSelected="1" zoomScale="80" zoomScaleNormal="80" workbookViewId="0">
      <selection activeCell="E28" sqref="E28"/>
    </sheetView>
  </sheetViews>
  <sheetFormatPr defaultRowHeight="14.5" x14ac:dyDescent="0.35"/>
  <cols>
    <col min="1" max="1" width="26.36328125" customWidth="1"/>
    <col min="2" max="2" width="13.26953125" customWidth="1"/>
  </cols>
  <sheetData>
    <row r="1" spans="1:34" ht="45" customHeight="1" x14ac:dyDescent="0.35">
      <c r="A1" t="s" s="1">
        <v>0</v>
      </c>
      <c r="B1" s="2">
        <v>46174</v>
      </c>
      <c r="C1" s="2">
        <f t="shared" ref="C1:AF1" si="0">B1+1</f>
      </c>
      <c r="D1" s="2">
        <f t="shared" si="0"/>
      </c>
      <c r="E1" s="2">
        <f t="shared" si="0"/>
      </c>
      <c r="F1" s="2">
        <f t="shared" si="0"/>
      </c>
      <c r="G1" s="2">
        <f t="shared" si="0"/>
      </c>
      <c r="H1" s="2">
        <f t="shared" si="0"/>
      </c>
      <c r="I1" s="2">
        <f>H1+1</f>
      </c>
      <c r="J1" s="2">
        <f t="shared" si="0"/>
      </c>
      <c r="K1" s="2">
        <f t="shared" si="0"/>
      </c>
      <c r="L1" s="2">
        <f t="shared" si="0"/>
      </c>
      <c r="M1" s="2">
        <f t="shared" si="0"/>
      </c>
      <c r="N1" s="2">
        <f t="shared" si="0"/>
      </c>
      <c r="O1" s="2">
        <f t="shared" si="0"/>
      </c>
      <c r="P1" s="2">
        <f t="shared" si="0"/>
      </c>
      <c r="Q1" s="2">
        <f t="shared" si="0"/>
      </c>
      <c r="R1" s="2">
        <f t="shared" si="0"/>
      </c>
      <c r="S1" s="2">
        <f t="shared" si="0"/>
      </c>
      <c r="T1" s="2">
        <f t="shared" si="0"/>
      </c>
      <c r="U1" s="2">
        <f t="shared" si="0"/>
      </c>
      <c r="V1" s="2">
        <f t="shared" si="0"/>
      </c>
      <c r="W1" s="2">
        <f t="shared" si="0"/>
      </c>
      <c r="X1" s="2">
        <f t="shared" si="0"/>
      </c>
      <c r="Y1" s="2">
        <f t="shared" si="0"/>
      </c>
      <c r="Z1" s="2">
        <f t="shared" si="0"/>
      </c>
      <c r="AA1" s="2">
        <f t="shared" si="0"/>
      </c>
      <c r="AB1" s="2">
        <f t="shared" si="0"/>
      </c>
      <c r="AC1" s="2">
        <f t="shared" si="0"/>
      </c>
      <c r="AD1" s="2">
        <f t="shared" si="0"/>
      </c>
      <c r="AE1" s="2">
        <f t="shared" si="0"/>
      </c>
      <c r="AF1" s="2">
        <f t="shared" si="0"/>
      </c>
      <c r="AG1" s="3"/>
      <c r="AH1" s="3"/>
    </row>
    <row r="2" spans="1:34" ht="36.5" customHeight="1" x14ac:dyDescent="0.35">
      <c r="A2" t="s" s="31">
        <v>32</v>
      </c>
      <c r="B2" s="4">
        <f t="shared" ref="B2:AF2" si="1">B1</f>
      </c>
      <c r="C2" s="4">
        <f t="shared" si="1"/>
      </c>
      <c r="D2" s="4">
        <f t="shared" si="1"/>
      </c>
      <c r="E2" s="4">
        <f t="shared" si="1"/>
      </c>
      <c r="F2" s="4">
        <f t="shared" si="1"/>
      </c>
      <c r="G2" s="4">
        <f t="shared" si="1"/>
      </c>
      <c r="H2" s="4">
        <f t="shared" si="1"/>
      </c>
      <c r="I2" s="4">
        <f t="shared" si="1"/>
      </c>
      <c r="J2" s="4">
        <f t="shared" si="1"/>
      </c>
      <c r="K2" s="4">
        <f t="shared" si="1"/>
      </c>
      <c r="L2" s="4">
        <f t="shared" si="1"/>
      </c>
      <c r="M2" s="4">
        <f t="shared" si="1"/>
      </c>
      <c r="N2" s="4">
        <f t="shared" si="1"/>
      </c>
      <c r="O2" s="4">
        <f t="shared" si="1"/>
      </c>
      <c r="P2" s="4">
        <f t="shared" si="1"/>
      </c>
      <c r="Q2" s="4">
        <f t="shared" si="1"/>
      </c>
      <c r="R2" s="4">
        <f t="shared" si="1"/>
      </c>
      <c r="S2" s="4">
        <f t="shared" si="1"/>
      </c>
      <c r="T2" s="4">
        <f t="shared" si="1"/>
      </c>
      <c r="U2" s="4">
        <f t="shared" si="1"/>
      </c>
      <c r="V2" s="4">
        <f t="shared" si="1"/>
      </c>
      <c r="W2" s="4">
        <f t="shared" si="1"/>
      </c>
      <c r="X2" s="4">
        <f t="shared" si="1"/>
      </c>
      <c r="Y2" s="4">
        <f t="shared" si="1"/>
      </c>
      <c r="Z2" s="4">
        <f t="shared" si="1"/>
      </c>
      <c r="AA2" s="4">
        <f t="shared" si="1"/>
      </c>
      <c r="AB2" s="4">
        <f t="shared" si="1"/>
      </c>
      <c r="AC2" s="4">
        <f t="shared" si="1"/>
      </c>
      <c r="AD2" s="4">
        <f t="shared" si="1"/>
      </c>
      <c r="AE2" s="4">
        <f t="shared" si="1"/>
      </c>
      <c r="AF2" s="4">
        <f t="shared" si="1"/>
      </c>
      <c r="AG2" t="s" s="5">
        <v>1</v>
      </c>
      <c r="AH2" t="s" s="6">
        <v>2</v>
      </c>
    </row>
    <row r="3" spans="1:34" x14ac:dyDescent="0.35">
      <c r="A3" t="s" s="7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COUNTA(B3:AF3)</f>
      </c>
      <c r="AH3" s="10">
        <f>AG3*100/28</f>
      </c>
    </row>
    <row r="4" spans="1:34" x14ac:dyDescent="0.35">
      <c r="A4" t="s" s="7">
        <v>4</v>
      </c>
      <c r="B4" t="s" s="8">
        <v>34</v>
      </c>
      <c r="C4" t="s" s="8">
        <v>34</v>
      </c>
      <c r="D4" t="s" s="8">
        <v>34</v>
      </c>
      <c r="E4" t="s" s="8">
        <v>34</v>
      </c>
      <c r="F4" t="s" s="8">
        <v>34</v>
      </c>
      <c r="G4" t="s" s="8">
        <v>34</v>
      </c>
      <c r="H4" t="s" s="8">
        <v>34</v>
      </c>
      <c r="I4" t="s" s="8">
        <v>34</v>
      </c>
      <c r="J4" t="s" s="8">
        <v>34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>
        <f t="shared" ref="AG4:AG9" si="2">COUNTA(B4:AF4)</f>
      </c>
      <c r="AH4" s="10">
        <f t="shared" ref="AH4:AH9" si="3">AG4*100/28</f>
      </c>
    </row>
    <row r="5" spans="1:34" x14ac:dyDescent="0.35">
      <c r="A5" t="s" s="7">
        <v>6</v>
      </c>
      <c r="B5" s="8"/>
      <c r="C5" t="s" s="8">
        <v>34</v>
      </c>
      <c r="D5" t="s" s="8">
        <v>34</v>
      </c>
      <c r="E5" t="s" s="8">
        <v>34</v>
      </c>
      <c r="F5" t="s" s="8">
        <v>34</v>
      </c>
      <c r="G5" s="8"/>
      <c r="H5" s="8"/>
      <c r="I5" s="1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>
        <f t="shared" si="2"/>
      </c>
      <c r="AH5" s="10">
        <f t="shared" si="3"/>
      </c>
    </row>
    <row r="6" spans="1:34" x14ac:dyDescent="0.35">
      <c r="A6" t="s" s="12">
        <v>8</v>
      </c>
      <c r="B6" s="8"/>
      <c r="C6" s="8"/>
      <c r="D6" s="8"/>
      <c r="E6" s="8"/>
      <c r="F6" s="8"/>
      <c r="G6" s="8"/>
      <c r="H6" s="8"/>
      <c r="I6" t="s" s="8">
        <v>34</v>
      </c>
      <c r="J6" t="s" s="8">
        <v>34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>
        <f t="shared" si="2"/>
      </c>
      <c r="AH6" s="10">
        <f t="shared" si="3"/>
      </c>
    </row>
    <row r="7" spans="1:34" x14ac:dyDescent="0.35">
      <c r="A7" t="s" s="7">
        <v>10</v>
      </c>
      <c r="B7" s="8"/>
      <c r="C7" s="8"/>
      <c r="D7" s="8"/>
      <c r="E7" s="8"/>
      <c r="F7" s="8"/>
      <c r="G7" s="8"/>
      <c r="H7" s="8"/>
      <c r="I7" t="s" s="8">
        <v>34</v>
      </c>
      <c r="J7" t="s" s="8">
        <v>34</v>
      </c>
      <c r="K7" s="13"/>
      <c r="L7" s="13"/>
      <c r="M7" s="1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>
        <f t="shared" si="2"/>
      </c>
      <c r="AH7" s="10">
        <f t="shared" si="3"/>
      </c>
    </row>
    <row r="8" spans="1:34" x14ac:dyDescent="0.35">
      <c r="A8" t="s" s="12">
        <v>11</v>
      </c>
      <c r="B8" s="8"/>
      <c r="C8" s="8"/>
      <c r="D8" s="8"/>
      <c r="E8" s="8"/>
      <c r="F8" s="8"/>
      <c r="G8" s="8"/>
      <c r="H8" s="8"/>
      <c r="I8" t="s" s="8">
        <v>34</v>
      </c>
      <c r="J8" t="s" s="8">
        <v>34</v>
      </c>
      <c r="K8" s="13"/>
      <c r="L8" s="13"/>
      <c r="M8" s="13"/>
      <c r="N8" s="8"/>
      <c r="O8" s="13"/>
      <c r="P8" s="1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>
        <f t="shared" si="2"/>
      </c>
      <c r="AH8" s="10">
        <f t="shared" si="3"/>
      </c>
    </row>
    <row r="9" spans="1:34" ht="15" thickBot="1" x14ac:dyDescent="0.4">
      <c r="A9" t="s" s="7">
        <v>12</v>
      </c>
      <c r="B9" s="8"/>
      <c r="C9" s="8"/>
      <c r="D9" s="8"/>
      <c r="E9" s="8"/>
      <c r="F9" s="8"/>
      <c r="G9" s="8"/>
      <c r="H9" s="8"/>
      <c r="I9" t="s" s="8">
        <v>34</v>
      </c>
      <c r="J9" t="s" s="8">
        <v>34</v>
      </c>
      <c r="K9" s="13"/>
      <c r="L9" s="13"/>
      <c r="M9" s="1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>
        <f t="shared" si="2"/>
      </c>
      <c r="AH9" s="10">
        <f t="shared" si="3"/>
      </c>
    </row>
    <row r="10" spans="1:34" ht="16" x14ac:dyDescent="0.4">
      <c r="A10" t="s" s="14">
        <v>13</v>
      </c>
      <c r="B10" s="15">
        <f>COUNTA(B3:B9)</f>
      </c>
      <c r="C10" s="15">
        <f>COUNTA(C3:C9)</f>
      </c>
      <c r="D10" s="15">
        <f t="shared" ref="D10:AF10" si="4">COUNTA(D3:D9)</f>
      </c>
      <c r="E10" s="15">
        <f t="shared" si="4"/>
      </c>
      <c r="F10" s="15">
        <f t="shared" si="4"/>
      </c>
      <c r="G10" s="15">
        <f t="shared" si="4"/>
      </c>
      <c r="H10" s="15">
        <f t="shared" si="4"/>
      </c>
      <c r="I10" s="15">
        <f t="shared" si="4"/>
      </c>
      <c r="J10" s="15">
        <f t="shared" si="4"/>
      </c>
      <c r="K10" s="15">
        <f t="shared" si="4"/>
      </c>
      <c r="L10" s="15">
        <f t="shared" si="4"/>
      </c>
      <c r="M10" s="15">
        <f t="shared" si="4"/>
      </c>
      <c r="N10" s="15">
        <f t="shared" si="4"/>
      </c>
      <c r="O10" s="15">
        <f t="shared" si="4"/>
      </c>
      <c r="P10" s="15">
        <f t="shared" si="4"/>
      </c>
      <c r="Q10" s="15">
        <f t="shared" si="4"/>
      </c>
      <c r="R10" s="15">
        <f t="shared" si="4"/>
      </c>
      <c r="S10" s="15">
        <f t="shared" si="4"/>
      </c>
      <c r="T10" s="15">
        <f t="shared" si="4"/>
      </c>
      <c r="U10" s="15">
        <f t="shared" si="4"/>
      </c>
      <c r="V10" s="15">
        <f t="shared" si="4"/>
      </c>
      <c r="W10" s="15">
        <f t="shared" si="4"/>
      </c>
      <c r="X10" s="15">
        <f t="shared" si="4"/>
      </c>
      <c r="Y10" s="15">
        <f t="shared" si="4"/>
      </c>
      <c r="Z10" s="15">
        <f t="shared" si="4"/>
      </c>
      <c r="AA10" s="15">
        <f t="shared" si="4"/>
      </c>
      <c r="AB10" s="15">
        <f t="shared" si="4"/>
      </c>
      <c r="AC10" s="15">
        <f>COUNTA(AC3:AC9)</f>
      </c>
      <c r="AD10" s="15">
        <f>COUNTA(AD3:AD9)</f>
      </c>
      <c r="AE10" s="15">
        <f>COUNTA(AE3:AE9)</f>
      </c>
      <c r="AF10" s="15">
        <f t="shared" si="4"/>
      </c>
      <c r="AG10" s="16">
        <f t="shared" ref="AG10" si="5">SUM(AG3:AG9)</f>
      </c>
      <c r="AH10" s="17">
        <f>AVERAGE(AH3:AH9)</f>
      </c>
    </row>
    <row r="11">
      <c r="A11"/>
    </row>
    <row r="12" spans="1:34" ht="18.5" x14ac:dyDescent="0.35">
      <c r="A12" t="s" s="30">
        <v>31</v>
      </c>
      <c r="B12" s="18"/>
      <c r="C12" s="18"/>
      <c r="D12" s="18"/>
      <c r="E12" s="18"/>
      <c r="F12" s="18"/>
      <c r="G12" s="18"/>
      <c r="H12" s="18"/>
      <c r="I12" s="19"/>
      <c r="J12" s="20"/>
      <c r="K12" s="21"/>
      <c r="L12" s="18"/>
      <c r="M12" s="18"/>
      <c r="N12" s="22"/>
      <c r="O12" s="22"/>
      <c r="P12" s="22"/>
      <c r="Q12" s="18"/>
      <c r="R12" s="18"/>
      <c r="S12" s="18"/>
      <c r="T12" s="18"/>
      <c r="U12" s="18"/>
      <c r="V12" s="21"/>
      <c r="W12" s="21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x14ac:dyDescent="0.35">
      <c r="A13" t="s" s="7">
        <v>14</v>
      </c>
      <c r="B13" t="s" s="13">
        <v>34</v>
      </c>
      <c r="C13" t="s" s="13">
        <v>34</v>
      </c>
      <c r="D13" t="s" s="13">
        <v>34</v>
      </c>
      <c r="E13" t="s" s="13">
        <v>34</v>
      </c>
      <c r="F13" t="s" s="13">
        <v>34</v>
      </c>
      <c r="G13" t="s" s="13">
        <v>34</v>
      </c>
      <c r="H13" t="s" s="13">
        <v>34</v>
      </c>
      <c r="I13" t="s" s="13">
        <v>34</v>
      </c>
      <c r="J13" t="s" s="13">
        <v>34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9">
        <f>COUNTA(B13:AF13)</f>
      </c>
      <c r="AH13" s="10">
        <f>AG13*100/28</f>
      </c>
    </row>
    <row r="14" spans="1:34" x14ac:dyDescent="0.35">
      <c r="A14" t="s" s="12">
        <v>16</v>
      </c>
      <c r="B14" s="13"/>
      <c r="C14" s="13"/>
      <c r="D14" s="13"/>
      <c r="E14" t="s" s="13">
        <v>34</v>
      </c>
      <c r="F14" t="s" s="13">
        <v>34</v>
      </c>
      <c r="G14" t="s" s="13">
        <v>34</v>
      </c>
      <c r="H14" s="13"/>
      <c r="I14" s="24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9">
        <f t="shared" ref="AG14:AG20" si="6">COUNTA(B14:AF14)</f>
      </c>
      <c r="AH14" s="10">
        <f>AG14*100/28</f>
      </c>
    </row>
    <row r="15" spans="1:34" x14ac:dyDescent="0.35">
      <c r="A15" t="s" s="7">
        <v>18</v>
      </c>
      <c r="B15" t="s" s="13">
        <v>34</v>
      </c>
      <c r="C15" t="s" s="13">
        <v>34</v>
      </c>
      <c r="D15" t="s" s="13">
        <v>34</v>
      </c>
      <c r="E15" t="s" s="13">
        <v>34</v>
      </c>
      <c r="F15" t="s" s="13">
        <v>34</v>
      </c>
      <c r="G15" t="s" s="13">
        <v>34</v>
      </c>
      <c r="H15" t="s" s="13">
        <v>34</v>
      </c>
      <c r="I15" t="s" s="13">
        <v>34</v>
      </c>
      <c r="J15" t="s" s="13">
        <v>34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9">
        <f t="shared" si="6"/>
      </c>
      <c r="AH15" s="10">
        <f t="shared" ref="AH15:AH20" si="7">AG15*100/28</f>
      </c>
    </row>
    <row r="16" spans="1:34" x14ac:dyDescent="0.35">
      <c r="A16" t="s" s="12">
        <v>20</v>
      </c>
      <c r="B16" t="s" s="13">
        <v>34</v>
      </c>
      <c r="C16" t="s" s="13">
        <v>34</v>
      </c>
      <c r="D16" t="s" s="13">
        <v>34</v>
      </c>
      <c r="E16" t="s" s="13">
        <v>34</v>
      </c>
      <c r="F16" t="s" s="13">
        <v>34</v>
      </c>
      <c r="G16" t="s" s="13">
        <v>34</v>
      </c>
      <c r="H16" t="s" s="13">
        <v>34</v>
      </c>
      <c r="I16" t="s" s="13">
        <v>34</v>
      </c>
      <c r="J16" t="s" s="13">
        <v>34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9">
        <f t="shared" si="6"/>
      </c>
      <c r="AH16" s="10">
        <f t="shared" si="7"/>
      </c>
    </row>
    <row r="17" spans="1:34" x14ac:dyDescent="0.35">
      <c r="A17" t="s" s="7">
        <v>22</v>
      </c>
      <c r="B17" t="s" s="13">
        <v>34</v>
      </c>
      <c r="C17" t="s" s="13">
        <v>34</v>
      </c>
      <c r="D17" t="s" s="13">
        <v>34</v>
      </c>
      <c r="E17" t="s" s="13">
        <v>34</v>
      </c>
      <c r="F17" t="s" s="13">
        <v>34</v>
      </c>
      <c r="G17" t="s" s="13">
        <v>34</v>
      </c>
      <c r="H17" t="s" s="13">
        <v>34</v>
      </c>
      <c r="I17" t="s" s="13">
        <v>34</v>
      </c>
      <c r="J17" t="s" s="13">
        <v>34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9">
        <f t="shared" si="6"/>
      </c>
      <c r="AH17" s="10">
        <f t="shared" si="7"/>
      </c>
    </row>
    <row r="18" spans="1:34" x14ac:dyDescent="0.35">
      <c r="A18" t="s" s="12">
        <v>24</v>
      </c>
      <c r="B18" t="s" s="13">
        <v>34</v>
      </c>
      <c r="C18" t="s" s="13">
        <v>34</v>
      </c>
      <c r="D18" t="s" s="13">
        <v>34</v>
      </c>
      <c r="E18" t="s" s="13">
        <v>34</v>
      </c>
      <c r="F18" t="s" s="13">
        <v>34</v>
      </c>
      <c r="G18" t="s" s="13">
        <v>34</v>
      </c>
      <c r="H18" t="s" s="13">
        <v>34</v>
      </c>
      <c r="I18" t="s" s="13">
        <v>34</v>
      </c>
      <c r="J18" t="s" s="13">
        <v>34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9">
        <f t="shared" si="6"/>
      </c>
      <c r="AH18" s="10">
        <f t="shared" si="7"/>
      </c>
    </row>
    <row r="19" spans="1:34" x14ac:dyDescent="0.35">
      <c r="A19" t="s" s="7">
        <v>26</v>
      </c>
      <c r="B19" t="s" s="13">
        <v>34</v>
      </c>
      <c r="C19" t="s" s="13">
        <v>34</v>
      </c>
      <c r="D19" t="s" s="13">
        <v>34</v>
      </c>
      <c r="E19" t="s" s="13">
        <v>34</v>
      </c>
      <c r="F19" t="s" s="13">
        <v>34</v>
      </c>
      <c r="G19" t="s" s="13">
        <v>34</v>
      </c>
      <c r="H19" t="s" s="13">
        <v>34</v>
      </c>
      <c r="I19" t="s" s="13">
        <v>34</v>
      </c>
      <c r="J19" t="s" s="13">
        <v>34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9">
        <f t="shared" si="6"/>
      </c>
      <c r="AH19" s="10">
        <f t="shared" si="7"/>
      </c>
    </row>
    <row r="20" spans="1:34" ht="15" thickBot="1" x14ac:dyDescent="0.4">
      <c r="A20" t="s" s="12">
        <v>27</v>
      </c>
      <c r="B20" s="13"/>
      <c r="C20" s="13"/>
      <c r="D20" s="13"/>
      <c r="E20" t="s" s="13">
        <v>34</v>
      </c>
      <c r="F20" t="s" s="13">
        <v>34</v>
      </c>
      <c r="G20" t="s" s="13">
        <v>34</v>
      </c>
      <c r="H20" s="13"/>
      <c r="I20" s="24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9">
        <f t="shared" si="6"/>
      </c>
      <c r="AH20" s="10">
        <f t="shared" si="7"/>
      </c>
    </row>
    <row r="21" spans="1:34" ht="16" x14ac:dyDescent="0.4">
      <c r="A21" t="s" s="14">
        <v>13</v>
      </c>
      <c r="B21" s="15">
        <f>COUNTA(B13:B20)</f>
      </c>
      <c r="C21" s="15">
        <f>COUNTA(C14:C20)</f>
      </c>
      <c r="D21" s="15">
        <f>COUNTA(D14:D20)</f>
      </c>
      <c r="E21" s="15">
        <f t="shared" ref="E21:AF21" si="8">COUNTA(E13:E20)</f>
      </c>
      <c r="F21" s="15">
        <f t="shared" si="8"/>
      </c>
      <c r="G21" s="15">
        <f t="shared" si="8"/>
      </c>
      <c r="H21" s="15">
        <f t="shared" si="8"/>
      </c>
      <c r="I21" s="15">
        <f t="shared" si="8"/>
      </c>
      <c r="J21" s="15">
        <f t="shared" si="8"/>
      </c>
      <c r="K21" s="15">
        <f t="shared" si="8"/>
      </c>
      <c r="L21" s="15">
        <f t="shared" si="8"/>
      </c>
      <c r="M21" s="15">
        <f t="shared" si="8"/>
      </c>
      <c r="N21" s="15">
        <f t="shared" si="8"/>
      </c>
      <c r="O21" s="15">
        <f t="shared" si="8"/>
      </c>
      <c r="P21" s="15">
        <f t="shared" si="8"/>
      </c>
      <c r="Q21" s="15">
        <f t="shared" si="8"/>
      </c>
      <c r="R21" s="15">
        <f t="shared" si="8"/>
      </c>
      <c r="S21" s="15">
        <f t="shared" si="8"/>
      </c>
      <c r="T21" s="15">
        <f>COUNTA(T13:T20)</f>
      </c>
      <c r="U21" s="15">
        <f t="shared" si="8"/>
      </c>
      <c r="V21" s="15">
        <f t="shared" si="8"/>
      </c>
      <c r="W21" s="15">
        <f t="shared" si="8"/>
      </c>
      <c r="X21" s="15">
        <f t="shared" si="8"/>
      </c>
      <c r="Y21" s="15">
        <f t="shared" si="8"/>
      </c>
      <c r="Z21" s="15">
        <f t="shared" si="8"/>
      </c>
      <c r="AA21" s="15">
        <f t="shared" si="8"/>
      </c>
      <c r="AB21" s="15">
        <f t="shared" si="8"/>
      </c>
      <c r="AC21" s="15">
        <f t="shared" si="8"/>
      </c>
      <c r="AD21" s="15">
        <f t="shared" si="8"/>
      </c>
      <c r="AE21" s="15">
        <f t="shared" si="8"/>
      </c>
      <c r="AF21" s="15">
        <f t="shared" si="8"/>
      </c>
      <c r="AG21" s="16">
        <f>SUM(AG13:AG20)</f>
      </c>
    </row>
    <row r="22" spans="1:34" ht="15.5" x14ac:dyDescent="0.35">
      <c r="A22" t="s" s="25">
        <v>29</v>
      </c>
      <c r="B22" s="26">
        <f>B10+B21</f>
      </c>
      <c r="C22" s="26">
        <f>C10+C21</f>
      </c>
      <c r="D22" s="26">
        <f>D10+D21</f>
      </c>
      <c r="E22" s="26">
        <f>E10+E21</f>
      </c>
      <c r="F22" s="26">
        <f>F10+F21</f>
      </c>
      <c r="G22" s="26">
        <f>G10+G21</f>
      </c>
      <c r="H22" s="26">
        <f>H10+H21</f>
      </c>
      <c r="I22" s="26">
        <f>I10+I21</f>
      </c>
      <c r="J22" s="26">
        <f>J10+J21</f>
      </c>
      <c r="K22" s="26">
        <f>K10+K21</f>
      </c>
      <c r="L22" s="26">
        <f>L10+L21</f>
      </c>
      <c r="M22" s="26">
        <f>M10+M21</f>
      </c>
      <c r="N22" s="26">
        <f>N10+N21</f>
      </c>
      <c r="O22" s="26">
        <f>O10+O21</f>
      </c>
      <c r="P22" s="26">
        <f>P10+P21</f>
      </c>
      <c r="Q22" s="26">
        <f>Q10+Q21</f>
      </c>
      <c r="R22" s="26">
        <f>R10+R21</f>
      </c>
      <c r="S22" s="26">
        <f>S10+S21</f>
      </c>
      <c r="T22" s="26">
        <f>T10+T21</f>
      </c>
      <c r="U22" s="26">
        <f>U10+U21</f>
      </c>
      <c r="V22" s="26">
        <f>V10+V21</f>
      </c>
      <c r="W22" s="26">
        <f>W10+W21</f>
      </c>
      <c r="X22" s="26">
        <f>X10+X21</f>
      </c>
      <c r="Y22" s="26">
        <f>Y10+Y21</f>
      </c>
      <c r="Z22" s="26">
        <f>Z10+Z21</f>
      </c>
      <c r="AA22" s="26">
        <f>AA10+AA21</f>
      </c>
      <c r="AB22" s="26">
        <f>AB10+AB21</f>
      </c>
      <c r="AC22" s="26">
        <f>AC10+AC21</f>
      </c>
      <c r="AD22" s="26">
        <f>AD10+AD21</f>
      </c>
      <c r="AE22" s="26">
        <f>AE10+AE21</f>
      </c>
      <c r="AF22" s="26">
        <f>AF10+AF21</f>
      </c>
      <c r="AG22" s="27">
        <f>+AG10+AG21</f>
      </c>
    </row>
    <row r="23" spans="1:34" ht="15.5" x14ac:dyDescent="0.35">
      <c r="A23" t="s" s="25">
        <v>33</v>
      </c>
      <c r="B23" s="26">
        <f>COUNTA($A$13:$A$20,$A$3:$A$9)</f>
      </c>
      <c r="C23" s="26">
        <f t="shared" ref="C23:AF23" si="9">COUNTA($A$13:$A$20,$A$3:$A$9)</f>
      </c>
      <c r="D23" s="26">
        <f t="shared" si="9"/>
      </c>
      <c r="E23" s="26">
        <f t="shared" si="9"/>
      </c>
      <c r="F23" s="26">
        <f t="shared" si="9"/>
      </c>
      <c r="G23" s="26">
        <f t="shared" si="9"/>
      </c>
      <c r="H23" s="26">
        <f t="shared" si="9"/>
      </c>
      <c r="I23" s="26">
        <f t="shared" si="9"/>
      </c>
      <c r="J23" s="26">
        <f t="shared" si="9"/>
      </c>
      <c r="K23" s="26">
        <f t="shared" si="9"/>
      </c>
      <c r="L23" s="26">
        <f t="shared" si="9"/>
      </c>
      <c r="M23" s="26">
        <f t="shared" si="9"/>
      </c>
      <c r="N23" s="26">
        <f t="shared" si="9"/>
      </c>
      <c r="O23" s="26">
        <f t="shared" si="9"/>
      </c>
      <c r="P23" s="26">
        <f t="shared" si="9"/>
      </c>
      <c r="Q23" s="26">
        <f t="shared" si="9"/>
      </c>
      <c r="R23" s="26">
        <f t="shared" si="9"/>
      </c>
      <c r="S23" s="26">
        <f t="shared" si="9"/>
      </c>
      <c r="T23" s="26">
        <f t="shared" si="9"/>
      </c>
      <c r="U23" s="26">
        <f t="shared" si="9"/>
      </c>
      <c r="V23" s="26">
        <f t="shared" si="9"/>
      </c>
      <c r="W23" s="26">
        <f t="shared" si="9"/>
      </c>
      <c r="X23" s="26">
        <f t="shared" si="9"/>
      </c>
      <c r="Y23" s="26">
        <f t="shared" si="9"/>
      </c>
      <c r="Z23" s="26">
        <f t="shared" si="9"/>
      </c>
      <c r="AA23" s="26">
        <f t="shared" si="9"/>
      </c>
      <c r="AB23" s="26">
        <f t="shared" si="9"/>
      </c>
      <c r="AC23" s="26">
        <f t="shared" si="9"/>
      </c>
      <c r="AD23" s="26">
        <f t="shared" si="9"/>
      </c>
      <c r="AE23" s="26">
        <f t="shared" si="9"/>
      </c>
      <c r="AF23" s="26">
        <f t="shared" si="9"/>
      </c>
      <c r="AG23" s="27"/>
    </row>
    <row r="24" spans="1:34" ht="15.5" x14ac:dyDescent="0.35">
      <c r="A24" t="s" s="28">
        <v>30</v>
      </c>
      <c r="B24" s="32">
        <f>B22/B23</f>
      </c>
      <c r="C24" s="32">
        <f t="shared" ref="C24:AF24" si="10">C22/C23</f>
      </c>
      <c r="D24" s="32">
        <f t="shared" si="10"/>
      </c>
      <c r="E24" s="32">
        <f t="shared" si="10"/>
      </c>
      <c r="F24" s="32">
        <f t="shared" si="10"/>
      </c>
      <c r="G24" s="32">
        <f t="shared" si="10"/>
      </c>
      <c r="H24" s="32">
        <f t="shared" si="10"/>
      </c>
      <c r="I24" s="32">
        <f t="shared" si="10"/>
      </c>
      <c r="J24" s="32">
        <f t="shared" si="10"/>
      </c>
      <c r="K24" s="32">
        <f t="shared" si="10"/>
      </c>
      <c r="L24" s="32">
        <f t="shared" si="10"/>
      </c>
      <c r="M24" s="32">
        <f t="shared" si="10"/>
      </c>
      <c r="N24" s="32">
        <f t="shared" si="10"/>
      </c>
      <c r="O24" s="32">
        <f t="shared" si="10"/>
      </c>
      <c r="P24" s="32">
        <f t="shared" si="10"/>
      </c>
      <c r="Q24" s="32">
        <f t="shared" si="10"/>
      </c>
      <c r="R24" s="32">
        <f t="shared" si="10"/>
      </c>
      <c r="S24" s="32">
        <f t="shared" si="10"/>
      </c>
      <c r="T24" s="32">
        <f t="shared" si="10"/>
      </c>
      <c r="U24" s="32">
        <f t="shared" si="10"/>
      </c>
      <c r="V24" s="32">
        <f t="shared" si="10"/>
      </c>
      <c r="W24" s="32">
        <f t="shared" si="10"/>
      </c>
      <c r="X24" s="32">
        <f t="shared" si="10"/>
      </c>
      <c r="Y24" s="32">
        <f t="shared" si="10"/>
      </c>
      <c r="Z24" s="32">
        <f t="shared" si="10"/>
      </c>
      <c r="AA24" s="32">
        <f t="shared" si="10"/>
      </c>
      <c r="AB24" s="32">
        <f t="shared" si="10"/>
      </c>
      <c r="AC24" s="32">
        <f t="shared" si="10"/>
      </c>
      <c r="AD24" s="32">
        <f t="shared" si="10"/>
      </c>
      <c r="AE24" s="32">
        <f t="shared" si="10"/>
      </c>
      <c r="AF24" s="32">
        <f t="shared" si="10"/>
      </c>
      <c r="AG24" s="33">
        <f>AVERAGE(B24:AF24)</f>
      </c>
      <c r="AH24" s="29"/>
    </row>
    <row r="25" spans="1:34" x14ac:dyDescent="0.35">
      <c r="A25"/>
      <c r="AG25" s="34"/>
      <c r="AH25"/>
    </row>
    <row r="26">
      <c r="A26" t="s" s="35">
        <v>35</v>
      </c>
      <c r="B26" t="s">
        <v>36</v>
      </c>
    </row>
  </sheetData>
  <conditionalFormatting sqref="B13:B20 C15:J19 C13:J13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4:J4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3:T3 N7:N9 AC3:AF9 U3:AB5 Q8:AB8 O6:AB7 O9:AB9 B5:T5 K6:N6 B6:J9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4:AF14 K15:AF19 C20:AF20 K13:AF13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7:M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4:T4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8:P8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2:U12 B12:I12 X12:AH12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dcterms:created xsi:type="dcterms:W3CDTF">2026-07-28T08:24:30Z</dcterms:created>
  <dcterms:modified xsi:type="dcterms:W3CDTF">2026-07-28T11:06:54Z</dcterms:modified>
</cp:coreProperties>
</file>